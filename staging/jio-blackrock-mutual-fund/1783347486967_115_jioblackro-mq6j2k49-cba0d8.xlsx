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F8940091-0FF2-481A-BD5F-B2ACFA4F1E89}" xr6:coauthVersionLast="47" xr6:coauthVersionMax="47" xr10:uidLastSave="{00000000-0000-0000-0000-000000000000}"/>
  <bookViews>
    <workbookView xWindow="-110" yWindow="-110" windowWidth="19420" windowHeight="11500" firstSheet="1" activeTab="1" xr2:uid="{7291B499-DD8C-4F12-BA28-9EE7F24AB421}"/>
  </bookViews>
  <sheets>
    <sheet name="Index" sheetId="2" r:id="rId1"/>
    <sheet name="JBLARGE" sheetId="3" r:id="rId2"/>
    <sheet name="JBMMF" sheetId="4" r:id="rId3"/>
    <sheet name="JBOF" sheetId="5" r:id="rId4"/>
    <sheet name="JBLF" sheetId="6" r:id="rId5"/>
    <sheet name="JBN8-13" sheetId="7" r:id="rId6"/>
    <sheet name="JBLOW" sheetId="8" r:id="rId7"/>
    <sheet name="JBSHORT" sheetId="9" r:id="rId8"/>
    <sheet name="JBN50" sheetId="10" r:id="rId9"/>
    <sheet name="JBNNX50" sheetId="11" r:id="rId10"/>
    <sheet name="JBNM150" sheetId="12" r:id="rId11"/>
    <sheet name="JBNS250" sheetId="13" r:id="rId12"/>
    <sheet name="JBFLEXI" sheetId="14" r:id="rId13"/>
    <sheet name="JBARB" sheetId="15" r:id="rId14"/>
    <sheet name="JBSECRO" sheetId="16" r:id="rId15"/>
  </sheets>
  <definedNames>
    <definedName name="_xlnm.Print_Area" localSheetId="13">JBARB!$B$1:$H$388</definedName>
    <definedName name="_xlnm.Print_Area" localSheetId="12">JBFLEXI!$B$1:$H$253</definedName>
    <definedName name="_xlnm.Print_Area" localSheetId="1">JBLARGE!$B$1:$H$202</definedName>
    <definedName name="_xlnm.Print_Area" localSheetId="4">JBLF!$B$1:$I$138</definedName>
    <definedName name="_xlnm.Print_Area" localSheetId="6">JBLOW!$B$1:$I$116</definedName>
    <definedName name="_xlnm.Print_Area" localSheetId="2">JBMMF!$B$1:$I$107</definedName>
    <definedName name="_xlnm.Print_Area" localSheetId="8">'JBN50'!$B$1:$H$121</definedName>
    <definedName name="_xlnm.Print_Area" localSheetId="5">'JBN8-13'!$B$1:$I$69</definedName>
    <definedName name="_xlnm.Print_Area" localSheetId="10">JBNM150!$B$1:$H$221</definedName>
    <definedName name="_xlnm.Print_Area" localSheetId="9">JBNNX50!$B$1:$H$128</definedName>
    <definedName name="_xlnm.Print_Area" localSheetId="11">JBNS250!$B$1:$H$319</definedName>
    <definedName name="_xlnm.Print_Area" localSheetId="3">JBOF!$B$1:$I$106</definedName>
    <definedName name="_xlnm.Print_Area" localSheetId="14">JBSECRO!$B$1:$H$424</definedName>
    <definedName name="_xlnm.Print_Area" localSheetId="7">JBSHORT!$B$1:$I$91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0" i="16" l="1"/>
  <c r="F310" i="16"/>
  <c r="G302" i="16"/>
  <c r="G296" i="16"/>
  <c r="F296" i="16"/>
  <c r="F303" i="16" s="1"/>
  <c r="G192" i="15"/>
  <c r="F192" i="15"/>
  <c r="G98" i="15"/>
  <c r="G94" i="15"/>
  <c r="F94" i="15"/>
  <c r="G89" i="15"/>
  <c r="F89" i="15"/>
  <c r="G81" i="15"/>
  <c r="G84" i="15" s="1"/>
  <c r="F81" i="15"/>
  <c r="F84" i="15" s="1"/>
  <c r="G148" i="14"/>
  <c r="F148" i="14"/>
  <c r="G140" i="14"/>
  <c r="G134" i="14"/>
  <c r="F134" i="14"/>
  <c r="F141" i="14" s="1"/>
  <c r="G257" i="13"/>
  <c r="G263" i="13" s="1"/>
  <c r="F257" i="13"/>
  <c r="F263" i="13" s="1"/>
  <c r="G157" i="12"/>
  <c r="G163" i="12" s="1"/>
  <c r="F157" i="12"/>
  <c r="F160" i="12" s="1"/>
  <c r="G61" i="11"/>
  <c r="G64" i="11" s="1"/>
  <c r="F61" i="11"/>
  <c r="F67" i="11" s="1"/>
  <c r="G57" i="10"/>
  <c r="G63" i="10" s="1"/>
  <c r="F57" i="10"/>
  <c r="F63" i="10" s="1"/>
  <c r="G19" i="9"/>
  <c r="F19" i="9"/>
  <c r="G13" i="9"/>
  <c r="G23" i="9" s="1"/>
  <c r="F13" i="9"/>
  <c r="G42" i="8"/>
  <c r="F42" i="8"/>
  <c r="G37" i="8"/>
  <c r="F37" i="8"/>
  <c r="G32" i="8"/>
  <c r="F32" i="8"/>
  <c r="G29" i="8"/>
  <c r="F29" i="8"/>
  <c r="F38" i="8" s="1"/>
  <c r="G12" i="8"/>
  <c r="F12" i="8"/>
  <c r="G9" i="7"/>
  <c r="G13" i="7" s="1"/>
  <c r="F9" i="7"/>
  <c r="F13" i="7" s="1"/>
  <c r="G70" i="6"/>
  <c r="F70" i="6"/>
  <c r="G66" i="6"/>
  <c r="F66" i="6"/>
  <c r="G57" i="6"/>
  <c r="F57" i="6"/>
  <c r="G31" i="6"/>
  <c r="F31" i="6"/>
  <c r="G11" i="5"/>
  <c r="G43" i="5" s="1"/>
  <c r="F11" i="5"/>
  <c r="F43" i="5" s="1"/>
  <c r="G39" i="4"/>
  <c r="F39" i="4"/>
  <c r="G36" i="4"/>
  <c r="F36" i="4"/>
  <c r="G32" i="4"/>
  <c r="F32" i="4"/>
  <c r="G27" i="4"/>
  <c r="F27" i="4"/>
  <c r="G87" i="3"/>
  <c r="F87" i="3"/>
  <c r="G79" i="3"/>
  <c r="G73" i="3"/>
  <c r="F73" i="3"/>
  <c r="F76" i="3" s="1"/>
  <c r="G303" i="16" l="1"/>
  <c r="G141" i="14"/>
  <c r="F23" i="9"/>
  <c r="G38" i="8"/>
  <c r="F67" i="6"/>
  <c r="F46" i="8"/>
  <c r="G74" i="6"/>
  <c r="G80" i="3"/>
  <c r="G299" i="16"/>
  <c r="F299" i="16"/>
  <c r="F99" i="15"/>
  <c r="G99" i="15"/>
  <c r="F90" i="15"/>
  <c r="G90" i="15"/>
  <c r="F137" i="14"/>
  <c r="G137" i="14"/>
  <c r="F260" i="13"/>
  <c r="G260" i="13"/>
  <c r="G160" i="12"/>
  <c r="F163" i="12"/>
  <c r="G67" i="11"/>
  <c r="F64" i="11"/>
  <c r="F60" i="10"/>
  <c r="G60" i="10"/>
  <c r="F14" i="9"/>
  <c r="G14" i="9"/>
  <c r="G46" i="8"/>
  <c r="F15" i="8"/>
  <c r="G15" i="8"/>
  <c r="G67" i="6"/>
  <c r="F74" i="6"/>
  <c r="F12" i="5"/>
  <c r="G12" i="5"/>
  <c r="F43" i="4"/>
  <c r="G43" i="4"/>
  <c r="F33" i="4"/>
  <c r="G33" i="4"/>
  <c r="F80" i="3"/>
  <c r="G76" i="3"/>
</calcChain>
</file>

<file path=xl/sharedStrings.xml><?xml version="1.0" encoding="utf-8"?>
<sst xmlns="http://schemas.openxmlformats.org/spreadsheetml/2006/main" count="4868" uniqueCount="1594">
  <si>
    <t>Quantity</t>
  </si>
  <si>
    <t>Sr No.</t>
  </si>
  <si>
    <t>Short Name</t>
  </si>
  <si>
    <t>Scheme Name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</si>
  <si>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</si>
  <si>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</si>
  <si>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</si>
  <si>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</si>
  <si>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</si>
  <si>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May 31, 2026</t>
  </si>
  <si>
    <t>JioBlackRock Large Cap Fund</t>
  </si>
  <si>
    <t>JioBlackRock Money Market Fund</t>
  </si>
  <si>
    <t>JioBlackRock Overnight Fund</t>
  </si>
  <si>
    <t>JioBlackRock Liquid Fund</t>
  </si>
  <si>
    <t>JioBlackRock Nifty 8-13 yr G-Sec Index Fund</t>
  </si>
  <si>
    <t>JioBlackRock Low Duration Fund</t>
  </si>
  <si>
    <t>JioBlackRock Short Duration Fund</t>
  </si>
  <si>
    <t>JioBlackRock Nifty 50 Index Fund</t>
  </si>
  <si>
    <t>JioBlackRock Nifty Next 50 Index Fund</t>
  </si>
  <si>
    <t>JioBlackRock Nifty Midcap 150 Index Fund</t>
  </si>
  <si>
    <t>JioBlackRock Nifty Smallcap 250 Index Fund</t>
  </si>
  <si>
    <t>JioBlackRock Flexi Cap Fund</t>
  </si>
  <si>
    <t>JioBlackRock Arbitrage Fund</t>
  </si>
  <si>
    <t>JioBlackRock Sector Rotation Fund</t>
  </si>
  <si>
    <t>Equity &amp; Equity related</t>
  </si>
  <si>
    <t>(a) Listed / awaiting listing on Stock Exchanges</t>
  </si>
  <si>
    <t>HDFC Bank Ltd</t>
  </si>
  <si>
    <t>INE040A01034</t>
  </si>
  <si>
    <t>Banks</t>
  </si>
  <si>
    <t>ICICI Bank Ltd</t>
  </si>
  <si>
    <t>INE090A01021</t>
  </si>
  <si>
    <t>Bharti Airtel Ltd</t>
  </si>
  <si>
    <t>INE397D01024</t>
  </si>
  <si>
    <t>Telecom - Services</t>
  </si>
  <si>
    <t>Reliance Industries Ltd</t>
  </si>
  <si>
    <t>INE002A01018</t>
  </si>
  <si>
    <t>Petroleum Products</t>
  </si>
  <si>
    <t>Mahindra &amp; Mahindra Ltd</t>
  </si>
  <si>
    <t>INE101A01026</t>
  </si>
  <si>
    <t>Automobiles</t>
  </si>
  <si>
    <t>State Bank of India</t>
  </si>
  <si>
    <t>INE062A01020</t>
  </si>
  <si>
    <t>Infosys Ltd</t>
  </si>
  <si>
    <t>INE009A01021</t>
  </si>
  <si>
    <t>IT - Software</t>
  </si>
  <si>
    <t>Larsen &amp; Toubro Ltd</t>
  </si>
  <si>
    <t>INE018A01030</t>
  </si>
  <si>
    <t>Construction</t>
  </si>
  <si>
    <t>NTPC Ltd</t>
  </si>
  <si>
    <t>INE733E01010</t>
  </si>
  <si>
    <t>Power</t>
  </si>
  <si>
    <t>Indian Oil Corporation Ltd</t>
  </si>
  <si>
    <t>INE242A01010</t>
  </si>
  <si>
    <t>Nestle India Ltd</t>
  </si>
  <si>
    <t>INE239A01024</t>
  </si>
  <si>
    <t>Food Products</t>
  </si>
  <si>
    <t>Britannia Industries Ltd</t>
  </si>
  <si>
    <t>INE216A01030</t>
  </si>
  <si>
    <t>Tata Consultancy Services Ltd</t>
  </si>
  <si>
    <t>INE467B01029</t>
  </si>
  <si>
    <t>Tata Steel Ltd</t>
  </si>
  <si>
    <t>INE081A01020</t>
  </si>
  <si>
    <t>Ferrous Metals</t>
  </si>
  <si>
    <t>Apollo Tyres Ltd</t>
  </si>
  <si>
    <t>INE438A01022</t>
  </si>
  <si>
    <t>Auto Components</t>
  </si>
  <si>
    <t>ITC Ltd</t>
  </si>
  <si>
    <t>INE154A01025</t>
  </si>
  <si>
    <t>Diversified FMCG</t>
  </si>
  <si>
    <t>Interglobe Aviation Ltd</t>
  </si>
  <si>
    <t>INE646L01027</t>
  </si>
  <si>
    <t>Transport Services</t>
  </si>
  <si>
    <t>Ultratech Cement Ltd</t>
  </si>
  <si>
    <t>INE481G01011</t>
  </si>
  <si>
    <t>Cement &amp; Cement Products</t>
  </si>
  <si>
    <t>Axis Bank Ltd</t>
  </si>
  <si>
    <t>INE238A01034</t>
  </si>
  <si>
    <t>Multi Commodity Exchange Of India Ltd</t>
  </si>
  <si>
    <t>INE745G01043</t>
  </si>
  <si>
    <t>Capital Markets</t>
  </si>
  <si>
    <t>Sun Pharmaceutical Industries Ltd</t>
  </si>
  <si>
    <t>INE044A01036</t>
  </si>
  <si>
    <t>Pharmaceuticals &amp; Biotechnology</t>
  </si>
  <si>
    <t>Kotak Mahindra Bank Ltd</t>
  </si>
  <si>
    <t>INE237A01036</t>
  </si>
  <si>
    <t>Federal Bank Ltd</t>
  </si>
  <si>
    <t>INE171A01029</t>
  </si>
  <si>
    <t>JSW Steel Ltd</t>
  </si>
  <si>
    <t>INE019A01038</t>
  </si>
  <si>
    <t>Eternal Ltd</t>
  </si>
  <si>
    <t>INE758T01015</t>
  </si>
  <si>
    <t>Retailing</t>
  </si>
  <si>
    <t>ICICI Prudential Asset Management Co Ltd</t>
  </si>
  <si>
    <t>INE346A01027</t>
  </si>
  <si>
    <t>Escorts Kubota Ltd</t>
  </si>
  <si>
    <t>INE042A01014</t>
  </si>
  <si>
    <t>Agricultural, Commercial &amp; Construction Vehicles</t>
  </si>
  <si>
    <t>Titan Co Ltd</t>
  </si>
  <si>
    <t>INE280A01028</t>
  </si>
  <si>
    <t>Consumer Durables</t>
  </si>
  <si>
    <t>Oil &amp; Natural Gas Corporation Ltd</t>
  </si>
  <si>
    <t>INE213A01029</t>
  </si>
  <si>
    <t>Oil</t>
  </si>
  <si>
    <t>Hero MotoCorp Ltd</t>
  </si>
  <si>
    <t>INE158A01026</t>
  </si>
  <si>
    <t>Samvardhana Motherson International Ltd</t>
  </si>
  <si>
    <t>INE775A01035</t>
  </si>
  <si>
    <t>Vedanta Ltd</t>
  </si>
  <si>
    <t>INE205A01025</t>
  </si>
  <si>
    <t>Diversified Metals</t>
  </si>
  <si>
    <t>SBI Life Insurance Co Ltd</t>
  </si>
  <si>
    <t>INE123W01016</t>
  </si>
  <si>
    <t>Insurance</t>
  </si>
  <si>
    <t>Tata Motors Ltd</t>
  </si>
  <si>
    <t>INE1TAE01010</t>
  </si>
  <si>
    <t>Lenskart Solutions Ltd</t>
  </si>
  <si>
    <t>INE956O01016</t>
  </si>
  <si>
    <t>Steel Authority of India Ltd</t>
  </si>
  <si>
    <t>INE114A01011</t>
  </si>
  <si>
    <t>Tech Mahindra Ltd</t>
  </si>
  <si>
    <t>INE669C01036</t>
  </si>
  <si>
    <t>Yes Bank Ltd</t>
  </si>
  <si>
    <t>INE528G01035</t>
  </si>
  <si>
    <t>Life Insurance Corporation Of India</t>
  </si>
  <si>
    <t>INE0J1Y01017</t>
  </si>
  <si>
    <t>Lupin Ltd</t>
  </si>
  <si>
    <t>INE326A01037</t>
  </si>
  <si>
    <t>Max Financial Services Ltd</t>
  </si>
  <si>
    <t>INE180A01020</t>
  </si>
  <si>
    <t>Bajaj Finance Ltd</t>
  </si>
  <si>
    <t>INE296A01032</t>
  </si>
  <si>
    <t>Finance</t>
  </si>
  <si>
    <t>IPCA Laboratories Ltd</t>
  </si>
  <si>
    <t>INE571A01038</t>
  </si>
  <si>
    <t>Bharat Petroleum Corporation Ltd</t>
  </si>
  <si>
    <t>INE029A01011</t>
  </si>
  <si>
    <t>Billionbrains Garage Ventures Ltd</t>
  </si>
  <si>
    <t>INE0HOQ01053</t>
  </si>
  <si>
    <t>INE1CDF01017</t>
  </si>
  <si>
    <t>Non - Ferrous Metals</t>
  </si>
  <si>
    <t>INE694L01019</t>
  </si>
  <si>
    <t>INE704J01044</t>
  </si>
  <si>
    <t>INE1CLE01013</t>
  </si>
  <si>
    <t>Asian Paints Ltd</t>
  </si>
  <si>
    <t>INE021A01026</t>
  </si>
  <si>
    <t>Radico Khaitan Ltd</t>
  </si>
  <si>
    <t>INE944F01028</t>
  </si>
  <si>
    <t>Beverages</t>
  </si>
  <si>
    <t>Hindustan Petroleum Corporation Ltd</t>
  </si>
  <si>
    <t>INE094A01015</t>
  </si>
  <si>
    <t>Ashok Leyland Ltd</t>
  </si>
  <si>
    <t>INE208A01029</t>
  </si>
  <si>
    <t>Power Grid Corporation of India Ltd</t>
  </si>
  <si>
    <t>INE752E01010</t>
  </si>
  <si>
    <t>Dr. Reddy's Laboratories Ltd</t>
  </si>
  <si>
    <t>INE089A01031</t>
  </si>
  <si>
    <t>Adani Enterprises Ltd</t>
  </si>
  <si>
    <t>INE423A01024</t>
  </si>
  <si>
    <t>Metals &amp; Minerals Trading</t>
  </si>
  <si>
    <t>Schaeffler India Ltd</t>
  </si>
  <si>
    <t>INE513A01022</t>
  </si>
  <si>
    <t>United Spirits Ltd</t>
  </si>
  <si>
    <t>INE854D01024</t>
  </si>
  <si>
    <t>Maruti Suzuki India Ltd</t>
  </si>
  <si>
    <t>INE585B01010</t>
  </si>
  <si>
    <t>Shriram Finance Ltd</t>
  </si>
  <si>
    <t>INE721A01047</t>
  </si>
  <si>
    <t>Ltm Ltd</t>
  </si>
  <si>
    <t>INE214T01019</t>
  </si>
  <si>
    <t>Laurus Labs Ltd</t>
  </si>
  <si>
    <t>INE947Q01028</t>
  </si>
  <si>
    <t>Eicher Motors Ltd</t>
  </si>
  <si>
    <t>INE066A01021</t>
  </si>
  <si>
    <t>Mahindra &amp; Mahindra Financial Services Ltd</t>
  </si>
  <si>
    <t>INE774D01024</t>
  </si>
  <si>
    <t>Nippon Life India Asset Management Ltd</t>
  </si>
  <si>
    <t>INE298J01013</t>
  </si>
  <si>
    <t>Bharat Heavy Electricals Ltd</t>
  </si>
  <si>
    <t>INE257A01026</t>
  </si>
  <si>
    <t>Electrical Equipment</t>
  </si>
  <si>
    <t>Sub Total</t>
  </si>
  <si>
    <t xml:space="preserve">(b) Unlisted </t>
  </si>
  <si>
    <t>NIL</t>
  </si>
  <si>
    <t>Total</t>
  </si>
  <si>
    <t>TREPS</t>
  </si>
  <si>
    <t>Grand Total</t>
  </si>
  <si>
    <t>Margin on Derivatives</t>
  </si>
  <si>
    <t>Net Receivables / (Payables)</t>
  </si>
  <si>
    <t>Derivatives</t>
  </si>
  <si>
    <t>Long / Short</t>
  </si>
  <si>
    <t>Industry Classification</t>
  </si>
  <si>
    <t>Market/Fair Value (Rs. in Lakhs)</t>
  </si>
  <si>
    <t xml:space="preserve">% to Net Assets </t>
  </si>
  <si>
    <t>NIFTY 30-JUN-26 FUT</t>
  </si>
  <si>
    <t>Long</t>
  </si>
  <si>
    <t>Index</t>
  </si>
  <si>
    <t>Notes</t>
  </si>
  <si>
    <t xml:space="preserve">Scheme Risk-O-Meter </t>
  </si>
  <si>
    <t>Yield to Call ^</t>
  </si>
  <si>
    <t>Money Market Instruments</t>
  </si>
  <si>
    <t>Certificate of Deposit</t>
  </si>
  <si>
    <t>Small Industries Development Bank of India (26-Feb-2027) **</t>
  </si>
  <si>
    <t>INE556F16CC2</t>
  </si>
  <si>
    <t>CARE A1+</t>
  </si>
  <si>
    <t>Union Bank of India (16-Mar-2027) **</t>
  </si>
  <si>
    <t>INE692A16LS3</t>
  </si>
  <si>
    <t>ICRA A1+</t>
  </si>
  <si>
    <t>Bank of Baroda (05-Mar-2027) **</t>
  </si>
  <si>
    <t>INE028A16LR2</t>
  </si>
  <si>
    <t>CRISIL A1+</t>
  </si>
  <si>
    <t>Canara Bank (25-Mar-2027) **</t>
  </si>
  <si>
    <t>INE476A16I26</t>
  </si>
  <si>
    <t>HDFC Bank Ltd (05-Mar-2027) **</t>
  </si>
  <si>
    <t>INE040A16IU7</t>
  </si>
  <si>
    <t>Axis Bank Ltd (14-Jan-2027) **</t>
  </si>
  <si>
    <t>INE238AD6BW9</t>
  </si>
  <si>
    <t>HDFC Bank Ltd (15-Feb-2027)</t>
  </si>
  <si>
    <t>INE040A16JC3</t>
  </si>
  <si>
    <t>Punjab National Bank (09-Mar-2027)</t>
  </si>
  <si>
    <t>INE160A16UQ6</t>
  </si>
  <si>
    <t>Union Bank of India (15-Mar-2027) **</t>
  </si>
  <si>
    <t>INE692A16LP9</t>
  </si>
  <si>
    <t>Federal Bank Ltd (12-Mar-2027) **</t>
  </si>
  <si>
    <t>INE171A16NM7</t>
  </si>
  <si>
    <t>National Bank For Agriculture &amp; Rural Development (17-Mar-2027)</t>
  </si>
  <si>
    <t>INE261F16AP5</t>
  </si>
  <si>
    <t>Canara Bank (12-Mar-2027) **</t>
  </si>
  <si>
    <t>INE476A16H92</t>
  </si>
  <si>
    <t>National Bank For Agriculture &amp; Rural Development (02-Mar-2027) **</t>
  </si>
  <si>
    <t>INE261F16AM2</t>
  </si>
  <si>
    <t>Canara Bank (11-Mar-2027) **</t>
  </si>
  <si>
    <t>INE476A16H84</t>
  </si>
  <si>
    <t>National Bank For Agriculture &amp; Rural Development (04-Feb-2027) **</t>
  </si>
  <si>
    <t>INE261F16AJ8</t>
  </si>
  <si>
    <t>Bank of Baroda (08-Mar-2027) **</t>
  </si>
  <si>
    <t>INE028A16LS0</t>
  </si>
  <si>
    <t>Kotak Mahindra Bank Ltd (09-Mar-2027) **</t>
  </si>
  <si>
    <t>INE237AD6174</t>
  </si>
  <si>
    <t>Punjab National Bank (12-Mar-2027) **</t>
  </si>
  <si>
    <t>INE160A16UV6</t>
  </si>
  <si>
    <t>HDFC Bank Ltd (12-Mar-2027) **</t>
  </si>
  <si>
    <t>INE040A16IZ6</t>
  </si>
  <si>
    <t>National Bank For Agriculture &amp; Rural Development (10-Mar-2027) **</t>
  </si>
  <si>
    <t>INE261F16AO8</t>
  </si>
  <si>
    <t>Commercial Paper</t>
  </si>
  <si>
    <t>Cholamandalam Investment and Finance Co Ltd (10-Mar-2027) **</t>
  </si>
  <si>
    <t>INE121A14YN2</t>
  </si>
  <si>
    <t>Cholamandalam Investment and Finance Co Ltd (22-Jan-2027) **</t>
  </si>
  <si>
    <t>INE121A14YF8</t>
  </si>
  <si>
    <t>Aditya Birla Housing Finance Ltd (09-Mar-2027) **</t>
  </si>
  <si>
    <t>INE831R14GA4</t>
  </si>
  <si>
    <t>Government Securities</t>
  </si>
  <si>
    <t>5.74% GOI 2026 (15-NOV-2026)</t>
  </si>
  <si>
    <t>IN0020210186</t>
  </si>
  <si>
    <t>SOVEREIGN</t>
  </si>
  <si>
    <t>Alternative Investment Fund</t>
  </si>
  <si>
    <t>Corporate Debt Market Development Fund Class A2</t>
  </si>
  <si>
    <t>INF0RQ622028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</si>
  <si>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</si>
  <si>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</si>
  <si>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</si>
  <si>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Treasury Bill</t>
  </si>
  <si>
    <t>91 DTB (11-JUN-2026)</t>
  </si>
  <si>
    <t>IN002025X497</t>
  </si>
  <si>
    <t xml:space="preserve"> SOVEREIGN</t>
  </si>
  <si>
    <t>364 DTB (04-JUN-2026)</t>
  </si>
  <si>
    <t>IN002025Z104</t>
  </si>
  <si>
    <t>182 DTB (11-JUN-2026)</t>
  </si>
  <si>
    <t>IN002025Y370</t>
  </si>
  <si>
    <t>364 DTB (18-JUN-2026)</t>
  </si>
  <si>
    <t>IN002025Z120</t>
  </si>
  <si>
    <t>Reverse Repo</t>
  </si>
  <si>
    <t>Reverse Repo (01-Jun-2026)</t>
  </si>
  <si>
    <t>Bank of Baroda (29-Jul-2026) **</t>
  </si>
  <si>
    <t>INE028A16MA6</t>
  </si>
  <si>
    <t>Union Bank of India (23-Jun-2026) **</t>
  </si>
  <si>
    <t>INE692A16LO2</t>
  </si>
  <si>
    <t>HDFC Bank Ltd (04-Jun-2026) **</t>
  </si>
  <si>
    <t>INE040A16HT1</t>
  </si>
  <si>
    <t>Bank of India (25-Jun-2026) **</t>
  </si>
  <si>
    <t>INE084A16FV9</t>
  </si>
  <si>
    <t>Union Bank of India (23-Jul-2026) **</t>
  </si>
  <si>
    <t>INE692A16LV7</t>
  </si>
  <si>
    <t>Bank of India (11-Aug-2026) **</t>
  </si>
  <si>
    <t>INE084A16FX5</t>
  </si>
  <si>
    <t>Canara Bank (14-Aug-2026)</t>
  </si>
  <si>
    <t>INE476A16J09</t>
  </si>
  <si>
    <t>Canara Bank (10-Jun-2026) **</t>
  </si>
  <si>
    <t>INE476A16G77</t>
  </si>
  <si>
    <t>HDFC Bank Ltd (01-Jul-2026)</t>
  </si>
  <si>
    <t>INE040A16JE9</t>
  </si>
  <si>
    <t>Bank of Baroda (12-Aug-2026) **</t>
  </si>
  <si>
    <t>INE028A16MD0</t>
  </si>
  <si>
    <t>Canara Bank (01-Jul-2026)</t>
  </si>
  <si>
    <t>INE476A16I75</t>
  </si>
  <si>
    <t>Axis Bank Ltd (25-Aug-2026) **</t>
  </si>
  <si>
    <t>INE238AD6CJ4</t>
  </si>
  <si>
    <t>HDFC Bank Ltd (25-Aug-2026) **</t>
  </si>
  <si>
    <t>INE040A16HO2</t>
  </si>
  <si>
    <t>HDFC Bank Ltd (24-Jun-2026) **</t>
  </si>
  <si>
    <t>INE040A16HB9</t>
  </si>
  <si>
    <t>Union Bank of India (25-Jun-2026)</t>
  </si>
  <si>
    <t>INE692A16JQ1</t>
  </si>
  <si>
    <t>ICICI Bank Ltd (29-Jun-2026) **</t>
  </si>
  <si>
    <t>INE090AD6329</t>
  </si>
  <si>
    <t>Union Bank of India (04-Jun-2026) **</t>
  </si>
  <si>
    <t>INE692A16KS5</t>
  </si>
  <si>
    <t>Axis Bank Ltd (24-Jun-2026) **</t>
  </si>
  <si>
    <t>INE238AD6CE5</t>
  </si>
  <si>
    <t>Axis Bank Ltd (25-Jun-2026) **</t>
  </si>
  <si>
    <t>INE238AD6AZ4</t>
  </si>
  <si>
    <t>HDFC Bank Ltd (05-Aug-2026) **</t>
  </si>
  <si>
    <t>INE040A16HF0</t>
  </si>
  <si>
    <t>Indian Bank (08-Jun-2026)</t>
  </si>
  <si>
    <t>INE562A16QR9</t>
  </si>
  <si>
    <t>Bank of Baroda (23-Jul-2026) **</t>
  </si>
  <si>
    <t>INE028A16JF1</t>
  </si>
  <si>
    <t>Axis Bank Ltd (10-Aug-2026) **</t>
  </si>
  <si>
    <t>INE238AD6BC1</t>
  </si>
  <si>
    <t>HDFC Bank Ltd (20-Aug-2026) **</t>
  </si>
  <si>
    <t>INE040A16JK6</t>
  </si>
  <si>
    <t>Kotak Securities Ltd (05-Jun-2026) **</t>
  </si>
  <si>
    <t>INE028E14VK3</t>
  </si>
  <si>
    <t>Godrej Consumer Products Ltd (07-Aug-2026) **</t>
  </si>
  <si>
    <t>INE102D14CB7</t>
  </si>
  <si>
    <t>Export-Import Bank Of India (05-Jun-2026) **</t>
  </si>
  <si>
    <t>INE514E14TG4</t>
  </si>
  <si>
    <t>National Bank For Agriculture &amp; Rural Development (16-Jun-2026) **</t>
  </si>
  <si>
    <t>INE261F14PB8</t>
  </si>
  <si>
    <t>Birla Group Holdings Pvt Ltd (19-Jun-2026) **</t>
  </si>
  <si>
    <t>INE09OL14JC8</t>
  </si>
  <si>
    <t>ICICI Home Finance Co Ltd (17-Jun-2026) **</t>
  </si>
  <si>
    <t>INE071G14HR2</t>
  </si>
  <si>
    <t>Reliance Retail Ventures Ltd (22-Jun-2026) **</t>
  </si>
  <si>
    <t>INE929O14EY8</t>
  </si>
  <si>
    <t>Smfg India Home Finance Co Ltd (11-Aug-2026) **</t>
  </si>
  <si>
    <t>INE213W14190</t>
  </si>
  <si>
    <t>Aditya Birla Housing Finance Ltd (10-Aug-2026) **</t>
  </si>
  <si>
    <t>INE831R14GC0</t>
  </si>
  <si>
    <t>L&amp;T Finance Ltd (22-Jun-2026) **</t>
  </si>
  <si>
    <t>INE498L14FR1</t>
  </si>
  <si>
    <t>HDFC Securities Ltd (28-Jul-2026) **</t>
  </si>
  <si>
    <t>INE700G14TL4</t>
  </si>
  <si>
    <t>HDFC Securities Ltd (06-Aug-2026) **</t>
  </si>
  <si>
    <t>INE700G14TI0</t>
  </si>
  <si>
    <t>Tata Capital Housing Finance Ltd (13-Jul-2026) **</t>
  </si>
  <si>
    <t>INE033L14OU2</t>
  </si>
  <si>
    <t>ICICI Securities Ltd (05-Jun-2026) **</t>
  </si>
  <si>
    <t>INE763G14C04</t>
  </si>
  <si>
    <t>NTPC Ltd (24-Jun-2026) **</t>
  </si>
  <si>
    <t>INE733E14CB7</t>
  </si>
  <si>
    <t>Axis Securities Ltd (24-Jun-2026) **</t>
  </si>
  <si>
    <t>INE110O14IB4</t>
  </si>
  <si>
    <t>National Bank For Agriculture &amp; Rural Development (14-Aug-2026) **</t>
  </si>
  <si>
    <t>INE261F14PI3</t>
  </si>
  <si>
    <t>Cholamandalam Investment and Finance Co Ltd (21-Aug-2026) **</t>
  </si>
  <si>
    <t>INE121A14YT9</t>
  </si>
  <si>
    <t>ICICI Securities Ltd (22-Jun-2026) **</t>
  </si>
  <si>
    <t>INE763G14H66</t>
  </si>
  <si>
    <t>Export-Import Bank Of India (21-Aug-2026) **</t>
  </si>
  <si>
    <t>INE514E14TJ8</t>
  </si>
  <si>
    <t>ICICI Securities Ltd (15-Jun-2026) **</t>
  </si>
  <si>
    <t>INE763G14C53</t>
  </si>
  <si>
    <t>ICICI Securities Ltd (14-Aug-2026) **</t>
  </si>
  <si>
    <t>INE763G14G00</t>
  </si>
  <si>
    <t>Aditya Birla Capital Ltd (24-Jun-2026) **</t>
  </si>
  <si>
    <t>INE674K14CB0</t>
  </si>
  <si>
    <t>HDFC Securities Ltd (08-Jun-2026) **</t>
  </si>
  <si>
    <t>INE700G14SW3</t>
  </si>
  <si>
    <t>91 DTB  (06-AUG-2026)</t>
  </si>
  <si>
    <t>IN002026X057</t>
  </si>
  <si>
    <t>91 DTB  (23-JUL-2026)</t>
  </si>
  <si>
    <t>IN002026X032</t>
  </si>
  <si>
    <t>364 DTB (09-JUL-2026)</t>
  </si>
  <si>
    <t>IN002025Z153</t>
  </si>
  <si>
    <t>91 DTB (19-JUN-2026)</t>
  </si>
  <si>
    <t>IN002025X505</t>
  </si>
  <si>
    <t>182 DTB (30-JUL-2026)</t>
  </si>
  <si>
    <t>IN002025Y438</t>
  </si>
  <si>
    <t>91 DTB (04-JUN-2026)</t>
  </si>
  <si>
    <t>IN002025X489</t>
  </si>
  <si>
    <t>91 DTB  (30-JUL-2026)</t>
  </si>
  <si>
    <t>IN002026X040</t>
  </si>
  <si>
    <t>6.48% GOI 2035 (06-OCT-2035)</t>
  </si>
  <si>
    <t>IN0020250091</t>
  </si>
  <si>
    <t>6.33% GOI 2035 (05-MAY-2035)</t>
  </si>
  <si>
    <t>IN0020250026</t>
  </si>
  <si>
    <t>6.94% GOI 2036 (11-MAY-2036)</t>
  </si>
  <si>
    <t>IN0020260025</t>
  </si>
  <si>
    <t>Debt Instruments</t>
  </si>
  <si>
    <t>7.89% Tata Capital Ltd (26-Jul-2027)</t>
  </si>
  <si>
    <t>INE306N07MX0</t>
  </si>
  <si>
    <t>CRISIL AAA</t>
  </si>
  <si>
    <t>7.123% Tata Capital Housing Finance Ltd (21-Jul-2027) **</t>
  </si>
  <si>
    <t>INE033L07IO1</t>
  </si>
  <si>
    <t>9% Power Finance Corporation Ltd (11-Mar-2028) **</t>
  </si>
  <si>
    <t>INE134E08FL2</t>
  </si>
  <si>
    <t>8.12% Kotak Mahindra Prime Ltd (21-Jun-2027) **</t>
  </si>
  <si>
    <t>INE916DA7SU4</t>
  </si>
  <si>
    <t>7.3763% Bajaj Finance Ltd (26-Jun-2028)</t>
  </si>
  <si>
    <t>INE296A07TJ4</t>
  </si>
  <si>
    <t>(b) Privately Placed / Unlisted</t>
  </si>
  <si>
    <t>Nil</t>
  </si>
  <si>
    <t>Canara Bank (04-Mar-2027)</t>
  </si>
  <si>
    <t>INE476A16H43</t>
  </si>
  <si>
    <t>Union Bank of India (12-Mar-2027)</t>
  </si>
  <si>
    <t>INE692A16LU9</t>
  </si>
  <si>
    <t>Axis Bank Ltd (17-Dec-2026)</t>
  </si>
  <si>
    <t>INE238AD6CB1</t>
  </si>
  <si>
    <t>Small Industries Development Bank of India (29-Jan-2027) **</t>
  </si>
  <si>
    <t>INE556F16BX0</t>
  </si>
  <si>
    <t>HDFC Bank Ltd (24-Feb-2027)</t>
  </si>
  <si>
    <t>INE040A16IO0</t>
  </si>
  <si>
    <t>Sundaram Finance Ltd (12-Mar-2027) **</t>
  </si>
  <si>
    <t>INE660A14YW0</t>
  </si>
  <si>
    <t>182 DTB (17-JUL-2026)</t>
  </si>
  <si>
    <t>IN002025Y412</t>
  </si>
  <si>
    <t>364 DTB (02-JUL-2026)</t>
  </si>
  <si>
    <t>IN002025Z146</t>
  </si>
  <si>
    <t>364 DTB (23-JUL-2026)</t>
  </si>
  <si>
    <t>IN002025Z179</t>
  </si>
  <si>
    <t>8.72% TAMIL NADU SDL 19-SEP-26</t>
  </si>
  <si>
    <t>IN3120180127</t>
  </si>
  <si>
    <t>7.62% TELANGANA SDL 09-AUG-26</t>
  </si>
  <si>
    <t>IN4520160081</t>
  </si>
  <si>
    <t>6.68% GOI 2033 (27-JAN-2033)</t>
  </si>
  <si>
    <t>IN0020250133</t>
  </si>
  <si>
    <t>6.36% GOI 2031 (16-FEB-2031)</t>
  </si>
  <si>
    <t>IN0020250141</t>
  </si>
  <si>
    <t>Hindustan Unilever Ltd</t>
  </si>
  <si>
    <t>INE030A01027</t>
  </si>
  <si>
    <t>Hindalco Industries Ltd</t>
  </si>
  <si>
    <t>INE038A01020</t>
  </si>
  <si>
    <t>Bharat Electronics Ltd</t>
  </si>
  <si>
    <t>INE263A01024</t>
  </si>
  <si>
    <t>Aerospace &amp; Defense</t>
  </si>
  <si>
    <t>Adani Ports and Special Economic Zone Ltd</t>
  </si>
  <si>
    <t>INE742F01042</t>
  </si>
  <si>
    <t>Transport Infrastructure</t>
  </si>
  <si>
    <t>HCL Technologies Ltd</t>
  </si>
  <si>
    <t>INE860A01027</t>
  </si>
  <si>
    <t>Grasim Industries Ltd</t>
  </si>
  <si>
    <t>INE047A01021</t>
  </si>
  <si>
    <t>Bajaj Auto Ltd</t>
  </si>
  <si>
    <t>INE917I01010</t>
  </si>
  <si>
    <t>Coal India Ltd</t>
  </si>
  <si>
    <t>INE522F01014</t>
  </si>
  <si>
    <t>Consumable Fuels</t>
  </si>
  <si>
    <t>Bajaj Finserv Ltd</t>
  </si>
  <si>
    <t>INE918I01026</t>
  </si>
  <si>
    <t>Trent Ltd</t>
  </si>
  <si>
    <t>INE849A01020</t>
  </si>
  <si>
    <t>Apollo Hospitals Enterprise Ltd</t>
  </si>
  <si>
    <t>INE437A01024</t>
  </si>
  <si>
    <t>Healthcare Services</t>
  </si>
  <si>
    <t>Tata Motors Passenger Vehicles Ltd</t>
  </si>
  <si>
    <t>INE155A01022</t>
  </si>
  <si>
    <t>Cipla Ltd</t>
  </si>
  <si>
    <t>INE059A01026</t>
  </si>
  <si>
    <t>Jio Financial Services Ltd</t>
  </si>
  <si>
    <t>INE758E01017</t>
  </si>
  <si>
    <t>Tata Consumer Products Ltd</t>
  </si>
  <si>
    <t>INE192A01025</t>
  </si>
  <si>
    <t>Agricultural Food &amp; Other Products</t>
  </si>
  <si>
    <t>Max Healthcare Institute Ltd</t>
  </si>
  <si>
    <t>INE027H01010</t>
  </si>
  <si>
    <t>HDFC Life Insurance Co Ltd</t>
  </si>
  <si>
    <t>INE795G01014</t>
  </si>
  <si>
    <t>Wipro Ltd</t>
  </si>
  <si>
    <t>INE075A01022</t>
  </si>
  <si>
    <t>Adani Power Ltd</t>
  </si>
  <si>
    <t>INE814H01029</t>
  </si>
  <si>
    <t>Divi's Laboratories Ltd</t>
  </si>
  <si>
    <t>INE361B01024</t>
  </si>
  <si>
    <t>Hindustan Aeronautics Ltd</t>
  </si>
  <si>
    <t>INE066F01020</t>
  </si>
  <si>
    <t>Cummins India Ltd</t>
  </si>
  <si>
    <t>INE298A01020</t>
  </si>
  <si>
    <t>Industrial Products</t>
  </si>
  <si>
    <t>TVS Motor Co Ltd</t>
  </si>
  <si>
    <t>INE494B01023</t>
  </si>
  <si>
    <t>Varun Beverages Ltd</t>
  </si>
  <si>
    <t>INE200M01039</t>
  </si>
  <si>
    <t>Tata Power Co Ltd</t>
  </si>
  <si>
    <t>INE245A01021</t>
  </si>
  <si>
    <t>Cholamandalam Investment and Finance Co Ltd</t>
  </si>
  <si>
    <t>INE121A01024</t>
  </si>
  <si>
    <t>CG Power and Industrial Solutions Ltd</t>
  </si>
  <si>
    <t>INE067A01029</t>
  </si>
  <si>
    <t>Power Finance Corporation Ltd</t>
  </si>
  <si>
    <t>INE134E01011</t>
  </si>
  <si>
    <t>Avenue Supermarts Ltd</t>
  </si>
  <si>
    <t>INE192R01011</t>
  </si>
  <si>
    <t>Indian Hotels Co Ltd</t>
  </si>
  <si>
    <t>INE053A01029</t>
  </si>
  <si>
    <t>Leisure Services</t>
  </si>
  <si>
    <t>HDFC Asset Management Co Ltd</t>
  </si>
  <si>
    <t>INE127D01025</t>
  </si>
  <si>
    <t>Adani Energy Solutions Ltd</t>
  </si>
  <si>
    <t>INE931S01010</t>
  </si>
  <si>
    <t>Bank of Baroda</t>
  </si>
  <si>
    <t>INE028A01039</t>
  </si>
  <si>
    <t>Adani Green Energy Ltd</t>
  </si>
  <si>
    <t>INE364U01010</t>
  </si>
  <si>
    <t>Torrent Pharmaceuticals Ltd</t>
  </si>
  <si>
    <t>INE685A01028</t>
  </si>
  <si>
    <t>Pidilite Industries Ltd</t>
  </si>
  <si>
    <t>INE318A01026</t>
  </si>
  <si>
    <t>Chemicals &amp; Petrochemicals</t>
  </si>
  <si>
    <t>Bajaj Holdings &amp; Investment Ltd</t>
  </si>
  <si>
    <t>INE118A01012</t>
  </si>
  <si>
    <t>Jindal Steel Ltd</t>
  </si>
  <si>
    <t>INE749A01030</t>
  </si>
  <si>
    <t>Solar Industries India Ltd</t>
  </si>
  <si>
    <t>INE343H01029</t>
  </si>
  <si>
    <t>GAIL (India) Ltd</t>
  </si>
  <si>
    <t>INE129A01019</t>
  </si>
  <si>
    <t>Gas</t>
  </si>
  <si>
    <t>Canara Bank</t>
  </si>
  <si>
    <t>INE476A01022</t>
  </si>
  <si>
    <t>REC Ltd</t>
  </si>
  <si>
    <t>INE020B01018</t>
  </si>
  <si>
    <t>Godrej Consumer Products Ltd</t>
  </si>
  <si>
    <t>INE102D01028</t>
  </si>
  <si>
    <t>Personal Products</t>
  </si>
  <si>
    <t>ABB India Ltd</t>
  </si>
  <si>
    <t>INE117A01022</t>
  </si>
  <si>
    <t>DLF Ltd</t>
  </si>
  <si>
    <t>INE271C01023</t>
  </si>
  <si>
    <t>Realty</t>
  </si>
  <si>
    <t>Punjab National Bank</t>
  </si>
  <si>
    <t>INE160A01022</t>
  </si>
  <si>
    <t>Muthoot Finance Ltd</t>
  </si>
  <si>
    <t>INE414G01012</t>
  </si>
  <si>
    <t>Siemens Energy India ltd</t>
  </si>
  <si>
    <t>INE1NPP01017</t>
  </si>
  <si>
    <t>Siemens Ltd</t>
  </si>
  <si>
    <t>INE003A01024</t>
  </si>
  <si>
    <t>Shree Cement Ltd</t>
  </si>
  <si>
    <t>INE070A01015</t>
  </si>
  <si>
    <t>Union Bank Of India</t>
  </si>
  <si>
    <t>INE692A01016</t>
  </si>
  <si>
    <t>Bosch Ltd</t>
  </si>
  <si>
    <t>INE323A01026</t>
  </si>
  <si>
    <t>Hindustan Zinc Ltd</t>
  </si>
  <si>
    <t>INE267A01025</t>
  </si>
  <si>
    <t>Hyundai Motor India Ltd</t>
  </si>
  <si>
    <t>INE0V6F01027</t>
  </si>
  <si>
    <t>Ambuja Cements Ltd</t>
  </si>
  <si>
    <t>INE079A01024</t>
  </si>
  <si>
    <t>Zydus Lifesciences Ltd</t>
  </si>
  <si>
    <t>INE010B01027</t>
  </si>
  <si>
    <t>Lodha Developers Ltd</t>
  </si>
  <si>
    <t>INE670K01029</t>
  </si>
  <si>
    <t>Indian Railway Finance Corporation Ltd</t>
  </si>
  <si>
    <t>INE053F01010</t>
  </si>
  <si>
    <t>Mazagon Dock Shipbuilders Ltd</t>
  </si>
  <si>
    <t>INE249Z01020</t>
  </si>
  <si>
    <t>Industrial Manufacturing</t>
  </si>
  <si>
    <t>Tata Capital Ltd</t>
  </si>
  <si>
    <t>INE976I01016</t>
  </si>
  <si>
    <t>BSE Ltd</t>
  </si>
  <si>
    <t>INE118H01025</t>
  </si>
  <si>
    <t>Suzlon Energy Ltd</t>
  </si>
  <si>
    <t>INE040H01021</t>
  </si>
  <si>
    <t>Ge Vernova T&amp;D India Ltd</t>
  </si>
  <si>
    <t>INE200A01026</t>
  </si>
  <si>
    <t>IndusInd Bank Ltd</t>
  </si>
  <si>
    <t>INE095A01012</t>
  </si>
  <si>
    <t>PB Fintech Ltd</t>
  </si>
  <si>
    <t>INE417T01026</t>
  </si>
  <si>
    <t>Financial Technology (Fintech)</t>
  </si>
  <si>
    <t>Indus Towers Ltd</t>
  </si>
  <si>
    <t>INE121J01017</t>
  </si>
  <si>
    <t>Persistent Systems Ltd</t>
  </si>
  <si>
    <t>INE262H01021</t>
  </si>
  <si>
    <t>AU Small Finance Bank Ltd</t>
  </si>
  <si>
    <t>INE949L01017</t>
  </si>
  <si>
    <t>Bharat Forge Ltd</t>
  </si>
  <si>
    <t>INE465A01025</t>
  </si>
  <si>
    <t>Polycab India Ltd</t>
  </si>
  <si>
    <t>INE455K01017</t>
  </si>
  <si>
    <t>Coforge Ltd</t>
  </si>
  <si>
    <t>INE591G01025</t>
  </si>
  <si>
    <t>Hitachi Energy India Ltd</t>
  </si>
  <si>
    <t>INE07Y701011</t>
  </si>
  <si>
    <t>Fortis Healthcare Ltd</t>
  </si>
  <si>
    <t>INE061F01013</t>
  </si>
  <si>
    <t>Dixon Technologies (India) Ltd</t>
  </si>
  <si>
    <t>INE935N01020</t>
  </si>
  <si>
    <t>IDFC First Bank Ltd</t>
  </si>
  <si>
    <t>INE092T01019</t>
  </si>
  <si>
    <t>One 97 Communications Ltd</t>
  </si>
  <si>
    <t>INE982J01020</t>
  </si>
  <si>
    <t>Marico Ltd</t>
  </si>
  <si>
    <t>INE196A01026</t>
  </si>
  <si>
    <t>ICICI Lombard General Insurance Co Ltd</t>
  </si>
  <si>
    <t>INE765G01017</t>
  </si>
  <si>
    <t>Aurobindo Pharma Ltd</t>
  </si>
  <si>
    <t>INE406A01037</t>
  </si>
  <si>
    <t>SRF Ltd</t>
  </si>
  <si>
    <t>INE647A01010</t>
  </si>
  <si>
    <t>Vodafone Idea Ltd</t>
  </si>
  <si>
    <t>INE669E01016</t>
  </si>
  <si>
    <t>National Aluminium Co Ltd</t>
  </si>
  <si>
    <t>INE139A01034</t>
  </si>
  <si>
    <t>Info Edge (India) Ltd</t>
  </si>
  <si>
    <t>INE663F01032</t>
  </si>
  <si>
    <t>UPL Ltd</t>
  </si>
  <si>
    <t>INE628A01036</t>
  </si>
  <si>
    <t>Fertilizers &amp; Agrochemicals</t>
  </si>
  <si>
    <t>FSN E-Commerce Ventures Ltd</t>
  </si>
  <si>
    <t>INE388Y01029</t>
  </si>
  <si>
    <t>GMR Airports Ltd</t>
  </si>
  <si>
    <t>INE776C01039</t>
  </si>
  <si>
    <t>Swiggy Ltd</t>
  </si>
  <si>
    <t>INE00H001014</t>
  </si>
  <si>
    <t>Glenmark Pharmaceuticals Ltd</t>
  </si>
  <si>
    <t>INE935A01035</t>
  </si>
  <si>
    <t>Tube Investments of India Ltd</t>
  </si>
  <si>
    <t>INE974X01010</t>
  </si>
  <si>
    <t>APL Apollo Tubes Ltd</t>
  </si>
  <si>
    <t>INE702C01027</t>
  </si>
  <si>
    <t>Phoenix Mills Ltd</t>
  </si>
  <si>
    <t>INE211B01039</t>
  </si>
  <si>
    <t>KEI Industries Ltd</t>
  </si>
  <si>
    <t>INE878B01027</t>
  </si>
  <si>
    <t>Alkem Laboratories Ltd</t>
  </si>
  <si>
    <t>INE540L01014</t>
  </si>
  <si>
    <t>JSW Energy Ltd</t>
  </si>
  <si>
    <t>INE121E01018</t>
  </si>
  <si>
    <t>Biocon Ltd</t>
  </si>
  <si>
    <t>INE376G01013</t>
  </si>
  <si>
    <t>NMDC Ltd</t>
  </si>
  <si>
    <t>INE584A01023</t>
  </si>
  <si>
    <t>Minerals &amp; Mining</t>
  </si>
  <si>
    <t>Waaree Energies Ltd</t>
  </si>
  <si>
    <t>INE377N01017</t>
  </si>
  <si>
    <t>Mphasis Ltd</t>
  </si>
  <si>
    <t>INE356A01018</t>
  </si>
  <si>
    <t>Aditya Birla Capital Ltd</t>
  </si>
  <si>
    <t>INE674K01013</t>
  </si>
  <si>
    <t>Havells India Ltd</t>
  </si>
  <si>
    <t>INE176B01034</t>
  </si>
  <si>
    <t>Indian Bank</t>
  </si>
  <si>
    <t>INE562A01011</t>
  </si>
  <si>
    <t>Sundaram Finance Ltd</t>
  </si>
  <si>
    <t>INE660A01013</t>
  </si>
  <si>
    <t>360 One Wam Ltd</t>
  </si>
  <si>
    <t>INE466L01038</t>
  </si>
  <si>
    <t>Voltas Ltd</t>
  </si>
  <si>
    <t>INE226A01021</t>
  </si>
  <si>
    <t>Colgate Palmolive (India) Ltd</t>
  </si>
  <si>
    <t>INE259A01022</t>
  </si>
  <si>
    <t>Torrent Power Ltd</t>
  </si>
  <si>
    <t>INE813H01021</t>
  </si>
  <si>
    <t>Mankind Pharma Ltd</t>
  </si>
  <si>
    <t>INE634S01028</t>
  </si>
  <si>
    <t>Godrej Properties Ltd</t>
  </si>
  <si>
    <t>INE484J01027</t>
  </si>
  <si>
    <t>Dabur India Ltd</t>
  </si>
  <si>
    <t>INE016A01026</t>
  </si>
  <si>
    <t>Oil India Ltd</t>
  </si>
  <si>
    <t>INE274J01014</t>
  </si>
  <si>
    <t>Vishal Mega Mart Ltd</t>
  </si>
  <si>
    <t>INE01EA01019</t>
  </si>
  <si>
    <t>MRF Ltd</t>
  </si>
  <si>
    <t>INE883A01011</t>
  </si>
  <si>
    <t>NHPC Ltd</t>
  </si>
  <si>
    <t>INE848E01016</t>
  </si>
  <si>
    <t>L&amp;T Finance Ltd</t>
  </si>
  <si>
    <t>INE498L01015</t>
  </si>
  <si>
    <t>Page Industries Ltd</t>
  </si>
  <si>
    <t>INE761H01022</t>
  </si>
  <si>
    <t>Textiles &amp; Apparels</t>
  </si>
  <si>
    <t>Oracle Financial Services Software Ltd</t>
  </si>
  <si>
    <t>INE881D01027</t>
  </si>
  <si>
    <t>Prestige Estates Projects Ltd</t>
  </si>
  <si>
    <t>INE811K01011</t>
  </si>
  <si>
    <t>Tata Communications Ltd</t>
  </si>
  <si>
    <t>INE151A01013</t>
  </si>
  <si>
    <t>Supreme Industries Ltd</t>
  </si>
  <si>
    <t>INE195A01028</t>
  </si>
  <si>
    <t>Lloyds Metals And Energy Ltd</t>
  </si>
  <si>
    <t>INE281B01032</t>
  </si>
  <si>
    <t>PI Industries Ltd</t>
  </si>
  <si>
    <t>INE603J01030</t>
  </si>
  <si>
    <t>Apar Industries Ltd</t>
  </si>
  <si>
    <t>INE372A01015</t>
  </si>
  <si>
    <t>Jindal Stainless Ltd</t>
  </si>
  <si>
    <t>INE220G01021</t>
  </si>
  <si>
    <t>J.K. Cement Ltd</t>
  </si>
  <si>
    <t>INE823G01014</t>
  </si>
  <si>
    <t>Adani Total Gas Ltd</t>
  </si>
  <si>
    <t>INE399L01023</t>
  </si>
  <si>
    <t>Coromandel International Ltd</t>
  </si>
  <si>
    <t>INE169A01031</t>
  </si>
  <si>
    <t>Blue Star Ltd</t>
  </si>
  <si>
    <t>INE472A01039</t>
  </si>
  <si>
    <t>Petronet LNG Ltd</t>
  </si>
  <si>
    <t>INE347G01014</t>
  </si>
  <si>
    <t>Oberoi Realty Ltd</t>
  </si>
  <si>
    <t>INE093I01010</t>
  </si>
  <si>
    <t>Uno Minda Ltd</t>
  </si>
  <si>
    <t>INE405E01023</t>
  </si>
  <si>
    <t>ICICI Prudential Life Insurance Co Ltd</t>
  </si>
  <si>
    <t>INE726G01019</t>
  </si>
  <si>
    <t>Astral Ltd</t>
  </si>
  <si>
    <t>INE006I01046</t>
  </si>
  <si>
    <t>Thermax Ltd</t>
  </si>
  <si>
    <t>INE152A01029</t>
  </si>
  <si>
    <t>SBI Cards and Payment Services Ltd</t>
  </si>
  <si>
    <t>INE018E01016</t>
  </si>
  <si>
    <t>Balkrishna Industries Ltd</t>
  </si>
  <si>
    <t>INE787D01026</t>
  </si>
  <si>
    <t>Exide Industries Ltd</t>
  </si>
  <si>
    <t>INE302A01020</t>
  </si>
  <si>
    <t>AIA Engineering Ltd</t>
  </si>
  <si>
    <t>INE212H01026</t>
  </si>
  <si>
    <t>ITC Hotels Ltd</t>
  </si>
  <si>
    <t>INE379A01028</t>
  </si>
  <si>
    <t>Bank of India</t>
  </si>
  <si>
    <t>INE084A01016</t>
  </si>
  <si>
    <t>Jubilant Foodworks Ltd</t>
  </si>
  <si>
    <t>INE797F01020</t>
  </si>
  <si>
    <t>Bank Of Maharashtra</t>
  </si>
  <si>
    <t>INE457A01014</t>
  </si>
  <si>
    <t>LIC Housing Finance Ltd</t>
  </si>
  <si>
    <t>INE115A01026</t>
  </si>
  <si>
    <t>Container Corporation Of India Ltd</t>
  </si>
  <si>
    <t>INE111A01025</t>
  </si>
  <si>
    <t>Patanjali Foods Ltd</t>
  </si>
  <si>
    <t>INE619A01035</t>
  </si>
  <si>
    <t>Agricultural Food &amp; other Products</t>
  </si>
  <si>
    <t>Indian Railway Catering And Tourism Corporation Ltd</t>
  </si>
  <si>
    <t>INE335Y01020</t>
  </si>
  <si>
    <t>Gujarat Fluorochemicals Ltd</t>
  </si>
  <si>
    <t>INE09N301011</t>
  </si>
  <si>
    <t>Linde India Ltd</t>
  </si>
  <si>
    <t>INE473A01011</t>
  </si>
  <si>
    <t>Tata Elxsi Ltd</t>
  </si>
  <si>
    <t>INE670A01012</t>
  </si>
  <si>
    <t>Berger Paints India Ltd</t>
  </si>
  <si>
    <t>INE463A01038</t>
  </si>
  <si>
    <t>Abbott India Ltd</t>
  </si>
  <si>
    <t>INE358A01014</t>
  </si>
  <si>
    <t>Rail Vikas Nigam Ltd</t>
  </si>
  <si>
    <t>INE415G01027</t>
  </si>
  <si>
    <t>Dalmia Bharat Ltd</t>
  </si>
  <si>
    <t>INE00R701025</t>
  </si>
  <si>
    <t>Motilal Oswal Financial Services Ltd</t>
  </si>
  <si>
    <t>INE338I01027</t>
  </si>
  <si>
    <t>Kalyan Jewellers India Ltd</t>
  </si>
  <si>
    <t>INE303R01014</t>
  </si>
  <si>
    <t>LG Electronics India Ltd</t>
  </si>
  <si>
    <t>INE324D01010</t>
  </si>
  <si>
    <t>Authum Investment &amp; Infrastructure Ltd</t>
  </si>
  <si>
    <t>INE206F01022</t>
  </si>
  <si>
    <t>KPIT Technologies Ltd</t>
  </si>
  <si>
    <t>INE04I401011</t>
  </si>
  <si>
    <t>Cochin Shipyard Ltd</t>
  </si>
  <si>
    <t>INE704P01025</t>
  </si>
  <si>
    <t>Premier Energies Ltd</t>
  </si>
  <si>
    <t>INE0BS701011</t>
  </si>
  <si>
    <t>Ajanta Pharma Ltd</t>
  </si>
  <si>
    <t>INE031B01049</t>
  </si>
  <si>
    <t>HDB Financial Services Ltd</t>
  </si>
  <si>
    <t>INE756I01012</t>
  </si>
  <si>
    <t>General Insurance Corporation Of India</t>
  </si>
  <si>
    <t>INE481Y01014</t>
  </si>
  <si>
    <t>NLC India Ltd</t>
  </si>
  <si>
    <t>INE589A01014</t>
  </si>
  <si>
    <t>Bharti Hexacom Ltd</t>
  </si>
  <si>
    <t>INE343G01021</t>
  </si>
  <si>
    <t>Bharat Dynamics Ltd</t>
  </si>
  <si>
    <t>INE171Z01026</t>
  </si>
  <si>
    <t>K.P.R. Mill Ltd</t>
  </si>
  <si>
    <t>INE930H01031</t>
  </si>
  <si>
    <t>Awl Agri Business Ltd</t>
  </si>
  <si>
    <t>INE699H01024</t>
  </si>
  <si>
    <t>Indian Renewable Energy Development Agency Ltd</t>
  </si>
  <si>
    <t>INE202E01016</t>
  </si>
  <si>
    <t>Housing &amp; Urban Development Corporation Ltd</t>
  </si>
  <si>
    <t>INE031A01017</t>
  </si>
  <si>
    <t>Global Health Ltd</t>
  </si>
  <si>
    <t>INE474Q01031</t>
  </si>
  <si>
    <t>CRISIL Ltd</t>
  </si>
  <si>
    <t>INE007A01025</t>
  </si>
  <si>
    <t>NTPC Green Energy Ltd</t>
  </si>
  <si>
    <t>INE0ONG01011</t>
  </si>
  <si>
    <t>Endurance Technologies Ltd</t>
  </si>
  <si>
    <t>INE913H01037</t>
  </si>
  <si>
    <t>United Breweries Ltd</t>
  </si>
  <si>
    <t>INE686F01025</t>
  </si>
  <si>
    <t>L&amp;T Technology Services Ltd</t>
  </si>
  <si>
    <t>INE010V01017</t>
  </si>
  <si>
    <t>IT - Services</t>
  </si>
  <si>
    <t>Bajaj Housing Finance Ltd</t>
  </si>
  <si>
    <t>INE377Y01014</t>
  </si>
  <si>
    <t>Godfrey Phillips India Ltd</t>
  </si>
  <si>
    <t>INE260B01028</t>
  </si>
  <si>
    <t>Cigarettes &amp; Tobacco Products</t>
  </si>
  <si>
    <t>3M India Ltd</t>
  </si>
  <si>
    <t>INE470A01017</t>
  </si>
  <si>
    <t>Diversified</t>
  </si>
  <si>
    <t>Glaxosmithkline Pharmaceuticals Ltd</t>
  </si>
  <si>
    <t>INE159A01016</t>
  </si>
  <si>
    <t>Tata Investment Corporation Ltd</t>
  </si>
  <si>
    <t>INE672A01026</t>
  </si>
  <si>
    <t>JSW Infrastructure Ltd</t>
  </si>
  <si>
    <t>INE880J01026</t>
  </si>
  <si>
    <t>ACC Ltd</t>
  </si>
  <si>
    <t>INE012A01025</t>
  </si>
  <si>
    <t>Honeywell Automation India Ltd</t>
  </si>
  <si>
    <t>INE671A01010</t>
  </si>
  <si>
    <t>Hexaware Technologies Ltd</t>
  </si>
  <si>
    <t>INE093A01041</t>
  </si>
  <si>
    <t>SJVN Ltd</t>
  </si>
  <si>
    <t>INE002L01015</t>
  </si>
  <si>
    <t>Godrej Industries Ltd</t>
  </si>
  <si>
    <t>INE233A01035</t>
  </si>
  <si>
    <t>Anthem Biosciences Ltd</t>
  </si>
  <si>
    <t>INE0CZ201020</t>
  </si>
  <si>
    <t>The New India Assurance Co Ltd</t>
  </si>
  <si>
    <t>INE470Y01017</t>
  </si>
  <si>
    <t>Karur Vysya Bank Ltd</t>
  </si>
  <si>
    <t>INE036D01028</t>
  </si>
  <si>
    <t>Sona Blw Precision Forgings Ltd</t>
  </si>
  <si>
    <t>INE073K01018</t>
  </si>
  <si>
    <t>Navin Fluorine International Ltd</t>
  </si>
  <si>
    <t>INE048G01026</t>
  </si>
  <si>
    <t>Delhivery Ltd</t>
  </si>
  <si>
    <t>INE148O01028</t>
  </si>
  <si>
    <t>Piramal Finance Ltd</t>
  </si>
  <si>
    <t>INE202B01038</t>
  </si>
  <si>
    <t>Central Depository Services (India) Ltd</t>
  </si>
  <si>
    <t>INE736A01011</t>
  </si>
  <si>
    <t>Angel One Ltd</t>
  </si>
  <si>
    <t>INE732I01021</t>
  </si>
  <si>
    <t>RBL Bank Ltd</t>
  </si>
  <si>
    <t>INE976G01028</t>
  </si>
  <si>
    <t>PNB Housing Finance Ltd</t>
  </si>
  <si>
    <t>INE572E01012</t>
  </si>
  <si>
    <t>Computer Age Management Services Ltd</t>
  </si>
  <si>
    <t>INE596I01020</t>
  </si>
  <si>
    <t>Krishna Institute Of Medical Sciences Ltd</t>
  </si>
  <si>
    <t>INE967H01025</t>
  </si>
  <si>
    <t>Bandhan Bank Ltd</t>
  </si>
  <si>
    <t>INE545U01014</t>
  </si>
  <si>
    <t>City Union Bank Ltd</t>
  </si>
  <si>
    <t>INE491A01021</t>
  </si>
  <si>
    <t>Aster DM Healthcare Ltd</t>
  </si>
  <si>
    <t>INE914M01019</t>
  </si>
  <si>
    <t>HFCL Ltd</t>
  </si>
  <si>
    <t>INE548A01028</t>
  </si>
  <si>
    <t>Ather Energy Ltd</t>
  </si>
  <si>
    <t>INE0LEZ01016</t>
  </si>
  <si>
    <t>Crompton Greaves Consumer Electricals Ltd</t>
  </si>
  <si>
    <t>INE299U01018</t>
  </si>
  <si>
    <t>Welspun Corp Ltd</t>
  </si>
  <si>
    <t>INE191B01025</t>
  </si>
  <si>
    <t>Gland Pharma Ltd</t>
  </si>
  <si>
    <t>INE068V01023</t>
  </si>
  <si>
    <t>Manappuram Finance Ltd</t>
  </si>
  <si>
    <t>INE522D01027</t>
  </si>
  <si>
    <t>J.B. Chemicals &amp; Pharmaceuticals Ltd</t>
  </si>
  <si>
    <t>INE572A01036</t>
  </si>
  <si>
    <t>Hindustan Copper Ltd</t>
  </si>
  <si>
    <t>INE531E01026</t>
  </si>
  <si>
    <t>Wockhardt Ltd</t>
  </si>
  <si>
    <t>INE049B01025</t>
  </si>
  <si>
    <t>Amber Enterprises India Ltd</t>
  </si>
  <si>
    <t>INE371P01015</t>
  </si>
  <si>
    <t>Acutaas Chemicals Ltd</t>
  </si>
  <si>
    <t>INE00FF01025</t>
  </si>
  <si>
    <t>Kirloskar Oil Engines Ltd</t>
  </si>
  <si>
    <t>INE146L01010</t>
  </si>
  <si>
    <t>Sai Life Sciences Ltd</t>
  </si>
  <si>
    <t>INE570L01029</t>
  </si>
  <si>
    <t>Cholamandalam Financial Holdings Ltd</t>
  </si>
  <si>
    <t>INE149A01033</t>
  </si>
  <si>
    <t>Kalpataru Projects International Ltd</t>
  </si>
  <si>
    <t>INE220B01022</t>
  </si>
  <si>
    <t>Neuland Laboratories Ltd</t>
  </si>
  <si>
    <t>INE794A01010</t>
  </si>
  <si>
    <t>Anand Rathi Wealth Ltd</t>
  </si>
  <si>
    <t>INE463V01026</t>
  </si>
  <si>
    <t>Himadri Speciality Chemical Ltd</t>
  </si>
  <si>
    <t>INE019C01026</t>
  </si>
  <si>
    <t>Great Eastern Shipping Co Ltd</t>
  </si>
  <si>
    <t>INE017A01032</t>
  </si>
  <si>
    <t>Poonawalla Fincorp Ltd</t>
  </si>
  <si>
    <t>INE511C01022</t>
  </si>
  <si>
    <t>Sammaan Capital Ltd</t>
  </si>
  <si>
    <t>INE148I01020</t>
  </si>
  <si>
    <t>Redington Ltd</t>
  </si>
  <si>
    <t>INE891D01026</t>
  </si>
  <si>
    <t>Commercial Services &amp; Supplies</t>
  </si>
  <si>
    <t>Narayana Hrudayalaya Ltd</t>
  </si>
  <si>
    <t>INE410P01011</t>
  </si>
  <si>
    <t>Timken India Ltd</t>
  </si>
  <si>
    <t>INE325A01013</t>
  </si>
  <si>
    <t>Dr. Lal Path Labs Ltd</t>
  </si>
  <si>
    <t>INE600L01024</t>
  </si>
  <si>
    <t>Star Health And Allied Insurance Co Ltd</t>
  </si>
  <si>
    <t>INE575P01011</t>
  </si>
  <si>
    <t>Elgi Equipments Ltd</t>
  </si>
  <si>
    <t>INE285A01027</t>
  </si>
  <si>
    <t>Tata Technologies Ltd</t>
  </si>
  <si>
    <t>INE142M01025</t>
  </si>
  <si>
    <t>Data Patterns India Ltd</t>
  </si>
  <si>
    <t>INE0IX101010</t>
  </si>
  <si>
    <t>Nuvama Wealth Management Ltd</t>
  </si>
  <si>
    <t>INE531F01023</t>
  </si>
  <si>
    <t>Carborundum Universal Ltd</t>
  </si>
  <si>
    <t>INE120A01034</t>
  </si>
  <si>
    <t>Tata Chemicals Ltd</t>
  </si>
  <si>
    <t>INE092A01019</t>
  </si>
  <si>
    <t>Deepak Nitrite Ltd</t>
  </si>
  <si>
    <t>INE288B01029</t>
  </si>
  <si>
    <t>CESC Ltd</t>
  </si>
  <si>
    <t>INE486A01021</t>
  </si>
  <si>
    <t>Kfin Technologies Ltd</t>
  </si>
  <si>
    <t>INE138Y01010</t>
  </si>
  <si>
    <t>Indraprastha Gas Ltd</t>
  </si>
  <si>
    <t>INE203G01027</t>
  </si>
  <si>
    <t>Granules India Ltd</t>
  </si>
  <si>
    <t>INE101D01020</t>
  </si>
  <si>
    <t>Craftsman Automation Ltd</t>
  </si>
  <si>
    <t>INE00LO01017</t>
  </si>
  <si>
    <t>ZF Commercial Vehicle Control Systems India Ltd</t>
  </si>
  <si>
    <t>INE342J01019</t>
  </si>
  <si>
    <t>The Ramco Cements Ltd</t>
  </si>
  <si>
    <t>INE331A01037</t>
  </si>
  <si>
    <t>Asahi India Glass Ltd</t>
  </si>
  <si>
    <t>INE439A01020</t>
  </si>
  <si>
    <t>Atul Ltd</t>
  </si>
  <si>
    <t>INE100A01010</t>
  </si>
  <si>
    <t>IIFL Finance Ltd</t>
  </si>
  <si>
    <t>INE530B01024</t>
  </si>
  <si>
    <t>Amara Raja Energy And Mobility Ltd</t>
  </si>
  <si>
    <t>INE885A01032</t>
  </si>
  <si>
    <t>Piramal Pharma Ltd</t>
  </si>
  <si>
    <t>INE0DK501011</t>
  </si>
  <si>
    <t>Jaiprakash Power Ventures Ltd</t>
  </si>
  <si>
    <t>INE351F01018</t>
  </si>
  <si>
    <t>NBCC (India) Ltd</t>
  </si>
  <si>
    <t>INE095N01031</t>
  </si>
  <si>
    <t>Indian Energy Exchange Ltd</t>
  </si>
  <si>
    <t>INE022Q01020</t>
  </si>
  <si>
    <t>Onesource Specialty Pharma Ltd</t>
  </si>
  <si>
    <t>INE013P01021</t>
  </si>
  <si>
    <t>Motherson Sumi Wiring India Ltd</t>
  </si>
  <si>
    <t>INE0FS801015</t>
  </si>
  <si>
    <t>PTC Industries Ltd</t>
  </si>
  <si>
    <t>INE596F01018</t>
  </si>
  <si>
    <t>Kaynes Technology India Ltd</t>
  </si>
  <si>
    <t>INE918Z01012</t>
  </si>
  <si>
    <t>Aarti Industries Ltd</t>
  </si>
  <si>
    <t>INE769A01020</t>
  </si>
  <si>
    <t>Home First Finance Co India Ltd</t>
  </si>
  <si>
    <t>INE481N01025</t>
  </si>
  <si>
    <t>Sagility Ltd</t>
  </si>
  <si>
    <t>INE0W2G01015</t>
  </si>
  <si>
    <t>Deepak Fertilizers and Petrochemicals Corporation Ltd</t>
  </si>
  <si>
    <t>INE501A01019</t>
  </si>
  <si>
    <t>Aegis Logistics Ltd</t>
  </si>
  <si>
    <t>INE208C01025</t>
  </si>
  <si>
    <t>Force Motors Ltd</t>
  </si>
  <si>
    <t>INE451A01017</t>
  </si>
  <si>
    <t>Affle 3i Ltd</t>
  </si>
  <si>
    <t>INE00WC01027</t>
  </si>
  <si>
    <t>HBL Engineering Ltd</t>
  </si>
  <si>
    <t>INE292B01021</t>
  </si>
  <si>
    <t>Aptus Value Housing Finance India Ltd</t>
  </si>
  <si>
    <t>INE852O01025</t>
  </si>
  <si>
    <t>Usha Martin Ltd</t>
  </si>
  <si>
    <t>INE228A01035</t>
  </si>
  <si>
    <t>Natco Pharma Ltd</t>
  </si>
  <si>
    <t>INE987B01026</t>
  </si>
  <si>
    <t>Brigade Enterprises Ltd</t>
  </si>
  <si>
    <t>INE791I01019</t>
  </si>
  <si>
    <t>Inox Wind Ltd</t>
  </si>
  <si>
    <t>INE066P01011</t>
  </si>
  <si>
    <t>Kajaria Ceramics Ltd</t>
  </si>
  <si>
    <t>INE217B01036</t>
  </si>
  <si>
    <t>Castrol India Ltd</t>
  </si>
  <si>
    <t>INE172A01027</t>
  </si>
  <si>
    <t>Five-Star Business Finance Ltd</t>
  </si>
  <si>
    <t>INE128S01021</t>
  </si>
  <si>
    <t>Finolex Cables Ltd</t>
  </si>
  <si>
    <t>INE235A01022</t>
  </si>
  <si>
    <t>Triveni Turbine Ltd</t>
  </si>
  <si>
    <t>INE152M01016</t>
  </si>
  <si>
    <t>Zee Entertainment Enterprises Ltd</t>
  </si>
  <si>
    <t>INE256A01028</t>
  </si>
  <si>
    <t>Entertainment</t>
  </si>
  <si>
    <t>IRB Infrastructure Developers Ltd</t>
  </si>
  <si>
    <t>INE821I01022</t>
  </si>
  <si>
    <t>Syngene International Ltd</t>
  </si>
  <si>
    <t>INE398R01022</t>
  </si>
  <si>
    <t>Syrma SGS Technology Ltd</t>
  </si>
  <si>
    <t>INE0DYJ01015</t>
  </si>
  <si>
    <t>Firstsource Solutions Ltd</t>
  </si>
  <si>
    <t>INE684F01012</t>
  </si>
  <si>
    <t>Ola Electric Mobility Ltd</t>
  </si>
  <si>
    <t>INE0LXG01040</t>
  </si>
  <si>
    <t>Inventurus Knowledge Solutions Ltd</t>
  </si>
  <si>
    <t>INE115Q01022</t>
  </si>
  <si>
    <t>Nava Ltd</t>
  </si>
  <si>
    <t>INE725A01030</t>
  </si>
  <si>
    <t>Jubilant Pharmova Ltd</t>
  </si>
  <si>
    <t>INE700A01033</t>
  </si>
  <si>
    <t>Reliance Power Ltd</t>
  </si>
  <si>
    <t>INE614G01033</t>
  </si>
  <si>
    <t>Emami Ltd</t>
  </si>
  <si>
    <t>INE548C01032</t>
  </si>
  <si>
    <t>Anant Raj Ltd</t>
  </si>
  <si>
    <t>INE242C01024</t>
  </si>
  <si>
    <t>Garden Reach Shipbuilders &amp; Engineers Ltd</t>
  </si>
  <si>
    <t>INE382Z01011</t>
  </si>
  <si>
    <t>EID Parry India Ltd</t>
  </si>
  <si>
    <t>INE126A01031</t>
  </si>
  <si>
    <t>PG Electroplast Ltd</t>
  </si>
  <si>
    <t>INE457L01029</t>
  </si>
  <si>
    <t>Aditya Birla Sun Life AMC Ltd</t>
  </si>
  <si>
    <t>INE404A01024</t>
  </si>
  <si>
    <t>Netweb Technologies India Ltd</t>
  </si>
  <si>
    <t>INE0NT901020</t>
  </si>
  <si>
    <t>Cyient Ltd</t>
  </si>
  <si>
    <t>INE136B01020</t>
  </si>
  <si>
    <t>Eris Lifesciences Ltd</t>
  </si>
  <si>
    <t>INE406M01024</t>
  </si>
  <si>
    <t>Zen Technologies Ltd</t>
  </si>
  <si>
    <t>INE251B01027</t>
  </si>
  <si>
    <t>Capri Global Capital Ltd</t>
  </si>
  <si>
    <t>INE180C01042</t>
  </si>
  <si>
    <t>Schneider Electric Infrastructure Ltd</t>
  </si>
  <si>
    <t>INE839M01018</t>
  </si>
  <si>
    <t>CCL Products (India) Ltd</t>
  </si>
  <si>
    <t>INE421D01022</t>
  </si>
  <si>
    <t>Go Digit General Insurance Ltd</t>
  </si>
  <si>
    <t>INE03JT01014</t>
  </si>
  <si>
    <t>CarTrade Tech Ltd</t>
  </si>
  <si>
    <t>INE290S01011</t>
  </si>
  <si>
    <t>Godawari Power &amp; Ispat Ltd</t>
  </si>
  <si>
    <t>INE177H01039</t>
  </si>
  <si>
    <t>Cohance Lifesciences Ltd</t>
  </si>
  <si>
    <t>INE03QK01018</t>
  </si>
  <si>
    <t>Chambal Fertilizers &amp; Chemicals Ltd</t>
  </si>
  <si>
    <t>INE085A01013</t>
  </si>
  <si>
    <t>Creditaccess Grameen Ltd</t>
  </si>
  <si>
    <t>INE741K01010</t>
  </si>
  <si>
    <t>Can Fin Homes Ltd</t>
  </si>
  <si>
    <t>INE477A01020</t>
  </si>
  <si>
    <t>Gabriel India Ltd</t>
  </si>
  <si>
    <t>INE524A01029</t>
  </si>
  <si>
    <t>Pfizer Ltd</t>
  </si>
  <si>
    <t>INE182A01018</t>
  </si>
  <si>
    <t>Rainbow Childrens Medicare Ltd</t>
  </si>
  <si>
    <t>INE961O01016</t>
  </si>
  <si>
    <t>PVR Inox Ltd</t>
  </si>
  <si>
    <t>INE191H01014</t>
  </si>
  <si>
    <t>Shyam Metalics And Energy Ltd</t>
  </si>
  <si>
    <t>INE810G01011</t>
  </si>
  <si>
    <t>CEAT Ltd</t>
  </si>
  <si>
    <t>INE482A01020</t>
  </si>
  <si>
    <t>R R Kabel Ltd</t>
  </si>
  <si>
    <t>INE777K01022</t>
  </si>
  <si>
    <t>Titagarh Rail Systems Ltd</t>
  </si>
  <si>
    <t>INE615H01020</t>
  </si>
  <si>
    <t>BEML Ltd</t>
  </si>
  <si>
    <t>INE258A01024</t>
  </si>
  <si>
    <t>Gillette India Ltd</t>
  </si>
  <si>
    <t>INE322A01010</t>
  </si>
  <si>
    <t>Aditya Birla Real Estate Ltd</t>
  </si>
  <si>
    <t>INE055A01016</t>
  </si>
  <si>
    <t>KEC International Ltd</t>
  </si>
  <si>
    <t>INE389H01022</t>
  </si>
  <si>
    <t>Belrise Industries Ltd</t>
  </si>
  <si>
    <t>INE894V01022</t>
  </si>
  <si>
    <t>Vijaya Diagnostic Centre Ltd</t>
  </si>
  <si>
    <t>INE043W01024</t>
  </si>
  <si>
    <t>Engineers India Ltd</t>
  </si>
  <si>
    <t>INE510A01028</t>
  </si>
  <si>
    <t>Sobha Ltd</t>
  </si>
  <si>
    <t>INE671H01015</t>
  </si>
  <si>
    <t>Whirlpool Of India Ltd</t>
  </si>
  <si>
    <t>INE716A01013</t>
  </si>
  <si>
    <t>The Jammu &amp; Kashmir Bank Ltd</t>
  </si>
  <si>
    <t>INE168A01041</t>
  </si>
  <si>
    <t>Intellect Design Arena Ltd</t>
  </si>
  <si>
    <t>INE306R01017</t>
  </si>
  <si>
    <t>Mahanagar Gas Ltd</t>
  </si>
  <si>
    <t>INE002S01010</t>
  </si>
  <si>
    <t>NCC Ltd</t>
  </si>
  <si>
    <t>INE868B01028</t>
  </si>
  <si>
    <t>eClerx Services Ltd</t>
  </si>
  <si>
    <t>INE738I01010</t>
  </si>
  <si>
    <t>Indiamart Intermesh Ltd</t>
  </si>
  <si>
    <t>INE933S01016</t>
  </si>
  <si>
    <t>Sumitomo Chemical India Ltd</t>
  </si>
  <si>
    <t>INE258G01013</t>
  </si>
  <si>
    <t>Cemindia Projects Ltd</t>
  </si>
  <si>
    <t>INE686A01026</t>
  </si>
  <si>
    <t>Balrampur Chini Mills Ltd</t>
  </si>
  <si>
    <t>INE119A01028</t>
  </si>
  <si>
    <t>Vardhman Textiles Ltd</t>
  </si>
  <si>
    <t>INE825A01020</t>
  </si>
  <si>
    <t>EIH Ltd</t>
  </si>
  <si>
    <t>INE230A01023</t>
  </si>
  <si>
    <t>Emcure Pharmaceuticals Ltd</t>
  </si>
  <si>
    <t>INE168P01015</t>
  </si>
  <si>
    <t>Ramkrishna Forgings Ltd</t>
  </si>
  <si>
    <t>INE399G01023</t>
  </si>
  <si>
    <t>Bayer Cropscience Ltd</t>
  </si>
  <si>
    <t>INE462A01022</t>
  </si>
  <si>
    <t>Jindal Saw Ltd</t>
  </si>
  <si>
    <t>INE324A01032</t>
  </si>
  <si>
    <t>Aditya Infotech Ltd</t>
  </si>
  <si>
    <t>INE819V01029</t>
  </si>
  <si>
    <t>CIE Automotive India Ltd</t>
  </si>
  <si>
    <t>INE536H01010</t>
  </si>
  <si>
    <t>Lemon Tree Hotels Ltd</t>
  </si>
  <si>
    <t>INE970X01018</t>
  </si>
  <si>
    <t>Zensar Technologies Ltd</t>
  </si>
  <si>
    <t>INE520A01027</t>
  </si>
  <si>
    <t>Chalet Hotels Ltd</t>
  </si>
  <si>
    <t>INE427F01016</t>
  </si>
  <si>
    <t>Gujarat Mineral Development Corporation Ltd</t>
  </si>
  <si>
    <t>INE131A01031</t>
  </si>
  <si>
    <t>Honasa Consumer Ltd</t>
  </si>
  <si>
    <t>INE0J5401028</t>
  </si>
  <si>
    <t>Paradeep Phosphates Ltd</t>
  </si>
  <si>
    <t>INE088F01024</t>
  </si>
  <si>
    <t>Fertilizers And Chemicals Travancore Ltd</t>
  </si>
  <si>
    <t>INE188A01015</t>
  </si>
  <si>
    <t>Jsw Dulux Ltd</t>
  </si>
  <si>
    <t>INE133A01011</t>
  </si>
  <si>
    <t>Jubilant Ingrevia Ltd</t>
  </si>
  <si>
    <t>INE0BY001018</t>
  </si>
  <si>
    <t>Aditya Birla Lifestyle Brands Ltd</t>
  </si>
  <si>
    <t>INE14LE01019</t>
  </si>
  <si>
    <t>Techno Electric &amp; Engineering Co Ltd</t>
  </si>
  <si>
    <t>INE285K01026</t>
  </si>
  <si>
    <t>LT Foods Ltd</t>
  </si>
  <si>
    <t>INE818H01020</t>
  </si>
  <si>
    <t>Indegene Ltd</t>
  </si>
  <si>
    <t>INE065X01017</t>
  </si>
  <si>
    <t>Aavas Financiers Ltd</t>
  </si>
  <si>
    <t>INE216P01012</t>
  </si>
  <si>
    <t>Choice International Ltd</t>
  </si>
  <si>
    <t>INE102B01014</t>
  </si>
  <si>
    <t>Birlasoft Ltd</t>
  </si>
  <si>
    <t>INE836A01035</t>
  </si>
  <si>
    <t>Afcons Infrastructure Ltd</t>
  </si>
  <si>
    <t>INE101I01011</t>
  </si>
  <si>
    <t>Niva Bupa Health Insurance Co Ltd</t>
  </si>
  <si>
    <t>INE995S01015</t>
  </si>
  <si>
    <t>Sonata Software Ltd</t>
  </si>
  <si>
    <t>INE269A01021</t>
  </si>
  <si>
    <t>Meesho Ltd</t>
  </si>
  <si>
    <t>INE0VDM01015</t>
  </si>
  <si>
    <t>Poly Medicure Ltd</t>
  </si>
  <si>
    <t>INE205C01021</t>
  </si>
  <si>
    <t>Healthcare Equipment &amp; Supplies</t>
  </si>
  <si>
    <t>NMDC Steel Ltd</t>
  </si>
  <si>
    <t>INE0NNS01018</t>
  </si>
  <si>
    <t>Gravita India Ltd</t>
  </si>
  <si>
    <t>INE024L01027</t>
  </si>
  <si>
    <t>JK Tyre &amp; Industries Ltd</t>
  </si>
  <si>
    <t>INE573A01042</t>
  </si>
  <si>
    <t>Aadhar Housing Finance Ltd</t>
  </si>
  <si>
    <t>INE883F01010</t>
  </si>
  <si>
    <t>Chennai Petroleum Corporation Ltd</t>
  </si>
  <si>
    <t>INE178A01016</t>
  </si>
  <si>
    <t>PCBL Chemical Ltd</t>
  </si>
  <si>
    <t>INE602A01031</t>
  </si>
  <si>
    <t>Jyoti CNC Automation Ltd</t>
  </si>
  <si>
    <t>INE980O01024</t>
  </si>
  <si>
    <t>JM Financial Ltd</t>
  </si>
  <si>
    <t>INE780C01023</t>
  </si>
  <si>
    <t>Minda Corporation Ltd</t>
  </si>
  <si>
    <t>INE842C01021</t>
  </si>
  <si>
    <t>Brainbees Solutions Ltd</t>
  </si>
  <si>
    <t>INE02RE01045</t>
  </si>
  <si>
    <t>Sun TV Network Ltd</t>
  </si>
  <si>
    <t>INE424H01027</t>
  </si>
  <si>
    <t>Shipping Corporation of India Ltd</t>
  </si>
  <si>
    <t>INE109A01011</t>
  </si>
  <si>
    <t>Physicswallah Ltd</t>
  </si>
  <si>
    <t>INE0LP301011</t>
  </si>
  <si>
    <t>Other Consumer Services</t>
  </si>
  <si>
    <t>Indian Overseas Bank</t>
  </si>
  <si>
    <t>INE565A01014</t>
  </si>
  <si>
    <t>Zydus Wellness Ltd</t>
  </si>
  <si>
    <t>INE768C01028</t>
  </si>
  <si>
    <t>Graphite India Ltd</t>
  </si>
  <si>
    <t>INE371A01025</t>
  </si>
  <si>
    <t>Olectra Greentech Ltd</t>
  </si>
  <si>
    <t>INE260D01016</t>
  </si>
  <si>
    <t>Heg Ltd</t>
  </si>
  <si>
    <t>INE545A01024</t>
  </si>
  <si>
    <t>Sarda Energy &amp; Minerals Ltd</t>
  </si>
  <si>
    <t>INE385C01021</t>
  </si>
  <si>
    <t>Devyani International Ltd</t>
  </si>
  <si>
    <t>INE872J01023</t>
  </si>
  <si>
    <t>Swan Corp Ltd</t>
  </si>
  <si>
    <t>INE665A01038</t>
  </si>
  <si>
    <t>Tenneco Clean Air India Ltd</t>
  </si>
  <si>
    <t>INE19RI01016</t>
  </si>
  <si>
    <t>IFCI Ltd</t>
  </si>
  <si>
    <t>INE039A01010</t>
  </si>
  <si>
    <t>Elecon Engineering Co Ltd</t>
  </si>
  <si>
    <t>INE205B01031</t>
  </si>
  <si>
    <t>IRCON International Ltd</t>
  </si>
  <si>
    <t>INE962Y01021</t>
  </si>
  <si>
    <t>Welspun Living Ltd</t>
  </si>
  <si>
    <t>INE192B01031</t>
  </si>
  <si>
    <t>Sapphire Foods India Ltd</t>
  </si>
  <si>
    <t>INE806T01020</t>
  </si>
  <si>
    <t>Tejas Networks Ltd</t>
  </si>
  <si>
    <t>INE010J01012</t>
  </si>
  <si>
    <t>Telecom - Equipment &amp; Accessories</t>
  </si>
  <si>
    <t>Bata India Ltd</t>
  </si>
  <si>
    <t>INE176A01028</t>
  </si>
  <si>
    <t>Bikaji Foods International Ltd</t>
  </si>
  <si>
    <t>INE00E101023</t>
  </si>
  <si>
    <t>TBO Tek Ltd</t>
  </si>
  <si>
    <t>INE673O01025</t>
  </si>
  <si>
    <t>Supreme Petrochem Ltd</t>
  </si>
  <si>
    <t>INE663A01033</t>
  </si>
  <si>
    <t>IDBI Bank Ltd</t>
  </si>
  <si>
    <t>INE008A01015</t>
  </si>
  <si>
    <t>Dcm Shriram Ltd</t>
  </si>
  <si>
    <t>INE499A01024</t>
  </si>
  <si>
    <t>Urban Co Ltd</t>
  </si>
  <si>
    <t>INE0CAZ01013</t>
  </si>
  <si>
    <t>Caplin Point Laboratories Ltd</t>
  </si>
  <si>
    <t>INE475E01026</t>
  </si>
  <si>
    <t>UTI Asset Management Co Ltd</t>
  </si>
  <si>
    <t>INE094J01016</t>
  </si>
  <si>
    <t>Jupiter Wagons Ltd</t>
  </si>
  <si>
    <t>INE209L01016</t>
  </si>
  <si>
    <t>Doms Industries Ltd</t>
  </si>
  <si>
    <t>INE321T01012</t>
  </si>
  <si>
    <t>Household Products</t>
  </si>
  <si>
    <t>SBFC Finance Ltd</t>
  </si>
  <si>
    <t>INE423Y01016</t>
  </si>
  <si>
    <t>Clean Science And Technology Ltd</t>
  </si>
  <si>
    <t>INE227W01023</t>
  </si>
  <si>
    <t>International Gemological Institute Ltd</t>
  </si>
  <si>
    <t>INE0Q9301021</t>
  </si>
  <si>
    <t>Action Construction Equipment Ltd</t>
  </si>
  <si>
    <t>INE731H01025</t>
  </si>
  <si>
    <t>Anupam Rasayan India Ltd</t>
  </si>
  <si>
    <t>INE930P01018</t>
  </si>
  <si>
    <t>Nuvoco Vistas Corporation Ltd</t>
  </si>
  <si>
    <t>INE118D01016</t>
  </si>
  <si>
    <t>Concord Biotech Ltd</t>
  </si>
  <si>
    <t>INE338H01029</t>
  </si>
  <si>
    <t>Transformers And Rectifiers India Ltd</t>
  </si>
  <si>
    <t>INE763I01026</t>
  </si>
  <si>
    <t>Emmvee Photovoltaic Power Ltd</t>
  </si>
  <si>
    <t>INE1C6T01020</t>
  </si>
  <si>
    <t>Signatureglobal (India) Ltd</t>
  </si>
  <si>
    <t>INE903U01023</t>
  </si>
  <si>
    <t>Leela Palaces Hotels &amp; Resorts Ltd</t>
  </si>
  <si>
    <t>INE0AQ201015</t>
  </si>
  <si>
    <t>JSW Cement Ltd</t>
  </si>
  <si>
    <t>INE718I01012</t>
  </si>
  <si>
    <t>BLS International Services Ltd</t>
  </si>
  <si>
    <t>INE153T01027</t>
  </si>
  <si>
    <t>Aditya Birla Fashion and Retail Ltd</t>
  </si>
  <si>
    <t>INE647O01011</t>
  </si>
  <si>
    <t>Acme Solar Holdings Ltd</t>
  </si>
  <si>
    <t>INE622W01025</t>
  </si>
  <si>
    <t>Saregama India Ltd</t>
  </si>
  <si>
    <t>INE979A01025</t>
  </si>
  <si>
    <t>Trident Ltd</t>
  </si>
  <si>
    <t>INE064C01022</t>
  </si>
  <si>
    <t>Central Bank of India</t>
  </si>
  <si>
    <t>INE483A01010</t>
  </si>
  <si>
    <t>Allied Blenders And Distillers Ltd</t>
  </si>
  <si>
    <t>INE552Z01027</t>
  </si>
  <si>
    <t>Tega Industries Ltd</t>
  </si>
  <si>
    <t>INE011K01018</t>
  </si>
  <si>
    <t>ITI Ltd</t>
  </si>
  <si>
    <t>INE248A01017</t>
  </si>
  <si>
    <t>UCO Bank</t>
  </si>
  <si>
    <t>INE691A01018</t>
  </si>
  <si>
    <t>Aegis Vopak Terminals Ltd</t>
  </si>
  <si>
    <t>INE0INX01018</t>
  </si>
  <si>
    <t>Newgen Software Technologies Ltd</t>
  </si>
  <si>
    <t>INE619B01017</t>
  </si>
  <si>
    <t>Blue Dart Express Ltd</t>
  </si>
  <si>
    <t>INE233B01017</t>
  </si>
  <si>
    <t>Canara HSBC Life Insurance Co Ltd</t>
  </si>
  <si>
    <t>INE01TY01017</t>
  </si>
  <si>
    <t>Railtel Corporation Of India Ltd</t>
  </si>
  <si>
    <t>INE0DD101019</t>
  </si>
  <si>
    <t>Rites Ltd</t>
  </si>
  <si>
    <t>INE320J01015</t>
  </si>
  <si>
    <t>The India Cements Ltd</t>
  </si>
  <si>
    <t>INE383A01012</t>
  </si>
  <si>
    <t>Bombay Burmah Trading Corporation Ltd</t>
  </si>
  <si>
    <t>INE050A01025</t>
  </si>
  <si>
    <t>Pine Labs Ltd</t>
  </si>
  <si>
    <t>INE15B701018</t>
  </si>
  <si>
    <t>Mangalore Refinery &amp; Petrochemicals Ltd</t>
  </si>
  <si>
    <t>INE103A01014</t>
  </si>
  <si>
    <t>JBM Auto Ltd</t>
  </si>
  <si>
    <t>INE927D01051</t>
  </si>
  <si>
    <t>Rhi Magnesita India Ltd</t>
  </si>
  <si>
    <t>INE743M01012</t>
  </si>
  <si>
    <t>Latent View Analytics Ltd</t>
  </si>
  <si>
    <t>INE0I7C01011</t>
  </si>
  <si>
    <t>Travel Food Services Ltd</t>
  </si>
  <si>
    <t>INE103V01028</t>
  </si>
  <si>
    <t>Tata Teleservices Maharashtra Ltd</t>
  </si>
  <si>
    <t>INE517B01013</t>
  </si>
  <si>
    <t>Gallantt Ispat Ltd</t>
  </si>
  <si>
    <t>INE297H01019</t>
  </si>
  <si>
    <t>Jain Resource Recycling Ltd</t>
  </si>
  <si>
    <t>INE0YD401026</t>
  </si>
  <si>
    <t>Blue Jet Healthcare Ltd</t>
  </si>
  <si>
    <t>INE0KBH01020</t>
  </si>
  <si>
    <t>CE Info Systems Ltd</t>
  </si>
  <si>
    <t>INE0BV301023</t>
  </si>
  <si>
    <t>MMTC Ltd</t>
  </si>
  <si>
    <t>INE123F01029</t>
  </si>
  <si>
    <t>VA Tech Wabag Ltd</t>
  </si>
  <si>
    <t>INE956G01038</t>
  </si>
  <si>
    <t>Other Utilities</t>
  </si>
  <si>
    <t>Jamna Auto Industries Ltd</t>
  </si>
  <si>
    <t>INE039C01032</t>
  </si>
  <si>
    <t>Akums Drugs And Pharmaceuticals Ltd</t>
  </si>
  <si>
    <t>INE09XN01023</t>
  </si>
  <si>
    <t>PTC India Ltd</t>
  </si>
  <si>
    <t>INE877F01012</t>
  </si>
  <si>
    <t>Sterlite Technologies Ltd</t>
  </si>
  <si>
    <t>INE089C01029</t>
  </si>
  <si>
    <t>Ujjivan Small Finance Bank Ltd</t>
  </si>
  <si>
    <t>INE551W01018</t>
  </si>
  <si>
    <t>MTAR Technologies Ltd</t>
  </si>
  <si>
    <t>INE864I01014</t>
  </si>
  <si>
    <t>Arvind Ltd</t>
  </si>
  <si>
    <t>INE034A01011</t>
  </si>
  <si>
    <t>Fiem Industries Ltd</t>
  </si>
  <si>
    <t>INE737H01014</t>
  </si>
  <si>
    <t>Sharda Cropchem Ltd</t>
  </si>
  <si>
    <t>INE221J01015</t>
  </si>
  <si>
    <t>WeWork India Management Ltd</t>
  </si>
  <si>
    <t>INE085001019</t>
  </si>
  <si>
    <t>Rubicon Research Ltd</t>
  </si>
  <si>
    <t>INE506V01022</t>
  </si>
  <si>
    <t>Kansai Nerolac Paints Ltd</t>
  </si>
  <si>
    <t>INE531A01024</t>
  </si>
  <si>
    <t>Strides Pharma Science Ltd</t>
  </si>
  <si>
    <t>INE939A01011</t>
  </si>
  <si>
    <t>KRBL Ltd</t>
  </si>
  <si>
    <t>INE001B01026</t>
  </si>
  <si>
    <t>Advanced Enzyme Technologies Ltd</t>
  </si>
  <si>
    <t>INE837H01020</t>
  </si>
  <si>
    <t>Rashtriya Chemicals and Fertilizers Ltd</t>
  </si>
  <si>
    <t>INE027A01015</t>
  </si>
  <si>
    <t>INE1YPB01014</t>
  </si>
  <si>
    <t>TVS Supply Chain Solutions Ltd</t>
  </si>
  <si>
    <t>INE395N01027</t>
  </si>
  <si>
    <t>Godrej Agrovet Ltd</t>
  </si>
  <si>
    <t>INE850D01014</t>
  </si>
  <si>
    <t>Ahluwalia Contracts (India) Ltd</t>
  </si>
  <si>
    <t>INE758C01029</t>
  </si>
  <si>
    <t>GMM Pfaudler Ltd</t>
  </si>
  <si>
    <t>INE541A01023</t>
  </si>
  <si>
    <t>Birla Corporation Ltd</t>
  </si>
  <si>
    <t>INE340A01012</t>
  </si>
  <si>
    <t>V-Mart Retail Ltd</t>
  </si>
  <si>
    <t>INE665J01013</t>
  </si>
  <si>
    <t>Punjab National Bank (15-Sep-2026)</t>
  </si>
  <si>
    <t>INE160A16UT0</t>
  </si>
  <si>
    <t>Canara Bank (28-Jan-2027)</t>
  </si>
  <si>
    <t>INE476A16G28</t>
  </si>
  <si>
    <t>Mutual Fund Units</t>
  </si>
  <si>
    <t>JioBlackRock Money Market Fund - Direct Plan - Growth Option</t>
  </si>
  <si>
    <t>INF22M001028</t>
  </si>
  <si>
    <t>JioBlackRock Liquid Fund - Direct Plan - Growth Option</t>
  </si>
  <si>
    <t>INF22M001010</t>
  </si>
  <si>
    <t>MAX HEALTHCARE INSTITUTE FUT 30-JUN-26</t>
  </si>
  <si>
    <t>Short</t>
  </si>
  <si>
    <t>PGC LTD FUT 30-JUN-26</t>
  </si>
  <si>
    <t>HINDUSTAN AERONAUTICS LTD FUT 28-JUL-26</t>
  </si>
  <si>
    <t>GLENMARK PHARMA LTD FUT 30-JUN-26</t>
  </si>
  <si>
    <t>BOSCH LTD FUT 30-JUN-26</t>
  </si>
  <si>
    <t>MANAPPURAM FINANCE LTD FUT 30-JUN-26</t>
  </si>
  <si>
    <t>GODREJ CONSUMER PROD LTD FUT 30-JUN-26</t>
  </si>
  <si>
    <t>BHARAT PETROLEUM CORP LTD FUT 28-JUL-26</t>
  </si>
  <si>
    <t>ETERNAL LTD FUT 28-JUL-26</t>
  </si>
  <si>
    <t>GAIL INDIA LTD FUT 30-JUN-26</t>
  </si>
  <si>
    <t>INDUSIND BANK LTD FUT 30-JUN-26</t>
  </si>
  <si>
    <t>APOLLO HOSPITALS ENT LTD FUT 30-JUN-26</t>
  </si>
  <si>
    <t>EICHER MOTORS LTD FUT 30-JUN-26</t>
  </si>
  <si>
    <t>BANK OF INDIA FUT 30-JUN-26</t>
  </si>
  <si>
    <t>TVS MOTOR CO LTD FUT 30-JUN-26</t>
  </si>
  <si>
    <t>ONE 97 COMMUNICATIONS LTD FUT 30-JUN-26</t>
  </si>
  <si>
    <t>PIDILITE INDUSTRIES FUT 30-JUN-26</t>
  </si>
  <si>
    <t>INFO EDGE (INDIA) LTD FUT 30-JUN-26</t>
  </si>
  <si>
    <t>GRASIM INDUSTRIES LTD FUT 30-JUN-26</t>
  </si>
  <si>
    <t>BHARAT ELECTRONICS LTD FUT 30-JUN-26</t>
  </si>
  <si>
    <t>AMBUJA CEMENTS LTD FUT 30-JUN-26</t>
  </si>
  <si>
    <t>STATE BANK OF INDIA FUT 30-JUN-26</t>
  </si>
  <si>
    <t>HAVELLS INDIA LTD FUT 30-JUN-26</t>
  </si>
  <si>
    <t>LARSEN AND TOUBRO LTD FUT 30-JUN-26</t>
  </si>
  <si>
    <t>UPL LTD FUT 30-JUN-26</t>
  </si>
  <si>
    <t>MACROTECH DEVELOPERS LTD FUT 30-JUN-26</t>
  </si>
  <si>
    <t>ICICI BANK LTD FUT 28-JUL-26</t>
  </si>
  <si>
    <t>TATA POWER CO LTD FUT 30-JUN-26</t>
  </si>
  <si>
    <t>ADANI PORTS AND SP ECO FUT 28-JUL-26</t>
  </si>
  <si>
    <t>M&amp;M LTD FUT 30-JUN-26</t>
  </si>
  <si>
    <t>BAJAJ FINSERV LTD FUT 28-JUL-26</t>
  </si>
  <si>
    <t>BHARAT PETROLEUM CORP LTD FUT 30-JUN-26</t>
  </si>
  <si>
    <t>ONGC LTD FUT 30-JUN-26</t>
  </si>
  <si>
    <t>CROMPT GREA CON ELEC LTD FUT 30-JUN-26</t>
  </si>
  <si>
    <t>AU SMALL FINANCE BANK LTD FUT 28-JUL-26</t>
  </si>
  <si>
    <t>INDIAN HOTELS CO LTD FUT 30-JUN-26</t>
  </si>
  <si>
    <t>HDFC AMC LTD FUT 30-JUN-26</t>
  </si>
  <si>
    <t>BANK OF BARODA FUT 28-JUL-26</t>
  </si>
  <si>
    <t>HINDALCO INDUSTRIES LTD FUT 30-JUN-26</t>
  </si>
  <si>
    <t>ETERNAL LTD FUT 30-JUN-26</t>
  </si>
  <si>
    <t>MARUTI SUZUKI INDIA LTD FUT 30-JUN-26</t>
  </si>
  <si>
    <t>VODAFONE IDEA LTD FUT 30-JUN-26</t>
  </si>
  <si>
    <t>INDIAN OIL CORP LTD FUT 30-JUN-26</t>
  </si>
  <si>
    <t>JIO FINANC SERVICES LTD FUT 28-JUL-26</t>
  </si>
  <si>
    <t>SHRIRAM FINANCE LTD FUT 30-JUN-26</t>
  </si>
  <si>
    <t>HINDUSTAN UNILEVER LTD FUT 30-JUN-26</t>
  </si>
  <si>
    <t>LIC HOUSING FIN LTD FUT 30-JUN-26</t>
  </si>
  <si>
    <t>PUNJAB NATIONAL BANK FUT 28-JUL-26</t>
  </si>
  <si>
    <t>ULTRA TECH CEMENT LTD FUT 30-JUN-26</t>
  </si>
  <si>
    <t>DLF LTD FUT 30-JUN-26</t>
  </si>
  <si>
    <t>NBCC (INDIA) LTD FUT 30-JUN-26</t>
  </si>
  <si>
    <t>NTPC LTD FUT 30-JUN-26</t>
  </si>
  <si>
    <t>IDFC FIRST BANK LTD FUT 30-JUN-26</t>
  </si>
  <si>
    <t>SUN PHARMA IND LTD FUT 30-JUN-26</t>
  </si>
  <si>
    <t>GODREJ PROPERTIES LTD FUT 28-JUL-26</t>
  </si>
  <si>
    <t>ADANI PORTS AND SP ECO FUT 30-JUN-26</t>
  </si>
  <si>
    <t>TCS LTD FUT 30-JUN-26</t>
  </si>
  <si>
    <t>CIPLA LTD FUT 30-JUN-26</t>
  </si>
  <si>
    <t>AU SMALL FINANCE BANK LTD FUT 30-JUN-26</t>
  </si>
  <si>
    <t>BAJAJ FINANCE LTD FUT 30-JUN-26</t>
  </si>
  <si>
    <t>LAURUS LABS LTD FUT 30-JUN-26</t>
  </si>
  <si>
    <t>CANARA BANK FUT 28-JUL-26</t>
  </si>
  <si>
    <t>INDUS TOWERS LTD FUT 30-JUN-26</t>
  </si>
  <si>
    <t>MAX FINANCIAL SERVICES FUT 30-JUN-26</t>
  </si>
  <si>
    <t>VODAFONE IDEA LTD FUT 28-JUL-26</t>
  </si>
  <si>
    <t>TATA MOTORS PASS VEHICLES FUT 30-JUN-26</t>
  </si>
  <si>
    <t>BHARAT ELECTRONICS LTD FUT 28-JUL-26</t>
  </si>
  <si>
    <t>YES BANK LTD FUT 30-JUN-26</t>
  </si>
  <si>
    <t>JSW STEEL LTD FUT 30-JUN-26</t>
  </si>
  <si>
    <t>CANARA BANK FUT 30-JUN-26</t>
  </si>
  <si>
    <t>STATE BANK OF INDIA FUT 28-JUL-26</t>
  </si>
  <si>
    <t>BANK OF BARODA FUT 30-JUN-26</t>
  </si>
  <si>
    <t>RELIANCE INDUSTRIES LTD FUT 28-JUL-26</t>
  </si>
  <si>
    <t>STEEL AUTHOR OF IND LTD FUT 30-JUN-26</t>
  </si>
  <si>
    <t>BHARAT HEAVY ELECT LTD FUT 30-JUN-26</t>
  </si>
  <si>
    <t>HDFC LIFE INSURANCE COLTD FUT 30-JUN-26</t>
  </si>
  <si>
    <t>AXIS BANK LTD FUT 30-JUN-26</t>
  </si>
  <si>
    <t>KOTAK BANK LTD FUT 30-JUN-26</t>
  </si>
  <si>
    <t>YES BANK LTD FUT 28-JUL-26</t>
  </si>
  <si>
    <t>ITC LTD FUT 28-JUL-26</t>
  </si>
  <si>
    <t>PRESTIGE ESTATES PROJECTS FUT 30-JUN-26</t>
  </si>
  <si>
    <t>HDFC BANK LTD FUT 30-JUN-26</t>
  </si>
  <si>
    <t>HDFC BANK LTD FUT 28-JUL-26</t>
  </si>
  <si>
    <t>BHARTI AIRTEL LTD FUT 30-JUN-26</t>
  </si>
  <si>
    <t>RELIANCE INDUSTRIES LTD FUT 30-JUN-26</t>
  </si>
  <si>
    <t>ADANI ENTERPRISES LTD FUT 30-JUN-26</t>
  </si>
  <si>
    <t>ICICI BANK LTD FUT 30-JUN-26</t>
  </si>
  <si>
    <t>Industry Classification / Rating</t>
  </si>
  <si>
    <t>** Non- Traded Security</t>
  </si>
  <si>
    <t>Benchmark Risk-O-Meter</t>
  </si>
  <si>
    <t>Benchmark Name - BSE 100 Index (TRI)</t>
  </si>
  <si>
    <t>Scheme Risk-O-Meter</t>
  </si>
  <si>
    <t>Benchmark Name - NIFTY Money Market Index A-I</t>
  </si>
  <si>
    <t>Benchmark Name - NIFTY 1D Rate Index</t>
  </si>
  <si>
    <t>Benchmark Name - NIFTY Liquid Index A-I</t>
  </si>
  <si>
    <t>Benchmark Name - NIFTY 8-13 yr G-Sec</t>
  </si>
  <si>
    <t>Benchmark Name - NIFTY Low Duration Debt Index A-I</t>
  </si>
  <si>
    <t>Benchmark Name - NIFTY Short Duration Debt Index A-II</t>
  </si>
  <si>
    <t>Benchmark Name - NIFTY 50 Index (TRI)</t>
  </si>
  <si>
    <t>Benchmark Name - NIFTY Next 50 Index (TRI)</t>
  </si>
  <si>
    <t>Benchmark Name - NIFTY Midcap 150 Index (TRI)</t>
  </si>
  <si>
    <t>Benchmark Name - NIFTY Smallcap 250 Index (TRI)</t>
  </si>
  <si>
    <t>Benchmark Name - Nifty 500 Index (TRI)</t>
  </si>
  <si>
    <t>Benchmark Name - Nifty 50 Arbitrage (TRI)</t>
  </si>
  <si>
    <t>JBLARGE</t>
  </si>
  <si>
    <t>-</t>
  </si>
  <si>
    <t>JBMMF</t>
  </si>
  <si>
    <t>JBOF</t>
  </si>
  <si>
    <t>JBLF</t>
  </si>
  <si>
    <t>JBN8-13'</t>
  </si>
  <si>
    <t>JBLOW</t>
  </si>
  <si>
    <t>JBSHORT</t>
  </si>
  <si>
    <t>JBN50'</t>
  </si>
  <si>
    <t>JBNNX50</t>
  </si>
  <si>
    <t>JBNM150</t>
  </si>
  <si>
    <t>JBNS250</t>
  </si>
  <si>
    <t>JBFLEXI</t>
  </si>
  <si>
    <t>JBARB</t>
  </si>
  <si>
    <t>JBSECRO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</si>
  <si>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</si>
  <si>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</si>
  <si>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</si>
  <si>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</si>
  <si>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Direct Plan - Growth Option</t>
  </si>
  <si>
    <t>Unclaimed Redemption - Upto 3 years - Growth Option</t>
  </si>
  <si>
    <t>(6) The average maturity period of the portfolio is 0.11 years.</t>
  </si>
  <si>
    <t>(2) Aggregate value of illiquid equity shares of the fund amounts to Rs. Nil and their percentage to net asset value is Nil.</t>
  </si>
  <si>
    <t>(3) Plan/ Option wise per unit net asset value are as follows:</t>
  </si>
  <si>
    <t>Underlying</t>
  </si>
  <si>
    <t>Long/Short</t>
  </si>
  <si>
    <t>Futures Price When purchased</t>
  </si>
  <si>
    <t>Current price of the contract</t>
  </si>
  <si>
    <t>Margin maintained
in Rs. Lakhs</t>
  </si>
  <si>
    <t>Total percentage of existing assets hedged through futures: Nil</t>
  </si>
  <si>
    <t>Number of contracts bought</t>
  </si>
  <si>
    <t>Number of contracts Sold</t>
  </si>
  <si>
    <t>Gross Notional Value of contracts where futures were bought  in Rs. Lakhs</t>
  </si>
  <si>
    <t>Gross Notional Value of contracts where futures were  sold in Rs. Lakhs</t>
  </si>
  <si>
    <t>Net Profit/Loss value on all contracts in Rs. Lakhs</t>
  </si>
  <si>
    <t>NIFTY 26-MAY-26 FUT</t>
  </si>
  <si>
    <t xml:space="preserve">     </t>
  </si>
  <si>
    <t>c) Hedging positions through Put options as on April 30, 2026</t>
  </si>
  <si>
    <t>Number of Contracts</t>
  </si>
  <si>
    <t>Option Price when purchased</t>
  </si>
  <si>
    <t>Current Option Price</t>
  </si>
  <si>
    <t>Total percentage of existing assets hedged through put options: Nil</t>
  </si>
  <si>
    <t>Number of contracts entered</t>
  </si>
  <si>
    <t>Gross Notional Value of contracts in Rs. Lakhs</t>
  </si>
  <si>
    <t>Net profit/ (loss) on all contracts (premium paid treated as (loss))</t>
  </si>
  <si>
    <t>d) Other than hedging positions through options as on April 30,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</si>
  <si>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</si>
  <si>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</si>
  <si>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</si>
  <si>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</si>
  <si>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</si>
  <si>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(7) During the period, the portfolio turnover ratio is 0.39 times.</t>
  </si>
  <si>
    <t>Total exposure due to futures (non hedging positions) as a percentage of net assets: : Nil</t>
  </si>
  <si>
    <t>Total percentage of existing assets hedged through futures:Nil</t>
  </si>
  <si>
    <t>As on May 31, 2026</t>
  </si>
  <si>
    <t>* Scheme Introduced during the month ended May 31, 2026, hence there are no NAVs at the beginning of the period.</t>
  </si>
  <si>
    <t>(4) There was no distribution (of income and capital) during the month ended May 31, 2026.</t>
  </si>
  <si>
    <t>(5) Exposure to Derivative Instruments as on May 31, 2026:</t>
  </si>
  <si>
    <t>a)  Hedging positions through futures as on May 31, 2026 is :</t>
  </si>
  <si>
    <t>For the Month ended May 31, 2026 following were the hedging transactions through futures which have been squared off/expired:</t>
  </si>
  <si>
    <t>b) Other than Hedging Positions through Futures as on May 31, 2026 is :</t>
  </si>
  <si>
    <t>For the Month ended May 31, 2026 following were the non-hedging transactions through futures which have been squared off/expired:</t>
  </si>
  <si>
    <t>c) Hedging positions through Put options as on May 31, 2026</t>
  </si>
  <si>
    <t>For the Month ended May 31, 2026, following details specified for hedging transactions through Put options which have already been exercised/ expired:</t>
  </si>
  <si>
    <t>d) Other than hedging positions through options as on May 31, 2026</t>
  </si>
  <si>
    <t>For the period ended May 31, 2026, following details specified for non-hedging transactions through options which have already been exercised/ expired:</t>
  </si>
  <si>
    <t>e) Hedging positions through Swaps as on May 31, 2026  - Nil</t>
  </si>
  <si>
    <t>(6) Total market value of investments in foreign securities/ American Depository Receipts/ Global Depository Receipts as at May 31, 2026 is Rs. Nil.</t>
  </si>
  <si>
    <t>(8) Repo transactions in corporate debt securities as on May 31, 2026 is Rs. Nil.</t>
  </si>
  <si>
    <t>Aggregate Investments by other schemes (at NAV) as on May 31, 2026, is Rs.5,064.54 Lakh's.</t>
  </si>
  <si>
    <t>As on May 29, 2026</t>
  </si>
  <si>
    <t>(4) Total outstanding exposure in derivative instruments as on May 31, 2026 is Rs. Nil.</t>
  </si>
  <si>
    <t>(5) Total market value of investments in foreign securities/ American Depository Receipts/ Global Depository Receipts as at May 31, 2026 is Rs. Nil.</t>
  </si>
  <si>
    <t>(6) The average maturity period of the portfolio is 0.66 years.</t>
  </si>
  <si>
    <t>(7) Repo transactions in corporate debt securities as on May 31, 2026 is Rs. Nil.</t>
  </si>
  <si>
    <t>(6) The average maturity period of the portfolio is 0.004 years.</t>
  </si>
  <si>
    <t>Aggregate Investments by other schemes (at NAV) as on May 31, 2026, is Rs.1,546.72 Lakh's.</t>
  </si>
  <si>
    <t>(6) The average maturity period of the portfolio is 9.29 years.</t>
  </si>
  <si>
    <t>(6) The average maturity period of the portfolio is 0.80 years.</t>
  </si>
  <si>
    <t>(3) There was no distribution (of income and capital) during the month ended May 31, 2026.</t>
  </si>
  <si>
    <t>(6) The average maturity period of the portfolio is 1.42 years.</t>
  </si>
  <si>
    <t>(5) Total outstanding exposure in derivative instruments as on May 31, 2026 is Rs. Nil.</t>
  </si>
  <si>
    <t>(4) There was no distribution (of income and capital) during the Month ended May 31, 2026.</t>
  </si>
  <si>
    <t xml:space="preserve"> a) Hedging Positions through Futures as on May 31, 2026:</t>
  </si>
  <si>
    <t>Total exposure due to futures (non hedging positions) as a percentage of net assets: 0.21%.</t>
  </si>
  <si>
    <t>Total exposure due to futures (non hedging positions) as a percentage of net assets: 1.22%.</t>
  </si>
  <si>
    <t>(7) During the period, the portfolio turnover ratio is 0.23 times.</t>
  </si>
  <si>
    <t>(7) During the period, the portfolio turnover ratio is 0.12 times.</t>
  </si>
  <si>
    <t>(7) During the period, the portfolio turnover ratio is 0.32 times.</t>
  </si>
  <si>
    <t>(7) During the period, the portfolio turnover ratio is 0.36 times.</t>
  </si>
  <si>
    <t>Total exposure due to futures (non hedging positions) as a percentage of net assets: 0.50%.</t>
  </si>
  <si>
    <t>(7) During the period, the portfolio turnover ratio is 1.23 times.</t>
  </si>
  <si>
    <t>(7) During the period, the portfolio turnover ratio is 0.42 times.</t>
  </si>
  <si>
    <t>(7) During the period, the portfolio turnover ratio is 5.31 times.</t>
  </si>
  <si>
    <t>Total percentage of existing assets hedged through futures: -74.82%</t>
  </si>
  <si>
    <t>Debt Index Replication Factor (DIRF) : 99.06%</t>
  </si>
  <si>
    <t>Vedanta Aluminium Metal Ltd **</t>
  </si>
  <si>
    <t>Talwandi Sabo Power Ltd **</t>
  </si>
  <si>
    <t>Malco Energy Ltd **</t>
  </si>
  <si>
    <t>Vedanta Iron And Steel Ltd **</t>
  </si>
  <si>
    <t>Allcargo Global Ltd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</si>
</sst>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#,##0.00%"/>
    <numFmt numFmtId="165" formatCode="#,##0;\(#,##0.\)"/>
    <numFmt numFmtId="166" formatCode="#,##0.0000"/>
    <numFmt numFmtId="167" formatCode="0.0000"/>
    <numFmt numFmtId="168" formatCode="_(* #,##0.00_);_(* \(#,##0.00\);_(* &quot;-&quot;??_);_(@_)"/>
    <numFmt numFmtId="169" formatCode="#,##0.0000_ ;\-#,##0.0000\ "/>
    <numFmt numFmtId="170" formatCode="_(* #,##0.000_);_(* \(#,##0.000\);_(* &quot;-&quot;??_);_(@_)"/>
    <numFmt numFmtId="171" formatCode="_ * #,##0.000_ ;_ * \-#,##0.000_ ;_ * &quot;-&quot;??_ ;_ @_ "/>
  </numFmts>
  <fonts count="17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"/>
      <color rgb="FFFF0000"/>
      <name val="Arial"/>
      <family val="2"/>
    </font>
    <font>
      <b/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CCCCCC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43" fontId="14" fillId="0" borderId="0" applyFont="0" applyFill="0" applyBorder="0" applyAlignment="0" applyProtection="0"/>
  </cellStyleXfs>
  <cellXfs count="194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7" fillId="3" borderId="2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center" vertical="center" wrapText="1"/>
    </xf>
    <xf numFmtId="39" fontId="6" fillId="4" borderId="0" xfId="0" applyNumberFormat="1" applyFont="1" applyFill="1" applyBorder="1"/>
    <xf numFmtId="0" fontId="10" fillId="0" borderId="0" xfId="0" applyFont="1"/>
    <xf numFmtId="0" fontId="11" fillId="0" borderId="3" xfId="1" applyBorder="1"/>
    <xf numFmtId="0" fontId="10" fillId="0" borderId="4" xfId="0" applyFont="1" applyBorder="1"/>
    <xf numFmtId="0" fontId="10" fillId="0" borderId="5" xfId="0" applyFont="1" applyBorder="1"/>
    <xf numFmtId="0" fontId="11" fillId="0" borderId="6" xfId="1" applyBorder="1"/>
    <xf numFmtId="0" fontId="10" fillId="0" borderId="7" xfId="0" applyFont="1" applyBorder="1"/>
    <xf numFmtId="0" fontId="10" fillId="0" borderId="8" xfId="0" applyFont="1" applyBorder="1"/>
    <xf numFmtId="0" fontId="5" fillId="2" borderId="0" xfId="0" applyFont="1" applyFill="1"/>
    <xf numFmtId="164" fontId="6" fillId="2" borderId="0" xfId="0" applyNumberFormat="1" applyFont="1" applyFill="1"/>
    <xf numFmtId="0" fontId="5" fillId="2" borderId="0" xfId="0" applyNumberFormat="1" applyFont="1" applyFill="1"/>
    <xf numFmtId="0" fontId="5" fillId="0" borderId="9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 wrapText="1"/>
    </xf>
    <xf numFmtId="39" fontId="5" fillId="0" borderId="9" xfId="0" applyNumberFormat="1" applyFont="1" applyBorder="1" applyAlignment="1">
      <alignment horizontal="center" vertical="center" wrapText="1"/>
    </xf>
    <xf numFmtId="10" fontId="5" fillId="0" borderId="9" xfId="0" applyNumberFormat="1" applyFont="1" applyBorder="1" applyAlignment="1">
      <alignment horizontal="center" vertical="center" wrapText="1"/>
    </xf>
    <xf numFmtId="0" fontId="5" fillId="2" borderId="10" xfId="0" applyFont="1" applyFill="1" applyBorder="1"/>
    <xf numFmtId="0" fontId="6" fillId="2" borderId="10" xfId="0" applyFont="1" applyFill="1" applyBorder="1"/>
    <xf numFmtId="0" fontId="6" fillId="2" borderId="10" xfId="0" applyNumberFormat="1" applyFont="1" applyFill="1" applyBorder="1"/>
    <xf numFmtId="39" fontId="6" fillId="2" borderId="10" xfId="0" applyNumberFormat="1" applyFont="1" applyFill="1" applyBorder="1"/>
    <xf numFmtId="39" fontId="6" fillId="4" borderId="10" xfId="0" applyNumberFormat="1" applyFont="1" applyFill="1" applyBorder="1"/>
    <xf numFmtId="10" fontId="6" fillId="2" borderId="10" xfId="0" applyNumberFormat="1" applyFont="1" applyFill="1" applyBorder="1"/>
    <xf numFmtId="3" fontId="6" fillId="2" borderId="10" xfId="0" applyNumberFormat="1" applyFont="1" applyFill="1" applyBorder="1"/>
    <xf numFmtId="164" fontId="6" fillId="2" borderId="10" xfId="0" applyNumberFormat="1" applyFont="1" applyFill="1" applyBorder="1"/>
    <xf numFmtId="0" fontId="5" fillId="2" borderId="10" xfId="0" applyNumberFormat="1" applyFont="1" applyFill="1" applyBorder="1"/>
    <xf numFmtId="39" fontId="5" fillId="2" borderId="11" xfId="0" applyNumberFormat="1" applyFont="1" applyFill="1" applyBorder="1"/>
    <xf numFmtId="39" fontId="5" fillId="4" borderId="11" xfId="0" applyNumberFormat="1" applyFont="1" applyFill="1" applyBorder="1"/>
    <xf numFmtId="10" fontId="5" fillId="2" borderId="10" xfId="0" applyNumberFormat="1" applyFont="1" applyFill="1" applyBorder="1"/>
    <xf numFmtId="39" fontId="5" fillId="2" borderId="10" xfId="0" applyNumberFormat="1" applyFont="1" applyFill="1" applyBorder="1" applyAlignment="1">
      <alignment horizontal="right"/>
    </xf>
    <xf numFmtId="39" fontId="5" fillId="4" borderId="10" xfId="0" applyNumberFormat="1" applyFont="1" applyFill="1" applyBorder="1" applyAlignment="1">
      <alignment horizontal="right"/>
    </xf>
    <xf numFmtId="39" fontId="5" fillId="2" borderId="12" xfId="0" applyNumberFormat="1" applyFont="1" applyFill="1" applyBorder="1" applyAlignment="1">
      <alignment horizontal="right"/>
    </xf>
    <xf numFmtId="39" fontId="5" fillId="4" borderId="12" xfId="0" applyNumberFormat="1" applyFont="1" applyFill="1" applyBorder="1" applyAlignment="1">
      <alignment horizontal="right"/>
    </xf>
    <xf numFmtId="0" fontId="5" fillId="2" borderId="13" xfId="0" applyFont="1" applyFill="1" applyBorder="1"/>
    <xf numFmtId="0" fontId="5" fillId="2" borderId="13" xfId="0" applyNumberFormat="1" applyFont="1" applyFill="1" applyBorder="1"/>
    <xf numFmtId="39" fontId="5" fillId="2" borderId="13" xfId="0" applyNumberFormat="1" applyFont="1" applyFill="1" applyBorder="1"/>
    <xf numFmtId="39" fontId="5" fillId="4" borderId="13" xfId="0" applyNumberFormat="1" applyFont="1" applyFill="1" applyBorder="1"/>
    <xf numFmtId="0" fontId="5" fillId="2" borderId="14" xfId="0" applyFont="1" applyFill="1" applyBorder="1"/>
    <xf numFmtId="0" fontId="5" fillId="2" borderId="14" xfId="0" applyNumberFormat="1" applyFont="1" applyFill="1" applyBorder="1"/>
    <xf numFmtId="39" fontId="5" fillId="2" borderId="14" xfId="0" applyNumberFormat="1" applyFont="1" applyFill="1" applyBorder="1"/>
    <xf numFmtId="39" fontId="5" fillId="4" borderId="14" xfId="0" applyNumberFormat="1" applyFont="1" applyFill="1" applyBorder="1"/>
    <xf numFmtId="10" fontId="5" fillId="2" borderId="15" xfId="0" applyNumberFormat="1" applyFont="1" applyFill="1" applyBorder="1"/>
    <xf numFmtId="0" fontId="5" fillId="2" borderId="15" xfId="0" applyFont="1" applyFill="1" applyBorder="1"/>
    <xf numFmtId="0" fontId="5" fillId="2" borderId="11" xfId="0" applyFont="1" applyFill="1" applyBorder="1"/>
    <xf numFmtId="0" fontId="5" fillId="2" borderId="11" xfId="0" applyNumberFormat="1" applyFont="1" applyFill="1" applyBorder="1"/>
    <xf numFmtId="0" fontId="5" fillId="2" borderId="1" xfId="0" applyFont="1" applyFill="1" applyBorder="1"/>
    <xf numFmtId="0" fontId="5" fillId="2" borderId="1" xfId="0" applyNumberFormat="1" applyFont="1" applyFill="1" applyBorder="1"/>
    <xf numFmtId="39" fontId="5" fillId="2" borderId="1" xfId="0" applyNumberFormat="1" applyFont="1" applyFill="1" applyBorder="1"/>
    <xf numFmtId="39" fontId="5" fillId="4" borderId="1" xfId="0" applyNumberFormat="1" applyFont="1" applyFill="1" applyBorder="1"/>
    <xf numFmtId="0" fontId="6" fillId="2" borderId="1" xfId="0" applyFont="1" applyFill="1" applyBorder="1"/>
    <xf numFmtId="165" fontId="6" fillId="2" borderId="1" xfId="0" applyNumberFormat="1" applyFont="1" applyFill="1" applyBorder="1"/>
    <xf numFmtId="39" fontId="6" fillId="2" borderId="1" xfId="0" applyNumberFormat="1" applyFont="1" applyFill="1" applyBorder="1"/>
    <xf numFmtId="39" fontId="6" fillId="4" borderId="1" xfId="0" applyNumberFormat="1" applyFont="1" applyFill="1" applyBorder="1"/>
    <xf numFmtId="0" fontId="5" fillId="2" borderId="0" xfId="0" applyFont="1" applyFill="1" applyAlignment="1">
      <alignment horizontal="right"/>
    </xf>
    <xf numFmtId="166" fontId="6" fillId="2" borderId="0" xfId="0" applyNumberFormat="1" applyFont="1" applyFill="1"/>
    <xf numFmtId="4" fontId="6" fillId="2" borderId="10" xfId="0" applyNumberFormat="1" applyFont="1" applyFill="1" applyBorder="1"/>
    <xf numFmtId="39" fontId="5" fillId="2" borderId="12" xfId="0" applyNumberFormat="1" applyFont="1" applyFill="1" applyBorder="1"/>
    <xf numFmtId="39" fontId="5" fillId="4" borderId="12" xfId="0" applyNumberFormat="1" applyFont="1" applyFill="1" applyBorder="1"/>
    <xf numFmtId="0" fontId="6" fillId="2" borderId="13" xfId="0" applyFont="1" applyFill="1" applyBorder="1"/>
    <xf numFmtId="0" fontId="6" fillId="2" borderId="13" xfId="0" applyNumberFormat="1" applyFont="1" applyFill="1" applyBorder="1"/>
    <xf numFmtId="39" fontId="6" fillId="2" borderId="13" xfId="0" applyNumberFormat="1" applyFont="1" applyFill="1" applyBorder="1"/>
    <xf numFmtId="39" fontId="6" fillId="4" borderId="13" xfId="0" applyNumberFormat="1" applyFont="1" applyFill="1" applyBorder="1"/>
    <xf numFmtId="39" fontId="5" fillId="2" borderId="13" xfId="0" applyNumberFormat="1" applyFont="1" applyFill="1" applyBorder="1" applyAlignment="1">
      <alignment horizontal="right"/>
    </xf>
    <xf numFmtId="39" fontId="5" fillId="4" borderId="13" xfId="0" applyNumberFormat="1" applyFont="1" applyFill="1" applyBorder="1" applyAlignment="1">
      <alignment horizontal="right"/>
    </xf>
    <xf numFmtId="0" fontId="12" fillId="2" borderId="9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vertical="center"/>
    </xf>
    <xf numFmtId="0" fontId="12" fillId="2" borderId="9" xfId="0" applyFont="1" applyFill="1" applyBorder="1"/>
    <xf numFmtId="0" fontId="11" fillId="2" borderId="0" xfId="1" applyFill="1"/>
    <xf numFmtId="0" fontId="5" fillId="2" borderId="0" xfId="0" applyFont="1" applyFill="1" applyAlignment="1">
      <alignment vertical="center" wrapText="1"/>
    </xf>
    <xf numFmtId="39" fontId="6" fillId="4" borderId="0" xfId="0" applyNumberFormat="1" applyFont="1" applyFill="1"/>
    <xf numFmtId="0" fontId="5" fillId="4" borderId="0" xfId="0" applyFont="1" applyFill="1" applyAlignment="1">
      <alignment vertical="center"/>
    </xf>
    <xf numFmtId="0" fontId="5" fillId="4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5" fillId="2" borderId="0" xfId="0" applyFont="1" applyFill="1" applyAlignment="1">
      <alignment vertical="center" wrapText="1"/>
    </xf>
    <xf numFmtId="0" fontId="11" fillId="0" borderId="6" xfId="1" quotePrefix="1" applyBorder="1"/>
    <xf numFmtId="0" fontId="6" fillId="2" borderId="0" xfId="0" applyFont="1" applyFill="1" applyAlignment="1">
      <alignment vertical="center"/>
    </xf>
    <xf numFmtId="0" fontId="5" fillId="2" borderId="14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vertical="center"/>
    </xf>
    <xf numFmtId="167" fontId="6" fillId="2" borderId="14" xfId="0" applyNumberFormat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5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6" fillId="2" borderId="14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0" xfId="0" applyFont="1"/>
    <xf numFmtId="0" fontId="6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167" fontId="6" fillId="2" borderId="14" xfId="0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/>
    </xf>
    <xf numFmtId="0" fontId="13" fillId="4" borderId="0" xfId="0" applyFont="1" applyFill="1"/>
    <xf numFmtId="0" fontId="13" fillId="4" borderId="0" xfId="0" applyFont="1" applyFill="1" applyAlignment="1">
      <alignment horizontal="left"/>
    </xf>
    <xf numFmtId="0" fontId="13" fillId="4" borderId="16" xfId="0" applyFont="1" applyFill="1" applyBorder="1" applyAlignment="1">
      <alignment horizontal="justify" vertical="center"/>
    </xf>
    <xf numFmtId="43" fontId="13" fillId="4" borderId="15" xfId="2" applyFont="1" applyFill="1" applyBorder="1" applyAlignment="1">
      <alignment horizontal="justify" vertical="center"/>
    </xf>
    <xf numFmtId="43" fontId="13" fillId="4" borderId="17" xfId="2" applyFont="1" applyFill="1" applyBorder="1" applyAlignment="1">
      <alignment horizontal="center" vertical="center"/>
    </xf>
    <xf numFmtId="43" fontId="13" fillId="4" borderId="15" xfId="2" applyFont="1" applyFill="1" applyBorder="1" applyAlignment="1">
      <alignment horizontal="right" vertical="center"/>
    </xf>
    <xf numFmtId="43" fontId="13" fillId="4" borderId="0" xfId="2" applyFont="1" applyFill="1" applyAlignment="1">
      <alignment horizontal="justify" vertical="center"/>
    </xf>
    <xf numFmtId="2" fontId="13" fillId="4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justify" vertical="center"/>
    </xf>
    <xf numFmtId="3" fontId="13" fillId="0" borderId="16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4" fontId="13" fillId="0" borderId="16" xfId="0" applyNumberFormat="1" applyFont="1" applyBorder="1" applyAlignment="1">
      <alignment horizontal="center" vertical="center"/>
    </xf>
    <xf numFmtId="43" fontId="13" fillId="0" borderId="15" xfId="2" applyFont="1" applyFill="1" applyBorder="1" applyAlignment="1">
      <alignment horizontal="left" vertical="center"/>
    </xf>
    <xf numFmtId="168" fontId="13" fillId="0" borderId="15" xfId="0" applyNumberFormat="1" applyFont="1" applyBorder="1" applyAlignment="1">
      <alignment vertical="center"/>
    </xf>
    <xf numFmtId="0" fontId="6" fillId="4" borderId="0" xfId="0" applyFont="1" applyFill="1"/>
    <xf numFmtId="0" fontId="3" fillId="4" borderId="0" xfId="0" applyFont="1" applyFill="1" applyAlignment="1">
      <alignment vertical="top"/>
    </xf>
    <xf numFmtId="169" fontId="15" fillId="4" borderId="0" xfId="0" applyNumberFormat="1" applyFont="1" applyFill="1" applyAlignment="1">
      <alignment horizontal="center" vertical="top"/>
    </xf>
    <xf numFmtId="0" fontId="15" fillId="4" borderId="0" xfId="0" applyFont="1" applyFill="1" applyAlignment="1">
      <alignment vertical="top"/>
    </xf>
    <xf numFmtId="0" fontId="16" fillId="4" borderId="0" xfId="0" applyFont="1" applyFill="1" applyAlignment="1">
      <alignment vertical="top"/>
    </xf>
    <xf numFmtId="0" fontId="13" fillId="4" borderId="0" xfId="0" applyFont="1" applyFill="1" applyAlignment="1">
      <alignment vertical="top"/>
    </xf>
    <xf numFmtId="169" fontId="13" fillId="4" borderId="0" xfId="0" applyNumberFormat="1" applyFont="1" applyFill="1" applyAlignment="1">
      <alignment horizontal="center" vertical="top"/>
    </xf>
    <xf numFmtId="3" fontId="13" fillId="4" borderId="0" xfId="0" applyNumberFormat="1" applyFont="1" applyFill="1" applyAlignment="1">
      <alignment horizontal="center" vertical="center"/>
    </xf>
    <xf numFmtId="3" fontId="13" fillId="4" borderId="0" xfId="0" applyNumberFormat="1" applyFont="1" applyFill="1" applyAlignment="1">
      <alignment horizontal="left" vertical="center"/>
    </xf>
    <xf numFmtId="3" fontId="3" fillId="4" borderId="0" xfId="0" applyNumberFormat="1" applyFont="1" applyFill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center" vertical="center" wrapText="1"/>
    </xf>
    <xf numFmtId="43" fontId="13" fillId="0" borderId="17" xfId="2" applyFont="1" applyBorder="1" applyAlignment="1">
      <alignment horizontal="center" vertical="center" wrapText="1"/>
    </xf>
    <xf numFmtId="43" fontId="13" fillId="0" borderId="15" xfId="2" applyFont="1" applyBorder="1" applyAlignment="1">
      <alignment horizontal="center" vertical="center" wrapText="1"/>
    </xf>
    <xf numFmtId="171" fontId="6" fillId="2" borderId="0" xfId="0" applyNumberFormat="1" applyFont="1" applyFill="1"/>
    <xf numFmtId="39" fontId="13" fillId="0" borderId="10" xfId="0" applyNumberFormat="1" applyFont="1" applyFill="1" applyBorder="1"/>
    <xf numFmtId="0" fontId="5" fillId="2" borderId="0" xfId="0" applyFont="1" applyFill="1" applyAlignment="1">
      <alignment horizontal="left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/>
    </xf>
    <xf numFmtId="39" fontId="6" fillId="0" borderId="10" xfId="0" applyNumberFormat="1" applyFont="1" applyFill="1" applyBorder="1"/>
    <xf numFmtId="0" fontId="5" fillId="0" borderId="1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 wrapText="1"/>
    </xf>
    <xf numFmtId="2" fontId="6" fillId="0" borderId="14" xfId="0" applyNumberFormat="1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justify" vertical="center"/>
    </xf>
    <xf numFmtId="43" fontId="13" fillId="0" borderId="15" xfId="2" applyFont="1" applyFill="1" applyBorder="1" applyAlignment="1">
      <alignment horizontal="justify" vertical="center"/>
    </xf>
    <xf numFmtId="43" fontId="13" fillId="0" borderId="17" xfId="2" applyFont="1" applyFill="1" applyBorder="1" applyAlignment="1">
      <alignment horizontal="center" vertical="center"/>
    </xf>
    <xf numFmtId="43" fontId="13" fillId="0" borderId="15" xfId="2" applyFont="1" applyFill="1" applyBorder="1" applyAlignment="1">
      <alignment horizontal="right" vertical="center"/>
    </xf>
    <xf numFmtId="0" fontId="13" fillId="0" borderId="0" xfId="0" applyFont="1" applyFill="1" applyAlignment="1">
      <alignment horizontal="left"/>
    </xf>
    <xf numFmtId="0" fontId="13" fillId="0" borderId="0" xfId="0" applyFont="1" applyFill="1"/>
    <xf numFmtId="3" fontId="13" fillId="0" borderId="16" xfId="0" applyNumberFormat="1" applyFont="1" applyFill="1" applyBorder="1" applyAlignment="1">
      <alignment horizontal="center" vertical="center"/>
    </xf>
    <xf numFmtId="4" fontId="13" fillId="0" borderId="16" xfId="0" applyNumberFormat="1" applyFont="1" applyFill="1" applyBorder="1" applyAlignment="1">
      <alignment horizontal="center" vertical="center"/>
    </xf>
    <xf numFmtId="168" fontId="13" fillId="0" borderId="15" xfId="0" applyNumberFormat="1" applyFont="1" applyFill="1" applyBorder="1" applyAlignment="1">
      <alignment vertical="center"/>
    </xf>
    <xf numFmtId="0" fontId="13" fillId="0" borderId="16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43" fontId="13" fillId="0" borderId="15" xfId="2" applyFont="1" applyBorder="1" applyAlignment="1">
      <alignment horizontal="center" vertical="center" wrapText="1"/>
    </xf>
    <xf numFmtId="0" fontId="6" fillId="0" borderId="0" xfId="0" applyFont="1" applyFill="1"/>
    <xf numFmtId="0" fontId="13" fillId="0" borderId="0" xfId="0" applyFont="1" applyFill="1" applyAlignment="1">
      <alignment vertical="center"/>
    </xf>
    <xf numFmtId="0" fontId="13" fillId="0" borderId="0" xfId="0" applyFont="1" applyFill="1" applyAlignment="1">
      <alignment horizontal="left" vertical="top"/>
    </xf>
    <xf numFmtId="43" fontId="13" fillId="0" borderId="15" xfId="2" applyFont="1" applyFill="1" applyBorder="1" applyAlignment="1">
      <alignment horizontal="center" vertical="center"/>
    </xf>
    <xf numFmtId="170" fontId="13" fillId="0" borderId="15" xfId="0" applyNumberFormat="1" applyFont="1" applyFill="1" applyBorder="1" applyAlignment="1">
      <alignment vertical="center"/>
    </xf>
    <xf numFmtId="0" fontId="13" fillId="0" borderId="16" xfId="0" applyFont="1" applyFill="1" applyBorder="1" applyAlignment="1">
      <alignment horizontal="left" vertical="center" wrapText="1"/>
    </xf>
    <xf numFmtId="43" fontId="13" fillId="0" borderId="15" xfId="2" applyFont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3" fontId="13" fillId="4" borderId="14" xfId="0" applyNumberFormat="1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43" fontId="13" fillId="0" borderId="12" xfId="2" applyFont="1" applyBorder="1" applyAlignment="1">
      <alignment horizontal="center" vertical="center" wrapText="1"/>
    </xf>
    <xf numFmtId="43" fontId="13" fillId="0" borderId="15" xfId="2" applyFont="1" applyBorder="1" applyAlignment="1">
      <alignment horizontal="center" vertical="center" wrapText="1"/>
    </xf>
    <xf numFmtId="3" fontId="13" fillId="4" borderId="7" xfId="0" applyNumberFormat="1" applyFont="1" applyFill="1" applyBorder="1" applyAlignment="1">
      <alignment horizontal="center" vertical="center"/>
    </xf>
    <xf numFmtId="3" fontId="13" fillId="4" borderId="6" xfId="0" applyNumberFormat="1" applyFont="1" applyFill="1" applyBorder="1" applyAlignment="1">
      <alignment horizontal="center" vertical="center"/>
    </xf>
    <xf numFmtId="3" fontId="13" fillId="4" borderId="8" xfId="0" applyNumberFormat="1" applyFont="1" applyFill="1" applyBorder="1" applyAlignment="1">
      <alignment horizontal="center" vertical="center"/>
    </xf>
  </cellXfs>
  <cellStyles count="3">
    <cellStyle name="Comma" xfId="2" builtinId="3"/>
    <cellStyle name="Hyperlink" xfId="1" builtinId="8"/>
    <cellStyle name="Normal" xfId="0" builtinId="0"/>
  </cellStyles>
  <dxfs count="17"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1393825</xdr:colOff>
      <xdr:row>158</xdr:row>
      <xdr:rowOff>120650</xdr:rowOff>
    </xdr:from>
    <xdr:to>
      <xdr:col>3</xdr:col>
      <xdr:colOff>784451</xdr:colOff>
      <xdr:row>176</xdr:row>
      <xdr:rowOff>117475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E3CE42-75D3-435A-BF7D-476E06496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21031200"/>
          <a:ext cx="5169126" cy="2282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1468437</xdr:colOff>
      <xdr:row>185</xdr:row>
      <xdr:rowOff>123825</xdr:rowOff>
    </xdr:from>
    <xdr:to>
      <xdr:col>3</xdr:col>
      <xdr:colOff>1047750</xdr:colOff>
      <xdr:row>201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7150A8-7F90-4FE6-8CAF-EFFFBC6F8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0087" y="24476075"/>
          <a:ext cx="5357813" cy="1927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66</xdr:row>
      <xdr:rowOff>9525</xdr:rowOff>
    </xdr:from>
    <xdr:to>
      <xdr:col>3</xdr:col>
      <xdr:colOff>746125</xdr:colOff>
      <xdr:row>83</xdr:row>
      <xdr:rowOff>98425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92153A47-CFBD-4E02-BAA6-384FA1A58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700" y="10474325"/>
          <a:ext cx="5045075" cy="224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476250</xdr:colOff>
      <xdr:row>89</xdr:row>
      <xdr:rowOff>47625</xdr:rowOff>
    </xdr:from>
    <xdr:to>
      <xdr:col>3</xdr:col>
      <xdr:colOff>946150</xdr:colOff>
      <xdr:row>106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FCE16A88-8E6C-409B-B49C-BD9F8830B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13452475"/>
          <a:ext cx="5168900" cy="211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64</xdr:row>
      <xdr:rowOff>104775</xdr:rowOff>
    </xdr:from>
    <xdr:to>
      <xdr:col>3</xdr:col>
      <xdr:colOff>514350</xdr:colOff>
      <xdr:row>81</xdr:row>
      <xdr:rowOff>50801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A303EC-55AC-4803-B226-BF579EABB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625" y="7775575"/>
          <a:ext cx="4638675" cy="210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88</xdr:row>
      <xdr:rowOff>28575</xdr:rowOff>
    </xdr:from>
    <xdr:to>
      <xdr:col>3</xdr:col>
      <xdr:colOff>609600</xdr:colOff>
      <xdr:row>105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A6DF53-E198-4F17-BACA-6003EB1F9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775" y="10766425"/>
          <a:ext cx="5057775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99</xdr:row>
      <xdr:rowOff>0</xdr:rowOff>
    </xdr:from>
    <xdr:to>
      <xdr:col>3</xdr:col>
      <xdr:colOff>685800</xdr:colOff>
      <xdr:row>116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8EE1E2-A2CF-488A-BB46-F9230E2AE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075" y="14979650"/>
          <a:ext cx="5006975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120</xdr:row>
      <xdr:rowOff>76200</xdr:rowOff>
    </xdr:from>
    <xdr:to>
      <xdr:col>3</xdr:col>
      <xdr:colOff>828675</xdr:colOff>
      <xdr:row>137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4986FD-612E-47B7-96EE-F81B58C22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735550"/>
          <a:ext cx="5178425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35</xdr:row>
      <xdr:rowOff>95250</xdr:rowOff>
    </xdr:from>
    <xdr:to>
      <xdr:col>3</xdr:col>
      <xdr:colOff>90311</xdr:colOff>
      <xdr:row>50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29F975-2A6E-4F36-BA45-3A903036D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825" y="5499100"/>
          <a:ext cx="4156075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54</xdr:row>
      <xdr:rowOff>114300</xdr:rowOff>
    </xdr:from>
    <xdr:to>
      <xdr:col>3</xdr:col>
      <xdr:colOff>150636</xdr:colOff>
      <xdr:row>68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61AB3F-FA0F-4850-91DE-65043CA42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050" y="7943850"/>
          <a:ext cx="4321175" cy="172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920750</xdr:colOff>
      <xdr:row>71</xdr:row>
      <xdr:rowOff>74084</xdr:rowOff>
    </xdr:from>
    <xdr:to>
      <xdr:col>4</xdr:col>
      <xdr:colOff>219075</xdr:colOff>
      <xdr:row>89</xdr:row>
      <xdr:rowOff>11643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7F602F4E-2DE4-43D2-9069-D5AFED487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7184"/>
          <a:ext cx="5038725" cy="2223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1123950</xdr:colOff>
      <xdr:row>97</xdr:row>
      <xdr:rowOff>69850</xdr:rowOff>
    </xdr:from>
    <xdr:to>
      <xdr:col>4</xdr:col>
      <xdr:colOff>546100</xdr:colOff>
      <xdr:row>114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576D00-F6FE-4110-B0DA-3E48AB3B4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600" y="12947650"/>
          <a:ext cx="516255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1682750</xdr:colOff>
      <xdr:row>45</xdr:row>
      <xdr:rowOff>31750</xdr:rowOff>
    </xdr:from>
    <xdr:to>
      <xdr:col>5</xdr:col>
      <xdr:colOff>247650</xdr:colOff>
      <xdr:row>65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0DAFB8-2CFD-4B0E-9615-50F8B03C0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4400" y="7835900"/>
          <a:ext cx="5295900" cy="252730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1752600</xdr:colOff>
      <xdr:row>71</xdr:row>
      <xdr:rowOff>57150</xdr:rowOff>
    </xdr:from>
    <xdr:to>
      <xdr:col>5</xdr:col>
      <xdr:colOff>139700</xdr:colOff>
      <xdr:row>88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6839A8-6811-43D3-A710-FC5C2704E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50" y="10083800"/>
          <a:ext cx="511810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87</xdr:row>
      <xdr:rowOff>9525</xdr:rowOff>
    </xdr:from>
    <xdr:to>
      <xdr:col>2</xdr:col>
      <xdr:colOff>827794</xdr:colOff>
      <xdr:row>101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4D34A3-004A-405B-9E66-437A25138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375" y="11255375"/>
          <a:ext cx="4043363" cy="181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609600</xdr:colOff>
      <xdr:row>104</xdr:row>
      <xdr:rowOff>9524</xdr:rowOff>
    </xdr:from>
    <xdr:to>
      <xdr:col>2</xdr:col>
      <xdr:colOff>942094</xdr:colOff>
      <xdr:row>120</xdr:row>
      <xdr:rowOff>12699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6A8BAD-A9E0-42D0-AA2D-EFED0D62C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1250" y="13427074"/>
          <a:ext cx="4014788" cy="20351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95</xdr:row>
      <xdr:rowOff>104775</xdr:rowOff>
    </xdr:from>
    <xdr:to>
      <xdr:col>2</xdr:col>
      <xdr:colOff>804333</xdr:colOff>
      <xdr:row>109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A6D9BF-11BE-484D-88A9-A4E557158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11750675"/>
          <a:ext cx="4013200" cy="175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112</xdr:row>
      <xdr:rowOff>19050</xdr:rowOff>
    </xdr:from>
    <xdr:to>
      <xdr:col>2</xdr:col>
      <xdr:colOff>701675</xdr:colOff>
      <xdr:row>126</xdr:row>
      <xdr:rowOff>101601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2062B2-F669-433A-90E5-49E95B8CC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650" y="13836650"/>
          <a:ext cx="3622675" cy="18605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184</xdr:row>
      <xdr:rowOff>85725</xdr:rowOff>
    </xdr:from>
    <xdr:to>
      <xdr:col>2</xdr:col>
      <xdr:colOff>701675</xdr:colOff>
      <xdr:row>199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4A9F49-C9D0-4F76-9D97-488D7E718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125" y="23904575"/>
          <a:ext cx="401320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542925</xdr:colOff>
      <xdr:row>203</xdr:row>
      <xdr:rowOff>47625</xdr:rowOff>
    </xdr:from>
    <xdr:to>
      <xdr:col>2</xdr:col>
      <xdr:colOff>606425</xdr:colOff>
      <xdr:row>219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B3DE7C-7038-41F4-A8E3-D3712650E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575" y="26292175"/>
          <a:ext cx="3746500" cy="2032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284</xdr:row>
      <xdr:rowOff>47625</xdr:rowOff>
    </xdr:from>
    <xdr:to>
      <xdr:col>2</xdr:col>
      <xdr:colOff>806098</xdr:colOff>
      <xdr:row>298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7F77A7-DF35-4B46-B61A-BFF165F6E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275" y="36439475"/>
          <a:ext cx="4057650" cy="175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666750</xdr:colOff>
      <xdr:row>303</xdr:row>
      <xdr:rowOff>19050</xdr:rowOff>
    </xdr:from>
    <xdr:to>
      <xdr:col>2</xdr:col>
      <xdr:colOff>603250</xdr:colOff>
      <xdr:row>317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1FBF0F-E568-47D5-8356-07CC2F24E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8400" y="38836600"/>
          <a:ext cx="3619500" cy="186372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218</xdr:row>
      <xdr:rowOff>0</xdr:rowOff>
    </xdr:from>
    <xdr:to>
      <xdr:col>2</xdr:col>
      <xdr:colOff>422275</xdr:colOff>
      <xdr:row>232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EB57F3-9E73-4A72-BF0C-D581317FB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5" y="28111450"/>
          <a:ext cx="4070350" cy="177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939800</xdr:colOff>
      <xdr:row>236</xdr:row>
      <xdr:rowOff>47624</xdr:rowOff>
    </xdr:from>
    <xdr:to>
      <xdr:col>2</xdr:col>
      <xdr:colOff>479425</xdr:colOff>
      <xdr:row>251</xdr:row>
      <xdr:rowOff>85724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469EE7-7BE8-4639-B646-9D916E23B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1450" y="30457774"/>
          <a:ext cx="4092575" cy="19431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1276350</xdr:colOff>
      <xdr:row>351</xdr:row>
      <xdr:rowOff>47625</xdr:rowOff>
    </xdr:from>
    <xdr:to>
      <xdr:col>3</xdr:col>
      <xdr:colOff>165100</xdr:colOff>
      <xdr:row>367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F89ED1-F8E1-4F0F-9CDC-66C8F4B57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0" y="46167675"/>
          <a:ext cx="4724400" cy="207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923925</xdr:colOff>
      <xdr:row>370</xdr:row>
      <xdr:rowOff>85725</xdr:rowOff>
    </xdr:from>
    <xdr:to>
      <xdr:col>3</xdr:col>
      <xdr:colOff>228600</xdr:colOff>
      <xdr:row>387</xdr:row>
      <xdr:rowOff>82550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0E492F-5471-4FA4-9741-6DCEBC4BD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575" y="48631475"/>
          <a:ext cx="5140325" cy="215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1171575</xdr:colOff>
      <xdr:row>380</xdr:row>
      <xdr:rowOff>9525</xdr:rowOff>
    </xdr:from>
    <xdr:to>
      <xdr:col>3</xdr:col>
      <xdr:colOff>750321</xdr:colOff>
      <xdr:row>398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6A8751-58F8-4A33-AB86-0D476C44E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225" y="49895125"/>
          <a:ext cx="5179446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1190625</xdr:colOff>
      <xdr:row>402</xdr:row>
      <xdr:rowOff>15875</xdr:rowOff>
    </xdr:from>
    <xdr:to>
      <xdr:col>3</xdr:col>
      <xdr:colOff>819150</xdr:colOff>
      <xdr:row>422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46A6B6-5451-4097-8F1D-0F9242B4D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2275" y="52708175"/>
          <a:ext cx="5229225" cy="2543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9DFF-70F7-428E-B8B4-6C3F7A0594B3}">
  <dimension ref="A1:C15"/>
  <sheetViews>
    <sheetView workbookViewId="0"/>
  </sheetViews>
  <sheetFormatPr defaultColWidth="8.90625" defaultRowHeight="12.5" x14ac:dyDescent="0.25"/>
  <cols>
    <col min="1" max="1" width="6.1796875" style="19" bestFit="1" customWidth="1"/>
    <col min="2" max="2" width="10.90625" style="19" bestFit="1" customWidth="1"/>
    <col min="3" max="3" width="37.54296875" style="19" bestFit="1" customWidth="1"/>
    <col min="4" max="16384" width="8.90625" style="19"/>
  </cols>
  <sheetData>
    <row r="1" spans="1:3" ht="16" customHeight="1" x14ac:dyDescent="0.25">
      <c r="A1" s="16" t="s">
        <v>1</v>
      </c>
      <c r="B1" s="16" t="s">
        <v>2</v>
      </c>
      <c r="C1" s="16" t="s">
        <v>3</v>
      </c>
    </row>
    <row r="2" spans="1:3" ht="14.5" x14ac:dyDescent="0.35">
      <c r="A2" s="21">
        <v>1</v>
      </c>
      <c r="B2" s="20" t="s">
        <v>1493</v>
      </c>
      <c r="C2" s="22" t="s">
        <v>10</v>
      </c>
    </row>
    <row r="3" spans="1:3" ht="14.5" x14ac:dyDescent="0.35">
      <c r="A3" s="24">
        <v>2</v>
      </c>
      <c r="B3" s="23" t="s">
        <v>1495</v>
      </c>
      <c r="C3" s="25" t="s">
        <v>11</v>
      </c>
    </row>
    <row r="4" spans="1:3" ht="14.5" x14ac:dyDescent="0.35">
      <c r="A4" s="24">
        <v>3</v>
      </c>
      <c r="B4" s="23" t="s">
        <v>1496</v>
      </c>
      <c r="C4" s="25" t="s">
        <v>12</v>
      </c>
    </row>
    <row r="5" spans="1:3" ht="14.5" x14ac:dyDescent="0.35">
      <c r="A5" s="24">
        <v>4</v>
      </c>
      <c r="B5" s="23" t="s">
        <v>1497</v>
      </c>
      <c r="C5" s="25" t="s">
        <v>13</v>
      </c>
    </row>
    <row r="6" spans="1:3" ht="14.5" x14ac:dyDescent="0.35">
      <c r="A6" s="24">
        <v>5</v>
      </c>
      <c r="B6" s="93" t="s">
        <v>1498</v>
      </c>
      <c r="C6" s="25" t="s">
        <v>14</v>
      </c>
    </row>
    <row r="7" spans="1:3" ht="14.5" x14ac:dyDescent="0.35">
      <c r="A7" s="24">
        <v>6</v>
      </c>
      <c r="B7" s="23" t="s">
        <v>1499</v>
      </c>
      <c r="C7" s="25" t="s">
        <v>15</v>
      </c>
    </row>
    <row r="8" spans="1:3" ht="14.5" x14ac:dyDescent="0.35">
      <c r="A8" s="24">
        <v>7</v>
      </c>
      <c r="B8" s="23" t="s">
        <v>1500</v>
      </c>
      <c r="C8" s="25" t="s">
        <v>16</v>
      </c>
    </row>
    <row r="9" spans="1:3" ht="14.5" x14ac:dyDescent="0.35">
      <c r="A9" s="24">
        <v>8</v>
      </c>
      <c r="B9" s="93" t="s">
        <v>1501</v>
      </c>
      <c r="C9" s="25" t="s">
        <v>17</v>
      </c>
    </row>
    <row r="10" spans="1:3" ht="14.5" x14ac:dyDescent="0.35">
      <c r="A10" s="24">
        <v>9</v>
      </c>
      <c r="B10" s="23" t="s">
        <v>1502</v>
      </c>
      <c r="C10" s="25" t="s">
        <v>18</v>
      </c>
    </row>
    <row r="11" spans="1:3" ht="14.5" x14ac:dyDescent="0.35">
      <c r="A11" s="24">
        <v>10</v>
      </c>
      <c r="B11" s="23" t="s">
        <v>1503</v>
      </c>
      <c r="C11" s="25" t="s">
        <v>19</v>
      </c>
    </row>
    <row r="12" spans="1:3" ht="14.5" x14ac:dyDescent="0.35">
      <c r="A12" s="24">
        <v>11</v>
      </c>
      <c r="B12" s="23" t="s">
        <v>1504</v>
      </c>
      <c r="C12" s="25" t="s">
        <v>20</v>
      </c>
    </row>
    <row r="13" spans="1:3" ht="14.5" x14ac:dyDescent="0.35">
      <c r="A13" s="24">
        <v>12</v>
      </c>
      <c r="B13" s="23" t="s">
        <v>1505</v>
      </c>
      <c r="C13" s="25" t="s">
        <v>21</v>
      </c>
    </row>
    <row r="14" spans="1:3" ht="14.5" x14ac:dyDescent="0.35">
      <c r="A14" s="24">
        <v>13</v>
      </c>
      <c r="B14" s="23" t="s">
        <v>1506</v>
      </c>
      <c r="C14" s="25" t="s">
        <v>22</v>
      </c>
    </row>
    <row r="15" spans="1:3" ht="14.5" x14ac:dyDescent="0.35">
      <c r="A15" s="24">
        <v>14</v>
      </c>
      <c r="B15" s="23" t="s">
        <v>1507</v>
      </c>
      <c r="C15" s="25" t="s">
        <v>23</v>
      </c>
    </row>
  </sheetData>
  <hyperlinks>
    <hyperlink ref="B2" location="JBLARGE!A1" display="JBLARGE" xr:uid="{7BADEFE2-FC27-4F0B-844D-C952215C750C}"/>
    <hyperlink ref="B3" location="JBMMF!A1" display="JBMMF" xr:uid="{A09D5905-95BA-4AA2-A02C-104DBEF95D06}"/>
    <hyperlink ref="B4" location="JBOF!A1" display="JBOF" xr:uid="{ACACDEA4-F756-4975-9925-4AD6606D0F9F}"/>
    <hyperlink ref="B5" location="JBLF!A1" display="JBLF" xr:uid="{4BA09D63-CF95-4678-8591-1F1019FB4085}"/>
    <hyperlink ref="B6" location="'JBN8-13'!A1" display="'JBN8-13'" xr:uid="{DEC40231-DE98-4AB3-A404-E1CD785B1C86}"/>
    <hyperlink ref="B7" location="JBLOW!A1" display="JBLOW" xr:uid="{71A9F995-F7DC-4268-96D7-9B3159B82330}"/>
    <hyperlink ref="B8" location="JBSHORT!A1" display="JBSHORT" xr:uid="{C82266D0-3C61-43EE-A537-230CA5C11EA7}"/>
    <hyperlink ref="B9" location="'JBN50'!A1" display="'JBN50'" xr:uid="{2CB0C4A9-D4CC-4243-BE16-A9D78CDA947D}"/>
    <hyperlink ref="B10" location="JBNNX50!A1" display="JBNNX50" xr:uid="{16047E35-9898-4D2B-9D8B-1AFF90651D7E}"/>
    <hyperlink ref="B11" location="JBNM150!A1" display="JBNM150" xr:uid="{3BC3BD42-1382-4923-B58A-3DC4FDB1504D}"/>
    <hyperlink ref="B12" location="JBNS250!A1" display="JBNS250" xr:uid="{E4A52FCA-7D90-4999-B4C1-359197F27599}"/>
    <hyperlink ref="B13" location="JBFLEXI!A1" display="JBFLEXI" xr:uid="{44C02AA3-A444-4722-8122-A1D3BB3C725C}"/>
    <hyperlink ref="B14" location="JBARB!A1" display="JBARB" xr:uid="{E9DAAB0C-8D0B-4843-90A6-30EF84A275FF}"/>
    <hyperlink ref="B15" location="JBSECRO!A1" display="JBSECRO" xr:uid="{E5210A4F-66CC-4270-8C46-9DD62BF90264}"/>
  </hyperlinks>
  <pageMargins left="0.7" right="0.7" top="0.75" bottom="0.75" header="0.3" footer="0.3"/>
  <pageSetup paperSize="9" orientation="portrait" r:id="rId1"/>
  <headerFooter>
    <oddFooter>&amp;C&amp;1#&amp;"Calibri"&amp;10&amp;K000000RESTRICTED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9A5B-B27A-4F73-88F8-08EC52F6382B}">
  <dimension ref="A1:J202"/>
  <sheetViews>
    <sheetView tabSelected="1"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65.1796875" style="8" bestFit="1" customWidth="1"/>
    <col min="3" max="3" width="17.54296875" style="8" customWidth="1"/>
    <col min="4" max="4" width="32.1796875" style="8" bestFit="1" customWidth="1"/>
    <col min="5" max="5" width="13.90625" style="9" bestFit="1" customWidth="1"/>
    <col min="6" max="6" width="22.81640625" style="11" bestFit="1" customWidth="1"/>
    <col min="7" max="7" width="12.1796875" style="18" bestFit="1" customWidth="1"/>
    <col min="8" max="8" width="11.81640625" style="14" bestFit="1" customWidth="1"/>
    <col min="9" max="9" width="25.81640625" style="8" customWidth="1"/>
    <col min="10" max="16384" width="9.08984375" style="8"/>
  </cols>
  <sheetData>
    <row r="1" spans="1:10" s="1" customFormat="1" ht="16.75" customHeight="1" x14ac:dyDescent="0.35">
      <c r="B1" s="185" t="s">
        <v>10</v>
      </c>
      <c r="C1" s="186"/>
      <c r="D1" s="13"/>
      <c r="E1" s="6"/>
      <c r="F1" s="7"/>
      <c r="G1" s="18"/>
      <c r="H1" s="15"/>
    </row>
    <row r="2" spans="1:10" s="1" customFormat="1" ht="14.5" x14ac:dyDescent="0.35">
      <c r="A2" s="85" t="s">
        <v>1494</v>
      </c>
      <c r="E2" s="6"/>
      <c r="F2" s="7"/>
      <c r="G2" s="18"/>
      <c r="H2" s="15"/>
    </row>
    <row r="3" spans="1:10" s="1" customFormat="1" ht="11.5" x14ac:dyDescent="0.25">
      <c r="B3" s="10" t="s">
        <v>9</v>
      </c>
      <c r="C3" s="2"/>
      <c r="D3" s="3"/>
      <c r="E3" s="4"/>
      <c r="F3" s="5"/>
      <c r="G3" s="18"/>
      <c r="H3" s="15"/>
    </row>
    <row r="4" spans="1:10" s="1" customFormat="1" ht="25.5" customHeight="1" x14ac:dyDescent="0.25">
      <c r="B4" s="29" t="s">
        <v>7</v>
      </c>
      <c r="C4" s="29" t="s">
        <v>8</v>
      </c>
      <c r="D4" s="30" t="s">
        <v>190</v>
      </c>
      <c r="E4" s="31" t="s">
        <v>0</v>
      </c>
      <c r="F4" s="32" t="s">
        <v>4</v>
      </c>
      <c r="G4" s="33" t="s">
        <v>5</v>
      </c>
      <c r="H4" s="34" t="s">
        <v>6</v>
      </c>
      <c r="I4" s="17"/>
      <c r="J4" s="12"/>
    </row>
    <row r="5" spans="1:10" ht="10.5" x14ac:dyDescent="0.25">
      <c r="B5" s="35" t="s">
        <v>24</v>
      </c>
      <c r="C5" s="36"/>
      <c r="D5" s="36"/>
      <c r="E5" s="37"/>
      <c r="F5" s="38"/>
      <c r="G5" s="39"/>
      <c r="H5" s="40"/>
    </row>
    <row r="6" spans="1:10" ht="10.5" x14ac:dyDescent="0.25">
      <c r="B6" s="35" t="s">
        <v>25</v>
      </c>
      <c r="C6" s="36"/>
      <c r="D6" s="36"/>
      <c r="E6" s="37"/>
      <c r="F6" s="38"/>
      <c r="G6" s="39"/>
      <c r="H6" s="40"/>
    </row>
    <row r="7" spans="1:10" x14ac:dyDescent="0.2">
      <c r="B7" s="36" t="s">
        <v>26</v>
      </c>
      <c r="C7" s="36" t="s">
        <v>27</v>
      </c>
      <c r="D7" s="36" t="s">
        <v>28</v>
      </c>
      <c r="E7" s="41">
        <v>45635</v>
      </c>
      <c r="F7" s="38">
        <v>339.77539250000001</v>
      </c>
      <c r="G7" s="39">
        <v>8.9321054707869294</v>
      </c>
      <c r="H7" s="42"/>
    </row>
    <row r="8" spans="1:10" x14ac:dyDescent="0.2">
      <c r="B8" s="36" t="s">
        <v>29</v>
      </c>
      <c r="C8" s="36" t="s">
        <v>30</v>
      </c>
      <c r="D8" s="36" t="s">
        <v>28</v>
      </c>
      <c r="E8" s="41">
        <v>22381</v>
      </c>
      <c r="F8" s="38">
        <v>281.194884</v>
      </c>
      <c r="G8" s="39">
        <v>7.3921255546300202</v>
      </c>
      <c r="H8" s="42"/>
    </row>
    <row r="9" spans="1:10" x14ac:dyDescent="0.2">
      <c r="B9" s="36" t="s">
        <v>31</v>
      </c>
      <c r="C9" s="36" t="s">
        <v>32</v>
      </c>
      <c r="D9" s="36" t="s">
        <v>33</v>
      </c>
      <c r="E9" s="41">
        <v>11309</v>
      </c>
      <c r="F9" s="38">
        <v>206.84161</v>
      </c>
      <c r="G9" s="39">
        <v>5.4375070032988804</v>
      </c>
      <c r="H9" s="42"/>
    </row>
    <row r="10" spans="1:10" x14ac:dyDescent="0.2">
      <c r="B10" s="36" t="s">
        <v>34</v>
      </c>
      <c r="C10" s="36" t="s">
        <v>35</v>
      </c>
      <c r="D10" s="36" t="s">
        <v>36</v>
      </c>
      <c r="E10" s="41">
        <v>13836</v>
      </c>
      <c r="F10" s="38">
        <v>182.801232</v>
      </c>
      <c r="G10" s="39">
        <v>4.8055271819420797</v>
      </c>
      <c r="H10" s="42"/>
    </row>
    <row r="11" spans="1:10" x14ac:dyDescent="0.2">
      <c r="B11" s="36" t="s">
        <v>37</v>
      </c>
      <c r="C11" s="36" t="s">
        <v>38</v>
      </c>
      <c r="D11" s="36" t="s">
        <v>39</v>
      </c>
      <c r="E11" s="41">
        <v>5628</v>
      </c>
      <c r="F11" s="38">
        <v>171.40636799999999</v>
      </c>
      <c r="G11" s="39">
        <v>4.5059759804133499</v>
      </c>
      <c r="H11" s="42"/>
    </row>
    <row r="12" spans="1:10" x14ac:dyDescent="0.2">
      <c r="B12" s="36" t="s">
        <v>40</v>
      </c>
      <c r="C12" s="36" t="s">
        <v>41</v>
      </c>
      <c r="D12" s="36" t="s">
        <v>28</v>
      </c>
      <c r="E12" s="41">
        <v>17669</v>
      </c>
      <c r="F12" s="38">
        <v>170.39983599999999</v>
      </c>
      <c r="G12" s="39">
        <v>4.4795160007262602</v>
      </c>
      <c r="H12" s="42"/>
    </row>
    <row r="13" spans="1:10" x14ac:dyDescent="0.2">
      <c r="B13" s="36" t="s">
        <v>42</v>
      </c>
      <c r="C13" s="36" t="s">
        <v>43</v>
      </c>
      <c r="D13" s="36" t="s">
        <v>44</v>
      </c>
      <c r="E13" s="41">
        <v>12920</v>
      </c>
      <c r="F13" s="38">
        <v>149.98828</v>
      </c>
      <c r="G13" s="39">
        <v>3.9429316128063099</v>
      </c>
      <c r="H13" s="42"/>
    </row>
    <row r="14" spans="1:10" x14ac:dyDescent="0.2">
      <c r="B14" s="36" t="s">
        <v>45</v>
      </c>
      <c r="C14" s="36" t="s">
        <v>46</v>
      </c>
      <c r="D14" s="36" t="s">
        <v>47</v>
      </c>
      <c r="E14" s="41">
        <v>3556</v>
      </c>
      <c r="F14" s="38">
        <v>144.96034</v>
      </c>
      <c r="G14" s="39">
        <v>3.8107557949804498</v>
      </c>
      <c r="H14" s="42"/>
    </row>
    <row r="15" spans="1:10" x14ac:dyDescent="0.2">
      <c r="B15" s="36" t="s">
        <v>48</v>
      </c>
      <c r="C15" s="36" t="s">
        <v>49</v>
      </c>
      <c r="D15" s="36" t="s">
        <v>50</v>
      </c>
      <c r="E15" s="41">
        <v>30950</v>
      </c>
      <c r="F15" s="38">
        <v>119.74554999999999</v>
      </c>
      <c r="G15" s="39">
        <v>3.1479027200517198</v>
      </c>
      <c r="H15" s="42"/>
    </row>
    <row r="16" spans="1:10" x14ac:dyDescent="0.2">
      <c r="B16" s="36" t="s">
        <v>51</v>
      </c>
      <c r="C16" s="36" t="s">
        <v>52</v>
      </c>
      <c r="D16" s="36" t="s">
        <v>36</v>
      </c>
      <c r="E16" s="41">
        <v>70794</v>
      </c>
      <c r="F16" s="38">
        <v>99.281505600000003</v>
      </c>
      <c r="G16" s="39">
        <v>2.6099385031766902</v>
      </c>
      <c r="H16" s="42"/>
    </row>
    <row r="17" spans="2:8" x14ac:dyDescent="0.2">
      <c r="B17" s="36" t="s">
        <v>53</v>
      </c>
      <c r="C17" s="36" t="s">
        <v>54</v>
      </c>
      <c r="D17" s="36" t="s">
        <v>55</v>
      </c>
      <c r="E17" s="41">
        <v>6982</v>
      </c>
      <c r="F17" s="38">
        <v>99.249129999999994</v>
      </c>
      <c r="G17" s="39">
        <v>2.6090874048327199</v>
      </c>
      <c r="H17" s="42"/>
    </row>
    <row r="18" spans="2:8" x14ac:dyDescent="0.2">
      <c r="B18" s="36" t="s">
        <v>56</v>
      </c>
      <c r="C18" s="36" t="s">
        <v>57</v>
      </c>
      <c r="D18" s="36" t="s">
        <v>55</v>
      </c>
      <c r="E18" s="41">
        <v>1877</v>
      </c>
      <c r="F18" s="38">
        <v>97.688464999999994</v>
      </c>
      <c r="G18" s="39">
        <v>2.5680602301394702</v>
      </c>
      <c r="H18" s="42"/>
    </row>
    <row r="19" spans="2:8" x14ac:dyDescent="0.2">
      <c r="B19" s="36" t="s">
        <v>58</v>
      </c>
      <c r="C19" s="36" t="s">
        <v>59</v>
      </c>
      <c r="D19" s="36" t="s">
        <v>44</v>
      </c>
      <c r="E19" s="41">
        <v>4198</v>
      </c>
      <c r="F19" s="38">
        <v>94.828621999999996</v>
      </c>
      <c r="G19" s="39">
        <v>2.4928799202355001</v>
      </c>
      <c r="H19" s="42"/>
    </row>
    <row r="20" spans="2:8" x14ac:dyDescent="0.2">
      <c r="B20" s="36" t="s">
        <v>60</v>
      </c>
      <c r="C20" s="36" t="s">
        <v>61</v>
      </c>
      <c r="D20" s="36" t="s">
        <v>62</v>
      </c>
      <c r="E20" s="41">
        <v>40152</v>
      </c>
      <c r="F20" s="38">
        <v>83.524190399999995</v>
      </c>
      <c r="G20" s="39">
        <v>2.1957060295791999</v>
      </c>
      <c r="H20" s="42"/>
    </row>
    <row r="21" spans="2:8" x14ac:dyDescent="0.2">
      <c r="B21" s="36" t="s">
        <v>63</v>
      </c>
      <c r="C21" s="36" t="s">
        <v>64</v>
      </c>
      <c r="D21" s="36" t="s">
        <v>65</v>
      </c>
      <c r="E21" s="41">
        <v>20682</v>
      </c>
      <c r="F21" s="38">
        <v>81.590490000000003</v>
      </c>
      <c r="G21" s="39">
        <v>2.1448724015326901</v>
      </c>
      <c r="H21" s="42"/>
    </row>
    <row r="22" spans="2:8" x14ac:dyDescent="0.2">
      <c r="B22" s="36" t="s">
        <v>66</v>
      </c>
      <c r="C22" s="36" t="s">
        <v>67</v>
      </c>
      <c r="D22" s="36" t="s">
        <v>68</v>
      </c>
      <c r="E22" s="41">
        <v>28086</v>
      </c>
      <c r="F22" s="38">
        <v>80.578733999999997</v>
      </c>
      <c r="G22" s="39">
        <v>2.1182750919505899</v>
      </c>
      <c r="H22" s="42"/>
    </row>
    <row r="23" spans="2:8" x14ac:dyDescent="0.2">
      <c r="B23" s="36" t="s">
        <v>69</v>
      </c>
      <c r="C23" s="36" t="s">
        <v>70</v>
      </c>
      <c r="D23" s="36" t="s">
        <v>71</v>
      </c>
      <c r="E23" s="41">
        <v>1652</v>
      </c>
      <c r="F23" s="38">
        <v>72.770600000000002</v>
      </c>
      <c r="G23" s="39">
        <v>1.91301279821919</v>
      </c>
      <c r="H23" s="42"/>
    </row>
    <row r="24" spans="2:8" x14ac:dyDescent="0.2">
      <c r="B24" s="36" t="s">
        <v>72</v>
      </c>
      <c r="C24" s="36" t="s">
        <v>73</v>
      </c>
      <c r="D24" s="36" t="s">
        <v>74</v>
      </c>
      <c r="E24" s="41">
        <v>582</v>
      </c>
      <c r="F24" s="38">
        <v>66.825239999999994</v>
      </c>
      <c r="G24" s="39">
        <v>1.7567196005539101</v>
      </c>
      <c r="H24" s="42"/>
    </row>
    <row r="25" spans="2:8" x14ac:dyDescent="0.2">
      <c r="B25" s="36" t="s">
        <v>75</v>
      </c>
      <c r="C25" s="36" t="s">
        <v>76</v>
      </c>
      <c r="D25" s="36" t="s">
        <v>28</v>
      </c>
      <c r="E25" s="41">
        <v>4766</v>
      </c>
      <c r="F25" s="38">
        <v>61.319355999999999</v>
      </c>
      <c r="G25" s="39">
        <v>1.6119794643243099</v>
      </c>
      <c r="H25" s="42"/>
    </row>
    <row r="26" spans="2:8" x14ac:dyDescent="0.2">
      <c r="B26" s="36" t="s">
        <v>77</v>
      </c>
      <c r="C26" s="36" t="s">
        <v>78</v>
      </c>
      <c r="D26" s="36" t="s">
        <v>79</v>
      </c>
      <c r="E26" s="41">
        <v>2015</v>
      </c>
      <c r="F26" s="38">
        <v>59.533175</v>
      </c>
      <c r="G26" s="39">
        <v>1.5650238653195401</v>
      </c>
      <c r="H26" s="42"/>
    </row>
    <row r="27" spans="2:8" x14ac:dyDescent="0.2">
      <c r="B27" s="36" t="s">
        <v>80</v>
      </c>
      <c r="C27" s="36" t="s">
        <v>81</v>
      </c>
      <c r="D27" s="36" t="s">
        <v>82</v>
      </c>
      <c r="E27" s="41">
        <v>3287</v>
      </c>
      <c r="F27" s="38">
        <v>59.139704000000002</v>
      </c>
      <c r="G27" s="39">
        <v>1.55468019550333</v>
      </c>
      <c r="H27" s="42"/>
    </row>
    <row r="28" spans="2:8" x14ac:dyDescent="0.2">
      <c r="B28" s="36" t="s">
        <v>83</v>
      </c>
      <c r="C28" s="36" t="s">
        <v>84</v>
      </c>
      <c r="D28" s="36" t="s">
        <v>28</v>
      </c>
      <c r="E28" s="41">
        <v>14276</v>
      </c>
      <c r="F28" s="38">
        <v>54.848391999999997</v>
      </c>
      <c r="G28" s="39">
        <v>1.44186904955769</v>
      </c>
      <c r="H28" s="42"/>
    </row>
    <row r="29" spans="2:8" x14ac:dyDescent="0.2">
      <c r="B29" s="36" t="s">
        <v>85</v>
      </c>
      <c r="C29" s="36" t="s">
        <v>86</v>
      </c>
      <c r="D29" s="36" t="s">
        <v>28</v>
      </c>
      <c r="E29" s="41">
        <v>18795</v>
      </c>
      <c r="F29" s="38">
        <v>54.308152499999998</v>
      </c>
      <c r="G29" s="39">
        <v>1.42766709055772</v>
      </c>
      <c r="H29" s="42"/>
    </row>
    <row r="30" spans="2:8" x14ac:dyDescent="0.2">
      <c r="B30" s="36" t="s">
        <v>87</v>
      </c>
      <c r="C30" s="36" t="s">
        <v>88</v>
      </c>
      <c r="D30" s="36" t="s">
        <v>62</v>
      </c>
      <c r="E30" s="41">
        <v>4060</v>
      </c>
      <c r="F30" s="38">
        <v>51.886800000000001</v>
      </c>
      <c r="G30" s="39">
        <v>1.36401393500451</v>
      </c>
      <c r="H30" s="42"/>
    </row>
    <row r="31" spans="2:8" x14ac:dyDescent="0.2">
      <c r="B31" s="36" t="s">
        <v>89</v>
      </c>
      <c r="C31" s="36" t="s">
        <v>90</v>
      </c>
      <c r="D31" s="36" t="s">
        <v>91</v>
      </c>
      <c r="E31" s="41">
        <v>20528</v>
      </c>
      <c r="F31" s="38">
        <v>51.439062399999997</v>
      </c>
      <c r="G31" s="39">
        <v>1.3522436904408599</v>
      </c>
      <c r="H31" s="42"/>
    </row>
    <row r="32" spans="2:8" x14ac:dyDescent="0.2">
      <c r="B32" s="36" t="s">
        <v>92</v>
      </c>
      <c r="C32" s="36" t="s">
        <v>93</v>
      </c>
      <c r="D32" s="36" t="s">
        <v>79</v>
      </c>
      <c r="E32" s="41">
        <v>1411</v>
      </c>
      <c r="F32" s="38">
        <v>49.928235000000001</v>
      </c>
      <c r="G32" s="39">
        <v>1.3125266597705001</v>
      </c>
      <c r="H32" s="42"/>
    </row>
    <row r="33" spans="2:8" x14ac:dyDescent="0.2">
      <c r="B33" s="36" t="s">
        <v>94</v>
      </c>
      <c r="C33" s="36" t="s">
        <v>95</v>
      </c>
      <c r="D33" s="36" t="s">
        <v>96</v>
      </c>
      <c r="E33" s="41">
        <v>1670</v>
      </c>
      <c r="F33" s="38">
        <v>47.758659999999999</v>
      </c>
      <c r="G33" s="39">
        <v>1.2554922977933201</v>
      </c>
      <c r="H33" s="42"/>
    </row>
    <row r="34" spans="2:8" x14ac:dyDescent="0.2">
      <c r="B34" s="36" t="s">
        <v>97</v>
      </c>
      <c r="C34" s="36" t="s">
        <v>98</v>
      </c>
      <c r="D34" s="36" t="s">
        <v>99</v>
      </c>
      <c r="E34" s="41">
        <v>1147</v>
      </c>
      <c r="F34" s="38">
        <v>46.739103</v>
      </c>
      <c r="G34" s="39">
        <v>1.2286899134579701</v>
      </c>
      <c r="H34" s="42"/>
    </row>
    <row r="35" spans="2:8" x14ac:dyDescent="0.2">
      <c r="B35" s="36" t="s">
        <v>100</v>
      </c>
      <c r="C35" s="36" t="s">
        <v>101</v>
      </c>
      <c r="D35" s="36" t="s">
        <v>102</v>
      </c>
      <c r="E35" s="41">
        <v>15432</v>
      </c>
      <c r="F35" s="38">
        <v>40.956527999999999</v>
      </c>
      <c r="G35" s="39">
        <v>1.0766760509686899</v>
      </c>
      <c r="H35" s="42"/>
    </row>
    <row r="36" spans="2:8" x14ac:dyDescent="0.2">
      <c r="B36" s="36" t="s">
        <v>103</v>
      </c>
      <c r="C36" s="36" t="s">
        <v>104</v>
      </c>
      <c r="D36" s="36" t="s">
        <v>39</v>
      </c>
      <c r="E36" s="41">
        <v>823</v>
      </c>
      <c r="F36" s="38">
        <v>40.351689999999998</v>
      </c>
      <c r="G36" s="39">
        <v>1.0607759094988001</v>
      </c>
      <c r="H36" s="42"/>
    </row>
    <row r="37" spans="2:8" x14ac:dyDescent="0.2">
      <c r="B37" s="36" t="s">
        <v>105</v>
      </c>
      <c r="C37" s="36" t="s">
        <v>106</v>
      </c>
      <c r="D37" s="36" t="s">
        <v>65</v>
      </c>
      <c r="E37" s="41">
        <v>26116</v>
      </c>
      <c r="F37" s="38">
        <v>38.061458399999999</v>
      </c>
      <c r="G37" s="39">
        <v>1.0005696948779701</v>
      </c>
      <c r="H37" s="42"/>
    </row>
    <row r="38" spans="2:8" x14ac:dyDescent="0.2">
      <c r="B38" s="36" t="s">
        <v>107</v>
      </c>
      <c r="C38" s="36" t="s">
        <v>108</v>
      </c>
      <c r="D38" s="36" t="s">
        <v>109</v>
      </c>
      <c r="E38" s="41">
        <v>10447</v>
      </c>
      <c r="F38" s="38">
        <v>36.836122000000003</v>
      </c>
      <c r="G38" s="39">
        <v>0.96835772719701796</v>
      </c>
      <c r="H38" s="42"/>
    </row>
    <row r="39" spans="2:8" x14ac:dyDescent="0.2">
      <c r="B39" s="36" t="s">
        <v>110</v>
      </c>
      <c r="C39" s="36" t="s">
        <v>111</v>
      </c>
      <c r="D39" s="36" t="s">
        <v>112</v>
      </c>
      <c r="E39" s="41">
        <v>1951</v>
      </c>
      <c r="F39" s="38">
        <v>35.705250999999997</v>
      </c>
      <c r="G39" s="39">
        <v>0.93862909096020097</v>
      </c>
      <c r="H39" s="42"/>
    </row>
    <row r="40" spans="2:8" x14ac:dyDescent="0.2">
      <c r="B40" s="36" t="s">
        <v>113</v>
      </c>
      <c r="C40" s="36" t="s">
        <v>114</v>
      </c>
      <c r="D40" s="36" t="s">
        <v>96</v>
      </c>
      <c r="E40" s="41">
        <v>8515</v>
      </c>
      <c r="F40" s="38">
        <v>32.314425</v>
      </c>
      <c r="G40" s="39">
        <v>0.84949015937884298</v>
      </c>
      <c r="H40" s="42"/>
    </row>
    <row r="41" spans="2:8" x14ac:dyDescent="0.2">
      <c r="B41" s="36" t="s">
        <v>115</v>
      </c>
      <c r="C41" s="36" t="s">
        <v>116</v>
      </c>
      <c r="D41" s="36" t="s">
        <v>91</v>
      </c>
      <c r="E41" s="41">
        <v>6074</v>
      </c>
      <c r="F41" s="38">
        <v>31.818649000000001</v>
      </c>
      <c r="G41" s="39">
        <v>0.83645706863821501</v>
      </c>
      <c r="H41" s="42"/>
    </row>
    <row r="42" spans="2:8" x14ac:dyDescent="0.2">
      <c r="B42" s="36" t="s">
        <v>117</v>
      </c>
      <c r="C42" s="36" t="s">
        <v>118</v>
      </c>
      <c r="D42" s="36" t="s">
        <v>62</v>
      </c>
      <c r="E42" s="41">
        <v>15270</v>
      </c>
      <c r="F42" s="38">
        <v>31.207298999999999</v>
      </c>
      <c r="G42" s="39">
        <v>0.82038573798831904</v>
      </c>
      <c r="H42" s="42"/>
    </row>
    <row r="43" spans="2:8" x14ac:dyDescent="0.2">
      <c r="B43" s="36" t="s">
        <v>119</v>
      </c>
      <c r="C43" s="36" t="s">
        <v>120</v>
      </c>
      <c r="D43" s="36" t="s">
        <v>44</v>
      </c>
      <c r="E43" s="41">
        <v>2063</v>
      </c>
      <c r="F43" s="38">
        <v>30.612857000000002</v>
      </c>
      <c r="G43" s="39">
        <v>0.80475888931867801</v>
      </c>
      <c r="H43" s="42"/>
    </row>
    <row r="44" spans="2:8" x14ac:dyDescent="0.2">
      <c r="B44" s="36" t="s">
        <v>121</v>
      </c>
      <c r="C44" s="36" t="s">
        <v>122</v>
      </c>
      <c r="D44" s="36" t="s">
        <v>28</v>
      </c>
      <c r="E44" s="41">
        <v>122149</v>
      </c>
      <c r="F44" s="38">
        <v>28.277493499999999</v>
      </c>
      <c r="G44" s="39">
        <v>0.74336623536235602</v>
      </c>
      <c r="H44" s="42"/>
    </row>
    <row r="45" spans="2:8" x14ac:dyDescent="0.2">
      <c r="B45" s="36" t="s">
        <v>123</v>
      </c>
      <c r="C45" s="36" t="s">
        <v>124</v>
      </c>
      <c r="D45" s="36" t="s">
        <v>112</v>
      </c>
      <c r="E45" s="41">
        <v>6862</v>
      </c>
      <c r="F45" s="38">
        <v>28.226837</v>
      </c>
      <c r="G45" s="39">
        <v>0.74203456387946298</v>
      </c>
      <c r="H45" s="42"/>
    </row>
    <row r="46" spans="2:8" x14ac:dyDescent="0.2">
      <c r="B46" s="36" t="s">
        <v>125</v>
      </c>
      <c r="C46" s="36" t="s">
        <v>126</v>
      </c>
      <c r="D46" s="36" t="s">
        <v>82</v>
      </c>
      <c r="E46" s="41">
        <v>1112</v>
      </c>
      <c r="F46" s="38">
        <v>25.216823999999999</v>
      </c>
      <c r="G46" s="39">
        <v>0.66290654525922199</v>
      </c>
      <c r="H46" s="42"/>
    </row>
    <row r="47" spans="2:8" x14ac:dyDescent="0.2">
      <c r="B47" s="36" t="s">
        <v>127</v>
      </c>
      <c r="C47" s="36" t="s">
        <v>128</v>
      </c>
      <c r="D47" s="36" t="s">
        <v>112</v>
      </c>
      <c r="E47" s="41">
        <v>1420</v>
      </c>
      <c r="F47" s="38">
        <v>23.770800000000001</v>
      </c>
      <c r="G47" s="39">
        <v>0.62489308352423401</v>
      </c>
      <c r="H47" s="42"/>
    </row>
    <row r="48" spans="2:8" x14ac:dyDescent="0.2">
      <c r="B48" s="36" t="s">
        <v>129</v>
      </c>
      <c r="C48" s="36" t="s">
        <v>130</v>
      </c>
      <c r="D48" s="36" t="s">
        <v>131</v>
      </c>
      <c r="E48" s="41">
        <v>2213</v>
      </c>
      <c r="F48" s="38">
        <v>20.099572500000001</v>
      </c>
      <c r="G48" s="39">
        <v>0.52838288307687997</v>
      </c>
      <c r="H48" s="42"/>
    </row>
    <row r="49" spans="2:8" x14ac:dyDescent="0.2">
      <c r="B49" s="36" t="s">
        <v>132</v>
      </c>
      <c r="C49" s="36" t="s">
        <v>133</v>
      </c>
      <c r="D49" s="36" t="s">
        <v>82</v>
      </c>
      <c r="E49" s="41">
        <v>885</v>
      </c>
      <c r="F49" s="38">
        <v>13.49094</v>
      </c>
      <c r="G49" s="39">
        <v>0.35465340233565701</v>
      </c>
      <c r="H49" s="42"/>
    </row>
    <row r="50" spans="2:8" x14ac:dyDescent="0.2">
      <c r="B50" s="36" t="s">
        <v>134</v>
      </c>
      <c r="C50" s="36" t="s">
        <v>135</v>
      </c>
      <c r="D50" s="36" t="s">
        <v>36</v>
      </c>
      <c r="E50" s="41">
        <v>4478</v>
      </c>
      <c r="F50" s="38">
        <v>13.348917999999999</v>
      </c>
      <c r="G50" s="39">
        <v>0.35091989040049798</v>
      </c>
      <c r="H50" s="42"/>
    </row>
    <row r="51" spans="2:8" x14ac:dyDescent="0.2">
      <c r="B51" s="36" t="s">
        <v>136</v>
      </c>
      <c r="C51" s="36" t="s">
        <v>137</v>
      </c>
      <c r="D51" s="36" t="s">
        <v>79</v>
      </c>
      <c r="E51" s="41">
        <v>7086</v>
      </c>
      <c r="F51" s="38">
        <v>13.101305399999999</v>
      </c>
      <c r="G51" s="39">
        <v>0.34441058481829401</v>
      </c>
      <c r="H51" s="42"/>
    </row>
    <row r="52" spans="2:8" x14ac:dyDescent="0.2">
      <c r="B52" s="36" t="s">
        <v>1589</v>
      </c>
      <c r="C52" s="36" t="s">
        <v>138</v>
      </c>
      <c r="D52" s="36" t="s">
        <v>139</v>
      </c>
      <c r="E52" s="41">
        <v>10447</v>
      </c>
      <c r="F52" s="38">
        <v>12.6434818</v>
      </c>
      <c r="G52" s="39">
        <v>0.332375196816453</v>
      </c>
      <c r="H52" s="42"/>
    </row>
    <row r="53" spans="2:8" x14ac:dyDescent="0.2">
      <c r="B53" s="36" t="s">
        <v>1590</v>
      </c>
      <c r="C53" s="36" t="s">
        <v>140</v>
      </c>
      <c r="D53" s="36" t="s">
        <v>50</v>
      </c>
      <c r="E53" s="41">
        <v>10447</v>
      </c>
      <c r="F53" s="38">
        <v>12.6434818</v>
      </c>
      <c r="G53" s="39">
        <v>0.332375196816453</v>
      </c>
      <c r="H53" s="42"/>
    </row>
    <row r="54" spans="2:8" x14ac:dyDescent="0.2">
      <c r="B54" s="36" t="s">
        <v>1591</v>
      </c>
      <c r="C54" s="36" t="s">
        <v>141</v>
      </c>
      <c r="D54" s="36" t="s">
        <v>102</v>
      </c>
      <c r="E54" s="41">
        <v>10447</v>
      </c>
      <c r="F54" s="38">
        <v>12.6434818</v>
      </c>
      <c r="G54" s="39">
        <v>0.332375196816453</v>
      </c>
      <c r="H54" s="42"/>
    </row>
    <row r="55" spans="2:8" x14ac:dyDescent="0.2">
      <c r="B55" s="36" t="s">
        <v>1592</v>
      </c>
      <c r="C55" s="36" t="s">
        <v>142</v>
      </c>
      <c r="D55" s="36" t="s">
        <v>62</v>
      </c>
      <c r="E55" s="41">
        <v>10447</v>
      </c>
      <c r="F55" s="38">
        <v>12.6434818</v>
      </c>
      <c r="G55" s="39">
        <v>0.332375196816453</v>
      </c>
      <c r="H55" s="42"/>
    </row>
    <row r="56" spans="2:8" x14ac:dyDescent="0.2">
      <c r="B56" s="36" t="s">
        <v>143</v>
      </c>
      <c r="C56" s="36" t="s">
        <v>144</v>
      </c>
      <c r="D56" s="36" t="s">
        <v>99</v>
      </c>
      <c r="E56" s="41">
        <v>465</v>
      </c>
      <c r="F56" s="38">
        <v>12.422940000000001</v>
      </c>
      <c r="G56" s="39">
        <v>0.326577535591421</v>
      </c>
      <c r="H56" s="42"/>
    </row>
    <row r="57" spans="2:8" x14ac:dyDescent="0.2">
      <c r="B57" s="36" t="s">
        <v>145</v>
      </c>
      <c r="C57" s="36" t="s">
        <v>146</v>
      </c>
      <c r="D57" s="36" t="s">
        <v>147</v>
      </c>
      <c r="E57" s="41">
        <v>350</v>
      </c>
      <c r="F57" s="38">
        <v>12.315099999999999</v>
      </c>
      <c r="G57" s="39">
        <v>0.32374260912166603</v>
      </c>
      <c r="H57" s="42"/>
    </row>
    <row r="58" spans="2:8" x14ac:dyDescent="0.2">
      <c r="B58" s="36" t="s">
        <v>148</v>
      </c>
      <c r="C58" s="36" t="s">
        <v>149</v>
      </c>
      <c r="D58" s="36" t="s">
        <v>36</v>
      </c>
      <c r="E58" s="41">
        <v>3006</v>
      </c>
      <c r="F58" s="38">
        <v>11.839131</v>
      </c>
      <c r="G58" s="39">
        <v>0.311230210040779</v>
      </c>
      <c r="H58" s="42"/>
    </row>
    <row r="59" spans="2:8" x14ac:dyDescent="0.2">
      <c r="B59" s="36" t="s">
        <v>150</v>
      </c>
      <c r="C59" s="36" t="s">
        <v>151</v>
      </c>
      <c r="D59" s="36" t="s">
        <v>96</v>
      </c>
      <c r="E59" s="41">
        <v>7199</v>
      </c>
      <c r="F59" s="38">
        <v>11.1901256</v>
      </c>
      <c r="G59" s="39">
        <v>0.294168984266725</v>
      </c>
      <c r="H59" s="42"/>
    </row>
    <row r="60" spans="2:8" x14ac:dyDescent="0.2">
      <c r="B60" s="36" t="s">
        <v>152</v>
      </c>
      <c r="C60" s="36" t="s">
        <v>153</v>
      </c>
      <c r="D60" s="36" t="s">
        <v>50</v>
      </c>
      <c r="E60" s="41">
        <v>3163</v>
      </c>
      <c r="F60" s="38">
        <v>9.1900964999999992</v>
      </c>
      <c r="G60" s="39">
        <v>0.241591689794633</v>
      </c>
      <c r="H60" s="42"/>
    </row>
    <row r="61" spans="2:8" x14ac:dyDescent="0.2">
      <c r="B61" s="36" t="s">
        <v>154</v>
      </c>
      <c r="C61" s="36" t="s">
        <v>155</v>
      </c>
      <c r="D61" s="36" t="s">
        <v>82</v>
      </c>
      <c r="E61" s="41">
        <v>673</v>
      </c>
      <c r="F61" s="38">
        <v>8.7725550000000005</v>
      </c>
      <c r="G61" s="39">
        <v>0.23061524830194799</v>
      </c>
      <c r="H61" s="42"/>
    </row>
    <row r="62" spans="2:8" x14ac:dyDescent="0.2">
      <c r="B62" s="36" t="s">
        <v>156</v>
      </c>
      <c r="C62" s="36" t="s">
        <v>157</v>
      </c>
      <c r="D62" s="36" t="s">
        <v>158</v>
      </c>
      <c r="E62" s="41">
        <v>267</v>
      </c>
      <c r="F62" s="38">
        <v>7.8428579999999997</v>
      </c>
      <c r="G62" s="39">
        <v>0.20617512743629601</v>
      </c>
      <c r="H62" s="42"/>
    </row>
    <row r="63" spans="2:8" x14ac:dyDescent="0.2">
      <c r="B63" s="36" t="s">
        <v>159</v>
      </c>
      <c r="C63" s="36" t="s">
        <v>160</v>
      </c>
      <c r="D63" s="36" t="s">
        <v>65</v>
      </c>
      <c r="E63" s="41">
        <v>161</v>
      </c>
      <c r="F63" s="38">
        <v>6.6472069999999999</v>
      </c>
      <c r="G63" s="39">
        <v>0.17474353740950499</v>
      </c>
      <c r="H63" s="42"/>
    </row>
    <row r="64" spans="2:8" x14ac:dyDescent="0.2">
      <c r="B64" s="36" t="s">
        <v>161</v>
      </c>
      <c r="C64" s="36" t="s">
        <v>162</v>
      </c>
      <c r="D64" s="36" t="s">
        <v>147</v>
      </c>
      <c r="E64" s="41">
        <v>462</v>
      </c>
      <c r="F64" s="38">
        <v>5.8673999999999999</v>
      </c>
      <c r="G64" s="39">
        <v>0.154243764546001</v>
      </c>
      <c r="H64" s="42"/>
    </row>
    <row r="65" spans="2:9" x14ac:dyDescent="0.2">
      <c r="B65" s="36" t="s">
        <v>163</v>
      </c>
      <c r="C65" s="36" t="s">
        <v>164</v>
      </c>
      <c r="D65" s="36" t="s">
        <v>39</v>
      </c>
      <c r="E65" s="41">
        <v>39</v>
      </c>
      <c r="F65" s="38">
        <v>5.1195300000000001</v>
      </c>
      <c r="G65" s="39">
        <v>0.13458355999355601</v>
      </c>
      <c r="H65" s="42"/>
    </row>
    <row r="66" spans="2:9" x14ac:dyDescent="0.2">
      <c r="B66" s="36" t="s">
        <v>165</v>
      </c>
      <c r="C66" s="36" t="s">
        <v>166</v>
      </c>
      <c r="D66" s="36" t="s">
        <v>131</v>
      </c>
      <c r="E66" s="41">
        <v>411</v>
      </c>
      <c r="F66" s="38">
        <v>3.8927865000000001</v>
      </c>
      <c r="G66" s="39">
        <v>0.102334602095281</v>
      </c>
      <c r="H66" s="42"/>
    </row>
    <row r="67" spans="2:9" x14ac:dyDescent="0.2">
      <c r="B67" s="36" t="s">
        <v>167</v>
      </c>
      <c r="C67" s="36" t="s">
        <v>168</v>
      </c>
      <c r="D67" s="36" t="s">
        <v>44</v>
      </c>
      <c r="E67" s="41">
        <v>78</v>
      </c>
      <c r="F67" s="38">
        <v>3.1680480000000002</v>
      </c>
      <c r="G67" s="39">
        <v>8.3282484538710594E-2</v>
      </c>
      <c r="H67" s="42"/>
    </row>
    <row r="68" spans="2:9" x14ac:dyDescent="0.2">
      <c r="B68" s="36" t="s">
        <v>169</v>
      </c>
      <c r="C68" s="36" t="s">
        <v>170</v>
      </c>
      <c r="D68" s="36" t="s">
        <v>82</v>
      </c>
      <c r="E68" s="41">
        <v>203</v>
      </c>
      <c r="F68" s="38">
        <v>2.7648600000000001</v>
      </c>
      <c r="G68" s="39">
        <v>7.2683371653996201E-2</v>
      </c>
      <c r="H68" s="42"/>
    </row>
    <row r="69" spans="2:9" x14ac:dyDescent="0.2">
      <c r="B69" s="36" t="s">
        <v>171</v>
      </c>
      <c r="C69" s="36" t="s">
        <v>172</v>
      </c>
      <c r="D69" s="36" t="s">
        <v>39</v>
      </c>
      <c r="E69" s="41">
        <v>36</v>
      </c>
      <c r="F69" s="38">
        <v>2.58372</v>
      </c>
      <c r="G69" s="39">
        <v>6.7921515378667696E-2</v>
      </c>
      <c r="H69" s="42"/>
    </row>
    <row r="70" spans="2:9" x14ac:dyDescent="0.2">
      <c r="B70" s="36" t="s">
        <v>173</v>
      </c>
      <c r="C70" s="36" t="s">
        <v>174</v>
      </c>
      <c r="D70" s="36" t="s">
        <v>131</v>
      </c>
      <c r="E70" s="41">
        <v>659</v>
      </c>
      <c r="F70" s="38">
        <v>2.0010534999999998</v>
      </c>
      <c r="G70" s="39">
        <v>5.2604224170493201E-2</v>
      </c>
      <c r="H70" s="42"/>
    </row>
    <row r="71" spans="2:9" x14ac:dyDescent="0.2">
      <c r="B71" s="36" t="s">
        <v>175</v>
      </c>
      <c r="C71" s="36" t="s">
        <v>176</v>
      </c>
      <c r="D71" s="36" t="s">
        <v>79</v>
      </c>
      <c r="E71" s="41">
        <v>156</v>
      </c>
      <c r="F71" s="38">
        <v>1.7163120000000001</v>
      </c>
      <c r="G71" s="39">
        <v>4.5118864235517697E-2</v>
      </c>
      <c r="H71" s="42"/>
    </row>
    <row r="72" spans="2:9" x14ac:dyDescent="0.2">
      <c r="B72" s="36" t="s">
        <v>177</v>
      </c>
      <c r="C72" s="36" t="s">
        <v>178</v>
      </c>
      <c r="D72" s="36" t="s">
        <v>179</v>
      </c>
      <c r="E72" s="41">
        <v>395</v>
      </c>
      <c r="F72" s="38">
        <v>1.6461625</v>
      </c>
      <c r="G72" s="39">
        <v>4.3274755608013298E-2</v>
      </c>
      <c r="H72" s="42"/>
    </row>
    <row r="73" spans="2:9" ht="10.5" x14ac:dyDescent="0.25">
      <c r="B73" s="35" t="s">
        <v>180</v>
      </c>
      <c r="C73" s="35"/>
      <c r="D73" s="35"/>
      <c r="E73" s="43"/>
      <c r="F73" s="44">
        <f>SUM(F7:F72)</f>
        <v>3723.301892</v>
      </c>
      <c r="G73" s="45">
        <f>SUM(G7:G72)</f>
        <v>97.879145850518071</v>
      </c>
      <c r="H73" s="46"/>
      <c r="I73" s="26"/>
    </row>
    <row r="74" spans="2:9" ht="10.5" x14ac:dyDescent="0.25">
      <c r="B74" s="35" t="s">
        <v>181</v>
      </c>
      <c r="C74" s="35"/>
      <c r="D74" s="35"/>
      <c r="E74" s="43"/>
      <c r="F74" s="47" t="s">
        <v>182</v>
      </c>
      <c r="G74" s="48" t="s">
        <v>182</v>
      </c>
      <c r="H74" s="46"/>
      <c r="I74" s="26"/>
    </row>
    <row r="75" spans="2:9" ht="10.5" x14ac:dyDescent="0.25">
      <c r="B75" s="35" t="s">
        <v>180</v>
      </c>
      <c r="C75" s="35"/>
      <c r="D75" s="35"/>
      <c r="E75" s="43"/>
      <c r="F75" s="49" t="s">
        <v>182</v>
      </c>
      <c r="G75" s="50" t="s">
        <v>182</v>
      </c>
      <c r="H75" s="46"/>
      <c r="I75" s="26"/>
    </row>
    <row r="76" spans="2:9" ht="10.5" x14ac:dyDescent="0.25">
      <c r="B76" s="51" t="s">
        <v>183</v>
      </c>
      <c r="C76" s="51"/>
      <c r="D76" s="51"/>
      <c r="E76" s="52"/>
      <c r="F76" s="53">
        <f>F73</f>
        <v>3723.301892</v>
      </c>
      <c r="G76" s="54">
        <f>G73</f>
        <v>97.879145850518071</v>
      </c>
      <c r="H76" s="46"/>
      <c r="I76" s="26"/>
    </row>
    <row r="77" spans="2:9" ht="10.5" x14ac:dyDescent="0.25">
      <c r="B77" s="35" t="s">
        <v>184</v>
      </c>
      <c r="C77" s="35"/>
      <c r="D77" s="35"/>
      <c r="E77" s="43"/>
      <c r="F77" s="44">
        <v>75.862613300000007</v>
      </c>
      <c r="G77" s="45">
        <v>1.9942964624347299</v>
      </c>
      <c r="H77" s="42">
        <v>5.3499999999999999E-2</v>
      </c>
      <c r="I77" s="27"/>
    </row>
    <row r="78" spans="2:9" x14ac:dyDescent="0.2">
      <c r="B78" s="36"/>
      <c r="C78" s="36"/>
      <c r="D78" s="36"/>
      <c r="E78" s="37"/>
      <c r="F78" s="38"/>
      <c r="G78" s="39"/>
      <c r="H78" s="40"/>
    </row>
    <row r="79" spans="2:9" ht="10.5" x14ac:dyDescent="0.25">
      <c r="B79" s="35" t="s">
        <v>186</v>
      </c>
      <c r="C79" s="36"/>
      <c r="D79" s="36"/>
      <c r="E79" s="37"/>
      <c r="F79" s="148">
        <v>8</v>
      </c>
      <c r="G79" s="148">
        <f>F79/F81*100</f>
        <v>0.21030611793435103</v>
      </c>
      <c r="H79" s="40"/>
    </row>
    <row r="80" spans="2:9" ht="10.5" x14ac:dyDescent="0.25">
      <c r="B80" s="61" t="s">
        <v>187</v>
      </c>
      <c r="C80" s="61"/>
      <c r="D80" s="61"/>
      <c r="E80" s="62"/>
      <c r="F80" s="44">
        <f>F81-(F73+F77+F79)</f>
        <v>-3.1857724999995298</v>
      </c>
      <c r="G80" s="45">
        <f>G81-(G73+G77+G79)</f>
        <v>-8.3748430887155223E-2</v>
      </c>
      <c r="H80" s="46"/>
      <c r="I80" s="26"/>
    </row>
    <row r="81" spans="2:9" ht="10.5" x14ac:dyDescent="0.25">
      <c r="B81" s="55" t="s">
        <v>185</v>
      </c>
      <c r="C81" s="55"/>
      <c r="D81" s="55"/>
      <c r="E81" s="56"/>
      <c r="F81" s="57">
        <v>3803.9787328000002</v>
      </c>
      <c r="G81" s="58">
        <v>100</v>
      </c>
      <c r="H81" s="59"/>
      <c r="I81" s="26"/>
    </row>
    <row r="83" spans="2:9" ht="10.5" x14ac:dyDescent="0.25">
      <c r="B83" s="26" t="s">
        <v>188</v>
      </c>
    </row>
    <row r="85" spans="2:9" ht="10.5" x14ac:dyDescent="0.25">
      <c r="B85" s="63" t="s">
        <v>7</v>
      </c>
      <c r="C85" s="63" t="s">
        <v>189</v>
      </c>
      <c r="D85" s="63" t="s">
        <v>190</v>
      </c>
      <c r="E85" s="64" t="s">
        <v>0</v>
      </c>
      <c r="F85" s="65" t="s">
        <v>191</v>
      </c>
      <c r="G85" s="66" t="s">
        <v>192</v>
      </c>
    </row>
    <row r="86" spans="2:9" x14ac:dyDescent="0.2">
      <c r="B86" s="67" t="s">
        <v>193</v>
      </c>
      <c r="C86" s="67" t="s">
        <v>194</v>
      </c>
      <c r="D86" s="67" t="s">
        <v>195</v>
      </c>
      <c r="E86" s="68">
        <v>195</v>
      </c>
      <c r="F86" s="69">
        <v>46.310160000000003</v>
      </c>
      <c r="G86" s="70">
        <v>1.21741374631483</v>
      </c>
    </row>
    <row r="87" spans="2:9" ht="10.5" x14ac:dyDescent="0.25">
      <c r="B87" s="63"/>
      <c r="C87" s="63"/>
      <c r="D87" s="63"/>
      <c r="E87" s="64"/>
      <c r="F87" s="65">
        <f>SUM(F86:F86)</f>
        <v>46.310160000000003</v>
      </c>
      <c r="G87" s="66">
        <f>SUM(G86:G86)</f>
        <v>1.21741374631483</v>
      </c>
    </row>
    <row r="89" spans="2:9" ht="10.5" x14ac:dyDescent="0.25">
      <c r="B89" s="26" t="s">
        <v>259</v>
      </c>
    </row>
    <row r="91" spans="2:9" ht="10.5" x14ac:dyDescent="0.2">
      <c r="B91" s="90" t="s">
        <v>196</v>
      </c>
      <c r="E91" s="8"/>
    </row>
    <row r="92" spans="2:9" ht="10.5" x14ac:dyDescent="0.2">
      <c r="B92" s="90"/>
      <c r="E92" s="8"/>
    </row>
    <row r="93" spans="2:9" x14ac:dyDescent="0.2">
      <c r="B93" s="94" t="s">
        <v>1508</v>
      </c>
      <c r="E93" s="8"/>
    </row>
    <row r="94" spans="2:9" x14ac:dyDescent="0.2">
      <c r="B94" s="94" t="s">
        <v>1515</v>
      </c>
      <c r="E94" s="8"/>
    </row>
    <row r="95" spans="2:9" x14ac:dyDescent="0.2">
      <c r="B95" s="94" t="s">
        <v>1516</v>
      </c>
      <c r="E95" s="8"/>
    </row>
    <row r="96" spans="2:9" ht="10.5" x14ac:dyDescent="0.2">
      <c r="B96" s="90"/>
      <c r="E96" s="8"/>
    </row>
    <row r="97" spans="2:6" ht="10.5" x14ac:dyDescent="0.2">
      <c r="B97" s="100" t="s">
        <v>1510</v>
      </c>
      <c r="C97" s="96" t="s">
        <v>1511</v>
      </c>
      <c r="D97" s="153" t="s">
        <v>1563</v>
      </c>
      <c r="E97" s="8"/>
    </row>
    <row r="98" spans="2:6" x14ac:dyDescent="0.2">
      <c r="B98" s="97" t="s">
        <v>1512</v>
      </c>
      <c r="C98" s="101">
        <v>9.9116</v>
      </c>
      <c r="D98" s="151">
        <v>9.6940000000000008</v>
      </c>
      <c r="E98" s="8"/>
    </row>
    <row r="99" spans="2:6" ht="10.5" x14ac:dyDescent="0.2">
      <c r="B99" s="90"/>
      <c r="E99" s="8"/>
    </row>
    <row r="100" spans="2:6" ht="10.5" x14ac:dyDescent="0.2">
      <c r="B100" s="90" t="s">
        <v>1548</v>
      </c>
      <c r="E100" s="8"/>
    </row>
    <row r="101" spans="2:6" ht="10.5" x14ac:dyDescent="0.2">
      <c r="B101" s="90"/>
      <c r="E101" s="8"/>
    </row>
    <row r="102" spans="2:6" x14ac:dyDescent="0.2">
      <c r="B102" s="94" t="s">
        <v>1549</v>
      </c>
      <c r="E102" s="8"/>
    </row>
    <row r="103" spans="2:6" x14ac:dyDescent="0.2">
      <c r="B103" s="94"/>
      <c r="E103" s="8"/>
    </row>
    <row r="104" spans="2:6" ht="10.5" x14ac:dyDescent="0.2">
      <c r="B104" s="112" t="s">
        <v>1550</v>
      </c>
      <c r="E104" s="8"/>
    </row>
    <row r="105" spans="2:6" x14ac:dyDescent="0.2">
      <c r="B105" s="99"/>
      <c r="E105" s="8"/>
    </row>
    <row r="106" spans="2:6" ht="10.5" x14ac:dyDescent="0.2">
      <c r="B106" s="112" t="s">
        <v>1551</v>
      </c>
      <c r="E106" s="8"/>
    </row>
    <row r="107" spans="2:6" ht="21" x14ac:dyDescent="0.2">
      <c r="B107" s="113" t="s">
        <v>1517</v>
      </c>
      <c r="C107" s="114" t="s">
        <v>1518</v>
      </c>
      <c r="D107" s="114" t="s">
        <v>1519</v>
      </c>
      <c r="E107" s="114" t="s">
        <v>1520</v>
      </c>
      <c r="F107" s="114" t="s">
        <v>1521</v>
      </c>
    </row>
    <row r="108" spans="2:6" x14ac:dyDescent="0.2">
      <c r="B108" s="180" t="s">
        <v>402</v>
      </c>
      <c r="C108" s="181"/>
      <c r="D108" s="181"/>
      <c r="E108" s="181"/>
      <c r="F108" s="182"/>
    </row>
    <row r="109" spans="2:6" x14ac:dyDescent="0.2">
      <c r="B109" s="99" t="s">
        <v>1522</v>
      </c>
      <c r="E109" s="8"/>
    </row>
    <row r="110" spans="2:6" x14ac:dyDescent="0.2">
      <c r="B110" s="99" t="s">
        <v>1552</v>
      </c>
      <c r="E110" s="8"/>
    </row>
    <row r="111" spans="2:6" x14ac:dyDescent="0.2">
      <c r="B111" s="99"/>
      <c r="E111" s="8"/>
    </row>
    <row r="112" spans="2:6" x14ac:dyDescent="0.2">
      <c r="B112" s="177" t="s">
        <v>1523</v>
      </c>
      <c r="C112" s="177" t="s">
        <v>1524</v>
      </c>
      <c r="D112" s="177" t="s">
        <v>1525</v>
      </c>
      <c r="E112" s="177" t="s">
        <v>1526</v>
      </c>
      <c r="F112" s="177" t="s">
        <v>1527</v>
      </c>
    </row>
    <row r="113" spans="2:6" x14ac:dyDescent="0.2">
      <c r="B113" s="178"/>
      <c r="C113" s="178"/>
      <c r="D113" s="178"/>
      <c r="E113" s="178"/>
      <c r="F113" s="178"/>
    </row>
    <row r="114" spans="2:6" x14ac:dyDescent="0.2">
      <c r="B114" s="180" t="s">
        <v>402</v>
      </c>
      <c r="C114" s="181"/>
      <c r="D114" s="181"/>
      <c r="E114" s="181"/>
      <c r="F114" s="182"/>
    </row>
    <row r="115" spans="2:6" x14ac:dyDescent="0.2">
      <c r="B115" s="99"/>
      <c r="E115" s="8"/>
    </row>
    <row r="116" spans="2:6" ht="10.5" x14ac:dyDescent="0.25">
      <c r="B116" s="115" t="s">
        <v>1553</v>
      </c>
      <c r="C116" s="116"/>
      <c r="D116" s="116"/>
      <c r="E116" s="116"/>
      <c r="F116" s="116"/>
    </row>
    <row r="117" spans="2:6" x14ac:dyDescent="0.2">
      <c r="B117" s="117"/>
      <c r="C117" s="116"/>
      <c r="D117" s="116"/>
      <c r="E117" s="116"/>
      <c r="F117" s="116"/>
    </row>
    <row r="118" spans="2:6" ht="21" x14ac:dyDescent="0.2">
      <c r="B118" s="113" t="s">
        <v>1517</v>
      </c>
      <c r="C118" s="114" t="s">
        <v>1518</v>
      </c>
      <c r="D118" s="114" t="s">
        <v>1519</v>
      </c>
      <c r="E118" s="114" t="s">
        <v>1520</v>
      </c>
      <c r="F118" s="114" t="s">
        <v>1521</v>
      </c>
    </row>
    <row r="119" spans="2:6" x14ac:dyDescent="0.2">
      <c r="B119" s="118" t="s">
        <v>1528</v>
      </c>
      <c r="C119" s="119" t="s">
        <v>194</v>
      </c>
      <c r="D119" s="120">
        <v>23844.933300000001</v>
      </c>
      <c r="E119" s="121">
        <v>23748.799999999999</v>
      </c>
      <c r="F119" s="159">
        <v>5.2377932000000005</v>
      </c>
    </row>
    <row r="120" spans="2:6" x14ac:dyDescent="0.2">
      <c r="B120" s="117"/>
      <c r="C120" s="116"/>
      <c r="D120" s="116"/>
      <c r="E120" s="116"/>
      <c r="F120" s="116"/>
    </row>
    <row r="121" spans="2:6" x14ac:dyDescent="0.2">
      <c r="B121" s="117" t="s">
        <v>1578</v>
      </c>
      <c r="C121" s="116"/>
      <c r="D121" s="116"/>
      <c r="E121" s="116"/>
      <c r="F121" s="116"/>
    </row>
    <row r="122" spans="2:6" ht="10.5" x14ac:dyDescent="0.2">
      <c r="B122" s="116" t="s">
        <v>1554</v>
      </c>
      <c r="C122" s="122"/>
      <c r="D122" s="123"/>
      <c r="E122" s="124"/>
      <c r="F122" s="125"/>
    </row>
    <row r="123" spans="2:6" ht="10.5" x14ac:dyDescent="0.2">
      <c r="B123" s="116" t="s">
        <v>1529</v>
      </c>
      <c r="C123" s="122"/>
      <c r="D123" s="123"/>
      <c r="E123" s="124"/>
      <c r="F123" s="125"/>
    </row>
    <row r="124" spans="2:6" x14ac:dyDescent="0.2">
      <c r="B124" s="183" t="s">
        <v>1523</v>
      </c>
      <c r="C124" s="183" t="s">
        <v>1524</v>
      </c>
      <c r="D124" s="183" t="s">
        <v>1525</v>
      </c>
      <c r="E124" s="183" t="s">
        <v>1526</v>
      </c>
      <c r="F124" s="183" t="s">
        <v>1527</v>
      </c>
    </row>
    <row r="125" spans="2:6" x14ac:dyDescent="0.2">
      <c r="B125" s="184"/>
      <c r="C125" s="184"/>
      <c r="D125" s="184"/>
      <c r="E125" s="184"/>
      <c r="F125" s="184"/>
    </row>
    <row r="126" spans="2:6" x14ac:dyDescent="0.2">
      <c r="B126" s="126">
        <v>20</v>
      </c>
      <c r="C126" s="127">
        <v>21</v>
      </c>
      <c r="D126" s="128">
        <v>310.48576009999999</v>
      </c>
      <c r="E126" s="129">
        <v>327.13342999999998</v>
      </c>
      <c r="F126" s="130">
        <v>0.98383990000002086</v>
      </c>
    </row>
    <row r="127" spans="2:6" x14ac:dyDescent="0.2">
      <c r="B127" s="109"/>
      <c r="C127" s="131"/>
      <c r="D127" s="131"/>
      <c r="E127" s="131"/>
      <c r="F127" s="87"/>
    </row>
    <row r="128" spans="2:6" ht="10.5" x14ac:dyDescent="0.2">
      <c r="B128" s="132" t="s">
        <v>1530</v>
      </c>
      <c r="C128" s="133"/>
      <c r="D128" s="133"/>
      <c r="E128" s="134"/>
      <c r="F128" s="87"/>
    </row>
    <row r="129" spans="2:6" ht="10.5" x14ac:dyDescent="0.2">
      <c r="B129" s="135"/>
      <c r="C129" s="133"/>
      <c r="D129" s="133"/>
      <c r="E129" s="134"/>
      <c r="F129" s="87"/>
    </row>
    <row r="130" spans="2:6" ht="21" x14ac:dyDescent="0.2">
      <c r="B130" s="113" t="s">
        <v>1517</v>
      </c>
      <c r="C130" s="114" t="s">
        <v>1531</v>
      </c>
      <c r="D130" s="114" t="s">
        <v>1532</v>
      </c>
      <c r="E130" s="114" t="s">
        <v>1533</v>
      </c>
      <c r="F130" s="87"/>
    </row>
    <row r="131" spans="2:6" x14ac:dyDescent="0.2">
      <c r="B131" s="180" t="s">
        <v>402</v>
      </c>
      <c r="C131" s="181"/>
      <c r="D131" s="181"/>
      <c r="E131" s="182"/>
      <c r="F131" s="87"/>
    </row>
    <row r="132" spans="2:6" x14ac:dyDescent="0.2">
      <c r="B132" s="117" t="s">
        <v>1534</v>
      </c>
      <c r="C132" s="116"/>
      <c r="D132" s="116"/>
      <c r="E132" s="116"/>
      <c r="F132" s="87"/>
    </row>
    <row r="133" spans="2:6" x14ac:dyDescent="0.2">
      <c r="B133" s="136"/>
      <c r="C133" s="137"/>
      <c r="D133" s="137"/>
      <c r="E133" s="136"/>
      <c r="F133" s="87"/>
    </row>
    <row r="134" spans="2:6" x14ac:dyDescent="0.2">
      <c r="B134" s="136" t="s">
        <v>1556</v>
      </c>
      <c r="C134" s="137"/>
      <c r="D134" s="137"/>
      <c r="E134" s="136"/>
      <c r="F134" s="87"/>
    </row>
    <row r="135" spans="2:6" x14ac:dyDescent="0.2">
      <c r="B135" s="136"/>
      <c r="C135" s="137"/>
      <c r="D135" s="137"/>
      <c r="E135" s="136"/>
      <c r="F135" s="87"/>
    </row>
    <row r="136" spans="2:6" x14ac:dyDescent="0.2">
      <c r="B136" s="177" t="s">
        <v>1535</v>
      </c>
      <c r="C136" s="177" t="s">
        <v>1536</v>
      </c>
      <c r="D136" s="177" t="s">
        <v>1537</v>
      </c>
      <c r="E136" s="136"/>
      <c r="F136" s="87"/>
    </row>
    <row r="137" spans="2:6" x14ac:dyDescent="0.2">
      <c r="B137" s="178"/>
      <c r="C137" s="178"/>
      <c r="D137" s="178"/>
      <c r="E137" s="136"/>
      <c r="F137" s="87"/>
    </row>
    <row r="138" spans="2:6" x14ac:dyDescent="0.2">
      <c r="B138" s="179" t="s">
        <v>402</v>
      </c>
      <c r="C138" s="179"/>
      <c r="D138" s="179"/>
      <c r="E138" s="131"/>
      <c r="F138" s="87"/>
    </row>
    <row r="139" spans="2:6" x14ac:dyDescent="0.2">
      <c r="B139" s="138"/>
      <c r="C139" s="138"/>
      <c r="D139" s="138"/>
      <c r="E139" s="131"/>
      <c r="F139" s="87"/>
    </row>
    <row r="140" spans="2:6" ht="10.5" x14ac:dyDescent="0.2">
      <c r="B140" s="132" t="s">
        <v>1557</v>
      </c>
      <c r="C140" s="138"/>
      <c r="D140" s="138"/>
      <c r="E140" s="131"/>
      <c r="F140" s="87"/>
    </row>
    <row r="141" spans="2:6" x14ac:dyDescent="0.2">
      <c r="B141" s="138"/>
      <c r="C141" s="138"/>
      <c r="D141" s="138"/>
      <c r="E141" s="131"/>
      <c r="F141" s="87"/>
    </row>
    <row r="142" spans="2:6" ht="21" x14ac:dyDescent="0.2">
      <c r="B142" s="114" t="s">
        <v>1517</v>
      </c>
      <c r="C142" s="114" t="s">
        <v>1539</v>
      </c>
      <c r="D142" s="114" t="s">
        <v>1540</v>
      </c>
      <c r="E142" s="114" t="s">
        <v>1541</v>
      </c>
      <c r="F142" s="114" t="s">
        <v>1542</v>
      </c>
    </row>
    <row r="143" spans="2:6" x14ac:dyDescent="0.2">
      <c r="B143" s="176" t="s">
        <v>402</v>
      </c>
      <c r="C143" s="176"/>
      <c r="D143" s="176"/>
      <c r="E143" s="176"/>
      <c r="F143" s="176"/>
    </row>
    <row r="144" spans="2:6" x14ac:dyDescent="0.2">
      <c r="B144" s="139" t="s">
        <v>1543</v>
      </c>
      <c r="C144" s="138"/>
      <c r="D144" s="138"/>
      <c r="E144" s="131"/>
      <c r="F144" s="87"/>
    </row>
    <row r="145" spans="2:8" x14ac:dyDescent="0.2">
      <c r="B145" s="138"/>
      <c r="C145" s="138"/>
      <c r="D145" s="138"/>
      <c r="E145" s="131"/>
      <c r="F145" s="87"/>
    </row>
    <row r="146" spans="2:8" x14ac:dyDescent="0.2">
      <c r="B146" s="136" t="s">
        <v>1558</v>
      </c>
      <c r="C146" s="137"/>
      <c r="D146" s="137"/>
      <c r="E146" s="131"/>
      <c r="F146" s="87"/>
    </row>
    <row r="147" spans="2:8" x14ac:dyDescent="0.2">
      <c r="B147" s="136"/>
      <c r="C147" s="137"/>
      <c r="D147" s="137"/>
      <c r="E147" s="131"/>
      <c r="F147" s="87"/>
    </row>
    <row r="148" spans="2:8" x14ac:dyDescent="0.2">
      <c r="B148" s="177" t="s">
        <v>1535</v>
      </c>
      <c r="C148" s="177" t="s">
        <v>1536</v>
      </c>
      <c r="D148" s="177" t="s">
        <v>1537</v>
      </c>
      <c r="E148" s="131"/>
      <c r="F148" s="87"/>
    </row>
    <row r="149" spans="2:8" x14ac:dyDescent="0.2">
      <c r="B149" s="178"/>
      <c r="C149" s="178"/>
      <c r="D149" s="178"/>
      <c r="E149" s="131"/>
      <c r="F149" s="87"/>
    </row>
    <row r="150" spans="2:8" x14ac:dyDescent="0.2">
      <c r="B150" s="179" t="s">
        <v>402</v>
      </c>
      <c r="C150" s="179"/>
      <c r="D150" s="179"/>
      <c r="E150" s="131"/>
      <c r="F150" s="87"/>
    </row>
    <row r="151" spans="2:8" x14ac:dyDescent="0.2">
      <c r="B151" s="138"/>
      <c r="C151" s="138"/>
      <c r="D151" s="138"/>
      <c r="E151" s="131"/>
      <c r="F151" s="87"/>
    </row>
    <row r="152" spans="2:8" ht="10.5" x14ac:dyDescent="0.2">
      <c r="B152" s="140" t="s">
        <v>1559</v>
      </c>
      <c r="C152" s="138"/>
      <c r="D152" s="138"/>
      <c r="E152" s="131"/>
      <c r="F152" s="87"/>
    </row>
    <row r="153" spans="2:8" x14ac:dyDescent="0.2">
      <c r="B153" s="99"/>
      <c r="E153" s="8"/>
    </row>
    <row r="154" spans="2:8" x14ac:dyDescent="0.2">
      <c r="B154" s="94" t="s">
        <v>1560</v>
      </c>
      <c r="E154" s="8"/>
    </row>
    <row r="155" spans="2:8" x14ac:dyDescent="0.2">
      <c r="B155" s="169" t="s">
        <v>1579</v>
      </c>
      <c r="E155" s="8"/>
    </row>
    <row r="156" spans="2:8" x14ac:dyDescent="0.2">
      <c r="B156" s="8" t="s">
        <v>1561</v>
      </c>
      <c r="E156" s="8"/>
    </row>
    <row r="158" spans="2:8" ht="10.5" x14ac:dyDescent="0.25">
      <c r="B158" s="26" t="s">
        <v>197</v>
      </c>
      <c r="E158" s="8"/>
      <c r="G158" s="87"/>
      <c r="H158" s="8"/>
    </row>
    <row r="159" spans="2:8" x14ac:dyDescent="0.2">
      <c r="E159" s="8"/>
      <c r="G159" s="87"/>
      <c r="H159" s="8"/>
    </row>
    <row r="160" spans="2:8" x14ac:dyDescent="0.2">
      <c r="E160" s="8"/>
      <c r="G160" s="87"/>
      <c r="H160" s="8"/>
    </row>
    <row r="161" spans="5:8" x14ac:dyDescent="0.2">
      <c r="E161" s="8"/>
      <c r="G161" s="87"/>
      <c r="H161" s="8"/>
    </row>
    <row r="162" spans="5:8" x14ac:dyDescent="0.2">
      <c r="E162" s="8"/>
      <c r="G162" s="87"/>
      <c r="H162" s="8"/>
    </row>
    <row r="163" spans="5:8" x14ac:dyDescent="0.2">
      <c r="E163" s="8"/>
      <c r="G163" s="87"/>
      <c r="H163" s="8"/>
    </row>
    <row r="164" spans="5:8" x14ac:dyDescent="0.2">
      <c r="E164" s="8"/>
      <c r="G164" s="87"/>
      <c r="H164" s="8"/>
    </row>
    <row r="165" spans="5:8" x14ac:dyDescent="0.2">
      <c r="E165" s="8"/>
      <c r="G165" s="87"/>
      <c r="H165" s="8"/>
    </row>
    <row r="166" spans="5:8" x14ac:dyDescent="0.2">
      <c r="E166" s="8"/>
      <c r="G166" s="87"/>
      <c r="H166" s="8"/>
    </row>
    <row r="167" spans="5:8" x14ac:dyDescent="0.2">
      <c r="E167" s="8"/>
      <c r="G167" s="87"/>
      <c r="H167" s="8"/>
    </row>
    <row r="168" spans="5:8" x14ac:dyDescent="0.2">
      <c r="E168" s="8"/>
      <c r="G168" s="87"/>
      <c r="H168" s="8"/>
    </row>
    <row r="169" spans="5:8" x14ac:dyDescent="0.2">
      <c r="E169" s="8"/>
      <c r="G169" s="87"/>
      <c r="H169" s="8"/>
    </row>
    <row r="170" spans="5:8" x14ac:dyDescent="0.2">
      <c r="E170" s="8"/>
      <c r="G170" s="87"/>
      <c r="H170" s="8"/>
    </row>
    <row r="171" spans="5:8" x14ac:dyDescent="0.2">
      <c r="E171" s="8"/>
      <c r="G171" s="87"/>
      <c r="H171" s="8"/>
    </row>
    <row r="172" spans="5:8" x14ac:dyDescent="0.2">
      <c r="E172" s="8"/>
      <c r="G172" s="87"/>
      <c r="H172" s="8"/>
    </row>
    <row r="173" spans="5:8" x14ac:dyDescent="0.2">
      <c r="E173" s="8"/>
      <c r="G173" s="87"/>
      <c r="H173" s="8"/>
    </row>
    <row r="174" spans="5:8" x14ac:dyDescent="0.2">
      <c r="E174" s="8"/>
      <c r="G174" s="87"/>
      <c r="H174" s="8"/>
    </row>
    <row r="175" spans="5:8" x14ac:dyDescent="0.2">
      <c r="E175" s="8"/>
      <c r="G175" s="87"/>
      <c r="H175" s="8"/>
    </row>
    <row r="176" spans="5:8" x14ac:dyDescent="0.2">
      <c r="E176" s="8"/>
      <c r="G176" s="87"/>
      <c r="H176" s="8"/>
    </row>
    <row r="177" spans="2:8" x14ac:dyDescent="0.2">
      <c r="E177" s="8"/>
      <c r="G177" s="87"/>
      <c r="H177" s="8"/>
    </row>
    <row r="178" spans="2:8" x14ac:dyDescent="0.2">
      <c r="E178" s="8"/>
      <c r="G178" s="87"/>
      <c r="H178" s="8"/>
    </row>
    <row r="179" spans="2:8" x14ac:dyDescent="0.2">
      <c r="E179" s="8"/>
      <c r="G179" s="87"/>
      <c r="H179" s="8"/>
    </row>
    <row r="180" spans="2:8" ht="10.5" x14ac:dyDescent="0.2">
      <c r="B180" s="88" t="s">
        <v>1478</v>
      </c>
      <c r="E180" s="8"/>
      <c r="G180" s="87"/>
      <c r="H180" s="8"/>
    </row>
    <row r="181" spans="2:8" ht="10.5" x14ac:dyDescent="0.25">
      <c r="B181" s="89" t="s">
        <v>1479</v>
      </c>
      <c r="E181" s="8"/>
      <c r="G181" s="87"/>
      <c r="H181" s="8"/>
    </row>
    <row r="182" spans="2:8" x14ac:dyDescent="0.2">
      <c r="E182" s="8"/>
      <c r="G182" s="87"/>
      <c r="H182" s="8"/>
    </row>
    <row r="183" spans="2:8" x14ac:dyDescent="0.2">
      <c r="E183" s="8"/>
      <c r="G183" s="87"/>
      <c r="H183" s="8"/>
    </row>
    <row r="184" spans="2:8" x14ac:dyDescent="0.2">
      <c r="E184" s="8"/>
      <c r="G184" s="87"/>
      <c r="H184" s="8"/>
    </row>
    <row r="185" spans="2:8" x14ac:dyDescent="0.2">
      <c r="E185" s="8"/>
      <c r="G185" s="87"/>
      <c r="H185" s="8"/>
    </row>
    <row r="186" spans="2:8" x14ac:dyDescent="0.2">
      <c r="E186" s="8"/>
      <c r="G186" s="87"/>
      <c r="H186" s="8"/>
    </row>
    <row r="187" spans="2:8" x14ac:dyDescent="0.2">
      <c r="E187" s="8"/>
      <c r="G187" s="87"/>
      <c r="H187" s="8"/>
    </row>
    <row r="188" spans="2:8" x14ac:dyDescent="0.2">
      <c r="E188" s="8"/>
      <c r="G188" s="87"/>
      <c r="H188" s="8"/>
    </row>
    <row r="189" spans="2:8" x14ac:dyDescent="0.2">
      <c r="E189" s="8"/>
      <c r="G189" s="87"/>
      <c r="H189" s="8"/>
    </row>
    <row r="190" spans="2:8" x14ac:dyDescent="0.2">
      <c r="E190" s="8"/>
      <c r="G190" s="87"/>
      <c r="H190" s="8"/>
    </row>
    <row r="191" spans="2:8" x14ac:dyDescent="0.2">
      <c r="E191" s="8"/>
      <c r="G191" s="87"/>
      <c r="H191" s="8"/>
    </row>
    <row r="192" spans="2:8" x14ac:dyDescent="0.2">
      <c r="E192" s="8"/>
      <c r="G192" s="87"/>
      <c r="H192" s="8"/>
    </row>
    <row r="193" spans="5:8" x14ac:dyDescent="0.2">
      <c r="E193" s="8"/>
      <c r="G193" s="87"/>
      <c r="H193" s="8"/>
    </row>
    <row r="194" spans="5:8" x14ac:dyDescent="0.2">
      <c r="E194" s="8"/>
      <c r="G194" s="87"/>
      <c r="H194" s="8"/>
    </row>
    <row r="195" spans="5:8" x14ac:dyDescent="0.2">
      <c r="E195" s="8"/>
      <c r="G195" s="87"/>
      <c r="H195" s="8"/>
    </row>
    <row r="196" spans="5:8" x14ac:dyDescent="0.2">
      <c r="E196" s="8"/>
      <c r="G196" s="87"/>
      <c r="H196" s="8"/>
    </row>
    <row r="197" spans="5:8" x14ac:dyDescent="0.2">
      <c r="E197" s="8"/>
      <c r="G197" s="87"/>
      <c r="H197" s="8"/>
    </row>
    <row r="198" spans="5:8" x14ac:dyDescent="0.2">
      <c r="E198" s="8"/>
      <c r="G198" s="87"/>
      <c r="H198" s="8"/>
    </row>
    <row r="199" spans="5:8" x14ac:dyDescent="0.2">
      <c r="E199" s="8"/>
      <c r="G199" s="87"/>
      <c r="H199" s="8"/>
    </row>
    <row r="200" spans="5:8" x14ac:dyDescent="0.2">
      <c r="E200" s="8"/>
      <c r="G200" s="87"/>
      <c r="H200" s="8"/>
    </row>
    <row r="201" spans="5:8" x14ac:dyDescent="0.2">
      <c r="E201" s="8"/>
      <c r="G201" s="87"/>
      <c r="H201" s="8"/>
    </row>
    <row r="202" spans="5:8" x14ac:dyDescent="0.2">
      <c r="E202" s="8"/>
      <c r="G202" s="87"/>
      <c r="H202" s="8"/>
    </row>
  </sheetData>
  <mergeCells count="23">
    <mergeCell ref="B1:C1"/>
    <mergeCell ref="B108:F108"/>
    <mergeCell ref="B112:B113"/>
    <mergeCell ref="C112:C113"/>
    <mergeCell ref="D112:D113"/>
    <mergeCell ref="E112:E113"/>
    <mergeCell ref="F112:F113"/>
    <mergeCell ref="B114:F114"/>
    <mergeCell ref="B124:B125"/>
    <mergeCell ref="C124:C125"/>
    <mergeCell ref="D124:D125"/>
    <mergeCell ref="E124:E125"/>
    <mergeCell ref="F124:F125"/>
    <mergeCell ref="B131:E131"/>
    <mergeCell ref="B136:B137"/>
    <mergeCell ref="C136:C137"/>
    <mergeCell ref="D136:D137"/>
    <mergeCell ref="B138:D138"/>
    <mergeCell ref="B143:F143"/>
    <mergeCell ref="B148:B149"/>
    <mergeCell ref="C148:C149"/>
    <mergeCell ref="D148:D149"/>
    <mergeCell ref="B150:D150"/>
  </mergeCells>
  <conditionalFormatting sqref="G1:G3 G5:G202">
    <cfRule type="cellIs" dxfId="16" priority="2" stopIfTrue="1" operator="between">
      <formula>0.009</formula>
      <formula>-0.009</formula>
    </cfRule>
  </conditionalFormatting>
  <hyperlinks>
    <hyperlink ref="A2" location="Index!A1" display="-" xr:uid="{B31CF067-8C7E-4C71-B387-F507A1A937C7}"/>
  </hyperlinks>
  <pageMargins left="0.7" right="0.7" top="0.75" bottom="0.75" header="0.3" footer="0.3"/>
  <pageSetup paperSize="9" scale="49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246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404B-075D-42FB-95FE-537C67EB064F}">
  <dimension ref="A1:J107"/>
  <sheetViews>
    <sheetView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52.7265625" style="8" bestFit="1" customWidth="1"/>
    <col min="3" max="3" width="14.54296875" style="8" customWidth="1"/>
    <col min="4" max="4" width="13.90625" style="8" bestFit="1" customWidth="1"/>
    <col min="5" max="5" width="13.90625" style="9" bestFit="1" customWidth="1"/>
    <col min="6" max="6" width="12.7265625" style="11" bestFit="1" customWidth="1"/>
    <col min="7" max="7" width="6.7265625" style="18" bestFit="1" customWidth="1"/>
    <col min="8" max="8" width="11.81640625" style="14" bestFit="1" customWidth="1"/>
    <col min="9" max="9" width="10.08984375" style="8" bestFit="1" customWidth="1"/>
    <col min="10" max="16384" width="9.08984375" style="8"/>
  </cols>
  <sheetData>
    <row r="1" spans="1:10" s="1" customFormat="1" ht="16.75" customHeight="1" x14ac:dyDescent="0.35">
      <c r="B1" s="185" t="s">
        <v>11</v>
      </c>
      <c r="C1" s="186"/>
      <c r="D1" s="13"/>
      <c r="E1" s="6"/>
      <c r="F1" s="7"/>
      <c r="G1" s="18"/>
      <c r="H1" s="15"/>
    </row>
    <row r="2" spans="1:10" s="1" customFormat="1" ht="14.5" x14ac:dyDescent="0.35">
      <c r="A2" s="85" t="s">
        <v>1494</v>
      </c>
      <c r="E2" s="6"/>
      <c r="F2" s="7"/>
      <c r="G2" s="18"/>
      <c r="H2" s="15"/>
    </row>
    <row r="3" spans="1:10" s="1" customFormat="1" ht="11.5" x14ac:dyDescent="0.25">
      <c r="B3" s="10" t="s">
        <v>9</v>
      </c>
      <c r="C3" s="2"/>
      <c r="D3" s="3"/>
      <c r="E3" s="4"/>
      <c r="F3" s="5"/>
      <c r="G3" s="18"/>
      <c r="H3" s="15"/>
    </row>
    <row r="4" spans="1:10" s="1" customFormat="1" ht="25.5" customHeight="1" x14ac:dyDescent="0.25">
      <c r="B4" s="29" t="s">
        <v>7</v>
      </c>
      <c r="C4" s="29" t="s">
        <v>8</v>
      </c>
      <c r="D4" s="30" t="s">
        <v>258</v>
      </c>
      <c r="E4" s="31" t="s">
        <v>0</v>
      </c>
      <c r="F4" s="32" t="s">
        <v>4</v>
      </c>
      <c r="G4" s="33" t="s">
        <v>5</v>
      </c>
      <c r="H4" s="34" t="s">
        <v>6</v>
      </c>
      <c r="I4" s="32" t="s">
        <v>198</v>
      </c>
      <c r="J4" s="12"/>
    </row>
    <row r="5" spans="1:10" ht="10.5" x14ac:dyDescent="0.25">
      <c r="B5" s="35" t="s">
        <v>199</v>
      </c>
      <c r="C5" s="36"/>
      <c r="D5" s="36"/>
      <c r="E5" s="37"/>
      <c r="F5" s="38"/>
      <c r="G5" s="39"/>
      <c r="H5" s="40"/>
      <c r="I5" s="36"/>
    </row>
    <row r="6" spans="1:10" ht="10.5" x14ac:dyDescent="0.25">
      <c r="B6" s="35" t="s">
        <v>200</v>
      </c>
      <c r="C6" s="36"/>
      <c r="D6" s="36"/>
      <c r="E6" s="37"/>
      <c r="F6" s="38"/>
      <c r="G6" s="39"/>
      <c r="H6" s="40"/>
      <c r="I6" s="36"/>
    </row>
    <row r="7" spans="1:10" x14ac:dyDescent="0.2">
      <c r="B7" s="36" t="s">
        <v>201</v>
      </c>
      <c r="C7" s="36" t="s">
        <v>202</v>
      </c>
      <c r="D7" s="36" t="s">
        <v>203</v>
      </c>
      <c r="E7" s="41">
        <v>3520</v>
      </c>
      <c r="F7" s="38">
        <v>16622.4784</v>
      </c>
      <c r="G7" s="39">
        <v>6.5883456389782502</v>
      </c>
      <c r="H7" s="42">
        <v>7.9499E-2</v>
      </c>
      <c r="I7" s="73"/>
    </row>
    <row r="8" spans="1:10" x14ac:dyDescent="0.2">
      <c r="B8" s="36" t="s">
        <v>204</v>
      </c>
      <c r="C8" s="36" t="s">
        <v>205</v>
      </c>
      <c r="D8" s="36" t="s">
        <v>206</v>
      </c>
      <c r="E8" s="41">
        <v>3500</v>
      </c>
      <c r="F8" s="38">
        <v>16486.014999999999</v>
      </c>
      <c r="G8" s="39">
        <v>6.5342581542701899</v>
      </c>
      <c r="H8" s="42">
        <v>7.7950000000000005E-2</v>
      </c>
      <c r="I8" s="73"/>
    </row>
    <row r="9" spans="1:10" x14ac:dyDescent="0.2">
      <c r="B9" s="36" t="s">
        <v>207</v>
      </c>
      <c r="C9" s="36" t="s">
        <v>208</v>
      </c>
      <c r="D9" s="36" t="s">
        <v>209</v>
      </c>
      <c r="E9" s="41">
        <v>3000</v>
      </c>
      <c r="F9" s="38">
        <v>14162.73</v>
      </c>
      <c r="G9" s="39">
        <v>5.6134204651170698</v>
      </c>
      <c r="H9" s="42">
        <v>7.7899999999999997E-2</v>
      </c>
      <c r="I9" s="73"/>
    </row>
    <row r="10" spans="1:10" x14ac:dyDescent="0.2">
      <c r="B10" s="36" t="s">
        <v>210</v>
      </c>
      <c r="C10" s="36" t="s">
        <v>211</v>
      </c>
      <c r="D10" s="36" t="s">
        <v>206</v>
      </c>
      <c r="E10" s="41">
        <v>2700</v>
      </c>
      <c r="F10" s="38">
        <v>12694.657499999999</v>
      </c>
      <c r="G10" s="39">
        <v>5.0315476047451204</v>
      </c>
      <c r="H10" s="42">
        <v>7.7964000000000006E-2</v>
      </c>
      <c r="I10" s="73"/>
    </row>
    <row r="11" spans="1:10" x14ac:dyDescent="0.2">
      <c r="B11" s="36" t="s">
        <v>212</v>
      </c>
      <c r="C11" s="36" t="s">
        <v>213</v>
      </c>
      <c r="D11" s="36" t="s">
        <v>209</v>
      </c>
      <c r="E11" s="41">
        <v>2140</v>
      </c>
      <c r="F11" s="38">
        <v>10096.5949</v>
      </c>
      <c r="G11" s="39">
        <v>4.0018013786647497</v>
      </c>
      <c r="H11" s="42">
        <v>7.8750000000000001E-2</v>
      </c>
      <c r="I11" s="73"/>
    </row>
    <row r="12" spans="1:10" x14ac:dyDescent="0.2">
      <c r="B12" s="36" t="s">
        <v>214</v>
      </c>
      <c r="C12" s="36" t="s">
        <v>215</v>
      </c>
      <c r="D12" s="36" t="s">
        <v>209</v>
      </c>
      <c r="E12" s="41">
        <v>2000</v>
      </c>
      <c r="F12" s="38">
        <v>9534.81</v>
      </c>
      <c r="G12" s="39">
        <v>3.7791370438469798</v>
      </c>
      <c r="H12" s="42">
        <v>7.8450000000000006E-2</v>
      </c>
      <c r="I12" s="73"/>
    </row>
    <row r="13" spans="1:10" x14ac:dyDescent="0.2">
      <c r="B13" s="36" t="s">
        <v>216</v>
      </c>
      <c r="C13" s="36" t="s">
        <v>217</v>
      </c>
      <c r="D13" s="36" t="s">
        <v>209</v>
      </c>
      <c r="E13" s="41">
        <v>2000</v>
      </c>
      <c r="F13" s="38">
        <v>9473</v>
      </c>
      <c r="G13" s="39">
        <v>3.7546385524580401</v>
      </c>
      <c r="H13" s="42">
        <v>7.8399999999999997E-2</v>
      </c>
      <c r="I13" s="73"/>
    </row>
    <row r="14" spans="1:10" x14ac:dyDescent="0.2">
      <c r="B14" s="36" t="s">
        <v>218</v>
      </c>
      <c r="C14" s="36" t="s">
        <v>219</v>
      </c>
      <c r="D14" s="36" t="s">
        <v>209</v>
      </c>
      <c r="E14" s="41">
        <v>2000</v>
      </c>
      <c r="F14" s="38">
        <v>9434.2099999999991</v>
      </c>
      <c r="G14" s="39">
        <v>3.7392640745260302</v>
      </c>
      <c r="H14" s="42">
        <v>7.7899999999999997E-2</v>
      </c>
      <c r="I14" s="73"/>
    </row>
    <row r="15" spans="1:10" x14ac:dyDescent="0.2">
      <c r="B15" s="36" t="s">
        <v>220</v>
      </c>
      <c r="C15" s="36" t="s">
        <v>221</v>
      </c>
      <c r="D15" s="36" t="s">
        <v>209</v>
      </c>
      <c r="E15" s="41">
        <v>2000</v>
      </c>
      <c r="F15" s="38">
        <v>9422.48</v>
      </c>
      <c r="G15" s="39">
        <v>3.7346148704491502</v>
      </c>
      <c r="H15" s="42">
        <v>7.7950000000000005E-2</v>
      </c>
      <c r="I15" s="73"/>
    </row>
    <row r="16" spans="1:10" x14ac:dyDescent="0.2">
      <c r="B16" s="36" t="s">
        <v>222</v>
      </c>
      <c r="C16" s="36" t="s">
        <v>223</v>
      </c>
      <c r="D16" s="36" t="s">
        <v>209</v>
      </c>
      <c r="E16" s="41">
        <v>2000</v>
      </c>
      <c r="F16" s="38">
        <v>9419.8799999999992</v>
      </c>
      <c r="G16" s="39">
        <v>3.7335843563315101</v>
      </c>
      <c r="H16" s="42">
        <v>7.9149999999999998E-2</v>
      </c>
      <c r="I16" s="73"/>
    </row>
    <row r="17" spans="2:9" x14ac:dyDescent="0.2">
      <c r="B17" s="36" t="s">
        <v>224</v>
      </c>
      <c r="C17" s="36" t="s">
        <v>225</v>
      </c>
      <c r="D17" s="36" t="s">
        <v>206</v>
      </c>
      <c r="E17" s="41">
        <v>2000</v>
      </c>
      <c r="F17" s="38">
        <v>9414.82</v>
      </c>
      <c r="G17" s="39">
        <v>3.73157881731795</v>
      </c>
      <c r="H17" s="42">
        <v>7.8501000000000001E-2</v>
      </c>
      <c r="I17" s="73"/>
    </row>
    <row r="18" spans="2:9" x14ac:dyDescent="0.2">
      <c r="B18" s="36" t="s">
        <v>226</v>
      </c>
      <c r="C18" s="36" t="s">
        <v>227</v>
      </c>
      <c r="D18" s="36" t="s">
        <v>206</v>
      </c>
      <c r="E18" s="41">
        <v>1960</v>
      </c>
      <c r="F18" s="38">
        <v>9239.5085999999992</v>
      </c>
      <c r="G18" s="39">
        <v>3.6620938662860301</v>
      </c>
      <c r="H18" s="42">
        <v>7.7964000000000006E-2</v>
      </c>
      <c r="I18" s="73"/>
    </row>
    <row r="19" spans="2:9" x14ac:dyDescent="0.2">
      <c r="B19" s="36" t="s">
        <v>228</v>
      </c>
      <c r="C19" s="36" t="s">
        <v>229</v>
      </c>
      <c r="D19" s="36" t="s">
        <v>209</v>
      </c>
      <c r="E19" s="41">
        <v>1800</v>
      </c>
      <c r="F19" s="38">
        <v>8499.1589999999997</v>
      </c>
      <c r="G19" s="39">
        <v>3.3686551298290599</v>
      </c>
      <c r="H19" s="42">
        <v>7.8498999999999999E-2</v>
      </c>
      <c r="I19" s="73"/>
    </row>
    <row r="20" spans="2:9" x14ac:dyDescent="0.2">
      <c r="B20" s="36" t="s">
        <v>230</v>
      </c>
      <c r="C20" s="36" t="s">
        <v>231</v>
      </c>
      <c r="D20" s="36" t="s">
        <v>206</v>
      </c>
      <c r="E20" s="41">
        <v>1500</v>
      </c>
      <c r="F20" s="38">
        <v>7072.4775</v>
      </c>
      <c r="G20" s="39">
        <v>2.8031876578583401</v>
      </c>
      <c r="H20" s="42">
        <v>7.7965000000000007E-2</v>
      </c>
      <c r="I20" s="73"/>
    </row>
    <row r="21" spans="2:9" x14ac:dyDescent="0.2">
      <c r="B21" s="36" t="s">
        <v>232</v>
      </c>
      <c r="C21" s="36" t="s">
        <v>233</v>
      </c>
      <c r="D21" s="36" t="s">
        <v>209</v>
      </c>
      <c r="E21" s="41">
        <v>1000</v>
      </c>
      <c r="F21" s="38">
        <v>4746.82</v>
      </c>
      <c r="G21" s="39">
        <v>1.88140962457288</v>
      </c>
      <c r="H21" s="42">
        <v>7.85E-2</v>
      </c>
      <c r="I21" s="73"/>
    </row>
    <row r="22" spans="2:9" x14ac:dyDescent="0.2">
      <c r="B22" s="36" t="s">
        <v>234</v>
      </c>
      <c r="C22" s="36" t="s">
        <v>235</v>
      </c>
      <c r="D22" s="36" t="s">
        <v>203</v>
      </c>
      <c r="E22" s="41">
        <v>1000</v>
      </c>
      <c r="F22" s="38">
        <v>4718.0550000000003</v>
      </c>
      <c r="G22" s="39">
        <v>1.8700085712675401</v>
      </c>
      <c r="H22" s="42">
        <v>7.7900999999999998E-2</v>
      </c>
      <c r="I22" s="73"/>
    </row>
    <row r="23" spans="2:9" x14ac:dyDescent="0.2">
      <c r="B23" s="36" t="s">
        <v>236</v>
      </c>
      <c r="C23" s="36" t="s">
        <v>237</v>
      </c>
      <c r="D23" s="36" t="s">
        <v>209</v>
      </c>
      <c r="E23" s="41">
        <v>1000</v>
      </c>
      <c r="F23" s="38">
        <v>4717.45</v>
      </c>
      <c r="G23" s="39">
        <v>1.8697687785593999</v>
      </c>
      <c r="H23" s="42">
        <v>7.7799999999999994E-2</v>
      </c>
      <c r="I23" s="73"/>
    </row>
    <row r="24" spans="2:9" x14ac:dyDescent="0.2">
      <c r="B24" s="36" t="s">
        <v>238</v>
      </c>
      <c r="C24" s="36" t="s">
        <v>239</v>
      </c>
      <c r="D24" s="36" t="s">
        <v>209</v>
      </c>
      <c r="E24" s="41">
        <v>1000</v>
      </c>
      <c r="F24" s="38">
        <v>4713.91</v>
      </c>
      <c r="G24" s="39">
        <v>1.86836569395307</v>
      </c>
      <c r="H24" s="42">
        <v>7.8E-2</v>
      </c>
      <c r="I24" s="73"/>
    </row>
    <row r="25" spans="2:9" x14ac:dyDescent="0.2">
      <c r="B25" s="36" t="s">
        <v>240</v>
      </c>
      <c r="C25" s="36" t="s">
        <v>241</v>
      </c>
      <c r="D25" s="36" t="s">
        <v>209</v>
      </c>
      <c r="E25" s="41">
        <v>1000</v>
      </c>
      <c r="F25" s="38">
        <v>4711.32</v>
      </c>
      <c r="G25" s="39">
        <v>1.86733914335127</v>
      </c>
      <c r="H25" s="42">
        <v>7.8750000000000001E-2</v>
      </c>
      <c r="I25" s="73"/>
    </row>
    <row r="26" spans="2:9" x14ac:dyDescent="0.2">
      <c r="B26" s="36" t="s">
        <v>242</v>
      </c>
      <c r="C26" s="36" t="s">
        <v>243</v>
      </c>
      <c r="D26" s="36" t="s">
        <v>209</v>
      </c>
      <c r="E26" s="41">
        <v>840</v>
      </c>
      <c r="F26" s="38">
        <v>3959.8398000000002</v>
      </c>
      <c r="G26" s="39">
        <v>1.56948877595669</v>
      </c>
      <c r="H26" s="42">
        <v>7.85E-2</v>
      </c>
      <c r="I26" s="73"/>
    </row>
    <row r="27" spans="2:9" ht="10.5" x14ac:dyDescent="0.25">
      <c r="B27" s="35" t="s">
        <v>180</v>
      </c>
      <c r="C27" s="35"/>
      <c r="D27" s="35"/>
      <c r="E27" s="43"/>
      <c r="F27" s="44">
        <f>SUM(F6:F26)</f>
        <v>179140.21570000003</v>
      </c>
      <c r="G27" s="45">
        <f>SUM(G6:G26)</f>
        <v>71.002508198339328</v>
      </c>
      <c r="H27" s="46"/>
      <c r="I27" s="35"/>
    </row>
    <row r="28" spans="2:9" ht="10.5" x14ac:dyDescent="0.25">
      <c r="B28" s="35" t="s">
        <v>244</v>
      </c>
      <c r="C28" s="36"/>
      <c r="D28" s="36"/>
      <c r="E28" s="37"/>
      <c r="F28" s="38"/>
      <c r="G28" s="39"/>
      <c r="H28" s="40"/>
      <c r="I28" s="36"/>
    </row>
    <row r="29" spans="2:9" x14ac:dyDescent="0.2">
      <c r="B29" s="36" t="s">
        <v>245</v>
      </c>
      <c r="C29" s="36" t="s">
        <v>246</v>
      </c>
      <c r="D29" s="36" t="s">
        <v>206</v>
      </c>
      <c r="E29" s="41">
        <v>3000</v>
      </c>
      <c r="F29" s="38">
        <v>14072.07</v>
      </c>
      <c r="G29" s="39">
        <v>5.5774872305381802</v>
      </c>
      <c r="H29" s="42">
        <v>8.5349999999999995E-2</v>
      </c>
      <c r="I29" s="73"/>
    </row>
    <row r="30" spans="2:9" x14ac:dyDescent="0.2">
      <c r="B30" s="36" t="s">
        <v>247</v>
      </c>
      <c r="C30" s="36" t="s">
        <v>248</v>
      </c>
      <c r="D30" s="36" t="s">
        <v>209</v>
      </c>
      <c r="E30" s="41">
        <v>500</v>
      </c>
      <c r="F30" s="38">
        <v>2369.4875000000002</v>
      </c>
      <c r="G30" s="39">
        <v>0.93915012319934699</v>
      </c>
      <c r="H30" s="42">
        <v>8.5551000000000002E-2</v>
      </c>
      <c r="I30" s="73"/>
    </row>
    <row r="31" spans="2:9" x14ac:dyDescent="0.2">
      <c r="B31" s="36" t="s">
        <v>249</v>
      </c>
      <c r="C31" s="36" t="s">
        <v>250</v>
      </c>
      <c r="D31" s="36" t="s">
        <v>209</v>
      </c>
      <c r="E31" s="41">
        <v>500</v>
      </c>
      <c r="F31" s="38">
        <v>2354.79</v>
      </c>
      <c r="G31" s="39">
        <v>0.93332474579781</v>
      </c>
      <c r="H31" s="42">
        <v>8.0100000000000005E-2</v>
      </c>
      <c r="I31" s="73"/>
    </row>
    <row r="32" spans="2:9" ht="10.5" x14ac:dyDescent="0.25">
      <c r="B32" s="35" t="s">
        <v>180</v>
      </c>
      <c r="C32" s="35"/>
      <c r="D32" s="35"/>
      <c r="E32" s="43"/>
      <c r="F32" s="74">
        <f>SUM(F28:F31)</f>
        <v>18796.3475</v>
      </c>
      <c r="G32" s="75">
        <f>SUM(G28:G31)</f>
        <v>7.4499620995353375</v>
      </c>
      <c r="H32" s="46"/>
      <c r="I32" s="35"/>
    </row>
    <row r="33" spans="2:9" ht="10.5" x14ac:dyDescent="0.25">
      <c r="B33" s="51" t="s">
        <v>183</v>
      </c>
      <c r="C33" s="51"/>
      <c r="D33" s="51"/>
      <c r="E33" s="52"/>
      <c r="F33" s="53">
        <f>+F27+F32</f>
        <v>197936.56320000003</v>
      </c>
      <c r="G33" s="54">
        <f>+G27+G32</f>
        <v>78.452470297874669</v>
      </c>
      <c r="H33" s="46"/>
      <c r="I33" s="35"/>
    </row>
    <row r="34" spans="2:9" ht="10.5" x14ac:dyDescent="0.25">
      <c r="B34" s="35" t="s">
        <v>251</v>
      </c>
      <c r="C34" s="36"/>
      <c r="D34" s="36"/>
      <c r="E34" s="37"/>
      <c r="F34" s="38"/>
      <c r="G34" s="39"/>
      <c r="H34" s="40"/>
      <c r="I34" s="36"/>
    </row>
    <row r="35" spans="2:9" x14ac:dyDescent="0.2">
      <c r="B35" s="36" t="s">
        <v>252</v>
      </c>
      <c r="C35" s="36" t="s">
        <v>253</v>
      </c>
      <c r="D35" s="36" t="s">
        <v>254</v>
      </c>
      <c r="E35" s="41">
        <v>35500000</v>
      </c>
      <c r="F35" s="38">
        <v>35484.025000000001</v>
      </c>
      <c r="G35" s="39">
        <v>14.0641495050549</v>
      </c>
      <c r="H35" s="42">
        <v>5.8013000000000002E-2</v>
      </c>
      <c r="I35" s="73"/>
    </row>
    <row r="36" spans="2:9" ht="10.5" x14ac:dyDescent="0.25">
      <c r="B36" s="35" t="s">
        <v>183</v>
      </c>
      <c r="C36" s="35"/>
      <c r="D36" s="35"/>
      <c r="E36" s="43"/>
      <c r="F36" s="44">
        <f>SUM(F35:F35)</f>
        <v>35484.025000000001</v>
      </c>
      <c r="G36" s="45">
        <f>SUM(G35:G35)</f>
        <v>14.0641495050549</v>
      </c>
      <c r="H36" s="46"/>
      <c r="I36" s="35"/>
    </row>
    <row r="37" spans="2:9" ht="10.5" x14ac:dyDescent="0.25">
      <c r="B37" s="35" t="s">
        <v>255</v>
      </c>
      <c r="C37" s="36"/>
      <c r="D37" s="36"/>
      <c r="E37" s="37"/>
      <c r="F37" s="38"/>
      <c r="G37" s="39"/>
      <c r="H37" s="40"/>
      <c r="I37" s="36"/>
    </row>
    <row r="38" spans="2:9" x14ac:dyDescent="0.2">
      <c r="B38" s="36" t="s">
        <v>256</v>
      </c>
      <c r="C38" s="36" t="s">
        <v>257</v>
      </c>
      <c r="D38" s="36"/>
      <c r="E38" s="41">
        <v>6542.44</v>
      </c>
      <c r="F38" s="38">
        <v>771.28019789999996</v>
      </c>
      <c r="G38" s="39">
        <v>0.30569812791964601</v>
      </c>
      <c r="H38" s="40"/>
      <c r="I38" s="36"/>
    </row>
    <row r="39" spans="2:9" ht="10.5" x14ac:dyDescent="0.25">
      <c r="B39" s="35" t="s">
        <v>180</v>
      </c>
      <c r="C39" s="35"/>
      <c r="D39" s="35"/>
      <c r="E39" s="43"/>
      <c r="F39" s="44">
        <f>SUM(F38:F38)</f>
        <v>771.28019789999996</v>
      </c>
      <c r="G39" s="45">
        <f>SUM(G38:G38)</f>
        <v>0.30569812791964601</v>
      </c>
      <c r="H39" s="46"/>
      <c r="I39" s="35"/>
    </row>
    <row r="40" spans="2:9" ht="10.5" x14ac:dyDescent="0.25">
      <c r="B40" s="35"/>
      <c r="C40" s="36"/>
      <c r="D40" s="36"/>
      <c r="E40" s="37"/>
      <c r="F40" s="38"/>
      <c r="G40" s="39"/>
      <c r="H40" s="40"/>
      <c r="I40" s="36"/>
    </row>
    <row r="41" spans="2:9" ht="10.5" x14ac:dyDescent="0.25">
      <c r="B41" s="35" t="s">
        <v>184</v>
      </c>
      <c r="C41" s="35"/>
      <c r="D41" s="35"/>
      <c r="E41" s="43"/>
      <c r="F41" s="44">
        <v>18105.915594800001</v>
      </c>
      <c r="G41" s="45">
        <v>7.1763083204673501</v>
      </c>
      <c r="H41" s="42">
        <v>5.3499999999999999E-2</v>
      </c>
      <c r="I41" s="42"/>
    </row>
    <row r="42" spans="2:9" x14ac:dyDescent="0.2">
      <c r="B42" s="36"/>
      <c r="C42" s="36"/>
      <c r="D42" s="36"/>
      <c r="E42" s="37"/>
      <c r="F42" s="38"/>
      <c r="G42" s="39"/>
      <c r="H42" s="40"/>
      <c r="I42" s="36"/>
    </row>
    <row r="43" spans="2:9" ht="10.5" x14ac:dyDescent="0.25">
      <c r="B43" s="61" t="s">
        <v>187</v>
      </c>
      <c r="C43" s="61"/>
      <c r="D43" s="61"/>
      <c r="E43" s="62"/>
      <c r="F43" s="44">
        <f>F44-(F27+F32+F36+F39+F41)</f>
        <v>3.4659850999887567</v>
      </c>
      <c r="G43" s="45">
        <f>G44-(G27+G32+G36+G39+G41)</f>
        <v>1.3737486834344281E-3</v>
      </c>
      <c r="H43" s="46"/>
      <c r="I43" s="35"/>
    </row>
    <row r="44" spans="2:9" ht="10.5" x14ac:dyDescent="0.25">
      <c r="B44" s="55" t="s">
        <v>185</v>
      </c>
      <c r="C44" s="55"/>
      <c r="D44" s="55"/>
      <c r="E44" s="56"/>
      <c r="F44" s="57">
        <v>252301.24997780001</v>
      </c>
      <c r="G44" s="58">
        <v>100</v>
      </c>
      <c r="H44" s="59"/>
      <c r="I44" s="60"/>
    </row>
    <row r="46" spans="2:9" ht="10.5" x14ac:dyDescent="0.25">
      <c r="B46" s="26" t="s">
        <v>259</v>
      </c>
    </row>
    <row r="47" spans="2:9" ht="40" customHeight="1" x14ac:dyDescent="0.2">
      <c r="B47" s="187" t="s">
        <v>260</v>
      </c>
      <c r="C47" s="187"/>
      <c r="D47" s="187"/>
      <c r="E47" s="187"/>
      <c r="F47" s="187"/>
      <c r="G47" s="187"/>
      <c r="H47" s="187"/>
      <c r="I47" s="187"/>
    </row>
    <row r="48" spans="2:9" ht="10.5" x14ac:dyDescent="0.2">
      <c r="B48" s="188" t="s">
        <v>1562</v>
      </c>
      <c r="C48" s="188"/>
      <c r="D48" s="188"/>
      <c r="E48" s="188"/>
      <c r="F48" s="188"/>
      <c r="G48" s="188"/>
      <c r="H48" s="188"/>
      <c r="I48" s="188"/>
    </row>
    <row r="49" spans="2:9" ht="10.5" x14ac:dyDescent="0.2">
      <c r="B49" s="149"/>
      <c r="C49" s="149"/>
      <c r="D49" s="149"/>
      <c r="E49" s="149"/>
      <c r="F49" s="149"/>
      <c r="G49" s="149"/>
      <c r="H49" s="149"/>
      <c r="I49" s="149"/>
    </row>
    <row r="50" spans="2:9" ht="10.5" x14ac:dyDescent="0.2">
      <c r="B50" s="90" t="s">
        <v>196</v>
      </c>
      <c r="C50" s="86"/>
      <c r="D50" s="90"/>
    </row>
    <row r="51" spans="2:9" ht="10.5" x14ac:dyDescent="0.2">
      <c r="B51" s="90"/>
      <c r="C51" s="90"/>
      <c r="D51" s="90"/>
    </row>
    <row r="52" spans="2:9" ht="10.5" x14ac:dyDescent="0.2">
      <c r="B52" s="94" t="s">
        <v>1508</v>
      </c>
      <c r="C52" s="90"/>
      <c r="D52" s="90"/>
    </row>
    <row r="53" spans="2:9" ht="10.5" x14ac:dyDescent="0.2">
      <c r="B53" s="94" t="s">
        <v>1509</v>
      </c>
      <c r="C53" s="90"/>
      <c r="D53" s="90"/>
    </row>
    <row r="54" spans="2:9" ht="10.5" x14ac:dyDescent="0.2">
      <c r="B54" s="90"/>
      <c r="C54" s="90"/>
      <c r="D54" s="90"/>
    </row>
    <row r="55" spans="2:9" ht="21" x14ac:dyDescent="0.2">
      <c r="B55" s="95" t="s">
        <v>1510</v>
      </c>
      <c r="C55" s="105" t="s">
        <v>1511</v>
      </c>
      <c r="D55" s="105" t="s">
        <v>1563</v>
      </c>
    </row>
    <row r="56" spans="2:9" x14ac:dyDescent="0.2">
      <c r="B56" s="97" t="s">
        <v>1512</v>
      </c>
      <c r="C56" s="98">
        <v>1048.867</v>
      </c>
      <c r="D56" s="98">
        <v>1050.2248999999999</v>
      </c>
    </row>
    <row r="57" spans="2:9" ht="10.5" x14ac:dyDescent="0.2">
      <c r="B57" s="90"/>
      <c r="C57" s="90"/>
      <c r="D57" s="90"/>
    </row>
    <row r="58" spans="2:9" ht="10.5" x14ac:dyDescent="0.2">
      <c r="B58" s="94" t="s">
        <v>1572</v>
      </c>
      <c r="C58" s="90"/>
      <c r="D58" s="90"/>
    </row>
    <row r="59" spans="2:9" ht="10.5" x14ac:dyDescent="0.2">
      <c r="B59" s="94" t="s">
        <v>1564</v>
      </c>
      <c r="C59" s="90"/>
      <c r="D59" s="90"/>
    </row>
    <row r="60" spans="2:9" ht="10.5" x14ac:dyDescent="0.2">
      <c r="B60" s="94" t="s">
        <v>1565</v>
      </c>
      <c r="C60" s="90"/>
      <c r="D60" s="90"/>
    </row>
    <row r="61" spans="2:9" ht="10.5" x14ac:dyDescent="0.2">
      <c r="B61" s="99" t="s">
        <v>1566</v>
      </c>
      <c r="C61" s="90"/>
      <c r="D61" s="90"/>
    </row>
    <row r="62" spans="2:9" ht="10.5" x14ac:dyDescent="0.2">
      <c r="B62" s="94" t="s">
        <v>1567</v>
      </c>
      <c r="C62" s="90"/>
      <c r="D62" s="90"/>
    </row>
    <row r="64" spans="2:9" ht="10.5" x14ac:dyDescent="0.25">
      <c r="B64" s="26" t="s">
        <v>1480</v>
      </c>
      <c r="C64" s="26"/>
      <c r="D64" s="71"/>
      <c r="E64" s="26"/>
      <c r="G64" s="87"/>
      <c r="I64" s="14"/>
    </row>
    <row r="65" spans="2:9" x14ac:dyDescent="0.2">
      <c r="D65" s="72"/>
      <c r="E65" s="72"/>
      <c r="G65" s="87"/>
      <c r="I65" s="14"/>
    </row>
    <row r="66" spans="2:9" x14ac:dyDescent="0.2">
      <c r="E66" s="8"/>
      <c r="G66" s="87"/>
      <c r="I66" s="14"/>
    </row>
    <row r="67" spans="2:9" x14ac:dyDescent="0.2">
      <c r="E67" s="8"/>
      <c r="G67" s="87"/>
      <c r="I67" s="14"/>
    </row>
    <row r="68" spans="2:9" x14ac:dyDescent="0.2">
      <c r="E68" s="8"/>
      <c r="G68" s="87"/>
      <c r="I68" s="14"/>
    </row>
    <row r="69" spans="2:9" ht="10.5" x14ac:dyDescent="0.25">
      <c r="B69" s="26"/>
      <c r="E69" s="8"/>
      <c r="G69" s="87"/>
      <c r="I69" s="14"/>
    </row>
    <row r="70" spans="2:9" x14ac:dyDescent="0.2">
      <c r="E70" s="8"/>
      <c r="G70" s="87"/>
      <c r="I70" s="14"/>
    </row>
    <row r="71" spans="2:9" x14ac:dyDescent="0.2">
      <c r="E71" s="8"/>
      <c r="G71" s="87"/>
      <c r="I71" s="14"/>
    </row>
    <row r="72" spans="2:9" x14ac:dyDescent="0.2">
      <c r="E72" s="8"/>
      <c r="G72" s="87"/>
      <c r="I72" s="14"/>
    </row>
    <row r="73" spans="2:9" x14ac:dyDescent="0.2">
      <c r="E73" s="8"/>
      <c r="G73" s="87"/>
      <c r="I73" s="14"/>
    </row>
    <row r="74" spans="2:9" x14ac:dyDescent="0.2">
      <c r="E74" s="8"/>
      <c r="G74" s="87"/>
      <c r="I74" s="14"/>
    </row>
    <row r="75" spans="2:9" x14ac:dyDescent="0.2">
      <c r="E75" s="8"/>
      <c r="G75" s="87"/>
      <c r="I75" s="14"/>
    </row>
    <row r="76" spans="2:9" x14ac:dyDescent="0.2">
      <c r="E76" s="8"/>
      <c r="G76" s="87"/>
      <c r="I76" s="14"/>
    </row>
    <row r="77" spans="2:9" x14ac:dyDescent="0.2">
      <c r="E77" s="8"/>
      <c r="G77" s="87"/>
      <c r="I77" s="14"/>
    </row>
    <row r="78" spans="2:9" x14ac:dyDescent="0.2">
      <c r="E78" s="8"/>
      <c r="G78" s="87"/>
      <c r="I78" s="14"/>
    </row>
    <row r="79" spans="2:9" x14ac:dyDescent="0.2">
      <c r="E79" s="8"/>
      <c r="G79" s="87"/>
      <c r="I79" s="14"/>
    </row>
    <row r="80" spans="2:9" x14ac:dyDescent="0.2">
      <c r="E80" s="8"/>
      <c r="G80" s="87"/>
      <c r="I80" s="14"/>
    </row>
    <row r="81" spans="2:9" x14ac:dyDescent="0.2">
      <c r="E81" s="8"/>
      <c r="G81" s="87"/>
      <c r="I81" s="14"/>
    </row>
    <row r="82" spans="2:9" x14ac:dyDescent="0.2">
      <c r="E82" s="8"/>
      <c r="G82" s="87"/>
      <c r="I82" s="14"/>
    </row>
    <row r="83" spans="2:9" x14ac:dyDescent="0.2">
      <c r="E83" s="8"/>
      <c r="G83" s="87"/>
      <c r="I83" s="14"/>
    </row>
    <row r="84" spans="2:9" x14ac:dyDescent="0.2">
      <c r="E84" s="8"/>
      <c r="G84" s="87"/>
      <c r="I84" s="14"/>
    </row>
    <row r="85" spans="2:9" ht="10.5" x14ac:dyDescent="0.25">
      <c r="B85" s="26" t="s">
        <v>1478</v>
      </c>
      <c r="E85" s="8"/>
      <c r="G85" s="87"/>
      <c r="I85" s="14"/>
    </row>
    <row r="86" spans="2:9" ht="10.5" x14ac:dyDescent="0.2">
      <c r="B86" s="90" t="s">
        <v>1481</v>
      </c>
      <c r="E86" s="8"/>
      <c r="G86" s="87"/>
      <c r="I86" s="14"/>
    </row>
    <row r="87" spans="2:9" x14ac:dyDescent="0.2">
      <c r="E87" s="8"/>
      <c r="G87" s="87"/>
      <c r="I87" s="14"/>
    </row>
    <row r="88" spans="2:9" x14ac:dyDescent="0.2">
      <c r="E88" s="8"/>
      <c r="G88" s="87"/>
      <c r="I88" s="14"/>
    </row>
    <row r="89" spans="2:9" x14ac:dyDescent="0.2">
      <c r="E89" s="8"/>
      <c r="G89" s="87"/>
      <c r="I89" s="14"/>
    </row>
    <row r="90" spans="2:9" x14ac:dyDescent="0.2">
      <c r="E90" s="8"/>
      <c r="G90" s="87"/>
      <c r="I90" s="14"/>
    </row>
    <row r="91" spans="2:9" x14ac:dyDescent="0.2">
      <c r="E91" s="8"/>
      <c r="G91" s="87"/>
      <c r="I91" s="14"/>
    </row>
    <row r="92" spans="2:9" x14ac:dyDescent="0.2">
      <c r="E92" s="8"/>
      <c r="G92" s="87"/>
      <c r="I92" s="14"/>
    </row>
    <row r="93" spans="2:9" x14ac:dyDescent="0.2">
      <c r="E93" s="8"/>
      <c r="G93" s="87"/>
      <c r="I93" s="14"/>
    </row>
    <row r="94" spans="2:9" x14ac:dyDescent="0.2">
      <c r="E94" s="8"/>
      <c r="G94" s="87"/>
      <c r="I94" s="14"/>
    </row>
    <row r="95" spans="2:9" x14ac:dyDescent="0.2">
      <c r="E95" s="8"/>
      <c r="G95" s="87"/>
      <c r="I95" s="14"/>
    </row>
    <row r="96" spans="2:9" x14ac:dyDescent="0.2">
      <c r="E96" s="8"/>
      <c r="G96" s="87"/>
      <c r="I96" s="14"/>
    </row>
    <row r="97" spans="5:9" x14ac:dyDescent="0.2">
      <c r="E97" s="8"/>
      <c r="G97" s="87"/>
      <c r="I97" s="14"/>
    </row>
    <row r="98" spans="5:9" x14ac:dyDescent="0.2">
      <c r="E98" s="8"/>
      <c r="G98" s="87"/>
      <c r="I98" s="14"/>
    </row>
    <row r="99" spans="5:9" x14ac:dyDescent="0.2">
      <c r="E99" s="8"/>
      <c r="G99" s="87"/>
      <c r="I99" s="14"/>
    </row>
    <row r="100" spans="5:9" x14ac:dyDescent="0.2">
      <c r="E100" s="8"/>
      <c r="G100" s="87"/>
      <c r="I100" s="14"/>
    </row>
    <row r="101" spans="5:9" x14ac:dyDescent="0.2">
      <c r="E101" s="8"/>
      <c r="G101" s="87"/>
      <c r="I101" s="14"/>
    </row>
    <row r="102" spans="5:9" x14ac:dyDescent="0.2">
      <c r="E102" s="8"/>
      <c r="G102" s="87"/>
      <c r="I102" s="14"/>
    </row>
    <row r="103" spans="5:9" x14ac:dyDescent="0.2">
      <c r="E103" s="8"/>
      <c r="G103" s="87"/>
      <c r="I103" s="14"/>
    </row>
    <row r="104" spans="5:9" x14ac:dyDescent="0.2">
      <c r="E104" s="8"/>
      <c r="G104" s="87"/>
      <c r="I104" s="14"/>
    </row>
    <row r="105" spans="5:9" x14ac:dyDescent="0.2">
      <c r="E105" s="8"/>
      <c r="G105" s="87"/>
      <c r="I105" s="14"/>
    </row>
    <row r="106" spans="5:9" x14ac:dyDescent="0.2">
      <c r="E106" s="8"/>
      <c r="G106" s="87"/>
      <c r="I106" s="14"/>
    </row>
    <row r="107" spans="5:9" x14ac:dyDescent="0.2">
      <c r="E107" s="8"/>
      <c r="G107" s="87"/>
      <c r="I107" s="14"/>
    </row>
  </sheetData>
  <mergeCells count="3">
    <mergeCell ref="B1:C1"/>
    <mergeCell ref="B47:I47"/>
    <mergeCell ref="B48:I48"/>
  </mergeCells>
  <conditionalFormatting sqref="G1:G3 G5:G46 G50:G107">
    <cfRule type="cellIs" dxfId="15" priority="2" stopIfTrue="1" operator="between">
      <formula>0.009</formula>
      <formula>-0.009</formula>
    </cfRule>
  </conditionalFormatting>
  <hyperlinks>
    <hyperlink ref="A2" location="Index!A1" display="-" xr:uid="{FF77149C-588E-4053-9BDC-F8939525FF75}"/>
  </hyperlinks>
  <pageMargins left="0.7" right="0.7" top="0.75" bottom="0.75" header="0.3" footer="0.3"/>
  <pageSetup paperSize="9" scale="6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726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0F52-6DDC-45B0-BBA9-0C20A0F8C9F5}">
  <dimension ref="A1:J106"/>
  <sheetViews>
    <sheetView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52.7265625" style="8" bestFit="1" customWidth="1"/>
    <col min="3" max="3" width="14.36328125" style="8" customWidth="1"/>
    <col min="4" max="4" width="13.90625" style="8" bestFit="1" customWidth="1"/>
    <col min="5" max="5" width="13.90625" style="9" bestFit="1" customWidth="1"/>
    <col min="6" max="6" width="12.7265625" style="11" bestFit="1" customWidth="1"/>
    <col min="7" max="7" width="6.7265625" style="18" bestFit="1" customWidth="1"/>
    <col min="8" max="8" width="11.81640625" style="14" bestFit="1" customWidth="1"/>
    <col min="9" max="9" width="10.08984375" style="8" bestFit="1" customWidth="1"/>
    <col min="10" max="16384" width="9.08984375" style="8"/>
  </cols>
  <sheetData>
    <row r="1" spans="1:10" s="1" customFormat="1" ht="16.75" customHeight="1" x14ac:dyDescent="0.35">
      <c r="B1" s="185" t="s">
        <v>12</v>
      </c>
      <c r="C1" s="186"/>
      <c r="D1" s="13"/>
      <c r="E1" s="6"/>
      <c r="F1" s="7"/>
      <c r="G1" s="18"/>
      <c r="H1" s="15"/>
    </row>
    <row r="2" spans="1:10" s="1" customFormat="1" ht="14.5" x14ac:dyDescent="0.35">
      <c r="A2" s="85" t="s">
        <v>1494</v>
      </c>
      <c r="E2" s="6"/>
      <c r="F2" s="7"/>
      <c r="G2" s="18"/>
      <c r="H2" s="15"/>
    </row>
    <row r="3" spans="1:10" s="1" customFormat="1" ht="11.5" x14ac:dyDescent="0.25">
      <c r="B3" s="10" t="s">
        <v>9</v>
      </c>
      <c r="C3" s="2"/>
      <c r="D3" s="3"/>
      <c r="E3" s="4"/>
      <c r="F3" s="5"/>
      <c r="G3" s="18"/>
      <c r="H3" s="15"/>
    </row>
    <row r="4" spans="1:10" s="1" customFormat="1" ht="25.5" customHeight="1" x14ac:dyDescent="0.25">
      <c r="B4" s="29" t="s">
        <v>7</v>
      </c>
      <c r="C4" s="29" t="s">
        <v>8</v>
      </c>
      <c r="D4" s="30" t="s">
        <v>258</v>
      </c>
      <c r="E4" s="31" t="s">
        <v>0</v>
      </c>
      <c r="F4" s="32" t="s">
        <v>4</v>
      </c>
      <c r="G4" s="33" t="s">
        <v>5</v>
      </c>
      <c r="H4" s="34" t="s">
        <v>6</v>
      </c>
      <c r="I4" s="32" t="s">
        <v>198</v>
      </c>
      <c r="J4" s="12"/>
    </row>
    <row r="5" spans="1:10" ht="10.5" x14ac:dyDescent="0.25">
      <c r="B5" s="35" t="s">
        <v>199</v>
      </c>
      <c r="C5" s="36"/>
      <c r="D5" s="36"/>
      <c r="E5" s="37"/>
      <c r="F5" s="38"/>
      <c r="G5" s="39"/>
      <c r="H5" s="40"/>
      <c r="I5" s="36"/>
    </row>
    <row r="6" spans="1:10" ht="10.5" x14ac:dyDescent="0.25">
      <c r="B6" s="35" t="s">
        <v>261</v>
      </c>
      <c r="C6" s="36"/>
      <c r="D6" s="36"/>
      <c r="E6" s="37"/>
      <c r="F6" s="38"/>
      <c r="G6" s="39"/>
      <c r="H6" s="40"/>
      <c r="I6" s="36"/>
    </row>
    <row r="7" spans="1:10" x14ac:dyDescent="0.2">
      <c r="B7" s="36" t="s">
        <v>262</v>
      </c>
      <c r="C7" s="36" t="s">
        <v>263</v>
      </c>
      <c r="D7" s="36" t="s">
        <v>264</v>
      </c>
      <c r="E7" s="41">
        <v>1100000</v>
      </c>
      <c r="F7" s="38">
        <v>1098.405</v>
      </c>
      <c r="G7" s="39">
        <v>1.0880331439175699</v>
      </c>
      <c r="H7" s="42">
        <v>5.3002000000000001E-2</v>
      </c>
      <c r="I7" s="73"/>
    </row>
    <row r="8" spans="1:10" x14ac:dyDescent="0.2">
      <c r="B8" s="36" t="s">
        <v>265</v>
      </c>
      <c r="C8" s="36" t="s">
        <v>266</v>
      </c>
      <c r="D8" s="36" t="s">
        <v>264</v>
      </c>
      <c r="E8" s="41">
        <v>1000000</v>
      </c>
      <c r="F8" s="38">
        <v>999.577</v>
      </c>
      <c r="G8" s="39">
        <v>0.99013834232154496</v>
      </c>
      <c r="H8" s="42">
        <v>5.1486999999999998E-2</v>
      </c>
      <c r="I8" s="73"/>
    </row>
    <row r="9" spans="1:10" x14ac:dyDescent="0.2">
      <c r="B9" s="36" t="s">
        <v>267</v>
      </c>
      <c r="C9" s="36" t="s">
        <v>268</v>
      </c>
      <c r="D9" s="36" t="s">
        <v>264</v>
      </c>
      <c r="E9" s="41">
        <v>1000000</v>
      </c>
      <c r="F9" s="38">
        <v>998.55</v>
      </c>
      <c r="G9" s="39">
        <v>0.98912103992506795</v>
      </c>
      <c r="H9" s="42">
        <v>5.3002000000000001E-2</v>
      </c>
      <c r="I9" s="73"/>
    </row>
    <row r="10" spans="1:10" x14ac:dyDescent="0.2">
      <c r="B10" s="36" t="s">
        <v>269</v>
      </c>
      <c r="C10" s="36" t="s">
        <v>270</v>
      </c>
      <c r="D10" s="36" t="s">
        <v>264</v>
      </c>
      <c r="E10" s="41">
        <v>1000000</v>
      </c>
      <c r="F10" s="38">
        <v>997.57600000000002</v>
      </c>
      <c r="G10" s="39">
        <v>0.98815623706803801</v>
      </c>
      <c r="H10" s="42">
        <v>5.2171000000000002E-2</v>
      </c>
      <c r="I10" s="73"/>
    </row>
    <row r="11" spans="1:10" ht="10.5" x14ac:dyDescent="0.25">
      <c r="B11" s="35" t="s">
        <v>180</v>
      </c>
      <c r="C11" s="35"/>
      <c r="D11" s="35"/>
      <c r="E11" s="43"/>
      <c r="F11" s="74">
        <f>SUM(F6:F10)</f>
        <v>4094.1080000000002</v>
      </c>
      <c r="G11" s="75">
        <f>SUM(G6:G10)</f>
        <v>4.0554487632322207</v>
      </c>
      <c r="H11" s="46"/>
      <c r="I11" s="35"/>
    </row>
    <row r="12" spans="1:10" ht="10.5" x14ac:dyDescent="0.25">
      <c r="B12" s="51" t="s">
        <v>183</v>
      </c>
      <c r="C12" s="51"/>
      <c r="D12" s="51"/>
      <c r="E12" s="52"/>
      <c r="F12" s="53">
        <f>+F11</f>
        <v>4094.1080000000002</v>
      </c>
      <c r="G12" s="54">
        <f>+G11</f>
        <v>4.0554487632322207</v>
      </c>
      <c r="H12" s="46"/>
      <c r="I12" s="35"/>
    </row>
    <row r="13" spans="1:10" ht="10.5" x14ac:dyDescent="0.25">
      <c r="B13" s="35"/>
      <c r="C13" s="36"/>
      <c r="D13" s="36"/>
      <c r="E13" s="37"/>
      <c r="F13" s="38"/>
      <c r="G13" s="39"/>
      <c r="H13" s="40"/>
      <c r="I13" s="36"/>
    </row>
    <row r="14" spans="1:10" ht="10.5" x14ac:dyDescent="0.25">
      <c r="B14" s="35" t="s">
        <v>184</v>
      </c>
      <c r="C14" s="35"/>
      <c r="D14" s="35"/>
      <c r="E14" s="43"/>
      <c r="F14" s="44">
        <v>4318.4400009999999</v>
      </c>
      <c r="G14" s="45">
        <v>4.2776624752322201</v>
      </c>
      <c r="H14" s="42">
        <v>5.3499999999999999E-2</v>
      </c>
      <c r="I14" s="42"/>
    </row>
    <row r="15" spans="1:10" x14ac:dyDescent="0.2">
      <c r="B15" s="36"/>
      <c r="C15" s="36"/>
      <c r="D15" s="36"/>
      <c r="E15" s="37"/>
      <c r="F15" s="38"/>
      <c r="G15" s="39"/>
      <c r="H15" s="40"/>
      <c r="I15" s="36"/>
    </row>
    <row r="16" spans="1:10" ht="10.5" x14ac:dyDescent="0.25">
      <c r="B16" s="35" t="s">
        <v>271</v>
      </c>
      <c r="C16" s="36"/>
      <c r="D16" s="36"/>
      <c r="E16" s="37"/>
      <c r="F16" s="38"/>
      <c r="G16" s="39"/>
      <c r="H16" s="40"/>
      <c r="I16" s="36"/>
    </row>
    <row r="17" spans="2:9" x14ac:dyDescent="0.2">
      <c r="B17" s="36" t="s">
        <v>272</v>
      </c>
      <c r="C17" s="36"/>
      <c r="D17" s="36"/>
      <c r="E17" s="37"/>
      <c r="F17" s="38">
        <v>12627.208333299999</v>
      </c>
      <c r="G17" s="39">
        <v>12.5079740002846</v>
      </c>
      <c r="H17" s="40">
        <v>5.3999999999999999E-2</v>
      </c>
      <c r="I17" s="36"/>
    </row>
    <row r="18" spans="2:9" x14ac:dyDescent="0.2">
      <c r="B18" s="36" t="s">
        <v>272</v>
      </c>
      <c r="C18" s="36"/>
      <c r="D18" s="36"/>
      <c r="E18" s="37"/>
      <c r="F18" s="38">
        <v>9743.9573610999996</v>
      </c>
      <c r="G18" s="39">
        <v>9.6519485634137006</v>
      </c>
      <c r="H18" s="40">
        <v>5.3999999999999999E-2</v>
      </c>
      <c r="I18" s="36"/>
    </row>
    <row r="19" spans="2:9" x14ac:dyDescent="0.2">
      <c r="B19" s="36" t="s">
        <v>272</v>
      </c>
      <c r="C19" s="36"/>
      <c r="D19" s="36"/>
      <c r="E19" s="37"/>
      <c r="F19" s="38">
        <v>7506.4083332999999</v>
      </c>
      <c r="G19" s="39">
        <v>7.4355279322376298</v>
      </c>
      <c r="H19" s="40">
        <v>5.3999999999999999E-2</v>
      </c>
      <c r="I19" s="36"/>
    </row>
    <row r="20" spans="2:9" x14ac:dyDescent="0.2">
      <c r="B20" s="36" t="s">
        <v>272</v>
      </c>
      <c r="C20" s="36"/>
      <c r="D20" s="36"/>
      <c r="E20" s="37"/>
      <c r="F20" s="38">
        <v>6298.89</v>
      </c>
      <c r="G20" s="39">
        <v>6.2394117742462596</v>
      </c>
      <c r="H20" s="40">
        <v>5.3999999999999999E-2</v>
      </c>
      <c r="I20" s="36"/>
    </row>
    <row r="21" spans="2:9" x14ac:dyDescent="0.2">
      <c r="B21" s="36" t="s">
        <v>272</v>
      </c>
      <c r="C21" s="36"/>
      <c r="D21" s="36"/>
      <c r="E21" s="37"/>
      <c r="F21" s="38">
        <v>5697.9358333</v>
      </c>
      <c r="G21" s="39">
        <v>5.6441322085624197</v>
      </c>
      <c r="H21" s="40">
        <v>5.4199999999999998E-2</v>
      </c>
      <c r="I21" s="36"/>
    </row>
    <row r="22" spans="2:9" x14ac:dyDescent="0.2">
      <c r="B22" s="36" t="s">
        <v>272</v>
      </c>
      <c r="C22" s="36"/>
      <c r="D22" s="36"/>
      <c r="E22" s="37"/>
      <c r="F22" s="38">
        <v>5138.4166667</v>
      </c>
      <c r="G22" s="39">
        <v>5.08989638669531</v>
      </c>
      <c r="H22" s="40">
        <v>5.3999999999999999E-2</v>
      </c>
      <c r="I22" s="36"/>
    </row>
    <row r="23" spans="2:9" x14ac:dyDescent="0.2">
      <c r="B23" s="36" t="s">
        <v>272</v>
      </c>
      <c r="C23" s="36"/>
      <c r="D23" s="36"/>
      <c r="E23" s="37"/>
      <c r="F23" s="38">
        <v>4999.3368499999997</v>
      </c>
      <c r="G23" s="39">
        <v>4.95212985229354</v>
      </c>
      <c r="H23" s="40">
        <v>5.3999999999999999E-2</v>
      </c>
      <c r="I23" s="36"/>
    </row>
    <row r="24" spans="2:9" x14ac:dyDescent="0.2">
      <c r="B24" s="36" t="s">
        <v>272</v>
      </c>
      <c r="C24" s="36"/>
      <c r="D24" s="36"/>
      <c r="E24" s="37"/>
      <c r="F24" s="38">
        <v>4601.4025000000001</v>
      </c>
      <c r="G24" s="39">
        <v>4.5579530578476799</v>
      </c>
      <c r="H24" s="40">
        <v>5.3999999999999999E-2</v>
      </c>
      <c r="I24" s="36"/>
    </row>
    <row r="25" spans="2:9" x14ac:dyDescent="0.2">
      <c r="B25" s="36" t="s">
        <v>272</v>
      </c>
      <c r="C25" s="36"/>
      <c r="D25" s="36"/>
      <c r="E25" s="37"/>
      <c r="F25" s="38">
        <v>4196.8999999999996</v>
      </c>
      <c r="G25" s="39">
        <v>4.1572701341560396</v>
      </c>
      <c r="H25" s="40">
        <v>5.4199999999999998E-2</v>
      </c>
      <c r="I25" s="36"/>
    </row>
    <row r="26" spans="2:9" x14ac:dyDescent="0.2">
      <c r="B26" s="36" t="s">
        <v>272</v>
      </c>
      <c r="C26" s="36"/>
      <c r="D26" s="36"/>
      <c r="E26" s="37"/>
      <c r="F26" s="38">
        <v>3703.0787500000001</v>
      </c>
      <c r="G26" s="39">
        <v>3.6681118663305998</v>
      </c>
      <c r="H26" s="40">
        <v>5.3999999999999999E-2</v>
      </c>
      <c r="I26" s="36"/>
    </row>
    <row r="27" spans="2:9" x14ac:dyDescent="0.2">
      <c r="B27" s="36" t="s">
        <v>272</v>
      </c>
      <c r="C27" s="36"/>
      <c r="D27" s="36"/>
      <c r="E27" s="37"/>
      <c r="F27" s="38">
        <v>2595.4583333</v>
      </c>
      <c r="G27" s="39">
        <v>2.5709503236852198</v>
      </c>
      <c r="H27" s="40">
        <v>5.4199999999999998E-2</v>
      </c>
      <c r="I27" s="36"/>
    </row>
    <row r="28" spans="2:9" x14ac:dyDescent="0.2">
      <c r="B28" s="36" t="s">
        <v>272</v>
      </c>
      <c r="C28" s="36"/>
      <c r="D28" s="36"/>
      <c r="E28" s="37"/>
      <c r="F28" s="38">
        <v>2589.0534722000002</v>
      </c>
      <c r="G28" s="39">
        <v>2.56460594145919</v>
      </c>
      <c r="H28" s="40">
        <v>5.4199999999999998E-2</v>
      </c>
      <c r="I28" s="36"/>
    </row>
    <row r="29" spans="2:9" x14ac:dyDescent="0.2">
      <c r="B29" s="36" t="s">
        <v>272</v>
      </c>
      <c r="C29" s="36"/>
      <c r="D29" s="36"/>
      <c r="E29" s="37"/>
      <c r="F29" s="38">
        <v>2560.2624999999998</v>
      </c>
      <c r="G29" s="39">
        <v>2.5360868323881198</v>
      </c>
      <c r="H29" s="40">
        <v>5.4199999999999998E-2</v>
      </c>
      <c r="I29" s="36"/>
    </row>
    <row r="30" spans="2:9" x14ac:dyDescent="0.2">
      <c r="B30" s="36" t="s">
        <v>272</v>
      </c>
      <c r="C30" s="36"/>
      <c r="D30" s="36"/>
      <c r="E30" s="37"/>
      <c r="F30" s="38">
        <v>2529.0833333</v>
      </c>
      <c r="G30" s="39">
        <v>2.5052020797064301</v>
      </c>
      <c r="H30" s="40">
        <v>5.3999999999999999E-2</v>
      </c>
      <c r="I30" s="36"/>
    </row>
    <row r="31" spans="2:9" x14ac:dyDescent="0.2">
      <c r="B31" s="36" t="s">
        <v>272</v>
      </c>
      <c r="C31" s="36"/>
      <c r="D31" s="36"/>
      <c r="E31" s="37"/>
      <c r="F31" s="38">
        <v>2154.11</v>
      </c>
      <c r="G31" s="39">
        <v>2.1337694890721401</v>
      </c>
      <c r="H31" s="40">
        <v>5.4199999999999998E-2</v>
      </c>
      <c r="I31" s="36"/>
    </row>
    <row r="32" spans="2:9" x14ac:dyDescent="0.2">
      <c r="B32" s="36" t="s">
        <v>272</v>
      </c>
      <c r="C32" s="36"/>
      <c r="D32" s="36"/>
      <c r="E32" s="37"/>
      <c r="F32" s="38">
        <v>2124.0477777999999</v>
      </c>
      <c r="G32" s="39">
        <v>2.1039911339723201</v>
      </c>
      <c r="H32" s="40">
        <v>5.4199999999999998E-2</v>
      </c>
      <c r="I32" s="36"/>
    </row>
    <row r="33" spans="2:9" x14ac:dyDescent="0.2">
      <c r="B33" s="36" t="s">
        <v>272</v>
      </c>
      <c r="C33" s="36"/>
      <c r="D33" s="36"/>
      <c r="E33" s="37"/>
      <c r="F33" s="38">
        <v>2084.25</v>
      </c>
      <c r="G33" s="39">
        <v>2.0645691527352898</v>
      </c>
      <c r="H33" s="40">
        <v>5.4800000000000001E-2</v>
      </c>
      <c r="I33" s="36"/>
    </row>
    <row r="34" spans="2:9" x14ac:dyDescent="0.2">
      <c r="B34" s="36" t="s">
        <v>272</v>
      </c>
      <c r="C34" s="36"/>
      <c r="D34" s="36"/>
      <c r="E34" s="37"/>
      <c r="F34" s="38">
        <v>2074.7849999999999</v>
      </c>
      <c r="G34" s="39">
        <v>2.0551935274357098</v>
      </c>
      <c r="H34" s="40">
        <v>5.4199999999999998E-2</v>
      </c>
      <c r="I34" s="36"/>
    </row>
    <row r="35" spans="2:9" x14ac:dyDescent="0.2">
      <c r="B35" s="36" t="s">
        <v>272</v>
      </c>
      <c r="C35" s="36"/>
      <c r="D35" s="36"/>
      <c r="E35" s="37"/>
      <c r="F35" s="38">
        <v>2026.5766667</v>
      </c>
      <c r="G35" s="39">
        <v>2.0074404086467199</v>
      </c>
      <c r="H35" s="40">
        <v>5.4199999999999998E-2</v>
      </c>
      <c r="I35" s="36"/>
    </row>
    <row r="36" spans="2:9" x14ac:dyDescent="0.2">
      <c r="B36" s="36" t="s">
        <v>272</v>
      </c>
      <c r="C36" s="36"/>
      <c r="D36" s="36"/>
      <c r="E36" s="37"/>
      <c r="F36" s="38">
        <v>1590.4024999999999</v>
      </c>
      <c r="G36" s="39">
        <v>1.5753848827794601</v>
      </c>
      <c r="H36" s="40">
        <v>5.4199999999999998E-2</v>
      </c>
      <c r="I36" s="36"/>
    </row>
    <row r="37" spans="2:9" x14ac:dyDescent="0.2">
      <c r="B37" s="36" t="s">
        <v>272</v>
      </c>
      <c r="C37" s="36"/>
      <c r="D37" s="36"/>
      <c r="E37" s="37"/>
      <c r="F37" s="38">
        <v>1528.2083333</v>
      </c>
      <c r="G37" s="39">
        <v>1.5137779939470699</v>
      </c>
      <c r="H37" s="40">
        <v>5.4199999999999998E-2</v>
      </c>
      <c r="I37" s="36"/>
    </row>
    <row r="38" spans="2:9" x14ac:dyDescent="0.2">
      <c r="B38" s="36" t="s">
        <v>272</v>
      </c>
      <c r="C38" s="36"/>
      <c r="D38" s="36"/>
      <c r="E38" s="37"/>
      <c r="F38" s="38">
        <v>1522.67875</v>
      </c>
      <c r="G38" s="39">
        <v>1.50830062457744</v>
      </c>
      <c r="H38" s="40">
        <v>5.4199999999999998E-2</v>
      </c>
      <c r="I38" s="36"/>
    </row>
    <row r="39" spans="2:9" x14ac:dyDescent="0.2">
      <c r="B39" s="36" t="s">
        <v>272</v>
      </c>
      <c r="C39" s="36"/>
      <c r="D39" s="36"/>
      <c r="E39" s="37"/>
      <c r="F39" s="38">
        <v>1506.09375</v>
      </c>
      <c r="G39" s="39">
        <v>1.49187223095954</v>
      </c>
      <c r="H39" s="40">
        <v>5.4199999999999998E-2</v>
      </c>
      <c r="I39" s="36"/>
    </row>
    <row r="40" spans="2:9" x14ac:dyDescent="0.2">
      <c r="B40" s="36" t="s">
        <v>272</v>
      </c>
      <c r="C40" s="36"/>
      <c r="D40" s="36"/>
      <c r="E40" s="37"/>
      <c r="F40" s="38">
        <v>1048.5250000000001</v>
      </c>
      <c r="G40" s="39">
        <v>1.03862414339535</v>
      </c>
      <c r="H40" s="40">
        <v>5.45E-2</v>
      </c>
      <c r="I40" s="36"/>
    </row>
    <row r="41" spans="2:9" ht="10.5" x14ac:dyDescent="0.25">
      <c r="B41" s="35" t="s">
        <v>183</v>
      </c>
      <c r="C41" s="35"/>
      <c r="D41" s="35"/>
      <c r="E41" s="43"/>
      <c r="F41" s="44">
        <v>92447.07004430001</v>
      </c>
      <c r="G41" s="45">
        <v>91.574124540827768</v>
      </c>
      <c r="H41" s="40"/>
      <c r="I41" s="36"/>
    </row>
    <row r="42" spans="2:9" x14ac:dyDescent="0.2">
      <c r="B42" s="36"/>
      <c r="C42" s="36"/>
      <c r="D42" s="36"/>
      <c r="E42" s="37"/>
      <c r="F42" s="38"/>
      <c r="G42" s="39"/>
      <c r="H42" s="40"/>
      <c r="I42" s="36"/>
    </row>
    <row r="43" spans="2:9" ht="10.5" x14ac:dyDescent="0.25">
      <c r="B43" s="61" t="s">
        <v>187</v>
      </c>
      <c r="C43" s="61"/>
      <c r="D43" s="61"/>
      <c r="E43" s="62"/>
      <c r="F43" s="44">
        <f>F44-(F11+F14+F41)</f>
        <v>93.648510999992141</v>
      </c>
      <c r="G43" s="45">
        <f>G44-(G11+G14+G41)</f>
        <v>9.2764220707792333E-2</v>
      </c>
      <c r="H43" s="46"/>
      <c r="I43" s="35"/>
    </row>
    <row r="44" spans="2:9" ht="10.5" x14ac:dyDescent="0.25">
      <c r="B44" s="55" t="s">
        <v>185</v>
      </c>
      <c r="C44" s="55"/>
      <c r="D44" s="55"/>
      <c r="E44" s="56"/>
      <c r="F44" s="57">
        <v>100953.2665563</v>
      </c>
      <c r="G44" s="58">
        <v>100</v>
      </c>
      <c r="H44" s="59"/>
      <c r="I44" s="60"/>
    </row>
    <row r="46" spans="2:9" ht="40" customHeight="1" x14ac:dyDescent="0.2">
      <c r="B46" s="187" t="s">
        <v>260</v>
      </c>
      <c r="C46" s="187"/>
      <c r="D46" s="187"/>
      <c r="E46" s="187"/>
      <c r="F46" s="187"/>
      <c r="G46" s="187"/>
      <c r="H46" s="187"/>
      <c r="I46" s="187"/>
    </row>
    <row r="47" spans="2:9" ht="10.5" x14ac:dyDescent="0.25">
      <c r="B47" s="26"/>
    </row>
    <row r="48" spans="2:9" ht="10.5" x14ac:dyDescent="0.2">
      <c r="B48" s="90" t="s">
        <v>196</v>
      </c>
      <c r="C48" s="92"/>
      <c r="D48" s="92"/>
    </row>
    <row r="49" spans="2:9" ht="10.5" x14ac:dyDescent="0.2">
      <c r="B49" s="90"/>
      <c r="C49" s="92"/>
      <c r="D49" s="92"/>
    </row>
    <row r="50" spans="2:9" ht="10.5" x14ac:dyDescent="0.2">
      <c r="B50" s="94" t="s">
        <v>1508</v>
      </c>
      <c r="C50" s="92"/>
      <c r="D50" s="92"/>
    </row>
    <row r="51" spans="2:9" ht="10.5" x14ac:dyDescent="0.2">
      <c r="B51" s="94" t="s">
        <v>1509</v>
      </c>
      <c r="C51" s="92"/>
      <c r="D51" s="92"/>
    </row>
    <row r="52" spans="2:9" ht="10.5" x14ac:dyDescent="0.2">
      <c r="B52" s="90"/>
      <c r="C52" s="92"/>
      <c r="D52" s="92"/>
    </row>
    <row r="53" spans="2:9" ht="21" x14ac:dyDescent="0.2">
      <c r="B53" s="100" t="s">
        <v>1510</v>
      </c>
      <c r="C53" s="150" t="s">
        <v>1511</v>
      </c>
      <c r="D53" s="105" t="s">
        <v>1547</v>
      </c>
    </row>
    <row r="54" spans="2:9" x14ac:dyDescent="0.2">
      <c r="B54" s="97" t="s">
        <v>1512</v>
      </c>
      <c r="C54" s="101">
        <v>1044.3471</v>
      </c>
      <c r="D54" s="101">
        <v>1048.8948</v>
      </c>
    </row>
    <row r="55" spans="2:9" x14ac:dyDescent="0.2">
      <c r="B55" s="97" t="s">
        <v>1513</v>
      </c>
      <c r="C55" s="101">
        <v>1021.2217000000001</v>
      </c>
      <c r="D55" s="101">
        <v>1025.6804999999999</v>
      </c>
    </row>
    <row r="56" spans="2:9" ht="10.5" x14ac:dyDescent="0.2">
      <c r="B56" s="90"/>
      <c r="C56" s="92"/>
      <c r="D56" s="92"/>
    </row>
    <row r="57" spans="2:9" ht="10.5" x14ac:dyDescent="0.2">
      <c r="B57" s="94" t="s">
        <v>1572</v>
      </c>
      <c r="C57" s="92"/>
      <c r="D57" s="92"/>
    </row>
    <row r="58" spans="2:9" ht="10.5" x14ac:dyDescent="0.2">
      <c r="B58" s="94" t="s">
        <v>1564</v>
      </c>
      <c r="C58" s="92"/>
      <c r="D58" s="92"/>
    </row>
    <row r="59" spans="2:9" ht="10.5" x14ac:dyDescent="0.2">
      <c r="B59" s="94" t="s">
        <v>1565</v>
      </c>
      <c r="C59" s="92"/>
      <c r="D59" s="92"/>
    </row>
    <row r="60" spans="2:9" ht="10.5" x14ac:dyDescent="0.2">
      <c r="B60" s="99" t="s">
        <v>1568</v>
      </c>
      <c r="C60" s="92"/>
      <c r="D60" s="92"/>
    </row>
    <row r="61" spans="2:9" ht="10.5" x14ac:dyDescent="0.2">
      <c r="B61" s="94" t="s">
        <v>1567</v>
      </c>
      <c r="C61" s="92"/>
      <c r="D61" s="92"/>
    </row>
    <row r="62" spans="2:9" ht="10.5" x14ac:dyDescent="0.25">
      <c r="B62" s="26"/>
    </row>
    <row r="63" spans="2:9" ht="10.5" x14ac:dyDescent="0.25">
      <c r="B63" s="26" t="s">
        <v>1480</v>
      </c>
      <c r="E63" s="8"/>
      <c r="G63" s="87"/>
      <c r="I63" s="14"/>
    </row>
    <row r="64" spans="2:9" ht="10.5" x14ac:dyDescent="0.25">
      <c r="B64" s="26"/>
      <c r="C64" s="26"/>
      <c r="D64" s="71"/>
      <c r="E64" s="26"/>
      <c r="G64" s="87"/>
      <c r="I64" s="14"/>
    </row>
    <row r="65" spans="2:9" x14ac:dyDescent="0.2">
      <c r="D65" s="72"/>
      <c r="E65" s="72"/>
      <c r="G65" s="87"/>
      <c r="I65" s="14"/>
    </row>
    <row r="66" spans="2:9" x14ac:dyDescent="0.2">
      <c r="E66" s="8"/>
      <c r="G66" s="87"/>
      <c r="I66" s="14"/>
    </row>
    <row r="67" spans="2:9" x14ac:dyDescent="0.2">
      <c r="E67" s="8"/>
      <c r="G67" s="87"/>
      <c r="I67" s="14"/>
    </row>
    <row r="68" spans="2:9" x14ac:dyDescent="0.2">
      <c r="E68" s="8"/>
      <c r="G68" s="87"/>
      <c r="I68" s="14"/>
    </row>
    <row r="69" spans="2:9" ht="10.5" x14ac:dyDescent="0.25">
      <c r="B69" s="26"/>
      <c r="E69" s="8"/>
      <c r="G69" s="87"/>
      <c r="I69" s="14"/>
    </row>
    <row r="70" spans="2:9" x14ac:dyDescent="0.2">
      <c r="E70" s="8"/>
      <c r="G70" s="87"/>
      <c r="I70" s="14"/>
    </row>
    <row r="71" spans="2:9" x14ac:dyDescent="0.2">
      <c r="E71" s="8"/>
      <c r="G71" s="87"/>
      <c r="I71" s="14"/>
    </row>
    <row r="72" spans="2:9" x14ac:dyDescent="0.2">
      <c r="E72" s="8"/>
      <c r="G72" s="87"/>
      <c r="I72" s="14"/>
    </row>
    <row r="73" spans="2:9" x14ac:dyDescent="0.2">
      <c r="E73" s="8"/>
      <c r="G73" s="87"/>
      <c r="I73" s="14"/>
    </row>
    <row r="74" spans="2:9" x14ac:dyDescent="0.2">
      <c r="E74" s="8"/>
      <c r="G74" s="87"/>
      <c r="I74" s="14"/>
    </row>
    <row r="75" spans="2:9" x14ac:dyDescent="0.2">
      <c r="E75" s="8"/>
      <c r="G75" s="87"/>
      <c r="I75" s="14"/>
    </row>
    <row r="76" spans="2:9" x14ac:dyDescent="0.2">
      <c r="E76" s="8"/>
      <c r="G76" s="87"/>
      <c r="I76" s="14"/>
    </row>
    <row r="77" spans="2:9" x14ac:dyDescent="0.2">
      <c r="E77" s="8"/>
      <c r="G77" s="87"/>
      <c r="I77" s="14"/>
    </row>
    <row r="78" spans="2:9" x14ac:dyDescent="0.2">
      <c r="E78" s="8"/>
      <c r="G78" s="87"/>
      <c r="I78" s="14"/>
    </row>
    <row r="79" spans="2:9" x14ac:dyDescent="0.2">
      <c r="E79" s="8"/>
      <c r="G79" s="87"/>
      <c r="I79" s="14"/>
    </row>
    <row r="80" spans="2:9" x14ac:dyDescent="0.2">
      <c r="E80" s="8"/>
      <c r="G80" s="87"/>
      <c r="I80" s="14"/>
    </row>
    <row r="81" spans="2:9" x14ac:dyDescent="0.2">
      <c r="E81" s="8"/>
      <c r="G81" s="87"/>
      <c r="I81" s="14"/>
    </row>
    <row r="82" spans="2:9" x14ac:dyDescent="0.2">
      <c r="E82" s="8"/>
      <c r="G82" s="87"/>
      <c r="I82" s="14"/>
    </row>
    <row r="83" spans="2:9" x14ac:dyDescent="0.2">
      <c r="E83" s="8"/>
      <c r="G83" s="87"/>
      <c r="I83" s="14"/>
    </row>
    <row r="84" spans="2:9" ht="10.5" x14ac:dyDescent="0.25">
      <c r="B84" s="26" t="s">
        <v>1478</v>
      </c>
      <c r="E84" s="8"/>
      <c r="G84" s="87"/>
      <c r="I84" s="14"/>
    </row>
    <row r="85" spans="2:9" ht="10.5" x14ac:dyDescent="0.25">
      <c r="B85" s="91" t="s">
        <v>1482</v>
      </c>
      <c r="E85" s="8"/>
      <c r="G85" s="87"/>
      <c r="I85" s="14"/>
    </row>
    <row r="86" spans="2:9" x14ac:dyDescent="0.2">
      <c r="E86" s="8"/>
      <c r="G86" s="87"/>
      <c r="I86" s="14"/>
    </row>
    <row r="87" spans="2:9" x14ac:dyDescent="0.2">
      <c r="E87" s="8"/>
      <c r="G87" s="87"/>
      <c r="I87" s="14"/>
    </row>
    <row r="88" spans="2:9" x14ac:dyDescent="0.2">
      <c r="E88" s="8"/>
      <c r="G88" s="87"/>
      <c r="I88" s="14"/>
    </row>
    <row r="89" spans="2:9" x14ac:dyDescent="0.2">
      <c r="E89" s="8"/>
      <c r="G89" s="87"/>
      <c r="I89" s="14"/>
    </row>
    <row r="90" spans="2:9" x14ac:dyDescent="0.2">
      <c r="E90" s="8"/>
      <c r="G90" s="87"/>
      <c r="I90" s="14"/>
    </row>
    <row r="91" spans="2:9" x14ac:dyDescent="0.2">
      <c r="E91" s="8"/>
      <c r="G91" s="87"/>
      <c r="I91" s="14"/>
    </row>
    <row r="92" spans="2:9" x14ac:dyDescent="0.2">
      <c r="E92" s="8"/>
      <c r="G92" s="87"/>
      <c r="I92" s="14"/>
    </row>
    <row r="93" spans="2:9" x14ac:dyDescent="0.2">
      <c r="E93" s="8"/>
      <c r="G93" s="87"/>
      <c r="I93" s="14"/>
    </row>
    <row r="94" spans="2:9" x14ac:dyDescent="0.2">
      <c r="E94" s="8"/>
      <c r="G94" s="87"/>
      <c r="I94" s="14"/>
    </row>
    <row r="95" spans="2:9" x14ac:dyDescent="0.2">
      <c r="E95" s="8"/>
      <c r="G95" s="87"/>
      <c r="I95" s="14"/>
    </row>
    <row r="96" spans="2:9" x14ac:dyDescent="0.2">
      <c r="E96" s="8"/>
      <c r="G96" s="87"/>
      <c r="I96" s="14"/>
    </row>
    <row r="97" spans="5:9" x14ac:dyDescent="0.2">
      <c r="E97" s="8"/>
      <c r="G97" s="87"/>
      <c r="I97" s="14"/>
    </row>
    <row r="98" spans="5:9" x14ac:dyDescent="0.2">
      <c r="E98" s="8"/>
      <c r="G98" s="87"/>
      <c r="I98" s="14"/>
    </row>
    <row r="99" spans="5:9" x14ac:dyDescent="0.2">
      <c r="E99" s="8"/>
      <c r="G99" s="87"/>
      <c r="I99" s="14"/>
    </row>
    <row r="100" spans="5:9" x14ac:dyDescent="0.2">
      <c r="E100" s="8"/>
      <c r="G100" s="87"/>
      <c r="I100" s="14"/>
    </row>
    <row r="101" spans="5:9" x14ac:dyDescent="0.2">
      <c r="E101" s="8"/>
      <c r="G101" s="87"/>
      <c r="I101" s="14"/>
    </row>
    <row r="102" spans="5:9" x14ac:dyDescent="0.2">
      <c r="E102" s="8"/>
      <c r="G102" s="87"/>
      <c r="I102" s="14"/>
    </row>
    <row r="103" spans="5:9" x14ac:dyDescent="0.2">
      <c r="E103" s="8"/>
      <c r="G103" s="87"/>
      <c r="I103" s="14"/>
    </row>
    <row r="104" spans="5:9" x14ac:dyDescent="0.2">
      <c r="E104" s="8"/>
      <c r="G104" s="87"/>
      <c r="I104" s="14"/>
    </row>
    <row r="105" spans="5:9" x14ac:dyDescent="0.2">
      <c r="E105" s="8"/>
      <c r="G105" s="87"/>
      <c r="I105" s="14"/>
    </row>
    <row r="106" spans="5:9" x14ac:dyDescent="0.2">
      <c r="E106" s="8"/>
      <c r="G106" s="87"/>
      <c r="I106" s="14"/>
    </row>
  </sheetData>
  <mergeCells count="2">
    <mergeCell ref="B1:C1"/>
    <mergeCell ref="B46:I46"/>
  </mergeCells>
  <conditionalFormatting sqref="G1:G3 G5:G45 G47:G106">
    <cfRule type="cellIs" dxfId="14" priority="2" stopIfTrue="1" operator="between">
      <formula>0.009</formula>
      <formula>-0.009</formula>
    </cfRule>
  </conditionalFormatting>
  <hyperlinks>
    <hyperlink ref="A2" location="Index!A1" display="-" xr:uid="{E90D2D54-A09B-4CB7-93CD-5B4B37BE6084}"/>
  </hyperlinks>
  <pageMargins left="0.7" right="0.7" top="0.75" bottom="0.75" header="0.3" footer="0.3"/>
  <pageSetup paperSize="9" scale="64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711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66E10-4ED4-460C-91D2-0512F985EEFB}">
  <dimension ref="A1:J138"/>
  <sheetViews>
    <sheetView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52.7265625" style="8" bestFit="1" customWidth="1"/>
    <col min="3" max="3" width="14.1796875" style="8" customWidth="1"/>
    <col min="4" max="4" width="13.90625" style="8" bestFit="1" customWidth="1"/>
    <col min="5" max="5" width="13.90625" style="9" bestFit="1" customWidth="1"/>
    <col min="6" max="6" width="12.7265625" style="11" bestFit="1" customWidth="1"/>
    <col min="7" max="7" width="6.7265625" style="18" bestFit="1" customWidth="1"/>
    <col min="8" max="8" width="11.81640625" style="14" bestFit="1" customWidth="1"/>
    <col min="9" max="9" width="10.08984375" style="8" bestFit="1" customWidth="1"/>
    <col min="10" max="16384" width="9.08984375" style="8"/>
  </cols>
  <sheetData>
    <row r="1" spans="1:10" s="1" customFormat="1" ht="16.75" customHeight="1" x14ac:dyDescent="0.35">
      <c r="B1" s="185" t="s">
        <v>13</v>
      </c>
      <c r="C1" s="186"/>
      <c r="D1" s="13"/>
      <c r="E1" s="6"/>
      <c r="F1" s="7"/>
      <c r="G1" s="18"/>
      <c r="H1" s="15"/>
    </row>
    <row r="2" spans="1:10" s="1" customFormat="1" ht="14.5" x14ac:dyDescent="0.35">
      <c r="A2" s="85" t="s">
        <v>1494</v>
      </c>
      <c r="E2" s="6"/>
      <c r="F2" s="7"/>
      <c r="G2" s="18"/>
      <c r="H2" s="15"/>
    </row>
    <row r="3" spans="1:10" s="1" customFormat="1" ht="11.5" x14ac:dyDescent="0.25">
      <c r="B3" s="10" t="s">
        <v>9</v>
      </c>
      <c r="C3" s="2"/>
      <c r="D3" s="3"/>
      <c r="E3" s="4"/>
      <c r="F3" s="5"/>
      <c r="G3" s="18"/>
      <c r="H3" s="15"/>
    </row>
    <row r="4" spans="1:10" s="1" customFormat="1" ht="25.5" customHeight="1" x14ac:dyDescent="0.25">
      <c r="B4" s="29" t="s">
        <v>7</v>
      </c>
      <c r="C4" s="29" t="s">
        <v>8</v>
      </c>
      <c r="D4" s="30" t="s">
        <v>258</v>
      </c>
      <c r="E4" s="31" t="s">
        <v>0</v>
      </c>
      <c r="F4" s="32" t="s">
        <v>4</v>
      </c>
      <c r="G4" s="33" t="s">
        <v>5</v>
      </c>
      <c r="H4" s="34" t="s">
        <v>6</v>
      </c>
      <c r="I4" s="32" t="s">
        <v>198</v>
      </c>
      <c r="J4" s="12"/>
    </row>
    <row r="5" spans="1:10" ht="10.5" x14ac:dyDescent="0.25">
      <c r="B5" s="35" t="s">
        <v>199</v>
      </c>
      <c r="C5" s="36"/>
      <c r="D5" s="36"/>
      <c r="E5" s="37"/>
      <c r="F5" s="38"/>
      <c r="G5" s="39"/>
      <c r="H5" s="40"/>
      <c r="I5" s="36"/>
    </row>
    <row r="6" spans="1:10" ht="10.5" x14ac:dyDescent="0.25">
      <c r="B6" s="35" t="s">
        <v>200</v>
      </c>
      <c r="C6" s="36"/>
      <c r="D6" s="36"/>
      <c r="E6" s="37"/>
      <c r="F6" s="38"/>
      <c r="G6" s="39"/>
      <c r="H6" s="40"/>
      <c r="I6" s="36"/>
    </row>
    <row r="7" spans="1:10" x14ac:dyDescent="0.2">
      <c r="B7" s="36" t="s">
        <v>273</v>
      </c>
      <c r="C7" s="36" t="s">
        <v>274</v>
      </c>
      <c r="D7" s="36" t="s">
        <v>203</v>
      </c>
      <c r="E7" s="41">
        <v>7500</v>
      </c>
      <c r="F7" s="38">
        <v>37077.5625</v>
      </c>
      <c r="G7" s="39">
        <v>4.7595902966670902</v>
      </c>
      <c r="H7" s="42">
        <v>7.17E-2</v>
      </c>
      <c r="I7" s="73"/>
    </row>
    <row r="8" spans="1:10" x14ac:dyDescent="0.2">
      <c r="B8" s="36" t="s">
        <v>275</v>
      </c>
      <c r="C8" s="36" t="s">
        <v>276</v>
      </c>
      <c r="D8" s="36" t="s">
        <v>209</v>
      </c>
      <c r="E8" s="41">
        <v>6000</v>
      </c>
      <c r="F8" s="38">
        <v>29891.91</v>
      </c>
      <c r="G8" s="39">
        <v>3.8371790158764099</v>
      </c>
      <c r="H8" s="42">
        <v>6.0002E-2</v>
      </c>
      <c r="I8" s="73"/>
    </row>
    <row r="9" spans="1:10" x14ac:dyDescent="0.2">
      <c r="B9" s="36" t="s">
        <v>277</v>
      </c>
      <c r="C9" s="36" t="s">
        <v>278</v>
      </c>
      <c r="D9" s="36" t="s">
        <v>209</v>
      </c>
      <c r="E9" s="41">
        <v>5000</v>
      </c>
      <c r="F9" s="38">
        <v>24987.625</v>
      </c>
      <c r="G9" s="39">
        <v>3.2076234107017201</v>
      </c>
      <c r="H9" s="42">
        <v>6.0255000000000003E-2</v>
      </c>
      <c r="I9" s="73"/>
    </row>
    <row r="10" spans="1:10" x14ac:dyDescent="0.2">
      <c r="B10" s="36" t="s">
        <v>279</v>
      </c>
      <c r="C10" s="36" t="s">
        <v>280</v>
      </c>
      <c r="D10" s="36" t="s">
        <v>209</v>
      </c>
      <c r="E10" s="41">
        <v>5000</v>
      </c>
      <c r="F10" s="38">
        <v>24899.474999999999</v>
      </c>
      <c r="G10" s="39">
        <v>3.1963077292932902</v>
      </c>
      <c r="H10" s="42">
        <v>6.1400000000000003E-2</v>
      </c>
      <c r="I10" s="73"/>
    </row>
    <row r="11" spans="1:10" x14ac:dyDescent="0.2">
      <c r="B11" s="36" t="s">
        <v>281</v>
      </c>
      <c r="C11" s="36" t="s">
        <v>282</v>
      </c>
      <c r="D11" s="36" t="s">
        <v>209</v>
      </c>
      <c r="E11" s="41">
        <v>4000</v>
      </c>
      <c r="F11" s="38">
        <v>19797.64</v>
      </c>
      <c r="G11" s="39">
        <v>2.5413929311266998</v>
      </c>
      <c r="H11" s="42">
        <v>7.1749999999999994E-2</v>
      </c>
      <c r="I11" s="73"/>
    </row>
    <row r="12" spans="1:10" x14ac:dyDescent="0.2">
      <c r="B12" s="36" t="s">
        <v>283</v>
      </c>
      <c r="C12" s="36" t="s">
        <v>284</v>
      </c>
      <c r="D12" s="36" t="s">
        <v>209</v>
      </c>
      <c r="E12" s="41">
        <v>4000</v>
      </c>
      <c r="F12" s="38">
        <v>19717.72</v>
      </c>
      <c r="G12" s="39">
        <v>2.5311337222989998</v>
      </c>
      <c r="H12" s="42">
        <v>7.3598999999999998E-2</v>
      </c>
      <c r="I12" s="73"/>
    </row>
    <row r="13" spans="1:10" x14ac:dyDescent="0.2">
      <c r="B13" s="36" t="s">
        <v>285</v>
      </c>
      <c r="C13" s="36" t="s">
        <v>286</v>
      </c>
      <c r="D13" s="36" t="s">
        <v>209</v>
      </c>
      <c r="E13" s="41">
        <v>4000</v>
      </c>
      <c r="F13" s="38">
        <v>19711.86</v>
      </c>
      <c r="G13" s="39">
        <v>2.53038148301308</v>
      </c>
      <c r="H13" s="42">
        <v>7.2099999999999997E-2</v>
      </c>
      <c r="I13" s="73"/>
    </row>
    <row r="14" spans="1:10" x14ac:dyDescent="0.2">
      <c r="B14" s="36" t="s">
        <v>287</v>
      </c>
      <c r="C14" s="36" t="s">
        <v>288</v>
      </c>
      <c r="D14" s="36" t="s">
        <v>209</v>
      </c>
      <c r="E14" s="41">
        <v>3000</v>
      </c>
      <c r="F14" s="38">
        <v>14977.844999999999</v>
      </c>
      <c r="G14" s="39">
        <v>1.9226831787279399</v>
      </c>
      <c r="H14" s="42">
        <v>5.9989000000000001E-2</v>
      </c>
      <c r="I14" s="73"/>
    </row>
    <row r="15" spans="1:10" x14ac:dyDescent="0.2">
      <c r="B15" s="36" t="s">
        <v>289</v>
      </c>
      <c r="C15" s="36" t="s">
        <v>290</v>
      </c>
      <c r="D15" s="36" t="s">
        <v>209</v>
      </c>
      <c r="E15" s="41">
        <v>3000</v>
      </c>
      <c r="F15" s="38">
        <v>14919.06</v>
      </c>
      <c r="G15" s="39">
        <v>1.9151370377001999</v>
      </c>
      <c r="H15" s="42">
        <v>6.6007999999999997E-2</v>
      </c>
      <c r="I15" s="73"/>
    </row>
    <row r="16" spans="1:10" x14ac:dyDescent="0.2">
      <c r="B16" s="36" t="s">
        <v>291</v>
      </c>
      <c r="C16" s="36" t="s">
        <v>292</v>
      </c>
      <c r="D16" s="36" t="s">
        <v>209</v>
      </c>
      <c r="E16" s="41">
        <v>3000</v>
      </c>
      <c r="F16" s="38">
        <v>14788.5</v>
      </c>
      <c r="G16" s="39">
        <v>1.8983772491048001</v>
      </c>
      <c r="H16" s="42">
        <v>7.2500999999999996E-2</v>
      </c>
      <c r="I16" s="73"/>
    </row>
    <row r="17" spans="2:9" x14ac:dyDescent="0.2">
      <c r="B17" s="36" t="s">
        <v>293</v>
      </c>
      <c r="C17" s="36" t="s">
        <v>294</v>
      </c>
      <c r="D17" s="36" t="s">
        <v>209</v>
      </c>
      <c r="E17" s="41">
        <v>2500</v>
      </c>
      <c r="F17" s="38">
        <v>12433.375</v>
      </c>
      <c r="G17" s="39">
        <v>1.5960534354118701</v>
      </c>
      <c r="H17" s="42">
        <v>6.5196000000000004E-2</v>
      </c>
      <c r="I17" s="73"/>
    </row>
    <row r="18" spans="2:9" x14ac:dyDescent="0.2">
      <c r="B18" s="36" t="s">
        <v>295</v>
      </c>
      <c r="C18" s="36" t="s">
        <v>296</v>
      </c>
      <c r="D18" s="36" t="s">
        <v>209</v>
      </c>
      <c r="E18" s="41">
        <v>2000</v>
      </c>
      <c r="F18" s="38">
        <v>9833.9699999999993</v>
      </c>
      <c r="G18" s="39">
        <v>1.26237176971154</v>
      </c>
      <c r="H18" s="42">
        <v>7.2498999999999994E-2</v>
      </c>
      <c r="I18" s="73"/>
    </row>
    <row r="19" spans="2:9" x14ac:dyDescent="0.2">
      <c r="B19" s="36" t="s">
        <v>297</v>
      </c>
      <c r="C19" s="36" t="s">
        <v>298</v>
      </c>
      <c r="D19" s="36" t="s">
        <v>209</v>
      </c>
      <c r="E19" s="41">
        <v>2000</v>
      </c>
      <c r="F19" s="38">
        <v>9833.9699999999993</v>
      </c>
      <c r="G19" s="39">
        <v>1.26237176971154</v>
      </c>
      <c r="H19" s="42">
        <v>7.2498999999999994E-2</v>
      </c>
      <c r="I19" s="73"/>
    </row>
    <row r="20" spans="2:9" x14ac:dyDescent="0.2">
      <c r="B20" s="36" t="s">
        <v>299</v>
      </c>
      <c r="C20" s="36" t="s">
        <v>300</v>
      </c>
      <c r="D20" s="36" t="s">
        <v>209</v>
      </c>
      <c r="E20" s="41">
        <v>1500</v>
      </c>
      <c r="F20" s="38">
        <v>7471.38</v>
      </c>
      <c r="G20" s="39">
        <v>0.95908968532417904</v>
      </c>
      <c r="H20" s="42">
        <v>6.0797999999999998E-2</v>
      </c>
      <c r="I20" s="73"/>
    </row>
    <row r="21" spans="2:9" x14ac:dyDescent="0.2">
      <c r="B21" s="36" t="s">
        <v>301</v>
      </c>
      <c r="C21" s="36" t="s">
        <v>302</v>
      </c>
      <c r="D21" s="36" t="s">
        <v>206</v>
      </c>
      <c r="E21" s="41">
        <v>1500</v>
      </c>
      <c r="F21" s="38">
        <v>7470.5249999999996</v>
      </c>
      <c r="G21" s="39">
        <v>0.95897993027478401</v>
      </c>
      <c r="H21" s="42">
        <v>6.0005000000000003E-2</v>
      </c>
      <c r="I21" s="73"/>
    </row>
    <row r="22" spans="2:9" x14ac:dyDescent="0.2">
      <c r="B22" s="36" t="s">
        <v>303</v>
      </c>
      <c r="C22" s="36" t="s">
        <v>304</v>
      </c>
      <c r="D22" s="36" t="s">
        <v>209</v>
      </c>
      <c r="E22" s="41">
        <v>1500</v>
      </c>
      <c r="F22" s="38">
        <v>7465.6350000000002</v>
      </c>
      <c r="G22" s="39">
        <v>0.95835220841332902</v>
      </c>
      <c r="H22" s="42">
        <v>6.0005000000000003E-2</v>
      </c>
      <c r="I22" s="73"/>
    </row>
    <row r="23" spans="2:9" x14ac:dyDescent="0.2">
      <c r="B23" s="36" t="s">
        <v>305</v>
      </c>
      <c r="C23" s="36" t="s">
        <v>306</v>
      </c>
      <c r="D23" s="36" t="s">
        <v>209</v>
      </c>
      <c r="E23" s="41">
        <v>1000</v>
      </c>
      <c r="F23" s="38">
        <v>4997.5450000000001</v>
      </c>
      <c r="G23" s="39">
        <v>0.64152724950992002</v>
      </c>
      <c r="H23" s="42">
        <v>5.9768000000000002E-2</v>
      </c>
      <c r="I23" s="73"/>
    </row>
    <row r="24" spans="2:9" x14ac:dyDescent="0.2">
      <c r="B24" s="36" t="s">
        <v>307</v>
      </c>
      <c r="C24" s="36" t="s">
        <v>308</v>
      </c>
      <c r="D24" s="36" t="s">
        <v>209</v>
      </c>
      <c r="E24" s="41">
        <v>1000</v>
      </c>
      <c r="F24" s="38">
        <v>4981.0249999999996</v>
      </c>
      <c r="G24" s="39">
        <v>0.639406602239729</v>
      </c>
      <c r="H24" s="42">
        <v>6.0454000000000001E-2</v>
      </c>
      <c r="I24" s="73"/>
    </row>
    <row r="25" spans="2:9" x14ac:dyDescent="0.2">
      <c r="B25" s="36" t="s">
        <v>309</v>
      </c>
      <c r="C25" s="36" t="s">
        <v>310</v>
      </c>
      <c r="D25" s="36" t="s">
        <v>209</v>
      </c>
      <c r="E25" s="41">
        <v>1000</v>
      </c>
      <c r="F25" s="38">
        <v>4980.2049999999999</v>
      </c>
      <c r="G25" s="39">
        <v>0.63930134008709305</v>
      </c>
      <c r="H25" s="42">
        <v>6.0449000000000003E-2</v>
      </c>
      <c r="I25" s="73"/>
    </row>
    <row r="26" spans="2:9" x14ac:dyDescent="0.2">
      <c r="B26" s="36" t="s">
        <v>311</v>
      </c>
      <c r="C26" s="36" t="s">
        <v>312</v>
      </c>
      <c r="D26" s="36" t="s">
        <v>209</v>
      </c>
      <c r="E26" s="41">
        <v>1000</v>
      </c>
      <c r="F26" s="38">
        <v>4936.2700000000004</v>
      </c>
      <c r="G26" s="39">
        <v>0.63366147096991299</v>
      </c>
      <c r="H26" s="42">
        <v>7.2498000000000007E-2</v>
      </c>
      <c r="I26" s="73"/>
    </row>
    <row r="27" spans="2:9" x14ac:dyDescent="0.2">
      <c r="B27" s="36" t="s">
        <v>313</v>
      </c>
      <c r="C27" s="36" t="s">
        <v>314</v>
      </c>
      <c r="D27" s="36" t="s">
        <v>209</v>
      </c>
      <c r="E27" s="41">
        <v>500</v>
      </c>
      <c r="F27" s="38">
        <v>2497.1275000000001</v>
      </c>
      <c r="G27" s="39">
        <v>0.32055245860729298</v>
      </c>
      <c r="H27" s="42">
        <v>5.9981E-2</v>
      </c>
      <c r="I27" s="73"/>
    </row>
    <row r="28" spans="2:9" x14ac:dyDescent="0.2">
      <c r="B28" s="36" t="s">
        <v>315</v>
      </c>
      <c r="C28" s="36" t="s">
        <v>316</v>
      </c>
      <c r="D28" s="36" t="s">
        <v>209</v>
      </c>
      <c r="E28" s="41">
        <v>500</v>
      </c>
      <c r="F28" s="38">
        <v>2474.7224999999999</v>
      </c>
      <c r="G28" s="39">
        <v>0.31767636283921702</v>
      </c>
      <c r="H28" s="42">
        <v>7.17E-2</v>
      </c>
      <c r="I28" s="73"/>
    </row>
    <row r="29" spans="2:9" x14ac:dyDescent="0.2">
      <c r="B29" s="36" t="s">
        <v>317</v>
      </c>
      <c r="C29" s="36" t="s">
        <v>318</v>
      </c>
      <c r="D29" s="36" t="s">
        <v>209</v>
      </c>
      <c r="E29" s="41">
        <v>500</v>
      </c>
      <c r="F29" s="38">
        <v>2465.6475</v>
      </c>
      <c r="G29" s="39">
        <v>0.31651141889387902</v>
      </c>
      <c r="H29" s="42">
        <v>7.2650000000000006E-2</v>
      </c>
      <c r="I29" s="73"/>
    </row>
    <row r="30" spans="2:9" x14ac:dyDescent="0.2">
      <c r="B30" s="36" t="s">
        <v>319</v>
      </c>
      <c r="C30" s="36" t="s">
        <v>320</v>
      </c>
      <c r="D30" s="36" t="s">
        <v>209</v>
      </c>
      <c r="E30" s="41">
        <v>100</v>
      </c>
      <c r="F30" s="38">
        <v>492.17899999999997</v>
      </c>
      <c r="G30" s="39">
        <v>6.31802695396525E-2</v>
      </c>
      <c r="H30" s="42">
        <v>7.2500999999999996E-2</v>
      </c>
      <c r="I30" s="73"/>
    </row>
    <row r="31" spans="2:9" ht="10.5" x14ac:dyDescent="0.25">
      <c r="B31" s="35" t="s">
        <v>180</v>
      </c>
      <c r="C31" s="35"/>
      <c r="D31" s="35"/>
      <c r="E31" s="43"/>
      <c r="F31" s="44">
        <f>SUM(F6:F30)</f>
        <v>303102.77400000009</v>
      </c>
      <c r="G31" s="45">
        <f>SUM(G6:G30)</f>
        <v>38.908842026044177</v>
      </c>
      <c r="H31" s="46"/>
      <c r="I31" s="35"/>
    </row>
    <row r="32" spans="2:9" ht="10.5" x14ac:dyDescent="0.25">
      <c r="B32" s="35" t="s">
        <v>244</v>
      </c>
      <c r="C32" s="36"/>
      <c r="D32" s="36"/>
      <c r="E32" s="37"/>
      <c r="F32" s="38"/>
      <c r="G32" s="39"/>
      <c r="H32" s="40"/>
      <c r="I32" s="36"/>
    </row>
    <row r="33" spans="2:9" x14ac:dyDescent="0.2">
      <c r="B33" s="36" t="s">
        <v>321</v>
      </c>
      <c r="C33" s="36" t="s">
        <v>322</v>
      </c>
      <c r="D33" s="36" t="s">
        <v>209</v>
      </c>
      <c r="E33" s="41">
        <v>8000</v>
      </c>
      <c r="F33" s="38">
        <v>39968.160000000003</v>
      </c>
      <c r="G33" s="39">
        <v>5.1306519006376901</v>
      </c>
      <c r="H33" s="42">
        <v>7.2692999999999994E-2</v>
      </c>
      <c r="I33" s="73"/>
    </row>
    <row r="34" spans="2:9" x14ac:dyDescent="0.2">
      <c r="B34" s="36" t="s">
        <v>323</v>
      </c>
      <c r="C34" s="36" t="s">
        <v>324</v>
      </c>
      <c r="D34" s="36" t="s">
        <v>209</v>
      </c>
      <c r="E34" s="41">
        <v>6500</v>
      </c>
      <c r="F34" s="38">
        <v>32063.005000000001</v>
      </c>
      <c r="G34" s="39">
        <v>4.1158791784111601</v>
      </c>
      <c r="H34" s="42">
        <v>7.4251999999999999E-2</v>
      </c>
      <c r="I34" s="73"/>
    </row>
    <row r="35" spans="2:9" x14ac:dyDescent="0.2">
      <c r="B35" s="36" t="s">
        <v>325</v>
      </c>
      <c r="C35" s="36" t="s">
        <v>326</v>
      </c>
      <c r="D35" s="36" t="s">
        <v>209</v>
      </c>
      <c r="E35" s="41">
        <v>5000</v>
      </c>
      <c r="F35" s="38">
        <v>24983.474999999999</v>
      </c>
      <c r="G35" s="39">
        <v>3.2070906815145901</v>
      </c>
      <c r="H35" s="42">
        <v>6.0401999999999997E-2</v>
      </c>
      <c r="I35" s="73"/>
    </row>
    <row r="36" spans="2:9" x14ac:dyDescent="0.2">
      <c r="B36" s="36" t="s">
        <v>327</v>
      </c>
      <c r="C36" s="36" t="s">
        <v>328</v>
      </c>
      <c r="D36" s="36" t="s">
        <v>209</v>
      </c>
      <c r="E36" s="41">
        <v>5000</v>
      </c>
      <c r="F36" s="38">
        <v>24936.5</v>
      </c>
      <c r="G36" s="39">
        <v>3.2010605722217802</v>
      </c>
      <c r="H36" s="42">
        <v>6.1963999999999998E-2</v>
      </c>
      <c r="I36" s="73"/>
    </row>
    <row r="37" spans="2:9" x14ac:dyDescent="0.2">
      <c r="B37" s="36" t="s">
        <v>329</v>
      </c>
      <c r="C37" s="36" t="s">
        <v>330</v>
      </c>
      <c r="D37" s="36" t="s">
        <v>209</v>
      </c>
      <c r="E37" s="41">
        <v>5000</v>
      </c>
      <c r="F37" s="38">
        <v>24907.974999999999</v>
      </c>
      <c r="G37" s="39">
        <v>3.1973988613633</v>
      </c>
      <c r="H37" s="42">
        <v>7.4917999999999998E-2</v>
      </c>
      <c r="I37" s="73"/>
    </row>
    <row r="38" spans="2:9" x14ac:dyDescent="0.2">
      <c r="B38" s="36" t="s">
        <v>331</v>
      </c>
      <c r="C38" s="36" t="s">
        <v>332</v>
      </c>
      <c r="D38" s="36" t="s">
        <v>209</v>
      </c>
      <c r="E38" s="41">
        <v>4000</v>
      </c>
      <c r="F38" s="38">
        <v>19944.52</v>
      </c>
      <c r="G38" s="39">
        <v>2.5602476932965299</v>
      </c>
      <c r="H38" s="42">
        <v>6.3458000000000001E-2</v>
      </c>
      <c r="I38" s="73"/>
    </row>
    <row r="39" spans="2:9" x14ac:dyDescent="0.2">
      <c r="B39" s="36" t="s">
        <v>333</v>
      </c>
      <c r="C39" s="36" t="s">
        <v>334</v>
      </c>
      <c r="D39" s="36" t="s">
        <v>209</v>
      </c>
      <c r="E39" s="41">
        <v>4000</v>
      </c>
      <c r="F39" s="38">
        <v>19928.22</v>
      </c>
      <c r="G39" s="39">
        <v>2.5581552870916799</v>
      </c>
      <c r="H39" s="42">
        <v>6.2604999999999994E-2</v>
      </c>
      <c r="I39" s="73"/>
    </row>
    <row r="40" spans="2:9" x14ac:dyDescent="0.2">
      <c r="B40" s="36" t="s">
        <v>335</v>
      </c>
      <c r="C40" s="36" t="s">
        <v>336</v>
      </c>
      <c r="D40" s="36" t="s">
        <v>209</v>
      </c>
      <c r="E40" s="41">
        <v>4000</v>
      </c>
      <c r="F40" s="38">
        <v>19713.939999999999</v>
      </c>
      <c r="G40" s="39">
        <v>2.5306484894490402</v>
      </c>
      <c r="H40" s="42">
        <v>7.4598999999999999E-2</v>
      </c>
      <c r="I40" s="73"/>
    </row>
    <row r="41" spans="2:9" x14ac:dyDescent="0.2">
      <c r="B41" s="36" t="s">
        <v>337</v>
      </c>
      <c r="C41" s="36" t="s">
        <v>338</v>
      </c>
      <c r="D41" s="36" t="s">
        <v>209</v>
      </c>
      <c r="E41" s="41">
        <v>3000</v>
      </c>
      <c r="F41" s="38">
        <v>14789.264999999999</v>
      </c>
      <c r="G41" s="39">
        <v>1.8984754509910999</v>
      </c>
      <c r="H41" s="42">
        <v>7.4299000000000004E-2</v>
      </c>
      <c r="I41" s="73"/>
    </row>
    <row r="42" spans="2:9" x14ac:dyDescent="0.2">
      <c r="B42" s="36" t="s">
        <v>339</v>
      </c>
      <c r="C42" s="36" t="s">
        <v>340</v>
      </c>
      <c r="D42" s="36" t="s">
        <v>209</v>
      </c>
      <c r="E42" s="41">
        <v>2500</v>
      </c>
      <c r="F42" s="38">
        <v>12448.612499999999</v>
      </c>
      <c r="G42" s="39">
        <v>1.59800945010796</v>
      </c>
      <c r="H42" s="42">
        <v>7.1748000000000006E-2</v>
      </c>
      <c r="I42" s="73"/>
    </row>
    <row r="43" spans="2:9" x14ac:dyDescent="0.2">
      <c r="B43" s="36" t="s">
        <v>341</v>
      </c>
      <c r="C43" s="36" t="s">
        <v>342</v>
      </c>
      <c r="D43" s="36" t="s">
        <v>209</v>
      </c>
      <c r="E43" s="41">
        <v>2500</v>
      </c>
      <c r="F43" s="38">
        <v>12343.424999999999</v>
      </c>
      <c r="G43" s="39">
        <v>1.5845066907415499</v>
      </c>
      <c r="H43" s="42">
        <v>8.1227999999999995E-2</v>
      </c>
      <c r="I43" s="73"/>
    </row>
    <row r="44" spans="2:9" x14ac:dyDescent="0.2">
      <c r="B44" s="36" t="s">
        <v>343</v>
      </c>
      <c r="C44" s="36" t="s">
        <v>344</v>
      </c>
      <c r="D44" s="36" t="s">
        <v>209</v>
      </c>
      <c r="E44" s="41">
        <v>2500</v>
      </c>
      <c r="F44" s="38">
        <v>12319.0625</v>
      </c>
      <c r="G44" s="39">
        <v>1.58137931367617</v>
      </c>
      <c r="H44" s="42">
        <v>8.1226999999999994E-2</v>
      </c>
      <c r="I44" s="73"/>
    </row>
    <row r="45" spans="2:9" x14ac:dyDescent="0.2">
      <c r="B45" s="36" t="s">
        <v>345</v>
      </c>
      <c r="C45" s="36" t="s">
        <v>346</v>
      </c>
      <c r="D45" s="36" t="s">
        <v>209</v>
      </c>
      <c r="E45" s="41">
        <v>2200</v>
      </c>
      <c r="F45" s="38">
        <v>10908.897999999999</v>
      </c>
      <c r="G45" s="39">
        <v>1.4003586419180301</v>
      </c>
      <c r="H45" s="42">
        <v>7.2576000000000002E-2</v>
      </c>
      <c r="I45" s="73"/>
    </row>
    <row r="46" spans="2:9" x14ac:dyDescent="0.2">
      <c r="B46" s="36" t="s">
        <v>347</v>
      </c>
      <c r="C46" s="36" t="s">
        <v>348</v>
      </c>
      <c r="D46" s="36" t="s">
        <v>209</v>
      </c>
      <c r="E46" s="41">
        <v>2000</v>
      </c>
      <c r="F46" s="38">
        <v>9992.01</v>
      </c>
      <c r="G46" s="39">
        <v>1.28265912410506</v>
      </c>
      <c r="H46" s="42">
        <v>7.2967000000000004E-2</v>
      </c>
      <c r="I46" s="73"/>
    </row>
    <row r="47" spans="2:9" x14ac:dyDescent="0.2">
      <c r="B47" s="36" t="s">
        <v>349</v>
      </c>
      <c r="C47" s="36" t="s">
        <v>350</v>
      </c>
      <c r="D47" s="36" t="s">
        <v>209</v>
      </c>
      <c r="E47" s="41">
        <v>2000</v>
      </c>
      <c r="F47" s="38">
        <v>9961.49</v>
      </c>
      <c r="G47" s="39">
        <v>1.2787413181313201</v>
      </c>
      <c r="H47" s="42">
        <v>6.1350000000000002E-2</v>
      </c>
      <c r="I47" s="73"/>
    </row>
    <row r="48" spans="2:9" x14ac:dyDescent="0.2">
      <c r="B48" s="36" t="s">
        <v>351</v>
      </c>
      <c r="C48" s="36" t="s">
        <v>352</v>
      </c>
      <c r="D48" s="36" t="s">
        <v>209</v>
      </c>
      <c r="E48" s="41">
        <v>2000</v>
      </c>
      <c r="F48" s="38">
        <v>9954.34</v>
      </c>
      <c r="G48" s="39">
        <v>1.27782348350772</v>
      </c>
      <c r="H48" s="42">
        <v>7.2792999999999997E-2</v>
      </c>
      <c r="I48" s="73"/>
    </row>
    <row r="49" spans="2:9" x14ac:dyDescent="0.2">
      <c r="B49" s="36" t="s">
        <v>353</v>
      </c>
      <c r="C49" s="36" t="s">
        <v>354</v>
      </c>
      <c r="D49" s="36" t="s">
        <v>209</v>
      </c>
      <c r="E49" s="41">
        <v>2000</v>
      </c>
      <c r="F49" s="38">
        <v>9852.19</v>
      </c>
      <c r="G49" s="39">
        <v>1.26471064339573</v>
      </c>
      <c r="H49" s="42">
        <v>7.3999999999999996E-2</v>
      </c>
      <c r="I49" s="73"/>
    </row>
    <row r="50" spans="2:9" x14ac:dyDescent="0.2">
      <c r="B50" s="36" t="s">
        <v>355</v>
      </c>
      <c r="C50" s="36" t="s">
        <v>356</v>
      </c>
      <c r="D50" s="36" t="s">
        <v>206</v>
      </c>
      <c r="E50" s="41">
        <v>2000</v>
      </c>
      <c r="F50" s="38">
        <v>9819.25</v>
      </c>
      <c r="G50" s="39">
        <v>1.26048218570324</v>
      </c>
      <c r="H50" s="42">
        <v>8.2950999999999997E-2</v>
      </c>
      <c r="I50" s="73"/>
    </row>
    <row r="51" spans="2:9" x14ac:dyDescent="0.2">
      <c r="B51" s="36" t="s">
        <v>357</v>
      </c>
      <c r="C51" s="36" t="s">
        <v>358</v>
      </c>
      <c r="D51" s="36" t="s">
        <v>209</v>
      </c>
      <c r="E51" s="41">
        <v>1500</v>
      </c>
      <c r="F51" s="38">
        <v>7468.6350000000002</v>
      </c>
      <c r="G51" s="39">
        <v>0.95873731384980398</v>
      </c>
      <c r="H51" s="42">
        <v>7.2992000000000001E-2</v>
      </c>
      <c r="I51" s="73"/>
    </row>
    <row r="52" spans="2:9" x14ac:dyDescent="0.2">
      <c r="B52" s="36" t="s">
        <v>359</v>
      </c>
      <c r="C52" s="36" t="s">
        <v>360</v>
      </c>
      <c r="D52" s="36" t="s">
        <v>209</v>
      </c>
      <c r="E52" s="41">
        <v>1500</v>
      </c>
      <c r="F52" s="38">
        <v>7381.8074999999999</v>
      </c>
      <c r="G52" s="39">
        <v>0.94759139975461903</v>
      </c>
      <c r="H52" s="42">
        <v>7.2150000000000006E-2</v>
      </c>
      <c r="I52" s="73"/>
    </row>
    <row r="53" spans="2:9" x14ac:dyDescent="0.2">
      <c r="B53" s="36" t="s">
        <v>361</v>
      </c>
      <c r="C53" s="36" t="s">
        <v>362</v>
      </c>
      <c r="D53" s="36" t="s">
        <v>209</v>
      </c>
      <c r="E53" s="41">
        <v>1000</v>
      </c>
      <c r="F53" s="38">
        <v>4986.04</v>
      </c>
      <c r="G53" s="39">
        <v>0.64005037016103705</v>
      </c>
      <c r="H53" s="42">
        <v>7.2995000000000004E-2</v>
      </c>
      <c r="I53" s="73"/>
    </row>
    <row r="54" spans="2:9" x14ac:dyDescent="0.2">
      <c r="B54" s="36" t="s">
        <v>363</v>
      </c>
      <c r="C54" s="36" t="s">
        <v>364</v>
      </c>
      <c r="D54" s="36" t="s">
        <v>209</v>
      </c>
      <c r="E54" s="41">
        <v>1000</v>
      </c>
      <c r="F54" s="38">
        <v>4919.2150000000001</v>
      </c>
      <c r="G54" s="39">
        <v>0.631472146563551</v>
      </c>
      <c r="H54" s="42">
        <v>8.1002000000000005E-2</v>
      </c>
      <c r="I54" s="73"/>
    </row>
    <row r="55" spans="2:9" x14ac:dyDescent="0.2">
      <c r="B55" s="36" t="s">
        <v>365</v>
      </c>
      <c r="C55" s="36" t="s">
        <v>366</v>
      </c>
      <c r="D55" s="36" t="s">
        <v>209</v>
      </c>
      <c r="E55" s="41">
        <v>500</v>
      </c>
      <c r="F55" s="38">
        <v>2488.71</v>
      </c>
      <c r="G55" s="39">
        <v>0.31947191693678301</v>
      </c>
      <c r="H55" s="42">
        <v>7.1992E-2</v>
      </c>
      <c r="I55" s="73"/>
    </row>
    <row r="56" spans="2:9" x14ac:dyDescent="0.2">
      <c r="B56" s="36" t="s">
        <v>367</v>
      </c>
      <c r="C56" s="36" t="s">
        <v>368</v>
      </c>
      <c r="D56" s="36" t="s">
        <v>209</v>
      </c>
      <c r="E56" s="41">
        <v>200</v>
      </c>
      <c r="F56" s="38">
        <v>998.61099999999999</v>
      </c>
      <c r="G56" s="39">
        <v>0.12819017500799901</v>
      </c>
      <c r="H56" s="42">
        <v>7.2553000000000006E-2</v>
      </c>
      <c r="I56" s="73"/>
    </row>
    <row r="57" spans="2:9" ht="10.5" x14ac:dyDescent="0.25">
      <c r="B57" s="35" t="s">
        <v>180</v>
      </c>
      <c r="C57" s="35"/>
      <c r="D57" s="35"/>
      <c r="E57" s="43"/>
      <c r="F57" s="44">
        <f>SUM(F32:F56)</f>
        <v>347077.35649999999</v>
      </c>
      <c r="G57" s="45">
        <f>SUM(G32:G56)</f>
        <v>44.553792288537437</v>
      </c>
      <c r="H57" s="46"/>
      <c r="I57" s="35"/>
    </row>
    <row r="58" spans="2:9" ht="10.5" x14ac:dyDescent="0.25">
      <c r="B58" s="35" t="s">
        <v>261</v>
      </c>
      <c r="C58" s="36"/>
      <c r="D58" s="36"/>
      <c r="E58" s="37"/>
      <c r="F58" s="38"/>
      <c r="G58" s="39"/>
      <c r="H58" s="40"/>
      <c r="I58" s="36"/>
    </row>
    <row r="59" spans="2:9" x14ac:dyDescent="0.2">
      <c r="B59" s="36" t="s">
        <v>369</v>
      </c>
      <c r="C59" s="36" t="s">
        <v>370</v>
      </c>
      <c r="D59" s="36" t="s">
        <v>264</v>
      </c>
      <c r="E59" s="41">
        <v>71828200</v>
      </c>
      <c r="F59" s="38">
        <v>71120.907714600005</v>
      </c>
      <c r="G59" s="39">
        <v>9.1296827359826001</v>
      </c>
      <c r="H59" s="42">
        <v>5.4997999999999998E-2</v>
      </c>
      <c r="I59" s="73"/>
    </row>
    <row r="60" spans="2:9" x14ac:dyDescent="0.2">
      <c r="B60" s="36" t="s">
        <v>371</v>
      </c>
      <c r="C60" s="36" t="s">
        <v>372</v>
      </c>
      <c r="D60" s="36" t="s">
        <v>264</v>
      </c>
      <c r="E60" s="41">
        <v>35000000</v>
      </c>
      <c r="F60" s="38">
        <v>34728.364999999998</v>
      </c>
      <c r="G60" s="39">
        <v>4.4580273871324003</v>
      </c>
      <c r="H60" s="42">
        <v>5.4901999999999999E-2</v>
      </c>
      <c r="I60" s="73"/>
    </row>
    <row r="61" spans="2:9" x14ac:dyDescent="0.2">
      <c r="B61" s="36" t="s">
        <v>373</v>
      </c>
      <c r="C61" s="36" t="s">
        <v>374</v>
      </c>
      <c r="D61" s="36" t="s">
        <v>264</v>
      </c>
      <c r="E61" s="41">
        <v>8500000</v>
      </c>
      <c r="F61" s="38">
        <v>8453.1650000000009</v>
      </c>
      <c r="G61" s="39">
        <v>1.0851199323074701</v>
      </c>
      <c r="H61" s="42">
        <v>5.3222999999999999E-2</v>
      </c>
      <c r="I61" s="73"/>
    </row>
    <row r="62" spans="2:9" x14ac:dyDescent="0.2">
      <c r="B62" s="36" t="s">
        <v>375</v>
      </c>
      <c r="C62" s="36" t="s">
        <v>376</v>
      </c>
      <c r="D62" s="36" t="s">
        <v>264</v>
      </c>
      <c r="E62" s="41">
        <v>5000000</v>
      </c>
      <c r="F62" s="38">
        <v>4987.17</v>
      </c>
      <c r="G62" s="39">
        <v>0.64019542654210904</v>
      </c>
      <c r="H62" s="42">
        <v>5.2166999999999998E-2</v>
      </c>
      <c r="I62" s="73"/>
    </row>
    <row r="63" spans="2:9" x14ac:dyDescent="0.2">
      <c r="B63" s="36" t="s">
        <v>377</v>
      </c>
      <c r="C63" s="36" t="s">
        <v>378</v>
      </c>
      <c r="D63" s="36" t="s">
        <v>264</v>
      </c>
      <c r="E63" s="41">
        <v>3000000</v>
      </c>
      <c r="F63" s="38">
        <v>2973.9540000000002</v>
      </c>
      <c r="G63" s="39">
        <v>0.38176195107578298</v>
      </c>
      <c r="H63" s="42">
        <v>5.4181E-2</v>
      </c>
      <c r="I63" s="73"/>
    </row>
    <row r="64" spans="2:9" x14ac:dyDescent="0.2">
      <c r="B64" s="36" t="s">
        <v>379</v>
      </c>
      <c r="C64" s="36" t="s">
        <v>380</v>
      </c>
      <c r="D64" s="36" t="s">
        <v>264</v>
      </c>
      <c r="E64" s="41">
        <v>1000000</v>
      </c>
      <c r="F64" s="38">
        <v>999.577</v>
      </c>
      <c r="G64" s="39">
        <v>0.128314178958544</v>
      </c>
      <c r="H64" s="42">
        <v>5.1486999999999998E-2</v>
      </c>
      <c r="I64" s="73"/>
    </row>
    <row r="65" spans="2:9" x14ac:dyDescent="0.2">
      <c r="B65" s="36" t="s">
        <v>381</v>
      </c>
      <c r="C65" s="36" t="s">
        <v>382</v>
      </c>
      <c r="D65" s="36" t="s">
        <v>264</v>
      </c>
      <c r="E65" s="41">
        <v>1000000</v>
      </c>
      <c r="F65" s="38">
        <v>991.31799999999998</v>
      </c>
      <c r="G65" s="39">
        <v>0.127253983691928</v>
      </c>
      <c r="H65" s="42">
        <v>5.4181E-2</v>
      </c>
      <c r="I65" s="73"/>
    </row>
    <row r="66" spans="2:9" ht="10.5" x14ac:dyDescent="0.25">
      <c r="B66" s="35" t="s">
        <v>180</v>
      </c>
      <c r="C66" s="35"/>
      <c r="D66" s="35"/>
      <c r="E66" s="43"/>
      <c r="F66" s="74">
        <f>SUM(F58:F65)</f>
        <v>124254.4567146</v>
      </c>
      <c r="G66" s="75">
        <f>SUM(G58:G65)</f>
        <v>15.950355595690832</v>
      </c>
      <c r="H66" s="46"/>
      <c r="I66" s="35"/>
    </row>
    <row r="67" spans="2:9" ht="10.5" x14ac:dyDescent="0.25">
      <c r="B67" s="51" t="s">
        <v>183</v>
      </c>
      <c r="C67" s="51"/>
      <c r="D67" s="51"/>
      <c r="E67" s="52"/>
      <c r="F67" s="53">
        <f>+F31+F57+F66</f>
        <v>774434.58721460006</v>
      </c>
      <c r="G67" s="54">
        <f>+G31+G57+G66</f>
        <v>99.412989910272444</v>
      </c>
      <c r="H67" s="46"/>
      <c r="I67" s="35"/>
    </row>
    <row r="68" spans="2:9" ht="10.5" x14ac:dyDescent="0.25">
      <c r="B68" s="35" t="s">
        <v>255</v>
      </c>
      <c r="C68" s="36"/>
      <c r="D68" s="36"/>
      <c r="E68" s="37"/>
      <c r="F68" s="38"/>
      <c r="G68" s="39"/>
      <c r="H68" s="40"/>
      <c r="I68" s="36"/>
    </row>
    <row r="69" spans="2:9" x14ac:dyDescent="0.2">
      <c r="B69" s="36" t="s">
        <v>256</v>
      </c>
      <c r="C69" s="36" t="s">
        <v>257</v>
      </c>
      <c r="D69" s="36"/>
      <c r="E69" s="41">
        <v>15348.03</v>
      </c>
      <c r="F69" s="38">
        <v>1809.3603633</v>
      </c>
      <c r="G69" s="39">
        <v>0.23226483748322799</v>
      </c>
      <c r="H69" s="40"/>
      <c r="I69" s="36"/>
    </row>
    <row r="70" spans="2:9" ht="10.5" x14ac:dyDescent="0.25">
      <c r="B70" s="35" t="s">
        <v>180</v>
      </c>
      <c r="C70" s="35"/>
      <c r="D70" s="35"/>
      <c r="E70" s="43"/>
      <c r="F70" s="44">
        <f>SUM(F69:F69)</f>
        <v>1809.3603633</v>
      </c>
      <c r="G70" s="45">
        <f>SUM(G69:G69)</f>
        <v>0.23226483748322799</v>
      </c>
      <c r="H70" s="46"/>
      <c r="I70" s="35"/>
    </row>
    <row r="71" spans="2:9" ht="10.5" x14ac:dyDescent="0.25">
      <c r="B71" s="35"/>
      <c r="C71" s="36"/>
      <c r="D71" s="36"/>
      <c r="E71" s="37"/>
      <c r="F71" s="38"/>
      <c r="G71" s="39"/>
      <c r="H71" s="40"/>
      <c r="I71" s="36"/>
    </row>
    <row r="72" spans="2:9" ht="10.5" x14ac:dyDescent="0.25">
      <c r="B72" s="35" t="s">
        <v>184</v>
      </c>
      <c r="C72" s="35"/>
      <c r="D72" s="35"/>
      <c r="E72" s="43"/>
      <c r="F72" s="44">
        <v>38830.266176899997</v>
      </c>
      <c r="G72" s="45">
        <v>4.9845822015018797</v>
      </c>
      <c r="H72" s="42">
        <v>5.3499999999999999E-2</v>
      </c>
      <c r="I72" s="42"/>
    </row>
    <row r="73" spans="2:9" x14ac:dyDescent="0.2">
      <c r="B73" s="36"/>
      <c r="C73" s="36"/>
      <c r="D73" s="36"/>
      <c r="E73" s="37"/>
      <c r="F73" s="38"/>
      <c r="G73" s="39"/>
      <c r="H73" s="40"/>
      <c r="I73" s="36"/>
    </row>
    <row r="74" spans="2:9" ht="10.5" x14ac:dyDescent="0.25">
      <c r="B74" s="61" t="s">
        <v>187</v>
      </c>
      <c r="C74" s="61"/>
      <c r="D74" s="61"/>
      <c r="E74" s="62"/>
      <c r="F74" s="44">
        <f>F75-(F31+F57+F66+F70+F72)</f>
        <v>-36066.774270700058</v>
      </c>
      <c r="G74" s="45">
        <f>G75-(G31+G57+G66+G70+G72)</f>
        <v>-4.6298369492575517</v>
      </c>
      <c r="H74" s="46"/>
      <c r="I74" s="35"/>
    </row>
    <row r="75" spans="2:9" ht="10.5" x14ac:dyDescent="0.25">
      <c r="B75" s="55" t="s">
        <v>185</v>
      </c>
      <c r="C75" s="55"/>
      <c r="D75" s="55"/>
      <c r="E75" s="56"/>
      <c r="F75" s="57">
        <v>779007.43948409997</v>
      </c>
      <c r="G75" s="58">
        <v>100</v>
      </c>
      <c r="H75" s="59"/>
      <c r="I75" s="60"/>
    </row>
    <row r="77" spans="2:9" ht="10.5" x14ac:dyDescent="0.25">
      <c r="B77" s="26" t="s">
        <v>259</v>
      </c>
    </row>
    <row r="78" spans="2:9" ht="40" customHeight="1" x14ac:dyDescent="0.2">
      <c r="B78" s="187" t="s">
        <v>260</v>
      </c>
      <c r="C78" s="187"/>
      <c r="D78" s="187"/>
      <c r="E78" s="187"/>
      <c r="F78" s="187"/>
      <c r="G78" s="187"/>
      <c r="H78" s="187"/>
      <c r="I78" s="187"/>
    </row>
    <row r="79" spans="2:9" ht="10.5" x14ac:dyDescent="0.2">
      <c r="B79" s="188"/>
      <c r="C79" s="188"/>
      <c r="D79" s="188"/>
      <c r="E79" s="188"/>
      <c r="F79" s="188"/>
      <c r="G79" s="188"/>
      <c r="H79" s="188"/>
      <c r="I79" s="188"/>
    </row>
    <row r="80" spans="2:9" ht="10.5" x14ac:dyDescent="0.2">
      <c r="B80" s="188" t="s">
        <v>1569</v>
      </c>
      <c r="C80" s="188"/>
      <c r="D80" s="188"/>
      <c r="E80" s="188"/>
      <c r="F80" s="188"/>
      <c r="G80" s="188"/>
      <c r="H80" s="188"/>
      <c r="I80" s="188"/>
    </row>
    <row r="81" spans="2:9" ht="10.5" x14ac:dyDescent="0.2">
      <c r="B81" s="149"/>
      <c r="C81" s="149"/>
      <c r="D81" s="149"/>
      <c r="E81" s="149"/>
      <c r="F81" s="149"/>
      <c r="G81" s="149"/>
      <c r="H81" s="149"/>
      <c r="I81" s="149"/>
    </row>
    <row r="82" spans="2:9" ht="10.5" x14ac:dyDescent="0.2">
      <c r="B82" s="90" t="s">
        <v>196</v>
      </c>
      <c r="C82" s="86"/>
      <c r="D82" s="86"/>
    </row>
    <row r="83" spans="2:9" ht="10.5" x14ac:dyDescent="0.2">
      <c r="B83" s="90"/>
      <c r="C83" s="86"/>
      <c r="D83" s="86"/>
    </row>
    <row r="84" spans="2:9" ht="10.5" x14ac:dyDescent="0.2">
      <c r="B84" s="94" t="s">
        <v>1508</v>
      </c>
      <c r="C84" s="92"/>
      <c r="D84" s="92"/>
      <c r="E84" s="8"/>
    </row>
    <row r="85" spans="2:9" ht="10.5" x14ac:dyDescent="0.2">
      <c r="B85" s="94" t="s">
        <v>1509</v>
      </c>
      <c r="C85" s="92"/>
      <c r="D85" s="92"/>
      <c r="E85" s="8"/>
    </row>
    <row r="86" spans="2:9" ht="10.5" x14ac:dyDescent="0.2">
      <c r="B86" s="90"/>
      <c r="C86" s="102"/>
      <c r="D86" s="92"/>
      <c r="E86" s="8"/>
    </row>
    <row r="87" spans="2:9" ht="21" x14ac:dyDescent="0.2">
      <c r="B87" s="100" t="s">
        <v>1510</v>
      </c>
      <c r="C87" s="150" t="s">
        <v>1511</v>
      </c>
      <c r="D87" s="105" t="s">
        <v>1547</v>
      </c>
      <c r="E87" s="8"/>
    </row>
    <row r="88" spans="2:9" x14ac:dyDescent="0.2">
      <c r="B88" s="97" t="s">
        <v>1512</v>
      </c>
      <c r="C88" s="151">
        <v>1051.5916</v>
      </c>
      <c r="D88" s="101">
        <v>1056.7800999999999</v>
      </c>
      <c r="E88" s="8"/>
    </row>
    <row r="89" spans="2:9" ht="10.5" x14ac:dyDescent="0.2">
      <c r="B89" s="90"/>
      <c r="C89" s="92"/>
      <c r="D89" s="92"/>
      <c r="E89" s="8"/>
    </row>
    <row r="90" spans="2:9" ht="10.5" x14ac:dyDescent="0.2">
      <c r="B90" s="94" t="s">
        <v>1572</v>
      </c>
      <c r="C90" s="92"/>
      <c r="D90" s="92"/>
      <c r="E90" s="8"/>
    </row>
    <row r="91" spans="2:9" ht="10.5" x14ac:dyDescent="0.2">
      <c r="B91" s="94" t="s">
        <v>1564</v>
      </c>
      <c r="C91" s="92"/>
      <c r="D91" s="92"/>
      <c r="E91" s="8"/>
    </row>
    <row r="92" spans="2:9" ht="10.5" x14ac:dyDescent="0.2">
      <c r="B92" s="94" t="s">
        <v>1565</v>
      </c>
      <c r="C92" s="92"/>
      <c r="D92" s="92"/>
      <c r="E92" s="8"/>
    </row>
    <row r="93" spans="2:9" ht="10.5" x14ac:dyDescent="0.2">
      <c r="B93" s="103" t="s">
        <v>1514</v>
      </c>
      <c r="C93" s="92"/>
      <c r="D93" s="92"/>
      <c r="E93" s="8"/>
    </row>
    <row r="94" spans="2:9" ht="10.5" x14ac:dyDescent="0.2">
      <c r="B94" s="94" t="s">
        <v>1567</v>
      </c>
      <c r="C94" s="92"/>
      <c r="D94" s="92"/>
      <c r="E94" s="8"/>
    </row>
    <row r="97" spans="2:9" ht="10.5" x14ac:dyDescent="0.25">
      <c r="B97" s="26" t="s">
        <v>1480</v>
      </c>
      <c r="E97" s="8"/>
      <c r="G97" s="87"/>
      <c r="I97" s="14"/>
    </row>
    <row r="98" spans="2:9" ht="10.5" x14ac:dyDescent="0.25">
      <c r="B98" s="26"/>
      <c r="C98" s="26"/>
      <c r="D98" s="71"/>
      <c r="E98" s="26"/>
      <c r="G98" s="87"/>
      <c r="I98" s="14"/>
    </row>
    <row r="99" spans="2:9" x14ac:dyDescent="0.2">
      <c r="D99" s="72"/>
      <c r="E99" s="72"/>
      <c r="G99" s="87"/>
      <c r="I99" s="14"/>
    </row>
    <row r="100" spans="2:9" x14ac:dyDescent="0.2">
      <c r="E100" s="8"/>
      <c r="G100" s="87"/>
      <c r="I100" s="14"/>
    </row>
    <row r="101" spans="2:9" x14ac:dyDescent="0.2">
      <c r="E101" s="8"/>
      <c r="G101" s="87"/>
      <c r="I101" s="14"/>
    </row>
    <row r="102" spans="2:9" x14ac:dyDescent="0.2">
      <c r="E102" s="8"/>
      <c r="G102" s="87"/>
      <c r="I102" s="14"/>
    </row>
    <row r="103" spans="2:9" x14ac:dyDescent="0.2">
      <c r="E103" s="8"/>
      <c r="G103" s="87"/>
      <c r="I103" s="14"/>
    </row>
    <row r="104" spans="2:9" x14ac:dyDescent="0.2">
      <c r="E104" s="8"/>
      <c r="G104" s="87"/>
      <c r="I104" s="14"/>
    </row>
    <row r="105" spans="2:9" x14ac:dyDescent="0.2">
      <c r="E105" s="8"/>
      <c r="G105" s="87"/>
      <c r="I105" s="14"/>
    </row>
    <row r="106" spans="2:9" x14ac:dyDescent="0.2">
      <c r="E106" s="8"/>
      <c r="G106" s="87"/>
      <c r="I106" s="14"/>
    </row>
    <row r="107" spans="2:9" x14ac:dyDescent="0.2">
      <c r="E107" s="8"/>
      <c r="G107" s="87"/>
      <c r="I107" s="14"/>
    </row>
    <row r="108" spans="2:9" x14ac:dyDescent="0.2">
      <c r="E108" s="8"/>
      <c r="G108" s="87"/>
      <c r="I108" s="14"/>
    </row>
    <row r="109" spans="2:9" x14ac:dyDescent="0.2">
      <c r="E109" s="8"/>
      <c r="G109" s="87"/>
      <c r="I109" s="14"/>
    </row>
    <row r="110" spans="2:9" x14ac:dyDescent="0.2">
      <c r="E110" s="8"/>
      <c r="G110" s="87"/>
      <c r="I110" s="14"/>
    </row>
    <row r="111" spans="2:9" x14ac:dyDescent="0.2">
      <c r="E111" s="8"/>
      <c r="G111" s="87"/>
      <c r="I111" s="14"/>
    </row>
    <row r="112" spans="2:9" x14ac:dyDescent="0.2">
      <c r="E112" s="8"/>
      <c r="G112" s="87"/>
      <c r="I112" s="14"/>
    </row>
    <row r="113" spans="2:9" x14ac:dyDescent="0.2">
      <c r="E113" s="8"/>
      <c r="G113" s="87"/>
      <c r="I113" s="14"/>
    </row>
    <row r="114" spans="2:9" x14ac:dyDescent="0.2">
      <c r="E114" s="8"/>
      <c r="G114" s="87"/>
      <c r="I114" s="14"/>
    </row>
    <row r="115" spans="2:9" x14ac:dyDescent="0.2">
      <c r="E115" s="8"/>
      <c r="G115" s="87"/>
      <c r="I115" s="14"/>
    </row>
    <row r="116" spans="2:9" x14ac:dyDescent="0.2">
      <c r="E116" s="8"/>
      <c r="G116" s="87"/>
      <c r="I116" s="14"/>
    </row>
    <row r="117" spans="2:9" x14ac:dyDescent="0.2">
      <c r="E117" s="8"/>
      <c r="G117" s="87"/>
      <c r="I117" s="14"/>
    </row>
    <row r="118" spans="2:9" ht="10.5" x14ac:dyDescent="0.25">
      <c r="B118" s="26" t="s">
        <v>1478</v>
      </c>
      <c r="E118" s="8"/>
      <c r="G118" s="87"/>
      <c r="I118" s="14"/>
    </row>
    <row r="119" spans="2:9" ht="10.5" x14ac:dyDescent="0.25">
      <c r="B119" s="26" t="s">
        <v>1483</v>
      </c>
      <c r="E119" s="8"/>
      <c r="G119" s="87"/>
      <c r="I119" s="14"/>
    </row>
    <row r="120" spans="2:9" x14ac:dyDescent="0.2">
      <c r="E120" s="8"/>
      <c r="G120" s="87"/>
      <c r="I120" s="14"/>
    </row>
    <row r="121" spans="2:9" x14ac:dyDescent="0.2">
      <c r="E121" s="8"/>
      <c r="G121" s="87"/>
      <c r="I121" s="14"/>
    </row>
    <row r="122" spans="2:9" x14ac:dyDescent="0.2">
      <c r="E122" s="8"/>
      <c r="G122" s="87"/>
      <c r="I122" s="14"/>
    </row>
    <row r="123" spans="2:9" x14ac:dyDescent="0.2">
      <c r="E123" s="8"/>
      <c r="G123" s="87"/>
      <c r="I123" s="14"/>
    </row>
    <row r="124" spans="2:9" x14ac:dyDescent="0.2">
      <c r="E124" s="8"/>
      <c r="G124" s="87"/>
      <c r="I124" s="14"/>
    </row>
    <row r="125" spans="2:9" x14ac:dyDescent="0.2">
      <c r="E125" s="8"/>
      <c r="G125" s="87"/>
      <c r="I125" s="14"/>
    </row>
    <row r="126" spans="2:9" x14ac:dyDescent="0.2">
      <c r="E126" s="8"/>
      <c r="G126" s="87"/>
      <c r="I126" s="14"/>
    </row>
    <row r="127" spans="2:9" x14ac:dyDescent="0.2">
      <c r="E127" s="8"/>
      <c r="G127" s="87"/>
      <c r="I127" s="14"/>
    </row>
    <row r="128" spans="2:9" x14ac:dyDescent="0.2">
      <c r="E128" s="8"/>
      <c r="G128" s="87"/>
      <c r="I128" s="14"/>
    </row>
    <row r="129" spans="5:9" x14ac:dyDescent="0.2">
      <c r="E129" s="8"/>
      <c r="G129" s="87"/>
      <c r="I129" s="14"/>
    </row>
    <row r="130" spans="5:9" x14ac:dyDescent="0.2">
      <c r="E130" s="8"/>
      <c r="G130" s="87"/>
      <c r="I130" s="14"/>
    </row>
    <row r="131" spans="5:9" x14ac:dyDescent="0.2">
      <c r="E131" s="8"/>
      <c r="G131" s="87"/>
      <c r="I131" s="14"/>
    </row>
    <row r="132" spans="5:9" x14ac:dyDescent="0.2">
      <c r="E132" s="8"/>
      <c r="G132" s="87"/>
      <c r="I132" s="14"/>
    </row>
    <row r="133" spans="5:9" x14ac:dyDescent="0.2">
      <c r="E133" s="8"/>
      <c r="G133" s="87"/>
      <c r="I133" s="14"/>
    </row>
    <row r="134" spans="5:9" x14ac:dyDescent="0.2">
      <c r="E134" s="8"/>
      <c r="G134" s="87"/>
      <c r="I134" s="14"/>
    </row>
    <row r="135" spans="5:9" x14ac:dyDescent="0.2">
      <c r="E135" s="8"/>
      <c r="G135" s="87"/>
      <c r="I135" s="14"/>
    </row>
    <row r="136" spans="5:9" x14ac:dyDescent="0.2">
      <c r="E136" s="8"/>
      <c r="G136" s="87"/>
      <c r="I136" s="14"/>
    </row>
    <row r="137" spans="5:9" x14ac:dyDescent="0.2">
      <c r="E137" s="8"/>
      <c r="G137" s="87"/>
      <c r="I137" s="14"/>
    </row>
    <row r="138" spans="5:9" x14ac:dyDescent="0.2">
      <c r="E138" s="8"/>
      <c r="G138" s="87"/>
      <c r="I138" s="14"/>
    </row>
  </sheetData>
  <mergeCells count="4">
    <mergeCell ref="B1:C1"/>
    <mergeCell ref="B78:I78"/>
    <mergeCell ref="B79:I79"/>
    <mergeCell ref="B80:I80"/>
  </mergeCells>
  <conditionalFormatting sqref="G1:G3 G5:G77 G82:G138">
    <cfRule type="cellIs" dxfId="13" priority="2" stopIfTrue="1" operator="between">
      <formula>0.009</formula>
      <formula>-0.009</formula>
    </cfRule>
  </conditionalFormatting>
  <hyperlinks>
    <hyperlink ref="A2" location="Index!A1" display="-" xr:uid="{F54E12CC-F8F9-4934-AE60-036378BD61D8}"/>
  </hyperlinks>
  <pageMargins left="0.7" right="0.7" top="0.75" bottom="0.75" header="0.3" footer="0.3"/>
  <pageSetup paperSize="9" scale="49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73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1615-3D2B-4566-8F75-EE4BBE4E34C7}">
  <dimension ref="A1:J83"/>
  <sheetViews>
    <sheetView view="pageBreakPreview" zoomScale="90" zoomScaleNormal="100" zoomScaleSheetLayoutView="90" workbookViewId="0"/>
  </sheetViews>
  <sheetFormatPr defaultColWidth="9.08984375" defaultRowHeight="10" x14ac:dyDescent="0.2"/>
  <cols>
    <col min="1" max="1" width="7.1796875" style="8" customWidth="1"/>
    <col min="2" max="2" width="52.7265625" style="8" bestFit="1" customWidth="1"/>
    <col min="3" max="3" width="14.6328125" style="8" customWidth="1"/>
    <col min="4" max="4" width="13.90625" style="8" bestFit="1" customWidth="1"/>
    <col min="5" max="5" width="13.90625" style="9" bestFit="1" customWidth="1"/>
    <col min="6" max="6" width="13.7265625" style="11" customWidth="1"/>
    <col min="7" max="7" width="6.7265625" style="18" bestFit="1" customWidth="1"/>
    <col min="8" max="8" width="11.81640625" style="14" bestFit="1" customWidth="1"/>
    <col min="9" max="9" width="10.08984375" style="8" bestFit="1" customWidth="1"/>
    <col min="10" max="16384" width="9.08984375" style="8"/>
  </cols>
  <sheetData>
    <row r="1" spans="1:10" s="1" customFormat="1" ht="16.75" customHeight="1" x14ac:dyDescent="0.35">
      <c r="B1" s="185" t="s">
        <v>14</v>
      </c>
      <c r="C1" s="186"/>
      <c r="D1" s="13"/>
      <c r="E1" s="6"/>
      <c r="F1" s="7"/>
      <c r="G1" s="18"/>
      <c r="H1" s="15"/>
    </row>
    <row r="2" spans="1:10" s="1" customFormat="1" ht="14.5" x14ac:dyDescent="0.35">
      <c r="A2" s="85" t="s">
        <v>1494</v>
      </c>
      <c r="E2" s="6"/>
      <c r="F2" s="7"/>
      <c r="G2" s="18"/>
      <c r="H2" s="15"/>
    </row>
    <row r="3" spans="1:10" s="1" customFormat="1" ht="11.5" x14ac:dyDescent="0.25">
      <c r="B3" s="10" t="s">
        <v>9</v>
      </c>
      <c r="C3" s="2"/>
      <c r="D3" s="3"/>
      <c r="E3" s="4"/>
      <c r="F3" s="5"/>
      <c r="G3" s="18"/>
      <c r="H3" s="15"/>
    </row>
    <row r="4" spans="1:10" s="1" customFormat="1" ht="25.5" customHeight="1" x14ac:dyDescent="0.25">
      <c r="B4" s="29" t="s">
        <v>7</v>
      </c>
      <c r="C4" s="29" t="s">
        <v>8</v>
      </c>
      <c r="D4" s="30" t="s">
        <v>258</v>
      </c>
      <c r="E4" s="31" t="s">
        <v>0</v>
      </c>
      <c r="F4" s="32" t="s">
        <v>4</v>
      </c>
      <c r="G4" s="33" t="s">
        <v>5</v>
      </c>
      <c r="H4" s="34" t="s">
        <v>6</v>
      </c>
      <c r="I4" s="32" t="s">
        <v>198</v>
      </c>
      <c r="J4" s="12"/>
    </row>
    <row r="5" spans="1:10" ht="10.5" x14ac:dyDescent="0.25">
      <c r="B5" s="35" t="s">
        <v>251</v>
      </c>
      <c r="C5" s="36"/>
      <c r="D5" s="36"/>
      <c r="E5" s="37"/>
      <c r="F5" s="38"/>
      <c r="G5" s="39"/>
      <c r="H5" s="40"/>
      <c r="I5" s="36"/>
    </row>
    <row r="6" spans="1:10" x14ac:dyDescent="0.2">
      <c r="B6" s="36" t="s">
        <v>383</v>
      </c>
      <c r="C6" s="36" t="s">
        <v>384</v>
      </c>
      <c r="D6" s="36" t="s">
        <v>254</v>
      </c>
      <c r="E6" s="41">
        <v>2016100</v>
      </c>
      <c r="F6" s="38">
        <v>1944.2220027999999</v>
      </c>
      <c r="G6" s="39">
        <v>65.609619095184001</v>
      </c>
      <c r="H6" s="42">
        <v>7.1271787753124899E-2</v>
      </c>
      <c r="I6" s="73"/>
    </row>
    <row r="7" spans="1:10" x14ac:dyDescent="0.2">
      <c r="B7" s="36" t="s">
        <v>385</v>
      </c>
      <c r="C7" s="36" t="s">
        <v>386</v>
      </c>
      <c r="D7" s="36" t="s">
        <v>254</v>
      </c>
      <c r="E7" s="41">
        <v>775000</v>
      </c>
      <c r="F7" s="38">
        <v>746.78845000000001</v>
      </c>
      <c r="G7" s="39">
        <v>25.201085924662799</v>
      </c>
      <c r="H7" s="42">
        <v>6.9998938028124902E-2</v>
      </c>
      <c r="I7" s="73"/>
    </row>
    <row r="8" spans="1:10" x14ac:dyDescent="0.2">
      <c r="B8" s="36" t="s">
        <v>387</v>
      </c>
      <c r="C8" s="36" t="s">
        <v>388</v>
      </c>
      <c r="D8" s="36" t="s">
        <v>254</v>
      </c>
      <c r="E8" s="41">
        <v>245000</v>
      </c>
      <c r="F8" s="38">
        <v>244.36398</v>
      </c>
      <c r="G8" s="39">
        <v>8.2462947262676405</v>
      </c>
      <c r="H8" s="42">
        <v>7.0974772320500104E-2</v>
      </c>
      <c r="I8" s="73"/>
    </row>
    <row r="9" spans="1:10" ht="10.5" x14ac:dyDescent="0.25">
      <c r="B9" s="35" t="s">
        <v>183</v>
      </c>
      <c r="C9" s="35"/>
      <c r="D9" s="35"/>
      <c r="E9" s="43"/>
      <c r="F9" s="44">
        <f>SUM(F6:F8)</f>
        <v>2935.3744328000002</v>
      </c>
      <c r="G9" s="45">
        <f>SUM(G6:G8)</f>
        <v>99.056999746114442</v>
      </c>
      <c r="H9" s="46"/>
      <c r="I9" s="35"/>
    </row>
    <row r="10" spans="1:10" ht="10.5" x14ac:dyDescent="0.25">
      <c r="B10" s="35"/>
      <c r="C10" s="36"/>
      <c r="D10" s="36"/>
      <c r="E10" s="37"/>
      <c r="F10" s="38"/>
      <c r="G10" s="39"/>
      <c r="H10" s="40"/>
      <c r="I10" s="36"/>
    </row>
    <row r="11" spans="1:10" ht="10.5" x14ac:dyDescent="0.25">
      <c r="B11" s="35" t="s">
        <v>184</v>
      </c>
      <c r="C11" s="35"/>
      <c r="D11" s="35"/>
      <c r="E11" s="43"/>
      <c r="F11" s="44">
        <v>14.282356099999999</v>
      </c>
      <c r="G11" s="45">
        <v>0.48197167923892298</v>
      </c>
      <c r="H11" s="42">
        <v>5.3499999999999999E-2</v>
      </c>
      <c r="I11" s="42"/>
    </row>
    <row r="12" spans="1:10" x14ac:dyDescent="0.2">
      <c r="B12" s="36"/>
      <c r="C12" s="36"/>
      <c r="D12" s="36"/>
      <c r="E12" s="37"/>
      <c r="F12" s="38"/>
      <c r="G12" s="39"/>
      <c r="H12" s="40"/>
      <c r="I12" s="36"/>
    </row>
    <row r="13" spans="1:10" ht="10.5" x14ac:dyDescent="0.25">
      <c r="B13" s="61" t="s">
        <v>187</v>
      </c>
      <c r="C13" s="61"/>
      <c r="D13" s="61"/>
      <c r="E13" s="62"/>
      <c r="F13" s="44">
        <f>F14-(F9+F11)</f>
        <v>13.661745199999586</v>
      </c>
      <c r="G13" s="45">
        <f>G14-(G9+G11)</f>
        <v>0.46102857464663316</v>
      </c>
      <c r="H13" s="46"/>
      <c r="I13" s="35"/>
    </row>
    <row r="14" spans="1:10" ht="10.5" x14ac:dyDescent="0.25">
      <c r="B14" s="55" t="s">
        <v>185</v>
      </c>
      <c r="C14" s="55"/>
      <c r="D14" s="55"/>
      <c r="E14" s="56"/>
      <c r="F14" s="57">
        <v>2963.3185340999999</v>
      </c>
      <c r="G14" s="58">
        <v>100</v>
      </c>
      <c r="H14" s="59"/>
      <c r="I14" s="60"/>
    </row>
    <row r="16" spans="1:10" ht="40" customHeight="1" x14ac:dyDescent="0.2">
      <c r="B16" s="187" t="s">
        <v>260</v>
      </c>
      <c r="C16" s="187"/>
      <c r="D16" s="187"/>
      <c r="E16" s="187"/>
      <c r="F16" s="187"/>
      <c r="G16" s="187"/>
      <c r="H16" s="187"/>
      <c r="I16" s="187"/>
    </row>
    <row r="17" spans="2:9" ht="15.5" customHeight="1" x14ac:dyDescent="0.2">
      <c r="B17" s="166"/>
      <c r="C17" s="166"/>
      <c r="D17" s="166"/>
      <c r="E17" s="166"/>
      <c r="F17" s="166"/>
      <c r="G17" s="166"/>
      <c r="H17" s="166"/>
      <c r="I17" s="166"/>
    </row>
    <row r="18" spans="2:9" ht="10.5" x14ac:dyDescent="0.2">
      <c r="B18" s="188" t="s">
        <v>1588</v>
      </c>
      <c r="C18" s="188"/>
      <c r="D18" s="188"/>
      <c r="E18" s="188"/>
      <c r="F18" s="188"/>
      <c r="G18" s="188"/>
      <c r="H18" s="188"/>
      <c r="I18" s="188"/>
    </row>
    <row r="19" spans="2:9" ht="10.5" x14ac:dyDescent="0.2">
      <c r="B19" s="167"/>
      <c r="C19" s="167"/>
      <c r="D19" s="167"/>
      <c r="E19" s="167"/>
      <c r="F19" s="167"/>
      <c r="G19" s="167"/>
      <c r="H19" s="167"/>
      <c r="I19" s="167"/>
    </row>
    <row r="20" spans="2:9" ht="10.5" x14ac:dyDescent="0.2">
      <c r="B20" s="90" t="s">
        <v>196</v>
      </c>
    </row>
    <row r="21" spans="2:9" ht="10.5" x14ac:dyDescent="0.2">
      <c r="B21" s="90"/>
    </row>
    <row r="22" spans="2:9" x14ac:dyDescent="0.2">
      <c r="B22" s="94" t="s">
        <v>1508</v>
      </c>
      <c r="E22" s="8"/>
    </row>
    <row r="23" spans="2:9" x14ac:dyDescent="0.2">
      <c r="B23" s="94" t="s">
        <v>1509</v>
      </c>
      <c r="E23" s="8"/>
    </row>
    <row r="24" spans="2:9" ht="10.5" x14ac:dyDescent="0.2">
      <c r="B24" s="90"/>
      <c r="E24" s="8"/>
    </row>
    <row r="25" spans="2:9" ht="21" x14ac:dyDescent="0.2">
      <c r="B25" s="100" t="s">
        <v>1510</v>
      </c>
      <c r="C25" s="105" t="s">
        <v>1511</v>
      </c>
      <c r="D25" s="105" t="s">
        <v>1563</v>
      </c>
      <c r="E25" s="8"/>
    </row>
    <row r="26" spans="2:9" x14ac:dyDescent="0.2">
      <c r="B26" s="97" t="s">
        <v>1512</v>
      </c>
      <c r="C26" s="101">
        <v>10.1197</v>
      </c>
      <c r="D26" s="101">
        <v>10.1945</v>
      </c>
      <c r="E26" s="8"/>
    </row>
    <row r="27" spans="2:9" ht="10.5" x14ac:dyDescent="0.2">
      <c r="B27" s="90"/>
      <c r="E27" s="8"/>
    </row>
    <row r="28" spans="2:9" x14ac:dyDescent="0.2">
      <c r="B28" s="94" t="s">
        <v>1572</v>
      </c>
      <c r="E28" s="8"/>
    </row>
    <row r="29" spans="2:9" x14ac:dyDescent="0.2">
      <c r="B29" s="94" t="s">
        <v>1564</v>
      </c>
      <c r="E29" s="8"/>
    </row>
    <row r="30" spans="2:9" x14ac:dyDescent="0.2">
      <c r="B30" s="94" t="s">
        <v>1565</v>
      </c>
      <c r="E30" s="8"/>
    </row>
    <row r="31" spans="2:9" x14ac:dyDescent="0.2">
      <c r="B31" s="99" t="s">
        <v>1570</v>
      </c>
      <c r="E31" s="8"/>
    </row>
    <row r="32" spans="2:9" x14ac:dyDescent="0.2">
      <c r="B32" s="94" t="s">
        <v>1567</v>
      </c>
      <c r="E32" s="8"/>
    </row>
    <row r="33" spans="2:9" ht="10.5" x14ac:dyDescent="0.25">
      <c r="B33" s="26"/>
    </row>
    <row r="34" spans="2:9" ht="10.5" x14ac:dyDescent="0.25">
      <c r="B34" s="26" t="s">
        <v>197</v>
      </c>
      <c r="E34" s="8"/>
      <c r="G34" s="87"/>
      <c r="I34" s="14"/>
    </row>
    <row r="35" spans="2:9" x14ac:dyDescent="0.2">
      <c r="E35" s="8"/>
      <c r="G35" s="87"/>
      <c r="I35" s="14"/>
    </row>
    <row r="36" spans="2:9" x14ac:dyDescent="0.2">
      <c r="E36" s="8"/>
      <c r="G36" s="87"/>
      <c r="I36" s="14"/>
    </row>
    <row r="37" spans="2:9" x14ac:dyDescent="0.2">
      <c r="E37" s="8"/>
      <c r="G37" s="87"/>
      <c r="I37" s="14"/>
    </row>
    <row r="38" spans="2:9" x14ac:dyDescent="0.2">
      <c r="E38" s="8"/>
      <c r="G38" s="87"/>
      <c r="I38" s="14"/>
    </row>
    <row r="39" spans="2:9" x14ac:dyDescent="0.2">
      <c r="E39" s="8"/>
      <c r="G39" s="87"/>
      <c r="I39" s="14"/>
    </row>
    <row r="40" spans="2:9" x14ac:dyDescent="0.2">
      <c r="E40" s="8"/>
      <c r="G40" s="87"/>
      <c r="I40" s="14"/>
    </row>
    <row r="41" spans="2:9" x14ac:dyDescent="0.2">
      <c r="E41" s="8"/>
      <c r="G41" s="87"/>
      <c r="I41" s="14"/>
    </row>
    <row r="42" spans="2:9" x14ac:dyDescent="0.2">
      <c r="E42" s="8"/>
      <c r="G42" s="87"/>
      <c r="I42" s="14"/>
    </row>
    <row r="43" spans="2:9" x14ac:dyDescent="0.2">
      <c r="E43" s="8"/>
      <c r="G43" s="87"/>
      <c r="I43" s="14"/>
    </row>
    <row r="44" spans="2:9" x14ac:dyDescent="0.2">
      <c r="E44" s="8"/>
      <c r="G44" s="87"/>
      <c r="I44" s="14"/>
    </row>
    <row r="45" spans="2:9" x14ac:dyDescent="0.2">
      <c r="E45" s="8"/>
      <c r="G45" s="87"/>
      <c r="I45" s="14"/>
    </row>
    <row r="46" spans="2:9" x14ac:dyDescent="0.2">
      <c r="E46" s="8"/>
      <c r="G46" s="87"/>
      <c r="I46" s="14"/>
    </row>
    <row r="47" spans="2:9" x14ac:dyDescent="0.2">
      <c r="E47" s="8"/>
      <c r="G47" s="87"/>
      <c r="I47" s="14"/>
    </row>
    <row r="48" spans="2:9" x14ac:dyDescent="0.2">
      <c r="E48" s="8"/>
      <c r="G48" s="87"/>
      <c r="I48" s="14"/>
    </row>
    <row r="49" spans="2:9" x14ac:dyDescent="0.2">
      <c r="E49" s="8"/>
      <c r="G49" s="87"/>
      <c r="I49" s="14"/>
    </row>
    <row r="50" spans="2:9" x14ac:dyDescent="0.2">
      <c r="E50" s="8"/>
      <c r="G50" s="87"/>
      <c r="I50" s="14"/>
    </row>
    <row r="51" spans="2:9" x14ac:dyDescent="0.2">
      <c r="E51" s="8"/>
      <c r="G51" s="87"/>
      <c r="I51" s="14"/>
    </row>
    <row r="52" spans="2:9" ht="10.5" x14ac:dyDescent="0.25">
      <c r="B52" s="26" t="s">
        <v>1478</v>
      </c>
      <c r="E52" s="8"/>
      <c r="G52" s="87"/>
      <c r="I52" s="14"/>
    </row>
    <row r="53" spans="2:9" ht="10.5" x14ac:dyDescent="0.25">
      <c r="B53" s="26" t="s">
        <v>1484</v>
      </c>
      <c r="E53" s="8"/>
      <c r="G53" s="87"/>
      <c r="I53" s="14"/>
    </row>
    <row r="54" spans="2:9" x14ac:dyDescent="0.2">
      <c r="E54" s="8"/>
      <c r="G54" s="87"/>
      <c r="I54" s="14"/>
    </row>
    <row r="55" spans="2:9" x14ac:dyDescent="0.2">
      <c r="E55" s="8"/>
      <c r="G55" s="87"/>
      <c r="I55" s="14"/>
    </row>
    <row r="56" spans="2:9" x14ac:dyDescent="0.2">
      <c r="E56" s="8"/>
      <c r="G56" s="87"/>
      <c r="I56" s="14"/>
    </row>
    <row r="57" spans="2:9" x14ac:dyDescent="0.2">
      <c r="E57" s="8"/>
      <c r="G57" s="87"/>
      <c r="I57" s="14"/>
    </row>
    <row r="58" spans="2:9" x14ac:dyDescent="0.2">
      <c r="E58" s="8"/>
      <c r="G58" s="87"/>
      <c r="I58" s="14"/>
    </row>
    <row r="59" spans="2:9" x14ac:dyDescent="0.2">
      <c r="E59" s="8"/>
      <c r="G59" s="87"/>
      <c r="I59" s="14"/>
    </row>
    <row r="60" spans="2:9" x14ac:dyDescent="0.2">
      <c r="E60" s="8"/>
      <c r="G60" s="87"/>
      <c r="I60" s="14"/>
    </row>
    <row r="61" spans="2:9" x14ac:dyDescent="0.2">
      <c r="E61" s="8"/>
      <c r="G61" s="87"/>
      <c r="I61" s="14"/>
    </row>
    <row r="62" spans="2:9" x14ac:dyDescent="0.2">
      <c r="E62" s="8"/>
      <c r="G62" s="87"/>
      <c r="I62" s="14"/>
    </row>
    <row r="63" spans="2:9" x14ac:dyDescent="0.2">
      <c r="E63" s="8"/>
      <c r="G63" s="87"/>
      <c r="I63" s="14"/>
    </row>
    <row r="64" spans="2:9" x14ac:dyDescent="0.2">
      <c r="E64" s="8"/>
      <c r="G64" s="87"/>
      <c r="I64" s="14"/>
    </row>
    <row r="65" spans="5:9" x14ac:dyDescent="0.2">
      <c r="E65" s="8"/>
      <c r="G65" s="87"/>
      <c r="I65" s="14"/>
    </row>
    <row r="66" spans="5:9" x14ac:dyDescent="0.2">
      <c r="E66" s="8"/>
      <c r="G66" s="87"/>
      <c r="I66" s="14"/>
    </row>
    <row r="67" spans="5:9" x14ac:dyDescent="0.2">
      <c r="E67" s="8"/>
      <c r="G67" s="87"/>
      <c r="I67" s="14"/>
    </row>
    <row r="68" spans="5:9" x14ac:dyDescent="0.2">
      <c r="E68" s="8"/>
      <c r="G68" s="87"/>
      <c r="I68" s="14"/>
    </row>
    <row r="69" spans="5:9" x14ac:dyDescent="0.2">
      <c r="E69" s="8"/>
      <c r="G69" s="87"/>
      <c r="I69" s="14"/>
    </row>
    <row r="70" spans="5:9" x14ac:dyDescent="0.2">
      <c r="E70" s="8"/>
      <c r="G70" s="87"/>
      <c r="I70" s="14"/>
    </row>
    <row r="71" spans="5:9" x14ac:dyDescent="0.2">
      <c r="E71" s="8"/>
      <c r="G71" s="87"/>
      <c r="I71" s="14"/>
    </row>
    <row r="72" spans="5:9" x14ac:dyDescent="0.2">
      <c r="E72" s="8"/>
      <c r="G72" s="87"/>
      <c r="I72" s="14"/>
    </row>
    <row r="73" spans="5:9" x14ac:dyDescent="0.2">
      <c r="E73" s="8"/>
      <c r="G73" s="87"/>
      <c r="I73" s="14"/>
    </row>
    <row r="74" spans="5:9" x14ac:dyDescent="0.2">
      <c r="E74" s="8"/>
      <c r="G74" s="87"/>
      <c r="I74" s="14"/>
    </row>
    <row r="75" spans="5:9" x14ac:dyDescent="0.2">
      <c r="E75" s="8"/>
      <c r="G75" s="87"/>
      <c r="I75" s="14"/>
    </row>
    <row r="76" spans="5:9" x14ac:dyDescent="0.2">
      <c r="E76" s="8"/>
      <c r="G76" s="87"/>
      <c r="I76" s="14"/>
    </row>
    <row r="77" spans="5:9" x14ac:dyDescent="0.2">
      <c r="E77" s="8"/>
      <c r="G77" s="87"/>
      <c r="I77" s="14"/>
    </row>
    <row r="78" spans="5:9" x14ac:dyDescent="0.2">
      <c r="E78" s="8"/>
      <c r="G78" s="87"/>
      <c r="I78" s="14"/>
    </row>
    <row r="79" spans="5:9" x14ac:dyDescent="0.2">
      <c r="E79" s="8"/>
      <c r="G79" s="87"/>
      <c r="I79" s="14"/>
    </row>
    <row r="80" spans="5:9" x14ac:dyDescent="0.2">
      <c r="E80" s="8"/>
      <c r="G80" s="87"/>
      <c r="I80" s="14"/>
    </row>
    <row r="81" spans="5:9" x14ac:dyDescent="0.2">
      <c r="E81" s="8"/>
      <c r="G81" s="87"/>
      <c r="I81" s="14"/>
    </row>
    <row r="82" spans="5:9" x14ac:dyDescent="0.2">
      <c r="E82" s="8"/>
      <c r="G82" s="87"/>
      <c r="I82" s="14"/>
    </row>
    <row r="83" spans="5:9" x14ac:dyDescent="0.2">
      <c r="E83" s="8"/>
      <c r="G83" s="87"/>
      <c r="I83" s="14"/>
    </row>
  </sheetData>
  <mergeCells count="3">
    <mergeCell ref="B1:C1"/>
    <mergeCell ref="B16:I16"/>
    <mergeCell ref="B18:I18"/>
  </mergeCells>
  <conditionalFormatting sqref="G1:G3 G5:G15 G20:G72">
    <cfRule type="cellIs" dxfId="12" priority="2" stopIfTrue="1" operator="between">
      <formula>0.009</formula>
      <formula>-0.009</formula>
    </cfRule>
  </conditionalFormatting>
  <hyperlinks>
    <hyperlink ref="A2" location="Index!A1" display="-" xr:uid="{DC22D69A-8839-46F1-9A68-9F01DC7EFBDB}"/>
  </hyperlinks>
  <pageMargins left="0.7" right="0.7" top="0.75" bottom="0.75" header="0.3" footer="0.3"/>
  <pageSetup paperSize="9" scale="6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552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82B6-6851-4280-BEA0-F25731C8D6D5}">
  <dimension ref="A1:J116"/>
  <sheetViews>
    <sheetView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52.7265625" style="8" bestFit="1" customWidth="1"/>
    <col min="3" max="3" width="15.54296875" style="8" bestFit="1" customWidth="1"/>
    <col min="4" max="4" width="13.90625" style="8" bestFit="1" customWidth="1"/>
    <col min="5" max="5" width="13.90625" style="9" bestFit="1" customWidth="1"/>
    <col min="6" max="6" width="12.7265625" style="11" bestFit="1" customWidth="1"/>
    <col min="7" max="7" width="6.7265625" style="18" bestFit="1" customWidth="1"/>
    <col min="8" max="8" width="11.81640625" style="14" bestFit="1" customWidth="1"/>
    <col min="9" max="9" width="10.08984375" style="8" bestFit="1" customWidth="1"/>
    <col min="10" max="16384" width="9.08984375" style="8"/>
  </cols>
  <sheetData>
    <row r="1" spans="1:10" s="1" customFormat="1" ht="16.75" customHeight="1" x14ac:dyDescent="0.35">
      <c r="B1" s="185" t="s">
        <v>15</v>
      </c>
      <c r="C1" s="186"/>
      <c r="D1" s="13"/>
      <c r="E1" s="6"/>
      <c r="F1" s="7"/>
      <c r="G1" s="18"/>
      <c r="H1" s="15"/>
    </row>
    <row r="2" spans="1:10" s="1" customFormat="1" ht="14.5" x14ac:dyDescent="0.35">
      <c r="A2" s="85" t="s">
        <v>1494</v>
      </c>
      <c r="E2" s="6"/>
      <c r="F2" s="7"/>
      <c r="G2" s="18"/>
      <c r="H2" s="15"/>
    </row>
    <row r="3" spans="1:10" s="1" customFormat="1" ht="11.5" x14ac:dyDescent="0.25">
      <c r="B3" s="10" t="s">
        <v>9</v>
      </c>
      <c r="C3" s="2"/>
      <c r="D3" s="3"/>
      <c r="E3" s="4"/>
      <c r="F3" s="5"/>
      <c r="G3" s="18"/>
      <c r="H3" s="15"/>
    </row>
    <row r="4" spans="1:10" s="1" customFormat="1" ht="25.5" customHeight="1" x14ac:dyDescent="0.25">
      <c r="B4" s="29" t="s">
        <v>7</v>
      </c>
      <c r="C4" s="29" t="s">
        <v>8</v>
      </c>
      <c r="D4" s="30" t="s">
        <v>258</v>
      </c>
      <c r="E4" s="31" t="s">
        <v>0</v>
      </c>
      <c r="F4" s="32" t="s">
        <v>4</v>
      </c>
      <c r="G4" s="33" t="s">
        <v>5</v>
      </c>
      <c r="H4" s="34" t="s">
        <v>6</v>
      </c>
      <c r="I4" s="32" t="s">
        <v>198</v>
      </c>
      <c r="J4" s="12"/>
    </row>
    <row r="5" spans="1:10" ht="10.5" x14ac:dyDescent="0.25">
      <c r="B5" s="35" t="s">
        <v>389</v>
      </c>
      <c r="C5" s="36"/>
      <c r="D5" s="36"/>
      <c r="E5" s="37"/>
      <c r="F5" s="38"/>
      <c r="G5" s="39"/>
      <c r="H5" s="40"/>
      <c r="I5" s="36"/>
    </row>
    <row r="6" spans="1:10" ht="10.5" x14ac:dyDescent="0.25">
      <c r="B6" s="35" t="s">
        <v>25</v>
      </c>
      <c r="C6" s="36"/>
      <c r="D6" s="36"/>
      <c r="E6" s="37"/>
      <c r="F6" s="38"/>
      <c r="G6" s="39"/>
      <c r="H6" s="40"/>
      <c r="I6" s="36"/>
    </row>
    <row r="7" spans="1:10" x14ac:dyDescent="0.2">
      <c r="B7" s="36" t="s">
        <v>390</v>
      </c>
      <c r="C7" s="36" t="s">
        <v>391</v>
      </c>
      <c r="D7" s="36" t="s">
        <v>392</v>
      </c>
      <c r="E7" s="41">
        <v>500</v>
      </c>
      <c r="F7" s="38">
        <v>4985.41</v>
      </c>
      <c r="G7" s="39">
        <v>7.26840528553294</v>
      </c>
      <c r="H7" s="42">
        <v>8.1281999999999993E-2</v>
      </c>
      <c r="I7" s="73"/>
    </row>
    <row r="8" spans="1:10" x14ac:dyDescent="0.2">
      <c r="B8" s="36" t="s">
        <v>393</v>
      </c>
      <c r="C8" s="36" t="s">
        <v>394</v>
      </c>
      <c r="D8" s="36" t="s">
        <v>392</v>
      </c>
      <c r="E8" s="41">
        <v>5000</v>
      </c>
      <c r="F8" s="38">
        <v>4951.66</v>
      </c>
      <c r="G8" s="39">
        <v>7.2191999687411998</v>
      </c>
      <c r="H8" s="42">
        <v>8.0149999999999999E-2</v>
      </c>
      <c r="I8" s="73"/>
    </row>
    <row r="9" spans="1:10" x14ac:dyDescent="0.2">
      <c r="B9" s="36" t="s">
        <v>395</v>
      </c>
      <c r="C9" s="36" t="s">
        <v>396</v>
      </c>
      <c r="D9" s="36" t="s">
        <v>392</v>
      </c>
      <c r="E9" s="41">
        <v>250</v>
      </c>
      <c r="F9" s="38">
        <v>2548.5925000000002</v>
      </c>
      <c r="G9" s="39">
        <v>3.7156830025353198</v>
      </c>
      <c r="H9" s="42">
        <v>7.7499999999999999E-2</v>
      </c>
      <c r="I9" s="73"/>
    </row>
    <row r="10" spans="1:10" x14ac:dyDescent="0.2">
      <c r="B10" s="36" t="s">
        <v>397</v>
      </c>
      <c r="C10" s="36" t="s">
        <v>398</v>
      </c>
      <c r="D10" s="36" t="s">
        <v>392</v>
      </c>
      <c r="E10" s="41">
        <v>2500</v>
      </c>
      <c r="F10" s="38">
        <v>2500.9274999999998</v>
      </c>
      <c r="G10" s="39">
        <v>3.6461905158722501</v>
      </c>
      <c r="H10" s="42">
        <v>8.0649999999999999E-2</v>
      </c>
      <c r="I10" s="73"/>
    </row>
    <row r="11" spans="1:10" x14ac:dyDescent="0.2">
      <c r="B11" s="36" t="s">
        <v>399</v>
      </c>
      <c r="C11" s="36" t="s">
        <v>400</v>
      </c>
      <c r="D11" s="36" t="s">
        <v>392</v>
      </c>
      <c r="E11" s="41">
        <v>2500</v>
      </c>
      <c r="F11" s="38">
        <v>2466.1125000000002</v>
      </c>
      <c r="G11" s="39">
        <v>3.59543249797286</v>
      </c>
      <c r="H11" s="42">
        <v>8.1000000000000003E-2</v>
      </c>
      <c r="I11" s="73"/>
    </row>
    <row r="12" spans="1:10" ht="10.5" x14ac:dyDescent="0.25">
      <c r="B12" s="35" t="s">
        <v>180</v>
      </c>
      <c r="C12" s="35"/>
      <c r="D12" s="35"/>
      <c r="E12" s="43"/>
      <c r="F12" s="74">
        <f>SUM(F6:F11)</f>
        <v>17452.702499999999</v>
      </c>
      <c r="G12" s="75">
        <f>SUM(G6:G11)</f>
        <v>25.444911270654565</v>
      </c>
      <c r="H12" s="46"/>
      <c r="I12" s="35"/>
    </row>
    <row r="13" spans="1:10" ht="10.5" x14ac:dyDescent="0.25">
      <c r="B13" s="51" t="s">
        <v>401</v>
      </c>
      <c r="C13" s="76"/>
      <c r="D13" s="76"/>
      <c r="E13" s="77"/>
      <c r="F13" s="78"/>
      <c r="G13" s="79"/>
      <c r="H13" s="40"/>
      <c r="I13" s="36"/>
    </row>
    <row r="14" spans="1:10" ht="10.5" x14ac:dyDescent="0.25">
      <c r="B14" s="35" t="s">
        <v>180</v>
      </c>
      <c r="C14" s="35"/>
      <c r="D14" s="35"/>
      <c r="E14" s="43"/>
      <c r="F14" s="49" t="s">
        <v>402</v>
      </c>
      <c r="G14" s="50" t="s">
        <v>402</v>
      </c>
      <c r="H14" s="46"/>
      <c r="I14" s="35"/>
    </row>
    <row r="15" spans="1:10" ht="10.5" x14ac:dyDescent="0.25">
      <c r="B15" s="51" t="s">
        <v>183</v>
      </c>
      <c r="C15" s="51"/>
      <c r="D15" s="51"/>
      <c r="E15" s="52"/>
      <c r="F15" s="80">
        <f>F12</f>
        <v>17452.702499999999</v>
      </c>
      <c r="G15" s="81">
        <f>G12</f>
        <v>25.444911270654565</v>
      </c>
      <c r="H15" s="46"/>
      <c r="I15" s="35"/>
    </row>
    <row r="16" spans="1:10" ht="10.5" x14ac:dyDescent="0.25">
      <c r="B16" s="35" t="s">
        <v>199</v>
      </c>
      <c r="C16" s="36"/>
      <c r="D16" s="36"/>
      <c r="E16" s="37"/>
      <c r="F16" s="38"/>
      <c r="G16" s="39"/>
      <c r="H16" s="40"/>
      <c r="I16" s="36"/>
    </row>
    <row r="17" spans="2:9" ht="10.5" x14ac:dyDescent="0.25">
      <c r="B17" s="35" t="s">
        <v>200</v>
      </c>
      <c r="C17" s="36"/>
      <c r="D17" s="36"/>
      <c r="E17" s="37"/>
      <c r="F17" s="38"/>
      <c r="G17" s="39"/>
      <c r="H17" s="40"/>
      <c r="I17" s="36"/>
    </row>
    <row r="18" spans="2:9" x14ac:dyDescent="0.2">
      <c r="B18" s="36" t="s">
        <v>242</v>
      </c>
      <c r="C18" s="36" t="s">
        <v>243</v>
      </c>
      <c r="D18" s="36" t="s">
        <v>209</v>
      </c>
      <c r="E18" s="41">
        <v>1500</v>
      </c>
      <c r="F18" s="38">
        <v>7071.1424999999999</v>
      </c>
      <c r="G18" s="39">
        <v>10.3092683493949</v>
      </c>
      <c r="H18" s="42">
        <v>7.85E-2</v>
      </c>
      <c r="I18" s="73"/>
    </row>
    <row r="19" spans="2:9" x14ac:dyDescent="0.2">
      <c r="B19" s="36" t="s">
        <v>403</v>
      </c>
      <c r="C19" s="36" t="s">
        <v>404</v>
      </c>
      <c r="D19" s="36" t="s">
        <v>209</v>
      </c>
      <c r="E19" s="41">
        <v>1000</v>
      </c>
      <c r="F19" s="38">
        <v>4722.1000000000004</v>
      </c>
      <c r="G19" s="39">
        <v>6.8845163384385799</v>
      </c>
      <c r="H19" s="42">
        <v>7.7828999999999995E-2</v>
      </c>
      <c r="I19" s="73"/>
    </row>
    <row r="20" spans="2:9" x14ac:dyDescent="0.2">
      <c r="B20" s="36" t="s">
        <v>405</v>
      </c>
      <c r="C20" s="36" t="s">
        <v>406</v>
      </c>
      <c r="D20" s="36" t="s">
        <v>206</v>
      </c>
      <c r="E20" s="41">
        <v>1000</v>
      </c>
      <c r="F20" s="38">
        <v>4714.95</v>
      </c>
      <c r="G20" s="39">
        <v>6.8740921009552904</v>
      </c>
      <c r="H20" s="42">
        <v>7.7700000000000005E-2</v>
      </c>
      <c r="I20" s="73"/>
    </row>
    <row r="21" spans="2:9" x14ac:dyDescent="0.2">
      <c r="B21" s="36" t="s">
        <v>240</v>
      </c>
      <c r="C21" s="36" t="s">
        <v>241</v>
      </c>
      <c r="D21" s="36" t="s">
        <v>209</v>
      </c>
      <c r="E21" s="41">
        <v>1000</v>
      </c>
      <c r="F21" s="38">
        <v>4711.32</v>
      </c>
      <c r="G21" s="39">
        <v>6.8687997957714702</v>
      </c>
      <c r="H21" s="42">
        <v>7.8750000000000001E-2</v>
      </c>
      <c r="I21" s="73"/>
    </row>
    <row r="22" spans="2:9" x14ac:dyDescent="0.2">
      <c r="B22" s="36" t="s">
        <v>317</v>
      </c>
      <c r="C22" s="36" t="s">
        <v>318</v>
      </c>
      <c r="D22" s="36" t="s">
        <v>209</v>
      </c>
      <c r="E22" s="41">
        <v>500</v>
      </c>
      <c r="F22" s="38">
        <v>2465.6475</v>
      </c>
      <c r="G22" s="39">
        <v>3.5947545580526099</v>
      </c>
      <c r="H22" s="42">
        <v>7.2650000000000006E-2</v>
      </c>
      <c r="I22" s="73"/>
    </row>
    <row r="23" spans="2:9" x14ac:dyDescent="0.2">
      <c r="B23" s="36" t="s">
        <v>407</v>
      </c>
      <c r="C23" s="36" t="s">
        <v>408</v>
      </c>
      <c r="D23" s="36" t="s">
        <v>209</v>
      </c>
      <c r="E23" s="41">
        <v>500</v>
      </c>
      <c r="F23" s="38">
        <v>2398.65</v>
      </c>
      <c r="G23" s="39">
        <v>3.4970765369635801</v>
      </c>
      <c r="H23" s="42">
        <v>7.7498999999999998E-2</v>
      </c>
      <c r="I23" s="73"/>
    </row>
    <row r="24" spans="2:9" x14ac:dyDescent="0.2">
      <c r="B24" s="36" t="s">
        <v>409</v>
      </c>
      <c r="C24" s="36" t="s">
        <v>410</v>
      </c>
      <c r="D24" s="36" t="s">
        <v>209</v>
      </c>
      <c r="E24" s="41">
        <v>500</v>
      </c>
      <c r="F24" s="38">
        <v>2374.8249999999998</v>
      </c>
      <c r="G24" s="39">
        <v>3.4623412281468902</v>
      </c>
      <c r="H24" s="42">
        <v>7.9499E-2</v>
      </c>
      <c r="I24" s="73"/>
    </row>
    <row r="25" spans="2:9" x14ac:dyDescent="0.2">
      <c r="B25" s="36" t="s">
        <v>411</v>
      </c>
      <c r="C25" s="36" t="s">
        <v>412</v>
      </c>
      <c r="D25" s="36" t="s">
        <v>203</v>
      </c>
      <c r="E25" s="41">
        <v>500</v>
      </c>
      <c r="F25" s="38">
        <v>2362.7725</v>
      </c>
      <c r="G25" s="39">
        <v>3.44476946279481</v>
      </c>
      <c r="H25" s="42">
        <v>7.9100000000000004E-2</v>
      </c>
      <c r="I25" s="73"/>
    </row>
    <row r="26" spans="2:9" x14ac:dyDescent="0.2">
      <c r="B26" s="36" t="s">
        <v>207</v>
      </c>
      <c r="C26" s="36" t="s">
        <v>208</v>
      </c>
      <c r="D26" s="36" t="s">
        <v>209</v>
      </c>
      <c r="E26" s="41">
        <v>500</v>
      </c>
      <c r="F26" s="38">
        <v>2360.4549999999999</v>
      </c>
      <c r="G26" s="39">
        <v>3.4413906977084499</v>
      </c>
      <c r="H26" s="42">
        <v>7.7899999999999997E-2</v>
      </c>
      <c r="I26" s="73"/>
    </row>
    <row r="27" spans="2:9" x14ac:dyDescent="0.2">
      <c r="B27" s="36" t="s">
        <v>218</v>
      </c>
      <c r="C27" s="36" t="s">
        <v>219</v>
      </c>
      <c r="D27" s="36" t="s">
        <v>209</v>
      </c>
      <c r="E27" s="41">
        <v>500</v>
      </c>
      <c r="F27" s="38">
        <v>2358.5524999999998</v>
      </c>
      <c r="G27" s="39">
        <v>3.4386169757767</v>
      </c>
      <c r="H27" s="42">
        <v>7.7899999999999997E-2</v>
      </c>
      <c r="I27" s="73"/>
    </row>
    <row r="28" spans="2:9" x14ac:dyDescent="0.2">
      <c r="B28" s="36" t="s">
        <v>230</v>
      </c>
      <c r="C28" s="36" t="s">
        <v>231</v>
      </c>
      <c r="D28" s="36" t="s">
        <v>206</v>
      </c>
      <c r="E28" s="41">
        <v>500</v>
      </c>
      <c r="F28" s="38">
        <v>2357.4924999999998</v>
      </c>
      <c r="G28" s="39">
        <v>3.4370715643456098</v>
      </c>
      <c r="H28" s="42">
        <v>7.7965000000000007E-2</v>
      </c>
      <c r="I28" s="73"/>
    </row>
    <row r="29" spans="2:9" ht="10.5" x14ac:dyDescent="0.25">
      <c r="B29" s="35" t="s">
        <v>180</v>
      </c>
      <c r="C29" s="35"/>
      <c r="D29" s="35"/>
      <c r="E29" s="43"/>
      <c r="F29" s="44">
        <f>SUM(F17:F28)</f>
        <v>37897.907500000001</v>
      </c>
      <c r="G29" s="45">
        <f>SUM(G17:G28)</f>
        <v>55.252697608348889</v>
      </c>
      <c r="H29" s="46"/>
      <c r="I29" s="35"/>
    </row>
    <row r="30" spans="2:9" ht="10.5" x14ac:dyDescent="0.25">
      <c r="B30" s="35" t="s">
        <v>244</v>
      </c>
      <c r="C30" s="36"/>
      <c r="D30" s="36"/>
      <c r="E30" s="37"/>
      <c r="F30" s="38"/>
      <c r="G30" s="39"/>
      <c r="H30" s="40"/>
      <c r="I30" s="36"/>
    </row>
    <row r="31" spans="2:9" x14ac:dyDescent="0.2">
      <c r="B31" s="36" t="s">
        <v>413</v>
      </c>
      <c r="C31" s="36" t="s">
        <v>414</v>
      </c>
      <c r="D31" s="36" t="s">
        <v>209</v>
      </c>
      <c r="E31" s="41">
        <v>500</v>
      </c>
      <c r="F31" s="38">
        <v>2350.6624999999999</v>
      </c>
      <c r="G31" s="39">
        <v>3.42711386616228</v>
      </c>
      <c r="H31" s="42">
        <v>8.165E-2</v>
      </c>
      <c r="I31" s="73"/>
    </row>
    <row r="32" spans="2:9" ht="10.5" x14ac:dyDescent="0.25">
      <c r="B32" s="35" t="s">
        <v>180</v>
      </c>
      <c r="C32" s="35"/>
      <c r="D32" s="35"/>
      <c r="E32" s="43"/>
      <c r="F32" s="44">
        <f>SUM(F30:F31)</f>
        <v>2350.6624999999999</v>
      </c>
      <c r="G32" s="45">
        <f>SUM(G30:G31)</f>
        <v>3.42711386616228</v>
      </c>
      <c r="H32" s="46"/>
      <c r="I32" s="35"/>
    </row>
    <row r="33" spans="2:9" ht="10.5" x14ac:dyDescent="0.25">
      <c r="B33" s="35" t="s">
        <v>261</v>
      </c>
      <c r="C33" s="36"/>
      <c r="D33" s="36"/>
      <c r="E33" s="37"/>
      <c r="F33" s="38"/>
      <c r="G33" s="39"/>
      <c r="H33" s="40"/>
      <c r="I33" s="36"/>
    </row>
    <row r="34" spans="2:9" x14ac:dyDescent="0.2">
      <c r="B34" s="36" t="s">
        <v>415</v>
      </c>
      <c r="C34" s="36" t="s">
        <v>416</v>
      </c>
      <c r="D34" s="36" t="s">
        <v>264</v>
      </c>
      <c r="E34" s="41">
        <v>3000000</v>
      </c>
      <c r="F34" s="38">
        <v>2979.4229999999998</v>
      </c>
      <c r="G34" s="39">
        <v>4.3438060021218696</v>
      </c>
      <c r="H34" s="42">
        <v>5.4801000000000002E-2</v>
      </c>
      <c r="I34" s="73"/>
    </row>
    <row r="35" spans="2:9" x14ac:dyDescent="0.2">
      <c r="B35" s="36" t="s">
        <v>417</v>
      </c>
      <c r="C35" s="36" t="s">
        <v>418</v>
      </c>
      <c r="D35" s="36" t="s">
        <v>264</v>
      </c>
      <c r="E35" s="41">
        <v>2000000</v>
      </c>
      <c r="F35" s="38">
        <v>1990.8119999999999</v>
      </c>
      <c r="G35" s="39">
        <v>2.9024751150461898</v>
      </c>
      <c r="H35" s="42">
        <v>5.4345999999999998E-2</v>
      </c>
      <c r="I35" s="73"/>
    </row>
    <row r="36" spans="2:9" x14ac:dyDescent="0.2">
      <c r="B36" s="36" t="s">
        <v>419</v>
      </c>
      <c r="C36" s="36" t="s">
        <v>420</v>
      </c>
      <c r="D36" s="36" t="s">
        <v>264</v>
      </c>
      <c r="E36" s="41">
        <v>1500000</v>
      </c>
      <c r="F36" s="38">
        <v>1488.3585</v>
      </c>
      <c r="G36" s="39">
        <v>2.1699304145833298</v>
      </c>
      <c r="H36" s="42">
        <v>5.4901999999999999E-2</v>
      </c>
      <c r="I36" s="73"/>
    </row>
    <row r="37" spans="2:9" ht="10.5" x14ac:dyDescent="0.25">
      <c r="B37" s="35" t="s">
        <v>180</v>
      </c>
      <c r="C37" s="35"/>
      <c r="D37" s="35"/>
      <c r="E37" s="43"/>
      <c r="F37" s="74">
        <f>SUM(F33:F36)</f>
        <v>6458.5934999999999</v>
      </c>
      <c r="G37" s="75">
        <f>SUM(G33:G36)</f>
        <v>9.4162115317513901</v>
      </c>
      <c r="H37" s="46"/>
      <c r="I37" s="35"/>
    </row>
    <row r="38" spans="2:9" ht="10.5" x14ac:dyDescent="0.25">
      <c r="B38" s="51" t="s">
        <v>183</v>
      </c>
      <c r="C38" s="51"/>
      <c r="D38" s="51"/>
      <c r="E38" s="52"/>
      <c r="F38" s="53">
        <f>+F29+F32+F37</f>
        <v>46707.163500000002</v>
      </c>
      <c r="G38" s="54">
        <f>+G29+G32+G37</f>
        <v>68.096023006262556</v>
      </c>
      <c r="H38" s="46"/>
      <c r="I38" s="35"/>
    </row>
    <row r="39" spans="2:9" ht="10.5" x14ac:dyDescent="0.25">
      <c r="B39" s="35" t="s">
        <v>251</v>
      </c>
      <c r="C39" s="36"/>
      <c r="D39" s="36"/>
      <c r="E39" s="37"/>
      <c r="F39" s="38"/>
      <c r="G39" s="39"/>
      <c r="H39" s="40"/>
      <c r="I39" s="36"/>
    </row>
    <row r="40" spans="2:9" x14ac:dyDescent="0.2">
      <c r="B40" s="36" t="s">
        <v>421</v>
      </c>
      <c r="C40" s="36" t="s">
        <v>422</v>
      </c>
      <c r="D40" s="36" t="s">
        <v>254</v>
      </c>
      <c r="E40" s="41">
        <v>500000</v>
      </c>
      <c r="F40" s="38">
        <v>504.12400000000002</v>
      </c>
      <c r="G40" s="39">
        <v>0.73498018140213295</v>
      </c>
      <c r="H40" s="42">
        <v>5.79485E-2</v>
      </c>
      <c r="I40" s="73"/>
    </row>
    <row r="41" spans="2:9" x14ac:dyDescent="0.2">
      <c r="B41" s="36" t="s">
        <v>423</v>
      </c>
      <c r="C41" s="36" t="s">
        <v>424</v>
      </c>
      <c r="D41" s="36" t="s">
        <v>254</v>
      </c>
      <c r="E41" s="41">
        <v>500000</v>
      </c>
      <c r="F41" s="38">
        <v>501.62</v>
      </c>
      <c r="G41" s="39">
        <v>0.73132951138001401</v>
      </c>
      <c r="H41" s="42">
        <v>5.7451500000000003E-2</v>
      </c>
      <c r="I41" s="73"/>
    </row>
    <row r="42" spans="2:9" ht="10.5" x14ac:dyDescent="0.25">
      <c r="B42" s="35" t="s">
        <v>183</v>
      </c>
      <c r="C42" s="35"/>
      <c r="D42" s="35"/>
      <c r="E42" s="43"/>
      <c r="F42" s="44">
        <f>SUM(F40:F41)</f>
        <v>1005.744</v>
      </c>
      <c r="G42" s="45">
        <f>SUM(G40:G41)</f>
        <v>1.4663096927821471</v>
      </c>
      <c r="H42" s="46"/>
      <c r="I42" s="35"/>
    </row>
    <row r="43" spans="2:9" ht="10.5" x14ac:dyDescent="0.25">
      <c r="B43" s="35"/>
      <c r="C43" s="36"/>
      <c r="D43" s="36"/>
      <c r="E43" s="37"/>
      <c r="F43" s="38"/>
      <c r="G43" s="39"/>
      <c r="H43" s="40"/>
      <c r="I43" s="36"/>
    </row>
    <row r="44" spans="2:9" ht="10.5" x14ac:dyDescent="0.25">
      <c r="B44" s="35" t="s">
        <v>184</v>
      </c>
      <c r="C44" s="35"/>
      <c r="D44" s="35"/>
      <c r="E44" s="43"/>
      <c r="F44" s="44">
        <v>2331.9432044999999</v>
      </c>
      <c r="G44" s="45">
        <v>3.3998223442305502</v>
      </c>
      <c r="H44" s="42">
        <v>5.3499999999999999E-2</v>
      </c>
      <c r="I44" s="42"/>
    </row>
    <row r="45" spans="2:9" x14ac:dyDescent="0.2">
      <c r="B45" s="36"/>
      <c r="C45" s="36"/>
      <c r="D45" s="36"/>
      <c r="E45" s="37"/>
      <c r="F45" s="38"/>
      <c r="G45" s="39"/>
      <c r="H45" s="40"/>
      <c r="I45" s="36"/>
    </row>
    <row r="46" spans="2:9" ht="10.5" x14ac:dyDescent="0.25">
      <c r="B46" s="61" t="s">
        <v>187</v>
      </c>
      <c r="C46" s="61"/>
      <c r="D46" s="61"/>
      <c r="E46" s="62"/>
      <c r="F46" s="44">
        <f>F47-(F12+F29+F32+F37+F42+F44)</f>
        <v>1092.5955854000058</v>
      </c>
      <c r="G46" s="45">
        <f>G47-(G12+G29+G32+G37+G42+G44)</f>
        <v>1.5929336860701824</v>
      </c>
      <c r="H46" s="46"/>
      <c r="I46" s="35"/>
    </row>
    <row r="47" spans="2:9" ht="10.5" x14ac:dyDescent="0.25">
      <c r="B47" s="55" t="s">
        <v>185</v>
      </c>
      <c r="C47" s="55"/>
      <c r="D47" s="55"/>
      <c r="E47" s="56"/>
      <c r="F47" s="57">
        <v>68590.148789900006</v>
      </c>
      <c r="G47" s="58">
        <v>100</v>
      </c>
      <c r="H47" s="59"/>
      <c r="I47" s="60"/>
    </row>
    <row r="49" spans="2:9" ht="10.5" x14ac:dyDescent="0.25">
      <c r="B49" s="26" t="s">
        <v>259</v>
      </c>
    </row>
    <row r="50" spans="2:9" ht="40" customHeight="1" x14ac:dyDescent="0.2">
      <c r="B50" s="187" t="s">
        <v>260</v>
      </c>
      <c r="C50" s="187"/>
      <c r="D50" s="187"/>
      <c r="E50" s="187"/>
      <c r="F50" s="187"/>
      <c r="G50" s="187"/>
      <c r="H50" s="187"/>
      <c r="I50" s="187"/>
    </row>
    <row r="51" spans="2:9" ht="10.5" x14ac:dyDescent="0.25">
      <c r="B51" s="26"/>
    </row>
    <row r="52" spans="2:9" ht="10.5" x14ac:dyDescent="0.2">
      <c r="B52" s="90" t="s">
        <v>196</v>
      </c>
    </row>
    <row r="53" spans="2:9" ht="10.5" x14ac:dyDescent="0.2">
      <c r="B53" s="90"/>
    </row>
    <row r="54" spans="2:9" x14ac:dyDescent="0.2">
      <c r="B54" s="94" t="s">
        <v>1508</v>
      </c>
    </row>
    <row r="55" spans="2:9" x14ac:dyDescent="0.2">
      <c r="B55" s="94" t="s">
        <v>1509</v>
      </c>
    </row>
    <row r="56" spans="2:9" ht="10.5" x14ac:dyDescent="0.2">
      <c r="B56" s="90"/>
    </row>
    <row r="57" spans="2:9" ht="21" x14ac:dyDescent="0.2">
      <c r="B57" s="100" t="s">
        <v>1510</v>
      </c>
      <c r="C57" s="105" t="s">
        <v>1511</v>
      </c>
      <c r="D57" s="105" t="s">
        <v>1563</v>
      </c>
    </row>
    <row r="58" spans="2:9" x14ac:dyDescent="0.2">
      <c r="B58" s="97" t="s">
        <v>1512</v>
      </c>
      <c r="C58" s="101">
        <v>1017.3943</v>
      </c>
      <c r="D58" s="101">
        <v>1018.8849</v>
      </c>
    </row>
    <row r="59" spans="2:9" ht="10.5" x14ac:dyDescent="0.2">
      <c r="B59" s="90"/>
    </row>
    <row r="60" spans="2:9" ht="10.5" x14ac:dyDescent="0.2">
      <c r="B60" s="90"/>
    </row>
    <row r="61" spans="2:9" x14ac:dyDescent="0.2">
      <c r="B61" s="94" t="s">
        <v>1572</v>
      </c>
    </row>
    <row r="62" spans="2:9" x14ac:dyDescent="0.2">
      <c r="B62" s="94" t="s">
        <v>1564</v>
      </c>
    </row>
    <row r="63" spans="2:9" x14ac:dyDescent="0.2">
      <c r="B63" s="94" t="s">
        <v>1565</v>
      </c>
    </row>
    <row r="64" spans="2:9" x14ac:dyDescent="0.2">
      <c r="B64" s="99" t="s">
        <v>1571</v>
      </c>
    </row>
    <row r="65" spans="2:9" x14ac:dyDescent="0.2">
      <c r="B65" s="94" t="s">
        <v>1567</v>
      </c>
    </row>
    <row r="66" spans="2:9" ht="10.5" x14ac:dyDescent="0.25">
      <c r="B66" s="26"/>
      <c r="C66" s="26"/>
      <c r="D66" s="71"/>
      <c r="E66" s="28"/>
    </row>
    <row r="69" spans="2:9" ht="10.5" x14ac:dyDescent="0.25">
      <c r="B69" s="26" t="s">
        <v>197</v>
      </c>
      <c r="E69" s="8"/>
      <c r="G69" s="87"/>
      <c r="I69" s="14"/>
    </row>
    <row r="70" spans="2:9" x14ac:dyDescent="0.2">
      <c r="E70" s="8"/>
      <c r="G70" s="87"/>
      <c r="I70" s="14"/>
    </row>
    <row r="71" spans="2:9" x14ac:dyDescent="0.2">
      <c r="E71" s="8"/>
      <c r="G71" s="87"/>
      <c r="I71" s="14"/>
    </row>
    <row r="72" spans="2:9" x14ac:dyDescent="0.2">
      <c r="E72" s="8"/>
      <c r="G72" s="87"/>
      <c r="I72" s="14"/>
    </row>
    <row r="73" spans="2:9" x14ac:dyDescent="0.2">
      <c r="E73" s="8"/>
      <c r="G73" s="87"/>
      <c r="I73" s="14"/>
    </row>
    <row r="74" spans="2:9" x14ac:dyDescent="0.2">
      <c r="E74" s="8"/>
      <c r="G74" s="87"/>
      <c r="I74" s="14"/>
    </row>
    <row r="75" spans="2:9" x14ac:dyDescent="0.2">
      <c r="E75" s="8"/>
      <c r="G75" s="87"/>
      <c r="I75" s="14"/>
    </row>
    <row r="76" spans="2:9" x14ac:dyDescent="0.2">
      <c r="E76" s="8"/>
      <c r="G76" s="87"/>
      <c r="I76" s="14"/>
    </row>
    <row r="77" spans="2:9" x14ac:dyDescent="0.2">
      <c r="E77" s="8"/>
      <c r="G77" s="87"/>
      <c r="I77" s="14"/>
    </row>
    <row r="78" spans="2:9" x14ac:dyDescent="0.2">
      <c r="E78" s="8"/>
      <c r="G78" s="87"/>
      <c r="I78" s="14"/>
    </row>
    <row r="79" spans="2:9" x14ac:dyDescent="0.2">
      <c r="E79" s="8"/>
      <c r="G79" s="87"/>
      <c r="I79" s="14"/>
    </row>
    <row r="80" spans="2:9" x14ac:dyDescent="0.2">
      <c r="E80" s="8"/>
      <c r="G80" s="87"/>
      <c r="I80" s="14"/>
    </row>
    <row r="81" spans="2:9" x14ac:dyDescent="0.2">
      <c r="E81" s="8"/>
      <c r="G81" s="87"/>
      <c r="I81" s="14"/>
    </row>
    <row r="82" spans="2:9" x14ac:dyDescent="0.2">
      <c r="E82" s="8"/>
      <c r="G82" s="87"/>
      <c r="I82" s="14"/>
    </row>
    <row r="83" spans="2:9" x14ac:dyDescent="0.2">
      <c r="E83" s="8"/>
      <c r="G83" s="87"/>
      <c r="I83" s="14"/>
    </row>
    <row r="84" spans="2:9" x14ac:dyDescent="0.2">
      <c r="E84" s="8"/>
      <c r="G84" s="87"/>
      <c r="I84" s="14"/>
    </row>
    <row r="85" spans="2:9" x14ac:dyDescent="0.2">
      <c r="E85" s="8"/>
      <c r="G85" s="87"/>
      <c r="I85" s="14"/>
    </row>
    <row r="86" spans="2:9" x14ac:dyDescent="0.2">
      <c r="E86" s="8"/>
      <c r="G86" s="87"/>
      <c r="I86" s="14"/>
    </row>
    <row r="87" spans="2:9" x14ac:dyDescent="0.2">
      <c r="E87" s="8"/>
      <c r="G87" s="87"/>
      <c r="I87" s="14"/>
    </row>
    <row r="88" spans="2:9" x14ac:dyDescent="0.2">
      <c r="E88" s="8"/>
      <c r="G88" s="87"/>
      <c r="I88" s="14"/>
    </row>
    <row r="89" spans="2:9" x14ac:dyDescent="0.2">
      <c r="E89" s="8"/>
      <c r="G89" s="87"/>
      <c r="I89" s="14"/>
    </row>
    <row r="90" spans="2:9" x14ac:dyDescent="0.2">
      <c r="E90" s="8"/>
      <c r="G90" s="87"/>
      <c r="I90" s="14"/>
    </row>
    <row r="91" spans="2:9" ht="10.5" x14ac:dyDescent="0.25">
      <c r="B91" s="26" t="s">
        <v>1478</v>
      </c>
      <c r="E91" s="8"/>
      <c r="G91" s="87"/>
      <c r="I91" s="14"/>
    </row>
    <row r="92" spans="2:9" ht="10.5" x14ac:dyDescent="0.25">
      <c r="B92" s="26" t="s">
        <v>1485</v>
      </c>
      <c r="E92" s="8"/>
      <c r="G92" s="87"/>
      <c r="I92" s="14"/>
    </row>
    <row r="93" spans="2:9" x14ac:dyDescent="0.2">
      <c r="E93" s="8"/>
      <c r="G93" s="87"/>
      <c r="I93" s="14"/>
    </row>
    <row r="94" spans="2:9" x14ac:dyDescent="0.2">
      <c r="E94" s="8"/>
      <c r="G94" s="87"/>
      <c r="I94" s="14"/>
    </row>
    <row r="95" spans="2:9" x14ac:dyDescent="0.2">
      <c r="E95" s="8"/>
      <c r="G95" s="87"/>
      <c r="I95" s="14"/>
    </row>
    <row r="96" spans="2:9" x14ac:dyDescent="0.2">
      <c r="E96" s="8"/>
      <c r="G96" s="87"/>
      <c r="I96" s="14"/>
    </row>
    <row r="97" spans="5:9" x14ac:dyDescent="0.2">
      <c r="E97" s="8"/>
      <c r="G97" s="87"/>
      <c r="I97" s="14"/>
    </row>
    <row r="98" spans="5:9" x14ac:dyDescent="0.2">
      <c r="E98" s="8"/>
      <c r="G98" s="87"/>
      <c r="I98" s="14"/>
    </row>
    <row r="99" spans="5:9" x14ac:dyDescent="0.2">
      <c r="E99" s="8"/>
      <c r="G99" s="87"/>
      <c r="I99" s="14"/>
    </row>
    <row r="100" spans="5:9" x14ac:dyDescent="0.2">
      <c r="E100" s="8"/>
      <c r="G100" s="87"/>
      <c r="I100" s="14"/>
    </row>
    <row r="101" spans="5:9" x14ac:dyDescent="0.2">
      <c r="E101" s="8"/>
      <c r="G101" s="87"/>
      <c r="I101" s="14"/>
    </row>
    <row r="102" spans="5:9" x14ac:dyDescent="0.2">
      <c r="E102" s="8"/>
      <c r="G102" s="87"/>
      <c r="I102" s="14"/>
    </row>
    <row r="103" spans="5:9" x14ac:dyDescent="0.2">
      <c r="E103" s="8"/>
      <c r="G103" s="87"/>
      <c r="I103" s="14"/>
    </row>
    <row r="104" spans="5:9" x14ac:dyDescent="0.2">
      <c r="E104" s="8"/>
      <c r="G104" s="87"/>
      <c r="I104" s="14"/>
    </row>
    <row r="105" spans="5:9" x14ac:dyDescent="0.2">
      <c r="E105" s="8"/>
      <c r="G105" s="87"/>
      <c r="I105" s="14"/>
    </row>
    <row r="106" spans="5:9" x14ac:dyDescent="0.2">
      <c r="E106" s="8"/>
      <c r="G106" s="87"/>
      <c r="I106" s="14"/>
    </row>
    <row r="107" spans="5:9" x14ac:dyDescent="0.2">
      <c r="E107" s="8"/>
      <c r="G107" s="87"/>
      <c r="I107" s="14"/>
    </row>
    <row r="108" spans="5:9" x14ac:dyDescent="0.2">
      <c r="E108" s="8"/>
      <c r="G108" s="87"/>
      <c r="I108" s="14"/>
    </row>
    <row r="109" spans="5:9" x14ac:dyDescent="0.2">
      <c r="E109" s="8"/>
      <c r="G109" s="87"/>
      <c r="I109" s="14"/>
    </row>
    <row r="110" spans="5:9" x14ac:dyDescent="0.2">
      <c r="E110" s="8"/>
      <c r="G110" s="87"/>
      <c r="I110" s="14"/>
    </row>
    <row r="111" spans="5:9" x14ac:dyDescent="0.2">
      <c r="E111" s="8"/>
      <c r="G111" s="87"/>
      <c r="I111" s="14"/>
    </row>
    <row r="112" spans="5:9" x14ac:dyDescent="0.2">
      <c r="E112" s="8"/>
      <c r="G112" s="87"/>
      <c r="I112" s="14"/>
    </row>
    <row r="113" spans="5:9" x14ac:dyDescent="0.2">
      <c r="E113" s="8"/>
      <c r="G113" s="87"/>
      <c r="I113" s="14"/>
    </row>
    <row r="114" spans="5:9" x14ac:dyDescent="0.2">
      <c r="E114" s="8"/>
      <c r="G114" s="87"/>
      <c r="I114" s="14"/>
    </row>
    <row r="115" spans="5:9" x14ac:dyDescent="0.2">
      <c r="E115" s="8"/>
      <c r="G115" s="87"/>
      <c r="I115" s="14"/>
    </row>
    <row r="116" spans="5:9" x14ac:dyDescent="0.2">
      <c r="E116" s="8"/>
      <c r="G116" s="87"/>
      <c r="I116" s="14"/>
    </row>
  </sheetData>
  <mergeCells count="2">
    <mergeCell ref="B1:C1"/>
    <mergeCell ref="B50:I50"/>
  </mergeCells>
  <conditionalFormatting sqref="G1:G3 G5:G49 G51:G116">
    <cfRule type="cellIs" dxfId="11" priority="2" stopIfTrue="1" operator="between">
      <formula>0.009</formula>
      <formula>-0.009</formula>
    </cfRule>
  </conditionalFormatting>
  <hyperlinks>
    <hyperlink ref="A2" location="Index!A1" display="-" xr:uid="{548805F0-395C-4C51-B6E5-FE397D7E6155}"/>
  </hyperlinks>
  <pageMargins left="0.7" right="0.7" top="0.75" bottom="0.75" header="0.3" footer="0.3"/>
  <pageSetup paperSize="9" scale="65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48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1DBA-BD20-4816-A796-AC89534AE2CF}">
  <dimension ref="A1:J91"/>
  <sheetViews>
    <sheetView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52.7265625" style="8" bestFit="1" customWidth="1"/>
    <col min="3" max="3" width="15.81640625" style="8" customWidth="1"/>
    <col min="4" max="4" width="13.90625" style="8" bestFit="1" customWidth="1"/>
    <col min="5" max="5" width="13.90625" style="9" bestFit="1" customWidth="1"/>
    <col min="6" max="6" width="12.7265625" style="11" bestFit="1" customWidth="1"/>
    <col min="7" max="7" width="6.7265625" style="18" bestFit="1" customWidth="1"/>
    <col min="8" max="8" width="11.81640625" style="14" bestFit="1" customWidth="1"/>
    <col min="9" max="9" width="10.08984375" style="8" bestFit="1" customWidth="1"/>
    <col min="10" max="16384" width="9.08984375" style="8"/>
  </cols>
  <sheetData>
    <row r="1" spans="1:10" s="1" customFormat="1" ht="16.75" customHeight="1" x14ac:dyDescent="0.35">
      <c r="B1" s="185" t="s">
        <v>16</v>
      </c>
      <c r="C1" s="186"/>
      <c r="D1" s="13"/>
      <c r="E1" s="6"/>
      <c r="F1" s="7"/>
      <c r="G1" s="18"/>
      <c r="H1" s="15"/>
    </row>
    <row r="2" spans="1:10" s="1" customFormat="1" ht="14.5" x14ac:dyDescent="0.35">
      <c r="A2" s="85" t="s">
        <v>1494</v>
      </c>
      <c r="E2" s="6"/>
      <c r="F2" s="7"/>
      <c r="G2" s="18"/>
      <c r="H2" s="15"/>
    </row>
    <row r="3" spans="1:10" s="1" customFormat="1" ht="11.5" x14ac:dyDescent="0.25">
      <c r="B3" s="10" t="s">
        <v>9</v>
      </c>
      <c r="C3" s="2"/>
      <c r="D3" s="3"/>
      <c r="E3" s="4"/>
      <c r="F3" s="5"/>
      <c r="G3" s="18"/>
      <c r="H3" s="15"/>
    </row>
    <row r="4" spans="1:10" s="1" customFormat="1" ht="25.5" customHeight="1" x14ac:dyDescent="0.25">
      <c r="B4" s="29" t="s">
        <v>7</v>
      </c>
      <c r="C4" s="29" t="s">
        <v>8</v>
      </c>
      <c r="D4" s="30" t="s">
        <v>258</v>
      </c>
      <c r="E4" s="31" t="s">
        <v>0</v>
      </c>
      <c r="F4" s="32" t="s">
        <v>4</v>
      </c>
      <c r="G4" s="33" t="s">
        <v>5</v>
      </c>
      <c r="H4" s="34" t="s">
        <v>6</v>
      </c>
      <c r="I4" s="32" t="s">
        <v>198</v>
      </c>
      <c r="J4" s="12"/>
    </row>
    <row r="5" spans="1:10" ht="10.5" x14ac:dyDescent="0.25">
      <c r="B5" s="35" t="s">
        <v>199</v>
      </c>
      <c r="C5" s="36"/>
      <c r="D5" s="36"/>
      <c r="E5" s="37"/>
      <c r="F5" s="38"/>
      <c r="G5" s="39"/>
      <c r="H5" s="40"/>
      <c r="I5" s="36"/>
    </row>
    <row r="6" spans="1:10" ht="10.5" x14ac:dyDescent="0.25">
      <c r="B6" s="35" t="s">
        <v>200</v>
      </c>
      <c r="C6" s="36"/>
      <c r="D6" s="36"/>
      <c r="E6" s="37"/>
      <c r="F6" s="38"/>
      <c r="G6" s="39"/>
      <c r="H6" s="40"/>
      <c r="I6" s="36"/>
    </row>
    <row r="7" spans="1:10" x14ac:dyDescent="0.2">
      <c r="B7" s="36" t="s">
        <v>201</v>
      </c>
      <c r="C7" s="36" t="s">
        <v>202</v>
      </c>
      <c r="D7" s="36" t="s">
        <v>203</v>
      </c>
      <c r="E7" s="41">
        <v>480</v>
      </c>
      <c r="F7" s="38">
        <v>2266.7015999999999</v>
      </c>
      <c r="G7" s="39">
        <v>15.8174366603522</v>
      </c>
      <c r="H7" s="42">
        <v>7.9499E-2</v>
      </c>
      <c r="I7" s="73"/>
    </row>
    <row r="8" spans="1:10" x14ac:dyDescent="0.2">
      <c r="B8" s="36" t="s">
        <v>212</v>
      </c>
      <c r="C8" s="36" t="s">
        <v>213</v>
      </c>
      <c r="D8" s="36" t="s">
        <v>209</v>
      </c>
      <c r="E8" s="41">
        <v>360</v>
      </c>
      <c r="F8" s="38">
        <v>1698.4926</v>
      </c>
      <c r="G8" s="39">
        <v>11.8523757686397</v>
      </c>
      <c r="H8" s="42">
        <v>7.8750000000000001E-2</v>
      </c>
      <c r="I8" s="73"/>
    </row>
    <row r="9" spans="1:10" x14ac:dyDescent="0.2">
      <c r="B9" s="36" t="s">
        <v>210</v>
      </c>
      <c r="C9" s="36" t="s">
        <v>211</v>
      </c>
      <c r="D9" s="36" t="s">
        <v>206</v>
      </c>
      <c r="E9" s="41">
        <v>300</v>
      </c>
      <c r="F9" s="38">
        <v>1410.5174999999999</v>
      </c>
      <c r="G9" s="39">
        <v>9.8428356050784398</v>
      </c>
      <c r="H9" s="42">
        <v>7.7964000000000006E-2</v>
      </c>
      <c r="I9" s="73"/>
    </row>
    <row r="10" spans="1:10" x14ac:dyDescent="0.2">
      <c r="B10" s="36" t="s">
        <v>228</v>
      </c>
      <c r="C10" s="36" t="s">
        <v>229</v>
      </c>
      <c r="D10" s="36" t="s">
        <v>209</v>
      </c>
      <c r="E10" s="41">
        <v>200</v>
      </c>
      <c r="F10" s="38">
        <v>944.351</v>
      </c>
      <c r="G10" s="39">
        <v>6.5898449657600402</v>
      </c>
      <c r="H10" s="42">
        <v>7.8498999999999999E-2</v>
      </c>
      <c r="I10" s="73"/>
    </row>
    <row r="11" spans="1:10" x14ac:dyDescent="0.2">
      <c r="B11" s="36" t="s">
        <v>242</v>
      </c>
      <c r="C11" s="36" t="s">
        <v>243</v>
      </c>
      <c r="D11" s="36" t="s">
        <v>209</v>
      </c>
      <c r="E11" s="41">
        <v>160</v>
      </c>
      <c r="F11" s="38">
        <v>754.25519999999995</v>
      </c>
      <c r="G11" s="39">
        <v>5.2633235233703699</v>
      </c>
      <c r="H11" s="42">
        <v>7.85E-2</v>
      </c>
      <c r="I11" s="73"/>
    </row>
    <row r="12" spans="1:10" x14ac:dyDescent="0.2">
      <c r="B12" s="36" t="s">
        <v>226</v>
      </c>
      <c r="C12" s="36" t="s">
        <v>227</v>
      </c>
      <c r="D12" s="36" t="s">
        <v>206</v>
      </c>
      <c r="E12" s="41">
        <v>40</v>
      </c>
      <c r="F12" s="38">
        <v>188.56139999999999</v>
      </c>
      <c r="G12" s="39">
        <v>1.31581413322659</v>
      </c>
      <c r="H12" s="42">
        <v>7.7964000000000006E-2</v>
      </c>
      <c r="I12" s="73"/>
    </row>
    <row r="13" spans="1:10" ht="10.5" x14ac:dyDescent="0.25">
      <c r="B13" s="35" t="s">
        <v>180</v>
      </c>
      <c r="C13" s="35"/>
      <c r="D13" s="35"/>
      <c r="E13" s="43"/>
      <c r="F13" s="74">
        <f>SUM(F6:F12)</f>
        <v>7262.8792999999987</v>
      </c>
      <c r="G13" s="75">
        <f>SUM(G6:G12)</f>
        <v>50.68163065642733</v>
      </c>
      <c r="H13" s="46"/>
      <c r="I13" s="35"/>
    </row>
    <row r="14" spans="1:10" ht="10.5" x14ac:dyDescent="0.25">
      <c r="B14" s="51" t="s">
        <v>183</v>
      </c>
      <c r="C14" s="51"/>
      <c r="D14" s="51"/>
      <c r="E14" s="52"/>
      <c r="F14" s="53">
        <f>+F13</f>
        <v>7262.8792999999987</v>
      </c>
      <c r="G14" s="54">
        <f>+G13</f>
        <v>50.68163065642733</v>
      </c>
      <c r="H14" s="46"/>
      <c r="I14" s="35"/>
    </row>
    <row r="15" spans="1:10" ht="10.5" x14ac:dyDescent="0.25">
      <c r="B15" s="35" t="s">
        <v>251</v>
      </c>
      <c r="C15" s="36"/>
      <c r="D15" s="36"/>
      <c r="E15" s="37"/>
      <c r="F15" s="38"/>
      <c r="G15" s="39"/>
      <c r="H15" s="40"/>
      <c r="I15" s="36"/>
    </row>
    <row r="16" spans="1:10" x14ac:dyDescent="0.2">
      <c r="B16" s="36" t="s">
        <v>383</v>
      </c>
      <c r="C16" s="36" t="s">
        <v>384</v>
      </c>
      <c r="D16" s="36" t="s">
        <v>254</v>
      </c>
      <c r="E16" s="41">
        <v>1000000</v>
      </c>
      <c r="F16" s="38">
        <v>964.34799999999996</v>
      </c>
      <c r="G16" s="39">
        <v>6.7293874979120698</v>
      </c>
      <c r="H16" s="42">
        <v>7.1271787753124899E-2</v>
      </c>
      <c r="I16" s="73"/>
    </row>
    <row r="17" spans="2:9" x14ac:dyDescent="0.2">
      <c r="B17" s="36" t="s">
        <v>425</v>
      </c>
      <c r="C17" s="36" t="s">
        <v>426</v>
      </c>
      <c r="D17" s="36" t="s">
        <v>254</v>
      </c>
      <c r="E17" s="41">
        <v>500000</v>
      </c>
      <c r="F17" s="38">
        <v>491.85</v>
      </c>
      <c r="G17" s="39">
        <v>3.43221455413196</v>
      </c>
      <c r="H17" s="42">
        <v>7.1101919270125005E-2</v>
      </c>
      <c r="I17" s="73"/>
    </row>
    <row r="18" spans="2:9" x14ac:dyDescent="0.2">
      <c r="B18" s="36" t="s">
        <v>427</v>
      </c>
      <c r="C18" s="36" t="s">
        <v>428</v>
      </c>
      <c r="D18" s="36" t="s">
        <v>254</v>
      </c>
      <c r="E18" s="41">
        <v>500000</v>
      </c>
      <c r="F18" s="38">
        <v>490.79349999999999</v>
      </c>
      <c r="G18" s="39">
        <v>3.4248421140050098</v>
      </c>
      <c r="H18" s="42">
        <v>6.9367990253124998E-2</v>
      </c>
      <c r="I18" s="73"/>
    </row>
    <row r="19" spans="2:9" ht="10.5" x14ac:dyDescent="0.25">
      <c r="B19" s="35" t="s">
        <v>183</v>
      </c>
      <c r="C19" s="35"/>
      <c r="D19" s="35"/>
      <c r="E19" s="43"/>
      <c r="F19" s="44">
        <f>SUM(F16:F18)</f>
        <v>1946.9914999999999</v>
      </c>
      <c r="G19" s="45">
        <f>SUM(G16:G18)</f>
        <v>13.58644416604904</v>
      </c>
      <c r="H19" s="46"/>
      <c r="I19" s="35"/>
    </row>
    <row r="20" spans="2:9" ht="10.5" x14ac:dyDescent="0.25">
      <c r="B20" s="35"/>
      <c r="C20" s="36"/>
      <c r="D20" s="36"/>
      <c r="E20" s="37"/>
      <c r="F20" s="38"/>
      <c r="G20" s="39"/>
      <c r="H20" s="40"/>
      <c r="I20" s="36"/>
    </row>
    <row r="21" spans="2:9" ht="10.5" x14ac:dyDescent="0.25">
      <c r="B21" s="35" t="s">
        <v>184</v>
      </c>
      <c r="C21" s="35"/>
      <c r="D21" s="35"/>
      <c r="E21" s="43"/>
      <c r="F21" s="44">
        <v>5106.7750758000002</v>
      </c>
      <c r="G21" s="45">
        <v>35.635961654649002</v>
      </c>
      <c r="H21" s="42">
        <v>5.3499999999999999E-2</v>
      </c>
      <c r="I21" s="42"/>
    </row>
    <row r="22" spans="2:9" x14ac:dyDescent="0.2">
      <c r="B22" s="36"/>
      <c r="C22" s="36"/>
      <c r="D22" s="36"/>
      <c r="E22" s="37"/>
      <c r="F22" s="38"/>
      <c r="G22" s="39"/>
      <c r="H22" s="40"/>
      <c r="I22" s="36"/>
    </row>
    <row r="23" spans="2:9" ht="10.5" x14ac:dyDescent="0.25">
      <c r="B23" s="61" t="s">
        <v>187</v>
      </c>
      <c r="C23" s="61"/>
      <c r="D23" s="61"/>
      <c r="E23" s="62"/>
      <c r="F23" s="44">
        <f>F24-(F13+F19+F21)</f>
        <v>13.751954600000317</v>
      </c>
      <c r="G23" s="45">
        <f>G24-(G13+G19+G21)</f>
        <v>9.5963522874626506E-2</v>
      </c>
      <c r="H23" s="46"/>
      <c r="I23" s="35"/>
    </row>
    <row r="24" spans="2:9" ht="10.5" x14ac:dyDescent="0.25">
      <c r="B24" s="55" t="s">
        <v>185</v>
      </c>
      <c r="C24" s="55"/>
      <c r="D24" s="55"/>
      <c r="E24" s="56"/>
      <c r="F24" s="57">
        <v>14330.397830399999</v>
      </c>
      <c r="G24" s="58">
        <v>100</v>
      </c>
      <c r="H24" s="59"/>
      <c r="I24" s="60"/>
    </row>
    <row r="26" spans="2:9" ht="10.5" x14ac:dyDescent="0.25">
      <c r="B26" s="26" t="s">
        <v>259</v>
      </c>
    </row>
    <row r="27" spans="2:9" ht="10.5" x14ac:dyDescent="0.25">
      <c r="B27" s="26"/>
    </row>
    <row r="28" spans="2:9" ht="40" customHeight="1" x14ac:dyDescent="0.2">
      <c r="B28" s="187" t="s">
        <v>260</v>
      </c>
      <c r="C28" s="187"/>
      <c r="D28" s="187"/>
      <c r="E28" s="187"/>
      <c r="F28" s="187"/>
      <c r="G28" s="187"/>
      <c r="H28" s="187"/>
      <c r="I28" s="187"/>
    </row>
    <row r="29" spans="2:9" ht="10.5" x14ac:dyDescent="0.25">
      <c r="B29" s="26"/>
    </row>
    <row r="30" spans="2:9" ht="10.5" x14ac:dyDescent="0.2">
      <c r="B30" s="90" t="s">
        <v>196</v>
      </c>
    </row>
    <row r="31" spans="2:9" ht="10.5" x14ac:dyDescent="0.2">
      <c r="B31" s="90"/>
    </row>
    <row r="32" spans="2:9" x14ac:dyDescent="0.2">
      <c r="B32" s="94" t="s">
        <v>1508</v>
      </c>
    </row>
    <row r="33" spans="2:9" x14ac:dyDescent="0.2">
      <c r="B33" s="94" t="s">
        <v>1509</v>
      </c>
    </row>
    <row r="34" spans="2:9" ht="10.5" x14ac:dyDescent="0.2">
      <c r="B34" s="90"/>
    </row>
    <row r="35" spans="2:9" ht="21" x14ac:dyDescent="0.2">
      <c r="B35" s="100" t="s">
        <v>1510</v>
      </c>
      <c r="C35" s="105" t="s">
        <v>1511</v>
      </c>
      <c r="D35" s="105" t="s">
        <v>1563</v>
      </c>
    </row>
    <row r="36" spans="2:9" x14ac:dyDescent="0.2">
      <c r="B36" s="97" t="s">
        <v>1512</v>
      </c>
      <c r="C36" s="106">
        <v>1013.4167</v>
      </c>
      <c r="D36" s="106">
        <v>1015.0931</v>
      </c>
    </row>
    <row r="37" spans="2:9" ht="10.5" x14ac:dyDescent="0.2">
      <c r="B37" s="90"/>
      <c r="C37" s="107"/>
      <c r="D37" s="107"/>
    </row>
    <row r="38" spans="2:9" x14ac:dyDescent="0.2">
      <c r="B38" s="94" t="s">
        <v>1572</v>
      </c>
    </row>
    <row r="39" spans="2:9" x14ac:dyDescent="0.2">
      <c r="B39" s="108" t="s">
        <v>1564</v>
      </c>
    </row>
    <row r="40" spans="2:9" ht="10.5" x14ac:dyDescent="0.25">
      <c r="B40" s="108" t="s">
        <v>1565</v>
      </c>
      <c r="E40" s="28"/>
    </row>
    <row r="41" spans="2:9" x14ac:dyDescent="0.2">
      <c r="B41" s="109" t="s">
        <v>1573</v>
      </c>
      <c r="E41" s="72"/>
    </row>
    <row r="42" spans="2:9" x14ac:dyDescent="0.2">
      <c r="B42" s="108" t="s">
        <v>1567</v>
      </c>
    </row>
    <row r="45" spans="2:9" ht="10.5" x14ac:dyDescent="0.25">
      <c r="B45" s="26" t="s">
        <v>197</v>
      </c>
      <c r="E45" s="8"/>
      <c r="G45" s="87"/>
      <c r="I45" s="14"/>
    </row>
    <row r="46" spans="2:9" x14ac:dyDescent="0.2">
      <c r="E46" s="8"/>
      <c r="G46" s="87"/>
      <c r="I46" s="14"/>
    </row>
    <row r="47" spans="2:9" x14ac:dyDescent="0.2">
      <c r="E47" s="8"/>
      <c r="G47" s="87"/>
      <c r="I47" s="14"/>
    </row>
    <row r="48" spans="2:9" x14ac:dyDescent="0.2">
      <c r="E48" s="8"/>
      <c r="G48" s="87"/>
      <c r="I48" s="14"/>
    </row>
    <row r="49" spans="5:9" x14ac:dyDescent="0.2">
      <c r="E49" s="8"/>
      <c r="G49" s="87"/>
      <c r="I49" s="14"/>
    </row>
    <row r="50" spans="5:9" x14ac:dyDescent="0.2">
      <c r="E50" s="8"/>
      <c r="G50" s="87"/>
      <c r="I50" s="14"/>
    </row>
    <row r="51" spans="5:9" x14ac:dyDescent="0.2">
      <c r="E51" s="8"/>
      <c r="G51" s="87"/>
      <c r="I51" s="14"/>
    </row>
    <row r="52" spans="5:9" x14ac:dyDescent="0.2">
      <c r="E52" s="8"/>
      <c r="G52" s="87"/>
      <c r="I52" s="14"/>
    </row>
    <row r="53" spans="5:9" x14ac:dyDescent="0.2">
      <c r="E53" s="8"/>
      <c r="G53" s="87"/>
      <c r="I53" s="14"/>
    </row>
    <row r="54" spans="5:9" x14ac:dyDescent="0.2">
      <c r="E54" s="8"/>
      <c r="G54" s="87"/>
      <c r="I54" s="14"/>
    </row>
    <row r="55" spans="5:9" x14ac:dyDescent="0.2">
      <c r="E55" s="8"/>
      <c r="G55" s="87"/>
      <c r="I55" s="14"/>
    </row>
    <row r="56" spans="5:9" x14ac:dyDescent="0.2">
      <c r="E56" s="8"/>
      <c r="G56" s="87"/>
      <c r="I56" s="14"/>
    </row>
    <row r="57" spans="5:9" x14ac:dyDescent="0.2">
      <c r="E57" s="8"/>
      <c r="G57" s="87"/>
      <c r="I57" s="14"/>
    </row>
    <row r="58" spans="5:9" x14ac:dyDescent="0.2">
      <c r="E58" s="8"/>
      <c r="G58" s="87"/>
      <c r="I58" s="14"/>
    </row>
    <row r="59" spans="5:9" x14ac:dyDescent="0.2">
      <c r="E59" s="8"/>
      <c r="G59" s="87"/>
      <c r="I59" s="14"/>
    </row>
    <row r="60" spans="5:9" x14ac:dyDescent="0.2">
      <c r="E60" s="8"/>
      <c r="G60" s="87"/>
      <c r="I60" s="14"/>
    </row>
    <row r="61" spans="5:9" x14ac:dyDescent="0.2">
      <c r="E61" s="8"/>
      <c r="G61" s="87"/>
      <c r="I61" s="14"/>
    </row>
    <row r="62" spans="5:9" x14ac:dyDescent="0.2">
      <c r="E62" s="8"/>
      <c r="G62" s="87"/>
      <c r="I62" s="14"/>
    </row>
    <row r="63" spans="5:9" x14ac:dyDescent="0.2">
      <c r="E63" s="8"/>
      <c r="G63" s="87"/>
      <c r="I63" s="14"/>
    </row>
    <row r="64" spans="5:9" x14ac:dyDescent="0.2">
      <c r="E64" s="8"/>
      <c r="G64" s="87"/>
      <c r="I64" s="14"/>
    </row>
    <row r="65" spans="2:9" x14ac:dyDescent="0.2">
      <c r="E65" s="8"/>
      <c r="G65" s="87"/>
      <c r="I65" s="14"/>
    </row>
    <row r="66" spans="2:9" x14ac:dyDescent="0.2">
      <c r="E66" s="8"/>
      <c r="G66" s="87"/>
      <c r="I66" s="14"/>
    </row>
    <row r="67" spans="2:9" x14ac:dyDescent="0.2">
      <c r="E67" s="8"/>
      <c r="G67" s="87"/>
      <c r="I67" s="14"/>
    </row>
    <row r="68" spans="2:9" ht="10.5" x14ac:dyDescent="0.25">
      <c r="B68" s="26" t="s">
        <v>1478</v>
      </c>
      <c r="E68" s="8"/>
      <c r="G68" s="87"/>
      <c r="I68" s="14"/>
    </row>
    <row r="69" spans="2:9" ht="10.5" x14ac:dyDescent="0.25">
      <c r="B69" s="26" t="s">
        <v>1486</v>
      </c>
      <c r="E69" s="8"/>
      <c r="G69" s="87"/>
      <c r="I69" s="14"/>
    </row>
    <row r="70" spans="2:9" x14ac:dyDescent="0.2">
      <c r="E70" s="8"/>
      <c r="G70" s="87"/>
      <c r="I70" s="14"/>
    </row>
    <row r="71" spans="2:9" x14ac:dyDescent="0.2">
      <c r="E71" s="8"/>
      <c r="G71" s="87"/>
      <c r="I71" s="14"/>
    </row>
    <row r="72" spans="2:9" x14ac:dyDescent="0.2">
      <c r="E72" s="8"/>
      <c r="G72" s="87"/>
      <c r="I72" s="14"/>
    </row>
    <row r="73" spans="2:9" x14ac:dyDescent="0.2">
      <c r="E73" s="8"/>
      <c r="G73" s="87"/>
      <c r="I73" s="14"/>
    </row>
    <row r="74" spans="2:9" x14ac:dyDescent="0.2">
      <c r="E74" s="8"/>
      <c r="G74" s="87"/>
      <c r="I74" s="14"/>
    </row>
    <row r="75" spans="2:9" x14ac:dyDescent="0.2">
      <c r="E75" s="8"/>
      <c r="G75" s="87"/>
      <c r="I75" s="14"/>
    </row>
    <row r="76" spans="2:9" x14ac:dyDescent="0.2">
      <c r="E76" s="8"/>
      <c r="G76" s="87"/>
      <c r="I76" s="14"/>
    </row>
    <row r="77" spans="2:9" x14ac:dyDescent="0.2">
      <c r="E77" s="8"/>
      <c r="G77" s="87"/>
      <c r="I77" s="14"/>
    </row>
    <row r="78" spans="2:9" x14ac:dyDescent="0.2">
      <c r="E78" s="8"/>
      <c r="G78" s="87"/>
      <c r="I78" s="14"/>
    </row>
    <row r="79" spans="2:9" x14ac:dyDescent="0.2">
      <c r="E79" s="8"/>
      <c r="G79" s="87"/>
      <c r="I79" s="14"/>
    </row>
    <row r="80" spans="2:9" x14ac:dyDescent="0.2">
      <c r="E80" s="8"/>
      <c r="G80" s="87"/>
      <c r="I80" s="14"/>
    </row>
    <row r="81" spans="5:9" x14ac:dyDescent="0.2">
      <c r="E81" s="8"/>
      <c r="G81" s="87"/>
      <c r="I81" s="14"/>
    </row>
    <row r="82" spans="5:9" x14ac:dyDescent="0.2">
      <c r="E82" s="8"/>
      <c r="G82" s="87"/>
      <c r="I82" s="14"/>
    </row>
    <row r="83" spans="5:9" x14ac:dyDescent="0.2">
      <c r="E83" s="8"/>
      <c r="G83" s="87"/>
      <c r="I83" s="14"/>
    </row>
    <row r="84" spans="5:9" x14ac:dyDescent="0.2">
      <c r="E84" s="8"/>
      <c r="G84" s="87"/>
      <c r="I84" s="14"/>
    </row>
    <row r="85" spans="5:9" x14ac:dyDescent="0.2">
      <c r="E85" s="8"/>
      <c r="G85" s="87"/>
      <c r="I85" s="14"/>
    </row>
    <row r="86" spans="5:9" x14ac:dyDescent="0.2">
      <c r="E86" s="8"/>
      <c r="G86" s="87"/>
      <c r="I86" s="14"/>
    </row>
    <row r="87" spans="5:9" x14ac:dyDescent="0.2">
      <c r="E87" s="8"/>
      <c r="G87" s="87"/>
      <c r="I87" s="14"/>
    </row>
    <row r="88" spans="5:9" x14ac:dyDescent="0.2">
      <c r="E88" s="8"/>
      <c r="G88" s="87"/>
      <c r="I88" s="14"/>
    </row>
    <row r="89" spans="5:9" x14ac:dyDescent="0.2">
      <c r="E89" s="8"/>
      <c r="G89" s="87"/>
      <c r="I89" s="14"/>
    </row>
    <row r="90" spans="5:9" x14ac:dyDescent="0.2">
      <c r="E90" s="8"/>
      <c r="G90" s="87"/>
      <c r="I90" s="14"/>
    </row>
    <row r="91" spans="5:9" x14ac:dyDescent="0.2">
      <c r="E91" s="8"/>
      <c r="G91" s="87"/>
      <c r="I91" s="14"/>
    </row>
  </sheetData>
  <mergeCells count="2">
    <mergeCell ref="B1:C1"/>
    <mergeCell ref="B28:I28"/>
  </mergeCells>
  <conditionalFormatting sqref="G1:G3 G5:G27">
    <cfRule type="cellIs" dxfId="10" priority="2" stopIfTrue="1" operator="between">
      <formula>0.009</formula>
      <formula>-0.009</formula>
    </cfRule>
  </conditionalFormatting>
  <conditionalFormatting sqref="G29:G91">
    <cfRule type="cellIs" dxfId="9" priority="1" stopIfTrue="1" operator="between">
      <formula>0.009</formula>
      <formula>-0.009</formula>
    </cfRule>
  </conditionalFormatting>
  <hyperlinks>
    <hyperlink ref="A2" location="Index!A1" display="-" xr:uid="{3B02CFD5-2497-465C-950B-FCAF4D5250F2}"/>
  </hyperlinks>
  <pageMargins left="0.7" right="0.7" top="0.75" bottom="0.75" header="0.3" footer="0.3"/>
  <pageSetup paperSize="9" scale="65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466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40F7-2D86-4ACC-9536-4D8E09BCA3E8}">
  <dimension ref="A1:I121"/>
  <sheetViews>
    <sheetView view="pageBreakPreview" zoomScale="90" zoomScaleNormal="100" zoomScaleSheetLayoutView="90" workbookViewId="0"/>
  </sheetViews>
  <sheetFormatPr defaultColWidth="9.08984375" defaultRowHeight="10" x14ac:dyDescent="0.2"/>
  <cols>
    <col min="1" max="1" width="7.1796875" style="8" customWidth="1"/>
    <col min="2" max="2" width="52.7265625" style="8" bestFit="1" customWidth="1"/>
    <col min="3" max="3" width="14.453125" style="8" bestFit="1" customWidth="1"/>
    <col min="4" max="4" width="23.36328125" style="8" bestFit="1" customWidth="1"/>
    <col min="5" max="5" width="13.90625" style="9" bestFit="1" customWidth="1"/>
    <col min="6" max="6" width="12.7265625" style="11" bestFit="1" customWidth="1"/>
    <col min="7" max="7" width="6.7265625" style="18" bestFit="1" customWidth="1"/>
    <col min="8" max="8" width="11.81640625" style="8" bestFit="1" customWidth="1"/>
    <col min="9" max="16384" width="9.08984375" style="8"/>
  </cols>
  <sheetData>
    <row r="1" spans="1:9" s="1" customFormat="1" ht="16.75" customHeight="1" x14ac:dyDescent="0.35">
      <c r="B1" s="185" t="s">
        <v>17</v>
      </c>
      <c r="C1" s="186"/>
      <c r="D1" s="13"/>
      <c r="E1" s="6"/>
      <c r="F1" s="7"/>
      <c r="G1" s="18"/>
    </row>
    <row r="2" spans="1:9" s="1" customFormat="1" ht="14.5" x14ac:dyDescent="0.35">
      <c r="A2" s="85" t="s">
        <v>1494</v>
      </c>
      <c r="E2" s="6"/>
      <c r="F2" s="7"/>
      <c r="G2" s="18"/>
    </row>
    <row r="3" spans="1:9" s="1" customFormat="1" ht="11.5" x14ac:dyDescent="0.25">
      <c r="B3" s="10" t="s">
        <v>9</v>
      </c>
      <c r="C3" s="2"/>
      <c r="D3" s="3"/>
      <c r="E3" s="4"/>
      <c r="F3" s="5"/>
      <c r="G3" s="18"/>
    </row>
    <row r="4" spans="1:9" s="1" customFormat="1" ht="25.5" customHeight="1" x14ac:dyDescent="0.25">
      <c r="B4" s="29" t="s">
        <v>7</v>
      </c>
      <c r="C4" s="29" t="s">
        <v>8</v>
      </c>
      <c r="D4" s="30" t="s">
        <v>190</v>
      </c>
      <c r="E4" s="31" t="s">
        <v>0</v>
      </c>
      <c r="F4" s="32" t="s">
        <v>4</v>
      </c>
      <c r="G4" s="33" t="s">
        <v>5</v>
      </c>
      <c r="H4" s="32" t="s">
        <v>6</v>
      </c>
      <c r="I4" s="12"/>
    </row>
    <row r="5" spans="1:9" ht="10.5" x14ac:dyDescent="0.25">
      <c r="B5" s="35" t="s">
        <v>24</v>
      </c>
      <c r="C5" s="36"/>
      <c r="D5" s="36"/>
      <c r="E5" s="37"/>
      <c r="F5" s="38"/>
      <c r="G5" s="39"/>
      <c r="H5" s="36"/>
    </row>
    <row r="6" spans="1:9" ht="10.5" x14ac:dyDescent="0.25">
      <c r="B6" s="35" t="s">
        <v>25</v>
      </c>
      <c r="C6" s="36"/>
      <c r="D6" s="36"/>
      <c r="E6" s="37"/>
      <c r="F6" s="38"/>
      <c r="G6" s="39"/>
      <c r="H6" s="36"/>
    </row>
    <row r="7" spans="1:9" x14ac:dyDescent="0.2">
      <c r="B7" s="36" t="s">
        <v>26</v>
      </c>
      <c r="C7" s="36" t="s">
        <v>27</v>
      </c>
      <c r="D7" s="36" t="s">
        <v>28</v>
      </c>
      <c r="E7" s="41">
        <v>349115</v>
      </c>
      <c r="F7" s="38">
        <v>2599.3357325000002</v>
      </c>
      <c r="G7" s="39">
        <v>10.536123280187599</v>
      </c>
      <c r="H7" s="42"/>
    </row>
    <row r="8" spans="1:9" x14ac:dyDescent="0.2">
      <c r="B8" s="36" t="s">
        <v>29</v>
      </c>
      <c r="C8" s="36" t="s">
        <v>30</v>
      </c>
      <c r="D8" s="36" t="s">
        <v>28</v>
      </c>
      <c r="E8" s="41">
        <v>163083</v>
      </c>
      <c r="F8" s="38">
        <v>2048.9748119999999</v>
      </c>
      <c r="G8" s="39">
        <v>8.3052954442587392</v>
      </c>
      <c r="H8" s="42"/>
    </row>
    <row r="9" spans="1:9" x14ac:dyDescent="0.2">
      <c r="B9" s="36" t="s">
        <v>34</v>
      </c>
      <c r="C9" s="36" t="s">
        <v>35</v>
      </c>
      <c r="D9" s="36" t="s">
        <v>36</v>
      </c>
      <c r="E9" s="41">
        <v>154076</v>
      </c>
      <c r="F9" s="38">
        <v>2035.652112</v>
      </c>
      <c r="G9" s="39">
        <v>8.2512933360008898</v>
      </c>
      <c r="H9" s="42"/>
    </row>
    <row r="10" spans="1:9" x14ac:dyDescent="0.2">
      <c r="B10" s="36" t="s">
        <v>31</v>
      </c>
      <c r="C10" s="36" t="s">
        <v>32</v>
      </c>
      <c r="D10" s="36" t="s">
        <v>33</v>
      </c>
      <c r="E10" s="41">
        <v>70017</v>
      </c>
      <c r="F10" s="38">
        <v>1280.6109300000001</v>
      </c>
      <c r="G10" s="39">
        <v>5.19081643195765</v>
      </c>
      <c r="H10" s="42"/>
    </row>
    <row r="11" spans="1:9" x14ac:dyDescent="0.2">
      <c r="B11" s="36" t="s">
        <v>45</v>
      </c>
      <c r="C11" s="36" t="s">
        <v>46</v>
      </c>
      <c r="D11" s="36" t="s">
        <v>47</v>
      </c>
      <c r="E11" s="41">
        <v>26783</v>
      </c>
      <c r="F11" s="38">
        <v>1091.8089950000001</v>
      </c>
      <c r="G11" s="39">
        <v>4.4255284247848596</v>
      </c>
      <c r="H11" s="42"/>
    </row>
    <row r="12" spans="1:9" x14ac:dyDescent="0.2">
      <c r="B12" s="36" t="s">
        <v>42</v>
      </c>
      <c r="C12" s="36" t="s">
        <v>43</v>
      </c>
      <c r="D12" s="36" t="s">
        <v>44</v>
      </c>
      <c r="E12" s="41">
        <v>79979</v>
      </c>
      <c r="F12" s="38">
        <v>928.47621100000003</v>
      </c>
      <c r="G12" s="39">
        <v>3.7634768373721301</v>
      </c>
      <c r="H12" s="42"/>
    </row>
    <row r="13" spans="1:9" x14ac:dyDescent="0.2">
      <c r="B13" s="36" t="s">
        <v>40</v>
      </c>
      <c r="C13" s="36" t="s">
        <v>41</v>
      </c>
      <c r="D13" s="36" t="s">
        <v>28</v>
      </c>
      <c r="E13" s="41">
        <v>94661</v>
      </c>
      <c r="F13" s="38">
        <v>912.91068399999995</v>
      </c>
      <c r="G13" s="39">
        <v>3.70038367501432</v>
      </c>
      <c r="H13" s="42"/>
    </row>
    <row r="14" spans="1:9" x14ac:dyDescent="0.2">
      <c r="B14" s="36" t="s">
        <v>75</v>
      </c>
      <c r="C14" s="36" t="s">
        <v>76</v>
      </c>
      <c r="D14" s="36" t="s">
        <v>28</v>
      </c>
      <c r="E14" s="41">
        <v>65451</v>
      </c>
      <c r="F14" s="38">
        <v>842.09256600000003</v>
      </c>
      <c r="G14" s="39">
        <v>3.4133301742334701</v>
      </c>
      <c r="H14" s="42"/>
    </row>
    <row r="15" spans="1:9" x14ac:dyDescent="0.2">
      <c r="B15" s="36" t="s">
        <v>83</v>
      </c>
      <c r="C15" s="36" t="s">
        <v>84</v>
      </c>
      <c r="D15" s="36" t="s">
        <v>28</v>
      </c>
      <c r="E15" s="41">
        <v>167938</v>
      </c>
      <c r="F15" s="38">
        <v>645.21779600000002</v>
      </c>
      <c r="G15" s="39">
        <v>2.6153198127617898</v>
      </c>
      <c r="H15" s="42"/>
    </row>
    <row r="16" spans="1:9" x14ac:dyDescent="0.2">
      <c r="B16" s="36" t="s">
        <v>66</v>
      </c>
      <c r="C16" s="36" t="s">
        <v>67</v>
      </c>
      <c r="D16" s="36" t="s">
        <v>68</v>
      </c>
      <c r="E16" s="41">
        <v>219864</v>
      </c>
      <c r="F16" s="38">
        <v>630.78981599999997</v>
      </c>
      <c r="G16" s="39">
        <v>2.5568375728327899</v>
      </c>
      <c r="H16" s="42"/>
    </row>
    <row r="17" spans="2:8" x14ac:dyDescent="0.2">
      <c r="B17" s="36" t="s">
        <v>37</v>
      </c>
      <c r="C17" s="36" t="s">
        <v>38</v>
      </c>
      <c r="D17" s="36" t="s">
        <v>39</v>
      </c>
      <c r="E17" s="41">
        <v>20384</v>
      </c>
      <c r="F17" s="38">
        <v>620.81510400000002</v>
      </c>
      <c r="G17" s="39">
        <v>2.51640616799257</v>
      </c>
      <c r="H17" s="42"/>
    </row>
    <row r="18" spans="2:8" x14ac:dyDescent="0.2">
      <c r="B18" s="36" t="s">
        <v>129</v>
      </c>
      <c r="C18" s="36" t="s">
        <v>130</v>
      </c>
      <c r="D18" s="36" t="s">
        <v>131</v>
      </c>
      <c r="E18" s="41">
        <v>61024</v>
      </c>
      <c r="F18" s="38">
        <v>554.25048000000004</v>
      </c>
      <c r="G18" s="39">
        <v>2.2465937402271101</v>
      </c>
      <c r="H18" s="42"/>
    </row>
    <row r="19" spans="2:8" x14ac:dyDescent="0.2">
      <c r="B19" s="36" t="s">
        <v>58</v>
      </c>
      <c r="C19" s="36" t="s">
        <v>59</v>
      </c>
      <c r="D19" s="36" t="s">
        <v>44</v>
      </c>
      <c r="E19" s="41">
        <v>23294</v>
      </c>
      <c r="F19" s="38">
        <v>526.18816600000002</v>
      </c>
      <c r="G19" s="39">
        <v>2.1328462176833498</v>
      </c>
      <c r="H19" s="42"/>
    </row>
    <row r="20" spans="2:8" x14ac:dyDescent="0.2">
      <c r="B20" s="36" t="s">
        <v>429</v>
      </c>
      <c r="C20" s="36" t="s">
        <v>430</v>
      </c>
      <c r="D20" s="36" t="s">
        <v>68</v>
      </c>
      <c r="E20" s="41">
        <v>20243</v>
      </c>
      <c r="F20" s="38">
        <v>435.93300499999998</v>
      </c>
      <c r="G20" s="39">
        <v>1.7670067876015101</v>
      </c>
      <c r="H20" s="42"/>
    </row>
    <row r="21" spans="2:8" x14ac:dyDescent="0.2">
      <c r="B21" s="36" t="s">
        <v>80</v>
      </c>
      <c r="C21" s="36" t="s">
        <v>81</v>
      </c>
      <c r="D21" s="36" t="s">
        <v>82</v>
      </c>
      <c r="E21" s="41">
        <v>24153</v>
      </c>
      <c r="F21" s="38">
        <v>434.56077599999998</v>
      </c>
      <c r="G21" s="39">
        <v>1.7614446073368</v>
      </c>
      <c r="H21" s="42"/>
    </row>
    <row r="22" spans="2:8" x14ac:dyDescent="0.2">
      <c r="B22" s="36" t="s">
        <v>48</v>
      </c>
      <c r="C22" s="36" t="s">
        <v>49</v>
      </c>
      <c r="D22" s="36" t="s">
        <v>50</v>
      </c>
      <c r="E22" s="41">
        <v>108145</v>
      </c>
      <c r="F22" s="38">
        <v>418.413005</v>
      </c>
      <c r="G22" s="39">
        <v>1.69599138256518</v>
      </c>
      <c r="H22" s="42"/>
    </row>
    <row r="23" spans="2:8" x14ac:dyDescent="0.2">
      <c r="B23" s="36" t="s">
        <v>89</v>
      </c>
      <c r="C23" s="36" t="s">
        <v>90</v>
      </c>
      <c r="D23" s="36" t="s">
        <v>91</v>
      </c>
      <c r="E23" s="41">
        <v>164318</v>
      </c>
      <c r="F23" s="38">
        <v>411.74804440000003</v>
      </c>
      <c r="G23" s="39">
        <v>1.6689756932638</v>
      </c>
      <c r="H23" s="42"/>
    </row>
    <row r="24" spans="2:8" x14ac:dyDescent="0.2">
      <c r="B24" s="36" t="s">
        <v>163</v>
      </c>
      <c r="C24" s="36" t="s">
        <v>164</v>
      </c>
      <c r="D24" s="36" t="s">
        <v>39</v>
      </c>
      <c r="E24" s="41">
        <v>2993</v>
      </c>
      <c r="F24" s="38">
        <v>392.89111000000003</v>
      </c>
      <c r="G24" s="39">
        <v>1.5925411707661099</v>
      </c>
      <c r="H24" s="42"/>
    </row>
    <row r="25" spans="2:8" x14ac:dyDescent="0.2">
      <c r="B25" s="36" t="s">
        <v>60</v>
      </c>
      <c r="C25" s="36" t="s">
        <v>61</v>
      </c>
      <c r="D25" s="36" t="s">
        <v>62</v>
      </c>
      <c r="E25" s="41">
        <v>188543</v>
      </c>
      <c r="F25" s="38">
        <v>392.20714859999998</v>
      </c>
      <c r="G25" s="39">
        <v>1.58976880798928</v>
      </c>
      <c r="H25" s="42"/>
    </row>
    <row r="26" spans="2:8" x14ac:dyDescent="0.2">
      <c r="B26" s="36" t="s">
        <v>97</v>
      </c>
      <c r="C26" s="36" t="s">
        <v>98</v>
      </c>
      <c r="D26" s="36" t="s">
        <v>99</v>
      </c>
      <c r="E26" s="41">
        <v>9413</v>
      </c>
      <c r="F26" s="38">
        <v>383.57033699999999</v>
      </c>
      <c r="G26" s="39">
        <v>1.55476043618583</v>
      </c>
      <c r="H26" s="42"/>
    </row>
    <row r="27" spans="2:8" x14ac:dyDescent="0.2">
      <c r="B27" s="36" t="s">
        <v>431</v>
      </c>
      <c r="C27" s="36" t="s">
        <v>432</v>
      </c>
      <c r="D27" s="36" t="s">
        <v>139</v>
      </c>
      <c r="E27" s="41">
        <v>33018</v>
      </c>
      <c r="F27" s="38">
        <v>372.01380599999999</v>
      </c>
      <c r="G27" s="39">
        <v>1.50791730092442</v>
      </c>
      <c r="H27" s="42"/>
    </row>
    <row r="28" spans="2:8" x14ac:dyDescent="0.2">
      <c r="B28" s="36" t="s">
        <v>433</v>
      </c>
      <c r="C28" s="36" t="s">
        <v>434</v>
      </c>
      <c r="D28" s="36" t="s">
        <v>435</v>
      </c>
      <c r="E28" s="41">
        <v>81704</v>
      </c>
      <c r="F28" s="38">
        <v>335.59917999999999</v>
      </c>
      <c r="G28" s="39">
        <v>1.3603145946095501</v>
      </c>
      <c r="H28" s="42"/>
    </row>
    <row r="29" spans="2:8" x14ac:dyDescent="0.2">
      <c r="B29" s="36" t="s">
        <v>72</v>
      </c>
      <c r="C29" s="36" t="s">
        <v>73</v>
      </c>
      <c r="D29" s="36" t="s">
        <v>74</v>
      </c>
      <c r="E29" s="41">
        <v>2701</v>
      </c>
      <c r="F29" s="38">
        <v>310.12882000000002</v>
      </c>
      <c r="G29" s="39">
        <v>1.2570732743001301</v>
      </c>
      <c r="H29" s="42"/>
    </row>
    <row r="30" spans="2:8" x14ac:dyDescent="0.2">
      <c r="B30" s="36" t="s">
        <v>436</v>
      </c>
      <c r="C30" s="36" t="s">
        <v>437</v>
      </c>
      <c r="D30" s="36" t="s">
        <v>438</v>
      </c>
      <c r="E30" s="41">
        <v>16829</v>
      </c>
      <c r="F30" s="38">
        <v>303.69613399999997</v>
      </c>
      <c r="G30" s="39">
        <v>1.2309990847018699</v>
      </c>
      <c r="H30" s="42"/>
    </row>
    <row r="31" spans="2:8" x14ac:dyDescent="0.2">
      <c r="B31" s="36" t="s">
        <v>165</v>
      </c>
      <c r="C31" s="36" t="s">
        <v>166</v>
      </c>
      <c r="D31" s="36" t="s">
        <v>131</v>
      </c>
      <c r="E31" s="41">
        <v>31945</v>
      </c>
      <c r="F31" s="38">
        <v>302.56706750000001</v>
      </c>
      <c r="G31" s="39">
        <v>1.2264225370528701</v>
      </c>
      <c r="H31" s="42"/>
    </row>
    <row r="32" spans="2:8" x14ac:dyDescent="0.2">
      <c r="B32" s="36" t="s">
        <v>152</v>
      </c>
      <c r="C32" s="36" t="s">
        <v>153</v>
      </c>
      <c r="D32" s="36" t="s">
        <v>50</v>
      </c>
      <c r="E32" s="41">
        <v>103314</v>
      </c>
      <c r="F32" s="38">
        <v>300.17882700000001</v>
      </c>
      <c r="G32" s="39">
        <v>1.2167420652245799</v>
      </c>
      <c r="H32" s="42"/>
    </row>
    <row r="33" spans="2:8" x14ac:dyDescent="0.2">
      <c r="B33" s="36" t="s">
        <v>439</v>
      </c>
      <c r="C33" s="36" t="s">
        <v>440</v>
      </c>
      <c r="D33" s="36" t="s">
        <v>44</v>
      </c>
      <c r="E33" s="41">
        <v>24072</v>
      </c>
      <c r="F33" s="38">
        <v>284.964336</v>
      </c>
      <c r="G33" s="39">
        <v>1.1550717889239801</v>
      </c>
      <c r="H33" s="42"/>
    </row>
    <row r="34" spans="2:8" x14ac:dyDescent="0.2">
      <c r="B34" s="36" t="s">
        <v>143</v>
      </c>
      <c r="C34" s="36" t="s">
        <v>144</v>
      </c>
      <c r="D34" s="36" t="s">
        <v>99</v>
      </c>
      <c r="E34" s="41">
        <v>10314</v>
      </c>
      <c r="F34" s="38">
        <v>275.54882400000002</v>
      </c>
      <c r="G34" s="39">
        <v>1.11690704016231</v>
      </c>
      <c r="H34" s="42"/>
    </row>
    <row r="35" spans="2:8" x14ac:dyDescent="0.2">
      <c r="B35" s="36" t="s">
        <v>87</v>
      </c>
      <c r="C35" s="36" t="s">
        <v>88</v>
      </c>
      <c r="D35" s="36" t="s">
        <v>62</v>
      </c>
      <c r="E35" s="41">
        <v>21388</v>
      </c>
      <c r="F35" s="38">
        <v>273.33864</v>
      </c>
      <c r="G35" s="39">
        <v>1.10794830089492</v>
      </c>
      <c r="H35" s="42"/>
    </row>
    <row r="36" spans="2:8" x14ac:dyDescent="0.2">
      <c r="B36" s="36" t="s">
        <v>441</v>
      </c>
      <c r="C36" s="36" t="s">
        <v>442</v>
      </c>
      <c r="D36" s="36" t="s">
        <v>74</v>
      </c>
      <c r="E36" s="41">
        <v>8684</v>
      </c>
      <c r="F36" s="38">
        <v>271.14921600000002</v>
      </c>
      <c r="G36" s="39">
        <v>1.09907371001842</v>
      </c>
      <c r="H36" s="42"/>
    </row>
    <row r="37" spans="2:8" x14ac:dyDescent="0.2">
      <c r="B37" s="36" t="s">
        <v>443</v>
      </c>
      <c r="C37" s="36" t="s">
        <v>444</v>
      </c>
      <c r="D37" s="36" t="s">
        <v>39</v>
      </c>
      <c r="E37" s="41">
        <v>2528</v>
      </c>
      <c r="F37" s="38">
        <v>264.42880000000002</v>
      </c>
      <c r="G37" s="39">
        <v>1.0718332383144999</v>
      </c>
      <c r="H37" s="42"/>
    </row>
    <row r="38" spans="2:8" x14ac:dyDescent="0.2">
      <c r="B38" s="36" t="s">
        <v>445</v>
      </c>
      <c r="C38" s="36" t="s">
        <v>446</v>
      </c>
      <c r="D38" s="36" t="s">
        <v>447</v>
      </c>
      <c r="E38" s="41">
        <v>51791</v>
      </c>
      <c r="F38" s="38">
        <v>237.15098900000001</v>
      </c>
      <c r="G38" s="39">
        <v>0.96126561293382795</v>
      </c>
      <c r="H38" s="42"/>
    </row>
    <row r="39" spans="2:8" x14ac:dyDescent="0.2">
      <c r="B39" s="36" t="s">
        <v>100</v>
      </c>
      <c r="C39" s="36" t="s">
        <v>101</v>
      </c>
      <c r="D39" s="36" t="s">
        <v>102</v>
      </c>
      <c r="E39" s="41">
        <v>88612</v>
      </c>
      <c r="F39" s="38">
        <v>235.17624799999999</v>
      </c>
      <c r="G39" s="39">
        <v>0.95326121613263803</v>
      </c>
      <c r="H39" s="42"/>
    </row>
    <row r="40" spans="2:8" x14ac:dyDescent="0.2">
      <c r="B40" s="36" t="s">
        <v>448</v>
      </c>
      <c r="C40" s="36" t="s">
        <v>449</v>
      </c>
      <c r="D40" s="36" t="s">
        <v>131</v>
      </c>
      <c r="E40" s="41">
        <v>13166</v>
      </c>
      <c r="F40" s="38">
        <v>234.828776</v>
      </c>
      <c r="G40" s="39">
        <v>0.95185277635987597</v>
      </c>
      <c r="H40" s="42"/>
    </row>
    <row r="41" spans="2:8" x14ac:dyDescent="0.2">
      <c r="B41" s="36" t="s">
        <v>53</v>
      </c>
      <c r="C41" s="36" t="s">
        <v>54</v>
      </c>
      <c r="D41" s="36" t="s">
        <v>55</v>
      </c>
      <c r="E41" s="41">
        <v>16355</v>
      </c>
      <c r="F41" s="38">
        <v>232.48632499999999</v>
      </c>
      <c r="G41" s="39">
        <v>0.94235790726497004</v>
      </c>
      <c r="H41" s="42"/>
    </row>
    <row r="42" spans="2:8" x14ac:dyDescent="0.2">
      <c r="B42" s="36" t="s">
        <v>69</v>
      </c>
      <c r="C42" s="36" t="s">
        <v>70</v>
      </c>
      <c r="D42" s="36" t="s">
        <v>71</v>
      </c>
      <c r="E42" s="41">
        <v>5160</v>
      </c>
      <c r="F42" s="38">
        <v>227.298</v>
      </c>
      <c r="G42" s="39">
        <v>0.92132759896958805</v>
      </c>
      <c r="H42" s="42"/>
    </row>
    <row r="43" spans="2:8" x14ac:dyDescent="0.2">
      <c r="B43" s="36" t="s">
        <v>171</v>
      </c>
      <c r="C43" s="36" t="s">
        <v>172</v>
      </c>
      <c r="D43" s="36" t="s">
        <v>39</v>
      </c>
      <c r="E43" s="41">
        <v>3139</v>
      </c>
      <c r="F43" s="38">
        <v>225.28603000000001</v>
      </c>
      <c r="G43" s="39">
        <v>0.91317229848608705</v>
      </c>
      <c r="H43" s="42"/>
    </row>
    <row r="44" spans="2:8" x14ac:dyDescent="0.2">
      <c r="B44" s="36" t="s">
        <v>119</v>
      </c>
      <c r="C44" s="36" t="s">
        <v>120</v>
      </c>
      <c r="D44" s="36" t="s">
        <v>44</v>
      </c>
      <c r="E44" s="41">
        <v>14482</v>
      </c>
      <c r="F44" s="38">
        <v>214.89839799999999</v>
      </c>
      <c r="G44" s="39">
        <v>0.87106716755867097</v>
      </c>
      <c r="H44" s="42"/>
    </row>
    <row r="45" spans="2:8" x14ac:dyDescent="0.2">
      <c r="B45" s="36" t="s">
        <v>450</v>
      </c>
      <c r="C45" s="36" t="s">
        <v>451</v>
      </c>
      <c r="D45" s="36" t="s">
        <v>91</v>
      </c>
      <c r="E45" s="41">
        <v>5061</v>
      </c>
      <c r="F45" s="38">
        <v>213.77663999999999</v>
      </c>
      <c r="G45" s="39">
        <v>0.86652024411559203</v>
      </c>
      <c r="H45" s="42"/>
    </row>
    <row r="46" spans="2:8" x14ac:dyDescent="0.2">
      <c r="B46" s="36" t="s">
        <v>156</v>
      </c>
      <c r="C46" s="36" t="s">
        <v>157</v>
      </c>
      <c r="D46" s="36" t="s">
        <v>158</v>
      </c>
      <c r="E46" s="41">
        <v>6537</v>
      </c>
      <c r="F46" s="38">
        <v>192.01783800000001</v>
      </c>
      <c r="G46" s="39">
        <v>0.77832331848001901</v>
      </c>
      <c r="H46" s="42"/>
    </row>
    <row r="47" spans="2:8" x14ac:dyDescent="0.2">
      <c r="B47" s="36" t="s">
        <v>452</v>
      </c>
      <c r="C47" s="36" t="s">
        <v>453</v>
      </c>
      <c r="D47" s="36" t="s">
        <v>454</v>
      </c>
      <c r="E47" s="41">
        <v>2347</v>
      </c>
      <c r="F47" s="38">
        <v>191.902455</v>
      </c>
      <c r="G47" s="39">
        <v>0.77785562610106296</v>
      </c>
      <c r="H47" s="42"/>
    </row>
    <row r="48" spans="2:8" x14ac:dyDescent="0.2">
      <c r="B48" s="36" t="s">
        <v>455</v>
      </c>
      <c r="C48" s="36" t="s">
        <v>456</v>
      </c>
      <c r="D48" s="36" t="s">
        <v>39</v>
      </c>
      <c r="E48" s="41">
        <v>47775</v>
      </c>
      <c r="F48" s="38">
        <v>188.18572499999999</v>
      </c>
      <c r="G48" s="39">
        <v>0.76279026729052202</v>
      </c>
      <c r="H48" s="42"/>
    </row>
    <row r="49" spans="2:9" x14ac:dyDescent="0.2">
      <c r="B49" s="36" t="s">
        <v>110</v>
      </c>
      <c r="C49" s="36" t="s">
        <v>111</v>
      </c>
      <c r="D49" s="36" t="s">
        <v>112</v>
      </c>
      <c r="E49" s="41">
        <v>10245</v>
      </c>
      <c r="F49" s="38">
        <v>187.49374499999999</v>
      </c>
      <c r="G49" s="39">
        <v>0.75998540199502895</v>
      </c>
      <c r="H49" s="42"/>
    </row>
    <row r="50" spans="2:9" x14ac:dyDescent="0.2">
      <c r="B50" s="36" t="s">
        <v>154</v>
      </c>
      <c r="C50" s="36" t="s">
        <v>155</v>
      </c>
      <c r="D50" s="36" t="s">
        <v>82</v>
      </c>
      <c r="E50" s="41">
        <v>13901</v>
      </c>
      <c r="F50" s="38">
        <v>181.199535</v>
      </c>
      <c r="G50" s="39">
        <v>0.73447250972712397</v>
      </c>
      <c r="H50" s="42"/>
    </row>
    <row r="51" spans="2:9" x14ac:dyDescent="0.2">
      <c r="B51" s="36" t="s">
        <v>457</v>
      </c>
      <c r="C51" s="36" t="s">
        <v>458</v>
      </c>
      <c r="D51" s="36" t="s">
        <v>82</v>
      </c>
      <c r="E51" s="41">
        <v>12834</v>
      </c>
      <c r="F51" s="38">
        <v>179.80434</v>
      </c>
      <c r="G51" s="39">
        <v>0.72881723929164099</v>
      </c>
      <c r="H51" s="42"/>
    </row>
    <row r="52" spans="2:9" x14ac:dyDescent="0.2">
      <c r="B52" s="36" t="s">
        <v>459</v>
      </c>
      <c r="C52" s="36" t="s">
        <v>460</v>
      </c>
      <c r="D52" s="36" t="s">
        <v>131</v>
      </c>
      <c r="E52" s="41">
        <v>74811</v>
      </c>
      <c r="F52" s="38">
        <v>178.7608845</v>
      </c>
      <c r="G52" s="39">
        <v>0.72458770647372495</v>
      </c>
      <c r="H52" s="42"/>
    </row>
    <row r="53" spans="2:9" x14ac:dyDescent="0.2">
      <c r="B53" s="36" t="s">
        <v>461</v>
      </c>
      <c r="C53" s="36" t="s">
        <v>462</v>
      </c>
      <c r="D53" s="36" t="s">
        <v>463</v>
      </c>
      <c r="E53" s="41">
        <v>14853</v>
      </c>
      <c r="F53" s="38">
        <v>175.02775199999999</v>
      </c>
      <c r="G53" s="39">
        <v>0.70945586192225396</v>
      </c>
      <c r="H53" s="42"/>
    </row>
    <row r="54" spans="2:9" x14ac:dyDescent="0.2">
      <c r="B54" s="36" t="s">
        <v>464</v>
      </c>
      <c r="C54" s="36" t="s">
        <v>465</v>
      </c>
      <c r="D54" s="36" t="s">
        <v>454</v>
      </c>
      <c r="E54" s="41">
        <v>16973</v>
      </c>
      <c r="F54" s="38">
        <v>163.806423</v>
      </c>
      <c r="G54" s="39">
        <v>0.66397143132973702</v>
      </c>
      <c r="H54" s="42"/>
    </row>
    <row r="55" spans="2:9" x14ac:dyDescent="0.2">
      <c r="B55" s="36" t="s">
        <v>466</v>
      </c>
      <c r="C55" s="36" t="s">
        <v>467</v>
      </c>
      <c r="D55" s="36" t="s">
        <v>112</v>
      </c>
      <c r="E55" s="41">
        <v>24530</v>
      </c>
      <c r="F55" s="38">
        <v>145.90443999999999</v>
      </c>
      <c r="G55" s="39">
        <v>0.59140769995425502</v>
      </c>
      <c r="H55" s="42"/>
    </row>
    <row r="56" spans="2:9" x14ac:dyDescent="0.2">
      <c r="B56" s="36" t="s">
        <v>468</v>
      </c>
      <c r="C56" s="36" t="s">
        <v>469</v>
      </c>
      <c r="D56" s="36" t="s">
        <v>44</v>
      </c>
      <c r="E56" s="41">
        <v>65190</v>
      </c>
      <c r="F56" s="38">
        <v>133.150575</v>
      </c>
      <c r="G56" s="39">
        <v>0.53971130219434404</v>
      </c>
      <c r="H56" s="42"/>
    </row>
    <row r="57" spans="2:9" ht="10.5" x14ac:dyDescent="0.25">
      <c r="B57" s="35" t="s">
        <v>180</v>
      </c>
      <c r="C57" s="35"/>
      <c r="D57" s="35"/>
      <c r="E57" s="43"/>
      <c r="F57" s="44">
        <f>SUM(F7:F56)</f>
        <v>24618.215599500007</v>
      </c>
      <c r="G57" s="45">
        <f>SUM(G7:G56)</f>
        <v>99.787246122724255</v>
      </c>
      <c r="H57" s="35"/>
      <c r="I57" s="26"/>
    </row>
    <row r="58" spans="2:9" ht="10.5" x14ac:dyDescent="0.25">
      <c r="B58" s="35" t="s">
        <v>181</v>
      </c>
      <c r="C58" s="35"/>
      <c r="D58" s="35"/>
      <c r="E58" s="43"/>
      <c r="F58" s="47" t="s">
        <v>182</v>
      </c>
      <c r="G58" s="48" t="s">
        <v>182</v>
      </c>
      <c r="H58" s="35"/>
      <c r="I58" s="26"/>
    </row>
    <row r="59" spans="2:9" ht="10.5" x14ac:dyDescent="0.25">
      <c r="B59" s="35" t="s">
        <v>180</v>
      </c>
      <c r="C59" s="35"/>
      <c r="D59" s="35"/>
      <c r="E59" s="43"/>
      <c r="F59" s="49" t="s">
        <v>182</v>
      </c>
      <c r="G59" s="50" t="s">
        <v>182</v>
      </c>
      <c r="H59" s="35"/>
      <c r="I59" s="26"/>
    </row>
    <row r="60" spans="2:9" ht="10.5" x14ac:dyDescent="0.25">
      <c r="B60" s="51" t="s">
        <v>183</v>
      </c>
      <c r="C60" s="51"/>
      <c r="D60" s="51"/>
      <c r="E60" s="52"/>
      <c r="F60" s="53">
        <f>F57</f>
        <v>24618.215599500007</v>
      </c>
      <c r="G60" s="54">
        <f>G57</f>
        <v>99.787246122724255</v>
      </c>
      <c r="H60" s="35"/>
      <c r="I60" s="26"/>
    </row>
    <row r="61" spans="2:9" ht="10.5" x14ac:dyDescent="0.25">
      <c r="B61" s="35" t="s">
        <v>184</v>
      </c>
      <c r="C61" s="35"/>
      <c r="D61" s="35"/>
      <c r="E61" s="43"/>
      <c r="F61" s="44">
        <v>95.643816700000002</v>
      </c>
      <c r="G61" s="45">
        <v>0.387681756973217</v>
      </c>
      <c r="H61" s="42">
        <v>5.3499999999999999E-2</v>
      </c>
      <c r="I61" s="27"/>
    </row>
    <row r="62" spans="2:9" x14ac:dyDescent="0.2">
      <c r="B62" s="36"/>
      <c r="C62" s="36"/>
      <c r="D62" s="36"/>
      <c r="E62" s="37"/>
      <c r="F62" s="38"/>
      <c r="G62" s="39"/>
      <c r="H62" s="36"/>
    </row>
    <row r="63" spans="2:9" ht="10.5" x14ac:dyDescent="0.25">
      <c r="B63" s="61" t="s">
        <v>187</v>
      </c>
      <c r="C63" s="61"/>
      <c r="D63" s="61"/>
      <c r="E63" s="62"/>
      <c r="F63" s="44">
        <f>F64-(F57+F61)</f>
        <v>-43.155938500007323</v>
      </c>
      <c r="G63" s="45">
        <f>G64-(G57+G61)</f>
        <v>-0.17492787969747781</v>
      </c>
      <c r="H63" s="35"/>
      <c r="I63" s="26"/>
    </row>
    <row r="64" spans="2:9" ht="10.5" x14ac:dyDescent="0.25">
      <c r="B64" s="55" t="s">
        <v>185</v>
      </c>
      <c r="C64" s="55"/>
      <c r="D64" s="55"/>
      <c r="E64" s="56"/>
      <c r="F64" s="57">
        <v>24670.703477700001</v>
      </c>
      <c r="G64" s="58">
        <v>100</v>
      </c>
      <c r="H64" s="60"/>
      <c r="I64" s="26"/>
    </row>
    <row r="66" spans="2:4" ht="10.5" x14ac:dyDescent="0.25">
      <c r="B66" s="26"/>
    </row>
    <row r="67" spans="2:4" ht="10.5" x14ac:dyDescent="0.25">
      <c r="B67" s="26"/>
    </row>
    <row r="69" spans="2:4" ht="10.5" x14ac:dyDescent="0.2">
      <c r="B69" s="90" t="s">
        <v>196</v>
      </c>
    </row>
    <row r="70" spans="2:4" ht="10.5" x14ac:dyDescent="0.2">
      <c r="B70" s="90"/>
    </row>
    <row r="71" spans="2:4" x14ac:dyDescent="0.2">
      <c r="B71" s="94" t="s">
        <v>1508</v>
      </c>
    </row>
    <row r="72" spans="2:4" x14ac:dyDescent="0.2">
      <c r="B72" s="94" t="s">
        <v>1515</v>
      </c>
    </row>
    <row r="73" spans="2:4" x14ac:dyDescent="0.2">
      <c r="B73" s="94" t="s">
        <v>1516</v>
      </c>
    </row>
    <row r="74" spans="2:4" ht="10.5" x14ac:dyDescent="0.2">
      <c r="B74" s="90"/>
    </row>
    <row r="75" spans="2:4" ht="10.5" x14ac:dyDescent="0.2">
      <c r="B75" s="100" t="s">
        <v>1510</v>
      </c>
      <c r="C75" s="105" t="s">
        <v>1511</v>
      </c>
      <c r="D75" s="150" t="s">
        <v>1563</v>
      </c>
    </row>
    <row r="76" spans="2:4" x14ac:dyDescent="0.2">
      <c r="B76" s="97" t="s">
        <v>1512</v>
      </c>
      <c r="C76" s="104">
        <v>9.6644000000000005</v>
      </c>
      <c r="D76" s="154">
        <v>9.4972999999999992</v>
      </c>
    </row>
    <row r="77" spans="2:4" ht="10.5" x14ac:dyDescent="0.2">
      <c r="B77" s="90"/>
    </row>
    <row r="78" spans="2:4" x14ac:dyDescent="0.2">
      <c r="B78" s="94" t="s">
        <v>1549</v>
      </c>
    </row>
    <row r="79" spans="2:4" x14ac:dyDescent="0.2">
      <c r="B79" s="94" t="s">
        <v>1574</v>
      </c>
    </row>
    <row r="80" spans="2:4" x14ac:dyDescent="0.2">
      <c r="B80" s="94" t="s">
        <v>1560</v>
      </c>
    </row>
    <row r="81" spans="2:7" ht="10.5" x14ac:dyDescent="0.25">
      <c r="B81" s="170" t="s">
        <v>1580</v>
      </c>
      <c r="E81" s="28"/>
    </row>
    <row r="82" spans="2:7" x14ac:dyDescent="0.2">
      <c r="B82" s="94" t="s">
        <v>1561</v>
      </c>
      <c r="E82" s="72"/>
    </row>
    <row r="86" spans="2:7" ht="10.5" x14ac:dyDescent="0.25">
      <c r="B86" s="26" t="s">
        <v>197</v>
      </c>
      <c r="E86" s="8"/>
      <c r="G86" s="87"/>
    </row>
    <row r="87" spans="2:7" x14ac:dyDescent="0.2">
      <c r="E87" s="8"/>
      <c r="G87" s="87"/>
    </row>
    <row r="88" spans="2:7" x14ac:dyDescent="0.2">
      <c r="E88" s="8"/>
      <c r="G88" s="87"/>
    </row>
    <row r="89" spans="2:7" x14ac:dyDescent="0.2">
      <c r="E89" s="8"/>
      <c r="G89" s="87"/>
    </row>
    <row r="90" spans="2:7" x14ac:dyDescent="0.2">
      <c r="E90" s="8"/>
      <c r="G90" s="87"/>
    </row>
    <row r="91" spans="2:7" x14ac:dyDescent="0.2">
      <c r="E91" s="8"/>
      <c r="G91" s="87"/>
    </row>
    <row r="92" spans="2:7" x14ac:dyDescent="0.2">
      <c r="E92" s="8"/>
      <c r="G92" s="87"/>
    </row>
    <row r="93" spans="2:7" x14ac:dyDescent="0.2">
      <c r="E93" s="8"/>
      <c r="G93" s="87"/>
    </row>
    <row r="94" spans="2:7" x14ac:dyDescent="0.2">
      <c r="E94" s="8"/>
      <c r="G94" s="87"/>
    </row>
    <row r="95" spans="2:7" x14ac:dyDescent="0.2">
      <c r="E95" s="8"/>
      <c r="G95" s="87"/>
    </row>
    <row r="96" spans="2:7" x14ac:dyDescent="0.2">
      <c r="E96" s="8"/>
      <c r="G96" s="87"/>
    </row>
    <row r="97" spans="2:7" x14ac:dyDescent="0.2">
      <c r="E97" s="8"/>
      <c r="G97" s="87"/>
    </row>
    <row r="98" spans="2:7" x14ac:dyDescent="0.2">
      <c r="E98" s="8"/>
      <c r="G98" s="87"/>
    </row>
    <row r="99" spans="2:7" x14ac:dyDescent="0.2">
      <c r="E99" s="8"/>
      <c r="G99" s="87"/>
    </row>
    <row r="100" spans="2:7" x14ac:dyDescent="0.2">
      <c r="E100" s="8"/>
      <c r="G100" s="87"/>
    </row>
    <row r="101" spans="2:7" x14ac:dyDescent="0.2">
      <c r="E101" s="8"/>
      <c r="G101" s="87"/>
    </row>
    <row r="102" spans="2:7" x14ac:dyDescent="0.2">
      <c r="E102" s="8"/>
      <c r="G102" s="87"/>
    </row>
    <row r="103" spans="2:7" ht="10.5" x14ac:dyDescent="0.2">
      <c r="B103" s="90" t="s">
        <v>1478</v>
      </c>
      <c r="E103" s="8"/>
      <c r="G103" s="87"/>
    </row>
    <row r="104" spans="2:7" ht="10.5" x14ac:dyDescent="0.25">
      <c r="B104" s="91" t="s">
        <v>1487</v>
      </c>
      <c r="E104" s="8"/>
      <c r="G104" s="87"/>
    </row>
    <row r="105" spans="2:7" x14ac:dyDescent="0.2">
      <c r="E105" s="8"/>
      <c r="G105" s="87"/>
    </row>
    <row r="106" spans="2:7" x14ac:dyDescent="0.2">
      <c r="E106" s="8"/>
      <c r="G106" s="87"/>
    </row>
    <row r="107" spans="2:7" x14ac:dyDescent="0.2">
      <c r="E107" s="8"/>
      <c r="G107" s="87"/>
    </row>
    <row r="108" spans="2:7" x14ac:dyDescent="0.2">
      <c r="E108" s="8"/>
      <c r="G108" s="87"/>
    </row>
    <row r="109" spans="2:7" x14ac:dyDescent="0.2">
      <c r="E109" s="8"/>
      <c r="G109" s="87"/>
    </row>
    <row r="110" spans="2:7" x14ac:dyDescent="0.2">
      <c r="E110" s="8"/>
      <c r="G110" s="87"/>
    </row>
    <row r="111" spans="2:7" x14ac:dyDescent="0.2">
      <c r="E111" s="8"/>
      <c r="G111" s="87"/>
    </row>
    <row r="112" spans="2:7" x14ac:dyDescent="0.2">
      <c r="E112" s="8"/>
      <c r="G112" s="87"/>
    </row>
    <row r="113" spans="5:8" x14ac:dyDescent="0.2">
      <c r="E113" s="8"/>
      <c r="G113" s="87"/>
    </row>
    <row r="114" spans="5:8" x14ac:dyDescent="0.2">
      <c r="E114" s="8"/>
      <c r="G114" s="87"/>
    </row>
    <row r="115" spans="5:8" x14ac:dyDescent="0.2">
      <c r="E115" s="8"/>
      <c r="G115" s="87"/>
    </row>
    <row r="116" spans="5:8" x14ac:dyDescent="0.2">
      <c r="E116" s="8"/>
      <c r="G116" s="87"/>
    </row>
    <row r="117" spans="5:8" x14ac:dyDescent="0.2">
      <c r="E117" s="8"/>
      <c r="G117" s="87"/>
    </row>
    <row r="118" spans="5:8" x14ac:dyDescent="0.2">
      <c r="E118" s="8"/>
      <c r="G118" s="87"/>
    </row>
    <row r="119" spans="5:8" x14ac:dyDescent="0.2">
      <c r="E119" s="8"/>
      <c r="G119" s="87"/>
    </row>
    <row r="120" spans="5:8" x14ac:dyDescent="0.2">
      <c r="E120" s="8"/>
      <c r="G120" s="87"/>
    </row>
    <row r="121" spans="5:8" x14ac:dyDescent="0.2">
      <c r="E121" s="8"/>
      <c r="G121" s="87"/>
      <c r="H121" s="14"/>
    </row>
  </sheetData>
  <mergeCells count="1">
    <mergeCell ref="B1:C1"/>
  </mergeCells>
  <conditionalFormatting sqref="G1:G3">
    <cfRule type="cellIs" dxfId="8" priority="2" stopIfTrue="1" operator="between">
      <formula>0.009</formula>
      <formula>-0.009</formula>
    </cfRule>
  </conditionalFormatting>
  <conditionalFormatting sqref="G5:G120">
    <cfRule type="cellIs" dxfId="7" priority="1" stopIfTrue="1" operator="between">
      <formula>0.009</formula>
      <formula>-0.009</formula>
    </cfRule>
  </conditionalFormatting>
  <hyperlinks>
    <hyperlink ref="A2" location="Index!A1" display="-" xr:uid="{B01A3A1E-8F98-4892-8059-5EEC8F5D35FC}"/>
  </hyperlinks>
  <pageMargins left="0.7" right="0.7" top="0.75" bottom="0.75" header="0.3" footer="0.3"/>
  <pageSetup paperSize="9" scale="58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7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41DA-4AF1-4D1B-AFBF-B7B50D3E947C}">
  <dimension ref="A1:I128"/>
  <sheetViews>
    <sheetView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52.7265625" style="8" bestFit="1" customWidth="1"/>
    <col min="3" max="3" width="18.453125" style="8" bestFit="1" customWidth="1"/>
    <col min="4" max="4" width="35.54296875" style="8" bestFit="1" customWidth="1"/>
    <col min="5" max="5" width="13.90625" style="9" bestFit="1" customWidth="1"/>
    <col min="6" max="6" width="12.7265625" style="11" bestFit="1" customWidth="1"/>
    <col min="7" max="7" width="6.7265625" style="18" bestFit="1" customWidth="1"/>
    <col min="8" max="8" width="13.90625" style="8" bestFit="1" customWidth="1"/>
    <col min="9" max="16384" width="9.08984375" style="8"/>
  </cols>
  <sheetData>
    <row r="1" spans="1:9" s="1" customFormat="1" ht="16.75" customHeight="1" x14ac:dyDescent="0.35">
      <c r="B1" s="185" t="s">
        <v>18</v>
      </c>
      <c r="C1" s="186"/>
      <c r="D1" s="13"/>
      <c r="E1" s="6"/>
      <c r="F1" s="7"/>
      <c r="G1" s="18"/>
    </row>
    <row r="2" spans="1:9" s="1" customFormat="1" ht="14.5" x14ac:dyDescent="0.35">
      <c r="A2" s="85" t="s">
        <v>1494</v>
      </c>
      <c r="E2" s="6"/>
      <c r="F2" s="7"/>
      <c r="G2" s="18"/>
    </row>
    <row r="3" spans="1:9" s="1" customFormat="1" ht="11.5" x14ac:dyDescent="0.25">
      <c r="B3" s="10" t="s">
        <v>9</v>
      </c>
      <c r="C3" s="2"/>
      <c r="D3" s="3"/>
      <c r="E3" s="4"/>
      <c r="F3" s="5"/>
      <c r="G3" s="18"/>
    </row>
    <row r="4" spans="1:9" s="1" customFormat="1" ht="25.5" customHeight="1" x14ac:dyDescent="0.25">
      <c r="B4" s="29" t="s">
        <v>7</v>
      </c>
      <c r="C4" s="29" t="s">
        <v>8</v>
      </c>
      <c r="D4" s="30" t="s">
        <v>190</v>
      </c>
      <c r="E4" s="31" t="s">
        <v>0</v>
      </c>
      <c r="F4" s="32" t="s">
        <v>4</v>
      </c>
      <c r="G4" s="33" t="s">
        <v>5</v>
      </c>
      <c r="H4" s="82" t="s">
        <v>6</v>
      </c>
      <c r="I4" s="12"/>
    </row>
    <row r="5" spans="1:9" ht="10.5" x14ac:dyDescent="0.25">
      <c r="B5" s="35" t="s">
        <v>24</v>
      </c>
      <c r="C5" s="36"/>
      <c r="D5" s="36"/>
      <c r="E5" s="37"/>
      <c r="F5" s="38"/>
      <c r="G5" s="39"/>
      <c r="H5" s="36"/>
    </row>
    <row r="6" spans="1:9" ht="10.5" x14ac:dyDescent="0.25">
      <c r="B6" s="35" t="s">
        <v>25</v>
      </c>
      <c r="C6" s="36"/>
      <c r="D6" s="36"/>
      <c r="E6" s="37"/>
      <c r="F6" s="38"/>
      <c r="G6" s="39"/>
      <c r="H6" s="36"/>
    </row>
    <row r="7" spans="1:9" x14ac:dyDescent="0.2">
      <c r="B7" s="36" t="s">
        <v>470</v>
      </c>
      <c r="C7" s="36" t="s">
        <v>471</v>
      </c>
      <c r="D7" s="36" t="s">
        <v>50</v>
      </c>
      <c r="E7" s="41">
        <v>324092</v>
      </c>
      <c r="F7" s="38">
        <v>788.74270039999999</v>
      </c>
      <c r="G7" s="39">
        <v>4.0016958929032</v>
      </c>
      <c r="H7" s="42"/>
    </row>
    <row r="8" spans="1:9" x14ac:dyDescent="0.2">
      <c r="B8" s="36" t="s">
        <v>472</v>
      </c>
      <c r="C8" s="36" t="s">
        <v>473</v>
      </c>
      <c r="D8" s="36" t="s">
        <v>82</v>
      </c>
      <c r="E8" s="41">
        <v>9957</v>
      </c>
      <c r="F8" s="38">
        <v>663.83318999999995</v>
      </c>
      <c r="G8" s="39">
        <v>3.36796593952457</v>
      </c>
      <c r="H8" s="42"/>
    </row>
    <row r="9" spans="1:9" x14ac:dyDescent="0.2">
      <c r="B9" s="36" t="s">
        <v>474</v>
      </c>
      <c r="C9" s="36" t="s">
        <v>475</v>
      </c>
      <c r="D9" s="36" t="s">
        <v>435</v>
      </c>
      <c r="E9" s="41">
        <v>14866</v>
      </c>
      <c r="F9" s="38">
        <v>639.802908</v>
      </c>
      <c r="G9" s="39">
        <v>3.24604800515137</v>
      </c>
      <c r="H9" s="42"/>
    </row>
    <row r="10" spans="1:9" x14ac:dyDescent="0.2">
      <c r="B10" s="36" t="s">
        <v>476</v>
      </c>
      <c r="C10" s="36" t="s">
        <v>477</v>
      </c>
      <c r="D10" s="36" t="s">
        <v>478</v>
      </c>
      <c r="E10" s="41">
        <v>10584</v>
      </c>
      <c r="F10" s="38">
        <v>622.44503999999995</v>
      </c>
      <c r="G10" s="39">
        <v>3.1579826461313401</v>
      </c>
      <c r="H10" s="42"/>
    </row>
    <row r="11" spans="1:9" x14ac:dyDescent="0.2">
      <c r="B11" s="36" t="s">
        <v>113</v>
      </c>
      <c r="C11" s="36" t="s">
        <v>114</v>
      </c>
      <c r="D11" s="36" t="s">
        <v>96</v>
      </c>
      <c r="E11" s="41">
        <v>163760</v>
      </c>
      <c r="F11" s="38">
        <v>621.4692</v>
      </c>
      <c r="G11" s="39">
        <v>3.15303170976369</v>
      </c>
      <c r="H11" s="42"/>
    </row>
    <row r="12" spans="1:9" x14ac:dyDescent="0.2">
      <c r="B12" s="36" t="s">
        <v>479</v>
      </c>
      <c r="C12" s="36" t="s">
        <v>480</v>
      </c>
      <c r="D12" s="36" t="s">
        <v>39</v>
      </c>
      <c r="E12" s="41">
        <v>18402</v>
      </c>
      <c r="F12" s="38">
        <v>617.51591399999995</v>
      </c>
      <c r="G12" s="39">
        <v>3.1329746641115999</v>
      </c>
      <c r="H12" s="42"/>
    </row>
    <row r="13" spans="1:9" x14ac:dyDescent="0.2">
      <c r="B13" s="36" t="s">
        <v>481</v>
      </c>
      <c r="C13" s="36" t="s">
        <v>482</v>
      </c>
      <c r="D13" s="36" t="s">
        <v>147</v>
      </c>
      <c r="E13" s="41">
        <v>107238</v>
      </c>
      <c r="F13" s="38">
        <v>566.21663999999998</v>
      </c>
      <c r="G13" s="39">
        <v>2.87270715992981</v>
      </c>
      <c r="H13" s="42"/>
    </row>
    <row r="14" spans="1:9" x14ac:dyDescent="0.2">
      <c r="B14" s="36" t="s">
        <v>483</v>
      </c>
      <c r="C14" s="36" t="s">
        <v>484</v>
      </c>
      <c r="D14" s="36" t="s">
        <v>50</v>
      </c>
      <c r="E14" s="41">
        <v>131175</v>
      </c>
      <c r="F14" s="38">
        <v>551.91881249999994</v>
      </c>
      <c r="G14" s="39">
        <v>2.8001669544164298</v>
      </c>
      <c r="H14" s="42"/>
    </row>
    <row r="15" spans="1:9" x14ac:dyDescent="0.2">
      <c r="B15" s="36" t="s">
        <v>485</v>
      </c>
      <c r="C15" s="36" t="s">
        <v>486</v>
      </c>
      <c r="D15" s="36" t="s">
        <v>131</v>
      </c>
      <c r="E15" s="41">
        <v>33557</v>
      </c>
      <c r="F15" s="38">
        <v>516.005989</v>
      </c>
      <c r="G15" s="39">
        <v>2.6179627980678202</v>
      </c>
      <c r="H15" s="42"/>
    </row>
    <row r="16" spans="1:9" x14ac:dyDescent="0.2">
      <c r="B16" s="36" t="s">
        <v>105</v>
      </c>
      <c r="C16" s="36" t="s">
        <v>106</v>
      </c>
      <c r="D16" s="36" t="s">
        <v>65</v>
      </c>
      <c r="E16" s="41">
        <v>346784</v>
      </c>
      <c r="F16" s="38">
        <v>505.40300159999998</v>
      </c>
      <c r="G16" s="39">
        <v>2.5641684097209398</v>
      </c>
      <c r="H16" s="42"/>
    </row>
    <row r="17" spans="2:8" x14ac:dyDescent="0.2">
      <c r="B17" s="36" t="s">
        <v>487</v>
      </c>
      <c r="C17" s="36" t="s">
        <v>488</v>
      </c>
      <c r="D17" s="36" t="s">
        <v>179</v>
      </c>
      <c r="E17" s="41">
        <v>53759</v>
      </c>
      <c r="F17" s="38">
        <v>493.21194550000001</v>
      </c>
      <c r="G17" s="39">
        <v>2.5023169350882402</v>
      </c>
      <c r="H17" s="42"/>
    </row>
    <row r="18" spans="2:8" x14ac:dyDescent="0.2">
      <c r="B18" s="36" t="s">
        <v>489</v>
      </c>
      <c r="C18" s="36" t="s">
        <v>490</v>
      </c>
      <c r="D18" s="36" t="s">
        <v>131</v>
      </c>
      <c r="E18" s="41">
        <v>114094</v>
      </c>
      <c r="F18" s="38">
        <v>489.00688400000001</v>
      </c>
      <c r="G18" s="39">
        <v>2.4809825033078599</v>
      </c>
      <c r="H18" s="42"/>
    </row>
    <row r="19" spans="2:8" x14ac:dyDescent="0.2">
      <c r="B19" s="36" t="s">
        <v>56</v>
      </c>
      <c r="C19" s="36" t="s">
        <v>57</v>
      </c>
      <c r="D19" s="36" t="s">
        <v>55</v>
      </c>
      <c r="E19" s="41">
        <v>9232</v>
      </c>
      <c r="F19" s="38">
        <v>480.47944000000001</v>
      </c>
      <c r="G19" s="39">
        <v>2.4377184101955498</v>
      </c>
      <c r="H19" s="42"/>
    </row>
    <row r="20" spans="2:8" x14ac:dyDescent="0.2">
      <c r="B20" s="36" t="s">
        <v>134</v>
      </c>
      <c r="C20" s="36" t="s">
        <v>135</v>
      </c>
      <c r="D20" s="36" t="s">
        <v>36</v>
      </c>
      <c r="E20" s="41">
        <v>158804</v>
      </c>
      <c r="F20" s="38">
        <v>473.394724</v>
      </c>
      <c r="G20" s="39">
        <v>2.4017740155213301</v>
      </c>
      <c r="H20" s="42"/>
    </row>
    <row r="21" spans="2:8" x14ac:dyDescent="0.2">
      <c r="B21" s="36" t="s">
        <v>107</v>
      </c>
      <c r="C21" s="36" t="s">
        <v>108</v>
      </c>
      <c r="D21" s="36" t="s">
        <v>109</v>
      </c>
      <c r="E21" s="41">
        <v>133141</v>
      </c>
      <c r="F21" s="38">
        <v>469.45516600000002</v>
      </c>
      <c r="G21" s="39">
        <v>2.3817866190478498</v>
      </c>
      <c r="H21" s="42"/>
    </row>
    <row r="22" spans="2:8" x14ac:dyDescent="0.2">
      <c r="B22" s="36" t="s">
        <v>491</v>
      </c>
      <c r="C22" s="36" t="s">
        <v>492</v>
      </c>
      <c r="D22" s="36" t="s">
        <v>91</v>
      </c>
      <c r="E22" s="41">
        <v>11536</v>
      </c>
      <c r="F22" s="38">
        <v>467.72712000000001</v>
      </c>
      <c r="G22" s="39">
        <v>2.3730193561908499</v>
      </c>
      <c r="H22" s="42"/>
    </row>
    <row r="23" spans="2:8" x14ac:dyDescent="0.2">
      <c r="B23" s="36" t="s">
        <v>493</v>
      </c>
      <c r="C23" s="36" t="s">
        <v>494</v>
      </c>
      <c r="D23" s="36" t="s">
        <v>495</v>
      </c>
      <c r="E23" s="41">
        <v>68805</v>
      </c>
      <c r="F23" s="38">
        <v>450.15671250000003</v>
      </c>
      <c r="G23" s="39">
        <v>2.2838756753761502</v>
      </c>
      <c r="H23" s="42"/>
    </row>
    <row r="24" spans="2:8" x14ac:dyDescent="0.2">
      <c r="B24" s="36" t="s">
        <v>496</v>
      </c>
      <c r="C24" s="36" t="s">
        <v>497</v>
      </c>
      <c r="D24" s="36" t="s">
        <v>79</v>
      </c>
      <c r="E24" s="41">
        <v>15964</v>
      </c>
      <c r="F24" s="38">
        <v>426.925252</v>
      </c>
      <c r="G24" s="39">
        <v>2.16601057181088</v>
      </c>
      <c r="H24" s="42"/>
    </row>
    <row r="25" spans="2:8" x14ac:dyDescent="0.2">
      <c r="B25" s="36" t="s">
        <v>498</v>
      </c>
      <c r="C25" s="36" t="s">
        <v>499</v>
      </c>
      <c r="D25" s="36" t="s">
        <v>50</v>
      </c>
      <c r="E25" s="41">
        <v>27183</v>
      </c>
      <c r="F25" s="38">
        <v>411.36033900000001</v>
      </c>
      <c r="G25" s="39">
        <v>2.08704179226604</v>
      </c>
      <c r="H25" s="42"/>
    </row>
    <row r="26" spans="2:8" x14ac:dyDescent="0.2">
      <c r="B26" s="36" t="s">
        <v>51</v>
      </c>
      <c r="C26" s="36" t="s">
        <v>52</v>
      </c>
      <c r="D26" s="36" t="s">
        <v>36</v>
      </c>
      <c r="E26" s="41">
        <v>292760</v>
      </c>
      <c r="F26" s="38">
        <v>410.56662399999999</v>
      </c>
      <c r="G26" s="39">
        <v>2.08301486934932</v>
      </c>
      <c r="H26" s="42"/>
    </row>
    <row r="27" spans="2:8" x14ac:dyDescent="0.2">
      <c r="B27" s="36" t="s">
        <v>500</v>
      </c>
      <c r="C27" s="36" t="s">
        <v>501</v>
      </c>
      <c r="D27" s="36" t="s">
        <v>28</v>
      </c>
      <c r="E27" s="41">
        <v>145369</v>
      </c>
      <c r="F27" s="38">
        <v>390.315765</v>
      </c>
      <c r="G27" s="39">
        <v>1.98027188453695</v>
      </c>
      <c r="H27" s="42"/>
    </row>
    <row r="28" spans="2:8" x14ac:dyDescent="0.2">
      <c r="B28" s="36" t="s">
        <v>502</v>
      </c>
      <c r="C28" s="36" t="s">
        <v>503</v>
      </c>
      <c r="D28" s="36" t="s">
        <v>50</v>
      </c>
      <c r="E28" s="41">
        <v>26270</v>
      </c>
      <c r="F28" s="38">
        <v>387.58758</v>
      </c>
      <c r="G28" s="39">
        <v>1.9664304040338101</v>
      </c>
      <c r="H28" s="42"/>
    </row>
    <row r="29" spans="2:8" x14ac:dyDescent="0.2">
      <c r="B29" s="36" t="s">
        <v>504</v>
      </c>
      <c r="C29" s="36" t="s">
        <v>505</v>
      </c>
      <c r="D29" s="36" t="s">
        <v>82</v>
      </c>
      <c r="E29" s="41">
        <v>8196</v>
      </c>
      <c r="F29" s="38">
        <v>361.50916799999999</v>
      </c>
      <c r="G29" s="39">
        <v>1.8341212566516401</v>
      </c>
      <c r="H29" s="42"/>
    </row>
    <row r="30" spans="2:8" x14ac:dyDescent="0.2">
      <c r="B30" s="36" t="s">
        <v>506</v>
      </c>
      <c r="C30" s="36" t="s">
        <v>507</v>
      </c>
      <c r="D30" s="36" t="s">
        <v>508</v>
      </c>
      <c r="E30" s="41">
        <v>24302</v>
      </c>
      <c r="F30" s="38">
        <v>360.350056</v>
      </c>
      <c r="G30" s="39">
        <v>1.8282404875142999</v>
      </c>
      <c r="H30" s="42"/>
    </row>
    <row r="31" spans="2:8" x14ac:dyDescent="0.2">
      <c r="B31" s="36" t="s">
        <v>509</v>
      </c>
      <c r="C31" s="36" t="s">
        <v>510</v>
      </c>
      <c r="D31" s="36" t="s">
        <v>131</v>
      </c>
      <c r="E31" s="41">
        <v>3392</v>
      </c>
      <c r="F31" s="38">
        <v>351.44511999999997</v>
      </c>
      <c r="G31" s="39">
        <v>1.78306118404855</v>
      </c>
      <c r="H31" s="42"/>
    </row>
    <row r="32" spans="2:8" x14ac:dyDescent="0.2">
      <c r="B32" s="36" t="s">
        <v>511</v>
      </c>
      <c r="C32" s="36" t="s">
        <v>512</v>
      </c>
      <c r="D32" s="36" t="s">
        <v>62</v>
      </c>
      <c r="E32" s="41">
        <v>29019</v>
      </c>
      <c r="F32" s="38">
        <v>350.31736799999999</v>
      </c>
      <c r="G32" s="39">
        <v>1.7773395202609501</v>
      </c>
      <c r="H32" s="42"/>
    </row>
    <row r="33" spans="2:8" x14ac:dyDescent="0.2">
      <c r="B33" s="36" t="s">
        <v>513</v>
      </c>
      <c r="C33" s="36" t="s">
        <v>514</v>
      </c>
      <c r="D33" s="36" t="s">
        <v>508</v>
      </c>
      <c r="E33" s="41">
        <v>1909</v>
      </c>
      <c r="F33" s="38">
        <v>348.33523000000002</v>
      </c>
      <c r="G33" s="39">
        <v>1.76728311848411</v>
      </c>
      <c r="H33" s="42"/>
    </row>
    <row r="34" spans="2:8" x14ac:dyDescent="0.2">
      <c r="B34" s="36" t="s">
        <v>515</v>
      </c>
      <c r="C34" s="36" t="s">
        <v>516</v>
      </c>
      <c r="D34" s="36" t="s">
        <v>517</v>
      </c>
      <c r="E34" s="41">
        <v>211358</v>
      </c>
      <c r="F34" s="38">
        <v>347.70504579999999</v>
      </c>
      <c r="G34" s="39">
        <v>1.7640858711135401</v>
      </c>
      <c r="H34" s="42"/>
    </row>
    <row r="35" spans="2:8" x14ac:dyDescent="0.2">
      <c r="B35" s="36" t="s">
        <v>518</v>
      </c>
      <c r="C35" s="36" t="s">
        <v>519</v>
      </c>
      <c r="D35" s="36" t="s">
        <v>28</v>
      </c>
      <c r="E35" s="41">
        <v>264175</v>
      </c>
      <c r="F35" s="38">
        <v>345.54090000000002</v>
      </c>
      <c r="G35" s="39">
        <v>1.75310605050143</v>
      </c>
      <c r="H35" s="42"/>
    </row>
    <row r="36" spans="2:8" x14ac:dyDescent="0.2">
      <c r="B36" s="36" t="s">
        <v>520</v>
      </c>
      <c r="C36" s="36" t="s">
        <v>521</v>
      </c>
      <c r="D36" s="36" t="s">
        <v>131</v>
      </c>
      <c r="E36" s="41">
        <v>97869</v>
      </c>
      <c r="F36" s="38">
        <v>330.4546785</v>
      </c>
      <c r="G36" s="39">
        <v>1.67656591823097</v>
      </c>
      <c r="H36" s="42"/>
    </row>
    <row r="37" spans="2:8" x14ac:dyDescent="0.2">
      <c r="B37" s="36" t="s">
        <v>522</v>
      </c>
      <c r="C37" s="36" t="s">
        <v>523</v>
      </c>
      <c r="D37" s="36" t="s">
        <v>524</v>
      </c>
      <c r="E37" s="41">
        <v>31520</v>
      </c>
      <c r="F37" s="38">
        <v>324.43536</v>
      </c>
      <c r="G37" s="39">
        <v>1.6460268310136601</v>
      </c>
      <c r="H37" s="42"/>
    </row>
    <row r="38" spans="2:8" x14ac:dyDescent="0.2">
      <c r="B38" s="36" t="s">
        <v>525</v>
      </c>
      <c r="C38" s="36" t="s">
        <v>526</v>
      </c>
      <c r="D38" s="36" t="s">
        <v>179</v>
      </c>
      <c r="E38" s="41">
        <v>4110</v>
      </c>
      <c r="F38" s="38">
        <v>298.09829999999999</v>
      </c>
      <c r="G38" s="39">
        <v>1.5124054297890399</v>
      </c>
      <c r="H38" s="42"/>
    </row>
    <row r="39" spans="2:8" x14ac:dyDescent="0.2">
      <c r="B39" s="36" t="s">
        <v>527</v>
      </c>
      <c r="C39" s="36" t="s">
        <v>528</v>
      </c>
      <c r="D39" s="36" t="s">
        <v>529</v>
      </c>
      <c r="E39" s="41">
        <v>50265</v>
      </c>
      <c r="F39" s="38">
        <v>296.86509000000001</v>
      </c>
      <c r="G39" s="39">
        <v>1.5061487235278099</v>
      </c>
      <c r="H39" s="42"/>
    </row>
    <row r="40" spans="2:8" x14ac:dyDescent="0.2">
      <c r="B40" s="36" t="s">
        <v>167</v>
      </c>
      <c r="C40" s="36" t="s">
        <v>168</v>
      </c>
      <c r="D40" s="36" t="s">
        <v>44</v>
      </c>
      <c r="E40" s="41">
        <v>7270</v>
      </c>
      <c r="F40" s="38">
        <v>295.27832000000001</v>
      </c>
      <c r="G40" s="39">
        <v>1.4980982262125799</v>
      </c>
      <c r="H40" s="42"/>
    </row>
    <row r="41" spans="2:8" x14ac:dyDescent="0.2">
      <c r="B41" s="36" t="s">
        <v>161</v>
      </c>
      <c r="C41" s="36" t="s">
        <v>162</v>
      </c>
      <c r="D41" s="36" t="s">
        <v>147</v>
      </c>
      <c r="E41" s="41">
        <v>23144</v>
      </c>
      <c r="F41" s="38">
        <v>293.92880000000002</v>
      </c>
      <c r="G41" s="39">
        <v>1.4912514197208599</v>
      </c>
      <c r="H41" s="42"/>
    </row>
    <row r="42" spans="2:8" x14ac:dyDescent="0.2">
      <c r="B42" s="36" t="s">
        <v>530</v>
      </c>
      <c r="C42" s="36" t="s">
        <v>531</v>
      </c>
      <c r="D42" s="36" t="s">
        <v>28</v>
      </c>
      <c r="E42" s="41">
        <v>270175</v>
      </c>
      <c r="F42" s="38">
        <v>286.52058749999998</v>
      </c>
      <c r="G42" s="39">
        <v>1.45366576153351</v>
      </c>
      <c r="H42" s="42"/>
    </row>
    <row r="43" spans="2:8" x14ac:dyDescent="0.2">
      <c r="B43" s="36" t="s">
        <v>532</v>
      </c>
      <c r="C43" s="36" t="s">
        <v>533</v>
      </c>
      <c r="D43" s="36" t="s">
        <v>131</v>
      </c>
      <c r="E43" s="41">
        <v>8403</v>
      </c>
      <c r="F43" s="38">
        <v>280.903887</v>
      </c>
      <c r="G43" s="39">
        <v>1.42516936174291</v>
      </c>
      <c r="H43" s="42"/>
    </row>
    <row r="44" spans="2:8" x14ac:dyDescent="0.2">
      <c r="B44" s="36" t="s">
        <v>534</v>
      </c>
      <c r="C44" s="36" t="s">
        <v>535</v>
      </c>
      <c r="D44" s="36" t="s">
        <v>179</v>
      </c>
      <c r="E44" s="41">
        <v>6930</v>
      </c>
      <c r="F44" s="38">
        <v>268.33652999999998</v>
      </c>
      <c r="G44" s="39">
        <v>1.3614087198174201</v>
      </c>
      <c r="H44" s="42"/>
    </row>
    <row r="45" spans="2:8" x14ac:dyDescent="0.2">
      <c r="B45" s="36" t="s">
        <v>536</v>
      </c>
      <c r="C45" s="36" t="s">
        <v>537</v>
      </c>
      <c r="D45" s="36" t="s">
        <v>179</v>
      </c>
      <c r="E45" s="41">
        <v>6925</v>
      </c>
      <c r="F45" s="38">
        <v>266.197</v>
      </c>
      <c r="G45" s="39">
        <v>1.35055378777253</v>
      </c>
      <c r="H45" s="42"/>
    </row>
    <row r="46" spans="2:8" x14ac:dyDescent="0.2">
      <c r="B46" s="36" t="s">
        <v>538</v>
      </c>
      <c r="C46" s="36" t="s">
        <v>539</v>
      </c>
      <c r="D46" s="36" t="s">
        <v>74</v>
      </c>
      <c r="E46" s="41">
        <v>1048</v>
      </c>
      <c r="F46" s="38">
        <v>264.88200000000001</v>
      </c>
      <c r="G46" s="39">
        <v>1.34388211892983</v>
      </c>
      <c r="H46" s="42"/>
    </row>
    <row r="47" spans="2:8" x14ac:dyDescent="0.2">
      <c r="B47" s="36" t="s">
        <v>540</v>
      </c>
      <c r="C47" s="36" t="s">
        <v>541</v>
      </c>
      <c r="D47" s="36" t="s">
        <v>28</v>
      </c>
      <c r="E47" s="41">
        <v>151409</v>
      </c>
      <c r="F47" s="38">
        <v>254.18542919999999</v>
      </c>
      <c r="G47" s="39">
        <v>1.28961293404</v>
      </c>
      <c r="H47" s="42"/>
    </row>
    <row r="48" spans="2:8" x14ac:dyDescent="0.2">
      <c r="B48" s="36" t="s">
        <v>542</v>
      </c>
      <c r="C48" s="36" t="s">
        <v>543</v>
      </c>
      <c r="D48" s="36" t="s">
        <v>65</v>
      </c>
      <c r="E48" s="41">
        <v>680</v>
      </c>
      <c r="F48" s="38">
        <v>249.05</v>
      </c>
      <c r="G48" s="39">
        <v>1.2635582701711501</v>
      </c>
      <c r="H48" s="42"/>
    </row>
    <row r="49" spans="2:9" x14ac:dyDescent="0.2">
      <c r="B49" s="36" t="s">
        <v>544</v>
      </c>
      <c r="C49" s="36" t="s">
        <v>545</v>
      </c>
      <c r="D49" s="36" t="s">
        <v>139</v>
      </c>
      <c r="E49" s="41">
        <v>33968</v>
      </c>
      <c r="F49" s="38">
        <v>215.00045600000001</v>
      </c>
      <c r="G49" s="39">
        <v>1.0908074855224601</v>
      </c>
      <c r="H49" s="42"/>
    </row>
    <row r="50" spans="2:9" x14ac:dyDescent="0.2">
      <c r="B50" s="36" t="s">
        <v>546</v>
      </c>
      <c r="C50" s="36" t="s">
        <v>547</v>
      </c>
      <c r="D50" s="36" t="s">
        <v>39</v>
      </c>
      <c r="E50" s="41">
        <v>11173</v>
      </c>
      <c r="F50" s="38">
        <v>214.96852000000001</v>
      </c>
      <c r="G50" s="39">
        <v>1.0906454578295599</v>
      </c>
      <c r="H50" s="42"/>
    </row>
    <row r="51" spans="2:9" x14ac:dyDescent="0.2">
      <c r="B51" s="36" t="s">
        <v>548</v>
      </c>
      <c r="C51" s="36" t="s">
        <v>549</v>
      </c>
      <c r="D51" s="36" t="s">
        <v>74</v>
      </c>
      <c r="E51" s="41">
        <v>47787</v>
      </c>
      <c r="F51" s="38">
        <v>214.01407950000001</v>
      </c>
      <c r="G51" s="39">
        <v>1.0858030920911099</v>
      </c>
      <c r="H51" s="42"/>
    </row>
    <row r="52" spans="2:9" x14ac:dyDescent="0.2">
      <c r="B52" s="36" t="s">
        <v>550</v>
      </c>
      <c r="C52" s="36" t="s">
        <v>551</v>
      </c>
      <c r="D52" s="36" t="s">
        <v>82</v>
      </c>
      <c r="E52" s="41">
        <v>19601</v>
      </c>
      <c r="F52" s="38">
        <v>211.23997700000001</v>
      </c>
      <c r="G52" s="39">
        <v>1.07172864858106</v>
      </c>
      <c r="H52" s="42"/>
    </row>
    <row r="53" spans="2:9" x14ac:dyDescent="0.2">
      <c r="B53" s="36" t="s">
        <v>552</v>
      </c>
      <c r="C53" s="36" t="s">
        <v>553</v>
      </c>
      <c r="D53" s="36" t="s">
        <v>529</v>
      </c>
      <c r="E53" s="41">
        <v>22061</v>
      </c>
      <c r="F53" s="38">
        <v>206.954241</v>
      </c>
      <c r="G53" s="39">
        <v>1.0499849137223101</v>
      </c>
      <c r="H53" s="42"/>
    </row>
    <row r="54" spans="2:9" x14ac:dyDescent="0.2">
      <c r="B54" s="36" t="s">
        <v>554</v>
      </c>
      <c r="C54" s="36" t="s">
        <v>555</v>
      </c>
      <c r="D54" s="36" t="s">
        <v>131</v>
      </c>
      <c r="E54" s="41">
        <v>157613</v>
      </c>
      <c r="F54" s="38">
        <v>153.68843630000001</v>
      </c>
      <c r="G54" s="39">
        <v>0.77974019159420305</v>
      </c>
      <c r="H54" s="42"/>
    </row>
    <row r="55" spans="2:9" x14ac:dyDescent="0.2">
      <c r="B55" s="36" t="s">
        <v>1589</v>
      </c>
      <c r="C55" s="36" t="s">
        <v>138</v>
      </c>
      <c r="D55" s="36" t="s">
        <v>139</v>
      </c>
      <c r="E55" s="41">
        <v>126917</v>
      </c>
      <c r="F55" s="38">
        <v>153.60129929999999</v>
      </c>
      <c r="G55" s="39">
        <v>0.77929810094177299</v>
      </c>
      <c r="H55" s="42"/>
    </row>
    <row r="56" spans="2:9" x14ac:dyDescent="0.2">
      <c r="B56" s="36" t="s">
        <v>1591</v>
      </c>
      <c r="C56" s="36" t="s">
        <v>141</v>
      </c>
      <c r="D56" s="36" t="s">
        <v>102</v>
      </c>
      <c r="E56" s="41">
        <v>126917</v>
      </c>
      <c r="F56" s="38">
        <v>153.60129929999999</v>
      </c>
      <c r="G56" s="39">
        <v>0.77929810094177299</v>
      </c>
      <c r="H56" s="42"/>
    </row>
    <row r="57" spans="2:9" x14ac:dyDescent="0.2">
      <c r="B57" s="36" t="s">
        <v>1592</v>
      </c>
      <c r="C57" s="36" t="s">
        <v>142</v>
      </c>
      <c r="D57" s="36" t="s">
        <v>62</v>
      </c>
      <c r="E57" s="41">
        <v>126917</v>
      </c>
      <c r="F57" s="38">
        <v>153.60129929999999</v>
      </c>
      <c r="G57" s="39">
        <v>0.77929810094177299</v>
      </c>
      <c r="H57" s="42"/>
    </row>
    <row r="58" spans="2:9" x14ac:dyDescent="0.2">
      <c r="B58" s="36" t="s">
        <v>1590</v>
      </c>
      <c r="C58" s="36" t="s">
        <v>140</v>
      </c>
      <c r="D58" s="36" t="s">
        <v>50</v>
      </c>
      <c r="E58" s="41">
        <v>126917</v>
      </c>
      <c r="F58" s="38">
        <v>153.60129929999999</v>
      </c>
      <c r="G58" s="39">
        <v>0.77929810094177299</v>
      </c>
      <c r="H58" s="42"/>
    </row>
    <row r="59" spans="2:9" x14ac:dyDescent="0.2">
      <c r="B59" s="36" t="s">
        <v>556</v>
      </c>
      <c r="C59" s="36" t="s">
        <v>557</v>
      </c>
      <c r="D59" s="36" t="s">
        <v>558</v>
      </c>
      <c r="E59" s="41">
        <v>5953</v>
      </c>
      <c r="F59" s="38">
        <v>146.235445</v>
      </c>
      <c r="G59" s="39">
        <v>0.74192734760854395</v>
      </c>
      <c r="H59" s="42"/>
    </row>
    <row r="60" spans="2:9" x14ac:dyDescent="0.2">
      <c r="B60" s="36" t="s">
        <v>559</v>
      </c>
      <c r="C60" s="36" t="s">
        <v>560</v>
      </c>
      <c r="D60" s="36" t="s">
        <v>131</v>
      </c>
      <c r="E60" s="41">
        <v>33847</v>
      </c>
      <c r="F60" s="38">
        <v>103.53797299999999</v>
      </c>
      <c r="G60" s="39">
        <v>0.52530119277617704</v>
      </c>
      <c r="H60" s="42"/>
    </row>
    <row r="61" spans="2:9" ht="10.5" x14ac:dyDescent="0.25">
      <c r="B61" s="35" t="s">
        <v>180</v>
      </c>
      <c r="C61" s="35"/>
      <c r="D61" s="35"/>
      <c r="E61" s="43"/>
      <c r="F61" s="44">
        <f>SUM(F7:F60)</f>
        <v>19697.924142499996</v>
      </c>
      <c r="G61" s="45">
        <f>SUM(G7:G60)</f>
        <v>99.937662941014892</v>
      </c>
      <c r="H61" s="35"/>
      <c r="I61" s="26"/>
    </row>
    <row r="62" spans="2:9" ht="10.5" x14ac:dyDescent="0.25">
      <c r="B62" s="35" t="s">
        <v>181</v>
      </c>
      <c r="C62" s="35"/>
      <c r="D62" s="35"/>
      <c r="E62" s="43"/>
      <c r="F62" s="47" t="s">
        <v>182</v>
      </c>
      <c r="G62" s="48" t="s">
        <v>182</v>
      </c>
      <c r="H62" s="35"/>
      <c r="I62" s="26"/>
    </row>
    <row r="63" spans="2:9" ht="10.5" x14ac:dyDescent="0.25">
      <c r="B63" s="35" t="s">
        <v>180</v>
      </c>
      <c r="C63" s="35"/>
      <c r="D63" s="35"/>
      <c r="E63" s="43"/>
      <c r="F63" s="49" t="s">
        <v>182</v>
      </c>
      <c r="G63" s="50" t="s">
        <v>182</v>
      </c>
      <c r="H63" s="35"/>
      <c r="I63" s="26"/>
    </row>
    <row r="64" spans="2:9" ht="10.5" x14ac:dyDescent="0.25">
      <c r="B64" s="51" t="s">
        <v>183</v>
      </c>
      <c r="C64" s="51"/>
      <c r="D64" s="51"/>
      <c r="E64" s="52"/>
      <c r="F64" s="53">
        <f>F61</f>
        <v>19697.924142499996</v>
      </c>
      <c r="G64" s="54">
        <f>G61</f>
        <v>99.937662941014892</v>
      </c>
      <c r="H64" s="35"/>
      <c r="I64" s="26"/>
    </row>
    <row r="65" spans="2:9" ht="10.5" x14ac:dyDescent="0.25">
      <c r="B65" s="35" t="s">
        <v>184</v>
      </c>
      <c r="C65" s="35"/>
      <c r="D65" s="35"/>
      <c r="E65" s="43"/>
      <c r="F65" s="44">
        <v>98.188711299999994</v>
      </c>
      <c r="G65" s="45">
        <v>0.49816164706108002</v>
      </c>
      <c r="H65" s="42">
        <v>5.3499999999999999E-2</v>
      </c>
      <c r="I65" s="27"/>
    </row>
    <row r="66" spans="2:9" x14ac:dyDescent="0.2">
      <c r="B66" s="36"/>
      <c r="C66" s="36"/>
      <c r="D66" s="36"/>
      <c r="E66" s="37"/>
      <c r="F66" s="38"/>
      <c r="G66" s="39"/>
      <c r="H66" s="36"/>
    </row>
    <row r="67" spans="2:9" ht="10.5" x14ac:dyDescent="0.25">
      <c r="B67" s="61" t="s">
        <v>187</v>
      </c>
      <c r="C67" s="61"/>
      <c r="D67" s="61"/>
      <c r="E67" s="62"/>
      <c r="F67" s="44">
        <f>F68-(F61+F65)</f>
        <v>-85.901945499997964</v>
      </c>
      <c r="G67" s="45">
        <f>G68-(G61+G65)</f>
        <v>-0.43582458807597391</v>
      </c>
      <c r="H67" s="35"/>
      <c r="I67" s="26"/>
    </row>
    <row r="68" spans="2:9" ht="10.5" x14ac:dyDescent="0.25">
      <c r="B68" s="55" t="s">
        <v>185</v>
      </c>
      <c r="C68" s="55"/>
      <c r="D68" s="55"/>
      <c r="E68" s="56"/>
      <c r="F68" s="57">
        <v>19710.2109083</v>
      </c>
      <c r="G68" s="58">
        <v>100</v>
      </c>
      <c r="H68" s="60"/>
      <c r="I68" s="26"/>
    </row>
    <row r="70" spans="2:9" ht="10.5" x14ac:dyDescent="0.25">
      <c r="B70" s="26" t="s">
        <v>259</v>
      </c>
    </row>
    <row r="71" spans="2:9" ht="10.5" x14ac:dyDescent="0.25">
      <c r="B71" s="26"/>
    </row>
    <row r="72" spans="2:9" ht="10.5" x14ac:dyDescent="0.2">
      <c r="B72" s="90" t="s">
        <v>196</v>
      </c>
    </row>
    <row r="73" spans="2:9" ht="10.5" x14ac:dyDescent="0.2">
      <c r="B73" s="90"/>
    </row>
    <row r="74" spans="2:9" x14ac:dyDescent="0.2">
      <c r="B74" s="94" t="s">
        <v>1508</v>
      </c>
    </row>
    <row r="75" spans="2:9" x14ac:dyDescent="0.2">
      <c r="B75" s="94" t="s">
        <v>1515</v>
      </c>
    </row>
    <row r="76" spans="2:9" x14ac:dyDescent="0.2">
      <c r="B76" s="94" t="s">
        <v>1516</v>
      </c>
    </row>
    <row r="77" spans="2:9" ht="10.5" x14ac:dyDescent="0.2">
      <c r="B77" s="90"/>
    </row>
    <row r="78" spans="2:9" ht="10.5" x14ac:dyDescent="0.2">
      <c r="B78" s="100" t="s">
        <v>1510</v>
      </c>
      <c r="C78" s="150" t="s">
        <v>1511</v>
      </c>
      <c r="D78" s="150" t="s">
        <v>1563</v>
      </c>
    </row>
    <row r="79" spans="2:9" x14ac:dyDescent="0.2">
      <c r="B79" s="97" t="s">
        <v>1512</v>
      </c>
      <c r="C79" s="155">
        <v>10.37</v>
      </c>
      <c r="D79" s="151">
        <v>10.5845</v>
      </c>
    </row>
    <row r="80" spans="2:9" ht="10.5" x14ac:dyDescent="0.2">
      <c r="B80" s="90"/>
    </row>
    <row r="81" spans="2:7" x14ac:dyDescent="0.2">
      <c r="B81" s="94" t="s">
        <v>1549</v>
      </c>
    </row>
    <row r="82" spans="2:7" x14ac:dyDescent="0.2">
      <c r="B82" s="94" t="s">
        <v>1574</v>
      </c>
    </row>
    <row r="83" spans="2:7" x14ac:dyDescent="0.2">
      <c r="B83" s="94" t="s">
        <v>1560</v>
      </c>
    </row>
    <row r="84" spans="2:7" x14ac:dyDescent="0.2">
      <c r="B84" s="170" t="s">
        <v>1581</v>
      </c>
    </row>
    <row r="85" spans="2:7" x14ac:dyDescent="0.2">
      <c r="B85" s="94" t="s">
        <v>1561</v>
      </c>
    </row>
    <row r="86" spans="2:7" ht="10.5" x14ac:dyDescent="0.25">
      <c r="B86" s="26"/>
    </row>
    <row r="87" spans="2:7" ht="10.5" x14ac:dyDescent="0.25">
      <c r="B87" s="26"/>
    </row>
    <row r="88" spans="2:7" ht="10.5" x14ac:dyDescent="0.25">
      <c r="B88" s="26"/>
    </row>
    <row r="89" spans="2:7" ht="10.5" x14ac:dyDescent="0.25">
      <c r="B89" s="26"/>
    </row>
    <row r="90" spans="2:7" ht="10.5" x14ac:dyDescent="0.25">
      <c r="B90" s="26"/>
      <c r="C90" s="26"/>
      <c r="D90" s="71"/>
      <c r="E90" s="28"/>
    </row>
    <row r="91" spans="2:7" x14ac:dyDescent="0.2">
      <c r="D91" s="72"/>
      <c r="E91" s="72"/>
    </row>
    <row r="95" spans="2:7" ht="10.5" x14ac:dyDescent="0.25">
      <c r="B95" s="26" t="s">
        <v>197</v>
      </c>
      <c r="E95" s="8"/>
      <c r="G95" s="87"/>
    </row>
    <row r="96" spans="2:7" x14ac:dyDescent="0.2">
      <c r="E96" s="8"/>
      <c r="G96" s="87"/>
    </row>
    <row r="97" spans="2:7" x14ac:dyDescent="0.2">
      <c r="E97" s="8"/>
      <c r="G97" s="87"/>
    </row>
    <row r="98" spans="2:7" x14ac:dyDescent="0.2">
      <c r="E98" s="8"/>
      <c r="G98" s="87"/>
    </row>
    <row r="99" spans="2:7" x14ac:dyDescent="0.2">
      <c r="E99" s="8"/>
      <c r="G99" s="87"/>
    </row>
    <row r="100" spans="2:7" x14ac:dyDescent="0.2">
      <c r="E100" s="8"/>
      <c r="G100" s="87"/>
    </row>
    <row r="101" spans="2:7" x14ac:dyDescent="0.2">
      <c r="E101" s="8"/>
      <c r="G101" s="87"/>
    </row>
    <row r="102" spans="2:7" x14ac:dyDescent="0.2">
      <c r="E102" s="8"/>
      <c r="G102" s="87"/>
    </row>
    <row r="103" spans="2:7" x14ac:dyDescent="0.2">
      <c r="E103" s="8"/>
      <c r="G103" s="87"/>
    </row>
    <row r="104" spans="2:7" x14ac:dyDescent="0.2">
      <c r="E104" s="8"/>
      <c r="G104" s="87"/>
    </row>
    <row r="105" spans="2:7" x14ac:dyDescent="0.2">
      <c r="E105" s="8"/>
      <c r="G105" s="87"/>
    </row>
    <row r="106" spans="2:7" x14ac:dyDescent="0.2">
      <c r="E106" s="8"/>
      <c r="G106" s="87"/>
    </row>
    <row r="107" spans="2:7" x14ac:dyDescent="0.2">
      <c r="E107" s="8"/>
      <c r="G107" s="87"/>
    </row>
    <row r="108" spans="2:7" x14ac:dyDescent="0.2">
      <c r="E108" s="8"/>
      <c r="G108" s="87"/>
    </row>
    <row r="109" spans="2:7" x14ac:dyDescent="0.2">
      <c r="E109" s="8"/>
      <c r="G109" s="87"/>
    </row>
    <row r="110" spans="2:7" x14ac:dyDescent="0.2">
      <c r="E110" s="8"/>
      <c r="G110" s="87"/>
    </row>
    <row r="111" spans="2:7" ht="10.5" x14ac:dyDescent="0.2">
      <c r="B111" s="90" t="s">
        <v>1478</v>
      </c>
      <c r="E111" s="8"/>
      <c r="G111" s="87"/>
    </row>
    <row r="112" spans="2:7" ht="10.5" x14ac:dyDescent="0.25">
      <c r="B112" s="91" t="s">
        <v>1488</v>
      </c>
      <c r="E112" s="8"/>
      <c r="G112" s="87"/>
    </row>
    <row r="113" spans="5:7" x14ac:dyDescent="0.2">
      <c r="E113" s="8"/>
      <c r="G113" s="87"/>
    </row>
    <row r="114" spans="5:7" x14ac:dyDescent="0.2">
      <c r="E114" s="8"/>
      <c r="G114" s="87"/>
    </row>
    <row r="115" spans="5:7" x14ac:dyDescent="0.2">
      <c r="E115" s="8"/>
      <c r="G115" s="87"/>
    </row>
    <row r="116" spans="5:7" x14ac:dyDescent="0.2">
      <c r="E116" s="8"/>
      <c r="G116" s="87"/>
    </row>
    <row r="117" spans="5:7" x14ac:dyDescent="0.2">
      <c r="E117" s="8"/>
      <c r="G117" s="87"/>
    </row>
    <row r="118" spans="5:7" x14ac:dyDescent="0.2">
      <c r="E118" s="8"/>
      <c r="G118" s="87"/>
    </row>
    <row r="119" spans="5:7" x14ac:dyDescent="0.2">
      <c r="E119" s="8"/>
      <c r="G119" s="87"/>
    </row>
    <row r="120" spans="5:7" x14ac:dyDescent="0.2">
      <c r="E120" s="8"/>
      <c r="G120" s="87"/>
    </row>
    <row r="121" spans="5:7" x14ac:dyDescent="0.2">
      <c r="E121" s="8"/>
      <c r="G121" s="87"/>
    </row>
    <row r="122" spans="5:7" x14ac:dyDescent="0.2">
      <c r="E122" s="8"/>
      <c r="G122" s="87"/>
    </row>
    <row r="123" spans="5:7" x14ac:dyDescent="0.2">
      <c r="E123" s="8"/>
      <c r="G123" s="87"/>
    </row>
    <row r="124" spans="5:7" x14ac:dyDescent="0.2">
      <c r="E124" s="8"/>
      <c r="G124" s="87"/>
    </row>
    <row r="125" spans="5:7" x14ac:dyDescent="0.2">
      <c r="E125" s="8"/>
      <c r="G125" s="87"/>
    </row>
    <row r="126" spans="5:7" x14ac:dyDescent="0.2">
      <c r="E126" s="8"/>
      <c r="G126" s="87"/>
    </row>
    <row r="127" spans="5:7" x14ac:dyDescent="0.2">
      <c r="E127" s="8"/>
      <c r="G127" s="87"/>
    </row>
    <row r="128" spans="5:7" x14ac:dyDescent="0.2">
      <c r="E128" s="8"/>
      <c r="G128" s="87"/>
    </row>
  </sheetData>
  <mergeCells count="1">
    <mergeCell ref="B1:C1"/>
  </mergeCells>
  <conditionalFormatting sqref="G1:G3">
    <cfRule type="cellIs" dxfId="6" priority="2" stopIfTrue="1" operator="between">
      <formula>0.009</formula>
      <formula>-0.009</formula>
    </cfRule>
  </conditionalFormatting>
  <conditionalFormatting sqref="G5:G127">
    <cfRule type="cellIs" dxfId="5" priority="1" stopIfTrue="1" operator="between">
      <formula>0.009</formula>
      <formula>-0.009</formula>
    </cfRule>
  </conditionalFormatting>
  <hyperlinks>
    <hyperlink ref="A2" location="Index!A1" display="-" xr:uid="{4EEA4DC4-9201-4574-9FDD-7A42FE0EE5DE}"/>
  </hyperlinks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19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9BF59-35C8-41E5-BE8A-B501B08C4DA9}">
  <dimension ref="A1:I221"/>
  <sheetViews>
    <sheetView view="pageBreakPreview" zoomScale="90" zoomScaleNormal="100" zoomScaleSheetLayoutView="90" workbookViewId="0"/>
  </sheetViews>
  <sheetFormatPr defaultColWidth="9.08984375" defaultRowHeight="10" x14ac:dyDescent="0.2"/>
  <cols>
    <col min="1" max="1" width="7.1796875" style="8" customWidth="1"/>
    <col min="2" max="2" width="52.7265625" style="8" bestFit="1" customWidth="1"/>
    <col min="3" max="3" width="16.1796875" style="8" customWidth="1"/>
    <col min="4" max="4" width="32.1796875" style="8" bestFit="1" customWidth="1"/>
    <col min="5" max="5" width="13.90625" style="9" bestFit="1" customWidth="1"/>
    <col min="6" max="6" width="12.7265625" style="11" bestFit="1" customWidth="1"/>
    <col min="7" max="7" width="6.7265625" style="18" bestFit="1" customWidth="1"/>
    <col min="8" max="8" width="14.36328125" style="8" bestFit="1" customWidth="1"/>
    <col min="9" max="16384" width="9.08984375" style="8"/>
  </cols>
  <sheetData>
    <row r="1" spans="1:8" s="1" customFormat="1" ht="16.75" customHeight="1" x14ac:dyDescent="0.35">
      <c r="B1" s="185" t="s">
        <v>19</v>
      </c>
      <c r="C1" s="186"/>
      <c r="D1" s="13"/>
      <c r="E1" s="6"/>
      <c r="F1" s="7"/>
      <c r="G1" s="18"/>
    </row>
    <row r="2" spans="1:8" s="1" customFormat="1" ht="14.5" x14ac:dyDescent="0.35">
      <c r="A2" s="85" t="s">
        <v>1494</v>
      </c>
      <c r="E2" s="6"/>
      <c r="F2" s="7"/>
      <c r="G2" s="18"/>
    </row>
    <row r="3" spans="1:8" s="1" customFormat="1" ht="11.5" x14ac:dyDescent="0.25">
      <c r="B3" s="10" t="s">
        <v>9</v>
      </c>
      <c r="C3" s="2"/>
      <c r="D3" s="3"/>
      <c r="E3" s="4"/>
      <c r="F3" s="5"/>
      <c r="G3" s="18"/>
    </row>
    <row r="4" spans="1:8" s="1" customFormat="1" ht="25.5" customHeight="1" x14ac:dyDescent="0.25">
      <c r="B4" s="29" t="s">
        <v>7</v>
      </c>
      <c r="C4" s="29" t="s">
        <v>8</v>
      </c>
      <c r="D4" s="30" t="s">
        <v>190</v>
      </c>
      <c r="E4" s="31" t="s">
        <v>0</v>
      </c>
      <c r="F4" s="32" t="s">
        <v>4</v>
      </c>
      <c r="G4" s="33" t="s">
        <v>5</v>
      </c>
      <c r="H4" s="83" t="s">
        <v>6</v>
      </c>
    </row>
    <row r="5" spans="1:8" ht="10.5" x14ac:dyDescent="0.25">
      <c r="B5" s="35" t="s">
        <v>24</v>
      </c>
      <c r="C5" s="36"/>
      <c r="D5" s="36"/>
      <c r="E5" s="37"/>
      <c r="F5" s="38"/>
      <c r="G5" s="39"/>
      <c r="H5" s="36"/>
    </row>
    <row r="6" spans="1:8" ht="10.5" x14ac:dyDescent="0.25">
      <c r="B6" s="35" t="s">
        <v>25</v>
      </c>
      <c r="C6" s="36"/>
      <c r="D6" s="36"/>
      <c r="E6" s="37"/>
      <c r="F6" s="38"/>
      <c r="G6" s="39"/>
      <c r="H6" s="36"/>
    </row>
    <row r="7" spans="1:8" x14ac:dyDescent="0.2">
      <c r="B7" s="36" t="s">
        <v>561</v>
      </c>
      <c r="C7" s="36" t="s">
        <v>562</v>
      </c>
      <c r="D7" s="36" t="s">
        <v>79</v>
      </c>
      <c r="E7" s="41">
        <v>26363</v>
      </c>
      <c r="F7" s="38">
        <v>1093.036343</v>
      </c>
      <c r="G7" s="39">
        <v>4.2075941141761799</v>
      </c>
      <c r="H7" s="42"/>
    </row>
    <row r="8" spans="1:8" x14ac:dyDescent="0.2">
      <c r="B8" s="36" t="s">
        <v>77</v>
      </c>
      <c r="C8" s="36" t="s">
        <v>78</v>
      </c>
      <c r="D8" s="36" t="s">
        <v>79</v>
      </c>
      <c r="E8" s="41">
        <v>16459</v>
      </c>
      <c r="F8" s="38">
        <v>486.28115500000001</v>
      </c>
      <c r="G8" s="39">
        <v>1.8719173783344201</v>
      </c>
      <c r="H8" s="42"/>
    </row>
    <row r="9" spans="1:8" x14ac:dyDescent="0.2">
      <c r="B9" s="36" t="s">
        <v>85</v>
      </c>
      <c r="C9" s="36" t="s">
        <v>86</v>
      </c>
      <c r="D9" s="36" t="s">
        <v>28</v>
      </c>
      <c r="E9" s="41">
        <v>158803</v>
      </c>
      <c r="F9" s="38">
        <v>458.86126849999999</v>
      </c>
      <c r="G9" s="39">
        <v>1.76636576169546</v>
      </c>
      <c r="H9" s="42"/>
    </row>
    <row r="10" spans="1:8" x14ac:dyDescent="0.2">
      <c r="B10" s="36" t="s">
        <v>563</v>
      </c>
      <c r="C10" s="36" t="s">
        <v>564</v>
      </c>
      <c r="D10" s="36" t="s">
        <v>179</v>
      </c>
      <c r="E10" s="41">
        <v>783083</v>
      </c>
      <c r="F10" s="38">
        <v>446.27900169999998</v>
      </c>
      <c r="G10" s="39">
        <v>1.7179308930200401</v>
      </c>
      <c r="H10" s="42"/>
    </row>
    <row r="11" spans="1:8" x14ac:dyDescent="0.2">
      <c r="B11" s="36" t="s">
        <v>565</v>
      </c>
      <c r="C11" s="36" t="s">
        <v>566</v>
      </c>
      <c r="D11" s="36" t="s">
        <v>179</v>
      </c>
      <c r="E11" s="41">
        <v>7994</v>
      </c>
      <c r="F11" s="38">
        <v>411.57908400000002</v>
      </c>
      <c r="G11" s="39">
        <v>1.58435512455456</v>
      </c>
      <c r="H11" s="42"/>
    </row>
    <row r="12" spans="1:8" x14ac:dyDescent="0.2">
      <c r="B12" s="36" t="s">
        <v>103</v>
      </c>
      <c r="C12" s="36" t="s">
        <v>104</v>
      </c>
      <c r="D12" s="36" t="s">
        <v>39</v>
      </c>
      <c r="E12" s="41">
        <v>8374</v>
      </c>
      <c r="F12" s="38">
        <v>410.57722000000001</v>
      </c>
      <c r="G12" s="39">
        <v>1.5804984942635301</v>
      </c>
      <c r="H12" s="42"/>
    </row>
    <row r="13" spans="1:8" x14ac:dyDescent="0.2">
      <c r="B13" s="36" t="s">
        <v>177</v>
      </c>
      <c r="C13" s="36" t="s">
        <v>178</v>
      </c>
      <c r="D13" s="36" t="s">
        <v>179</v>
      </c>
      <c r="E13" s="41">
        <v>94173</v>
      </c>
      <c r="F13" s="38">
        <v>392.46597750000001</v>
      </c>
      <c r="G13" s="39">
        <v>1.51078008294863</v>
      </c>
      <c r="H13" s="42"/>
    </row>
    <row r="14" spans="1:8" x14ac:dyDescent="0.2">
      <c r="B14" s="36" t="s">
        <v>567</v>
      </c>
      <c r="C14" s="36" t="s">
        <v>568</v>
      </c>
      <c r="D14" s="36" t="s">
        <v>28</v>
      </c>
      <c r="E14" s="41">
        <v>42487</v>
      </c>
      <c r="F14" s="38">
        <v>388.47988450000003</v>
      </c>
      <c r="G14" s="39">
        <v>1.4954357976897099</v>
      </c>
      <c r="H14" s="42"/>
    </row>
    <row r="15" spans="1:8" x14ac:dyDescent="0.2">
      <c r="B15" s="36" t="s">
        <v>569</v>
      </c>
      <c r="C15" s="36" t="s">
        <v>570</v>
      </c>
      <c r="D15" s="36" t="s">
        <v>571</v>
      </c>
      <c r="E15" s="41">
        <v>21981</v>
      </c>
      <c r="F15" s="38">
        <v>374.22652499999998</v>
      </c>
      <c r="G15" s="39">
        <v>1.4405681330200799</v>
      </c>
      <c r="H15" s="42"/>
    </row>
    <row r="16" spans="1:8" x14ac:dyDescent="0.2">
      <c r="B16" s="36" t="s">
        <v>572</v>
      </c>
      <c r="C16" s="36" t="s">
        <v>573</v>
      </c>
      <c r="D16" s="36" t="s">
        <v>33</v>
      </c>
      <c r="E16" s="41">
        <v>83503</v>
      </c>
      <c r="F16" s="38">
        <v>369.12501150000003</v>
      </c>
      <c r="G16" s="39">
        <v>1.42093008684398</v>
      </c>
      <c r="H16" s="42"/>
    </row>
    <row r="17" spans="2:8" x14ac:dyDescent="0.2">
      <c r="B17" s="36" t="s">
        <v>574</v>
      </c>
      <c r="C17" s="36" t="s">
        <v>575</v>
      </c>
      <c r="D17" s="36" t="s">
        <v>44</v>
      </c>
      <c r="E17" s="41">
        <v>7019</v>
      </c>
      <c r="F17" s="38">
        <v>364.587917</v>
      </c>
      <c r="G17" s="39">
        <v>1.4034647461570799</v>
      </c>
      <c r="H17" s="42"/>
    </row>
    <row r="18" spans="2:8" x14ac:dyDescent="0.2">
      <c r="B18" s="36" t="s">
        <v>576</v>
      </c>
      <c r="C18" s="36" t="s">
        <v>577</v>
      </c>
      <c r="D18" s="36" t="s">
        <v>28</v>
      </c>
      <c r="E18" s="41">
        <v>36490</v>
      </c>
      <c r="F18" s="38">
        <v>359.31702999999999</v>
      </c>
      <c r="G18" s="39">
        <v>1.38317470433027</v>
      </c>
      <c r="H18" s="42"/>
    </row>
    <row r="19" spans="2:8" x14ac:dyDescent="0.2">
      <c r="B19" s="36" t="s">
        <v>125</v>
      </c>
      <c r="C19" s="36" t="s">
        <v>126</v>
      </c>
      <c r="D19" s="36" t="s">
        <v>82</v>
      </c>
      <c r="E19" s="41">
        <v>15647</v>
      </c>
      <c r="F19" s="38">
        <v>354.82701900000001</v>
      </c>
      <c r="G19" s="39">
        <v>1.3658906094534899</v>
      </c>
      <c r="H19" s="42"/>
    </row>
    <row r="20" spans="2:8" x14ac:dyDescent="0.2">
      <c r="B20" s="36" t="s">
        <v>169</v>
      </c>
      <c r="C20" s="36" t="s">
        <v>170</v>
      </c>
      <c r="D20" s="36" t="s">
        <v>82</v>
      </c>
      <c r="E20" s="41">
        <v>25101</v>
      </c>
      <c r="F20" s="38">
        <v>341.87562000000003</v>
      </c>
      <c r="G20" s="39">
        <v>1.3160347830194099</v>
      </c>
      <c r="H20" s="42"/>
    </row>
    <row r="21" spans="2:8" x14ac:dyDescent="0.2">
      <c r="B21" s="36" t="s">
        <v>578</v>
      </c>
      <c r="C21" s="36" t="s">
        <v>579</v>
      </c>
      <c r="D21" s="36" t="s">
        <v>65</v>
      </c>
      <c r="E21" s="41">
        <v>17197</v>
      </c>
      <c r="F21" s="38">
        <v>336.57968399999999</v>
      </c>
      <c r="G21" s="39">
        <v>1.2956483161966399</v>
      </c>
      <c r="H21" s="42"/>
    </row>
    <row r="22" spans="2:8" x14ac:dyDescent="0.2">
      <c r="B22" s="36" t="s">
        <v>580</v>
      </c>
      <c r="C22" s="36" t="s">
        <v>581</v>
      </c>
      <c r="D22" s="36" t="s">
        <v>478</v>
      </c>
      <c r="E22" s="41">
        <v>3405</v>
      </c>
      <c r="F22" s="38">
        <v>322.70887499999998</v>
      </c>
      <c r="G22" s="39">
        <v>1.24225326242644</v>
      </c>
      <c r="H22" s="42"/>
    </row>
    <row r="23" spans="2:8" x14ac:dyDescent="0.2">
      <c r="B23" s="36" t="s">
        <v>582</v>
      </c>
      <c r="C23" s="36" t="s">
        <v>583</v>
      </c>
      <c r="D23" s="36" t="s">
        <v>44</v>
      </c>
      <c r="E23" s="41">
        <v>22447</v>
      </c>
      <c r="F23" s="38">
        <v>319.15144600000002</v>
      </c>
      <c r="G23" s="39">
        <v>1.22855909990581</v>
      </c>
      <c r="H23" s="42"/>
    </row>
    <row r="24" spans="2:8" x14ac:dyDescent="0.2">
      <c r="B24" s="36" t="s">
        <v>584</v>
      </c>
      <c r="C24" s="36" t="s">
        <v>585</v>
      </c>
      <c r="D24" s="36" t="s">
        <v>179</v>
      </c>
      <c r="E24" s="41">
        <v>820</v>
      </c>
      <c r="F24" s="38">
        <v>315.24900000000002</v>
      </c>
      <c r="G24" s="39">
        <v>1.2135368100015</v>
      </c>
      <c r="H24" s="42"/>
    </row>
    <row r="25" spans="2:8" x14ac:dyDescent="0.2">
      <c r="B25" s="36" t="s">
        <v>586</v>
      </c>
      <c r="C25" s="36" t="s">
        <v>587</v>
      </c>
      <c r="D25" s="36" t="s">
        <v>454</v>
      </c>
      <c r="E25" s="41">
        <v>33619</v>
      </c>
      <c r="F25" s="38">
        <v>312.1356055</v>
      </c>
      <c r="G25" s="39">
        <v>1.20155193826581</v>
      </c>
      <c r="H25" s="42"/>
    </row>
    <row r="26" spans="2:8" x14ac:dyDescent="0.2">
      <c r="B26" s="36" t="s">
        <v>588</v>
      </c>
      <c r="C26" s="36" t="s">
        <v>589</v>
      </c>
      <c r="D26" s="36" t="s">
        <v>99</v>
      </c>
      <c r="E26" s="41">
        <v>2662</v>
      </c>
      <c r="F26" s="38">
        <v>306.76888000000002</v>
      </c>
      <c r="G26" s="39">
        <v>1.1808929704548901</v>
      </c>
      <c r="H26" s="42"/>
    </row>
    <row r="27" spans="2:8" x14ac:dyDescent="0.2">
      <c r="B27" s="36" t="s">
        <v>590</v>
      </c>
      <c r="C27" s="36" t="s">
        <v>591</v>
      </c>
      <c r="D27" s="36" t="s">
        <v>28</v>
      </c>
      <c r="E27" s="41">
        <v>427361</v>
      </c>
      <c r="F27" s="38">
        <v>304.79386520000003</v>
      </c>
      <c r="G27" s="39">
        <v>1.17329024004148</v>
      </c>
      <c r="H27" s="42"/>
    </row>
    <row r="28" spans="2:8" x14ac:dyDescent="0.2">
      <c r="B28" s="36" t="s">
        <v>592</v>
      </c>
      <c r="C28" s="36" t="s">
        <v>593</v>
      </c>
      <c r="D28" s="36" t="s">
        <v>571</v>
      </c>
      <c r="E28" s="41">
        <v>27132</v>
      </c>
      <c r="F28" s="38">
        <v>303.55281600000001</v>
      </c>
      <c r="G28" s="39">
        <v>1.16851287710861</v>
      </c>
      <c r="H28" s="42"/>
    </row>
    <row r="29" spans="2:8" x14ac:dyDescent="0.2">
      <c r="B29" s="36" t="s">
        <v>150</v>
      </c>
      <c r="C29" s="36" t="s">
        <v>151</v>
      </c>
      <c r="D29" s="36" t="s">
        <v>96</v>
      </c>
      <c r="E29" s="41">
        <v>184584</v>
      </c>
      <c r="F29" s="38">
        <v>286.91736959999997</v>
      </c>
      <c r="G29" s="39">
        <v>1.1044754763327</v>
      </c>
      <c r="H29" s="42"/>
    </row>
    <row r="30" spans="2:8" x14ac:dyDescent="0.2">
      <c r="B30" s="36" t="s">
        <v>127</v>
      </c>
      <c r="C30" s="36" t="s">
        <v>128</v>
      </c>
      <c r="D30" s="36" t="s">
        <v>112</v>
      </c>
      <c r="E30" s="41">
        <v>17111</v>
      </c>
      <c r="F30" s="38">
        <v>286.43813999999998</v>
      </c>
      <c r="G30" s="39">
        <v>1.1026307035973599</v>
      </c>
      <c r="H30" s="42"/>
    </row>
    <row r="31" spans="2:8" x14ac:dyDescent="0.2">
      <c r="B31" s="36" t="s">
        <v>594</v>
      </c>
      <c r="C31" s="36" t="s">
        <v>595</v>
      </c>
      <c r="D31" s="36" t="s">
        <v>463</v>
      </c>
      <c r="E31" s="41">
        <v>34142</v>
      </c>
      <c r="F31" s="38">
        <v>280.54481399999997</v>
      </c>
      <c r="G31" s="39">
        <v>1.07994461090765</v>
      </c>
      <c r="H31" s="42"/>
    </row>
    <row r="32" spans="2:8" x14ac:dyDescent="0.2">
      <c r="B32" s="36" t="s">
        <v>596</v>
      </c>
      <c r="C32" s="36" t="s">
        <v>597</v>
      </c>
      <c r="D32" s="36" t="s">
        <v>112</v>
      </c>
      <c r="E32" s="41">
        <v>15647</v>
      </c>
      <c r="F32" s="38">
        <v>280.42553400000003</v>
      </c>
      <c r="G32" s="39">
        <v>1.0794854479263301</v>
      </c>
      <c r="H32" s="42"/>
    </row>
    <row r="33" spans="2:8" x14ac:dyDescent="0.2">
      <c r="B33" s="36" t="s">
        <v>121</v>
      </c>
      <c r="C33" s="36" t="s">
        <v>122</v>
      </c>
      <c r="D33" s="36" t="s">
        <v>28</v>
      </c>
      <c r="E33" s="41">
        <v>1132913</v>
      </c>
      <c r="F33" s="38">
        <v>262.26935950000001</v>
      </c>
      <c r="G33" s="39">
        <v>1.00959407290354</v>
      </c>
      <c r="H33" s="42"/>
    </row>
    <row r="34" spans="2:8" x14ac:dyDescent="0.2">
      <c r="B34" s="36" t="s">
        <v>598</v>
      </c>
      <c r="C34" s="36" t="s">
        <v>599</v>
      </c>
      <c r="D34" s="36" t="s">
        <v>82</v>
      </c>
      <c r="E34" s="41">
        <v>18034</v>
      </c>
      <c r="F34" s="38">
        <v>257.23697600000003</v>
      </c>
      <c r="G34" s="39">
        <v>0.99022213954516303</v>
      </c>
      <c r="H34" s="42"/>
    </row>
    <row r="35" spans="2:8" x14ac:dyDescent="0.2">
      <c r="B35" s="36" t="s">
        <v>600</v>
      </c>
      <c r="C35" s="36" t="s">
        <v>601</v>
      </c>
      <c r="D35" s="36" t="s">
        <v>508</v>
      </c>
      <c r="E35" s="41">
        <v>9365</v>
      </c>
      <c r="F35" s="38">
        <v>254.33466999999999</v>
      </c>
      <c r="G35" s="39">
        <v>0.97904984347162005</v>
      </c>
      <c r="H35" s="42"/>
    </row>
    <row r="36" spans="2:8" x14ac:dyDescent="0.2">
      <c r="B36" s="36" t="s">
        <v>602</v>
      </c>
      <c r="C36" s="36" t="s">
        <v>603</v>
      </c>
      <c r="D36" s="36" t="s">
        <v>33</v>
      </c>
      <c r="E36" s="41">
        <v>1781190</v>
      </c>
      <c r="F36" s="38">
        <v>249.188481</v>
      </c>
      <c r="G36" s="39">
        <v>0.95923982097281801</v>
      </c>
      <c r="H36" s="42"/>
    </row>
    <row r="37" spans="2:8" x14ac:dyDescent="0.2">
      <c r="B37" s="36" t="s">
        <v>604</v>
      </c>
      <c r="C37" s="36" t="s">
        <v>605</v>
      </c>
      <c r="D37" s="36" t="s">
        <v>139</v>
      </c>
      <c r="E37" s="41">
        <v>57852</v>
      </c>
      <c r="F37" s="38">
        <v>245.55281400000001</v>
      </c>
      <c r="G37" s="39">
        <v>0.94524448479916601</v>
      </c>
      <c r="H37" s="42"/>
    </row>
    <row r="38" spans="2:8" x14ac:dyDescent="0.2">
      <c r="B38" s="36" t="s">
        <v>606</v>
      </c>
      <c r="C38" s="36" t="s">
        <v>607</v>
      </c>
      <c r="D38" s="36" t="s">
        <v>91</v>
      </c>
      <c r="E38" s="41">
        <v>24652</v>
      </c>
      <c r="F38" s="38">
        <v>245.28739999999999</v>
      </c>
      <c r="G38" s="39">
        <v>0.94422278557445904</v>
      </c>
      <c r="H38" s="42"/>
    </row>
    <row r="39" spans="2:8" x14ac:dyDescent="0.2">
      <c r="B39" s="36" t="s">
        <v>148</v>
      </c>
      <c r="C39" s="36" t="s">
        <v>149</v>
      </c>
      <c r="D39" s="36" t="s">
        <v>36</v>
      </c>
      <c r="E39" s="41">
        <v>61952</v>
      </c>
      <c r="F39" s="38">
        <v>243.997952</v>
      </c>
      <c r="G39" s="39">
        <v>0.93925911364343595</v>
      </c>
      <c r="H39" s="42"/>
    </row>
    <row r="40" spans="2:8" x14ac:dyDescent="0.2">
      <c r="B40" s="36" t="s">
        <v>608</v>
      </c>
      <c r="C40" s="36" t="s">
        <v>609</v>
      </c>
      <c r="D40" s="36" t="s">
        <v>610</v>
      </c>
      <c r="E40" s="41">
        <v>36180</v>
      </c>
      <c r="F40" s="38">
        <v>233.28863999999999</v>
      </c>
      <c r="G40" s="39">
        <v>0.89803410001360495</v>
      </c>
      <c r="H40" s="42"/>
    </row>
    <row r="41" spans="2:8" x14ac:dyDescent="0.2">
      <c r="B41" s="36" t="s">
        <v>611</v>
      </c>
      <c r="C41" s="36" t="s">
        <v>612</v>
      </c>
      <c r="D41" s="36" t="s">
        <v>91</v>
      </c>
      <c r="E41" s="41">
        <v>88217</v>
      </c>
      <c r="F41" s="38">
        <v>231.393191</v>
      </c>
      <c r="G41" s="39">
        <v>0.89073765455943799</v>
      </c>
      <c r="H41" s="42"/>
    </row>
    <row r="42" spans="2:8" x14ac:dyDescent="0.2">
      <c r="B42" s="36" t="s">
        <v>613</v>
      </c>
      <c r="C42" s="36" t="s">
        <v>614</v>
      </c>
      <c r="D42" s="36" t="s">
        <v>438</v>
      </c>
      <c r="E42" s="41">
        <v>230200</v>
      </c>
      <c r="F42" s="38">
        <v>231.05174</v>
      </c>
      <c r="G42" s="39">
        <v>0.88942325433196101</v>
      </c>
      <c r="H42" s="42"/>
    </row>
    <row r="43" spans="2:8" x14ac:dyDescent="0.2">
      <c r="B43" s="36" t="s">
        <v>615</v>
      </c>
      <c r="C43" s="36" t="s">
        <v>616</v>
      </c>
      <c r="D43" s="36" t="s">
        <v>91</v>
      </c>
      <c r="E43" s="41">
        <v>88525</v>
      </c>
      <c r="F43" s="38">
        <v>228.30597499999999</v>
      </c>
      <c r="G43" s="39">
        <v>0.87885355577902802</v>
      </c>
      <c r="H43" s="42"/>
    </row>
    <row r="44" spans="2:8" x14ac:dyDescent="0.2">
      <c r="B44" s="36" t="s">
        <v>617</v>
      </c>
      <c r="C44" s="36" t="s">
        <v>618</v>
      </c>
      <c r="D44" s="36" t="s">
        <v>82</v>
      </c>
      <c r="E44" s="41">
        <v>9714</v>
      </c>
      <c r="F44" s="38">
        <v>220.98378600000001</v>
      </c>
      <c r="G44" s="39">
        <v>0.85066711940242401</v>
      </c>
      <c r="H44" s="42"/>
    </row>
    <row r="45" spans="2:8" x14ac:dyDescent="0.2">
      <c r="B45" s="36" t="s">
        <v>619</v>
      </c>
      <c r="C45" s="36" t="s">
        <v>620</v>
      </c>
      <c r="D45" s="36" t="s">
        <v>65</v>
      </c>
      <c r="E45" s="41">
        <v>6893</v>
      </c>
      <c r="F45" s="38">
        <v>216.53670199999999</v>
      </c>
      <c r="G45" s="39">
        <v>0.83354827007643495</v>
      </c>
      <c r="H45" s="42"/>
    </row>
    <row r="46" spans="2:8" x14ac:dyDescent="0.2">
      <c r="B46" s="36" t="s">
        <v>621</v>
      </c>
      <c r="C46" s="36" t="s">
        <v>622</v>
      </c>
      <c r="D46" s="36" t="s">
        <v>478</v>
      </c>
      <c r="E46" s="41">
        <v>11735</v>
      </c>
      <c r="F46" s="38">
        <v>214.87958499999999</v>
      </c>
      <c r="G46" s="39">
        <v>0.82716927290918196</v>
      </c>
      <c r="H46" s="42"/>
    </row>
    <row r="47" spans="2:8" x14ac:dyDescent="0.2">
      <c r="B47" s="36" t="s">
        <v>623</v>
      </c>
      <c r="C47" s="36" t="s">
        <v>624</v>
      </c>
      <c r="D47" s="36" t="s">
        <v>529</v>
      </c>
      <c r="E47" s="41">
        <v>12040</v>
      </c>
      <c r="F47" s="38">
        <v>213.25247999999999</v>
      </c>
      <c r="G47" s="39">
        <v>0.82090580558259996</v>
      </c>
      <c r="H47" s="42"/>
    </row>
    <row r="48" spans="2:8" x14ac:dyDescent="0.2">
      <c r="B48" s="36" t="s">
        <v>625</v>
      </c>
      <c r="C48" s="36" t="s">
        <v>626</v>
      </c>
      <c r="D48" s="36" t="s">
        <v>478</v>
      </c>
      <c r="E48" s="41">
        <v>3981</v>
      </c>
      <c r="F48" s="38">
        <v>209.699175</v>
      </c>
      <c r="G48" s="39">
        <v>0.80722751821400496</v>
      </c>
      <c r="H48" s="42"/>
    </row>
    <row r="49" spans="2:8" x14ac:dyDescent="0.2">
      <c r="B49" s="36" t="s">
        <v>627</v>
      </c>
      <c r="C49" s="36" t="s">
        <v>628</v>
      </c>
      <c r="D49" s="36" t="s">
        <v>82</v>
      </c>
      <c r="E49" s="41">
        <v>3775</v>
      </c>
      <c r="F49" s="38">
        <v>207.54949999999999</v>
      </c>
      <c r="G49" s="39">
        <v>0.79895244123663101</v>
      </c>
      <c r="H49" s="42"/>
    </row>
    <row r="50" spans="2:8" x14ac:dyDescent="0.2">
      <c r="B50" s="36" t="s">
        <v>629</v>
      </c>
      <c r="C50" s="36" t="s">
        <v>630</v>
      </c>
      <c r="D50" s="36" t="s">
        <v>50</v>
      </c>
      <c r="E50" s="41">
        <v>34774</v>
      </c>
      <c r="F50" s="38">
        <v>206.922687</v>
      </c>
      <c r="G50" s="39">
        <v>0.79653955285796096</v>
      </c>
      <c r="H50" s="42"/>
    </row>
    <row r="51" spans="2:8" x14ac:dyDescent="0.2">
      <c r="B51" s="36" t="s">
        <v>631</v>
      </c>
      <c r="C51" s="36" t="s">
        <v>632</v>
      </c>
      <c r="D51" s="36" t="s">
        <v>82</v>
      </c>
      <c r="E51" s="41">
        <v>46043</v>
      </c>
      <c r="F51" s="38">
        <v>197.36331949999999</v>
      </c>
      <c r="G51" s="39">
        <v>0.75974119872652202</v>
      </c>
      <c r="H51" s="42"/>
    </row>
    <row r="52" spans="2:8" x14ac:dyDescent="0.2">
      <c r="B52" s="36" t="s">
        <v>633</v>
      </c>
      <c r="C52" s="36" t="s">
        <v>634</v>
      </c>
      <c r="D52" s="36" t="s">
        <v>635</v>
      </c>
      <c r="E52" s="41">
        <v>222983</v>
      </c>
      <c r="F52" s="38">
        <v>196.20274169999999</v>
      </c>
      <c r="G52" s="39">
        <v>0.75527360681926603</v>
      </c>
      <c r="H52" s="42"/>
    </row>
    <row r="53" spans="2:8" x14ac:dyDescent="0.2">
      <c r="B53" s="36" t="s">
        <v>636</v>
      </c>
      <c r="C53" s="36" t="s">
        <v>637</v>
      </c>
      <c r="D53" s="36" t="s">
        <v>179</v>
      </c>
      <c r="E53" s="41">
        <v>6181</v>
      </c>
      <c r="F53" s="38">
        <v>194.132848</v>
      </c>
      <c r="G53" s="39">
        <v>0.74730564435867097</v>
      </c>
      <c r="H53" s="42"/>
    </row>
    <row r="54" spans="2:8" x14ac:dyDescent="0.2">
      <c r="B54" s="36" t="s">
        <v>638</v>
      </c>
      <c r="C54" s="36" t="s">
        <v>639</v>
      </c>
      <c r="D54" s="36" t="s">
        <v>44</v>
      </c>
      <c r="E54" s="41">
        <v>8537</v>
      </c>
      <c r="F54" s="38">
        <v>193.90941799999999</v>
      </c>
      <c r="G54" s="39">
        <v>0.74644556064878198</v>
      </c>
      <c r="H54" s="42"/>
    </row>
    <row r="55" spans="2:8" x14ac:dyDescent="0.2">
      <c r="B55" s="36" t="s">
        <v>640</v>
      </c>
      <c r="C55" s="36" t="s">
        <v>641</v>
      </c>
      <c r="D55" s="36" t="s">
        <v>131</v>
      </c>
      <c r="E55" s="41">
        <v>53191</v>
      </c>
      <c r="F55" s="38">
        <v>193.24290300000001</v>
      </c>
      <c r="G55" s="39">
        <v>0.74387984121139095</v>
      </c>
      <c r="H55" s="42"/>
    </row>
    <row r="56" spans="2:8" x14ac:dyDescent="0.2">
      <c r="B56" s="36" t="s">
        <v>642</v>
      </c>
      <c r="C56" s="36" t="s">
        <v>643</v>
      </c>
      <c r="D56" s="36" t="s">
        <v>99</v>
      </c>
      <c r="E56" s="41">
        <v>16272</v>
      </c>
      <c r="F56" s="38">
        <v>191.48889600000001</v>
      </c>
      <c r="G56" s="39">
        <v>0.73712787035819105</v>
      </c>
      <c r="H56" s="42"/>
    </row>
    <row r="57" spans="2:8" x14ac:dyDescent="0.2">
      <c r="B57" s="36" t="s">
        <v>117</v>
      </c>
      <c r="C57" s="36" t="s">
        <v>118</v>
      </c>
      <c r="D57" s="36" t="s">
        <v>62</v>
      </c>
      <c r="E57" s="41">
        <v>93266</v>
      </c>
      <c r="F57" s="38">
        <v>190.60772420000001</v>
      </c>
      <c r="G57" s="39">
        <v>0.733735839248702</v>
      </c>
      <c r="H57" s="42"/>
    </row>
    <row r="58" spans="2:8" x14ac:dyDescent="0.2">
      <c r="B58" s="36" t="s">
        <v>644</v>
      </c>
      <c r="C58" s="36" t="s">
        <v>645</v>
      </c>
      <c r="D58" s="36" t="s">
        <v>28</v>
      </c>
      <c r="E58" s="41">
        <v>22799</v>
      </c>
      <c r="F58" s="38">
        <v>189.91567000000001</v>
      </c>
      <c r="G58" s="39">
        <v>0.73107180781254799</v>
      </c>
      <c r="H58" s="42"/>
    </row>
    <row r="59" spans="2:8" x14ac:dyDescent="0.2">
      <c r="B59" s="36" t="s">
        <v>646</v>
      </c>
      <c r="C59" s="36" t="s">
        <v>647</v>
      </c>
      <c r="D59" s="36" t="s">
        <v>131</v>
      </c>
      <c r="E59" s="41">
        <v>4442</v>
      </c>
      <c r="F59" s="38">
        <v>186.07093800000001</v>
      </c>
      <c r="G59" s="39">
        <v>0.71627168534874797</v>
      </c>
      <c r="H59" s="42"/>
    </row>
    <row r="60" spans="2:8" x14ac:dyDescent="0.2">
      <c r="B60" s="36" t="s">
        <v>648</v>
      </c>
      <c r="C60" s="36" t="s">
        <v>649</v>
      </c>
      <c r="D60" s="36" t="s">
        <v>79</v>
      </c>
      <c r="E60" s="41">
        <v>16762</v>
      </c>
      <c r="F60" s="38">
        <v>185.13629</v>
      </c>
      <c r="G60" s="39">
        <v>0.71267380001875702</v>
      </c>
      <c r="H60" s="42"/>
    </row>
    <row r="61" spans="2:8" x14ac:dyDescent="0.2">
      <c r="B61" s="36" t="s">
        <v>650</v>
      </c>
      <c r="C61" s="36" t="s">
        <v>651</v>
      </c>
      <c r="D61" s="36" t="s">
        <v>99</v>
      </c>
      <c r="E61" s="41">
        <v>14699</v>
      </c>
      <c r="F61" s="38">
        <v>183.10544300000001</v>
      </c>
      <c r="G61" s="39">
        <v>0.70485614606908198</v>
      </c>
      <c r="H61" s="42"/>
    </row>
    <row r="62" spans="2:8" x14ac:dyDescent="0.2">
      <c r="B62" s="36" t="s">
        <v>145</v>
      </c>
      <c r="C62" s="36" t="s">
        <v>146</v>
      </c>
      <c r="D62" s="36" t="s">
        <v>147</v>
      </c>
      <c r="E62" s="41">
        <v>5050</v>
      </c>
      <c r="F62" s="38">
        <v>177.6893</v>
      </c>
      <c r="G62" s="39">
        <v>0.68400694782029403</v>
      </c>
      <c r="H62" s="42"/>
    </row>
    <row r="63" spans="2:8" x14ac:dyDescent="0.2">
      <c r="B63" s="36" t="s">
        <v>652</v>
      </c>
      <c r="C63" s="36" t="s">
        <v>653</v>
      </c>
      <c r="D63" s="36" t="s">
        <v>524</v>
      </c>
      <c r="E63" s="41">
        <v>8496</v>
      </c>
      <c r="F63" s="38">
        <v>175.00910400000001</v>
      </c>
      <c r="G63" s="39">
        <v>0.673689654176163</v>
      </c>
      <c r="H63" s="42"/>
    </row>
    <row r="64" spans="2:8" x14ac:dyDescent="0.2">
      <c r="B64" s="36" t="s">
        <v>654</v>
      </c>
      <c r="C64" s="36" t="s">
        <v>655</v>
      </c>
      <c r="D64" s="36" t="s">
        <v>50</v>
      </c>
      <c r="E64" s="41">
        <v>12263</v>
      </c>
      <c r="F64" s="38">
        <v>174.171389</v>
      </c>
      <c r="G64" s="39">
        <v>0.67046490805867998</v>
      </c>
      <c r="H64" s="42"/>
    </row>
    <row r="65" spans="2:8" x14ac:dyDescent="0.2">
      <c r="B65" s="36" t="s">
        <v>656</v>
      </c>
      <c r="C65" s="36" t="s">
        <v>657</v>
      </c>
      <c r="D65" s="36" t="s">
        <v>82</v>
      </c>
      <c r="E65" s="41">
        <v>7299</v>
      </c>
      <c r="F65" s="38">
        <v>173.39504400000001</v>
      </c>
      <c r="G65" s="39">
        <v>0.66747640298884403</v>
      </c>
      <c r="H65" s="42"/>
    </row>
    <row r="66" spans="2:8" x14ac:dyDescent="0.2">
      <c r="B66" s="36" t="s">
        <v>658</v>
      </c>
      <c r="C66" s="36" t="s">
        <v>659</v>
      </c>
      <c r="D66" s="36" t="s">
        <v>529</v>
      </c>
      <c r="E66" s="41">
        <v>9601</v>
      </c>
      <c r="F66" s="38">
        <v>169.23682700000001</v>
      </c>
      <c r="G66" s="39">
        <v>0.65146953415349795</v>
      </c>
      <c r="H66" s="42"/>
    </row>
    <row r="67" spans="2:8" x14ac:dyDescent="0.2">
      <c r="B67" s="36" t="s">
        <v>660</v>
      </c>
      <c r="C67" s="36" t="s">
        <v>661</v>
      </c>
      <c r="D67" s="36" t="s">
        <v>524</v>
      </c>
      <c r="E67" s="41">
        <v>38092</v>
      </c>
      <c r="F67" s="38">
        <v>168.89992799999999</v>
      </c>
      <c r="G67" s="39">
        <v>0.65017265664475798</v>
      </c>
      <c r="H67" s="42"/>
    </row>
    <row r="68" spans="2:8" x14ac:dyDescent="0.2">
      <c r="B68" s="36" t="s">
        <v>662</v>
      </c>
      <c r="C68" s="36" t="s">
        <v>663</v>
      </c>
      <c r="D68" s="36" t="s">
        <v>102</v>
      </c>
      <c r="E68" s="41">
        <v>35187</v>
      </c>
      <c r="F68" s="38">
        <v>167.5429005</v>
      </c>
      <c r="G68" s="39">
        <v>0.644948840475843</v>
      </c>
      <c r="H68" s="42"/>
    </row>
    <row r="69" spans="2:8" x14ac:dyDescent="0.2">
      <c r="B69" s="36" t="s">
        <v>664</v>
      </c>
      <c r="C69" s="36" t="s">
        <v>665</v>
      </c>
      <c r="D69" s="36" t="s">
        <v>91</v>
      </c>
      <c r="E69" s="41">
        <v>137426</v>
      </c>
      <c r="F69" s="38">
        <v>167.34364020000001</v>
      </c>
      <c r="G69" s="39">
        <v>0.64418179693622202</v>
      </c>
      <c r="H69" s="42"/>
    </row>
    <row r="70" spans="2:8" x14ac:dyDescent="0.2">
      <c r="B70" s="36" t="s">
        <v>666</v>
      </c>
      <c r="C70" s="36" t="s">
        <v>667</v>
      </c>
      <c r="D70" s="36" t="s">
        <v>65</v>
      </c>
      <c r="E70" s="41">
        <v>131</v>
      </c>
      <c r="F70" s="38">
        <v>161.68020000000001</v>
      </c>
      <c r="G70" s="39">
        <v>0.62238063926738796</v>
      </c>
      <c r="H70" s="42"/>
    </row>
    <row r="71" spans="2:8" x14ac:dyDescent="0.2">
      <c r="B71" s="36" t="s">
        <v>668</v>
      </c>
      <c r="C71" s="36" t="s">
        <v>669</v>
      </c>
      <c r="D71" s="36" t="s">
        <v>50</v>
      </c>
      <c r="E71" s="41">
        <v>204090</v>
      </c>
      <c r="F71" s="38">
        <v>160.96578299999999</v>
      </c>
      <c r="G71" s="39">
        <v>0.61963052324103796</v>
      </c>
      <c r="H71" s="42"/>
    </row>
    <row r="72" spans="2:8" x14ac:dyDescent="0.2">
      <c r="B72" s="36" t="s">
        <v>670</v>
      </c>
      <c r="C72" s="36" t="s">
        <v>671</v>
      </c>
      <c r="D72" s="36" t="s">
        <v>131</v>
      </c>
      <c r="E72" s="41">
        <v>54966</v>
      </c>
      <c r="F72" s="38">
        <v>157.532556</v>
      </c>
      <c r="G72" s="39">
        <v>0.60641447071877497</v>
      </c>
      <c r="H72" s="42"/>
    </row>
    <row r="73" spans="2:8" x14ac:dyDescent="0.2">
      <c r="B73" s="36" t="s">
        <v>672</v>
      </c>
      <c r="C73" s="36" t="s">
        <v>673</v>
      </c>
      <c r="D73" s="36" t="s">
        <v>674</v>
      </c>
      <c r="E73" s="41">
        <v>407</v>
      </c>
      <c r="F73" s="38">
        <v>155.45365000000001</v>
      </c>
      <c r="G73" s="39">
        <v>0.59841181581572001</v>
      </c>
      <c r="H73" s="42"/>
    </row>
    <row r="74" spans="2:8" x14ac:dyDescent="0.2">
      <c r="B74" s="36" t="s">
        <v>675</v>
      </c>
      <c r="C74" s="36" t="s">
        <v>676</v>
      </c>
      <c r="D74" s="36" t="s">
        <v>44</v>
      </c>
      <c r="E74" s="41">
        <v>1537</v>
      </c>
      <c r="F74" s="38">
        <v>153.14668</v>
      </c>
      <c r="G74" s="39">
        <v>0.58953123882873804</v>
      </c>
      <c r="H74" s="42"/>
    </row>
    <row r="75" spans="2:8" x14ac:dyDescent="0.2">
      <c r="B75" s="36" t="s">
        <v>677</v>
      </c>
      <c r="C75" s="36" t="s">
        <v>678</v>
      </c>
      <c r="D75" s="36" t="s">
        <v>529</v>
      </c>
      <c r="E75" s="41">
        <v>10882</v>
      </c>
      <c r="F75" s="38">
        <v>148.99634399999999</v>
      </c>
      <c r="G75" s="39">
        <v>0.57355470754751503</v>
      </c>
      <c r="H75" s="42"/>
    </row>
    <row r="76" spans="2:8" x14ac:dyDescent="0.2">
      <c r="B76" s="36" t="s">
        <v>679</v>
      </c>
      <c r="C76" s="36" t="s">
        <v>680</v>
      </c>
      <c r="D76" s="36" t="s">
        <v>33</v>
      </c>
      <c r="E76" s="41">
        <v>7577</v>
      </c>
      <c r="F76" s="38">
        <v>148.88804999999999</v>
      </c>
      <c r="G76" s="39">
        <v>0.57313783467780799</v>
      </c>
      <c r="H76" s="42"/>
    </row>
    <row r="77" spans="2:8" x14ac:dyDescent="0.2">
      <c r="B77" s="36" t="s">
        <v>681</v>
      </c>
      <c r="C77" s="36" t="s">
        <v>682</v>
      </c>
      <c r="D77" s="36" t="s">
        <v>478</v>
      </c>
      <c r="E77" s="41">
        <v>4154</v>
      </c>
      <c r="F77" s="38">
        <v>147.42545999999999</v>
      </c>
      <c r="G77" s="39">
        <v>0.56750766042526402</v>
      </c>
      <c r="H77" s="42"/>
    </row>
    <row r="78" spans="2:8" x14ac:dyDescent="0.2">
      <c r="B78" s="36" t="s">
        <v>683</v>
      </c>
      <c r="C78" s="36" t="s">
        <v>684</v>
      </c>
      <c r="D78" s="36" t="s">
        <v>635</v>
      </c>
      <c r="E78" s="41">
        <v>8133</v>
      </c>
      <c r="F78" s="38">
        <v>146.56479300000001</v>
      </c>
      <c r="G78" s="39">
        <v>0.56419456161875403</v>
      </c>
      <c r="H78" s="42"/>
    </row>
    <row r="79" spans="2:8" x14ac:dyDescent="0.2">
      <c r="B79" s="36" t="s">
        <v>685</v>
      </c>
      <c r="C79" s="36" t="s">
        <v>686</v>
      </c>
      <c r="D79" s="36" t="s">
        <v>610</v>
      </c>
      <c r="E79" s="41">
        <v>5226</v>
      </c>
      <c r="F79" s="38">
        <v>145.0215</v>
      </c>
      <c r="G79" s="39">
        <v>0.55825372480684399</v>
      </c>
      <c r="H79" s="42"/>
    </row>
    <row r="80" spans="2:8" x14ac:dyDescent="0.2">
      <c r="B80" s="36" t="s">
        <v>687</v>
      </c>
      <c r="C80" s="36" t="s">
        <v>688</v>
      </c>
      <c r="D80" s="36" t="s">
        <v>179</v>
      </c>
      <c r="E80" s="41">
        <v>1090</v>
      </c>
      <c r="F80" s="38">
        <v>142.9862</v>
      </c>
      <c r="G80" s="39">
        <v>0.550418929234468</v>
      </c>
      <c r="H80" s="42"/>
    </row>
    <row r="81" spans="2:8" x14ac:dyDescent="0.2">
      <c r="B81" s="36" t="s">
        <v>689</v>
      </c>
      <c r="C81" s="36" t="s">
        <v>690</v>
      </c>
      <c r="D81" s="36" t="s">
        <v>62</v>
      </c>
      <c r="E81" s="41">
        <v>20627</v>
      </c>
      <c r="F81" s="38">
        <v>141.31557699999999</v>
      </c>
      <c r="G81" s="39">
        <v>0.54398794132924</v>
      </c>
      <c r="H81" s="42"/>
    </row>
    <row r="82" spans="2:8" x14ac:dyDescent="0.2">
      <c r="B82" s="36" t="s">
        <v>691</v>
      </c>
      <c r="C82" s="36" t="s">
        <v>692</v>
      </c>
      <c r="D82" s="36" t="s">
        <v>74</v>
      </c>
      <c r="E82" s="41">
        <v>2700</v>
      </c>
      <c r="F82" s="38">
        <v>139.61699999999999</v>
      </c>
      <c r="G82" s="39">
        <v>0.53744934576154002</v>
      </c>
      <c r="H82" s="42"/>
    </row>
    <row r="83" spans="2:8" x14ac:dyDescent="0.2">
      <c r="B83" s="36" t="s">
        <v>693</v>
      </c>
      <c r="C83" s="36" t="s">
        <v>694</v>
      </c>
      <c r="D83" s="36" t="s">
        <v>517</v>
      </c>
      <c r="E83" s="41">
        <v>17896</v>
      </c>
      <c r="F83" s="38">
        <v>138.389768</v>
      </c>
      <c r="G83" s="39">
        <v>0.53272517151701704</v>
      </c>
      <c r="H83" s="42"/>
    </row>
    <row r="84" spans="2:8" x14ac:dyDescent="0.2">
      <c r="B84" s="36" t="s">
        <v>132</v>
      </c>
      <c r="C84" s="36" t="s">
        <v>133</v>
      </c>
      <c r="D84" s="36" t="s">
        <v>82</v>
      </c>
      <c r="E84" s="41">
        <v>8960</v>
      </c>
      <c r="F84" s="38">
        <v>136.58624</v>
      </c>
      <c r="G84" s="39">
        <v>0.52578257180736399</v>
      </c>
      <c r="H84" s="42"/>
    </row>
    <row r="85" spans="2:8" x14ac:dyDescent="0.2">
      <c r="B85" s="36" t="s">
        <v>695</v>
      </c>
      <c r="C85" s="36" t="s">
        <v>696</v>
      </c>
      <c r="D85" s="36" t="s">
        <v>610</v>
      </c>
      <c r="E85" s="41">
        <v>7626</v>
      </c>
      <c r="F85" s="38">
        <v>133.729536</v>
      </c>
      <c r="G85" s="39">
        <v>0.51478581857649397</v>
      </c>
      <c r="H85" s="42"/>
    </row>
    <row r="86" spans="2:8" x14ac:dyDescent="0.2">
      <c r="B86" s="36" t="s">
        <v>697</v>
      </c>
      <c r="C86" s="36" t="s">
        <v>698</v>
      </c>
      <c r="D86" s="36" t="s">
        <v>99</v>
      </c>
      <c r="E86" s="41">
        <v>8369</v>
      </c>
      <c r="F86" s="38">
        <v>132.98340999999999</v>
      </c>
      <c r="G86" s="39">
        <v>0.51191364018449503</v>
      </c>
      <c r="H86" s="42"/>
    </row>
    <row r="87" spans="2:8" x14ac:dyDescent="0.2">
      <c r="B87" s="36" t="s">
        <v>699</v>
      </c>
      <c r="C87" s="36" t="s">
        <v>700</v>
      </c>
      <c r="D87" s="36" t="s">
        <v>517</v>
      </c>
      <c r="E87" s="41">
        <v>48345</v>
      </c>
      <c r="F87" s="38">
        <v>131.03912249999999</v>
      </c>
      <c r="G87" s="39">
        <v>0.50442919312684897</v>
      </c>
      <c r="H87" s="42"/>
    </row>
    <row r="88" spans="2:8" x14ac:dyDescent="0.2">
      <c r="B88" s="36" t="s">
        <v>701</v>
      </c>
      <c r="C88" s="36" t="s">
        <v>702</v>
      </c>
      <c r="D88" s="36" t="s">
        <v>529</v>
      </c>
      <c r="E88" s="41">
        <v>7594</v>
      </c>
      <c r="F88" s="38">
        <v>129.63717399999999</v>
      </c>
      <c r="G88" s="39">
        <v>0.49903245559405301</v>
      </c>
      <c r="H88" s="42"/>
    </row>
    <row r="89" spans="2:8" x14ac:dyDescent="0.2">
      <c r="B89" s="36" t="s">
        <v>173</v>
      </c>
      <c r="C89" s="36" t="s">
        <v>174</v>
      </c>
      <c r="D89" s="36" t="s">
        <v>131</v>
      </c>
      <c r="E89" s="41">
        <v>42684</v>
      </c>
      <c r="F89" s="38">
        <v>129.60996599999999</v>
      </c>
      <c r="G89" s="39">
        <v>0.49892771962494098</v>
      </c>
      <c r="H89" s="42"/>
    </row>
    <row r="90" spans="2:8" x14ac:dyDescent="0.2">
      <c r="B90" s="36" t="s">
        <v>703</v>
      </c>
      <c r="C90" s="36" t="s">
        <v>704</v>
      </c>
      <c r="D90" s="36" t="s">
        <v>65</v>
      </c>
      <c r="E90" s="41">
        <v>11719</v>
      </c>
      <c r="F90" s="38">
        <v>129.10822300000001</v>
      </c>
      <c r="G90" s="39">
        <v>0.49699628257149903</v>
      </c>
      <c r="H90" s="42"/>
    </row>
    <row r="91" spans="2:8" x14ac:dyDescent="0.2">
      <c r="B91" s="36" t="s">
        <v>705</v>
      </c>
      <c r="C91" s="36" t="s">
        <v>706</v>
      </c>
      <c r="D91" s="36" t="s">
        <v>112</v>
      </c>
      <c r="E91" s="41">
        <v>25423</v>
      </c>
      <c r="F91" s="38">
        <v>128.11920850000001</v>
      </c>
      <c r="G91" s="39">
        <v>0.49318911585130298</v>
      </c>
      <c r="H91" s="42"/>
    </row>
    <row r="92" spans="2:8" x14ac:dyDescent="0.2">
      <c r="B92" s="36" t="s">
        <v>175</v>
      </c>
      <c r="C92" s="36" t="s">
        <v>176</v>
      </c>
      <c r="D92" s="36" t="s">
        <v>79</v>
      </c>
      <c r="E92" s="41">
        <v>11488</v>
      </c>
      <c r="F92" s="38">
        <v>126.39097599999999</v>
      </c>
      <c r="G92" s="39">
        <v>0.48653636277360601</v>
      </c>
      <c r="H92" s="42"/>
    </row>
    <row r="93" spans="2:8" x14ac:dyDescent="0.2">
      <c r="B93" s="36" t="s">
        <v>707</v>
      </c>
      <c r="C93" s="36" t="s">
        <v>708</v>
      </c>
      <c r="D93" s="36" t="s">
        <v>478</v>
      </c>
      <c r="E93" s="41">
        <v>7896</v>
      </c>
      <c r="F93" s="38">
        <v>124.614672</v>
      </c>
      <c r="G93" s="39">
        <v>0.47969856062434302</v>
      </c>
      <c r="H93" s="42"/>
    </row>
    <row r="94" spans="2:8" x14ac:dyDescent="0.2">
      <c r="B94" s="36" t="s">
        <v>709</v>
      </c>
      <c r="C94" s="36" t="s">
        <v>710</v>
      </c>
      <c r="D94" s="36" t="s">
        <v>179</v>
      </c>
      <c r="E94" s="41">
        <v>2499</v>
      </c>
      <c r="F94" s="38">
        <v>124.517673</v>
      </c>
      <c r="G94" s="39">
        <v>0.479325167347811</v>
      </c>
      <c r="H94" s="42"/>
    </row>
    <row r="95" spans="2:8" x14ac:dyDescent="0.2">
      <c r="B95" s="36" t="s">
        <v>711</v>
      </c>
      <c r="C95" s="36" t="s">
        <v>712</v>
      </c>
      <c r="D95" s="36" t="s">
        <v>131</v>
      </c>
      <c r="E95" s="41">
        <v>19340</v>
      </c>
      <c r="F95" s="38">
        <v>120.75896</v>
      </c>
      <c r="G95" s="39">
        <v>0.46485617114566302</v>
      </c>
      <c r="H95" s="42"/>
    </row>
    <row r="96" spans="2:8" x14ac:dyDescent="0.2">
      <c r="B96" s="36" t="s">
        <v>123</v>
      </c>
      <c r="C96" s="36" t="s">
        <v>124</v>
      </c>
      <c r="D96" s="36" t="s">
        <v>112</v>
      </c>
      <c r="E96" s="41">
        <v>28641</v>
      </c>
      <c r="F96" s="38">
        <v>117.81475349999999</v>
      </c>
      <c r="G96" s="39">
        <v>0.45352258098678599</v>
      </c>
      <c r="H96" s="42"/>
    </row>
    <row r="97" spans="2:8" x14ac:dyDescent="0.2">
      <c r="B97" s="36" t="s">
        <v>713</v>
      </c>
      <c r="C97" s="36" t="s">
        <v>714</v>
      </c>
      <c r="D97" s="36" t="s">
        <v>65</v>
      </c>
      <c r="E97" s="41">
        <v>5182</v>
      </c>
      <c r="F97" s="38">
        <v>114.28901</v>
      </c>
      <c r="G97" s="39">
        <v>0.43995039036961198</v>
      </c>
      <c r="H97" s="42"/>
    </row>
    <row r="98" spans="2:8" x14ac:dyDescent="0.2">
      <c r="B98" s="36" t="s">
        <v>715</v>
      </c>
      <c r="C98" s="36" t="s">
        <v>716</v>
      </c>
      <c r="D98" s="36" t="s">
        <v>65</v>
      </c>
      <c r="E98" s="41">
        <v>29351</v>
      </c>
      <c r="F98" s="38">
        <v>113.441615</v>
      </c>
      <c r="G98" s="39">
        <v>0.43668838152862799</v>
      </c>
      <c r="H98" s="42"/>
    </row>
    <row r="99" spans="2:8" x14ac:dyDescent="0.2">
      <c r="B99" s="36" t="s">
        <v>717</v>
      </c>
      <c r="C99" s="36" t="s">
        <v>718</v>
      </c>
      <c r="D99" s="36" t="s">
        <v>478</v>
      </c>
      <c r="E99" s="41">
        <v>2505</v>
      </c>
      <c r="F99" s="38">
        <v>112.81518</v>
      </c>
      <c r="G99" s="39">
        <v>0.434276948243913</v>
      </c>
      <c r="H99" s="42"/>
    </row>
    <row r="100" spans="2:8" x14ac:dyDescent="0.2">
      <c r="B100" s="36" t="s">
        <v>719</v>
      </c>
      <c r="C100" s="36" t="s">
        <v>720</v>
      </c>
      <c r="D100" s="36" t="s">
        <v>495</v>
      </c>
      <c r="E100" s="41">
        <v>72285</v>
      </c>
      <c r="F100" s="38">
        <v>111.9333225</v>
      </c>
      <c r="G100" s="39">
        <v>0.43088227756319403</v>
      </c>
      <c r="H100" s="42"/>
    </row>
    <row r="101" spans="2:8" x14ac:dyDescent="0.2">
      <c r="B101" s="36" t="s">
        <v>721</v>
      </c>
      <c r="C101" s="36" t="s">
        <v>722</v>
      </c>
      <c r="D101" s="36" t="s">
        <v>28</v>
      </c>
      <c r="E101" s="41">
        <v>78397</v>
      </c>
      <c r="F101" s="38">
        <v>109.6852427</v>
      </c>
      <c r="G101" s="39">
        <v>0.42222839574558102</v>
      </c>
      <c r="H101" s="42"/>
    </row>
    <row r="102" spans="2:8" x14ac:dyDescent="0.2">
      <c r="B102" s="36" t="s">
        <v>723</v>
      </c>
      <c r="C102" s="36" t="s">
        <v>724</v>
      </c>
      <c r="D102" s="36" t="s">
        <v>495</v>
      </c>
      <c r="E102" s="41">
        <v>25254</v>
      </c>
      <c r="F102" s="38">
        <v>107.96084999999999</v>
      </c>
      <c r="G102" s="39">
        <v>0.41559042380483602</v>
      </c>
      <c r="H102" s="42"/>
    </row>
    <row r="103" spans="2:8" x14ac:dyDescent="0.2">
      <c r="B103" s="36" t="s">
        <v>159</v>
      </c>
      <c r="C103" s="36" t="s">
        <v>160</v>
      </c>
      <c r="D103" s="36" t="s">
        <v>65</v>
      </c>
      <c r="E103" s="41">
        <v>2596</v>
      </c>
      <c r="F103" s="38">
        <v>107.18105199999999</v>
      </c>
      <c r="G103" s="39">
        <v>0.41258862656720602</v>
      </c>
      <c r="H103" s="42"/>
    </row>
    <row r="104" spans="2:8" x14ac:dyDescent="0.2">
      <c r="B104" s="36" t="s">
        <v>725</v>
      </c>
      <c r="C104" s="36" t="s">
        <v>726</v>
      </c>
      <c r="D104" s="36" t="s">
        <v>28</v>
      </c>
      <c r="E104" s="41">
        <v>131362</v>
      </c>
      <c r="F104" s="38">
        <v>104.1306574</v>
      </c>
      <c r="G104" s="39">
        <v>0.400846270105711</v>
      </c>
      <c r="H104" s="42"/>
    </row>
    <row r="105" spans="2:8" x14ac:dyDescent="0.2">
      <c r="B105" s="36" t="s">
        <v>727</v>
      </c>
      <c r="C105" s="36" t="s">
        <v>728</v>
      </c>
      <c r="D105" s="36" t="s">
        <v>131</v>
      </c>
      <c r="E105" s="41">
        <v>19395</v>
      </c>
      <c r="F105" s="38">
        <v>103.4044425</v>
      </c>
      <c r="G105" s="39">
        <v>0.39805073859531298</v>
      </c>
      <c r="H105" s="42"/>
    </row>
    <row r="106" spans="2:8" x14ac:dyDescent="0.2">
      <c r="B106" s="36" t="s">
        <v>729</v>
      </c>
      <c r="C106" s="36" t="s">
        <v>730</v>
      </c>
      <c r="D106" s="36" t="s">
        <v>71</v>
      </c>
      <c r="E106" s="41">
        <v>22271</v>
      </c>
      <c r="F106" s="38">
        <v>103.2594915</v>
      </c>
      <c r="G106" s="39">
        <v>0.39749275625707697</v>
      </c>
      <c r="H106" s="42"/>
    </row>
    <row r="107" spans="2:8" x14ac:dyDescent="0.2">
      <c r="B107" s="36" t="s">
        <v>731</v>
      </c>
      <c r="C107" s="36" t="s">
        <v>732</v>
      </c>
      <c r="D107" s="36" t="s">
        <v>733</v>
      </c>
      <c r="E107" s="41">
        <v>22337</v>
      </c>
      <c r="F107" s="38">
        <v>101.901394</v>
      </c>
      <c r="G107" s="39">
        <v>0.39226482117141098</v>
      </c>
      <c r="H107" s="42"/>
    </row>
    <row r="108" spans="2:8" x14ac:dyDescent="0.2">
      <c r="B108" s="36" t="s">
        <v>734</v>
      </c>
      <c r="C108" s="36" t="s">
        <v>735</v>
      </c>
      <c r="D108" s="36" t="s">
        <v>495</v>
      </c>
      <c r="E108" s="41">
        <v>19462</v>
      </c>
      <c r="F108" s="38">
        <v>99.227007</v>
      </c>
      <c r="G108" s="39">
        <v>0.38196988901083501</v>
      </c>
      <c r="H108" s="42"/>
    </row>
    <row r="109" spans="2:8" x14ac:dyDescent="0.2">
      <c r="B109" s="36" t="s">
        <v>115</v>
      </c>
      <c r="C109" s="36" t="s">
        <v>116</v>
      </c>
      <c r="D109" s="36" t="s">
        <v>91</v>
      </c>
      <c r="E109" s="41">
        <v>18887</v>
      </c>
      <c r="F109" s="38">
        <v>98.939549499999998</v>
      </c>
      <c r="G109" s="39">
        <v>0.38086333432688402</v>
      </c>
      <c r="H109" s="42"/>
    </row>
    <row r="110" spans="2:8" x14ac:dyDescent="0.2">
      <c r="B110" s="36" t="s">
        <v>736</v>
      </c>
      <c r="C110" s="36" t="s">
        <v>737</v>
      </c>
      <c r="D110" s="36" t="s">
        <v>508</v>
      </c>
      <c r="E110" s="41">
        <v>2720</v>
      </c>
      <c r="F110" s="38">
        <v>98.708799999999997</v>
      </c>
      <c r="G110" s="39">
        <v>0.37997507453180301</v>
      </c>
      <c r="H110" s="42"/>
    </row>
    <row r="111" spans="2:8" x14ac:dyDescent="0.2">
      <c r="B111" s="36" t="s">
        <v>738</v>
      </c>
      <c r="C111" s="36" t="s">
        <v>739</v>
      </c>
      <c r="D111" s="36" t="s">
        <v>508</v>
      </c>
      <c r="E111" s="41">
        <v>1357</v>
      </c>
      <c r="F111" s="38">
        <v>97.765065000000007</v>
      </c>
      <c r="G111" s="39">
        <v>0.376342209205071</v>
      </c>
      <c r="H111" s="42"/>
    </row>
    <row r="112" spans="2:8" x14ac:dyDescent="0.2">
      <c r="B112" s="36" t="s">
        <v>740</v>
      </c>
      <c r="C112" s="36" t="s">
        <v>741</v>
      </c>
      <c r="D112" s="36" t="s">
        <v>44</v>
      </c>
      <c r="E112" s="41">
        <v>2220</v>
      </c>
      <c r="F112" s="38">
        <v>95.13588</v>
      </c>
      <c r="G112" s="39">
        <v>0.36622128010520499</v>
      </c>
      <c r="H112" s="42"/>
    </row>
    <row r="113" spans="2:8" x14ac:dyDescent="0.2">
      <c r="B113" s="36" t="s">
        <v>742</v>
      </c>
      <c r="C113" s="36" t="s">
        <v>743</v>
      </c>
      <c r="D113" s="36" t="s">
        <v>99</v>
      </c>
      <c r="E113" s="41">
        <v>18374</v>
      </c>
      <c r="F113" s="38">
        <v>91.980243999999999</v>
      </c>
      <c r="G113" s="39">
        <v>0.35407380162005198</v>
      </c>
      <c r="H113" s="42"/>
    </row>
    <row r="114" spans="2:8" x14ac:dyDescent="0.2">
      <c r="B114" s="36" t="s">
        <v>744</v>
      </c>
      <c r="C114" s="36" t="s">
        <v>745</v>
      </c>
      <c r="D114" s="36" t="s">
        <v>82</v>
      </c>
      <c r="E114" s="41">
        <v>336</v>
      </c>
      <c r="F114" s="38">
        <v>90.232799999999997</v>
      </c>
      <c r="G114" s="39">
        <v>0.347347094739408</v>
      </c>
      <c r="H114" s="42"/>
    </row>
    <row r="115" spans="2:8" x14ac:dyDescent="0.2">
      <c r="B115" s="36" t="s">
        <v>746</v>
      </c>
      <c r="C115" s="36" t="s">
        <v>747</v>
      </c>
      <c r="D115" s="36" t="s">
        <v>47</v>
      </c>
      <c r="E115" s="41">
        <v>36622</v>
      </c>
      <c r="F115" s="38">
        <v>89.888699000000003</v>
      </c>
      <c r="G115" s="39">
        <v>0.34602249345642699</v>
      </c>
      <c r="H115" s="42"/>
    </row>
    <row r="116" spans="2:8" x14ac:dyDescent="0.2">
      <c r="B116" s="36" t="s">
        <v>748</v>
      </c>
      <c r="C116" s="36" t="s">
        <v>749</v>
      </c>
      <c r="D116" s="36" t="s">
        <v>74</v>
      </c>
      <c r="E116" s="41">
        <v>5141</v>
      </c>
      <c r="F116" s="38">
        <v>89.874961999999996</v>
      </c>
      <c r="G116" s="39">
        <v>0.345969613494369</v>
      </c>
      <c r="H116" s="42"/>
    </row>
    <row r="117" spans="2:8" x14ac:dyDescent="0.2">
      <c r="B117" s="36" t="s">
        <v>750</v>
      </c>
      <c r="C117" s="36" t="s">
        <v>751</v>
      </c>
      <c r="D117" s="36" t="s">
        <v>79</v>
      </c>
      <c r="E117" s="41">
        <v>10046</v>
      </c>
      <c r="F117" s="38">
        <v>88.354569999999995</v>
      </c>
      <c r="G117" s="39">
        <v>0.34011693304928597</v>
      </c>
      <c r="H117" s="42"/>
    </row>
    <row r="118" spans="2:8" x14ac:dyDescent="0.2">
      <c r="B118" s="36" t="s">
        <v>752</v>
      </c>
      <c r="C118" s="36" t="s">
        <v>753</v>
      </c>
      <c r="D118" s="36" t="s">
        <v>99</v>
      </c>
      <c r="E118" s="41">
        <v>24861</v>
      </c>
      <c r="F118" s="38">
        <v>88.268980499999998</v>
      </c>
      <c r="G118" s="39">
        <v>0.33978746012851702</v>
      </c>
      <c r="H118" s="42"/>
    </row>
    <row r="119" spans="2:8" x14ac:dyDescent="0.2">
      <c r="B119" s="36" t="s">
        <v>754</v>
      </c>
      <c r="C119" s="36" t="s">
        <v>755</v>
      </c>
      <c r="D119" s="36" t="s">
        <v>99</v>
      </c>
      <c r="E119" s="41">
        <v>5601</v>
      </c>
      <c r="F119" s="38">
        <v>85.353639000000001</v>
      </c>
      <c r="G119" s="39">
        <v>0.32856498448553301</v>
      </c>
      <c r="H119" s="42"/>
    </row>
    <row r="120" spans="2:8" x14ac:dyDescent="0.2">
      <c r="B120" s="36" t="s">
        <v>63</v>
      </c>
      <c r="C120" s="36" t="s">
        <v>64</v>
      </c>
      <c r="D120" s="36" t="s">
        <v>65</v>
      </c>
      <c r="E120" s="41">
        <v>20867</v>
      </c>
      <c r="F120" s="38">
        <v>82.320314999999994</v>
      </c>
      <c r="G120" s="39">
        <v>0.31688834052897502</v>
      </c>
      <c r="H120" s="42"/>
    </row>
    <row r="121" spans="2:8" x14ac:dyDescent="0.2">
      <c r="B121" s="36" t="s">
        <v>756</v>
      </c>
      <c r="C121" s="36" t="s">
        <v>757</v>
      </c>
      <c r="D121" s="36" t="s">
        <v>131</v>
      </c>
      <c r="E121" s="41">
        <v>17089</v>
      </c>
      <c r="F121" s="38">
        <v>81.813587499999997</v>
      </c>
      <c r="G121" s="39">
        <v>0.31493771586754798</v>
      </c>
      <c r="H121" s="42"/>
    </row>
    <row r="122" spans="2:8" x14ac:dyDescent="0.2">
      <c r="B122" s="36" t="s">
        <v>758</v>
      </c>
      <c r="C122" s="36" t="s">
        <v>759</v>
      </c>
      <c r="D122" s="36" t="s">
        <v>44</v>
      </c>
      <c r="E122" s="41">
        <v>10575</v>
      </c>
      <c r="F122" s="38">
        <v>81.633712500000001</v>
      </c>
      <c r="G122" s="39">
        <v>0.31424529516613797</v>
      </c>
      <c r="H122" s="42"/>
    </row>
    <row r="123" spans="2:8" x14ac:dyDescent="0.2">
      <c r="B123" s="36" t="s">
        <v>760</v>
      </c>
      <c r="C123" s="36" t="s">
        <v>761</v>
      </c>
      <c r="D123" s="36" t="s">
        <v>558</v>
      </c>
      <c r="E123" s="41">
        <v>5461</v>
      </c>
      <c r="F123" s="38">
        <v>80.134714000000002</v>
      </c>
      <c r="G123" s="39">
        <v>0.30847496803461</v>
      </c>
      <c r="H123" s="42"/>
    </row>
    <row r="124" spans="2:8" x14ac:dyDescent="0.2">
      <c r="B124" s="36" t="s">
        <v>762</v>
      </c>
      <c r="C124" s="36" t="s">
        <v>763</v>
      </c>
      <c r="D124" s="36" t="s">
        <v>179</v>
      </c>
      <c r="E124" s="41">
        <v>7522</v>
      </c>
      <c r="F124" s="38">
        <v>79.808419999999998</v>
      </c>
      <c r="G124" s="39">
        <v>0.30721891399515999</v>
      </c>
      <c r="H124" s="42"/>
    </row>
    <row r="125" spans="2:8" x14ac:dyDescent="0.2">
      <c r="B125" s="36" t="s">
        <v>92</v>
      </c>
      <c r="C125" s="36" t="s">
        <v>93</v>
      </c>
      <c r="D125" s="36" t="s">
        <v>79</v>
      </c>
      <c r="E125" s="41">
        <v>2252</v>
      </c>
      <c r="F125" s="38">
        <v>79.687020000000004</v>
      </c>
      <c r="G125" s="39">
        <v>0.30675159016943998</v>
      </c>
      <c r="H125" s="42"/>
    </row>
    <row r="126" spans="2:8" x14ac:dyDescent="0.2">
      <c r="B126" s="36" t="s">
        <v>764</v>
      </c>
      <c r="C126" s="36" t="s">
        <v>765</v>
      </c>
      <c r="D126" s="36" t="s">
        <v>82</v>
      </c>
      <c r="E126" s="41">
        <v>2718</v>
      </c>
      <c r="F126" s="38">
        <v>79.607501999999997</v>
      </c>
      <c r="G126" s="39">
        <v>0.306445489214139</v>
      </c>
      <c r="H126" s="42"/>
    </row>
    <row r="127" spans="2:8" x14ac:dyDescent="0.2">
      <c r="B127" s="36" t="s">
        <v>766</v>
      </c>
      <c r="C127" s="36" t="s">
        <v>767</v>
      </c>
      <c r="D127" s="36" t="s">
        <v>131</v>
      </c>
      <c r="E127" s="41">
        <v>11714</v>
      </c>
      <c r="F127" s="38">
        <v>77.997669000000002</v>
      </c>
      <c r="G127" s="39">
        <v>0.30024850967271299</v>
      </c>
      <c r="H127" s="42"/>
    </row>
    <row r="128" spans="2:8" x14ac:dyDescent="0.2">
      <c r="B128" s="36" t="s">
        <v>768</v>
      </c>
      <c r="C128" s="36" t="s">
        <v>769</v>
      </c>
      <c r="D128" s="36" t="s">
        <v>112</v>
      </c>
      <c r="E128" s="41">
        <v>19949</v>
      </c>
      <c r="F128" s="38">
        <v>76.055562499999994</v>
      </c>
      <c r="G128" s="39">
        <v>0.29277245827621901</v>
      </c>
      <c r="H128" s="42"/>
    </row>
    <row r="129" spans="2:8" x14ac:dyDescent="0.2">
      <c r="B129" s="36" t="s">
        <v>770</v>
      </c>
      <c r="C129" s="36" t="s">
        <v>771</v>
      </c>
      <c r="D129" s="36" t="s">
        <v>50</v>
      </c>
      <c r="E129" s="41">
        <v>21046</v>
      </c>
      <c r="F129" s="38">
        <v>73.145373000000006</v>
      </c>
      <c r="G129" s="39">
        <v>0.28156981502491701</v>
      </c>
      <c r="H129" s="42"/>
    </row>
    <row r="130" spans="2:8" x14ac:dyDescent="0.2">
      <c r="B130" s="36" t="s">
        <v>136</v>
      </c>
      <c r="C130" s="36" t="s">
        <v>137</v>
      </c>
      <c r="D130" s="36" t="s">
        <v>79</v>
      </c>
      <c r="E130" s="41">
        <v>39405</v>
      </c>
      <c r="F130" s="38">
        <v>72.855904499999994</v>
      </c>
      <c r="G130" s="39">
        <v>0.280455519087147</v>
      </c>
      <c r="H130" s="42"/>
    </row>
    <row r="131" spans="2:8" x14ac:dyDescent="0.2">
      <c r="B131" s="36" t="s">
        <v>772</v>
      </c>
      <c r="C131" s="36" t="s">
        <v>773</v>
      </c>
      <c r="D131" s="36" t="s">
        <v>33</v>
      </c>
      <c r="E131" s="41">
        <v>4852</v>
      </c>
      <c r="F131" s="38">
        <v>72.561660000000003</v>
      </c>
      <c r="G131" s="39">
        <v>0.279322838152742</v>
      </c>
      <c r="H131" s="42"/>
    </row>
    <row r="132" spans="2:8" x14ac:dyDescent="0.2">
      <c r="B132" s="36" t="s">
        <v>774</v>
      </c>
      <c r="C132" s="36" t="s">
        <v>775</v>
      </c>
      <c r="D132" s="36" t="s">
        <v>435</v>
      </c>
      <c r="E132" s="41">
        <v>5946</v>
      </c>
      <c r="F132" s="38">
        <v>71.625516000000005</v>
      </c>
      <c r="G132" s="39">
        <v>0.27571919403820999</v>
      </c>
      <c r="H132" s="42"/>
    </row>
    <row r="133" spans="2:8" x14ac:dyDescent="0.2">
      <c r="B133" s="36" t="s">
        <v>776</v>
      </c>
      <c r="C133" s="36" t="s">
        <v>777</v>
      </c>
      <c r="D133" s="36" t="s">
        <v>674</v>
      </c>
      <c r="E133" s="41">
        <v>7175</v>
      </c>
      <c r="F133" s="38">
        <v>69.346374999999995</v>
      </c>
      <c r="G133" s="39">
        <v>0.26694574353183698</v>
      </c>
      <c r="H133" s="42"/>
    </row>
    <row r="134" spans="2:8" x14ac:dyDescent="0.2">
      <c r="B134" s="36" t="s">
        <v>778</v>
      </c>
      <c r="C134" s="36" t="s">
        <v>779</v>
      </c>
      <c r="D134" s="36" t="s">
        <v>463</v>
      </c>
      <c r="E134" s="41">
        <v>35924</v>
      </c>
      <c r="F134" s="38">
        <v>69.081851999999998</v>
      </c>
      <c r="G134" s="39">
        <v>0.26592747417145102</v>
      </c>
      <c r="H134" s="42"/>
    </row>
    <row r="135" spans="2:8" x14ac:dyDescent="0.2">
      <c r="B135" s="36" t="s">
        <v>780</v>
      </c>
      <c r="C135" s="36" t="s">
        <v>781</v>
      </c>
      <c r="D135" s="36" t="s">
        <v>131</v>
      </c>
      <c r="E135" s="41">
        <v>51326</v>
      </c>
      <c r="F135" s="38">
        <v>68.391895000000005</v>
      </c>
      <c r="G135" s="39">
        <v>0.26327151581212799</v>
      </c>
      <c r="H135" s="42"/>
    </row>
    <row r="136" spans="2:8" x14ac:dyDescent="0.2">
      <c r="B136" s="36" t="s">
        <v>782</v>
      </c>
      <c r="C136" s="36" t="s">
        <v>783</v>
      </c>
      <c r="D136" s="36" t="s">
        <v>131</v>
      </c>
      <c r="E136" s="41">
        <v>32376</v>
      </c>
      <c r="F136" s="38">
        <v>65.888397600000005</v>
      </c>
      <c r="G136" s="39">
        <v>0.25363441546084098</v>
      </c>
      <c r="H136" s="42"/>
    </row>
    <row r="137" spans="2:8" x14ac:dyDescent="0.2">
      <c r="B137" s="36" t="s">
        <v>784</v>
      </c>
      <c r="C137" s="36" t="s">
        <v>785</v>
      </c>
      <c r="D137" s="36" t="s">
        <v>454</v>
      </c>
      <c r="E137" s="41">
        <v>5462</v>
      </c>
      <c r="F137" s="38">
        <v>64.943179999999998</v>
      </c>
      <c r="G137" s="39">
        <v>0.24999584293226401</v>
      </c>
      <c r="H137" s="42"/>
    </row>
    <row r="138" spans="2:8" x14ac:dyDescent="0.2">
      <c r="B138" s="36" t="s">
        <v>786</v>
      </c>
      <c r="C138" s="36" t="s">
        <v>787</v>
      </c>
      <c r="D138" s="36" t="s">
        <v>131</v>
      </c>
      <c r="E138" s="41">
        <v>1573</v>
      </c>
      <c r="F138" s="38">
        <v>62.108331999999997</v>
      </c>
      <c r="G138" s="39">
        <v>0.23908322338784299</v>
      </c>
      <c r="H138" s="42"/>
    </row>
    <row r="139" spans="2:8" x14ac:dyDescent="0.2">
      <c r="B139" s="36" t="s">
        <v>788</v>
      </c>
      <c r="C139" s="36" t="s">
        <v>789</v>
      </c>
      <c r="D139" s="36" t="s">
        <v>50</v>
      </c>
      <c r="E139" s="41">
        <v>59929</v>
      </c>
      <c r="F139" s="38">
        <v>62.038500800000001</v>
      </c>
      <c r="G139" s="39">
        <v>0.238814411332336</v>
      </c>
      <c r="H139" s="42"/>
    </row>
    <row r="140" spans="2:8" x14ac:dyDescent="0.2">
      <c r="B140" s="36" t="s">
        <v>790</v>
      </c>
      <c r="C140" s="36" t="s">
        <v>791</v>
      </c>
      <c r="D140" s="36" t="s">
        <v>65</v>
      </c>
      <c r="E140" s="41">
        <v>2275</v>
      </c>
      <c r="F140" s="38">
        <v>61.939149999999998</v>
      </c>
      <c r="G140" s="39">
        <v>0.23843196490775401</v>
      </c>
      <c r="H140" s="42"/>
    </row>
    <row r="141" spans="2:8" x14ac:dyDescent="0.2">
      <c r="B141" s="36" t="s">
        <v>792</v>
      </c>
      <c r="C141" s="36" t="s">
        <v>793</v>
      </c>
      <c r="D141" s="36" t="s">
        <v>147</v>
      </c>
      <c r="E141" s="41">
        <v>4658</v>
      </c>
      <c r="F141" s="38">
        <v>61.485599999999998</v>
      </c>
      <c r="G141" s="39">
        <v>0.23668604463464901</v>
      </c>
      <c r="H141" s="42"/>
    </row>
    <row r="142" spans="2:8" x14ac:dyDescent="0.2">
      <c r="B142" s="36" t="s">
        <v>94</v>
      </c>
      <c r="C142" s="36" t="s">
        <v>95</v>
      </c>
      <c r="D142" s="36" t="s">
        <v>96</v>
      </c>
      <c r="E142" s="41">
        <v>2142</v>
      </c>
      <c r="F142" s="38">
        <v>61.256915999999997</v>
      </c>
      <c r="G142" s="39">
        <v>0.23580573588867801</v>
      </c>
      <c r="H142" s="42"/>
    </row>
    <row r="143" spans="2:8" x14ac:dyDescent="0.2">
      <c r="B143" s="36" t="s">
        <v>794</v>
      </c>
      <c r="C143" s="36" t="s">
        <v>795</v>
      </c>
      <c r="D143" s="36" t="s">
        <v>796</v>
      </c>
      <c r="E143" s="41">
        <v>1778</v>
      </c>
      <c r="F143" s="38">
        <v>61.028072000000002</v>
      </c>
      <c r="G143" s="39">
        <v>0.23492481122992301</v>
      </c>
      <c r="H143" s="42"/>
    </row>
    <row r="144" spans="2:8" x14ac:dyDescent="0.2">
      <c r="B144" s="36" t="s">
        <v>797</v>
      </c>
      <c r="C144" s="36" t="s">
        <v>798</v>
      </c>
      <c r="D144" s="36" t="s">
        <v>131</v>
      </c>
      <c r="E144" s="41">
        <v>71430</v>
      </c>
      <c r="F144" s="38">
        <v>60.636927</v>
      </c>
      <c r="G144" s="39">
        <v>0.23341911619029401</v>
      </c>
      <c r="H144" s="42"/>
    </row>
    <row r="145" spans="2:9" x14ac:dyDescent="0.2">
      <c r="B145" s="36" t="s">
        <v>799</v>
      </c>
      <c r="C145" s="36" t="s">
        <v>800</v>
      </c>
      <c r="D145" s="36" t="s">
        <v>801</v>
      </c>
      <c r="E145" s="41">
        <v>2628</v>
      </c>
      <c r="F145" s="38">
        <v>59.991984000000002</v>
      </c>
      <c r="G145" s="39">
        <v>0.23093643719415799</v>
      </c>
      <c r="H145" s="42"/>
    </row>
    <row r="146" spans="2:9" x14ac:dyDescent="0.2">
      <c r="B146" s="36" t="s">
        <v>802</v>
      </c>
      <c r="C146" s="36" t="s">
        <v>803</v>
      </c>
      <c r="D146" s="36" t="s">
        <v>804</v>
      </c>
      <c r="E146" s="41">
        <v>182</v>
      </c>
      <c r="F146" s="38">
        <v>59.714199999999998</v>
      </c>
      <c r="G146" s="39">
        <v>0.22986712021225</v>
      </c>
      <c r="H146" s="42"/>
    </row>
    <row r="147" spans="2:9" x14ac:dyDescent="0.2">
      <c r="B147" s="36" t="s">
        <v>805</v>
      </c>
      <c r="C147" s="36" t="s">
        <v>806</v>
      </c>
      <c r="D147" s="36" t="s">
        <v>82</v>
      </c>
      <c r="E147" s="41">
        <v>2669</v>
      </c>
      <c r="F147" s="38">
        <v>58.990237999999998</v>
      </c>
      <c r="G147" s="39">
        <v>0.227080261138812</v>
      </c>
      <c r="H147" s="42"/>
    </row>
    <row r="148" spans="2:9" x14ac:dyDescent="0.2">
      <c r="B148" s="36" t="s">
        <v>807</v>
      </c>
      <c r="C148" s="36" t="s">
        <v>808</v>
      </c>
      <c r="D148" s="36" t="s">
        <v>131</v>
      </c>
      <c r="E148" s="41">
        <v>8414</v>
      </c>
      <c r="F148" s="38">
        <v>58.069220999999999</v>
      </c>
      <c r="G148" s="39">
        <v>0.22353484772866</v>
      </c>
      <c r="H148" s="42"/>
    </row>
    <row r="149" spans="2:9" x14ac:dyDescent="0.2">
      <c r="B149" s="36" t="s">
        <v>809</v>
      </c>
      <c r="C149" s="36" t="s">
        <v>810</v>
      </c>
      <c r="D149" s="36" t="s">
        <v>438</v>
      </c>
      <c r="E149" s="41">
        <v>20955</v>
      </c>
      <c r="F149" s="38">
        <v>57.689115000000001</v>
      </c>
      <c r="G149" s="39">
        <v>0.22207164682175001</v>
      </c>
      <c r="H149" s="42"/>
    </row>
    <row r="150" spans="2:9" x14ac:dyDescent="0.2">
      <c r="B150" s="36" t="s">
        <v>811</v>
      </c>
      <c r="C150" s="36" t="s">
        <v>812</v>
      </c>
      <c r="D150" s="36" t="s">
        <v>74</v>
      </c>
      <c r="E150" s="41">
        <v>3868</v>
      </c>
      <c r="F150" s="38">
        <v>54.124924</v>
      </c>
      <c r="G150" s="39">
        <v>0.208351454287036</v>
      </c>
      <c r="H150" s="42"/>
    </row>
    <row r="151" spans="2:9" x14ac:dyDescent="0.2">
      <c r="B151" s="36" t="s">
        <v>813</v>
      </c>
      <c r="C151" s="36" t="s">
        <v>814</v>
      </c>
      <c r="D151" s="36" t="s">
        <v>558</v>
      </c>
      <c r="E151" s="41">
        <v>142</v>
      </c>
      <c r="F151" s="38">
        <v>50.438400000000001</v>
      </c>
      <c r="G151" s="39">
        <v>0.19416034638517399</v>
      </c>
      <c r="H151" s="42"/>
    </row>
    <row r="152" spans="2:9" x14ac:dyDescent="0.2">
      <c r="B152" s="36" t="s">
        <v>815</v>
      </c>
      <c r="C152" s="36" t="s">
        <v>816</v>
      </c>
      <c r="D152" s="36" t="s">
        <v>44</v>
      </c>
      <c r="E152" s="41">
        <v>9568</v>
      </c>
      <c r="F152" s="38">
        <v>48.605440000000002</v>
      </c>
      <c r="G152" s="39">
        <v>0.18710444951869601</v>
      </c>
      <c r="H152" s="42"/>
    </row>
    <row r="153" spans="2:9" x14ac:dyDescent="0.2">
      <c r="B153" s="36" t="s">
        <v>817</v>
      </c>
      <c r="C153" s="36" t="s">
        <v>818</v>
      </c>
      <c r="D153" s="36" t="s">
        <v>50</v>
      </c>
      <c r="E153" s="41">
        <v>46146</v>
      </c>
      <c r="F153" s="38">
        <v>34.683333599999997</v>
      </c>
      <c r="G153" s="39">
        <v>0.133511928720351</v>
      </c>
      <c r="H153" s="42"/>
    </row>
    <row r="154" spans="2:9" x14ac:dyDescent="0.2">
      <c r="B154" s="36" t="s">
        <v>819</v>
      </c>
      <c r="C154" s="36" t="s">
        <v>820</v>
      </c>
      <c r="D154" s="36" t="s">
        <v>804</v>
      </c>
      <c r="E154" s="41">
        <v>2784</v>
      </c>
      <c r="F154" s="38">
        <v>30.827231999999999</v>
      </c>
      <c r="G154" s="39">
        <v>0.11866803949403899</v>
      </c>
      <c r="H154" s="42"/>
    </row>
    <row r="155" spans="2:9" x14ac:dyDescent="0.2">
      <c r="B155" s="36" t="s">
        <v>821</v>
      </c>
      <c r="C155" s="36" t="s">
        <v>822</v>
      </c>
      <c r="D155" s="36" t="s">
        <v>82</v>
      </c>
      <c r="E155" s="41">
        <v>4014</v>
      </c>
      <c r="F155" s="38">
        <v>30.504393</v>
      </c>
      <c r="G155" s="39">
        <v>0.117425285321293</v>
      </c>
      <c r="H155" s="42"/>
    </row>
    <row r="156" spans="2:9" x14ac:dyDescent="0.2">
      <c r="B156" s="36" t="s">
        <v>823</v>
      </c>
      <c r="C156" s="36" t="s">
        <v>824</v>
      </c>
      <c r="D156" s="36" t="s">
        <v>112</v>
      </c>
      <c r="E156" s="41">
        <v>15526</v>
      </c>
      <c r="F156" s="38">
        <v>24.441029199999999</v>
      </c>
      <c r="G156" s="39">
        <v>9.4084639787982094E-2</v>
      </c>
      <c r="H156" s="42"/>
    </row>
    <row r="157" spans="2:9" ht="10.5" x14ac:dyDescent="0.25">
      <c r="B157" s="35" t="s">
        <v>180</v>
      </c>
      <c r="C157" s="35"/>
      <c r="D157" s="35"/>
      <c r="E157" s="43"/>
      <c r="F157" s="44">
        <f>SUM(F7:F156)</f>
        <v>25955.078115899996</v>
      </c>
      <c r="G157" s="45">
        <f>SUM(G7:G156)</f>
        <v>99.912902816849865</v>
      </c>
      <c r="H157" s="35"/>
      <c r="I157" s="26"/>
    </row>
    <row r="158" spans="2:9" ht="10.5" x14ac:dyDescent="0.25">
      <c r="B158" s="35" t="s">
        <v>181</v>
      </c>
      <c r="C158" s="35"/>
      <c r="D158" s="35"/>
      <c r="E158" s="43"/>
      <c r="F158" s="47" t="s">
        <v>182</v>
      </c>
      <c r="G158" s="48" t="s">
        <v>182</v>
      </c>
      <c r="H158" s="35"/>
      <c r="I158" s="26"/>
    </row>
    <row r="159" spans="2:9" ht="10.5" x14ac:dyDescent="0.25">
      <c r="B159" s="35" t="s">
        <v>180</v>
      </c>
      <c r="C159" s="35"/>
      <c r="D159" s="35"/>
      <c r="E159" s="43"/>
      <c r="F159" s="49" t="s">
        <v>182</v>
      </c>
      <c r="G159" s="50" t="s">
        <v>182</v>
      </c>
      <c r="H159" s="35"/>
      <c r="I159" s="26"/>
    </row>
    <row r="160" spans="2:9" ht="10.5" x14ac:dyDescent="0.25">
      <c r="B160" s="51" t="s">
        <v>183</v>
      </c>
      <c r="C160" s="51"/>
      <c r="D160" s="51"/>
      <c r="E160" s="52"/>
      <c r="F160" s="53">
        <f>F157</f>
        <v>25955.078115899996</v>
      </c>
      <c r="G160" s="54">
        <f>G157</f>
        <v>99.912902816849865</v>
      </c>
      <c r="H160" s="35"/>
      <c r="I160" s="26"/>
    </row>
    <row r="161" spans="2:9" ht="10.5" x14ac:dyDescent="0.25">
      <c r="B161" s="35" t="s">
        <v>184</v>
      </c>
      <c r="C161" s="35"/>
      <c r="D161" s="35"/>
      <c r="E161" s="43"/>
      <c r="F161" s="44">
        <v>227.39900990000001</v>
      </c>
      <c r="G161" s="45">
        <v>0.87536223452428397</v>
      </c>
      <c r="H161" s="42">
        <v>5.3499999999999999E-2</v>
      </c>
      <c r="I161" s="27"/>
    </row>
    <row r="162" spans="2:9" x14ac:dyDescent="0.2">
      <c r="B162" s="36"/>
      <c r="C162" s="36"/>
      <c r="D162" s="36"/>
      <c r="E162" s="37"/>
      <c r="F162" s="38"/>
      <c r="G162" s="39"/>
      <c r="H162" s="36"/>
    </row>
    <row r="163" spans="2:9" ht="10.5" x14ac:dyDescent="0.25">
      <c r="B163" s="61" t="s">
        <v>187</v>
      </c>
      <c r="C163" s="61"/>
      <c r="D163" s="61"/>
      <c r="E163" s="62"/>
      <c r="F163" s="44">
        <f>F164-(F157+F161)</f>
        <v>-204.77316149999751</v>
      </c>
      <c r="G163" s="45">
        <f>G164-(G157+G161)</f>
        <v>-0.78826505137415381</v>
      </c>
      <c r="H163" s="35"/>
      <c r="I163" s="26"/>
    </row>
    <row r="164" spans="2:9" ht="10.5" x14ac:dyDescent="0.25">
      <c r="B164" s="55" t="s">
        <v>185</v>
      </c>
      <c r="C164" s="55"/>
      <c r="D164" s="55"/>
      <c r="E164" s="56"/>
      <c r="F164" s="57">
        <v>25977.703964299999</v>
      </c>
      <c r="G164" s="58">
        <v>100</v>
      </c>
      <c r="H164" s="60"/>
      <c r="I164" s="26"/>
    </row>
    <row r="166" spans="2:9" ht="10.5" x14ac:dyDescent="0.25">
      <c r="B166" s="26"/>
    </row>
    <row r="167" spans="2:9" ht="10.5" x14ac:dyDescent="0.25">
      <c r="B167" s="26"/>
    </row>
    <row r="168" spans="2:9" ht="10.5" x14ac:dyDescent="0.2">
      <c r="B168" s="90" t="s">
        <v>196</v>
      </c>
    </row>
    <row r="169" spans="2:9" ht="10.5" x14ac:dyDescent="0.2">
      <c r="B169" s="90"/>
    </row>
    <row r="170" spans="2:9" x14ac:dyDescent="0.2">
      <c r="B170" s="94" t="s">
        <v>1508</v>
      </c>
    </row>
    <row r="171" spans="2:9" x14ac:dyDescent="0.2">
      <c r="B171" s="94" t="s">
        <v>1515</v>
      </c>
    </row>
    <row r="172" spans="2:9" x14ac:dyDescent="0.2">
      <c r="B172" s="94" t="s">
        <v>1516</v>
      </c>
    </row>
    <row r="173" spans="2:9" ht="10.5" x14ac:dyDescent="0.2">
      <c r="B173" s="90"/>
    </row>
    <row r="174" spans="2:9" ht="10.5" x14ac:dyDescent="0.2">
      <c r="B174" s="100" t="s">
        <v>1510</v>
      </c>
      <c r="C174" s="96" t="s">
        <v>1511</v>
      </c>
      <c r="D174" s="153" t="s">
        <v>1563</v>
      </c>
    </row>
    <row r="175" spans="2:9" x14ac:dyDescent="0.2">
      <c r="B175" s="97" t="s">
        <v>1512</v>
      </c>
      <c r="C175" s="101">
        <v>10.3521</v>
      </c>
      <c r="D175" s="151">
        <v>10.6214</v>
      </c>
    </row>
    <row r="176" spans="2:9" ht="10.5" x14ac:dyDescent="0.2">
      <c r="B176" s="90"/>
    </row>
    <row r="177" spans="2:7" x14ac:dyDescent="0.2">
      <c r="B177" s="94" t="s">
        <v>1549</v>
      </c>
    </row>
    <row r="178" spans="2:7" x14ac:dyDescent="0.2">
      <c r="B178" s="94" t="s">
        <v>1574</v>
      </c>
    </row>
    <row r="179" spans="2:7" x14ac:dyDescent="0.2">
      <c r="B179" s="94" t="s">
        <v>1560</v>
      </c>
    </row>
    <row r="180" spans="2:7" x14ac:dyDescent="0.2">
      <c r="B180" s="170" t="s">
        <v>1582</v>
      </c>
    </row>
    <row r="181" spans="2:7" x14ac:dyDescent="0.2">
      <c r="B181" s="94" t="s">
        <v>1561</v>
      </c>
    </row>
    <row r="184" spans="2:7" ht="10.5" x14ac:dyDescent="0.25">
      <c r="B184" s="26" t="s">
        <v>197</v>
      </c>
      <c r="E184" s="8"/>
      <c r="G184" s="87"/>
    </row>
    <row r="185" spans="2:7" x14ac:dyDescent="0.2">
      <c r="E185" s="8"/>
      <c r="G185" s="87"/>
    </row>
    <row r="186" spans="2:7" x14ac:dyDescent="0.2">
      <c r="E186" s="8"/>
      <c r="G186" s="87"/>
    </row>
    <row r="187" spans="2:7" x14ac:dyDescent="0.2">
      <c r="E187" s="8"/>
      <c r="G187" s="87"/>
    </row>
    <row r="188" spans="2:7" x14ac:dyDescent="0.2">
      <c r="E188" s="8"/>
      <c r="G188" s="87"/>
    </row>
    <row r="189" spans="2:7" x14ac:dyDescent="0.2">
      <c r="E189" s="8"/>
      <c r="G189" s="87"/>
    </row>
    <row r="190" spans="2:7" x14ac:dyDescent="0.2">
      <c r="E190" s="8"/>
      <c r="G190" s="87"/>
    </row>
    <row r="191" spans="2:7" x14ac:dyDescent="0.2">
      <c r="E191" s="8"/>
      <c r="G191" s="87"/>
    </row>
    <row r="192" spans="2:7" x14ac:dyDescent="0.2">
      <c r="E192" s="8"/>
      <c r="G192" s="87"/>
    </row>
    <row r="193" spans="2:7" x14ac:dyDescent="0.2">
      <c r="E193" s="8"/>
      <c r="G193" s="87"/>
    </row>
    <row r="194" spans="2:7" x14ac:dyDescent="0.2">
      <c r="E194" s="8"/>
      <c r="G194" s="87"/>
    </row>
    <row r="195" spans="2:7" x14ac:dyDescent="0.2">
      <c r="E195" s="8"/>
      <c r="G195" s="87"/>
    </row>
    <row r="196" spans="2:7" x14ac:dyDescent="0.2">
      <c r="E196" s="8"/>
      <c r="G196" s="87"/>
    </row>
    <row r="197" spans="2:7" x14ac:dyDescent="0.2">
      <c r="E197" s="8"/>
      <c r="G197" s="87"/>
    </row>
    <row r="198" spans="2:7" x14ac:dyDescent="0.2">
      <c r="E198" s="8"/>
      <c r="G198" s="87"/>
    </row>
    <row r="199" spans="2:7" x14ac:dyDescent="0.2">
      <c r="E199" s="8"/>
      <c r="G199" s="87"/>
    </row>
    <row r="200" spans="2:7" x14ac:dyDescent="0.2">
      <c r="E200" s="8"/>
      <c r="G200" s="87"/>
    </row>
    <row r="201" spans="2:7" ht="10.5" x14ac:dyDescent="0.2">
      <c r="B201" s="90" t="s">
        <v>1478</v>
      </c>
      <c r="E201" s="8"/>
      <c r="G201" s="87"/>
    </row>
    <row r="202" spans="2:7" ht="10.5" x14ac:dyDescent="0.25">
      <c r="B202" s="91" t="s">
        <v>1489</v>
      </c>
      <c r="E202" s="8"/>
      <c r="G202" s="87"/>
    </row>
    <row r="203" spans="2:7" x14ac:dyDescent="0.2">
      <c r="E203" s="8"/>
      <c r="G203" s="87"/>
    </row>
    <row r="204" spans="2:7" x14ac:dyDescent="0.2">
      <c r="E204" s="8"/>
      <c r="G204" s="87"/>
    </row>
    <row r="205" spans="2:7" x14ac:dyDescent="0.2">
      <c r="E205" s="8"/>
      <c r="G205" s="87"/>
    </row>
    <row r="206" spans="2:7" x14ac:dyDescent="0.2">
      <c r="E206" s="8"/>
      <c r="G206" s="87"/>
    </row>
    <row r="207" spans="2:7" x14ac:dyDescent="0.2">
      <c r="E207" s="8"/>
      <c r="G207" s="87"/>
    </row>
    <row r="208" spans="2:7" x14ac:dyDescent="0.2">
      <c r="E208" s="8"/>
      <c r="G208" s="87"/>
    </row>
    <row r="209" spans="5:7" x14ac:dyDescent="0.2">
      <c r="E209" s="8"/>
      <c r="G209" s="87"/>
    </row>
    <row r="210" spans="5:7" x14ac:dyDescent="0.2">
      <c r="E210" s="8"/>
      <c r="G210" s="87"/>
    </row>
    <row r="211" spans="5:7" x14ac:dyDescent="0.2">
      <c r="E211" s="8"/>
      <c r="G211" s="87"/>
    </row>
    <row r="212" spans="5:7" x14ac:dyDescent="0.2">
      <c r="E212" s="8"/>
      <c r="G212" s="87"/>
    </row>
    <row r="213" spans="5:7" x14ac:dyDescent="0.2">
      <c r="E213" s="8"/>
      <c r="G213" s="87"/>
    </row>
    <row r="214" spans="5:7" x14ac:dyDescent="0.2">
      <c r="E214" s="8"/>
      <c r="G214" s="87"/>
    </row>
    <row r="215" spans="5:7" x14ac:dyDescent="0.2">
      <c r="E215" s="8"/>
      <c r="G215" s="87"/>
    </row>
    <row r="216" spans="5:7" x14ac:dyDescent="0.2">
      <c r="E216" s="8"/>
      <c r="G216" s="87"/>
    </row>
    <row r="217" spans="5:7" x14ac:dyDescent="0.2">
      <c r="E217" s="8"/>
      <c r="G217" s="87"/>
    </row>
    <row r="218" spans="5:7" x14ac:dyDescent="0.2">
      <c r="E218" s="8"/>
      <c r="G218" s="87"/>
    </row>
    <row r="219" spans="5:7" x14ac:dyDescent="0.2">
      <c r="E219" s="8"/>
      <c r="G219" s="87"/>
    </row>
    <row r="220" spans="5:7" x14ac:dyDescent="0.2">
      <c r="E220" s="8"/>
      <c r="G220" s="87"/>
    </row>
    <row r="221" spans="5:7" x14ac:dyDescent="0.2">
      <c r="E221" s="8"/>
      <c r="G221" s="87"/>
    </row>
  </sheetData>
  <mergeCells count="1">
    <mergeCell ref="B1:C1"/>
  </mergeCells>
  <conditionalFormatting sqref="G1:G3 G5:G221">
    <cfRule type="cellIs" dxfId="4" priority="2" stopIfTrue="1" operator="between">
      <formula>0.009</formula>
      <formula>-0.009</formula>
    </cfRule>
  </conditionalFormatting>
  <hyperlinks>
    <hyperlink ref="A2" location="Index!A1" display="-" xr:uid="{C0E47E0F-9F9E-4E35-8869-D60391F4F093}"/>
  </hyperlinks>
  <pageMargins left="0.7" right="0.7" top="0.75" bottom="0.75" header="0.3" footer="0.3"/>
  <pageSetup paperSize="9" scale="58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292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8772-063A-44A3-AFA2-54631F70C4FE}">
  <dimension ref="A1:I319"/>
  <sheetViews>
    <sheetView view="pageBreakPreview" zoomScale="90" zoomScaleNormal="100" zoomScaleSheetLayoutView="90" workbookViewId="0"/>
  </sheetViews>
  <sheetFormatPr defaultColWidth="9.08984375" defaultRowHeight="10" x14ac:dyDescent="0.2"/>
  <cols>
    <col min="1" max="1" width="7.1796875" style="8" customWidth="1"/>
    <col min="2" max="2" width="52.7265625" style="8" bestFit="1" customWidth="1"/>
    <col min="3" max="3" width="16.1796875" style="8" customWidth="1"/>
    <col min="4" max="4" width="32.1796875" style="8" bestFit="1" customWidth="1"/>
    <col min="5" max="5" width="13.90625" style="9" bestFit="1" customWidth="1"/>
    <col min="6" max="6" width="14" style="11" customWidth="1"/>
    <col min="7" max="7" width="6.7265625" style="18" bestFit="1" customWidth="1"/>
    <col min="8" max="8" width="17.36328125" style="8" bestFit="1" customWidth="1"/>
    <col min="9" max="16384" width="9.08984375" style="8"/>
  </cols>
  <sheetData>
    <row r="1" spans="1:8" s="1" customFormat="1" ht="16.75" customHeight="1" x14ac:dyDescent="0.35">
      <c r="B1" s="185" t="s">
        <v>20</v>
      </c>
      <c r="C1" s="186"/>
      <c r="D1" s="13"/>
      <c r="E1" s="6"/>
      <c r="F1" s="7"/>
      <c r="G1" s="18"/>
    </row>
    <row r="2" spans="1:8" s="1" customFormat="1" ht="14.5" x14ac:dyDescent="0.35">
      <c r="A2" s="85" t="s">
        <v>1494</v>
      </c>
      <c r="E2" s="6"/>
      <c r="F2" s="7"/>
      <c r="G2" s="18"/>
    </row>
    <row r="3" spans="1:8" s="1" customFormat="1" ht="11.5" x14ac:dyDescent="0.25">
      <c r="B3" s="10" t="s">
        <v>9</v>
      </c>
      <c r="C3" s="2"/>
      <c r="D3" s="3"/>
      <c r="E3" s="4"/>
      <c r="F3" s="5"/>
      <c r="G3" s="18"/>
    </row>
    <row r="4" spans="1:8" s="1" customFormat="1" ht="25.5" customHeight="1" x14ac:dyDescent="0.25">
      <c r="B4" s="29" t="s">
        <v>7</v>
      </c>
      <c r="C4" s="29" t="s">
        <v>8</v>
      </c>
      <c r="D4" s="30" t="s">
        <v>190</v>
      </c>
      <c r="E4" s="31" t="s">
        <v>0</v>
      </c>
      <c r="F4" s="32" t="s">
        <v>4</v>
      </c>
      <c r="G4" s="33" t="s">
        <v>5</v>
      </c>
      <c r="H4" s="83" t="s">
        <v>6</v>
      </c>
    </row>
    <row r="5" spans="1:8" ht="10.5" x14ac:dyDescent="0.25">
      <c r="B5" s="35" t="s">
        <v>24</v>
      </c>
      <c r="C5" s="36"/>
      <c r="D5" s="36"/>
      <c r="E5" s="37"/>
      <c r="F5" s="38"/>
      <c r="G5" s="39"/>
      <c r="H5" s="36"/>
    </row>
    <row r="6" spans="1:8" ht="10.5" x14ac:dyDescent="0.25">
      <c r="B6" s="35" t="s">
        <v>25</v>
      </c>
      <c r="C6" s="36"/>
      <c r="D6" s="36"/>
      <c r="E6" s="37"/>
      <c r="F6" s="38"/>
      <c r="G6" s="39"/>
      <c r="H6" s="36"/>
    </row>
    <row r="7" spans="1:8" x14ac:dyDescent="0.2">
      <c r="B7" s="36" t="s">
        <v>825</v>
      </c>
      <c r="C7" s="36" t="s">
        <v>826</v>
      </c>
      <c r="D7" s="36" t="s">
        <v>28</v>
      </c>
      <c r="E7" s="41">
        <v>162491</v>
      </c>
      <c r="F7" s="38">
        <v>469.19276250000001</v>
      </c>
      <c r="G7" s="39">
        <v>1.3481763724371101</v>
      </c>
      <c r="H7" s="42"/>
    </row>
    <row r="8" spans="1:8" x14ac:dyDescent="0.2">
      <c r="B8" s="36" t="s">
        <v>827</v>
      </c>
      <c r="C8" s="36" t="s">
        <v>828</v>
      </c>
      <c r="D8" s="36" t="s">
        <v>65</v>
      </c>
      <c r="E8" s="41">
        <v>77122</v>
      </c>
      <c r="F8" s="38">
        <v>468.47758900000002</v>
      </c>
      <c r="G8" s="39">
        <v>1.3461213961204399</v>
      </c>
      <c r="H8" s="42"/>
    </row>
    <row r="9" spans="1:8" x14ac:dyDescent="0.2">
      <c r="B9" s="36" t="s">
        <v>829</v>
      </c>
      <c r="C9" s="36" t="s">
        <v>830</v>
      </c>
      <c r="D9" s="36" t="s">
        <v>508</v>
      </c>
      <c r="E9" s="41">
        <v>6325</v>
      </c>
      <c r="F9" s="38">
        <v>450.90924999999999</v>
      </c>
      <c r="G9" s="39">
        <v>1.2956406098939801</v>
      </c>
      <c r="H9" s="42"/>
    </row>
    <row r="10" spans="1:8" x14ac:dyDescent="0.2">
      <c r="B10" s="36" t="s">
        <v>831</v>
      </c>
      <c r="C10" s="36" t="s">
        <v>832</v>
      </c>
      <c r="D10" s="36" t="s">
        <v>71</v>
      </c>
      <c r="E10" s="41">
        <v>96064</v>
      </c>
      <c r="F10" s="38">
        <v>434.54550399999999</v>
      </c>
      <c r="G10" s="39">
        <v>1.2486210957731401</v>
      </c>
      <c r="H10" s="42"/>
    </row>
    <row r="11" spans="1:8" x14ac:dyDescent="0.2">
      <c r="B11" s="36" t="s">
        <v>833</v>
      </c>
      <c r="C11" s="36" t="s">
        <v>834</v>
      </c>
      <c r="D11" s="36" t="s">
        <v>131</v>
      </c>
      <c r="E11" s="41">
        <v>20683</v>
      </c>
      <c r="F11" s="38">
        <v>398.52004399999998</v>
      </c>
      <c r="G11" s="39">
        <v>1.1451057011208701</v>
      </c>
      <c r="H11" s="42"/>
    </row>
    <row r="12" spans="1:8" x14ac:dyDescent="0.2">
      <c r="B12" s="36" t="s">
        <v>835</v>
      </c>
      <c r="C12" s="36" t="s">
        <v>836</v>
      </c>
      <c r="D12" s="36" t="s">
        <v>79</v>
      </c>
      <c r="E12" s="41">
        <v>30645</v>
      </c>
      <c r="F12" s="38">
        <v>381.40767</v>
      </c>
      <c r="G12" s="39">
        <v>1.0959350826736001</v>
      </c>
      <c r="H12" s="42"/>
    </row>
    <row r="13" spans="1:8" x14ac:dyDescent="0.2">
      <c r="B13" s="36" t="s">
        <v>837</v>
      </c>
      <c r="C13" s="36" t="s">
        <v>838</v>
      </c>
      <c r="D13" s="36" t="s">
        <v>79</v>
      </c>
      <c r="E13" s="41">
        <v>111394</v>
      </c>
      <c r="F13" s="38">
        <v>375.73196200000001</v>
      </c>
      <c r="G13" s="39">
        <v>1.07962652884664</v>
      </c>
      <c r="H13" s="42"/>
    </row>
    <row r="14" spans="1:8" x14ac:dyDescent="0.2">
      <c r="B14" s="36" t="s">
        <v>839</v>
      </c>
      <c r="C14" s="36" t="s">
        <v>840</v>
      </c>
      <c r="D14" s="36" t="s">
        <v>28</v>
      </c>
      <c r="E14" s="41">
        <v>103812</v>
      </c>
      <c r="F14" s="38">
        <v>358.15140000000002</v>
      </c>
      <c r="G14" s="39">
        <v>1.02911062110698</v>
      </c>
      <c r="H14" s="42"/>
    </row>
    <row r="15" spans="1:8" x14ac:dyDescent="0.2">
      <c r="B15" s="36" t="s">
        <v>841</v>
      </c>
      <c r="C15" s="36" t="s">
        <v>842</v>
      </c>
      <c r="D15" s="36" t="s">
        <v>131</v>
      </c>
      <c r="E15" s="41">
        <v>32328</v>
      </c>
      <c r="F15" s="38">
        <v>333.14004</v>
      </c>
      <c r="G15" s="39">
        <v>0.95724309183212197</v>
      </c>
      <c r="H15" s="42"/>
    </row>
    <row r="16" spans="1:8" x14ac:dyDescent="0.2">
      <c r="B16" s="36" t="s">
        <v>843</v>
      </c>
      <c r="C16" s="36" t="s">
        <v>844</v>
      </c>
      <c r="D16" s="36" t="s">
        <v>79</v>
      </c>
      <c r="E16" s="41">
        <v>41346</v>
      </c>
      <c r="F16" s="38">
        <v>327.25358999999997</v>
      </c>
      <c r="G16" s="39">
        <v>0.94032899289068195</v>
      </c>
      <c r="H16" s="42"/>
    </row>
    <row r="17" spans="2:8" x14ac:dyDescent="0.2">
      <c r="B17" s="36" t="s">
        <v>845</v>
      </c>
      <c r="C17" s="36" t="s">
        <v>846</v>
      </c>
      <c r="D17" s="36" t="s">
        <v>454</v>
      </c>
      <c r="E17" s="41">
        <v>42487</v>
      </c>
      <c r="F17" s="38">
        <v>322.4125995</v>
      </c>
      <c r="G17" s="39">
        <v>0.926418912572057</v>
      </c>
      <c r="H17" s="42"/>
    </row>
    <row r="18" spans="2:8" x14ac:dyDescent="0.2">
      <c r="B18" s="36" t="s">
        <v>847</v>
      </c>
      <c r="C18" s="36" t="s">
        <v>848</v>
      </c>
      <c r="D18" s="36" t="s">
        <v>28</v>
      </c>
      <c r="E18" s="41">
        <v>153309</v>
      </c>
      <c r="F18" s="38">
        <v>319.342647</v>
      </c>
      <c r="G18" s="39">
        <v>0.91759772487310098</v>
      </c>
      <c r="H18" s="42"/>
    </row>
    <row r="19" spans="2:8" x14ac:dyDescent="0.2">
      <c r="B19" s="36" t="s">
        <v>849</v>
      </c>
      <c r="C19" s="36" t="s">
        <v>850</v>
      </c>
      <c r="D19" s="36" t="s">
        <v>28</v>
      </c>
      <c r="E19" s="41">
        <v>124197</v>
      </c>
      <c r="F19" s="38">
        <v>317.2612365</v>
      </c>
      <c r="G19" s="39">
        <v>0.91161700930858403</v>
      </c>
      <c r="H19" s="42"/>
    </row>
    <row r="20" spans="2:8" x14ac:dyDescent="0.2">
      <c r="B20" s="36" t="s">
        <v>851</v>
      </c>
      <c r="C20" s="36" t="s">
        <v>852</v>
      </c>
      <c r="D20" s="36" t="s">
        <v>454</v>
      </c>
      <c r="E20" s="41">
        <v>43555</v>
      </c>
      <c r="F20" s="38">
        <v>317.2328425</v>
      </c>
      <c r="G20" s="39">
        <v>0.91153542211675498</v>
      </c>
      <c r="H20" s="42"/>
    </row>
    <row r="21" spans="2:8" x14ac:dyDescent="0.2">
      <c r="B21" s="36" t="s">
        <v>853</v>
      </c>
      <c r="C21" s="36" t="s">
        <v>854</v>
      </c>
      <c r="D21" s="36" t="s">
        <v>33</v>
      </c>
      <c r="E21" s="41">
        <v>176155</v>
      </c>
      <c r="F21" s="38">
        <v>316.97330699999998</v>
      </c>
      <c r="G21" s="39">
        <v>0.91078967397894395</v>
      </c>
      <c r="H21" s="42"/>
    </row>
    <row r="22" spans="2:8" x14ac:dyDescent="0.2">
      <c r="B22" s="36" t="s">
        <v>855</v>
      </c>
      <c r="C22" s="36" t="s">
        <v>856</v>
      </c>
      <c r="D22" s="36" t="s">
        <v>39</v>
      </c>
      <c r="E22" s="41">
        <v>32868</v>
      </c>
      <c r="F22" s="38">
        <v>316.88038799999998</v>
      </c>
      <c r="G22" s="39">
        <v>0.91052268094247202</v>
      </c>
      <c r="H22" s="42"/>
    </row>
    <row r="23" spans="2:8" x14ac:dyDescent="0.2">
      <c r="B23" s="36" t="s">
        <v>857</v>
      </c>
      <c r="C23" s="36" t="s">
        <v>858</v>
      </c>
      <c r="D23" s="36" t="s">
        <v>99</v>
      </c>
      <c r="E23" s="41">
        <v>110511</v>
      </c>
      <c r="F23" s="38">
        <v>310.70167650000002</v>
      </c>
      <c r="G23" s="39">
        <v>0.89276879912208595</v>
      </c>
      <c r="H23" s="42"/>
    </row>
    <row r="24" spans="2:8" x14ac:dyDescent="0.2">
      <c r="B24" s="36" t="s">
        <v>859</v>
      </c>
      <c r="C24" s="36" t="s">
        <v>860</v>
      </c>
      <c r="D24" s="36" t="s">
        <v>478</v>
      </c>
      <c r="E24" s="41">
        <v>22543</v>
      </c>
      <c r="F24" s="38">
        <v>310.394567</v>
      </c>
      <c r="G24" s="39">
        <v>0.89188635206675504</v>
      </c>
      <c r="H24" s="42"/>
    </row>
    <row r="25" spans="2:8" x14ac:dyDescent="0.2">
      <c r="B25" s="36" t="s">
        <v>861</v>
      </c>
      <c r="C25" s="36" t="s">
        <v>862</v>
      </c>
      <c r="D25" s="36" t="s">
        <v>82</v>
      </c>
      <c r="E25" s="41">
        <v>13691</v>
      </c>
      <c r="F25" s="38">
        <v>308.04750000000001</v>
      </c>
      <c r="G25" s="39">
        <v>0.88514230031057095</v>
      </c>
      <c r="H25" s="42"/>
    </row>
    <row r="26" spans="2:8" x14ac:dyDescent="0.2">
      <c r="B26" s="36" t="s">
        <v>863</v>
      </c>
      <c r="C26" s="36" t="s">
        <v>864</v>
      </c>
      <c r="D26" s="36" t="s">
        <v>131</v>
      </c>
      <c r="E26" s="41">
        <v>94417</v>
      </c>
      <c r="F26" s="38">
        <v>307.23291799999998</v>
      </c>
      <c r="G26" s="39">
        <v>0.88280168405732595</v>
      </c>
      <c r="H26" s="42"/>
    </row>
    <row r="27" spans="2:8" x14ac:dyDescent="0.2">
      <c r="B27" s="36" t="s">
        <v>865</v>
      </c>
      <c r="C27" s="36" t="s">
        <v>866</v>
      </c>
      <c r="D27" s="36" t="s">
        <v>82</v>
      </c>
      <c r="E27" s="41">
        <v>14082</v>
      </c>
      <c r="F27" s="38">
        <v>305.21326800000003</v>
      </c>
      <c r="G27" s="39">
        <v>0.87699843083559104</v>
      </c>
      <c r="H27" s="42"/>
    </row>
    <row r="28" spans="2:8" x14ac:dyDescent="0.2">
      <c r="B28" s="36" t="s">
        <v>867</v>
      </c>
      <c r="C28" s="36" t="s">
        <v>868</v>
      </c>
      <c r="D28" s="36" t="s">
        <v>139</v>
      </c>
      <c r="E28" s="41">
        <v>56456</v>
      </c>
      <c r="F28" s="38">
        <v>304.12847199999999</v>
      </c>
      <c r="G28" s="39">
        <v>0.87388138289068795</v>
      </c>
      <c r="H28" s="42"/>
    </row>
    <row r="29" spans="2:8" x14ac:dyDescent="0.2">
      <c r="B29" s="36" t="s">
        <v>869</v>
      </c>
      <c r="C29" s="36" t="s">
        <v>870</v>
      </c>
      <c r="D29" s="36" t="s">
        <v>82</v>
      </c>
      <c r="E29" s="41">
        <v>14211</v>
      </c>
      <c r="F29" s="38">
        <v>288.682254</v>
      </c>
      <c r="G29" s="39">
        <v>0.82949828959624905</v>
      </c>
      <c r="H29" s="42"/>
    </row>
    <row r="30" spans="2:8" x14ac:dyDescent="0.2">
      <c r="B30" s="36" t="s">
        <v>871</v>
      </c>
      <c r="C30" s="36" t="s">
        <v>872</v>
      </c>
      <c r="D30" s="36" t="s">
        <v>99</v>
      </c>
      <c r="E30" s="41">
        <v>3749</v>
      </c>
      <c r="F30" s="38">
        <v>285.48635000000002</v>
      </c>
      <c r="G30" s="39">
        <v>0.82031519342396497</v>
      </c>
      <c r="H30" s="42"/>
    </row>
    <row r="31" spans="2:8" x14ac:dyDescent="0.2">
      <c r="B31" s="36" t="s">
        <v>873</v>
      </c>
      <c r="C31" s="36" t="s">
        <v>874</v>
      </c>
      <c r="D31" s="36" t="s">
        <v>82</v>
      </c>
      <c r="E31" s="41">
        <v>8922</v>
      </c>
      <c r="F31" s="38">
        <v>279.48165</v>
      </c>
      <c r="G31" s="39">
        <v>0.80306131546464099</v>
      </c>
      <c r="H31" s="42"/>
    </row>
    <row r="32" spans="2:8" x14ac:dyDescent="0.2">
      <c r="B32" s="36" t="s">
        <v>875</v>
      </c>
      <c r="C32" s="36" t="s">
        <v>876</v>
      </c>
      <c r="D32" s="36" t="s">
        <v>478</v>
      </c>
      <c r="E32" s="41">
        <v>14317</v>
      </c>
      <c r="F32" s="38">
        <v>276.03176000000002</v>
      </c>
      <c r="G32" s="39">
        <v>0.79314841706287298</v>
      </c>
      <c r="H32" s="42"/>
    </row>
    <row r="33" spans="2:8" x14ac:dyDescent="0.2">
      <c r="B33" s="36" t="s">
        <v>877</v>
      </c>
      <c r="C33" s="36" t="s">
        <v>878</v>
      </c>
      <c r="D33" s="36" t="s">
        <v>82</v>
      </c>
      <c r="E33" s="41">
        <v>23671</v>
      </c>
      <c r="F33" s="38">
        <v>274.58359999999999</v>
      </c>
      <c r="G33" s="39">
        <v>0.78898728063547896</v>
      </c>
      <c r="H33" s="42"/>
    </row>
    <row r="34" spans="2:8" x14ac:dyDescent="0.2">
      <c r="B34" s="36" t="s">
        <v>879</v>
      </c>
      <c r="C34" s="36" t="s">
        <v>880</v>
      </c>
      <c r="D34" s="36" t="s">
        <v>131</v>
      </c>
      <c r="E34" s="41">
        <v>17055</v>
      </c>
      <c r="F34" s="38">
        <v>269.81009999999998</v>
      </c>
      <c r="G34" s="39">
        <v>0.77527112721585201</v>
      </c>
      <c r="H34" s="42"/>
    </row>
    <row r="35" spans="2:8" x14ac:dyDescent="0.2">
      <c r="B35" s="36" t="s">
        <v>881</v>
      </c>
      <c r="C35" s="36" t="s">
        <v>882</v>
      </c>
      <c r="D35" s="36" t="s">
        <v>47</v>
      </c>
      <c r="E35" s="41">
        <v>19534</v>
      </c>
      <c r="F35" s="38">
        <v>254.9187</v>
      </c>
      <c r="G35" s="39">
        <v>0.73248224546597596</v>
      </c>
      <c r="H35" s="42"/>
    </row>
    <row r="36" spans="2:8" x14ac:dyDescent="0.2">
      <c r="B36" s="36" t="s">
        <v>883</v>
      </c>
      <c r="C36" s="36" t="s">
        <v>884</v>
      </c>
      <c r="D36" s="36" t="s">
        <v>82</v>
      </c>
      <c r="E36" s="41">
        <v>1483</v>
      </c>
      <c r="F36" s="38">
        <v>253.41504</v>
      </c>
      <c r="G36" s="39">
        <v>0.72816163558832803</v>
      </c>
      <c r="H36" s="42"/>
    </row>
    <row r="37" spans="2:8" x14ac:dyDescent="0.2">
      <c r="B37" s="36" t="s">
        <v>885</v>
      </c>
      <c r="C37" s="36" t="s">
        <v>886</v>
      </c>
      <c r="D37" s="36" t="s">
        <v>79</v>
      </c>
      <c r="E37" s="41">
        <v>7335</v>
      </c>
      <c r="F37" s="38">
        <v>253.108845</v>
      </c>
      <c r="G37" s="39">
        <v>0.727281816253181</v>
      </c>
      <c r="H37" s="42"/>
    </row>
    <row r="38" spans="2:8" x14ac:dyDescent="0.2">
      <c r="B38" s="36" t="s">
        <v>887</v>
      </c>
      <c r="C38" s="36" t="s">
        <v>888</v>
      </c>
      <c r="D38" s="36" t="s">
        <v>508</v>
      </c>
      <c r="E38" s="41">
        <v>40387</v>
      </c>
      <c r="F38" s="38">
        <v>244.9269615</v>
      </c>
      <c r="G38" s="39">
        <v>0.703772029022111</v>
      </c>
      <c r="H38" s="42"/>
    </row>
    <row r="39" spans="2:8" x14ac:dyDescent="0.2">
      <c r="B39" s="36" t="s">
        <v>889</v>
      </c>
      <c r="C39" s="36" t="s">
        <v>890</v>
      </c>
      <c r="D39" s="36" t="s">
        <v>71</v>
      </c>
      <c r="E39" s="41">
        <v>17048</v>
      </c>
      <c r="F39" s="38">
        <v>241.89407199999999</v>
      </c>
      <c r="G39" s="39">
        <v>0.69505733798057401</v>
      </c>
      <c r="H39" s="42"/>
    </row>
    <row r="40" spans="2:8" x14ac:dyDescent="0.2">
      <c r="B40" s="36" t="s">
        <v>891</v>
      </c>
      <c r="C40" s="36" t="s">
        <v>892</v>
      </c>
      <c r="D40" s="36" t="s">
        <v>131</v>
      </c>
      <c r="E40" s="41">
        <v>61191</v>
      </c>
      <c r="F40" s="38">
        <v>234.2697435</v>
      </c>
      <c r="G40" s="39">
        <v>0.67314962677754997</v>
      </c>
      <c r="H40" s="42"/>
    </row>
    <row r="41" spans="2:8" x14ac:dyDescent="0.2">
      <c r="B41" s="36" t="s">
        <v>893</v>
      </c>
      <c r="C41" s="36" t="s">
        <v>894</v>
      </c>
      <c r="D41" s="36" t="s">
        <v>131</v>
      </c>
      <c r="E41" s="41">
        <v>131777</v>
      </c>
      <c r="F41" s="38">
        <v>233.25846770000001</v>
      </c>
      <c r="G41" s="39">
        <v>0.67024383144449196</v>
      </c>
      <c r="H41" s="42"/>
    </row>
    <row r="42" spans="2:8" x14ac:dyDescent="0.2">
      <c r="B42" s="36" t="s">
        <v>895</v>
      </c>
      <c r="C42" s="36" t="s">
        <v>896</v>
      </c>
      <c r="D42" s="36" t="s">
        <v>897</v>
      </c>
      <c r="E42" s="41">
        <v>102212</v>
      </c>
      <c r="F42" s="38">
        <v>229.2921796</v>
      </c>
      <c r="G42" s="39">
        <v>0.65884711706593502</v>
      </c>
      <c r="H42" s="42"/>
    </row>
    <row r="43" spans="2:8" x14ac:dyDescent="0.2">
      <c r="B43" s="36" t="s">
        <v>898</v>
      </c>
      <c r="C43" s="36" t="s">
        <v>899</v>
      </c>
      <c r="D43" s="36" t="s">
        <v>454</v>
      </c>
      <c r="E43" s="41">
        <v>11886</v>
      </c>
      <c r="F43" s="38">
        <v>225.12083999999999</v>
      </c>
      <c r="G43" s="39">
        <v>0.64686120862999397</v>
      </c>
      <c r="H43" s="42"/>
    </row>
    <row r="44" spans="2:8" x14ac:dyDescent="0.2">
      <c r="B44" s="36" t="s">
        <v>900</v>
      </c>
      <c r="C44" s="36" t="s">
        <v>901</v>
      </c>
      <c r="D44" s="36" t="s">
        <v>478</v>
      </c>
      <c r="E44" s="41">
        <v>6172</v>
      </c>
      <c r="F44" s="38">
        <v>224.068288</v>
      </c>
      <c r="G44" s="39">
        <v>0.64383681044959495</v>
      </c>
      <c r="H44" s="42"/>
    </row>
    <row r="45" spans="2:8" x14ac:dyDescent="0.2">
      <c r="B45" s="36" t="s">
        <v>902</v>
      </c>
      <c r="C45" s="36" t="s">
        <v>903</v>
      </c>
      <c r="D45" s="36" t="s">
        <v>454</v>
      </c>
      <c r="E45" s="41">
        <v>13399</v>
      </c>
      <c r="F45" s="38">
        <v>215.37552600000001</v>
      </c>
      <c r="G45" s="39">
        <v>0.61885906723553696</v>
      </c>
      <c r="H45" s="42"/>
    </row>
    <row r="46" spans="2:8" x14ac:dyDescent="0.2">
      <c r="B46" s="36" t="s">
        <v>904</v>
      </c>
      <c r="C46" s="36" t="s">
        <v>905</v>
      </c>
      <c r="D46" s="36" t="s">
        <v>112</v>
      </c>
      <c r="E46" s="41">
        <v>40376</v>
      </c>
      <c r="F46" s="38">
        <v>213.16509199999999</v>
      </c>
      <c r="G46" s="39">
        <v>0.612507616126716</v>
      </c>
      <c r="H46" s="42"/>
    </row>
    <row r="47" spans="2:8" x14ac:dyDescent="0.2">
      <c r="B47" s="36" t="s">
        <v>906</v>
      </c>
      <c r="C47" s="36" t="s">
        <v>907</v>
      </c>
      <c r="D47" s="36" t="s">
        <v>478</v>
      </c>
      <c r="E47" s="41">
        <v>37050</v>
      </c>
      <c r="F47" s="38">
        <v>212.46322499999999</v>
      </c>
      <c r="G47" s="39">
        <v>0.61049087464726204</v>
      </c>
      <c r="H47" s="42"/>
    </row>
    <row r="48" spans="2:8" x14ac:dyDescent="0.2">
      <c r="B48" s="36" t="s">
        <v>908</v>
      </c>
      <c r="C48" s="36" t="s">
        <v>909</v>
      </c>
      <c r="D48" s="36" t="s">
        <v>796</v>
      </c>
      <c r="E48" s="41">
        <v>29545</v>
      </c>
      <c r="F48" s="38">
        <v>208.38088500000001</v>
      </c>
      <c r="G48" s="39">
        <v>0.59876069726146997</v>
      </c>
      <c r="H48" s="42"/>
    </row>
    <row r="49" spans="2:8" x14ac:dyDescent="0.2">
      <c r="B49" s="36" t="s">
        <v>910</v>
      </c>
      <c r="C49" s="36" t="s">
        <v>911</v>
      </c>
      <c r="D49" s="36" t="s">
        <v>435</v>
      </c>
      <c r="E49" s="41">
        <v>5093</v>
      </c>
      <c r="F49" s="38">
        <v>205.91508300000001</v>
      </c>
      <c r="G49" s="39">
        <v>0.59167547289058398</v>
      </c>
      <c r="H49" s="42"/>
    </row>
    <row r="50" spans="2:8" x14ac:dyDescent="0.2">
      <c r="B50" s="36" t="s">
        <v>912</v>
      </c>
      <c r="C50" s="36" t="s">
        <v>913</v>
      </c>
      <c r="D50" s="36" t="s">
        <v>79</v>
      </c>
      <c r="E50" s="41">
        <v>13239</v>
      </c>
      <c r="F50" s="38">
        <v>205.81349399999999</v>
      </c>
      <c r="G50" s="39">
        <v>0.591383567515126</v>
      </c>
      <c r="H50" s="42"/>
    </row>
    <row r="51" spans="2:8" x14ac:dyDescent="0.2">
      <c r="B51" s="36" t="s">
        <v>914</v>
      </c>
      <c r="C51" s="36" t="s">
        <v>915</v>
      </c>
      <c r="D51" s="36" t="s">
        <v>478</v>
      </c>
      <c r="E51" s="41">
        <v>19867</v>
      </c>
      <c r="F51" s="38">
        <v>204.44136349999999</v>
      </c>
      <c r="G51" s="39">
        <v>0.58744089391090504</v>
      </c>
      <c r="H51" s="42"/>
    </row>
    <row r="52" spans="2:8" x14ac:dyDescent="0.2">
      <c r="B52" s="36" t="s">
        <v>916</v>
      </c>
      <c r="C52" s="36" t="s">
        <v>917</v>
      </c>
      <c r="D52" s="36" t="s">
        <v>508</v>
      </c>
      <c r="E52" s="41">
        <v>26918</v>
      </c>
      <c r="F52" s="38">
        <v>204.03844000000001</v>
      </c>
      <c r="G52" s="39">
        <v>0.58628313533912901</v>
      </c>
      <c r="H52" s="42"/>
    </row>
    <row r="53" spans="2:8" x14ac:dyDescent="0.2">
      <c r="B53" s="36" t="s">
        <v>918</v>
      </c>
      <c r="C53" s="36" t="s">
        <v>919</v>
      </c>
      <c r="D53" s="36" t="s">
        <v>508</v>
      </c>
      <c r="E53" s="41">
        <v>11806</v>
      </c>
      <c r="F53" s="38">
        <v>198.57692</v>
      </c>
      <c r="G53" s="39">
        <v>0.57059002834753803</v>
      </c>
      <c r="H53" s="42"/>
    </row>
    <row r="54" spans="2:8" x14ac:dyDescent="0.2">
      <c r="B54" s="36" t="s">
        <v>920</v>
      </c>
      <c r="C54" s="36" t="s">
        <v>921</v>
      </c>
      <c r="D54" s="36" t="s">
        <v>50</v>
      </c>
      <c r="E54" s="41">
        <v>108462</v>
      </c>
      <c r="F54" s="38">
        <v>197.49845579999999</v>
      </c>
      <c r="G54" s="39">
        <v>0.567491174168262</v>
      </c>
      <c r="H54" s="42"/>
    </row>
    <row r="55" spans="2:8" x14ac:dyDescent="0.2">
      <c r="B55" s="36" t="s">
        <v>922</v>
      </c>
      <c r="C55" s="36" t="s">
        <v>923</v>
      </c>
      <c r="D55" s="36" t="s">
        <v>79</v>
      </c>
      <c r="E55" s="41">
        <v>22957</v>
      </c>
      <c r="F55" s="38">
        <v>196.9136675</v>
      </c>
      <c r="G55" s="39">
        <v>0.56581084609854304</v>
      </c>
      <c r="H55" s="42"/>
    </row>
    <row r="56" spans="2:8" x14ac:dyDescent="0.2">
      <c r="B56" s="36" t="s">
        <v>924</v>
      </c>
      <c r="C56" s="36" t="s">
        <v>925</v>
      </c>
      <c r="D56" s="36" t="s">
        <v>517</v>
      </c>
      <c r="E56" s="41">
        <v>120668</v>
      </c>
      <c r="F56" s="38">
        <v>193.6359396</v>
      </c>
      <c r="G56" s="39">
        <v>0.55639263750019996</v>
      </c>
      <c r="H56" s="42"/>
    </row>
    <row r="57" spans="2:8" x14ac:dyDescent="0.2">
      <c r="B57" s="36" t="s">
        <v>926</v>
      </c>
      <c r="C57" s="36" t="s">
        <v>927</v>
      </c>
      <c r="D57" s="36" t="s">
        <v>82</v>
      </c>
      <c r="E57" s="41">
        <v>24964</v>
      </c>
      <c r="F57" s="38">
        <v>193.18391399999999</v>
      </c>
      <c r="G57" s="39">
        <v>0.55509378917523899</v>
      </c>
      <c r="H57" s="42"/>
    </row>
    <row r="58" spans="2:8" x14ac:dyDescent="0.2">
      <c r="B58" s="36" t="s">
        <v>928</v>
      </c>
      <c r="C58" s="36" t="s">
        <v>929</v>
      </c>
      <c r="D58" s="36" t="s">
        <v>65</v>
      </c>
      <c r="E58" s="41">
        <v>2111</v>
      </c>
      <c r="F58" s="38">
        <v>191.55214000000001</v>
      </c>
      <c r="G58" s="39">
        <v>0.55040505710649301</v>
      </c>
      <c r="H58" s="42"/>
    </row>
    <row r="59" spans="2:8" x14ac:dyDescent="0.2">
      <c r="B59" s="36" t="s">
        <v>930</v>
      </c>
      <c r="C59" s="36" t="s">
        <v>931</v>
      </c>
      <c r="D59" s="36" t="s">
        <v>65</v>
      </c>
      <c r="E59" s="41">
        <v>1299</v>
      </c>
      <c r="F59" s="38">
        <v>190.61526000000001</v>
      </c>
      <c r="G59" s="39">
        <v>0.54771303033037899</v>
      </c>
      <c r="H59" s="42"/>
    </row>
    <row r="60" spans="2:8" x14ac:dyDescent="0.2">
      <c r="B60" s="36" t="s">
        <v>932</v>
      </c>
      <c r="C60" s="36" t="s">
        <v>933</v>
      </c>
      <c r="D60" s="36" t="s">
        <v>74</v>
      </c>
      <c r="E60" s="41">
        <v>21733</v>
      </c>
      <c r="F60" s="38">
        <v>189.337896</v>
      </c>
      <c r="G60" s="39">
        <v>0.544042658360817</v>
      </c>
      <c r="H60" s="42"/>
    </row>
    <row r="61" spans="2:8" x14ac:dyDescent="0.2">
      <c r="B61" s="36" t="s">
        <v>934</v>
      </c>
      <c r="C61" s="36" t="s">
        <v>935</v>
      </c>
      <c r="D61" s="36" t="s">
        <v>65</v>
      </c>
      <c r="E61" s="41">
        <v>20851</v>
      </c>
      <c r="F61" s="38">
        <v>188.20112599999999</v>
      </c>
      <c r="G61" s="39">
        <v>0.54077626855819205</v>
      </c>
      <c r="H61" s="42"/>
    </row>
    <row r="62" spans="2:8" x14ac:dyDescent="0.2">
      <c r="B62" s="36" t="s">
        <v>936</v>
      </c>
      <c r="C62" s="36" t="s">
        <v>937</v>
      </c>
      <c r="D62" s="36" t="s">
        <v>508</v>
      </c>
      <c r="E62" s="41">
        <v>2738</v>
      </c>
      <c r="F62" s="38">
        <v>187.70358999999999</v>
      </c>
      <c r="G62" s="39">
        <v>0.53934665085466404</v>
      </c>
      <c r="H62" s="42"/>
    </row>
    <row r="63" spans="2:8" x14ac:dyDescent="0.2">
      <c r="B63" s="36" t="s">
        <v>938</v>
      </c>
      <c r="C63" s="36" t="s">
        <v>939</v>
      </c>
      <c r="D63" s="36" t="s">
        <v>131</v>
      </c>
      <c r="E63" s="41">
        <v>40000</v>
      </c>
      <c r="F63" s="38">
        <v>186.76</v>
      </c>
      <c r="G63" s="39">
        <v>0.53663534359474496</v>
      </c>
      <c r="H63" s="42"/>
    </row>
    <row r="64" spans="2:8" x14ac:dyDescent="0.2">
      <c r="B64" s="36" t="s">
        <v>940</v>
      </c>
      <c r="C64" s="36" t="s">
        <v>941</v>
      </c>
      <c r="D64" s="36" t="s">
        <v>65</v>
      </c>
      <c r="E64" s="41">
        <v>21061</v>
      </c>
      <c r="F64" s="38">
        <v>186.621521</v>
      </c>
      <c r="G64" s="39">
        <v>0.53623743865928997</v>
      </c>
      <c r="H64" s="42"/>
    </row>
    <row r="65" spans="2:8" x14ac:dyDescent="0.2">
      <c r="B65" s="36" t="s">
        <v>942</v>
      </c>
      <c r="C65" s="36" t="s">
        <v>943</v>
      </c>
      <c r="D65" s="36" t="s">
        <v>82</v>
      </c>
      <c r="E65" s="41">
        <v>106598</v>
      </c>
      <c r="F65" s="38">
        <v>184.19068419999999</v>
      </c>
      <c r="G65" s="39">
        <v>0.52925268313674301</v>
      </c>
      <c r="H65" s="42"/>
    </row>
    <row r="66" spans="2:8" x14ac:dyDescent="0.2">
      <c r="B66" s="36" t="s">
        <v>944</v>
      </c>
      <c r="C66" s="36" t="s">
        <v>945</v>
      </c>
      <c r="D66" s="36" t="s">
        <v>50</v>
      </c>
      <c r="E66" s="41">
        <v>837530</v>
      </c>
      <c r="F66" s="38">
        <v>183.167811</v>
      </c>
      <c r="G66" s="39">
        <v>0.52631356388671202</v>
      </c>
      <c r="H66" s="42"/>
    </row>
    <row r="67" spans="2:8" x14ac:dyDescent="0.2">
      <c r="B67" s="36" t="s">
        <v>946</v>
      </c>
      <c r="C67" s="36" t="s">
        <v>947</v>
      </c>
      <c r="D67" s="36" t="s">
        <v>47</v>
      </c>
      <c r="E67" s="41">
        <v>178123</v>
      </c>
      <c r="F67" s="38">
        <v>178.58611980000001</v>
      </c>
      <c r="G67" s="39">
        <v>0.51314855300988105</v>
      </c>
      <c r="H67" s="42"/>
    </row>
    <row r="68" spans="2:8" x14ac:dyDescent="0.2">
      <c r="B68" s="36" t="s">
        <v>948</v>
      </c>
      <c r="C68" s="36" t="s">
        <v>949</v>
      </c>
      <c r="D68" s="36" t="s">
        <v>79</v>
      </c>
      <c r="E68" s="41">
        <v>136723</v>
      </c>
      <c r="F68" s="38">
        <v>175.42928130000001</v>
      </c>
      <c r="G68" s="39">
        <v>0.50407770746950498</v>
      </c>
      <c r="H68" s="42"/>
    </row>
    <row r="69" spans="2:8" x14ac:dyDescent="0.2">
      <c r="B69" s="36" t="s">
        <v>950</v>
      </c>
      <c r="C69" s="36" t="s">
        <v>951</v>
      </c>
      <c r="D69" s="36" t="s">
        <v>82</v>
      </c>
      <c r="E69" s="41">
        <v>9496</v>
      </c>
      <c r="F69" s="38">
        <v>173.264016</v>
      </c>
      <c r="G69" s="39">
        <v>0.49785604390000798</v>
      </c>
      <c r="H69" s="42"/>
    </row>
    <row r="70" spans="2:8" x14ac:dyDescent="0.2">
      <c r="B70" s="36" t="s">
        <v>952</v>
      </c>
      <c r="C70" s="36" t="s">
        <v>953</v>
      </c>
      <c r="D70" s="36" t="s">
        <v>65</v>
      </c>
      <c r="E70" s="41">
        <v>437349</v>
      </c>
      <c r="F70" s="38">
        <v>170.4349053</v>
      </c>
      <c r="G70" s="39">
        <v>0.48972688994540198</v>
      </c>
      <c r="H70" s="42"/>
    </row>
    <row r="71" spans="2:8" x14ac:dyDescent="0.2">
      <c r="B71" s="36" t="s">
        <v>954</v>
      </c>
      <c r="C71" s="36" t="s">
        <v>955</v>
      </c>
      <c r="D71" s="36" t="s">
        <v>478</v>
      </c>
      <c r="E71" s="41">
        <v>1042</v>
      </c>
      <c r="F71" s="38">
        <v>168.71021999999999</v>
      </c>
      <c r="G71" s="39">
        <v>0.48477118696533</v>
      </c>
      <c r="H71" s="42"/>
    </row>
    <row r="72" spans="2:8" x14ac:dyDescent="0.2">
      <c r="B72" s="36" t="s">
        <v>956</v>
      </c>
      <c r="C72" s="36" t="s">
        <v>957</v>
      </c>
      <c r="D72" s="36" t="s">
        <v>558</v>
      </c>
      <c r="E72" s="41">
        <v>5381</v>
      </c>
      <c r="F72" s="38">
        <v>168.61901599999999</v>
      </c>
      <c r="G72" s="39">
        <v>0.48450912180214101</v>
      </c>
      <c r="H72" s="42"/>
    </row>
    <row r="73" spans="2:8" x14ac:dyDescent="0.2">
      <c r="B73" s="36" t="s">
        <v>958</v>
      </c>
      <c r="C73" s="36" t="s">
        <v>959</v>
      </c>
      <c r="D73" s="36" t="s">
        <v>508</v>
      </c>
      <c r="E73" s="41">
        <v>35358</v>
      </c>
      <c r="F73" s="38">
        <v>167.95050000000001</v>
      </c>
      <c r="G73" s="39">
        <v>0.48258821093601001</v>
      </c>
      <c r="H73" s="42"/>
    </row>
    <row r="74" spans="2:8" x14ac:dyDescent="0.2">
      <c r="B74" s="36" t="s">
        <v>960</v>
      </c>
      <c r="C74" s="36" t="s">
        <v>961</v>
      </c>
      <c r="D74" s="36" t="s">
        <v>131</v>
      </c>
      <c r="E74" s="41">
        <v>15604</v>
      </c>
      <c r="F74" s="38">
        <v>166.213808</v>
      </c>
      <c r="G74" s="39">
        <v>0.47759800795818702</v>
      </c>
      <c r="H74" s="42"/>
    </row>
    <row r="75" spans="2:8" x14ac:dyDescent="0.2">
      <c r="B75" s="36" t="s">
        <v>962</v>
      </c>
      <c r="C75" s="36" t="s">
        <v>963</v>
      </c>
      <c r="D75" s="36" t="s">
        <v>796</v>
      </c>
      <c r="E75" s="41">
        <v>396120</v>
      </c>
      <c r="F75" s="38">
        <v>162.56764799999999</v>
      </c>
      <c r="G75" s="39">
        <v>0.46712114822161899</v>
      </c>
      <c r="H75" s="42"/>
    </row>
    <row r="76" spans="2:8" x14ac:dyDescent="0.2">
      <c r="B76" s="36" t="s">
        <v>964</v>
      </c>
      <c r="C76" s="36" t="s">
        <v>965</v>
      </c>
      <c r="D76" s="36" t="s">
        <v>508</v>
      </c>
      <c r="E76" s="41">
        <v>11526</v>
      </c>
      <c r="F76" s="38">
        <v>162.52812599999999</v>
      </c>
      <c r="G76" s="39">
        <v>0.46700758588466501</v>
      </c>
      <c r="H76" s="42"/>
    </row>
    <row r="77" spans="2:8" x14ac:dyDescent="0.2">
      <c r="B77" s="36" t="s">
        <v>966</v>
      </c>
      <c r="C77" s="36" t="s">
        <v>967</v>
      </c>
      <c r="D77" s="36" t="s">
        <v>517</v>
      </c>
      <c r="E77" s="41">
        <v>21585</v>
      </c>
      <c r="F77" s="38">
        <v>161.5529325</v>
      </c>
      <c r="G77" s="39">
        <v>0.46420546927005901</v>
      </c>
      <c r="H77" s="42"/>
    </row>
    <row r="78" spans="2:8" x14ac:dyDescent="0.2">
      <c r="B78" s="36" t="s">
        <v>968</v>
      </c>
      <c r="C78" s="36" t="s">
        <v>969</v>
      </c>
      <c r="D78" s="36" t="s">
        <v>39</v>
      </c>
      <c r="E78" s="41">
        <v>828</v>
      </c>
      <c r="F78" s="38">
        <v>161.23643999999999</v>
      </c>
      <c r="G78" s="39">
        <v>0.46329606114475003</v>
      </c>
      <c r="H78" s="42"/>
    </row>
    <row r="79" spans="2:8" x14ac:dyDescent="0.2">
      <c r="B79" s="36" t="s">
        <v>970</v>
      </c>
      <c r="C79" s="36" t="s">
        <v>971</v>
      </c>
      <c r="D79" s="36" t="s">
        <v>796</v>
      </c>
      <c r="E79" s="41">
        <v>10907</v>
      </c>
      <c r="F79" s="38">
        <v>159.56941</v>
      </c>
      <c r="G79" s="39">
        <v>0.458506024644253</v>
      </c>
      <c r="H79" s="42"/>
    </row>
    <row r="80" spans="2:8" x14ac:dyDescent="0.2">
      <c r="B80" s="36" t="s">
        <v>972</v>
      </c>
      <c r="C80" s="36" t="s">
        <v>973</v>
      </c>
      <c r="D80" s="36" t="s">
        <v>478</v>
      </c>
      <c r="E80" s="41">
        <v>19385</v>
      </c>
      <c r="F80" s="38">
        <v>159.46100999999999</v>
      </c>
      <c r="G80" s="39">
        <v>0.458194548572045</v>
      </c>
      <c r="H80" s="42"/>
    </row>
    <row r="81" spans="2:8" x14ac:dyDescent="0.2">
      <c r="B81" s="36" t="s">
        <v>974</v>
      </c>
      <c r="C81" s="36" t="s">
        <v>975</v>
      </c>
      <c r="D81" s="36" t="s">
        <v>131</v>
      </c>
      <c r="E81" s="41">
        <v>60935</v>
      </c>
      <c r="F81" s="38">
        <v>158.61380500000001</v>
      </c>
      <c r="G81" s="39">
        <v>0.45576019353739999</v>
      </c>
      <c r="H81" s="42"/>
    </row>
    <row r="82" spans="2:8" x14ac:dyDescent="0.2">
      <c r="B82" s="36" t="s">
        <v>976</v>
      </c>
      <c r="C82" s="36" t="s">
        <v>977</v>
      </c>
      <c r="D82" s="36" t="s">
        <v>478</v>
      </c>
      <c r="E82" s="41">
        <v>31340</v>
      </c>
      <c r="F82" s="38">
        <v>158.59607</v>
      </c>
      <c r="G82" s="39">
        <v>0.455709233868206</v>
      </c>
      <c r="H82" s="42"/>
    </row>
    <row r="83" spans="2:8" x14ac:dyDescent="0.2">
      <c r="B83" s="36" t="s">
        <v>978</v>
      </c>
      <c r="C83" s="36" t="s">
        <v>979</v>
      </c>
      <c r="D83" s="36" t="s">
        <v>82</v>
      </c>
      <c r="E83" s="41">
        <v>15432</v>
      </c>
      <c r="F83" s="38">
        <v>156.77368799999999</v>
      </c>
      <c r="G83" s="39">
        <v>0.45047280962998199</v>
      </c>
      <c r="H83" s="42"/>
    </row>
    <row r="84" spans="2:8" x14ac:dyDescent="0.2">
      <c r="B84" s="36" t="s">
        <v>980</v>
      </c>
      <c r="C84" s="36" t="s">
        <v>981</v>
      </c>
      <c r="D84" s="36" t="s">
        <v>529</v>
      </c>
      <c r="E84" s="41">
        <v>23906</v>
      </c>
      <c r="F84" s="38">
        <v>155.95079100000001</v>
      </c>
      <c r="G84" s="39">
        <v>0.44810830109315303</v>
      </c>
      <c r="H84" s="42"/>
    </row>
    <row r="85" spans="2:8" x14ac:dyDescent="0.2">
      <c r="B85" s="36" t="s">
        <v>982</v>
      </c>
      <c r="C85" s="36" t="s">
        <v>983</v>
      </c>
      <c r="D85" s="36" t="s">
        <v>179</v>
      </c>
      <c r="E85" s="41">
        <v>165878</v>
      </c>
      <c r="F85" s="38">
        <v>154.29971560000001</v>
      </c>
      <c r="G85" s="39">
        <v>0.44336410846850199</v>
      </c>
      <c r="H85" s="42"/>
    </row>
    <row r="86" spans="2:8" x14ac:dyDescent="0.2">
      <c r="B86" s="36" t="s">
        <v>984</v>
      </c>
      <c r="C86" s="36" t="s">
        <v>985</v>
      </c>
      <c r="D86" s="36" t="s">
        <v>99</v>
      </c>
      <c r="E86" s="41">
        <v>14243</v>
      </c>
      <c r="F86" s="38">
        <v>152.77041800000001</v>
      </c>
      <c r="G86" s="39">
        <v>0.43896983162638098</v>
      </c>
      <c r="H86" s="42"/>
    </row>
    <row r="87" spans="2:8" x14ac:dyDescent="0.2">
      <c r="B87" s="36" t="s">
        <v>986</v>
      </c>
      <c r="C87" s="36" t="s">
        <v>987</v>
      </c>
      <c r="D87" s="36" t="s">
        <v>36</v>
      </c>
      <c r="E87" s="41">
        <v>83077</v>
      </c>
      <c r="F87" s="38">
        <v>152.21367939999999</v>
      </c>
      <c r="G87" s="39">
        <v>0.43737010143841998</v>
      </c>
      <c r="H87" s="42"/>
    </row>
    <row r="88" spans="2:8" x14ac:dyDescent="0.2">
      <c r="B88" s="36" t="s">
        <v>988</v>
      </c>
      <c r="C88" s="36" t="s">
        <v>989</v>
      </c>
      <c r="D88" s="36" t="s">
        <v>131</v>
      </c>
      <c r="E88" s="41">
        <v>33313</v>
      </c>
      <c r="F88" s="38">
        <v>148.29281950000001</v>
      </c>
      <c r="G88" s="39">
        <v>0.42610392024532001</v>
      </c>
      <c r="H88" s="42"/>
    </row>
    <row r="89" spans="2:8" x14ac:dyDescent="0.2">
      <c r="B89" s="36" t="s">
        <v>990</v>
      </c>
      <c r="C89" s="36" t="s">
        <v>991</v>
      </c>
      <c r="D89" s="36" t="s">
        <v>478</v>
      </c>
      <c r="E89" s="41">
        <v>13022</v>
      </c>
      <c r="F89" s="38">
        <v>147.968986</v>
      </c>
      <c r="G89" s="39">
        <v>0.42517341852364499</v>
      </c>
      <c r="H89" s="42"/>
    </row>
    <row r="90" spans="2:8" x14ac:dyDescent="0.2">
      <c r="B90" s="36" t="s">
        <v>992</v>
      </c>
      <c r="C90" s="36" t="s">
        <v>993</v>
      </c>
      <c r="D90" s="36" t="s">
        <v>179</v>
      </c>
      <c r="E90" s="41">
        <v>19838</v>
      </c>
      <c r="F90" s="38">
        <v>147.09877</v>
      </c>
      <c r="G90" s="39">
        <v>0.42267294378514902</v>
      </c>
      <c r="H90" s="42"/>
    </row>
    <row r="91" spans="2:8" x14ac:dyDescent="0.2">
      <c r="B91" s="36" t="s">
        <v>994</v>
      </c>
      <c r="C91" s="36" t="s">
        <v>995</v>
      </c>
      <c r="D91" s="36" t="s">
        <v>996</v>
      </c>
      <c r="E91" s="41">
        <v>157949</v>
      </c>
      <c r="F91" s="38">
        <v>147.06631390000001</v>
      </c>
      <c r="G91" s="39">
        <v>0.42257968457345901</v>
      </c>
      <c r="H91" s="42"/>
    </row>
    <row r="92" spans="2:8" x14ac:dyDescent="0.2">
      <c r="B92" s="36" t="s">
        <v>997</v>
      </c>
      <c r="C92" s="36" t="s">
        <v>998</v>
      </c>
      <c r="D92" s="36" t="s">
        <v>47</v>
      </c>
      <c r="E92" s="41">
        <v>682519</v>
      </c>
      <c r="F92" s="38">
        <v>144.4210204</v>
      </c>
      <c r="G92" s="39">
        <v>0.41497871013416998</v>
      </c>
      <c r="H92" s="42"/>
    </row>
    <row r="93" spans="2:8" x14ac:dyDescent="0.2">
      <c r="B93" s="36" t="s">
        <v>999</v>
      </c>
      <c r="C93" s="36" t="s">
        <v>1000</v>
      </c>
      <c r="D93" s="36" t="s">
        <v>454</v>
      </c>
      <c r="E93" s="41">
        <v>32643</v>
      </c>
      <c r="F93" s="38">
        <v>144.28206</v>
      </c>
      <c r="G93" s="39">
        <v>0.41457942194612102</v>
      </c>
      <c r="H93" s="42"/>
    </row>
    <row r="94" spans="2:8" x14ac:dyDescent="0.2">
      <c r="B94" s="36" t="s">
        <v>1001</v>
      </c>
      <c r="C94" s="36" t="s">
        <v>1002</v>
      </c>
      <c r="D94" s="36" t="s">
        <v>558</v>
      </c>
      <c r="E94" s="41">
        <v>13227</v>
      </c>
      <c r="F94" s="38">
        <v>143.98250849999999</v>
      </c>
      <c r="G94" s="39">
        <v>0.41371869201397898</v>
      </c>
      <c r="H94" s="42"/>
    </row>
    <row r="95" spans="2:8" x14ac:dyDescent="0.2">
      <c r="B95" s="36" t="s">
        <v>1003</v>
      </c>
      <c r="C95" s="36" t="s">
        <v>1004</v>
      </c>
      <c r="D95" s="36" t="s">
        <v>897</v>
      </c>
      <c r="E95" s="41">
        <v>54652</v>
      </c>
      <c r="F95" s="38">
        <v>143.58719959999999</v>
      </c>
      <c r="G95" s="39">
        <v>0.41258281319957801</v>
      </c>
      <c r="H95" s="42"/>
    </row>
    <row r="96" spans="2:8" x14ac:dyDescent="0.2">
      <c r="B96" s="36" t="s">
        <v>1005</v>
      </c>
      <c r="C96" s="36" t="s">
        <v>1006</v>
      </c>
      <c r="D96" s="36" t="s">
        <v>39</v>
      </c>
      <c r="E96" s="41">
        <v>345615</v>
      </c>
      <c r="F96" s="38">
        <v>143.39566350000001</v>
      </c>
      <c r="G96" s="39">
        <v>0.41203245423173601</v>
      </c>
      <c r="H96" s="42"/>
    </row>
    <row r="97" spans="2:8" x14ac:dyDescent="0.2">
      <c r="B97" s="36" t="s">
        <v>1007</v>
      </c>
      <c r="C97" s="36" t="s">
        <v>1008</v>
      </c>
      <c r="D97" s="36" t="s">
        <v>796</v>
      </c>
      <c r="E97" s="41">
        <v>8515</v>
      </c>
      <c r="F97" s="38">
        <v>142.67733999999999</v>
      </c>
      <c r="G97" s="39">
        <v>0.409968426719235</v>
      </c>
      <c r="H97" s="42"/>
    </row>
    <row r="98" spans="2:8" x14ac:dyDescent="0.2">
      <c r="B98" s="36" t="s">
        <v>1009</v>
      </c>
      <c r="C98" s="36" t="s">
        <v>1010</v>
      </c>
      <c r="D98" s="36" t="s">
        <v>50</v>
      </c>
      <c r="E98" s="41">
        <v>23865</v>
      </c>
      <c r="F98" s="38">
        <v>141.42399</v>
      </c>
      <c r="G98" s="39">
        <v>0.40636705646921101</v>
      </c>
      <c r="H98" s="42"/>
    </row>
    <row r="99" spans="2:8" x14ac:dyDescent="0.2">
      <c r="B99" s="36" t="s">
        <v>1011</v>
      </c>
      <c r="C99" s="36" t="s">
        <v>1012</v>
      </c>
      <c r="D99" s="36" t="s">
        <v>82</v>
      </c>
      <c r="E99" s="41">
        <v>13848</v>
      </c>
      <c r="F99" s="38">
        <v>137.7876</v>
      </c>
      <c r="G99" s="39">
        <v>0.39591826980667899</v>
      </c>
      <c r="H99" s="42"/>
    </row>
    <row r="100" spans="2:8" x14ac:dyDescent="0.2">
      <c r="B100" s="36" t="s">
        <v>1013</v>
      </c>
      <c r="C100" s="36" t="s">
        <v>1014</v>
      </c>
      <c r="D100" s="36" t="s">
        <v>50</v>
      </c>
      <c r="E100" s="41">
        <v>496398</v>
      </c>
      <c r="F100" s="38">
        <v>137.20440719999999</v>
      </c>
      <c r="G100" s="39">
        <v>0.39424252623947997</v>
      </c>
      <c r="H100" s="42"/>
    </row>
    <row r="101" spans="2:8" x14ac:dyDescent="0.2">
      <c r="B101" s="36" t="s">
        <v>1015</v>
      </c>
      <c r="C101" s="36" t="s">
        <v>1016</v>
      </c>
      <c r="D101" s="36" t="s">
        <v>524</v>
      </c>
      <c r="E101" s="41">
        <v>33893</v>
      </c>
      <c r="F101" s="38">
        <v>135.266963</v>
      </c>
      <c r="G101" s="39">
        <v>0.38867548279354602</v>
      </c>
      <c r="H101" s="42"/>
    </row>
    <row r="102" spans="2:8" x14ac:dyDescent="0.2">
      <c r="B102" s="36" t="s">
        <v>1017</v>
      </c>
      <c r="C102" s="36" t="s">
        <v>1018</v>
      </c>
      <c r="D102" s="36" t="s">
        <v>529</v>
      </c>
      <c r="E102" s="41">
        <v>26250</v>
      </c>
      <c r="F102" s="38">
        <v>134.96437499999999</v>
      </c>
      <c r="G102" s="39">
        <v>0.38780602779596801</v>
      </c>
      <c r="H102" s="42"/>
    </row>
    <row r="103" spans="2:8" x14ac:dyDescent="0.2">
      <c r="B103" s="36" t="s">
        <v>1019</v>
      </c>
      <c r="C103" s="36" t="s">
        <v>1020</v>
      </c>
      <c r="D103" s="36" t="s">
        <v>435</v>
      </c>
      <c r="E103" s="41">
        <v>5039</v>
      </c>
      <c r="F103" s="38">
        <v>133.775372</v>
      </c>
      <c r="G103" s="39">
        <v>0.38438955192618801</v>
      </c>
      <c r="H103" s="42"/>
    </row>
    <row r="104" spans="2:8" x14ac:dyDescent="0.2">
      <c r="B104" s="36" t="s">
        <v>1021</v>
      </c>
      <c r="C104" s="36" t="s">
        <v>1022</v>
      </c>
      <c r="D104" s="36" t="s">
        <v>55</v>
      </c>
      <c r="E104" s="41">
        <v>17685</v>
      </c>
      <c r="F104" s="38">
        <v>133.59249</v>
      </c>
      <c r="G104" s="39">
        <v>0.38386405961034198</v>
      </c>
      <c r="H104" s="42"/>
    </row>
    <row r="105" spans="2:8" x14ac:dyDescent="0.2">
      <c r="B105" s="36" t="s">
        <v>1023</v>
      </c>
      <c r="C105" s="36" t="s">
        <v>1024</v>
      </c>
      <c r="D105" s="36" t="s">
        <v>99</v>
      </c>
      <c r="E105" s="41">
        <v>27652</v>
      </c>
      <c r="F105" s="38">
        <v>133.43472600000001</v>
      </c>
      <c r="G105" s="39">
        <v>0.383410741242668</v>
      </c>
      <c r="H105" s="42"/>
    </row>
    <row r="106" spans="2:8" x14ac:dyDescent="0.2">
      <c r="B106" s="36" t="s">
        <v>1025</v>
      </c>
      <c r="C106" s="36" t="s">
        <v>1026</v>
      </c>
      <c r="D106" s="36" t="s">
        <v>79</v>
      </c>
      <c r="E106" s="41">
        <v>12519</v>
      </c>
      <c r="F106" s="38">
        <v>133.20215999999999</v>
      </c>
      <c r="G106" s="39">
        <v>0.38274248714479697</v>
      </c>
      <c r="H106" s="42"/>
    </row>
    <row r="107" spans="2:8" x14ac:dyDescent="0.2">
      <c r="B107" s="36" t="s">
        <v>1027</v>
      </c>
      <c r="C107" s="36" t="s">
        <v>1028</v>
      </c>
      <c r="D107" s="36" t="s">
        <v>796</v>
      </c>
      <c r="E107" s="41">
        <v>2849</v>
      </c>
      <c r="F107" s="38">
        <v>133.068243</v>
      </c>
      <c r="G107" s="39">
        <v>0.382357690639613</v>
      </c>
      <c r="H107" s="42"/>
    </row>
    <row r="108" spans="2:8" x14ac:dyDescent="0.2">
      <c r="B108" s="36" t="s">
        <v>1029</v>
      </c>
      <c r="C108" s="36" t="s">
        <v>1030</v>
      </c>
      <c r="D108" s="36" t="s">
        <v>796</v>
      </c>
      <c r="E108" s="41">
        <v>14568</v>
      </c>
      <c r="F108" s="38">
        <v>132.31386000000001</v>
      </c>
      <c r="G108" s="39">
        <v>0.380190049922076</v>
      </c>
      <c r="H108" s="42"/>
    </row>
    <row r="109" spans="2:8" x14ac:dyDescent="0.2">
      <c r="B109" s="36" t="s">
        <v>1031</v>
      </c>
      <c r="C109" s="36" t="s">
        <v>1032</v>
      </c>
      <c r="D109" s="36" t="s">
        <v>82</v>
      </c>
      <c r="E109" s="41">
        <v>9449</v>
      </c>
      <c r="F109" s="38">
        <v>132.19150999999999</v>
      </c>
      <c r="G109" s="39">
        <v>0.37983848998264202</v>
      </c>
      <c r="H109" s="42"/>
    </row>
    <row r="110" spans="2:8" x14ac:dyDescent="0.2">
      <c r="B110" s="36" t="s">
        <v>1033</v>
      </c>
      <c r="C110" s="36" t="s">
        <v>1034</v>
      </c>
      <c r="D110" s="36" t="s">
        <v>435</v>
      </c>
      <c r="E110" s="41">
        <v>7931</v>
      </c>
      <c r="F110" s="38">
        <v>132.02735699999999</v>
      </c>
      <c r="G110" s="39">
        <v>0.37936681349111701</v>
      </c>
      <c r="H110" s="42"/>
    </row>
    <row r="111" spans="2:8" x14ac:dyDescent="0.2">
      <c r="B111" s="36" t="s">
        <v>1035</v>
      </c>
      <c r="C111" s="36" t="s">
        <v>1036</v>
      </c>
      <c r="D111" s="36" t="s">
        <v>131</v>
      </c>
      <c r="E111" s="41">
        <v>66489</v>
      </c>
      <c r="F111" s="38">
        <v>131.88758039999999</v>
      </c>
      <c r="G111" s="39">
        <v>0.378965180037661</v>
      </c>
      <c r="H111" s="42"/>
    </row>
    <row r="112" spans="2:8" x14ac:dyDescent="0.2">
      <c r="B112" s="36" t="s">
        <v>1037</v>
      </c>
      <c r="C112" s="36" t="s">
        <v>1038</v>
      </c>
      <c r="D112" s="36" t="s">
        <v>179</v>
      </c>
      <c r="E112" s="41">
        <v>10065</v>
      </c>
      <c r="F112" s="38">
        <v>131.73071999999999</v>
      </c>
      <c r="G112" s="39">
        <v>0.37851445807015999</v>
      </c>
      <c r="H112" s="42"/>
    </row>
    <row r="113" spans="2:8" x14ac:dyDescent="0.2">
      <c r="B113" s="36" t="s">
        <v>1039</v>
      </c>
      <c r="C113" s="36" t="s">
        <v>1040</v>
      </c>
      <c r="D113" s="36" t="s">
        <v>463</v>
      </c>
      <c r="E113" s="41">
        <v>12142</v>
      </c>
      <c r="F113" s="38">
        <v>127.95239599999999</v>
      </c>
      <c r="G113" s="39">
        <v>0.36765783889072001</v>
      </c>
      <c r="H113" s="42"/>
    </row>
    <row r="114" spans="2:8" x14ac:dyDescent="0.2">
      <c r="B114" s="36" t="s">
        <v>1041</v>
      </c>
      <c r="C114" s="36" t="s">
        <v>1042</v>
      </c>
      <c r="D114" s="36" t="s">
        <v>112</v>
      </c>
      <c r="E114" s="41">
        <v>41400</v>
      </c>
      <c r="F114" s="38">
        <v>126.477</v>
      </c>
      <c r="G114" s="39">
        <v>0.363418442663486</v>
      </c>
      <c r="H114" s="42"/>
    </row>
    <row r="115" spans="2:8" x14ac:dyDescent="0.2">
      <c r="B115" s="36" t="s">
        <v>1043</v>
      </c>
      <c r="C115" s="36" t="s">
        <v>1044</v>
      </c>
      <c r="D115" s="36" t="s">
        <v>91</v>
      </c>
      <c r="E115" s="41">
        <v>7260</v>
      </c>
      <c r="F115" s="38">
        <v>125.97552</v>
      </c>
      <c r="G115" s="39">
        <v>0.361977492288106</v>
      </c>
      <c r="H115" s="42"/>
    </row>
    <row r="116" spans="2:8" x14ac:dyDescent="0.2">
      <c r="B116" s="36" t="s">
        <v>1045</v>
      </c>
      <c r="C116" s="36" t="s">
        <v>1046</v>
      </c>
      <c r="D116" s="36" t="s">
        <v>478</v>
      </c>
      <c r="E116" s="41">
        <v>42184</v>
      </c>
      <c r="F116" s="38">
        <v>121.51101199999999</v>
      </c>
      <c r="G116" s="39">
        <v>0.34914919509083903</v>
      </c>
      <c r="H116" s="42"/>
    </row>
    <row r="117" spans="2:8" x14ac:dyDescent="0.2">
      <c r="B117" s="36" t="s">
        <v>1047</v>
      </c>
      <c r="C117" s="36" t="s">
        <v>1048</v>
      </c>
      <c r="D117" s="36" t="s">
        <v>82</v>
      </c>
      <c r="E117" s="41">
        <v>27990</v>
      </c>
      <c r="F117" s="38">
        <v>120.77685</v>
      </c>
      <c r="G117" s="39">
        <v>0.347039657303711</v>
      </c>
      <c r="H117" s="42"/>
    </row>
    <row r="118" spans="2:8" x14ac:dyDescent="0.2">
      <c r="B118" s="36" t="s">
        <v>1049</v>
      </c>
      <c r="C118" s="36" t="s">
        <v>1050</v>
      </c>
      <c r="D118" s="36" t="s">
        <v>610</v>
      </c>
      <c r="E118" s="41">
        <v>25855</v>
      </c>
      <c r="F118" s="38">
        <v>120.58772</v>
      </c>
      <c r="G118" s="39">
        <v>0.34649621201278102</v>
      </c>
      <c r="H118" s="42"/>
    </row>
    <row r="119" spans="2:8" x14ac:dyDescent="0.2">
      <c r="B119" s="36" t="s">
        <v>1051</v>
      </c>
      <c r="C119" s="36" t="s">
        <v>1052</v>
      </c>
      <c r="D119" s="36" t="s">
        <v>131</v>
      </c>
      <c r="E119" s="41">
        <v>9307</v>
      </c>
      <c r="F119" s="38">
        <v>120.572185</v>
      </c>
      <c r="G119" s="39">
        <v>0.34645157381368702</v>
      </c>
      <c r="H119" s="42"/>
    </row>
    <row r="120" spans="2:8" x14ac:dyDescent="0.2">
      <c r="B120" s="36" t="s">
        <v>1053</v>
      </c>
      <c r="C120" s="36" t="s">
        <v>1054</v>
      </c>
      <c r="D120" s="36" t="s">
        <v>131</v>
      </c>
      <c r="E120" s="41">
        <v>14496</v>
      </c>
      <c r="F120" s="38">
        <v>120.266064</v>
      </c>
      <c r="G120" s="39">
        <v>0.34557196710980698</v>
      </c>
      <c r="H120" s="42"/>
    </row>
    <row r="121" spans="2:8" x14ac:dyDescent="0.2">
      <c r="B121" s="36" t="s">
        <v>1055</v>
      </c>
      <c r="C121" s="36" t="s">
        <v>1056</v>
      </c>
      <c r="D121" s="36" t="s">
        <v>65</v>
      </c>
      <c r="E121" s="41">
        <v>10905</v>
      </c>
      <c r="F121" s="38">
        <v>119.96590500000001</v>
      </c>
      <c r="G121" s="39">
        <v>0.344709491589899</v>
      </c>
      <c r="H121" s="42"/>
    </row>
    <row r="122" spans="2:8" x14ac:dyDescent="0.2">
      <c r="B122" s="36" t="s">
        <v>1057</v>
      </c>
      <c r="C122" s="36" t="s">
        <v>1058</v>
      </c>
      <c r="D122" s="36" t="s">
        <v>82</v>
      </c>
      <c r="E122" s="41">
        <v>2606</v>
      </c>
      <c r="F122" s="38">
        <v>119.83691</v>
      </c>
      <c r="G122" s="39">
        <v>0.34433883793736603</v>
      </c>
      <c r="H122" s="42"/>
    </row>
    <row r="123" spans="2:8" x14ac:dyDescent="0.2">
      <c r="B123" s="36" t="s">
        <v>1059</v>
      </c>
      <c r="C123" s="36" t="s">
        <v>1060</v>
      </c>
      <c r="D123" s="36" t="s">
        <v>454</v>
      </c>
      <c r="E123" s="41">
        <v>8592</v>
      </c>
      <c r="F123" s="38">
        <v>118.595376</v>
      </c>
      <c r="G123" s="39">
        <v>0.340771419728571</v>
      </c>
      <c r="H123" s="42"/>
    </row>
    <row r="124" spans="2:8" x14ac:dyDescent="0.2">
      <c r="B124" s="36" t="s">
        <v>1061</v>
      </c>
      <c r="C124" s="36" t="s">
        <v>1062</v>
      </c>
      <c r="D124" s="36" t="s">
        <v>996</v>
      </c>
      <c r="E124" s="41">
        <v>12271</v>
      </c>
      <c r="F124" s="38">
        <v>118.12064599999999</v>
      </c>
      <c r="G124" s="39">
        <v>0.33940733268281897</v>
      </c>
      <c r="H124" s="42"/>
    </row>
    <row r="125" spans="2:8" x14ac:dyDescent="0.2">
      <c r="B125" s="36" t="s">
        <v>1063</v>
      </c>
      <c r="C125" s="36" t="s">
        <v>1064</v>
      </c>
      <c r="D125" s="36" t="s">
        <v>478</v>
      </c>
      <c r="E125" s="41">
        <v>12082</v>
      </c>
      <c r="F125" s="38">
        <v>117.60014700000001</v>
      </c>
      <c r="G125" s="39">
        <v>0.33791173319842299</v>
      </c>
      <c r="H125" s="42"/>
    </row>
    <row r="126" spans="2:8" x14ac:dyDescent="0.2">
      <c r="B126" s="36" t="s">
        <v>1065</v>
      </c>
      <c r="C126" s="36" t="s">
        <v>1066</v>
      </c>
      <c r="D126" s="36" t="s">
        <v>65</v>
      </c>
      <c r="E126" s="41">
        <v>3602</v>
      </c>
      <c r="F126" s="38">
        <v>116.74082</v>
      </c>
      <c r="G126" s="39">
        <v>0.33544254686352698</v>
      </c>
      <c r="H126" s="42"/>
    </row>
    <row r="127" spans="2:8" x14ac:dyDescent="0.2">
      <c r="B127" s="36" t="s">
        <v>1067</v>
      </c>
      <c r="C127" s="36" t="s">
        <v>1068</v>
      </c>
      <c r="D127" s="36" t="s">
        <v>478</v>
      </c>
      <c r="E127" s="41">
        <v>5647</v>
      </c>
      <c r="F127" s="38">
        <v>116.11926099999999</v>
      </c>
      <c r="G127" s="39">
        <v>0.33365656202989302</v>
      </c>
      <c r="H127" s="42"/>
    </row>
    <row r="128" spans="2:8" x14ac:dyDescent="0.2">
      <c r="B128" s="36" t="s">
        <v>1069</v>
      </c>
      <c r="C128" s="36" t="s">
        <v>1070</v>
      </c>
      <c r="D128" s="36" t="s">
        <v>558</v>
      </c>
      <c r="E128" s="41">
        <v>13782</v>
      </c>
      <c r="F128" s="38">
        <v>113.859993</v>
      </c>
      <c r="G128" s="39">
        <v>0.32716479152522099</v>
      </c>
      <c r="H128" s="42"/>
    </row>
    <row r="129" spans="2:8" x14ac:dyDescent="0.2">
      <c r="B129" s="36" t="s">
        <v>1071</v>
      </c>
      <c r="C129" s="36" t="s">
        <v>1072</v>
      </c>
      <c r="D129" s="36" t="s">
        <v>96</v>
      </c>
      <c r="E129" s="41">
        <v>6578</v>
      </c>
      <c r="F129" s="38">
        <v>113.29947199999999</v>
      </c>
      <c r="G129" s="39">
        <v>0.32555419300612098</v>
      </c>
      <c r="H129" s="42"/>
    </row>
    <row r="130" spans="2:8" x14ac:dyDescent="0.2">
      <c r="B130" s="36" t="s">
        <v>1073</v>
      </c>
      <c r="C130" s="36" t="s">
        <v>1074</v>
      </c>
      <c r="D130" s="36" t="s">
        <v>524</v>
      </c>
      <c r="E130" s="41">
        <v>1399</v>
      </c>
      <c r="F130" s="38">
        <v>112.150835</v>
      </c>
      <c r="G130" s="39">
        <v>0.32225370461909703</v>
      </c>
      <c r="H130" s="42"/>
    </row>
    <row r="131" spans="2:8" x14ac:dyDescent="0.2">
      <c r="B131" s="36" t="s">
        <v>1075</v>
      </c>
      <c r="C131" s="36" t="s">
        <v>1076</v>
      </c>
      <c r="D131" s="36" t="s">
        <v>529</v>
      </c>
      <c r="E131" s="41">
        <v>9003</v>
      </c>
      <c r="F131" s="38">
        <v>111.979314</v>
      </c>
      <c r="G131" s="39">
        <v>0.321760856949528</v>
      </c>
      <c r="H131" s="42"/>
    </row>
    <row r="132" spans="2:8" x14ac:dyDescent="0.2">
      <c r="B132" s="36" t="s">
        <v>1077</v>
      </c>
      <c r="C132" s="36" t="s">
        <v>1078</v>
      </c>
      <c r="D132" s="36" t="s">
        <v>47</v>
      </c>
      <c r="E132" s="41">
        <v>22311</v>
      </c>
      <c r="F132" s="38">
        <v>111.4769115</v>
      </c>
      <c r="G132" s="39">
        <v>0.32031725586679999</v>
      </c>
      <c r="H132" s="42"/>
    </row>
    <row r="133" spans="2:8" x14ac:dyDescent="0.2">
      <c r="B133" s="36" t="s">
        <v>1079</v>
      </c>
      <c r="C133" s="36" t="s">
        <v>1080</v>
      </c>
      <c r="D133" s="36" t="s">
        <v>65</v>
      </c>
      <c r="E133" s="41">
        <v>51494</v>
      </c>
      <c r="F133" s="38">
        <v>111.4639124</v>
      </c>
      <c r="G133" s="39">
        <v>0.320279904311355</v>
      </c>
      <c r="H133" s="42"/>
    </row>
    <row r="134" spans="2:8" x14ac:dyDescent="0.2">
      <c r="B134" s="36" t="s">
        <v>1081</v>
      </c>
      <c r="C134" s="36" t="s">
        <v>1082</v>
      </c>
      <c r="D134" s="36" t="s">
        <v>454</v>
      </c>
      <c r="E134" s="41">
        <v>8412</v>
      </c>
      <c r="F134" s="38">
        <v>110.07102</v>
      </c>
      <c r="G134" s="39">
        <v>0.31627757355710001</v>
      </c>
      <c r="H134" s="42"/>
    </row>
    <row r="135" spans="2:8" x14ac:dyDescent="0.2">
      <c r="B135" s="36" t="s">
        <v>1083</v>
      </c>
      <c r="C135" s="36" t="s">
        <v>1084</v>
      </c>
      <c r="D135" s="36" t="s">
        <v>47</v>
      </c>
      <c r="E135" s="41">
        <v>47116</v>
      </c>
      <c r="F135" s="38">
        <v>109.167772</v>
      </c>
      <c r="G135" s="39">
        <v>0.31368218481844501</v>
      </c>
      <c r="H135" s="42"/>
    </row>
    <row r="136" spans="2:8" x14ac:dyDescent="0.2">
      <c r="B136" s="36" t="s">
        <v>1085</v>
      </c>
      <c r="C136" s="36" t="s">
        <v>1086</v>
      </c>
      <c r="D136" s="36" t="s">
        <v>529</v>
      </c>
      <c r="E136" s="41">
        <v>7660</v>
      </c>
      <c r="F136" s="38">
        <v>108.61879999999999</v>
      </c>
      <c r="G136" s="39">
        <v>0.312104771143976</v>
      </c>
      <c r="H136" s="42"/>
    </row>
    <row r="137" spans="2:8" x14ac:dyDescent="0.2">
      <c r="B137" s="36" t="s">
        <v>1087</v>
      </c>
      <c r="C137" s="36" t="s">
        <v>1088</v>
      </c>
      <c r="D137" s="36" t="s">
        <v>99</v>
      </c>
      <c r="E137" s="41">
        <v>13112</v>
      </c>
      <c r="F137" s="38">
        <v>107.8462</v>
      </c>
      <c r="G137" s="39">
        <v>0.30988478578061501</v>
      </c>
      <c r="H137" s="42"/>
    </row>
    <row r="138" spans="2:8" x14ac:dyDescent="0.2">
      <c r="B138" s="36" t="s">
        <v>1089</v>
      </c>
      <c r="C138" s="36" t="s">
        <v>1090</v>
      </c>
      <c r="D138" s="36" t="s">
        <v>28</v>
      </c>
      <c r="E138" s="41">
        <v>76713</v>
      </c>
      <c r="F138" s="38">
        <v>107.6743668</v>
      </c>
      <c r="G138" s="39">
        <v>0.30939104103697002</v>
      </c>
      <c r="H138" s="42"/>
    </row>
    <row r="139" spans="2:8" x14ac:dyDescent="0.2">
      <c r="B139" s="36" t="s">
        <v>1091</v>
      </c>
      <c r="C139" s="36" t="s">
        <v>1092</v>
      </c>
      <c r="D139" s="36" t="s">
        <v>44</v>
      </c>
      <c r="E139" s="41">
        <v>14994</v>
      </c>
      <c r="F139" s="38">
        <v>107.484489</v>
      </c>
      <c r="G139" s="39">
        <v>0.30884544702088601</v>
      </c>
      <c r="H139" s="42"/>
    </row>
    <row r="140" spans="2:8" x14ac:dyDescent="0.2">
      <c r="B140" s="36" t="s">
        <v>1093</v>
      </c>
      <c r="C140" s="36" t="s">
        <v>1094</v>
      </c>
      <c r="D140" s="36" t="s">
        <v>517</v>
      </c>
      <c r="E140" s="41">
        <v>9798</v>
      </c>
      <c r="F140" s="38">
        <v>107.2881</v>
      </c>
      <c r="G140" s="39">
        <v>0.30828114375202098</v>
      </c>
      <c r="H140" s="42"/>
    </row>
    <row r="141" spans="2:8" x14ac:dyDescent="0.2">
      <c r="B141" s="36" t="s">
        <v>1095</v>
      </c>
      <c r="C141" s="36" t="s">
        <v>1096</v>
      </c>
      <c r="D141" s="36" t="s">
        <v>47</v>
      </c>
      <c r="E141" s="41">
        <v>70213</v>
      </c>
      <c r="F141" s="38">
        <v>106.7448239</v>
      </c>
      <c r="G141" s="39">
        <v>0.30672009665097999</v>
      </c>
      <c r="H141" s="42"/>
    </row>
    <row r="142" spans="2:8" x14ac:dyDescent="0.2">
      <c r="B142" s="36" t="s">
        <v>1097</v>
      </c>
      <c r="C142" s="36" t="s">
        <v>1098</v>
      </c>
      <c r="D142" s="36" t="s">
        <v>897</v>
      </c>
      <c r="E142" s="41">
        <v>7047</v>
      </c>
      <c r="F142" s="38">
        <v>106.254666</v>
      </c>
      <c r="G142" s="39">
        <v>0.30531167914679203</v>
      </c>
      <c r="H142" s="42"/>
    </row>
    <row r="143" spans="2:8" x14ac:dyDescent="0.2">
      <c r="B143" s="36" t="s">
        <v>1099</v>
      </c>
      <c r="C143" s="36" t="s">
        <v>1100</v>
      </c>
      <c r="D143" s="36" t="s">
        <v>91</v>
      </c>
      <c r="E143" s="41">
        <v>5263</v>
      </c>
      <c r="F143" s="38">
        <v>106.086291</v>
      </c>
      <c r="G143" s="39">
        <v>0.30482787117946603</v>
      </c>
      <c r="H143" s="42"/>
    </row>
    <row r="144" spans="2:8" x14ac:dyDescent="0.2">
      <c r="B144" s="36" t="s">
        <v>1101</v>
      </c>
      <c r="C144" s="36" t="s">
        <v>1102</v>
      </c>
      <c r="D144" s="36" t="s">
        <v>610</v>
      </c>
      <c r="E144" s="41">
        <v>21111</v>
      </c>
      <c r="F144" s="38">
        <v>105.8822205</v>
      </c>
      <c r="G144" s="39">
        <v>0.30424149592306698</v>
      </c>
      <c r="H144" s="42"/>
    </row>
    <row r="145" spans="2:8" x14ac:dyDescent="0.2">
      <c r="B145" s="36" t="s">
        <v>1103</v>
      </c>
      <c r="C145" s="36" t="s">
        <v>1104</v>
      </c>
      <c r="D145" s="36" t="s">
        <v>47</v>
      </c>
      <c r="E145" s="41">
        <v>9563</v>
      </c>
      <c r="F145" s="38">
        <v>102.43407449999999</v>
      </c>
      <c r="G145" s="39">
        <v>0.29433360872305198</v>
      </c>
      <c r="H145" s="42"/>
    </row>
    <row r="146" spans="2:8" x14ac:dyDescent="0.2">
      <c r="B146" s="36" t="s">
        <v>1105</v>
      </c>
      <c r="C146" s="36" t="s">
        <v>1106</v>
      </c>
      <c r="D146" s="36" t="s">
        <v>463</v>
      </c>
      <c r="E146" s="41">
        <v>19753</v>
      </c>
      <c r="F146" s="38">
        <v>101.688444</v>
      </c>
      <c r="G146" s="39">
        <v>0.292191117399631</v>
      </c>
      <c r="H146" s="42"/>
    </row>
    <row r="147" spans="2:8" x14ac:dyDescent="0.2">
      <c r="B147" s="36" t="s">
        <v>1107</v>
      </c>
      <c r="C147" s="36" t="s">
        <v>1108</v>
      </c>
      <c r="D147" s="36" t="s">
        <v>674</v>
      </c>
      <c r="E147" s="41">
        <v>17499</v>
      </c>
      <c r="F147" s="38">
        <v>100.9954785</v>
      </c>
      <c r="G147" s="39">
        <v>0.29019995345022098</v>
      </c>
      <c r="H147" s="42"/>
    </row>
    <row r="148" spans="2:8" x14ac:dyDescent="0.2">
      <c r="B148" s="36" t="s">
        <v>1109</v>
      </c>
      <c r="C148" s="36" t="s">
        <v>1110</v>
      </c>
      <c r="D148" s="36" t="s">
        <v>495</v>
      </c>
      <c r="E148" s="41">
        <v>34077</v>
      </c>
      <c r="F148" s="38">
        <v>100.936074</v>
      </c>
      <c r="G148" s="39">
        <v>0.29002926082723601</v>
      </c>
      <c r="H148" s="42"/>
    </row>
    <row r="149" spans="2:8" x14ac:dyDescent="0.2">
      <c r="B149" s="36" t="s">
        <v>1111</v>
      </c>
      <c r="C149" s="36" t="s">
        <v>1112</v>
      </c>
      <c r="D149" s="36" t="s">
        <v>82</v>
      </c>
      <c r="E149" s="41">
        <v>5914</v>
      </c>
      <c r="F149" s="38">
        <v>100.30144</v>
      </c>
      <c r="G149" s="39">
        <v>0.28820570634743897</v>
      </c>
      <c r="H149" s="42"/>
    </row>
    <row r="150" spans="2:8" x14ac:dyDescent="0.2">
      <c r="B150" s="36" t="s">
        <v>1113</v>
      </c>
      <c r="C150" s="36" t="s">
        <v>1114</v>
      </c>
      <c r="D150" s="36" t="s">
        <v>65</v>
      </c>
      <c r="E150" s="41">
        <v>17698</v>
      </c>
      <c r="F150" s="38">
        <v>100.241472</v>
      </c>
      <c r="G150" s="39">
        <v>0.28803339456609001</v>
      </c>
      <c r="H150" s="42"/>
    </row>
    <row r="151" spans="2:8" x14ac:dyDescent="0.2">
      <c r="B151" s="36" t="s">
        <v>1115</v>
      </c>
      <c r="C151" s="36" t="s">
        <v>1116</v>
      </c>
      <c r="D151" s="36" t="s">
        <v>610</v>
      </c>
      <c r="E151" s="41">
        <v>2193</v>
      </c>
      <c r="F151" s="38">
        <v>98.893334999999993</v>
      </c>
      <c r="G151" s="39">
        <v>0.28415966377680002</v>
      </c>
      <c r="H151" s="42"/>
    </row>
    <row r="152" spans="2:8" x14ac:dyDescent="0.2">
      <c r="B152" s="36" t="s">
        <v>1117</v>
      </c>
      <c r="C152" s="36" t="s">
        <v>1118</v>
      </c>
      <c r="D152" s="36" t="s">
        <v>478</v>
      </c>
      <c r="E152" s="41">
        <v>39986</v>
      </c>
      <c r="F152" s="38">
        <v>98.801407400000002</v>
      </c>
      <c r="G152" s="39">
        <v>0.28389551942462699</v>
      </c>
      <c r="H152" s="42"/>
    </row>
    <row r="153" spans="2:8" x14ac:dyDescent="0.2">
      <c r="B153" s="36" t="s">
        <v>1119</v>
      </c>
      <c r="C153" s="36" t="s">
        <v>1120</v>
      </c>
      <c r="D153" s="36" t="s">
        <v>558</v>
      </c>
      <c r="E153" s="41">
        <v>3377</v>
      </c>
      <c r="F153" s="38">
        <v>98.051195000000007</v>
      </c>
      <c r="G153" s="39">
        <v>0.28173986249036398</v>
      </c>
      <c r="H153" s="42"/>
    </row>
    <row r="154" spans="2:8" x14ac:dyDescent="0.2">
      <c r="B154" s="36" t="s">
        <v>1121</v>
      </c>
      <c r="C154" s="36" t="s">
        <v>1122</v>
      </c>
      <c r="D154" s="36" t="s">
        <v>65</v>
      </c>
      <c r="E154" s="41">
        <v>21887</v>
      </c>
      <c r="F154" s="38">
        <v>97.7145115</v>
      </c>
      <c r="G154" s="39">
        <v>0.28077243763651299</v>
      </c>
      <c r="H154" s="42"/>
    </row>
    <row r="155" spans="2:8" x14ac:dyDescent="0.2">
      <c r="B155" s="36" t="s">
        <v>1123</v>
      </c>
      <c r="C155" s="36" t="s">
        <v>1124</v>
      </c>
      <c r="D155" s="36" t="s">
        <v>495</v>
      </c>
      <c r="E155" s="41">
        <v>85492</v>
      </c>
      <c r="F155" s="38">
        <v>97.418133999999995</v>
      </c>
      <c r="G155" s="39">
        <v>0.27992082786168798</v>
      </c>
      <c r="H155" s="42"/>
    </row>
    <row r="156" spans="2:8" x14ac:dyDescent="0.2">
      <c r="B156" s="36" t="s">
        <v>1125</v>
      </c>
      <c r="C156" s="36" t="s">
        <v>1126</v>
      </c>
      <c r="D156" s="36" t="s">
        <v>44</v>
      </c>
      <c r="E156" s="41">
        <v>19594</v>
      </c>
      <c r="F156" s="38">
        <v>96.823751000000001</v>
      </c>
      <c r="G156" s="39">
        <v>0.27821293042416501</v>
      </c>
      <c r="H156" s="42"/>
    </row>
    <row r="157" spans="2:8" x14ac:dyDescent="0.2">
      <c r="B157" s="36" t="s">
        <v>1127</v>
      </c>
      <c r="C157" s="36" t="s">
        <v>1128</v>
      </c>
      <c r="D157" s="36" t="s">
        <v>495</v>
      </c>
      <c r="E157" s="41">
        <v>12292</v>
      </c>
      <c r="F157" s="38">
        <v>96.443032000000002</v>
      </c>
      <c r="G157" s="39">
        <v>0.27711897416276998</v>
      </c>
      <c r="H157" s="42"/>
    </row>
    <row r="158" spans="2:8" x14ac:dyDescent="0.2">
      <c r="B158" s="36" t="s">
        <v>1129</v>
      </c>
      <c r="C158" s="36" t="s">
        <v>1130</v>
      </c>
      <c r="D158" s="36" t="s">
        <v>635</v>
      </c>
      <c r="E158" s="41">
        <v>14236</v>
      </c>
      <c r="F158" s="38">
        <v>95.381200000000007</v>
      </c>
      <c r="G158" s="39">
        <v>0.274067910872131</v>
      </c>
      <c r="H158" s="42"/>
    </row>
    <row r="159" spans="2:8" x14ac:dyDescent="0.2">
      <c r="B159" s="36" t="s">
        <v>1131</v>
      </c>
      <c r="C159" s="36" t="s">
        <v>1132</v>
      </c>
      <c r="D159" s="36" t="s">
        <v>524</v>
      </c>
      <c r="E159" s="41">
        <v>23381</v>
      </c>
      <c r="F159" s="38">
        <v>95.020384000000007</v>
      </c>
      <c r="G159" s="39">
        <v>0.273031143801374</v>
      </c>
      <c r="H159" s="42"/>
    </row>
    <row r="160" spans="2:8" x14ac:dyDescent="0.2">
      <c r="B160" s="36" t="s">
        <v>1133</v>
      </c>
      <c r="C160" s="36" t="s">
        <v>1134</v>
      </c>
      <c r="D160" s="36" t="s">
        <v>610</v>
      </c>
      <c r="E160" s="41">
        <v>74506</v>
      </c>
      <c r="F160" s="38">
        <v>93.847757599999994</v>
      </c>
      <c r="G160" s="39">
        <v>0.26966172438033997</v>
      </c>
      <c r="H160" s="42"/>
    </row>
    <row r="161" spans="2:8" x14ac:dyDescent="0.2">
      <c r="B161" s="36" t="s">
        <v>1135</v>
      </c>
      <c r="C161" s="36" t="s">
        <v>1136</v>
      </c>
      <c r="D161" s="36" t="s">
        <v>610</v>
      </c>
      <c r="E161" s="41">
        <v>10717</v>
      </c>
      <c r="F161" s="38">
        <v>93.843410500000005</v>
      </c>
      <c r="G161" s="39">
        <v>0.26964923344276198</v>
      </c>
      <c r="H161" s="42"/>
    </row>
    <row r="162" spans="2:8" x14ac:dyDescent="0.2">
      <c r="B162" s="36" t="s">
        <v>1137</v>
      </c>
      <c r="C162" s="36" t="s">
        <v>1138</v>
      </c>
      <c r="D162" s="36" t="s">
        <v>99</v>
      </c>
      <c r="E162" s="41">
        <v>2967</v>
      </c>
      <c r="F162" s="38">
        <v>93.513906000000006</v>
      </c>
      <c r="G162" s="39">
        <v>0.26870243669520599</v>
      </c>
      <c r="H162" s="42"/>
    </row>
    <row r="163" spans="2:8" x14ac:dyDescent="0.2">
      <c r="B163" s="36" t="s">
        <v>1139</v>
      </c>
      <c r="C163" s="36" t="s">
        <v>1140</v>
      </c>
      <c r="D163" s="36" t="s">
        <v>508</v>
      </c>
      <c r="E163" s="41">
        <v>14471</v>
      </c>
      <c r="F163" s="38">
        <v>93.511601999999996</v>
      </c>
      <c r="G163" s="39">
        <v>0.26869581639197399</v>
      </c>
      <c r="H163" s="42"/>
    </row>
    <row r="164" spans="2:8" x14ac:dyDescent="0.2">
      <c r="B164" s="36" t="s">
        <v>1141</v>
      </c>
      <c r="C164" s="36" t="s">
        <v>1142</v>
      </c>
      <c r="D164" s="36" t="s">
        <v>91</v>
      </c>
      <c r="E164" s="41">
        <v>92990</v>
      </c>
      <c r="F164" s="38">
        <v>93.148083</v>
      </c>
      <c r="G164" s="39">
        <v>0.26765128253318099</v>
      </c>
      <c r="H164" s="42"/>
    </row>
    <row r="165" spans="2:8" x14ac:dyDescent="0.2">
      <c r="B165" s="36" t="s">
        <v>1143</v>
      </c>
      <c r="C165" s="36" t="s">
        <v>1144</v>
      </c>
      <c r="D165" s="36" t="s">
        <v>47</v>
      </c>
      <c r="E165" s="41">
        <v>8626</v>
      </c>
      <c r="F165" s="38">
        <v>93.091791999999998</v>
      </c>
      <c r="G165" s="39">
        <v>0.26748953622708599</v>
      </c>
      <c r="H165" s="42"/>
    </row>
    <row r="166" spans="2:8" x14ac:dyDescent="0.2">
      <c r="B166" s="36" t="s">
        <v>1145</v>
      </c>
      <c r="C166" s="36" t="s">
        <v>1146</v>
      </c>
      <c r="D166" s="36" t="s">
        <v>463</v>
      </c>
      <c r="E166" s="41">
        <v>23659</v>
      </c>
      <c r="F166" s="38">
        <v>92.766938999999994</v>
      </c>
      <c r="G166" s="39">
        <v>0.26655610507869898</v>
      </c>
      <c r="H166" s="42"/>
    </row>
    <row r="167" spans="2:8" x14ac:dyDescent="0.2">
      <c r="B167" s="36" t="s">
        <v>1147</v>
      </c>
      <c r="C167" s="36" t="s">
        <v>1148</v>
      </c>
      <c r="D167" s="36" t="s">
        <v>454</v>
      </c>
      <c r="E167" s="41">
        <v>17738</v>
      </c>
      <c r="F167" s="38">
        <v>92.512539000000004</v>
      </c>
      <c r="G167" s="39">
        <v>0.26582511326347902</v>
      </c>
      <c r="H167" s="42"/>
    </row>
    <row r="168" spans="2:8" x14ac:dyDescent="0.2">
      <c r="B168" s="36" t="s">
        <v>1149</v>
      </c>
      <c r="C168" s="36" t="s">
        <v>1150</v>
      </c>
      <c r="D168" s="36" t="s">
        <v>131</v>
      </c>
      <c r="E168" s="41">
        <v>6848</v>
      </c>
      <c r="F168" s="38">
        <v>91.975487999999999</v>
      </c>
      <c r="G168" s="39">
        <v>0.26428195333676602</v>
      </c>
      <c r="H168" s="42"/>
    </row>
    <row r="169" spans="2:8" x14ac:dyDescent="0.2">
      <c r="B169" s="36" t="s">
        <v>1151</v>
      </c>
      <c r="C169" s="36" t="s">
        <v>1152</v>
      </c>
      <c r="D169" s="36" t="s">
        <v>131</v>
      </c>
      <c r="E169" s="41">
        <v>13622</v>
      </c>
      <c r="F169" s="38">
        <v>91.580706000000006</v>
      </c>
      <c r="G169" s="39">
        <v>0.26314758851445302</v>
      </c>
      <c r="H169" s="42"/>
    </row>
    <row r="170" spans="2:8" x14ac:dyDescent="0.2">
      <c r="B170" s="36" t="s">
        <v>1153</v>
      </c>
      <c r="C170" s="36" t="s">
        <v>1154</v>
      </c>
      <c r="D170" s="36" t="s">
        <v>44</v>
      </c>
      <c r="E170" s="41">
        <v>28533</v>
      </c>
      <c r="F170" s="38">
        <v>91.120135500000004</v>
      </c>
      <c r="G170" s="39">
        <v>0.26182418731228402</v>
      </c>
      <c r="H170" s="42"/>
    </row>
    <row r="171" spans="2:8" x14ac:dyDescent="0.2">
      <c r="B171" s="36" t="s">
        <v>1155</v>
      </c>
      <c r="C171" s="36" t="s">
        <v>1156</v>
      </c>
      <c r="D171" s="36" t="s">
        <v>47</v>
      </c>
      <c r="E171" s="41">
        <v>26552</v>
      </c>
      <c r="F171" s="38">
        <v>90.024556000000004</v>
      </c>
      <c r="G171" s="39">
        <v>0.25867615410700601</v>
      </c>
      <c r="H171" s="42"/>
    </row>
    <row r="172" spans="2:8" x14ac:dyDescent="0.2">
      <c r="B172" s="36" t="s">
        <v>1157</v>
      </c>
      <c r="C172" s="36" t="s">
        <v>1158</v>
      </c>
      <c r="D172" s="36" t="s">
        <v>112</v>
      </c>
      <c r="E172" s="41">
        <v>106396</v>
      </c>
      <c r="F172" s="38">
        <v>88.84066</v>
      </c>
      <c r="G172" s="39">
        <v>0.25527435266804399</v>
      </c>
      <c r="H172" s="42"/>
    </row>
    <row r="173" spans="2:8" x14ac:dyDescent="0.2">
      <c r="B173" s="36" t="s">
        <v>1159</v>
      </c>
      <c r="C173" s="36" t="s">
        <v>1160</v>
      </c>
      <c r="D173" s="36" t="s">
        <v>44</v>
      </c>
      <c r="E173" s="41">
        <v>33495</v>
      </c>
      <c r="F173" s="38">
        <v>88.795244999999994</v>
      </c>
      <c r="G173" s="39">
        <v>0.25514385741140799</v>
      </c>
      <c r="H173" s="42"/>
    </row>
    <row r="174" spans="2:8" x14ac:dyDescent="0.2">
      <c r="B174" s="36" t="s">
        <v>1161</v>
      </c>
      <c r="C174" s="36" t="s">
        <v>1162</v>
      </c>
      <c r="D174" s="36" t="s">
        <v>91</v>
      </c>
      <c r="E174" s="41">
        <v>48399</v>
      </c>
      <c r="F174" s="38">
        <v>88.715367000000001</v>
      </c>
      <c r="G174" s="39">
        <v>0.25491433632565302</v>
      </c>
      <c r="H174" s="42"/>
    </row>
    <row r="175" spans="2:8" x14ac:dyDescent="0.2">
      <c r="B175" s="36" t="s">
        <v>1163</v>
      </c>
      <c r="C175" s="36" t="s">
        <v>1164</v>
      </c>
      <c r="D175" s="36" t="s">
        <v>1165</v>
      </c>
      <c r="E175" s="41">
        <v>6571</v>
      </c>
      <c r="F175" s="38">
        <v>88.688787000000005</v>
      </c>
      <c r="G175" s="39">
        <v>0.25483796147326099</v>
      </c>
      <c r="H175" s="42"/>
    </row>
    <row r="176" spans="2:8" x14ac:dyDescent="0.2">
      <c r="B176" s="36" t="s">
        <v>1166</v>
      </c>
      <c r="C176" s="36" t="s">
        <v>1167</v>
      </c>
      <c r="D176" s="36" t="s">
        <v>62</v>
      </c>
      <c r="E176" s="41">
        <v>198198</v>
      </c>
      <c r="F176" s="38">
        <v>88.435947600000006</v>
      </c>
      <c r="G176" s="39">
        <v>0.25411145387905798</v>
      </c>
      <c r="H176" s="42"/>
    </row>
    <row r="177" spans="2:8" x14ac:dyDescent="0.2">
      <c r="B177" s="36" t="s">
        <v>1168</v>
      </c>
      <c r="C177" s="36" t="s">
        <v>1169</v>
      </c>
      <c r="D177" s="36" t="s">
        <v>635</v>
      </c>
      <c r="E177" s="41">
        <v>5445</v>
      </c>
      <c r="F177" s="38">
        <v>87.822405000000003</v>
      </c>
      <c r="G177" s="39">
        <v>0.25234850333311099</v>
      </c>
      <c r="H177" s="42"/>
    </row>
    <row r="178" spans="2:8" x14ac:dyDescent="0.2">
      <c r="B178" s="36" t="s">
        <v>1170</v>
      </c>
      <c r="C178" s="36" t="s">
        <v>1171</v>
      </c>
      <c r="D178" s="36" t="s">
        <v>65</v>
      </c>
      <c r="E178" s="41">
        <v>21516</v>
      </c>
      <c r="F178" s="38">
        <v>87.78528</v>
      </c>
      <c r="G178" s="39">
        <v>0.25224182852517102</v>
      </c>
      <c r="H178" s="42"/>
    </row>
    <row r="179" spans="2:8" x14ac:dyDescent="0.2">
      <c r="B179" s="36" t="s">
        <v>1172</v>
      </c>
      <c r="C179" s="36" t="s">
        <v>1173</v>
      </c>
      <c r="D179" s="36" t="s">
        <v>131</v>
      </c>
      <c r="E179" s="41">
        <v>18389</v>
      </c>
      <c r="F179" s="38">
        <v>87.752307999999999</v>
      </c>
      <c r="G179" s="39">
        <v>0.25214708692874199</v>
      </c>
      <c r="H179" s="42"/>
    </row>
    <row r="180" spans="2:8" x14ac:dyDescent="0.2">
      <c r="B180" s="36" t="s">
        <v>1174</v>
      </c>
      <c r="C180" s="36" t="s">
        <v>1175</v>
      </c>
      <c r="D180" s="36" t="s">
        <v>36</v>
      </c>
      <c r="E180" s="41">
        <v>8274</v>
      </c>
      <c r="F180" s="38">
        <v>87.555468000000005</v>
      </c>
      <c r="G180" s="39">
        <v>0.25158148775850703</v>
      </c>
      <c r="H180" s="42"/>
    </row>
    <row r="181" spans="2:8" x14ac:dyDescent="0.2">
      <c r="B181" s="36" t="s">
        <v>1176</v>
      </c>
      <c r="C181" s="36" t="s">
        <v>1177</v>
      </c>
      <c r="D181" s="36" t="s">
        <v>508</v>
      </c>
      <c r="E181" s="41">
        <v>30194</v>
      </c>
      <c r="F181" s="38">
        <v>87.517308999999997</v>
      </c>
      <c r="G181" s="39">
        <v>0.25147184185961902</v>
      </c>
      <c r="H181" s="42"/>
    </row>
    <row r="182" spans="2:8" x14ac:dyDescent="0.2">
      <c r="B182" s="36" t="s">
        <v>1178</v>
      </c>
      <c r="C182" s="36" t="s">
        <v>1179</v>
      </c>
      <c r="D182" s="36" t="s">
        <v>558</v>
      </c>
      <c r="E182" s="41">
        <v>14663</v>
      </c>
      <c r="F182" s="38">
        <v>87.391480000000001</v>
      </c>
      <c r="G182" s="39">
        <v>0.25111028537724001</v>
      </c>
      <c r="H182" s="42"/>
    </row>
    <row r="183" spans="2:8" x14ac:dyDescent="0.2">
      <c r="B183" s="36" t="s">
        <v>1180</v>
      </c>
      <c r="C183" s="36" t="s">
        <v>1181</v>
      </c>
      <c r="D183" s="36" t="s">
        <v>131</v>
      </c>
      <c r="E183" s="41">
        <v>66491</v>
      </c>
      <c r="F183" s="38">
        <v>86.677667600000007</v>
      </c>
      <c r="G183" s="39">
        <v>0.24905922003917899</v>
      </c>
      <c r="H183" s="42"/>
    </row>
    <row r="184" spans="2:8" x14ac:dyDescent="0.2">
      <c r="B184" s="36" t="s">
        <v>1182</v>
      </c>
      <c r="C184" s="36" t="s">
        <v>1183</v>
      </c>
      <c r="D184" s="36" t="s">
        <v>65</v>
      </c>
      <c r="E184" s="41">
        <v>13826</v>
      </c>
      <c r="F184" s="38">
        <v>86.329543999999999</v>
      </c>
      <c r="G184" s="39">
        <v>0.24805892325346801</v>
      </c>
      <c r="H184" s="42"/>
    </row>
    <row r="185" spans="2:8" x14ac:dyDescent="0.2">
      <c r="B185" s="36" t="s">
        <v>1184</v>
      </c>
      <c r="C185" s="36" t="s">
        <v>1185</v>
      </c>
      <c r="D185" s="36" t="s">
        <v>91</v>
      </c>
      <c r="E185" s="41">
        <v>38086</v>
      </c>
      <c r="F185" s="38">
        <v>85.880121399999993</v>
      </c>
      <c r="G185" s="39">
        <v>0.24676755437699399</v>
      </c>
      <c r="H185" s="42"/>
    </row>
    <row r="186" spans="2:8" x14ac:dyDescent="0.2">
      <c r="B186" s="36" t="s">
        <v>1186</v>
      </c>
      <c r="C186" s="36" t="s">
        <v>1187</v>
      </c>
      <c r="D186" s="36" t="s">
        <v>996</v>
      </c>
      <c r="E186" s="41">
        <v>16995</v>
      </c>
      <c r="F186" s="38">
        <v>85.340392499999993</v>
      </c>
      <c r="G186" s="39">
        <v>0.245216699784472</v>
      </c>
      <c r="H186" s="42"/>
    </row>
    <row r="187" spans="2:8" x14ac:dyDescent="0.2">
      <c r="B187" s="36" t="s">
        <v>1188</v>
      </c>
      <c r="C187" s="36" t="s">
        <v>1189</v>
      </c>
      <c r="D187" s="36" t="s">
        <v>71</v>
      </c>
      <c r="E187" s="41">
        <v>29092</v>
      </c>
      <c r="F187" s="38">
        <v>85.035916</v>
      </c>
      <c r="G187" s="39">
        <v>0.24434181837949201</v>
      </c>
      <c r="H187" s="42"/>
    </row>
    <row r="188" spans="2:8" x14ac:dyDescent="0.2">
      <c r="B188" s="36" t="s">
        <v>1190</v>
      </c>
      <c r="C188" s="36" t="s">
        <v>1191</v>
      </c>
      <c r="D188" s="36" t="s">
        <v>1192</v>
      </c>
      <c r="E188" s="41">
        <v>79534</v>
      </c>
      <c r="F188" s="38">
        <v>84.878684800000002</v>
      </c>
      <c r="G188" s="39">
        <v>0.24389003095694001</v>
      </c>
      <c r="H188" s="42"/>
    </row>
    <row r="189" spans="2:8" x14ac:dyDescent="0.2">
      <c r="B189" s="36" t="s">
        <v>1193</v>
      </c>
      <c r="C189" s="36" t="s">
        <v>1194</v>
      </c>
      <c r="D189" s="36" t="s">
        <v>28</v>
      </c>
      <c r="E189" s="41">
        <v>251188</v>
      </c>
      <c r="F189" s="38">
        <v>83.947029599999993</v>
      </c>
      <c r="G189" s="39">
        <v>0.24121301709763501</v>
      </c>
      <c r="H189" s="42"/>
    </row>
    <row r="190" spans="2:8" x14ac:dyDescent="0.2">
      <c r="B190" s="36" t="s">
        <v>1195</v>
      </c>
      <c r="C190" s="36" t="s">
        <v>1196</v>
      </c>
      <c r="D190" s="36" t="s">
        <v>55</v>
      </c>
      <c r="E190" s="41">
        <v>16555</v>
      </c>
      <c r="F190" s="38">
        <v>83.942127499999998</v>
      </c>
      <c r="G190" s="39">
        <v>0.24119893142555399</v>
      </c>
      <c r="H190" s="42"/>
    </row>
    <row r="191" spans="2:8" x14ac:dyDescent="0.2">
      <c r="B191" s="36" t="s">
        <v>1197</v>
      </c>
      <c r="C191" s="36" t="s">
        <v>1198</v>
      </c>
      <c r="D191" s="36" t="s">
        <v>478</v>
      </c>
      <c r="E191" s="41">
        <v>11470</v>
      </c>
      <c r="F191" s="38">
        <v>83.472925000000004</v>
      </c>
      <c r="G191" s="39">
        <v>0.239850727073428</v>
      </c>
      <c r="H191" s="42"/>
    </row>
    <row r="192" spans="2:8" x14ac:dyDescent="0.2">
      <c r="B192" s="36" t="s">
        <v>1199</v>
      </c>
      <c r="C192" s="36" t="s">
        <v>1200</v>
      </c>
      <c r="D192" s="36" t="s">
        <v>39</v>
      </c>
      <c r="E192" s="41">
        <v>7040</v>
      </c>
      <c r="F192" s="38">
        <v>83.072000000000003</v>
      </c>
      <c r="G192" s="39">
        <v>0.23869871098255899</v>
      </c>
      <c r="H192" s="42"/>
    </row>
    <row r="193" spans="2:8" x14ac:dyDescent="0.2">
      <c r="B193" s="36" t="s">
        <v>1201</v>
      </c>
      <c r="C193" s="36" t="s">
        <v>1202</v>
      </c>
      <c r="D193" s="36" t="s">
        <v>478</v>
      </c>
      <c r="E193" s="41">
        <v>14347</v>
      </c>
      <c r="F193" s="38">
        <v>81.325969499999999</v>
      </c>
      <c r="G193" s="39">
        <v>0.233681674800858</v>
      </c>
      <c r="H193" s="42"/>
    </row>
    <row r="194" spans="2:8" x14ac:dyDescent="0.2">
      <c r="B194" s="36" t="s">
        <v>1203</v>
      </c>
      <c r="C194" s="36" t="s">
        <v>1204</v>
      </c>
      <c r="D194" s="36" t="s">
        <v>62</v>
      </c>
      <c r="E194" s="41">
        <v>15814</v>
      </c>
      <c r="F194" s="38">
        <v>80.959772999999998</v>
      </c>
      <c r="G194" s="39">
        <v>0.23262944742561301</v>
      </c>
      <c r="H194" s="42"/>
    </row>
    <row r="195" spans="2:8" x14ac:dyDescent="0.2">
      <c r="B195" s="36" t="s">
        <v>1205</v>
      </c>
      <c r="C195" s="36" t="s">
        <v>1206</v>
      </c>
      <c r="D195" s="36" t="s">
        <v>495</v>
      </c>
      <c r="E195" s="41">
        <v>69151</v>
      </c>
      <c r="F195" s="38">
        <v>79.772593599999993</v>
      </c>
      <c r="G195" s="39">
        <v>0.22921821147986701</v>
      </c>
      <c r="H195" s="42"/>
    </row>
    <row r="196" spans="2:8" x14ac:dyDescent="0.2">
      <c r="B196" s="36" t="s">
        <v>1207</v>
      </c>
      <c r="C196" s="36" t="s">
        <v>1208</v>
      </c>
      <c r="D196" s="36" t="s">
        <v>508</v>
      </c>
      <c r="E196" s="41">
        <v>24001</v>
      </c>
      <c r="F196" s="38">
        <v>79.035292999999996</v>
      </c>
      <c r="G196" s="39">
        <v>0.227099655253621</v>
      </c>
      <c r="H196" s="42"/>
    </row>
    <row r="197" spans="2:8" x14ac:dyDescent="0.2">
      <c r="B197" s="36" t="s">
        <v>1209</v>
      </c>
      <c r="C197" s="36" t="s">
        <v>1210</v>
      </c>
      <c r="D197" s="36" t="s">
        <v>65</v>
      </c>
      <c r="E197" s="41">
        <v>13297</v>
      </c>
      <c r="F197" s="38">
        <v>78.226251000000005</v>
      </c>
      <c r="G197" s="39">
        <v>0.224774957611447</v>
      </c>
      <c r="H197" s="42"/>
    </row>
    <row r="198" spans="2:8" x14ac:dyDescent="0.2">
      <c r="B198" s="36" t="s">
        <v>1211</v>
      </c>
      <c r="C198" s="36" t="s">
        <v>1212</v>
      </c>
      <c r="D198" s="36" t="s">
        <v>131</v>
      </c>
      <c r="E198" s="41">
        <v>114032</v>
      </c>
      <c r="F198" s="38">
        <v>78.146129599999995</v>
      </c>
      <c r="G198" s="39">
        <v>0.224544737141227</v>
      </c>
      <c r="H198" s="42"/>
    </row>
    <row r="199" spans="2:8" x14ac:dyDescent="0.2">
      <c r="B199" s="36" t="s">
        <v>1213</v>
      </c>
      <c r="C199" s="36" t="s">
        <v>1214</v>
      </c>
      <c r="D199" s="36" t="s">
        <v>179</v>
      </c>
      <c r="E199" s="41">
        <v>15114</v>
      </c>
      <c r="F199" s="38">
        <v>77.081400000000002</v>
      </c>
      <c r="G199" s="39">
        <v>0.22148534789978599</v>
      </c>
      <c r="H199" s="42"/>
    </row>
    <row r="200" spans="2:8" x14ac:dyDescent="0.2">
      <c r="B200" s="36" t="s">
        <v>1215</v>
      </c>
      <c r="C200" s="36" t="s">
        <v>1216</v>
      </c>
      <c r="D200" s="36" t="s">
        <v>47</v>
      </c>
      <c r="E200" s="41">
        <v>56057</v>
      </c>
      <c r="F200" s="38">
        <v>76.742033000000006</v>
      </c>
      <c r="G200" s="39">
        <v>0.22051021228911</v>
      </c>
      <c r="H200" s="42"/>
    </row>
    <row r="201" spans="2:8" x14ac:dyDescent="0.2">
      <c r="B201" s="36" t="s">
        <v>1217</v>
      </c>
      <c r="C201" s="36" t="s">
        <v>1218</v>
      </c>
      <c r="D201" s="36" t="s">
        <v>674</v>
      </c>
      <c r="E201" s="41">
        <v>54659</v>
      </c>
      <c r="F201" s="38">
        <v>75.413022299999994</v>
      </c>
      <c r="G201" s="39">
        <v>0.216691438924174</v>
      </c>
      <c r="H201" s="42"/>
    </row>
    <row r="202" spans="2:8" x14ac:dyDescent="0.2">
      <c r="B202" s="36" t="s">
        <v>1219</v>
      </c>
      <c r="C202" s="36" t="s">
        <v>1220</v>
      </c>
      <c r="D202" s="36" t="s">
        <v>495</v>
      </c>
      <c r="E202" s="41">
        <v>40713</v>
      </c>
      <c r="F202" s="38">
        <v>73.670173500000004</v>
      </c>
      <c r="G202" s="39">
        <v>0.211683545024936</v>
      </c>
      <c r="H202" s="42"/>
    </row>
    <row r="203" spans="2:8" x14ac:dyDescent="0.2">
      <c r="B203" s="36" t="s">
        <v>1221</v>
      </c>
      <c r="C203" s="36" t="s">
        <v>1222</v>
      </c>
      <c r="D203" s="36" t="s">
        <v>1223</v>
      </c>
      <c r="E203" s="41">
        <v>14142</v>
      </c>
      <c r="F203" s="38">
        <v>73.594967999999994</v>
      </c>
      <c r="G203" s="39">
        <v>0.21146744987965399</v>
      </c>
      <c r="H203" s="42"/>
    </row>
    <row r="204" spans="2:8" x14ac:dyDescent="0.2">
      <c r="B204" s="36" t="s">
        <v>1224</v>
      </c>
      <c r="C204" s="36" t="s">
        <v>1225</v>
      </c>
      <c r="D204" s="36" t="s">
        <v>99</v>
      </c>
      <c r="E204" s="41">
        <v>10979</v>
      </c>
      <c r="F204" s="38">
        <v>73.444020499999993</v>
      </c>
      <c r="G204" s="39">
        <v>0.211033718012406</v>
      </c>
      <c r="H204" s="42"/>
    </row>
    <row r="205" spans="2:8" x14ac:dyDescent="0.2">
      <c r="B205" s="36" t="s">
        <v>1226</v>
      </c>
      <c r="C205" s="36" t="s">
        <v>1227</v>
      </c>
      <c r="D205" s="36" t="s">
        <v>55</v>
      </c>
      <c r="E205" s="41">
        <v>11271</v>
      </c>
      <c r="F205" s="38">
        <v>73.267135499999995</v>
      </c>
      <c r="G205" s="39">
        <v>0.21052545744937501</v>
      </c>
      <c r="H205" s="42"/>
    </row>
    <row r="206" spans="2:8" x14ac:dyDescent="0.2">
      <c r="B206" s="36" t="s">
        <v>1228</v>
      </c>
      <c r="C206" s="36" t="s">
        <v>1229</v>
      </c>
      <c r="D206" s="36" t="s">
        <v>495</v>
      </c>
      <c r="E206" s="41">
        <v>5874</v>
      </c>
      <c r="F206" s="38">
        <v>72.214956000000001</v>
      </c>
      <c r="G206" s="39">
        <v>0.20750212960879999</v>
      </c>
      <c r="H206" s="42"/>
    </row>
    <row r="207" spans="2:8" x14ac:dyDescent="0.2">
      <c r="B207" s="36" t="s">
        <v>1230</v>
      </c>
      <c r="C207" s="36" t="s">
        <v>1231</v>
      </c>
      <c r="D207" s="36" t="s">
        <v>508</v>
      </c>
      <c r="E207" s="41">
        <v>10832</v>
      </c>
      <c r="F207" s="38">
        <v>72.103207999999995</v>
      </c>
      <c r="G207" s="39">
        <v>0.207181033408457</v>
      </c>
      <c r="H207" s="42"/>
    </row>
    <row r="208" spans="2:8" x14ac:dyDescent="0.2">
      <c r="B208" s="36" t="s">
        <v>1232</v>
      </c>
      <c r="C208" s="36" t="s">
        <v>1233</v>
      </c>
      <c r="D208" s="36" t="s">
        <v>28</v>
      </c>
      <c r="E208" s="41">
        <v>96446</v>
      </c>
      <c r="F208" s="38">
        <v>71.206081800000007</v>
      </c>
      <c r="G208" s="39">
        <v>0.20460323502237401</v>
      </c>
      <c r="H208" s="42"/>
    </row>
    <row r="209" spans="2:8" x14ac:dyDescent="0.2">
      <c r="B209" s="36" t="s">
        <v>1234</v>
      </c>
      <c r="C209" s="36" t="s">
        <v>1235</v>
      </c>
      <c r="D209" s="36" t="s">
        <v>804</v>
      </c>
      <c r="E209" s="41">
        <v>6830</v>
      </c>
      <c r="F209" s="38">
        <v>70.806610000000006</v>
      </c>
      <c r="G209" s="39">
        <v>0.20345539454984499</v>
      </c>
      <c r="H209" s="42"/>
    </row>
    <row r="210" spans="2:8" x14ac:dyDescent="0.2">
      <c r="B210" s="36" t="s">
        <v>1236</v>
      </c>
      <c r="C210" s="36" t="s">
        <v>1237</v>
      </c>
      <c r="D210" s="36" t="s">
        <v>91</v>
      </c>
      <c r="E210" s="41">
        <v>58021</v>
      </c>
      <c r="F210" s="38">
        <v>69.642606299999997</v>
      </c>
      <c r="G210" s="39">
        <v>0.20011075155618999</v>
      </c>
      <c r="H210" s="42"/>
    </row>
    <row r="211" spans="2:8" x14ac:dyDescent="0.2">
      <c r="B211" s="36" t="s">
        <v>1238</v>
      </c>
      <c r="C211" s="36" t="s">
        <v>1239</v>
      </c>
      <c r="D211" s="36" t="s">
        <v>82</v>
      </c>
      <c r="E211" s="41">
        <v>3421</v>
      </c>
      <c r="F211" s="38">
        <v>69.258144999999999</v>
      </c>
      <c r="G211" s="39">
        <v>0.199006042186816</v>
      </c>
      <c r="H211" s="42"/>
    </row>
    <row r="212" spans="2:8" x14ac:dyDescent="0.2">
      <c r="B212" s="36" t="s">
        <v>1240</v>
      </c>
      <c r="C212" s="36" t="s">
        <v>1241</v>
      </c>
      <c r="D212" s="36" t="s">
        <v>79</v>
      </c>
      <c r="E212" s="41">
        <v>7227</v>
      </c>
      <c r="F212" s="38">
        <v>67.984388999999993</v>
      </c>
      <c r="G212" s="39">
        <v>0.19534603742821699</v>
      </c>
      <c r="H212" s="42"/>
    </row>
    <row r="213" spans="2:8" x14ac:dyDescent="0.2">
      <c r="B213" s="36" t="s">
        <v>1242</v>
      </c>
      <c r="C213" s="36" t="s">
        <v>1243</v>
      </c>
      <c r="D213" s="36" t="s">
        <v>558</v>
      </c>
      <c r="E213" s="41">
        <v>23365</v>
      </c>
      <c r="F213" s="38">
        <v>67.933737500000007</v>
      </c>
      <c r="G213" s="39">
        <v>0.195200495636045</v>
      </c>
      <c r="H213" s="42"/>
    </row>
    <row r="214" spans="2:8" x14ac:dyDescent="0.2">
      <c r="B214" s="36" t="s">
        <v>1244</v>
      </c>
      <c r="C214" s="36" t="s">
        <v>1245</v>
      </c>
      <c r="D214" s="36" t="s">
        <v>1246</v>
      </c>
      <c r="E214" s="41">
        <v>3100</v>
      </c>
      <c r="F214" s="38">
        <v>67.738100000000003</v>
      </c>
      <c r="G214" s="39">
        <v>0.19463835172389801</v>
      </c>
      <c r="H214" s="42"/>
    </row>
    <row r="215" spans="2:8" x14ac:dyDescent="0.2">
      <c r="B215" s="36" t="s">
        <v>1247</v>
      </c>
      <c r="C215" s="36" t="s">
        <v>1248</v>
      </c>
      <c r="D215" s="36" t="s">
        <v>131</v>
      </c>
      <c r="E215" s="41">
        <v>70994</v>
      </c>
      <c r="F215" s="38">
        <v>66.947342000000006</v>
      </c>
      <c r="G215" s="39">
        <v>0.192366191245047</v>
      </c>
      <c r="H215" s="42"/>
    </row>
    <row r="216" spans="2:8" x14ac:dyDescent="0.2">
      <c r="B216" s="36" t="s">
        <v>1249</v>
      </c>
      <c r="C216" s="36" t="s">
        <v>1250</v>
      </c>
      <c r="D216" s="36" t="s">
        <v>508</v>
      </c>
      <c r="E216" s="41">
        <v>8269</v>
      </c>
      <c r="F216" s="38">
        <v>65.945274999999995</v>
      </c>
      <c r="G216" s="39">
        <v>0.18948685643646901</v>
      </c>
      <c r="H216" s="42"/>
    </row>
    <row r="217" spans="2:8" x14ac:dyDescent="0.2">
      <c r="B217" s="36" t="s">
        <v>1251</v>
      </c>
      <c r="C217" s="36" t="s">
        <v>1252</v>
      </c>
      <c r="D217" s="36" t="s">
        <v>897</v>
      </c>
      <c r="E217" s="41">
        <v>17479</v>
      </c>
      <c r="F217" s="38">
        <v>64.986922000000007</v>
      </c>
      <c r="G217" s="39">
        <v>0.18673312923878199</v>
      </c>
      <c r="H217" s="42"/>
    </row>
    <row r="218" spans="2:8" x14ac:dyDescent="0.2">
      <c r="B218" s="36" t="s">
        <v>1253</v>
      </c>
      <c r="C218" s="36" t="s">
        <v>1254</v>
      </c>
      <c r="D218" s="36" t="s">
        <v>96</v>
      </c>
      <c r="E218" s="41">
        <v>7080</v>
      </c>
      <c r="F218" s="38">
        <v>62.65446</v>
      </c>
      <c r="G218" s="39">
        <v>0.18003104342387699</v>
      </c>
      <c r="H218" s="42"/>
    </row>
    <row r="219" spans="2:8" x14ac:dyDescent="0.2">
      <c r="B219" s="36" t="s">
        <v>1255</v>
      </c>
      <c r="C219" s="36" t="s">
        <v>1256</v>
      </c>
      <c r="D219" s="36" t="s">
        <v>508</v>
      </c>
      <c r="E219" s="41">
        <v>4661</v>
      </c>
      <c r="F219" s="38">
        <v>60.308678999999998</v>
      </c>
      <c r="G219" s="39">
        <v>0.17329068685430599</v>
      </c>
      <c r="H219" s="42"/>
    </row>
    <row r="220" spans="2:8" x14ac:dyDescent="0.2">
      <c r="B220" s="36" t="s">
        <v>1257</v>
      </c>
      <c r="C220" s="36" t="s">
        <v>1258</v>
      </c>
      <c r="D220" s="36" t="s">
        <v>74</v>
      </c>
      <c r="E220" s="41">
        <v>17240</v>
      </c>
      <c r="F220" s="38">
        <v>60.107259999999997</v>
      </c>
      <c r="G220" s="39">
        <v>0.17271193040607599</v>
      </c>
      <c r="H220" s="42"/>
    </row>
    <row r="221" spans="2:8" x14ac:dyDescent="0.2">
      <c r="B221" s="36" t="s">
        <v>1259</v>
      </c>
      <c r="C221" s="36" t="s">
        <v>1260</v>
      </c>
      <c r="D221" s="36" t="s">
        <v>82</v>
      </c>
      <c r="E221" s="41">
        <v>5692</v>
      </c>
      <c r="F221" s="38">
        <v>59.834304000000003</v>
      </c>
      <c r="G221" s="39">
        <v>0.17192761986395599</v>
      </c>
      <c r="H221" s="42"/>
    </row>
    <row r="222" spans="2:8" x14ac:dyDescent="0.2">
      <c r="B222" s="36" t="s">
        <v>1261</v>
      </c>
      <c r="C222" s="36" t="s">
        <v>1262</v>
      </c>
      <c r="D222" s="36" t="s">
        <v>179</v>
      </c>
      <c r="E222" s="41">
        <v>18431</v>
      </c>
      <c r="F222" s="38">
        <v>59.0805705</v>
      </c>
      <c r="G222" s="39">
        <v>0.16976184541679701</v>
      </c>
      <c r="H222" s="42"/>
    </row>
    <row r="223" spans="2:8" x14ac:dyDescent="0.2">
      <c r="B223" s="36" t="s">
        <v>1263</v>
      </c>
      <c r="C223" s="36" t="s">
        <v>1264</v>
      </c>
      <c r="D223" s="36" t="s">
        <v>179</v>
      </c>
      <c r="E223" s="41">
        <v>17788</v>
      </c>
      <c r="F223" s="38">
        <v>57.864364000000002</v>
      </c>
      <c r="G223" s="39">
        <v>0.16626720313252999</v>
      </c>
      <c r="H223" s="42"/>
    </row>
    <row r="224" spans="2:8" x14ac:dyDescent="0.2">
      <c r="B224" s="36" t="s">
        <v>1265</v>
      </c>
      <c r="C224" s="36" t="s">
        <v>1266</v>
      </c>
      <c r="D224" s="36" t="s">
        <v>529</v>
      </c>
      <c r="E224" s="41">
        <v>6740</v>
      </c>
      <c r="F224" s="38">
        <v>57.471980000000002</v>
      </c>
      <c r="G224" s="39">
        <v>0.165139728712628</v>
      </c>
      <c r="H224" s="42"/>
    </row>
    <row r="225" spans="2:8" x14ac:dyDescent="0.2">
      <c r="B225" s="36" t="s">
        <v>1267</v>
      </c>
      <c r="C225" s="36" t="s">
        <v>1268</v>
      </c>
      <c r="D225" s="36" t="s">
        <v>495</v>
      </c>
      <c r="E225" s="41">
        <v>13880</v>
      </c>
      <c r="F225" s="38">
        <v>57.379919999999998</v>
      </c>
      <c r="G225" s="39">
        <v>0.16487520392289001</v>
      </c>
      <c r="H225" s="42"/>
    </row>
    <row r="226" spans="2:8" x14ac:dyDescent="0.2">
      <c r="B226" s="36" t="s">
        <v>1269</v>
      </c>
      <c r="C226" s="36" t="s">
        <v>1270</v>
      </c>
      <c r="D226" s="36" t="s">
        <v>74</v>
      </c>
      <c r="E226" s="41">
        <v>43562</v>
      </c>
      <c r="F226" s="38">
        <v>56.469420599999999</v>
      </c>
      <c r="G226" s="39">
        <v>0.16225897904410599</v>
      </c>
      <c r="H226" s="42"/>
    </row>
    <row r="227" spans="2:8" x14ac:dyDescent="0.2">
      <c r="B227" s="36" t="s">
        <v>1271</v>
      </c>
      <c r="C227" s="36" t="s">
        <v>1272</v>
      </c>
      <c r="D227" s="36" t="s">
        <v>495</v>
      </c>
      <c r="E227" s="41">
        <v>20863</v>
      </c>
      <c r="F227" s="38">
        <v>54.431567000000001</v>
      </c>
      <c r="G227" s="39">
        <v>0.15640341968004601</v>
      </c>
      <c r="H227" s="42"/>
    </row>
    <row r="228" spans="2:8" x14ac:dyDescent="0.2">
      <c r="B228" s="36" t="s">
        <v>1273</v>
      </c>
      <c r="C228" s="36" t="s">
        <v>1274</v>
      </c>
      <c r="D228" s="36" t="s">
        <v>91</v>
      </c>
      <c r="E228" s="41">
        <v>83757</v>
      </c>
      <c r="F228" s="38">
        <v>54.115397700000003</v>
      </c>
      <c r="G228" s="39">
        <v>0.155494940236163</v>
      </c>
      <c r="H228" s="42"/>
    </row>
    <row r="229" spans="2:8" x14ac:dyDescent="0.2">
      <c r="B229" s="36" t="s">
        <v>1275</v>
      </c>
      <c r="C229" s="36" t="s">
        <v>1276</v>
      </c>
      <c r="D229" s="36" t="s">
        <v>50</v>
      </c>
      <c r="E229" s="41">
        <v>17347</v>
      </c>
      <c r="F229" s="38">
        <v>53.793047000000001</v>
      </c>
      <c r="G229" s="39">
        <v>0.154568699185336</v>
      </c>
      <c r="H229" s="42"/>
    </row>
    <row r="230" spans="2:8" x14ac:dyDescent="0.2">
      <c r="B230" s="36" t="s">
        <v>1277</v>
      </c>
      <c r="C230" s="36" t="s">
        <v>1278</v>
      </c>
      <c r="D230" s="36" t="s">
        <v>996</v>
      </c>
      <c r="E230" s="41">
        <v>12579</v>
      </c>
      <c r="F230" s="38">
        <v>53.353828499999999</v>
      </c>
      <c r="G230" s="39">
        <v>0.153306650723884</v>
      </c>
      <c r="H230" s="42"/>
    </row>
    <row r="231" spans="2:8" x14ac:dyDescent="0.2">
      <c r="B231" s="36" t="s">
        <v>1279</v>
      </c>
      <c r="C231" s="36" t="s">
        <v>1280</v>
      </c>
      <c r="D231" s="36" t="s">
        <v>674</v>
      </c>
      <c r="E231" s="41">
        <v>214890</v>
      </c>
      <c r="F231" s="38">
        <v>51.659556000000002</v>
      </c>
      <c r="G231" s="39">
        <v>0.148438335746477</v>
      </c>
      <c r="H231" s="42"/>
    </row>
    <row r="232" spans="2:8" x14ac:dyDescent="0.2">
      <c r="B232" s="36" t="s">
        <v>1281</v>
      </c>
      <c r="C232" s="36" t="s">
        <v>1282</v>
      </c>
      <c r="D232" s="36" t="s">
        <v>28</v>
      </c>
      <c r="E232" s="41">
        <v>167503</v>
      </c>
      <c r="F232" s="38">
        <v>51.540673099999999</v>
      </c>
      <c r="G232" s="39">
        <v>0.14809673815658</v>
      </c>
      <c r="H232" s="42"/>
    </row>
    <row r="233" spans="2:8" x14ac:dyDescent="0.2">
      <c r="B233" s="36" t="s">
        <v>1283</v>
      </c>
      <c r="C233" s="36" t="s">
        <v>1284</v>
      </c>
      <c r="D233" s="36" t="s">
        <v>147</v>
      </c>
      <c r="E233" s="41">
        <v>9210</v>
      </c>
      <c r="F233" s="38">
        <v>51.419429999999998</v>
      </c>
      <c r="G233" s="39">
        <v>0.14774835877862499</v>
      </c>
      <c r="H233" s="42"/>
    </row>
    <row r="234" spans="2:8" x14ac:dyDescent="0.2">
      <c r="B234" s="36" t="s">
        <v>1285</v>
      </c>
      <c r="C234" s="36" t="s">
        <v>1286</v>
      </c>
      <c r="D234" s="36" t="s">
        <v>558</v>
      </c>
      <c r="E234" s="41">
        <v>2867</v>
      </c>
      <c r="F234" s="38">
        <v>50.631219999999999</v>
      </c>
      <c r="G234" s="39">
        <v>0.145483519711507</v>
      </c>
      <c r="H234" s="42"/>
    </row>
    <row r="235" spans="2:8" x14ac:dyDescent="0.2">
      <c r="B235" s="36" t="s">
        <v>1287</v>
      </c>
      <c r="C235" s="36" t="s">
        <v>1288</v>
      </c>
      <c r="D235" s="36" t="s">
        <v>1223</v>
      </c>
      <c r="E235" s="41">
        <v>16538</v>
      </c>
      <c r="F235" s="38">
        <v>49.680152</v>
      </c>
      <c r="G235" s="39">
        <v>0.14275072520003801</v>
      </c>
      <c r="H235" s="42"/>
    </row>
    <row r="236" spans="2:8" x14ac:dyDescent="0.2">
      <c r="B236" s="36" t="s">
        <v>1289</v>
      </c>
      <c r="C236" s="36" t="s">
        <v>1290</v>
      </c>
      <c r="D236" s="36" t="s">
        <v>28</v>
      </c>
      <c r="E236" s="41">
        <v>195589</v>
      </c>
      <c r="F236" s="38">
        <v>49.307986900000003</v>
      </c>
      <c r="G236" s="39">
        <v>0.141681347676412</v>
      </c>
      <c r="H236" s="42"/>
    </row>
    <row r="237" spans="2:8" x14ac:dyDescent="0.2">
      <c r="B237" s="36" t="s">
        <v>1291</v>
      </c>
      <c r="C237" s="36" t="s">
        <v>1292</v>
      </c>
      <c r="D237" s="36" t="s">
        <v>102</v>
      </c>
      <c r="E237" s="41">
        <v>24824</v>
      </c>
      <c r="F237" s="38">
        <v>48.694758399999998</v>
      </c>
      <c r="G237" s="39">
        <v>0.139919299663992</v>
      </c>
      <c r="H237" s="42"/>
    </row>
    <row r="238" spans="2:8" x14ac:dyDescent="0.2">
      <c r="B238" s="36" t="s">
        <v>1293</v>
      </c>
      <c r="C238" s="36" t="s">
        <v>1294</v>
      </c>
      <c r="D238" s="36" t="s">
        <v>44</v>
      </c>
      <c r="E238" s="41">
        <v>10938</v>
      </c>
      <c r="F238" s="38">
        <v>48.422525999999998</v>
      </c>
      <c r="G238" s="39">
        <v>0.13913706831085601</v>
      </c>
      <c r="H238" s="42"/>
    </row>
    <row r="239" spans="2:8" x14ac:dyDescent="0.2">
      <c r="B239" s="36" t="s">
        <v>1295</v>
      </c>
      <c r="C239" s="36" t="s">
        <v>1296</v>
      </c>
      <c r="D239" s="36" t="s">
        <v>71</v>
      </c>
      <c r="E239" s="41">
        <v>1018</v>
      </c>
      <c r="F239" s="38">
        <v>48.268470000000001</v>
      </c>
      <c r="G239" s="39">
        <v>0.13869440449369599</v>
      </c>
      <c r="H239" s="42"/>
    </row>
    <row r="240" spans="2:8" x14ac:dyDescent="0.2">
      <c r="B240" s="36" t="s">
        <v>1297</v>
      </c>
      <c r="C240" s="36" t="s">
        <v>1298</v>
      </c>
      <c r="D240" s="36" t="s">
        <v>112</v>
      </c>
      <c r="E240" s="41">
        <v>34436</v>
      </c>
      <c r="F240" s="38">
        <v>47.535454399999999</v>
      </c>
      <c r="G240" s="39">
        <v>0.13658816076716801</v>
      </c>
      <c r="H240" s="42"/>
    </row>
    <row r="241" spans="2:8" x14ac:dyDescent="0.2">
      <c r="B241" s="36" t="s">
        <v>1299</v>
      </c>
      <c r="C241" s="36" t="s">
        <v>1300</v>
      </c>
      <c r="D241" s="36" t="s">
        <v>33</v>
      </c>
      <c r="E241" s="41">
        <v>15034</v>
      </c>
      <c r="F241" s="38">
        <v>47.402202000000003</v>
      </c>
      <c r="G241" s="39">
        <v>0.136205273920634</v>
      </c>
      <c r="H241" s="42"/>
    </row>
    <row r="242" spans="2:8" x14ac:dyDescent="0.2">
      <c r="B242" s="36" t="s">
        <v>1301</v>
      </c>
      <c r="C242" s="36" t="s">
        <v>1302</v>
      </c>
      <c r="D242" s="36" t="s">
        <v>47</v>
      </c>
      <c r="E242" s="41">
        <v>23046</v>
      </c>
      <c r="F242" s="38">
        <v>46.608230399999997</v>
      </c>
      <c r="G242" s="39">
        <v>0.133923879498003</v>
      </c>
      <c r="H242" s="42"/>
    </row>
    <row r="243" spans="2:8" x14ac:dyDescent="0.2">
      <c r="B243" s="36" t="s">
        <v>1303</v>
      </c>
      <c r="C243" s="36" t="s">
        <v>1304</v>
      </c>
      <c r="D243" s="36" t="s">
        <v>74</v>
      </c>
      <c r="E243" s="41">
        <v>11833</v>
      </c>
      <c r="F243" s="38">
        <v>45.196143499999998</v>
      </c>
      <c r="G243" s="39">
        <v>0.12986639535382299</v>
      </c>
      <c r="H243" s="42"/>
    </row>
    <row r="244" spans="2:8" x14ac:dyDescent="0.2">
      <c r="B244" s="36" t="s">
        <v>1305</v>
      </c>
      <c r="C244" s="36" t="s">
        <v>1306</v>
      </c>
      <c r="D244" s="36" t="s">
        <v>55</v>
      </c>
      <c r="E244" s="41">
        <v>2969</v>
      </c>
      <c r="F244" s="38">
        <v>44.582504</v>
      </c>
      <c r="G244" s="39">
        <v>0.12810316637585201</v>
      </c>
      <c r="H244" s="42"/>
    </row>
    <row r="245" spans="2:8" x14ac:dyDescent="0.2">
      <c r="B245" s="36" t="s">
        <v>1307</v>
      </c>
      <c r="C245" s="36" t="s">
        <v>1308</v>
      </c>
      <c r="D245" s="36" t="s">
        <v>571</v>
      </c>
      <c r="E245" s="41">
        <v>30448</v>
      </c>
      <c r="F245" s="38">
        <v>44.000404799999998</v>
      </c>
      <c r="G245" s="39">
        <v>0.126430565153972</v>
      </c>
      <c r="H245" s="42"/>
    </row>
    <row r="246" spans="2:8" x14ac:dyDescent="0.2">
      <c r="B246" s="36" t="s">
        <v>1309</v>
      </c>
      <c r="C246" s="36" t="s">
        <v>1310</v>
      </c>
      <c r="D246" s="36" t="s">
        <v>36</v>
      </c>
      <c r="E246" s="41">
        <v>30311</v>
      </c>
      <c r="F246" s="38">
        <v>43.938825600000001</v>
      </c>
      <c r="G246" s="39">
        <v>0.126253623757794</v>
      </c>
      <c r="H246" s="42"/>
    </row>
    <row r="247" spans="2:8" x14ac:dyDescent="0.2">
      <c r="B247" s="36" t="s">
        <v>1311</v>
      </c>
      <c r="C247" s="36" t="s">
        <v>1312</v>
      </c>
      <c r="D247" s="36" t="s">
        <v>65</v>
      </c>
      <c r="E247" s="41">
        <v>6932</v>
      </c>
      <c r="F247" s="38">
        <v>43.078913999999997</v>
      </c>
      <c r="G247" s="39">
        <v>0.123782757635888</v>
      </c>
      <c r="H247" s="42"/>
    </row>
    <row r="248" spans="2:8" x14ac:dyDescent="0.2">
      <c r="B248" s="36" t="s">
        <v>1313</v>
      </c>
      <c r="C248" s="36" t="s">
        <v>1314</v>
      </c>
      <c r="D248" s="36" t="s">
        <v>478</v>
      </c>
      <c r="E248" s="41">
        <v>10432</v>
      </c>
      <c r="F248" s="38">
        <v>42.416511999999997</v>
      </c>
      <c r="G248" s="39">
        <v>0.12187941470984499</v>
      </c>
      <c r="H248" s="42"/>
    </row>
    <row r="249" spans="2:8" x14ac:dyDescent="0.2">
      <c r="B249" s="36" t="s">
        <v>1315</v>
      </c>
      <c r="C249" s="36" t="s">
        <v>1316</v>
      </c>
      <c r="D249" s="36" t="s">
        <v>44</v>
      </c>
      <c r="E249" s="41">
        <v>12446</v>
      </c>
      <c r="F249" s="38">
        <v>40.144573000000001</v>
      </c>
      <c r="G249" s="39">
        <v>0.11535123541079099</v>
      </c>
      <c r="H249" s="42"/>
    </row>
    <row r="250" spans="2:8" x14ac:dyDescent="0.2">
      <c r="B250" s="36" t="s">
        <v>1317</v>
      </c>
      <c r="C250" s="36" t="s">
        <v>1318</v>
      </c>
      <c r="D250" s="36" t="s">
        <v>495</v>
      </c>
      <c r="E250" s="41">
        <v>3137</v>
      </c>
      <c r="F250" s="38">
        <v>38.415702000000003</v>
      </c>
      <c r="G250" s="39">
        <v>0.11038350525917399</v>
      </c>
      <c r="H250" s="42"/>
    </row>
    <row r="251" spans="2:8" x14ac:dyDescent="0.2">
      <c r="B251" s="36" t="s">
        <v>1319</v>
      </c>
      <c r="C251" s="36" t="s">
        <v>1320</v>
      </c>
      <c r="D251" s="36" t="s">
        <v>33</v>
      </c>
      <c r="E251" s="41">
        <v>86464</v>
      </c>
      <c r="F251" s="38">
        <v>37.015238400000001</v>
      </c>
      <c r="G251" s="39">
        <v>0.10635941945291</v>
      </c>
      <c r="H251" s="42"/>
    </row>
    <row r="252" spans="2:8" x14ac:dyDescent="0.2">
      <c r="B252" s="36" t="s">
        <v>1321</v>
      </c>
      <c r="C252" s="36" t="s">
        <v>1322</v>
      </c>
      <c r="D252" s="36" t="s">
        <v>478</v>
      </c>
      <c r="E252" s="41">
        <v>5215</v>
      </c>
      <c r="F252" s="38">
        <v>34.911817499999998</v>
      </c>
      <c r="G252" s="39">
        <v>0.10031545930407799</v>
      </c>
      <c r="H252" s="42"/>
    </row>
    <row r="253" spans="2:8" x14ac:dyDescent="0.2">
      <c r="B253" s="36" t="s">
        <v>1323</v>
      </c>
      <c r="C253" s="36" t="s">
        <v>1324</v>
      </c>
      <c r="D253" s="36" t="s">
        <v>109</v>
      </c>
      <c r="E253" s="41">
        <v>9218</v>
      </c>
      <c r="F253" s="38">
        <v>34.433838999999999</v>
      </c>
      <c r="G253" s="39">
        <v>9.8942038033043106E-2</v>
      </c>
      <c r="H253" s="42"/>
    </row>
    <row r="254" spans="2:8" x14ac:dyDescent="0.2">
      <c r="B254" s="36" t="s">
        <v>1325</v>
      </c>
      <c r="C254" s="36" t="s">
        <v>1326</v>
      </c>
      <c r="D254" s="36" t="s">
        <v>82</v>
      </c>
      <c r="E254" s="41">
        <v>6041</v>
      </c>
      <c r="F254" s="38">
        <v>27.1452335</v>
      </c>
      <c r="G254" s="39">
        <v>7.7998991787492394E-2</v>
      </c>
      <c r="H254" s="42"/>
    </row>
    <row r="255" spans="2:8" x14ac:dyDescent="0.2">
      <c r="B255" s="36" t="s">
        <v>1327</v>
      </c>
      <c r="C255" s="36" t="s">
        <v>1328</v>
      </c>
      <c r="D255" s="36" t="s">
        <v>44</v>
      </c>
      <c r="E255" s="41">
        <v>2981</v>
      </c>
      <c r="F255" s="38">
        <v>24.436747499999999</v>
      </c>
      <c r="G255" s="39">
        <v>7.0216440303065605E-2</v>
      </c>
      <c r="H255" s="42"/>
    </row>
    <row r="256" spans="2:8" x14ac:dyDescent="0.2">
      <c r="B256" s="36" t="s">
        <v>1329</v>
      </c>
      <c r="C256" s="36" t="s">
        <v>1330</v>
      </c>
      <c r="D256" s="36" t="s">
        <v>897</v>
      </c>
      <c r="E256" s="41">
        <v>26022</v>
      </c>
      <c r="F256" s="38">
        <v>16.883073599999999</v>
      </c>
      <c r="G256" s="39">
        <v>4.8511747709741801E-2</v>
      </c>
      <c r="H256" s="42"/>
    </row>
    <row r="257" spans="2:9" ht="10.5" x14ac:dyDescent="0.25">
      <c r="B257" s="35" t="s">
        <v>180</v>
      </c>
      <c r="C257" s="35"/>
      <c r="D257" s="35"/>
      <c r="E257" s="43"/>
      <c r="F257" s="44">
        <f>SUM(F7:F256)</f>
        <v>34811.523385899985</v>
      </c>
      <c r="G257" s="45">
        <f>SUM(G7:G256)</f>
        <v>100.02727464793834</v>
      </c>
      <c r="H257" s="35"/>
      <c r="I257" s="26"/>
    </row>
    <row r="258" spans="2:9" ht="10.5" x14ac:dyDescent="0.25">
      <c r="B258" s="35" t="s">
        <v>181</v>
      </c>
      <c r="C258" s="35"/>
      <c r="D258" s="35"/>
      <c r="E258" s="43"/>
      <c r="F258" s="47" t="s">
        <v>182</v>
      </c>
      <c r="G258" s="48" t="s">
        <v>182</v>
      </c>
      <c r="H258" s="35"/>
      <c r="I258" s="26"/>
    </row>
    <row r="259" spans="2:9" ht="10.5" x14ac:dyDescent="0.25">
      <c r="B259" s="35" t="s">
        <v>180</v>
      </c>
      <c r="C259" s="35"/>
      <c r="D259" s="35"/>
      <c r="E259" s="43"/>
      <c r="F259" s="49" t="s">
        <v>182</v>
      </c>
      <c r="G259" s="50" t="s">
        <v>182</v>
      </c>
      <c r="H259" s="35"/>
      <c r="I259" s="26"/>
    </row>
    <row r="260" spans="2:9" ht="10.5" x14ac:dyDescent="0.25">
      <c r="B260" s="51" t="s">
        <v>183</v>
      </c>
      <c r="C260" s="51"/>
      <c r="D260" s="51"/>
      <c r="E260" s="52"/>
      <c r="F260" s="53">
        <f>F257</f>
        <v>34811.523385899985</v>
      </c>
      <c r="G260" s="54">
        <f>G257</f>
        <v>100.02727464793834</v>
      </c>
      <c r="H260" s="35"/>
      <c r="I260" s="26"/>
    </row>
    <row r="261" spans="2:9" ht="10.5" x14ac:dyDescent="0.25">
      <c r="B261" s="35" t="s">
        <v>184</v>
      </c>
      <c r="C261" s="35"/>
      <c r="D261" s="35"/>
      <c r="E261" s="43"/>
      <c r="F261" s="44">
        <v>298.46390009999999</v>
      </c>
      <c r="G261" s="45">
        <v>0.85760482748335398</v>
      </c>
      <c r="H261" s="42">
        <v>5.3499999999999999E-2</v>
      </c>
      <c r="I261" s="27"/>
    </row>
    <row r="262" spans="2:9" x14ac:dyDescent="0.2">
      <c r="B262" s="36"/>
      <c r="C262" s="36"/>
      <c r="D262" s="36"/>
      <c r="E262" s="37"/>
      <c r="F262" s="38"/>
      <c r="G262" s="39"/>
      <c r="H262" s="36"/>
    </row>
    <row r="263" spans="2:9" ht="10.5" x14ac:dyDescent="0.25">
      <c r="B263" s="61" t="s">
        <v>187</v>
      </c>
      <c r="C263" s="61"/>
      <c r="D263" s="61"/>
      <c r="E263" s="62"/>
      <c r="F263" s="44">
        <f>F264-(F257+F261)</f>
        <v>-307.95603159999155</v>
      </c>
      <c r="G263" s="45">
        <f>G264-(G257+G261)</f>
        <v>-0.8848794754216982</v>
      </c>
      <c r="H263" s="35"/>
      <c r="I263" s="26"/>
    </row>
    <row r="264" spans="2:9" ht="10.5" x14ac:dyDescent="0.25">
      <c r="B264" s="55" t="s">
        <v>185</v>
      </c>
      <c r="C264" s="55"/>
      <c r="D264" s="55"/>
      <c r="E264" s="56"/>
      <c r="F264" s="57">
        <v>34802.031254399997</v>
      </c>
      <c r="G264" s="58">
        <v>100</v>
      </c>
      <c r="H264" s="60"/>
      <c r="I264" s="26"/>
    </row>
    <row r="266" spans="2:9" ht="10.5" x14ac:dyDescent="0.25">
      <c r="B266" s="26"/>
    </row>
    <row r="267" spans="2:9" ht="10.5" x14ac:dyDescent="0.25">
      <c r="B267" s="26"/>
    </row>
    <row r="268" spans="2:9" ht="10.5" x14ac:dyDescent="0.2">
      <c r="B268" s="90" t="s">
        <v>196</v>
      </c>
    </row>
    <row r="269" spans="2:9" ht="10.5" x14ac:dyDescent="0.2">
      <c r="B269" s="90"/>
    </row>
    <row r="270" spans="2:9" x14ac:dyDescent="0.2">
      <c r="B270" s="94" t="s">
        <v>1508</v>
      </c>
    </row>
    <row r="271" spans="2:9" x14ac:dyDescent="0.2">
      <c r="B271" s="94" t="s">
        <v>1515</v>
      </c>
    </row>
    <row r="272" spans="2:9" x14ac:dyDescent="0.2">
      <c r="B272" s="94" t="s">
        <v>1516</v>
      </c>
    </row>
    <row r="273" spans="2:7" ht="10.5" x14ac:dyDescent="0.2">
      <c r="B273" s="90"/>
    </row>
    <row r="274" spans="2:7" ht="10.5" x14ac:dyDescent="0.2">
      <c r="B274" s="100" t="s">
        <v>1510</v>
      </c>
      <c r="C274" s="96" t="s">
        <v>1511</v>
      </c>
      <c r="D274" s="153" t="s">
        <v>1563</v>
      </c>
    </row>
    <row r="275" spans="2:7" x14ac:dyDescent="0.2">
      <c r="B275" s="97" t="s">
        <v>1512</v>
      </c>
      <c r="C275" s="110">
        <v>9.9062000000000001</v>
      </c>
      <c r="D275" s="151">
        <v>10.062799999999999</v>
      </c>
    </row>
    <row r="276" spans="2:7" ht="10.5" x14ac:dyDescent="0.2">
      <c r="B276" s="90"/>
    </row>
    <row r="277" spans="2:7" x14ac:dyDescent="0.2">
      <c r="B277" s="94" t="s">
        <v>1549</v>
      </c>
    </row>
    <row r="278" spans="2:7" x14ac:dyDescent="0.2">
      <c r="B278" s="94" t="s">
        <v>1574</v>
      </c>
    </row>
    <row r="279" spans="2:7" x14ac:dyDescent="0.2">
      <c r="B279" s="94" t="s">
        <v>1560</v>
      </c>
    </row>
    <row r="280" spans="2:7" x14ac:dyDescent="0.2">
      <c r="B280" s="170" t="s">
        <v>1544</v>
      </c>
    </row>
    <row r="281" spans="2:7" x14ac:dyDescent="0.2">
      <c r="B281" s="94" t="s">
        <v>1561</v>
      </c>
    </row>
    <row r="282" spans="2:7" ht="10.5" x14ac:dyDescent="0.25">
      <c r="B282" s="26"/>
      <c r="C282" s="26"/>
      <c r="D282" s="71"/>
      <c r="E282" s="28"/>
    </row>
    <row r="283" spans="2:7" ht="10.5" x14ac:dyDescent="0.25">
      <c r="B283" s="26" t="s">
        <v>197</v>
      </c>
      <c r="E283" s="8"/>
      <c r="G283" s="87"/>
    </row>
    <row r="284" spans="2:7" x14ac:dyDescent="0.2">
      <c r="E284" s="8"/>
      <c r="G284" s="87"/>
    </row>
    <row r="285" spans="2:7" x14ac:dyDescent="0.2">
      <c r="E285" s="8"/>
      <c r="G285" s="87"/>
    </row>
    <row r="286" spans="2:7" x14ac:dyDescent="0.2">
      <c r="E286" s="8"/>
      <c r="G286" s="87"/>
    </row>
    <row r="287" spans="2:7" x14ac:dyDescent="0.2">
      <c r="E287" s="8"/>
      <c r="G287" s="87"/>
    </row>
    <row r="288" spans="2:7" x14ac:dyDescent="0.2">
      <c r="E288" s="8"/>
      <c r="G288" s="87"/>
    </row>
    <row r="289" spans="2:7" x14ac:dyDescent="0.2">
      <c r="E289" s="8"/>
      <c r="G289" s="87"/>
    </row>
    <row r="290" spans="2:7" x14ac:dyDescent="0.2">
      <c r="E290" s="8"/>
      <c r="G290" s="87"/>
    </row>
    <row r="291" spans="2:7" x14ac:dyDescent="0.2">
      <c r="E291" s="8"/>
      <c r="G291" s="87"/>
    </row>
    <row r="292" spans="2:7" x14ac:dyDescent="0.2">
      <c r="E292" s="8"/>
      <c r="G292" s="87"/>
    </row>
    <row r="293" spans="2:7" x14ac:dyDescent="0.2">
      <c r="E293" s="8"/>
      <c r="G293" s="87"/>
    </row>
    <row r="294" spans="2:7" x14ac:dyDescent="0.2">
      <c r="E294" s="8"/>
      <c r="G294" s="87"/>
    </row>
    <row r="295" spans="2:7" x14ac:dyDescent="0.2">
      <c r="E295" s="8"/>
      <c r="G295" s="87"/>
    </row>
    <row r="296" spans="2:7" x14ac:dyDescent="0.2">
      <c r="E296" s="8"/>
      <c r="G296" s="87"/>
    </row>
    <row r="297" spans="2:7" x14ac:dyDescent="0.2">
      <c r="E297" s="8"/>
      <c r="G297" s="87"/>
    </row>
    <row r="298" spans="2:7" x14ac:dyDescent="0.2">
      <c r="E298" s="8"/>
      <c r="G298" s="87"/>
    </row>
    <row r="299" spans="2:7" x14ac:dyDescent="0.2">
      <c r="E299" s="8"/>
      <c r="G299" s="87"/>
    </row>
    <row r="300" spans="2:7" x14ac:dyDescent="0.2">
      <c r="E300" s="8"/>
      <c r="G300" s="87"/>
    </row>
    <row r="301" spans="2:7" ht="10.5" x14ac:dyDescent="0.2">
      <c r="B301" s="90" t="s">
        <v>1478</v>
      </c>
      <c r="E301" s="8"/>
      <c r="G301" s="87"/>
    </row>
    <row r="302" spans="2:7" ht="10.5" x14ac:dyDescent="0.25">
      <c r="B302" s="91" t="s">
        <v>1490</v>
      </c>
      <c r="E302" s="8"/>
      <c r="G302" s="87"/>
    </row>
    <row r="303" spans="2:7" x14ac:dyDescent="0.2">
      <c r="E303" s="8"/>
      <c r="G303" s="87"/>
    </row>
    <row r="304" spans="2:7" x14ac:dyDescent="0.2">
      <c r="E304" s="8"/>
      <c r="G304" s="87"/>
    </row>
    <row r="305" spans="5:7" x14ac:dyDescent="0.2">
      <c r="E305" s="8"/>
      <c r="G305" s="87"/>
    </row>
    <row r="306" spans="5:7" x14ac:dyDescent="0.2">
      <c r="E306" s="8"/>
      <c r="G306" s="87"/>
    </row>
    <row r="307" spans="5:7" x14ac:dyDescent="0.2">
      <c r="E307" s="8"/>
      <c r="G307" s="87"/>
    </row>
    <row r="308" spans="5:7" x14ac:dyDescent="0.2">
      <c r="E308" s="8"/>
      <c r="G308" s="87"/>
    </row>
    <row r="309" spans="5:7" x14ac:dyDescent="0.2">
      <c r="E309" s="8"/>
      <c r="G309" s="87"/>
    </row>
    <row r="310" spans="5:7" x14ac:dyDescent="0.2">
      <c r="E310" s="8"/>
      <c r="G310" s="87"/>
    </row>
    <row r="311" spans="5:7" x14ac:dyDescent="0.2">
      <c r="E311" s="8"/>
      <c r="G311" s="87"/>
    </row>
    <row r="312" spans="5:7" x14ac:dyDescent="0.2">
      <c r="E312" s="8"/>
      <c r="G312" s="87"/>
    </row>
    <row r="313" spans="5:7" x14ac:dyDescent="0.2">
      <c r="E313" s="8"/>
      <c r="G313" s="87"/>
    </row>
    <row r="314" spans="5:7" x14ac:dyDescent="0.2">
      <c r="E314" s="8"/>
      <c r="G314" s="87"/>
    </row>
    <row r="315" spans="5:7" x14ac:dyDescent="0.2">
      <c r="E315" s="8"/>
      <c r="G315" s="87"/>
    </row>
    <row r="316" spans="5:7" x14ac:dyDescent="0.2">
      <c r="E316" s="8"/>
      <c r="G316" s="87"/>
    </row>
    <row r="317" spans="5:7" x14ac:dyDescent="0.2">
      <c r="E317" s="8"/>
      <c r="G317" s="87"/>
    </row>
    <row r="318" spans="5:7" x14ac:dyDescent="0.2">
      <c r="E318" s="8"/>
      <c r="G318" s="87"/>
    </row>
    <row r="319" spans="5:7" x14ac:dyDescent="0.2">
      <c r="E319" s="8"/>
      <c r="G319" s="87"/>
    </row>
  </sheetData>
  <mergeCells count="1">
    <mergeCell ref="B1:C1"/>
  </mergeCells>
  <conditionalFormatting sqref="G1:G3 G5:G319">
    <cfRule type="cellIs" dxfId="3" priority="2" stopIfTrue="1" operator="between">
      <formula>0.009</formula>
      <formula>-0.009</formula>
    </cfRule>
  </conditionalFormatting>
  <hyperlinks>
    <hyperlink ref="A2" location="Index!A1" display="-" xr:uid="{486A7180-7959-485C-B2C5-425C685F0192}"/>
  </hyperlinks>
  <pageMargins left="0.7" right="0.7" top="0.75" bottom="0.75" header="0.3" footer="0.3"/>
  <pageSetup paperSize="9" scale="57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393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CAC7-BA4C-43DD-8E1E-EEED028ACB2D}">
  <dimension ref="A1:I253"/>
  <sheetViews>
    <sheetView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65.1796875" style="8" bestFit="1" customWidth="1"/>
    <col min="3" max="3" width="14.7265625" style="8" customWidth="1"/>
    <col min="4" max="4" width="32.1796875" style="8" bestFit="1" customWidth="1"/>
    <col min="5" max="5" width="13.90625" style="9" bestFit="1" customWidth="1"/>
    <col min="6" max="6" width="22.81640625" style="11" bestFit="1" customWidth="1"/>
    <col min="7" max="7" width="12.1796875" style="18" bestFit="1" customWidth="1"/>
    <col min="8" max="8" width="17.36328125" style="8" bestFit="1" customWidth="1"/>
    <col min="9" max="16384" width="9.08984375" style="8"/>
  </cols>
  <sheetData>
    <row r="1" spans="1:8" s="1" customFormat="1" ht="16.75" customHeight="1" x14ac:dyDescent="0.35">
      <c r="B1" s="185" t="s">
        <v>21</v>
      </c>
      <c r="C1" s="186"/>
      <c r="D1" s="13"/>
      <c r="E1" s="6"/>
      <c r="F1" s="7"/>
      <c r="G1" s="18"/>
    </row>
    <row r="2" spans="1:8" s="1" customFormat="1" ht="14.5" x14ac:dyDescent="0.35">
      <c r="A2" s="85" t="s">
        <v>1494</v>
      </c>
      <c r="E2" s="6"/>
      <c r="F2" s="7"/>
      <c r="G2" s="18"/>
    </row>
    <row r="3" spans="1:8" s="1" customFormat="1" ht="11.5" x14ac:dyDescent="0.25">
      <c r="B3" s="10" t="s">
        <v>9</v>
      </c>
      <c r="C3" s="2"/>
      <c r="D3" s="3"/>
      <c r="E3" s="4"/>
      <c r="F3" s="5"/>
      <c r="G3" s="18"/>
    </row>
    <row r="4" spans="1:8" s="1" customFormat="1" ht="25.5" customHeight="1" x14ac:dyDescent="0.25">
      <c r="B4" s="29" t="s">
        <v>7</v>
      </c>
      <c r="C4" s="29" t="s">
        <v>8</v>
      </c>
      <c r="D4" s="30" t="s">
        <v>190</v>
      </c>
      <c r="E4" s="31" t="s">
        <v>0</v>
      </c>
      <c r="F4" s="32" t="s">
        <v>4</v>
      </c>
      <c r="G4" s="33" t="s">
        <v>5</v>
      </c>
      <c r="H4" s="84" t="s">
        <v>6</v>
      </c>
    </row>
    <row r="5" spans="1:8" ht="10.5" x14ac:dyDescent="0.25">
      <c r="B5" s="35" t="s">
        <v>24</v>
      </c>
      <c r="C5" s="36"/>
      <c r="D5" s="36"/>
      <c r="E5" s="37"/>
      <c r="F5" s="38"/>
      <c r="G5" s="39"/>
      <c r="H5" s="36"/>
    </row>
    <row r="6" spans="1:8" ht="10.5" x14ac:dyDescent="0.25">
      <c r="B6" s="35" t="s">
        <v>25</v>
      </c>
      <c r="C6" s="36"/>
      <c r="D6" s="36"/>
      <c r="E6" s="37"/>
      <c r="F6" s="38"/>
      <c r="G6" s="39"/>
      <c r="H6" s="36"/>
    </row>
    <row r="7" spans="1:8" x14ac:dyDescent="0.2">
      <c r="B7" s="36" t="s">
        <v>26</v>
      </c>
      <c r="C7" s="36" t="s">
        <v>27</v>
      </c>
      <c r="D7" s="36" t="s">
        <v>28</v>
      </c>
      <c r="E7" s="41">
        <v>3002518</v>
      </c>
      <c r="F7" s="38">
        <v>22355.247769000001</v>
      </c>
      <c r="G7" s="39">
        <v>7.2264987691104201</v>
      </c>
      <c r="H7" s="42"/>
    </row>
    <row r="8" spans="1:8" x14ac:dyDescent="0.2">
      <c r="B8" s="36" t="s">
        <v>29</v>
      </c>
      <c r="C8" s="36" t="s">
        <v>30</v>
      </c>
      <c r="D8" s="36" t="s">
        <v>28</v>
      </c>
      <c r="E8" s="41">
        <v>1377072</v>
      </c>
      <c r="F8" s="38">
        <v>17301.532608000001</v>
      </c>
      <c r="G8" s="39">
        <v>5.5928480590948304</v>
      </c>
      <c r="H8" s="42"/>
    </row>
    <row r="9" spans="1:8" x14ac:dyDescent="0.2">
      <c r="B9" s="36" t="s">
        <v>31</v>
      </c>
      <c r="C9" s="36" t="s">
        <v>32</v>
      </c>
      <c r="D9" s="36" t="s">
        <v>33</v>
      </c>
      <c r="E9" s="41">
        <v>713019</v>
      </c>
      <c r="F9" s="38">
        <v>13041.11751</v>
      </c>
      <c r="G9" s="39">
        <v>4.2156374470840801</v>
      </c>
      <c r="H9" s="42"/>
    </row>
    <row r="10" spans="1:8" x14ac:dyDescent="0.2">
      <c r="B10" s="36" t="s">
        <v>34</v>
      </c>
      <c r="C10" s="36" t="s">
        <v>35</v>
      </c>
      <c r="D10" s="36" t="s">
        <v>36</v>
      </c>
      <c r="E10" s="41">
        <v>738331</v>
      </c>
      <c r="F10" s="38">
        <v>9754.8291719999997</v>
      </c>
      <c r="G10" s="39">
        <v>3.1533204969480702</v>
      </c>
      <c r="H10" s="42"/>
    </row>
    <row r="11" spans="1:8" x14ac:dyDescent="0.2">
      <c r="B11" s="36" t="s">
        <v>45</v>
      </c>
      <c r="C11" s="36" t="s">
        <v>46</v>
      </c>
      <c r="D11" s="36" t="s">
        <v>47</v>
      </c>
      <c r="E11" s="41">
        <v>236989</v>
      </c>
      <c r="F11" s="38">
        <v>9660.8565849999995</v>
      </c>
      <c r="G11" s="39">
        <v>3.1229431649094002</v>
      </c>
      <c r="H11" s="42"/>
    </row>
    <row r="12" spans="1:8" x14ac:dyDescent="0.2">
      <c r="B12" s="36" t="s">
        <v>40</v>
      </c>
      <c r="C12" s="36" t="s">
        <v>41</v>
      </c>
      <c r="D12" s="36" t="s">
        <v>28</v>
      </c>
      <c r="E12" s="41">
        <v>992739</v>
      </c>
      <c r="F12" s="38">
        <v>9573.9749159999992</v>
      </c>
      <c r="G12" s="39">
        <v>3.0948580244280999</v>
      </c>
      <c r="H12" s="42"/>
    </row>
    <row r="13" spans="1:8" x14ac:dyDescent="0.2">
      <c r="B13" s="36" t="s">
        <v>42</v>
      </c>
      <c r="C13" s="36" t="s">
        <v>43</v>
      </c>
      <c r="D13" s="36" t="s">
        <v>44</v>
      </c>
      <c r="E13" s="41">
        <v>803358</v>
      </c>
      <c r="F13" s="38">
        <v>9326.1830219999993</v>
      </c>
      <c r="G13" s="39">
        <v>3.0147574665863899</v>
      </c>
      <c r="H13" s="42"/>
    </row>
    <row r="14" spans="1:8" x14ac:dyDescent="0.2">
      <c r="B14" s="36" t="s">
        <v>37</v>
      </c>
      <c r="C14" s="36" t="s">
        <v>38</v>
      </c>
      <c r="D14" s="36" t="s">
        <v>39</v>
      </c>
      <c r="E14" s="41">
        <v>288716</v>
      </c>
      <c r="F14" s="38">
        <v>8793.1344960000006</v>
      </c>
      <c r="G14" s="39">
        <v>2.84244559794511</v>
      </c>
      <c r="H14" s="42"/>
    </row>
    <row r="15" spans="1:8" x14ac:dyDescent="0.2">
      <c r="B15" s="36" t="s">
        <v>58</v>
      </c>
      <c r="C15" s="36" t="s">
        <v>59</v>
      </c>
      <c r="D15" s="36" t="s">
        <v>44</v>
      </c>
      <c r="E15" s="41">
        <v>300904</v>
      </c>
      <c r="F15" s="38">
        <v>6797.1204559999996</v>
      </c>
      <c r="G15" s="39">
        <v>2.19721933374825</v>
      </c>
      <c r="H15" s="42"/>
    </row>
    <row r="16" spans="1:8" x14ac:dyDescent="0.2">
      <c r="B16" s="36" t="s">
        <v>48</v>
      </c>
      <c r="C16" s="36" t="s">
        <v>49</v>
      </c>
      <c r="D16" s="36" t="s">
        <v>50</v>
      </c>
      <c r="E16" s="41">
        <v>1449063</v>
      </c>
      <c r="F16" s="38">
        <v>5606.424747</v>
      </c>
      <c r="G16" s="39">
        <v>1.8123181613530399</v>
      </c>
      <c r="H16" s="42"/>
    </row>
    <row r="17" spans="2:8" x14ac:dyDescent="0.2">
      <c r="B17" s="36" t="s">
        <v>60</v>
      </c>
      <c r="C17" s="36" t="s">
        <v>61</v>
      </c>
      <c r="D17" s="36" t="s">
        <v>62</v>
      </c>
      <c r="E17" s="41">
        <v>2684562</v>
      </c>
      <c r="F17" s="38">
        <v>5584.4258724000001</v>
      </c>
      <c r="G17" s="39">
        <v>1.80520686283998</v>
      </c>
      <c r="H17" s="42"/>
    </row>
    <row r="18" spans="2:8" x14ac:dyDescent="0.2">
      <c r="B18" s="36" t="s">
        <v>53</v>
      </c>
      <c r="C18" s="36" t="s">
        <v>54</v>
      </c>
      <c r="D18" s="36" t="s">
        <v>55</v>
      </c>
      <c r="E18" s="41">
        <v>391703</v>
      </c>
      <c r="F18" s="38">
        <v>5568.058145</v>
      </c>
      <c r="G18" s="39">
        <v>1.7999158742036001</v>
      </c>
      <c r="H18" s="42"/>
    </row>
    <row r="19" spans="2:8" x14ac:dyDescent="0.2">
      <c r="B19" s="36" t="s">
        <v>97</v>
      </c>
      <c r="C19" s="36" t="s">
        <v>98</v>
      </c>
      <c r="D19" s="36" t="s">
        <v>99</v>
      </c>
      <c r="E19" s="41">
        <v>135638</v>
      </c>
      <c r="F19" s="38">
        <v>5527.112862</v>
      </c>
      <c r="G19" s="39">
        <v>1.7866800093964701</v>
      </c>
      <c r="H19" s="42"/>
    </row>
    <row r="20" spans="2:8" x14ac:dyDescent="0.2">
      <c r="B20" s="36" t="s">
        <v>77</v>
      </c>
      <c r="C20" s="36" t="s">
        <v>78</v>
      </c>
      <c r="D20" s="36" t="s">
        <v>79</v>
      </c>
      <c r="E20" s="41">
        <v>177112</v>
      </c>
      <c r="F20" s="38">
        <v>5232.7740400000002</v>
      </c>
      <c r="G20" s="39">
        <v>1.69153281367476</v>
      </c>
      <c r="H20" s="42"/>
    </row>
    <row r="21" spans="2:8" x14ac:dyDescent="0.2">
      <c r="B21" s="36" t="s">
        <v>51</v>
      </c>
      <c r="C21" s="36" t="s">
        <v>52</v>
      </c>
      <c r="D21" s="36" t="s">
        <v>36</v>
      </c>
      <c r="E21" s="41">
        <v>3662253</v>
      </c>
      <c r="F21" s="38">
        <v>5135.9436071999999</v>
      </c>
      <c r="G21" s="39">
        <v>1.6602316618972299</v>
      </c>
      <c r="H21" s="42"/>
    </row>
    <row r="22" spans="2:8" x14ac:dyDescent="0.2">
      <c r="B22" s="36" t="s">
        <v>829</v>
      </c>
      <c r="C22" s="36" t="s">
        <v>830</v>
      </c>
      <c r="D22" s="36" t="s">
        <v>508</v>
      </c>
      <c r="E22" s="41">
        <v>69508</v>
      </c>
      <c r="F22" s="38">
        <v>4955.2253199999996</v>
      </c>
      <c r="G22" s="39">
        <v>1.60181314229498</v>
      </c>
      <c r="H22" s="42"/>
    </row>
    <row r="23" spans="2:8" x14ac:dyDescent="0.2">
      <c r="B23" s="36" t="s">
        <v>127</v>
      </c>
      <c r="C23" s="36" t="s">
        <v>128</v>
      </c>
      <c r="D23" s="36" t="s">
        <v>112</v>
      </c>
      <c r="E23" s="41">
        <v>278874</v>
      </c>
      <c r="F23" s="38">
        <v>4668.3507600000003</v>
      </c>
      <c r="G23" s="39">
        <v>1.50907882433301</v>
      </c>
      <c r="H23" s="42"/>
    </row>
    <row r="24" spans="2:8" x14ac:dyDescent="0.2">
      <c r="B24" s="36" t="s">
        <v>902</v>
      </c>
      <c r="C24" s="36" t="s">
        <v>903</v>
      </c>
      <c r="D24" s="36" t="s">
        <v>454</v>
      </c>
      <c r="E24" s="41">
        <v>286246</v>
      </c>
      <c r="F24" s="38">
        <v>4601.1182040000003</v>
      </c>
      <c r="G24" s="39">
        <v>1.4873454045919901</v>
      </c>
      <c r="H24" s="42"/>
    </row>
    <row r="25" spans="2:8" x14ac:dyDescent="0.2">
      <c r="B25" s="36" t="s">
        <v>63</v>
      </c>
      <c r="C25" s="36" t="s">
        <v>64</v>
      </c>
      <c r="D25" s="36" t="s">
        <v>65</v>
      </c>
      <c r="E25" s="41">
        <v>1125316</v>
      </c>
      <c r="F25" s="38">
        <v>4439.3716199999999</v>
      </c>
      <c r="G25" s="39">
        <v>1.43505962801453</v>
      </c>
      <c r="H25" s="42"/>
    </row>
    <row r="26" spans="2:8" x14ac:dyDescent="0.2">
      <c r="B26" s="36" t="s">
        <v>66</v>
      </c>
      <c r="C26" s="36" t="s">
        <v>67</v>
      </c>
      <c r="D26" s="36" t="s">
        <v>68</v>
      </c>
      <c r="E26" s="41">
        <v>1527387</v>
      </c>
      <c r="F26" s="38">
        <v>4382.0733030000001</v>
      </c>
      <c r="G26" s="39">
        <v>1.4165375243209699</v>
      </c>
      <c r="H26" s="42"/>
    </row>
    <row r="27" spans="2:8" x14ac:dyDescent="0.2">
      <c r="B27" s="36" t="s">
        <v>89</v>
      </c>
      <c r="C27" s="36" t="s">
        <v>90</v>
      </c>
      <c r="D27" s="36" t="s">
        <v>91</v>
      </c>
      <c r="E27" s="41">
        <v>1655291</v>
      </c>
      <c r="F27" s="38">
        <v>4147.8281877999998</v>
      </c>
      <c r="G27" s="39">
        <v>1.3408160626689001</v>
      </c>
      <c r="H27" s="42"/>
    </row>
    <row r="28" spans="2:8" x14ac:dyDescent="0.2">
      <c r="B28" s="36" t="s">
        <v>117</v>
      </c>
      <c r="C28" s="36" t="s">
        <v>118</v>
      </c>
      <c r="D28" s="36" t="s">
        <v>62</v>
      </c>
      <c r="E28" s="41">
        <v>2011936</v>
      </c>
      <c r="F28" s="38">
        <v>4111.7936031999998</v>
      </c>
      <c r="G28" s="39">
        <v>1.3291676173486699</v>
      </c>
      <c r="H28" s="42"/>
    </row>
    <row r="29" spans="2:8" x14ac:dyDescent="0.2">
      <c r="B29" s="36" t="s">
        <v>580</v>
      </c>
      <c r="C29" s="36" t="s">
        <v>581</v>
      </c>
      <c r="D29" s="36" t="s">
        <v>478</v>
      </c>
      <c r="E29" s="41">
        <v>43315</v>
      </c>
      <c r="F29" s="38">
        <v>4105.1791249999997</v>
      </c>
      <c r="G29" s="39">
        <v>1.3270294384716299</v>
      </c>
      <c r="H29" s="42"/>
    </row>
    <row r="30" spans="2:8" x14ac:dyDescent="0.2">
      <c r="B30" s="36" t="s">
        <v>92</v>
      </c>
      <c r="C30" s="36" t="s">
        <v>93</v>
      </c>
      <c r="D30" s="36" t="s">
        <v>79</v>
      </c>
      <c r="E30" s="41">
        <v>114133</v>
      </c>
      <c r="F30" s="38">
        <v>4038.5962049999998</v>
      </c>
      <c r="G30" s="39">
        <v>1.30550601836036</v>
      </c>
      <c r="H30" s="42"/>
    </row>
    <row r="31" spans="2:8" x14ac:dyDescent="0.2">
      <c r="B31" s="36" t="s">
        <v>924</v>
      </c>
      <c r="C31" s="36" t="s">
        <v>925</v>
      </c>
      <c r="D31" s="36" t="s">
        <v>517</v>
      </c>
      <c r="E31" s="41">
        <v>2429075</v>
      </c>
      <c r="F31" s="38">
        <v>3897.9366525</v>
      </c>
      <c r="G31" s="39">
        <v>1.2600367802866701</v>
      </c>
      <c r="H31" s="42"/>
    </row>
    <row r="32" spans="2:8" x14ac:dyDescent="0.2">
      <c r="B32" s="36" t="s">
        <v>123</v>
      </c>
      <c r="C32" s="36" t="s">
        <v>124</v>
      </c>
      <c r="D32" s="36" t="s">
        <v>112</v>
      </c>
      <c r="E32" s="41">
        <v>940946</v>
      </c>
      <c r="F32" s="38">
        <v>3870.5813710000002</v>
      </c>
      <c r="G32" s="39">
        <v>1.2511939837258399</v>
      </c>
      <c r="H32" s="42"/>
    </row>
    <row r="33" spans="2:8" x14ac:dyDescent="0.2">
      <c r="B33" s="36" t="s">
        <v>85</v>
      </c>
      <c r="C33" s="36" t="s">
        <v>86</v>
      </c>
      <c r="D33" s="36" t="s">
        <v>28</v>
      </c>
      <c r="E33" s="41">
        <v>1306434</v>
      </c>
      <c r="F33" s="38">
        <v>3774.9410429999998</v>
      </c>
      <c r="G33" s="39">
        <v>1.22027754210501</v>
      </c>
      <c r="H33" s="42"/>
    </row>
    <row r="34" spans="2:8" x14ac:dyDescent="0.2">
      <c r="B34" s="36" t="s">
        <v>1061</v>
      </c>
      <c r="C34" s="36" t="s">
        <v>1062</v>
      </c>
      <c r="D34" s="36" t="s">
        <v>996</v>
      </c>
      <c r="E34" s="41">
        <v>388631</v>
      </c>
      <c r="F34" s="38">
        <v>3740.9620060000002</v>
      </c>
      <c r="G34" s="39">
        <v>1.20929356771147</v>
      </c>
      <c r="H34" s="42"/>
    </row>
    <row r="35" spans="2:8" x14ac:dyDescent="0.2">
      <c r="B35" s="36" t="s">
        <v>87</v>
      </c>
      <c r="C35" s="36" t="s">
        <v>88</v>
      </c>
      <c r="D35" s="36" t="s">
        <v>62</v>
      </c>
      <c r="E35" s="41">
        <v>274544</v>
      </c>
      <c r="F35" s="38">
        <v>3508.6723200000001</v>
      </c>
      <c r="G35" s="39">
        <v>1.1342042129746399</v>
      </c>
      <c r="H35" s="42"/>
    </row>
    <row r="36" spans="2:8" x14ac:dyDescent="0.2">
      <c r="B36" s="36" t="s">
        <v>889</v>
      </c>
      <c r="C36" s="36" t="s">
        <v>890</v>
      </c>
      <c r="D36" s="36" t="s">
        <v>71</v>
      </c>
      <c r="E36" s="41">
        <v>232711</v>
      </c>
      <c r="F36" s="38">
        <v>3301.9363790000002</v>
      </c>
      <c r="G36" s="39">
        <v>1.06737529483404</v>
      </c>
      <c r="H36" s="42"/>
    </row>
    <row r="37" spans="2:8" x14ac:dyDescent="0.2">
      <c r="B37" s="36" t="s">
        <v>69</v>
      </c>
      <c r="C37" s="36" t="s">
        <v>70</v>
      </c>
      <c r="D37" s="36" t="s">
        <v>71</v>
      </c>
      <c r="E37" s="41">
        <v>74254</v>
      </c>
      <c r="F37" s="38">
        <v>3270.8887</v>
      </c>
      <c r="G37" s="39">
        <v>1.05733890354034</v>
      </c>
      <c r="H37" s="42"/>
    </row>
    <row r="38" spans="2:8" x14ac:dyDescent="0.2">
      <c r="B38" s="36" t="s">
        <v>94</v>
      </c>
      <c r="C38" s="36" t="s">
        <v>95</v>
      </c>
      <c r="D38" s="36" t="s">
        <v>96</v>
      </c>
      <c r="E38" s="41">
        <v>112114</v>
      </c>
      <c r="F38" s="38">
        <v>3206.2361719999999</v>
      </c>
      <c r="G38" s="39">
        <v>1.0364394968847099</v>
      </c>
      <c r="H38" s="42"/>
    </row>
    <row r="39" spans="2:8" x14ac:dyDescent="0.2">
      <c r="B39" s="36" t="s">
        <v>169</v>
      </c>
      <c r="C39" s="36" t="s">
        <v>170</v>
      </c>
      <c r="D39" s="36" t="s">
        <v>82</v>
      </c>
      <c r="E39" s="41">
        <v>231542</v>
      </c>
      <c r="F39" s="38">
        <v>3153.6020400000002</v>
      </c>
      <c r="G39" s="39">
        <v>1.0194251254028299</v>
      </c>
      <c r="H39" s="42"/>
    </row>
    <row r="40" spans="2:8" x14ac:dyDescent="0.2">
      <c r="B40" s="36" t="s">
        <v>56</v>
      </c>
      <c r="C40" s="36" t="s">
        <v>57</v>
      </c>
      <c r="D40" s="36" t="s">
        <v>55</v>
      </c>
      <c r="E40" s="41">
        <v>60059</v>
      </c>
      <c r="F40" s="38">
        <v>3125.7706549999998</v>
      </c>
      <c r="G40" s="39">
        <v>1.0104284248731199</v>
      </c>
      <c r="H40" s="42"/>
    </row>
    <row r="41" spans="2:8" x14ac:dyDescent="0.2">
      <c r="B41" s="36" t="s">
        <v>80</v>
      </c>
      <c r="C41" s="36" t="s">
        <v>81</v>
      </c>
      <c r="D41" s="36" t="s">
        <v>82</v>
      </c>
      <c r="E41" s="41">
        <v>164899</v>
      </c>
      <c r="F41" s="38">
        <v>2966.8628079999999</v>
      </c>
      <c r="G41" s="39">
        <v>0.95906029097393197</v>
      </c>
      <c r="H41" s="42"/>
    </row>
    <row r="42" spans="2:8" x14ac:dyDescent="0.2">
      <c r="B42" s="36" t="s">
        <v>906</v>
      </c>
      <c r="C42" s="36" t="s">
        <v>907</v>
      </c>
      <c r="D42" s="36" t="s">
        <v>478</v>
      </c>
      <c r="E42" s="41">
        <v>506446</v>
      </c>
      <c r="F42" s="38">
        <v>2904.2145869999999</v>
      </c>
      <c r="G42" s="39">
        <v>0.938808791342992</v>
      </c>
      <c r="H42" s="42"/>
    </row>
    <row r="43" spans="2:8" x14ac:dyDescent="0.2">
      <c r="B43" s="36" t="s">
        <v>107</v>
      </c>
      <c r="C43" s="36" t="s">
        <v>108</v>
      </c>
      <c r="D43" s="36" t="s">
        <v>109</v>
      </c>
      <c r="E43" s="41">
        <v>816494</v>
      </c>
      <c r="F43" s="38">
        <v>2878.957844</v>
      </c>
      <c r="G43" s="39">
        <v>0.93064436283442797</v>
      </c>
      <c r="H43" s="42"/>
    </row>
    <row r="44" spans="2:8" x14ac:dyDescent="0.2">
      <c r="B44" s="36" t="s">
        <v>1331</v>
      </c>
      <c r="C44" s="36" t="s">
        <v>1332</v>
      </c>
      <c r="D44" s="36" t="s">
        <v>1333</v>
      </c>
      <c r="E44" s="41">
        <v>184962</v>
      </c>
      <c r="F44" s="38">
        <v>2825.849436</v>
      </c>
      <c r="G44" s="39">
        <v>0.91347667813653799</v>
      </c>
      <c r="H44" s="42"/>
    </row>
    <row r="45" spans="2:8" x14ac:dyDescent="0.2">
      <c r="B45" s="36" t="s">
        <v>103</v>
      </c>
      <c r="C45" s="36" t="s">
        <v>104</v>
      </c>
      <c r="D45" s="36" t="s">
        <v>39</v>
      </c>
      <c r="E45" s="41">
        <v>54802</v>
      </c>
      <c r="F45" s="38">
        <v>2686.9420599999999</v>
      </c>
      <c r="G45" s="39">
        <v>0.86857384404331195</v>
      </c>
      <c r="H45" s="42"/>
    </row>
    <row r="46" spans="2:8" x14ac:dyDescent="0.2">
      <c r="B46" s="36" t="s">
        <v>175</v>
      </c>
      <c r="C46" s="36" t="s">
        <v>176</v>
      </c>
      <c r="D46" s="36" t="s">
        <v>79</v>
      </c>
      <c r="E46" s="41">
        <v>242858</v>
      </c>
      <c r="F46" s="38">
        <v>2671.9237159999998</v>
      </c>
      <c r="G46" s="39">
        <v>0.86371905354617495</v>
      </c>
      <c r="H46" s="42"/>
    </row>
    <row r="47" spans="2:8" x14ac:dyDescent="0.2">
      <c r="B47" s="36" t="s">
        <v>72</v>
      </c>
      <c r="C47" s="36" t="s">
        <v>73</v>
      </c>
      <c r="D47" s="36" t="s">
        <v>74</v>
      </c>
      <c r="E47" s="41">
        <v>21602</v>
      </c>
      <c r="F47" s="38">
        <v>2480.3416400000001</v>
      </c>
      <c r="G47" s="39">
        <v>0.801788734065778</v>
      </c>
      <c r="H47" s="42"/>
    </row>
    <row r="48" spans="2:8" x14ac:dyDescent="0.2">
      <c r="B48" s="36" t="s">
        <v>825</v>
      </c>
      <c r="C48" s="36" t="s">
        <v>826</v>
      </c>
      <c r="D48" s="36" t="s">
        <v>28</v>
      </c>
      <c r="E48" s="41">
        <v>845551</v>
      </c>
      <c r="F48" s="38">
        <v>2441.5285125</v>
      </c>
      <c r="G48" s="39">
        <v>0.78924210425418495</v>
      </c>
      <c r="H48" s="42"/>
    </row>
    <row r="49" spans="2:8" x14ac:dyDescent="0.2">
      <c r="B49" s="36" t="s">
        <v>479</v>
      </c>
      <c r="C49" s="36" t="s">
        <v>480</v>
      </c>
      <c r="D49" s="36" t="s">
        <v>39</v>
      </c>
      <c r="E49" s="41">
        <v>71435</v>
      </c>
      <c r="F49" s="38">
        <v>2397.1442950000001</v>
      </c>
      <c r="G49" s="39">
        <v>0.77489457849889198</v>
      </c>
      <c r="H49" s="42"/>
    </row>
    <row r="50" spans="2:8" x14ac:dyDescent="0.2">
      <c r="B50" s="36" t="s">
        <v>113</v>
      </c>
      <c r="C50" s="36" t="s">
        <v>114</v>
      </c>
      <c r="D50" s="36" t="s">
        <v>96</v>
      </c>
      <c r="E50" s="41">
        <v>606869</v>
      </c>
      <c r="F50" s="38">
        <v>2303.0678549999998</v>
      </c>
      <c r="G50" s="39">
        <v>0.74448367521178904</v>
      </c>
      <c r="H50" s="42"/>
    </row>
    <row r="51" spans="2:8" x14ac:dyDescent="0.2">
      <c r="B51" s="36" t="s">
        <v>115</v>
      </c>
      <c r="C51" s="36" t="s">
        <v>116</v>
      </c>
      <c r="D51" s="36" t="s">
        <v>91</v>
      </c>
      <c r="E51" s="41">
        <v>435986</v>
      </c>
      <c r="F51" s="38">
        <v>2283.9126609999998</v>
      </c>
      <c r="G51" s="39">
        <v>0.73829161743218197</v>
      </c>
      <c r="H51" s="42"/>
    </row>
    <row r="52" spans="2:8" x14ac:dyDescent="0.2">
      <c r="B52" s="36" t="s">
        <v>561</v>
      </c>
      <c r="C52" s="36" t="s">
        <v>562</v>
      </c>
      <c r="D52" s="36" t="s">
        <v>79</v>
      </c>
      <c r="E52" s="41">
        <v>53547</v>
      </c>
      <c r="F52" s="38">
        <v>2220.1121670000002</v>
      </c>
      <c r="G52" s="39">
        <v>0.71766763705299896</v>
      </c>
      <c r="H52" s="42"/>
    </row>
    <row r="53" spans="2:8" x14ac:dyDescent="0.2">
      <c r="B53" s="36" t="s">
        <v>83</v>
      </c>
      <c r="C53" s="36" t="s">
        <v>84</v>
      </c>
      <c r="D53" s="36" t="s">
        <v>28</v>
      </c>
      <c r="E53" s="41">
        <v>561302</v>
      </c>
      <c r="F53" s="38">
        <v>2156.5222840000001</v>
      </c>
      <c r="G53" s="39">
        <v>0.69711173823336703</v>
      </c>
      <c r="H53" s="42"/>
    </row>
    <row r="54" spans="2:8" x14ac:dyDescent="0.2">
      <c r="B54" s="36" t="s">
        <v>119</v>
      </c>
      <c r="C54" s="36" t="s">
        <v>120</v>
      </c>
      <c r="D54" s="36" t="s">
        <v>44</v>
      </c>
      <c r="E54" s="41">
        <v>144032</v>
      </c>
      <c r="F54" s="38">
        <v>2137.2908480000001</v>
      </c>
      <c r="G54" s="39">
        <v>0.69089503466477797</v>
      </c>
      <c r="H54" s="42"/>
    </row>
    <row r="55" spans="2:8" x14ac:dyDescent="0.2">
      <c r="B55" s="36" t="s">
        <v>1334</v>
      </c>
      <c r="C55" s="36" t="s">
        <v>1335</v>
      </c>
      <c r="D55" s="36" t="s">
        <v>65</v>
      </c>
      <c r="E55" s="41">
        <v>1617851</v>
      </c>
      <c r="F55" s="38">
        <v>2065.5103717000002</v>
      </c>
      <c r="G55" s="39">
        <v>0.66769146613410801</v>
      </c>
      <c r="H55" s="42"/>
    </row>
    <row r="56" spans="2:8" x14ac:dyDescent="0.2">
      <c r="B56" s="36" t="s">
        <v>150</v>
      </c>
      <c r="C56" s="36" t="s">
        <v>151</v>
      </c>
      <c r="D56" s="36" t="s">
        <v>96</v>
      </c>
      <c r="E56" s="41">
        <v>1248690</v>
      </c>
      <c r="F56" s="38">
        <v>1940.9637359999999</v>
      </c>
      <c r="G56" s="39">
        <v>0.62743084729046505</v>
      </c>
      <c r="H56" s="42"/>
    </row>
    <row r="57" spans="2:8" x14ac:dyDescent="0.2">
      <c r="B57" s="36" t="s">
        <v>920</v>
      </c>
      <c r="C57" s="36" t="s">
        <v>921</v>
      </c>
      <c r="D57" s="36" t="s">
        <v>50</v>
      </c>
      <c r="E57" s="41">
        <v>954384</v>
      </c>
      <c r="F57" s="38">
        <v>1737.8378256000001</v>
      </c>
      <c r="G57" s="39">
        <v>0.56176889817462705</v>
      </c>
      <c r="H57" s="42"/>
    </row>
    <row r="58" spans="2:8" x14ac:dyDescent="0.2">
      <c r="B58" s="36" t="s">
        <v>75</v>
      </c>
      <c r="C58" s="36" t="s">
        <v>76</v>
      </c>
      <c r="D58" s="36" t="s">
        <v>28</v>
      </c>
      <c r="E58" s="41">
        <v>134554</v>
      </c>
      <c r="F58" s="38">
        <v>1731.1717639999999</v>
      </c>
      <c r="G58" s="39">
        <v>0.55961404458297903</v>
      </c>
      <c r="H58" s="42"/>
    </row>
    <row r="59" spans="2:8" x14ac:dyDescent="0.2">
      <c r="B59" s="36" t="s">
        <v>148</v>
      </c>
      <c r="C59" s="36" t="s">
        <v>149</v>
      </c>
      <c r="D59" s="36" t="s">
        <v>36</v>
      </c>
      <c r="E59" s="41">
        <v>409330</v>
      </c>
      <c r="F59" s="38">
        <v>1612.146205</v>
      </c>
      <c r="G59" s="39">
        <v>0.52113815451483403</v>
      </c>
      <c r="H59" s="42"/>
    </row>
    <row r="60" spans="2:8" x14ac:dyDescent="0.2">
      <c r="B60" s="36" t="s">
        <v>110</v>
      </c>
      <c r="C60" s="36" t="s">
        <v>111</v>
      </c>
      <c r="D60" s="36" t="s">
        <v>112</v>
      </c>
      <c r="E60" s="41">
        <v>86053</v>
      </c>
      <c r="F60" s="38">
        <v>1574.855953</v>
      </c>
      <c r="G60" s="39">
        <v>0.50908380544376297</v>
      </c>
      <c r="H60" s="42"/>
    </row>
    <row r="61" spans="2:8" x14ac:dyDescent="0.2">
      <c r="B61" s="36" t="s">
        <v>978</v>
      </c>
      <c r="C61" s="36" t="s">
        <v>979</v>
      </c>
      <c r="D61" s="36" t="s">
        <v>82</v>
      </c>
      <c r="E61" s="41">
        <v>147842</v>
      </c>
      <c r="F61" s="38">
        <v>1501.926878</v>
      </c>
      <c r="G61" s="39">
        <v>0.485508943909431</v>
      </c>
      <c r="H61" s="42"/>
    </row>
    <row r="62" spans="2:8" x14ac:dyDescent="0.2">
      <c r="B62" s="36" t="s">
        <v>121</v>
      </c>
      <c r="C62" s="36" t="s">
        <v>122</v>
      </c>
      <c r="D62" s="36" t="s">
        <v>28</v>
      </c>
      <c r="E62" s="41">
        <v>6483231</v>
      </c>
      <c r="F62" s="38">
        <v>1500.8679764999999</v>
      </c>
      <c r="G62" s="39">
        <v>0.485166646187418</v>
      </c>
      <c r="H62" s="42"/>
    </row>
    <row r="63" spans="2:8" x14ac:dyDescent="0.2">
      <c r="B63" s="36" t="s">
        <v>1067</v>
      </c>
      <c r="C63" s="36" t="s">
        <v>1068</v>
      </c>
      <c r="D63" s="36" t="s">
        <v>478</v>
      </c>
      <c r="E63" s="41">
        <v>69887</v>
      </c>
      <c r="F63" s="38">
        <v>1437.0863810000001</v>
      </c>
      <c r="G63" s="39">
        <v>0.46454877488778501</v>
      </c>
      <c r="H63" s="42"/>
    </row>
    <row r="64" spans="2:8" x14ac:dyDescent="0.2">
      <c r="B64" s="36" t="s">
        <v>177</v>
      </c>
      <c r="C64" s="36" t="s">
        <v>178</v>
      </c>
      <c r="D64" s="36" t="s">
        <v>179</v>
      </c>
      <c r="E64" s="41">
        <v>341215</v>
      </c>
      <c r="F64" s="38">
        <v>1422.0135124999999</v>
      </c>
      <c r="G64" s="39">
        <v>0.45967635894376402</v>
      </c>
      <c r="H64" s="42"/>
    </row>
    <row r="65" spans="2:8" x14ac:dyDescent="0.2">
      <c r="B65" s="36" t="s">
        <v>105</v>
      </c>
      <c r="C65" s="36" t="s">
        <v>106</v>
      </c>
      <c r="D65" s="36" t="s">
        <v>65</v>
      </c>
      <c r="E65" s="41">
        <v>888275</v>
      </c>
      <c r="F65" s="38">
        <v>1294.571985</v>
      </c>
      <c r="G65" s="39">
        <v>0.41847994496845697</v>
      </c>
      <c r="H65" s="42"/>
    </row>
    <row r="66" spans="2:8" x14ac:dyDescent="0.2">
      <c r="B66" s="36" t="s">
        <v>705</v>
      </c>
      <c r="C66" s="36" t="s">
        <v>706</v>
      </c>
      <c r="D66" s="36" t="s">
        <v>112</v>
      </c>
      <c r="E66" s="41">
        <v>241374</v>
      </c>
      <c r="F66" s="38">
        <v>1216.4042730000001</v>
      </c>
      <c r="G66" s="39">
        <v>0.393211655375375</v>
      </c>
      <c r="H66" s="42"/>
    </row>
    <row r="67" spans="2:8" x14ac:dyDescent="0.2">
      <c r="B67" s="36" t="s">
        <v>544</v>
      </c>
      <c r="C67" s="36" t="s">
        <v>545</v>
      </c>
      <c r="D67" s="36" t="s">
        <v>139</v>
      </c>
      <c r="E67" s="41">
        <v>186677</v>
      </c>
      <c r="F67" s="38">
        <v>1181.5720715</v>
      </c>
      <c r="G67" s="39">
        <v>0.38195188926291002</v>
      </c>
      <c r="H67" s="42"/>
    </row>
    <row r="68" spans="2:8" x14ac:dyDescent="0.2">
      <c r="B68" s="36" t="s">
        <v>167</v>
      </c>
      <c r="C68" s="36" t="s">
        <v>168</v>
      </c>
      <c r="D68" s="36" t="s">
        <v>44</v>
      </c>
      <c r="E68" s="41">
        <v>28427</v>
      </c>
      <c r="F68" s="38">
        <v>1154.591032</v>
      </c>
      <c r="G68" s="39">
        <v>0.37323006918957302</v>
      </c>
      <c r="H68" s="42"/>
    </row>
    <row r="69" spans="2:8" x14ac:dyDescent="0.2">
      <c r="B69" s="36" t="s">
        <v>962</v>
      </c>
      <c r="C69" s="36" t="s">
        <v>963</v>
      </c>
      <c r="D69" s="36" t="s">
        <v>796</v>
      </c>
      <c r="E69" s="41">
        <v>2805074</v>
      </c>
      <c r="F69" s="38">
        <v>1151.2023696000001</v>
      </c>
      <c r="G69" s="39">
        <v>0.37213465906862198</v>
      </c>
      <c r="H69" s="42"/>
    </row>
    <row r="70" spans="2:8" x14ac:dyDescent="0.2">
      <c r="B70" s="36" t="s">
        <v>136</v>
      </c>
      <c r="C70" s="36" t="s">
        <v>137</v>
      </c>
      <c r="D70" s="36" t="s">
        <v>79</v>
      </c>
      <c r="E70" s="41">
        <v>614003</v>
      </c>
      <c r="F70" s="38">
        <v>1135.2301467</v>
      </c>
      <c r="G70" s="39">
        <v>0.366971520179736</v>
      </c>
      <c r="H70" s="42"/>
    </row>
    <row r="71" spans="2:8" x14ac:dyDescent="0.2">
      <c r="B71" s="36" t="s">
        <v>1336</v>
      </c>
      <c r="C71" s="36" t="s">
        <v>1337</v>
      </c>
      <c r="D71" s="36" t="s">
        <v>82</v>
      </c>
      <c r="E71" s="41">
        <v>213208</v>
      </c>
      <c r="F71" s="38">
        <v>1118.2759599999999</v>
      </c>
      <c r="G71" s="39">
        <v>0.361490954247977</v>
      </c>
      <c r="H71" s="42"/>
    </row>
    <row r="72" spans="2:8" x14ac:dyDescent="0.2">
      <c r="B72" s="36" t="s">
        <v>1338</v>
      </c>
      <c r="C72" s="36" t="s">
        <v>1339</v>
      </c>
      <c r="D72" s="36" t="s">
        <v>50</v>
      </c>
      <c r="E72" s="41">
        <v>608390</v>
      </c>
      <c r="F72" s="38">
        <v>1114.2662849999999</v>
      </c>
      <c r="G72" s="39">
        <v>0.36019479722250197</v>
      </c>
      <c r="H72" s="42"/>
    </row>
    <row r="73" spans="2:8" x14ac:dyDescent="0.2">
      <c r="B73" s="36" t="s">
        <v>1340</v>
      </c>
      <c r="C73" s="36" t="s">
        <v>1341</v>
      </c>
      <c r="D73" s="36" t="s">
        <v>1223</v>
      </c>
      <c r="E73" s="41">
        <v>207158</v>
      </c>
      <c r="F73" s="38">
        <v>1110.6776170000001</v>
      </c>
      <c r="G73" s="39">
        <v>0.35903473381579198</v>
      </c>
      <c r="H73" s="42"/>
    </row>
    <row r="74" spans="2:8" x14ac:dyDescent="0.2">
      <c r="B74" s="36" t="s">
        <v>644</v>
      </c>
      <c r="C74" s="36" t="s">
        <v>645</v>
      </c>
      <c r="D74" s="36" t="s">
        <v>28</v>
      </c>
      <c r="E74" s="41">
        <v>128532</v>
      </c>
      <c r="F74" s="38">
        <v>1070.67156</v>
      </c>
      <c r="G74" s="39">
        <v>0.34610248074238298</v>
      </c>
      <c r="H74" s="42"/>
    </row>
    <row r="75" spans="2:8" x14ac:dyDescent="0.2">
      <c r="B75" s="36" t="s">
        <v>1131</v>
      </c>
      <c r="C75" s="36" t="s">
        <v>1132</v>
      </c>
      <c r="D75" s="36" t="s">
        <v>524</v>
      </c>
      <c r="E75" s="41">
        <v>249195</v>
      </c>
      <c r="F75" s="38">
        <v>1012.72848</v>
      </c>
      <c r="G75" s="39">
        <v>0.32737195265227997</v>
      </c>
      <c r="H75" s="42"/>
    </row>
    <row r="76" spans="2:8" x14ac:dyDescent="0.2">
      <c r="B76" s="36" t="s">
        <v>1121</v>
      </c>
      <c r="C76" s="36" t="s">
        <v>1122</v>
      </c>
      <c r="D76" s="36" t="s">
        <v>65</v>
      </c>
      <c r="E76" s="41">
        <v>225663</v>
      </c>
      <c r="F76" s="38">
        <v>1007.4724635</v>
      </c>
      <c r="G76" s="39">
        <v>0.32567290654193698</v>
      </c>
      <c r="H76" s="42"/>
    </row>
    <row r="77" spans="2:8" x14ac:dyDescent="0.2">
      <c r="B77" s="36" t="s">
        <v>1590</v>
      </c>
      <c r="C77" s="36" t="s">
        <v>140</v>
      </c>
      <c r="D77" s="36" t="s">
        <v>50</v>
      </c>
      <c r="E77" s="41">
        <v>816494</v>
      </c>
      <c r="F77" s="38">
        <v>988.16186349999998</v>
      </c>
      <c r="G77" s="39">
        <v>0.31943061262630901</v>
      </c>
      <c r="H77" s="42"/>
    </row>
    <row r="78" spans="2:8" x14ac:dyDescent="0.2">
      <c r="B78" s="36" t="s">
        <v>1591</v>
      </c>
      <c r="C78" s="36" t="s">
        <v>141</v>
      </c>
      <c r="D78" s="36" t="s">
        <v>102</v>
      </c>
      <c r="E78" s="41">
        <v>816494</v>
      </c>
      <c r="F78" s="38">
        <v>988.16186349999998</v>
      </c>
      <c r="G78" s="39">
        <v>0.31943061262630901</v>
      </c>
      <c r="H78" s="42"/>
    </row>
    <row r="79" spans="2:8" x14ac:dyDescent="0.2">
      <c r="B79" s="36" t="s">
        <v>1589</v>
      </c>
      <c r="C79" s="36" t="s">
        <v>138</v>
      </c>
      <c r="D79" s="36" t="s">
        <v>139</v>
      </c>
      <c r="E79" s="41">
        <v>816494</v>
      </c>
      <c r="F79" s="38">
        <v>988.16186349999998</v>
      </c>
      <c r="G79" s="39">
        <v>0.31943061262630901</v>
      </c>
      <c r="H79" s="42"/>
    </row>
    <row r="80" spans="2:8" x14ac:dyDescent="0.2">
      <c r="B80" s="36" t="s">
        <v>1592</v>
      </c>
      <c r="C80" s="36" t="s">
        <v>142</v>
      </c>
      <c r="D80" s="36" t="s">
        <v>62</v>
      </c>
      <c r="E80" s="41">
        <v>816494</v>
      </c>
      <c r="F80" s="38">
        <v>988.16186349999998</v>
      </c>
      <c r="G80" s="39">
        <v>0.31943061262630901</v>
      </c>
      <c r="H80" s="42"/>
    </row>
    <row r="81" spans="2:8" x14ac:dyDescent="0.2">
      <c r="B81" s="36" t="s">
        <v>125</v>
      </c>
      <c r="C81" s="36" t="s">
        <v>126</v>
      </c>
      <c r="D81" s="36" t="s">
        <v>82</v>
      </c>
      <c r="E81" s="41">
        <v>43309</v>
      </c>
      <c r="F81" s="38">
        <v>982.11819300000002</v>
      </c>
      <c r="G81" s="39">
        <v>0.31747695154948102</v>
      </c>
      <c r="H81" s="42"/>
    </row>
    <row r="82" spans="2:8" x14ac:dyDescent="0.2">
      <c r="B82" s="36" t="s">
        <v>145</v>
      </c>
      <c r="C82" s="36" t="s">
        <v>146</v>
      </c>
      <c r="D82" s="36" t="s">
        <v>147</v>
      </c>
      <c r="E82" s="41">
        <v>27293</v>
      </c>
      <c r="F82" s="38">
        <v>960.33149800000001</v>
      </c>
      <c r="G82" s="39">
        <v>0.310434241657497</v>
      </c>
      <c r="H82" s="42"/>
    </row>
    <row r="83" spans="2:8" x14ac:dyDescent="0.2">
      <c r="B83" s="36" t="s">
        <v>134</v>
      </c>
      <c r="C83" s="36" t="s">
        <v>135</v>
      </c>
      <c r="D83" s="36" t="s">
        <v>36</v>
      </c>
      <c r="E83" s="41">
        <v>301721</v>
      </c>
      <c r="F83" s="38">
        <v>899.43030099999999</v>
      </c>
      <c r="G83" s="39">
        <v>0.290747480423379</v>
      </c>
      <c r="H83" s="42"/>
    </row>
    <row r="84" spans="2:8" x14ac:dyDescent="0.2">
      <c r="B84" s="36" t="s">
        <v>1001</v>
      </c>
      <c r="C84" s="36" t="s">
        <v>1002</v>
      </c>
      <c r="D84" s="36" t="s">
        <v>558</v>
      </c>
      <c r="E84" s="41">
        <v>81594</v>
      </c>
      <c r="F84" s="38">
        <v>888.19148700000005</v>
      </c>
      <c r="G84" s="39">
        <v>0.287114450882553</v>
      </c>
      <c r="H84" s="42"/>
    </row>
    <row r="85" spans="2:8" x14ac:dyDescent="0.2">
      <c r="B85" s="36" t="s">
        <v>849</v>
      </c>
      <c r="C85" s="36" t="s">
        <v>850</v>
      </c>
      <c r="D85" s="36" t="s">
        <v>28</v>
      </c>
      <c r="E85" s="41">
        <v>325866</v>
      </c>
      <c r="F85" s="38">
        <v>832.42469700000004</v>
      </c>
      <c r="G85" s="39">
        <v>0.26908742459071799</v>
      </c>
      <c r="H85" s="42"/>
    </row>
    <row r="86" spans="2:8" x14ac:dyDescent="0.2">
      <c r="B86" s="36" t="s">
        <v>1057</v>
      </c>
      <c r="C86" s="36" t="s">
        <v>1058</v>
      </c>
      <c r="D86" s="36" t="s">
        <v>82</v>
      </c>
      <c r="E86" s="41">
        <v>17672</v>
      </c>
      <c r="F86" s="38">
        <v>812.64692000000002</v>
      </c>
      <c r="G86" s="39">
        <v>0.262694112263202</v>
      </c>
      <c r="H86" s="42"/>
    </row>
    <row r="87" spans="2:8" x14ac:dyDescent="0.2">
      <c r="B87" s="36" t="s">
        <v>1180</v>
      </c>
      <c r="C87" s="36" t="s">
        <v>1181</v>
      </c>
      <c r="D87" s="36" t="s">
        <v>131</v>
      </c>
      <c r="E87" s="41">
        <v>609401</v>
      </c>
      <c r="F87" s="38">
        <v>794.41514359999996</v>
      </c>
      <c r="G87" s="39">
        <v>0.25680055603538798</v>
      </c>
      <c r="H87" s="42"/>
    </row>
    <row r="88" spans="2:8" x14ac:dyDescent="0.2">
      <c r="B88" s="36" t="s">
        <v>604</v>
      </c>
      <c r="C88" s="36" t="s">
        <v>605</v>
      </c>
      <c r="D88" s="36" t="s">
        <v>139</v>
      </c>
      <c r="E88" s="41">
        <v>183647</v>
      </c>
      <c r="F88" s="38">
        <v>779.48969150000005</v>
      </c>
      <c r="G88" s="39">
        <v>0.25197579353024502</v>
      </c>
      <c r="H88" s="42"/>
    </row>
    <row r="89" spans="2:8" x14ac:dyDescent="0.2">
      <c r="B89" s="36" t="s">
        <v>1039</v>
      </c>
      <c r="C89" s="36" t="s">
        <v>1040</v>
      </c>
      <c r="D89" s="36" t="s">
        <v>463</v>
      </c>
      <c r="E89" s="41">
        <v>70028</v>
      </c>
      <c r="F89" s="38">
        <v>737.95506399999999</v>
      </c>
      <c r="G89" s="39">
        <v>0.23854941876555</v>
      </c>
      <c r="H89" s="42"/>
    </row>
    <row r="90" spans="2:8" x14ac:dyDescent="0.2">
      <c r="B90" s="36" t="s">
        <v>594</v>
      </c>
      <c r="C90" s="36" t="s">
        <v>595</v>
      </c>
      <c r="D90" s="36" t="s">
        <v>463</v>
      </c>
      <c r="E90" s="41">
        <v>87338</v>
      </c>
      <c r="F90" s="38">
        <v>717.65634599999998</v>
      </c>
      <c r="G90" s="39">
        <v>0.23198770841649499</v>
      </c>
      <c r="H90" s="42"/>
    </row>
    <row r="91" spans="2:8" x14ac:dyDescent="0.2">
      <c r="B91" s="36" t="s">
        <v>1342</v>
      </c>
      <c r="C91" s="36" t="s">
        <v>1343</v>
      </c>
      <c r="D91" s="36" t="s">
        <v>28</v>
      </c>
      <c r="E91" s="41">
        <v>1269439</v>
      </c>
      <c r="F91" s="38">
        <v>690.44787210000004</v>
      </c>
      <c r="G91" s="39">
        <v>0.223192368495442</v>
      </c>
      <c r="H91" s="42"/>
    </row>
    <row r="92" spans="2:8" x14ac:dyDescent="0.2">
      <c r="B92" s="36" t="s">
        <v>881</v>
      </c>
      <c r="C92" s="36" t="s">
        <v>882</v>
      </c>
      <c r="D92" s="36" t="s">
        <v>47</v>
      </c>
      <c r="E92" s="41">
        <v>52610</v>
      </c>
      <c r="F92" s="38">
        <v>686.56050000000005</v>
      </c>
      <c r="G92" s="39">
        <v>0.221935746784692</v>
      </c>
      <c r="H92" s="42"/>
    </row>
    <row r="93" spans="2:8" x14ac:dyDescent="0.2">
      <c r="B93" s="36" t="s">
        <v>1305</v>
      </c>
      <c r="C93" s="36" t="s">
        <v>1306</v>
      </c>
      <c r="D93" s="36" t="s">
        <v>55</v>
      </c>
      <c r="E93" s="41">
        <v>44929</v>
      </c>
      <c r="F93" s="38">
        <v>674.653864</v>
      </c>
      <c r="G93" s="39">
        <v>0.21808683885545099</v>
      </c>
      <c r="H93" s="42"/>
    </row>
    <row r="94" spans="2:8" x14ac:dyDescent="0.2">
      <c r="B94" s="36" t="s">
        <v>1344</v>
      </c>
      <c r="C94" s="36" t="s">
        <v>1345</v>
      </c>
      <c r="D94" s="36" t="s">
        <v>179</v>
      </c>
      <c r="E94" s="41">
        <v>8406</v>
      </c>
      <c r="F94" s="38">
        <v>662.35077000000001</v>
      </c>
      <c r="G94" s="39">
        <v>0.214109772952807</v>
      </c>
      <c r="H94" s="42"/>
    </row>
    <row r="95" spans="2:8" x14ac:dyDescent="0.2">
      <c r="B95" s="36" t="s">
        <v>527</v>
      </c>
      <c r="C95" s="36" t="s">
        <v>528</v>
      </c>
      <c r="D95" s="36" t="s">
        <v>529</v>
      </c>
      <c r="E95" s="41">
        <v>110714</v>
      </c>
      <c r="F95" s="38">
        <v>653.87688400000002</v>
      </c>
      <c r="G95" s="39">
        <v>0.211370526786477</v>
      </c>
      <c r="H95" s="42"/>
    </row>
    <row r="96" spans="2:8" x14ac:dyDescent="0.2">
      <c r="B96" s="36" t="s">
        <v>1170</v>
      </c>
      <c r="C96" s="36" t="s">
        <v>1171</v>
      </c>
      <c r="D96" s="36" t="s">
        <v>65</v>
      </c>
      <c r="E96" s="41">
        <v>159074</v>
      </c>
      <c r="F96" s="38">
        <v>649.02192000000002</v>
      </c>
      <c r="G96" s="39">
        <v>0.20980112385555899</v>
      </c>
      <c r="H96" s="42"/>
    </row>
    <row r="97" spans="2:8" x14ac:dyDescent="0.2">
      <c r="B97" s="36" t="s">
        <v>559</v>
      </c>
      <c r="C97" s="36" t="s">
        <v>560</v>
      </c>
      <c r="D97" s="36" t="s">
        <v>131</v>
      </c>
      <c r="E97" s="41">
        <v>199396</v>
      </c>
      <c r="F97" s="38">
        <v>609.95236399999999</v>
      </c>
      <c r="G97" s="39">
        <v>0.197171601639518</v>
      </c>
      <c r="H97" s="42"/>
    </row>
    <row r="98" spans="2:8" x14ac:dyDescent="0.2">
      <c r="B98" s="36" t="s">
        <v>1065</v>
      </c>
      <c r="C98" s="36" t="s">
        <v>1066</v>
      </c>
      <c r="D98" s="36" t="s">
        <v>65</v>
      </c>
      <c r="E98" s="41">
        <v>18749</v>
      </c>
      <c r="F98" s="38">
        <v>607.65508999999997</v>
      </c>
      <c r="G98" s="39">
        <v>0.19642899087068</v>
      </c>
      <c r="H98" s="42"/>
    </row>
    <row r="99" spans="2:8" x14ac:dyDescent="0.2">
      <c r="B99" s="36" t="s">
        <v>1346</v>
      </c>
      <c r="C99" s="36" t="s">
        <v>1347</v>
      </c>
      <c r="D99" s="36" t="s">
        <v>674</v>
      </c>
      <c r="E99" s="41">
        <v>128365</v>
      </c>
      <c r="F99" s="38">
        <v>607.61572750000005</v>
      </c>
      <c r="G99" s="39">
        <v>0.196416266652154</v>
      </c>
      <c r="H99" s="42"/>
    </row>
    <row r="100" spans="2:8" x14ac:dyDescent="0.2">
      <c r="B100" s="36" t="s">
        <v>1348</v>
      </c>
      <c r="C100" s="36" t="s">
        <v>1349</v>
      </c>
      <c r="D100" s="36" t="s">
        <v>65</v>
      </c>
      <c r="E100" s="41">
        <v>26416</v>
      </c>
      <c r="F100" s="38">
        <v>592.51088000000004</v>
      </c>
      <c r="G100" s="39">
        <v>0.19153351326045601</v>
      </c>
      <c r="H100" s="42"/>
    </row>
    <row r="101" spans="2:8" x14ac:dyDescent="0.2">
      <c r="B101" s="36" t="s">
        <v>598</v>
      </c>
      <c r="C101" s="36" t="s">
        <v>599</v>
      </c>
      <c r="D101" s="36" t="s">
        <v>82</v>
      </c>
      <c r="E101" s="41">
        <v>37992</v>
      </c>
      <c r="F101" s="38">
        <v>541.91788799999995</v>
      </c>
      <c r="G101" s="39">
        <v>0.17517895534226499</v>
      </c>
      <c r="H101" s="42"/>
    </row>
    <row r="102" spans="2:8" x14ac:dyDescent="0.2">
      <c r="B102" s="36" t="s">
        <v>100</v>
      </c>
      <c r="C102" s="36" t="s">
        <v>101</v>
      </c>
      <c r="D102" s="36" t="s">
        <v>102</v>
      </c>
      <c r="E102" s="41">
        <v>199129</v>
      </c>
      <c r="F102" s="38">
        <v>528.48836600000004</v>
      </c>
      <c r="G102" s="39">
        <v>0.1708377632783</v>
      </c>
      <c r="H102" s="42"/>
    </row>
    <row r="103" spans="2:8" x14ac:dyDescent="0.2">
      <c r="B103" s="36" t="s">
        <v>873</v>
      </c>
      <c r="C103" s="36" t="s">
        <v>874</v>
      </c>
      <c r="D103" s="36" t="s">
        <v>82</v>
      </c>
      <c r="E103" s="41">
        <v>15876</v>
      </c>
      <c r="F103" s="38">
        <v>497.31569999999999</v>
      </c>
      <c r="G103" s="39">
        <v>0.16076096901475101</v>
      </c>
      <c r="H103" s="42"/>
    </row>
    <row r="104" spans="2:8" x14ac:dyDescent="0.2">
      <c r="B104" s="36" t="s">
        <v>159</v>
      </c>
      <c r="C104" s="36" t="s">
        <v>160</v>
      </c>
      <c r="D104" s="36" t="s">
        <v>65</v>
      </c>
      <c r="E104" s="41">
        <v>11742</v>
      </c>
      <c r="F104" s="38">
        <v>484.79195399999998</v>
      </c>
      <c r="G104" s="39">
        <v>0.15671257572522701</v>
      </c>
      <c r="H104" s="42"/>
    </row>
    <row r="105" spans="2:8" x14ac:dyDescent="0.2">
      <c r="B105" s="36" t="s">
        <v>173</v>
      </c>
      <c r="C105" s="36" t="s">
        <v>174</v>
      </c>
      <c r="D105" s="36" t="s">
        <v>131</v>
      </c>
      <c r="E105" s="41">
        <v>155592</v>
      </c>
      <c r="F105" s="38">
        <v>472.455108</v>
      </c>
      <c r="G105" s="39">
        <v>0.15272459923957499</v>
      </c>
      <c r="H105" s="42"/>
    </row>
    <row r="106" spans="2:8" x14ac:dyDescent="0.2">
      <c r="B106" s="36" t="s">
        <v>855</v>
      </c>
      <c r="C106" s="36" t="s">
        <v>856</v>
      </c>
      <c r="D106" s="36" t="s">
        <v>39</v>
      </c>
      <c r="E106" s="41">
        <v>47919</v>
      </c>
      <c r="F106" s="38">
        <v>461.98707899999999</v>
      </c>
      <c r="G106" s="39">
        <v>0.149340731636532</v>
      </c>
      <c r="H106" s="42"/>
    </row>
    <row r="107" spans="2:8" x14ac:dyDescent="0.2">
      <c r="B107" s="36" t="s">
        <v>1350</v>
      </c>
      <c r="C107" s="36" t="s">
        <v>1351</v>
      </c>
      <c r="D107" s="36" t="s">
        <v>610</v>
      </c>
      <c r="E107" s="41">
        <v>49079</v>
      </c>
      <c r="F107" s="38">
        <v>444.16494999999998</v>
      </c>
      <c r="G107" s="39">
        <v>0.14357959695297801</v>
      </c>
      <c r="H107" s="42"/>
    </row>
    <row r="108" spans="2:8" x14ac:dyDescent="0.2">
      <c r="B108" s="36" t="s">
        <v>1352</v>
      </c>
      <c r="C108" s="36" t="s">
        <v>1353</v>
      </c>
      <c r="D108" s="36" t="s">
        <v>897</v>
      </c>
      <c r="E108" s="41">
        <v>65675</v>
      </c>
      <c r="F108" s="38">
        <v>394.5754</v>
      </c>
      <c r="G108" s="39">
        <v>0.12754940906426801</v>
      </c>
      <c r="H108" s="42"/>
    </row>
    <row r="109" spans="2:8" x14ac:dyDescent="0.2">
      <c r="B109" s="36" t="s">
        <v>778</v>
      </c>
      <c r="C109" s="36" t="s">
        <v>779</v>
      </c>
      <c r="D109" s="36" t="s">
        <v>463</v>
      </c>
      <c r="E109" s="41">
        <v>203891</v>
      </c>
      <c r="F109" s="38">
        <v>392.08239300000002</v>
      </c>
      <c r="G109" s="39">
        <v>0.126743526159143</v>
      </c>
      <c r="H109" s="42"/>
    </row>
    <row r="110" spans="2:8" x14ac:dyDescent="0.2">
      <c r="B110" s="36" t="s">
        <v>1354</v>
      </c>
      <c r="C110" s="36" t="s">
        <v>1355</v>
      </c>
      <c r="D110" s="36" t="s">
        <v>82</v>
      </c>
      <c r="E110" s="41">
        <v>38621</v>
      </c>
      <c r="F110" s="38">
        <v>388.37277599999999</v>
      </c>
      <c r="G110" s="39">
        <v>0.125544365095871</v>
      </c>
      <c r="H110" s="42"/>
    </row>
    <row r="111" spans="2:8" x14ac:dyDescent="0.2">
      <c r="B111" s="36" t="s">
        <v>1356</v>
      </c>
      <c r="C111" s="36" t="s">
        <v>1357</v>
      </c>
      <c r="D111" s="36" t="s">
        <v>99</v>
      </c>
      <c r="E111" s="41">
        <v>157147</v>
      </c>
      <c r="F111" s="38">
        <v>342.67474820000001</v>
      </c>
      <c r="G111" s="39">
        <v>0.110772140468354</v>
      </c>
      <c r="H111" s="42"/>
    </row>
    <row r="112" spans="2:8" x14ac:dyDescent="0.2">
      <c r="B112" s="36" t="s">
        <v>1358</v>
      </c>
      <c r="C112" s="36" t="s">
        <v>1359</v>
      </c>
      <c r="D112" s="36" t="s">
        <v>82</v>
      </c>
      <c r="E112" s="41">
        <v>28128</v>
      </c>
      <c r="F112" s="38">
        <v>312.727104</v>
      </c>
      <c r="G112" s="39">
        <v>0.101091343539359</v>
      </c>
      <c r="H112" s="42"/>
    </row>
    <row r="113" spans="2:8" x14ac:dyDescent="0.2">
      <c r="B113" s="36" t="s">
        <v>1360</v>
      </c>
      <c r="C113" s="36" t="s">
        <v>1361</v>
      </c>
      <c r="D113" s="36" t="s">
        <v>733</v>
      </c>
      <c r="E113" s="41">
        <v>88677</v>
      </c>
      <c r="F113" s="38">
        <v>310.546854</v>
      </c>
      <c r="G113" s="39">
        <v>0.100386561641875</v>
      </c>
      <c r="H113" s="42"/>
    </row>
    <row r="114" spans="2:8" x14ac:dyDescent="0.2">
      <c r="B114" s="36" t="s">
        <v>143</v>
      </c>
      <c r="C114" s="36" t="s">
        <v>144</v>
      </c>
      <c r="D114" s="36" t="s">
        <v>99</v>
      </c>
      <c r="E114" s="41">
        <v>9892</v>
      </c>
      <c r="F114" s="38">
        <v>264.27467200000001</v>
      </c>
      <c r="G114" s="39">
        <v>8.5428737433335497E-2</v>
      </c>
      <c r="H114" s="42"/>
    </row>
    <row r="115" spans="2:8" x14ac:dyDescent="0.2">
      <c r="B115" s="36" t="s">
        <v>1362</v>
      </c>
      <c r="C115" s="36" t="s">
        <v>1363</v>
      </c>
      <c r="D115" s="36" t="s">
        <v>82</v>
      </c>
      <c r="E115" s="41">
        <v>67881</v>
      </c>
      <c r="F115" s="38">
        <v>247.08684</v>
      </c>
      <c r="G115" s="39">
        <v>7.98726439346127E-2</v>
      </c>
      <c r="H115" s="42"/>
    </row>
    <row r="116" spans="2:8" x14ac:dyDescent="0.2">
      <c r="B116" s="36" t="s">
        <v>1364</v>
      </c>
      <c r="C116" s="36" t="s">
        <v>1365</v>
      </c>
      <c r="D116" s="36" t="s">
        <v>610</v>
      </c>
      <c r="E116" s="41">
        <v>185784</v>
      </c>
      <c r="F116" s="38">
        <v>238.67670480000001</v>
      </c>
      <c r="G116" s="39">
        <v>7.7154005684710203E-2</v>
      </c>
      <c r="H116" s="42"/>
    </row>
    <row r="117" spans="2:8" x14ac:dyDescent="0.2">
      <c r="B117" s="36" t="s">
        <v>675</v>
      </c>
      <c r="C117" s="36" t="s">
        <v>676</v>
      </c>
      <c r="D117" s="36" t="s">
        <v>44</v>
      </c>
      <c r="E117" s="41">
        <v>2358</v>
      </c>
      <c r="F117" s="38">
        <v>234.95112</v>
      </c>
      <c r="G117" s="39">
        <v>7.5949682912284905E-2</v>
      </c>
      <c r="H117" s="42"/>
    </row>
    <row r="118" spans="2:8" x14ac:dyDescent="0.2">
      <c r="B118" s="36" t="s">
        <v>984</v>
      </c>
      <c r="C118" s="36" t="s">
        <v>985</v>
      </c>
      <c r="D118" s="36" t="s">
        <v>99</v>
      </c>
      <c r="E118" s="41">
        <v>20205</v>
      </c>
      <c r="F118" s="38">
        <v>216.71883</v>
      </c>
      <c r="G118" s="39">
        <v>7.0055960659482594E-2</v>
      </c>
      <c r="H118" s="42"/>
    </row>
    <row r="119" spans="2:8" x14ac:dyDescent="0.2">
      <c r="B119" s="36" t="s">
        <v>752</v>
      </c>
      <c r="C119" s="36" t="s">
        <v>753</v>
      </c>
      <c r="D119" s="36" t="s">
        <v>99</v>
      </c>
      <c r="E119" s="41">
        <v>59635</v>
      </c>
      <c r="F119" s="38">
        <v>211.73406750000001</v>
      </c>
      <c r="G119" s="39">
        <v>6.8444599405839496E-2</v>
      </c>
      <c r="H119" s="42"/>
    </row>
    <row r="120" spans="2:8" x14ac:dyDescent="0.2">
      <c r="B120" s="36" t="s">
        <v>1174</v>
      </c>
      <c r="C120" s="36" t="s">
        <v>1175</v>
      </c>
      <c r="D120" s="36" t="s">
        <v>36</v>
      </c>
      <c r="E120" s="41">
        <v>18942</v>
      </c>
      <c r="F120" s="38">
        <v>200.444244</v>
      </c>
      <c r="G120" s="39">
        <v>6.4795080667811505E-2</v>
      </c>
      <c r="H120" s="42"/>
    </row>
    <row r="121" spans="2:8" x14ac:dyDescent="0.2">
      <c r="B121" s="36" t="s">
        <v>1593</v>
      </c>
      <c r="C121" s="36" t="s">
        <v>1366</v>
      </c>
      <c r="D121" s="36" t="s">
        <v>71</v>
      </c>
      <c r="E121" s="41">
        <v>884320</v>
      </c>
      <c r="F121" s="38">
        <v>197.55708799999999</v>
      </c>
      <c r="G121" s="39">
        <v>6.3861786190567496E-2</v>
      </c>
      <c r="H121" s="42"/>
    </row>
    <row r="122" spans="2:8" x14ac:dyDescent="0.2">
      <c r="B122" s="36" t="s">
        <v>1367</v>
      </c>
      <c r="C122" s="36" t="s">
        <v>1368</v>
      </c>
      <c r="D122" s="36" t="s">
        <v>71</v>
      </c>
      <c r="E122" s="41">
        <v>136204</v>
      </c>
      <c r="F122" s="38">
        <v>159.6174676</v>
      </c>
      <c r="G122" s="39">
        <v>5.15975239934243E-2</v>
      </c>
      <c r="H122" s="42"/>
    </row>
    <row r="123" spans="2:8" x14ac:dyDescent="0.2">
      <c r="B123" s="36" t="s">
        <v>1369</v>
      </c>
      <c r="C123" s="36" t="s">
        <v>1370</v>
      </c>
      <c r="D123" s="36" t="s">
        <v>55</v>
      </c>
      <c r="E123" s="41">
        <v>25769</v>
      </c>
      <c r="F123" s="38">
        <v>148.48097799999999</v>
      </c>
      <c r="G123" s="39">
        <v>4.79975715698054E-2</v>
      </c>
      <c r="H123" s="42"/>
    </row>
    <row r="124" spans="2:8" x14ac:dyDescent="0.2">
      <c r="B124" s="36" t="s">
        <v>1371</v>
      </c>
      <c r="C124" s="36" t="s">
        <v>1372</v>
      </c>
      <c r="D124" s="36" t="s">
        <v>47</v>
      </c>
      <c r="E124" s="41">
        <v>18597</v>
      </c>
      <c r="F124" s="38">
        <v>147.28824</v>
      </c>
      <c r="G124" s="39">
        <v>4.76120102117773E-2</v>
      </c>
      <c r="H124" s="42"/>
    </row>
    <row r="125" spans="2:8" x14ac:dyDescent="0.2">
      <c r="B125" s="36" t="s">
        <v>1373</v>
      </c>
      <c r="C125" s="36" t="s">
        <v>1374</v>
      </c>
      <c r="D125" s="36" t="s">
        <v>558</v>
      </c>
      <c r="E125" s="41">
        <v>18909</v>
      </c>
      <c r="F125" s="38">
        <v>144.975303</v>
      </c>
      <c r="G125" s="39">
        <v>4.6864336262633803E-2</v>
      </c>
      <c r="H125" s="42"/>
    </row>
    <row r="126" spans="2:8" x14ac:dyDescent="0.2">
      <c r="B126" s="36" t="s">
        <v>1375</v>
      </c>
      <c r="C126" s="36" t="s">
        <v>1376</v>
      </c>
      <c r="D126" s="36" t="s">
        <v>74</v>
      </c>
      <c r="E126" s="41">
        <v>12560</v>
      </c>
      <c r="F126" s="38">
        <v>125.26088</v>
      </c>
      <c r="G126" s="39">
        <v>4.0491503583016598E-2</v>
      </c>
      <c r="H126" s="42"/>
    </row>
    <row r="127" spans="2:8" x14ac:dyDescent="0.2">
      <c r="B127" s="36" t="s">
        <v>1009</v>
      </c>
      <c r="C127" s="36" t="s">
        <v>1010</v>
      </c>
      <c r="D127" s="36" t="s">
        <v>50</v>
      </c>
      <c r="E127" s="41">
        <v>20826</v>
      </c>
      <c r="F127" s="38">
        <v>123.41487600000001</v>
      </c>
      <c r="G127" s="39">
        <v>3.9894769170961797E-2</v>
      </c>
      <c r="H127" s="42"/>
    </row>
    <row r="128" spans="2:8" x14ac:dyDescent="0.2">
      <c r="B128" s="36" t="s">
        <v>1119</v>
      </c>
      <c r="C128" s="36" t="s">
        <v>1120</v>
      </c>
      <c r="D128" s="36" t="s">
        <v>558</v>
      </c>
      <c r="E128" s="41">
        <v>4222</v>
      </c>
      <c r="F128" s="38">
        <v>122.58577</v>
      </c>
      <c r="G128" s="39">
        <v>3.96267545396604E-2</v>
      </c>
      <c r="H128" s="42"/>
    </row>
    <row r="129" spans="2:9" x14ac:dyDescent="0.2">
      <c r="B129" s="36" t="s">
        <v>1103</v>
      </c>
      <c r="C129" s="36" t="s">
        <v>1104</v>
      </c>
      <c r="D129" s="36" t="s">
        <v>47</v>
      </c>
      <c r="E129" s="41">
        <v>10532</v>
      </c>
      <c r="F129" s="38">
        <v>112.813518</v>
      </c>
      <c r="G129" s="39">
        <v>3.6467801985022898E-2</v>
      </c>
      <c r="H129" s="42"/>
    </row>
    <row r="130" spans="2:9" x14ac:dyDescent="0.2">
      <c r="B130" s="36" t="s">
        <v>1257</v>
      </c>
      <c r="C130" s="36" t="s">
        <v>1258</v>
      </c>
      <c r="D130" s="36" t="s">
        <v>74</v>
      </c>
      <c r="E130" s="41">
        <v>28741</v>
      </c>
      <c r="F130" s="38">
        <v>100.2054965</v>
      </c>
      <c r="G130" s="39">
        <v>3.2392166018374698E-2</v>
      </c>
      <c r="H130" s="42"/>
    </row>
    <row r="131" spans="2:9" x14ac:dyDescent="0.2">
      <c r="B131" s="36" t="s">
        <v>831</v>
      </c>
      <c r="C131" s="36" t="s">
        <v>832</v>
      </c>
      <c r="D131" s="36" t="s">
        <v>71</v>
      </c>
      <c r="E131" s="41">
        <v>21048</v>
      </c>
      <c r="F131" s="38">
        <v>95.210628</v>
      </c>
      <c r="G131" s="39">
        <v>3.0777537925673702E-2</v>
      </c>
      <c r="H131" s="42"/>
    </row>
    <row r="132" spans="2:9" x14ac:dyDescent="0.2">
      <c r="B132" s="36" t="s">
        <v>1377</v>
      </c>
      <c r="C132" s="36" t="s">
        <v>1378</v>
      </c>
      <c r="D132" s="36" t="s">
        <v>91</v>
      </c>
      <c r="E132" s="41">
        <v>14120</v>
      </c>
      <c r="F132" s="38">
        <v>94.145099999999999</v>
      </c>
      <c r="G132" s="39">
        <v>3.04330981386484E-2</v>
      </c>
      <c r="H132" s="42"/>
    </row>
    <row r="133" spans="2:9" x14ac:dyDescent="0.2">
      <c r="B133" s="36" t="s">
        <v>1307</v>
      </c>
      <c r="C133" s="36" t="s">
        <v>1308</v>
      </c>
      <c r="D133" s="36" t="s">
        <v>571</v>
      </c>
      <c r="E133" s="41">
        <v>61412</v>
      </c>
      <c r="F133" s="38">
        <v>88.746481200000005</v>
      </c>
      <c r="G133" s="39">
        <v>2.86879547827695E-2</v>
      </c>
      <c r="H133" s="42"/>
    </row>
    <row r="134" spans="2:9" ht="10.5" x14ac:dyDescent="0.25">
      <c r="B134" s="35" t="s">
        <v>180</v>
      </c>
      <c r="C134" s="35"/>
      <c r="D134" s="35"/>
      <c r="E134" s="43"/>
      <c r="F134" s="44">
        <f>SUM(F7:F133)</f>
        <v>306644.75632570038</v>
      </c>
      <c r="G134" s="45">
        <f>SUM(G7:G133)</f>
        <v>99.125179780593399</v>
      </c>
      <c r="H134" s="35"/>
      <c r="I134" s="26"/>
    </row>
    <row r="135" spans="2:9" ht="10.5" x14ac:dyDescent="0.25">
      <c r="B135" s="35" t="s">
        <v>181</v>
      </c>
      <c r="C135" s="35"/>
      <c r="D135" s="35"/>
      <c r="E135" s="43"/>
      <c r="F135" s="47" t="s">
        <v>182</v>
      </c>
      <c r="G135" s="48" t="s">
        <v>182</v>
      </c>
      <c r="H135" s="35"/>
      <c r="I135" s="26"/>
    </row>
    <row r="136" spans="2:9" ht="10.5" x14ac:dyDescent="0.25">
      <c r="B136" s="35" t="s">
        <v>180</v>
      </c>
      <c r="C136" s="35"/>
      <c r="D136" s="35"/>
      <c r="E136" s="43"/>
      <c r="F136" s="49" t="s">
        <v>182</v>
      </c>
      <c r="G136" s="50" t="s">
        <v>182</v>
      </c>
      <c r="H136" s="35"/>
      <c r="I136" s="26"/>
    </row>
    <row r="137" spans="2:9" ht="10.5" x14ac:dyDescent="0.25">
      <c r="B137" s="51" t="s">
        <v>183</v>
      </c>
      <c r="C137" s="51"/>
      <c r="D137" s="51"/>
      <c r="E137" s="52"/>
      <c r="F137" s="53">
        <f>F134</f>
        <v>306644.75632570038</v>
      </c>
      <c r="G137" s="54">
        <f>G134</f>
        <v>99.125179780593399</v>
      </c>
      <c r="H137" s="35"/>
      <c r="I137" s="26"/>
    </row>
    <row r="138" spans="2:9" ht="10.5" x14ac:dyDescent="0.25">
      <c r="B138" s="35" t="s">
        <v>184</v>
      </c>
      <c r="C138" s="35"/>
      <c r="D138" s="35"/>
      <c r="E138" s="43"/>
      <c r="F138" s="44">
        <v>2836.9094669000001</v>
      </c>
      <c r="G138" s="45">
        <v>0.91705191472130099</v>
      </c>
      <c r="H138" s="42">
        <v>5.3499999999999999E-2</v>
      </c>
      <c r="I138" s="27"/>
    </row>
    <row r="139" spans="2:9" x14ac:dyDescent="0.2">
      <c r="B139" s="36"/>
      <c r="C139" s="36"/>
      <c r="D139" s="36"/>
      <c r="E139" s="37"/>
      <c r="F139" s="38"/>
      <c r="G139" s="39"/>
      <c r="H139" s="36"/>
    </row>
    <row r="140" spans="2:9" ht="10.5" x14ac:dyDescent="0.25">
      <c r="B140" s="35" t="s">
        <v>186</v>
      </c>
      <c r="C140" s="36"/>
      <c r="D140" s="36"/>
      <c r="E140" s="37"/>
      <c r="F140" s="152">
        <v>300</v>
      </c>
      <c r="G140" s="152">
        <f>F140/F142*100</f>
        <v>9.6977213276044236E-2</v>
      </c>
      <c r="H140" s="36"/>
    </row>
    <row r="141" spans="2:9" ht="10.5" x14ac:dyDescent="0.25">
      <c r="B141" s="61" t="s">
        <v>187</v>
      </c>
      <c r="C141" s="61"/>
      <c r="D141" s="61"/>
      <c r="E141" s="62"/>
      <c r="F141" s="44">
        <f>F142-(F134+F138+F140)</f>
        <v>-430.64418090035906</v>
      </c>
      <c r="G141" s="45">
        <f>G142-(G134+G138+G140)</f>
        <v>-0.13920890859074575</v>
      </c>
      <c r="H141" s="35"/>
      <c r="I141" s="26"/>
    </row>
    <row r="142" spans="2:9" ht="10.5" x14ac:dyDescent="0.25">
      <c r="B142" s="55" t="s">
        <v>185</v>
      </c>
      <c r="C142" s="55"/>
      <c r="D142" s="55"/>
      <c r="E142" s="56"/>
      <c r="F142" s="57">
        <v>309351.02161170001</v>
      </c>
      <c r="G142" s="58">
        <v>100</v>
      </c>
      <c r="H142" s="60"/>
      <c r="I142" s="26"/>
    </row>
    <row r="144" spans="2:9" ht="10.5" x14ac:dyDescent="0.25">
      <c r="B144" s="26" t="s">
        <v>188</v>
      </c>
    </row>
    <row r="146" spans="2:7" ht="10.5" x14ac:dyDescent="0.25">
      <c r="B146" s="63" t="s">
        <v>7</v>
      </c>
      <c r="C146" s="63" t="s">
        <v>189</v>
      </c>
      <c r="D146" s="63" t="s">
        <v>190</v>
      </c>
      <c r="E146" s="64" t="s">
        <v>0</v>
      </c>
      <c r="F146" s="65" t="s">
        <v>191</v>
      </c>
      <c r="G146" s="66" t="s">
        <v>192</v>
      </c>
    </row>
    <row r="147" spans="2:7" x14ac:dyDescent="0.2">
      <c r="B147" s="67" t="s">
        <v>193</v>
      </c>
      <c r="C147" s="67" t="s">
        <v>194</v>
      </c>
      <c r="D147" s="67" t="s">
        <v>195</v>
      </c>
      <c r="E147" s="68">
        <v>6500</v>
      </c>
      <c r="F147" s="69">
        <v>1543.672</v>
      </c>
      <c r="G147" s="70">
        <v>0.49900336257419298</v>
      </c>
    </row>
    <row r="148" spans="2:7" ht="10.5" x14ac:dyDescent="0.25">
      <c r="B148" s="63"/>
      <c r="C148" s="63"/>
      <c r="D148" s="63"/>
      <c r="E148" s="64"/>
      <c r="F148" s="65">
        <f>SUM(F147:F147)</f>
        <v>1543.672</v>
      </c>
      <c r="G148" s="66">
        <f>SUM(G147:G147)</f>
        <v>0.49900336257419298</v>
      </c>
    </row>
    <row r="150" spans="2:7" ht="10.5" x14ac:dyDescent="0.25">
      <c r="B150" s="26" t="s">
        <v>259</v>
      </c>
    </row>
    <row r="151" spans="2:7" ht="10.5" x14ac:dyDescent="0.25">
      <c r="B151" s="26"/>
    </row>
    <row r="152" spans="2:7" ht="10.5" x14ac:dyDescent="0.2">
      <c r="B152" s="90" t="s">
        <v>196</v>
      </c>
      <c r="E152" s="8"/>
    </row>
    <row r="153" spans="2:7" ht="10.5" x14ac:dyDescent="0.2">
      <c r="B153" s="90"/>
      <c r="E153" s="8"/>
    </row>
    <row r="154" spans="2:7" x14ac:dyDescent="0.2">
      <c r="B154" s="94" t="s">
        <v>1508</v>
      </c>
      <c r="E154" s="8"/>
    </row>
    <row r="155" spans="2:7" x14ac:dyDescent="0.2">
      <c r="B155" s="94" t="s">
        <v>1515</v>
      </c>
      <c r="E155" s="8"/>
    </row>
    <row r="156" spans="2:7" x14ac:dyDescent="0.2">
      <c r="B156" s="94" t="s">
        <v>1516</v>
      </c>
      <c r="E156" s="8"/>
    </row>
    <row r="157" spans="2:7" ht="10.5" x14ac:dyDescent="0.2">
      <c r="B157" s="90"/>
      <c r="E157" s="8"/>
    </row>
    <row r="158" spans="2:7" ht="10.5" x14ac:dyDescent="0.2">
      <c r="B158" s="100" t="s">
        <v>1510</v>
      </c>
      <c r="C158" s="96" t="s">
        <v>1511</v>
      </c>
      <c r="D158" s="96" t="s">
        <v>1563</v>
      </c>
      <c r="E158" s="8"/>
    </row>
    <row r="159" spans="2:7" x14ac:dyDescent="0.2">
      <c r="B159" s="97" t="s">
        <v>1512</v>
      </c>
      <c r="C159" s="104">
        <v>9.6951000000000001</v>
      </c>
      <c r="D159" s="104">
        <v>9.6484000000000005</v>
      </c>
      <c r="E159" s="8"/>
    </row>
    <row r="160" spans="2:7" ht="10.5" x14ac:dyDescent="0.2">
      <c r="B160" s="90"/>
      <c r="E160" s="8"/>
    </row>
    <row r="161" spans="2:6" ht="10.5" x14ac:dyDescent="0.2">
      <c r="B161" s="90"/>
      <c r="E161" s="8"/>
    </row>
    <row r="162" spans="2:6" x14ac:dyDescent="0.2">
      <c r="B162" s="94" t="s">
        <v>1575</v>
      </c>
      <c r="E162" s="8"/>
    </row>
    <row r="163" spans="2:6" x14ac:dyDescent="0.2">
      <c r="B163" s="94"/>
      <c r="E163" s="8"/>
    </row>
    <row r="164" spans="2:6" ht="10.5" x14ac:dyDescent="0.2">
      <c r="B164" s="112" t="s">
        <v>1550</v>
      </c>
      <c r="E164" s="8"/>
    </row>
    <row r="165" spans="2:6" x14ac:dyDescent="0.2">
      <c r="B165" s="99"/>
      <c r="E165" s="8"/>
    </row>
    <row r="166" spans="2:6" ht="10.5" x14ac:dyDescent="0.2">
      <c r="B166" s="112" t="s">
        <v>1551</v>
      </c>
      <c r="E166" s="8"/>
    </row>
    <row r="167" spans="2:6" ht="21" x14ac:dyDescent="0.2">
      <c r="B167" s="113" t="s">
        <v>1517</v>
      </c>
      <c r="C167" s="114" t="s">
        <v>1518</v>
      </c>
      <c r="D167" s="114" t="s">
        <v>1519</v>
      </c>
      <c r="E167" s="114" t="s">
        <v>1520</v>
      </c>
      <c r="F167" s="114" t="s">
        <v>1521</v>
      </c>
    </row>
    <row r="168" spans="2:6" x14ac:dyDescent="0.2">
      <c r="B168" s="180" t="s">
        <v>402</v>
      </c>
      <c r="C168" s="181"/>
      <c r="D168" s="181"/>
      <c r="E168" s="181"/>
      <c r="F168" s="182"/>
    </row>
    <row r="169" spans="2:6" x14ac:dyDescent="0.2">
      <c r="B169" s="99" t="s">
        <v>1522</v>
      </c>
      <c r="E169" s="8"/>
    </row>
    <row r="170" spans="2:6" x14ac:dyDescent="0.2">
      <c r="B170" s="99" t="s">
        <v>1552</v>
      </c>
      <c r="E170" s="8"/>
    </row>
    <row r="171" spans="2:6" x14ac:dyDescent="0.2">
      <c r="B171" s="99"/>
      <c r="E171" s="8"/>
    </row>
    <row r="172" spans="2:6" ht="10" customHeight="1" x14ac:dyDescent="0.2">
      <c r="B172" s="177" t="s">
        <v>1523</v>
      </c>
      <c r="C172" s="177" t="s">
        <v>1524</v>
      </c>
      <c r="D172" s="177" t="s">
        <v>1525</v>
      </c>
      <c r="E172" s="177" t="s">
        <v>1526</v>
      </c>
      <c r="F172" s="177" t="s">
        <v>1527</v>
      </c>
    </row>
    <row r="173" spans="2:6" ht="10" customHeight="1" x14ac:dyDescent="0.2">
      <c r="B173" s="178"/>
      <c r="C173" s="178"/>
      <c r="D173" s="178"/>
      <c r="E173" s="178"/>
      <c r="F173" s="178"/>
    </row>
    <row r="174" spans="2:6" x14ac:dyDescent="0.2">
      <c r="B174" s="180" t="s">
        <v>402</v>
      </c>
      <c r="C174" s="181"/>
      <c r="D174" s="181"/>
      <c r="E174" s="181"/>
      <c r="F174" s="182"/>
    </row>
    <row r="175" spans="2:6" x14ac:dyDescent="0.2">
      <c r="B175" s="99"/>
      <c r="E175" s="8"/>
    </row>
    <row r="176" spans="2:6" ht="10.5" x14ac:dyDescent="0.25">
      <c r="B176" s="115" t="s">
        <v>1553</v>
      </c>
      <c r="C176" s="116"/>
      <c r="D176" s="116"/>
      <c r="E176" s="116"/>
      <c r="F176" s="116"/>
    </row>
    <row r="177" spans="2:6" x14ac:dyDescent="0.2">
      <c r="B177" s="117"/>
      <c r="C177" s="116"/>
      <c r="D177" s="116"/>
      <c r="E177" s="116"/>
      <c r="F177" s="116"/>
    </row>
    <row r="178" spans="2:6" ht="21" x14ac:dyDescent="0.2">
      <c r="B178" s="113" t="s">
        <v>1517</v>
      </c>
      <c r="C178" s="114" t="s">
        <v>1518</v>
      </c>
      <c r="D178" s="114" t="s">
        <v>1519</v>
      </c>
      <c r="E178" s="114" t="s">
        <v>1520</v>
      </c>
      <c r="F178" s="114" t="s">
        <v>1521</v>
      </c>
    </row>
    <row r="179" spans="2:6" x14ac:dyDescent="0.2">
      <c r="B179" s="156" t="s">
        <v>193</v>
      </c>
      <c r="C179" s="157" t="s">
        <v>194</v>
      </c>
      <c r="D179" s="158">
        <v>23854.218000000001</v>
      </c>
      <c r="E179" s="159">
        <v>23748.799999999999</v>
      </c>
      <c r="F179" s="159">
        <v>174.59298999999999</v>
      </c>
    </row>
    <row r="180" spans="2:6" x14ac:dyDescent="0.2">
      <c r="B180" s="160"/>
      <c r="C180" s="161"/>
      <c r="D180" s="161"/>
      <c r="E180" s="161"/>
      <c r="F180" s="161"/>
    </row>
    <row r="181" spans="2:6" x14ac:dyDescent="0.2">
      <c r="B181" s="160" t="s">
        <v>1583</v>
      </c>
      <c r="C181" s="161"/>
      <c r="D181" s="161"/>
      <c r="E181" s="161"/>
      <c r="F181" s="161"/>
    </row>
    <row r="182" spans="2:6" ht="10.5" x14ac:dyDescent="0.2">
      <c r="B182" s="116" t="s">
        <v>1554</v>
      </c>
      <c r="C182" s="122"/>
      <c r="D182" s="123"/>
      <c r="E182" s="124"/>
      <c r="F182" s="125"/>
    </row>
    <row r="183" spans="2:6" ht="10.5" x14ac:dyDescent="0.2">
      <c r="B183" s="116" t="s">
        <v>1529</v>
      </c>
      <c r="C183" s="122"/>
      <c r="D183" s="123"/>
      <c r="E183" s="124"/>
      <c r="F183" s="125"/>
    </row>
    <row r="184" spans="2:6" ht="10" customHeight="1" x14ac:dyDescent="0.2">
      <c r="B184" s="183" t="s">
        <v>1523</v>
      </c>
      <c r="C184" s="183" t="s">
        <v>1524</v>
      </c>
      <c r="D184" s="183" t="s">
        <v>1525</v>
      </c>
      <c r="E184" s="183" t="s">
        <v>1526</v>
      </c>
      <c r="F184" s="183" t="s">
        <v>1527</v>
      </c>
    </row>
    <row r="185" spans="2:6" ht="10" customHeight="1" x14ac:dyDescent="0.2">
      <c r="B185" s="184"/>
      <c r="C185" s="184"/>
      <c r="D185" s="184"/>
      <c r="E185" s="184"/>
      <c r="F185" s="184"/>
    </row>
    <row r="186" spans="2:6" x14ac:dyDescent="0.2">
      <c r="B186" s="162">
        <v>320</v>
      </c>
      <c r="C186" s="162">
        <v>366</v>
      </c>
      <c r="D186" s="163">
        <v>5000.8263520999999</v>
      </c>
      <c r="E186" s="129">
        <v>5733.5847438000001</v>
      </c>
      <c r="F186" s="164">
        <v>11.771696399999858</v>
      </c>
    </row>
    <row r="187" spans="2:6" x14ac:dyDescent="0.2">
      <c r="B187" s="109"/>
      <c r="C187" s="131"/>
      <c r="D187" s="131"/>
      <c r="E187" s="131"/>
      <c r="F187" s="87"/>
    </row>
    <row r="188" spans="2:6" ht="10.5" x14ac:dyDescent="0.2">
      <c r="B188" s="132" t="s">
        <v>1555</v>
      </c>
      <c r="C188" s="133"/>
      <c r="D188" s="133"/>
      <c r="E188" s="134"/>
      <c r="F188" s="87"/>
    </row>
    <row r="189" spans="2:6" ht="10.5" x14ac:dyDescent="0.2">
      <c r="B189" s="135"/>
      <c r="C189" s="133"/>
      <c r="D189" s="133"/>
      <c r="E189" s="134"/>
      <c r="F189" s="87"/>
    </row>
    <row r="190" spans="2:6" ht="21" x14ac:dyDescent="0.2">
      <c r="B190" s="113" t="s">
        <v>1517</v>
      </c>
      <c r="C190" s="114" t="s">
        <v>1531</v>
      </c>
      <c r="D190" s="114" t="s">
        <v>1532</v>
      </c>
      <c r="E190" s="114" t="s">
        <v>1533</v>
      </c>
      <c r="F190" s="87"/>
    </row>
    <row r="191" spans="2:6" x14ac:dyDescent="0.2">
      <c r="B191" s="180" t="s">
        <v>402</v>
      </c>
      <c r="C191" s="181"/>
      <c r="D191" s="181"/>
      <c r="E191" s="182"/>
      <c r="F191" s="87"/>
    </row>
    <row r="192" spans="2:6" x14ac:dyDescent="0.2">
      <c r="B192" s="117" t="s">
        <v>1534</v>
      </c>
      <c r="C192" s="116"/>
      <c r="D192" s="116"/>
      <c r="E192" s="116"/>
      <c r="F192" s="87"/>
    </row>
    <row r="193" spans="2:6" x14ac:dyDescent="0.2">
      <c r="B193" s="136"/>
      <c r="C193" s="137"/>
      <c r="D193" s="137"/>
      <c r="E193" s="136"/>
      <c r="F193" s="87"/>
    </row>
    <row r="194" spans="2:6" x14ac:dyDescent="0.2">
      <c r="B194" s="136" t="s">
        <v>1556</v>
      </c>
      <c r="C194" s="137"/>
      <c r="D194" s="137"/>
      <c r="E194" s="136"/>
      <c r="F194" s="87"/>
    </row>
    <row r="195" spans="2:6" x14ac:dyDescent="0.2">
      <c r="B195" s="136"/>
      <c r="C195" s="137"/>
      <c r="D195" s="137"/>
      <c r="E195" s="136"/>
      <c r="F195" s="87"/>
    </row>
    <row r="196" spans="2:6" ht="10" customHeight="1" x14ac:dyDescent="0.2">
      <c r="B196" s="177" t="s">
        <v>1535</v>
      </c>
      <c r="C196" s="177" t="s">
        <v>1536</v>
      </c>
      <c r="D196" s="177" t="s">
        <v>1537</v>
      </c>
      <c r="E196" s="136"/>
      <c r="F196" s="87"/>
    </row>
    <row r="197" spans="2:6" ht="10" customHeight="1" x14ac:dyDescent="0.2">
      <c r="B197" s="178"/>
      <c r="C197" s="178"/>
      <c r="D197" s="178"/>
      <c r="E197" s="136"/>
      <c r="F197" s="87"/>
    </row>
    <row r="198" spans="2:6" x14ac:dyDescent="0.2">
      <c r="B198" s="179" t="s">
        <v>402</v>
      </c>
      <c r="C198" s="179"/>
      <c r="D198" s="179"/>
      <c r="E198" s="131"/>
      <c r="F198" s="87"/>
    </row>
    <row r="199" spans="2:6" x14ac:dyDescent="0.2">
      <c r="B199" s="138"/>
      <c r="C199" s="138"/>
      <c r="D199" s="138"/>
      <c r="E199" s="131"/>
      <c r="F199" s="87"/>
    </row>
    <row r="200" spans="2:6" ht="10.5" x14ac:dyDescent="0.2">
      <c r="B200" s="132" t="s">
        <v>1538</v>
      </c>
      <c r="C200" s="138"/>
      <c r="D200" s="138"/>
      <c r="E200" s="131"/>
      <c r="F200" s="87"/>
    </row>
    <row r="201" spans="2:6" x14ac:dyDescent="0.2">
      <c r="B201" s="138"/>
      <c r="C201" s="138"/>
      <c r="D201" s="138"/>
      <c r="E201" s="131"/>
      <c r="F201" s="87"/>
    </row>
    <row r="202" spans="2:6" ht="21" x14ac:dyDescent="0.2">
      <c r="B202" s="114" t="s">
        <v>1517</v>
      </c>
      <c r="C202" s="114" t="s">
        <v>1539</v>
      </c>
      <c r="D202" s="114" t="s">
        <v>1540</v>
      </c>
      <c r="E202" s="114" t="s">
        <v>1541</v>
      </c>
      <c r="F202" s="114" t="s">
        <v>1542</v>
      </c>
    </row>
    <row r="203" spans="2:6" x14ac:dyDescent="0.2">
      <c r="B203" s="176" t="s">
        <v>402</v>
      </c>
      <c r="C203" s="176"/>
      <c r="D203" s="176"/>
      <c r="E203" s="176"/>
      <c r="F203" s="176"/>
    </row>
    <row r="204" spans="2:6" x14ac:dyDescent="0.2">
      <c r="B204" s="139" t="s">
        <v>1543</v>
      </c>
      <c r="C204" s="138"/>
      <c r="D204" s="138"/>
      <c r="E204" s="131"/>
      <c r="F204" s="87"/>
    </row>
    <row r="205" spans="2:6" x14ac:dyDescent="0.2">
      <c r="B205" s="138"/>
      <c r="C205" s="138"/>
      <c r="D205" s="138"/>
      <c r="E205" s="131"/>
      <c r="F205" s="87"/>
    </row>
    <row r="206" spans="2:6" x14ac:dyDescent="0.2">
      <c r="B206" s="136" t="s">
        <v>1558</v>
      </c>
      <c r="C206" s="137"/>
      <c r="D206" s="137"/>
      <c r="E206" s="131"/>
      <c r="F206" s="87"/>
    </row>
    <row r="207" spans="2:6" x14ac:dyDescent="0.2">
      <c r="B207" s="136"/>
      <c r="C207" s="137"/>
      <c r="D207" s="137"/>
      <c r="E207" s="131"/>
      <c r="F207" s="87"/>
    </row>
    <row r="208" spans="2:6" ht="10" customHeight="1" x14ac:dyDescent="0.2">
      <c r="B208" s="177" t="s">
        <v>1535</v>
      </c>
      <c r="C208" s="177" t="s">
        <v>1536</v>
      </c>
      <c r="D208" s="177" t="s">
        <v>1537</v>
      </c>
      <c r="E208" s="131"/>
      <c r="F208" s="87"/>
    </row>
    <row r="209" spans="2:7" ht="10" customHeight="1" x14ac:dyDescent="0.2">
      <c r="B209" s="178"/>
      <c r="C209" s="178"/>
      <c r="D209" s="178"/>
      <c r="E209" s="131"/>
      <c r="F209" s="87"/>
    </row>
    <row r="210" spans="2:7" x14ac:dyDescent="0.2">
      <c r="B210" s="179" t="s">
        <v>402</v>
      </c>
      <c r="C210" s="179"/>
      <c r="D210" s="179"/>
      <c r="E210" s="131"/>
      <c r="F210" s="87"/>
    </row>
    <row r="211" spans="2:7" x14ac:dyDescent="0.2">
      <c r="B211" s="94"/>
      <c r="E211" s="8"/>
    </row>
    <row r="212" spans="2:7" x14ac:dyDescent="0.2">
      <c r="B212" s="94" t="s">
        <v>1560</v>
      </c>
      <c r="E212" s="8"/>
    </row>
    <row r="213" spans="2:7" x14ac:dyDescent="0.2">
      <c r="B213" s="170" t="s">
        <v>1584</v>
      </c>
      <c r="E213" s="8"/>
    </row>
    <row r="214" spans="2:7" x14ac:dyDescent="0.2">
      <c r="B214" s="94" t="s">
        <v>1561</v>
      </c>
      <c r="E214" s="8"/>
    </row>
    <row r="215" spans="2:7" ht="10.5" x14ac:dyDescent="0.25">
      <c r="B215" s="26"/>
    </row>
    <row r="217" spans="2:7" ht="10.5" x14ac:dyDescent="0.25">
      <c r="B217" s="26" t="s">
        <v>197</v>
      </c>
      <c r="E217" s="8"/>
      <c r="G217" s="87"/>
    </row>
    <row r="218" spans="2:7" x14ac:dyDescent="0.2">
      <c r="E218" s="8"/>
      <c r="G218" s="87"/>
    </row>
    <row r="219" spans="2:7" x14ac:dyDescent="0.2">
      <c r="E219" s="8"/>
      <c r="G219" s="87"/>
    </row>
    <row r="220" spans="2:7" x14ac:dyDescent="0.2">
      <c r="E220" s="8"/>
      <c r="G220" s="87"/>
    </row>
    <row r="221" spans="2:7" x14ac:dyDescent="0.2">
      <c r="E221" s="8"/>
      <c r="G221" s="87"/>
    </row>
    <row r="222" spans="2:7" x14ac:dyDescent="0.2">
      <c r="E222" s="8"/>
      <c r="G222" s="87"/>
    </row>
    <row r="223" spans="2:7" x14ac:dyDescent="0.2">
      <c r="E223" s="8"/>
      <c r="G223" s="87"/>
    </row>
    <row r="224" spans="2:7" x14ac:dyDescent="0.2">
      <c r="E224" s="8"/>
      <c r="G224" s="87"/>
    </row>
    <row r="225" spans="2:7" x14ac:dyDescent="0.2">
      <c r="E225" s="8"/>
      <c r="G225" s="87"/>
    </row>
    <row r="226" spans="2:7" x14ac:dyDescent="0.2">
      <c r="E226" s="8"/>
      <c r="G226" s="87"/>
    </row>
    <row r="227" spans="2:7" x14ac:dyDescent="0.2">
      <c r="E227" s="8"/>
      <c r="G227" s="87"/>
    </row>
    <row r="228" spans="2:7" x14ac:dyDescent="0.2">
      <c r="E228" s="8"/>
      <c r="G228" s="87"/>
    </row>
    <row r="229" spans="2:7" x14ac:dyDescent="0.2">
      <c r="E229" s="8"/>
      <c r="G229" s="87"/>
    </row>
    <row r="230" spans="2:7" x14ac:dyDescent="0.2">
      <c r="E230" s="8"/>
      <c r="G230" s="87"/>
    </row>
    <row r="231" spans="2:7" x14ac:dyDescent="0.2">
      <c r="E231" s="8"/>
      <c r="G231" s="87"/>
    </row>
    <row r="232" spans="2:7" x14ac:dyDescent="0.2">
      <c r="E232" s="8"/>
      <c r="G232" s="87"/>
    </row>
    <row r="233" spans="2:7" x14ac:dyDescent="0.2">
      <c r="E233" s="8"/>
      <c r="G233" s="87"/>
    </row>
    <row r="234" spans="2:7" ht="10.5" x14ac:dyDescent="0.2">
      <c r="B234" s="90" t="s">
        <v>1478</v>
      </c>
      <c r="E234" s="8"/>
      <c r="G234" s="87"/>
    </row>
    <row r="235" spans="2:7" ht="10.5" x14ac:dyDescent="0.25">
      <c r="B235" s="91" t="s">
        <v>1491</v>
      </c>
      <c r="E235" s="8"/>
      <c r="G235" s="87"/>
    </row>
    <row r="236" spans="2:7" x14ac:dyDescent="0.2">
      <c r="E236" s="8"/>
      <c r="G236" s="87"/>
    </row>
    <row r="237" spans="2:7" x14ac:dyDescent="0.2">
      <c r="E237" s="8"/>
      <c r="G237" s="87"/>
    </row>
    <row r="238" spans="2:7" x14ac:dyDescent="0.2">
      <c r="E238" s="8"/>
      <c r="G238" s="87"/>
    </row>
    <row r="239" spans="2:7" x14ac:dyDescent="0.2">
      <c r="E239" s="8"/>
      <c r="G239" s="87"/>
    </row>
    <row r="240" spans="2:7" x14ac:dyDescent="0.2">
      <c r="E240" s="8"/>
      <c r="G240" s="87"/>
    </row>
    <row r="241" spans="5:7" x14ac:dyDescent="0.2">
      <c r="E241" s="8"/>
      <c r="G241" s="87"/>
    </row>
    <row r="242" spans="5:7" x14ac:dyDescent="0.2">
      <c r="E242" s="8"/>
      <c r="G242" s="87"/>
    </row>
    <row r="243" spans="5:7" x14ac:dyDescent="0.2">
      <c r="E243" s="8"/>
      <c r="G243" s="87"/>
    </row>
    <row r="244" spans="5:7" x14ac:dyDescent="0.2">
      <c r="E244" s="8"/>
      <c r="G244" s="87"/>
    </row>
    <row r="245" spans="5:7" x14ac:dyDescent="0.2">
      <c r="E245" s="8"/>
      <c r="G245" s="87"/>
    </row>
    <row r="246" spans="5:7" x14ac:dyDescent="0.2">
      <c r="E246" s="8"/>
      <c r="G246" s="87"/>
    </row>
    <row r="247" spans="5:7" x14ac:dyDescent="0.2">
      <c r="E247" s="8"/>
      <c r="G247" s="87"/>
    </row>
    <row r="248" spans="5:7" x14ac:dyDescent="0.2">
      <c r="E248" s="8"/>
      <c r="G248" s="87"/>
    </row>
    <row r="249" spans="5:7" x14ac:dyDescent="0.2">
      <c r="E249" s="8"/>
      <c r="G249" s="87"/>
    </row>
    <row r="250" spans="5:7" x14ac:dyDescent="0.2">
      <c r="E250" s="8"/>
      <c r="G250" s="87"/>
    </row>
    <row r="251" spans="5:7" x14ac:dyDescent="0.2">
      <c r="E251" s="8"/>
      <c r="G251" s="87"/>
    </row>
    <row r="252" spans="5:7" x14ac:dyDescent="0.2">
      <c r="E252" s="8"/>
      <c r="G252" s="87"/>
    </row>
    <row r="253" spans="5:7" x14ac:dyDescent="0.2">
      <c r="E253" s="8"/>
      <c r="G253" s="87"/>
    </row>
  </sheetData>
  <mergeCells count="23">
    <mergeCell ref="B1:C1"/>
    <mergeCell ref="C172:C173"/>
    <mergeCell ref="D172:D173"/>
    <mergeCell ref="E172:E173"/>
    <mergeCell ref="F172:F173"/>
    <mergeCell ref="B168:F168"/>
    <mergeCell ref="B172:B173"/>
    <mergeCell ref="C184:C185"/>
    <mergeCell ref="D184:D185"/>
    <mergeCell ref="E184:E185"/>
    <mergeCell ref="F184:F185"/>
    <mergeCell ref="B174:F174"/>
    <mergeCell ref="B184:B185"/>
    <mergeCell ref="C196:C197"/>
    <mergeCell ref="D196:D197"/>
    <mergeCell ref="B191:E191"/>
    <mergeCell ref="B196:B197"/>
    <mergeCell ref="B198:D198"/>
    <mergeCell ref="C208:C209"/>
    <mergeCell ref="D208:D209"/>
    <mergeCell ref="B203:F203"/>
    <mergeCell ref="B208:B209"/>
    <mergeCell ref="B210:D210"/>
  </mergeCells>
  <conditionalFormatting sqref="G1:G3 G5:G252">
    <cfRule type="cellIs" dxfId="2" priority="2" stopIfTrue="1" operator="between">
      <formula>0.009</formula>
      <formula>-0.009</formula>
    </cfRule>
  </conditionalFormatting>
  <hyperlinks>
    <hyperlink ref="A2" location="Index!A1" display="-" xr:uid="{EA408269-D4E1-4CBB-9F5A-98B5C03583B8}"/>
  </hyperlinks>
  <pageMargins left="0.7" right="0.7" top="0.75" bottom="0.75" header="0.3" footer="0.3"/>
  <pageSetup paperSize="9" scale="36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D925-1A85-4312-AD69-3D10069118AA}">
  <dimension ref="A1:I388"/>
  <sheetViews>
    <sheetView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65.1796875" style="8" bestFit="1" customWidth="1"/>
    <col min="3" max="3" width="18.36328125" style="8" customWidth="1"/>
    <col min="4" max="4" width="22.26953125" style="8" bestFit="1" customWidth="1"/>
    <col min="5" max="5" width="13.90625" style="9" bestFit="1" customWidth="1"/>
    <col min="6" max="6" width="22.81640625" style="11" bestFit="1" customWidth="1"/>
    <col min="7" max="7" width="12.1796875" style="18" bestFit="1" customWidth="1"/>
    <col min="8" max="8" width="17.36328125" style="8" bestFit="1" customWidth="1"/>
    <col min="9" max="16384" width="9.08984375" style="8"/>
  </cols>
  <sheetData>
    <row r="1" spans="1:8" s="1" customFormat="1" ht="16.75" customHeight="1" x14ac:dyDescent="0.35">
      <c r="B1" s="185" t="s">
        <v>22</v>
      </c>
      <c r="C1" s="186"/>
      <c r="D1" s="13"/>
      <c r="E1" s="6"/>
      <c r="F1" s="7"/>
      <c r="G1" s="18"/>
    </row>
    <row r="2" spans="1:8" s="1" customFormat="1" ht="14.5" x14ac:dyDescent="0.35">
      <c r="A2" s="85" t="s">
        <v>1494</v>
      </c>
      <c r="E2" s="6"/>
      <c r="F2" s="7"/>
      <c r="G2" s="18"/>
    </row>
    <row r="3" spans="1:8" s="1" customFormat="1" ht="11.5" x14ac:dyDescent="0.25">
      <c r="B3" s="10" t="s">
        <v>9</v>
      </c>
      <c r="C3" s="2"/>
      <c r="D3" s="3"/>
      <c r="E3" s="4"/>
      <c r="F3" s="5"/>
      <c r="G3" s="18"/>
    </row>
    <row r="4" spans="1:8" s="1" customFormat="1" ht="25.5" customHeight="1" x14ac:dyDescent="0.25">
      <c r="B4" s="29" t="s">
        <v>7</v>
      </c>
      <c r="C4" s="29" t="s">
        <v>8</v>
      </c>
      <c r="D4" s="30" t="s">
        <v>1476</v>
      </c>
      <c r="E4" s="31" t="s">
        <v>0</v>
      </c>
      <c r="F4" s="32" t="s">
        <v>4</v>
      </c>
      <c r="G4" s="33" t="s">
        <v>5</v>
      </c>
      <c r="H4" s="84" t="s">
        <v>6</v>
      </c>
    </row>
    <row r="5" spans="1:8" ht="10.5" x14ac:dyDescent="0.25">
      <c r="B5" s="35" t="s">
        <v>24</v>
      </c>
      <c r="C5" s="36"/>
      <c r="D5" s="36"/>
      <c r="E5" s="37"/>
      <c r="F5" s="38"/>
      <c r="G5" s="39"/>
      <c r="H5" s="36"/>
    </row>
    <row r="6" spans="1:8" ht="10.5" x14ac:dyDescent="0.25">
      <c r="B6" s="35" t="s">
        <v>25</v>
      </c>
      <c r="C6" s="36"/>
      <c r="D6" s="36"/>
      <c r="E6" s="37"/>
      <c r="F6" s="38"/>
      <c r="G6" s="39"/>
      <c r="H6" s="36"/>
    </row>
    <row r="7" spans="1:8" x14ac:dyDescent="0.2">
      <c r="B7" s="36" t="s">
        <v>26</v>
      </c>
      <c r="C7" s="36" t="s">
        <v>27</v>
      </c>
      <c r="D7" s="36" t="s">
        <v>28</v>
      </c>
      <c r="E7" s="41">
        <v>653700</v>
      </c>
      <c r="F7" s="38">
        <v>4867.1233499999998</v>
      </c>
      <c r="G7" s="39">
        <v>9.1913141300834091</v>
      </c>
      <c r="H7" s="42"/>
    </row>
    <row r="8" spans="1:8" x14ac:dyDescent="0.2">
      <c r="B8" s="36" t="s">
        <v>29</v>
      </c>
      <c r="C8" s="36" t="s">
        <v>30</v>
      </c>
      <c r="D8" s="36" t="s">
        <v>28</v>
      </c>
      <c r="E8" s="41">
        <v>382200</v>
      </c>
      <c r="F8" s="38">
        <v>4801.9607999999998</v>
      </c>
      <c r="G8" s="39">
        <v>9.0682579789449207</v>
      </c>
      <c r="H8" s="42"/>
    </row>
    <row r="9" spans="1:8" x14ac:dyDescent="0.2">
      <c r="B9" s="36" t="s">
        <v>34</v>
      </c>
      <c r="C9" s="36" t="s">
        <v>35</v>
      </c>
      <c r="D9" s="36" t="s">
        <v>36</v>
      </c>
      <c r="E9" s="41">
        <v>279000</v>
      </c>
      <c r="F9" s="38">
        <v>3686.1480000000001</v>
      </c>
      <c r="G9" s="39">
        <v>6.9611024339415399</v>
      </c>
      <c r="H9" s="42"/>
    </row>
    <row r="10" spans="1:8" x14ac:dyDescent="0.2">
      <c r="B10" s="36" t="s">
        <v>156</v>
      </c>
      <c r="C10" s="36" t="s">
        <v>157</v>
      </c>
      <c r="D10" s="36" t="s">
        <v>158</v>
      </c>
      <c r="E10" s="41">
        <v>123909</v>
      </c>
      <c r="F10" s="38">
        <v>3639.7029659999998</v>
      </c>
      <c r="G10" s="39">
        <v>6.8733933568176901</v>
      </c>
      <c r="H10" s="42"/>
    </row>
    <row r="11" spans="1:8" x14ac:dyDescent="0.2">
      <c r="B11" s="36" t="s">
        <v>31</v>
      </c>
      <c r="C11" s="36" t="s">
        <v>32</v>
      </c>
      <c r="D11" s="36" t="s">
        <v>33</v>
      </c>
      <c r="E11" s="41">
        <v>138700</v>
      </c>
      <c r="F11" s="38">
        <v>2536.8229999999999</v>
      </c>
      <c r="G11" s="39">
        <v>4.7906608090013902</v>
      </c>
      <c r="H11" s="42"/>
    </row>
    <row r="12" spans="1:8" x14ac:dyDescent="0.2">
      <c r="B12" s="36" t="s">
        <v>121</v>
      </c>
      <c r="C12" s="36" t="s">
        <v>122</v>
      </c>
      <c r="D12" s="36" t="s">
        <v>28</v>
      </c>
      <c r="E12" s="41">
        <v>6499900</v>
      </c>
      <c r="F12" s="38">
        <v>1504.72685</v>
      </c>
      <c r="G12" s="39">
        <v>2.8415998863724901</v>
      </c>
      <c r="H12" s="42"/>
    </row>
    <row r="13" spans="1:8" x14ac:dyDescent="0.2">
      <c r="B13" s="36" t="s">
        <v>677</v>
      </c>
      <c r="C13" s="36" t="s">
        <v>678</v>
      </c>
      <c r="D13" s="36" t="s">
        <v>529</v>
      </c>
      <c r="E13" s="41">
        <v>93600</v>
      </c>
      <c r="F13" s="38">
        <v>1281.5712000000001</v>
      </c>
      <c r="G13" s="39">
        <v>2.4201818265542698</v>
      </c>
      <c r="H13" s="42"/>
    </row>
    <row r="14" spans="1:8" x14ac:dyDescent="0.2">
      <c r="B14" s="36" t="s">
        <v>66</v>
      </c>
      <c r="C14" s="36" t="s">
        <v>67</v>
      </c>
      <c r="D14" s="36" t="s">
        <v>68</v>
      </c>
      <c r="E14" s="41">
        <v>381225</v>
      </c>
      <c r="F14" s="38">
        <v>1093.7345250000001</v>
      </c>
      <c r="G14" s="39">
        <v>2.0654618490802301</v>
      </c>
      <c r="H14" s="42"/>
    </row>
    <row r="15" spans="1:8" x14ac:dyDescent="0.2">
      <c r="B15" s="36" t="s">
        <v>83</v>
      </c>
      <c r="C15" s="36" t="s">
        <v>84</v>
      </c>
      <c r="D15" s="36" t="s">
        <v>28</v>
      </c>
      <c r="E15" s="41">
        <v>260000</v>
      </c>
      <c r="F15" s="38">
        <v>998.92</v>
      </c>
      <c r="G15" s="39">
        <v>1.88640945597216</v>
      </c>
      <c r="H15" s="42"/>
    </row>
    <row r="16" spans="1:8" x14ac:dyDescent="0.2">
      <c r="B16" s="36" t="s">
        <v>75</v>
      </c>
      <c r="C16" s="36" t="s">
        <v>76</v>
      </c>
      <c r="D16" s="36" t="s">
        <v>28</v>
      </c>
      <c r="E16" s="41">
        <v>70625</v>
      </c>
      <c r="F16" s="38">
        <v>908.66125</v>
      </c>
      <c r="G16" s="39">
        <v>1.7159604115199301</v>
      </c>
      <c r="H16" s="42"/>
    </row>
    <row r="17" spans="2:8" x14ac:dyDescent="0.2">
      <c r="B17" s="36" t="s">
        <v>518</v>
      </c>
      <c r="C17" s="36" t="s">
        <v>519</v>
      </c>
      <c r="D17" s="36" t="s">
        <v>28</v>
      </c>
      <c r="E17" s="41">
        <v>681750</v>
      </c>
      <c r="F17" s="38">
        <v>891.72900000000004</v>
      </c>
      <c r="G17" s="39">
        <v>1.6839847212635699</v>
      </c>
      <c r="H17" s="42"/>
    </row>
    <row r="18" spans="2:8" x14ac:dyDescent="0.2">
      <c r="B18" s="36" t="s">
        <v>466</v>
      </c>
      <c r="C18" s="36" t="s">
        <v>467</v>
      </c>
      <c r="D18" s="36" t="s">
        <v>112</v>
      </c>
      <c r="E18" s="41">
        <v>146300</v>
      </c>
      <c r="F18" s="38">
        <v>870.19240000000002</v>
      </c>
      <c r="G18" s="39">
        <v>1.64331395094213</v>
      </c>
      <c r="H18" s="42"/>
    </row>
    <row r="19" spans="2:8" x14ac:dyDescent="0.2">
      <c r="B19" s="36" t="s">
        <v>177</v>
      </c>
      <c r="C19" s="36" t="s">
        <v>178</v>
      </c>
      <c r="D19" s="36" t="s">
        <v>179</v>
      </c>
      <c r="E19" s="41">
        <v>196875</v>
      </c>
      <c r="F19" s="38">
        <v>820.4765625</v>
      </c>
      <c r="G19" s="39">
        <v>1.5494281282820801</v>
      </c>
      <c r="H19" s="42"/>
    </row>
    <row r="20" spans="2:8" x14ac:dyDescent="0.2">
      <c r="B20" s="36" t="s">
        <v>117</v>
      </c>
      <c r="C20" s="36" t="s">
        <v>118</v>
      </c>
      <c r="D20" s="36" t="s">
        <v>62</v>
      </c>
      <c r="E20" s="41">
        <v>380700</v>
      </c>
      <c r="F20" s="38">
        <v>778.03659000000005</v>
      </c>
      <c r="G20" s="39">
        <v>1.4692824054662399</v>
      </c>
      <c r="H20" s="42"/>
    </row>
    <row r="21" spans="2:8" x14ac:dyDescent="0.2">
      <c r="B21" s="36" t="s">
        <v>500</v>
      </c>
      <c r="C21" s="36" t="s">
        <v>501</v>
      </c>
      <c r="D21" s="36" t="s">
        <v>28</v>
      </c>
      <c r="E21" s="41">
        <v>280800</v>
      </c>
      <c r="F21" s="38">
        <v>753.94799999999998</v>
      </c>
      <c r="G21" s="39">
        <v>1.42379233223011</v>
      </c>
      <c r="H21" s="42"/>
    </row>
    <row r="22" spans="2:8" x14ac:dyDescent="0.2">
      <c r="B22" s="36" t="s">
        <v>40</v>
      </c>
      <c r="C22" s="36" t="s">
        <v>41</v>
      </c>
      <c r="D22" s="36" t="s">
        <v>28</v>
      </c>
      <c r="E22" s="41">
        <v>63000</v>
      </c>
      <c r="F22" s="38">
        <v>607.572</v>
      </c>
      <c r="G22" s="39">
        <v>1.14736872420606</v>
      </c>
      <c r="H22" s="42"/>
    </row>
    <row r="23" spans="2:8" x14ac:dyDescent="0.2">
      <c r="B23" s="36" t="s">
        <v>602</v>
      </c>
      <c r="C23" s="36" t="s">
        <v>603</v>
      </c>
      <c r="D23" s="36" t="s">
        <v>33</v>
      </c>
      <c r="E23" s="41">
        <v>3931125</v>
      </c>
      <c r="F23" s="38">
        <v>549.96438750000004</v>
      </c>
      <c r="G23" s="39">
        <v>1.0385796870899999</v>
      </c>
      <c r="H23" s="42"/>
    </row>
    <row r="24" spans="2:8" x14ac:dyDescent="0.2">
      <c r="B24" s="36" t="s">
        <v>433</v>
      </c>
      <c r="C24" s="36" t="s">
        <v>434</v>
      </c>
      <c r="D24" s="36" t="s">
        <v>435</v>
      </c>
      <c r="E24" s="41">
        <v>131100</v>
      </c>
      <c r="F24" s="38">
        <v>538.49324999999999</v>
      </c>
      <c r="G24" s="39">
        <v>1.01691702916868</v>
      </c>
      <c r="H24" s="42"/>
    </row>
    <row r="25" spans="2:8" x14ac:dyDescent="0.2">
      <c r="B25" s="36" t="s">
        <v>87</v>
      </c>
      <c r="C25" s="36" t="s">
        <v>88</v>
      </c>
      <c r="D25" s="36" t="s">
        <v>62</v>
      </c>
      <c r="E25" s="41">
        <v>40500</v>
      </c>
      <c r="F25" s="38">
        <v>517.59</v>
      </c>
      <c r="G25" s="39">
        <v>0.977442308009282</v>
      </c>
      <c r="H25" s="42"/>
    </row>
    <row r="26" spans="2:8" x14ac:dyDescent="0.2">
      <c r="B26" s="36" t="s">
        <v>455</v>
      </c>
      <c r="C26" s="36" t="s">
        <v>456</v>
      </c>
      <c r="D26" s="36" t="s">
        <v>39</v>
      </c>
      <c r="E26" s="41">
        <v>108000</v>
      </c>
      <c r="F26" s="38">
        <v>425.41199999999998</v>
      </c>
      <c r="G26" s="39">
        <v>0.80336885785050904</v>
      </c>
      <c r="H26" s="42"/>
    </row>
    <row r="27" spans="2:8" x14ac:dyDescent="0.2">
      <c r="B27" s="36" t="s">
        <v>576</v>
      </c>
      <c r="C27" s="36" t="s">
        <v>577</v>
      </c>
      <c r="D27" s="36" t="s">
        <v>28</v>
      </c>
      <c r="E27" s="41">
        <v>42000</v>
      </c>
      <c r="F27" s="38">
        <v>413.57400000000001</v>
      </c>
      <c r="G27" s="39">
        <v>0.78101339881495202</v>
      </c>
      <c r="H27" s="42"/>
    </row>
    <row r="28" spans="2:8" x14ac:dyDescent="0.2">
      <c r="B28" s="36" t="s">
        <v>127</v>
      </c>
      <c r="C28" s="36" t="s">
        <v>128</v>
      </c>
      <c r="D28" s="36" t="s">
        <v>112</v>
      </c>
      <c r="E28" s="41">
        <v>22400</v>
      </c>
      <c r="F28" s="38">
        <v>374.976</v>
      </c>
      <c r="G28" s="39">
        <v>0.70812304505127299</v>
      </c>
      <c r="H28" s="42"/>
    </row>
    <row r="29" spans="2:8" x14ac:dyDescent="0.2">
      <c r="B29" s="36" t="s">
        <v>572</v>
      </c>
      <c r="C29" s="36" t="s">
        <v>573</v>
      </c>
      <c r="D29" s="36" t="s">
        <v>33</v>
      </c>
      <c r="E29" s="41">
        <v>83300</v>
      </c>
      <c r="F29" s="38">
        <v>368.22764999999998</v>
      </c>
      <c r="G29" s="39">
        <v>0.69537913037120902</v>
      </c>
      <c r="H29" s="42"/>
    </row>
    <row r="30" spans="2:8" x14ac:dyDescent="0.2">
      <c r="B30" s="36" t="s">
        <v>436</v>
      </c>
      <c r="C30" s="36" t="s">
        <v>437</v>
      </c>
      <c r="D30" s="36" t="s">
        <v>438</v>
      </c>
      <c r="E30" s="41">
        <v>19950</v>
      </c>
      <c r="F30" s="38">
        <v>360.01769999999999</v>
      </c>
      <c r="G30" s="39">
        <v>0.67987505866070297</v>
      </c>
      <c r="H30" s="42"/>
    </row>
    <row r="31" spans="2:8" x14ac:dyDescent="0.2">
      <c r="B31" s="36" t="s">
        <v>169</v>
      </c>
      <c r="C31" s="36" t="s">
        <v>170</v>
      </c>
      <c r="D31" s="36" t="s">
        <v>82</v>
      </c>
      <c r="E31" s="41">
        <v>24650</v>
      </c>
      <c r="F31" s="38">
        <v>335.733</v>
      </c>
      <c r="G31" s="39">
        <v>0.63401464169493305</v>
      </c>
      <c r="H31" s="42"/>
    </row>
    <row r="32" spans="2:8" x14ac:dyDescent="0.2">
      <c r="B32" s="36" t="s">
        <v>129</v>
      </c>
      <c r="C32" s="36" t="s">
        <v>130</v>
      </c>
      <c r="D32" s="36" t="s">
        <v>131</v>
      </c>
      <c r="E32" s="41">
        <v>36000</v>
      </c>
      <c r="F32" s="38">
        <v>326.97000000000003</v>
      </c>
      <c r="G32" s="39">
        <v>0.61746616327555603</v>
      </c>
      <c r="H32" s="42"/>
    </row>
    <row r="33" spans="2:8" x14ac:dyDescent="0.2">
      <c r="B33" s="36" t="s">
        <v>457</v>
      </c>
      <c r="C33" s="36" t="s">
        <v>458</v>
      </c>
      <c r="D33" s="36" t="s">
        <v>82</v>
      </c>
      <c r="E33" s="41">
        <v>22125</v>
      </c>
      <c r="F33" s="38">
        <v>309.97125</v>
      </c>
      <c r="G33" s="39">
        <v>0.58536489116196699</v>
      </c>
      <c r="H33" s="42"/>
    </row>
    <row r="34" spans="2:8" x14ac:dyDescent="0.2">
      <c r="B34" s="36" t="s">
        <v>58</v>
      </c>
      <c r="C34" s="36" t="s">
        <v>59</v>
      </c>
      <c r="D34" s="36" t="s">
        <v>44</v>
      </c>
      <c r="E34" s="41">
        <v>12950</v>
      </c>
      <c r="F34" s="38">
        <v>292.52755000000002</v>
      </c>
      <c r="G34" s="39">
        <v>0.55242335367433804</v>
      </c>
      <c r="H34" s="42"/>
    </row>
    <row r="35" spans="2:8" x14ac:dyDescent="0.2">
      <c r="B35" s="36" t="s">
        <v>658</v>
      </c>
      <c r="C35" s="36" t="s">
        <v>659</v>
      </c>
      <c r="D35" s="36" t="s">
        <v>529</v>
      </c>
      <c r="E35" s="41">
        <v>15925</v>
      </c>
      <c r="F35" s="38">
        <v>280.70997499999999</v>
      </c>
      <c r="G35" s="39">
        <v>0.53010646620921598</v>
      </c>
      <c r="H35" s="42"/>
    </row>
    <row r="36" spans="2:8" x14ac:dyDescent="0.2">
      <c r="B36" s="36" t="s">
        <v>80</v>
      </c>
      <c r="C36" s="36" t="s">
        <v>81</v>
      </c>
      <c r="D36" s="36" t="s">
        <v>82</v>
      </c>
      <c r="E36" s="41">
        <v>15400</v>
      </c>
      <c r="F36" s="38">
        <v>277.07679999999999</v>
      </c>
      <c r="G36" s="39">
        <v>0.52324540058313795</v>
      </c>
      <c r="H36" s="42"/>
    </row>
    <row r="37" spans="2:8" x14ac:dyDescent="0.2">
      <c r="B37" s="36" t="s">
        <v>590</v>
      </c>
      <c r="C37" s="36" t="s">
        <v>591</v>
      </c>
      <c r="D37" s="36" t="s">
        <v>28</v>
      </c>
      <c r="E37" s="41">
        <v>371000</v>
      </c>
      <c r="F37" s="38">
        <v>264.59719999999999</v>
      </c>
      <c r="G37" s="39">
        <v>0.49967831268145402</v>
      </c>
      <c r="H37" s="42"/>
    </row>
    <row r="38" spans="2:8" x14ac:dyDescent="0.2">
      <c r="B38" s="36" t="s">
        <v>48</v>
      </c>
      <c r="C38" s="36" t="s">
        <v>49</v>
      </c>
      <c r="D38" s="36" t="s">
        <v>50</v>
      </c>
      <c r="E38" s="41">
        <v>64500</v>
      </c>
      <c r="F38" s="38">
        <v>249.5505</v>
      </c>
      <c r="G38" s="39">
        <v>0.47126338740097501</v>
      </c>
      <c r="H38" s="42"/>
    </row>
    <row r="39" spans="2:8" x14ac:dyDescent="0.2">
      <c r="B39" s="36" t="s">
        <v>946</v>
      </c>
      <c r="C39" s="36" t="s">
        <v>947</v>
      </c>
      <c r="D39" s="36" t="s">
        <v>47</v>
      </c>
      <c r="E39" s="41">
        <v>227500</v>
      </c>
      <c r="F39" s="38">
        <v>228.0915</v>
      </c>
      <c r="G39" s="39">
        <v>0.43073916072045298</v>
      </c>
      <c r="H39" s="42"/>
    </row>
    <row r="40" spans="2:8" x14ac:dyDescent="0.2">
      <c r="B40" s="36" t="s">
        <v>527</v>
      </c>
      <c r="C40" s="36" t="s">
        <v>528</v>
      </c>
      <c r="D40" s="36" t="s">
        <v>529</v>
      </c>
      <c r="E40" s="41">
        <v>35475</v>
      </c>
      <c r="F40" s="38">
        <v>209.51535000000001</v>
      </c>
      <c r="G40" s="39">
        <v>0.39565904918443701</v>
      </c>
      <c r="H40" s="42"/>
    </row>
    <row r="41" spans="2:8" x14ac:dyDescent="0.2">
      <c r="B41" s="36" t="s">
        <v>72</v>
      </c>
      <c r="C41" s="36" t="s">
        <v>73</v>
      </c>
      <c r="D41" s="36" t="s">
        <v>74</v>
      </c>
      <c r="E41" s="41">
        <v>1800</v>
      </c>
      <c r="F41" s="38">
        <v>206.67599999999999</v>
      </c>
      <c r="G41" s="39">
        <v>0.390297081570599</v>
      </c>
      <c r="H41" s="42"/>
    </row>
    <row r="42" spans="2:8" x14ac:dyDescent="0.2">
      <c r="B42" s="36" t="s">
        <v>530</v>
      </c>
      <c r="C42" s="36" t="s">
        <v>531</v>
      </c>
      <c r="D42" s="36" t="s">
        <v>28</v>
      </c>
      <c r="E42" s="41">
        <v>176000</v>
      </c>
      <c r="F42" s="38">
        <v>186.648</v>
      </c>
      <c r="G42" s="39">
        <v>0.352475225381705</v>
      </c>
      <c r="H42" s="42"/>
    </row>
    <row r="43" spans="2:8" x14ac:dyDescent="0.2">
      <c r="B43" s="36" t="s">
        <v>727</v>
      </c>
      <c r="C43" s="36" t="s">
        <v>728</v>
      </c>
      <c r="D43" s="36" t="s">
        <v>131</v>
      </c>
      <c r="E43" s="41">
        <v>34000</v>
      </c>
      <c r="F43" s="38">
        <v>181.27099999999999</v>
      </c>
      <c r="G43" s="39">
        <v>0.34232103521155899</v>
      </c>
      <c r="H43" s="42"/>
    </row>
    <row r="44" spans="2:8" x14ac:dyDescent="0.2">
      <c r="B44" s="36" t="s">
        <v>429</v>
      </c>
      <c r="C44" s="36" t="s">
        <v>430</v>
      </c>
      <c r="D44" s="36" t="s">
        <v>68</v>
      </c>
      <c r="E44" s="41">
        <v>8100</v>
      </c>
      <c r="F44" s="38">
        <v>174.43350000000001</v>
      </c>
      <c r="G44" s="39">
        <v>0.32940876530485003</v>
      </c>
      <c r="H44" s="42"/>
    </row>
    <row r="45" spans="2:8" x14ac:dyDescent="0.2">
      <c r="B45" s="36" t="s">
        <v>165</v>
      </c>
      <c r="C45" s="36" t="s">
        <v>166</v>
      </c>
      <c r="D45" s="36" t="s">
        <v>131</v>
      </c>
      <c r="E45" s="41">
        <v>18150</v>
      </c>
      <c r="F45" s="38">
        <v>171.907725</v>
      </c>
      <c r="G45" s="39">
        <v>0.32463896808018899</v>
      </c>
      <c r="H45" s="42"/>
    </row>
    <row r="46" spans="2:8" x14ac:dyDescent="0.2">
      <c r="B46" s="36" t="s">
        <v>459</v>
      </c>
      <c r="C46" s="36" t="s">
        <v>460</v>
      </c>
      <c r="D46" s="36" t="s">
        <v>131</v>
      </c>
      <c r="E46" s="41">
        <v>70500</v>
      </c>
      <c r="F46" s="38">
        <v>168.45975000000001</v>
      </c>
      <c r="G46" s="39">
        <v>0.31812764320536902</v>
      </c>
      <c r="H46" s="42"/>
    </row>
    <row r="47" spans="2:8" x14ac:dyDescent="0.2">
      <c r="B47" s="36" t="s">
        <v>51</v>
      </c>
      <c r="C47" s="36" t="s">
        <v>52</v>
      </c>
      <c r="D47" s="36" t="s">
        <v>36</v>
      </c>
      <c r="E47" s="41">
        <v>112125</v>
      </c>
      <c r="F47" s="38">
        <v>157.2441</v>
      </c>
      <c r="G47" s="39">
        <v>0.29694746039305697</v>
      </c>
      <c r="H47" s="42"/>
    </row>
    <row r="48" spans="2:8" x14ac:dyDescent="0.2">
      <c r="B48" s="36" t="s">
        <v>89</v>
      </c>
      <c r="C48" s="36" t="s">
        <v>90</v>
      </c>
      <c r="D48" s="36" t="s">
        <v>91</v>
      </c>
      <c r="E48" s="41">
        <v>53350</v>
      </c>
      <c r="F48" s="38">
        <v>133.68442999999999</v>
      </c>
      <c r="G48" s="39">
        <v>0.25245622559188802</v>
      </c>
      <c r="H48" s="42"/>
    </row>
    <row r="49" spans="2:8" x14ac:dyDescent="0.2">
      <c r="B49" s="36" t="s">
        <v>163</v>
      </c>
      <c r="C49" s="36" t="s">
        <v>164</v>
      </c>
      <c r="D49" s="36" t="s">
        <v>39</v>
      </c>
      <c r="E49" s="41">
        <v>1000</v>
      </c>
      <c r="F49" s="38">
        <v>131.27000000000001</v>
      </c>
      <c r="G49" s="39">
        <v>0.247896697719002</v>
      </c>
      <c r="H49" s="42"/>
    </row>
    <row r="50" spans="2:8" x14ac:dyDescent="0.2">
      <c r="B50" s="36" t="s">
        <v>431</v>
      </c>
      <c r="C50" s="36" t="s">
        <v>432</v>
      </c>
      <c r="D50" s="36" t="s">
        <v>139</v>
      </c>
      <c r="E50" s="41">
        <v>10500</v>
      </c>
      <c r="F50" s="38">
        <v>118.3035</v>
      </c>
      <c r="G50" s="39">
        <v>0.223410124008532</v>
      </c>
      <c r="H50" s="42"/>
    </row>
    <row r="51" spans="2:8" x14ac:dyDescent="0.2">
      <c r="B51" s="36" t="s">
        <v>496</v>
      </c>
      <c r="C51" s="36" t="s">
        <v>497</v>
      </c>
      <c r="D51" s="36" t="s">
        <v>79</v>
      </c>
      <c r="E51" s="41">
        <v>4200</v>
      </c>
      <c r="F51" s="38">
        <v>112.3206</v>
      </c>
      <c r="G51" s="39">
        <v>0.21211172260087599</v>
      </c>
      <c r="H51" s="42"/>
    </row>
    <row r="52" spans="2:8" x14ac:dyDescent="0.2">
      <c r="B52" s="36" t="s">
        <v>493</v>
      </c>
      <c r="C52" s="36" t="s">
        <v>494</v>
      </c>
      <c r="D52" s="36" t="s">
        <v>495</v>
      </c>
      <c r="E52" s="41">
        <v>16000</v>
      </c>
      <c r="F52" s="38">
        <v>104.68</v>
      </c>
      <c r="G52" s="39">
        <v>0.19768283931762901</v>
      </c>
      <c r="H52" s="42"/>
    </row>
    <row r="53" spans="2:8" x14ac:dyDescent="0.2">
      <c r="B53" s="36" t="s">
        <v>857</v>
      </c>
      <c r="C53" s="36" t="s">
        <v>858</v>
      </c>
      <c r="D53" s="36" t="s">
        <v>99</v>
      </c>
      <c r="E53" s="41">
        <v>34200</v>
      </c>
      <c r="F53" s="38">
        <v>96.153300000000002</v>
      </c>
      <c r="G53" s="39">
        <v>0.18158060139243201</v>
      </c>
      <c r="H53" s="42"/>
    </row>
    <row r="54" spans="2:8" x14ac:dyDescent="0.2">
      <c r="B54" s="36" t="s">
        <v>134</v>
      </c>
      <c r="C54" s="36" t="s">
        <v>135</v>
      </c>
      <c r="D54" s="36" t="s">
        <v>36</v>
      </c>
      <c r="E54" s="41">
        <v>31600</v>
      </c>
      <c r="F54" s="38">
        <v>94.199600000000004</v>
      </c>
      <c r="G54" s="39">
        <v>0.177891138618503</v>
      </c>
      <c r="H54" s="42"/>
    </row>
    <row r="55" spans="2:8" x14ac:dyDescent="0.2">
      <c r="B55" s="36" t="s">
        <v>100</v>
      </c>
      <c r="C55" s="36" t="s">
        <v>101</v>
      </c>
      <c r="D55" s="36" t="s">
        <v>102</v>
      </c>
      <c r="E55" s="41">
        <v>31500</v>
      </c>
      <c r="F55" s="38">
        <v>83.600999999999999</v>
      </c>
      <c r="G55" s="39">
        <v>0.15787622324983899</v>
      </c>
      <c r="H55" s="42"/>
    </row>
    <row r="56" spans="2:8" x14ac:dyDescent="0.2">
      <c r="B56" s="36" t="s">
        <v>448</v>
      </c>
      <c r="C56" s="36" t="s">
        <v>449</v>
      </c>
      <c r="D56" s="36" t="s">
        <v>131</v>
      </c>
      <c r="E56" s="41">
        <v>4500</v>
      </c>
      <c r="F56" s="38">
        <v>80.262</v>
      </c>
      <c r="G56" s="39">
        <v>0.15157069210270899</v>
      </c>
      <c r="H56" s="42"/>
    </row>
    <row r="57" spans="2:8" x14ac:dyDescent="0.2">
      <c r="B57" s="36" t="s">
        <v>37</v>
      </c>
      <c r="C57" s="36" t="s">
        <v>38</v>
      </c>
      <c r="D57" s="36" t="s">
        <v>39</v>
      </c>
      <c r="E57" s="41">
        <v>2600</v>
      </c>
      <c r="F57" s="38">
        <v>79.185599999999994</v>
      </c>
      <c r="G57" s="39">
        <v>0.14953796561969901</v>
      </c>
      <c r="H57" s="42"/>
    </row>
    <row r="58" spans="2:8" x14ac:dyDescent="0.2">
      <c r="B58" s="36" t="s">
        <v>483</v>
      </c>
      <c r="C58" s="36" t="s">
        <v>484</v>
      </c>
      <c r="D58" s="36" t="s">
        <v>50</v>
      </c>
      <c r="E58" s="41">
        <v>15950</v>
      </c>
      <c r="F58" s="38">
        <v>67.109624999999994</v>
      </c>
      <c r="G58" s="39">
        <v>0.12673310293791901</v>
      </c>
      <c r="H58" s="42"/>
    </row>
    <row r="59" spans="2:8" x14ac:dyDescent="0.2">
      <c r="B59" s="36" t="s">
        <v>552</v>
      </c>
      <c r="C59" s="36" t="s">
        <v>553</v>
      </c>
      <c r="D59" s="36" t="s">
        <v>529</v>
      </c>
      <c r="E59" s="41">
        <v>6300</v>
      </c>
      <c r="F59" s="38">
        <v>59.100299999999997</v>
      </c>
      <c r="G59" s="39">
        <v>0.11160790130419999</v>
      </c>
      <c r="H59" s="42"/>
    </row>
    <row r="60" spans="2:8" x14ac:dyDescent="0.2">
      <c r="B60" s="36" t="s">
        <v>608</v>
      </c>
      <c r="C60" s="36" t="s">
        <v>609</v>
      </c>
      <c r="D60" s="36" t="s">
        <v>610</v>
      </c>
      <c r="E60" s="41">
        <v>8130</v>
      </c>
      <c r="F60" s="38">
        <v>52.422240000000002</v>
      </c>
      <c r="G60" s="39">
        <v>9.8996725703001401E-2</v>
      </c>
      <c r="H60" s="42"/>
    </row>
    <row r="61" spans="2:8" x14ac:dyDescent="0.2">
      <c r="B61" s="36" t="s">
        <v>45</v>
      </c>
      <c r="C61" s="36" t="s">
        <v>46</v>
      </c>
      <c r="D61" s="36" t="s">
        <v>47</v>
      </c>
      <c r="E61" s="41">
        <v>1225</v>
      </c>
      <c r="F61" s="38">
        <v>49.937125000000002</v>
      </c>
      <c r="G61" s="39">
        <v>9.4303712813902998E-2</v>
      </c>
      <c r="H61" s="42"/>
    </row>
    <row r="62" spans="2:8" x14ac:dyDescent="0.2">
      <c r="B62" s="36" t="s">
        <v>642</v>
      </c>
      <c r="C62" s="36" t="s">
        <v>643</v>
      </c>
      <c r="D62" s="36" t="s">
        <v>99</v>
      </c>
      <c r="E62" s="41">
        <v>4000</v>
      </c>
      <c r="F62" s="38">
        <v>47.072000000000003</v>
      </c>
      <c r="G62" s="39">
        <v>8.8893070427583501E-2</v>
      </c>
      <c r="H62" s="42"/>
    </row>
    <row r="63" spans="2:8" x14ac:dyDescent="0.2">
      <c r="B63" s="36" t="s">
        <v>548</v>
      </c>
      <c r="C63" s="36" t="s">
        <v>549</v>
      </c>
      <c r="D63" s="36" t="s">
        <v>74</v>
      </c>
      <c r="E63" s="41">
        <v>9450</v>
      </c>
      <c r="F63" s="38">
        <v>42.321824999999997</v>
      </c>
      <c r="G63" s="39">
        <v>7.9922607289872202E-2</v>
      </c>
      <c r="H63" s="42"/>
    </row>
    <row r="64" spans="2:8" x14ac:dyDescent="0.2">
      <c r="B64" s="36" t="s">
        <v>441</v>
      </c>
      <c r="C64" s="36" t="s">
        <v>442</v>
      </c>
      <c r="D64" s="36" t="s">
        <v>74</v>
      </c>
      <c r="E64" s="41">
        <v>1250</v>
      </c>
      <c r="F64" s="38">
        <v>39.03</v>
      </c>
      <c r="G64" s="39">
        <v>7.3706163723414805E-2</v>
      </c>
      <c r="H64" s="42"/>
    </row>
    <row r="65" spans="2:8" x14ac:dyDescent="0.2">
      <c r="B65" s="36" t="s">
        <v>606</v>
      </c>
      <c r="C65" s="36" t="s">
        <v>607</v>
      </c>
      <c r="D65" s="36" t="s">
        <v>91</v>
      </c>
      <c r="E65" s="41">
        <v>3375</v>
      </c>
      <c r="F65" s="38">
        <v>33.581249999999997</v>
      </c>
      <c r="G65" s="39">
        <v>6.3416477338891206E-2</v>
      </c>
      <c r="H65" s="42"/>
    </row>
    <row r="66" spans="2:8" x14ac:dyDescent="0.2">
      <c r="B66" s="36" t="s">
        <v>506</v>
      </c>
      <c r="C66" s="36" t="s">
        <v>507</v>
      </c>
      <c r="D66" s="36" t="s">
        <v>508</v>
      </c>
      <c r="E66" s="41">
        <v>2000</v>
      </c>
      <c r="F66" s="38">
        <v>29.655999999999999</v>
      </c>
      <c r="G66" s="39">
        <v>5.60038429767254E-2</v>
      </c>
      <c r="H66" s="42"/>
    </row>
    <row r="67" spans="2:8" x14ac:dyDescent="0.2">
      <c r="B67" s="36" t="s">
        <v>592</v>
      </c>
      <c r="C67" s="36" t="s">
        <v>593</v>
      </c>
      <c r="D67" s="36" t="s">
        <v>571</v>
      </c>
      <c r="E67" s="41">
        <v>2175</v>
      </c>
      <c r="F67" s="38">
        <v>24.3339</v>
      </c>
      <c r="G67" s="39">
        <v>4.5953328655629101E-2</v>
      </c>
      <c r="H67" s="42"/>
    </row>
    <row r="68" spans="2:8" x14ac:dyDescent="0.2">
      <c r="B68" s="36" t="s">
        <v>479</v>
      </c>
      <c r="C68" s="36" t="s">
        <v>480</v>
      </c>
      <c r="D68" s="36" t="s">
        <v>39</v>
      </c>
      <c r="E68" s="41">
        <v>700</v>
      </c>
      <c r="F68" s="38">
        <v>23.489899999999999</v>
      </c>
      <c r="G68" s="39">
        <v>4.4359477715773601E-2</v>
      </c>
      <c r="H68" s="42"/>
    </row>
    <row r="69" spans="2:8" x14ac:dyDescent="0.2">
      <c r="B69" s="36" t="s">
        <v>721</v>
      </c>
      <c r="C69" s="36" t="s">
        <v>722</v>
      </c>
      <c r="D69" s="36" t="s">
        <v>28</v>
      </c>
      <c r="E69" s="41">
        <v>15600</v>
      </c>
      <c r="F69" s="38">
        <v>21.825959999999998</v>
      </c>
      <c r="G69" s="39">
        <v>4.1217211918542197E-2</v>
      </c>
      <c r="H69" s="42"/>
    </row>
    <row r="70" spans="2:8" x14ac:dyDescent="0.2">
      <c r="B70" s="36" t="s">
        <v>171</v>
      </c>
      <c r="C70" s="36" t="s">
        <v>172</v>
      </c>
      <c r="D70" s="36" t="s">
        <v>39</v>
      </c>
      <c r="E70" s="41">
        <v>300</v>
      </c>
      <c r="F70" s="38">
        <v>21.530999999999999</v>
      </c>
      <c r="G70" s="39">
        <v>4.0660195007144399E-2</v>
      </c>
      <c r="H70" s="42"/>
    </row>
    <row r="71" spans="2:8" x14ac:dyDescent="0.2">
      <c r="B71" s="36" t="s">
        <v>452</v>
      </c>
      <c r="C71" s="36" t="s">
        <v>453</v>
      </c>
      <c r="D71" s="36" t="s">
        <v>454</v>
      </c>
      <c r="E71" s="41">
        <v>250</v>
      </c>
      <c r="F71" s="38">
        <v>20.44125</v>
      </c>
      <c r="G71" s="39">
        <v>3.8602257730239703E-2</v>
      </c>
      <c r="H71" s="42"/>
    </row>
    <row r="72" spans="2:8" x14ac:dyDescent="0.2">
      <c r="B72" s="36" t="s">
        <v>567</v>
      </c>
      <c r="C72" s="36" t="s">
        <v>568</v>
      </c>
      <c r="D72" s="36" t="s">
        <v>28</v>
      </c>
      <c r="E72" s="41">
        <v>2100</v>
      </c>
      <c r="F72" s="38">
        <v>19.201350000000001</v>
      </c>
      <c r="G72" s="39">
        <v>3.62607698388571E-2</v>
      </c>
      <c r="H72" s="42"/>
    </row>
    <row r="73" spans="2:8" x14ac:dyDescent="0.2">
      <c r="B73" s="36" t="s">
        <v>515</v>
      </c>
      <c r="C73" s="36" t="s">
        <v>516</v>
      </c>
      <c r="D73" s="36" t="s">
        <v>517</v>
      </c>
      <c r="E73" s="41">
        <v>9450</v>
      </c>
      <c r="F73" s="38">
        <v>15.546195000000001</v>
      </c>
      <c r="G73" s="39">
        <v>2.9358196104179699E-2</v>
      </c>
      <c r="H73" s="42"/>
    </row>
    <row r="74" spans="2:8" x14ac:dyDescent="0.2">
      <c r="B74" s="36" t="s">
        <v>522</v>
      </c>
      <c r="C74" s="36" t="s">
        <v>523</v>
      </c>
      <c r="D74" s="36" t="s">
        <v>524</v>
      </c>
      <c r="E74" s="41">
        <v>1000</v>
      </c>
      <c r="F74" s="38">
        <v>10.292999999999999</v>
      </c>
      <c r="G74" s="39">
        <v>1.9437805360110399E-2</v>
      </c>
      <c r="H74" s="42"/>
    </row>
    <row r="75" spans="2:8" x14ac:dyDescent="0.2">
      <c r="B75" s="36" t="s">
        <v>863</v>
      </c>
      <c r="C75" s="36" t="s">
        <v>864</v>
      </c>
      <c r="D75" s="36" t="s">
        <v>131</v>
      </c>
      <c r="E75" s="41">
        <v>3000</v>
      </c>
      <c r="F75" s="38">
        <v>9.7620000000000005</v>
      </c>
      <c r="G75" s="39">
        <v>1.84350389512676E-2</v>
      </c>
      <c r="H75" s="42"/>
    </row>
    <row r="76" spans="2:8" x14ac:dyDescent="0.2">
      <c r="B76" s="36" t="s">
        <v>542</v>
      </c>
      <c r="C76" s="36" t="s">
        <v>543</v>
      </c>
      <c r="D76" s="36" t="s">
        <v>65</v>
      </c>
      <c r="E76" s="41">
        <v>25</v>
      </c>
      <c r="F76" s="38">
        <v>9.15625</v>
      </c>
      <c r="G76" s="39">
        <v>1.7291110981104699E-2</v>
      </c>
      <c r="H76" s="42"/>
    </row>
    <row r="77" spans="2:8" x14ac:dyDescent="0.2">
      <c r="B77" s="36" t="s">
        <v>617</v>
      </c>
      <c r="C77" s="36" t="s">
        <v>618</v>
      </c>
      <c r="D77" s="36" t="s">
        <v>82</v>
      </c>
      <c r="E77" s="41">
        <v>375</v>
      </c>
      <c r="F77" s="38">
        <v>8.530875</v>
      </c>
      <c r="G77" s="39">
        <v>1.6110122199692201E-2</v>
      </c>
      <c r="H77" s="42"/>
    </row>
    <row r="78" spans="2:8" x14ac:dyDescent="0.2">
      <c r="B78" s="36" t="s">
        <v>474</v>
      </c>
      <c r="C78" s="36" t="s">
        <v>475</v>
      </c>
      <c r="D78" s="36" t="s">
        <v>435</v>
      </c>
      <c r="E78" s="41">
        <v>150</v>
      </c>
      <c r="F78" s="38">
        <v>6.4557000000000002</v>
      </c>
      <c r="G78" s="39">
        <v>1.21912600858122E-2</v>
      </c>
      <c r="H78" s="42"/>
    </row>
    <row r="79" spans="2:8" x14ac:dyDescent="0.2">
      <c r="B79" s="36" t="s">
        <v>152</v>
      </c>
      <c r="C79" s="36" t="s">
        <v>153</v>
      </c>
      <c r="D79" s="36" t="s">
        <v>50</v>
      </c>
      <c r="E79" s="41">
        <v>1900</v>
      </c>
      <c r="F79" s="38">
        <v>5.5204500000000003</v>
      </c>
      <c r="G79" s="39">
        <v>1.04250881764521E-2</v>
      </c>
      <c r="H79" s="42"/>
    </row>
    <row r="80" spans="2:8" x14ac:dyDescent="0.2">
      <c r="B80" s="36" t="s">
        <v>464</v>
      </c>
      <c r="C80" s="36" t="s">
        <v>465</v>
      </c>
      <c r="D80" s="36" t="s">
        <v>454</v>
      </c>
      <c r="E80" s="41">
        <v>525</v>
      </c>
      <c r="F80" s="38">
        <v>5.0667749999999998</v>
      </c>
      <c r="G80" s="39">
        <v>9.56834608505522E-3</v>
      </c>
      <c r="H80" s="42"/>
    </row>
    <row r="81" spans="2:9" ht="10.5" x14ac:dyDescent="0.25">
      <c r="B81" s="35" t="s">
        <v>180</v>
      </c>
      <c r="C81" s="35"/>
      <c r="D81" s="35"/>
      <c r="E81" s="43"/>
      <c r="F81" s="44">
        <f>SUM(F7:F80)</f>
        <v>39266.009681000003</v>
      </c>
      <c r="G81" s="45">
        <f>SUM(G7:G80)</f>
        <v>74.151855964975098</v>
      </c>
      <c r="H81" s="35"/>
      <c r="I81" s="26"/>
    </row>
    <row r="82" spans="2:9" ht="10.5" x14ac:dyDescent="0.25">
      <c r="B82" s="35" t="s">
        <v>181</v>
      </c>
      <c r="C82" s="35"/>
      <c r="D82" s="35"/>
      <c r="E82" s="43"/>
      <c r="F82" s="47" t="s">
        <v>182</v>
      </c>
      <c r="G82" s="48" t="s">
        <v>182</v>
      </c>
      <c r="H82" s="35"/>
      <c r="I82" s="26"/>
    </row>
    <row r="83" spans="2:9" ht="10.5" x14ac:dyDescent="0.25">
      <c r="B83" s="35" t="s">
        <v>180</v>
      </c>
      <c r="C83" s="35"/>
      <c r="D83" s="35"/>
      <c r="E83" s="43"/>
      <c r="F83" s="49" t="s">
        <v>182</v>
      </c>
      <c r="G83" s="50" t="s">
        <v>182</v>
      </c>
      <c r="H83" s="35"/>
      <c r="I83" s="26"/>
    </row>
    <row r="84" spans="2:9" ht="10.5" x14ac:dyDescent="0.25">
      <c r="B84" s="51" t="s">
        <v>199</v>
      </c>
      <c r="C84" s="51"/>
      <c r="D84" s="51"/>
      <c r="E84" s="52"/>
      <c r="F84" s="53">
        <f>F81</f>
        <v>39266.009681000003</v>
      </c>
      <c r="G84" s="54">
        <f>G81</f>
        <v>74.151855964975098</v>
      </c>
      <c r="H84" s="35"/>
      <c r="I84" s="26"/>
    </row>
    <row r="85" spans="2:9" ht="10.5" x14ac:dyDescent="0.25">
      <c r="B85" s="35" t="s">
        <v>200</v>
      </c>
      <c r="C85" s="36"/>
      <c r="D85" s="36"/>
      <c r="E85" s="37"/>
      <c r="F85" s="38"/>
      <c r="G85" s="39"/>
      <c r="H85" s="36"/>
    </row>
    <row r="86" spans="2:9" x14ac:dyDescent="0.2">
      <c r="B86" s="36" t="s">
        <v>1379</v>
      </c>
      <c r="C86" s="36" t="s">
        <v>1380</v>
      </c>
      <c r="D86" s="36" t="s">
        <v>209</v>
      </c>
      <c r="E86" s="41">
        <v>500</v>
      </c>
      <c r="F86" s="38">
        <v>2446.8825000000002</v>
      </c>
      <c r="G86" s="39">
        <v>4.6208127634373204</v>
      </c>
      <c r="H86" s="42">
        <v>7.4749999999999997E-2</v>
      </c>
    </row>
    <row r="87" spans="2:9" x14ac:dyDescent="0.2">
      <c r="B87" s="36" t="s">
        <v>1381</v>
      </c>
      <c r="C87" s="36" t="s">
        <v>1382</v>
      </c>
      <c r="D87" s="36" t="s">
        <v>209</v>
      </c>
      <c r="E87" s="41">
        <v>500</v>
      </c>
      <c r="F87" s="38">
        <v>2378</v>
      </c>
      <c r="G87" s="39">
        <v>4.4907316765124401</v>
      </c>
      <c r="H87" s="42">
        <v>7.7700000000000005E-2</v>
      </c>
    </row>
    <row r="88" spans="2:9" x14ac:dyDescent="0.2">
      <c r="B88" s="36" t="s">
        <v>319</v>
      </c>
      <c r="C88" s="36" t="s">
        <v>320</v>
      </c>
      <c r="D88" s="36" t="s">
        <v>209</v>
      </c>
      <c r="E88" s="41">
        <v>400</v>
      </c>
      <c r="F88" s="38">
        <v>1968.7159999999999</v>
      </c>
      <c r="G88" s="39">
        <v>3.7178197238254298</v>
      </c>
      <c r="H88" s="42">
        <v>7.2500999999999996E-2</v>
      </c>
    </row>
    <row r="89" spans="2:9" ht="10.5" x14ac:dyDescent="0.25">
      <c r="B89" s="35" t="s">
        <v>180</v>
      </c>
      <c r="C89" s="35"/>
      <c r="D89" s="35"/>
      <c r="E89" s="43"/>
      <c r="F89" s="74">
        <f>SUM(F85:F88)</f>
        <v>6793.5985000000001</v>
      </c>
      <c r="G89" s="75">
        <f>SUM(G85:G88)</f>
        <v>12.829364163775191</v>
      </c>
      <c r="H89" s="35"/>
      <c r="I89" s="26"/>
    </row>
    <row r="90" spans="2:9" ht="10.5" x14ac:dyDescent="0.25">
      <c r="B90" s="51" t="s">
        <v>183</v>
      </c>
      <c r="C90" s="51"/>
      <c r="D90" s="51"/>
      <c r="E90" s="52"/>
      <c r="F90" s="53">
        <f>+F89</f>
        <v>6793.5985000000001</v>
      </c>
      <c r="G90" s="54">
        <f>+G89</f>
        <v>12.829364163775191</v>
      </c>
      <c r="H90" s="35"/>
      <c r="I90" s="26"/>
    </row>
    <row r="91" spans="2:9" ht="10.5" x14ac:dyDescent="0.25">
      <c r="B91" s="35" t="s">
        <v>1383</v>
      </c>
      <c r="C91" s="36"/>
      <c r="D91" s="36"/>
      <c r="E91" s="37"/>
      <c r="F91" s="38"/>
      <c r="G91" s="39"/>
      <c r="H91" s="36"/>
    </row>
    <row r="92" spans="2:9" x14ac:dyDescent="0.2">
      <c r="B92" s="36" t="s">
        <v>1384</v>
      </c>
      <c r="C92" s="36" t="s">
        <v>1385</v>
      </c>
      <c r="D92" s="36"/>
      <c r="E92" s="41">
        <v>482233.40600000002</v>
      </c>
      <c r="F92" s="38">
        <v>5064.5353058999999</v>
      </c>
      <c r="G92" s="39">
        <v>9.5641165370146108</v>
      </c>
      <c r="H92" s="36"/>
    </row>
    <row r="93" spans="2:9" x14ac:dyDescent="0.2">
      <c r="B93" s="36" t="s">
        <v>1386</v>
      </c>
      <c r="C93" s="36" t="s">
        <v>1387</v>
      </c>
      <c r="D93" s="36"/>
      <c r="E93" s="41">
        <v>146361.65100000001</v>
      </c>
      <c r="F93" s="38">
        <v>1546.7208017999999</v>
      </c>
      <c r="G93" s="39">
        <v>2.92090332185197</v>
      </c>
      <c r="H93" s="36"/>
    </row>
    <row r="94" spans="2:9" ht="10.5" x14ac:dyDescent="0.25">
      <c r="B94" s="35" t="s">
        <v>180</v>
      </c>
      <c r="C94" s="35"/>
      <c r="D94" s="35"/>
      <c r="E94" s="43"/>
      <c r="F94" s="44">
        <f>SUM(F92:F93)</f>
        <v>6611.2561077</v>
      </c>
      <c r="G94" s="45">
        <f>SUM(G92:G93)</f>
        <v>12.485019858866581</v>
      </c>
      <c r="H94" s="35"/>
      <c r="I94" s="26"/>
    </row>
    <row r="95" spans="2:9" ht="10.5" x14ac:dyDescent="0.25">
      <c r="B95" s="35"/>
      <c r="C95" s="36"/>
      <c r="D95" s="36"/>
      <c r="E95" s="37"/>
      <c r="F95" s="38"/>
      <c r="G95" s="39"/>
      <c r="H95" s="36"/>
    </row>
    <row r="96" spans="2:9" ht="10.5" x14ac:dyDescent="0.25">
      <c r="B96" s="35" t="s">
        <v>184</v>
      </c>
      <c r="C96" s="35"/>
      <c r="D96" s="35"/>
      <c r="E96" s="43"/>
      <c r="F96" s="44">
        <v>1265.3773997999999</v>
      </c>
      <c r="G96" s="45">
        <v>2.3896006610701499</v>
      </c>
      <c r="H96" s="42">
        <v>5.3499999999999999E-2</v>
      </c>
      <c r="I96" s="27"/>
    </row>
    <row r="97" spans="2:9" x14ac:dyDescent="0.2">
      <c r="B97" s="36"/>
      <c r="C97" s="36"/>
      <c r="D97" s="36"/>
      <c r="E97" s="37"/>
      <c r="F97" s="38"/>
      <c r="G97" s="39"/>
      <c r="H97" s="36"/>
    </row>
    <row r="98" spans="2:9" ht="10.5" x14ac:dyDescent="0.25">
      <c r="B98" s="35" t="s">
        <v>186</v>
      </c>
      <c r="C98" s="36"/>
      <c r="D98" s="36"/>
      <c r="E98" s="37"/>
      <c r="F98" s="152">
        <v>0</v>
      </c>
      <c r="G98" s="152">
        <f>F98/F100*100</f>
        <v>0</v>
      </c>
      <c r="H98" s="36"/>
    </row>
    <row r="99" spans="2:9" ht="10.5" x14ac:dyDescent="0.25">
      <c r="B99" s="61" t="s">
        <v>187</v>
      </c>
      <c r="C99" s="61"/>
      <c r="D99" s="61"/>
      <c r="E99" s="62"/>
      <c r="F99" s="44">
        <f>F100-(F81+F89+F94+F96+F98)</f>
        <v>-982.73274390000734</v>
      </c>
      <c r="G99" s="45">
        <f>G100-(G81+G89+G94+G96+G98)</f>
        <v>-1.8558406486870211</v>
      </c>
      <c r="H99" s="35"/>
      <c r="I99" s="26"/>
    </row>
    <row r="100" spans="2:9" ht="10.5" x14ac:dyDescent="0.25">
      <c r="B100" s="55" t="s">
        <v>185</v>
      </c>
      <c r="C100" s="55"/>
      <c r="D100" s="55"/>
      <c r="E100" s="56"/>
      <c r="F100" s="57">
        <v>52953.508944599998</v>
      </c>
      <c r="G100" s="58">
        <v>100</v>
      </c>
      <c r="H100" s="60"/>
      <c r="I100" s="26"/>
    </row>
    <row r="102" spans="2:9" ht="10.5" x14ac:dyDescent="0.25">
      <c r="B102" s="26" t="s">
        <v>188</v>
      </c>
    </row>
    <row r="104" spans="2:9" ht="10.5" x14ac:dyDescent="0.25">
      <c r="B104" s="63" t="s">
        <v>7</v>
      </c>
      <c r="C104" s="63" t="s">
        <v>189</v>
      </c>
      <c r="D104" s="63" t="s">
        <v>190</v>
      </c>
      <c r="E104" s="64" t="s">
        <v>0</v>
      </c>
      <c r="F104" s="65" t="s">
        <v>191</v>
      </c>
      <c r="G104" s="66" t="s">
        <v>192</v>
      </c>
    </row>
    <row r="105" spans="2:9" x14ac:dyDescent="0.2">
      <c r="B105" s="67" t="s">
        <v>1388</v>
      </c>
      <c r="C105" s="67" t="s">
        <v>1389</v>
      </c>
      <c r="D105" s="67" t="s">
        <v>454</v>
      </c>
      <c r="E105" s="68">
        <v>-525</v>
      </c>
      <c r="F105" s="69">
        <v>-5.1258375000000003</v>
      </c>
      <c r="G105" s="70">
        <v>-9.6798826029879399E-3</v>
      </c>
    </row>
    <row r="106" spans="2:9" x14ac:dyDescent="0.2">
      <c r="B106" s="67" t="s">
        <v>1390</v>
      </c>
      <c r="C106" s="67" t="s">
        <v>1389</v>
      </c>
      <c r="D106" s="67" t="s">
        <v>50</v>
      </c>
      <c r="E106" s="68">
        <v>-1900</v>
      </c>
      <c r="F106" s="69">
        <v>-5.5841000000000003</v>
      </c>
      <c r="G106" s="70">
        <v>-1.05452879540846E-2</v>
      </c>
    </row>
    <row r="107" spans="2:9" x14ac:dyDescent="0.2">
      <c r="B107" s="67" t="s">
        <v>1391</v>
      </c>
      <c r="C107" s="67" t="s">
        <v>1389</v>
      </c>
      <c r="D107" s="67" t="s">
        <v>435</v>
      </c>
      <c r="E107" s="68">
        <v>-150</v>
      </c>
      <c r="F107" s="69">
        <v>-6.5583</v>
      </c>
      <c r="G107" s="70">
        <v>-1.23850149512496E-2</v>
      </c>
    </row>
    <row r="108" spans="2:9" x14ac:dyDescent="0.2">
      <c r="B108" s="67" t="s">
        <v>1392</v>
      </c>
      <c r="C108" s="67" t="s">
        <v>1389</v>
      </c>
      <c r="D108" s="67" t="s">
        <v>82</v>
      </c>
      <c r="E108" s="68">
        <v>-375</v>
      </c>
      <c r="F108" s="69">
        <v>-8.6445000000000007</v>
      </c>
      <c r="G108" s="70">
        <v>-1.6324697215143701E-2</v>
      </c>
    </row>
    <row r="109" spans="2:9" x14ac:dyDescent="0.2">
      <c r="B109" s="67" t="s">
        <v>1393</v>
      </c>
      <c r="C109" s="67" t="s">
        <v>1389</v>
      </c>
      <c r="D109" s="67" t="s">
        <v>65</v>
      </c>
      <c r="E109" s="68">
        <v>-25</v>
      </c>
      <c r="F109" s="69">
        <v>-9.2762499999999992</v>
      </c>
      <c r="G109" s="70">
        <v>-1.75177248588093E-2</v>
      </c>
    </row>
    <row r="110" spans="2:9" x14ac:dyDescent="0.2">
      <c r="B110" s="67" t="s">
        <v>1394</v>
      </c>
      <c r="C110" s="67" t="s">
        <v>1389</v>
      </c>
      <c r="D110" s="67" t="s">
        <v>131</v>
      </c>
      <c r="E110" s="68">
        <v>-3000</v>
      </c>
      <c r="F110" s="69">
        <v>-9.8445</v>
      </c>
      <c r="G110" s="70">
        <v>-1.8590835992189501E-2</v>
      </c>
    </row>
    <row r="111" spans="2:9" x14ac:dyDescent="0.2">
      <c r="B111" s="67" t="s">
        <v>1395</v>
      </c>
      <c r="C111" s="67" t="s">
        <v>1389</v>
      </c>
      <c r="D111" s="67" t="s">
        <v>524</v>
      </c>
      <c r="E111" s="68">
        <v>-1000</v>
      </c>
      <c r="F111" s="69">
        <v>-10.401</v>
      </c>
      <c r="G111" s="70">
        <v>-1.9641757850044499E-2</v>
      </c>
    </row>
    <row r="112" spans="2:9" x14ac:dyDescent="0.2">
      <c r="B112" s="67" t="s">
        <v>1396</v>
      </c>
      <c r="C112" s="67" t="s">
        <v>1389</v>
      </c>
      <c r="D112" s="67" t="s">
        <v>36</v>
      </c>
      <c r="E112" s="68">
        <v>-3950</v>
      </c>
      <c r="F112" s="69">
        <v>-11.986274999999999</v>
      </c>
      <c r="G112" s="70">
        <v>-2.26354688081956E-2</v>
      </c>
    </row>
    <row r="113" spans="2:7" x14ac:dyDescent="0.2">
      <c r="B113" s="67" t="s">
        <v>1397</v>
      </c>
      <c r="C113" s="67" t="s">
        <v>1389</v>
      </c>
      <c r="D113" s="67" t="s">
        <v>91</v>
      </c>
      <c r="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="s">
        <v>1398</v>
      </c>
      <c r="C114" s="67" t="s">
        <v>1389</v>
      </c>
      <c r="D114" s="67" t="s">
        <v>517</v>
      </c>
      <c r="E114" s="68">
        <v>-9450</v>
      </c>
      <c r="F114" s="69">
        <v>-15.720075</v>
      </c>
      <c r="G114" s="70">
        <v>-2.96865596129736E-2</v>
      </c>
    </row>
    <row r="115" spans="2:7" x14ac:dyDescent="0.2">
      <c r="B115" s="67" t="s">
        <v>1399</v>
      </c>
      <c r="C115" s="67" t="s">
        <v>1389</v>
      </c>
      <c r="D115" s="67" t="s">
        <v>28</v>
      </c>
      <c r="E115" s="68">
        <v>-2100</v>
      </c>
      <c r="F115" s="69">
        <v>-19.39875</v>
      </c>
      <c r="G115" s="70">
        <v>-3.6633549667681099E-2</v>
      </c>
    </row>
    <row r="116" spans="2:7" x14ac:dyDescent="0.2">
      <c r="B116" s="67" t="s">
        <v>1400</v>
      </c>
      <c r="C116" s="67" t="s">
        <v>1389</v>
      </c>
      <c r="D116" s="67" t="s">
        <v>454</v>
      </c>
      <c r="E116" s="68">
        <v>-250</v>
      </c>
      <c r="F116" s="69">
        <v>-20.681249999999999</v>
      </c>
      <c r="G116" s="70">
        <v>-3.90554854856488E-2</v>
      </c>
    </row>
    <row r="117" spans="2:7" x14ac:dyDescent="0.2">
      <c r="B117" s="67" t="s">
        <v>1401</v>
      </c>
      <c r="C117" s="67" t="s">
        <v>1389</v>
      </c>
      <c r="D117" s="67" t="s">
        <v>39</v>
      </c>
      <c r="E117" s="68">
        <v>-300</v>
      </c>
      <c r="F117" s="69">
        <v>-21.792000000000002</v>
      </c>
      <c r="G117" s="70">
        <v>-4.1153080191151797E-2</v>
      </c>
    </row>
    <row r="118" spans="2:7" x14ac:dyDescent="0.2">
      <c r="B118" s="67" t="s">
        <v>1402</v>
      </c>
      <c r="C118" s="67" t="s">
        <v>1389</v>
      </c>
      <c r="D118" s="67" t="s">
        <v>28</v>
      </c>
      <c r="E118" s="68">
        <v>-15600</v>
      </c>
      <c r="F118" s="69">
        <v>-22.053719999999998</v>
      </c>
      <c r="G118" s="70">
        <v>-4.1647325058425499E-2</v>
      </c>
    </row>
    <row r="119" spans="2:7" x14ac:dyDescent="0.2">
      <c r="B119" s="67" t="s">
        <v>1403</v>
      </c>
      <c r="C119" s="67" t="s">
        <v>1389</v>
      </c>
      <c r="D119" s="67" t="s">
        <v>39</v>
      </c>
      <c r="E119" s="68">
        <v>-700</v>
      </c>
      <c r="F119" s="69">
        <v>-23.774799999999999</v>
      </c>
      <c r="G119" s="70">
        <v>-4.4897496830423898E-2</v>
      </c>
    </row>
    <row r="120" spans="2:7" x14ac:dyDescent="0.2">
      <c r="B120" s="67" t="s">
        <v>1404</v>
      </c>
      <c r="C120" s="67" t="s">
        <v>1389</v>
      </c>
      <c r="D120" s="67" t="s">
        <v>571</v>
      </c>
      <c r="E120" s="68">
        <v>-2175</v>
      </c>
      <c r="F120" s="69">
        <v>-24.627524999999999</v>
      </c>
      <c r="G120" s="70">
        <v>-4.6507824487637503E-2</v>
      </c>
    </row>
    <row r="121" spans="2:7" x14ac:dyDescent="0.2">
      <c r="B121" s="67" t="s">
        <v>1405</v>
      </c>
      <c r="C121" s="67" t="s">
        <v>1389</v>
      </c>
      <c r="D121" s="67" t="s">
        <v>508</v>
      </c>
      <c r="E121" s="68">
        <v>-2000</v>
      </c>
      <c r="F121" s="69">
        <v>-29.873999999999999</v>
      </c>
      <c r="G121" s="70">
        <v>-5.6415524854555303E-2</v>
      </c>
    </row>
    <row r="122" spans="2:7" x14ac:dyDescent="0.2">
      <c r="B122" s="67" t="s">
        <v>1406</v>
      </c>
      <c r="C122" s="67" t="s">
        <v>1389</v>
      </c>
      <c r="D122" s="67" t="s">
        <v>91</v>
      </c>
      <c r="E122" s="68">
        <v>-3375</v>
      </c>
      <c r="F122" s="69">
        <v>-33.949125000000002</v>
      </c>
      <c r="G122" s="70">
        <v>-6.4111190507729302E-2</v>
      </c>
    </row>
    <row r="123" spans="2:7" x14ac:dyDescent="0.2">
      <c r="B123" s="67" t="s">
        <v>1407</v>
      </c>
      <c r="C123" s="67" t="s">
        <v>1389</v>
      </c>
      <c r="D123" s="67" t="s">
        <v>74</v>
      </c>
      <c r="E123" s="68">
        <v>-1250</v>
      </c>
      <c r="F123" s="69">
        <v>-39.467500000000001</v>
      </c>
      <c r="G123" s="70">
        <v>-7.4532360152546107E-2</v>
      </c>
    </row>
    <row r="124" spans="2:7" x14ac:dyDescent="0.2">
      <c r="B124" s="67" t="s">
        <v>1408</v>
      </c>
      <c r="C124" s="67" t="s">
        <v>1389</v>
      </c>
      <c r="D124" s="67" t="s">
        <v>435</v>
      </c>
      <c r="E124" s="68">
        <v>-9975</v>
      </c>
      <c r="F124" s="69">
        <v>-41.441137500000004</v>
      </c>
      <c r="G124" s="70">
        <v>-7.8259473878030894E-2</v>
      </c>
    </row>
    <row r="125" spans="2:7" x14ac:dyDescent="0.2">
      <c r="B125" s="67" t="s">
        <v>1409</v>
      </c>
      <c r="C125" s="67" t="s">
        <v>1389</v>
      </c>
      <c r="D125" s="67" t="s">
        <v>74</v>
      </c>
      <c r="E125" s="68">
        <v>-9450</v>
      </c>
      <c r="F125" s="69">
        <v>-42.53445</v>
      </c>
      <c r="G125" s="70">
        <v>-8.0324138754429994E-2</v>
      </c>
    </row>
    <row r="126" spans="2:7" x14ac:dyDescent="0.2">
      <c r="B126" s="67" t="s">
        <v>1410</v>
      </c>
      <c r="C126" s="67" t="s">
        <v>1389</v>
      </c>
      <c r="D126" s="67" t="s">
        <v>28</v>
      </c>
      <c r="E126" s="68">
        <v>-4500</v>
      </c>
      <c r="F126" s="69">
        <v>-43.798499999999997</v>
      </c>
      <c r="G126" s="70">
        <v>-8.2711232688700606E-2</v>
      </c>
    </row>
    <row r="127" spans="2:7" x14ac:dyDescent="0.2">
      <c r="B127" s="67" t="s">
        <v>1411</v>
      </c>
      <c r="C127" s="67" t="s">
        <v>1389</v>
      </c>
      <c r="D127" s="67" t="s">
        <v>99</v>
      </c>
      <c r="E127" s="68">
        <v>-4000</v>
      </c>
      <c r="F127" s="69">
        <v>-47.62</v>
      </c>
      <c r="G127" s="70">
        <v>-8.9927940469101103E-2</v>
      </c>
    </row>
    <row r="128" spans="2:7" x14ac:dyDescent="0.2">
      <c r="B128" s="67" t="s">
        <v>1412</v>
      </c>
      <c r="C128" s="67" t="s">
        <v>1389</v>
      </c>
      <c r="D128" s="67" t="s">
        <v>47</v>
      </c>
      <c r="E128" s="68">
        <v>-1225</v>
      </c>
      <c r="F128" s="69">
        <v>-50.369549999999997</v>
      </c>
      <c r="G128" s="70">
        <v>-9.5120325364456304E-2</v>
      </c>
    </row>
    <row r="129" spans="2:7" x14ac:dyDescent="0.2">
      <c r="B129" s="67" t="s">
        <v>1413</v>
      </c>
      <c r="C129" s="67" t="s">
        <v>1389</v>
      </c>
      <c r="D129" s="67" t="s">
        <v>610</v>
      </c>
      <c r="E129" s="68">
        <v>-8130</v>
      </c>
      <c r="F129" s="69">
        <v>-52.89378</v>
      </c>
      <c r="G129" s="70">
        <v>-9.9887204935441606E-2</v>
      </c>
    </row>
    <row r="130" spans="2:7" x14ac:dyDescent="0.2">
      <c r="B130" s="67" t="s">
        <v>1414</v>
      </c>
      <c r="C130" s="67" t="s">
        <v>1389</v>
      </c>
      <c r="D130" s="67" t="s">
        <v>529</v>
      </c>
      <c r="E130" s="68">
        <v>-6300</v>
      </c>
      <c r="F130" s="69">
        <v>-59.786999999999999</v>
      </c>
      <c r="G130" s="70">
        <v>-0.112904699219365</v>
      </c>
    </row>
    <row r="131" spans="2:7" x14ac:dyDescent="0.2">
      <c r="B131" s="67" t="s">
        <v>1415</v>
      </c>
      <c r="C131" s="67" t="s">
        <v>1389</v>
      </c>
      <c r="D131" s="67" t="s">
        <v>28</v>
      </c>
      <c r="E131" s="68">
        <v>-4900</v>
      </c>
      <c r="F131" s="69">
        <v>-62.626899999999999</v>
      </c>
      <c r="G131" s="70">
        <v>-0.118267705480142</v>
      </c>
    </row>
    <row r="132" spans="2:7" x14ac:dyDescent="0.2">
      <c r="B132" s="67" t="s">
        <v>1416</v>
      </c>
      <c r="C132" s="67" t="s">
        <v>1389</v>
      </c>
      <c r="D132" s="67" t="s">
        <v>50</v>
      </c>
      <c r="E132" s="68">
        <v>-15950</v>
      </c>
      <c r="F132" s="69">
        <v>-67.348875000000007</v>
      </c>
      <c r="G132" s="70">
        <v>-0.12718491435659199</v>
      </c>
    </row>
    <row r="133" spans="2:7" x14ac:dyDescent="0.2">
      <c r="B133" s="67" t="s">
        <v>1417</v>
      </c>
      <c r="C133" s="67" t="s">
        <v>1389</v>
      </c>
      <c r="D133" s="67" t="s">
        <v>438</v>
      </c>
      <c r="E133" s="68">
        <v>-4275</v>
      </c>
      <c r="F133" s="69">
        <v>-77.967449999999999</v>
      </c>
      <c r="G133" s="70">
        <v>-0.14723755149365</v>
      </c>
    </row>
    <row r="134" spans="2:7" x14ac:dyDescent="0.2">
      <c r="B134" s="67" t="s">
        <v>1418</v>
      </c>
      <c r="C134" s="67" t="s">
        <v>1389</v>
      </c>
      <c r="D134" s="67" t="s">
        <v>39</v>
      </c>
      <c r="E134" s="68">
        <v>-2600</v>
      </c>
      <c r="F134" s="69">
        <v>-80.061800000000005</v>
      </c>
      <c r="G134" s="70">
        <v>-0.15119262461673799</v>
      </c>
    </row>
    <row r="135" spans="2:7" x14ac:dyDescent="0.2">
      <c r="B135" s="67" t="s">
        <v>1419</v>
      </c>
      <c r="C135" s="67" t="s">
        <v>1389</v>
      </c>
      <c r="D135" s="67" t="s">
        <v>131</v>
      </c>
      <c r="E135" s="68">
        <v>-4500</v>
      </c>
      <c r="F135" s="69">
        <v>-81.584999999999994</v>
      </c>
      <c r="G135" s="70">
        <v>-0.154069110104402</v>
      </c>
    </row>
    <row r="136" spans="2:7" x14ac:dyDescent="0.2">
      <c r="B136" s="67" t="s">
        <v>1420</v>
      </c>
      <c r="C136" s="67" t="s">
        <v>1389</v>
      </c>
      <c r="D136" s="67" t="s">
        <v>36</v>
      </c>
      <c r="E136" s="68">
        <v>-27650</v>
      </c>
      <c r="F136" s="69">
        <v>-83.295625000000001</v>
      </c>
      <c r="G136" s="70">
        <v>-0.15729953814230499</v>
      </c>
    </row>
    <row r="137" spans="2:7" x14ac:dyDescent="0.2">
      <c r="B137" s="67" t="s">
        <v>1421</v>
      </c>
      <c r="C137" s="67" t="s">
        <v>1389</v>
      </c>
      <c r="D137" s="67" t="s">
        <v>102</v>
      </c>
      <c r="E137" s="68">
        <v>-31500</v>
      </c>
      <c r="F137" s="69">
        <v>-84.546000000000006</v>
      </c>
      <c r="G137" s="70">
        <v>-0.15966080753676201</v>
      </c>
    </row>
    <row r="138" spans="2:7" x14ac:dyDescent="0.2">
      <c r="B138" s="67" t="s">
        <v>1422</v>
      </c>
      <c r="C138" s="67" t="s">
        <v>1389</v>
      </c>
      <c r="D138" s="67" t="s">
        <v>99</v>
      </c>
      <c r="E138" s="68">
        <v>-34200</v>
      </c>
      <c r="F138" s="69">
        <v>-97.589699999999993</v>
      </c>
      <c r="G138" s="70">
        <v>-0.18429316950855601</v>
      </c>
    </row>
    <row r="139" spans="2:7" x14ac:dyDescent="0.2">
      <c r="B139" s="67" t="s">
        <v>1423</v>
      </c>
      <c r="C139" s="67" t="s">
        <v>1389</v>
      </c>
      <c r="D139" s="67" t="s">
        <v>28</v>
      </c>
      <c r="E139" s="68">
        <v>-10000</v>
      </c>
      <c r="F139" s="69">
        <v>-99.91</v>
      </c>
      <c r="G139" s="70">
        <v>-0.188674937678872</v>
      </c>
    </row>
    <row r="140" spans="2:7" x14ac:dyDescent="0.2">
      <c r="B140" s="67" t="s">
        <v>1424</v>
      </c>
      <c r="C140" s="67" t="s">
        <v>1389</v>
      </c>
      <c r="D140" s="67" t="s">
        <v>495</v>
      </c>
      <c r="E140" s="68">
        <v>-16000</v>
      </c>
      <c r="F140" s="69">
        <v>-105.464</v>
      </c>
      <c r="G140" s="70">
        <v>-0.19916338331863201</v>
      </c>
    </row>
    <row r="141" spans="2:7" x14ac:dyDescent="0.2">
      <c r="B141" s="67" t="s">
        <v>1425</v>
      </c>
      <c r="C141" s="67" t="s">
        <v>1389</v>
      </c>
      <c r="D141" s="67" t="s">
        <v>79</v>
      </c>
      <c r="E141" s="68">
        <v>-4200</v>
      </c>
      <c r="F141" s="69">
        <v>-113.6352</v>
      </c>
      <c r="G141" s="70">
        <v>-0.21459427763113001</v>
      </c>
    </row>
    <row r="142" spans="2:7" x14ac:dyDescent="0.2">
      <c r="B142" s="67" t="s">
        <v>1426</v>
      </c>
      <c r="C142" s="67" t="s">
        <v>1389</v>
      </c>
      <c r="D142" s="67" t="s">
        <v>28</v>
      </c>
      <c r="E142" s="68">
        <v>-43875</v>
      </c>
      <c r="F142" s="69">
        <v>-119.6251875</v>
      </c>
      <c r="G142" s="70">
        <v>-0.225906063420938</v>
      </c>
    </row>
    <row r="143" spans="2:7" x14ac:dyDescent="0.2">
      <c r="B143" s="67" t="s">
        <v>1427</v>
      </c>
      <c r="C143" s="67" t="s">
        <v>1389</v>
      </c>
      <c r="D143" s="67" t="s">
        <v>139</v>
      </c>
      <c r="E143" s="68">
        <v>-10500</v>
      </c>
      <c r="F143" s="69">
        <v>-119.7105</v>
      </c>
      <c r="G143" s="70">
        <v>-0.22606717172461799</v>
      </c>
    </row>
    <row r="144" spans="2:7" x14ac:dyDescent="0.2">
      <c r="B144" s="67" t="s">
        <v>1428</v>
      </c>
      <c r="C144" s="67" t="s">
        <v>1389</v>
      </c>
      <c r="D144" s="67" t="s">
        <v>91</v>
      </c>
      <c r="E144" s="68">
        <v>-48500</v>
      </c>
      <c r="F144" s="69">
        <v>-122.899</v>
      </c>
      <c r="G144" s="70">
        <v>-0.23208849130012699</v>
      </c>
    </row>
    <row r="145" spans="2:7" x14ac:dyDescent="0.2">
      <c r="B145" s="67" t="s">
        <v>1429</v>
      </c>
      <c r="C145" s="67" t="s">
        <v>1389</v>
      </c>
      <c r="D145" s="67" t="s">
        <v>39</v>
      </c>
      <c r="E145" s="68">
        <v>-1000</v>
      </c>
      <c r="F145" s="69">
        <v>-132.72999999999999</v>
      </c>
      <c r="G145" s="70">
        <v>-0.25065383323107499</v>
      </c>
    </row>
    <row r="146" spans="2:7" x14ac:dyDescent="0.2">
      <c r="B146" s="67" t="s">
        <v>1430</v>
      </c>
      <c r="C146" s="67" t="s">
        <v>1389</v>
      </c>
      <c r="D146" s="67" t="s">
        <v>33</v>
      </c>
      <c r="E146" s="68">
        <v>-1000650</v>
      </c>
      <c r="F146" s="69">
        <v>-141.49190999999999</v>
      </c>
      <c r="G146" s="70">
        <v>-0.267200253241063</v>
      </c>
    </row>
    <row r="147" spans="2:7" x14ac:dyDescent="0.2">
      <c r="B147" s="67" t="s">
        <v>1431</v>
      </c>
      <c r="C147" s="67" t="s">
        <v>1389</v>
      </c>
      <c r="D147" s="67" t="s">
        <v>36</v>
      </c>
      <c r="E147" s="68">
        <v>-112125</v>
      </c>
      <c r="F147" s="69">
        <v>-159.15022500000001</v>
      </c>
      <c r="G147" s="70">
        <v>-0.300547080206721</v>
      </c>
    </row>
    <row r="148" spans="2:7" x14ac:dyDescent="0.2">
      <c r="B148" s="67" t="s">
        <v>1432</v>
      </c>
      <c r="C148" s="67" t="s">
        <v>1389</v>
      </c>
      <c r="D148" s="67" t="s">
        <v>131</v>
      </c>
      <c r="E148" s="68">
        <v>-70500</v>
      </c>
      <c r="F148" s="69">
        <v>-170.79329999999999</v>
      </c>
      <c r="G148" s="70">
        <v>-0.32253443332468101</v>
      </c>
    </row>
    <row r="149" spans="2:7" x14ac:dyDescent="0.2">
      <c r="B149" s="67" t="s">
        <v>1433</v>
      </c>
      <c r="C149" s="67" t="s">
        <v>1389</v>
      </c>
      <c r="D149" s="67" t="s">
        <v>131</v>
      </c>
      <c r="E149" s="68">
        <v>-18150</v>
      </c>
      <c r="F149" s="69">
        <v>-173.56845000000001</v>
      </c>
      <c r="G149" s="70">
        <v>-0.327775162513947</v>
      </c>
    </row>
    <row r="150" spans="2:7" x14ac:dyDescent="0.2">
      <c r="B150" s="67" t="s">
        <v>1434</v>
      </c>
      <c r="C150" s="67" t="s">
        <v>1389</v>
      </c>
      <c r="D150" s="67" t="s">
        <v>68</v>
      </c>
      <c r="E150" s="68">
        <v>-8100</v>
      </c>
      <c r="F150" s="69">
        <v>-174.6765</v>
      </c>
      <c r="G150" s="70">
        <v>-0.329867658407201</v>
      </c>
    </row>
    <row r="151" spans="2:7" x14ac:dyDescent="0.2">
      <c r="B151" s="67" t="s">
        <v>1435</v>
      </c>
      <c r="C151" s="67" t="s">
        <v>1389</v>
      </c>
      <c r="D151" s="67" t="s">
        <v>131</v>
      </c>
      <c r="E151" s="68">
        <v>-34000</v>
      </c>
      <c r="F151" s="69">
        <v>-183.37899999999999</v>
      </c>
      <c r="G151" s="70">
        <v>-0.346301885663236</v>
      </c>
    </row>
    <row r="152" spans="2:7" x14ac:dyDescent="0.2">
      <c r="B152" s="67" t="s">
        <v>1436</v>
      </c>
      <c r="C152" s="67" t="s">
        <v>1389</v>
      </c>
      <c r="D152" s="67" t="s">
        <v>28</v>
      </c>
      <c r="E152" s="68">
        <v>-176000</v>
      </c>
      <c r="F152" s="69">
        <v>-189.376</v>
      </c>
      <c r="G152" s="70">
        <v>-0.35762691420152198</v>
      </c>
    </row>
    <row r="153" spans="2:7" x14ac:dyDescent="0.2">
      <c r="B153" s="67" t="s">
        <v>1437</v>
      </c>
      <c r="C153" s="67" t="s">
        <v>1389</v>
      </c>
      <c r="D153" s="67" t="s">
        <v>74</v>
      </c>
      <c r="E153" s="68">
        <v>-1800</v>
      </c>
      <c r="F153" s="69">
        <v>-209.07</v>
      </c>
      <c r="G153" s="70">
        <v>-0.39481802843080599</v>
      </c>
    </row>
    <row r="154" spans="2:7" x14ac:dyDescent="0.2">
      <c r="B154" s="67" t="s">
        <v>1438</v>
      </c>
      <c r="C154" s="67" t="s">
        <v>1389</v>
      </c>
      <c r="D154" s="67" t="s">
        <v>529</v>
      </c>
      <c r="E154" s="68">
        <v>-35475</v>
      </c>
      <c r="F154" s="69">
        <v>-211.6615875</v>
      </c>
      <c r="G154" s="70">
        <v>-0.39971210920402001</v>
      </c>
    </row>
    <row r="155" spans="2:7" x14ac:dyDescent="0.2">
      <c r="B155" s="67" t="s">
        <v>1439</v>
      </c>
      <c r="C155" s="67" t="s">
        <v>1389</v>
      </c>
      <c r="D155" s="67" t="s">
        <v>47</v>
      </c>
      <c r="E155" s="68">
        <v>-227500</v>
      </c>
      <c r="F155" s="69">
        <v>-231.41300000000001</v>
      </c>
      <c r="G155" s="70">
        <v>-0.43701164401041798</v>
      </c>
    </row>
    <row r="156" spans="2:7" x14ac:dyDescent="0.2">
      <c r="B156" s="67" t="s">
        <v>1440</v>
      </c>
      <c r="C156" s="67" t="s">
        <v>1389</v>
      </c>
      <c r="D156" s="67" t="s">
        <v>50</v>
      </c>
      <c r="E156" s="68">
        <v>-64500</v>
      </c>
      <c r="F156" s="69">
        <v>-252.38849999999999</v>
      </c>
      <c r="G156" s="70">
        <v>-0.47662280560868803</v>
      </c>
    </row>
    <row r="157" spans="2:7" x14ac:dyDescent="0.2">
      <c r="B157" s="67" t="s">
        <v>1441</v>
      </c>
      <c r="C157" s="67" t="s">
        <v>1389</v>
      </c>
      <c r="D157" s="67" t="s">
        <v>28</v>
      </c>
      <c r="E157" s="68">
        <v>-371000</v>
      </c>
      <c r="F157" s="69">
        <v>-266.78609999999998</v>
      </c>
      <c r="G157" s="70">
        <v>-0.50381193865568297</v>
      </c>
    </row>
    <row r="158" spans="2:7" x14ac:dyDescent="0.2">
      <c r="B158" s="67" t="s">
        <v>1442</v>
      </c>
      <c r="C158" s="67" t="s">
        <v>1389</v>
      </c>
      <c r="D158" s="67" t="s">
        <v>82</v>
      </c>
      <c r="E158" s="68">
        <v>-15400</v>
      </c>
      <c r="F158" s="69">
        <v>-280.17219999999998</v>
      </c>
      <c r="G158" s="70">
        <v>-0.529090905558527</v>
      </c>
    </row>
    <row r="159" spans="2:7" x14ac:dyDescent="0.2">
      <c r="B159" s="67" t="s">
        <v>1443</v>
      </c>
      <c r="C159" s="67" t="s">
        <v>1389</v>
      </c>
      <c r="D159" s="67" t="s">
        <v>529</v>
      </c>
      <c r="E159" s="68">
        <v>-15925</v>
      </c>
      <c r="F159" s="69">
        <v>-283.92682500000001</v>
      </c>
      <c r="G159" s="70">
        <v>-0.53618132331333201</v>
      </c>
    </row>
    <row r="160" spans="2:7" x14ac:dyDescent="0.2">
      <c r="B160" s="67" t="s">
        <v>1444</v>
      </c>
      <c r="C160" s="67" t="s">
        <v>1389</v>
      </c>
      <c r="D160" s="67" t="s">
        <v>438</v>
      </c>
      <c r="E160" s="68">
        <v>-15675</v>
      </c>
      <c r="F160" s="69">
        <v>-284.36017500000003</v>
      </c>
      <c r="G160" s="70">
        <v>-0.53699968267919296</v>
      </c>
    </row>
    <row r="161" spans="2:7" x14ac:dyDescent="0.2">
      <c r="B161" s="67" t="s">
        <v>1445</v>
      </c>
      <c r="C161" s="67" t="s">
        <v>1389</v>
      </c>
      <c r="D161" s="67" t="s">
        <v>44</v>
      </c>
      <c r="E161" s="68">
        <v>-12950</v>
      </c>
      <c r="F161" s="69">
        <v>-295.40244999999999</v>
      </c>
      <c r="G161" s="70">
        <v>-0.55785245564944597</v>
      </c>
    </row>
    <row r="162" spans="2:7" x14ac:dyDescent="0.2">
      <c r="B162" s="67" t="s">
        <v>1446</v>
      </c>
      <c r="C162" s="67" t="s">
        <v>1389</v>
      </c>
      <c r="D162" s="67" t="s">
        <v>82</v>
      </c>
      <c r="E162" s="68">
        <v>-22125</v>
      </c>
      <c r="F162" s="69">
        <v>-310.63499999999999</v>
      </c>
      <c r="G162" s="70">
        <v>-0.58661834917302003</v>
      </c>
    </row>
    <row r="163" spans="2:7" x14ac:dyDescent="0.2">
      <c r="B163" s="67" t="s">
        <v>1447</v>
      </c>
      <c r="C163" s="67" t="s">
        <v>1389</v>
      </c>
      <c r="D163" s="67" t="s">
        <v>28</v>
      </c>
      <c r="E163" s="68">
        <v>-32000</v>
      </c>
      <c r="F163" s="69">
        <v>-318.43200000000002</v>
      </c>
      <c r="G163" s="70">
        <v>-0.60134258587687495</v>
      </c>
    </row>
    <row r="164" spans="2:7" x14ac:dyDescent="0.2">
      <c r="B164" s="67" t="s">
        <v>1448</v>
      </c>
      <c r="C164" s="67" t="s">
        <v>1389</v>
      </c>
      <c r="D164" s="67" t="s">
        <v>131</v>
      </c>
      <c r="E164" s="68">
        <v>-36000</v>
      </c>
      <c r="F164" s="69">
        <v>-328.75200000000001</v>
      </c>
      <c r="G164" s="70">
        <v>-0.62083137935946897</v>
      </c>
    </row>
    <row r="165" spans="2:7" x14ac:dyDescent="0.2">
      <c r="B165" s="67" t="s">
        <v>1449</v>
      </c>
      <c r="C165" s="67" t="s">
        <v>1389</v>
      </c>
      <c r="D165" s="67" t="s">
        <v>82</v>
      </c>
      <c r="E165" s="68">
        <v>-24650</v>
      </c>
      <c r="F165" s="69">
        <v>-338.9375</v>
      </c>
      <c r="G165" s="70">
        <v>-0.64006617645413599</v>
      </c>
    </row>
    <row r="166" spans="2:7" x14ac:dyDescent="0.2">
      <c r="B166" s="67" t="s">
        <v>1450</v>
      </c>
      <c r="C166" s="67" t="s">
        <v>1389</v>
      </c>
      <c r="D166" s="67" t="s">
        <v>28</v>
      </c>
      <c r="E166" s="68">
        <v>-263250</v>
      </c>
      <c r="F166" s="69">
        <v>-350.88592499999999</v>
      </c>
      <c r="G166" s="70">
        <v>-0.66263016746840497</v>
      </c>
    </row>
    <row r="167" spans="2:7" x14ac:dyDescent="0.2">
      <c r="B167" s="67" t="s">
        <v>1451</v>
      </c>
      <c r="C167" s="67" t="s">
        <v>1389</v>
      </c>
      <c r="D167" s="67" t="s">
        <v>33</v>
      </c>
      <c r="E167" s="68">
        <v>-83300</v>
      </c>
      <c r="F167" s="69">
        <v>-371.7679</v>
      </c>
      <c r="G167" s="70">
        <v>-0.70206471187574004</v>
      </c>
    </row>
    <row r="168" spans="2:7" x14ac:dyDescent="0.2">
      <c r="B168" s="67" t="s">
        <v>1452</v>
      </c>
      <c r="C168" s="67" t="s">
        <v>1389</v>
      </c>
      <c r="D168" s="67" t="s">
        <v>112</v>
      </c>
      <c r="E168" s="68">
        <v>-22400</v>
      </c>
      <c r="F168" s="69">
        <v>-378.42559999999997</v>
      </c>
      <c r="G168" s="70">
        <v>-0.71463743865568796</v>
      </c>
    </row>
    <row r="169" spans="2:7" x14ac:dyDescent="0.2">
      <c r="B169" s="67" t="s">
        <v>1453</v>
      </c>
      <c r="C169" s="67" t="s">
        <v>1389</v>
      </c>
      <c r="D169" s="67" t="s">
        <v>33</v>
      </c>
      <c r="E169" s="68">
        <v>-2930475</v>
      </c>
      <c r="F169" s="69">
        <v>-416.42049750000001</v>
      </c>
      <c r="G169" s="70">
        <v>-0.78638886411788</v>
      </c>
    </row>
    <row r="170" spans="2:7" x14ac:dyDescent="0.2">
      <c r="B170" s="67" t="s">
        <v>1454</v>
      </c>
      <c r="C170" s="67" t="s">
        <v>1389</v>
      </c>
      <c r="D170" s="67" t="s">
        <v>39</v>
      </c>
      <c r="E170" s="68">
        <v>-108000</v>
      </c>
      <c r="F170" s="69">
        <v>-427.14</v>
      </c>
      <c r="G170" s="70">
        <v>-0.80663209768945499</v>
      </c>
    </row>
    <row r="171" spans="2:7" x14ac:dyDescent="0.2">
      <c r="B171" s="67" t="s">
        <v>1455</v>
      </c>
      <c r="C171" s="67" t="s">
        <v>1389</v>
      </c>
      <c r="D171" s="67" t="s">
        <v>435</v>
      </c>
      <c r="E171" s="68">
        <v>-121125</v>
      </c>
      <c r="F171" s="69">
        <v>-506.36306250000001</v>
      </c>
      <c r="G171" s="70">
        <v>-0.95624080932909905</v>
      </c>
    </row>
    <row r="172" spans="2:7" x14ac:dyDescent="0.2">
      <c r="B172" s="67" t="s">
        <v>1456</v>
      </c>
      <c r="C172" s="67" t="s">
        <v>1389</v>
      </c>
      <c r="D172" s="67" t="s">
        <v>28</v>
      </c>
      <c r="E172" s="68">
        <v>-2208100</v>
      </c>
      <c r="F172" s="69">
        <v>-518.02026000000001</v>
      </c>
      <c r="G172" s="70">
        <v>-0.97825483206779196</v>
      </c>
    </row>
    <row r="173" spans="2:7" x14ac:dyDescent="0.2">
      <c r="B173" s="67" t="s">
        <v>1457</v>
      </c>
      <c r="C173" s="67" t="s">
        <v>1389</v>
      </c>
      <c r="D173" s="67" t="s">
        <v>62</v>
      </c>
      <c r="E173" s="68">
        <v>-40500</v>
      </c>
      <c r="F173" s="69">
        <v>-523.62450000000001</v>
      </c>
      <c r="G173" s="70">
        <v>-0.98883815338435099</v>
      </c>
    </row>
    <row r="174" spans="2:7" x14ac:dyDescent="0.2">
      <c r="B174" s="67" t="s">
        <v>1458</v>
      </c>
      <c r="C174" s="67" t="s">
        <v>1389</v>
      </c>
      <c r="D174" s="67" t="s">
        <v>28</v>
      </c>
      <c r="E174" s="68">
        <v>-418500</v>
      </c>
      <c r="F174" s="69">
        <v>-554.26139999999998</v>
      </c>
      <c r="G174" s="70">
        <v>-1.04669437596641</v>
      </c>
    </row>
    <row r="175" spans="2:7" x14ac:dyDescent="0.2">
      <c r="B175" s="67" t="s">
        <v>1459</v>
      </c>
      <c r="C175" s="67" t="s">
        <v>1389</v>
      </c>
      <c r="D175" s="67" t="s">
        <v>28</v>
      </c>
      <c r="E175" s="68">
        <v>-58500</v>
      </c>
      <c r="F175" s="69">
        <v>-572.42250000000001</v>
      </c>
      <c r="G175" s="70">
        <v>-1.08099068675292</v>
      </c>
    </row>
    <row r="176" spans="2:7" x14ac:dyDescent="0.2">
      <c r="B176" s="67" t="s">
        <v>1460</v>
      </c>
      <c r="C176" s="67" t="s">
        <v>1389</v>
      </c>
      <c r="D176" s="67" t="s">
        <v>28</v>
      </c>
      <c r="E176" s="68">
        <v>-236925</v>
      </c>
      <c r="F176" s="69">
        <v>-642.06674999999996</v>
      </c>
      <c r="G176" s="70">
        <v>-1.2125102996889801</v>
      </c>
    </row>
    <row r="177" spans="2:7" x14ac:dyDescent="0.2">
      <c r="B177" s="67" t="s">
        <v>1461</v>
      </c>
      <c r="C177" s="67" t="s">
        <v>1389</v>
      </c>
      <c r="D177" s="67" t="s">
        <v>36</v>
      </c>
      <c r="E177" s="68">
        <v>-54000</v>
      </c>
      <c r="F177" s="69">
        <v>-722.52</v>
      </c>
      <c r="G177" s="70">
        <v>-1.36444215765928</v>
      </c>
    </row>
    <row r="178" spans="2:7" x14ac:dyDescent="0.2">
      <c r="B178" s="67" t="s">
        <v>1462</v>
      </c>
      <c r="C178" s="67" t="s">
        <v>1389</v>
      </c>
      <c r="D178" s="67" t="s">
        <v>62</v>
      </c>
      <c r="E178" s="68">
        <v>-380700</v>
      </c>
      <c r="F178" s="69">
        <v>-786.45006000000001</v>
      </c>
      <c r="G178" s="70">
        <v>-1.48517081431333</v>
      </c>
    </row>
    <row r="179" spans="2:7" x14ac:dyDescent="0.2">
      <c r="B179" s="67" t="s">
        <v>1463</v>
      </c>
      <c r="C179" s="67" t="s">
        <v>1389</v>
      </c>
      <c r="D179" s="67" t="s">
        <v>179</v>
      </c>
      <c r="E179" s="68">
        <v>-196875</v>
      </c>
      <c r="F179" s="69">
        <v>-827.56406249999998</v>
      </c>
      <c r="G179" s="70">
        <v>-1.56281251043401</v>
      </c>
    </row>
    <row r="180" spans="2:7" x14ac:dyDescent="0.2">
      <c r="B180" s="67" t="s">
        <v>1464</v>
      </c>
      <c r="C180" s="67" t="s">
        <v>1389</v>
      </c>
      <c r="D180" s="67" t="s">
        <v>112</v>
      </c>
      <c r="E180" s="68">
        <v>-146300</v>
      </c>
      <c r="F180" s="69">
        <v>-876.0444</v>
      </c>
      <c r="G180" s="70">
        <v>-1.6543651543781901</v>
      </c>
    </row>
    <row r="181" spans="2:7" x14ac:dyDescent="0.2">
      <c r="B181" s="67" t="s">
        <v>1465</v>
      </c>
      <c r="C181" s="67" t="s">
        <v>1389</v>
      </c>
      <c r="D181" s="67" t="s">
        <v>28</v>
      </c>
      <c r="E181" s="68">
        <v>-70625</v>
      </c>
      <c r="F181" s="69">
        <v>-918.26625000000001</v>
      </c>
      <c r="G181" s="70">
        <v>-1.7340989639811999</v>
      </c>
    </row>
    <row r="182" spans="2:7" x14ac:dyDescent="0.2">
      <c r="B182" s="67" t="s">
        <v>1466</v>
      </c>
      <c r="C182" s="67" t="s">
        <v>1389</v>
      </c>
      <c r="D182" s="67" t="s">
        <v>28</v>
      </c>
      <c r="E182" s="68">
        <v>-260000</v>
      </c>
      <c r="F182" s="69">
        <v>-1009.45</v>
      </c>
      <c r="G182" s="70">
        <v>-1.90629482374074</v>
      </c>
    </row>
    <row r="183" spans="2:7" x14ac:dyDescent="0.2">
      <c r="B183" s="67" t="s">
        <v>1467</v>
      </c>
      <c r="C183" s="67" t="s">
        <v>1389</v>
      </c>
      <c r="D183" s="67" t="s">
        <v>28</v>
      </c>
      <c r="E183" s="68">
        <v>-4291800</v>
      </c>
      <c r="F183" s="69">
        <v>-1011.14808</v>
      </c>
      <c r="G183" s="70">
        <v>-1.9095015611861801</v>
      </c>
    </row>
    <row r="184" spans="2:7" x14ac:dyDescent="0.2">
      <c r="B184" s="67" t="s">
        <v>1468</v>
      </c>
      <c r="C184" s="67" t="s">
        <v>1389</v>
      </c>
      <c r="D184" s="67" t="s">
        <v>68</v>
      </c>
      <c r="E184" s="68">
        <v>-381225</v>
      </c>
      <c r="F184" s="69">
        <v>-1111.8427125000001</v>
      </c>
      <c r="G184" s="70">
        <v>-2.0996582373100301</v>
      </c>
    </row>
    <row r="185" spans="2:7" x14ac:dyDescent="0.2">
      <c r="B185" s="67" t="s">
        <v>1469</v>
      </c>
      <c r="C185" s="67" t="s">
        <v>1389</v>
      </c>
      <c r="D185" s="67" t="s">
        <v>529</v>
      </c>
      <c r="E185" s="68">
        <v>-93600</v>
      </c>
      <c r="F185" s="69">
        <v>-1296.4536000000001</v>
      </c>
      <c r="G185" s="70">
        <v>-2.4482864796671899</v>
      </c>
    </row>
    <row r="186" spans="2:7" x14ac:dyDescent="0.2">
      <c r="B186" s="67" t="s">
        <v>1470</v>
      </c>
      <c r="C186" s="67" t="s">
        <v>1389</v>
      </c>
      <c r="D186" s="67" t="s">
        <v>28</v>
      </c>
      <c r="E186" s="68">
        <v>-322850</v>
      </c>
      <c r="F186" s="69">
        <v>-2392.3184999999999</v>
      </c>
      <c r="G186" s="70">
        <v>-4.5177714332450503</v>
      </c>
    </row>
    <row r="187" spans="2:7" x14ac:dyDescent="0.2">
      <c r="B187" s="67" t="s">
        <v>1471</v>
      </c>
      <c r="C187" s="67" t="s">
        <v>1389</v>
      </c>
      <c r="D187" s="67" t="s">
        <v>28</v>
      </c>
      <c r="E187" s="68">
        <v>-330850</v>
      </c>
      <c r="F187" s="69">
        <v>-2467.9755749999999</v>
      </c>
      <c r="G187" s="70">
        <v>-4.66064595942452</v>
      </c>
    </row>
    <row r="188" spans="2:7" x14ac:dyDescent="0.2">
      <c r="B188" s="67" t="s">
        <v>1472</v>
      </c>
      <c r="C188" s="67" t="s">
        <v>1389</v>
      </c>
      <c r="D188" s="67" t="s">
        <v>33</v>
      </c>
      <c r="E188" s="68">
        <v>-138700</v>
      </c>
      <c r="F188" s="69">
        <v>-2559.0149999999999</v>
      </c>
      <c r="G188" s="70">
        <v>-4.8325692687848996</v>
      </c>
    </row>
    <row r="189" spans="2:7" x14ac:dyDescent="0.2">
      <c r="B189" s="67" t="s">
        <v>1473</v>
      </c>
      <c r="C189" s="67" t="s">
        <v>1389</v>
      </c>
      <c r="D189" s="67" t="s">
        <v>36</v>
      </c>
      <c r="E189" s="68">
        <v>-225000</v>
      </c>
      <c r="F189" s="69">
        <v>-2992.2750000000001</v>
      </c>
      <c r="G189" s="70">
        <v>-5.65075867423728</v>
      </c>
    </row>
    <row r="190" spans="2:7" x14ac:dyDescent="0.2">
      <c r="B190" s="67" t="s">
        <v>1474</v>
      </c>
      <c r="C190" s="67" t="s">
        <v>1389</v>
      </c>
      <c r="D190" s="67" t="s">
        <v>158</v>
      </c>
      <c r="E190" s="68">
        <v>-123909</v>
      </c>
      <c r="F190" s="69">
        <v>-3674.5213950000002</v>
      </c>
      <c r="G190" s="70">
        <v>-6.9391461835782904</v>
      </c>
    </row>
    <row r="191" spans="2:7" x14ac:dyDescent="0.2">
      <c r="B191" s="67" t="s">
        <v>1475</v>
      </c>
      <c r="C191" s="67" t="s">
        <v>1389</v>
      </c>
      <c r="D191" s="67" t="s">
        <v>28</v>
      </c>
      <c r="E191" s="68">
        <v>-377300</v>
      </c>
      <c r="F191" s="69">
        <v>-4791.71</v>
      </c>
      <c r="G191" s="70">
        <v>-9.0488998661317996</v>
      </c>
    </row>
    <row r="192" spans="2:7" ht="10.5" x14ac:dyDescent="0.25">
      <c r="B192" s="63"/>
      <c r="C192" s="63"/>
      <c r="D192" s="63"/>
      <c r="E192" s="64"/>
      <c r="F192" s="65">
        <f>SUM(F105:F191)</f>
        <v>-39621.884170000005</v>
      </c>
      <c r="G192" s="66">
        <f>SUM(G105:G191)</f>
        <v>-74.823906781045324</v>
      </c>
    </row>
    <row r="194" spans="2:5" ht="10.5" x14ac:dyDescent="0.25">
      <c r="B194" s="26" t="s">
        <v>1477</v>
      </c>
    </row>
    <row r="196" spans="2:5" ht="10.5" x14ac:dyDescent="0.2">
      <c r="B196" s="90" t="s">
        <v>196</v>
      </c>
      <c r="E196" s="8"/>
    </row>
    <row r="197" spans="2:5" ht="10.5" x14ac:dyDescent="0.2">
      <c r="B197" s="90"/>
      <c r="E197" s="8"/>
    </row>
    <row r="198" spans="2:5" x14ac:dyDescent="0.2">
      <c r="B198" s="94" t="s">
        <v>1508</v>
      </c>
      <c r="E198" s="8"/>
    </row>
    <row r="199" spans="2:5" x14ac:dyDescent="0.2">
      <c r="B199" s="94" t="s">
        <v>1515</v>
      </c>
      <c r="E199" s="8"/>
    </row>
    <row r="200" spans="2:5" x14ac:dyDescent="0.2">
      <c r="B200" s="94" t="s">
        <v>1516</v>
      </c>
      <c r="E200" s="8"/>
    </row>
    <row r="201" spans="2:5" ht="10.5" x14ac:dyDescent="0.2">
      <c r="B201" s="90"/>
      <c r="E201" s="8"/>
    </row>
    <row r="202" spans="2:5" ht="10.5" x14ac:dyDescent="0.2">
      <c r="B202" s="100" t="s">
        <v>1510</v>
      </c>
      <c r="C202" s="96" t="s">
        <v>1511</v>
      </c>
      <c r="D202" s="150" t="s">
        <v>1563</v>
      </c>
      <c r="E202" s="8"/>
    </row>
    <row r="203" spans="2:5" x14ac:dyDescent="0.2">
      <c r="B203" s="97" t="s">
        <v>1512</v>
      </c>
      <c r="C203" s="104">
        <v>10.2623</v>
      </c>
      <c r="D203" s="151">
        <v>10.272600000000001</v>
      </c>
      <c r="E203" s="8"/>
    </row>
    <row r="204" spans="2:5" ht="10.5" x14ac:dyDescent="0.2">
      <c r="B204" s="90"/>
      <c r="E204" s="8"/>
    </row>
    <row r="205" spans="2:5" ht="10.5" x14ac:dyDescent="0.2">
      <c r="B205" s="90"/>
      <c r="E205" s="8"/>
    </row>
    <row r="206" spans="2:5" ht="10.5" x14ac:dyDescent="0.2">
      <c r="B206" s="90"/>
      <c r="E206" s="8"/>
    </row>
    <row r="207" spans="2:5" x14ac:dyDescent="0.2">
      <c r="B207" s="94" t="s">
        <v>1575</v>
      </c>
      <c r="E207" s="8"/>
    </row>
    <row r="208" spans="2:5" x14ac:dyDescent="0.2">
      <c r="B208" s="94"/>
      <c r="E208" s="8"/>
    </row>
    <row r="209" spans="2:6" ht="10.5" x14ac:dyDescent="0.2">
      <c r="B209" s="112" t="s">
        <v>1550</v>
      </c>
      <c r="E209" s="8"/>
    </row>
    <row r="210" spans="2:6" x14ac:dyDescent="0.2">
      <c r="B210" s="99"/>
      <c r="E210" s="8"/>
    </row>
    <row r="211" spans="2:6" x14ac:dyDescent="0.2">
      <c r="B211" s="117" t="s">
        <v>1576</v>
      </c>
      <c r="C211" s="116"/>
      <c r="D211" s="116"/>
      <c r="E211" s="116"/>
      <c r="F211" s="116"/>
    </row>
    <row r="212" spans="2:6" x14ac:dyDescent="0.2">
      <c r="B212" s="117"/>
      <c r="C212" s="116"/>
      <c r="D212" s="116"/>
      <c r="E212" s="116"/>
      <c r="F212" s="116"/>
    </row>
    <row r="213" spans="2:6" ht="21" x14ac:dyDescent="0.2">
      <c r="B213" s="141" t="s">
        <v>1517</v>
      </c>
      <c r="C213" s="142" t="s">
        <v>1518</v>
      </c>
      <c r="D213" s="142" t="s">
        <v>1519</v>
      </c>
      <c r="E213" s="142" t="s">
        <v>1520</v>
      </c>
      <c r="F213" s="142" t="s">
        <v>1521</v>
      </c>
    </row>
    <row r="214" spans="2:6" x14ac:dyDescent="0.2">
      <c r="B214" s="143" t="s">
        <v>1456</v>
      </c>
      <c r="C214" s="144" t="s">
        <v>1389</v>
      </c>
      <c r="D214" s="145">
        <v>21.842400000000001</v>
      </c>
      <c r="E214" s="146">
        <v>23.46</v>
      </c>
      <c r="F214" s="189">
        <v>315.02524190000003</v>
      </c>
    </row>
    <row r="215" spans="2:6" x14ac:dyDescent="0.2">
      <c r="B215" s="143" t="s">
        <v>1467</v>
      </c>
      <c r="C215" s="144" t="s">
        <v>1389</v>
      </c>
      <c r="D215" s="145">
        <v>22.042999999999999</v>
      </c>
      <c r="E215" s="175">
        <v>23.56</v>
      </c>
      <c r="F215" s="190"/>
    </row>
    <row r="216" spans="2:6" x14ac:dyDescent="0.2">
      <c r="B216" s="143" t="s">
        <v>1413</v>
      </c>
      <c r="C216" s="144" t="s">
        <v>1389</v>
      </c>
      <c r="D216" s="145">
        <v>632.48329999999999</v>
      </c>
      <c r="E216" s="175">
        <v>650.6</v>
      </c>
      <c r="F216" s="168">
        <v>11.478832300000001</v>
      </c>
    </row>
    <row r="217" spans="2:6" x14ac:dyDescent="0.2">
      <c r="B217" s="143" t="s">
        <v>1437</v>
      </c>
      <c r="C217" s="144" t="s">
        <v>1389</v>
      </c>
      <c r="D217" s="145">
        <v>11696.5</v>
      </c>
      <c r="E217" s="175">
        <v>11615</v>
      </c>
      <c r="F217" s="168">
        <v>36.752670000000002</v>
      </c>
    </row>
    <row r="218" spans="2:6" x14ac:dyDescent="0.2">
      <c r="B218" s="143" t="s">
        <v>1403</v>
      </c>
      <c r="C218" s="144" t="s">
        <v>1389</v>
      </c>
      <c r="D218" s="145">
        <v>3329.65</v>
      </c>
      <c r="E218" s="175">
        <v>3396.4</v>
      </c>
      <c r="F218" s="168">
        <v>4.3908480000000001</v>
      </c>
    </row>
    <row r="219" spans="2:6" x14ac:dyDescent="0.2">
      <c r="B219" s="143" t="s">
        <v>1454</v>
      </c>
      <c r="C219" s="144" t="s">
        <v>1389</v>
      </c>
      <c r="D219" s="145">
        <v>362.16809999999998</v>
      </c>
      <c r="E219" s="175">
        <v>395.5</v>
      </c>
      <c r="F219" s="168">
        <v>89.081100000000006</v>
      </c>
    </row>
    <row r="220" spans="2:6" x14ac:dyDescent="0.2">
      <c r="B220" s="143" t="s">
        <v>1445</v>
      </c>
      <c r="C220" s="144" t="s">
        <v>1389</v>
      </c>
      <c r="D220" s="145">
        <v>2302.4811</v>
      </c>
      <c r="E220" s="175">
        <v>2281.1</v>
      </c>
      <c r="F220" s="168">
        <v>52.001825750000002</v>
      </c>
    </row>
    <row r="221" spans="2:6" x14ac:dyDescent="0.2">
      <c r="B221" s="143" t="s">
        <v>1416</v>
      </c>
      <c r="C221" s="144" t="s">
        <v>1389</v>
      </c>
      <c r="D221" s="145">
        <v>417.24090000000001</v>
      </c>
      <c r="E221" s="175">
        <v>422.25</v>
      </c>
      <c r="F221" s="168">
        <v>11.914450625000001</v>
      </c>
    </row>
    <row r="222" spans="2:6" x14ac:dyDescent="0.2">
      <c r="B222" s="143" t="s">
        <v>1442</v>
      </c>
      <c r="C222" s="144" t="s">
        <v>1389</v>
      </c>
      <c r="D222" s="145">
        <v>1859.5908999999999</v>
      </c>
      <c r="E222" s="175">
        <v>1819.3</v>
      </c>
      <c r="F222" s="168">
        <v>49.268526999999999</v>
      </c>
    </row>
    <row r="223" spans="2:6" x14ac:dyDescent="0.2">
      <c r="B223" s="143" t="s">
        <v>1433</v>
      </c>
      <c r="C223" s="144" t="s">
        <v>1389</v>
      </c>
      <c r="D223" s="145">
        <v>963.45680000000004</v>
      </c>
      <c r="E223" s="175">
        <v>956.3</v>
      </c>
      <c r="F223" s="168">
        <v>40.06803575</v>
      </c>
    </row>
    <row r="224" spans="2:6" x14ac:dyDescent="0.2">
      <c r="B224" s="143" t="s">
        <v>1410</v>
      </c>
      <c r="C224" s="144" t="s">
        <v>1389</v>
      </c>
      <c r="D224" s="145">
        <v>946.7</v>
      </c>
      <c r="E224" s="175">
        <v>973.3</v>
      </c>
      <c r="F224" s="189">
        <v>108.519435</v>
      </c>
    </row>
    <row r="225" spans="2:6" x14ac:dyDescent="0.2">
      <c r="B225" s="143" t="s">
        <v>1459</v>
      </c>
      <c r="C225" s="144" t="s">
        <v>1389</v>
      </c>
      <c r="D225" s="145">
        <v>965.35900000000004</v>
      </c>
      <c r="E225" s="175">
        <v>978.5</v>
      </c>
      <c r="F225" s="190"/>
    </row>
    <row r="226" spans="2:6" x14ac:dyDescent="0.2">
      <c r="B226" s="143" t="s">
        <v>1462</v>
      </c>
      <c r="C226" s="144" t="s">
        <v>1389</v>
      </c>
      <c r="D226" s="145">
        <v>194.75800000000001</v>
      </c>
      <c r="E226" s="175">
        <v>206.58</v>
      </c>
      <c r="F226" s="168">
        <v>306.75778109999999</v>
      </c>
    </row>
    <row r="227" spans="2:6" x14ac:dyDescent="0.2">
      <c r="B227" s="143" t="s">
        <v>1473</v>
      </c>
      <c r="C227" s="144" t="s">
        <v>1389</v>
      </c>
      <c r="D227" s="145">
        <v>1362.5802000000001</v>
      </c>
      <c r="E227" s="175">
        <v>1329.9</v>
      </c>
      <c r="F227" s="189">
        <v>655.54132500000003</v>
      </c>
    </row>
    <row r="228" spans="2:6" x14ac:dyDescent="0.2">
      <c r="B228" s="143" t="s">
        <v>1461</v>
      </c>
      <c r="C228" s="144" t="s">
        <v>1389</v>
      </c>
      <c r="D228" s="145">
        <v>1399.0536999999999</v>
      </c>
      <c r="E228" s="175">
        <v>1338</v>
      </c>
      <c r="F228" s="190"/>
    </row>
    <row r="229" spans="2:6" x14ac:dyDescent="0.2">
      <c r="B229" s="143" t="s">
        <v>1469</v>
      </c>
      <c r="C229" s="144" t="s">
        <v>1389</v>
      </c>
      <c r="D229" s="145">
        <v>1409.7687000000001</v>
      </c>
      <c r="E229" s="175">
        <v>1385.1</v>
      </c>
      <c r="F229" s="168">
        <v>295.26915600000001</v>
      </c>
    </row>
    <row r="230" spans="2:6" x14ac:dyDescent="0.2">
      <c r="B230" s="143" t="s">
        <v>1390</v>
      </c>
      <c r="C230" s="144" t="s">
        <v>1389</v>
      </c>
      <c r="D230" s="145">
        <v>306.39999999999998</v>
      </c>
      <c r="E230" s="175">
        <v>293.89999999999998</v>
      </c>
      <c r="F230" s="168">
        <v>0.98166350000000002</v>
      </c>
    </row>
    <row r="231" spans="2:6" x14ac:dyDescent="0.2">
      <c r="B231" s="143" t="s">
        <v>1436</v>
      </c>
      <c r="C231" s="144" t="s">
        <v>1389</v>
      </c>
      <c r="D231" s="145">
        <v>107.37050000000001</v>
      </c>
      <c r="E231" s="175">
        <v>107.6</v>
      </c>
      <c r="F231" s="168">
        <v>37.692160000000001</v>
      </c>
    </row>
    <row r="232" spans="2:6" x14ac:dyDescent="0.2">
      <c r="B232" s="143" t="s">
        <v>1405</v>
      </c>
      <c r="C232" s="144" t="s">
        <v>1389</v>
      </c>
      <c r="D232" s="145">
        <v>1481.2750000000001</v>
      </c>
      <c r="E232" s="175">
        <v>1493.7</v>
      </c>
      <c r="F232" s="168">
        <v>5.26919</v>
      </c>
    </row>
    <row r="233" spans="2:6" x14ac:dyDescent="0.2">
      <c r="B233" s="174" t="s">
        <v>1404</v>
      </c>
      <c r="C233" s="144" t="s">
        <v>1389</v>
      </c>
      <c r="D233" s="145">
        <v>1133.1667</v>
      </c>
      <c r="E233" s="175">
        <v>1132.3</v>
      </c>
      <c r="F233" s="168">
        <v>6.4695533750000003</v>
      </c>
    </row>
    <row r="234" spans="2:6" x14ac:dyDescent="0.2">
      <c r="B234" s="143" t="s">
        <v>1421</v>
      </c>
      <c r="C234" s="144" t="s">
        <v>1389</v>
      </c>
      <c r="D234" s="145">
        <v>290.71069999999997</v>
      </c>
      <c r="E234" s="175">
        <v>268.39999999999998</v>
      </c>
      <c r="F234" s="168">
        <v>15.18741</v>
      </c>
    </row>
    <row r="235" spans="2:6" x14ac:dyDescent="0.2">
      <c r="B235" s="143" t="s">
        <v>1440</v>
      </c>
      <c r="C235" s="144" t="s">
        <v>1389</v>
      </c>
      <c r="D235" s="145">
        <v>392.18020000000001</v>
      </c>
      <c r="E235" s="175">
        <v>391.3</v>
      </c>
      <c r="F235" s="168">
        <v>44.3730975</v>
      </c>
    </row>
    <row r="236" spans="2:6" x14ac:dyDescent="0.2">
      <c r="B236" s="143" t="s">
        <v>1439</v>
      </c>
      <c r="C236" s="144" t="s">
        <v>1389</v>
      </c>
      <c r="D236" s="145">
        <v>97.858599999999996</v>
      </c>
      <c r="E236" s="175">
        <v>101.72</v>
      </c>
      <c r="F236" s="168">
        <v>94.203654999999998</v>
      </c>
    </row>
    <row r="237" spans="2:6" x14ac:dyDescent="0.2">
      <c r="B237" s="174" t="s">
        <v>1406</v>
      </c>
      <c r="C237" s="144" t="s">
        <v>1389</v>
      </c>
      <c r="D237" s="145">
        <v>936.9</v>
      </c>
      <c r="E237" s="175">
        <v>1005.9</v>
      </c>
      <c r="F237" s="168">
        <v>6.7043193749999999</v>
      </c>
    </row>
    <row r="238" spans="2:6" x14ac:dyDescent="0.2">
      <c r="B238" s="143" t="s">
        <v>1452</v>
      </c>
      <c r="C238" s="144" t="s">
        <v>1389</v>
      </c>
      <c r="D238" s="145">
        <v>1685.4036000000001</v>
      </c>
      <c r="E238" s="175">
        <v>1689.4</v>
      </c>
      <c r="F238" s="168">
        <v>67.233375999999993</v>
      </c>
    </row>
    <row r="239" spans="2:6" x14ac:dyDescent="0.2">
      <c r="B239" s="143" t="s">
        <v>1388</v>
      </c>
      <c r="C239" s="144" t="s">
        <v>1389</v>
      </c>
      <c r="D239" s="145">
        <v>1064.05</v>
      </c>
      <c r="E239" s="175">
        <v>976.35</v>
      </c>
      <c r="F239" s="168">
        <v>0.99425431200000003</v>
      </c>
    </row>
    <row r="240" spans="2:6" x14ac:dyDescent="0.2">
      <c r="B240" s="143" t="s">
        <v>1429</v>
      </c>
      <c r="C240" s="144" t="s">
        <v>1389</v>
      </c>
      <c r="D240" s="145">
        <v>13205.95</v>
      </c>
      <c r="E240" s="175">
        <v>13273</v>
      </c>
      <c r="F240" s="168">
        <v>23.341249999999999</v>
      </c>
    </row>
    <row r="241" spans="2:6" x14ac:dyDescent="0.2">
      <c r="B241" s="143" t="s">
        <v>1394</v>
      </c>
      <c r="C241" s="144" t="s">
        <v>1389</v>
      </c>
      <c r="D241" s="145">
        <v>323.60000000000002</v>
      </c>
      <c r="E241" s="175">
        <v>328.15</v>
      </c>
      <c r="F241" s="168">
        <v>3.6758324999999998</v>
      </c>
    </row>
    <row r="242" spans="2:6" x14ac:dyDescent="0.2">
      <c r="B242" s="143" t="s">
        <v>1418</v>
      </c>
      <c r="C242" s="144" t="s">
        <v>1389</v>
      </c>
      <c r="D242" s="145">
        <v>3130.7768999999998</v>
      </c>
      <c r="E242" s="175">
        <v>3079.3</v>
      </c>
      <c r="F242" s="168">
        <v>15.338063</v>
      </c>
    </row>
    <row r="243" spans="2:6" x14ac:dyDescent="0.2">
      <c r="B243" s="143" t="s">
        <v>1412</v>
      </c>
      <c r="C243" s="144" t="s">
        <v>1389</v>
      </c>
      <c r="D243" s="145">
        <v>3902.1428999999998</v>
      </c>
      <c r="E243" s="175">
        <v>4111.8</v>
      </c>
      <c r="F243" s="168">
        <v>9.04678425</v>
      </c>
    </row>
    <row r="244" spans="2:6" x14ac:dyDescent="0.2">
      <c r="B244" s="143" t="s">
        <v>1414</v>
      </c>
      <c r="C244" s="144" t="s">
        <v>1389</v>
      </c>
      <c r="D244" s="145">
        <v>865.80349999999999</v>
      </c>
      <c r="E244" s="175">
        <v>949</v>
      </c>
      <c r="F244" s="168">
        <v>14.677424999999999</v>
      </c>
    </row>
    <row r="245" spans="2:6" x14ac:dyDescent="0.2">
      <c r="B245" s="143" t="s">
        <v>1435</v>
      </c>
      <c r="C245" s="144" t="s">
        <v>1389</v>
      </c>
      <c r="D245" s="145">
        <v>548.29999999999995</v>
      </c>
      <c r="E245" s="175">
        <v>539.35</v>
      </c>
      <c r="F245" s="168">
        <v>61.825515000000003</v>
      </c>
    </row>
    <row r="246" spans="2:6" x14ac:dyDescent="0.2">
      <c r="B246" s="143" t="s">
        <v>1449</v>
      </c>
      <c r="C246" s="144" t="s">
        <v>1389</v>
      </c>
      <c r="D246" s="145">
        <v>1354.2</v>
      </c>
      <c r="E246" s="175">
        <v>1375</v>
      </c>
      <c r="F246" s="168">
        <v>70.187182500000006</v>
      </c>
    </row>
    <row r="247" spans="2:6" x14ac:dyDescent="0.2">
      <c r="B247" s="143" t="s">
        <v>1466</v>
      </c>
      <c r="C247" s="144" t="s">
        <v>1389</v>
      </c>
      <c r="D247" s="145">
        <v>383.45</v>
      </c>
      <c r="E247" s="175">
        <v>388.25</v>
      </c>
      <c r="F247" s="168">
        <v>177.60274999999999</v>
      </c>
    </row>
    <row r="248" spans="2:6" x14ac:dyDescent="0.2">
      <c r="B248" s="143" t="s">
        <v>1457</v>
      </c>
      <c r="C248" s="144" t="s">
        <v>1389</v>
      </c>
      <c r="D248" s="145">
        <v>1293.3134</v>
      </c>
      <c r="E248" s="175">
        <v>1292.9000000000001</v>
      </c>
      <c r="F248" s="168">
        <v>170.58458250000001</v>
      </c>
    </row>
    <row r="249" spans="2:6" x14ac:dyDescent="0.2">
      <c r="B249" s="143" t="s">
        <v>1432</v>
      </c>
      <c r="C249" s="144" t="s">
        <v>1389</v>
      </c>
      <c r="D249" s="145">
        <v>244.58869999999999</v>
      </c>
      <c r="E249" s="175">
        <v>242.26</v>
      </c>
      <c r="F249" s="168">
        <v>34.205965499999998</v>
      </c>
    </row>
    <row r="250" spans="2:6" x14ac:dyDescent="0.2">
      <c r="B250" s="143" t="s">
        <v>1468</v>
      </c>
      <c r="C250" s="144" t="s">
        <v>1389</v>
      </c>
      <c r="D250" s="145">
        <v>299.95310000000001</v>
      </c>
      <c r="E250" s="175">
        <v>291.64999999999998</v>
      </c>
      <c r="F250" s="168">
        <v>195.48360493700002</v>
      </c>
    </row>
    <row r="251" spans="2:6" x14ac:dyDescent="0.2">
      <c r="B251" s="143" t="s">
        <v>1431</v>
      </c>
      <c r="C251" s="144" t="s">
        <v>1389</v>
      </c>
      <c r="D251" s="145">
        <v>139.6317</v>
      </c>
      <c r="E251" s="175">
        <v>141.94</v>
      </c>
      <c r="F251" s="168">
        <v>29.979867875</v>
      </c>
    </row>
    <row r="252" spans="2:6" x14ac:dyDescent="0.2">
      <c r="B252" s="143" t="s">
        <v>1451</v>
      </c>
      <c r="C252" s="144" t="s">
        <v>1389</v>
      </c>
      <c r="D252" s="145">
        <v>434.26429999999999</v>
      </c>
      <c r="E252" s="175">
        <v>446.3</v>
      </c>
      <c r="F252" s="168">
        <v>73.271096499999999</v>
      </c>
    </row>
    <row r="253" spans="2:6" x14ac:dyDescent="0.2">
      <c r="B253" s="143" t="s">
        <v>1399</v>
      </c>
      <c r="C253" s="144" t="s">
        <v>1389</v>
      </c>
      <c r="D253" s="145">
        <v>899.03330000000005</v>
      </c>
      <c r="E253" s="175">
        <v>923.75</v>
      </c>
      <c r="F253" s="168">
        <v>4.3251862499999998</v>
      </c>
    </row>
    <row r="254" spans="2:6" x14ac:dyDescent="0.2">
      <c r="B254" s="143" t="s">
        <v>1424</v>
      </c>
      <c r="C254" s="144" t="s">
        <v>1389</v>
      </c>
      <c r="D254" s="145">
        <v>661.45939999999996</v>
      </c>
      <c r="E254" s="175">
        <v>659.15</v>
      </c>
      <c r="F254" s="168">
        <v>19.838439999999999</v>
      </c>
    </row>
    <row r="255" spans="2:6" x14ac:dyDescent="0.2">
      <c r="B255" s="143" t="s">
        <v>1441</v>
      </c>
      <c r="C255" s="144" t="s">
        <v>1389</v>
      </c>
      <c r="D255" s="145">
        <v>70.3018</v>
      </c>
      <c r="E255" s="175">
        <v>71.91</v>
      </c>
      <c r="F255" s="168">
        <v>57.011013499999997</v>
      </c>
    </row>
    <row r="256" spans="2:6" x14ac:dyDescent="0.2">
      <c r="B256" s="143" t="s">
        <v>1430</v>
      </c>
      <c r="C256" s="144" t="s">
        <v>1389</v>
      </c>
      <c r="D256" s="145">
        <v>11.6129</v>
      </c>
      <c r="E256" s="175">
        <v>14.14</v>
      </c>
      <c r="F256" s="189">
        <v>261.83111538700001</v>
      </c>
    </row>
    <row r="257" spans="2:6" x14ac:dyDescent="0.2">
      <c r="B257" s="143" t="s">
        <v>1453</v>
      </c>
      <c r="C257" s="144" t="s">
        <v>1389</v>
      </c>
      <c r="D257" s="145">
        <v>13.1646</v>
      </c>
      <c r="E257" s="175">
        <v>14.21</v>
      </c>
      <c r="F257" s="190"/>
    </row>
    <row r="258" spans="2:6" x14ac:dyDescent="0.2">
      <c r="B258" s="143" t="s">
        <v>1475</v>
      </c>
      <c r="C258" s="144" t="s">
        <v>1389</v>
      </c>
      <c r="D258" s="145">
        <v>1280.7483999999999</v>
      </c>
      <c r="E258" s="175">
        <v>1270</v>
      </c>
      <c r="F258" s="189">
        <v>853.85653150000007</v>
      </c>
    </row>
    <row r="259" spans="2:6" x14ac:dyDescent="0.2">
      <c r="B259" s="143" t="s">
        <v>1415</v>
      </c>
      <c r="C259" s="144" t="s">
        <v>1389</v>
      </c>
      <c r="D259" s="145">
        <v>1296.1713999999999</v>
      </c>
      <c r="E259" s="175">
        <v>1278.0999999999999</v>
      </c>
      <c r="F259" s="190"/>
    </row>
    <row r="260" spans="2:6" x14ac:dyDescent="0.2">
      <c r="B260" s="143" t="s">
        <v>1434</v>
      </c>
      <c r="C260" s="144" t="s">
        <v>1389</v>
      </c>
      <c r="D260" s="145">
        <v>2184.5518999999999</v>
      </c>
      <c r="E260" s="175">
        <v>2156.5</v>
      </c>
      <c r="F260" s="168">
        <v>30.955567500000001</v>
      </c>
    </row>
    <row r="261" spans="2:6" x14ac:dyDescent="0.2">
      <c r="B261" s="143" t="s">
        <v>1427</v>
      </c>
      <c r="C261" s="144" t="s">
        <v>1389</v>
      </c>
      <c r="D261" s="145">
        <v>1096.5467000000001</v>
      </c>
      <c r="E261" s="175">
        <v>1140.0999999999999</v>
      </c>
      <c r="F261" s="168">
        <v>23.436367499999999</v>
      </c>
    </row>
    <row r="262" spans="2:6" x14ac:dyDescent="0.2">
      <c r="B262" s="143" t="s">
        <v>1464</v>
      </c>
      <c r="C262" s="144" t="s">
        <v>1389</v>
      </c>
      <c r="D262" s="145">
        <v>619.76729999999998</v>
      </c>
      <c r="E262" s="175">
        <v>598.79999999999995</v>
      </c>
      <c r="F262" s="168">
        <v>154.59228400000001</v>
      </c>
    </row>
    <row r="263" spans="2:6" x14ac:dyDescent="0.2">
      <c r="B263" s="143" t="s">
        <v>1470</v>
      </c>
      <c r="C263" s="144" t="s">
        <v>1389</v>
      </c>
      <c r="D263" s="145">
        <v>758.51919999999996</v>
      </c>
      <c r="E263" s="175">
        <v>741</v>
      </c>
      <c r="F263" s="189">
        <v>865.14653262500008</v>
      </c>
    </row>
    <row r="264" spans="2:6" x14ac:dyDescent="0.2">
      <c r="B264" s="143" t="s">
        <v>1471</v>
      </c>
      <c r="C264" s="144" t="s">
        <v>1389</v>
      </c>
      <c r="D264" s="145">
        <v>765.46050000000002</v>
      </c>
      <c r="E264" s="175">
        <v>745.95</v>
      </c>
      <c r="F264" s="190"/>
    </row>
    <row r="265" spans="2:6" x14ac:dyDescent="0.2">
      <c r="B265" s="143" t="s">
        <v>1425</v>
      </c>
      <c r="C265" s="144" t="s">
        <v>1389</v>
      </c>
      <c r="D265" s="145">
        <v>2747.1356999999998</v>
      </c>
      <c r="E265" s="175">
        <v>2705.6</v>
      </c>
      <c r="F265" s="168">
        <v>23.257752000000004</v>
      </c>
    </row>
    <row r="266" spans="2:6" x14ac:dyDescent="0.2">
      <c r="B266" s="143" t="s">
        <v>1411</v>
      </c>
      <c r="C266" s="144" t="s">
        <v>1389</v>
      </c>
      <c r="D266" s="145">
        <v>1206.675</v>
      </c>
      <c r="E266" s="175">
        <v>1190.5</v>
      </c>
      <c r="F266" s="168">
        <v>8.3706999999999994</v>
      </c>
    </row>
    <row r="267" spans="2:6" x14ac:dyDescent="0.2">
      <c r="B267" s="143" t="s">
        <v>1391</v>
      </c>
      <c r="C267" s="144" t="s">
        <v>1389</v>
      </c>
      <c r="D267" s="145">
        <v>4476.2</v>
      </c>
      <c r="E267" s="175">
        <v>4372.2</v>
      </c>
      <c r="F267" s="168">
        <v>1.3514504999999999</v>
      </c>
    </row>
    <row r="268" spans="2:6" x14ac:dyDescent="0.2">
      <c r="B268" s="143" t="s">
        <v>1407</v>
      </c>
      <c r="C268" s="144" t="s">
        <v>1389</v>
      </c>
      <c r="D268" s="145">
        <v>3166.86</v>
      </c>
      <c r="E268" s="175">
        <v>3157.4</v>
      </c>
      <c r="F268" s="168">
        <v>6.9401124999999997</v>
      </c>
    </row>
    <row r="269" spans="2:6" x14ac:dyDescent="0.2">
      <c r="B269" s="143" t="s">
        <v>1443</v>
      </c>
      <c r="C269" s="144" t="s">
        <v>1389</v>
      </c>
      <c r="D269" s="145">
        <v>1768.9468999999999</v>
      </c>
      <c r="E269" s="175">
        <v>1782.9</v>
      </c>
      <c r="F269" s="168">
        <v>66.867718875000008</v>
      </c>
    </row>
    <row r="270" spans="2:6" x14ac:dyDescent="0.2">
      <c r="B270" s="143" t="s">
        <v>1395</v>
      </c>
      <c r="C270" s="144" t="s">
        <v>1389</v>
      </c>
      <c r="D270" s="145">
        <v>1027</v>
      </c>
      <c r="E270" s="175">
        <v>1040.0999999999999</v>
      </c>
      <c r="F270" s="168">
        <v>1.8299350000000001</v>
      </c>
    </row>
    <row r="271" spans="2:6" x14ac:dyDescent="0.2">
      <c r="B271" s="143" t="s">
        <v>1392</v>
      </c>
      <c r="C271" s="144" t="s">
        <v>1389</v>
      </c>
      <c r="D271" s="145">
        <v>2413.5</v>
      </c>
      <c r="E271" s="175">
        <v>2305.1999999999998</v>
      </c>
      <c r="F271" s="168">
        <v>3.0090425000000001</v>
      </c>
    </row>
    <row r="272" spans="2:6" x14ac:dyDescent="0.2">
      <c r="B272" s="143" t="s">
        <v>1398</v>
      </c>
      <c r="C272" s="144" t="s">
        <v>1389</v>
      </c>
      <c r="D272" s="145">
        <v>163.04</v>
      </c>
      <c r="E272" s="175">
        <v>166.35</v>
      </c>
      <c r="F272" s="168">
        <v>3.0053126250000002</v>
      </c>
    </row>
    <row r="273" spans="2:6" x14ac:dyDescent="0.2">
      <c r="B273" s="143" t="s">
        <v>1428</v>
      </c>
      <c r="C273" s="144" t="s">
        <v>1389</v>
      </c>
      <c r="D273" s="145">
        <v>245.428</v>
      </c>
      <c r="E273" s="175">
        <v>253.4</v>
      </c>
      <c r="F273" s="189">
        <v>31.629718925000002</v>
      </c>
    </row>
    <row r="274" spans="2:6" x14ac:dyDescent="0.2">
      <c r="B274" s="143" t="s">
        <v>1397</v>
      </c>
      <c r="C274" s="144" t="s">
        <v>1389</v>
      </c>
      <c r="D274" s="145">
        <v>242.41</v>
      </c>
      <c r="E274" s="175">
        <v>254.83</v>
      </c>
      <c r="F274" s="190"/>
    </row>
    <row r="275" spans="2:6" x14ac:dyDescent="0.2">
      <c r="B275" s="143" t="s">
        <v>1401</v>
      </c>
      <c r="C275" s="144" t="s">
        <v>1389</v>
      </c>
      <c r="D275" s="145">
        <v>7039</v>
      </c>
      <c r="E275" s="175">
        <v>7264</v>
      </c>
      <c r="F275" s="168">
        <v>4.0013699999999996</v>
      </c>
    </row>
    <row r="276" spans="2:6" x14ac:dyDescent="0.2">
      <c r="B276" s="143" t="s">
        <v>1438</v>
      </c>
      <c r="C276" s="144" t="s">
        <v>1389</v>
      </c>
      <c r="D276" s="145">
        <v>591.30110000000002</v>
      </c>
      <c r="E276" s="175">
        <v>596.65</v>
      </c>
      <c r="F276" s="168">
        <v>74.039963687000011</v>
      </c>
    </row>
    <row r="277" spans="2:6" x14ac:dyDescent="0.2">
      <c r="B277" s="143" t="s">
        <v>1422</v>
      </c>
      <c r="C277" s="144" t="s">
        <v>1389</v>
      </c>
      <c r="D277" s="145">
        <v>294.61579999999998</v>
      </c>
      <c r="E277" s="175">
        <v>285.35000000000002</v>
      </c>
      <c r="F277" s="168">
        <v>18.822739500000001</v>
      </c>
    </row>
    <row r="278" spans="2:6" x14ac:dyDescent="0.2">
      <c r="B278" s="143" t="s">
        <v>1446</v>
      </c>
      <c r="C278" s="144" t="s">
        <v>1389</v>
      </c>
      <c r="D278" s="145">
        <v>1407.7779</v>
      </c>
      <c r="E278" s="175">
        <v>1404</v>
      </c>
      <c r="F278" s="168">
        <v>55.018234999999997</v>
      </c>
    </row>
    <row r="279" spans="2:6" x14ac:dyDescent="0.2">
      <c r="B279" s="143" t="s">
        <v>1458</v>
      </c>
      <c r="C279" s="144" t="s">
        <v>1389</v>
      </c>
      <c r="D279" s="145">
        <v>134.46729999999999</v>
      </c>
      <c r="E279" s="175">
        <v>132.44</v>
      </c>
      <c r="F279" s="189">
        <v>185.22713637499999</v>
      </c>
    </row>
    <row r="280" spans="2:6" x14ac:dyDescent="0.2">
      <c r="B280" s="143" t="s">
        <v>1450</v>
      </c>
      <c r="C280" s="144" t="s">
        <v>1389</v>
      </c>
      <c r="D280" s="145">
        <v>132.2467</v>
      </c>
      <c r="E280" s="175">
        <v>133.29</v>
      </c>
      <c r="F280" s="190"/>
    </row>
    <row r="281" spans="2:6" x14ac:dyDescent="0.2">
      <c r="B281" s="143" t="s">
        <v>1420</v>
      </c>
      <c r="C281" s="144" t="s">
        <v>1389</v>
      </c>
      <c r="D281" s="145">
        <v>300.125</v>
      </c>
      <c r="E281" s="175">
        <v>301.25</v>
      </c>
      <c r="F281" s="189">
        <v>19.2620565</v>
      </c>
    </row>
    <row r="282" spans="2:6" x14ac:dyDescent="0.2">
      <c r="B282" s="143" t="s">
        <v>1396</v>
      </c>
      <c r="C282" s="144" t="s">
        <v>1389</v>
      </c>
      <c r="D282" s="145">
        <v>306.57499999999999</v>
      </c>
      <c r="E282" s="175">
        <v>303.45</v>
      </c>
      <c r="F282" s="190"/>
    </row>
    <row r="283" spans="2:6" x14ac:dyDescent="0.2">
      <c r="B283" s="143" t="s">
        <v>1393</v>
      </c>
      <c r="C283" s="144" t="s">
        <v>1389</v>
      </c>
      <c r="D283" s="145">
        <v>36090</v>
      </c>
      <c r="E283" s="175">
        <v>37105</v>
      </c>
      <c r="F283" s="168">
        <v>1.7501087500000001</v>
      </c>
    </row>
    <row r="284" spans="2:6" x14ac:dyDescent="0.2">
      <c r="B284" s="143" t="s">
        <v>1463</v>
      </c>
      <c r="C284" s="144" t="s">
        <v>1389</v>
      </c>
      <c r="D284" s="145">
        <v>415.42869999999999</v>
      </c>
      <c r="E284" s="175">
        <v>420.35</v>
      </c>
      <c r="F284" s="168">
        <v>326.82185156200001</v>
      </c>
    </row>
    <row r="285" spans="2:6" x14ac:dyDescent="0.2">
      <c r="B285" s="143" t="s">
        <v>1472</v>
      </c>
      <c r="C285" s="144" t="s">
        <v>1389</v>
      </c>
      <c r="D285" s="145">
        <v>1835.6726000000001</v>
      </c>
      <c r="E285" s="175">
        <v>1845</v>
      </c>
      <c r="F285" s="168">
        <v>450.86515500000002</v>
      </c>
    </row>
    <row r="286" spans="2:6" x14ac:dyDescent="0.2">
      <c r="B286" s="143" t="s">
        <v>1408</v>
      </c>
      <c r="C286" s="144" t="s">
        <v>1389</v>
      </c>
      <c r="D286" s="145">
        <v>423.55709999999999</v>
      </c>
      <c r="E286" s="175">
        <v>415.45</v>
      </c>
      <c r="F286" s="189">
        <v>105.873996999</v>
      </c>
    </row>
    <row r="287" spans="2:6" x14ac:dyDescent="0.2">
      <c r="B287" s="143" t="s">
        <v>1455</v>
      </c>
      <c r="C287" s="144" t="s">
        <v>1389</v>
      </c>
      <c r="D287" s="145">
        <v>425.5806</v>
      </c>
      <c r="E287" s="175">
        <v>418.05</v>
      </c>
      <c r="F287" s="190"/>
    </row>
    <row r="288" spans="2:6" x14ac:dyDescent="0.2">
      <c r="B288" s="143" t="s">
        <v>1402</v>
      </c>
      <c r="C288" s="144" t="s">
        <v>1389</v>
      </c>
      <c r="D288" s="145">
        <v>135.98670000000001</v>
      </c>
      <c r="E288" s="175">
        <v>141.37</v>
      </c>
      <c r="F288" s="168">
        <v>4.8731201999999998</v>
      </c>
    </row>
    <row r="289" spans="2:6" x14ac:dyDescent="0.2">
      <c r="B289" s="143" t="s">
        <v>1460</v>
      </c>
      <c r="C289" s="144" t="s">
        <v>1389</v>
      </c>
      <c r="D289" s="145">
        <v>269.6062</v>
      </c>
      <c r="E289" s="175">
        <v>271</v>
      </c>
      <c r="F289" s="189">
        <v>147.61644781199999</v>
      </c>
    </row>
    <row r="290" spans="2:6" x14ac:dyDescent="0.2">
      <c r="B290" s="143" t="s">
        <v>1426</v>
      </c>
      <c r="C290" s="144" t="s">
        <v>1389</v>
      </c>
      <c r="D290" s="145">
        <v>273.94670000000002</v>
      </c>
      <c r="E290" s="175">
        <v>272.64999999999998</v>
      </c>
      <c r="F290" s="190"/>
    </row>
    <row r="291" spans="2:6" x14ac:dyDescent="0.2">
      <c r="B291" s="143" t="s">
        <v>1448</v>
      </c>
      <c r="C291" s="144" t="s">
        <v>1389</v>
      </c>
      <c r="D291" s="145">
        <v>939.97190000000001</v>
      </c>
      <c r="E291" s="175">
        <v>913.2</v>
      </c>
      <c r="F291" s="168">
        <v>62.719920000000002</v>
      </c>
    </row>
    <row r="292" spans="2:6" x14ac:dyDescent="0.2">
      <c r="B292" s="143" t="s">
        <v>1419</v>
      </c>
      <c r="C292" s="144" t="s">
        <v>1389</v>
      </c>
      <c r="D292" s="145">
        <v>1789.1067</v>
      </c>
      <c r="E292" s="175">
        <v>1813</v>
      </c>
      <c r="F292" s="168">
        <v>14.346225</v>
      </c>
    </row>
    <row r="293" spans="2:6" x14ac:dyDescent="0.2">
      <c r="B293" s="143" t="s">
        <v>1465</v>
      </c>
      <c r="C293" s="144" t="s">
        <v>1389</v>
      </c>
      <c r="D293" s="145">
        <v>1284.2027</v>
      </c>
      <c r="E293" s="175">
        <v>1300.2</v>
      </c>
      <c r="F293" s="168">
        <v>161.55256875000001</v>
      </c>
    </row>
    <row r="294" spans="2:6" x14ac:dyDescent="0.2">
      <c r="B294" s="143" t="s">
        <v>1447</v>
      </c>
      <c r="C294" s="144" t="s">
        <v>1389</v>
      </c>
      <c r="D294" s="145">
        <v>999.88750000000005</v>
      </c>
      <c r="E294" s="175">
        <v>995.1</v>
      </c>
      <c r="F294" s="189">
        <v>83.544970000000006</v>
      </c>
    </row>
    <row r="295" spans="2:6" x14ac:dyDescent="0.2">
      <c r="B295" s="143" t="s">
        <v>1423</v>
      </c>
      <c r="C295" s="144" t="s">
        <v>1389</v>
      </c>
      <c r="D295" s="145">
        <v>1009.56</v>
      </c>
      <c r="E295" s="175">
        <v>999.1</v>
      </c>
      <c r="F295" s="190"/>
    </row>
    <row r="296" spans="2:6" x14ac:dyDescent="0.2">
      <c r="B296" s="67" t="s">
        <v>1400</v>
      </c>
      <c r="C296" s="144" t="s">
        <v>1389</v>
      </c>
      <c r="D296" s="145">
        <v>8122.5</v>
      </c>
      <c r="E296" s="175">
        <v>8272.5</v>
      </c>
      <c r="F296" s="168">
        <v>3.63512375</v>
      </c>
    </row>
    <row r="297" spans="2:6" x14ac:dyDescent="0.2">
      <c r="B297" s="143" t="s">
        <v>1409</v>
      </c>
      <c r="C297" s="144" t="s">
        <v>1389</v>
      </c>
      <c r="D297" s="145">
        <v>440.12779999999998</v>
      </c>
      <c r="E297" s="175">
        <v>450.1</v>
      </c>
      <c r="F297" s="168">
        <v>14.705003249999999</v>
      </c>
    </row>
    <row r="298" spans="2:6" x14ac:dyDescent="0.2">
      <c r="B298" s="143" t="s">
        <v>1444</v>
      </c>
      <c r="C298" s="144" t="s">
        <v>1389</v>
      </c>
      <c r="D298" s="145">
        <v>1813.1455000000001</v>
      </c>
      <c r="E298" s="175">
        <v>1814.1</v>
      </c>
      <c r="F298" s="189">
        <v>76.073736874999994</v>
      </c>
    </row>
    <row r="299" spans="2:6" x14ac:dyDescent="0.2">
      <c r="B299" s="143" t="s">
        <v>1417</v>
      </c>
      <c r="C299" s="144" t="s">
        <v>1389</v>
      </c>
      <c r="D299" s="145">
        <v>1711.1111000000001</v>
      </c>
      <c r="E299" s="175">
        <v>1823.8</v>
      </c>
      <c r="F299" s="190"/>
    </row>
    <row r="300" spans="2:6" x14ac:dyDescent="0.2">
      <c r="B300" s="143" t="s">
        <v>1474</v>
      </c>
      <c r="C300" s="144" t="s">
        <v>1389</v>
      </c>
      <c r="D300" s="145">
        <v>2816.8706000000002</v>
      </c>
      <c r="E300" s="175">
        <v>2965.5</v>
      </c>
      <c r="F300" s="168">
        <v>931.68725882499996</v>
      </c>
    </row>
    <row r="301" spans="2:6" x14ac:dyDescent="0.2">
      <c r="B301" s="117"/>
      <c r="C301" s="116"/>
      <c r="D301" s="116"/>
      <c r="E301" s="116"/>
      <c r="F301" s="116"/>
    </row>
    <row r="302" spans="2:6" ht="10.5" x14ac:dyDescent="0.2">
      <c r="B302" s="171" t="s">
        <v>1587</v>
      </c>
      <c r="C302" s="122"/>
      <c r="D302" s="123"/>
      <c r="E302" s="124"/>
      <c r="F302" s="125"/>
    </row>
    <row r="303" spans="2:6" ht="10.5" x14ac:dyDescent="0.2">
      <c r="B303" s="116" t="s">
        <v>1552</v>
      </c>
      <c r="C303" s="122"/>
      <c r="D303" s="123"/>
      <c r="E303" s="124"/>
      <c r="F303" s="125"/>
    </row>
    <row r="304" spans="2:6" ht="10.5" x14ac:dyDescent="0.2">
      <c r="B304" s="116" t="s">
        <v>1529</v>
      </c>
      <c r="C304" s="122"/>
      <c r="D304" s="123"/>
      <c r="E304" s="124"/>
      <c r="F304" s="125"/>
    </row>
    <row r="305" spans="2:6" x14ac:dyDescent="0.2">
      <c r="B305" s="183" t="s">
        <v>1523</v>
      </c>
      <c r="C305" s="183" t="s">
        <v>1524</v>
      </c>
      <c r="D305" s="183" t="s">
        <v>1525</v>
      </c>
      <c r="E305" s="183" t="s">
        <v>1526</v>
      </c>
      <c r="F305" s="183" t="s">
        <v>1527</v>
      </c>
    </row>
    <row r="306" spans="2:6" x14ac:dyDescent="0.2">
      <c r="B306" s="184"/>
      <c r="C306" s="184"/>
      <c r="D306" s="184"/>
      <c r="E306" s="184"/>
      <c r="F306" s="184"/>
    </row>
    <row r="307" spans="2:6" x14ac:dyDescent="0.2">
      <c r="B307" s="162">
        <v>4792</v>
      </c>
      <c r="C307" s="165">
        <v>570</v>
      </c>
      <c r="D307" s="163">
        <v>33253.550050799997</v>
      </c>
      <c r="E307" s="172">
        <v>3763.6435165000003</v>
      </c>
      <c r="F307" s="173">
        <v>-1150.2111857</v>
      </c>
    </row>
    <row r="308" spans="2:6" x14ac:dyDescent="0.2">
      <c r="B308" s="94"/>
      <c r="E308" s="147"/>
    </row>
    <row r="309" spans="2:6" ht="10.5" x14ac:dyDescent="0.25">
      <c r="B309" s="115" t="s">
        <v>1553</v>
      </c>
      <c r="C309" s="116"/>
      <c r="D309" s="116"/>
      <c r="E309" s="116"/>
      <c r="F309" s="116"/>
    </row>
    <row r="310" spans="2:6" x14ac:dyDescent="0.2">
      <c r="B310" s="117"/>
      <c r="C310" s="116"/>
      <c r="D310" s="116"/>
      <c r="E310" s="116"/>
      <c r="F310" s="116"/>
    </row>
    <row r="311" spans="2:6" ht="21" x14ac:dyDescent="0.2">
      <c r="B311" s="113" t="s">
        <v>1517</v>
      </c>
      <c r="C311" s="114" t="s">
        <v>1518</v>
      </c>
      <c r="D311" s="114" t="s">
        <v>1519</v>
      </c>
      <c r="E311" s="114" t="s">
        <v>1520</v>
      </c>
      <c r="F311" s="114" t="s">
        <v>1521</v>
      </c>
    </row>
    <row r="312" spans="2:6" x14ac:dyDescent="0.2">
      <c r="B312" s="180" t="s">
        <v>402</v>
      </c>
      <c r="C312" s="181"/>
      <c r="D312" s="181"/>
      <c r="E312" s="181"/>
      <c r="F312" s="182"/>
    </row>
    <row r="313" spans="2:6" x14ac:dyDescent="0.2">
      <c r="B313" s="117" t="s">
        <v>1545</v>
      </c>
      <c r="C313" s="116"/>
      <c r="D313" s="116"/>
      <c r="E313" s="116"/>
      <c r="F313" s="116"/>
    </row>
    <row r="314" spans="2:6" ht="10.5" x14ac:dyDescent="0.2">
      <c r="B314" s="116" t="s">
        <v>1554</v>
      </c>
      <c r="C314" s="122"/>
      <c r="D314" s="123"/>
      <c r="E314" s="124"/>
      <c r="F314" s="125"/>
    </row>
    <row r="315" spans="2:6" ht="10.5" x14ac:dyDescent="0.2">
      <c r="B315" s="116" t="s">
        <v>1529</v>
      </c>
      <c r="C315" s="122"/>
      <c r="D315" s="123"/>
      <c r="E315" s="124"/>
      <c r="F315" s="125"/>
    </row>
    <row r="316" spans="2:6" x14ac:dyDescent="0.2">
      <c r="B316" s="177" t="s">
        <v>1523</v>
      </c>
      <c r="C316" s="177" t="s">
        <v>1524</v>
      </c>
      <c r="D316" s="177" t="s">
        <v>1525</v>
      </c>
      <c r="E316" s="177" t="s">
        <v>1526</v>
      </c>
      <c r="F316" s="177" t="s">
        <v>1527</v>
      </c>
    </row>
    <row r="317" spans="2:6" x14ac:dyDescent="0.2">
      <c r="B317" s="178"/>
      <c r="C317" s="178"/>
      <c r="D317" s="178"/>
      <c r="E317" s="178"/>
      <c r="F317" s="178"/>
    </row>
    <row r="318" spans="2:6" x14ac:dyDescent="0.2">
      <c r="B318" s="191" t="s">
        <v>402</v>
      </c>
      <c r="C318" s="192"/>
      <c r="D318" s="192"/>
      <c r="E318" s="192"/>
      <c r="F318" s="193"/>
    </row>
    <row r="319" spans="2:6" x14ac:dyDescent="0.2">
      <c r="B319" s="109"/>
      <c r="C319" s="131"/>
      <c r="D319" s="131"/>
      <c r="E319" s="131"/>
      <c r="F319" s="87"/>
    </row>
    <row r="320" spans="2:6" ht="10.5" x14ac:dyDescent="0.2">
      <c r="B320" s="132" t="s">
        <v>1555</v>
      </c>
      <c r="C320" s="133"/>
      <c r="D320" s="133"/>
      <c r="E320" s="134"/>
      <c r="F320" s="87"/>
    </row>
    <row r="321" spans="2:6" ht="10.5" x14ac:dyDescent="0.2">
      <c r="B321" s="135"/>
      <c r="C321" s="133"/>
      <c r="D321" s="133"/>
      <c r="E321" s="134"/>
      <c r="F321" s="87"/>
    </row>
    <row r="322" spans="2:6" ht="21" x14ac:dyDescent="0.2">
      <c r="B322" s="113" t="s">
        <v>1517</v>
      </c>
      <c r="C322" s="114" t="s">
        <v>1531</v>
      </c>
      <c r="D322" s="114" t="s">
        <v>1532</v>
      </c>
      <c r="E322" s="114" t="s">
        <v>1533</v>
      </c>
      <c r="F322" s="87"/>
    </row>
    <row r="323" spans="2:6" x14ac:dyDescent="0.2">
      <c r="B323" s="180" t="s">
        <v>402</v>
      </c>
      <c r="C323" s="181"/>
      <c r="D323" s="181"/>
      <c r="E323" s="182"/>
      <c r="F323" s="87"/>
    </row>
    <row r="324" spans="2:6" x14ac:dyDescent="0.2">
      <c r="B324" s="117" t="s">
        <v>1534</v>
      </c>
      <c r="C324" s="116"/>
      <c r="D324" s="116"/>
      <c r="E324" s="116"/>
      <c r="F324" s="87"/>
    </row>
    <row r="325" spans="2:6" x14ac:dyDescent="0.2">
      <c r="B325" s="136"/>
      <c r="C325" s="137"/>
      <c r="D325" s="137"/>
      <c r="E325" s="136"/>
      <c r="F325" s="87"/>
    </row>
    <row r="326" spans="2:6" x14ac:dyDescent="0.2">
      <c r="B326" s="136" t="s">
        <v>1556</v>
      </c>
      <c r="C326" s="137"/>
      <c r="D326" s="137"/>
      <c r="E326" s="136"/>
      <c r="F326" s="87"/>
    </row>
    <row r="327" spans="2:6" x14ac:dyDescent="0.2">
      <c r="B327" s="136"/>
      <c r="C327" s="137"/>
      <c r="D327" s="137"/>
      <c r="E327" s="136"/>
      <c r="F327" s="87"/>
    </row>
    <row r="328" spans="2:6" x14ac:dyDescent="0.2">
      <c r="B328" s="177" t="s">
        <v>1535</v>
      </c>
      <c r="C328" s="177" t="s">
        <v>1536</v>
      </c>
      <c r="D328" s="177" t="s">
        <v>1537</v>
      </c>
      <c r="E328" s="136"/>
      <c r="F328" s="87"/>
    </row>
    <row r="329" spans="2:6" x14ac:dyDescent="0.2">
      <c r="B329" s="178"/>
      <c r="C329" s="178"/>
      <c r="D329" s="178"/>
      <c r="E329" s="136"/>
      <c r="F329" s="87"/>
    </row>
    <row r="330" spans="2:6" x14ac:dyDescent="0.2">
      <c r="B330" s="179" t="s">
        <v>402</v>
      </c>
      <c r="C330" s="179"/>
      <c r="D330" s="179"/>
      <c r="E330" s="131"/>
      <c r="F330" s="87"/>
    </row>
    <row r="331" spans="2:6" x14ac:dyDescent="0.2">
      <c r="B331" s="138"/>
      <c r="C331" s="138"/>
      <c r="D331" s="138"/>
      <c r="E331" s="131"/>
      <c r="F331" s="87"/>
    </row>
    <row r="332" spans="2:6" ht="10.5" x14ac:dyDescent="0.2">
      <c r="B332" s="132" t="s">
        <v>1557</v>
      </c>
      <c r="C332" s="138"/>
      <c r="D332" s="138"/>
      <c r="E332" s="131"/>
      <c r="F332" s="87"/>
    </row>
    <row r="333" spans="2:6" x14ac:dyDescent="0.2">
      <c r="B333" s="138"/>
      <c r="C333" s="138"/>
      <c r="D333" s="138"/>
      <c r="E333" s="131"/>
      <c r="F333" s="87"/>
    </row>
    <row r="334" spans="2:6" ht="21" x14ac:dyDescent="0.2">
      <c r="B334" s="114" t="s">
        <v>1517</v>
      </c>
      <c r="C334" s="114" t="s">
        <v>1539</v>
      </c>
      <c r="D334" s="114" t="s">
        <v>1540</v>
      </c>
      <c r="E334" s="114" t="s">
        <v>1541</v>
      </c>
      <c r="F334" s="114" t="s">
        <v>1542</v>
      </c>
    </row>
    <row r="335" spans="2:6" x14ac:dyDescent="0.2">
      <c r="B335" s="176" t="s">
        <v>402</v>
      </c>
      <c r="C335" s="176"/>
      <c r="D335" s="176"/>
      <c r="E335" s="176"/>
      <c r="F335" s="176"/>
    </row>
    <row r="336" spans="2:6" x14ac:dyDescent="0.2">
      <c r="B336" s="139" t="s">
        <v>1543</v>
      </c>
      <c r="C336" s="138"/>
      <c r="D336" s="138"/>
      <c r="E336" s="131"/>
      <c r="F336" s="87"/>
    </row>
    <row r="337" spans="2:7" x14ac:dyDescent="0.2">
      <c r="B337" s="138"/>
      <c r="C337" s="138"/>
      <c r="D337" s="138"/>
      <c r="E337" s="131"/>
      <c r="F337" s="87"/>
    </row>
    <row r="338" spans="2:7" x14ac:dyDescent="0.2">
      <c r="B338" s="136" t="s">
        <v>1558</v>
      </c>
      <c r="C338" s="137"/>
      <c r="D338" s="137"/>
      <c r="E338" s="131"/>
      <c r="F338" s="87"/>
    </row>
    <row r="339" spans="2:7" x14ac:dyDescent="0.2">
      <c r="B339" s="136"/>
      <c r="C339" s="137"/>
      <c r="D339" s="137"/>
      <c r="E339" s="131"/>
      <c r="F339" s="87"/>
    </row>
    <row r="340" spans="2:7" x14ac:dyDescent="0.2">
      <c r="B340" s="177" t="s">
        <v>1535</v>
      </c>
      <c r="C340" s="177" t="s">
        <v>1536</v>
      </c>
      <c r="D340" s="177" t="s">
        <v>1537</v>
      </c>
      <c r="E340" s="131"/>
      <c r="F340" s="87"/>
    </row>
    <row r="341" spans="2:7" x14ac:dyDescent="0.2">
      <c r="B341" s="178"/>
      <c r="C341" s="178"/>
      <c r="D341" s="178"/>
      <c r="E341" s="131"/>
      <c r="F341" s="87"/>
    </row>
    <row r="342" spans="2:7" x14ac:dyDescent="0.2">
      <c r="B342" s="179" t="s">
        <v>402</v>
      </c>
      <c r="C342" s="179"/>
      <c r="D342" s="179"/>
      <c r="E342" s="131"/>
      <c r="F342" s="87"/>
    </row>
    <row r="343" spans="2:7" x14ac:dyDescent="0.2">
      <c r="B343" s="138"/>
      <c r="C343" s="138"/>
      <c r="D343" s="138"/>
      <c r="E343" s="131"/>
      <c r="F343" s="87"/>
    </row>
    <row r="344" spans="2:7" ht="10.5" x14ac:dyDescent="0.2">
      <c r="B344" s="140" t="s">
        <v>1559</v>
      </c>
      <c r="C344" s="138"/>
      <c r="D344" s="138"/>
      <c r="E344" s="131"/>
      <c r="F344" s="87"/>
    </row>
    <row r="345" spans="2:7" x14ac:dyDescent="0.2">
      <c r="B345" s="94"/>
      <c r="E345" s="8"/>
    </row>
    <row r="346" spans="2:7" x14ac:dyDescent="0.2">
      <c r="B346" s="94"/>
      <c r="E346" s="8"/>
    </row>
    <row r="347" spans="2:7" x14ac:dyDescent="0.2">
      <c r="B347" s="94" t="s">
        <v>1560</v>
      </c>
      <c r="E347" s="8"/>
    </row>
    <row r="348" spans="2:7" x14ac:dyDescent="0.2">
      <c r="B348" s="170" t="s">
        <v>1586</v>
      </c>
      <c r="E348" s="8"/>
    </row>
    <row r="349" spans="2:7" x14ac:dyDescent="0.2">
      <c r="B349" s="94" t="s">
        <v>1561</v>
      </c>
      <c r="E349" s="8"/>
    </row>
    <row r="351" spans="2:7" ht="10.5" x14ac:dyDescent="0.25">
      <c r="B351" s="26" t="s">
        <v>197</v>
      </c>
      <c r="E351" s="8"/>
      <c r="G351" s="87"/>
    </row>
    <row r="352" spans="2:7" x14ac:dyDescent="0.2">
      <c r="E352" s="8"/>
      <c r="G352" s="87"/>
    </row>
    <row r="353" spans="5:7" x14ac:dyDescent="0.2">
      <c r="E353" s="8"/>
      <c r="G353" s="87"/>
    </row>
    <row r="354" spans="5:7" x14ac:dyDescent="0.2">
      <c r="E354" s="8"/>
      <c r="G354" s="87"/>
    </row>
    <row r="355" spans="5:7" x14ac:dyDescent="0.2">
      <c r="E355" s="8"/>
      <c r="G355" s="87"/>
    </row>
    <row r="356" spans="5:7" x14ac:dyDescent="0.2">
      <c r="E356" s="8"/>
      <c r="G356" s="87"/>
    </row>
    <row r="357" spans="5:7" x14ac:dyDescent="0.2">
      <c r="E357" s="8"/>
      <c r="G357" s="87"/>
    </row>
    <row r="358" spans="5:7" x14ac:dyDescent="0.2">
      <c r="E358" s="8"/>
      <c r="G358" s="87"/>
    </row>
    <row r="359" spans="5:7" x14ac:dyDescent="0.2">
      <c r="E359" s="8"/>
      <c r="G359" s="87"/>
    </row>
    <row r="360" spans="5:7" x14ac:dyDescent="0.2">
      <c r="E360" s="8"/>
      <c r="G360" s="87"/>
    </row>
    <row r="361" spans="5:7" x14ac:dyDescent="0.2">
      <c r="E361" s="8"/>
      <c r="G361" s="87"/>
    </row>
    <row r="362" spans="5:7" x14ac:dyDescent="0.2">
      <c r="E362" s="8"/>
      <c r="G362" s="87"/>
    </row>
    <row r="363" spans="5:7" x14ac:dyDescent="0.2">
      <c r="E363" s="8"/>
      <c r="G363" s="87"/>
    </row>
    <row r="364" spans="5:7" x14ac:dyDescent="0.2">
      <c r="E364" s="8"/>
      <c r="G364" s="87"/>
    </row>
    <row r="365" spans="5:7" x14ac:dyDescent="0.2">
      <c r="E365" s="8"/>
      <c r="G365" s="87"/>
    </row>
    <row r="366" spans="5:7" x14ac:dyDescent="0.2">
      <c r="E366" s="8"/>
      <c r="G366" s="87"/>
    </row>
    <row r="367" spans="5:7" x14ac:dyDescent="0.2">
      <c r="E367" s="8"/>
      <c r="G367" s="87"/>
    </row>
    <row r="368" spans="5:7" x14ac:dyDescent="0.2">
      <c r="E368" s="8"/>
      <c r="G368" s="87"/>
    </row>
    <row r="369" spans="2:7" ht="10.5" x14ac:dyDescent="0.2">
      <c r="B369" s="88" t="s">
        <v>1478</v>
      </c>
      <c r="E369" s="8"/>
      <c r="G369" s="87"/>
    </row>
    <row r="370" spans="2:7" ht="10.5" x14ac:dyDescent="0.25">
      <c r="B370" s="89" t="s">
        <v>1492</v>
      </c>
      <c r="E370" s="8"/>
      <c r="G370" s="87"/>
    </row>
    <row r="371" spans="2:7" x14ac:dyDescent="0.2">
      <c r="E371" s="8"/>
      <c r="G371" s="87"/>
    </row>
    <row r="372" spans="2:7" x14ac:dyDescent="0.2">
      <c r="E372" s="8"/>
      <c r="G372" s="87"/>
    </row>
    <row r="373" spans="2:7" x14ac:dyDescent="0.2">
      <c r="E373" s="8"/>
      <c r="G373" s="87"/>
    </row>
    <row r="374" spans="2:7" x14ac:dyDescent="0.2">
      <c r="E374" s="8"/>
      <c r="G374" s="87"/>
    </row>
    <row r="375" spans="2:7" x14ac:dyDescent="0.2">
      <c r="E375" s="8"/>
      <c r="G375" s="87"/>
    </row>
    <row r="376" spans="2:7" x14ac:dyDescent="0.2">
      <c r="E376" s="8"/>
      <c r="G376" s="87"/>
    </row>
    <row r="377" spans="2:7" x14ac:dyDescent="0.2">
      <c r="E377" s="8"/>
      <c r="G377" s="87"/>
    </row>
    <row r="378" spans="2:7" x14ac:dyDescent="0.2">
      <c r="E378" s="8"/>
      <c r="G378" s="87"/>
    </row>
    <row r="379" spans="2:7" x14ac:dyDescent="0.2">
      <c r="E379" s="8"/>
      <c r="G379" s="87"/>
    </row>
    <row r="380" spans="2:7" x14ac:dyDescent="0.2">
      <c r="E380" s="8"/>
      <c r="G380" s="87"/>
    </row>
    <row r="381" spans="2:7" x14ac:dyDescent="0.2">
      <c r="E381" s="8"/>
      <c r="G381" s="87"/>
    </row>
    <row r="382" spans="2:7" x14ac:dyDescent="0.2">
      <c r="E382" s="8"/>
      <c r="G382" s="87"/>
    </row>
    <row r="383" spans="2:7" x14ac:dyDescent="0.2">
      <c r="E383" s="8"/>
      <c r="G383" s="87"/>
    </row>
    <row r="384" spans="2:7" x14ac:dyDescent="0.2">
      <c r="E384" s="8"/>
      <c r="G384" s="87"/>
    </row>
    <row r="385" spans="5:7" x14ac:dyDescent="0.2">
      <c r="E385" s="8"/>
      <c r="G385" s="87"/>
    </row>
    <row r="386" spans="5:7" x14ac:dyDescent="0.2">
      <c r="E386" s="8"/>
      <c r="G386" s="87"/>
    </row>
    <row r="387" spans="5:7" x14ac:dyDescent="0.2">
      <c r="E387" s="8"/>
      <c r="G387" s="87"/>
    </row>
    <row r="388" spans="5:7" x14ac:dyDescent="0.2">
      <c r="E388" s="8"/>
      <c r="G388" s="87"/>
    </row>
  </sheetData>
  <mergeCells count="36">
    <mergeCell ref="B1:C1"/>
    <mergeCell ref="F214:F215"/>
    <mergeCell ref="F281:F282"/>
    <mergeCell ref="F286:F287"/>
    <mergeCell ref="F289:F290"/>
    <mergeCell ref="F224:F225"/>
    <mergeCell ref="F227:F228"/>
    <mergeCell ref="F256:F257"/>
    <mergeCell ref="F258:F259"/>
    <mergeCell ref="F263:F264"/>
    <mergeCell ref="F273:F274"/>
    <mergeCell ref="F279:F280"/>
    <mergeCell ref="D316:D317"/>
    <mergeCell ref="E316:E317"/>
    <mergeCell ref="F316:F317"/>
    <mergeCell ref="B305:B306"/>
    <mergeCell ref="C305:C306"/>
    <mergeCell ref="D305:D306"/>
    <mergeCell ref="E305:E306"/>
    <mergeCell ref="F305:F306"/>
    <mergeCell ref="F294:F295"/>
    <mergeCell ref="F298:F299"/>
    <mergeCell ref="B342:D342"/>
    <mergeCell ref="B330:D330"/>
    <mergeCell ref="B335:F335"/>
    <mergeCell ref="B340:B341"/>
    <mergeCell ref="C340:C341"/>
    <mergeCell ref="D340:D341"/>
    <mergeCell ref="B318:F318"/>
    <mergeCell ref="B323:E323"/>
    <mergeCell ref="B328:B329"/>
    <mergeCell ref="C328:C329"/>
    <mergeCell ref="D328:D329"/>
    <mergeCell ref="B312:F312"/>
    <mergeCell ref="B316:B317"/>
    <mergeCell ref="C316:C317"/>
  </mergeCells>
  <conditionalFormatting sqref="G1:G3 G5:G388">
    <cfRule type="cellIs" dxfId="1" priority="2" stopIfTrue="1" operator="between">
      <formula>0.009</formula>
      <formula>-0.009</formula>
    </cfRule>
  </conditionalFormatting>
  <hyperlinks>
    <hyperlink ref="A2" location="Index!A1" display="-" xr:uid="{50DA8A65-8D15-449D-B269-FBC39AE4C87E}"/>
  </hyperlinks>
  <pageMargins left="0.7" right="0.7" top="0.75" bottom="0.75" header="0.3" footer="0.3"/>
  <pageSetup paperSize="9" scale="5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327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B0CF-07DA-43B9-BC01-6D84F6EE6F96}">
  <dimension ref="A1:I422"/>
  <sheetViews>
    <sheetView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65.1796875" style="8" bestFit="1" customWidth="1"/>
    <col min="3" max="3" width="15" style="8" customWidth="1"/>
    <col min="4" max="4" width="32.1796875" style="8" bestFit="1" customWidth="1"/>
    <col min="5" max="5" width="13.90625" style="9" bestFit="1" customWidth="1"/>
    <col min="6" max="6" width="22.81640625" style="11" bestFit="1" customWidth="1"/>
    <col min="7" max="7" width="12.1796875" style="18" bestFit="1" customWidth="1"/>
    <col min="8" max="8" width="17.36328125" style="8" bestFit="1" customWidth="1"/>
    <col min="9" max="16384" width="9.08984375" style="8"/>
  </cols>
  <sheetData>
    <row r="1" spans="1:8" s="1" customFormat="1" ht="16.75" customHeight="1" x14ac:dyDescent="0.35">
      <c r="B1" s="185" t="s">
        <v>23</v>
      </c>
      <c r="C1" s="186"/>
      <c r="D1" s="13"/>
      <c r="E1" s="6"/>
      <c r="F1" s="7"/>
      <c r="G1" s="18"/>
    </row>
    <row r="2" spans="1:8" s="1" customFormat="1" ht="14.5" x14ac:dyDescent="0.35">
      <c r="A2" s="85" t="s">
        <v>1494</v>
      </c>
      <c r="E2" s="6"/>
      <c r="F2" s="7"/>
      <c r="G2" s="18"/>
    </row>
    <row r="3" spans="1:8" s="1" customFormat="1" ht="11.5" x14ac:dyDescent="0.25">
      <c r="B3" s="10" t="s">
        <v>9</v>
      </c>
      <c r="C3" s="2"/>
      <c r="D3" s="3"/>
      <c r="E3" s="4"/>
      <c r="F3" s="5"/>
      <c r="G3" s="18"/>
    </row>
    <row r="4" spans="1:8" s="1" customFormat="1" ht="25.5" customHeight="1" x14ac:dyDescent="0.25">
      <c r="B4" s="29" t="s">
        <v>7</v>
      </c>
      <c r="C4" s="29" t="s">
        <v>8</v>
      </c>
      <c r="D4" s="30" t="s">
        <v>190</v>
      </c>
      <c r="E4" s="31" t="s">
        <v>0</v>
      </c>
      <c r="F4" s="32" t="s">
        <v>4</v>
      </c>
      <c r="G4" s="33" t="s">
        <v>5</v>
      </c>
      <c r="H4" s="84" t="s">
        <v>6</v>
      </c>
    </row>
    <row r="5" spans="1:8" ht="10.5" x14ac:dyDescent="0.25">
      <c r="B5" s="35" t="s">
        <v>24</v>
      </c>
      <c r="C5" s="36"/>
      <c r="D5" s="36"/>
      <c r="E5" s="37"/>
      <c r="F5" s="38"/>
      <c r="G5" s="39"/>
      <c r="H5" s="36"/>
    </row>
    <row r="6" spans="1:8" ht="10.5" x14ac:dyDescent="0.25">
      <c r="B6" s="35" t="s">
        <v>25</v>
      </c>
      <c r="C6" s="36"/>
      <c r="D6" s="36"/>
      <c r="E6" s="37"/>
      <c r="F6" s="38"/>
      <c r="G6" s="39"/>
      <c r="H6" s="36"/>
    </row>
    <row r="7" spans="1:8" x14ac:dyDescent="0.2">
      <c r="B7" s="36" t="s">
        <v>26</v>
      </c>
      <c r="C7" s="36" t="s">
        <v>27</v>
      </c>
      <c r="D7" s="36" t="s">
        <v>28</v>
      </c>
      <c r="E7" s="41">
        <v>127349</v>
      </c>
      <c r="F7" s="38">
        <v>948.17697950000002</v>
      </c>
      <c r="G7" s="39">
        <v>6.3088238560894103</v>
      </c>
      <c r="H7" s="42"/>
    </row>
    <row r="8" spans="1:8" x14ac:dyDescent="0.2">
      <c r="B8" s="36" t="s">
        <v>34</v>
      </c>
      <c r="C8" s="36" t="s">
        <v>35</v>
      </c>
      <c r="D8" s="36" t="s">
        <v>36</v>
      </c>
      <c r="E8" s="41">
        <v>57504</v>
      </c>
      <c r="F8" s="38">
        <v>759.74284799999998</v>
      </c>
      <c r="G8" s="39">
        <v>5.0550518601318899</v>
      </c>
      <c r="H8" s="42"/>
    </row>
    <row r="9" spans="1:8" x14ac:dyDescent="0.2">
      <c r="B9" s="36" t="s">
        <v>29</v>
      </c>
      <c r="C9" s="36" t="s">
        <v>30</v>
      </c>
      <c r="D9" s="36" t="s">
        <v>28</v>
      </c>
      <c r="E9" s="41">
        <v>60085</v>
      </c>
      <c r="F9" s="38">
        <v>754.90794000000005</v>
      </c>
      <c r="G9" s="39">
        <v>5.0228821454141999</v>
      </c>
      <c r="H9" s="42"/>
    </row>
    <row r="10" spans="1:8" x14ac:dyDescent="0.2">
      <c r="B10" s="36" t="s">
        <v>31</v>
      </c>
      <c r="C10" s="36" t="s">
        <v>32</v>
      </c>
      <c r="D10" s="36" t="s">
        <v>33</v>
      </c>
      <c r="E10" s="41">
        <v>36083</v>
      </c>
      <c r="F10" s="38">
        <v>659.95807000000002</v>
      </c>
      <c r="G10" s="39">
        <v>4.3911203351828698</v>
      </c>
      <c r="H10" s="42"/>
    </row>
    <row r="11" spans="1:8" x14ac:dyDescent="0.2">
      <c r="B11" s="36" t="s">
        <v>45</v>
      </c>
      <c r="C11" s="36" t="s">
        <v>46</v>
      </c>
      <c r="D11" s="36" t="s">
        <v>47</v>
      </c>
      <c r="E11" s="41">
        <v>9780</v>
      </c>
      <c r="F11" s="38">
        <v>398.68169999999998</v>
      </c>
      <c r="G11" s="39">
        <v>2.6526826471495002</v>
      </c>
      <c r="H11" s="42"/>
    </row>
    <row r="12" spans="1:8" x14ac:dyDescent="0.2">
      <c r="B12" s="36" t="s">
        <v>66</v>
      </c>
      <c r="C12" s="36" t="s">
        <v>67</v>
      </c>
      <c r="D12" s="36" t="s">
        <v>68</v>
      </c>
      <c r="E12" s="41">
        <v>123837</v>
      </c>
      <c r="F12" s="38">
        <v>355.28835299999997</v>
      </c>
      <c r="G12" s="39">
        <v>2.3639591401798201</v>
      </c>
      <c r="H12" s="42"/>
    </row>
    <row r="13" spans="1:8" x14ac:dyDescent="0.2">
      <c r="B13" s="36" t="s">
        <v>40</v>
      </c>
      <c r="C13" s="36" t="s">
        <v>41</v>
      </c>
      <c r="D13" s="36" t="s">
        <v>28</v>
      </c>
      <c r="E13" s="41">
        <v>34861</v>
      </c>
      <c r="F13" s="38">
        <v>336.19948399999998</v>
      </c>
      <c r="G13" s="39">
        <v>2.2369487668669401</v>
      </c>
      <c r="H13" s="42"/>
    </row>
    <row r="14" spans="1:8" x14ac:dyDescent="0.2">
      <c r="B14" s="36" t="s">
        <v>75</v>
      </c>
      <c r="C14" s="36" t="s">
        <v>76</v>
      </c>
      <c r="D14" s="36" t="s">
        <v>28</v>
      </c>
      <c r="E14" s="41">
        <v>24079</v>
      </c>
      <c r="F14" s="38">
        <v>309.80041399999999</v>
      </c>
      <c r="G14" s="39">
        <v>2.0612989818633101</v>
      </c>
      <c r="H14" s="42"/>
    </row>
    <row r="15" spans="1:8" x14ac:dyDescent="0.2">
      <c r="B15" s="36" t="s">
        <v>83</v>
      </c>
      <c r="C15" s="36" t="s">
        <v>84</v>
      </c>
      <c r="D15" s="36" t="s">
        <v>28</v>
      </c>
      <c r="E15" s="41">
        <v>61438</v>
      </c>
      <c r="F15" s="38">
        <v>236.04479599999999</v>
      </c>
      <c r="G15" s="39">
        <v>1.5705559956705899</v>
      </c>
      <c r="H15" s="42"/>
    </row>
    <row r="16" spans="1:8" x14ac:dyDescent="0.2">
      <c r="B16" s="36" t="s">
        <v>80</v>
      </c>
      <c r="C16" s="36" t="s">
        <v>81</v>
      </c>
      <c r="D16" s="36" t="s">
        <v>82</v>
      </c>
      <c r="E16" s="41">
        <v>11865</v>
      </c>
      <c r="F16" s="38">
        <v>213.47507999999999</v>
      </c>
      <c r="G16" s="39">
        <v>1.4203853357574501</v>
      </c>
      <c r="H16" s="42"/>
    </row>
    <row r="17" spans="2:8" x14ac:dyDescent="0.2">
      <c r="B17" s="36" t="s">
        <v>436</v>
      </c>
      <c r="C17" s="36" t="s">
        <v>437</v>
      </c>
      <c r="D17" s="36" t="s">
        <v>438</v>
      </c>
      <c r="E17" s="41">
        <v>11496</v>
      </c>
      <c r="F17" s="38">
        <v>207.456816</v>
      </c>
      <c r="G17" s="39">
        <v>1.3803420017424599</v>
      </c>
      <c r="H17" s="42"/>
    </row>
    <row r="18" spans="2:8" x14ac:dyDescent="0.2">
      <c r="B18" s="36" t="s">
        <v>37</v>
      </c>
      <c r="C18" s="36" t="s">
        <v>38</v>
      </c>
      <c r="D18" s="36" t="s">
        <v>39</v>
      </c>
      <c r="E18" s="41">
        <v>6667</v>
      </c>
      <c r="F18" s="38">
        <v>203.050152</v>
      </c>
      <c r="G18" s="39">
        <v>1.3510216664358301</v>
      </c>
      <c r="H18" s="42"/>
    </row>
    <row r="19" spans="2:8" x14ac:dyDescent="0.2">
      <c r="B19" s="36" t="s">
        <v>42</v>
      </c>
      <c r="C19" s="36" t="s">
        <v>43</v>
      </c>
      <c r="D19" s="36" t="s">
        <v>44</v>
      </c>
      <c r="E19" s="41">
        <v>16034</v>
      </c>
      <c r="F19" s="38">
        <v>186.13870600000001</v>
      </c>
      <c r="G19" s="39">
        <v>1.23849907173834</v>
      </c>
      <c r="H19" s="42"/>
    </row>
    <row r="20" spans="2:8" x14ac:dyDescent="0.2">
      <c r="B20" s="36" t="s">
        <v>129</v>
      </c>
      <c r="C20" s="36" t="s">
        <v>130</v>
      </c>
      <c r="D20" s="36" t="s">
        <v>131</v>
      </c>
      <c r="E20" s="41">
        <v>18701</v>
      </c>
      <c r="F20" s="38">
        <v>169.8518325</v>
      </c>
      <c r="G20" s="39">
        <v>1.1301321546970799</v>
      </c>
      <c r="H20" s="42"/>
    </row>
    <row r="21" spans="2:8" x14ac:dyDescent="0.2">
      <c r="B21" s="36" t="s">
        <v>69</v>
      </c>
      <c r="C21" s="36" t="s">
        <v>70</v>
      </c>
      <c r="D21" s="36" t="s">
        <v>71</v>
      </c>
      <c r="E21" s="41">
        <v>3481</v>
      </c>
      <c r="F21" s="38">
        <v>153.33805000000001</v>
      </c>
      <c r="G21" s="39">
        <v>1.02025546791524</v>
      </c>
      <c r="H21" s="42"/>
    </row>
    <row r="22" spans="2:8" x14ac:dyDescent="0.2">
      <c r="B22" s="36" t="s">
        <v>60</v>
      </c>
      <c r="C22" s="36" t="s">
        <v>61</v>
      </c>
      <c r="D22" s="36" t="s">
        <v>62</v>
      </c>
      <c r="E22" s="41">
        <v>70864</v>
      </c>
      <c r="F22" s="38">
        <v>147.41129280000001</v>
      </c>
      <c r="G22" s="39">
        <v>0.98082098677826102</v>
      </c>
      <c r="H22" s="42"/>
    </row>
    <row r="23" spans="2:8" x14ac:dyDescent="0.2">
      <c r="B23" s="36" t="s">
        <v>431</v>
      </c>
      <c r="C23" s="36" t="s">
        <v>432</v>
      </c>
      <c r="D23" s="36" t="s">
        <v>139</v>
      </c>
      <c r="E23" s="41">
        <v>12686</v>
      </c>
      <c r="F23" s="38">
        <v>142.93316200000001</v>
      </c>
      <c r="G23" s="39">
        <v>0.95102513744575901</v>
      </c>
      <c r="H23" s="42"/>
    </row>
    <row r="24" spans="2:8" x14ac:dyDescent="0.2">
      <c r="B24" s="36" t="s">
        <v>53</v>
      </c>
      <c r="C24" s="36" t="s">
        <v>54</v>
      </c>
      <c r="D24" s="36" t="s">
        <v>55</v>
      </c>
      <c r="E24" s="41">
        <v>9249</v>
      </c>
      <c r="F24" s="38">
        <v>131.474535</v>
      </c>
      <c r="G24" s="39">
        <v>0.874783611930395</v>
      </c>
      <c r="H24" s="42"/>
    </row>
    <row r="25" spans="2:8" x14ac:dyDescent="0.2">
      <c r="B25" s="36" t="s">
        <v>163</v>
      </c>
      <c r="C25" s="36" t="s">
        <v>164</v>
      </c>
      <c r="D25" s="36" t="s">
        <v>39</v>
      </c>
      <c r="E25" s="41">
        <v>987</v>
      </c>
      <c r="F25" s="38">
        <v>129.56349</v>
      </c>
      <c r="G25" s="39">
        <v>0.86206821538868805</v>
      </c>
      <c r="H25" s="42"/>
    </row>
    <row r="26" spans="2:8" x14ac:dyDescent="0.2">
      <c r="B26" s="36" t="s">
        <v>48</v>
      </c>
      <c r="C26" s="36" t="s">
        <v>49</v>
      </c>
      <c r="D26" s="36" t="s">
        <v>50</v>
      </c>
      <c r="E26" s="41">
        <v>32560</v>
      </c>
      <c r="F26" s="38">
        <v>125.97463999999999</v>
      </c>
      <c r="G26" s="39">
        <v>0.83818931621116699</v>
      </c>
      <c r="H26" s="42"/>
    </row>
    <row r="27" spans="2:8" x14ac:dyDescent="0.2">
      <c r="B27" s="36" t="s">
        <v>433</v>
      </c>
      <c r="C27" s="36" t="s">
        <v>434</v>
      </c>
      <c r="D27" s="36" t="s">
        <v>435</v>
      </c>
      <c r="E27" s="41">
        <v>30425</v>
      </c>
      <c r="F27" s="38">
        <v>124.9706875</v>
      </c>
      <c r="G27" s="39">
        <v>0.83150938238096594</v>
      </c>
      <c r="H27" s="42"/>
    </row>
    <row r="28" spans="2:8" x14ac:dyDescent="0.2">
      <c r="B28" s="36" t="s">
        <v>561</v>
      </c>
      <c r="C28" s="36" t="s">
        <v>562</v>
      </c>
      <c r="D28" s="36" t="s">
        <v>79</v>
      </c>
      <c r="E28" s="41">
        <v>2856</v>
      </c>
      <c r="F28" s="38">
        <v>118.412616</v>
      </c>
      <c r="G28" s="39">
        <v>0.78787436610904804</v>
      </c>
      <c r="H28" s="42"/>
    </row>
    <row r="29" spans="2:8" x14ac:dyDescent="0.2">
      <c r="B29" s="36" t="s">
        <v>72</v>
      </c>
      <c r="C29" s="36" t="s">
        <v>73</v>
      </c>
      <c r="D29" s="36" t="s">
        <v>74</v>
      </c>
      <c r="E29" s="41">
        <v>1013</v>
      </c>
      <c r="F29" s="38">
        <v>116.31265999999999</v>
      </c>
      <c r="G29" s="39">
        <v>0.77390202466228097</v>
      </c>
      <c r="H29" s="42"/>
    </row>
    <row r="30" spans="2:8" x14ac:dyDescent="0.2">
      <c r="B30" s="36" t="s">
        <v>89</v>
      </c>
      <c r="C30" s="36" t="s">
        <v>90</v>
      </c>
      <c r="D30" s="36" t="s">
        <v>91</v>
      </c>
      <c r="E30" s="41">
        <v>43293</v>
      </c>
      <c r="F30" s="38">
        <v>108.4835994</v>
      </c>
      <c r="G30" s="39">
        <v>0.72181031040225396</v>
      </c>
      <c r="H30" s="42"/>
    </row>
    <row r="31" spans="2:8" x14ac:dyDescent="0.2">
      <c r="B31" s="36" t="s">
        <v>58</v>
      </c>
      <c r="C31" s="36" t="s">
        <v>59</v>
      </c>
      <c r="D31" s="36" t="s">
        <v>44</v>
      </c>
      <c r="E31" s="41">
        <v>4700</v>
      </c>
      <c r="F31" s="38">
        <v>106.1683</v>
      </c>
      <c r="G31" s="39">
        <v>0.70640515249975799</v>
      </c>
      <c r="H31" s="42"/>
    </row>
    <row r="32" spans="2:8" x14ac:dyDescent="0.2">
      <c r="B32" s="36" t="s">
        <v>450</v>
      </c>
      <c r="C32" s="36" t="s">
        <v>451</v>
      </c>
      <c r="D32" s="36" t="s">
        <v>91</v>
      </c>
      <c r="E32" s="41">
        <v>2458</v>
      </c>
      <c r="F32" s="38">
        <v>103.82592</v>
      </c>
      <c r="G32" s="39">
        <v>0.69081981016016702</v>
      </c>
      <c r="H32" s="42"/>
    </row>
    <row r="33" spans="2:8" x14ac:dyDescent="0.2">
      <c r="B33" s="36" t="s">
        <v>87</v>
      </c>
      <c r="C33" s="36" t="s">
        <v>88</v>
      </c>
      <c r="D33" s="36" t="s">
        <v>62</v>
      </c>
      <c r="E33" s="41">
        <v>8069</v>
      </c>
      <c r="F33" s="38">
        <v>103.12182</v>
      </c>
      <c r="G33" s="39">
        <v>0.68613498551971297</v>
      </c>
      <c r="H33" s="42"/>
    </row>
    <row r="34" spans="2:8" x14ac:dyDescent="0.2">
      <c r="B34" s="36" t="s">
        <v>143</v>
      </c>
      <c r="C34" s="36" t="s">
        <v>144</v>
      </c>
      <c r="D34" s="36" t="s">
        <v>99</v>
      </c>
      <c r="E34" s="41">
        <v>3839</v>
      </c>
      <c r="F34" s="38">
        <v>102.562724</v>
      </c>
      <c r="G34" s="39">
        <v>0.68241496461759799</v>
      </c>
      <c r="H34" s="42"/>
    </row>
    <row r="35" spans="2:8" x14ac:dyDescent="0.2">
      <c r="B35" s="36" t="s">
        <v>441</v>
      </c>
      <c r="C35" s="36" t="s">
        <v>442</v>
      </c>
      <c r="D35" s="36" t="s">
        <v>74</v>
      </c>
      <c r="E35" s="41">
        <v>3276</v>
      </c>
      <c r="F35" s="38">
        <v>102.289824</v>
      </c>
      <c r="G35" s="39">
        <v>0.68059918753425797</v>
      </c>
      <c r="H35" s="42"/>
    </row>
    <row r="36" spans="2:8" x14ac:dyDescent="0.2">
      <c r="B36" s="36" t="s">
        <v>461</v>
      </c>
      <c r="C36" s="36" t="s">
        <v>462</v>
      </c>
      <c r="D36" s="36" t="s">
        <v>463</v>
      </c>
      <c r="E36" s="41">
        <v>8460</v>
      </c>
      <c r="F36" s="38">
        <v>99.692639999999997</v>
      </c>
      <c r="G36" s="39">
        <v>0.66331847229637697</v>
      </c>
      <c r="H36" s="42"/>
    </row>
    <row r="37" spans="2:8" x14ac:dyDescent="0.2">
      <c r="B37" s="36" t="s">
        <v>472</v>
      </c>
      <c r="C37" s="36" t="s">
        <v>473</v>
      </c>
      <c r="D37" s="36" t="s">
        <v>82</v>
      </c>
      <c r="E37" s="41">
        <v>1425</v>
      </c>
      <c r="F37" s="38">
        <v>95.004750000000001</v>
      </c>
      <c r="G37" s="39">
        <v>0.63212696173859195</v>
      </c>
      <c r="H37" s="42"/>
    </row>
    <row r="38" spans="2:8" x14ac:dyDescent="0.2">
      <c r="B38" s="36" t="s">
        <v>481</v>
      </c>
      <c r="C38" s="36" t="s">
        <v>482</v>
      </c>
      <c r="D38" s="36" t="s">
        <v>147</v>
      </c>
      <c r="E38" s="41">
        <v>17856</v>
      </c>
      <c r="F38" s="38">
        <v>94.279679999999999</v>
      </c>
      <c r="G38" s="39">
        <v>0.62730261036513102</v>
      </c>
      <c r="H38" s="42"/>
    </row>
    <row r="39" spans="2:8" x14ac:dyDescent="0.2">
      <c r="B39" s="36" t="s">
        <v>165</v>
      </c>
      <c r="C39" s="36" t="s">
        <v>166</v>
      </c>
      <c r="D39" s="36" t="s">
        <v>131</v>
      </c>
      <c r="E39" s="41">
        <v>9767</v>
      </c>
      <c r="F39" s="38">
        <v>92.508140499999996</v>
      </c>
      <c r="G39" s="39">
        <v>0.615515432547865</v>
      </c>
      <c r="H39" s="42"/>
    </row>
    <row r="40" spans="2:8" x14ac:dyDescent="0.2">
      <c r="B40" s="36" t="s">
        <v>152</v>
      </c>
      <c r="C40" s="36" t="s">
        <v>153</v>
      </c>
      <c r="D40" s="36" t="s">
        <v>50</v>
      </c>
      <c r="E40" s="41">
        <v>31134</v>
      </c>
      <c r="F40" s="38">
        <v>90.459836999999993</v>
      </c>
      <c r="G40" s="39">
        <v>0.60188676800031904</v>
      </c>
      <c r="H40" s="42"/>
    </row>
    <row r="41" spans="2:8" x14ac:dyDescent="0.2">
      <c r="B41" s="36" t="s">
        <v>100</v>
      </c>
      <c r="C41" s="36" t="s">
        <v>101</v>
      </c>
      <c r="D41" s="36" t="s">
        <v>102</v>
      </c>
      <c r="E41" s="41">
        <v>33816</v>
      </c>
      <c r="F41" s="38">
        <v>89.747664</v>
      </c>
      <c r="G41" s="39">
        <v>0.59714822856179295</v>
      </c>
      <c r="H41" s="42"/>
    </row>
    <row r="42" spans="2:8" x14ac:dyDescent="0.2">
      <c r="B42" s="36" t="s">
        <v>154</v>
      </c>
      <c r="C42" s="36" t="s">
        <v>155</v>
      </c>
      <c r="D42" s="36" t="s">
        <v>82</v>
      </c>
      <c r="E42" s="41">
        <v>6850</v>
      </c>
      <c r="F42" s="38">
        <v>89.289749999999998</v>
      </c>
      <c r="G42" s="39">
        <v>0.59410143579029895</v>
      </c>
      <c r="H42" s="42"/>
    </row>
    <row r="43" spans="2:8" x14ac:dyDescent="0.2">
      <c r="B43" s="36" t="s">
        <v>443</v>
      </c>
      <c r="C43" s="36" t="s">
        <v>444</v>
      </c>
      <c r="D43" s="36" t="s">
        <v>39</v>
      </c>
      <c r="E43" s="41">
        <v>850</v>
      </c>
      <c r="F43" s="38">
        <v>88.91</v>
      </c>
      <c r="G43" s="39">
        <v>0.59157471777125004</v>
      </c>
      <c r="H43" s="42"/>
    </row>
    <row r="44" spans="2:8" x14ac:dyDescent="0.2">
      <c r="B44" s="36" t="s">
        <v>445</v>
      </c>
      <c r="C44" s="36" t="s">
        <v>446</v>
      </c>
      <c r="D44" s="36" t="s">
        <v>447</v>
      </c>
      <c r="E44" s="41">
        <v>19265</v>
      </c>
      <c r="F44" s="38">
        <v>88.214434999999995</v>
      </c>
      <c r="G44" s="39">
        <v>0.58694668190839405</v>
      </c>
      <c r="H44" s="42"/>
    </row>
    <row r="45" spans="2:8" x14ac:dyDescent="0.2">
      <c r="B45" s="36" t="s">
        <v>457</v>
      </c>
      <c r="C45" s="36" t="s">
        <v>458</v>
      </c>
      <c r="D45" s="36" t="s">
        <v>82</v>
      </c>
      <c r="E45" s="41">
        <v>6295</v>
      </c>
      <c r="F45" s="38">
        <v>88.192949999999996</v>
      </c>
      <c r="G45" s="39">
        <v>0.58680372855318896</v>
      </c>
      <c r="H45" s="42"/>
    </row>
    <row r="46" spans="2:8" x14ac:dyDescent="0.2">
      <c r="B46" s="36" t="s">
        <v>429</v>
      </c>
      <c r="C46" s="36" t="s">
        <v>430</v>
      </c>
      <c r="D46" s="36" t="s">
        <v>68</v>
      </c>
      <c r="E46" s="41">
        <v>4045</v>
      </c>
      <c r="F46" s="38">
        <v>87.109075000000004</v>
      </c>
      <c r="G46" s="39">
        <v>0.57959201955280304</v>
      </c>
      <c r="H46" s="42"/>
    </row>
    <row r="47" spans="2:8" x14ac:dyDescent="0.2">
      <c r="B47" s="36" t="s">
        <v>56</v>
      </c>
      <c r="C47" s="36" t="s">
        <v>57</v>
      </c>
      <c r="D47" s="36" t="s">
        <v>55</v>
      </c>
      <c r="E47" s="41">
        <v>1526</v>
      </c>
      <c r="F47" s="38">
        <v>79.420670000000001</v>
      </c>
      <c r="G47" s="39">
        <v>0.52843617636321705</v>
      </c>
      <c r="H47" s="42"/>
    </row>
    <row r="48" spans="2:8" x14ac:dyDescent="0.2">
      <c r="B48" s="36" t="s">
        <v>171</v>
      </c>
      <c r="C48" s="36" t="s">
        <v>172</v>
      </c>
      <c r="D48" s="36" t="s">
        <v>39</v>
      </c>
      <c r="E48" s="41">
        <v>997</v>
      </c>
      <c r="F48" s="38">
        <v>71.554689999999994</v>
      </c>
      <c r="G48" s="39">
        <v>0.47609881387874597</v>
      </c>
      <c r="H48" s="42"/>
    </row>
    <row r="49" spans="2:8" x14ac:dyDescent="0.2">
      <c r="B49" s="36" t="s">
        <v>448</v>
      </c>
      <c r="C49" s="36" t="s">
        <v>449</v>
      </c>
      <c r="D49" s="36" t="s">
        <v>131</v>
      </c>
      <c r="E49" s="41">
        <v>3985</v>
      </c>
      <c r="F49" s="38">
        <v>71.076459999999997</v>
      </c>
      <c r="G49" s="39">
        <v>0.47291684585175497</v>
      </c>
      <c r="H49" s="42"/>
    </row>
    <row r="50" spans="2:8" x14ac:dyDescent="0.2">
      <c r="B50" s="36" t="s">
        <v>474</v>
      </c>
      <c r="C50" s="36" t="s">
        <v>475</v>
      </c>
      <c r="D50" s="36" t="s">
        <v>435</v>
      </c>
      <c r="E50" s="41">
        <v>1596</v>
      </c>
      <c r="F50" s="38">
        <v>68.688648000000001</v>
      </c>
      <c r="G50" s="39">
        <v>0.45702921555155501</v>
      </c>
      <c r="H50" s="42"/>
    </row>
    <row r="51" spans="2:8" x14ac:dyDescent="0.2">
      <c r="B51" s="36" t="s">
        <v>476</v>
      </c>
      <c r="C51" s="36" t="s">
        <v>477</v>
      </c>
      <c r="D51" s="36" t="s">
        <v>478</v>
      </c>
      <c r="E51" s="41">
        <v>1148</v>
      </c>
      <c r="F51" s="38">
        <v>67.51388</v>
      </c>
      <c r="G51" s="39">
        <v>0.44921273767452602</v>
      </c>
      <c r="H51" s="42"/>
    </row>
    <row r="52" spans="2:8" x14ac:dyDescent="0.2">
      <c r="B52" s="36" t="s">
        <v>470</v>
      </c>
      <c r="C52" s="36" t="s">
        <v>471</v>
      </c>
      <c r="D52" s="36" t="s">
        <v>50</v>
      </c>
      <c r="E52" s="41">
        <v>27741</v>
      </c>
      <c r="F52" s="38">
        <v>67.513271700000004</v>
      </c>
      <c r="G52" s="39">
        <v>0.44920869026815002</v>
      </c>
      <c r="H52" s="42"/>
    </row>
    <row r="53" spans="2:8" x14ac:dyDescent="0.2">
      <c r="B53" s="36" t="s">
        <v>572</v>
      </c>
      <c r="C53" s="36" t="s">
        <v>573</v>
      </c>
      <c r="D53" s="36" t="s">
        <v>33</v>
      </c>
      <c r="E53" s="41">
        <v>15075</v>
      </c>
      <c r="F53" s="38">
        <v>66.639037500000001</v>
      </c>
      <c r="G53" s="39">
        <v>0.44339185470262399</v>
      </c>
      <c r="H53" s="42"/>
    </row>
    <row r="54" spans="2:8" x14ac:dyDescent="0.2">
      <c r="B54" s="36" t="s">
        <v>113</v>
      </c>
      <c r="C54" s="36" t="s">
        <v>114</v>
      </c>
      <c r="D54" s="36" t="s">
        <v>96</v>
      </c>
      <c r="E54" s="41">
        <v>17185</v>
      </c>
      <c r="F54" s="38">
        <v>65.217074999999994</v>
      </c>
      <c r="G54" s="39">
        <v>0.43393063476539701</v>
      </c>
      <c r="H54" s="42"/>
    </row>
    <row r="55" spans="2:8" x14ac:dyDescent="0.2">
      <c r="B55" s="36" t="s">
        <v>452</v>
      </c>
      <c r="C55" s="36" t="s">
        <v>453</v>
      </c>
      <c r="D55" s="36" t="s">
        <v>454</v>
      </c>
      <c r="E55" s="41">
        <v>793</v>
      </c>
      <c r="F55" s="38">
        <v>64.839645000000004</v>
      </c>
      <c r="G55" s="39">
        <v>0.43141935318032898</v>
      </c>
      <c r="H55" s="42"/>
    </row>
    <row r="56" spans="2:8" x14ac:dyDescent="0.2">
      <c r="B56" s="36" t="s">
        <v>156</v>
      </c>
      <c r="C56" s="36" t="s">
        <v>157</v>
      </c>
      <c r="D56" s="36" t="s">
        <v>158</v>
      </c>
      <c r="E56" s="41">
        <v>2184</v>
      </c>
      <c r="F56" s="38">
        <v>64.152816000000001</v>
      </c>
      <c r="G56" s="39">
        <v>0.42684944347577303</v>
      </c>
      <c r="H56" s="42"/>
    </row>
    <row r="57" spans="2:8" x14ac:dyDescent="0.2">
      <c r="B57" s="36" t="s">
        <v>125</v>
      </c>
      <c r="C57" s="36" t="s">
        <v>126</v>
      </c>
      <c r="D57" s="36" t="s">
        <v>82</v>
      </c>
      <c r="E57" s="41">
        <v>2724</v>
      </c>
      <c r="F57" s="38">
        <v>61.772148000000001</v>
      </c>
      <c r="G57" s="39">
        <v>0.41100934674641698</v>
      </c>
      <c r="H57" s="42"/>
    </row>
    <row r="58" spans="2:8" x14ac:dyDescent="0.2">
      <c r="B58" s="36" t="s">
        <v>455</v>
      </c>
      <c r="C58" s="36" t="s">
        <v>456</v>
      </c>
      <c r="D58" s="36" t="s">
        <v>39</v>
      </c>
      <c r="E58" s="41">
        <v>15611</v>
      </c>
      <c r="F58" s="38">
        <v>61.491728999999999</v>
      </c>
      <c r="G58" s="39">
        <v>0.40914354097898098</v>
      </c>
      <c r="H58" s="42"/>
    </row>
    <row r="59" spans="2:8" x14ac:dyDescent="0.2">
      <c r="B59" s="36" t="s">
        <v>85</v>
      </c>
      <c r="C59" s="36" t="s">
        <v>86</v>
      </c>
      <c r="D59" s="36" t="s">
        <v>28</v>
      </c>
      <c r="E59" s="41">
        <v>20781</v>
      </c>
      <c r="F59" s="38">
        <v>60.046699500000003</v>
      </c>
      <c r="G59" s="39">
        <v>0.399528841635447</v>
      </c>
      <c r="H59" s="42"/>
    </row>
    <row r="60" spans="2:8" x14ac:dyDescent="0.2">
      <c r="B60" s="36" t="s">
        <v>479</v>
      </c>
      <c r="C60" s="36" t="s">
        <v>480</v>
      </c>
      <c r="D60" s="36" t="s">
        <v>39</v>
      </c>
      <c r="E60" s="41">
        <v>1765</v>
      </c>
      <c r="F60" s="38">
        <v>59.228104999999999</v>
      </c>
      <c r="G60" s="39">
        <v>0.39408221234395502</v>
      </c>
      <c r="H60" s="42"/>
    </row>
    <row r="61" spans="2:8" x14ac:dyDescent="0.2">
      <c r="B61" s="36" t="s">
        <v>169</v>
      </c>
      <c r="C61" s="36" t="s">
        <v>170</v>
      </c>
      <c r="D61" s="36" t="s">
        <v>82</v>
      </c>
      <c r="E61" s="41">
        <v>4334</v>
      </c>
      <c r="F61" s="38">
        <v>59.02908</v>
      </c>
      <c r="G61" s="39">
        <v>0.39275797257110101</v>
      </c>
      <c r="H61" s="42"/>
    </row>
    <row r="62" spans="2:8" x14ac:dyDescent="0.2">
      <c r="B62" s="36" t="s">
        <v>563</v>
      </c>
      <c r="C62" s="36" t="s">
        <v>564</v>
      </c>
      <c r="D62" s="36" t="s">
        <v>179</v>
      </c>
      <c r="E62" s="41">
        <v>102229</v>
      </c>
      <c r="F62" s="38">
        <v>58.260307099999999</v>
      </c>
      <c r="G62" s="39">
        <v>0.38764283803789101</v>
      </c>
      <c r="H62" s="42"/>
    </row>
    <row r="63" spans="2:8" x14ac:dyDescent="0.2">
      <c r="B63" s="36" t="s">
        <v>606</v>
      </c>
      <c r="C63" s="36" t="s">
        <v>607</v>
      </c>
      <c r="D63" s="36" t="s">
        <v>91</v>
      </c>
      <c r="E63" s="41">
        <v>5793</v>
      </c>
      <c r="F63" s="38">
        <v>57.640349999999998</v>
      </c>
      <c r="G63" s="39">
        <v>0.38351786957019601</v>
      </c>
      <c r="H63" s="42"/>
    </row>
    <row r="64" spans="2:8" x14ac:dyDescent="0.2">
      <c r="B64" s="36" t="s">
        <v>594</v>
      </c>
      <c r="C64" s="36" t="s">
        <v>595</v>
      </c>
      <c r="D64" s="36" t="s">
        <v>463</v>
      </c>
      <c r="E64" s="41">
        <v>6927</v>
      </c>
      <c r="F64" s="38">
        <v>56.919159000000001</v>
      </c>
      <c r="G64" s="39">
        <v>0.37871932764820498</v>
      </c>
      <c r="H64" s="42"/>
    </row>
    <row r="65" spans="2:8" x14ac:dyDescent="0.2">
      <c r="B65" s="36" t="s">
        <v>439</v>
      </c>
      <c r="C65" s="36" t="s">
        <v>440</v>
      </c>
      <c r="D65" s="36" t="s">
        <v>44</v>
      </c>
      <c r="E65" s="41">
        <v>4797</v>
      </c>
      <c r="F65" s="38">
        <v>56.786886000000003</v>
      </c>
      <c r="G65" s="39">
        <v>0.37783923134133601</v>
      </c>
      <c r="H65" s="42"/>
    </row>
    <row r="66" spans="2:8" x14ac:dyDescent="0.2">
      <c r="B66" s="36" t="s">
        <v>464</v>
      </c>
      <c r="C66" s="36" t="s">
        <v>465</v>
      </c>
      <c r="D66" s="36" t="s">
        <v>454</v>
      </c>
      <c r="E66" s="41">
        <v>5852</v>
      </c>
      <c r="F66" s="38">
        <v>56.477651999999999</v>
      </c>
      <c r="G66" s="39">
        <v>0.37578170107167802</v>
      </c>
      <c r="H66" s="42"/>
    </row>
    <row r="67" spans="2:8" x14ac:dyDescent="0.2">
      <c r="B67" s="36" t="s">
        <v>613</v>
      </c>
      <c r="C67" s="36" t="s">
        <v>614</v>
      </c>
      <c r="D67" s="36" t="s">
        <v>438</v>
      </c>
      <c r="E67" s="41">
        <v>55244</v>
      </c>
      <c r="F67" s="38">
        <v>55.448402799999997</v>
      </c>
      <c r="G67" s="39">
        <v>0.368933452224459</v>
      </c>
      <c r="H67" s="42"/>
    </row>
    <row r="68" spans="2:8" x14ac:dyDescent="0.2">
      <c r="B68" s="36" t="s">
        <v>565</v>
      </c>
      <c r="C68" s="36" t="s">
        <v>566</v>
      </c>
      <c r="D68" s="36" t="s">
        <v>179</v>
      </c>
      <c r="E68" s="41">
        <v>1062</v>
      </c>
      <c r="F68" s="38">
        <v>54.678131999999998</v>
      </c>
      <c r="G68" s="39">
        <v>0.36380835121087801</v>
      </c>
      <c r="H68" s="42"/>
    </row>
    <row r="69" spans="2:8" x14ac:dyDescent="0.2">
      <c r="B69" s="36" t="s">
        <v>459</v>
      </c>
      <c r="C69" s="36" t="s">
        <v>460</v>
      </c>
      <c r="D69" s="36" t="s">
        <v>131</v>
      </c>
      <c r="E69" s="41">
        <v>22691</v>
      </c>
      <c r="F69" s="38">
        <v>54.220144500000004</v>
      </c>
      <c r="G69" s="39">
        <v>0.360761069397187</v>
      </c>
      <c r="H69" s="42"/>
    </row>
    <row r="70" spans="2:8" x14ac:dyDescent="0.2">
      <c r="B70" s="36" t="s">
        <v>487</v>
      </c>
      <c r="C70" s="36" t="s">
        <v>488</v>
      </c>
      <c r="D70" s="36" t="s">
        <v>179</v>
      </c>
      <c r="E70" s="41">
        <v>5801</v>
      </c>
      <c r="F70" s="38">
        <v>53.2212745</v>
      </c>
      <c r="G70" s="39">
        <v>0.35411495266858301</v>
      </c>
      <c r="H70" s="42"/>
    </row>
    <row r="71" spans="2:8" x14ac:dyDescent="0.2">
      <c r="B71" s="36" t="s">
        <v>77</v>
      </c>
      <c r="C71" s="36" t="s">
        <v>78</v>
      </c>
      <c r="D71" s="36" t="s">
        <v>79</v>
      </c>
      <c r="E71" s="41">
        <v>1796</v>
      </c>
      <c r="F71" s="38">
        <v>53.062820000000002</v>
      </c>
      <c r="G71" s="39">
        <v>0.35306065420815103</v>
      </c>
      <c r="H71" s="42"/>
    </row>
    <row r="72" spans="2:8" x14ac:dyDescent="0.2">
      <c r="B72" s="36" t="s">
        <v>107</v>
      </c>
      <c r="C72" s="36" t="s">
        <v>108</v>
      </c>
      <c r="D72" s="36" t="s">
        <v>109</v>
      </c>
      <c r="E72" s="41">
        <v>14567</v>
      </c>
      <c r="F72" s="38">
        <v>51.363242</v>
      </c>
      <c r="G72" s="39">
        <v>0.341752281970155</v>
      </c>
      <c r="H72" s="42"/>
    </row>
    <row r="73" spans="2:8" x14ac:dyDescent="0.2">
      <c r="B73" s="36" t="s">
        <v>177</v>
      </c>
      <c r="C73" s="36" t="s">
        <v>178</v>
      </c>
      <c r="D73" s="36" t="s">
        <v>179</v>
      </c>
      <c r="E73" s="41">
        <v>12301</v>
      </c>
      <c r="F73" s="38">
        <v>51.2644175</v>
      </c>
      <c r="G73" s="39">
        <v>0.34109473978483901</v>
      </c>
      <c r="H73" s="42"/>
    </row>
    <row r="74" spans="2:8" x14ac:dyDescent="0.2">
      <c r="B74" s="36" t="s">
        <v>567</v>
      </c>
      <c r="C74" s="36" t="s">
        <v>568</v>
      </c>
      <c r="D74" s="36" t="s">
        <v>28</v>
      </c>
      <c r="E74" s="41">
        <v>5486</v>
      </c>
      <c r="F74" s="38">
        <v>50.161240999999997</v>
      </c>
      <c r="G74" s="39">
        <v>0.33375460564200499</v>
      </c>
      <c r="H74" s="42"/>
    </row>
    <row r="75" spans="2:8" x14ac:dyDescent="0.2">
      <c r="B75" s="36" t="s">
        <v>504</v>
      </c>
      <c r="C75" s="36" t="s">
        <v>505</v>
      </c>
      <c r="D75" s="36" t="s">
        <v>82</v>
      </c>
      <c r="E75" s="41">
        <v>1126</v>
      </c>
      <c r="F75" s="38">
        <v>49.665607999999999</v>
      </c>
      <c r="G75" s="39">
        <v>0.33045684439925299</v>
      </c>
      <c r="H75" s="42"/>
    </row>
    <row r="76" spans="2:8" x14ac:dyDescent="0.2">
      <c r="B76" s="36" t="s">
        <v>134</v>
      </c>
      <c r="C76" s="36" t="s">
        <v>135</v>
      </c>
      <c r="D76" s="36" t="s">
        <v>36</v>
      </c>
      <c r="E76" s="41">
        <v>16558</v>
      </c>
      <c r="F76" s="38">
        <v>49.359397999999999</v>
      </c>
      <c r="G76" s="39">
        <v>0.32841943472285301</v>
      </c>
      <c r="H76" s="42"/>
    </row>
    <row r="77" spans="2:8" x14ac:dyDescent="0.2">
      <c r="B77" s="36" t="s">
        <v>105</v>
      </c>
      <c r="C77" s="36" t="s">
        <v>106</v>
      </c>
      <c r="D77" s="36" t="s">
        <v>65</v>
      </c>
      <c r="E77" s="41">
        <v>33652</v>
      </c>
      <c r="F77" s="38">
        <v>49.044424800000002</v>
      </c>
      <c r="G77" s="39">
        <v>0.326323717909271</v>
      </c>
      <c r="H77" s="42"/>
    </row>
    <row r="78" spans="2:8" x14ac:dyDescent="0.2">
      <c r="B78" s="36" t="s">
        <v>103</v>
      </c>
      <c r="C78" s="36" t="s">
        <v>104</v>
      </c>
      <c r="D78" s="36" t="s">
        <v>39</v>
      </c>
      <c r="E78" s="41">
        <v>994</v>
      </c>
      <c r="F78" s="38">
        <v>48.735819999999997</v>
      </c>
      <c r="G78" s="39">
        <v>0.32427037410696702</v>
      </c>
      <c r="H78" s="42"/>
    </row>
    <row r="79" spans="2:8" x14ac:dyDescent="0.2">
      <c r="B79" s="36" t="s">
        <v>161</v>
      </c>
      <c r="C79" s="36" t="s">
        <v>162</v>
      </c>
      <c r="D79" s="36" t="s">
        <v>147</v>
      </c>
      <c r="E79" s="41">
        <v>3802</v>
      </c>
      <c r="F79" s="38">
        <v>48.285400000000003</v>
      </c>
      <c r="G79" s="39">
        <v>0.32127344367868599</v>
      </c>
      <c r="H79" s="42"/>
    </row>
    <row r="80" spans="2:8" x14ac:dyDescent="0.2">
      <c r="B80" s="36" t="s">
        <v>483</v>
      </c>
      <c r="C80" s="36" t="s">
        <v>484</v>
      </c>
      <c r="D80" s="36" t="s">
        <v>50</v>
      </c>
      <c r="E80" s="41">
        <v>11381</v>
      </c>
      <c r="F80" s="38">
        <v>47.885557499999997</v>
      </c>
      <c r="G80" s="39">
        <v>0.318613037491638</v>
      </c>
      <c r="H80" s="42"/>
    </row>
    <row r="81" spans="2:8" x14ac:dyDescent="0.2">
      <c r="B81" s="36" t="s">
        <v>491</v>
      </c>
      <c r="C81" s="36" t="s">
        <v>492</v>
      </c>
      <c r="D81" s="36" t="s">
        <v>91</v>
      </c>
      <c r="E81" s="41">
        <v>1149</v>
      </c>
      <c r="F81" s="38">
        <v>46.586205</v>
      </c>
      <c r="G81" s="39">
        <v>0.30996761978302401</v>
      </c>
      <c r="H81" s="42"/>
    </row>
    <row r="82" spans="2:8" x14ac:dyDescent="0.2">
      <c r="B82" s="36" t="s">
        <v>576</v>
      </c>
      <c r="C82" s="36" t="s">
        <v>577</v>
      </c>
      <c r="D82" s="36" t="s">
        <v>28</v>
      </c>
      <c r="E82" s="41">
        <v>4711</v>
      </c>
      <c r="F82" s="38">
        <v>46.389217000000002</v>
      </c>
      <c r="G82" s="39">
        <v>0.30865693346535</v>
      </c>
      <c r="H82" s="42"/>
    </row>
    <row r="83" spans="2:8" x14ac:dyDescent="0.2">
      <c r="B83" s="36" t="s">
        <v>485</v>
      </c>
      <c r="C83" s="36" t="s">
        <v>486</v>
      </c>
      <c r="D83" s="36" t="s">
        <v>131</v>
      </c>
      <c r="E83" s="41">
        <v>2979</v>
      </c>
      <c r="F83" s="38">
        <v>45.808083000000003</v>
      </c>
      <c r="G83" s="39">
        <v>0.30479027974768902</v>
      </c>
      <c r="H83" s="42"/>
    </row>
    <row r="84" spans="2:8" x14ac:dyDescent="0.2">
      <c r="B84" s="36" t="s">
        <v>602</v>
      </c>
      <c r="C84" s="36" t="s">
        <v>603</v>
      </c>
      <c r="D84" s="36" t="s">
        <v>33</v>
      </c>
      <c r="E84" s="41">
        <v>320565</v>
      </c>
      <c r="F84" s="38">
        <v>44.847043499999998</v>
      </c>
      <c r="G84" s="39">
        <v>0.29839587337068402</v>
      </c>
      <c r="H84" s="42"/>
    </row>
    <row r="85" spans="2:8" x14ac:dyDescent="0.2">
      <c r="B85" s="36" t="s">
        <v>51</v>
      </c>
      <c r="C85" s="36" t="s">
        <v>52</v>
      </c>
      <c r="D85" s="36" t="s">
        <v>36</v>
      </c>
      <c r="E85" s="41">
        <v>30560</v>
      </c>
      <c r="F85" s="38">
        <v>42.857343999999998</v>
      </c>
      <c r="G85" s="39">
        <v>0.28515713846840002</v>
      </c>
      <c r="H85" s="42"/>
    </row>
    <row r="86" spans="2:8" x14ac:dyDescent="0.2">
      <c r="B86" s="36" t="s">
        <v>119</v>
      </c>
      <c r="C86" s="36" t="s">
        <v>120</v>
      </c>
      <c r="D86" s="36" t="s">
        <v>44</v>
      </c>
      <c r="E86" s="41">
        <v>2875</v>
      </c>
      <c r="F86" s="38">
        <v>42.662125000000003</v>
      </c>
      <c r="G86" s="39">
        <v>0.283858222431637</v>
      </c>
      <c r="H86" s="42"/>
    </row>
    <row r="87" spans="2:8" x14ac:dyDescent="0.2">
      <c r="B87" s="36" t="s">
        <v>489</v>
      </c>
      <c r="C87" s="36" t="s">
        <v>490</v>
      </c>
      <c r="D87" s="36" t="s">
        <v>131</v>
      </c>
      <c r="E87" s="41">
        <v>9915</v>
      </c>
      <c r="F87" s="38">
        <v>42.495690000000003</v>
      </c>
      <c r="G87" s="39">
        <v>0.28275082463440099</v>
      </c>
      <c r="H87" s="42"/>
    </row>
    <row r="88" spans="2:8" x14ac:dyDescent="0.2">
      <c r="B88" s="36" t="s">
        <v>580</v>
      </c>
      <c r="C88" s="36" t="s">
        <v>581</v>
      </c>
      <c r="D88" s="36" t="s">
        <v>478</v>
      </c>
      <c r="E88" s="41">
        <v>445</v>
      </c>
      <c r="F88" s="38">
        <v>42.174875</v>
      </c>
      <c r="G88" s="39">
        <v>0.28061623861391</v>
      </c>
      <c r="H88" s="42"/>
    </row>
    <row r="89" spans="2:8" x14ac:dyDescent="0.2">
      <c r="B89" s="36" t="s">
        <v>500</v>
      </c>
      <c r="C89" s="36" t="s">
        <v>501</v>
      </c>
      <c r="D89" s="36" t="s">
        <v>28</v>
      </c>
      <c r="E89" s="41">
        <v>15584</v>
      </c>
      <c r="F89" s="38">
        <v>41.843040000000002</v>
      </c>
      <c r="G89" s="39">
        <v>0.278408329532012</v>
      </c>
      <c r="H89" s="42"/>
    </row>
    <row r="90" spans="2:8" x14ac:dyDescent="0.2">
      <c r="B90" s="36" t="s">
        <v>584</v>
      </c>
      <c r="C90" s="36" t="s">
        <v>585</v>
      </c>
      <c r="D90" s="36" t="s">
        <v>179</v>
      </c>
      <c r="E90" s="41">
        <v>108</v>
      </c>
      <c r="F90" s="38">
        <v>41.520600000000002</v>
      </c>
      <c r="G90" s="39">
        <v>0.27626293135409902</v>
      </c>
      <c r="H90" s="42"/>
    </row>
    <row r="91" spans="2:8" x14ac:dyDescent="0.2">
      <c r="B91" s="36" t="s">
        <v>611</v>
      </c>
      <c r="C91" s="36" t="s">
        <v>612</v>
      </c>
      <c r="D91" s="36" t="s">
        <v>91</v>
      </c>
      <c r="E91" s="41">
        <v>15670</v>
      </c>
      <c r="F91" s="38">
        <v>41.102409999999999</v>
      </c>
      <c r="G91" s="39">
        <v>0.273480447592714</v>
      </c>
      <c r="H91" s="42"/>
    </row>
    <row r="92" spans="2:8" x14ac:dyDescent="0.2">
      <c r="B92" s="36" t="s">
        <v>578</v>
      </c>
      <c r="C92" s="36" t="s">
        <v>579</v>
      </c>
      <c r="D92" s="36" t="s">
        <v>65</v>
      </c>
      <c r="E92" s="41">
        <v>2083</v>
      </c>
      <c r="F92" s="38">
        <v>40.768476</v>
      </c>
      <c r="G92" s="39">
        <v>0.27125857253024399</v>
      </c>
      <c r="H92" s="42"/>
    </row>
    <row r="93" spans="2:8" x14ac:dyDescent="0.2">
      <c r="B93" s="36" t="s">
        <v>590</v>
      </c>
      <c r="C93" s="36" t="s">
        <v>591</v>
      </c>
      <c r="D93" s="36" t="s">
        <v>28</v>
      </c>
      <c r="E93" s="41">
        <v>55769</v>
      </c>
      <c r="F93" s="38">
        <v>39.774450799999997</v>
      </c>
      <c r="G93" s="39">
        <v>0.264644691334119</v>
      </c>
      <c r="H93" s="42"/>
    </row>
    <row r="94" spans="2:8" x14ac:dyDescent="0.2">
      <c r="B94" s="36" t="s">
        <v>506</v>
      </c>
      <c r="C94" s="36" t="s">
        <v>507</v>
      </c>
      <c r="D94" s="36" t="s">
        <v>508</v>
      </c>
      <c r="E94" s="41">
        <v>2647</v>
      </c>
      <c r="F94" s="38">
        <v>39.249715999999999</v>
      </c>
      <c r="G94" s="39">
        <v>0.26115329732652898</v>
      </c>
      <c r="H94" s="42"/>
    </row>
    <row r="95" spans="2:8" x14ac:dyDescent="0.2">
      <c r="B95" s="36" t="s">
        <v>831</v>
      </c>
      <c r="C95" s="36" t="s">
        <v>832</v>
      </c>
      <c r="D95" s="36" t="s">
        <v>71</v>
      </c>
      <c r="E95" s="41">
        <v>8583</v>
      </c>
      <c r="F95" s="38">
        <v>38.825200500000001</v>
      </c>
      <c r="G95" s="39">
        <v>0.25832872599482298</v>
      </c>
      <c r="H95" s="42"/>
    </row>
    <row r="96" spans="2:8" x14ac:dyDescent="0.2">
      <c r="B96" s="36" t="s">
        <v>511</v>
      </c>
      <c r="C96" s="36" t="s">
        <v>512</v>
      </c>
      <c r="D96" s="36" t="s">
        <v>62</v>
      </c>
      <c r="E96" s="41">
        <v>3171</v>
      </c>
      <c r="F96" s="38">
        <v>38.280312000000002</v>
      </c>
      <c r="G96" s="39">
        <v>0.25470323661675198</v>
      </c>
      <c r="H96" s="42"/>
    </row>
    <row r="97" spans="2:8" x14ac:dyDescent="0.2">
      <c r="B97" s="36" t="s">
        <v>496</v>
      </c>
      <c r="C97" s="36" t="s">
        <v>497</v>
      </c>
      <c r="D97" s="36" t="s">
        <v>79</v>
      </c>
      <c r="E97" s="41">
        <v>1415</v>
      </c>
      <c r="F97" s="38">
        <v>37.841344999999997</v>
      </c>
      <c r="G97" s="39">
        <v>0.25178251027398002</v>
      </c>
      <c r="H97" s="42"/>
    </row>
    <row r="98" spans="2:8" x14ac:dyDescent="0.2">
      <c r="B98" s="36" t="s">
        <v>513</v>
      </c>
      <c r="C98" s="36" t="s">
        <v>514</v>
      </c>
      <c r="D98" s="36" t="s">
        <v>508</v>
      </c>
      <c r="E98" s="41">
        <v>206</v>
      </c>
      <c r="F98" s="38">
        <v>37.588819999999998</v>
      </c>
      <c r="G98" s="39">
        <v>0.25010230101062098</v>
      </c>
      <c r="H98" s="42"/>
    </row>
    <row r="99" spans="2:8" x14ac:dyDescent="0.2">
      <c r="B99" s="36" t="s">
        <v>586</v>
      </c>
      <c r="C99" s="36" t="s">
        <v>587</v>
      </c>
      <c r="D99" s="36" t="s">
        <v>454</v>
      </c>
      <c r="E99" s="41">
        <v>3982</v>
      </c>
      <c r="F99" s="38">
        <v>36.970878999999996</v>
      </c>
      <c r="G99" s="39">
        <v>0.245990746937128</v>
      </c>
      <c r="H99" s="42"/>
    </row>
    <row r="100" spans="2:8" x14ac:dyDescent="0.2">
      <c r="B100" s="36" t="s">
        <v>527</v>
      </c>
      <c r="C100" s="36" t="s">
        <v>528</v>
      </c>
      <c r="D100" s="36" t="s">
        <v>529</v>
      </c>
      <c r="E100" s="41">
        <v>6188</v>
      </c>
      <c r="F100" s="38">
        <v>36.546328000000003</v>
      </c>
      <c r="G100" s="39">
        <v>0.24316593940136699</v>
      </c>
      <c r="H100" s="42"/>
    </row>
    <row r="101" spans="2:8" x14ac:dyDescent="0.2">
      <c r="B101" s="36" t="s">
        <v>895</v>
      </c>
      <c r="C101" s="36" t="s">
        <v>896</v>
      </c>
      <c r="D101" s="36" t="s">
        <v>897</v>
      </c>
      <c r="E101" s="41">
        <v>16116</v>
      </c>
      <c r="F101" s="38">
        <v>36.153022800000002</v>
      </c>
      <c r="G101" s="39">
        <v>0.24054903002460401</v>
      </c>
      <c r="H101" s="42"/>
    </row>
    <row r="102" spans="2:8" x14ac:dyDescent="0.2">
      <c r="B102" s="36" t="s">
        <v>627</v>
      </c>
      <c r="C102" s="36" t="s">
        <v>628</v>
      </c>
      <c r="D102" s="36" t="s">
        <v>82</v>
      </c>
      <c r="E102" s="41">
        <v>656</v>
      </c>
      <c r="F102" s="38">
        <v>36.066879999999998</v>
      </c>
      <c r="G102" s="39">
        <v>0.23997586724653699</v>
      </c>
      <c r="H102" s="42"/>
    </row>
    <row r="103" spans="2:8" x14ac:dyDescent="0.2">
      <c r="B103" s="36" t="s">
        <v>498</v>
      </c>
      <c r="C103" s="36" t="s">
        <v>499</v>
      </c>
      <c r="D103" s="36" t="s">
        <v>50</v>
      </c>
      <c r="E103" s="41">
        <v>2382</v>
      </c>
      <c r="F103" s="38">
        <v>36.046805999999997</v>
      </c>
      <c r="G103" s="39">
        <v>0.239842302170791</v>
      </c>
      <c r="H103" s="42"/>
    </row>
    <row r="104" spans="2:8" x14ac:dyDescent="0.2">
      <c r="B104" s="36" t="s">
        <v>150</v>
      </c>
      <c r="C104" s="36" t="s">
        <v>151</v>
      </c>
      <c r="D104" s="36" t="s">
        <v>96</v>
      </c>
      <c r="E104" s="41">
        <v>23165</v>
      </c>
      <c r="F104" s="38">
        <v>36.007675999999996</v>
      </c>
      <c r="G104" s="39">
        <v>0.239581945420072</v>
      </c>
      <c r="H104" s="42"/>
    </row>
    <row r="105" spans="2:8" x14ac:dyDescent="0.2">
      <c r="B105" s="36" t="s">
        <v>518</v>
      </c>
      <c r="C105" s="36" t="s">
        <v>519</v>
      </c>
      <c r="D105" s="36" t="s">
        <v>28</v>
      </c>
      <c r="E105" s="41">
        <v>27424</v>
      </c>
      <c r="F105" s="38">
        <v>35.870592000000002</v>
      </c>
      <c r="G105" s="39">
        <v>0.23866983847359899</v>
      </c>
      <c r="H105" s="42"/>
    </row>
    <row r="106" spans="2:8" x14ac:dyDescent="0.2">
      <c r="B106" s="36" t="s">
        <v>145</v>
      </c>
      <c r="C106" s="36" t="s">
        <v>146</v>
      </c>
      <c r="D106" s="36" t="s">
        <v>147</v>
      </c>
      <c r="E106" s="41">
        <v>1013</v>
      </c>
      <c r="F106" s="38">
        <v>35.643417999999997</v>
      </c>
      <c r="G106" s="39">
        <v>0.237158305519657</v>
      </c>
      <c r="H106" s="42"/>
    </row>
    <row r="107" spans="2:8" x14ac:dyDescent="0.2">
      <c r="B107" s="36" t="s">
        <v>843</v>
      </c>
      <c r="C107" s="36" t="s">
        <v>844</v>
      </c>
      <c r="D107" s="36" t="s">
        <v>79</v>
      </c>
      <c r="E107" s="41">
        <v>4491</v>
      </c>
      <c r="F107" s="38">
        <v>35.546264999999998</v>
      </c>
      <c r="G107" s="39">
        <v>0.23651188488580699</v>
      </c>
      <c r="H107" s="42"/>
    </row>
    <row r="108" spans="2:8" x14ac:dyDescent="0.2">
      <c r="B108" s="36" t="s">
        <v>493</v>
      </c>
      <c r="C108" s="36" t="s">
        <v>494</v>
      </c>
      <c r="D108" s="36" t="s">
        <v>495</v>
      </c>
      <c r="E108" s="41">
        <v>5386</v>
      </c>
      <c r="F108" s="38">
        <v>35.237904999999998</v>
      </c>
      <c r="G108" s="39">
        <v>0.23446016989343299</v>
      </c>
      <c r="H108" s="42"/>
    </row>
    <row r="109" spans="2:8" x14ac:dyDescent="0.2">
      <c r="B109" s="36" t="s">
        <v>502</v>
      </c>
      <c r="C109" s="36" t="s">
        <v>503</v>
      </c>
      <c r="D109" s="36" t="s">
        <v>50</v>
      </c>
      <c r="E109" s="41">
        <v>2373</v>
      </c>
      <c r="F109" s="38">
        <v>35.011242000000003</v>
      </c>
      <c r="G109" s="39">
        <v>0.232952036947148</v>
      </c>
      <c r="H109" s="42"/>
    </row>
    <row r="110" spans="2:8" x14ac:dyDescent="0.2">
      <c r="B110" s="36" t="s">
        <v>631</v>
      </c>
      <c r="C110" s="36" t="s">
        <v>632</v>
      </c>
      <c r="D110" s="36" t="s">
        <v>82</v>
      </c>
      <c r="E110" s="41">
        <v>8028</v>
      </c>
      <c r="F110" s="38">
        <v>34.412022</v>
      </c>
      <c r="G110" s="39">
        <v>0.22896504558079001</v>
      </c>
      <c r="H110" s="42"/>
    </row>
    <row r="111" spans="2:8" x14ac:dyDescent="0.2">
      <c r="B111" s="36" t="s">
        <v>121</v>
      </c>
      <c r="C111" s="36" t="s">
        <v>122</v>
      </c>
      <c r="D111" s="36" t="s">
        <v>28</v>
      </c>
      <c r="E111" s="41">
        <v>147331</v>
      </c>
      <c r="F111" s="38">
        <v>34.1071265</v>
      </c>
      <c r="G111" s="39">
        <v>0.22693638210804001</v>
      </c>
      <c r="H111" s="42"/>
    </row>
    <row r="112" spans="2:8" x14ac:dyDescent="0.2">
      <c r="B112" s="36" t="s">
        <v>600</v>
      </c>
      <c r="C112" s="36" t="s">
        <v>601</v>
      </c>
      <c r="D112" s="36" t="s">
        <v>508</v>
      </c>
      <c r="E112" s="41">
        <v>1233</v>
      </c>
      <c r="F112" s="38">
        <v>33.485813999999998</v>
      </c>
      <c r="G112" s="39">
        <v>0.22280239530300999</v>
      </c>
      <c r="H112" s="42"/>
    </row>
    <row r="113" spans="2:8" x14ac:dyDescent="0.2">
      <c r="B113" s="36" t="s">
        <v>604</v>
      </c>
      <c r="C113" s="36" t="s">
        <v>605</v>
      </c>
      <c r="D113" s="36" t="s">
        <v>139</v>
      </c>
      <c r="E113" s="41">
        <v>7876</v>
      </c>
      <c r="F113" s="38">
        <v>33.429682</v>
      </c>
      <c r="G113" s="39">
        <v>0.22242891344429899</v>
      </c>
      <c r="H113" s="42"/>
    </row>
    <row r="114" spans="2:8" x14ac:dyDescent="0.2">
      <c r="B114" s="36" t="s">
        <v>592</v>
      </c>
      <c r="C114" s="36" t="s">
        <v>593</v>
      </c>
      <c r="D114" s="36" t="s">
        <v>571</v>
      </c>
      <c r="E114" s="41">
        <v>2985</v>
      </c>
      <c r="F114" s="38">
        <v>33.396180000000001</v>
      </c>
      <c r="G114" s="39">
        <v>0.22220600335325499</v>
      </c>
      <c r="H114" s="42"/>
    </row>
    <row r="115" spans="2:8" x14ac:dyDescent="0.2">
      <c r="B115" s="36" t="s">
        <v>623</v>
      </c>
      <c r="C115" s="36" t="s">
        <v>624</v>
      </c>
      <c r="D115" s="36" t="s">
        <v>529</v>
      </c>
      <c r="E115" s="41">
        <v>1808</v>
      </c>
      <c r="F115" s="38">
        <v>32.023296000000002</v>
      </c>
      <c r="G115" s="39">
        <v>0.21307133385789201</v>
      </c>
      <c r="H115" s="42"/>
    </row>
    <row r="116" spans="2:8" x14ac:dyDescent="0.2">
      <c r="B116" s="36" t="s">
        <v>525</v>
      </c>
      <c r="C116" s="36" t="s">
        <v>526</v>
      </c>
      <c r="D116" s="36" t="s">
        <v>179</v>
      </c>
      <c r="E116" s="41">
        <v>432</v>
      </c>
      <c r="F116" s="38">
        <v>31.33296</v>
      </c>
      <c r="G116" s="39">
        <v>0.20847808985421101</v>
      </c>
      <c r="H116" s="42"/>
    </row>
    <row r="117" spans="2:8" x14ac:dyDescent="0.2">
      <c r="B117" s="36" t="s">
        <v>509</v>
      </c>
      <c r="C117" s="36" t="s">
        <v>510</v>
      </c>
      <c r="D117" s="36" t="s">
        <v>131</v>
      </c>
      <c r="E117" s="41">
        <v>298</v>
      </c>
      <c r="F117" s="38">
        <v>30.875779999999999</v>
      </c>
      <c r="G117" s="39">
        <v>0.205436180851054</v>
      </c>
      <c r="H117" s="42"/>
    </row>
    <row r="118" spans="2:8" x14ac:dyDescent="0.2">
      <c r="B118" s="36" t="s">
        <v>598</v>
      </c>
      <c r="C118" s="36" t="s">
        <v>599</v>
      </c>
      <c r="D118" s="36" t="s">
        <v>82</v>
      </c>
      <c r="E118" s="41">
        <v>2151</v>
      </c>
      <c r="F118" s="38">
        <v>30.681864000000001</v>
      </c>
      <c r="G118" s="39">
        <v>0.204145934501135</v>
      </c>
      <c r="H118" s="42"/>
    </row>
    <row r="119" spans="2:8" x14ac:dyDescent="0.2">
      <c r="B119" s="36" t="s">
        <v>148</v>
      </c>
      <c r="C119" s="36" t="s">
        <v>149</v>
      </c>
      <c r="D119" s="36" t="s">
        <v>36</v>
      </c>
      <c r="E119" s="41">
        <v>7746</v>
      </c>
      <c r="F119" s="38">
        <v>30.507621</v>
      </c>
      <c r="G119" s="39">
        <v>0.20298658511919099</v>
      </c>
      <c r="H119" s="42"/>
    </row>
    <row r="120" spans="2:8" x14ac:dyDescent="0.2">
      <c r="B120" s="36" t="s">
        <v>530</v>
      </c>
      <c r="C120" s="36" t="s">
        <v>531</v>
      </c>
      <c r="D120" s="36" t="s">
        <v>28</v>
      </c>
      <c r="E120" s="41">
        <v>28753</v>
      </c>
      <c r="F120" s="38">
        <v>30.492556499999999</v>
      </c>
      <c r="G120" s="39">
        <v>0.20288635142966399</v>
      </c>
      <c r="H120" s="42"/>
    </row>
    <row r="121" spans="2:8" x14ac:dyDescent="0.2">
      <c r="B121" s="36" t="s">
        <v>656</v>
      </c>
      <c r="C121" s="36" t="s">
        <v>657</v>
      </c>
      <c r="D121" s="36" t="s">
        <v>82</v>
      </c>
      <c r="E121" s="41">
        <v>1270</v>
      </c>
      <c r="F121" s="38">
        <v>30.170120000000001</v>
      </c>
      <c r="G121" s="39">
        <v>0.20074097653947501</v>
      </c>
      <c r="H121" s="42"/>
    </row>
    <row r="122" spans="2:8" x14ac:dyDescent="0.2">
      <c r="B122" s="36" t="s">
        <v>550</v>
      </c>
      <c r="C122" s="36" t="s">
        <v>551</v>
      </c>
      <c r="D122" s="36" t="s">
        <v>82</v>
      </c>
      <c r="E122" s="41">
        <v>2781</v>
      </c>
      <c r="F122" s="38">
        <v>29.970837</v>
      </c>
      <c r="G122" s="39">
        <v>0.19941502012870499</v>
      </c>
      <c r="H122" s="42"/>
    </row>
    <row r="123" spans="2:8" x14ac:dyDescent="0.2">
      <c r="B123" s="36" t="s">
        <v>534</v>
      </c>
      <c r="C123" s="36" t="s">
        <v>535</v>
      </c>
      <c r="D123" s="36" t="s">
        <v>179</v>
      </c>
      <c r="E123" s="41">
        <v>770</v>
      </c>
      <c r="F123" s="38">
        <v>29.815169999999998</v>
      </c>
      <c r="G123" s="39">
        <v>0.198379268676773</v>
      </c>
      <c r="H123" s="42"/>
    </row>
    <row r="124" spans="2:8" x14ac:dyDescent="0.2">
      <c r="B124" s="36" t="s">
        <v>664</v>
      </c>
      <c r="C124" s="36" t="s">
        <v>665</v>
      </c>
      <c r="D124" s="36" t="s">
        <v>91</v>
      </c>
      <c r="E124" s="41">
        <v>24001</v>
      </c>
      <c r="F124" s="38">
        <v>29.2260177</v>
      </c>
      <c r="G124" s="39">
        <v>0.19445926411489201</v>
      </c>
      <c r="H124" s="42"/>
    </row>
    <row r="125" spans="2:8" x14ac:dyDescent="0.2">
      <c r="B125" s="36" t="s">
        <v>734</v>
      </c>
      <c r="C125" s="36" t="s">
        <v>735</v>
      </c>
      <c r="D125" s="36" t="s">
        <v>495</v>
      </c>
      <c r="E125" s="41">
        <v>5698</v>
      </c>
      <c r="F125" s="38">
        <v>29.051252999999999</v>
      </c>
      <c r="G125" s="39">
        <v>0.193296443531393</v>
      </c>
      <c r="H125" s="42"/>
    </row>
    <row r="126" spans="2:8" x14ac:dyDescent="0.2">
      <c r="B126" s="36" t="s">
        <v>515</v>
      </c>
      <c r="C126" s="36" t="s">
        <v>516</v>
      </c>
      <c r="D126" s="36" t="s">
        <v>517</v>
      </c>
      <c r="E126" s="41">
        <v>17605</v>
      </c>
      <c r="F126" s="38">
        <v>28.961985500000001</v>
      </c>
      <c r="G126" s="39">
        <v>0.19270249013898899</v>
      </c>
      <c r="H126" s="42"/>
    </row>
    <row r="127" spans="2:8" x14ac:dyDescent="0.2">
      <c r="B127" s="36" t="s">
        <v>520</v>
      </c>
      <c r="C127" s="36" t="s">
        <v>521</v>
      </c>
      <c r="D127" s="36" t="s">
        <v>131</v>
      </c>
      <c r="E127" s="41">
        <v>8570</v>
      </c>
      <c r="F127" s="38">
        <v>28.936605</v>
      </c>
      <c r="G127" s="39">
        <v>0.192533617547331</v>
      </c>
      <c r="H127" s="42"/>
    </row>
    <row r="128" spans="2:8" x14ac:dyDescent="0.2">
      <c r="B128" s="36" t="s">
        <v>536</v>
      </c>
      <c r="C128" s="36" t="s">
        <v>537</v>
      </c>
      <c r="D128" s="36" t="s">
        <v>179</v>
      </c>
      <c r="E128" s="41">
        <v>749</v>
      </c>
      <c r="F128" s="38">
        <v>28.79156</v>
      </c>
      <c r="G128" s="39">
        <v>0.191568541009943</v>
      </c>
      <c r="H128" s="42"/>
    </row>
    <row r="129" spans="2:8" x14ac:dyDescent="0.2">
      <c r="B129" s="36" t="s">
        <v>538</v>
      </c>
      <c r="C129" s="36" t="s">
        <v>539</v>
      </c>
      <c r="D129" s="36" t="s">
        <v>74</v>
      </c>
      <c r="E129" s="41">
        <v>113</v>
      </c>
      <c r="F129" s="38">
        <v>28.560749999999999</v>
      </c>
      <c r="G129" s="39">
        <v>0.190032815437918</v>
      </c>
      <c r="H129" s="42"/>
    </row>
    <row r="130" spans="2:8" x14ac:dyDescent="0.2">
      <c r="B130" s="36" t="s">
        <v>625</v>
      </c>
      <c r="C130" s="36" t="s">
        <v>626</v>
      </c>
      <c r="D130" s="36" t="s">
        <v>478</v>
      </c>
      <c r="E130" s="41">
        <v>523</v>
      </c>
      <c r="F130" s="38">
        <v>27.549025</v>
      </c>
      <c r="G130" s="39">
        <v>0.183301166227062</v>
      </c>
      <c r="H130" s="42"/>
    </row>
    <row r="131" spans="2:8" x14ac:dyDescent="0.2">
      <c r="B131" s="36" t="s">
        <v>608</v>
      </c>
      <c r="C131" s="36" t="s">
        <v>609</v>
      </c>
      <c r="D131" s="36" t="s">
        <v>610</v>
      </c>
      <c r="E131" s="41">
        <v>4269</v>
      </c>
      <c r="F131" s="38">
        <v>27.526512</v>
      </c>
      <c r="G131" s="39">
        <v>0.18315137293473099</v>
      </c>
      <c r="H131" s="42"/>
    </row>
    <row r="132" spans="2:8" x14ac:dyDescent="0.2">
      <c r="B132" s="36" t="s">
        <v>621</v>
      </c>
      <c r="C132" s="36" t="s">
        <v>622</v>
      </c>
      <c r="D132" s="36" t="s">
        <v>478</v>
      </c>
      <c r="E132" s="41">
        <v>1481</v>
      </c>
      <c r="F132" s="38">
        <v>27.118590999999999</v>
      </c>
      <c r="G132" s="39">
        <v>0.18043721535461699</v>
      </c>
      <c r="H132" s="42"/>
    </row>
    <row r="133" spans="2:8" x14ac:dyDescent="0.2">
      <c r="B133" s="36" t="s">
        <v>540</v>
      </c>
      <c r="C133" s="36" t="s">
        <v>541</v>
      </c>
      <c r="D133" s="36" t="s">
        <v>28</v>
      </c>
      <c r="E133" s="41">
        <v>15980</v>
      </c>
      <c r="F133" s="38">
        <v>26.827224000000001</v>
      </c>
      <c r="G133" s="39">
        <v>0.17849856558751701</v>
      </c>
      <c r="H133" s="42"/>
    </row>
    <row r="134" spans="2:8" x14ac:dyDescent="0.2">
      <c r="B134" s="36" t="s">
        <v>956</v>
      </c>
      <c r="C134" s="36" t="s">
        <v>957</v>
      </c>
      <c r="D134" s="36" t="s">
        <v>558</v>
      </c>
      <c r="E134" s="41">
        <v>842</v>
      </c>
      <c r="F134" s="38">
        <v>26.384912</v>
      </c>
      <c r="G134" s="39">
        <v>0.17555558283454401</v>
      </c>
      <c r="H134" s="42"/>
    </row>
    <row r="135" spans="2:8" x14ac:dyDescent="0.2">
      <c r="B135" s="36" t="s">
        <v>468</v>
      </c>
      <c r="C135" s="36" t="s">
        <v>469</v>
      </c>
      <c r="D135" s="36" t="s">
        <v>44</v>
      </c>
      <c r="E135" s="41">
        <v>12849</v>
      </c>
      <c r="F135" s="38">
        <v>26.244082500000001</v>
      </c>
      <c r="G135" s="39">
        <v>0.17461855469691701</v>
      </c>
      <c r="H135" s="42"/>
    </row>
    <row r="136" spans="2:8" x14ac:dyDescent="0.2">
      <c r="B136" s="36" t="s">
        <v>679</v>
      </c>
      <c r="C136" s="36" t="s">
        <v>680</v>
      </c>
      <c r="D136" s="36" t="s">
        <v>33</v>
      </c>
      <c r="E136" s="41">
        <v>1330</v>
      </c>
      <c r="F136" s="38">
        <v>26.134499999999999</v>
      </c>
      <c r="G136" s="39">
        <v>0.173889432702652</v>
      </c>
      <c r="H136" s="42"/>
    </row>
    <row r="137" spans="2:8" x14ac:dyDescent="0.2">
      <c r="B137" s="36" t="s">
        <v>619</v>
      </c>
      <c r="C137" s="36" t="s">
        <v>620</v>
      </c>
      <c r="D137" s="36" t="s">
        <v>65</v>
      </c>
      <c r="E137" s="41">
        <v>830</v>
      </c>
      <c r="F137" s="38">
        <v>26.073619999999998</v>
      </c>
      <c r="G137" s="39">
        <v>0.17348435938336301</v>
      </c>
      <c r="H137" s="42"/>
    </row>
    <row r="138" spans="2:8" x14ac:dyDescent="0.2">
      <c r="B138" s="36" t="s">
        <v>117</v>
      </c>
      <c r="C138" s="36" t="s">
        <v>118</v>
      </c>
      <c r="D138" s="36" t="s">
        <v>62</v>
      </c>
      <c r="E138" s="41">
        <v>12656</v>
      </c>
      <c r="F138" s="38">
        <v>25.865067199999999</v>
      </c>
      <c r="G138" s="39">
        <v>0.17209672510374999</v>
      </c>
      <c r="H138" s="42"/>
    </row>
    <row r="139" spans="2:8" x14ac:dyDescent="0.2">
      <c r="B139" s="36" t="s">
        <v>574</v>
      </c>
      <c r="C139" s="36" t="s">
        <v>575</v>
      </c>
      <c r="D139" s="36" t="s">
        <v>44</v>
      </c>
      <c r="E139" s="41">
        <v>490</v>
      </c>
      <c r="F139" s="38">
        <v>25.452069999999999</v>
      </c>
      <c r="G139" s="39">
        <v>0.16934879233994099</v>
      </c>
      <c r="H139" s="42"/>
    </row>
    <row r="140" spans="2:8" x14ac:dyDescent="0.2">
      <c r="B140" s="36" t="s">
        <v>552</v>
      </c>
      <c r="C140" s="36" t="s">
        <v>553</v>
      </c>
      <c r="D140" s="36" t="s">
        <v>529</v>
      </c>
      <c r="E140" s="41">
        <v>2705</v>
      </c>
      <c r="F140" s="38">
        <v>25.375605</v>
      </c>
      <c r="G140" s="39">
        <v>0.16884002211393201</v>
      </c>
      <c r="H140" s="42"/>
    </row>
    <row r="141" spans="2:8" x14ac:dyDescent="0.2">
      <c r="B141" s="36" t="s">
        <v>658</v>
      </c>
      <c r="C141" s="36" t="s">
        <v>659</v>
      </c>
      <c r="D141" s="36" t="s">
        <v>529</v>
      </c>
      <c r="E141" s="41">
        <v>1429</v>
      </c>
      <c r="F141" s="38">
        <v>25.188983</v>
      </c>
      <c r="G141" s="39">
        <v>0.16759830738015799</v>
      </c>
      <c r="H141" s="42"/>
    </row>
    <row r="142" spans="2:8" x14ac:dyDescent="0.2">
      <c r="B142" s="36" t="s">
        <v>642</v>
      </c>
      <c r="C142" s="36" t="s">
        <v>643</v>
      </c>
      <c r="D142" s="36" t="s">
        <v>99</v>
      </c>
      <c r="E142" s="41">
        <v>2134</v>
      </c>
      <c r="F142" s="38">
        <v>25.112912000000001</v>
      </c>
      <c r="G142" s="39">
        <v>0.16709215868647201</v>
      </c>
      <c r="H142" s="42"/>
    </row>
    <row r="143" spans="2:8" x14ac:dyDescent="0.2">
      <c r="B143" s="36" t="s">
        <v>633</v>
      </c>
      <c r="C143" s="36" t="s">
        <v>634</v>
      </c>
      <c r="D143" s="36" t="s">
        <v>635</v>
      </c>
      <c r="E143" s="41">
        <v>28427</v>
      </c>
      <c r="F143" s="38">
        <v>25.012917300000002</v>
      </c>
      <c r="G143" s="39">
        <v>0.166426830417086</v>
      </c>
      <c r="H143" s="42"/>
    </row>
    <row r="144" spans="2:8" x14ac:dyDescent="0.2">
      <c r="B144" s="36" t="s">
        <v>729</v>
      </c>
      <c r="C144" s="36" t="s">
        <v>730</v>
      </c>
      <c r="D144" s="36" t="s">
        <v>71</v>
      </c>
      <c r="E144" s="41">
        <v>5381</v>
      </c>
      <c r="F144" s="38">
        <v>24.949006499999999</v>
      </c>
      <c r="G144" s="39">
        <v>0.16600159125982</v>
      </c>
      <c r="H144" s="42"/>
    </row>
    <row r="145" spans="2:8" x14ac:dyDescent="0.2">
      <c r="B145" s="36" t="s">
        <v>542</v>
      </c>
      <c r="C145" s="36" t="s">
        <v>543</v>
      </c>
      <c r="D145" s="36" t="s">
        <v>65</v>
      </c>
      <c r="E145" s="41">
        <v>67</v>
      </c>
      <c r="F145" s="38">
        <v>24.53875</v>
      </c>
      <c r="G145" s="39">
        <v>0.16327189411437701</v>
      </c>
      <c r="H145" s="42"/>
    </row>
    <row r="146" spans="2:8" x14ac:dyDescent="0.2">
      <c r="B146" s="36" t="s">
        <v>617</v>
      </c>
      <c r="C146" s="36" t="s">
        <v>618</v>
      </c>
      <c r="D146" s="36" t="s">
        <v>82</v>
      </c>
      <c r="E146" s="41">
        <v>1076</v>
      </c>
      <c r="F146" s="38">
        <v>24.477924000000002</v>
      </c>
      <c r="G146" s="39">
        <v>0.162867180091397</v>
      </c>
      <c r="H146" s="42"/>
    </row>
    <row r="147" spans="2:8" x14ac:dyDescent="0.2">
      <c r="B147" s="36" t="s">
        <v>132</v>
      </c>
      <c r="C147" s="36" t="s">
        <v>133</v>
      </c>
      <c r="D147" s="36" t="s">
        <v>82</v>
      </c>
      <c r="E147" s="41">
        <v>1568</v>
      </c>
      <c r="F147" s="38">
        <v>23.902591999999999</v>
      </c>
      <c r="G147" s="39">
        <v>0.15903913076595799</v>
      </c>
      <c r="H147" s="42"/>
    </row>
    <row r="148" spans="2:8" x14ac:dyDescent="0.2">
      <c r="B148" s="36" t="s">
        <v>650</v>
      </c>
      <c r="C148" s="36" t="s">
        <v>651</v>
      </c>
      <c r="D148" s="36" t="s">
        <v>99</v>
      </c>
      <c r="E148" s="41">
        <v>1918</v>
      </c>
      <c r="F148" s="38">
        <v>23.892526</v>
      </c>
      <c r="G148" s="39">
        <v>0.15897215527266101</v>
      </c>
      <c r="H148" s="42"/>
    </row>
    <row r="149" spans="2:8" x14ac:dyDescent="0.2">
      <c r="B149" s="36" t="s">
        <v>532</v>
      </c>
      <c r="C149" s="36" t="s">
        <v>533</v>
      </c>
      <c r="D149" s="36" t="s">
        <v>131</v>
      </c>
      <c r="E149" s="41">
        <v>706</v>
      </c>
      <c r="F149" s="38">
        <v>23.600874000000001</v>
      </c>
      <c r="G149" s="39">
        <v>0.15703160921949</v>
      </c>
      <c r="H149" s="42"/>
    </row>
    <row r="150" spans="2:8" x14ac:dyDescent="0.2">
      <c r="B150" s="36" t="s">
        <v>636</v>
      </c>
      <c r="C150" s="36" t="s">
        <v>637</v>
      </c>
      <c r="D150" s="36" t="s">
        <v>179</v>
      </c>
      <c r="E150" s="41">
        <v>737</v>
      </c>
      <c r="F150" s="38">
        <v>23.147696</v>
      </c>
      <c r="G150" s="39">
        <v>0.15401632806495</v>
      </c>
      <c r="H150" s="42"/>
    </row>
    <row r="151" spans="2:8" x14ac:dyDescent="0.2">
      <c r="B151" s="36" t="s">
        <v>548</v>
      </c>
      <c r="C151" s="36" t="s">
        <v>549</v>
      </c>
      <c r="D151" s="36" t="s">
        <v>74</v>
      </c>
      <c r="E151" s="41">
        <v>5165</v>
      </c>
      <c r="F151" s="38">
        <v>23.131452500000002</v>
      </c>
      <c r="G151" s="39">
        <v>0.15390824973936101</v>
      </c>
      <c r="H151" s="42"/>
    </row>
    <row r="152" spans="2:8" x14ac:dyDescent="0.2">
      <c r="B152" s="36" t="s">
        <v>644</v>
      </c>
      <c r="C152" s="36" t="s">
        <v>645</v>
      </c>
      <c r="D152" s="36" t="s">
        <v>28</v>
      </c>
      <c r="E152" s="41">
        <v>2762</v>
      </c>
      <c r="F152" s="38">
        <v>23.007459999999998</v>
      </c>
      <c r="G152" s="39">
        <v>0.15308324885989599</v>
      </c>
      <c r="H152" s="42"/>
    </row>
    <row r="153" spans="2:8" x14ac:dyDescent="0.2">
      <c r="B153" s="36" t="s">
        <v>825</v>
      </c>
      <c r="C153" s="36" t="s">
        <v>826</v>
      </c>
      <c r="D153" s="36" t="s">
        <v>28</v>
      </c>
      <c r="E153" s="41">
        <v>7920</v>
      </c>
      <c r="F153" s="38">
        <v>22.869</v>
      </c>
      <c r="G153" s="39">
        <v>0.152161986511199</v>
      </c>
      <c r="H153" s="42"/>
    </row>
    <row r="154" spans="2:8" x14ac:dyDescent="0.2">
      <c r="B154" s="36" t="s">
        <v>662</v>
      </c>
      <c r="C154" s="36" t="s">
        <v>663</v>
      </c>
      <c r="D154" s="36" t="s">
        <v>102</v>
      </c>
      <c r="E154" s="41">
        <v>4779</v>
      </c>
      <c r="F154" s="38">
        <v>22.755208499999998</v>
      </c>
      <c r="G154" s="39">
        <v>0.151404859365802</v>
      </c>
      <c r="H154" s="42"/>
    </row>
    <row r="155" spans="2:8" x14ac:dyDescent="0.2">
      <c r="B155" s="36" t="s">
        <v>544</v>
      </c>
      <c r="C155" s="36" t="s">
        <v>545</v>
      </c>
      <c r="D155" s="36" t="s">
        <v>139</v>
      </c>
      <c r="E155" s="41">
        <v>3562</v>
      </c>
      <c r="F155" s="38">
        <v>22.545679</v>
      </c>
      <c r="G155" s="39">
        <v>0.15001072648055599</v>
      </c>
      <c r="H155" s="42"/>
    </row>
    <row r="156" spans="2:8" x14ac:dyDescent="0.2">
      <c r="B156" s="36" t="s">
        <v>582</v>
      </c>
      <c r="C156" s="36" t="s">
        <v>583</v>
      </c>
      <c r="D156" s="36" t="s">
        <v>44</v>
      </c>
      <c r="E156" s="41">
        <v>1576</v>
      </c>
      <c r="F156" s="38">
        <v>22.407568000000001</v>
      </c>
      <c r="G156" s="39">
        <v>0.149091786250592</v>
      </c>
      <c r="H156" s="42"/>
    </row>
    <row r="157" spans="2:8" x14ac:dyDescent="0.2">
      <c r="B157" s="36" t="s">
        <v>1001</v>
      </c>
      <c r="C157" s="36" t="s">
        <v>1002</v>
      </c>
      <c r="D157" s="36" t="s">
        <v>558</v>
      </c>
      <c r="E157" s="41">
        <v>2056</v>
      </c>
      <c r="F157" s="38">
        <v>22.380587999999999</v>
      </c>
      <c r="G157" s="39">
        <v>0.14891227116921199</v>
      </c>
      <c r="H157" s="42"/>
    </row>
    <row r="158" spans="2:8" x14ac:dyDescent="0.2">
      <c r="B158" s="36" t="s">
        <v>677</v>
      </c>
      <c r="C158" s="36" t="s">
        <v>678</v>
      </c>
      <c r="D158" s="36" t="s">
        <v>529</v>
      </c>
      <c r="E158" s="41">
        <v>1631</v>
      </c>
      <c r="F158" s="38">
        <v>22.331651999999998</v>
      </c>
      <c r="G158" s="39">
        <v>0.14858666887038299</v>
      </c>
      <c r="H158" s="42"/>
    </row>
    <row r="159" spans="2:8" x14ac:dyDescent="0.2">
      <c r="B159" s="36" t="s">
        <v>813</v>
      </c>
      <c r="C159" s="36" t="s">
        <v>814</v>
      </c>
      <c r="D159" s="36" t="s">
        <v>558</v>
      </c>
      <c r="E159" s="41">
        <v>62</v>
      </c>
      <c r="F159" s="38">
        <v>22.022400000000001</v>
      </c>
      <c r="G159" s="39">
        <v>0.14652901883528899</v>
      </c>
      <c r="H159" s="42"/>
    </row>
    <row r="160" spans="2:8" x14ac:dyDescent="0.2">
      <c r="B160" s="36" t="s">
        <v>615</v>
      </c>
      <c r="C160" s="36" t="s">
        <v>616</v>
      </c>
      <c r="D160" s="36" t="s">
        <v>91</v>
      </c>
      <c r="E160" s="41">
        <v>8520</v>
      </c>
      <c r="F160" s="38">
        <v>21.97308</v>
      </c>
      <c r="G160" s="39">
        <v>0.146200861540492</v>
      </c>
      <c r="H160" s="42"/>
    </row>
    <row r="161" spans="2:8" x14ac:dyDescent="0.2">
      <c r="B161" s="36" t="s">
        <v>629</v>
      </c>
      <c r="C161" s="36" t="s">
        <v>630</v>
      </c>
      <c r="D161" s="36" t="s">
        <v>50</v>
      </c>
      <c r="E161" s="41">
        <v>3670</v>
      </c>
      <c r="F161" s="38">
        <v>21.838335000000001</v>
      </c>
      <c r="G161" s="39">
        <v>0.14530431744707001</v>
      </c>
      <c r="H161" s="42"/>
    </row>
    <row r="162" spans="2:8" x14ac:dyDescent="0.2">
      <c r="B162" s="36" t="s">
        <v>546</v>
      </c>
      <c r="C162" s="36" t="s">
        <v>547</v>
      </c>
      <c r="D162" s="36" t="s">
        <v>39</v>
      </c>
      <c r="E162" s="41">
        <v>1116</v>
      </c>
      <c r="F162" s="38">
        <v>21.47184</v>
      </c>
      <c r="G162" s="39">
        <v>0.142865793364407</v>
      </c>
      <c r="H162" s="42"/>
    </row>
    <row r="163" spans="2:8" x14ac:dyDescent="0.2">
      <c r="B163" s="36" t="s">
        <v>829</v>
      </c>
      <c r="C163" s="36" t="s">
        <v>830</v>
      </c>
      <c r="D163" s="36" t="s">
        <v>508</v>
      </c>
      <c r="E163" s="41">
        <v>301</v>
      </c>
      <c r="F163" s="38">
        <v>21.458290000000002</v>
      </c>
      <c r="G163" s="39">
        <v>0.142775636605597</v>
      </c>
      <c r="H163" s="42"/>
    </row>
    <row r="164" spans="2:8" x14ac:dyDescent="0.2">
      <c r="B164" s="36" t="s">
        <v>1027</v>
      </c>
      <c r="C164" s="36" t="s">
        <v>1028</v>
      </c>
      <c r="D164" s="36" t="s">
        <v>796</v>
      </c>
      <c r="E164" s="41">
        <v>452</v>
      </c>
      <c r="F164" s="38">
        <v>21.111564000000001</v>
      </c>
      <c r="G164" s="39">
        <v>0.14046864823990199</v>
      </c>
      <c r="H164" s="42"/>
    </row>
    <row r="165" spans="2:8" x14ac:dyDescent="0.2">
      <c r="B165" s="36" t="s">
        <v>1023</v>
      </c>
      <c r="C165" s="36" t="s">
        <v>1024</v>
      </c>
      <c r="D165" s="36" t="s">
        <v>99</v>
      </c>
      <c r="E165" s="41">
        <v>4337</v>
      </c>
      <c r="F165" s="38">
        <v>20.928193499999999</v>
      </c>
      <c r="G165" s="39">
        <v>0.139248567801424</v>
      </c>
      <c r="H165" s="42"/>
    </row>
    <row r="166" spans="2:8" x14ac:dyDescent="0.2">
      <c r="B166" s="36" t="s">
        <v>646</v>
      </c>
      <c r="C166" s="36" t="s">
        <v>647</v>
      </c>
      <c r="D166" s="36" t="s">
        <v>131</v>
      </c>
      <c r="E166" s="41">
        <v>483</v>
      </c>
      <c r="F166" s="38">
        <v>20.232386999999999</v>
      </c>
      <c r="G166" s="39">
        <v>0.134618925085634</v>
      </c>
      <c r="H166" s="42"/>
    </row>
    <row r="167" spans="2:8" x14ac:dyDescent="0.2">
      <c r="B167" s="36" t="s">
        <v>827</v>
      </c>
      <c r="C167" s="36" t="s">
        <v>828</v>
      </c>
      <c r="D167" s="36" t="s">
        <v>65</v>
      </c>
      <c r="E167" s="41">
        <v>3318</v>
      </c>
      <c r="F167" s="38">
        <v>20.155190999999999</v>
      </c>
      <c r="G167" s="39">
        <v>0.13410529105219501</v>
      </c>
      <c r="H167" s="42"/>
    </row>
    <row r="168" spans="2:8" x14ac:dyDescent="0.2">
      <c r="B168" s="36" t="s">
        <v>640</v>
      </c>
      <c r="C168" s="36" t="s">
        <v>641</v>
      </c>
      <c r="D168" s="36" t="s">
        <v>131</v>
      </c>
      <c r="E168" s="41">
        <v>5517</v>
      </c>
      <c r="F168" s="38">
        <v>20.043261000000001</v>
      </c>
      <c r="G168" s="39">
        <v>0.13336054964897701</v>
      </c>
      <c r="H168" s="42"/>
    </row>
    <row r="169" spans="2:8" x14ac:dyDescent="0.2">
      <c r="B169" s="36" t="s">
        <v>110</v>
      </c>
      <c r="C169" s="36" t="s">
        <v>111</v>
      </c>
      <c r="D169" s="36" t="s">
        <v>112</v>
      </c>
      <c r="E169" s="41">
        <v>1095</v>
      </c>
      <c r="F169" s="38">
        <v>20.039594999999998</v>
      </c>
      <c r="G169" s="39">
        <v>0.133336157421833</v>
      </c>
      <c r="H169" s="42"/>
    </row>
    <row r="170" spans="2:8" x14ac:dyDescent="0.2">
      <c r="B170" s="36" t="s">
        <v>861</v>
      </c>
      <c r="C170" s="36" t="s">
        <v>862</v>
      </c>
      <c r="D170" s="36" t="s">
        <v>82</v>
      </c>
      <c r="E170" s="41">
        <v>887</v>
      </c>
      <c r="F170" s="38">
        <v>19.9575</v>
      </c>
      <c r="G170" s="39">
        <v>0.13278992722888</v>
      </c>
      <c r="H170" s="42"/>
    </row>
    <row r="171" spans="2:8" x14ac:dyDescent="0.2">
      <c r="B171" s="36" t="s">
        <v>865</v>
      </c>
      <c r="C171" s="36" t="s">
        <v>866</v>
      </c>
      <c r="D171" s="36" t="s">
        <v>82</v>
      </c>
      <c r="E171" s="41">
        <v>888</v>
      </c>
      <c r="F171" s="38">
        <v>19.246511999999999</v>
      </c>
      <c r="G171" s="39">
        <v>0.128059272348228</v>
      </c>
      <c r="H171" s="42"/>
    </row>
    <row r="172" spans="2:8" x14ac:dyDescent="0.2">
      <c r="B172" s="36" t="s">
        <v>731</v>
      </c>
      <c r="C172" s="36" t="s">
        <v>732</v>
      </c>
      <c r="D172" s="36" t="s">
        <v>733</v>
      </c>
      <c r="E172" s="41">
        <v>4214</v>
      </c>
      <c r="F172" s="38">
        <v>19.224267999999999</v>
      </c>
      <c r="G172" s="39">
        <v>0.127911268883803</v>
      </c>
      <c r="H172" s="42"/>
    </row>
    <row r="173" spans="2:8" x14ac:dyDescent="0.2">
      <c r="B173" s="36" t="s">
        <v>522</v>
      </c>
      <c r="C173" s="36" t="s">
        <v>523</v>
      </c>
      <c r="D173" s="36" t="s">
        <v>524</v>
      </c>
      <c r="E173" s="41">
        <v>1865</v>
      </c>
      <c r="F173" s="38">
        <v>19.196445000000001</v>
      </c>
      <c r="G173" s="39">
        <v>0.12772614478783401</v>
      </c>
      <c r="H173" s="42"/>
    </row>
    <row r="174" spans="2:8" x14ac:dyDescent="0.2">
      <c r="B174" s="36" t="s">
        <v>701</v>
      </c>
      <c r="C174" s="36" t="s">
        <v>702</v>
      </c>
      <c r="D174" s="36" t="s">
        <v>529</v>
      </c>
      <c r="E174" s="41">
        <v>1118</v>
      </c>
      <c r="F174" s="38">
        <v>19.085377999999999</v>
      </c>
      <c r="G174" s="39">
        <v>0.12698714547191101</v>
      </c>
      <c r="H174" s="42"/>
    </row>
    <row r="175" spans="2:8" x14ac:dyDescent="0.2">
      <c r="B175" s="36" t="s">
        <v>691</v>
      </c>
      <c r="C175" s="36" t="s">
        <v>692</v>
      </c>
      <c r="D175" s="36" t="s">
        <v>74</v>
      </c>
      <c r="E175" s="41">
        <v>364</v>
      </c>
      <c r="F175" s="38">
        <v>18.82244</v>
      </c>
      <c r="G175" s="39">
        <v>0.12523765190379399</v>
      </c>
      <c r="H175" s="42"/>
    </row>
    <row r="176" spans="2:8" x14ac:dyDescent="0.2">
      <c r="B176" s="36" t="s">
        <v>648</v>
      </c>
      <c r="C176" s="36" t="s">
        <v>649</v>
      </c>
      <c r="D176" s="36" t="s">
        <v>79</v>
      </c>
      <c r="E176" s="41">
        <v>1700</v>
      </c>
      <c r="F176" s="38">
        <v>18.776499999999999</v>
      </c>
      <c r="G176" s="39">
        <v>0.12493198389643299</v>
      </c>
      <c r="H176" s="42"/>
    </row>
    <row r="177" spans="2:8" x14ac:dyDescent="0.2">
      <c r="B177" s="36" t="s">
        <v>654</v>
      </c>
      <c r="C177" s="36" t="s">
        <v>655</v>
      </c>
      <c r="D177" s="36" t="s">
        <v>50</v>
      </c>
      <c r="E177" s="41">
        <v>1322</v>
      </c>
      <c r="F177" s="38">
        <v>18.776365999999999</v>
      </c>
      <c r="G177" s="39">
        <v>0.124931092309298</v>
      </c>
      <c r="H177" s="42"/>
    </row>
    <row r="178" spans="2:8" x14ac:dyDescent="0.2">
      <c r="B178" s="36" t="s">
        <v>689</v>
      </c>
      <c r="C178" s="36" t="s">
        <v>690</v>
      </c>
      <c r="D178" s="36" t="s">
        <v>62</v>
      </c>
      <c r="E178" s="41">
        <v>2733</v>
      </c>
      <c r="F178" s="38">
        <v>18.723783000000001</v>
      </c>
      <c r="G178" s="39">
        <v>0.12458122420239701</v>
      </c>
      <c r="H178" s="42"/>
    </row>
    <row r="179" spans="2:8" x14ac:dyDescent="0.2">
      <c r="B179" s="36" t="s">
        <v>869</v>
      </c>
      <c r="C179" s="36" t="s">
        <v>870</v>
      </c>
      <c r="D179" s="36" t="s">
        <v>82</v>
      </c>
      <c r="E179" s="41">
        <v>918</v>
      </c>
      <c r="F179" s="38">
        <v>18.648251999999999</v>
      </c>
      <c r="G179" s="39">
        <v>0.124078668471793</v>
      </c>
      <c r="H179" s="42"/>
    </row>
    <row r="180" spans="2:8" x14ac:dyDescent="0.2">
      <c r="B180" s="36" t="s">
        <v>873</v>
      </c>
      <c r="C180" s="36" t="s">
        <v>874</v>
      </c>
      <c r="D180" s="36" t="s">
        <v>82</v>
      </c>
      <c r="E180" s="41">
        <v>594</v>
      </c>
      <c r="F180" s="38">
        <v>18.607050000000001</v>
      </c>
      <c r="G180" s="39">
        <v>0.12380452538865799</v>
      </c>
      <c r="H180" s="42"/>
    </row>
    <row r="181" spans="2:8" x14ac:dyDescent="0.2">
      <c r="B181" s="36" t="s">
        <v>666</v>
      </c>
      <c r="C181" s="36" t="s">
        <v>667</v>
      </c>
      <c r="D181" s="36" t="s">
        <v>65</v>
      </c>
      <c r="E181" s="41">
        <v>15</v>
      </c>
      <c r="F181" s="38">
        <v>18.513000000000002</v>
      </c>
      <c r="G181" s="39">
        <v>0.123178750985257</v>
      </c>
      <c r="H181" s="42"/>
    </row>
    <row r="182" spans="2:8" x14ac:dyDescent="0.2">
      <c r="B182" s="36" t="s">
        <v>681</v>
      </c>
      <c r="C182" s="36" t="s">
        <v>682</v>
      </c>
      <c r="D182" s="36" t="s">
        <v>478</v>
      </c>
      <c r="E182" s="41">
        <v>519</v>
      </c>
      <c r="F182" s="38">
        <v>18.419309999999999</v>
      </c>
      <c r="G182" s="39">
        <v>0.122555371890577</v>
      </c>
      <c r="H182" s="42"/>
    </row>
    <row r="183" spans="2:8" x14ac:dyDescent="0.2">
      <c r="B183" s="36" t="s">
        <v>687</v>
      </c>
      <c r="C183" s="36" t="s">
        <v>688</v>
      </c>
      <c r="D183" s="36" t="s">
        <v>179</v>
      </c>
      <c r="E183" s="41">
        <v>140</v>
      </c>
      <c r="F183" s="38">
        <v>18.365200000000002</v>
      </c>
      <c r="G183" s="39">
        <v>0.122195343682517</v>
      </c>
      <c r="H183" s="42"/>
    </row>
    <row r="184" spans="2:8" x14ac:dyDescent="0.2">
      <c r="B184" s="36" t="s">
        <v>683</v>
      </c>
      <c r="C184" s="36" t="s">
        <v>684</v>
      </c>
      <c r="D184" s="36" t="s">
        <v>635</v>
      </c>
      <c r="E184" s="41">
        <v>1019</v>
      </c>
      <c r="F184" s="38">
        <v>18.363399000000001</v>
      </c>
      <c r="G184" s="39">
        <v>0.122183360485276</v>
      </c>
      <c r="H184" s="42"/>
    </row>
    <row r="185" spans="2:8" x14ac:dyDescent="0.2">
      <c r="B185" s="36" t="s">
        <v>685</v>
      </c>
      <c r="C185" s="36" t="s">
        <v>686</v>
      </c>
      <c r="D185" s="36" t="s">
        <v>610</v>
      </c>
      <c r="E185" s="41">
        <v>650</v>
      </c>
      <c r="F185" s="38">
        <v>18.037500000000001</v>
      </c>
      <c r="G185" s="39">
        <v>0.12001494738273499</v>
      </c>
      <c r="H185" s="42"/>
    </row>
    <row r="186" spans="2:8" x14ac:dyDescent="0.2">
      <c r="B186" s="36" t="s">
        <v>877</v>
      </c>
      <c r="C186" s="36" t="s">
        <v>878</v>
      </c>
      <c r="D186" s="36" t="s">
        <v>82</v>
      </c>
      <c r="E186" s="41">
        <v>1541</v>
      </c>
      <c r="F186" s="38">
        <v>17.875599999999999</v>
      </c>
      <c r="G186" s="39">
        <v>0.11893772382175</v>
      </c>
      <c r="H186" s="42"/>
    </row>
    <row r="187" spans="2:8" x14ac:dyDescent="0.2">
      <c r="B187" s="36" t="s">
        <v>697</v>
      </c>
      <c r="C187" s="36" t="s">
        <v>698</v>
      </c>
      <c r="D187" s="36" t="s">
        <v>99</v>
      </c>
      <c r="E187" s="41">
        <v>1100</v>
      </c>
      <c r="F187" s="38">
        <v>17.478999999999999</v>
      </c>
      <c r="G187" s="39">
        <v>0.11629889204728</v>
      </c>
      <c r="H187" s="42"/>
    </row>
    <row r="188" spans="2:8" x14ac:dyDescent="0.2">
      <c r="B188" s="36" t="s">
        <v>167</v>
      </c>
      <c r="C188" s="36" t="s">
        <v>168</v>
      </c>
      <c r="D188" s="36" t="s">
        <v>44</v>
      </c>
      <c r="E188" s="41">
        <v>428</v>
      </c>
      <c r="F188" s="38">
        <v>17.383648000000001</v>
      </c>
      <c r="G188" s="39">
        <v>0.115664454610671</v>
      </c>
      <c r="H188" s="42"/>
    </row>
    <row r="189" spans="2:8" x14ac:dyDescent="0.2">
      <c r="B189" s="36" t="s">
        <v>839</v>
      </c>
      <c r="C189" s="36" t="s">
        <v>840</v>
      </c>
      <c r="D189" s="36" t="s">
        <v>28</v>
      </c>
      <c r="E189" s="41">
        <v>4982</v>
      </c>
      <c r="F189" s="38">
        <v>17.187899999999999</v>
      </c>
      <c r="G189" s="39">
        <v>0.11436201880081499</v>
      </c>
      <c r="H189" s="42"/>
    </row>
    <row r="190" spans="2:8" x14ac:dyDescent="0.2">
      <c r="B190" s="36" t="s">
        <v>668</v>
      </c>
      <c r="C190" s="36" t="s">
        <v>669</v>
      </c>
      <c r="D190" s="36" t="s">
        <v>50</v>
      </c>
      <c r="E190" s="41">
        <v>21702</v>
      </c>
      <c r="F190" s="38">
        <v>17.116367400000001</v>
      </c>
      <c r="G190" s="39">
        <v>0.113886066965741</v>
      </c>
      <c r="H190" s="42"/>
    </row>
    <row r="191" spans="2:8" x14ac:dyDescent="0.2">
      <c r="B191" s="36" t="s">
        <v>699</v>
      </c>
      <c r="C191" s="36" t="s">
        <v>700</v>
      </c>
      <c r="D191" s="36" t="s">
        <v>517</v>
      </c>
      <c r="E191" s="41">
        <v>6104</v>
      </c>
      <c r="F191" s="38">
        <v>16.544892000000001</v>
      </c>
      <c r="G191" s="39">
        <v>0.110083678050341</v>
      </c>
      <c r="H191" s="42"/>
    </row>
    <row r="192" spans="2:8" x14ac:dyDescent="0.2">
      <c r="B192" s="36" t="s">
        <v>1591</v>
      </c>
      <c r="C192" s="36" t="s">
        <v>141</v>
      </c>
      <c r="D192" s="36" t="s">
        <v>102</v>
      </c>
      <c r="E192" s="41">
        <v>13647</v>
      </c>
      <c r="F192" s="38">
        <v>16.516281800000002</v>
      </c>
      <c r="G192" s="39">
        <v>0.109893316212636</v>
      </c>
      <c r="H192" s="42"/>
    </row>
    <row r="193" spans="2:8" x14ac:dyDescent="0.2">
      <c r="B193" s="36" t="s">
        <v>1590</v>
      </c>
      <c r="C193" s="36" t="s">
        <v>140</v>
      </c>
      <c r="D193" s="36" t="s">
        <v>50</v>
      </c>
      <c r="E193" s="41">
        <v>13647</v>
      </c>
      <c r="F193" s="38">
        <v>16.516281800000002</v>
      </c>
      <c r="G193" s="39">
        <v>0.109893316212636</v>
      </c>
      <c r="H193" s="42"/>
    </row>
    <row r="194" spans="2:8" x14ac:dyDescent="0.2">
      <c r="B194" s="36" t="s">
        <v>1592</v>
      </c>
      <c r="C194" s="36" t="s">
        <v>142</v>
      </c>
      <c r="D194" s="36" t="s">
        <v>62</v>
      </c>
      <c r="E194" s="41">
        <v>13647</v>
      </c>
      <c r="F194" s="38">
        <v>16.516281800000002</v>
      </c>
      <c r="G194" s="39">
        <v>0.109893316212636</v>
      </c>
      <c r="H194" s="42"/>
    </row>
    <row r="195" spans="2:8" x14ac:dyDescent="0.2">
      <c r="B195" s="36" t="s">
        <v>1589</v>
      </c>
      <c r="C195" s="36" t="s">
        <v>138</v>
      </c>
      <c r="D195" s="36" t="s">
        <v>139</v>
      </c>
      <c r="E195" s="41">
        <v>13647</v>
      </c>
      <c r="F195" s="38">
        <v>16.516281800000002</v>
      </c>
      <c r="G195" s="39">
        <v>0.109893316212636</v>
      </c>
      <c r="H195" s="42"/>
    </row>
    <row r="196" spans="2:8" x14ac:dyDescent="0.2">
      <c r="B196" s="36" t="s">
        <v>833</v>
      </c>
      <c r="C196" s="36" t="s">
        <v>834</v>
      </c>
      <c r="D196" s="36" t="s">
        <v>131</v>
      </c>
      <c r="E196" s="41">
        <v>854</v>
      </c>
      <c r="F196" s="38">
        <v>16.454872000000002</v>
      </c>
      <c r="G196" s="39">
        <v>0.109484717797346</v>
      </c>
      <c r="H196" s="42"/>
    </row>
    <row r="197" spans="2:8" x14ac:dyDescent="0.2">
      <c r="B197" s="36" t="s">
        <v>115</v>
      </c>
      <c r="C197" s="36" t="s">
        <v>116</v>
      </c>
      <c r="D197" s="36" t="s">
        <v>91</v>
      </c>
      <c r="E197" s="41">
        <v>3137</v>
      </c>
      <c r="F197" s="38">
        <v>16.4331745</v>
      </c>
      <c r="G197" s="39">
        <v>0.109340350544632</v>
      </c>
      <c r="H197" s="42"/>
    </row>
    <row r="198" spans="2:8" x14ac:dyDescent="0.2">
      <c r="B198" s="36" t="s">
        <v>883</v>
      </c>
      <c r="C198" s="36" t="s">
        <v>884</v>
      </c>
      <c r="D198" s="36" t="s">
        <v>82</v>
      </c>
      <c r="E198" s="41">
        <v>96</v>
      </c>
      <c r="F198" s="38">
        <v>16.40448</v>
      </c>
      <c r="G198" s="39">
        <v>0.10914942780546801</v>
      </c>
      <c r="H198" s="42"/>
    </row>
    <row r="199" spans="2:8" x14ac:dyDescent="0.2">
      <c r="B199" s="36" t="s">
        <v>695</v>
      </c>
      <c r="C199" s="36" t="s">
        <v>696</v>
      </c>
      <c r="D199" s="36" t="s">
        <v>610</v>
      </c>
      <c r="E199" s="41">
        <v>933</v>
      </c>
      <c r="F199" s="38">
        <v>16.361087999999999</v>
      </c>
      <c r="G199" s="39">
        <v>0.108860713260945</v>
      </c>
      <c r="H199" s="42"/>
    </row>
    <row r="200" spans="2:8" x14ac:dyDescent="0.2">
      <c r="B200" s="36" t="s">
        <v>670</v>
      </c>
      <c r="C200" s="36" t="s">
        <v>671</v>
      </c>
      <c r="D200" s="36" t="s">
        <v>131</v>
      </c>
      <c r="E200" s="41">
        <v>5643</v>
      </c>
      <c r="F200" s="38">
        <v>16.172837999999999</v>
      </c>
      <c r="G200" s="39">
        <v>0.10760816640884199</v>
      </c>
      <c r="H200" s="42"/>
    </row>
    <row r="201" spans="2:8" x14ac:dyDescent="0.2">
      <c r="B201" s="36" t="s">
        <v>709</v>
      </c>
      <c r="C201" s="36" t="s">
        <v>710</v>
      </c>
      <c r="D201" s="36" t="s">
        <v>179</v>
      </c>
      <c r="E201" s="41">
        <v>321</v>
      </c>
      <c r="F201" s="38">
        <v>15.994467</v>
      </c>
      <c r="G201" s="39">
        <v>0.10642135082022899</v>
      </c>
      <c r="H201" s="42"/>
    </row>
    <row r="202" spans="2:8" x14ac:dyDescent="0.2">
      <c r="B202" s="36" t="s">
        <v>744</v>
      </c>
      <c r="C202" s="36" t="s">
        <v>745</v>
      </c>
      <c r="D202" s="36" t="s">
        <v>82</v>
      </c>
      <c r="E202" s="41">
        <v>59</v>
      </c>
      <c r="F202" s="38">
        <v>15.84445</v>
      </c>
      <c r="G202" s="39">
        <v>0.10542319240794799</v>
      </c>
      <c r="H202" s="42"/>
    </row>
    <row r="203" spans="2:8" x14ac:dyDescent="0.2">
      <c r="B203" s="36" t="s">
        <v>556</v>
      </c>
      <c r="C203" s="36" t="s">
        <v>557</v>
      </c>
      <c r="D203" s="36" t="s">
        <v>558</v>
      </c>
      <c r="E203" s="41">
        <v>644</v>
      </c>
      <c r="F203" s="38">
        <v>15.81986</v>
      </c>
      <c r="G203" s="39">
        <v>0.105259579515023</v>
      </c>
      <c r="H203" s="42"/>
    </row>
    <row r="204" spans="2:8" x14ac:dyDescent="0.2">
      <c r="B204" s="36" t="s">
        <v>466</v>
      </c>
      <c r="C204" s="36" t="s">
        <v>467</v>
      </c>
      <c r="D204" s="36" t="s">
        <v>112</v>
      </c>
      <c r="E204" s="41">
        <v>2633</v>
      </c>
      <c r="F204" s="38">
        <v>15.661084000000001</v>
      </c>
      <c r="G204" s="39">
        <v>0.10420314191082899</v>
      </c>
      <c r="H204" s="42"/>
    </row>
    <row r="205" spans="2:8" x14ac:dyDescent="0.2">
      <c r="B205" s="36" t="s">
        <v>845</v>
      </c>
      <c r="C205" s="36" t="s">
        <v>846</v>
      </c>
      <c r="D205" s="36" t="s">
        <v>454</v>
      </c>
      <c r="E205" s="41">
        <v>2063</v>
      </c>
      <c r="F205" s="38">
        <v>15.655075500000001</v>
      </c>
      <c r="G205" s="39">
        <v>0.10416316354291</v>
      </c>
      <c r="H205" s="42"/>
    </row>
    <row r="206" spans="2:8" x14ac:dyDescent="0.2">
      <c r="B206" s="36" t="s">
        <v>847</v>
      </c>
      <c r="C206" s="36" t="s">
        <v>848</v>
      </c>
      <c r="D206" s="36" t="s">
        <v>28</v>
      </c>
      <c r="E206" s="41">
        <v>7501</v>
      </c>
      <c r="F206" s="38">
        <v>15.624582999999999</v>
      </c>
      <c r="G206" s="39">
        <v>0.103960277567411</v>
      </c>
      <c r="H206" s="42"/>
    </row>
    <row r="207" spans="2:8" x14ac:dyDescent="0.2">
      <c r="B207" s="36" t="s">
        <v>851</v>
      </c>
      <c r="C207" s="36" t="s">
        <v>852</v>
      </c>
      <c r="D207" s="36" t="s">
        <v>454</v>
      </c>
      <c r="E207" s="41">
        <v>2145</v>
      </c>
      <c r="F207" s="38">
        <v>15.6231075</v>
      </c>
      <c r="G207" s="39">
        <v>0.10395046012847201</v>
      </c>
      <c r="H207" s="42"/>
    </row>
    <row r="208" spans="2:8" x14ac:dyDescent="0.2">
      <c r="B208" s="36" t="s">
        <v>693</v>
      </c>
      <c r="C208" s="36" t="s">
        <v>694</v>
      </c>
      <c r="D208" s="36" t="s">
        <v>517</v>
      </c>
      <c r="E208" s="41">
        <v>2012</v>
      </c>
      <c r="F208" s="38">
        <v>15.558795999999999</v>
      </c>
      <c r="G208" s="39">
        <v>0.10352255485952599</v>
      </c>
      <c r="H208" s="42"/>
    </row>
    <row r="209" spans="2:8" x14ac:dyDescent="0.2">
      <c r="B209" s="36" t="s">
        <v>707</v>
      </c>
      <c r="C209" s="36" t="s">
        <v>708</v>
      </c>
      <c r="D209" s="36" t="s">
        <v>478</v>
      </c>
      <c r="E209" s="41">
        <v>984</v>
      </c>
      <c r="F209" s="38">
        <v>15.529488000000001</v>
      </c>
      <c r="G209" s="39">
        <v>0.103327550115083</v>
      </c>
      <c r="H209" s="42"/>
    </row>
    <row r="210" spans="2:8" x14ac:dyDescent="0.2">
      <c r="B210" s="36" t="s">
        <v>867</v>
      </c>
      <c r="C210" s="36" t="s">
        <v>868</v>
      </c>
      <c r="D210" s="36" t="s">
        <v>139</v>
      </c>
      <c r="E210" s="41">
        <v>2802</v>
      </c>
      <c r="F210" s="38">
        <v>15.094374</v>
      </c>
      <c r="G210" s="39">
        <v>0.100432460229262</v>
      </c>
      <c r="H210" s="42"/>
    </row>
    <row r="211" spans="2:8" x14ac:dyDescent="0.2">
      <c r="B211" s="36" t="s">
        <v>1119</v>
      </c>
      <c r="C211" s="36" t="s">
        <v>1120</v>
      </c>
      <c r="D211" s="36" t="s">
        <v>558</v>
      </c>
      <c r="E211" s="41">
        <v>510</v>
      </c>
      <c r="F211" s="38">
        <v>14.80785</v>
      </c>
      <c r="G211" s="39">
        <v>9.8526034018097106E-2</v>
      </c>
      <c r="H211" s="42"/>
    </row>
    <row r="212" spans="2:8" x14ac:dyDescent="0.2">
      <c r="B212" s="36" t="s">
        <v>837</v>
      </c>
      <c r="C212" s="36" t="s">
        <v>838</v>
      </c>
      <c r="D212" s="36" t="s">
        <v>79</v>
      </c>
      <c r="E212" s="41">
        <v>4371</v>
      </c>
      <c r="F212" s="38">
        <v>14.743383</v>
      </c>
      <c r="G212" s="39">
        <v>9.8097094108856697E-2</v>
      </c>
      <c r="H212" s="42"/>
    </row>
    <row r="213" spans="2:8" x14ac:dyDescent="0.2">
      <c r="B213" s="36" t="s">
        <v>703</v>
      </c>
      <c r="C213" s="36" t="s">
        <v>704</v>
      </c>
      <c r="D213" s="36" t="s">
        <v>65</v>
      </c>
      <c r="E213" s="41">
        <v>1329</v>
      </c>
      <c r="F213" s="38">
        <v>14.641593</v>
      </c>
      <c r="G213" s="39">
        <v>9.7419820567950899E-2</v>
      </c>
      <c r="H213" s="42"/>
    </row>
    <row r="214" spans="2:8" x14ac:dyDescent="0.2">
      <c r="B214" s="36" t="s">
        <v>855</v>
      </c>
      <c r="C214" s="36" t="s">
        <v>856</v>
      </c>
      <c r="D214" s="36" t="s">
        <v>39</v>
      </c>
      <c r="E214" s="41">
        <v>1511</v>
      </c>
      <c r="F214" s="38">
        <v>14.567551</v>
      </c>
      <c r="G214" s="39">
        <v>9.6927172100363307E-2</v>
      </c>
      <c r="H214" s="42"/>
    </row>
    <row r="215" spans="2:8" x14ac:dyDescent="0.2">
      <c r="B215" s="36" t="s">
        <v>835</v>
      </c>
      <c r="C215" s="36" t="s">
        <v>836</v>
      </c>
      <c r="D215" s="36" t="s">
        <v>79</v>
      </c>
      <c r="E215" s="41">
        <v>1165</v>
      </c>
      <c r="F215" s="38">
        <v>14.49959</v>
      </c>
      <c r="G215" s="39">
        <v>9.6474984389257099E-2</v>
      </c>
      <c r="H215" s="42"/>
    </row>
    <row r="216" spans="2:8" x14ac:dyDescent="0.2">
      <c r="B216" s="36" t="s">
        <v>849</v>
      </c>
      <c r="C216" s="36" t="s">
        <v>850</v>
      </c>
      <c r="D216" s="36" t="s">
        <v>28</v>
      </c>
      <c r="E216" s="41">
        <v>5670</v>
      </c>
      <c r="F216" s="38">
        <v>14.484014999999999</v>
      </c>
      <c r="G216" s="39">
        <v>9.6371354018890604E-2</v>
      </c>
      <c r="H216" s="42"/>
    </row>
    <row r="217" spans="2:8" x14ac:dyDescent="0.2">
      <c r="B217" s="36" t="s">
        <v>569</v>
      </c>
      <c r="C217" s="36" t="s">
        <v>570</v>
      </c>
      <c r="D217" s="36" t="s">
        <v>571</v>
      </c>
      <c r="E217" s="41">
        <v>836</v>
      </c>
      <c r="F217" s="38">
        <v>14.232900000000001</v>
      </c>
      <c r="G217" s="39">
        <v>9.47005263813568E-2</v>
      </c>
      <c r="H217" s="42"/>
    </row>
    <row r="218" spans="2:8" x14ac:dyDescent="0.2">
      <c r="B218" s="36" t="s">
        <v>717</v>
      </c>
      <c r="C218" s="36" t="s">
        <v>718</v>
      </c>
      <c r="D218" s="36" t="s">
        <v>478</v>
      </c>
      <c r="E218" s="41">
        <v>316</v>
      </c>
      <c r="F218" s="38">
        <v>14.231375999999999</v>
      </c>
      <c r="G218" s="39">
        <v>9.4690386241103902E-2</v>
      </c>
      <c r="H218" s="42"/>
    </row>
    <row r="219" spans="2:8" x14ac:dyDescent="0.2">
      <c r="B219" s="36" t="s">
        <v>859</v>
      </c>
      <c r="C219" s="36" t="s">
        <v>860</v>
      </c>
      <c r="D219" s="36" t="s">
        <v>478</v>
      </c>
      <c r="E219" s="41">
        <v>1031</v>
      </c>
      <c r="F219" s="38">
        <v>14.195838999999999</v>
      </c>
      <c r="G219" s="39">
        <v>9.4453936002149505E-2</v>
      </c>
      <c r="H219" s="42"/>
    </row>
    <row r="220" spans="2:8" x14ac:dyDescent="0.2">
      <c r="B220" s="36" t="s">
        <v>764</v>
      </c>
      <c r="C220" s="36" t="s">
        <v>765</v>
      </c>
      <c r="D220" s="36" t="s">
        <v>82</v>
      </c>
      <c r="E220" s="41">
        <v>473</v>
      </c>
      <c r="F220" s="38">
        <v>13.853697</v>
      </c>
      <c r="G220" s="39">
        <v>9.2177447900836998E-2</v>
      </c>
      <c r="H220" s="42"/>
    </row>
    <row r="221" spans="2:8" x14ac:dyDescent="0.2">
      <c r="B221" s="36" t="s">
        <v>772</v>
      </c>
      <c r="C221" s="36" t="s">
        <v>773</v>
      </c>
      <c r="D221" s="36" t="s">
        <v>33</v>
      </c>
      <c r="E221" s="41">
        <v>909</v>
      </c>
      <c r="F221" s="38">
        <v>13.594094999999999</v>
      </c>
      <c r="G221" s="39">
        <v>9.0450150860202097E-2</v>
      </c>
      <c r="H221" s="42"/>
    </row>
    <row r="222" spans="2:8" x14ac:dyDescent="0.2">
      <c r="B222" s="36" t="s">
        <v>853</v>
      </c>
      <c r="C222" s="36" t="s">
        <v>854</v>
      </c>
      <c r="D222" s="36" t="s">
        <v>33</v>
      </c>
      <c r="E222" s="41">
        <v>7542</v>
      </c>
      <c r="F222" s="38">
        <v>13.5710748</v>
      </c>
      <c r="G222" s="39">
        <v>9.0296982844027998E-2</v>
      </c>
      <c r="H222" s="42"/>
    </row>
    <row r="223" spans="2:8" x14ac:dyDescent="0.2">
      <c r="B223" s="36" t="s">
        <v>173</v>
      </c>
      <c r="C223" s="36" t="s">
        <v>174</v>
      </c>
      <c r="D223" s="36" t="s">
        <v>131</v>
      </c>
      <c r="E223" s="41">
        <v>4434</v>
      </c>
      <c r="F223" s="38">
        <v>13.463841</v>
      </c>
      <c r="G223" s="39">
        <v>8.95834882430772E-2</v>
      </c>
      <c r="H223" s="42"/>
    </row>
    <row r="224" spans="2:8" x14ac:dyDescent="0.2">
      <c r="B224" s="36" t="s">
        <v>715</v>
      </c>
      <c r="C224" s="36" t="s">
        <v>716</v>
      </c>
      <c r="D224" s="36" t="s">
        <v>65</v>
      </c>
      <c r="E224" s="41">
        <v>3412</v>
      </c>
      <c r="F224" s="38">
        <v>13.187379999999999</v>
      </c>
      <c r="G224" s="39">
        <v>8.7744017564303597E-2</v>
      </c>
      <c r="H224" s="42"/>
    </row>
    <row r="225" spans="2:8" x14ac:dyDescent="0.2">
      <c r="B225" s="36" t="s">
        <v>736</v>
      </c>
      <c r="C225" s="36" t="s">
        <v>737</v>
      </c>
      <c r="D225" s="36" t="s">
        <v>508</v>
      </c>
      <c r="E225" s="41">
        <v>361</v>
      </c>
      <c r="F225" s="38">
        <v>13.10069</v>
      </c>
      <c r="G225" s="39">
        <v>8.71672139169795E-2</v>
      </c>
      <c r="H225" s="42"/>
    </row>
    <row r="226" spans="2:8" x14ac:dyDescent="0.2">
      <c r="B226" s="36" t="s">
        <v>721</v>
      </c>
      <c r="C226" s="36" t="s">
        <v>722</v>
      </c>
      <c r="D226" s="36" t="s">
        <v>28</v>
      </c>
      <c r="E226" s="41">
        <v>9351</v>
      </c>
      <c r="F226" s="38">
        <v>13.082984099999999</v>
      </c>
      <c r="G226" s="39">
        <v>8.7049405315074296E-2</v>
      </c>
      <c r="H226" s="42"/>
    </row>
    <row r="227" spans="2:8" x14ac:dyDescent="0.2">
      <c r="B227" s="36" t="s">
        <v>778</v>
      </c>
      <c r="C227" s="36" t="s">
        <v>779</v>
      </c>
      <c r="D227" s="36" t="s">
        <v>463</v>
      </c>
      <c r="E227" s="41">
        <v>6793</v>
      </c>
      <c r="F227" s="38">
        <v>13.062939</v>
      </c>
      <c r="G227" s="39">
        <v>8.6916032529389994E-2</v>
      </c>
      <c r="H227" s="42"/>
    </row>
    <row r="228" spans="2:8" x14ac:dyDescent="0.2">
      <c r="B228" s="36" t="s">
        <v>713</v>
      </c>
      <c r="C228" s="36" t="s">
        <v>714</v>
      </c>
      <c r="D228" s="36" t="s">
        <v>65</v>
      </c>
      <c r="E228" s="41">
        <v>586</v>
      </c>
      <c r="F228" s="38">
        <v>12.92423</v>
      </c>
      <c r="G228" s="39">
        <v>8.5993113425494594E-2</v>
      </c>
      <c r="H228" s="42"/>
    </row>
    <row r="229" spans="2:8" x14ac:dyDescent="0.2">
      <c r="B229" s="36" t="s">
        <v>809</v>
      </c>
      <c r="C229" s="36" t="s">
        <v>810</v>
      </c>
      <c r="D229" s="36" t="s">
        <v>438</v>
      </c>
      <c r="E229" s="41">
        <v>4644</v>
      </c>
      <c r="F229" s="38">
        <v>12.784932</v>
      </c>
      <c r="G229" s="39">
        <v>8.5066275330386104E-2</v>
      </c>
      <c r="H229" s="42"/>
    </row>
    <row r="230" spans="2:8" x14ac:dyDescent="0.2">
      <c r="B230" s="36" t="s">
        <v>554</v>
      </c>
      <c r="C230" s="36" t="s">
        <v>555</v>
      </c>
      <c r="D230" s="36" t="s">
        <v>131</v>
      </c>
      <c r="E230" s="41">
        <v>13103</v>
      </c>
      <c r="F230" s="38">
        <v>12.7767353</v>
      </c>
      <c r="G230" s="39">
        <v>8.5011737477623195E-2</v>
      </c>
      <c r="H230" s="42"/>
    </row>
    <row r="231" spans="2:8" x14ac:dyDescent="0.2">
      <c r="B231" s="36" t="s">
        <v>652</v>
      </c>
      <c r="C231" s="36" t="s">
        <v>653</v>
      </c>
      <c r="D231" s="36" t="s">
        <v>524</v>
      </c>
      <c r="E231" s="41">
        <v>618</v>
      </c>
      <c r="F231" s="38">
        <v>12.730181999999999</v>
      </c>
      <c r="G231" s="39">
        <v>8.4701988795710906E-2</v>
      </c>
      <c r="H231" s="42"/>
    </row>
    <row r="232" spans="2:8" x14ac:dyDescent="0.2">
      <c r="B232" s="36" t="s">
        <v>175</v>
      </c>
      <c r="C232" s="36" t="s">
        <v>176</v>
      </c>
      <c r="D232" s="36" t="s">
        <v>79</v>
      </c>
      <c r="E232" s="41">
        <v>1155</v>
      </c>
      <c r="F232" s="38">
        <v>12.70731</v>
      </c>
      <c r="G232" s="39">
        <v>8.4549806848293704E-2</v>
      </c>
      <c r="H232" s="42"/>
    </row>
    <row r="233" spans="2:8" x14ac:dyDescent="0.2">
      <c r="B233" s="36" t="s">
        <v>875</v>
      </c>
      <c r="C233" s="36" t="s">
        <v>876</v>
      </c>
      <c r="D233" s="36" t="s">
        <v>478</v>
      </c>
      <c r="E233" s="41">
        <v>655</v>
      </c>
      <c r="F233" s="38">
        <v>12.628399999999999</v>
      </c>
      <c r="G233" s="39">
        <v>8.4024768483887805E-2</v>
      </c>
      <c r="H233" s="42"/>
    </row>
    <row r="234" spans="2:8" x14ac:dyDescent="0.2">
      <c r="B234" s="36" t="s">
        <v>725</v>
      </c>
      <c r="C234" s="36" t="s">
        <v>726</v>
      </c>
      <c r="D234" s="36" t="s">
        <v>28</v>
      </c>
      <c r="E234" s="41">
        <v>15888</v>
      </c>
      <c r="F234" s="38">
        <v>12.5944176</v>
      </c>
      <c r="G234" s="39">
        <v>8.3798661986427506E-2</v>
      </c>
      <c r="H234" s="42"/>
    </row>
    <row r="235" spans="2:8" x14ac:dyDescent="0.2">
      <c r="B235" s="36" t="s">
        <v>638</v>
      </c>
      <c r="C235" s="36" t="s">
        <v>639</v>
      </c>
      <c r="D235" s="36" t="s">
        <v>44</v>
      </c>
      <c r="E235" s="41">
        <v>549</v>
      </c>
      <c r="F235" s="38">
        <v>12.469986</v>
      </c>
      <c r="G235" s="39">
        <v>8.2970739495685994E-2</v>
      </c>
      <c r="H235" s="42"/>
    </row>
    <row r="236" spans="2:8" x14ac:dyDescent="0.2">
      <c r="B236" s="36" t="s">
        <v>738</v>
      </c>
      <c r="C236" s="36" t="s">
        <v>739</v>
      </c>
      <c r="D236" s="36" t="s">
        <v>508</v>
      </c>
      <c r="E236" s="41">
        <v>173</v>
      </c>
      <c r="F236" s="38">
        <v>12.463785</v>
      </c>
      <c r="G236" s="39">
        <v>8.2929480302964195E-2</v>
      </c>
      <c r="H236" s="42"/>
    </row>
    <row r="237" spans="2:8" x14ac:dyDescent="0.2">
      <c r="B237" s="36" t="s">
        <v>926</v>
      </c>
      <c r="C237" s="36" t="s">
        <v>927</v>
      </c>
      <c r="D237" s="36" t="s">
        <v>82</v>
      </c>
      <c r="E237" s="41">
        <v>1610</v>
      </c>
      <c r="F237" s="38">
        <v>12.458985</v>
      </c>
      <c r="G237" s="39">
        <v>8.2897542853348799E-2</v>
      </c>
      <c r="H237" s="42"/>
    </row>
    <row r="238" spans="2:8" x14ac:dyDescent="0.2">
      <c r="B238" s="36" t="s">
        <v>841</v>
      </c>
      <c r="C238" s="36" t="s">
        <v>842</v>
      </c>
      <c r="D238" s="36" t="s">
        <v>131</v>
      </c>
      <c r="E238" s="41">
        <v>1200</v>
      </c>
      <c r="F238" s="38">
        <v>12.366</v>
      </c>
      <c r="G238" s="39">
        <v>8.2278854571581198E-2</v>
      </c>
      <c r="H238" s="42"/>
    </row>
    <row r="239" spans="2:8" x14ac:dyDescent="0.2">
      <c r="B239" s="36" t="s">
        <v>711</v>
      </c>
      <c r="C239" s="36" t="s">
        <v>712</v>
      </c>
      <c r="D239" s="36" t="s">
        <v>131</v>
      </c>
      <c r="E239" s="41">
        <v>1971</v>
      </c>
      <c r="F239" s="38">
        <v>12.306924</v>
      </c>
      <c r="G239" s="39">
        <v>8.1885784410440102E-2</v>
      </c>
      <c r="H239" s="42"/>
    </row>
    <row r="240" spans="2:8" x14ac:dyDescent="0.2">
      <c r="B240" s="36" t="s">
        <v>159</v>
      </c>
      <c r="C240" s="36" t="s">
        <v>160</v>
      </c>
      <c r="D240" s="36" t="s">
        <v>65</v>
      </c>
      <c r="E240" s="41">
        <v>298</v>
      </c>
      <c r="F240" s="38">
        <v>12.303526</v>
      </c>
      <c r="G240" s="39">
        <v>8.1863175357566598E-2</v>
      </c>
      <c r="H240" s="42"/>
    </row>
    <row r="241" spans="2:8" x14ac:dyDescent="0.2">
      <c r="B241" s="36" t="s">
        <v>742</v>
      </c>
      <c r="C241" s="36" t="s">
        <v>743</v>
      </c>
      <c r="D241" s="36" t="s">
        <v>99</v>
      </c>
      <c r="E241" s="41">
        <v>2445</v>
      </c>
      <c r="F241" s="38">
        <v>12.23967</v>
      </c>
      <c r="G241" s="39">
        <v>8.1438300819516807E-2</v>
      </c>
      <c r="H241" s="42"/>
    </row>
    <row r="242" spans="2:8" x14ac:dyDescent="0.2">
      <c r="B242" s="36" t="s">
        <v>887</v>
      </c>
      <c r="C242" s="36" t="s">
        <v>888</v>
      </c>
      <c r="D242" s="36" t="s">
        <v>508</v>
      </c>
      <c r="E242" s="41">
        <v>2016</v>
      </c>
      <c r="F242" s="38">
        <v>12.226032</v>
      </c>
      <c r="G242" s="39">
        <v>8.1347558540797199E-2</v>
      </c>
      <c r="H242" s="42"/>
    </row>
    <row r="243" spans="2:8" x14ac:dyDescent="0.2">
      <c r="B243" s="36" t="s">
        <v>881</v>
      </c>
      <c r="C243" s="36" t="s">
        <v>882</v>
      </c>
      <c r="D243" s="36" t="s">
        <v>47</v>
      </c>
      <c r="E243" s="41">
        <v>926</v>
      </c>
      <c r="F243" s="38">
        <v>12.084300000000001</v>
      </c>
      <c r="G243" s="39">
        <v>8.04045254972795E-2</v>
      </c>
      <c r="H243" s="42"/>
    </row>
    <row r="244" spans="2:8" x14ac:dyDescent="0.2">
      <c r="B244" s="36" t="s">
        <v>799</v>
      </c>
      <c r="C244" s="36" t="s">
        <v>800</v>
      </c>
      <c r="D244" s="36" t="s">
        <v>801</v>
      </c>
      <c r="E244" s="41">
        <v>527</v>
      </c>
      <c r="F244" s="38">
        <v>12.030355999999999</v>
      </c>
      <c r="G244" s="39">
        <v>8.0045601792685495E-2</v>
      </c>
      <c r="H244" s="42"/>
    </row>
    <row r="245" spans="2:8" x14ac:dyDescent="0.2">
      <c r="B245" s="36" t="s">
        <v>660</v>
      </c>
      <c r="C245" s="36" t="s">
        <v>661</v>
      </c>
      <c r="D245" s="36" t="s">
        <v>524</v>
      </c>
      <c r="E245" s="41">
        <v>2702</v>
      </c>
      <c r="F245" s="38">
        <v>11.980668</v>
      </c>
      <c r="G245" s="39">
        <v>7.9714995960083801E-2</v>
      </c>
      <c r="H245" s="42"/>
    </row>
    <row r="246" spans="2:8" x14ac:dyDescent="0.2">
      <c r="B246" s="36" t="s">
        <v>942</v>
      </c>
      <c r="C246" s="36" t="s">
        <v>943</v>
      </c>
      <c r="D246" s="36" t="s">
        <v>82</v>
      </c>
      <c r="E246" s="41">
        <v>6815</v>
      </c>
      <c r="F246" s="38">
        <v>11.775638499999999</v>
      </c>
      <c r="G246" s="39">
        <v>7.8350804433851895E-2</v>
      </c>
      <c r="H246" s="42"/>
    </row>
    <row r="247" spans="2:8" x14ac:dyDescent="0.2">
      <c r="B247" s="36" t="s">
        <v>792</v>
      </c>
      <c r="C247" s="36" t="s">
        <v>793</v>
      </c>
      <c r="D247" s="36" t="s">
        <v>147</v>
      </c>
      <c r="E247" s="41">
        <v>889</v>
      </c>
      <c r="F247" s="38">
        <v>11.7348</v>
      </c>
      <c r="G247" s="39">
        <v>7.8079079947160804E-2</v>
      </c>
      <c r="H247" s="42"/>
    </row>
    <row r="248" spans="2:8" x14ac:dyDescent="0.2">
      <c r="B248" s="36" t="s">
        <v>863</v>
      </c>
      <c r="C248" s="36" t="s">
        <v>864</v>
      </c>
      <c r="D248" s="36" t="s">
        <v>131</v>
      </c>
      <c r="E248" s="41">
        <v>3606</v>
      </c>
      <c r="F248" s="38">
        <v>11.733924</v>
      </c>
      <c r="G248" s="39">
        <v>7.8073251362605997E-2</v>
      </c>
      <c r="H248" s="42"/>
    </row>
    <row r="249" spans="2:8" x14ac:dyDescent="0.2">
      <c r="B249" s="36" t="s">
        <v>889</v>
      </c>
      <c r="C249" s="36" t="s">
        <v>890</v>
      </c>
      <c r="D249" s="36" t="s">
        <v>71</v>
      </c>
      <c r="E249" s="41">
        <v>814</v>
      </c>
      <c r="F249" s="38">
        <v>11.549846000000001</v>
      </c>
      <c r="G249" s="39">
        <v>7.6848463477127496E-2</v>
      </c>
      <c r="H249" s="42"/>
    </row>
    <row r="250" spans="2:8" x14ac:dyDescent="0.2">
      <c r="B250" s="36" t="s">
        <v>748</v>
      </c>
      <c r="C250" s="36" t="s">
        <v>749</v>
      </c>
      <c r="D250" s="36" t="s">
        <v>74</v>
      </c>
      <c r="E250" s="41">
        <v>651</v>
      </c>
      <c r="F250" s="38">
        <v>11.380782</v>
      </c>
      <c r="G250" s="39">
        <v>7.5723573272591702E-2</v>
      </c>
      <c r="H250" s="42"/>
    </row>
    <row r="251" spans="2:8" x14ac:dyDescent="0.2">
      <c r="B251" s="36" t="s">
        <v>1221</v>
      </c>
      <c r="C251" s="36" t="s">
        <v>1222</v>
      </c>
      <c r="D251" s="36" t="s">
        <v>1223</v>
      </c>
      <c r="E251" s="41">
        <v>2178</v>
      </c>
      <c r="F251" s="38">
        <v>11.334312000000001</v>
      </c>
      <c r="G251" s="39">
        <v>7.5414378838502993E-2</v>
      </c>
      <c r="H251" s="42"/>
    </row>
    <row r="252" spans="2:8" x14ac:dyDescent="0.2">
      <c r="B252" s="36" t="s">
        <v>746</v>
      </c>
      <c r="C252" s="36" t="s">
        <v>747</v>
      </c>
      <c r="D252" s="36" t="s">
        <v>47</v>
      </c>
      <c r="E252" s="41">
        <v>4576</v>
      </c>
      <c r="F252" s="38">
        <v>11.231792</v>
      </c>
      <c r="G252" s="39">
        <v>7.47322481438015E-2</v>
      </c>
      <c r="H252" s="42"/>
    </row>
    <row r="253" spans="2:8" x14ac:dyDescent="0.2">
      <c r="B253" s="36" t="s">
        <v>902</v>
      </c>
      <c r="C253" s="36" t="s">
        <v>903</v>
      </c>
      <c r="D253" s="36" t="s">
        <v>454</v>
      </c>
      <c r="E253" s="41">
        <v>671</v>
      </c>
      <c r="F253" s="38">
        <v>10.785653999999999</v>
      </c>
      <c r="G253" s="39">
        <v>7.1763808582030797E-2</v>
      </c>
      <c r="H253" s="42"/>
    </row>
    <row r="254" spans="2:8" x14ac:dyDescent="0.2">
      <c r="B254" s="36" t="s">
        <v>719</v>
      </c>
      <c r="C254" s="36" t="s">
        <v>720</v>
      </c>
      <c r="D254" s="36" t="s">
        <v>495</v>
      </c>
      <c r="E254" s="41">
        <v>6930</v>
      </c>
      <c r="F254" s="38">
        <v>10.731104999999999</v>
      </c>
      <c r="G254" s="39">
        <v>7.1400859428058197E-2</v>
      </c>
      <c r="H254" s="42"/>
    </row>
    <row r="255" spans="2:8" x14ac:dyDescent="0.2">
      <c r="B255" s="36" t="s">
        <v>727</v>
      </c>
      <c r="C255" s="36" t="s">
        <v>728</v>
      </c>
      <c r="D255" s="36" t="s">
        <v>131</v>
      </c>
      <c r="E255" s="41">
        <v>1966</v>
      </c>
      <c r="F255" s="38">
        <v>10.481729</v>
      </c>
      <c r="G255" s="39">
        <v>6.9741602462374694E-2</v>
      </c>
      <c r="H255" s="42"/>
    </row>
    <row r="256" spans="2:8" x14ac:dyDescent="0.2">
      <c r="B256" s="36" t="s">
        <v>906</v>
      </c>
      <c r="C256" s="36" t="s">
        <v>907</v>
      </c>
      <c r="D256" s="36" t="s">
        <v>478</v>
      </c>
      <c r="E256" s="41">
        <v>1814</v>
      </c>
      <c r="F256" s="38">
        <v>10.402383</v>
      </c>
      <c r="G256" s="39">
        <v>6.9213663112961996E-2</v>
      </c>
      <c r="H256" s="42"/>
    </row>
    <row r="257" spans="2:8" x14ac:dyDescent="0.2">
      <c r="B257" s="36" t="s">
        <v>762</v>
      </c>
      <c r="C257" s="36" t="s">
        <v>763</v>
      </c>
      <c r="D257" s="36" t="s">
        <v>179</v>
      </c>
      <c r="E257" s="41">
        <v>974</v>
      </c>
      <c r="F257" s="38">
        <v>10.33414</v>
      </c>
      <c r="G257" s="39">
        <v>6.8759599076690894E-2</v>
      </c>
      <c r="H257" s="42"/>
    </row>
    <row r="258" spans="2:8" x14ac:dyDescent="0.2">
      <c r="B258" s="36" t="s">
        <v>723</v>
      </c>
      <c r="C258" s="36" t="s">
        <v>724</v>
      </c>
      <c r="D258" s="36" t="s">
        <v>495</v>
      </c>
      <c r="E258" s="41">
        <v>2406</v>
      </c>
      <c r="F258" s="38">
        <v>10.28565</v>
      </c>
      <c r="G258" s="39">
        <v>6.84369642992224E-2</v>
      </c>
      <c r="H258" s="42"/>
    </row>
    <row r="259" spans="2:8" x14ac:dyDescent="0.2">
      <c r="B259" s="36" t="s">
        <v>978</v>
      </c>
      <c r="C259" s="36" t="s">
        <v>979</v>
      </c>
      <c r="D259" s="36" t="s">
        <v>82</v>
      </c>
      <c r="E259" s="41">
        <v>1010</v>
      </c>
      <c r="F259" s="38">
        <v>10.260590000000001</v>
      </c>
      <c r="G259" s="39">
        <v>6.8270224197688897E-2</v>
      </c>
      <c r="H259" s="42"/>
    </row>
    <row r="260" spans="2:8" x14ac:dyDescent="0.2">
      <c r="B260" s="36" t="s">
        <v>900</v>
      </c>
      <c r="C260" s="36" t="s">
        <v>901</v>
      </c>
      <c r="D260" s="36" t="s">
        <v>478</v>
      </c>
      <c r="E260" s="41">
        <v>281</v>
      </c>
      <c r="F260" s="38">
        <v>10.201423999999999</v>
      </c>
      <c r="G260" s="39">
        <v>6.7876555209367501E-2</v>
      </c>
      <c r="H260" s="42"/>
    </row>
    <row r="261" spans="2:8" x14ac:dyDescent="0.2">
      <c r="B261" s="36" t="s">
        <v>805</v>
      </c>
      <c r="C261" s="36" t="s">
        <v>806</v>
      </c>
      <c r="D261" s="36" t="s">
        <v>82</v>
      </c>
      <c r="E261" s="41">
        <v>461</v>
      </c>
      <c r="F261" s="38">
        <v>10.189022</v>
      </c>
      <c r="G261" s="39">
        <v>6.7794036823923806E-2</v>
      </c>
      <c r="H261" s="42"/>
    </row>
    <row r="262" spans="2:8" x14ac:dyDescent="0.2">
      <c r="B262" s="36" t="s">
        <v>879</v>
      </c>
      <c r="C262" s="36" t="s">
        <v>880</v>
      </c>
      <c r="D262" s="36" t="s">
        <v>131</v>
      </c>
      <c r="E262" s="41">
        <v>641</v>
      </c>
      <c r="F262" s="38">
        <v>10.14062</v>
      </c>
      <c r="G262" s="39">
        <v>6.7471987566364897E-2</v>
      </c>
      <c r="H262" s="42"/>
    </row>
    <row r="263" spans="2:8" x14ac:dyDescent="0.2">
      <c r="B263" s="36" t="s">
        <v>63</v>
      </c>
      <c r="C263" s="36" t="s">
        <v>64</v>
      </c>
      <c r="D263" s="36" t="s">
        <v>65</v>
      </c>
      <c r="E263" s="41">
        <v>2537</v>
      </c>
      <c r="F263" s="38">
        <v>10.008464999999999</v>
      </c>
      <c r="G263" s="39">
        <v>6.6592676388465194E-2</v>
      </c>
      <c r="H263" s="42"/>
    </row>
    <row r="264" spans="2:8" x14ac:dyDescent="0.2">
      <c r="B264" s="36" t="s">
        <v>760</v>
      </c>
      <c r="C264" s="36" t="s">
        <v>761</v>
      </c>
      <c r="D264" s="36" t="s">
        <v>558</v>
      </c>
      <c r="E264" s="41">
        <v>675</v>
      </c>
      <c r="F264" s="38">
        <v>9.9049499999999995</v>
      </c>
      <c r="G264" s="39">
        <v>6.5903925326603899E-2</v>
      </c>
      <c r="H264" s="42"/>
    </row>
    <row r="265" spans="2:8" x14ac:dyDescent="0.2">
      <c r="B265" s="36" t="s">
        <v>885</v>
      </c>
      <c r="C265" s="36" t="s">
        <v>886</v>
      </c>
      <c r="D265" s="36" t="s">
        <v>79</v>
      </c>
      <c r="E265" s="41">
        <v>282</v>
      </c>
      <c r="F265" s="38">
        <v>9.7309739999999998</v>
      </c>
      <c r="G265" s="39">
        <v>6.4746352465295004E-2</v>
      </c>
      <c r="H265" s="42"/>
    </row>
    <row r="266" spans="2:8" x14ac:dyDescent="0.2">
      <c r="B266" s="36" t="s">
        <v>898</v>
      </c>
      <c r="C266" s="36" t="s">
        <v>899</v>
      </c>
      <c r="D266" s="36" t="s">
        <v>454</v>
      </c>
      <c r="E266" s="41">
        <v>511</v>
      </c>
      <c r="F266" s="38">
        <v>9.6783400000000004</v>
      </c>
      <c r="G266" s="39">
        <v>6.4396145022991805E-2</v>
      </c>
      <c r="H266" s="42"/>
    </row>
    <row r="267" spans="2:8" x14ac:dyDescent="0.2">
      <c r="B267" s="36" t="s">
        <v>675</v>
      </c>
      <c r="C267" s="36" t="s">
        <v>676</v>
      </c>
      <c r="D267" s="36" t="s">
        <v>44</v>
      </c>
      <c r="E267" s="41">
        <v>97</v>
      </c>
      <c r="F267" s="38">
        <v>9.6650799999999997</v>
      </c>
      <c r="G267" s="39">
        <v>6.43079178184294E-2</v>
      </c>
      <c r="H267" s="42"/>
    </row>
    <row r="268" spans="2:8" x14ac:dyDescent="0.2">
      <c r="B268" s="36" t="s">
        <v>1039</v>
      </c>
      <c r="C268" s="36" t="s">
        <v>1040</v>
      </c>
      <c r="D268" s="36" t="s">
        <v>463</v>
      </c>
      <c r="E268" s="41">
        <v>916</v>
      </c>
      <c r="F268" s="38">
        <v>9.6528080000000003</v>
      </c>
      <c r="G268" s="39">
        <v>6.4226264405579506E-2</v>
      </c>
      <c r="H268" s="42"/>
    </row>
    <row r="269" spans="2:8" x14ac:dyDescent="0.2">
      <c r="B269" s="36" t="s">
        <v>891</v>
      </c>
      <c r="C269" s="36" t="s">
        <v>892</v>
      </c>
      <c r="D269" s="36" t="s">
        <v>131</v>
      </c>
      <c r="E269" s="41">
        <v>2517</v>
      </c>
      <c r="F269" s="38">
        <v>9.6363345000000002</v>
      </c>
      <c r="G269" s="39">
        <v>6.4116655743863105E-2</v>
      </c>
      <c r="H269" s="42"/>
    </row>
    <row r="270" spans="2:8" x14ac:dyDescent="0.2">
      <c r="B270" s="36" t="s">
        <v>914</v>
      </c>
      <c r="C270" s="36" t="s">
        <v>915</v>
      </c>
      <c r="D270" s="36" t="s">
        <v>478</v>
      </c>
      <c r="E270" s="41">
        <v>918</v>
      </c>
      <c r="F270" s="38">
        <v>9.4466789999999996</v>
      </c>
      <c r="G270" s="39">
        <v>6.2854757207294998E-2</v>
      </c>
      <c r="H270" s="42"/>
    </row>
    <row r="271" spans="2:8" x14ac:dyDescent="0.2">
      <c r="B271" s="36" t="s">
        <v>932</v>
      </c>
      <c r="C271" s="36" t="s">
        <v>933</v>
      </c>
      <c r="D271" s="36" t="s">
        <v>74</v>
      </c>
      <c r="E271" s="41">
        <v>1079</v>
      </c>
      <c r="F271" s="38">
        <v>9.4002479999999995</v>
      </c>
      <c r="G271" s="39">
        <v>6.2545822264984396E-2</v>
      </c>
      <c r="H271" s="42"/>
    </row>
    <row r="272" spans="2:8" x14ac:dyDescent="0.2">
      <c r="B272" s="36" t="s">
        <v>893</v>
      </c>
      <c r="C272" s="36" t="s">
        <v>894</v>
      </c>
      <c r="D272" s="36" t="s">
        <v>131</v>
      </c>
      <c r="E272" s="41">
        <v>5309</v>
      </c>
      <c r="F272" s="38">
        <v>9.3974609000000004</v>
      </c>
      <c r="G272" s="39">
        <v>6.2527277917937898E-2</v>
      </c>
      <c r="H272" s="42"/>
    </row>
    <row r="273" spans="2:8" x14ac:dyDescent="0.2">
      <c r="B273" s="36" t="s">
        <v>928</v>
      </c>
      <c r="C273" s="36" t="s">
        <v>929</v>
      </c>
      <c r="D273" s="36" t="s">
        <v>65</v>
      </c>
      <c r="E273" s="41">
        <v>103</v>
      </c>
      <c r="F273" s="38">
        <v>9.3462200000000006</v>
      </c>
      <c r="G273" s="39">
        <v>6.2186339655022099E-2</v>
      </c>
      <c r="H273" s="42"/>
    </row>
    <row r="274" spans="2:8" x14ac:dyDescent="0.2">
      <c r="B274" s="36" t="s">
        <v>1011</v>
      </c>
      <c r="C274" s="36" t="s">
        <v>1012</v>
      </c>
      <c r="D274" s="36" t="s">
        <v>82</v>
      </c>
      <c r="E274" s="41">
        <v>937</v>
      </c>
      <c r="F274" s="38">
        <v>9.32315</v>
      </c>
      <c r="G274" s="39">
        <v>6.2032840287808297E-2</v>
      </c>
      <c r="H274" s="42"/>
    </row>
    <row r="275" spans="2:8" x14ac:dyDescent="0.2">
      <c r="B275" s="36" t="s">
        <v>999</v>
      </c>
      <c r="C275" s="36" t="s">
        <v>1000</v>
      </c>
      <c r="D275" s="36" t="s">
        <v>454</v>
      </c>
      <c r="E275" s="41">
        <v>2108</v>
      </c>
      <c r="F275" s="38">
        <v>9.3173600000000008</v>
      </c>
      <c r="G275" s="39">
        <v>6.1994315739209799E-2</v>
      </c>
      <c r="H275" s="42"/>
    </row>
    <row r="276" spans="2:8" x14ac:dyDescent="0.2">
      <c r="B276" s="36" t="s">
        <v>559</v>
      </c>
      <c r="C276" s="36" t="s">
        <v>560</v>
      </c>
      <c r="D276" s="36" t="s">
        <v>131</v>
      </c>
      <c r="E276" s="41">
        <v>3021</v>
      </c>
      <c r="F276" s="38">
        <v>9.2412390000000002</v>
      </c>
      <c r="G276" s="39">
        <v>6.1487834363757397E-2</v>
      </c>
      <c r="H276" s="42"/>
    </row>
    <row r="277" spans="2:8" x14ac:dyDescent="0.2">
      <c r="B277" s="36" t="s">
        <v>910</v>
      </c>
      <c r="C277" s="36" t="s">
        <v>911</v>
      </c>
      <c r="D277" s="36" t="s">
        <v>435</v>
      </c>
      <c r="E277" s="41">
        <v>228</v>
      </c>
      <c r="F277" s="38">
        <v>9.2182680000000001</v>
      </c>
      <c r="G277" s="39">
        <v>6.1334993706441902E-2</v>
      </c>
      <c r="H277" s="42"/>
    </row>
    <row r="278" spans="2:8" x14ac:dyDescent="0.2">
      <c r="B278" s="36" t="s">
        <v>750</v>
      </c>
      <c r="C278" s="36" t="s">
        <v>751</v>
      </c>
      <c r="D278" s="36" t="s">
        <v>79</v>
      </c>
      <c r="E278" s="41">
        <v>1041</v>
      </c>
      <c r="F278" s="38">
        <v>9.1555949999999999</v>
      </c>
      <c r="G278" s="39">
        <v>6.0917990418995302E-2</v>
      </c>
      <c r="H278" s="42"/>
    </row>
    <row r="279" spans="2:8" x14ac:dyDescent="0.2">
      <c r="B279" s="36" t="s">
        <v>918</v>
      </c>
      <c r="C279" s="36" t="s">
        <v>919</v>
      </c>
      <c r="D279" s="36" t="s">
        <v>508</v>
      </c>
      <c r="E279" s="41">
        <v>539</v>
      </c>
      <c r="F279" s="38">
        <v>9.0659799999999997</v>
      </c>
      <c r="G279" s="39">
        <v>6.0321724888311799E-2</v>
      </c>
      <c r="H279" s="42"/>
    </row>
    <row r="280" spans="2:8" x14ac:dyDescent="0.2">
      <c r="B280" s="36" t="s">
        <v>774</v>
      </c>
      <c r="C280" s="36" t="s">
        <v>775</v>
      </c>
      <c r="D280" s="36" t="s">
        <v>435</v>
      </c>
      <c r="E280" s="41">
        <v>742</v>
      </c>
      <c r="F280" s="38">
        <v>8.9381319999999995</v>
      </c>
      <c r="G280" s="39">
        <v>5.9471070917806602E-2</v>
      </c>
      <c r="H280" s="42"/>
    </row>
    <row r="281" spans="2:8" x14ac:dyDescent="0.2">
      <c r="B281" s="36" t="s">
        <v>980</v>
      </c>
      <c r="C281" s="36" t="s">
        <v>981</v>
      </c>
      <c r="D281" s="36" t="s">
        <v>529</v>
      </c>
      <c r="E281" s="41">
        <v>1349</v>
      </c>
      <c r="F281" s="38">
        <v>8.8002015</v>
      </c>
      <c r="G281" s="39">
        <v>5.8553331669020797E-2</v>
      </c>
      <c r="H281" s="42"/>
    </row>
    <row r="282" spans="2:8" x14ac:dyDescent="0.2">
      <c r="B282" s="36" t="s">
        <v>916</v>
      </c>
      <c r="C282" s="36" t="s">
        <v>917</v>
      </c>
      <c r="D282" s="36" t="s">
        <v>508</v>
      </c>
      <c r="E282" s="41">
        <v>1143</v>
      </c>
      <c r="F282" s="38">
        <v>8.6639400000000002</v>
      </c>
      <c r="G282" s="39">
        <v>5.7646697337611602E-2</v>
      </c>
      <c r="H282" s="42"/>
    </row>
    <row r="283" spans="2:8" x14ac:dyDescent="0.2">
      <c r="B283" s="36" t="s">
        <v>940</v>
      </c>
      <c r="C283" s="36" t="s">
        <v>941</v>
      </c>
      <c r="D283" s="36" t="s">
        <v>65</v>
      </c>
      <c r="E283" s="41">
        <v>977</v>
      </c>
      <c r="F283" s="38">
        <v>8.657197</v>
      </c>
      <c r="G283" s="39">
        <v>5.76018318745374E-2</v>
      </c>
      <c r="H283" s="42"/>
    </row>
    <row r="284" spans="2:8" x14ac:dyDescent="0.2">
      <c r="B284" s="36" t="s">
        <v>1031</v>
      </c>
      <c r="C284" s="36" t="s">
        <v>1032</v>
      </c>
      <c r="D284" s="36" t="s">
        <v>82</v>
      </c>
      <c r="E284" s="41">
        <v>615</v>
      </c>
      <c r="F284" s="38">
        <v>8.6038499999999996</v>
      </c>
      <c r="G284" s="39">
        <v>5.7246880390239299E-2</v>
      </c>
      <c r="H284" s="42"/>
    </row>
    <row r="285" spans="2:8" x14ac:dyDescent="0.2">
      <c r="B285" s="36" t="s">
        <v>1043</v>
      </c>
      <c r="C285" s="36" t="s">
        <v>1044</v>
      </c>
      <c r="D285" s="36" t="s">
        <v>91</v>
      </c>
      <c r="E285" s="41">
        <v>495</v>
      </c>
      <c r="F285" s="38">
        <v>8.5892400000000002</v>
      </c>
      <c r="G285" s="39">
        <v>5.7149670777972499E-2</v>
      </c>
      <c r="H285" s="42"/>
    </row>
    <row r="286" spans="2:8" x14ac:dyDescent="0.2">
      <c r="B286" s="36" t="s">
        <v>756</v>
      </c>
      <c r="C286" s="36" t="s">
        <v>757</v>
      </c>
      <c r="D286" s="36" t="s">
        <v>131</v>
      </c>
      <c r="E286" s="41">
        <v>1773</v>
      </c>
      <c r="F286" s="38">
        <v>8.4882375000000003</v>
      </c>
      <c r="G286" s="39">
        <v>5.6477636974894198E-2</v>
      </c>
      <c r="H286" s="42"/>
    </row>
    <row r="287" spans="2:8" x14ac:dyDescent="0.2">
      <c r="B287" s="36" t="s">
        <v>936</v>
      </c>
      <c r="C287" s="36" t="s">
        <v>937</v>
      </c>
      <c r="D287" s="36" t="s">
        <v>508</v>
      </c>
      <c r="E287" s="41">
        <v>122</v>
      </c>
      <c r="F287" s="38">
        <v>8.3637099999999993</v>
      </c>
      <c r="G287" s="39">
        <v>5.5649076400524002E-2</v>
      </c>
      <c r="H287" s="42"/>
    </row>
    <row r="288" spans="2:8" x14ac:dyDescent="0.2">
      <c r="B288" s="36" t="s">
        <v>964</v>
      </c>
      <c r="C288" s="36" t="s">
        <v>965</v>
      </c>
      <c r="D288" s="36" t="s">
        <v>508</v>
      </c>
      <c r="E288" s="41">
        <v>585</v>
      </c>
      <c r="F288" s="38">
        <v>8.2490849999999991</v>
      </c>
      <c r="G288" s="39">
        <v>5.4886403450073701E-2</v>
      </c>
      <c r="H288" s="42"/>
    </row>
    <row r="289" spans="2:9" x14ac:dyDescent="0.2">
      <c r="B289" s="36" t="s">
        <v>954</v>
      </c>
      <c r="C289" s="36" t="s">
        <v>955</v>
      </c>
      <c r="D289" s="36" t="s">
        <v>478</v>
      </c>
      <c r="E289" s="41">
        <v>50</v>
      </c>
      <c r="F289" s="38">
        <v>8.0954999999999995</v>
      </c>
      <c r="G289" s="39">
        <v>5.3864504866912098E-2</v>
      </c>
      <c r="H289" s="42"/>
    </row>
    <row r="290" spans="2:9" x14ac:dyDescent="0.2">
      <c r="B290" s="36" t="s">
        <v>1188</v>
      </c>
      <c r="C290" s="36" t="s">
        <v>1189</v>
      </c>
      <c r="D290" s="36" t="s">
        <v>71</v>
      </c>
      <c r="E290" s="41">
        <v>2740</v>
      </c>
      <c r="F290" s="38">
        <v>8.0090199999999996</v>
      </c>
      <c r="G290" s="39">
        <v>5.3289098483008703E-2</v>
      </c>
      <c r="H290" s="42"/>
    </row>
    <row r="291" spans="2:9" x14ac:dyDescent="0.2">
      <c r="B291" s="36" t="s">
        <v>966</v>
      </c>
      <c r="C291" s="36" t="s">
        <v>967</v>
      </c>
      <c r="D291" s="36" t="s">
        <v>517</v>
      </c>
      <c r="E291" s="41">
        <v>1041</v>
      </c>
      <c r="F291" s="38">
        <v>7.7913645000000002</v>
      </c>
      <c r="G291" s="39">
        <v>5.1840898157017701E-2</v>
      </c>
      <c r="H291" s="42"/>
    </row>
    <row r="292" spans="2:9" x14ac:dyDescent="0.2">
      <c r="B292" s="36" t="s">
        <v>958</v>
      </c>
      <c r="C292" s="36" t="s">
        <v>959</v>
      </c>
      <c r="D292" s="36" t="s">
        <v>508</v>
      </c>
      <c r="E292" s="41">
        <v>1633</v>
      </c>
      <c r="F292" s="38">
        <v>7.7567500000000003</v>
      </c>
      <c r="G292" s="39">
        <v>5.1610585896661197E-2</v>
      </c>
      <c r="H292" s="42"/>
    </row>
    <row r="293" spans="2:9" x14ac:dyDescent="0.2">
      <c r="B293" s="36" t="s">
        <v>1105</v>
      </c>
      <c r="C293" s="36" t="s">
        <v>1106</v>
      </c>
      <c r="D293" s="36" t="s">
        <v>463</v>
      </c>
      <c r="E293" s="41">
        <v>1500</v>
      </c>
      <c r="F293" s="38">
        <v>7.7220000000000004</v>
      </c>
      <c r="G293" s="39">
        <v>5.1379372068716601E-2</v>
      </c>
      <c r="H293" s="42"/>
    </row>
    <row r="294" spans="2:9" x14ac:dyDescent="0.2">
      <c r="B294" s="36" t="s">
        <v>930</v>
      </c>
      <c r="C294" s="36" t="s">
        <v>931</v>
      </c>
      <c r="D294" s="36" t="s">
        <v>65</v>
      </c>
      <c r="E294" s="41">
        <v>50</v>
      </c>
      <c r="F294" s="38">
        <v>7.3369999999999997</v>
      </c>
      <c r="G294" s="39">
        <v>4.8817722464151003E-2</v>
      </c>
      <c r="H294" s="42"/>
    </row>
    <row r="295" spans="2:9" x14ac:dyDescent="0.2">
      <c r="B295" s="36" t="s">
        <v>950</v>
      </c>
      <c r="C295" s="36" t="s">
        <v>951</v>
      </c>
      <c r="D295" s="36" t="s">
        <v>82</v>
      </c>
      <c r="E295" s="41">
        <v>394</v>
      </c>
      <c r="F295" s="38">
        <v>7.1889240000000001</v>
      </c>
      <c r="G295" s="39">
        <v>4.7832478758058398E-2</v>
      </c>
      <c r="H295" s="42"/>
    </row>
    <row r="296" spans="2:9" ht="10.5" x14ac:dyDescent="0.25">
      <c r="B296" s="35" t="s">
        <v>180</v>
      </c>
      <c r="C296" s="35"/>
      <c r="D296" s="35"/>
      <c r="E296" s="43"/>
      <c r="F296" s="44">
        <f>SUM(F7:F295)</f>
        <v>14907.754031700017</v>
      </c>
      <c r="G296" s="45">
        <f>SUM(G7:G295)</f>
        <v>99.190759013678516</v>
      </c>
      <c r="H296" s="35"/>
      <c r="I296" s="26"/>
    </row>
    <row r="297" spans="2:9" ht="10.5" x14ac:dyDescent="0.25">
      <c r="B297" s="35" t="s">
        <v>181</v>
      </c>
      <c r="C297" s="35"/>
      <c r="D297" s="35"/>
      <c r="E297" s="43"/>
      <c r="F297" s="47" t="s">
        <v>182</v>
      </c>
      <c r="G297" s="48" t="s">
        <v>182</v>
      </c>
      <c r="H297" s="35"/>
      <c r="I297" s="26"/>
    </row>
    <row r="298" spans="2:9" ht="10.5" x14ac:dyDescent="0.25">
      <c r="B298" s="35" t="s">
        <v>180</v>
      </c>
      <c r="C298" s="35"/>
      <c r="D298" s="35"/>
      <c r="E298" s="43"/>
      <c r="F298" s="49" t="s">
        <v>182</v>
      </c>
      <c r="G298" s="50" t="s">
        <v>182</v>
      </c>
      <c r="H298" s="35"/>
      <c r="I298" s="26"/>
    </row>
    <row r="299" spans="2:9" ht="10.5" x14ac:dyDescent="0.25">
      <c r="B299" s="51" t="s">
        <v>183</v>
      </c>
      <c r="C299" s="51"/>
      <c r="D299" s="51"/>
      <c r="E299" s="52"/>
      <c r="F299" s="53">
        <f>F296</f>
        <v>14907.754031700017</v>
      </c>
      <c r="G299" s="54">
        <f>G296</f>
        <v>99.190759013678516</v>
      </c>
      <c r="H299" s="35"/>
      <c r="I299" s="26"/>
    </row>
    <row r="300" spans="2:9" ht="10.5" x14ac:dyDescent="0.25">
      <c r="B300" s="35" t="s">
        <v>184</v>
      </c>
      <c r="C300" s="35"/>
      <c r="D300" s="35"/>
      <c r="E300" s="43"/>
      <c r="F300" s="44">
        <v>164.53267299999999</v>
      </c>
      <c r="G300" s="45">
        <v>1.09474040708722</v>
      </c>
      <c r="H300" s="42">
        <v>5.3499999999999999E-2</v>
      </c>
      <c r="I300" s="27"/>
    </row>
    <row r="301" spans="2:9" x14ac:dyDescent="0.2">
      <c r="B301" s="36"/>
      <c r="C301" s="36"/>
      <c r="D301" s="36"/>
      <c r="E301" s="37"/>
      <c r="F301" s="38"/>
      <c r="G301" s="39"/>
      <c r="H301" s="36"/>
    </row>
    <row r="302" spans="2:9" ht="10.5" x14ac:dyDescent="0.25">
      <c r="B302" s="35" t="s">
        <v>186</v>
      </c>
      <c r="C302" s="36"/>
      <c r="D302" s="36"/>
      <c r="E302" s="37"/>
      <c r="F302" s="152">
        <v>8.5</v>
      </c>
      <c r="G302" s="152">
        <f>F302/F304*100</f>
        <v>5.6555900360540201E-2</v>
      </c>
      <c r="H302" s="36"/>
    </row>
    <row r="303" spans="2:9" ht="10.5" x14ac:dyDescent="0.25">
      <c r="B303" s="61" t="s">
        <v>187</v>
      </c>
      <c r="C303" s="61"/>
      <c r="D303" s="61"/>
      <c r="E303" s="62"/>
      <c r="F303" s="44">
        <f>F304-(F296+F300+F302)</f>
        <v>-51.408786900015912</v>
      </c>
      <c r="G303" s="45">
        <f>G304-(G296+G300+G302)</f>
        <v>-0.34205532112626713</v>
      </c>
      <c r="H303" s="35"/>
      <c r="I303" s="26"/>
    </row>
    <row r="304" spans="2:9" ht="10.5" x14ac:dyDescent="0.25">
      <c r="B304" s="55" t="s">
        <v>185</v>
      </c>
      <c r="C304" s="55"/>
      <c r="D304" s="55"/>
      <c r="E304" s="56"/>
      <c r="F304" s="57">
        <v>15029.3779178</v>
      </c>
      <c r="G304" s="58">
        <v>100</v>
      </c>
      <c r="H304" s="60"/>
      <c r="I304" s="26"/>
    </row>
    <row r="306" spans="2:7" ht="10.5" x14ac:dyDescent="0.25">
      <c r="B306" s="26" t="s">
        <v>188</v>
      </c>
    </row>
    <row r="308" spans="2:7" ht="10.5" x14ac:dyDescent="0.25">
      <c r="B308" s="63" t="s">
        <v>7</v>
      </c>
      <c r="C308" s="63" t="s">
        <v>189</v>
      </c>
      <c r="D308" s="63" t="s">
        <v>190</v>
      </c>
      <c r="E308" s="64" t="s">
        <v>0</v>
      </c>
      <c r="F308" s="65" t="s">
        <v>191</v>
      </c>
      <c r="G308" s="66" t="s">
        <v>192</v>
      </c>
    </row>
    <row r="309" spans="2:7" x14ac:dyDescent="0.2">
      <c r="B309" s="67" t="s">
        <v>193</v>
      </c>
      <c r="C309" s="67" t="s">
        <v>194</v>
      </c>
      <c r="D309" s="67" t="s">
        <v>195</v>
      </c>
      <c r="E309" s="68">
        <v>130</v>
      </c>
      <c r="F309" s="69">
        <v>30.873439999999999</v>
      </c>
      <c r="G309" s="70">
        <v>0.20542061134436701</v>
      </c>
    </row>
    <row r="310" spans="2:7" ht="10.5" x14ac:dyDescent="0.25">
      <c r="B310" s="63"/>
      <c r="C310" s="63"/>
      <c r="D310" s="63"/>
      <c r="E310" s="64"/>
      <c r="F310" s="65">
        <f>SUM(F309:F309)</f>
        <v>30.873439999999999</v>
      </c>
      <c r="G310" s="66">
        <f>SUM(G309:G309)</f>
        <v>0.20542061134436701</v>
      </c>
    </row>
    <row r="312" spans="2:7" ht="10.5" x14ac:dyDescent="0.25">
      <c r="B312" s="26" t="s">
        <v>259</v>
      </c>
    </row>
    <row r="313" spans="2:7" ht="10.5" x14ac:dyDescent="0.25">
      <c r="B313" s="26"/>
    </row>
    <row r="314" spans="2:7" ht="10.5" x14ac:dyDescent="0.25">
      <c r="B314" s="26" t="s">
        <v>196</v>
      </c>
      <c r="E314" s="8"/>
    </row>
    <row r="315" spans="2:7" ht="10.5" x14ac:dyDescent="0.25">
      <c r="B315" s="26"/>
      <c r="E315" s="8"/>
    </row>
    <row r="316" spans="2:7" x14ac:dyDescent="0.2">
      <c r="B316" s="94" t="s">
        <v>1508</v>
      </c>
      <c r="E316" s="8"/>
    </row>
    <row r="317" spans="2:7" x14ac:dyDescent="0.2">
      <c r="B317" s="94" t="s">
        <v>1515</v>
      </c>
      <c r="E317" s="8"/>
    </row>
    <row r="318" spans="2:7" x14ac:dyDescent="0.2">
      <c r="B318" s="94" t="s">
        <v>1516</v>
      </c>
      <c r="E318" s="8"/>
    </row>
    <row r="319" spans="2:7" ht="10.5" x14ac:dyDescent="0.2">
      <c r="B319" s="90"/>
      <c r="E319" s="8"/>
    </row>
    <row r="320" spans="2:7" ht="10.5" x14ac:dyDescent="0.2">
      <c r="B320" s="100" t="s">
        <v>1510</v>
      </c>
      <c r="C320" s="111" t="s">
        <v>1511</v>
      </c>
      <c r="D320" s="153" t="s">
        <v>1563</v>
      </c>
      <c r="E320" s="8"/>
    </row>
    <row r="321" spans="2:6" x14ac:dyDescent="0.2">
      <c r="B321" s="97" t="s">
        <v>1512</v>
      </c>
      <c r="C321" s="101">
        <v>9.6913</v>
      </c>
      <c r="D321" s="151">
        <v>9.6937999999999995</v>
      </c>
      <c r="E321" s="8"/>
    </row>
    <row r="322" spans="2:6" ht="10.5" x14ac:dyDescent="0.2">
      <c r="B322" s="90"/>
      <c r="E322" s="8"/>
    </row>
    <row r="323" spans="2:6" x14ac:dyDescent="0.2">
      <c r="B323" s="94" t="s">
        <v>1575</v>
      </c>
      <c r="E323" s="8"/>
    </row>
    <row r="324" spans="2:6" x14ac:dyDescent="0.2">
      <c r="B324" s="94"/>
      <c r="E324" s="8"/>
    </row>
    <row r="325" spans="2:6" ht="10.5" x14ac:dyDescent="0.2">
      <c r="B325" s="112" t="s">
        <v>1550</v>
      </c>
      <c r="E325" s="8"/>
    </row>
    <row r="326" spans="2:6" x14ac:dyDescent="0.2">
      <c r="B326" s="99"/>
      <c r="E326" s="8"/>
    </row>
    <row r="327" spans="2:6" ht="10.5" x14ac:dyDescent="0.2">
      <c r="B327" s="112" t="s">
        <v>1551</v>
      </c>
      <c r="E327" s="8"/>
    </row>
    <row r="328" spans="2:6" ht="21" x14ac:dyDescent="0.2">
      <c r="B328" s="113" t="s">
        <v>1517</v>
      </c>
      <c r="C328" s="114" t="s">
        <v>1518</v>
      </c>
      <c r="D328" s="114" t="s">
        <v>1519</v>
      </c>
      <c r="E328" s="114" t="s">
        <v>1520</v>
      </c>
      <c r="F328" s="114" t="s">
        <v>1521</v>
      </c>
    </row>
    <row r="329" spans="2:6" x14ac:dyDescent="0.2">
      <c r="B329" s="180" t="s">
        <v>402</v>
      </c>
      <c r="C329" s="181"/>
      <c r="D329" s="181"/>
      <c r="E329" s="181"/>
      <c r="F329" s="182"/>
    </row>
    <row r="330" spans="2:6" x14ac:dyDescent="0.2">
      <c r="B330" s="99" t="s">
        <v>1546</v>
      </c>
      <c r="E330" s="8"/>
    </row>
    <row r="331" spans="2:6" x14ac:dyDescent="0.2">
      <c r="B331" s="99" t="s">
        <v>1552</v>
      </c>
      <c r="E331" s="8"/>
    </row>
    <row r="332" spans="2:6" x14ac:dyDescent="0.2">
      <c r="B332" s="99"/>
      <c r="E332" s="8"/>
    </row>
    <row r="333" spans="2:6" x14ac:dyDescent="0.2">
      <c r="B333" s="177" t="s">
        <v>1523</v>
      </c>
      <c r="C333" s="177" t="s">
        <v>1524</v>
      </c>
      <c r="D333" s="177" t="s">
        <v>1525</v>
      </c>
      <c r="E333" s="177" t="s">
        <v>1526</v>
      </c>
      <c r="F333" s="177" t="s">
        <v>1527</v>
      </c>
    </row>
    <row r="334" spans="2:6" x14ac:dyDescent="0.2">
      <c r="B334" s="178"/>
      <c r="C334" s="178"/>
      <c r="D334" s="178"/>
      <c r="E334" s="178"/>
      <c r="F334" s="178"/>
    </row>
    <row r="335" spans="2:6" x14ac:dyDescent="0.2">
      <c r="B335" s="180" t="s">
        <v>402</v>
      </c>
      <c r="C335" s="181"/>
      <c r="D335" s="181"/>
      <c r="E335" s="181"/>
      <c r="F335" s="182"/>
    </row>
    <row r="336" spans="2:6" x14ac:dyDescent="0.2">
      <c r="B336" s="99"/>
      <c r="E336" s="8"/>
    </row>
    <row r="337" spans="2:6" ht="10.5" x14ac:dyDescent="0.25">
      <c r="B337" s="115" t="s">
        <v>1553</v>
      </c>
      <c r="C337" s="116"/>
      <c r="D337" s="116"/>
      <c r="E337" s="116"/>
      <c r="F337" s="116"/>
    </row>
    <row r="338" spans="2:6" x14ac:dyDescent="0.2">
      <c r="B338" s="117"/>
      <c r="C338" s="116"/>
      <c r="D338" s="116"/>
      <c r="E338" s="116"/>
      <c r="F338" s="116"/>
    </row>
    <row r="339" spans="2:6" ht="21" x14ac:dyDescent="0.2">
      <c r="B339" s="113" t="s">
        <v>1517</v>
      </c>
      <c r="C339" s="114" t="s">
        <v>1518</v>
      </c>
      <c r="D339" s="114" t="s">
        <v>1519</v>
      </c>
      <c r="E339" s="114" t="s">
        <v>1520</v>
      </c>
      <c r="F339" s="114" t="s">
        <v>1521</v>
      </c>
    </row>
    <row r="340" spans="2:6" x14ac:dyDescent="0.2">
      <c r="B340" s="156" t="s">
        <v>193</v>
      </c>
      <c r="C340" s="157" t="s">
        <v>194</v>
      </c>
      <c r="D340" s="158">
        <v>23848.233400000001</v>
      </c>
      <c r="E340" s="159">
        <v>23748.799999999999</v>
      </c>
      <c r="F340" s="159">
        <v>3.4918588000000002</v>
      </c>
    </row>
    <row r="341" spans="2:6" x14ac:dyDescent="0.2">
      <c r="B341" s="117"/>
      <c r="C341" s="116"/>
      <c r="D341" s="116"/>
      <c r="E341" s="116"/>
      <c r="F341" s="116"/>
    </row>
    <row r="342" spans="2:6" x14ac:dyDescent="0.2">
      <c r="B342" s="160" t="s">
        <v>1577</v>
      </c>
      <c r="C342" s="116"/>
      <c r="D342" s="116"/>
      <c r="E342" s="116"/>
      <c r="F342" s="116"/>
    </row>
    <row r="343" spans="2:6" ht="10.5" x14ac:dyDescent="0.2">
      <c r="B343" s="116" t="s">
        <v>1554</v>
      </c>
      <c r="C343" s="122"/>
      <c r="D343" s="123"/>
      <c r="E343" s="124"/>
      <c r="F343" s="125"/>
    </row>
    <row r="344" spans="2:6" ht="10.5" x14ac:dyDescent="0.2">
      <c r="B344" s="116" t="s">
        <v>1529</v>
      </c>
      <c r="C344" s="122"/>
      <c r="D344" s="123"/>
      <c r="E344" s="124"/>
      <c r="F344" s="125"/>
    </row>
    <row r="345" spans="2:6" x14ac:dyDescent="0.2">
      <c r="B345" s="183" t="s">
        <v>1523</v>
      </c>
      <c r="C345" s="183" t="s">
        <v>1524</v>
      </c>
      <c r="D345" s="183" t="s">
        <v>1525</v>
      </c>
      <c r="E345" s="183" t="s">
        <v>1526</v>
      </c>
      <c r="F345" s="183" t="s">
        <v>1527</v>
      </c>
    </row>
    <row r="346" spans="2:6" x14ac:dyDescent="0.2">
      <c r="B346" s="184"/>
      <c r="C346" s="184"/>
      <c r="D346" s="184"/>
      <c r="E346" s="184"/>
      <c r="F346" s="184"/>
    </row>
    <row r="347" spans="2:6" x14ac:dyDescent="0.2">
      <c r="B347" s="162">
        <v>39</v>
      </c>
      <c r="C347" s="165">
        <v>42</v>
      </c>
      <c r="D347" s="163">
        <v>609.73193660000004</v>
      </c>
      <c r="E347" s="129">
        <v>654.734015</v>
      </c>
      <c r="F347" s="164">
        <v>-2.1256841000000199</v>
      </c>
    </row>
    <row r="348" spans="2:6" x14ac:dyDescent="0.2">
      <c r="B348" s="109"/>
      <c r="C348" s="131"/>
      <c r="D348" s="131"/>
      <c r="E348" s="131"/>
      <c r="F348" s="87"/>
    </row>
    <row r="349" spans="2:6" ht="10.5" x14ac:dyDescent="0.2">
      <c r="B349" s="132" t="s">
        <v>1555</v>
      </c>
      <c r="C349" s="133"/>
      <c r="D349" s="133"/>
      <c r="E349" s="134"/>
      <c r="F349" s="87"/>
    </row>
    <row r="350" spans="2:6" ht="10.5" x14ac:dyDescent="0.2">
      <c r="B350" s="135"/>
      <c r="C350" s="133"/>
      <c r="D350" s="133"/>
      <c r="E350" s="134"/>
      <c r="F350" s="87"/>
    </row>
    <row r="351" spans="2:6" ht="21" x14ac:dyDescent="0.2">
      <c r="B351" s="113" t="s">
        <v>1517</v>
      </c>
      <c r="C351" s="114" t="s">
        <v>1531</v>
      </c>
      <c r="D351" s="114" t="s">
        <v>1532</v>
      </c>
      <c r="E351" s="114" t="s">
        <v>1533</v>
      </c>
      <c r="F351" s="87"/>
    </row>
    <row r="352" spans="2:6" x14ac:dyDescent="0.2">
      <c r="B352" s="180" t="s">
        <v>402</v>
      </c>
      <c r="C352" s="181"/>
      <c r="D352" s="181"/>
      <c r="E352" s="182"/>
      <c r="F352" s="87"/>
    </row>
    <row r="353" spans="2:6" x14ac:dyDescent="0.2">
      <c r="B353" s="117" t="s">
        <v>1534</v>
      </c>
      <c r="C353" s="116"/>
      <c r="D353" s="116"/>
      <c r="E353" s="116"/>
      <c r="F353" s="87"/>
    </row>
    <row r="354" spans="2:6" x14ac:dyDescent="0.2">
      <c r="B354" s="136"/>
      <c r="C354" s="137"/>
      <c r="D354" s="137"/>
      <c r="E354" s="136"/>
      <c r="F354" s="87"/>
    </row>
    <row r="355" spans="2:6" x14ac:dyDescent="0.2">
      <c r="B355" s="136" t="s">
        <v>1556</v>
      </c>
      <c r="C355" s="137"/>
      <c r="D355" s="137"/>
      <c r="E355" s="136"/>
      <c r="F355" s="87"/>
    </row>
    <row r="356" spans="2:6" x14ac:dyDescent="0.2">
      <c r="B356" s="136"/>
      <c r="C356" s="137"/>
      <c r="D356" s="137"/>
      <c r="E356" s="136"/>
      <c r="F356" s="87"/>
    </row>
    <row r="357" spans="2:6" x14ac:dyDescent="0.2">
      <c r="B357" s="177" t="s">
        <v>1535</v>
      </c>
      <c r="C357" s="177" t="s">
        <v>1536</v>
      </c>
      <c r="D357" s="177" t="s">
        <v>1537</v>
      </c>
      <c r="E357" s="136"/>
      <c r="F357" s="87"/>
    </row>
    <row r="358" spans="2:6" x14ac:dyDescent="0.2">
      <c r="B358" s="178"/>
      <c r="C358" s="178"/>
      <c r="D358" s="178"/>
      <c r="E358" s="136"/>
      <c r="F358" s="87"/>
    </row>
    <row r="359" spans="2:6" x14ac:dyDescent="0.2">
      <c r="B359" s="179" t="s">
        <v>402</v>
      </c>
      <c r="C359" s="179"/>
      <c r="D359" s="179"/>
      <c r="E359" s="131"/>
      <c r="F359" s="87"/>
    </row>
    <row r="360" spans="2:6" x14ac:dyDescent="0.2">
      <c r="B360" s="138"/>
      <c r="C360" s="138"/>
      <c r="D360" s="138"/>
      <c r="E360" s="131"/>
      <c r="F360" s="87"/>
    </row>
    <row r="361" spans="2:6" ht="10.5" x14ac:dyDescent="0.2">
      <c r="B361" s="132" t="s">
        <v>1557</v>
      </c>
      <c r="C361" s="138"/>
      <c r="D361" s="138"/>
      <c r="E361" s="131"/>
      <c r="F361" s="87"/>
    </row>
    <row r="362" spans="2:6" x14ac:dyDescent="0.2">
      <c r="B362" s="138"/>
      <c r="C362" s="138"/>
      <c r="D362" s="138"/>
      <c r="E362" s="131"/>
      <c r="F362" s="87"/>
    </row>
    <row r="363" spans="2:6" ht="21" x14ac:dyDescent="0.2">
      <c r="B363" s="114" t="s">
        <v>1517</v>
      </c>
      <c r="C363" s="114" t="s">
        <v>1539</v>
      </c>
      <c r="D363" s="114" t="s">
        <v>1540</v>
      </c>
      <c r="E363" s="114" t="s">
        <v>1541</v>
      </c>
      <c r="F363" s="114" t="s">
        <v>1542</v>
      </c>
    </row>
    <row r="364" spans="2:6" x14ac:dyDescent="0.2">
      <c r="B364" s="176" t="s">
        <v>402</v>
      </c>
      <c r="C364" s="176"/>
      <c r="D364" s="176"/>
      <c r="E364" s="176"/>
      <c r="F364" s="176"/>
    </row>
    <row r="365" spans="2:6" x14ac:dyDescent="0.2">
      <c r="B365" s="139" t="s">
        <v>1543</v>
      </c>
      <c r="C365" s="138"/>
      <c r="D365" s="138"/>
      <c r="E365" s="131"/>
      <c r="F365" s="87"/>
    </row>
    <row r="366" spans="2:6" x14ac:dyDescent="0.2">
      <c r="B366" s="138"/>
      <c r="C366" s="138"/>
      <c r="D366" s="138"/>
      <c r="E366" s="131"/>
      <c r="F366" s="87"/>
    </row>
    <row r="367" spans="2:6" x14ac:dyDescent="0.2">
      <c r="B367" s="136" t="s">
        <v>1558</v>
      </c>
      <c r="C367" s="137"/>
      <c r="D367" s="137"/>
      <c r="E367" s="131"/>
      <c r="F367" s="87"/>
    </row>
    <row r="368" spans="2:6" x14ac:dyDescent="0.2">
      <c r="B368" s="136"/>
      <c r="C368" s="137"/>
      <c r="D368" s="137"/>
      <c r="E368" s="131"/>
      <c r="F368" s="87"/>
    </row>
    <row r="369" spans="2:7" x14ac:dyDescent="0.2">
      <c r="B369" s="177" t="s">
        <v>1535</v>
      </c>
      <c r="C369" s="177" t="s">
        <v>1536</v>
      </c>
      <c r="D369" s="177" t="s">
        <v>1537</v>
      </c>
      <c r="E369" s="131"/>
      <c r="F369" s="87"/>
    </row>
    <row r="370" spans="2:7" x14ac:dyDescent="0.2">
      <c r="B370" s="178"/>
      <c r="C370" s="178"/>
      <c r="D370" s="178"/>
      <c r="E370" s="131"/>
      <c r="F370" s="87"/>
    </row>
    <row r="371" spans="2:7" x14ac:dyDescent="0.2">
      <c r="B371" s="179" t="s">
        <v>402</v>
      </c>
      <c r="C371" s="179"/>
      <c r="D371" s="179"/>
      <c r="E371" s="131"/>
      <c r="F371" s="87"/>
    </row>
    <row r="372" spans="2:7" x14ac:dyDescent="0.2">
      <c r="B372" s="138"/>
      <c r="C372" s="138"/>
      <c r="D372" s="138"/>
      <c r="E372" s="131"/>
      <c r="F372" s="87"/>
    </row>
    <row r="373" spans="2:7" ht="10.5" x14ac:dyDescent="0.2">
      <c r="B373" s="140" t="s">
        <v>1559</v>
      </c>
      <c r="C373" s="138"/>
      <c r="D373" s="138"/>
      <c r="E373" s="131"/>
      <c r="F373" s="87"/>
    </row>
    <row r="374" spans="2:7" x14ac:dyDescent="0.2">
      <c r="B374" s="99"/>
      <c r="E374" s="8"/>
    </row>
    <row r="375" spans="2:7" x14ac:dyDescent="0.2">
      <c r="B375" s="94" t="s">
        <v>1560</v>
      </c>
      <c r="E375" s="8"/>
    </row>
    <row r="376" spans="2:7" x14ac:dyDescent="0.2">
      <c r="B376" s="170" t="s">
        <v>1585</v>
      </c>
      <c r="E376" s="8"/>
    </row>
    <row r="377" spans="2:7" x14ac:dyDescent="0.2">
      <c r="B377" s="94" t="s">
        <v>1561</v>
      </c>
      <c r="E377" s="8"/>
    </row>
    <row r="379" spans="2:7" ht="10.5" x14ac:dyDescent="0.25">
      <c r="B379" s="26" t="s">
        <v>197</v>
      </c>
      <c r="E379" s="8"/>
      <c r="G379" s="87"/>
    </row>
    <row r="380" spans="2:7" x14ac:dyDescent="0.2">
      <c r="E380" s="8"/>
      <c r="G380" s="87"/>
    </row>
    <row r="381" spans="2:7" x14ac:dyDescent="0.2">
      <c r="E381" s="8"/>
      <c r="G381" s="87"/>
    </row>
    <row r="382" spans="2:7" x14ac:dyDescent="0.2">
      <c r="E382" s="8"/>
      <c r="G382" s="87"/>
    </row>
    <row r="383" spans="2:7" x14ac:dyDescent="0.2">
      <c r="E383" s="8"/>
      <c r="G383" s="87"/>
    </row>
    <row r="384" spans="2:7" x14ac:dyDescent="0.2">
      <c r="E384" s="8"/>
      <c r="G384" s="87"/>
    </row>
    <row r="385" spans="5:7" x14ac:dyDescent="0.2">
      <c r="E385" s="8"/>
      <c r="G385" s="87"/>
    </row>
    <row r="386" spans="5:7" x14ac:dyDescent="0.2">
      <c r="E386" s="8"/>
      <c r="G386" s="87"/>
    </row>
    <row r="387" spans="5:7" x14ac:dyDescent="0.2">
      <c r="E387" s="8"/>
      <c r="G387" s="87"/>
    </row>
    <row r="388" spans="5:7" x14ac:dyDescent="0.2">
      <c r="E388" s="8"/>
      <c r="G388" s="87"/>
    </row>
    <row r="389" spans="5:7" x14ac:dyDescent="0.2">
      <c r="E389" s="8"/>
      <c r="G389" s="87"/>
    </row>
    <row r="390" spans="5:7" x14ac:dyDescent="0.2">
      <c r="E390" s="8"/>
      <c r="G390" s="87"/>
    </row>
    <row r="391" spans="5:7" x14ac:dyDescent="0.2">
      <c r="E391" s="8"/>
      <c r="G391" s="87"/>
    </row>
    <row r="392" spans="5:7" x14ac:dyDescent="0.2">
      <c r="E392" s="8"/>
      <c r="G392" s="87"/>
    </row>
    <row r="393" spans="5:7" x14ac:dyDescent="0.2">
      <c r="E393" s="8"/>
      <c r="G393" s="87"/>
    </row>
    <row r="394" spans="5:7" x14ac:dyDescent="0.2">
      <c r="E394" s="8"/>
      <c r="G394" s="87"/>
    </row>
    <row r="395" spans="5:7" x14ac:dyDescent="0.2">
      <c r="E395" s="8"/>
      <c r="G395" s="87"/>
    </row>
    <row r="396" spans="5:7" x14ac:dyDescent="0.2">
      <c r="E396" s="8"/>
      <c r="G396" s="87"/>
    </row>
    <row r="397" spans="5:7" x14ac:dyDescent="0.2">
      <c r="E397" s="8"/>
      <c r="G397" s="87"/>
    </row>
    <row r="398" spans="5:7" x14ac:dyDescent="0.2">
      <c r="E398" s="8"/>
      <c r="G398" s="87"/>
    </row>
    <row r="399" spans="5:7" x14ac:dyDescent="0.2">
      <c r="E399" s="8"/>
      <c r="G399" s="87"/>
    </row>
    <row r="400" spans="5:7" x14ac:dyDescent="0.2">
      <c r="E400" s="8"/>
      <c r="G400" s="87"/>
    </row>
    <row r="401" spans="2:7" ht="10.5" x14ac:dyDescent="0.2">
      <c r="B401" s="88" t="s">
        <v>1478</v>
      </c>
      <c r="E401" s="8"/>
      <c r="G401" s="87"/>
    </row>
    <row r="402" spans="2:7" ht="10.5" x14ac:dyDescent="0.25">
      <c r="B402" s="89" t="s">
        <v>1491</v>
      </c>
      <c r="E402" s="8"/>
      <c r="G402" s="87"/>
    </row>
    <row r="403" spans="2:7" x14ac:dyDescent="0.2">
      <c r="E403" s="8"/>
      <c r="G403" s="87"/>
    </row>
    <row r="404" spans="2:7" x14ac:dyDescent="0.2">
      <c r="E404" s="8"/>
      <c r="G404" s="87"/>
    </row>
    <row r="405" spans="2:7" x14ac:dyDescent="0.2">
      <c r="E405" s="8"/>
      <c r="G405" s="87"/>
    </row>
    <row r="406" spans="2:7" x14ac:dyDescent="0.2">
      <c r="E406" s="8"/>
      <c r="G406" s="87"/>
    </row>
    <row r="407" spans="2:7" x14ac:dyDescent="0.2">
      <c r="E407" s="8"/>
      <c r="G407" s="87"/>
    </row>
    <row r="408" spans="2:7" x14ac:dyDescent="0.2">
      <c r="E408" s="8"/>
      <c r="G408" s="87"/>
    </row>
    <row r="409" spans="2:7" x14ac:dyDescent="0.2">
      <c r="E409" s="8"/>
      <c r="G409" s="87"/>
    </row>
    <row r="410" spans="2:7" x14ac:dyDescent="0.2">
      <c r="E410" s="8"/>
      <c r="G410" s="87"/>
    </row>
    <row r="411" spans="2:7" x14ac:dyDescent="0.2">
      <c r="E411" s="8"/>
      <c r="G411" s="87"/>
    </row>
    <row r="412" spans="2:7" x14ac:dyDescent="0.2">
      <c r="E412" s="8"/>
      <c r="G412" s="87"/>
    </row>
    <row r="413" spans="2:7" x14ac:dyDescent="0.2">
      <c r="E413" s="8"/>
      <c r="G413" s="87"/>
    </row>
    <row r="414" spans="2:7" x14ac:dyDescent="0.2">
      <c r="E414" s="8"/>
      <c r="G414" s="87"/>
    </row>
    <row r="415" spans="2:7" x14ac:dyDescent="0.2">
      <c r="E415" s="8"/>
      <c r="G415" s="87"/>
    </row>
    <row r="416" spans="2:7" x14ac:dyDescent="0.2">
      <c r="E416" s="8"/>
      <c r="G416" s="87"/>
    </row>
    <row r="417" spans="5:7" x14ac:dyDescent="0.2">
      <c r="E417" s="8"/>
      <c r="G417" s="87"/>
    </row>
    <row r="418" spans="5:7" x14ac:dyDescent="0.2">
      <c r="E418" s="8"/>
      <c r="G418" s="87"/>
    </row>
    <row r="419" spans="5:7" x14ac:dyDescent="0.2">
      <c r="E419" s="8"/>
      <c r="G419" s="87"/>
    </row>
    <row r="420" spans="5:7" x14ac:dyDescent="0.2">
      <c r="E420" s="8"/>
      <c r="G420" s="87"/>
    </row>
    <row r="421" spans="5:7" x14ac:dyDescent="0.2">
      <c r="E421" s="8"/>
      <c r="G421" s="87"/>
    </row>
    <row r="422" spans="5:7" x14ac:dyDescent="0.2">
      <c r="E422" s="8"/>
      <c r="G422" s="87"/>
    </row>
  </sheetData>
  <mergeCells count="23">
    <mergeCell ref="B1:C1"/>
    <mergeCell ref="B329:F329"/>
    <mergeCell ref="B333:B334"/>
    <mergeCell ref="C333:C334"/>
    <mergeCell ref="D333:D334"/>
    <mergeCell ref="E333:E334"/>
    <mergeCell ref="F333:F334"/>
    <mergeCell ref="B335:F335"/>
    <mergeCell ref="B345:B346"/>
    <mergeCell ref="C345:C346"/>
    <mergeCell ref="D345:D346"/>
    <mergeCell ref="E345:E346"/>
    <mergeCell ref="F345:F346"/>
    <mergeCell ref="B352:E352"/>
    <mergeCell ref="B357:B358"/>
    <mergeCell ref="C357:C358"/>
    <mergeCell ref="D357:D358"/>
    <mergeCell ref="B359:D359"/>
    <mergeCell ref="B364:F364"/>
    <mergeCell ref="B369:B370"/>
    <mergeCell ref="C369:C370"/>
    <mergeCell ref="D369:D370"/>
    <mergeCell ref="B371:D371"/>
  </mergeCells>
  <conditionalFormatting sqref="G1:G3 G5:G422">
    <cfRule type="cellIs" dxfId="0" priority="2" stopIfTrue="1" operator="between">
      <formula>0.009</formula>
      <formula>-0.009</formula>
    </cfRule>
  </conditionalFormatting>
  <hyperlinks>
    <hyperlink ref="A2" location="Index!A1" display="-" xr:uid="{11078807-C1ED-4478-BE3C-30E2DBDD7FC1}"/>
  </hyperlinks>
  <pageMargins left="0.7" right="0.7" top="0.75" bottom="0.75" header="0.3" footer="0.3"/>
  <pageSetup paperSize="9" scale="50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44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Index</vt:lpstr>
      <vt:lpstr>JBLARGE</vt:lpstr>
      <vt:lpstr>JBMMF</vt:lpstr>
      <vt:lpstr>JBOF</vt:lpstr>
      <vt:lpstr>JBLF</vt:lpstr>
      <vt:lpstr>JBN8-13</vt:lpstr>
      <vt:lpstr>JBLOW</vt:lpstr>
      <vt:lpstr>JBSHORT</vt:lpstr>
      <vt:lpstr>JBN50</vt:lpstr>
      <vt:lpstr>JBNNX50</vt:lpstr>
      <vt:lpstr>JBNM150</vt:lpstr>
      <vt:lpstr>JBNS250</vt:lpstr>
      <vt:lpstr>JBFLEXI</vt:lpstr>
      <vt:lpstr>JBARB</vt:lpstr>
      <vt:lpstr>JBSECRO</vt:lpstr>
      <vt:lpstr>JBARB!Print_Area</vt:lpstr>
      <vt:lpstr>JBFLEXI!Print_Area</vt:lpstr>
      <vt:lpstr>JBLARGE!Print_Area</vt:lpstr>
      <vt:lpstr>JBLF!Print_Area</vt:lpstr>
      <vt:lpstr>JBLOW!Print_Area</vt:lpstr>
      <vt:lpstr>JBMMF!Print_Area</vt:lpstr>
      <vt:lpstr>'JBN50'!Print_Area</vt:lpstr>
      <vt:lpstr>'JBN8-13'!Print_Area</vt:lpstr>
      <vt:lpstr>JBNM150!Print_Area</vt:lpstr>
      <vt:lpstr>JBNNX50!Print_Area</vt:lpstr>
      <vt:lpstr>JBNS250!Print_Area</vt:lpstr>
      <vt:lpstr>JBOF!Print_Area</vt:lpstr>
      <vt:lpstr>JBSECRO!Print_Area</vt:lpstr>
      <vt:lpstr>JBSHORT!Print_Area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2026-06-09T06:38:02Z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