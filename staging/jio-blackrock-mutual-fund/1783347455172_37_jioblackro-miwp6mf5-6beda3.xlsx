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defaultThemeVersion="124226"/>
  <xr:revisionPtr revIDLastSave="0" documentId="13_ncr:1_{7149AD52-E224-4F53-86F3-CE944D80EBCA}" xr6:coauthVersionLast="47" xr6:coauthVersionMax="47" xr10:uidLastSave="{00000000-0000-0000-0000-000000000000}"/>
  <bookViews>
    <workbookView xWindow="-108" yWindow="-108" windowWidth="23256" windowHeight="13896" xr2:uid="{93FBE97D-68C6-454C-8EF4-3016A4BF899F}"/>
  </bookViews>
  <sheets>
    <sheet name="Index" sheetId="2" r:id="rId1"/>
    <sheet name="JBMMF" sheetId="3" r:id="rId2"/>
    <sheet name="JBOF" sheetId="4" r:id="rId3"/>
    <sheet name="JBLF" sheetId="5" r:id="rId4"/>
    <sheet name="JBN8-13" sheetId="6" r:id="rId5"/>
    <sheet name="JBN50" sheetId="7" r:id="rId6"/>
    <sheet name="JBNNX50" sheetId="8" r:id="rId7"/>
    <sheet name="JBNM150" sheetId="9" r:id="rId8"/>
    <sheet name="JBNS250" sheetId="10" r:id="rId9"/>
    <sheet name="JBFLEXI" sheetId="11" r:id="rId10"/>
  </sheets>
  <definedNames>
    <definedName name="_xlnm.Print_Area" localSheetId="9">JBFLEXI!$B$1:$H$199</definedName>
    <definedName name="_xlnm.Print_Area" localSheetId="3">JBLF!$B$1:$I$141</definedName>
    <definedName name="_xlnm.Print_Area" localSheetId="1">JBMMF!$B$1:$I$95</definedName>
    <definedName name="_xlnm.Print_Area" localSheetId="5">'JBN50'!$B$1:$H$102</definedName>
    <definedName name="_xlnm.Print_Area" localSheetId="4">'JBN8-13'!$B$1:$I$58</definedName>
    <definedName name="_xlnm.Print_Area" localSheetId="7">JBNM150!$B$1:$H$204</definedName>
    <definedName name="_xlnm.Print_Area" localSheetId="6">JBNNX50!$B$1:$H$109</definedName>
    <definedName name="_xlnm.Print_Area" localSheetId="8">JBNS250!$B$1:$H$305</definedName>
    <definedName name="_xlnm.Print_Area" localSheetId="2">JBOF!$B$1:$I$86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7" i="8" l="1"/>
  <c r="F67" i="8"/>
  <c r="G65" i="8"/>
  <c r="F65" i="8"/>
  <c r="G158" i="11" l="1"/>
  <c r="F158" i="11"/>
  <c r="G150" i="11"/>
  <c r="G144" i="11"/>
  <c r="F144" i="11"/>
  <c r="F147" i="11" s="1"/>
  <c r="G258" i="10"/>
  <c r="G264" i="10" s="1"/>
  <c r="F258" i="10"/>
  <c r="F261" i="10" s="1"/>
  <c r="F264" i="10"/>
  <c r="G157" i="9"/>
  <c r="G163" i="9" s="1"/>
  <c r="F157" i="9"/>
  <c r="F160" i="9" s="1"/>
  <c r="G57" i="8"/>
  <c r="F57" i="8"/>
  <c r="G57" i="7"/>
  <c r="G60" i="7" s="1"/>
  <c r="F57" i="7"/>
  <c r="F63" i="7" s="1"/>
  <c r="G9" i="6"/>
  <c r="G13" i="6" s="1"/>
  <c r="F9" i="6"/>
  <c r="F13" i="6" s="1"/>
  <c r="G83" i="5"/>
  <c r="F83" i="5"/>
  <c r="G73" i="5"/>
  <c r="F73" i="5"/>
  <c r="G65" i="5"/>
  <c r="F65" i="5"/>
  <c r="G46" i="5"/>
  <c r="F46" i="5"/>
  <c r="G12" i="4"/>
  <c r="G13" i="4" s="1"/>
  <c r="G36" i="4"/>
  <c r="F12" i="4"/>
  <c r="F36" i="4" s="1"/>
  <c r="G41" i="3"/>
  <c r="F41" i="3"/>
  <c r="G37" i="3"/>
  <c r="F37" i="3"/>
  <c r="G32" i="3"/>
  <c r="F32" i="3"/>
  <c r="G22" i="3"/>
  <c r="F22" i="3"/>
  <c r="F13" i="4"/>
  <c r="G60" i="8" l="1"/>
  <c r="G71" i="8"/>
  <c r="F71" i="8"/>
  <c r="F60" i="8"/>
  <c r="G151" i="11"/>
  <c r="G147" i="11"/>
  <c r="G261" i="10"/>
  <c r="F60" i="7"/>
  <c r="G91" i="5"/>
  <c r="G160" i="9"/>
  <c r="F163" i="9"/>
  <c r="G63" i="7"/>
  <c r="F74" i="5"/>
  <c r="G74" i="5"/>
  <c r="G38" i="3"/>
  <c r="F38" i="3"/>
  <c r="F45" i="3"/>
  <c r="G45" i="3"/>
  <c r="F151" i="11"/>
  <c r="F91" i="5"/>
</calcChain>
</file>

<file path=xl/sharedStrings.xml><?xml version="1.0" encoding="utf-8"?>
<sst xmlns="http://schemas.openxmlformats.org/spreadsheetml/2006/main" count="2525" uniqueCount="1383">
  <si>
    <t>Quantity</t>
  </si>
  <si>
    <t>Sr No.</t>
  </si>
  <si>
    <t>Short Name</t>
  </si>
  <si>
    <t>Scheme Name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</si>
  <si>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</si>
  <si>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</si>
  <si>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</si>
  <si>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</si>
  <si>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</si>
  <si>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November 30, 2025</t>
  </si>
  <si>
    <t>JioBlackRock Money Market Fund</t>
  </si>
  <si>
    <t>JioBlackRock Overnight Fund</t>
  </si>
  <si>
    <t>JioBlackRock Liquid Fund</t>
  </si>
  <si>
    <t>JioBlackRock Nifty 8-13 yr G-Sec Index Fund</t>
  </si>
  <si>
    <t>JioBlackRock Nifty 50 Index Fund</t>
  </si>
  <si>
    <t>JioBlackRock Nifty Next 50 Index Fund</t>
  </si>
  <si>
    <t>JioBlackRock Nifty Midcap 150 Index Fund</t>
  </si>
  <si>
    <t>JioBlackRock Nifty Smallcap 250 Index Fund</t>
  </si>
  <si>
    <t>JioBlackRock Flexi Cap Fund</t>
  </si>
  <si>
    <t>Yield to Call ^</t>
  </si>
  <si>
    <t>Money Market Instruments</t>
  </si>
  <si>
    <t>Certificate of Deposit</t>
  </si>
  <si>
    <t>Bank of India (10-Mar-2026) **</t>
  </si>
  <si>
    <t>INE084A16EK5</t>
  </si>
  <si>
    <t>CRISIL A1+</t>
  </si>
  <si>
    <t>Axis Bank Ltd (04-Mar-2026)</t>
  </si>
  <si>
    <t>INE238AD6AN0</t>
  </si>
  <si>
    <t>ICRA A1+</t>
  </si>
  <si>
    <t>HDFC Bank Ltd (12-Mar-2026) **</t>
  </si>
  <si>
    <t>INE040A16GN6</t>
  </si>
  <si>
    <t>CARE A1+</t>
  </si>
  <si>
    <t>Bank of Baroda (11-Mar-2026) **</t>
  </si>
  <si>
    <t>INE028A16HZ3</t>
  </si>
  <si>
    <t>IND A1+</t>
  </si>
  <si>
    <t>Export-Import Bank Of India (04-Mar-2026) **</t>
  </si>
  <si>
    <t>INE514E16CJ9</t>
  </si>
  <si>
    <t>Small Industries Development Bank of India (27-Feb-2026)</t>
  </si>
  <si>
    <t>INE556F16BB6</t>
  </si>
  <si>
    <t>National Bank For Agriculture &amp; Rural Development (10-Mar-2026) **</t>
  </si>
  <si>
    <t>INE261F16975</t>
  </si>
  <si>
    <t>Canara Bank (12-Mar-2026) **</t>
  </si>
  <si>
    <t>INE476A16B23</t>
  </si>
  <si>
    <t>Bank of Baroda (13-Mar-2026) **</t>
  </si>
  <si>
    <t>INE028A16IC0</t>
  </si>
  <si>
    <t>Canara Bank (18-Mar-2026) **</t>
  </si>
  <si>
    <t>INE476A16B64</t>
  </si>
  <si>
    <t>Export-Import Bank Of India (28-May-2026) **</t>
  </si>
  <si>
    <t>INE514E16CL5</t>
  </si>
  <si>
    <t>Canara Bank (06-Mar-2026) **</t>
  </si>
  <si>
    <t>INE476A16A99</t>
  </si>
  <si>
    <t>Indian Bank (06-Mar-2026) **</t>
  </si>
  <si>
    <t>INE562A16OG7</t>
  </si>
  <si>
    <t>HDFC Bank Ltd (09-Mar-2026) **</t>
  </si>
  <si>
    <t>INE040A16HM6</t>
  </si>
  <si>
    <t>Canara Bank (04-Dec-2025)</t>
  </si>
  <si>
    <t>INE476A16ZO0</t>
  </si>
  <si>
    <t>Sub Total</t>
  </si>
  <si>
    <t>Commercial Paper</t>
  </si>
  <si>
    <t>NTPC Ltd (10-Mar-2026) **</t>
  </si>
  <si>
    <t>INE733E14BU9</t>
  </si>
  <si>
    <t>Small Industries Development Bank Of India (03-Mar-2026) **</t>
  </si>
  <si>
    <t>INE556F14LG9</t>
  </si>
  <si>
    <t>National Bank For Agriculture &amp; Rural Development (02-Mar-2026)</t>
  </si>
  <si>
    <t>INE261F14OD7</t>
  </si>
  <si>
    <t>Kotak Securities Ltd (13-Mar-2026) **</t>
  </si>
  <si>
    <t>INE028E14TK7</t>
  </si>
  <si>
    <t>Power Finance Corporation Ltd (15-Apr-2026) **</t>
  </si>
  <si>
    <t>INE134E14AX6</t>
  </si>
  <si>
    <t>Kotak Securities Ltd (06-Mar-2026) **</t>
  </si>
  <si>
    <t>INE028E14TR2</t>
  </si>
  <si>
    <t>ICICI Securities Ltd (09-Mar-2026) **</t>
  </si>
  <si>
    <t>INE763G14D03</t>
  </si>
  <si>
    <t>LIC Housing Finance Ltd (18-Mar-2026) **</t>
  </si>
  <si>
    <t>INE115A14FL7</t>
  </si>
  <si>
    <t>Treasury Bill</t>
  </si>
  <si>
    <t>182 DTB (19-MAR-2026)</t>
  </si>
  <si>
    <t>IN002025Y255</t>
  </si>
  <si>
    <t>182 DTB (26-MAR-2026)</t>
  </si>
  <si>
    <t>IN002025Y263</t>
  </si>
  <si>
    <t>364 DTB (16-JUL-2026)</t>
  </si>
  <si>
    <t>IN002025Z161</t>
  </si>
  <si>
    <t>Total</t>
  </si>
  <si>
    <t>Government Securities</t>
  </si>
  <si>
    <t>5.63% GOI 2026 (12-APR-2026)</t>
  </si>
  <si>
    <t>IN0020210012</t>
  </si>
  <si>
    <t>SOVEREIGN</t>
  </si>
  <si>
    <t>TREPS</t>
  </si>
  <si>
    <t>Grand Total</t>
  </si>
  <si>
    <t>Net Receivables / (Payables)</t>
  </si>
  <si>
    <t>Rating</t>
  </si>
  <si>
    <t>** Non Traded Security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</si>
  <si>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</si>
  <si>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Notes</t>
  </si>
  <si>
    <t xml:space="preserve">Scheme Risk-O-Meter </t>
  </si>
  <si>
    <t>91 DTB (11-DEC-2025)</t>
  </si>
  <si>
    <t>IN002025X240</t>
  </si>
  <si>
    <t>182 DTB (18-DEC-2025)</t>
  </si>
  <si>
    <t>IN002025Y123</t>
  </si>
  <si>
    <t>182 DTB (11-DEC-2025)</t>
  </si>
  <si>
    <t>IN002025Y115</t>
  </si>
  <si>
    <t>91 DTB (18-DEC-2025)</t>
  </si>
  <si>
    <t>IN002025X257</t>
  </si>
  <si>
    <t>364 DTB (26-DEC-2025)</t>
  </si>
  <si>
    <t>IN002024Z370</t>
  </si>
  <si>
    <t>Reverse Repo</t>
  </si>
  <si>
    <t>Reverse Repo (01-Dec-2025)</t>
  </si>
  <si>
    <t>HDFC Bank Ltd (22-Dec-2025) **</t>
  </si>
  <si>
    <t>INE040A16HQ7</t>
  </si>
  <si>
    <t>Axis Bank Ltd (18-Feb-2026) **</t>
  </si>
  <si>
    <t>INE238AD6BM0</t>
  </si>
  <si>
    <t>Federal Bank Ltd (20-Feb-2026) **</t>
  </si>
  <si>
    <t>INE171A16MU2</t>
  </si>
  <si>
    <t>Axis Bank Ltd (18-Dec-2025) **</t>
  </si>
  <si>
    <t>INE238AD6BH0</t>
  </si>
  <si>
    <t>Canara Bank (18-Dec-2025)</t>
  </si>
  <si>
    <t>INE476A16ZT9</t>
  </si>
  <si>
    <t>Punjab National Bank (03-Feb-2026) **</t>
  </si>
  <si>
    <t>INE160A16TC8</t>
  </si>
  <si>
    <t>Federal Bank Ltd (24-Feb-2026) **</t>
  </si>
  <si>
    <t>INE171A16NA2</t>
  </si>
  <si>
    <t>Bank of Baroda (24-Feb-2026)</t>
  </si>
  <si>
    <t>INE028A16JJ3</t>
  </si>
  <si>
    <t>Bank of Baroda (16-Dec-2025) **</t>
  </si>
  <si>
    <t>INE028A16ID8</t>
  </si>
  <si>
    <t>Canara Bank (17-Dec-2025) **</t>
  </si>
  <si>
    <t>INE476A16E04</t>
  </si>
  <si>
    <t>National Bank For Agriculture &amp; Rural Development (06-Feb-2026) **</t>
  </si>
  <si>
    <t>INE261F16942</t>
  </si>
  <si>
    <t>Small Industries Development Bank of India (06-Feb-2026)</t>
  </si>
  <si>
    <t>INE556F16BA8</t>
  </si>
  <si>
    <t>HDFC Bank Ltd (12-Feb-2026) **</t>
  </si>
  <si>
    <t>INE040A16HV7</t>
  </si>
  <si>
    <t>Indian Bank (17-Feb-2026) **</t>
  </si>
  <si>
    <t>INE562A16PW1</t>
  </si>
  <si>
    <t>Bank of India (18-Feb-2026) **</t>
  </si>
  <si>
    <t>INE084A16ET6</t>
  </si>
  <si>
    <t>Canara Bank (24-Feb-2026) **</t>
  </si>
  <si>
    <t>INE476A16A65</t>
  </si>
  <si>
    <t>Bank of India (25-Feb-2026) **</t>
  </si>
  <si>
    <t>INE084A16FB1</t>
  </si>
  <si>
    <t>HDFC Bank Ltd (18-Dec-2025)</t>
  </si>
  <si>
    <t>INE040A16GA3</t>
  </si>
  <si>
    <t>National Bank For Agriculture &amp; Rural Development (17-Feb-2026) **</t>
  </si>
  <si>
    <t>INE261F16959</t>
  </si>
  <si>
    <t>HDFC Bank Ltd (04-Dec-2025)</t>
  </si>
  <si>
    <t>INE040A16FY5</t>
  </si>
  <si>
    <t>Punjab National Bank (11-Dec-2025) **</t>
  </si>
  <si>
    <t>INE160A16QL5</t>
  </si>
  <si>
    <t>Union Bank of India (05-Dec-2025)</t>
  </si>
  <si>
    <t>INE692A16ID1</t>
  </si>
  <si>
    <t>Canara Bank (05-Dec-2025)</t>
  </si>
  <si>
    <t>INE476A16ZP7</t>
  </si>
  <si>
    <t>Small Industries Development Bank of India (05-Dec-2025)</t>
  </si>
  <si>
    <t>INE556F16AX2</t>
  </si>
  <si>
    <t>Axis Bank Ltd (17-Dec-2025)</t>
  </si>
  <si>
    <t>INE238AD6AY7</t>
  </si>
  <si>
    <t>Union Bank of India (23-Dec-2025) **</t>
  </si>
  <si>
    <t>INE692A16JW9</t>
  </si>
  <si>
    <t>Union Bank of India (27-Jan-2026) **</t>
  </si>
  <si>
    <t>INE692A16IM2</t>
  </si>
  <si>
    <t>Bank of Baroda (06-Feb-2026) **</t>
  </si>
  <si>
    <t>INE028A16JM7</t>
  </si>
  <si>
    <t>Kotak Mahindra Bank Ltd (18-Feb-2026) **</t>
  </si>
  <si>
    <t>INE237A165Z5</t>
  </si>
  <si>
    <t>Bank of India (04-Dec-2025) **</t>
  </si>
  <si>
    <t>INE084A16EF5</t>
  </si>
  <si>
    <t>Union Bank of India (04-Dec-2025) **</t>
  </si>
  <si>
    <t>INE692A16IC3</t>
  </si>
  <si>
    <t>Union Bank of India (18-Dec-2025)</t>
  </si>
  <si>
    <t>INE692A16II0</t>
  </si>
  <si>
    <t>Union Bank of India (03-Feb-2026) **</t>
  </si>
  <si>
    <t>INE692A16IP5</t>
  </si>
  <si>
    <t>National Bank For Agriculture &amp; Rural Development (04-Feb-2026) **</t>
  </si>
  <si>
    <t>INE261F16926</t>
  </si>
  <si>
    <t>Bank of Baroda (09-Feb-2026) **</t>
  </si>
  <si>
    <t>INE028A16JN5</t>
  </si>
  <si>
    <t>Bank of Baroda (23-Feb-2026)</t>
  </si>
  <si>
    <t>INE028A16JO3</t>
  </si>
  <si>
    <t>National Bank For Agriculture &amp; Rural Development (27-Feb-2026)</t>
  </si>
  <si>
    <t>INE261F16967</t>
  </si>
  <si>
    <t>Bank of India (26-Dec-2025) **</t>
  </si>
  <si>
    <t>INE084A16CY0</t>
  </si>
  <si>
    <t>Kotak Securities Ltd (30-Dec-2025) **</t>
  </si>
  <si>
    <t>INE028E14TC4</t>
  </si>
  <si>
    <t>Reliance Retail Ventures Ltd (03-Dec-2025) **</t>
  </si>
  <si>
    <t>INE929O14EA8</t>
  </si>
  <si>
    <t>ICICI Home Finance Co Ltd (11-Feb-2026) **</t>
  </si>
  <si>
    <t>INE071G14HF7</t>
  </si>
  <si>
    <t>Bajaj Financial Securities Ltd (17-Dec-2025) **</t>
  </si>
  <si>
    <t>INE01C314CV7</t>
  </si>
  <si>
    <t>HDFC Securities Ltd (18-Dec-2025) **</t>
  </si>
  <si>
    <t>INE700G14PZ2</t>
  </si>
  <si>
    <t>Grasim Industries Ltd (11-Dec-2025) **</t>
  </si>
  <si>
    <t>INE047A14AM1</t>
  </si>
  <si>
    <t>HDFC Securities Ltd (29-Dec-2025) **</t>
  </si>
  <si>
    <t>INE700G14QJ4</t>
  </si>
  <si>
    <t>ICICI Securities Ltd (16-Dec-2025) **</t>
  </si>
  <si>
    <t>INE763G14B13</t>
  </si>
  <si>
    <t>Kotak Securities Ltd (06-Feb-2026) **</t>
  </si>
  <si>
    <t>INE028E14TL5</t>
  </si>
  <si>
    <t>Godrej Housing Finance Ltd (13-Feb-2026) **</t>
  </si>
  <si>
    <t>INE02JD14591</t>
  </si>
  <si>
    <t>Small Industries Development Bank Of India (18-Feb-2026) **</t>
  </si>
  <si>
    <t>INE556F14LR6</t>
  </si>
  <si>
    <t>Julius Baer Capital (India) Pvt Ltd (13-Feb-2026) **</t>
  </si>
  <si>
    <t>INE824H14SV1</t>
  </si>
  <si>
    <t>ICICI Securities Ltd (10-Dec-2025) **</t>
  </si>
  <si>
    <t>INE763G14A71</t>
  </si>
  <si>
    <t>L&amp;T Finance Ltd (17-Dec-2025) **</t>
  </si>
  <si>
    <t>INE498L14ES2</t>
  </si>
  <si>
    <t>Axis Securities Ltd (27-Feb-2026) **</t>
  </si>
  <si>
    <t>INE110O14GQ6</t>
  </si>
  <si>
    <t>ICICI Securities Ltd (04-Dec-2025) **</t>
  </si>
  <si>
    <t>INE763G14A48</t>
  </si>
  <si>
    <t>Aditya Birla Capital Ltd (06-Feb-2026) **</t>
  </si>
  <si>
    <t>INE860H144V6</t>
  </si>
  <si>
    <t>182 DTB (22-JAN-2026)</t>
  </si>
  <si>
    <t>IN002025Y172</t>
  </si>
  <si>
    <t>91 DTB (02-JAN-2026)</t>
  </si>
  <si>
    <t>IN002025X273</t>
  </si>
  <si>
    <t>91 DTB (23-JAN-2026)</t>
  </si>
  <si>
    <t>IN002025X307</t>
  </si>
  <si>
    <t>91 DTB (15-JAN-2026)</t>
  </si>
  <si>
    <t>IN002025X299</t>
  </si>
  <si>
    <t>182 DTB (25-DEC-2025)</t>
  </si>
  <si>
    <t>IN002025Y131</t>
  </si>
  <si>
    <t>182 DTB (12-FEB-2026)</t>
  </si>
  <si>
    <t>IN002025Y206</t>
  </si>
  <si>
    <t>8.21% MAHARASHTRA SDL 09-DEC-25</t>
  </si>
  <si>
    <t>IN2220150147</t>
  </si>
  <si>
    <t>8.36% MAHARASHTRA SDL 27-JAN-26</t>
  </si>
  <si>
    <t>IN2220150170</t>
  </si>
  <si>
    <t>8.27% TAMIL NADU SDL 23-DEC-25</t>
  </si>
  <si>
    <t>IN3120150161</t>
  </si>
  <si>
    <t>8.39% MADHYA PRADESH SDL 27-JAN-26</t>
  </si>
  <si>
    <t>IN2120150098</t>
  </si>
  <si>
    <t>8.30% MADHYA PRADESH SDL 13-JAN-26</t>
  </si>
  <si>
    <t>IN2120150080</t>
  </si>
  <si>
    <t>8.27% KARNATAKA SDL 23-DEC-25</t>
  </si>
  <si>
    <t>IN1920150068</t>
  </si>
  <si>
    <t>8.22% TAMIL NADU SDL 09-DEC-25</t>
  </si>
  <si>
    <t>IN3120150153</t>
  </si>
  <si>
    <t>6.33% GOI 2035 (05-MAY-2035)</t>
  </si>
  <si>
    <t>IN0020250026</t>
  </si>
  <si>
    <t>6.79% GOI 2034 (07-OCT-2034)</t>
  </si>
  <si>
    <t>IN0020240126</t>
  </si>
  <si>
    <t>6.48% GOI 2035 (06-OCT-2035)</t>
  </si>
  <si>
    <t>IN0020250091</t>
  </si>
  <si>
    <t>Equity &amp; Equity related</t>
  </si>
  <si>
    <t>(a) Listed / awaiting listing on Stock Exchanges</t>
  </si>
  <si>
    <t>HDFC Bank Ltd</t>
  </si>
  <si>
    <t>INE040A01034</t>
  </si>
  <si>
    <t>Banks</t>
  </si>
  <si>
    <t>Reliance Industries Ltd</t>
  </si>
  <si>
    <t>INE002A01018</t>
  </si>
  <si>
    <t>Petroleum Products</t>
  </si>
  <si>
    <t>ICICI Bank Ltd</t>
  </si>
  <si>
    <t>INE090A01021</t>
  </si>
  <si>
    <t>Bharti Airtel Ltd</t>
  </si>
  <si>
    <t>INE397D01024</t>
  </si>
  <si>
    <t>Telecom - Services</t>
  </si>
  <si>
    <t>Infosys Ltd</t>
  </si>
  <si>
    <t>INE009A01021</t>
  </si>
  <si>
    <t>IT - Software</t>
  </si>
  <si>
    <t>Larsen &amp; Toubro Ltd</t>
  </si>
  <si>
    <t>INE018A01030</t>
  </si>
  <si>
    <t>Construction</t>
  </si>
  <si>
    <t>State Bank of India</t>
  </si>
  <si>
    <t>INE062A01020</t>
  </si>
  <si>
    <t>ITC Ltd</t>
  </si>
  <si>
    <t>INE154A01025</t>
  </si>
  <si>
    <t>Diversified Fmcg</t>
  </si>
  <si>
    <t>Axis Bank Ltd</t>
  </si>
  <si>
    <t>INE238A01034</t>
  </si>
  <si>
    <t>Mahindra &amp; Mahindra Ltd</t>
  </si>
  <si>
    <t>INE101A01026</t>
  </si>
  <si>
    <t>Automobiles</t>
  </si>
  <si>
    <t>Tata Consultancy Services Ltd</t>
  </si>
  <si>
    <t>INE467B01029</t>
  </si>
  <si>
    <t>Kotak Mahindra Bank Ltd</t>
  </si>
  <si>
    <t>INE237A01028</t>
  </si>
  <si>
    <t>Bajaj Finance Ltd</t>
  </si>
  <si>
    <t>INE296A01032</t>
  </si>
  <si>
    <t>Finance</t>
  </si>
  <si>
    <t>Hindustan Unilever Ltd</t>
  </si>
  <si>
    <t>INE030A01027</t>
  </si>
  <si>
    <t>Eternal Ltd</t>
  </si>
  <si>
    <t>INE758T01015</t>
  </si>
  <si>
    <t>Retailing</t>
  </si>
  <si>
    <t>Maruti Suzuki India Ltd</t>
  </si>
  <si>
    <t>INE585B01010</t>
  </si>
  <si>
    <t>Sun Pharmaceutical Industries Ltd</t>
  </si>
  <si>
    <t>INE044A01036</t>
  </si>
  <si>
    <t>Pharmaceuticals &amp; Biotechnology</t>
  </si>
  <si>
    <t>HCL Technologies Ltd</t>
  </si>
  <si>
    <t>INE860A01027</t>
  </si>
  <si>
    <t>Titan Co Ltd</t>
  </si>
  <si>
    <t>INE280A01028</t>
  </si>
  <si>
    <t>Consumer Durables</t>
  </si>
  <si>
    <t>NTPC Ltd</t>
  </si>
  <si>
    <t>INE733E01010</t>
  </si>
  <si>
    <t>Power</t>
  </si>
  <si>
    <t>Bharat Electronics Ltd</t>
  </si>
  <si>
    <t>INE263A01024</t>
  </si>
  <si>
    <t>Aerospace &amp; Defense</t>
  </si>
  <si>
    <t>Tata Steel Ltd</t>
  </si>
  <si>
    <t>INE081A01020</t>
  </si>
  <si>
    <t>Ferrous Metals</t>
  </si>
  <si>
    <t>Ultratech Cement Ltd</t>
  </si>
  <si>
    <t>INE481G01011</t>
  </si>
  <si>
    <t>Cement &amp; Cement Products</t>
  </si>
  <si>
    <t>Asian Paints Ltd</t>
  </si>
  <si>
    <t>INE021A01026</t>
  </si>
  <si>
    <t>Interglobe Aviation Ltd</t>
  </si>
  <si>
    <t>INE646L01027</t>
  </si>
  <si>
    <t>Transport Services</t>
  </si>
  <si>
    <t>Power Grid Corporation of India Ltd</t>
  </si>
  <si>
    <t>INE752E01010</t>
  </si>
  <si>
    <t>Bajaj Finserv Ltd</t>
  </si>
  <si>
    <t>INE918I01026</t>
  </si>
  <si>
    <t>Shriram Finance Ltd</t>
  </si>
  <si>
    <t>INE721A01047</t>
  </si>
  <si>
    <t>Hindalco Industries Ltd</t>
  </si>
  <si>
    <t>INE038A01020</t>
  </si>
  <si>
    <t>Non - Ferrous Metals</t>
  </si>
  <si>
    <t>Adani Ports and Special Economic Zone Ltd</t>
  </si>
  <si>
    <t>INE742F01042</t>
  </si>
  <si>
    <t>Transport Infrastructure</t>
  </si>
  <si>
    <t>JSW Steel Ltd</t>
  </si>
  <si>
    <t>INE019A01038</t>
  </si>
  <si>
    <t>Grasim Industries Ltd</t>
  </si>
  <si>
    <t>INE047A01021</t>
  </si>
  <si>
    <t>Bajaj Auto Ltd</t>
  </si>
  <si>
    <t>INE917I01010</t>
  </si>
  <si>
    <t>Jio Financial Services Ltd</t>
  </si>
  <si>
    <t>INE758E01017</t>
  </si>
  <si>
    <t>Eicher Motors Ltd</t>
  </si>
  <si>
    <t>INE066A01021</t>
  </si>
  <si>
    <t>Tech Mahindra Ltd</t>
  </si>
  <si>
    <t>INE669C01036</t>
  </si>
  <si>
    <t>Oil &amp; Natural Gas Corporation Ltd</t>
  </si>
  <si>
    <t>INE213A01029</t>
  </si>
  <si>
    <t>Oil</t>
  </si>
  <si>
    <t>Trent Ltd</t>
  </si>
  <si>
    <t>INE849A01020</t>
  </si>
  <si>
    <t>Nestle India Ltd</t>
  </si>
  <si>
    <t>INE239A01024</t>
  </si>
  <si>
    <t>Food Products</t>
  </si>
  <si>
    <t>SBI Life Insurance Co Ltd</t>
  </si>
  <si>
    <t>INE123W01016</t>
  </si>
  <si>
    <t>Insurance</t>
  </si>
  <si>
    <t>Max Healthcare Institute Ltd</t>
  </si>
  <si>
    <t>INE027H01010</t>
  </si>
  <si>
    <t>Healthcare Services</t>
  </si>
  <si>
    <t>Cipla Ltd</t>
  </si>
  <si>
    <t>INE059A01026</t>
  </si>
  <si>
    <t>Coal India Ltd</t>
  </si>
  <si>
    <t>INE522F01014</t>
  </si>
  <si>
    <t>Consumable Fuels</t>
  </si>
  <si>
    <t>HDFC Life Insurance Co Ltd</t>
  </si>
  <si>
    <t>INE795G01014</t>
  </si>
  <si>
    <t>Dr. Reddy's Laboratories Ltd</t>
  </si>
  <si>
    <t>INE089A01031</t>
  </si>
  <si>
    <t>Tata Consumer Products Ltd</t>
  </si>
  <si>
    <t>INE192A01025</t>
  </si>
  <si>
    <t>Agricultural Food &amp; Other Products</t>
  </si>
  <si>
    <t>Tata Motors Passenger Vehicles Ltd</t>
  </si>
  <si>
    <t>INE155A01022</t>
  </si>
  <si>
    <t>Apollo Hospitals Enterprise Ltd</t>
  </si>
  <si>
    <t>INE437A01024</t>
  </si>
  <si>
    <t>Wipro Ltd</t>
  </si>
  <si>
    <t>INE075A01022</t>
  </si>
  <si>
    <t>Adani Enterprises Ltd</t>
  </si>
  <si>
    <t>INE423A01024</t>
  </si>
  <si>
    <t>Metals &amp; Minerals Trading</t>
  </si>
  <si>
    <t xml:space="preserve">(b) Unlisted </t>
  </si>
  <si>
    <t>NIL</t>
  </si>
  <si>
    <t>Industry Classification</t>
  </si>
  <si>
    <t>Vedanta Ltd</t>
  </si>
  <si>
    <t>INE205A01025</t>
  </si>
  <si>
    <t>Diversified Metals</t>
  </si>
  <si>
    <t>Hindustan Aeronautics Ltd</t>
  </si>
  <si>
    <t>INE066F01020</t>
  </si>
  <si>
    <t>TVS Motor Co Ltd</t>
  </si>
  <si>
    <t>INE494B01023</t>
  </si>
  <si>
    <t>Divi's Laboratories Ltd</t>
  </si>
  <si>
    <t>INE361B01024</t>
  </si>
  <si>
    <t>Cholamandalam Investment and Finance Co Ltd</t>
  </si>
  <si>
    <t>INE121A01024</t>
  </si>
  <si>
    <t>Bharat Petroleum Corporation Ltd</t>
  </si>
  <si>
    <t>INE029A01011</t>
  </si>
  <si>
    <t>Britannia Industries Ltd</t>
  </si>
  <si>
    <t>INE216A01030</t>
  </si>
  <si>
    <t>Tata Power Co Ltd</t>
  </si>
  <si>
    <t>INE245A01021</t>
  </si>
  <si>
    <t>Indian Hotels Co Ltd</t>
  </si>
  <si>
    <t>INE053A01029</t>
  </si>
  <si>
    <t>Leisure Services</t>
  </si>
  <si>
    <t>Varun Beverages Ltd</t>
  </si>
  <si>
    <t>INE200M01039</t>
  </si>
  <si>
    <t>Beverages</t>
  </si>
  <si>
    <t>Indian Oil Corporation Ltd</t>
  </si>
  <si>
    <t>INE242A01010</t>
  </si>
  <si>
    <t>Avenue Supermarts Ltd</t>
  </si>
  <si>
    <t>INE192R01011</t>
  </si>
  <si>
    <t>Adani Power Ltd</t>
  </si>
  <si>
    <t>INE814H01029</t>
  </si>
  <si>
    <t>Ltimindtree Ltd</t>
  </si>
  <si>
    <t>INE214T01019</t>
  </si>
  <si>
    <t>Bank of Baroda</t>
  </si>
  <si>
    <t>INE028A01039</t>
  </si>
  <si>
    <t>Power Finance Corporation Ltd</t>
  </si>
  <si>
    <t>INE134E01011</t>
  </si>
  <si>
    <t>Info Edge (India) Ltd</t>
  </si>
  <si>
    <t>INE663F01032</t>
  </si>
  <si>
    <t>Samvardhana Motherson International Ltd</t>
  </si>
  <si>
    <t>INE775A01035</t>
  </si>
  <si>
    <t>Auto Components</t>
  </si>
  <si>
    <t>Canara Bank</t>
  </si>
  <si>
    <t>INE476A01022</t>
  </si>
  <si>
    <t>Bajaj Holdings &amp; Investment Ltd</t>
  </si>
  <si>
    <t>INE118A01012</t>
  </si>
  <si>
    <t>ICICI Lombard General Insurance Co Ltd</t>
  </si>
  <si>
    <t>INE765G01017</t>
  </si>
  <si>
    <t>GAIL (India) Ltd</t>
  </si>
  <si>
    <t>INE129A01019</t>
  </si>
  <si>
    <t>Gas</t>
  </si>
  <si>
    <t>DLF Ltd</t>
  </si>
  <si>
    <t>INE271C01023</t>
  </si>
  <si>
    <t>Realty</t>
  </si>
  <si>
    <t>CG Power and Industrial Solutions Ltd</t>
  </si>
  <si>
    <t>INE067A01029</t>
  </si>
  <si>
    <t>Electrical Equipment</t>
  </si>
  <si>
    <t>Godrej Consumer Products Ltd</t>
  </si>
  <si>
    <t>INE102D01028</t>
  </si>
  <si>
    <t>Personal Products</t>
  </si>
  <si>
    <t>Pidilite Industries Ltd</t>
  </si>
  <si>
    <t>INE318A01026</t>
  </si>
  <si>
    <t>Chemicals &amp; Petrochemicals</t>
  </si>
  <si>
    <t>REC Ltd</t>
  </si>
  <si>
    <t>INE020B01018</t>
  </si>
  <si>
    <t>Punjab National Bank</t>
  </si>
  <si>
    <t>INE160A01022</t>
  </si>
  <si>
    <t>United Spirits Ltd</t>
  </si>
  <si>
    <t>INE854D01024</t>
  </si>
  <si>
    <t>Jindal Steel Ltd</t>
  </si>
  <si>
    <t>INE749A01030</t>
  </si>
  <si>
    <t>Torrent Pharmaceuticals Ltd</t>
  </si>
  <si>
    <t>INE685A01028</t>
  </si>
  <si>
    <t>Havells India Ltd</t>
  </si>
  <si>
    <t>INE176B01034</t>
  </si>
  <si>
    <t>Shree Cement Ltd</t>
  </si>
  <si>
    <t>INE070A01015</t>
  </si>
  <si>
    <t>Adani Energy Solutions Ltd</t>
  </si>
  <si>
    <t>INE931S01010</t>
  </si>
  <si>
    <t>Ambuja Cements Ltd</t>
  </si>
  <si>
    <t>INE079A01024</t>
  </si>
  <si>
    <t>Hyundai Motor India Ltd</t>
  </si>
  <si>
    <t>INE0V6F01027</t>
  </si>
  <si>
    <t>Solar Industries India Ltd</t>
  </si>
  <si>
    <t>INE343H01029</t>
  </si>
  <si>
    <t>Lodha Developers Ltd</t>
  </si>
  <si>
    <t>INE670K01029</t>
  </si>
  <si>
    <t>Adani Green Energy Ltd</t>
  </si>
  <si>
    <t>INE364U01010</t>
  </si>
  <si>
    <t>Bosch Ltd</t>
  </si>
  <si>
    <t>INE323A01026</t>
  </si>
  <si>
    <t>Siemens Ltd</t>
  </si>
  <si>
    <t>INE003A01024</t>
  </si>
  <si>
    <t>Siemens Energy India ltd</t>
  </si>
  <si>
    <t>INE1NPP01017</t>
  </si>
  <si>
    <t>ABB India Ltd</t>
  </si>
  <si>
    <t>INE117A01022</t>
  </si>
  <si>
    <t>JSW Energy Ltd</t>
  </si>
  <si>
    <t>INE121E01018</t>
  </si>
  <si>
    <t>Zydus Lifesciences Ltd</t>
  </si>
  <si>
    <t>INE010B01027</t>
  </si>
  <si>
    <t>Hindustan Zinc Ltd</t>
  </si>
  <si>
    <t>INE267A01025</t>
  </si>
  <si>
    <t>Indian Railway Finance Corporation Ltd</t>
  </si>
  <si>
    <t>INE053F01010</t>
  </si>
  <si>
    <t>Mazagon Dock Shipbuilders Ltd</t>
  </si>
  <si>
    <t>INE249Z01020</t>
  </si>
  <si>
    <t>Industrial Manufacturing</t>
  </si>
  <si>
    <t>Life Insurance Corporation Of India</t>
  </si>
  <si>
    <t>INE0J1Y01017</t>
  </si>
  <si>
    <t>Bajaj Housing Finance Ltd</t>
  </si>
  <si>
    <t>INE377Y01014</t>
  </si>
  <si>
    <t>6.00% TVS Motor Co Ltd Cumulative NCRPS (01-Sep-2026) **</t>
  </si>
  <si>
    <t>INE494B04019</t>
  </si>
  <si>
    <t>** Non- Traded Security</t>
  </si>
  <si>
    <t>BSE Ltd</t>
  </si>
  <si>
    <t>INE118H01025</t>
  </si>
  <si>
    <t>Capital Markets</t>
  </si>
  <si>
    <t>Hero MotoCorp Ltd</t>
  </si>
  <si>
    <t>INE158A01026</t>
  </si>
  <si>
    <t>Persistent Systems Ltd</t>
  </si>
  <si>
    <t>INE262H01021</t>
  </si>
  <si>
    <t>Suzlon Energy Ltd</t>
  </si>
  <si>
    <t>INE040H01021</t>
  </si>
  <si>
    <t>Coforge Ltd</t>
  </si>
  <si>
    <t>INE591G01025</t>
  </si>
  <si>
    <t>Federal Bank Ltd</t>
  </si>
  <si>
    <t>INE171A01029</t>
  </si>
  <si>
    <t>PB Fintech Ltd</t>
  </si>
  <si>
    <t>INE417T01026</t>
  </si>
  <si>
    <t>Financial Technology (Fintech)</t>
  </si>
  <si>
    <t>Cummins India Ltd</t>
  </si>
  <si>
    <t>INE298A01020</t>
  </si>
  <si>
    <t>Industrial Products</t>
  </si>
  <si>
    <t>Dixon Technologies (India) Ltd</t>
  </si>
  <si>
    <t>INE935N01020</t>
  </si>
  <si>
    <t>IndusInd Bank Ltd</t>
  </si>
  <si>
    <t>INE095A01012</t>
  </si>
  <si>
    <t>HDFC Asset Management Co Ltd</t>
  </si>
  <si>
    <t>INE127D01025</t>
  </si>
  <si>
    <t>AU Small Finance Bank Ltd</t>
  </si>
  <si>
    <t>INE949L01017</t>
  </si>
  <si>
    <t>Indus Towers Ltd</t>
  </si>
  <si>
    <t>INE121J01017</t>
  </si>
  <si>
    <t>Lupin Ltd</t>
  </si>
  <si>
    <t>INE326A01037</t>
  </si>
  <si>
    <t>IDFC First Bank Ltd</t>
  </si>
  <si>
    <t>INE092T01019</t>
  </si>
  <si>
    <t>One 97 Communications Ltd</t>
  </si>
  <si>
    <t>INE982J01020</t>
  </si>
  <si>
    <t>Fortis Healthcare Ltd</t>
  </si>
  <si>
    <t>INE061F01013</t>
  </si>
  <si>
    <t>Ashok Leyland Ltd</t>
  </si>
  <si>
    <t>INE208A01029</t>
  </si>
  <si>
    <t>Agricultural, Commercial &amp; Construction Vehicles</t>
  </si>
  <si>
    <t>Yes Bank Ltd</t>
  </si>
  <si>
    <t>INE528G01035</t>
  </si>
  <si>
    <t>Max Financial Services Ltd</t>
  </si>
  <si>
    <t>INE180A01020</t>
  </si>
  <si>
    <t>Hindustan Petroleum Corporation Ltd</t>
  </si>
  <si>
    <t>INE094A01015</t>
  </si>
  <si>
    <t>UPL Ltd</t>
  </si>
  <si>
    <t>INE628A01036</t>
  </si>
  <si>
    <t>Fertilizers &amp; Agrochemicals</t>
  </si>
  <si>
    <t>SRF Ltd</t>
  </si>
  <si>
    <t>INE647A01010</t>
  </si>
  <si>
    <t>Muthoot Finance Ltd</t>
  </si>
  <si>
    <t>INE414G01012</t>
  </si>
  <si>
    <t>GMR Airports Ltd</t>
  </si>
  <si>
    <t>INE776C01039</t>
  </si>
  <si>
    <t>Bharat Forge Ltd</t>
  </si>
  <si>
    <t>INE465A01025</t>
  </si>
  <si>
    <t>Marico Ltd</t>
  </si>
  <si>
    <t>INE196A01026</t>
  </si>
  <si>
    <t>Polycab India Ltd</t>
  </si>
  <si>
    <t>INE455K01017</t>
  </si>
  <si>
    <t>Bharat Heavy Electricals Ltd</t>
  </si>
  <si>
    <t>INE257A01026</t>
  </si>
  <si>
    <t>FSN E-Commerce Ventures Ltd</t>
  </si>
  <si>
    <t>INE388Y01029</t>
  </si>
  <si>
    <t>Ge Vernova T&amp;D India Ltd</t>
  </si>
  <si>
    <t>INE200A01026</t>
  </si>
  <si>
    <t>Aurobindo Pharma Ltd</t>
  </si>
  <si>
    <t>INE406A01037</t>
  </si>
  <si>
    <t>Sundaram Finance Ltd</t>
  </si>
  <si>
    <t>INE660A01013</t>
  </si>
  <si>
    <t>Phoenix Mills Ltd</t>
  </si>
  <si>
    <t>INE211B01039</t>
  </si>
  <si>
    <t>Swiggy Ltd</t>
  </si>
  <si>
    <t>INE00H001014</t>
  </si>
  <si>
    <t>Alkem Laboratories Ltd</t>
  </si>
  <si>
    <t>INE540L01014</t>
  </si>
  <si>
    <t>Mphasis Ltd</t>
  </si>
  <si>
    <t>INE356A01018</t>
  </si>
  <si>
    <t>Godrej Properties Ltd</t>
  </si>
  <si>
    <t>INE484J01027</t>
  </si>
  <si>
    <t>Voltas Ltd</t>
  </si>
  <si>
    <t>INE226A01021</t>
  </si>
  <si>
    <t>APL Apollo Tubes Ltd</t>
  </si>
  <si>
    <t>INE702C01027</t>
  </si>
  <si>
    <t>MRF Ltd</t>
  </si>
  <si>
    <t>INE883A01011</t>
  </si>
  <si>
    <t>Indian Bank</t>
  </si>
  <si>
    <t>INE562A01011</t>
  </si>
  <si>
    <t>Dabur India Ltd</t>
  </si>
  <si>
    <t>INE016A01026</t>
  </si>
  <si>
    <t>Waaree Energies Ltd</t>
  </si>
  <si>
    <t>INE377N01017</t>
  </si>
  <si>
    <t>Tube Investments of India Ltd</t>
  </si>
  <si>
    <t>INE974X01010</t>
  </si>
  <si>
    <t>Union Bank Of India</t>
  </si>
  <si>
    <t>INE692A01016</t>
  </si>
  <si>
    <t>Glenmark Pharmaceuticals Ltd</t>
  </si>
  <si>
    <t>INE935A01035</t>
  </si>
  <si>
    <t>Colgate Palmolive (India) Ltd</t>
  </si>
  <si>
    <t>INE259A01022</t>
  </si>
  <si>
    <t>Vishal Mega Mart Ltd</t>
  </si>
  <si>
    <t>INE01EA01019</t>
  </si>
  <si>
    <t>Prestige Estates Projects Ltd</t>
  </si>
  <si>
    <t>INE811K01011</t>
  </si>
  <si>
    <t>Coromandel International Ltd</t>
  </si>
  <si>
    <t>INE169A01031</t>
  </si>
  <si>
    <t>Hitachi Energy India Ltd</t>
  </si>
  <si>
    <t>INE07Y701011</t>
  </si>
  <si>
    <t>PI Industries Ltd</t>
  </si>
  <si>
    <t>INE603J01030</t>
  </si>
  <si>
    <t>Vodafone Idea Ltd</t>
  </si>
  <si>
    <t>INE669E01016</t>
  </si>
  <si>
    <t>Aditya Birla Capital Ltd</t>
  </si>
  <si>
    <t>INE674K01013</t>
  </si>
  <si>
    <t>360 One Wam Ltd</t>
  </si>
  <si>
    <t>INE466L01038</t>
  </si>
  <si>
    <t>SBI Cards and Payment Services Ltd</t>
  </si>
  <si>
    <t>INE018E01016</t>
  </si>
  <si>
    <t>KEI Industries Ltd</t>
  </si>
  <si>
    <t>INE878B01027</t>
  </si>
  <si>
    <t>NMDC Ltd</t>
  </si>
  <si>
    <t>INE584A01023</t>
  </si>
  <si>
    <t>Minerals &amp; Mining</t>
  </si>
  <si>
    <t>L&amp;T Finance Ltd</t>
  </si>
  <si>
    <t>INE498L01015</t>
  </si>
  <si>
    <t>Mankind Pharma Ltd</t>
  </si>
  <si>
    <t>INE634S01028</t>
  </si>
  <si>
    <t>Torrent Power Ltd</t>
  </si>
  <si>
    <t>INE813H01021</t>
  </si>
  <si>
    <t>Jindal Stainless Ltd</t>
  </si>
  <si>
    <t>INE220G01021</t>
  </si>
  <si>
    <t>Mahindra &amp; Mahindra Financial Services Ltd</t>
  </si>
  <si>
    <t>INE774D01024</t>
  </si>
  <si>
    <t>ICICI Prudential Life Insurance Co Ltd</t>
  </si>
  <si>
    <t>INE726G01019</t>
  </si>
  <si>
    <t>NHPC Ltd</t>
  </si>
  <si>
    <t>INE848E01016</t>
  </si>
  <si>
    <t>Page Industries Ltd</t>
  </si>
  <si>
    <t>INE761H01022</t>
  </si>
  <si>
    <t>Textiles &amp; Apparels</t>
  </si>
  <si>
    <t>J.K. Cement Ltd</t>
  </si>
  <si>
    <t>INE823G01014</t>
  </si>
  <si>
    <t>Biocon Ltd</t>
  </si>
  <si>
    <t>INE376G01013</t>
  </si>
  <si>
    <t>Jubilant Foodworks Ltd</t>
  </si>
  <si>
    <t>INE797F01020</t>
  </si>
  <si>
    <t>Uno Minda Ltd</t>
  </si>
  <si>
    <t>INE405E01023</t>
  </si>
  <si>
    <t>National Aluminium Co Ltd</t>
  </si>
  <si>
    <t>INE139A01034</t>
  </si>
  <si>
    <t>Sona Blw Precision Forgings Ltd</t>
  </si>
  <si>
    <t>INE073K01018</t>
  </si>
  <si>
    <t>Blue Star Ltd</t>
  </si>
  <si>
    <t>INE472A01039</t>
  </si>
  <si>
    <t>Oil India Ltd</t>
  </si>
  <si>
    <t>INE274J01014</t>
  </si>
  <si>
    <t>Supreme Industries Ltd</t>
  </si>
  <si>
    <t>INE195A01028</t>
  </si>
  <si>
    <t>Tata Communications Ltd</t>
  </si>
  <si>
    <t>INE151A01013</t>
  </si>
  <si>
    <t>Indian Railway Catering And Tourism Corporation Ltd</t>
  </si>
  <si>
    <t>INE335Y01020</t>
  </si>
  <si>
    <t>Petronet LNG Ltd</t>
  </si>
  <si>
    <t>INE347G01014</t>
  </si>
  <si>
    <t>IPCA Laboratories Ltd</t>
  </si>
  <si>
    <t>INE571A01038</t>
  </si>
  <si>
    <t>KPIT Technologies Ltd</t>
  </si>
  <si>
    <t>INE04I401011</t>
  </si>
  <si>
    <t>Steel Authority of India Ltd</t>
  </si>
  <si>
    <t>INE114A01011</t>
  </si>
  <si>
    <t>ITC Hotels Ltd</t>
  </si>
  <si>
    <t>INE379A01028</t>
  </si>
  <si>
    <t>Kalyan Jewellers India Ltd</t>
  </si>
  <si>
    <t>INE303R01014</t>
  </si>
  <si>
    <t>Oberoi Realty Ltd</t>
  </si>
  <si>
    <t>INE093I01010</t>
  </si>
  <si>
    <t>Patanjali Foods Ltd</t>
  </si>
  <si>
    <t>INE619A01035</t>
  </si>
  <si>
    <t>Agricultural Food &amp; other Products</t>
  </si>
  <si>
    <t>Oracle Financial Services Software Ltd</t>
  </si>
  <si>
    <t>INE881D01027</t>
  </si>
  <si>
    <t>Balkrishna Industries Ltd</t>
  </si>
  <si>
    <t>INE787D01026</t>
  </si>
  <si>
    <t>Rail Vikas Nigam Ltd</t>
  </si>
  <si>
    <t>INE415G01027</t>
  </si>
  <si>
    <t>Tata Elxsi Ltd</t>
  </si>
  <si>
    <t>INE670A01012</t>
  </si>
  <si>
    <t>Bank of India</t>
  </si>
  <si>
    <t>INE084A01016</t>
  </si>
  <si>
    <t>Astral Ltd</t>
  </si>
  <si>
    <t>INE006I01046</t>
  </si>
  <si>
    <t>Container Corporation Of India Ltd</t>
  </si>
  <si>
    <t>INE111A01025</t>
  </si>
  <si>
    <t>Exide Industries Ltd</t>
  </si>
  <si>
    <t>INE302A01020</t>
  </si>
  <si>
    <t>Adani Total Gas Ltd</t>
  </si>
  <si>
    <t>INE399L01023</t>
  </si>
  <si>
    <t>Apollo Tyres Ltd</t>
  </si>
  <si>
    <t>INE438A01022</t>
  </si>
  <si>
    <t>LIC Housing Finance Ltd</t>
  </si>
  <si>
    <t>INE115A01026</t>
  </si>
  <si>
    <t>Berger Paints India Ltd</t>
  </si>
  <si>
    <t>INE463A01038</t>
  </si>
  <si>
    <t>Dalmia Bharat Ltd</t>
  </si>
  <si>
    <t>INE00R701025</t>
  </si>
  <si>
    <t>Lloyds Metals And Energy Ltd</t>
  </si>
  <si>
    <t>INE281B01032</t>
  </si>
  <si>
    <t>Abbott India Ltd</t>
  </si>
  <si>
    <t>INE358A01014</t>
  </si>
  <si>
    <t>Schaeffler India Ltd</t>
  </si>
  <si>
    <t>INE513A01022</t>
  </si>
  <si>
    <t>Apar Industries Ltd</t>
  </si>
  <si>
    <t>INE372A01015</t>
  </si>
  <si>
    <t>Nippon Life India Asset Management Ltd</t>
  </si>
  <si>
    <t>INE298J01013</t>
  </si>
  <si>
    <t>AIA Engineering Ltd</t>
  </si>
  <si>
    <t>INE212H01026</t>
  </si>
  <si>
    <t>Motilal Oswal Financial Services Ltd</t>
  </si>
  <si>
    <t>INE338I01027</t>
  </si>
  <si>
    <t>Cochin Shipyard Ltd</t>
  </si>
  <si>
    <t>INE704P01025</t>
  </si>
  <si>
    <t>Indraprastha Gas Ltd</t>
  </si>
  <si>
    <t>INE203G01027</t>
  </si>
  <si>
    <t>Gujarat Fluorochemicals Ltd</t>
  </si>
  <si>
    <t>INE09N301011</t>
  </si>
  <si>
    <t>Bharat Dynamics Ltd</t>
  </si>
  <si>
    <t>INE171Z01026</t>
  </si>
  <si>
    <t>Bharti Hexacom Ltd</t>
  </si>
  <si>
    <t>INE343G01021</t>
  </si>
  <si>
    <t>Escorts Kubota Ltd</t>
  </si>
  <si>
    <t>INE042A01014</t>
  </si>
  <si>
    <t>Linde India Ltd</t>
  </si>
  <si>
    <t>INE473A01011</t>
  </si>
  <si>
    <t>Syngene International Ltd</t>
  </si>
  <si>
    <t>INE398R01022</t>
  </si>
  <si>
    <t>L&amp;T Technology Services Ltd</t>
  </si>
  <si>
    <t>INE010V01017</t>
  </si>
  <si>
    <t>IT - Services</t>
  </si>
  <si>
    <t>United Breweries Ltd</t>
  </si>
  <si>
    <t>INE686F01025</t>
  </si>
  <si>
    <t>Procter &amp; Gamble Hygiene and Health Care Ltd</t>
  </si>
  <si>
    <t>INE179A01014</t>
  </si>
  <si>
    <t>Housing &amp; Urban Development Corporation Ltd</t>
  </si>
  <si>
    <t>INE031A01017</t>
  </si>
  <si>
    <t>K.P.R. Mill Ltd</t>
  </si>
  <si>
    <t>INE930H01031</t>
  </si>
  <si>
    <t>General Insurance Corporation Of India</t>
  </si>
  <si>
    <t>INE481Y01014</t>
  </si>
  <si>
    <t>Godfrey Phillips India Ltd</t>
  </si>
  <si>
    <t>INE260B01028</t>
  </si>
  <si>
    <t>Cigarettes &amp; Tobacco Products</t>
  </si>
  <si>
    <t>Tata Technologies Ltd</t>
  </si>
  <si>
    <t>INE142M01025</t>
  </si>
  <si>
    <t>ACC Ltd</t>
  </si>
  <si>
    <t>INE012A01025</t>
  </si>
  <si>
    <t>Indian Renewable Energy Development Agency Ltd</t>
  </si>
  <si>
    <t>INE202E01016</t>
  </si>
  <si>
    <t>Thermax Ltd</t>
  </si>
  <si>
    <t>INE152A01029</t>
  </si>
  <si>
    <t>Premier Energies Ltd</t>
  </si>
  <si>
    <t>INE0BS701011</t>
  </si>
  <si>
    <t>CRISIL Ltd</t>
  </si>
  <si>
    <t>INE007A01025</t>
  </si>
  <si>
    <t>Ajanta Pharma Ltd</t>
  </si>
  <si>
    <t>INE031B01049</t>
  </si>
  <si>
    <t>Deepak Nitrite Ltd</t>
  </si>
  <si>
    <t>INE288B01029</t>
  </si>
  <si>
    <t>Glaxosmithkline Pharmaceuticals Ltd</t>
  </si>
  <si>
    <t>INE159A01016</t>
  </si>
  <si>
    <t>Global Health Ltd</t>
  </si>
  <si>
    <t>INE474Q01031</t>
  </si>
  <si>
    <t>Hexaware Technologies Ltd</t>
  </si>
  <si>
    <t>INE093A01041</t>
  </si>
  <si>
    <t>3M India Ltd</t>
  </si>
  <si>
    <t>INE470A01017</t>
  </si>
  <si>
    <t>Diversified</t>
  </si>
  <si>
    <t>Tata Investment Corporation Ltd</t>
  </si>
  <si>
    <t>INE672A01026</t>
  </si>
  <si>
    <t>Endurance Technologies Ltd</t>
  </si>
  <si>
    <t>INE913H01037</t>
  </si>
  <si>
    <t>Bank Of Maharashtra</t>
  </si>
  <si>
    <t>INE457A01014</t>
  </si>
  <si>
    <t>NTPC Green Energy Ltd</t>
  </si>
  <si>
    <t>INE0ONG01011</t>
  </si>
  <si>
    <t>JSW Infrastructure Ltd</t>
  </si>
  <si>
    <t>INE880J01026</t>
  </si>
  <si>
    <t>Awl Agri Business Ltd</t>
  </si>
  <si>
    <t>INE699H01024</t>
  </si>
  <si>
    <t>IRB Infrastructure Developers Ltd</t>
  </si>
  <si>
    <t>INE821I01022</t>
  </si>
  <si>
    <t>NLC India Ltd</t>
  </si>
  <si>
    <t>INE589A01014</t>
  </si>
  <si>
    <t>Honeywell Automation India Ltd</t>
  </si>
  <si>
    <t>INE671A01010</t>
  </si>
  <si>
    <t>Gujarat Gas Ltd</t>
  </si>
  <si>
    <t>INE844O01030</t>
  </si>
  <si>
    <t>IDBI Bank Ltd</t>
  </si>
  <si>
    <t>INE008A01015</t>
  </si>
  <si>
    <t>SJVN Ltd</t>
  </si>
  <si>
    <t>INE002L01015</t>
  </si>
  <si>
    <t>Fertilizers And Chemicals Travancore Ltd</t>
  </si>
  <si>
    <t>INE188A01015</t>
  </si>
  <si>
    <t>Godrej Industries Ltd</t>
  </si>
  <si>
    <t>INE233A01035</t>
  </si>
  <si>
    <t>The New India Assurance Co Ltd</t>
  </si>
  <si>
    <t>INE470Y01017</t>
  </si>
  <si>
    <t>Indian Overseas Bank</t>
  </si>
  <si>
    <t>INE565A01014</t>
  </si>
  <si>
    <t>UCO Bank</t>
  </si>
  <si>
    <t>INE691A01018</t>
  </si>
  <si>
    <t>Multi Commodity Exchange Of India Ltd</t>
  </si>
  <si>
    <t>INE745G01035</t>
  </si>
  <si>
    <t>Laurus Labs Ltd</t>
  </si>
  <si>
    <t>INE947Q01028</t>
  </si>
  <si>
    <t>Central Depository Services (India) Ltd</t>
  </si>
  <si>
    <t>INE736A01011</t>
  </si>
  <si>
    <t>Radico Khaitan Ltd</t>
  </si>
  <si>
    <t>INE944F01028</t>
  </si>
  <si>
    <t>Karur Vysya Bank Ltd</t>
  </si>
  <si>
    <t>INE036D01028</t>
  </si>
  <si>
    <t>Delhivery Ltd</t>
  </si>
  <si>
    <t>INE148O01028</t>
  </si>
  <si>
    <t>Navin Fluorine International Ltd</t>
  </si>
  <si>
    <t>INE048G01026</t>
  </si>
  <si>
    <t>City Union Bank Ltd</t>
  </si>
  <si>
    <t>INE491A01021</t>
  </si>
  <si>
    <t>RBL Bank Ltd</t>
  </si>
  <si>
    <t>INE976G01028</t>
  </si>
  <si>
    <t>Computer Age Management Services Ltd</t>
  </si>
  <si>
    <t>INE596I01012</t>
  </si>
  <si>
    <t>Cholamandalam Financial Holdings Ltd</t>
  </si>
  <si>
    <t>INE149A01033</t>
  </si>
  <si>
    <t>Angel One Ltd</t>
  </si>
  <si>
    <t>INE732I01013</t>
  </si>
  <si>
    <t>Kaynes Technology India Ltd</t>
  </si>
  <si>
    <t>INE918Z01012</t>
  </si>
  <si>
    <t>Crompton Greaves Consumer Electricals Ltd</t>
  </si>
  <si>
    <t>INE299U01018</t>
  </si>
  <si>
    <t>PNB Housing Finance Ltd</t>
  </si>
  <si>
    <t>INE572E01012</t>
  </si>
  <si>
    <t>Krishna Institute Of Medical Sciences Ltd</t>
  </si>
  <si>
    <t>INE967H01025</t>
  </si>
  <si>
    <t>Redington Ltd</t>
  </si>
  <si>
    <t>INE891D01026</t>
  </si>
  <si>
    <t>Commercial Services &amp; Supplies</t>
  </si>
  <si>
    <t>Manappuram Finance Ltd</t>
  </si>
  <si>
    <t>INE522D01027</t>
  </si>
  <si>
    <t>Amber Enterprises India Ltd</t>
  </si>
  <si>
    <t>INE371P01015</t>
  </si>
  <si>
    <t>Aster DM Healthcare Ltd</t>
  </si>
  <si>
    <t>INE914M01019</t>
  </si>
  <si>
    <t>Neuland Laboratories Ltd</t>
  </si>
  <si>
    <t>INE794A01010</t>
  </si>
  <si>
    <t>J.B. Chemicals &amp; Pharmaceuticals Ltd</t>
  </si>
  <si>
    <t>INE572A01036</t>
  </si>
  <si>
    <t>Kfin Technologies Ltd</t>
  </si>
  <si>
    <t>INE138Y01010</t>
  </si>
  <si>
    <t>Gland Pharma Ltd</t>
  </si>
  <si>
    <t>INE068V01023</t>
  </si>
  <si>
    <t>Poonawalla Fincorp Ltd</t>
  </si>
  <si>
    <t>INE511C01022</t>
  </si>
  <si>
    <t>Kalpataru Projects International Ltd</t>
  </si>
  <si>
    <t>INE220B01022</t>
  </si>
  <si>
    <t>IIFL Finance Ltd</t>
  </si>
  <si>
    <t>INE530B01024</t>
  </si>
  <si>
    <t>Narayana Hrudayalaya Ltd</t>
  </si>
  <si>
    <t>INE410P01011</t>
  </si>
  <si>
    <t>Bandhan Bank Ltd</t>
  </si>
  <si>
    <t>INE545U01014</t>
  </si>
  <si>
    <t>The Ramco Cements Ltd</t>
  </si>
  <si>
    <t>INE331A01037</t>
  </si>
  <si>
    <t>Inox Wind Ltd</t>
  </si>
  <si>
    <t>INE066P01011</t>
  </si>
  <si>
    <t>Tata Chemicals Ltd</t>
  </si>
  <si>
    <t>INE092A01019</t>
  </si>
  <si>
    <t>Brigade Enterprises Ltd</t>
  </si>
  <si>
    <t>INE791I01019</t>
  </si>
  <si>
    <t>NBCC (India) Ltd</t>
  </si>
  <si>
    <t>INE095N01031</t>
  </si>
  <si>
    <t>Sammaan Capital Ltd</t>
  </si>
  <si>
    <t>INE148I01020</t>
  </si>
  <si>
    <t>Asahi India Glass Ltd</t>
  </si>
  <si>
    <t>INE439A01020</t>
  </si>
  <si>
    <t>Amara Raja Energy And Mobility Ltd</t>
  </si>
  <si>
    <t>INE885A01032</t>
  </si>
  <si>
    <t>Dr. Lal Path Labs Ltd</t>
  </si>
  <si>
    <t>INE600L01024</t>
  </si>
  <si>
    <t>Motherson Sumi Wiring India Ltd</t>
  </si>
  <si>
    <t>INE0FS801015</t>
  </si>
  <si>
    <t>Piramal Pharma Ltd</t>
  </si>
  <si>
    <t>INE0DK501011</t>
  </si>
  <si>
    <t>Authum Investment &amp; Infrastructure Ltd</t>
  </si>
  <si>
    <t>INE206F01022</t>
  </si>
  <si>
    <t>Reliance Power Ltd</t>
  </si>
  <si>
    <t>INE614G01033</t>
  </si>
  <si>
    <t>Timken India Ltd</t>
  </si>
  <si>
    <t>INE325A01013</t>
  </si>
  <si>
    <t>Nuvama Wealth Management Ltd</t>
  </si>
  <si>
    <t>INE531F01015</t>
  </si>
  <si>
    <t>Welspun Corp Ltd</t>
  </si>
  <si>
    <t>INE191B01025</t>
  </si>
  <si>
    <t>Anand Rathi Wealth Ltd</t>
  </si>
  <si>
    <t>INE463V01026</t>
  </si>
  <si>
    <t>Star Health And Allied Insurance Co Ltd</t>
  </si>
  <si>
    <t>INE575P01011</t>
  </si>
  <si>
    <t>Indian Energy Exchange Ltd</t>
  </si>
  <si>
    <t>INE022Q01020</t>
  </si>
  <si>
    <t>Five-Star Business Finance Ltd</t>
  </si>
  <si>
    <t>INE128S01021</t>
  </si>
  <si>
    <t>Elgi Equipments Ltd</t>
  </si>
  <si>
    <t>INE285A01027</t>
  </si>
  <si>
    <t>PTC Industries Ltd</t>
  </si>
  <si>
    <t>INE596F01018</t>
  </si>
  <si>
    <t>Firstsource Solutions Ltd</t>
  </si>
  <si>
    <t>INE684F01012</t>
  </si>
  <si>
    <t>Great Eastern Shipping Co Ltd</t>
  </si>
  <si>
    <t>INE017A01032</t>
  </si>
  <si>
    <t>CESC Ltd</t>
  </si>
  <si>
    <t>INE486A01021</t>
  </si>
  <si>
    <t>Hindustan Copper Ltd</t>
  </si>
  <si>
    <t>INE531E01026</t>
  </si>
  <si>
    <t>EID Parry India Ltd</t>
  </si>
  <si>
    <t>INE126A01031</t>
  </si>
  <si>
    <t>Affle 3i Ltd</t>
  </si>
  <si>
    <t>INE00WC01027</t>
  </si>
  <si>
    <t>Emami Ltd</t>
  </si>
  <si>
    <t>INE548C01032</t>
  </si>
  <si>
    <t>Sundram Fasteners Ltd</t>
  </si>
  <si>
    <t>INE387A01021</t>
  </si>
  <si>
    <t>Himadri Speciality Chemical Ltd</t>
  </si>
  <si>
    <t>INE019C01026</t>
  </si>
  <si>
    <t>Wockhardt Ltd</t>
  </si>
  <si>
    <t>INE049B01025</t>
  </si>
  <si>
    <t>Intellect Design Arena Ltd</t>
  </si>
  <si>
    <t>INE306R01017</t>
  </si>
  <si>
    <t>HBL Engineering Ltd</t>
  </si>
  <si>
    <t>INE292B01021</t>
  </si>
  <si>
    <t>ZF Commercial Vehicle Control Systems India Ltd</t>
  </si>
  <si>
    <t>INE342J01019</t>
  </si>
  <si>
    <t>Carborundum Universal Ltd</t>
  </si>
  <si>
    <t>INE120A01034</t>
  </si>
  <si>
    <t>eClerx Services Ltd</t>
  </si>
  <si>
    <t>INE738I01010</t>
  </si>
  <si>
    <t>Aegis Logistics Ltd</t>
  </si>
  <si>
    <t>INE208C01025</t>
  </si>
  <si>
    <t>Cyient Ltd</t>
  </si>
  <si>
    <t>INE136B01020</t>
  </si>
  <si>
    <t>PG Electroplast Ltd</t>
  </si>
  <si>
    <t>INE457L01029</t>
  </si>
  <si>
    <t>Kirloskar Oil Engines Ltd</t>
  </si>
  <si>
    <t>INE146L01010</t>
  </si>
  <si>
    <t>Atul Ltd</t>
  </si>
  <si>
    <t>INE100A01010</t>
  </si>
  <si>
    <t>Zee Entertainment Enterprises Ltd</t>
  </si>
  <si>
    <t>INE256A01028</t>
  </si>
  <si>
    <t>Entertainment</t>
  </si>
  <si>
    <t>Castrol India Ltd</t>
  </si>
  <si>
    <t>INE172A01027</t>
  </si>
  <si>
    <t>Aditya Birla Real Estate Ltd</t>
  </si>
  <si>
    <t>INE055A01016</t>
  </si>
  <si>
    <t>Paper, Forest &amp; Jute Products</t>
  </si>
  <si>
    <t>Deepak Fertilizers and Petrochemicals Corporation Ltd</t>
  </si>
  <si>
    <t>INE501A01019</t>
  </si>
  <si>
    <t>Jaiprakash Power Ventures Ltd</t>
  </si>
  <si>
    <t>INE351F01018</t>
  </si>
  <si>
    <t>KEC International Ltd</t>
  </si>
  <si>
    <t>INE389H01022</t>
  </si>
  <si>
    <t>Kajaria Ceramics Ltd</t>
  </si>
  <si>
    <t>INE217B01036</t>
  </si>
  <si>
    <t>Sai Life Sciences Ltd</t>
  </si>
  <si>
    <t>INE570L01029</t>
  </si>
  <si>
    <t>Data Patterns India Ltd</t>
  </si>
  <si>
    <t>INE0IX101010</t>
  </si>
  <si>
    <t>Jubilant Pharmova Ltd</t>
  </si>
  <si>
    <t>INE700A01033</t>
  </si>
  <si>
    <t>Home First Finance Co India Ltd</t>
  </si>
  <si>
    <t>INE481N01025</t>
  </si>
  <si>
    <t>Craftsman Automation Ltd</t>
  </si>
  <si>
    <t>INE00LO01017</t>
  </si>
  <si>
    <t>Eris Lifesciences Ltd</t>
  </si>
  <si>
    <t>INE406M01024</t>
  </si>
  <si>
    <t>Jyoti CNC Automation Ltd</t>
  </si>
  <si>
    <t>INE980O01024</t>
  </si>
  <si>
    <t>Go Digit General Insurance Ltd</t>
  </si>
  <si>
    <t>INE03JT01014</t>
  </si>
  <si>
    <t>Force Motors Ltd</t>
  </si>
  <si>
    <t>INE451A01017</t>
  </si>
  <si>
    <t>Zensar Technologies Ltd</t>
  </si>
  <si>
    <t>INE520A01027</t>
  </si>
  <si>
    <t>Onesource Specialty Pharma Ltd</t>
  </si>
  <si>
    <t>INE013P01021</t>
  </si>
  <si>
    <t>Gujarat State Petronet Ltd</t>
  </si>
  <si>
    <t>INE246F01010</t>
  </si>
  <si>
    <t>Ather Energy Ltd</t>
  </si>
  <si>
    <t>INE0LEZ01016</t>
  </si>
  <si>
    <t>Garden Reach Shipbuilders &amp; Engineers Ltd</t>
  </si>
  <si>
    <t>INE382Z01011</t>
  </si>
  <si>
    <t>CEAT Ltd</t>
  </si>
  <si>
    <t>INE482A01020</t>
  </si>
  <si>
    <t>Granules India Ltd</t>
  </si>
  <si>
    <t>INE101D01020</t>
  </si>
  <si>
    <t>Inventurus Knowledge Solutions Ltd</t>
  </si>
  <si>
    <t>INE115Q01022</t>
  </si>
  <si>
    <t>Maharashtra Scooters Ltd</t>
  </si>
  <si>
    <t>INE288A01013</t>
  </si>
  <si>
    <t>Lemon Tree Hotels Ltd</t>
  </si>
  <si>
    <t>INE970X01018</t>
  </si>
  <si>
    <t>Natco Pharma Ltd</t>
  </si>
  <si>
    <t>INE987B01026</t>
  </si>
  <si>
    <t>Anant Raj Ltd</t>
  </si>
  <si>
    <t>INE242C01024</t>
  </si>
  <si>
    <t>Aarti Industries Ltd</t>
  </si>
  <si>
    <t>INE769A01020</t>
  </si>
  <si>
    <t>Sagility Ltd</t>
  </si>
  <si>
    <t>INE0W2G01015</t>
  </si>
  <si>
    <t>PVR Inox Ltd</t>
  </si>
  <si>
    <t>INE191H01014</t>
  </si>
  <si>
    <t>Usha Martin Ltd</t>
  </si>
  <si>
    <t>INE228A01035</t>
  </si>
  <si>
    <t>Pfizer Ltd</t>
  </si>
  <si>
    <t>INE182A01018</t>
  </si>
  <si>
    <t>Aptus Value Housing Finance India Ltd</t>
  </si>
  <si>
    <t>INE852O01025</t>
  </si>
  <si>
    <t>Can Fin Homes Ltd</t>
  </si>
  <si>
    <t>INE477A01020</t>
  </si>
  <si>
    <t>EIH Ltd</t>
  </si>
  <si>
    <t>INE230A01023</t>
  </si>
  <si>
    <t>Poly Medicure Ltd</t>
  </si>
  <si>
    <t>INE205C01021</t>
  </si>
  <si>
    <t>Healthcare Equipment &amp; Supplies</t>
  </si>
  <si>
    <t>Capri Global Capital Ltd</t>
  </si>
  <si>
    <t>INE180C01042</t>
  </si>
  <si>
    <t>Nava Ltd</t>
  </si>
  <si>
    <t>INE725A01030</t>
  </si>
  <si>
    <t>Cohance Lifesciences Ltd</t>
  </si>
  <si>
    <t>INE03QK01018</t>
  </si>
  <si>
    <t>Creditaccess Grameen Ltd</t>
  </si>
  <si>
    <t>INE741K01010</t>
  </si>
  <si>
    <t>CCL Products (India) Ltd</t>
  </si>
  <si>
    <t>INE421D01022</t>
  </si>
  <si>
    <t>Gillette India Ltd</t>
  </si>
  <si>
    <t>INE322A01010</t>
  </si>
  <si>
    <t>Indiamart Intermesh Ltd</t>
  </si>
  <si>
    <t>INE933S01016</t>
  </si>
  <si>
    <t>NCC Ltd</t>
  </si>
  <si>
    <t>INE868B01028</t>
  </si>
  <si>
    <t>BEML Ltd</t>
  </si>
  <si>
    <t>INE258A01024</t>
  </si>
  <si>
    <t>Sonata Software Ltd</t>
  </si>
  <si>
    <t>INE269A01021</t>
  </si>
  <si>
    <t>HFCL Ltd</t>
  </si>
  <si>
    <t>INE548A01028</t>
  </si>
  <si>
    <t>Sobha Ltd</t>
  </si>
  <si>
    <t>INE671H01015</t>
  </si>
  <si>
    <t>Mahanagar Gas Ltd</t>
  </si>
  <si>
    <t>INE002S01010</t>
  </si>
  <si>
    <t>Rainbow Childrens Medicare Ltd</t>
  </si>
  <si>
    <t>INE961O01016</t>
  </si>
  <si>
    <t>Chambal Fertilizers &amp; Chemicals Ltd</t>
  </si>
  <si>
    <t>INE085A01013</t>
  </si>
  <si>
    <t>Whirlpool Of India Ltd</t>
  </si>
  <si>
    <t>INE716A01013</t>
  </si>
  <si>
    <t>Titagarh Rail Systems Ltd</t>
  </si>
  <si>
    <t>INE615H01020</t>
  </si>
  <si>
    <t>Brainbees Solutions Ltd</t>
  </si>
  <si>
    <t>INE02RE01045</t>
  </si>
  <si>
    <t>Choice International Ltd</t>
  </si>
  <si>
    <t>INE102B01014</t>
  </si>
  <si>
    <t>Zen Technologies Ltd</t>
  </si>
  <si>
    <t>INE251B01027</t>
  </si>
  <si>
    <t>Bata India Ltd</t>
  </si>
  <si>
    <t>INE176A01028</t>
  </si>
  <si>
    <t>Chalet Hotels Ltd</t>
  </si>
  <si>
    <t>INE427F01016</t>
  </si>
  <si>
    <t>V-Guard Industries Ltd</t>
  </si>
  <si>
    <t>INE951I01027</t>
  </si>
  <si>
    <t>Birlasoft Ltd</t>
  </si>
  <si>
    <t>INE836A01035</t>
  </si>
  <si>
    <t>Swan Corp Ltd</t>
  </si>
  <si>
    <t>INE665A01038</t>
  </si>
  <si>
    <t>Syrma SGS Technology Ltd</t>
  </si>
  <si>
    <t>INE0DYJ01015</t>
  </si>
  <si>
    <t>Triveni Turbine Ltd</t>
  </si>
  <si>
    <t>INE152M01016</t>
  </si>
  <si>
    <t>Aavas Financiers Ltd</t>
  </si>
  <si>
    <t>INE216P01012</t>
  </si>
  <si>
    <t>Aditya Birla Lifestyle Brands Ltd</t>
  </si>
  <si>
    <t>INE14LE01019</t>
  </si>
  <si>
    <t>Techno Electric &amp; Engineering Co Ltd</t>
  </si>
  <si>
    <t>INE285K01026</t>
  </si>
  <si>
    <t>Afcons Infrastructure Ltd</t>
  </si>
  <si>
    <t>INE101I01011</t>
  </si>
  <si>
    <t>Jubilant Ingrevia Ltd</t>
  </si>
  <si>
    <t>INE0BY001018</t>
  </si>
  <si>
    <t>Bayer Cropscience Ltd</t>
  </si>
  <si>
    <t>INE462A01022</t>
  </si>
  <si>
    <t>Sapphire Foods India Ltd</t>
  </si>
  <si>
    <t>INE806T01020</t>
  </si>
  <si>
    <t>Gravita India Ltd</t>
  </si>
  <si>
    <t>INE024L01027</t>
  </si>
  <si>
    <t>Godawari Power &amp; Ispat Ltd</t>
  </si>
  <si>
    <t>INE177H01039</t>
  </si>
  <si>
    <t>Sumitomo Chemical India Ltd</t>
  </si>
  <si>
    <t>INE258G01013</t>
  </si>
  <si>
    <t>Shyam Metalics And Energy Ltd</t>
  </si>
  <si>
    <t>INE810G01011</t>
  </si>
  <si>
    <t>PCBL Chemical Ltd</t>
  </si>
  <si>
    <t>INE602A01031</t>
  </si>
  <si>
    <t>Finolex Cables Ltd</t>
  </si>
  <si>
    <t>INE235A01022</t>
  </si>
  <si>
    <t>JM Financial Ltd</t>
  </si>
  <si>
    <t>INE780C01023</t>
  </si>
  <si>
    <t>Ramkrishna Forgings Ltd</t>
  </si>
  <si>
    <t>INE399G01023</t>
  </si>
  <si>
    <t>LT Foods Ltd</t>
  </si>
  <si>
    <t>INE818H01020</t>
  </si>
  <si>
    <t>Newgen Software Technologies Ltd</t>
  </si>
  <si>
    <t>INE619B01017</t>
  </si>
  <si>
    <t>AstraZenca Pharma India Ltd</t>
  </si>
  <si>
    <t>INE203A01020</t>
  </si>
  <si>
    <t>Devyani International Ltd</t>
  </si>
  <si>
    <t>INE872J01023</t>
  </si>
  <si>
    <t>TBO Tek Ltd</t>
  </si>
  <si>
    <t>INE673O01025</t>
  </si>
  <si>
    <t>Sun TV Network Ltd</t>
  </si>
  <si>
    <t>INE424H01027</t>
  </si>
  <si>
    <t>Indegene Ltd</t>
  </si>
  <si>
    <t>INE065X01017</t>
  </si>
  <si>
    <t>JK Tyre &amp; Industries Ltd</t>
  </si>
  <si>
    <t>INE573A01042</t>
  </si>
  <si>
    <t>Netweb Technologies India Ltd</t>
  </si>
  <si>
    <t>INE0NT901020</t>
  </si>
  <si>
    <t>Engineers India Ltd</t>
  </si>
  <si>
    <t>INE510A01028</t>
  </si>
  <si>
    <t>Aditya Birla Sun Life AMC Ltd</t>
  </si>
  <si>
    <t>INE404A01024</t>
  </si>
  <si>
    <t>IRCON International Ltd</t>
  </si>
  <si>
    <t>INE962Y01021</t>
  </si>
  <si>
    <t>Balrampur Chini Mills Ltd</t>
  </si>
  <si>
    <t>INE119A01028</t>
  </si>
  <si>
    <t>Olectra Greentech Ltd</t>
  </si>
  <si>
    <t>INE260D01016</t>
  </si>
  <si>
    <t>Aadhar Housing Finance Ltd</t>
  </si>
  <si>
    <t>INE883F01010</t>
  </si>
  <si>
    <t>Ola Electric Mobility Ltd</t>
  </si>
  <si>
    <t>INE0LXG01040</t>
  </si>
  <si>
    <t>Alembic Pharmaceuticals Ltd</t>
  </si>
  <si>
    <t>INE901L01018</t>
  </si>
  <si>
    <t>Finolex Industries Ltd</t>
  </si>
  <si>
    <t>INE183A01024</t>
  </si>
  <si>
    <t>Metropolis Healthcare Ltd</t>
  </si>
  <si>
    <t>INE112L01020</t>
  </si>
  <si>
    <t>INE2J8701016</t>
  </si>
  <si>
    <t>Reliance Infrastructure Ltd</t>
  </si>
  <si>
    <t>INE036A01016</t>
  </si>
  <si>
    <t>Vijaya Diagnostic Centre Ltd</t>
  </si>
  <si>
    <t>INE043W01024</t>
  </si>
  <si>
    <t>Century Plyboards (India) Ltd</t>
  </si>
  <si>
    <t>INE348B01021</t>
  </si>
  <si>
    <t>NMDC Steel Ltd</t>
  </si>
  <si>
    <t>INE0NNS01018</t>
  </si>
  <si>
    <t>Dcm Shriram Ltd</t>
  </si>
  <si>
    <t>INE499A01024</t>
  </si>
  <si>
    <t>The Jammu &amp; Kashmir Bank Ltd</t>
  </si>
  <si>
    <t>INE168A01041</t>
  </si>
  <si>
    <t>UTI Asset Management Co Ltd</t>
  </si>
  <si>
    <t>INE094J01016</t>
  </si>
  <si>
    <t>BASF India Ltd</t>
  </si>
  <si>
    <t>INE373A01013</t>
  </si>
  <si>
    <t>Welspun Living Ltd</t>
  </si>
  <si>
    <t>INE192B01031</t>
  </si>
  <si>
    <t>Concord Biotech Ltd</t>
  </si>
  <si>
    <t>INE338H01029</t>
  </si>
  <si>
    <t>Minda Corporation Ltd</t>
  </si>
  <si>
    <t>INE842C01021</t>
  </si>
  <si>
    <t>Niva Bupa Health Insurance Co Ltd</t>
  </si>
  <si>
    <t>INE995S01015</t>
  </si>
  <si>
    <t>R R Kabel Ltd</t>
  </si>
  <si>
    <t>INE777K01022</t>
  </si>
  <si>
    <t>Doms Industries Ltd</t>
  </si>
  <si>
    <t>INE321T01012</t>
  </si>
  <si>
    <t>Household Products</t>
  </si>
  <si>
    <t>Bikaji Foods International Ltd</t>
  </si>
  <si>
    <t>INE00E101023</t>
  </si>
  <si>
    <t>Sarda Energy &amp; Minerals Ltd</t>
  </si>
  <si>
    <t>INE385C01021</t>
  </si>
  <si>
    <t>Vardhman Textiles Ltd</t>
  </si>
  <si>
    <t>INE825A01020</t>
  </si>
  <si>
    <t>Gujarat Mineral Development Corporation Ltd</t>
  </si>
  <si>
    <t>INE131A01031</t>
  </si>
  <si>
    <t>SKF India Ltd</t>
  </si>
  <si>
    <t>INE640A01023</t>
  </si>
  <si>
    <t>Heg Ltd</t>
  </si>
  <si>
    <t>INE545A01024</t>
  </si>
  <si>
    <t>Elecon Engineering Co Ltd</t>
  </si>
  <si>
    <t>INE205B01031</t>
  </si>
  <si>
    <t>Chennai Petroleum Corporation Ltd</t>
  </si>
  <si>
    <t>INE178A01016</t>
  </si>
  <si>
    <t>Signatureglobal (India) Ltd</t>
  </si>
  <si>
    <t>INE903U01023</t>
  </si>
  <si>
    <t>Kirloskar Brothers Ltd</t>
  </si>
  <si>
    <t>INE732A01036</t>
  </si>
  <si>
    <t>Aditya Birla Fashion and Retail Ltd</t>
  </si>
  <si>
    <t>INE647O01011</t>
  </si>
  <si>
    <t>Schneider Electric Infrastructure Ltd</t>
  </si>
  <si>
    <t>INE839M01018</t>
  </si>
  <si>
    <t>Dr. Agarwals Health Care Ltd</t>
  </si>
  <si>
    <t>INE943P01029</t>
  </si>
  <si>
    <t>Happiest Minds Technologies Ltd</t>
  </si>
  <si>
    <t>INE419U01012</t>
  </si>
  <si>
    <t>Action Construction Equipment Ltd</t>
  </si>
  <si>
    <t>INE731H01025</t>
  </si>
  <si>
    <t>Jyothy Labs Ltd</t>
  </si>
  <si>
    <t>INE668F01031</t>
  </si>
  <si>
    <t>SBFC Finance Ltd</t>
  </si>
  <si>
    <t>INE423Y01016</t>
  </si>
  <si>
    <t>KSB Ltd</t>
  </si>
  <si>
    <t>INE999A01023</t>
  </si>
  <si>
    <t>Tejas Networks Ltd</t>
  </si>
  <si>
    <t>INE010J01012</t>
  </si>
  <si>
    <t>Telecom - Equipment &amp; Accessories</t>
  </si>
  <si>
    <t>BLS International Services Ltd</t>
  </si>
  <si>
    <t>INE153T01027</t>
  </si>
  <si>
    <t>Honasa Consumer Ltd</t>
  </si>
  <si>
    <t>INE0J5401028</t>
  </si>
  <si>
    <t>Shipping Corporation of India Ltd</t>
  </si>
  <si>
    <t>INE109A01011</t>
  </si>
  <si>
    <t>Praj Industries Ltd</t>
  </si>
  <si>
    <t>INE074A01025</t>
  </si>
  <si>
    <t>Jupiter Wagons Ltd</t>
  </si>
  <si>
    <t>INE209L01016</t>
  </si>
  <si>
    <t>Caplin Point Laboratories Ltd</t>
  </si>
  <si>
    <t>INE475E01026</t>
  </si>
  <si>
    <t>Jindal Saw Ltd</t>
  </si>
  <si>
    <t>INE324A01032</t>
  </si>
  <si>
    <t>Central Bank of India</t>
  </si>
  <si>
    <t>INE483A01010</t>
  </si>
  <si>
    <t>Vedant Fashions Ltd</t>
  </si>
  <si>
    <t>INE825V01034</t>
  </si>
  <si>
    <t>Graphite India Ltd</t>
  </si>
  <si>
    <t>INE371A01025</t>
  </si>
  <si>
    <t>Latent View Analytics Ltd</t>
  </si>
  <si>
    <t>INE0I7C01011</t>
  </si>
  <si>
    <t>Nuvoco Vistas Corporation Ltd</t>
  </si>
  <si>
    <t>INE118D01016</t>
  </si>
  <si>
    <t>Emcure Pharmaceuticals Ltd</t>
  </si>
  <si>
    <t>INE168P01015</t>
  </si>
  <si>
    <t>Trident Ltd</t>
  </si>
  <si>
    <t>INE064C01022</t>
  </si>
  <si>
    <t>Blue Dart Express Ltd</t>
  </si>
  <si>
    <t>INE233B01017</t>
  </si>
  <si>
    <t>IFCI Ltd</t>
  </si>
  <si>
    <t>INE039A01010</t>
  </si>
  <si>
    <t>International Gemmological Institute India Ltd</t>
  </si>
  <si>
    <t>INE0Q9301021</t>
  </si>
  <si>
    <t>Valor Estate Ltd</t>
  </si>
  <si>
    <t>INE879I01012</t>
  </si>
  <si>
    <t>Cera Sanitaryware Ltd</t>
  </si>
  <si>
    <t>INE739E01017</t>
  </si>
  <si>
    <t>Bombay Burmah Trading Corporation Ltd</t>
  </si>
  <si>
    <t>INE050A01025</t>
  </si>
  <si>
    <t>Rites Ltd</t>
  </si>
  <si>
    <t>INE320J01015</t>
  </si>
  <si>
    <t>Triveni Engineering &amp; Industries Ltd</t>
  </si>
  <si>
    <t>INE256C01024</t>
  </si>
  <si>
    <t>Akzo Nobel India Ltd</t>
  </si>
  <si>
    <t>INE133A01011</t>
  </si>
  <si>
    <t>Saregama India Ltd</t>
  </si>
  <si>
    <t>INE979A01025</t>
  </si>
  <si>
    <t>ITI Ltd</t>
  </si>
  <si>
    <t>INE248A01017</t>
  </si>
  <si>
    <t>Railtel Corporation Of India Ltd</t>
  </si>
  <si>
    <t>INE0DD101019</t>
  </si>
  <si>
    <t>Aegis Vopak Terminals Ltd</t>
  </si>
  <si>
    <t>INE0INX01018</t>
  </si>
  <si>
    <t>Transformers And Rectifiers India Ltd</t>
  </si>
  <si>
    <t>INE763I01026</t>
  </si>
  <si>
    <t>CE Info Systems Ltd</t>
  </si>
  <si>
    <t>INE0BV301023</t>
  </si>
  <si>
    <t>Mangalore Refinery &amp; Petrochemicals Ltd</t>
  </si>
  <si>
    <t>INE103A01014</t>
  </si>
  <si>
    <t>Rhi Magnesita India Ltd</t>
  </si>
  <si>
    <t>INE743M01012</t>
  </si>
  <si>
    <t>Inox India Ltd</t>
  </si>
  <si>
    <t>INE616N01034</t>
  </si>
  <si>
    <t>Godrej Agrovet Ltd</t>
  </si>
  <si>
    <t>INE850D01014</t>
  </si>
  <si>
    <t>Tata Teleservices Maharashtra Ltd</t>
  </si>
  <si>
    <t>INE517B01013</t>
  </si>
  <si>
    <t>Leela Palaces Hotels &amp; Resorts Ltd</t>
  </si>
  <si>
    <t>INE0AQ201015</t>
  </si>
  <si>
    <t>JBM Auto Ltd</t>
  </si>
  <si>
    <t>INE927D01051</t>
  </si>
  <si>
    <t>Maharashtra Seamless Ltd</t>
  </si>
  <si>
    <t>INE271B01025</t>
  </si>
  <si>
    <t>Campus Activewear Ltd</t>
  </si>
  <si>
    <t>INE278Y01022</t>
  </si>
  <si>
    <t>Alkyl Amines Chemicals Ltd</t>
  </si>
  <si>
    <t>INE150B01039</t>
  </si>
  <si>
    <t>Acme Solar Holdings Ltd</t>
  </si>
  <si>
    <t>INE622W01025</t>
  </si>
  <si>
    <t>Alok Industries Ltd</t>
  </si>
  <si>
    <t>INE270A01029</t>
  </si>
  <si>
    <t>Clean Science And Technology Ltd</t>
  </si>
  <si>
    <t>INE227W01023</t>
  </si>
  <si>
    <t>Blue Jet Healthcare Ltd</t>
  </si>
  <si>
    <t>INE0KBH01020</t>
  </si>
  <si>
    <t>Rashtriya Chemicals and Fertilizers Ltd</t>
  </si>
  <si>
    <t>INE027A01015</t>
  </si>
  <si>
    <t>The India Cements Ltd</t>
  </si>
  <si>
    <t>INE383A01012</t>
  </si>
  <si>
    <t>Ventive Hospitality Ltd</t>
  </si>
  <si>
    <t>INE781S01027</t>
  </si>
  <si>
    <t>Akums Drugs And Pharmaceuticals Ltd</t>
  </si>
  <si>
    <t>INE09XN01023</t>
  </si>
  <si>
    <t>MMTC Ltd</t>
  </si>
  <si>
    <t>INE123F01029</t>
  </si>
  <si>
    <t>Sharda Cropchem Ltd</t>
  </si>
  <si>
    <t>INE221J01015</t>
  </si>
  <si>
    <t>PTC India Ltd</t>
  </si>
  <si>
    <t>INE877F01012</t>
  </si>
  <si>
    <t>Thyrocare Technologies Ltd</t>
  </si>
  <si>
    <t>INE594H01019</t>
  </si>
  <si>
    <t>KRBL Ltd</t>
  </si>
  <si>
    <t>INE001B01026</t>
  </si>
  <si>
    <t>GMM Pfaudler Ltd</t>
  </si>
  <si>
    <t>INE541A01023</t>
  </si>
  <si>
    <t>Fiem Industries Ltd</t>
  </si>
  <si>
    <t>INE737H01014</t>
  </si>
  <si>
    <t>V-Mart Retail Ltd</t>
  </si>
  <si>
    <t>INE665J01013</t>
  </si>
  <si>
    <t>Thomas Cook (India) Ltd</t>
  </si>
  <si>
    <t>INE332A01027</t>
  </si>
  <si>
    <t>Shriram Pistons &amp; Rings Ltd</t>
  </si>
  <si>
    <t>INE526E01018</t>
  </si>
  <si>
    <t>CarTrade Tech Ltd</t>
  </si>
  <si>
    <t>INE290S01011</t>
  </si>
  <si>
    <t>Patel Engineering Ltd</t>
  </si>
  <si>
    <t>INE244B01030</t>
  </si>
  <si>
    <t>Advanced Enzyme Technologies Ltd</t>
  </si>
  <si>
    <t>INE837H01020</t>
  </si>
  <si>
    <t>INE1YPB01014</t>
  </si>
  <si>
    <t>Dodla Dairy Ltd</t>
  </si>
  <si>
    <t>INE021O01019</t>
  </si>
  <si>
    <t>TVS Supply Chain Solutions Ltd</t>
  </si>
  <si>
    <t>INE395N01027</t>
  </si>
  <si>
    <t>Allcargo Logistics Ltd</t>
  </si>
  <si>
    <t>INE418H01029</t>
  </si>
  <si>
    <t>National Fertilizers Ltd</t>
  </si>
  <si>
    <t>INE870D01012</t>
  </si>
  <si>
    <t>Ahluwalia Contracts (India) Ltd</t>
  </si>
  <si>
    <t>INE758C01029</t>
  </si>
  <si>
    <t>Gulf Oil Lubricants India Ltd</t>
  </si>
  <si>
    <t>INE635Q01029</t>
  </si>
  <si>
    <t>Jamna Auto Industries Ltd</t>
  </si>
  <si>
    <t>INE039C01032</t>
  </si>
  <si>
    <t>Margin on Derivatives</t>
  </si>
  <si>
    <t>Derivatives</t>
  </si>
  <si>
    <t>Long / Short</t>
  </si>
  <si>
    <t>Market/Fair Value (Rs. in Lakhs)</t>
  </si>
  <si>
    <t xml:space="preserve">% to Net Assets </t>
  </si>
  <si>
    <t>Long</t>
  </si>
  <si>
    <t>Scheme Risk-O-Meter</t>
  </si>
  <si>
    <t>Benchmark Risk-O-Meter</t>
  </si>
  <si>
    <t>Benchmark Name - NIFTY Money Market Index A-I</t>
  </si>
  <si>
    <t>Benchmark Name - NIFTY 1D Rate Index</t>
  </si>
  <si>
    <t>Benchmark Name - NIFTY Liquid Index A-I</t>
  </si>
  <si>
    <t>Benchmark Name - NIFTY 8-13 yr G-Sec</t>
  </si>
  <si>
    <t>Benchmark Name - NIFTY 50 Index (TRI)</t>
  </si>
  <si>
    <t>Benchmark Name - NIFTY Next 50 Index (TRI)</t>
  </si>
  <si>
    <t>Benchmark Name - NIFTY Midcap 150 Index (TRI)</t>
  </si>
  <si>
    <t>Benchmark Name - NIFTY Smallcap 250 Index (TRI)</t>
  </si>
  <si>
    <t>Benchmark Name - Nifty 500 Index (TRI)</t>
  </si>
  <si>
    <t>Allcargo Global Ltd **</t>
  </si>
  <si>
    <t>SKF India Industrial Ltd **</t>
  </si>
  <si>
    <t>Rating / Industry Classification</t>
  </si>
  <si>
    <t>Index</t>
  </si>
  <si>
    <t>Nifty Index 30-Dec-2025</t>
  </si>
  <si>
    <t>Debt Instruments</t>
  </si>
  <si>
    <t>Cumulative Non-Convertible Redeemable Preference Shares</t>
  </si>
  <si>
    <t>-</t>
  </si>
  <si>
    <t>JBMMF</t>
  </si>
  <si>
    <t>JBOF</t>
  </si>
  <si>
    <t>JBLF</t>
  </si>
  <si>
    <t>JBN8-13</t>
  </si>
  <si>
    <t>JBN50</t>
  </si>
  <si>
    <t>JBNNX50</t>
  </si>
  <si>
    <t>JBNM150</t>
  </si>
  <si>
    <t>JBNS250</t>
  </si>
  <si>
    <t>JBFLEXI</t>
  </si>
  <si>
    <t>Debt Index Replication Factor (DIRF) : 98.77%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</si>
</sst>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.0000"/>
  </numFmts>
  <fonts count="13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8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CCCCCC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87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4" fontId="4" fillId="2" borderId="0" xfId="0" applyNumberFormat="1" applyFont="1" applyFill="1"/>
    <xf numFmtId="0" fontId="5" fillId="2" borderId="0" xfId="0" applyFont="1" applyFill="1"/>
    <xf numFmtId="0" fontId="3" fillId="2" borderId="0" xfId="0" applyFont="1" applyFill="1" applyAlignment="1">
      <alignment horizontal="left" vertical="top"/>
    </xf>
    <xf numFmtId="39" fontId="5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5" fillId="2" borderId="0" xfId="0" applyNumberFormat="1" applyFont="1" applyFill="1"/>
    <xf numFmtId="10" fontId="4" fillId="2" borderId="0" xfId="0" applyNumberFormat="1" applyFont="1" applyFill="1"/>
    <xf numFmtId="0" fontId="4" fillId="2" borderId="0" xfId="0" applyFont="1" applyFill="1" applyAlignment="1">
      <alignment horizontal="center" vertical="center" wrapText="1"/>
    </xf>
    <xf numFmtId="39" fontId="5" fillId="4" borderId="0" xfId="0" applyNumberFormat="1" applyFont="1" applyFill="1"/>
    <xf numFmtId="0" fontId="7" fillId="0" borderId="0" xfId="0" applyFont="1"/>
    <xf numFmtId="0" fontId="11" fillId="2" borderId="0" xfId="0" applyFont="1" applyFill="1"/>
    <xf numFmtId="164" fontId="5" fillId="2" borderId="0" xfId="0" applyNumberFormat="1" applyFont="1" applyFill="1"/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 wrapText="1"/>
    </xf>
    <xf numFmtId="39" fontId="11" fillId="0" borderId="1" xfId="0" applyNumberFormat="1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11" fillId="2" borderId="2" xfId="0" applyFont="1" applyFill="1" applyBorder="1"/>
    <xf numFmtId="0" fontId="5" fillId="2" borderId="2" xfId="0" applyFont="1" applyFill="1" applyBorder="1"/>
    <xf numFmtId="39" fontId="5" fillId="2" borderId="2" xfId="0" applyNumberFormat="1" applyFont="1" applyFill="1" applyBorder="1"/>
    <xf numFmtId="39" fontId="5" fillId="4" borderId="2" xfId="0" applyNumberFormat="1" applyFont="1" applyFill="1" applyBorder="1"/>
    <xf numFmtId="10" fontId="5" fillId="2" borderId="2" xfId="0" applyNumberFormat="1" applyFont="1" applyFill="1" applyBorder="1"/>
    <xf numFmtId="3" fontId="5" fillId="2" borderId="2" xfId="0" applyNumberFormat="1" applyFont="1" applyFill="1" applyBorder="1"/>
    <xf numFmtId="4" fontId="5" fillId="2" borderId="2" xfId="0" applyNumberFormat="1" applyFont="1" applyFill="1" applyBorder="1"/>
    <xf numFmtId="39" fontId="11" fillId="2" borderId="3" xfId="0" applyNumberFormat="1" applyFont="1" applyFill="1" applyBorder="1"/>
    <xf numFmtId="39" fontId="11" fillId="4" borderId="3" xfId="0" applyNumberFormat="1" applyFont="1" applyFill="1" applyBorder="1"/>
    <xf numFmtId="10" fontId="11" fillId="2" borderId="2" xfId="0" applyNumberFormat="1" applyFont="1" applyFill="1" applyBorder="1"/>
    <xf numFmtId="39" fontId="11" fillId="2" borderId="4" xfId="0" applyNumberFormat="1" applyFont="1" applyFill="1" applyBorder="1"/>
    <xf numFmtId="39" fontId="11" fillId="4" borderId="4" xfId="0" applyNumberFormat="1" applyFont="1" applyFill="1" applyBorder="1"/>
    <xf numFmtId="0" fontId="11" fillId="2" borderId="5" xfId="0" applyFont="1" applyFill="1" applyBorder="1"/>
    <xf numFmtId="39" fontId="11" fillId="2" borderId="5" xfId="0" applyNumberFormat="1" applyFont="1" applyFill="1" applyBorder="1"/>
    <xf numFmtId="39" fontId="11" fillId="4" borderId="5" xfId="0" applyNumberFormat="1" applyFont="1" applyFill="1" applyBorder="1"/>
    <xf numFmtId="164" fontId="5" fillId="2" borderId="2" xfId="0" applyNumberFormat="1" applyFont="1" applyFill="1" applyBorder="1"/>
    <xf numFmtId="0" fontId="11" fillId="2" borderId="6" xfId="0" applyFont="1" applyFill="1" applyBorder="1"/>
    <xf numFmtId="39" fontId="11" fillId="2" borderId="6" xfId="0" applyNumberFormat="1" applyFont="1" applyFill="1" applyBorder="1"/>
    <xf numFmtId="39" fontId="11" fillId="4" borderId="6" xfId="0" applyNumberFormat="1" applyFont="1" applyFill="1" applyBorder="1"/>
    <xf numFmtId="10" fontId="11" fillId="2" borderId="7" xfId="0" applyNumberFormat="1" applyFont="1" applyFill="1" applyBorder="1"/>
    <xf numFmtId="0" fontId="11" fillId="2" borderId="3" xfId="0" applyFont="1" applyFill="1" applyBorder="1"/>
    <xf numFmtId="0" fontId="11" fillId="2" borderId="0" xfId="0" applyFont="1" applyFill="1" applyAlignment="1">
      <alignment horizontal="right"/>
    </xf>
    <xf numFmtId="165" fontId="5" fillId="2" borderId="0" xfId="0" applyNumberFormat="1" applyFont="1" applyFill="1"/>
    <xf numFmtId="39" fontId="11" fillId="2" borderId="2" xfId="0" applyNumberFormat="1" applyFont="1" applyFill="1" applyBorder="1" applyAlignment="1">
      <alignment horizontal="right"/>
    </xf>
    <xf numFmtId="39" fontId="11" fillId="4" borderId="2" xfId="0" applyNumberFormat="1" applyFont="1" applyFill="1" applyBorder="1" applyAlignment="1">
      <alignment horizontal="right"/>
    </xf>
    <xf numFmtId="39" fontId="11" fillId="2" borderId="4" xfId="0" applyNumberFormat="1" applyFont="1" applyFill="1" applyBorder="1" applyAlignment="1">
      <alignment horizontal="right"/>
    </xf>
    <xf numFmtId="39" fontId="11" fillId="4" borderId="4" xfId="0" applyNumberFormat="1" applyFont="1" applyFill="1" applyBorder="1" applyAlignment="1">
      <alignment horizontal="right"/>
    </xf>
    <xf numFmtId="0" fontId="11" fillId="2" borderId="7" xfId="0" applyFont="1" applyFill="1" applyBorder="1"/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/>
    </xf>
    <xf numFmtId="0" fontId="11" fillId="2" borderId="8" xfId="0" applyFont="1" applyFill="1" applyBorder="1"/>
    <xf numFmtId="39" fontId="11" fillId="2" borderId="8" xfId="0" applyNumberFormat="1" applyFont="1" applyFill="1" applyBorder="1"/>
    <xf numFmtId="39" fontId="11" fillId="4" borderId="8" xfId="0" applyNumberFormat="1" applyFont="1" applyFill="1" applyBorder="1"/>
    <xf numFmtId="0" fontId="5" fillId="2" borderId="8" xfId="0" applyFont="1" applyFill="1" applyBorder="1"/>
    <xf numFmtId="39" fontId="5" fillId="2" borderId="8" xfId="0" applyNumberFormat="1" applyFont="1" applyFill="1" applyBorder="1"/>
    <xf numFmtId="39" fontId="5" fillId="4" borderId="8" xfId="0" applyNumberFormat="1" applyFont="1" applyFill="1" applyBorder="1"/>
    <xf numFmtId="0" fontId="10" fillId="2" borderId="0" xfId="1" applyFill="1"/>
    <xf numFmtId="0" fontId="11" fillId="2" borderId="0" xfId="0" applyFont="1" applyFill="1" applyAlignment="1">
      <alignment vertical="center"/>
    </xf>
    <xf numFmtId="0" fontId="11" fillId="0" borderId="0" xfId="0" applyFont="1"/>
    <xf numFmtId="0" fontId="11" fillId="2" borderId="0" xfId="0" applyFont="1" applyFill="1" applyAlignment="1">
      <alignment vertical="center" wrapText="1"/>
    </xf>
    <xf numFmtId="39" fontId="11" fillId="2" borderId="0" xfId="0" applyNumberFormat="1" applyFont="1" applyFill="1"/>
    <xf numFmtId="39" fontId="11" fillId="4" borderId="0" xfId="0" applyNumberFormat="1" applyFont="1" applyFill="1"/>
    <xf numFmtId="39" fontId="11" fillId="2" borderId="2" xfId="0" applyNumberFormat="1" applyFont="1" applyFill="1" applyBorder="1"/>
    <xf numFmtId="39" fontId="11" fillId="4" borderId="2" xfId="0" applyNumberFormat="1" applyFont="1" applyFill="1" applyBorder="1"/>
    <xf numFmtId="0" fontId="12" fillId="2" borderId="1" xfId="0" applyFont="1" applyFill="1" applyBorder="1" applyAlignment="1">
      <alignment horizontal="center" vertical="center"/>
    </xf>
    <xf numFmtId="39" fontId="11" fillId="2" borderId="9" xfId="0" applyNumberFormat="1" applyFont="1" applyFill="1" applyBorder="1"/>
    <xf numFmtId="39" fontId="11" fillId="4" borderId="9" xfId="0" applyNumberFormat="1" applyFont="1" applyFill="1" applyBorder="1"/>
    <xf numFmtId="0" fontId="11" fillId="4" borderId="0" xfId="0" applyFont="1" applyFill="1"/>
    <xf numFmtId="0" fontId="5" fillId="4" borderId="10" xfId="0" applyFont="1" applyFill="1" applyBorder="1"/>
    <xf numFmtId="0" fontId="0" fillId="4" borderId="10" xfId="0" applyFill="1" applyBorder="1"/>
    <xf numFmtId="39" fontId="5" fillId="4" borderId="11" xfId="0" applyNumberFormat="1" applyFont="1" applyFill="1" applyBorder="1"/>
    <xf numFmtId="0" fontId="5" fillId="4" borderId="0" xfId="0" applyFont="1" applyFill="1"/>
    <xf numFmtId="39" fontId="11" fillId="4" borderId="12" xfId="0" applyNumberFormat="1" applyFont="1" applyFill="1" applyBorder="1"/>
    <xf numFmtId="39" fontId="11" fillId="4" borderId="11" xfId="0" applyNumberFormat="1" applyFont="1" applyFill="1" applyBorder="1" applyAlignment="1">
      <alignment horizontal="right"/>
    </xf>
    <xf numFmtId="39" fontId="11" fillId="4" borderId="13" xfId="0" applyNumberFormat="1" applyFont="1" applyFill="1" applyBorder="1"/>
    <xf numFmtId="0" fontId="11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8" fillId="0" borderId="0" xfId="0" applyFont="1" applyAlignment="1">
      <alignment horizontal="left" vertical="top" wrapText="1"/>
    </xf>
    <xf numFmtId="0" fontId="9" fillId="0" borderId="0" xfId="0" applyFont="1"/>
    <xf numFmtId="0" fontId="11" fillId="2" borderId="0" xfId="0" applyFont="1" applyFill="1" applyAlignment="1">
      <alignment vertical="center" wrapText="1"/>
    </xf>
    <xf numFmtId="0" fontId="7" fillId="0" borderId="8" xfId="0" applyFont="1" applyBorder="1"/>
    <xf numFmtId="0" fontId="10" fillId="0" borderId="8" xfId="1" applyBorder="1"/>
    <xf numFmtId="0" fontId="6" fillId="3" borderId="8" xfId="0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11"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53</xdr:row>
      <xdr:rowOff>9525</xdr:rowOff>
    </xdr:from>
    <xdr:to>
      <xdr:col>4</xdr:col>
      <xdr:colOff>9525</xdr:colOff>
      <xdr:row>70</xdr:row>
      <xdr:rowOff>47625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1F028B88-E892-47D4-B591-77869B109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8391525"/>
          <a:ext cx="4800600" cy="2466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476250</xdr:colOff>
      <xdr:row>76</xdr:row>
      <xdr:rowOff>47625</xdr:rowOff>
    </xdr:from>
    <xdr:to>
      <xdr:col>4</xdr:col>
      <xdr:colOff>209550</xdr:colOff>
      <xdr:row>93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0A20BADC-5132-49F5-B425-32CC89617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11715750"/>
          <a:ext cx="4924425" cy="238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42</xdr:row>
      <xdr:rowOff>104775</xdr:rowOff>
    </xdr:from>
    <xdr:to>
      <xdr:col>3</xdr:col>
      <xdr:colOff>733425</xdr:colOff>
      <xdr:row>59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E0B2F8-886B-4624-A566-ACFAC316B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4914900"/>
          <a:ext cx="4429125" cy="232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66</xdr:row>
      <xdr:rowOff>28575</xdr:rowOff>
    </xdr:from>
    <xdr:to>
      <xdr:col>3</xdr:col>
      <xdr:colOff>828675</xdr:colOff>
      <xdr:row>83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42C8C2-7D85-415B-88A7-4E86D523D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8267700"/>
          <a:ext cx="4848225" cy="2428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99</xdr:row>
      <xdr:rowOff>0</xdr:rowOff>
    </xdr:from>
    <xdr:to>
      <xdr:col>3</xdr:col>
      <xdr:colOff>876300</xdr:colOff>
      <xdr:row>116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D95959-FA7E-4FC3-9E34-F1D819196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14239875"/>
          <a:ext cx="4800600" cy="2428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323850</xdr:colOff>
      <xdr:row>120</xdr:row>
      <xdr:rowOff>76200</xdr:rowOff>
    </xdr:from>
    <xdr:to>
      <xdr:col>4</xdr:col>
      <xdr:colOff>47625</xdr:colOff>
      <xdr:row>137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BD5BA3-B961-4466-8834-664E6349C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17316450"/>
          <a:ext cx="4924425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638175</xdr:colOff>
      <xdr:row>21</xdr:row>
      <xdr:rowOff>95250</xdr:rowOff>
    </xdr:from>
    <xdr:to>
      <xdr:col>3</xdr:col>
      <xdr:colOff>400050</xdr:colOff>
      <xdr:row>36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5DFCC7-482F-4790-B3C9-CB88D6627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" y="3476625"/>
          <a:ext cx="3962400" cy="2124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533400</xdr:colOff>
      <xdr:row>40</xdr:row>
      <xdr:rowOff>114300</xdr:rowOff>
    </xdr:from>
    <xdr:to>
      <xdr:col>3</xdr:col>
      <xdr:colOff>447675</xdr:colOff>
      <xdr:row>54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B324A4-D9EF-4F9F-8203-E66CDA687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175" y="6210300"/>
          <a:ext cx="411480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68</xdr:row>
      <xdr:rowOff>9525</xdr:rowOff>
    </xdr:from>
    <xdr:to>
      <xdr:col>3</xdr:col>
      <xdr:colOff>57150</xdr:colOff>
      <xdr:row>82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2625F9-75EC-4562-958C-E810DE73E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601325"/>
          <a:ext cx="3838575" cy="203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609600</xdr:colOff>
      <xdr:row>85</xdr:row>
      <xdr:rowOff>9525</xdr:rowOff>
    </xdr:from>
    <xdr:to>
      <xdr:col>2</xdr:col>
      <xdr:colOff>552450</xdr:colOff>
      <xdr:row>99</xdr:row>
      <xdr:rowOff>95251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A541AE-6C97-4827-9180-F9A26DAF7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5375" y="13030200"/>
          <a:ext cx="3457575" cy="208597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76</xdr:row>
      <xdr:rowOff>104775</xdr:rowOff>
    </xdr:from>
    <xdr:to>
      <xdr:col>3</xdr:col>
      <xdr:colOff>57150</xdr:colOff>
      <xdr:row>90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91454A-1C43-4F8B-9630-A68FC5901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11696700"/>
          <a:ext cx="383857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762000</xdr:colOff>
      <xdr:row>93</xdr:row>
      <xdr:rowOff>19050</xdr:rowOff>
    </xdr:from>
    <xdr:to>
      <xdr:col>2</xdr:col>
      <xdr:colOff>704850</xdr:colOff>
      <xdr:row>107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F42D1C-5C6F-4293-99D6-3A9F767FC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7775" y="14039850"/>
          <a:ext cx="3457575" cy="208597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167</xdr:row>
      <xdr:rowOff>85725</xdr:rowOff>
    </xdr:from>
    <xdr:to>
      <xdr:col>2</xdr:col>
      <xdr:colOff>695325</xdr:colOff>
      <xdr:row>181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ED1F24-7825-45BD-A307-9C745AB4E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" y="24393525"/>
          <a:ext cx="3838575" cy="203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542925</xdr:colOff>
      <xdr:row>186</xdr:row>
      <xdr:rowOff>47625</xdr:rowOff>
    </xdr:from>
    <xdr:to>
      <xdr:col>2</xdr:col>
      <xdr:colOff>600075</xdr:colOff>
      <xdr:row>202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14B2D2-6629-4148-B5DA-6B5A5629E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8700" y="27070050"/>
          <a:ext cx="3571875" cy="2286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270</xdr:row>
      <xdr:rowOff>47625</xdr:rowOff>
    </xdr:from>
    <xdr:to>
      <xdr:col>3</xdr:col>
      <xdr:colOff>9525</xdr:colOff>
      <xdr:row>284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E1B1DB-E035-4026-B770-694BED4CF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39214425"/>
          <a:ext cx="38481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666750</xdr:colOff>
      <xdr:row>289</xdr:row>
      <xdr:rowOff>19050</xdr:rowOff>
    </xdr:from>
    <xdr:to>
      <xdr:col>2</xdr:col>
      <xdr:colOff>609600</xdr:colOff>
      <xdr:row>303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19A8AA-1135-41D7-904A-C02F9E3FA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2525" y="41900475"/>
          <a:ext cx="3457575" cy="208597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165</xdr:row>
      <xdr:rowOff>0</xdr:rowOff>
    </xdr:from>
    <xdr:to>
      <xdr:col>2</xdr:col>
      <xdr:colOff>114300</xdr:colOff>
      <xdr:row>178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BB2B7F-D667-4AD0-B0E1-2EEC7FF78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24555450"/>
          <a:ext cx="38481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1104900</xdr:colOff>
      <xdr:row>183</xdr:row>
      <xdr:rowOff>47625</xdr:rowOff>
    </xdr:from>
    <xdr:to>
      <xdr:col>1</xdr:col>
      <xdr:colOff>4562475</xdr:colOff>
      <xdr:row>198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45AE3C-7942-444B-BE99-B64CBDF6E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0675" y="27174825"/>
          <a:ext cx="3457575" cy="20859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03C01-C0A8-4486-AE5B-1671532877CD}">
  <dimension ref="A1:C10"/>
  <sheetViews>
    <sheetView tabSelected="1" workbookViewId="0"/>
  </sheetViews>
  <sheetFormatPr defaultColWidth="8.77734375" defaultRowHeight="13.2" x14ac:dyDescent="0.25"/>
  <cols>
    <col min="1" max="1" width="6.5546875" style="15" bestFit="1" customWidth="1"/>
    <col min="2" max="2" width="11.33203125" style="15" bestFit="1" customWidth="1"/>
    <col min="3" max="3" width="38.77734375" style="15" bestFit="1" customWidth="1"/>
    <col min="4" max="16384" width="8.77734375" style="15"/>
  </cols>
  <sheetData>
    <row r="1" spans="1:3" ht="16.05" customHeight="1" x14ac:dyDescent="0.25">
      <c r="A1" s="85" t="s">
        <v>1</v>
      </c>
      <c r="B1" s="85" t="s">
        <v>2</v>
      </c>
      <c r="C1" s="85" t="s">
        <v>3</v>
      </c>
    </row>
    <row r="2" spans="1:3" ht="14.4" x14ac:dyDescent="0.3">
      <c r="A2" s="86">
        <v>1</v>
      </c>
      <c r="B2" s="84" t="s">
        <v>1373</v>
      </c>
      <c r="C2" s="83" t="s">
        <v>10</v>
      </c>
    </row>
    <row r="3" spans="1:3" ht="14.4" x14ac:dyDescent="0.3">
      <c r="A3" s="86">
        <v>2</v>
      </c>
      <c r="B3" s="84" t="s">
        <v>1374</v>
      </c>
      <c r="C3" s="83" t="s">
        <v>11</v>
      </c>
    </row>
    <row r="4" spans="1:3" ht="14.4" x14ac:dyDescent="0.3">
      <c r="A4" s="86">
        <v>3</v>
      </c>
      <c r="B4" s="84" t="s">
        <v>1375</v>
      </c>
      <c r="C4" s="83" t="s">
        <v>12</v>
      </c>
    </row>
    <row r="5" spans="1:3" ht="14.4" x14ac:dyDescent="0.3">
      <c r="A5" s="86">
        <v>4</v>
      </c>
      <c r="B5" s="84" t="s">
        <v>1376</v>
      </c>
      <c r="C5" s="83" t="s">
        <v>13</v>
      </c>
    </row>
    <row r="6" spans="1:3" ht="14.4" x14ac:dyDescent="0.3">
      <c r="A6" s="86">
        <v>5</v>
      </c>
      <c r="B6" s="84" t="s">
        <v>1377</v>
      </c>
      <c r="C6" s="83" t="s">
        <v>14</v>
      </c>
    </row>
    <row r="7" spans="1:3" ht="14.4" x14ac:dyDescent="0.3">
      <c r="A7" s="86">
        <v>6</v>
      </c>
      <c r="B7" s="84" t="s">
        <v>1378</v>
      </c>
      <c r="C7" s="83" t="s">
        <v>15</v>
      </c>
    </row>
    <row r="8" spans="1:3" ht="14.4" x14ac:dyDescent="0.3">
      <c r="A8" s="86">
        <v>7</v>
      </c>
      <c r="B8" s="84" t="s">
        <v>1379</v>
      </c>
      <c r="C8" s="83" t="s">
        <v>16</v>
      </c>
    </row>
    <row r="9" spans="1:3" ht="14.4" x14ac:dyDescent="0.3">
      <c r="A9" s="86">
        <v>8</v>
      </c>
      <c r="B9" s="84" t="s">
        <v>1380</v>
      </c>
      <c r="C9" s="83" t="s">
        <v>17</v>
      </c>
    </row>
    <row r="10" spans="1:3" ht="14.4" x14ac:dyDescent="0.3">
      <c r="A10" s="86">
        <v>9</v>
      </c>
      <c r="B10" s="84" t="s">
        <v>1381</v>
      </c>
      <c r="C10" s="83" t="s">
        <v>18</v>
      </c>
    </row>
  </sheetData>
  <hyperlinks>
    <hyperlink ref="B2" location="JBMMF!A1" display="JBMMF" xr:uid="{B1CEA014-362D-41E0-83FD-1173D2709C31}"/>
    <hyperlink ref="B3" location="JBOF!A1" display="JBOF" xr:uid="{7E407DE4-8A54-451B-9F31-E42546863813}"/>
    <hyperlink ref="B4" location="JBLF!A1" display="JBLF" xr:uid="{FDD4AF2E-C83D-498B-9CC2-47EB0957C87A}"/>
    <hyperlink ref="B5" location="'JBN8-13'!A1" display="JBN8-13" xr:uid="{BDE7D694-57A1-4005-97EE-5C1AF47EAB39}"/>
    <hyperlink ref="B6" location="'JBN50'!A1" display="JBN50" xr:uid="{C9F1282E-482A-4B8B-A7EC-B8EB4ABCC1D7}"/>
    <hyperlink ref="B7" location="JBNNX50!A1" display="JBNNX50" xr:uid="{E5EC09DE-2F46-49CE-A4FC-F5D9500C3303}"/>
    <hyperlink ref="B8" location="JBNM150!A1" display="JBNM150" xr:uid="{2CFB063F-DAF8-4954-9BEB-16F85B31694A}"/>
    <hyperlink ref="B9" location="JBNS250!A1" display="JBNS250" xr:uid="{FDB0E432-F645-4B38-9B2C-B7ABEFAFAB57}"/>
    <hyperlink ref="B10" location="JBFLEXI!A1" display="JBFLEXI" xr:uid="{10271AAE-89BC-4CC8-856A-12CD67989C89}"/>
  </hyperlinks>
  <pageMargins left="0.7" right="0.7" top="0.75" bottom="0.75" header="0.3" footer="0.3"/>
  <pageSetup paperSize="9" orientation="portrait" r:id="rId1"/>
  <headerFooter>
    <oddFooter>&amp;C&amp;1#&amp;"Calibri"&amp;10&amp;K000000RESTRICTED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4693-C531-42B5-9539-8D4F146BA38A}">
  <dimension ref="A1:K73"/>
  <sheetViews>
    <sheetView view="pageBreakPreview" zoomScaleNormal="100" zoomScaleSheetLayoutView="100" workbookViewId="0">
      <selection activeCell="B1" sqref="B1:C1"/>
    </sheetView>
  </sheetViews>
  <sheetFormatPr defaultColWidth="9.21875" defaultRowHeight="10.199999999999999" x14ac:dyDescent="0.2"/>
  <cols>
    <col min="1" max="1" width="7.21875" style="6" customWidth="1"/>
    <col min="2" max="2" width="52.77734375" style="6" bestFit="1" customWidth="1"/>
    <col min="3" max="3" width="11.21875" style="6" bestFit="1" customWidth="1"/>
    <col min="4" max="5" width="13.77734375" style="6" bestFit="1" customWidth="1"/>
    <col min="6" max="6" width="12.77734375" style="8" bestFit="1" customWidth="1"/>
    <col min="7" max="7" width="7.77734375" style="14" customWidth="1"/>
    <col min="8" max="8" width="11.77734375" style="11" bestFit="1" customWidth="1"/>
    <col min="9" max="9" width="10.21875" style="11" bestFit="1" customWidth="1"/>
    <col min="10" max="10" width="25.77734375" style="6" customWidth="1"/>
    <col min="11" max="16384" width="9.21875" style="6"/>
  </cols>
  <sheetData>
    <row r="1" spans="1:11" s="1" customFormat="1" ht="16.8" customHeight="1" x14ac:dyDescent="0.25">
      <c r="B1" s="80" t="s">
        <v>10</v>
      </c>
      <c r="C1" s="81"/>
      <c r="D1" s="10"/>
      <c r="F1" s="5"/>
      <c r="G1" s="14"/>
      <c r="H1" s="11"/>
      <c r="I1" s="12"/>
    </row>
    <row r="2" spans="1:11" s="1" customFormat="1" ht="14.4" x14ac:dyDescent="0.3">
      <c r="A2" s="59" t="s">
        <v>1372</v>
      </c>
      <c r="F2" s="5"/>
      <c r="G2" s="14"/>
      <c r="H2" s="11"/>
      <c r="I2" s="12"/>
    </row>
    <row r="3" spans="1:11" s="1" customFormat="1" ht="14.4" x14ac:dyDescent="0.3">
      <c r="A3" s="59"/>
      <c r="B3" s="7" t="s">
        <v>9</v>
      </c>
      <c r="C3" s="2"/>
      <c r="D3" s="3"/>
      <c r="E3" s="3"/>
      <c r="F3" s="4"/>
      <c r="G3" s="14"/>
      <c r="H3" s="11"/>
      <c r="I3" s="12"/>
    </row>
    <row r="4" spans="1:11" s="1" customFormat="1" ht="36.75" customHeight="1" x14ac:dyDescent="0.2">
      <c r="B4" s="18" t="s">
        <v>7</v>
      </c>
      <c r="C4" s="18" t="s">
        <v>8</v>
      </c>
      <c r="D4" s="19" t="s">
        <v>89</v>
      </c>
      <c r="E4" s="19" t="s">
        <v>0</v>
      </c>
      <c r="F4" s="20" t="s">
        <v>4</v>
      </c>
      <c r="G4" s="21" t="s">
        <v>5</v>
      </c>
      <c r="H4" s="22" t="s">
        <v>6</v>
      </c>
      <c r="I4" s="22" t="s">
        <v>19</v>
      </c>
      <c r="J4" s="13"/>
      <c r="K4" s="9"/>
    </row>
    <row r="5" spans="1:11" x14ac:dyDescent="0.2">
      <c r="B5" s="23" t="s">
        <v>20</v>
      </c>
      <c r="C5" s="24"/>
      <c r="D5" s="24"/>
      <c r="E5" s="24"/>
      <c r="F5" s="25"/>
      <c r="G5" s="26"/>
      <c r="H5" s="27"/>
      <c r="I5" s="27"/>
    </row>
    <row r="6" spans="1:11" x14ac:dyDescent="0.2">
      <c r="B6" s="23" t="s">
        <v>21</v>
      </c>
      <c r="C6" s="24"/>
      <c r="D6" s="24"/>
      <c r="E6" s="24"/>
      <c r="F6" s="25"/>
      <c r="G6" s="26"/>
      <c r="H6" s="27"/>
      <c r="I6" s="27"/>
    </row>
    <row r="7" spans="1:11" x14ac:dyDescent="0.2">
      <c r="B7" s="24" t="s">
        <v>22</v>
      </c>
      <c r="C7" s="24" t="s">
        <v>23</v>
      </c>
      <c r="D7" s="24" t="s">
        <v>24</v>
      </c>
      <c r="E7" s="28">
        <v>5500</v>
      </c>
      <c r="F7" s="25">
        <v>27063.244999999999</v>
      </c>
      <c r="G7" s="26">
        <v>8.5665449857316993</v>
      </c>
      <c r="H7" s="27">
        <v>5.9499999999999997E-2</v>
      </c>
      <c r="I7" s="29"/>
    </row>
    <row r="8" spans="1:11" x14ac:dyDescent="0.2">
      <c r="B8" s="24" t="s">
        <v>25</v>
      </c>
      <c r="C8" s="24" t="s">
        <v>26</v>
      </c>
      <c r="D8" s="24" t="s">
        <v>27</v>
      </c>
      <c r="E8" s="28">
        <v>4500</v>
      </c>
      <c r="F8" s="25">
        <v>22167.337500000001</v>
      </c>
      <c r="G8" s="26">
        <v>7.0168043007276903</v>
      </c>
      <c r="H8" s="27">
        <v>5.8897999999999999E-2</v>
      </c>
      <c r="I8" s="29"/>
    </row>
    <row r="9" spans="1:11" x14ac:dyDescent="0.2">
      <c r="B9" s="24" t="s">
        <v>28</v>
      </c>
      <c r="C9" s="24" t="s">
        <v>29</v>
      </c>
      <c r="D9" s="24" t="s">
        <v>30</v>
      </c>
      <c r="E9" s="28">
        <v>4000</v>
      </c>
      <c r="F9" s="25">
        <v>19678.46</v>
      </c>
      <c r="G9" s="26">
        <v>6.2289800369439003</v>
      </c>
      <c r="H9" s="27">
        <v>5.9050999999999999E-2</v>
      </c>
      <c r="I9" s="29"/>
    </row>
    <row r="10" spans="1:11" x14ac:dyDescent="0.2">
      <c r="B10" s="24" t="s">
        <v>31</v>
      </c>
      <c r="C10" s="24" t="s">
        <v>32</v>
      </c>
      <c r="D10" s="24" t="s">
        <v>33</v>
      </c>
      <c r="E10" s="28">
        <v>3500</v>
      </c>
      <c r="F10" s="25">
        <v>17222.0825</v>
      </c>
      <c r="G10" s="26">
        <v>5.4514432576076004</v>
      </c>
      <c r="H10" s="27">
        <v>5.8901000000000002E-2</v>
      </c>
      <c r="I10" s="29"/>
    </row>
    <row r="11" spans="1:11" x14ac:dyDescent="0.2">
      <c r="B11" s="24" t="s">
        <v>34</v>
      </c>
      <c r="C11" s="24" t="s">
        <v>35</v>
      </c>
      <c r="D11" s="24" t="s">
        <v>27</v>
      </c>
      <c r="E11" s="28">
        <v>3000</v>
      </c>
      <c r="F11" s="25">
        <v>14778.405000000001</v>
      </c>
      <c r="G11" s="26">
        <v>4.6779265106554</v>
      </c>
      <c r="H11" s="27">
        <v>5.8851000000000001E-2</v>
      </c>
      <c r="I11" s="29"/>
    </row>
    <row r="12" spans="1:11" x14ac:dyDescent="0.2">
      <c r="B12" s="24" t="s">
        <v>36</v>
      </c>
      <c r="C12" s="24" t="s">
        <v>37</v>
      </c>
      <c r="D12" s="24" t="s">
        <v>24</v>
      </c>
      <c r="E12" s="28">
        <v>2500</v>
      </c>
      <c r="F12" s="25">
        <v>12324.487499999999</v>
      </c>
      <c r="G12" s="26">
        <v>3.9011684147572798</v>
      </c>
      <c r="H12" s="27">
        <v>5.9068000000000002E-2</v>
      </c>
      <c r="I12" s="29"/>
    </row>
    <row r="13" spans="1:11" x14ac:dyDescent="0.2">
      <c r="B13" s="24" t="s">
        <v>38</v>
      </c>
      <c r="C13" s="24" t="s">
        <v>39</v>
      </c>
      <c r="D13" s="24" t="s">
        <v>24</v>
      </c>
      <c r="E13" s="28">
        <v>2500</v>
      </c>
      <c r="F13" s="25">
        <v>12302.137500000001</v>
      </c>
      <c r="G13" s="26">
        <v>3.8940937908372399</v>
      </c>
      <c r="H13" s="27">
        <v>5.9299999999999999E-2</v>
      </c>
      <c r="I13" s="29"/>
    </row>
    <row r="14" spans="1:11" x14ac:dyDescent="0.2">
      <c r="B14" s="24" t="s">
        <v>40</v>
      </c>
      <c r="C14" s="24" t="s">
        <v>41</v>
      </c>
      <c r="D14" s="24" t="s">
        <v>24</v>
      </c>
      <c r="E14" s="28">
        <v>2000</v>
      </c>
      <c r="F14" s="25">
        <v>9839.5</v>
      </c>
      <c r="G14" s="26">
        <v>3.1145754837273598</v>
      </c>
      <c r="H14" s="27">
        <v>5.8950000000000002E-2</v>
      </c>
      <c r="I14" s="29"/>
    </row>
    <row r="15" spans="1:11" x14ac:dyDescent="0.2">
      <c r="B15" s="24" t="s">
        <v>42</v>
      </c>
      <c r="C15" s="24" t="s">
        <v>43</v>
      </c>
      <c r="D15" s="24" t="s">
        <v>33</v>
      </c>
      <c r="E15" s="28">
        <v>1500</v>
      </c>
      <c r="F15" s="25">
        <v>7378.5524999999998</v>
      </c>
      <c r="G15" s="26">
        <v>2.3355921258087502</v>
      </c>
      <c r="H15" s="27">
        <v>5.8899E-2</v>
      </c>
      <c r="I15" s="29"/>
    </row>
    <row r="16" spans="1:11" x14ac:dyDescent="0.2">
      <c r="B16" s="24" t="s">
        <v>44</v>
      </c>
      <c r="C16" s="24" t="s">
        <v>45</v>
      </c>
      <c r="D16" s="24" t="s">
        <v>24</v>
      </c>
      <c r="E16" s="28">
        <v>1500</v>
      </c>
      <c r="F16" s="25">
        <v>7372.59</v>
      </c>
      <c r="G16" s="26">
        <v>2.33370476808512</v>
      </c>
      <c r="H16" s="27">
        <v>5.8951000000000003E-2</v>
      </c>
      <c r="I16" s="29"/>
    </row>
    <row r="17" spans="2:9" x14ac:dyDescent="0.2">
      <c r="B17" s="24" t="s">
        <v>46</v>
      </c>
      <c r="C17" s="24" t="s">
        <v>47</v>
      </c>
      <c r="D17" s="24" t="s">
        <v>24</v>
      </c>
      <c r="E17" s="28">
        <v>1500</v>
      </c>
      <c r="F17" s="25">
        <v>7280.58</v>
      </c>
      <c r="G17" s="26">
        <v>2.3045801082692998</v>
      </c>
      <c r="H17" s="27">
        <v>6.1799E-2</v>
      </c>
      <c r="I17" s="29"/>
    </row>
    <row r="18" spans="2:9" x14ac:dyDescent="0.2">
      <c r="B18" s="24" t="s">
        <v>48</v>
      </c>
      <c r="C18" s="24" t="s">
        <v>49</v>
      </c>
      <c r="D18" s="24" t="s">
        <v>24</v>
      </c>
      <c r="E18" s="28">
        <v>1000</v>
      </c>
      <c r="F18" s="25">
        <v>4924.4449999999997</v>
      </c>
      <c r="G18" s="26">
        <v>1.5587738876938599</v>
      </c>
      <c r="H18" s="27">
        <v>5.8951000000000003E-2</v>
      </c>
      <c r="I18" s="29"/>
    </row>
    <row r="19" spans="2:9" x14ac:dyDescent="0.2">
      <c r="B19" s="24" t="s">
        <v>50</v>
      </c>
      <c r="C19" s="24" t="s">
        <v>51</v>
      </c>
      <c r="D19" s="24" t="s">
        <v>24</v>
      </c>
      <c r="E19" s="28">
        <v>1000</v>
      </c>
      <c r="F19" s="25">
        <v>4924.4449999999997</v>
      </c>
      <c r="G19" s="26">
        <v>1.5587738876938599</v>
      </c>
      <c r="H19" s="27">
        <v>5.8951000000000003E-2</v>
      </c>
      <c r="I19" s="29"/>
    </row>
    <row r="20" spans="2:9" x14ac:dyDescent="0.2">
      <c r="B20" s="24" t="s">
        <v>52</v>
      </c>
      <c r="C20" s="24" t="s">
        <v>53</v>
      </c>
      <c r="D20" s="24" t="s">
        <v>24</v>
      </c>
      <c r="E20" s="28">
        <v>1000</v>
      </c>
      <c r="F20" s="25">
        <v>4921.9650000000001</v>
      </c>
      <c r="G20" s="26">
        <v>1.5579888734960201</v>
      </c>
      <c r="H20" s="27">
        <v>5.9049999999999998E-2</v>
      </c>
      <c r="I20" s="29"/>
    </row>
    <row r="21" spans="2:9" x14ac:dyDescent="0.2">
      <c r="B21" s="24" t="s">
        <v>54</v>
      </c>
      <c r="C21" s="24" t="s">
        <v>55</v>
      </c>
      <c r="D21" s="24" t="s">
        <v>24</v>
      </c>
      <c r="E21" s="28">
        <v>500</v>
      </c>
      <c r="F21" s="25">
        <v>2498.8125</v>
      </c>
      <c r="G21" s="26">
        <v>0.79096906864489802</v>
      </c>
      <c r="H21" s="27">
        <v>5.7819000000000002E-2</v>
      </c>
      <c r="I21" s="29"/>
    </row>
    <row r="22" spans="2:9" x14ac:dyDescent="0.2">
      <c r="B22" s="23" t="s">
        <v>56</v>
      </c>
      <c r="C22" s="23"/>
      <c r="D22" s="23"/>
      <c r="E22" s="23"/>
      <c r="F22" s="30">
        <f>SUM(F6:F21)</f>
        <v>174677.04500000001</v>
      </c>
      <c r="G22" s="31">
        <f>SUM(G6:G21)</f>
        <v>55.291919500679981</v>
      </c>
      <c r="H22" s="32"/>
      <c r="I22" s="32"/>
    </row>
    <row r="23" spans="2:9" x14ac:dyDescent="0.2">
      <c r="B23" s="23" t="s">
        <v>57</v>
      </c>
      <c r="C23" s="24"/>
      <c r="D23" s="24"/>
      <c r="E23" s="24"/>
      <c r="F23" s="25"/>
      <c r="G23" s="26"/>
      <c r="H23" s="27"/>
      <c r="I23" s="27"/>
    </row>
    <row r="24" spans="2:9" x14ac:dyDescent="0.2">
      <c r="B24" s="24" t="s">
        <v>58</v>
      </c>
      <c r="C24" s="24" t="s">
        <v>59</v>
      </c>
      <c r="D24" s="24" t="s">
        <v>30</v>
      </c>
      <c r="E24" s="28">
        <v>5000</v>
      </c>
      <c r="F24" s="25">
        <v>24607.55</v>
      </c>
      <c r="G24" s="26">
        <v>7.7892242435687997</v>
      </c>
      <c r="H24" s="27">
        <v>5.8798999999999997E-2</v>
      </c>
      <c r="I24" s="29"/>
    </row>
    <row r="25" spans="2:9" x14ac:dyDescent="0.2">
      <c r="B25" s="24" t="s">
        <v>60</v>
      </c>
      <c r="C25" s="24" t="s">
        <v>61</v>
      </c>
      <c r="D25" s="24" t="s">
        <v>24</v>
      </c>
      <c r="E25" s="28">
        <v>3000</v>
      </c>
      <c r="F25" s="25">
        <v>14778.375</v>
      </c>
      <c r="G25" s="26">
        <v>4.6779170145159101</v>
      </c>
      <c r="H25" s="27">
        <v>5.9499000000000003E-2</v>
      </c>
      <c r="I25" s="29"/>
    </row>
    <row r="26" spans="2:9" x14ac:dyDescent="0.2">
      <c r="B26" s="24" t="s">
        <v>62</v>
      </c>
      <c r="C26" s="24" t="s">
        <v>63</v>
      </c>
      <c r="D26" s="24" t="s">
        <v>24</v>
      </c>
      <c r="E26" s="28">
        <v>2500</v>
      </c>
      <c r="F26" s="25">
        <v>12317.2875</v>
      </c>
      <c r="G26" s="26">
        <v>3.8988893412796899</v>
      </c>
      <c r="H26" s="27">
        <v>5.9498000000000002E-2</v>
      </c>
      <c r="I26" s="29"/>
    </row>
    <row r="27" spans="2:9" x14ac:dyDescent="0.2">
      <c r="B27" s="24" t="s">
        <v>64</v>
      </c>
      <c r="C27" s="24" t="s">
        <v>65</v>
      </c>
      <c r="D27" s="24" t="s">
        <v>24</v>
      </c>
      <c r="E27" s="28">
        <v>2000</v>
      </c>
      <c r="F27" s="25">
        <v>9819.31</v>
      </c>
      <c r="G27" s="26">
        <v>3.10818458185059</v>
      </c>
      <c r="H27" s="27">
        <v>6.5850000000000006E-2</v>
      </c>
      <c r="I27" s="29"/>
    </row>
    <row r="28" spans="2:9" x14ac:dyDescent="0.2">
      <c r="B28" s="24" t="s">
        <v>66</v>
      </c>
      <c r="C28" s="24" t="s">
        <v>67</v>
      </c>
      <c r="D28" s="24" t="s">
        <v>24</v>
      </c>
      <c r="E28" s="28">
        <v>2000</v>
      </c>
      <c r="F28" s="25">
        <v>9774.85</v>
      </c>
      <c r="G28" s="26">
        <v>3.0941113031264198</v>
      </c>
      <c r="H28" s="27">
        <v>6.2275999999999998E-2</v>
      </c>
      <c r="I28" s="29"/>
    </row>
    <row r="29" spans="2:9" x14ac:dyDescent="0.2">
      <c r="B29" s="24" t="s">
        <v>68</v>
      </c>
      <c r="C29" s="24" t="s">
        <v>69</v>
      </c>
      <c r="D29" s="24" t="s">
        <v>24</v>
      </c>
      <c r="E29" s="28">
        <v>1000</v>
      </c>
      <c r="F29" s="25">
        <v>4915.75</v>
      </c>
      <c r="G29" s="26">
        <v>1.55602158993168</v>
      </c>
      <c r="H29" s="27">
        <v>6.5851000000000007E-2</v>
      </c>
      <c r="I29" s="29"/>
    </row>
    <row r="30" spans="2:9" x14ac:dyDescent="0.2">
      <c r="B30" s="24" t="s">
        <v>70</v>
      </c>
      <c r="C30" s="24" t="s">
        <v>71</v>
      </c>
      <c r="D30" s="24" t="s">
        <v>24</v>
      </c>
      <c r="E30" s="28">
        <v>1000</v>
      </c>
      <c r="F30" s="25">
        <v>4912.875</v>
      </c>
      <c r="G30" s="26">
        <v>1.55511154323056</v>
      </c>
      <c r="H30" s="27">
        <v>6.6049999999999998E-2</v>
      </c>
      <c r="I30" s="29"/>
    </row>
    <row r="31" spans="2:9" x14ac:dyDescent="0.2">
      <c r="B31" s="24" t="s">
        <v>72</v>
      </c>
      <c r="C31" s="24" t="s">
        <v>73</v>
      </c>
      <c r="D31" s="24" t="s">
        <v>24</v>
      </c>
      <c r="E31" s="28">
        <v>500</v>
      </c>
      <c r="F31" s="25">
        <v>2456.7874999999999</v>
      </c>
      <c r="G31" s="26">
        <v>0.77766655990932798</v>
      </c>
      <c r="H31" s="27">
        <v>0.06</v>
      </c>
      <c r="I31" s="29"/>
    </row>
    <row r="32" spans="2:9" x14ac:dyDescent="0.2">
      <c r="B32" s="23" t="s">
        <v>56</v>
      </c>
      <c r="C32" s="23"/>
      <c r="D32" s="23"/>
      <c r="E32" s="23"/>
      <c r="F32" s="30">
        <f>SUM(F23:F31)</f>
        <v>83582.785000000003</v>
      </c>
      <c r="G32" s="31">
        <f>SUM(G23:G31)</f>
        <v>26.457126177412981</v>
      </c>
      <c r="H32" s="32"/>
      <c r="I32" s="32"/>
    </row>
    <row r="33" spans="2:9" x14ac:dyDescent="0.2">
      <c r="B33" s="23" t="s">
        <v>74</v>
      </c>
      <c r="C33" s="24"/>
      <c r="D33" s="24"/>
      <c r="E33" s="24"/>
      <c r="F33" s="25"/>
      <c r="G33" s="26"/>
      <c r="H33" s="27"/>
      <c r="I33" s="27"/>
    </row>
    <row r="34" spans="2:9" x14ac:dyDescent="0.2">
      <c r="B34" s="24" t="s">
        <v>75</v>
      </c>
      <c r="C34" s="24" t="s">
        <v>76</v>
      </c>
      <c r="D34" s="24" t="s">
        <v>85</v>
      </c>
      <c r="E34" s="28">
        <v>14500000</v>
      </c>
      <c r="F34" s="25">
        <v>14273.3215</v>
      </c>
      <c r="G34" s="26">
        <v>4.5180483983188804</v>
      </c>
      <c r="H34" s="27">
        <v>5.3675E-2</v>
      </c>
      <c r="I34" s="29"/>
    </row>
    <row r="35" spans="2:9" x14ac:dyDescent="0.2">
      <c r="B35" s="24" t="s">
        <v>77</v>
      </c>
      <c r="C35" s="24" t="s">
        <v>78</v>
      </c>
      <c r="D35" s="24" t="s">
        <v>85</v>
      </c>
      <c r="E35" s="28">
        <v>5000000</v>
      </c>
      <c r="F35" s="25">
        <v>4916.66</v>
      </c>
      <c r="G35" s="26">
        <v>1.5563096394962099</v>
      </c>
      <c r="H35" s="27">
        <v>5.3800000000000001E-2</v>
      </c>
      <c r="I35" s="29"/>
    </row>
    <row r="36" spans="2:9" x14ac:dyDescent="0.2">
      <c r="B36" s="24" t="s">
        <v>79</v>
      </c>
      <c r="C36" s="24" t="s">
        <v>80</v>
      </c>
      <c r="D36" s="24" t="s">
        <v>85</v>
      </c>
      <c r="E36" s="28">
        <v>2500000</v>
      </c>
      <c r="F36" s="25">
        <v>2417.42</v>
      </c>
      <c r="G36" s="26">
        <v>0.76520525086358004</v>
      </c>
      <c r="H36" s="27">
        <v>5.4926999999999997E-2</v>
      </c>
      <c r="I36" s="29"/>
    </row>
    <row r="37" spans="2:9" x14ac:dyDescent="0.2">
      <c r="B37" s="23" t="s">
        <v>56</v>
      </c>
      <c r="C37" s="23"/>
      <c r="D37" s="23"/>
      <c r="E37" s="23"/>
      <c r="F37" s="33">
        <f>SUM(F33:F36)</f>
        <v>21607.4015</v>
      </c>
      <c r="G37" s="34">
        <f>SUM(G33:G36)</f>
        <v>6.8395632886786704</v>
      </c>
      <c r="H37" s="32"/>
      <c r="I37" s="32"/>
    </row>
    <row r="38" spans="2:9" x14ac:dyDescent="0.2">
      <c r="B38" s="35" t="s">
        <v>81</v>
      </c>
      <c r="C38" s="35"/>
      <c r="D38" s="35"/>
      <c r="E38" s="35"/>
      <c r="F38" s="36">
        <f>+F22+F32+F37</f>
        <v>279867.23149999999</v>
      </c>
      <c r="G38" s="37">
        <f>+G22+G32+G37</f>
        <v>88.588608966771631</v>
      </c>
      <c r="H38" s="32"/>
      <c r="I38" s="32"/>
    </row>
    <row r="39" spans="2:9" x14ac:dyDescent="0.2">
      <c r="B39" s="23" t="s">
        <v>82</v>
      </c>
      <c r="C39" s="24"/>
      <c r="D39" s="24"/>
      <c r="E39" s="24"/>
      <c r="F39" s="25"/>
      <c r="G39" s="26"/>
      <c r="H39" s="27"/>
      <c r="I39" s="27"/>
    </row>
    <row r="40" spans="2:9" x14ac:dyDescent="0.2">
      <c r="B40" s="24" t="s">
        <v>83</v>
      </c>
      <c r="C40" s="24" t="s">
        <v>84</v>
      </c>
      <c r="D40" s="24" t="s">
        <v>85</v>
      </c>
      <c r="E40" s="28">
        <v>25500000</v>
      </c>
      <c r="F40" s="25">
        <v>25505.1</v>
      </c>
      <c r="G40" s="26">
        <v>8.0733329102103397</v>
      </c>
      <c r="H40" s="27">
        <v>5.5659E-2</v>
      </c>
      <c r="I40" s="29"/>
    </row>
    <row r="41" spans="2:9" x14ac:dyDescent="0.2">
      <c r="B41" s="23" t="s">
        <v>81</v>
      </c>
      <c r="C41" s="23"/>
      <c r="D41" s="23"/>
      <c r="E41" s="23"/>
      <c r="F41" s="30">
        <f>SUM(F40:F40)</f>
        <v>25505.1</v>
      </c>
      <c r="G41" s="31">
        <f>SUM(G40:G40)</f>
        <v>8.0733329102103397</v>
      </c>
      <c r="H41" s="32"/>
      <c r="I41" s="32"/>
    </row>
    <row r="42" spans="2:9" x14ac:dyDescent="0.2">
      <c r="B42" s="23"/>
      <c r="C42" s="24"/>
      <c r="D42" s="24"/>
      <c r="E42" s="24"/>
      <c r="F42" s="25"/>
      <c r="G42" s="26"/>
      <c r="H42" s="27"/>
      <c r="I42" s="27"/>
    </row>
    <row r="43" spans="2:9" x14ac:dyDescent="0.2">
      <c r="B43" s="23" t="s">
        <v>86</v>
      </c>
      <c r="C43" s="23"/>
      <c r="D43" s="23"/>
      <c r="E43" s="23"/>
      <c r="F43" s="30">
        <v>26296.617864200001</v>
      </c>
      <c r="G43" s="31">
        <v>8.3238783784525907</v>
      </c>
      <c r="H43" s="38">
        <v>5.305E-2</v>
      </c>
      <c r="I43" s="38"/>
    </row>
    <row r="44" spans="2:9" x14ac:dyDescent="0.2">
      <c r="B44" s="24"/>
      <c r="C44" s="24"/>
      <c r="D44" s="24"/>
      <c r="E44" s="24"/>
      <c r="F44" s="25"/>
      <c r="G44" s="26"/>
      <c r="H44" s="27"/>
      <c r="I44" s="27"/>
    </row>
    <row r="45" spans="2:9" x14ac:dyDescent="0.2">
      <c r="B45" s="43" t="s">
        <v>88</v>
      </c>
      <c r="C45" s="43"/>
      <c r="D45" s="43"/>
      <c r="E45" s="43"/>
      <c r="F45" s="30">
        <f>F46-(F22+F32+F37+F41+F43)</f>
        <v>-15751.09630819998</v>
      </c>
      <c r="G45" s="31">
        <f>G46-(G22+G32+G37+G41+G43)</f>
        <v>-4.985820255434561</v>
      </c>
      <c r="H45" s="32"/>
      <c r="I45" s="32"/>
    </row>
    <row r="46" spans="2:9" x14ac:dyDescent="0.2">
      <c r="B46" s="39" t="s">
        <v>87</v>
      </c>
      <c r="C46" s="39"/>
      <c r="D46" s="39"/>
      <c r="E46" s="39"/>
      <c r="F46" s="40">
        <v>315917.85305600002</v>
      </c>
      <c r="G46" s="41">
        <v>100</v>
      </c>
      <c r="H46" s="42"/>
      <c r="I46" s="42"/>
    </row>
    <row r="48" spans="2:9" x14ac:dyDescent="0.2">
      <c r="B48" s="60" t="s">
        <v>90</v>
      </c>
    </row>
    <row r="49" spans="2:9" ht="40.049999999999997" customHeight="1" x14ac:dyDescent="0.2">
      <c r="B49" s="82" t="s">
        <v>91</v>
      </c>
      <c r="C49" s="82"/>
      <c r="D49" s="82"/>
      <c r="E49" s="82"/>
      <c r="F49" s="82"/>
      <c r="G49" s="82"/>
      <c r="H49" s="82"/>
      <c r="I49" s="82"/>
    </row>
    <row r="51" spans="2:9" x14ac:dyDescent="0.2">
      <c r="B51" s="16" t="s">
        <v>1354</v>
      </c>
      <c r="C51" s="16"/>
      <c r="D51" s="44"/>
      <c r="E51" s="16"/>
    </row>
    <row r="52" spans="2:9" x14ac:dyDescent="0.2">
      <c r="D52" s="45"/>
      <c r="E52" s="45"/>
    </row>
    <row r="56" spans="2:9" x14ac:dyDescent="0.2">
      <c r="B56" s="16"/>
    </row>
    <row r="72" spans="2:2" x14ac:dyDescent="0.2">
      <c r="B72" s="16" t="s">
        <v>1355</v>
      </c>
    </row>
    <row r="73" spans="2:2" x14ac:dyDescent="0.2">
      <c r="B73" s="60" t="s">
        <v>1356</v>
      </c>
    </row>
  </sheetData>
  <mergeCells count="2">
    <mergeCell ref="B1:C1"/>
    <mergeCell ref="B49:I49"/>
  </mergeCells>
  <conditionalFormatting sqref="G1:G3 G5:G48 G50:G111">
    <cfRule type="cellIs" dxfId="10" priority="2" stopIfTrue="1" operator="between">
      <formula>0.009</formula>
      <formula>-0.009</formula>
    </cfRule>
  </conditionalFormatting>
  <hyperlinks>
    <hyperlink ref="A2" location="JBMMF!A1" display="-" xr:uid="{33CBEB03-9F39-4C19-90F5-9B1D97B9B7A5}"/>
  </hyperlinks>
  <pageMargins left="0.7" right="0.7" top="0.75" bottom="0.75" header="0.3" footer="0.3"/>
  <pageSetup paperSize="9" scale="62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FA04A-1701-4CEA-AC96-3323AE23CE7B}">
  <dimension ref="A1:K63"/>
  <sheetViews>
    <sheetView view="pageBreakPreview" zoomScaleNormal="100" zoomScaleSheetLayoutView="100" workbookViewId="0">
      <selection activeCell="B1" sqref="B1:C1"/>
    </sheetView>
  </sheetViews>
  <sheetFormatPr defaultColWidth="9.21875" defaultRowHeight="10.199999999999999" x14ac:dyDescent="0.2"/>
  <cols>
    <col min="1" max="1" width="7.21875" style="6" customWidth="1"/>
    <col min="2" max="2" width="52.77734375" style="6" bestFit="1" customWidth="1"/>
    <col min="3" max="3" width="11.21875" style="6" bestFit="1" customWidth="1"/>
    <col min="4" max="5" width="13.77734375" style="6" bestFit="1" customWidth="1"/>
    <col min="6" max="6" width="12.77734375" style="8" bestFit="1" customWidth="1"/>
    <col min="7" max="7" width="6.77734375" style="14" bestFit="1" customWidth="1"/>
    <col min="8" max="8" width="11.77734375" style="11" bestFit="1" customWidth="1"/>
    <col min="9" max="9" width="15.77734375" style="11" customWidth="1"/>
    <col min="10" max="10" width="25.77734375" style="6" customWidth="1"/>
    <col min="11" max="16384" width="9.21875" style="6"/>
  </cols>
  <sheetData>
    <row r="1" spans="1:11" s="1" customFormat="1" ht="16.8" customHeight="1" x14ac:dyDescent="0.25">
      <c r="B1" s="80" t="s">
        <v>11</v>
      </c>
      <c r="C1" s="81"/>
      <c r="D1" s="10"/>
      <c r="F1" s="5"/>
      <c r="G1" s="14"/>
      <c r="H1" s="11"/>
      <c r="I1" s="12"/>
    </row>
    <row r="2" spans="1:11" s="1" customFormat="1" ht="14.4" x14ac:dyDescent="0.3">
      <c r="A2" s="59" t="s">
        <v>1372</v>
      </c>
      <c r="F2" s="5"/>
      <c r="G2" s="14"/>
      <c r="H2" s="11"/>
      <c r="I2" s="12"/>
    </row>
    <row r="3" spans="1:11" s="1" customFormat="1" ht="14.4" x14ac:dyDescent="0.3">
      <c r="A3" s="59"/>
      <c r="B3" s="7" t="s">
        <v>9</v>
      </c>
      <c r="C3" s="2"/>
      <c r="D3" s="3"/>
      <c r="E3" s="3"/>
      <c r="F3" s="4"/>
      <c r="G3" s="14"/>
      <c r="H3" s="11"/>
      <c r="I3" s="12"/>
    </row>
    <row r="4" spans="1:11" s="1" customFormat="1" ht="30.6" x14ac:dyDescent="0.2">
      <c r="B4" s="18" t="s">
        <v>7</v>
      </c>
      <c r="C4" s="18" t="s">
        <v>8</v>
      </c>
      <c r="D4" s="19" t="s">
        <v>89</v>
      </c>
      <c r="E4" s="19" t="s">
        <v>0</v>
      </c>
      <c r="F4" s="20" t="s">
        <v>4</v>
      </c>
      <c r="G4" s="21" t="s">
        <v>5</v>
      </c>
      <c r="H4" s="22" t="s">
        <v>6</v>
      </c>
      <c r="I4" s="22" t="s">
        <v>19</v>
      </c>
      <c r="J4" s="13"/>
      <c r="K4" s="9"/>
    </row>
    <row r="5" spans="1:11" x14ac:dyDescent="0.2">
      <c r="B5" s="23" t="s">
        <v>20</v>
      </c>
      <c r="C5" s="24"/>
      <c r="D5" s="24"/>
      <c r="E5" s="24"/>
      <c r="F5" s="25"/>
      <c r="G5" s="26"/>
      <c r="H5" s="27"/>
      <c r="I5" s="27"/>
    </row>
    <row r="6" spans="1:11" x14ac:dyDescent="0.2">
      <c r="B6" s="23" t="s">
        <v>74</v>
      </c>
      <c r="C6" s="24"/>
      <c r="D6" s="24"/>
      <c r="E6" s="24"/>
      <c r="F6" s="25"/>
      <c r="G6" s="26"/>
      <c r="H6" s="27"/>
      <c r="I6" s="27"/>
    </row>
    <row r="7" spans="1:11" x14ac:dyDescent="0.2">
      <c r="B7" s="24" t="s">
        <v>94</v>
      </c>
      <c r="C7" s="24" t="s">
        <v>95</v>
      </c>
      <c r="D7" s="24" t="s">
        <v>85</v>
      </c>
      <c r="E7" s="28">
        <v>1500000</v>
      </c>
      <c r="F7" s="25">
        <v>1497.846</v>
      </c>
      <c r="G7" s="26">
        <v>1.3608284606876899</v>
      </c>
      <c r="H7" s="27">
        <v>5.2507999999999999E-2</v>
      </c>
      <c r="I7" s="29"/>
    </row>
    <row r="8" spans="1:11" x14ac:dyDescent="0.2">
      <c r="B8" s="24" t="s">
        <v>96</v>
      </c>
      <c r="C8" s="24" t="s">
        <v>97</v>
      </c>
      <c r="D8" s="24" t="s">
        <v>85</v>
      </c>
      <c r="E8" s="28">
        <v>1500000</v>
      </c>
      <c r="F8" s="25">
        <v>1496.3205</v>
      </c>
      <c r="G8" s="26">
        <v>1.3594425079149901</v>
      </c>
      <c r="H8" s="27">
        <v>5.2796999999999997E-2</v>
      </c>
      <c r="I8" s="29"/>
    </row>
    <row r="9" spans="1:11" x14ac:dyDescent="0.2">
      <c r="B9" s="24" t="s">
        <v>98</v>
      </c>
      <c r="C9" s="24" t="s">
        <v>99</v>
      </c>
      <c r="D9" s="24" t="s">
        <v>85</v>
      </c>
      <c r="E9" s="28">
        <v>1000000</v>
      </c>
      <c r="F9" s="25">
        <v>998.56399999999996</v>
      </c>
      <c r="G9" s="26">
        <v>0.90721897379179095</v>
      </c>
      <c r="H9" s="27">
        <v>5.2507999999999999E-2</v>
      </c>
      <c r="I9" s="29"/>
    </row>
    <row r="10" spans="1:11" x14ac:dyDescent="0.2">
      <c r="B10" s="24" t="s">
        <v>100</v>
      </c>
      <c r="C10" s="24" t="s">
        <v>101</v>
      </c>
      <c r="D10" s="24" t="s">
        <v>85</v>
      </c>
      <c r="E10" s="28">
        <v>1000000</v>
      </c>
      <c r="F10" s="25">
        <v>997.54700000000003</v>
      </c>
      <c r="G10" s="26">
        <v>0.90629500527665696</v>
      </c>
      <c r="H10" s="27">
        <v>5.2796999999999997E-2</v>
      </c>
      <c r="I10" s="29"/>
    </row>
    <row r="11" spans="1:11" x14ac:dyDescent="0.2">
      <c r="B11" s="24" t="s">
        <v>102</v>
      </c>
      <c r="C11" s="24" t="s">
        <v>103</v>
      </c>
      <c r="D11" s="24" t="s">
        <v>85</v>
      </c>
      <c r="E11" s="28">
        <v>500000</v>
      </c>
      <c r="F11" s="25">
        <v>498.19850000000002</v>
      </c>
      <c r="G11" s="26">
        <v>0.45262510156044999</v>
      </c>
      <c r="H11" s="27">
        <v>5.2794000000000001E-2</v>
      </c>
      <c r="I11" s="29"/>
    </row>
    <row r="12" spans="1:11" x14ac:dyDescent="0.2">
      <c r="B12" s="23" t="s">
        <v>56</v>
      </c>
      <c r="C12" s="23"/>
      <c r="D12" s="23"/>
      <c r="E12" s="23"/>
      <c r="F12" s="33">
        <f>SUM(F6:F11)</f>
        <v>5488.4760000000006</v>
      </c>
      <c r="G12" s="34">
        <f>SUM(G6:G11)</f>
        <v>4.9864100492315782</v>
      </c>
      <c r="H12" s="32"/>
      <c r="I12" s="32"/>
    </row>
    <row r="13" spans="1:11" x14ac:dyDescent="0.2">
      <c r="B13" s="35" t="s">
        <v>81</v>
      </c>
      <c r="C13" s="35"/>
      <c r="D13" s="35"/>
      <c r="E13" s="35"/>
      <c r="F13" s="36">
        <f>+F12</f>
        <v>5488.4760000000006</v>
      </c>
      <c r="G13" s="37">
        <f>+G12</f>
        <v>4.9864100492315782</v>
      </c>
      <c r="H13" s="32"/>
      <c r="I13" s="32"/>
    </row>
    <row r="14" spans="1:11" x14ac:dyDescent="0.2">
      <c r="B14" s="23"/>
      <c r="C14" s="24"/>
      <c r="D14" s="24"/>
      <c r="E14" s="24"/>
      <c r="F14" s="25"/>
      <c r="G14" s="26"/>
      <c r="H14" s="27"/>
      <c r="I14" s="27"/>
    </row>
    <row r="15" spans="1:11" x14ac:dyDescent="0.2">
      <c r="B15" s="23" t="s">
        <v>86</v>
      </c>
      <c r="C15" s="23"/>
      <c r="D15" s="23"/>
      <c r="E15" s="23"/>
      <c r="F15" s="30">
        <v>29620.754203699998</v>
      </c>
      <c r="G15" s="31">
        <v>26.911154649696599</v>
      </c>
      <c r="H15" s="38">
        <v>5.305E-2</v>
      </c>
      <c r="I15" s="38"/>
    </row>
    <row r="16" spans="1:11" x14ac:dyDescent="0.2">
      <c r="B16" s="24"/>
      <c r="C16" s="24"/>
      <c r="D16" s="24"/>
      <c r="E16" s="24"/>
      <c r="F16" s="25"/>
      <c r="G16" s="26"/>
      <c r="H16" s="27"/>
      <c r="I16" s="27"/>
    </row>
    <row r="17" spans="2:9" x14ac:dyDescent="0.2">
      <c r="B17" s="23" t="s">
        <v>104</v>
      </c>
      <c r="C17" s="24"/>
      <c r="D17" s="24"/>
      <c r="E17" s="24"/>
      <c r="F17" s="25"/>
      <c r="G17" s="26"/>
      <c r="H17" s="27"/>
      <c r="I17" s="27"/>
    </row>
    <row r="18" spans="2:9" x14ac:dyDescent="0.2">
      <c r="B18" s="24" t="s">
        <v>105</v>
      </c>
      <c r="C18" s="24"/>
      <c r="D18" s="24"/>
      <c r="E18" s="24"/>
      <c r="F18" s="25">
        <v>15367.145833299999</v>
      </c>
      <c r="G18" s="26">
        <v>13.961414864741</v>
      </c>
      <c r="H18" s="27">
        <v>5.6000000000000001E-2</v>
      </c>
      <c r="I18" s="27"/>
    </row>
    <row r="19" spans="2:9" x14ac:dyDescent="0.2">
      <c r="B19" s="24" t="s">
        <v>105</v>
      </c>
      <c r="C19" s="24"/>
      <c r="D19" s="24"/>
      <c r="E19" s="24"/>
      <c r="F19" s="25">
        <v>13193.0986667</v>
      </c>
      <c r="G19" s="26">
        <v>11.986241676584999</v>
      </c>
      <c r="H19" s="27">
        <v>5.6000000000000001E-2</v>
      </c>
      <c r="I19" s="27"/>
    </row>
    <row r="20" spans="2:9" x14ac:dyDescent="0.2">
      <c r="B20" s="24" t="s">
        <v>105</v>
      </c>
      <c r="C20" s="24"/>
      <c r="D20" s="24"/>
      <c r="E20" s="24"/>
      <c r="F20" s="25">
        <v>10408.3222222</v>
      </c>
      <c r="G20" s="26">
        <v>9.4562065178782504</v>
      </c>
      <c r="H20" s="27">
        <v>5.6000000000000001E-2</v>
      </c>
      <c r="I20" s="27"/>
    </row>
    <row r="21" spans="2:9" x14ac:dyDescent="0.2">
      <c r="B21" s="24" t="s">
        <v>105</v>
      </c>
      <c r="C21" s="24"/>
      <c r="D21" s="24"/>
      <c r="E21" s="24"/>
      <c r="F21" s="25">
        <v>6278.0572499999998</v>
      </c>
      <c r="G21" s="26">
        <v>5.7037632597921704</v>
      </c>
      <c r="H21" s="27">
        <v>5.6300000000000003E-2</v>
      </c>
      <c r="I21" s="27"/>
    </row>
    <row r="22" spans="2:9" x14ac:dyDescent="0.2">
      <c r="B22" s="24" t="s">
        <v>105</v>
      </c>
      <c r="C22" s="24"/>
      <c r="D22" s="24"/>
      <c r="E22" s="24"/>
      <c r="F22" s="25">
        <v>5550.0225</v>
      </c>
      <c r="G22" s="26">
        <v>5.04232649782222</v>
      </c>
      <c r="H22" s="27">
        <v>5.6500000000000002E-2</v>
      </c>
      <c r="I22" s="27"/>
    </row>
    <row r="23" spans="2:9" x14ac:dyDescent="0.2">
      <c r="B23" s="24" t="s">
        <v>105</v>
      </c>
      <c r="C23" s="24"/>
      <c r="D23" s="24"/>
      <c r="E23" s="24"/>
      <c r="F23" s="25">
        <v>5399.4504755999997</v>
      </c>
      <c r="G23" s="26">
        <v>4.9055282580920503</v>
      </c>
      <c r="H23" s="27">
        <v>5.6500000000000002E-2</v>
      </c>
      <c r="I23" s="27"/>
    </row>
    <row r="24" spans="2:9" x14ac:dyDescent="0.2">
      <c r="B24" s="24" t="s">
        <v>105</v>
      </c>
      <c r="C24" s="24"/>
      <c r="D24" s="24"/>
      <c r="E24" s="24"/>
      <c r="F24" s="25">
        <v>4131.9488889000004</v>
      </c>
      <c r="G24" s="26">
        <v>3.7539731361715298</v>
      </c>
      <c r="H24" s="27">
        <v>5.62E-2</v>
      </c>
      <c r="I24" s="27"/>
    </row>
    <row r="25" spans="2:9" x14ac:dyDescent="0.2">
      <c r="B25" s="24" t="s">
        <v>105</v>
      </c>
      <c r="C25" s="24"/>
      <c r="D25" s="24"/>
      <c r="E25" s="24"/>
      <c r="F25" s="25">
        <v>2999.5735574999999</v>
      </c>
      <c r="G25" s="26">
        <v>2.72518340802206</v>
      </c>
      <c r="H25" s="27">
        <v>5.5800000000000002E-2</v>
      </c>
      <c r="I25" s="27"/>
    </row>
    <row r="26" spans="2:9" x14ac:dyDescent="0.2">
      <c r="B26" s="24" t="s">
        <v>105</v>
      </c>
      <c r="C26" s="24"/>
      <c r="D26" s="24"/>
      <c r="E26" s="24"/>
      <c r="F26" s="25">
        <v>2799.9612667000001</v>
      </c>
      <c r="G26" s="26">
        <v>2.5438309282453</v>
      </c>
      <c r="H26" s="27">
        <v>5.5800000000000002E-2</v>
      </c>
      <c r="I26" s="27"/>
    </row>
    <row r="27" spans="2:9" x14ac:dyDescent="0.2">
      <c r="B27" s="24" t="s">
        <v>105</v>
      </c>
      <c r="C27" s="24"/>
      <c r="D27" s="24"/>
      <c r="E27" s="24"/>
      <c r="F27" s="25">
        <v>2699.28125</v>
      </c>
      <c r="G27" s="26">
        <v>2.4523607556455298</v>
      </c>
      <c r="H27" s="27">
        <v>5.6500000000000002E-2</v>
      </c>
      <c r="I27" s="27"/>
    </row>
    <row r="28" spans="2:9" x14ac:dyDescent="0.2">
      <c r="B28" s="24" t="s">
        <v>105</v>
      </c>
      <c r="C28" s="24"/>
      <c r="D28" s="24"/>
      <c r="E28" s="24"/>
      <c r="F28" s="25">
        <v>2399.3511278000001</v>
      </c>
      <c r="G28" s="26">
        <v>2.17986715716658</v>
      </c>
      <c r="H28" s="27">
        <v>5.6000000000000001E-2</v>
      </c>
      <c r="I28" s="27"/>
    </row>
    <row r="29" spans="2:9" x14ac:dyDescent="0.2">
      <c r="B29" s="24" t="s">
        <v>105</v>
      </c>
      <c r="C29" s="24"/>
      <c r="D29" s="24"/>
      <c r="E29" s="24"/>
      <c r="F29" s="25">
        <v>1068.9694443999999</v>
      </c>
      <c r="G29" s="26">
        <v>0.97118398256230798</v>
      </c>
      <c r="H29" s="27">
        <v>5.6399999999999999E-2</v>
      </c>
      <c r="I29" s="27"/>
    </row>
    <row r="30" spans="2:9" x14ac:dyDescent="0.2">
      <c r="B30" s="24" t="s">
        <v>105</v>
      </c>
      <c r="C30" s="24"/>
      <c r="D30" s="24"/>
      <c r="E30" s="24"/>
      <c r="F30" s="25">
        <v>1060.4405555999999</v>
      </c>
      <c r="G30" s="26">
        <v>0.96343528568887804</v>
      </c>
      <c r="H30" s="27">
        <v>5.6399999999999999E-2</v>
      </c>
      <c r="I30" s="27"/>
    </row>
    <row r="31" spans="2:9" x14ac:dyDescent="0.2">
      <c r="B31" s="24" t="s">
        <v>105</v>
      </c>
      <c r="C31" s="24"/>
      <c r="D31" s="24"/>
      <c r="E31" s="24"/>
      <c r="F31" s="25">
        <v>1041.1263888999999</v>
      </c>
      <c r="G31" s="26">
        <v>0.94588790916296905</v>
      </c>
      <c r="H31" s="27">
        <v>5.6500000000000002E-2</v>
      </c>
      <c r="I31" s="27"/>
    </row>
    <row r="32" spans="2:9" x14ac:dyDescent="0.2">
      <c r="B32" s="24" t="s">
        <v>105</v>
      </c>
      <c r="C32" s="24"/>
      <c r="D32" s="24"/>
      <c r="E32" s="24"/>
      <c r="F32" s="25">
        <v>1034.2972222000001</v>
      </c>
      <c r="G32" s="26">
        <v>0.93968344995411801</v>
      </c>
      <c r="H32" s="27">
        <v>5.6500000000000002E-2</v>
      </c>
      <c r="I32" s="27"/>
    </row>
    <row r="33" spans="2:9" x14ac:dyDescent="0.2">
      <c r="B33" s="24" t="s">
        <v>105</v>
      </c>
      <c r="C33" s="24"/>
      <c r="D33" s="24"/>
      <c r="E33" s="24"/>
      <c r="F33" s="25">
        <v>1031.325</v>
      </c>
      <c r="G33" s="26">
        <v>0.93698311590025196</v>
      </c>
      <c r="H33" s="27">
        <v>5.6300000000000003E-2</v>
      </c>
      <c r="I33" s="27"/>
    </row>
    <row r="34" spans="2:9" x14ac:dyDescent="0.2">
      <c r="B34" s="23" t="s">
        <v>81</v>
      </c>
      <c r="C34" s="23"/>
      <c r="D34" s="23"/>
      <c r="E34" s="23"/>
      <c r="F34" s="30">
        <v>76462.371649799985</v>
      </c>
      <c r="G34" s="31">
        <v>69.467870203430195</v>
      </c>
      <c r="H34" s="27"/>
      <c r="I34" s="27"/>
    </row>
    <row r="35" spans="2:9" x14ac:dyDescent="0.2">
      <c r="B35" s="24"/>
      <c r="C35" s="24"/>
      <c r="D35" s="24"/>
      <c r="E35" s="24"/>
      <c r="F35" s="25"/>
      <c r="G35" s="26"/>
      <c r="H35" s="27"/>
      <c r="I35" s="27"/>
    </row>
    <row r="36" spans="2:9" x14ac:dyDescent="0.2">
      <c r="B36" s="43" t="s">
        <v>88</v>
      </c>
      <c r="C36" s="43"/>
      <c r="D36" s="43"/>
      <c r="E36" s="43"/>
      <c r="F36" s="30">
        <f>F37-(F12+F15+F34)</f>
        <v>-1502.9162497999787</v>
      </c>
      <c r="G36" s="31">
        <f>G37-(G12+G15+G34)</f>
        <v>-1.3654349023583734</v>
      </c>
      <c r="H36" s="32"/>
      <c r="I36" s="32"/>
    </row>
    <row r="37" spans="2:9" x14ac:dyDescent="0.2">
      <c r="B37" s="39" t="s">
        <v>87</v>
      </c>
      <c r="C37" s="39"/>
      <c r="D37" s="39"/>
      <c r="E37" s="39"/>
      <c r="F37" s="40">
        <v>110068.6856037</v>
      </c>
      <c r="G37" s="41">
        <v>100</v>
      </c>
      <c r="H37" s="42"/>
      <c r="I37" s="42"/>
    </row>
    <row r="39" spans="2:9" ht="40.049999999999997" customHeight="1" x14ac:dyDescent="0.2">
      <c r="B39" s="82" t="s">
        <v>91</v>
      </c>
      <c r="C39" s="82"/>
      <c r="D39" s="82"/>
      <c r="E39" s="82"/>
      <c r="F39" s="82"/>
      <c r="G39" s="82"/>
      <c r="H39" s="82"/>
      <c r="I39" s="82"/>
    </row>
    <row r="41" spans="2:9" x14ac:dyDescent="0.2">
      <c r="B41" s="16" t="s">
        <v>1354</v>
      </c>
    </row>
    <row r="42" spans="2:9" x14ac:dyDescent="0.2">
      <c r="B42" s="16"/>
      <c r="C42" s="16"/>
      <c r="D42" s="44"/>
      <c r="E42" s="16"/>
    </row>
    <row r="43" spans="2:9" x14ac:dyDescent="0.2">
      <c r="D43" s="45"/>
      <c r="E43" s="45"/>
    </row>
    <row r="47" spans="2:9" x14ac:dyDescent="0.2">
      <c r="B47" s="16"/>
    </row>
    <row r="62" spans="2:2" x14ac:dyDescent="0.2">
      <c r="B62" s="16" t="s">
        <v>1355</v>
      </c>
    </row>
    <row r="63" spans="2:2" x14ac:dyDescent="0.2">
      <c r="B63" s="61" t="s">
        <v>1357</v>
      </c>
    </row>
  </sheetData>
  <mergeCells count="2">
    <mergeCell ref="B1:C1"/>
    <mergeCell ref="B39:I39"/>
  </mergeCells>
  <conditionalFormatting sqref="G1:G3 G5:G38 G40:G65105">
    <cfRule type="cellIs" dxfId="9" priority="2" stopIfTrue="1" operator="between">
      <formula>0.009</formula>
      <formula>-0.009</formula>
    </cfRule>
  </conditionalFormatting>
  <hyperlinks>
    <hyperlink ref="A2" location="JBOF!A1" display="-" xr:uid="{8ACB7A6D-1DAC-46C3-80FE-BE81D48B1CFE}"/>
  </hyperlinks>
  <pageMargins left="0.7" right="0.7" top="0.75" bottom="0.75" header="0.3" footer="0.3"/>
  <pageSetup paperSize="9" scale="63" orientation="portrait" r:id="rId1"/>
  <headerFooter>
    <oddFooter>&amp;C&amp;1#&amp;"Calibri"&amp;10&amp;K000000RESTRICTED</oddFooter>
    <evenFooter>&amp;LPUBLIC</evenFooter>
    <firstFooter>&amp;LPUBLIC</first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488ED-74B0-472F-9CAE-2D038AB0C753}">
  <dimension ref="A1:K119"/>
  <sheetViews>
    <sheetView view="pageBreakPreview" zoomScaleNormal="100" zoomScaleSheetLayoutView="100" workbookViewId="0">
      <selection activeCell="B1" sqref="B1:C1"/>
    </sheetView>
  </sheetViews>
  <sheetFormatPr defaultColWidth="9.21875" defaultRowHeight="10.199999999999999" x14ac:dyDescent="0.2"/>
  <cols>
    <col min="1" max="1" width="7.21875" style="6" customWidth="1"/>
    <col min="2" max="2" width="52.77734375" style="6" bestFit="1" customWidth="1"/>
    <col min="3" max="3" width="11.44140625" style="6" bestFit="1" customWidth="1"/>
    <col min="4" max="5" width="13.77734375" style="6" bestFit="1" customWidth="1"/>
    <col min="6" max="6" width="16.21875" style="8" bestFit="1" customWidth="1"/>
    <col min="7" max="7" width="8.21875" style="14" bestFit="1" customWidth="1"/>
    <col min="8" max="8" width="11.77734375" style="11" bestFit="1" customWidth="1"/>
    <col min="9" max="9" width="10.21875" style="11" bestFit="1" customWidth="1"/>
    <col min="10" max="10" width="25.77734375" style="6" customWidth="1"/>
    <col min="11" max="16384" width="9.21875" style="6"/>
  </cols>
  <sheetData>
    <row r="1" spans="1:11" s="1" customFormat="1" ht="16.8" customHeight="1" x14ac:dyDescent="0.25">
      <c r="B1" s="80" t="s">
        <v>12</v>
      </c>
      <c r="C1" s="81"/>
      <c r="D1" s="10"/>
      <c r="F1" s="5"/>
      <c r="G1" s="14"/>
      <c r="H1" s="11"/>
      <c r="I1" s="12"/>
    </row>
    <row r="2" spans="1:11" s="1" customFormat="1" ht="14.4" x14ac:dyDescent="0.3">
      <c r="A2" s="59" t="s">
        <v>1372</v>
      </c>
      <c r="F2" s="5"/>
      <c r="G2" s="14"/>
      <c r="H2" s="11"/>
      <c r="I2" s="12"/>
    </row>
    <row r="3" spans="1:11" s="1" customFormat="1" ht="12" x14ac:dyDescent="0.2">
      <c r="B3" s="7" t="s">
        <v>9</v>
      </c>
      <c r="C3" s="2"/>
      <c r="D3" s="3"/>
      <c r="E3" s="3"/>
      <c r="F3" s="4"/>
      <c r="G3" s="14"/>
      <c r="H3" s="11"/>
      <c r="I3" s="12"/>
    </row>
    <row r="4" spans="1:11" s="1" customFormat="1" ht="25.5" customHeight="1" x14ac:dyDescent="0.2">
      <c r="B4" s="18" t="s">
        <v>7</v>
      </c>
      <c r="C4" s="18" t="s">
        <v>8</v>
      </c>
      <c r="D4" s="19" t="s">
        <v>89</v>
      </c>
      <c r="E4" s="19" t="s">
        <v>0</v>
      </c>
      <c r="F4" s="20" t="s">
        <v>4</v>
      </c>
      <c r="G4" s="21" t="s">
        <v>5</v>
      </c>
      <c r="H4" s="22" t="s">
        <v>6</v>
      </c>
      <c r="I4" s="22" t="s">
        <v>19</v>
      </c>
      <c r="J4" s="13"/>
      <c r="K4" s="9"/>
    </row>
    <row r="5" spans="1:11" x14ac:dyDescent="0.2">
      <c r="B5" s="23" t="s">
        <v>20</v>
      </c>
      <c r="C5" s="24"/>
      <c r="D5" s="24"/>
      <c r="E5" s="24"/>
      <c r="F5" s="25"/>
      <c r="G5" s="26"/>
      <c r="H5" s="27"/>
      <c r="I5" s="27"/>
    </row>
    <row r="6" spans="1:11" x14ac:dyDescent="0.2">
      <c r="B6" s="23" t="s">
        <v>21</v>
      </c>
      <c r="C6" s="24"/>
      <c r="D6" s="24"/>
      <c r="E6" s="24"/>
      <c r="F6" s="25"/>
      <c r="G6" s="26"/>
      <c r="H6" s="27"/>
      <c r="I6" s="27"/>
    </row>
    <row r="7" spans="1:11" x14ac:dyDescent="0.2">
      <c r="B7" s="24" t="s">
        <v>36</v>
      </c>
      <c r="C7" s="24" t="s">
        <v>37</v>
      </c>
      <c r="D7" s="24" t="s">
        <v>24</v>
      </c>
      <c r="E7" s="28">
        <v>6000</v>
      </c>
      <c r="F7" s="25">
        <v>29578.77</v>
      </c>
      <c r="G7" s="26">
        <v>4.2934906846045404</v>
      </c>
      <c r="H7" s="27">
        <v>5.9068000000000002E-2</v>
      </c>
      <c r="I7" s="29"/>
    </row>
    <row r="8" spans="1:11" x14ac:dyDescent="0.2">
      <c r="B8" s="24" t="s">
        <v>106</v>
      </c>
      <c r="C8" s="24" t="s">
        <v>107</v>
      </c>
      <c r="D8" s="24" t="s">
        <v>24</v>
      </c>
      <c r="E8" s="28">
        <v>4000</v>
      </c>
      <c r="F8" s="25">
        <v>19932.919999999998</v>
      </c>
      <c r="G8" s="26">
        <v>2.8933524395019599</v>
      </c>
      <c r="H8" s="27">
        <v>5.8500999999999997E-2</v>
      </c>
      <c r="I8" s="29"/>
    </row>
    <row r="9" spans="1:11" x14ac:dyDescent="0.2">
      <c r="B9" s="24" t="s">
        <v>108</v>
      </c>
      <c r="C9" s="24" t="s">
        <v>109</v>
      </c>
      <c r="D9" s="24" t="s">
        <v>24</v>
      </c>
      <c r="E9" s="28">
        <v>4000</v>
      </c>
      <c r="F9" s="25">
        <v>19747.54</v>
      </c>
      <c r="G9" s="26">
        <v>2.8664437038408099</v>
      </c>
      <c r="H9" s="27">
        <v>5.9069000000000003E-2</v>
      </c>
      <c r="I9" s="29"/>
    </row>
    <row r="10" spans="1:11" x14ac:dyDescent="0.2">
      <c r="B10" s="24" t="s">
        <v>110</v>
      </c>
      <c r="C10" s="24" t="s">
        <v>111</v>
      </c>
      <c r="D10" s="24" t="s">
        <v>24</v>
      </c>
      <c r="E10" s="28">
        <v>4000</v>
      </c>
      <c r="F10" s="25">
        <v>19737.12</v>
      </c>
      <c r="G10" s="26">
        <v>2.8649311942627</v>
      </c>
      <c r="H10" s="27">
        <v>6.0018000000000002E-2</v>
      </c>
      <c r="I10" s="29"/>
    </row>
    <row r="11" spans="1:11" x14ac:dyDescent="0.2">
      <c r="B11" s="24" t="s">
        <v>112</v>
      </c>
      <c r="C11" s="24" t="s">
        <v>113</v>
      </c>
      <c r="D11" s="24" t="s">
        <v>24</v>
      </c>
      <c r="E11" s="28">
        <v>3000</v>
      </c>
      <c r="F11" s="25">
        <v>14959.365</v>
      </c>
      <c r="G11" s="26">
        <v>2.1714186991243798</v>
      </c>
      <c r="H11" s="27">
        <v>5.8333000000000003E-2</v>
      </c>
      <c r="I11" s="29"/>
    </row>
    <row r="12" spans="1:11" x14ac:dyDescent="0.2">
      <c r="B12" s="24" t="s">
        <v>114</v>
      </c>
      <c r="C12" s="24" t="s">
        <v>115</v>
      </c>
      <c r="D12" s="24" t="s">
        <v>24</v>
      </c>
      <c r="E12" s="28">
        <v>3000</v>
      </c>
      <c r="F12" s="25">
        <v>14959.245000000001</v>
      </c>
      <c r="G12" s="26">
        <v>2.1714012805879701</v>
      </c>
      <c r="H12" s="27">
        <v>5.8494999999999998E-2</v>
      </c>
      <c r="I12" s="29"/>
    </row>
    <row r="13" spans="1:11" x14ac:dyDescent="0.2">
      <c r="B13" s="24" t="s">
        <v>116</v>
      </c>
      <c r="C13" s="24" t="s">
        <v>117</v>
      </c>
      <c r="D13" s="24" t="s">
        <v>24</v>
      </c>
      <c r="E13" s="28">
        <v>3000</v>
      </c>
      <c r="F13" s="25">
        <v>14843.37</v>
      </c>
      <c r="G13" s="26">
        <v>2.1545815063688698</v>
      </c>
      <c r="H13" s="27">
        <v>6.0179999999999997E-2</v>
      </c>
      <c r="I13" s="29"/>
    </row>
    <row r="14" spans="1:11" x14ac:dyDescent="0.2">
      <c r="B14" s="24" t="s">
        <v>118</v>
      </c>
      <c r="C14" s="24" t="s">
        <v>119</v>
      </c>
      <c r="D14" s="24" t="s">
        <v>24</v>
      </c>
      <c r="E14" s="28">
        <v>3000</v>
      </c>
      <c r="F14" s="25">
        <v>14793.24</v>
      </c>
      <c r="G14" s="26">
        <v>2.1473049127843802</v>
      </c>
      <c r="H14" s="27">
        <v>6.0017000000000001E-2</v>
      </c>
      <c r="I14" s="29"/>
    </row>
    <row r="15" spans="1:11" x14ac:dyDescent="0.2">
      <c r="B15" s="24" t="s">
        <v>120</v>
      </c>
      <c r="C15" s="24" t="s">
        <v>121</v>
      </c>
      <c r="D15" s="24" t="s">
        <v>24</v>
      </c>
      <c r="E15" s="28">
        <v>2300</v>
      </c>
      <c r="F15" s="25">
        <v>11344.450999999999</v>
      </c>
      <c r="G15" s="26">
        <v>1.64669777311405</v>
      </c>
      <c r="H15" s="27">
        <v>5.8881000000000003E-2</v>
      </c>
      <c r="I15" s="29"/>
    </row>
    <row r="16" spans="1:11" x14ac:dyDescent="0.2">
      <c r="B16" s="24" t="s">
        <v>122</v>
      </c>
      <c r="C16" s="24" t="s">
        <v>123</v>
      </c>
      <c r="D16" s="24" t="s">
        <v>24</v>
      </c>
      <c r="E16" s="28">
        <v>2000</v>
      </c>
      <c r="F16" s="25">
        <v>9976.02</v>
      </c>
      <c r="G16" s="26">
        <v>1.44806389648483</v>
      </c>
      <c r="H16" s="27">
        <v>5.8492000000000002E-2</v>
      </c>
      <c r="I16" s="29"/>
    </row>
    <row r="17" spans="2:9" x14ac:dyDescent="0.2">
      <c r="B17" s="24" t="s">
        <v>124</v>
      </c>
      <c r="C17" s="24" t="s">
        <v>125</v>
      </c>
      <c r="D17" s="24" t="s">
        <v>24</v>
      </c>
      <c r="E17" s="28">
        <v>2000</v>
      </c>
      <c r="F17" s="25">
        <v>9974.42</v>
      </c>
      <c r="G17" s="26">
        <v>1.4478316493327199</v>
      </c>
      <c r="H17" s="27">
        <v>5.8504E-2</v>
      </c>
      <c r="I17" s="29"/>
    </row>
    <row r="18" spans="2:9" x14ac:dyDescent="0.2">
      <c r="B18" s="24" t="s">
        <v>126</v>
      </c>
      <c r="C18" s="24" t="s">
        <v>127</v>
      </c>
      <c r="D18" s="24" t="s">
        <v>24</v>
      </c>
      <c r="E18" s="28">
        <v>2000</v>
      </c>
      <c r="F18" s="25">
        <v>9890.2099999999991</v>
      </c>
      <c r="G18" s="26">
        <v>1.4356081914083201</v>
      </c>
      <c r="H18" s="27">
        <v>6.0475000000000001E-2</v>
      </c>
      <c r="I18" s="29"/>
    </row>
    <row r="19" spans="2:9" x14ac:dyDescent="0.2">
      <c r="B19" s="24" t="s">
        <v>128</v>
      </c>
      <c r="C19" s="24" t="s">
        <v>129</v>
      </c>
      <c r="D19" s="24" t="s">
        <v>24</v>
      </c>
      <c r="E19" s="28">
        <v>2000</v>
      </c>
      <c r="F19" s="25">
        <v>9890.16</v>
      </c>
      <c r="G19" s="26">
        <v>1.4356009336848199</v>
      </c>
      <c r="H19" s="27">
        <v>6.0503000000000001E-2</v>
      </c>
      <c r="I19" s="29"/>
    </row>
    <row r="20" spans="2:9" x14ac:dyDescent="0.2">
      <c r="B20" s="24" t="s">
        <v>130</v>
      </c>
      <c r="C20" s="24" t="s">
        <v>131</v>
      </c>
      <c r="D20" s="24" t="s">
        <v>24</v>
      </c>
      <c r="E20" s="28">
        <v>2000</v>
      </c>
      <c r="F20" s="25">
        <v>9880.64</v>
      </c>
      <c r="G20" s="26">
        <v>1.43421906312977</v>
      </c>
      <c r="H20" s="27">
        <v>6.0401000000000003E-2</v>
      </c>
      <c r="I20" s="29"/>
    </row>
    <row r="21" spans="2:9" x14ac:dyDescent="0.2">
      <c r="B21" s="24" t="s">
        <v>132</v>
      </c>
      <c r="C21" s="24" t="s">
        <v>133</v>
      </c>
      <c r="D21" s="24" t="s">
        <v>24</v>
      </c>
      <c r="E21" s="28">
        <v>2000</v>
      </c>
      <c r="F21" s="25">
        <v>9875.9699999999993</v>
      </c>
      <c r="G21" s="26">
        <v>1.43354119175455</v>
      </c>
      <c r="H21" s="27">
        <v>5.8770999999999997E-2</v>
      </c>
      <c r="I21" s="29"/>
    </row>
    <row r="22" spans="2:9" x14ac:dyDescent="0.2">
      <c r="B22" s="24" t="s">
        <v>134</v>
      </c>
      <c r="C22" s="24" t="s">
        <v>135</v>
      </c>
      <c r="D22" s="24" t="s">
        <v>24</v>
      </c>
      <c r="E22" s="28">
        <v>2000</v>
      </c>
      <c r="F22" s="25">
        <v>9873.1299999999992</v>
      </c>
      <c r="G22" s="26">
        <v>1.4331289530595599</v>
      </c>
      <c r="H22" s="27">
        <v>5.9369999999999999E-2</v>
      </c>
      <c r="I22" s="29"/>
    </row>
    <row r="23" spans="2:9" x14ac:dyDescent="0.2">
      <c r="B23" s="24" t="s">
        <v>136</v>
      </c>
      <c r="C23" s="24" t="s">
        <v>137</v>
      </c>
      <c r="D23" s="24" t="s">
        <v>24</v>
      </c>
      <c r="E23" s="28">
        <v>2000</v>
      </c>
      <c r="F23" s="25">
        <v>9864.8799999999992</v>
      </c>
      <c r="G23" s="26">
        <v>1.4319314286814999</v>
      </c>
      <c r="H23" s="27">
        <v>5.8819000000000003E-2</v>
      </c>
      <c r="I23" s="29"/>
    </row>
    <row r="24" spans="2:9" x14ac:dyDescent="0.2">
      <c r="B24" s="24" t="s">
        <v>138</v>
      </c>
      <c r="C24" s="24" t="s">
        <v>139</v>
      </c>
      <c r="D24" s="24" t="s">
        <v>24</v>
      </c>
      <c r="E24" s="28">
        <v>2000</v>
      </c>
      <c r="F24" s="25">
        <v>9862.0499999999993</v>
      </c>
      <c r="G24" s="26">
        <v>1.4315206415312101</v>
      </c>
      <c r="H24" s="27">
        <v>5.9369999999999999E-2</v>
      </c>
      <c r="I24" s="29"/>
    </row>
    <row r="25" spans="2:9" x14ac:dyDescent="0.2">
      <c r="B25" s="24" t="s">
        <v>140</v>
      </c>
      <c r="C25" s="24" t="s">
        <v>141</v>
      </c>
      <c r="D25" s="24" t="s">
        <v>30</v>
      </c>
      <c r="E25" s="28">
        <v>1500</v>
      </c>
      <c r="F25" s="25">
        <v>7479.6225000000004</v>
      </c>
      <c r="G25" s="26">
        <v>1.0857006402939799</v>
      </c>
      <c r="H25" s="27">
        <v>5.8494999999999998E-2</v>
      </c>
      <c r="I25" s="29"/>
    </row>
    <row r="26" spans="2:9" x14ac:dyDescent="0.2">
      <c r="B26" s="24" t="s">
        <v>142</v>
      </c>
      <c r="C26" s="24" t="s">
        <v>143</v>
      </c>
      <c r="D26" s="24" t="s">
        <v>24</v>
      </c>
      <c r="E26" s="28">
        <v>1500</v>
      </c>
      <c r="F26" s="25">
        <v>7406.3175000000001</v>
      </c>
      <c r="G26" s="26">
        <v>1.0750600918656701</v>
      </c>
      <c r="H26" s="27">
        <v>5.9193000000000003E-2</v>
      </c>
      <c r="I26" s="29"/>
    </row>
    <row r="27" spans="2:9" x14ac:dyDescent="0.2">
      <c r="B27" s="24" t="s">
        <v>144</v>
      </c>
      <c r="C27" s="24" t="s">
        <v>145</v>
      </c>
      <c r="D27" s="24" t="s">
        <v>24</v>
      </c>
      <c r="E27" s="28">
        <v>1100</v>
      </c>
      <c r="F27" s="25">
        <v>5497.3765000000003</v>
      </c>
      <c r="G27" s="26">
        <v>0.79796877262015597</v>
      </c>
      <c r="H27" s="27">
        <v>5.8062999999999997E-2</v>
      </c>
      <c r="I27" s="29"/>
    </row>
    <row r="28" spans="2:9" x14ac:dyDescent="0.2">
      <c r="B28" s="24" t="s">
        <v>146</v>
      </c>
      <c r="C28" s="24" t="s">
        <v>147</v>
      </c>
      <c r="D28" s="24" t="s">
        <v>24</v>
      </c>
      <c r="E28" s="28">
        <v>1100</v>
      </c>
      <c r="F28" s="25">
        <v>5491.1229999999996</v>
      </c>
      <c r="G28" s="26">
        <v>0.79706104914158704</v>
      </c>
      <c r="H28" s="27">
        <v>5.9006000000000003E-2</v>
      </c>
      <c r="I28" s="29"/>
    </row>
    <row r="29" spans="2:9" x14ac:dyDescent="0.2">
      <c r="B29" s="24" t="s">
        <v>148</v>
      </c>
      <c r="C29" s="24" t="s">
        <v>149</v>
      </c>
      <c r="D29" s="24" t="s">
        <v>24</v>
      </c>
      <c r="E29" s="28">
        <v>1000</v>
      </c>
      <c r="F29" s="25">
        <v>4996.8249999999998</v>
      </c>
      <c r="G29" s="26">
        <v>0.72531148489606101</v>
      </c>
      <c r="H29" s="27">
        <v>5.7980999999999998E-2</v>
      </c>
      <c r="I29" s="29"/>
    </row>
    <row r="30" spans="2:9" x14ac:dyDescent="0.2">
      <c r="B30" s="24" t="s">
        <v>150</v>
      </c>
      <c r="C30" s="24" t="s">
        <v>151</v>
      </c>
      <c r="D30" s="24" t="s">
        <v>24</v>
      </c>
      <c r="E30" s="28">
        <v>1000</v>
      </c>
      <c r="F30" s="25">
        <v>4996.7950000000001</v>
      </c>
      <c r="G30" s="26">
        <v>0.72530713026195903</v>
      </c>
      <c r="H30" s="27">
        <v>5.8528999999999998E-2</v>
      </c>
      <c r="I30" s="29"/>
    </row>
    <row r="31" spans="2:9" x14ac:dyDescent="0.2">
      <c r="B31" s="24" t="s">
        <v>152</v>
      </c>
      <c r="C31" s="24" t="s">
        <v>153</v>
      </c>
      <c r="D31" s="24" t="s">
        <v>24</v>
      </c>
      <c r="E31" s="28">
        <v>1000</v>
      </c>
      <c r="F31" s="25">
        <v>4996.7700000000004</v>
      </c>
      <c r="G31" s="26">
        <v>0.72530350140020705</v>
      </c>
      <c r="H31" s="27">
        <v>5.8985999999999997E-2</v>
      </c>
      <c r="I31" s="29"/>
    </row>
    <row r="32" spans="2:9" x14ac:dyDescent="0.2">
      <c r="B32" s="24" t="s">
        <v>154</v>
      </c>
      <c r="C32" s="24" t="s">
        <v>155</v>
      </c>
      <c r="D32" s="24" t="s">
        <v>24</v>
      </c>
      <c r="E32" s="28">
        <v>1000</v>
      </c>
      <c r="F32" s="25">
        <v>4987.32</v>
      </c>
      <c r="G32" s="26">
        <v>0.72393179165806698</v>
      </c>
      <c r="H32" s="27">
        <v>5.8000000000000003E-2</v>
      </c>
      <c r="I32" s="29"/>
    </row>
    <row r="33" spans="2:9" x14ac:dyDescent="0.2">
      <c r="B33" s="24" t="s">
        <v>156</v>
      </c>
      <c r="C33" s="24" t="s">
        <v>157</v>
      </c>
      <c r="D33" s="24" t="s">
        <v>24</v>
      </c>
      <c r="E33" s="28">
        <v>1000</v>
      </c>
      <c r="F33" s="25">
        <v>4982.43</v>
      </c>
      <c r="G33" s="26">
        <v>0.72322198629943601</v>
      </c>
      <c r="H33" s="27">
        <v>5.8506000000000002E-2</v>
      </c>
      <c r="I33" s="29"/>
    </row>
    <row r="34" spans="2:9" x14ac:dyDescent="0.2">
      <c r="B34" s="24" t="s">
        <v>158</v>
      </c>
      <c r="C34" s="24" t="s">
        <v>159</v>
      </c>
      <c r="D34" s="24" t="s">
        <v>27</v>
      </c>
      <c r="E34" s="28">
        <v>1000</v>
      </c>
      <c r="F34" s="25">
        <v>4952.9750000000004</v>
      </c>
      <c r="G34" s="26">
        <v>0.71894646138359197</v>
      </c>
      <c r="H34" s="27">
        <v>6.0796999999999997E-2</v>
      </c>
      <c r="I34" s="29"/>
    </row>
    <row r="35" spans="2:9" x14ac:dyDescent="0.2">
      <c r="B35" s="24" t="s">
        <v>160</v>
      </c>
      <c r="C35" s="24" t="s">
        <v>161</v>
      </c>
      <c r="D35" s="24" t="s">
        <v>33</v>
      </c>
      <c r="E35" s="28">
        <v>1000</v>
      </c>
      <c r="F35" s="25">
        <v>4945.33</v>
      </c>
      <c r="G35" s="26">
        <v>0.71783675545992398</v>
      </c>
      <c r="H35" s="27">
        <v>6.0224E-2</v>
      </c>
      <c r="I35" s="29"/>
    </row>
    <row r="36" spans="2:9" x14ac:dyDescent="0.2">
      <c r="B36" s="24" t="s">
        <v>162</v>
      </c>
      <c r="C36" s="24" t="s">
        <v>163</v>
      </c>
      <c r="D36" s="24" t="s">
        <v>24</v>
      </c>
      <c r="E36" s="28">
        <v>800</v>
      </c>
      <c r="F36" s="25">
        <v>3949.828</v>
      </c>
      <c r="G36" s="26">
        <v>0.57333519019858403</v>
      </c>
      <c r="H36" s="27">
        <v>5.8689999999999999E-2</v>
      </c>
      <c r="I36" s="29"/>
    </row>
    <row r="37" spans="2:9" x14ac:dyDescent="0.2">
      <c r="B37" s="24" t="s">
        <v>164</v>
      </c>
      <c r="C37" s="24" t="s">
        <v>165</v>
      </c>
      <c r="D37" s="24" t="s">
        <v>24</v>
      </c>
      <c r="E37" s="28">
        <v>600</v>
      </c>
      <c r="F37" s="25">
        <v>2998.56</v>
      </c>
      <c r="G37" s="26">
        <v>0.435254387766218</v>
      </c>
      <c r="H37" s="27">
        <v>5.8488999999999999E-2</v>
      </c>
      <c r="I37" s="29"/>
    </row>
    <row r="38" spans="2:9" x14ac:dyDescent="0.2">
      <c r="B38" s="24" t="s">
        <v>166</v>
      </c>
      <c r="C38" s="24" t="s">
        <v>167</v>
      </c>
      <c r="D38" s="24" t="s">
        <v>24</v>
      </c>
      <c r="E38" s="28">
        <v>500</v>
      </c>
      <c r="F38" s="25">
        <v>2498.81</v>
      </c>
      <c r="G38" s="26">
        <v>0.36271344134988198</v>
      </c>
      <c r="H38" s="27">
        <v>5.7940999999999999E-2</v>
      </c>
      <c r="I38" s="29"/>
    </row>
    <row r="39" spans="2:9" x14ac:dyDescent="0.2">
      <c r="B39" s="24" t="s">
        <v>168</v>
      </c>
      <c r="C39" s="24" t="s">
        <v>169</v>
      </c>
      <c r="D39" s="24" t="s">
        <v>33</v>
      </c>
      <c r="E39" s="28">
        <v>500</v>
      </c>
      <c r="F39" s="25">
        <v>2493.2075</v>
      </c>
      <c r="G39" s="26">
        <v>0.361900213431328</v>
      </c>
      <c r="H39" s="27">
        <v>5.8494999999999998E-2</v>
      </c>
      <c r="I39" s="29"/>
    </row>
    <row r="40" spans="2:9" x14ac:dyDescent="0.2">
      <c r="B40" s="24" t="s">
        <v>170</v>
      </c>
      <c r="C40" s="24" t="s">
        <v>171</v>
      </c>
      <c r="D40" s="24" t="s">
        <v>27</v>
      </c>
      <c r="E40" s="28">
        <v>500</v>
      </c>
      <c r="F40" s="25">
        <v>2473.81</v>
      </c>
      <c r="G40" s="26">
        <v>0.35908457959819001</v>
      </c>
      <c r="H40" s="27">
        <v>6.0380999999999997E-2</v>
      </c>
      <c r="I40" s="29"/>
    </row>
    <row r="41" spans="2:9" x14ac:dyDescent="0.2">
      <c r="B41" s="24" t="s">
        <v>172</v>
      </c>
      <c r="C41" s="24" t="s">
        <v>173</v>
      </c>
      <c r="D41" s="24" t="s">
        <v>24</v>
      </c>
      <c r="E41" s="28">
        <v>500</v>
      </c>
      <c r="F41" s="25">
        <v>2473.3649999999998</v>
      </c>
      <c r="G41" s="26">
        <v>0.35901998585901002</v>
      </c>
      <c r="H41" s="27">
        <v>6.0472999999999999E-2</v>
      </c>
      <c r="I41" s="29"/>
    </row>
    <row r="42" spans="2:9" x14ac:dyDescent="0.2">
      <c r="B42" s="24" t="s">
        <v>174</v>
      </c>
      <c r="C42" s="24" t="s">
        <v>175</v>
      </c>
      <c r="D42" s="24" t="s">
        <v>33</v>
      </c>
      <c r="E42" s="28">
        <v>500</v>
      </c>
      <c r="F42" s="25">
        <v>2471.4575</v>
      </c>
      <c r="G42" s="26">
        <v>0.35874310370735502</v>
      </c>
      <c r="H42" s="27">
        <v>6.0221999999999998E-2</v>
      </c>
      <c r="I42" s="29"/>
    </row>
    <row r="43" spans="2:9" x14ac:dyDescent="0.2">
      <c r="B43" s="24" t="s">
        <v>176</v>
      </c>
      <c r="C43" s="24" t="s">
        <v>177</v>
      </c>
      <c r="D43" s="24" t="s">
        <v>24</v>
      </c>
      <c r="E43" s="28">
        <v>500</v>
      </c>
      <c r="F43" s="25">
        <v>2466.4949999999999</v>
      </c>
      <c r="G43" s="26">
        <v>0.35802277464964399</v>
      </c>
      <c r="H43" s="27">
        <v>5.9026000000000002E-2</v>
      </c>
      <c r="I43" s="29"/>
    </row>
    <row r="44" spans="2:9" x14ac:dyDescent="0.2">
      <c r="B44" s="24" t="s">
        <v>178</v>
      </c>
      <c r="C44" s="24" t="s">
        <v>179</v>
      </c>
      <c r="D44" s="24" t="s">
        <v>24</v>
      </c>
      <c r="E44" s="28">
        <v>500</v>
      </c>
      <c r="F44" s="25">
        <v>2464.8274999999999</v>
      </c>
      <c r="G44" s="26">
        <v>0.35778072957080698</v>
      </c>
      <c r="H44" s="27">
        <v>5.9186999999999997E-2</v>
      </c>
      <c r="I44" s="29"/>
    </row>
    <row r="45" spans="2:9" x14ac:dyDescent="0.2">
      <c r="B45" s="24" t="s">
        <v>180</v>
      </c>
      <c r="C45" s="24" t="s">
        <v>181</v>
      </c>
      <c r="D45" s="24" t="s">
        <v>24</v>
      </c>
      <c r="E45" s="28">
        <v>200</v>
      </c>
      <c r="F45" s="25">
        <v>995.976</v>
      </c>
      <c r="G45" s="26">
        <v>0.14457036848015301</v>
      </c>
      <c r="H45" s="27">
        <v>5.8994999999999999E-2</v>
      </c>
      <c r="I45" s="29"/>
    </row>
    <row r="46" spans="2:9" x14ac:dyDescent="0.2">
      <c r="B46" s="23" t="s">
        <v>56</v>
      </c>
      <c r="C46" s="23"/>
      <c r="D46" s="23"/>
      <c r="E46" s="23"/>
      <c r="F46" s="30">
        <f>SUM(F6:F45)</f>
        <v>335002.72200000007</v>
      </c>
      <c r="G46" s="31">
        <f>SUM(G6:G45)</f>
        <v>48.627142583148746</v>
      </c>
      <c r="H46" s="32"/>
      <c r="I46" s="32"/>
    </row>
    <row r="47" spans="2:9" x14ac:dyDescent="0.2">
      <c r="B47" s="23" t="s">
        <v>57</v>
      </c>
      <c r="C47" s="24"/>
      <c r="D47" s="24"/>
      <c r="E47" s="24"/>
      <c r="F47" s="25"/>
      <c r="G47" s="26"/>
      <c r="H47" s="27"/>
      <c r="I47" s="27"/>
    </row>
    <row r="48" spans="2:9" x14ac:dyDescent="0.2">
      <c r="B48" s="24" t="s">
        <v>182</v>
      </c>
      <c r="C48" s="24" t="s">
        <v>183</v>
      </c>
      <c r="D48" s="24" t="s">
        <v>24</v>
      </c>
      <c r="E48" s="28">
        <v>7000</v>
      </c>
      <c r="F48" s="25">
        <v>34821.01</v>
      </c>
      <c r="G48" s="26">
        <v>5.0544252537722603</v>
      </c>
      <c r="H48" s="27">
        <v>6.4697000000000005E-2</v>
      </c>
      <c r="I48" s="29"/>
    </row>
    <row r="49" spans="2:9" x14ac:dyDescent="0.2">
      <c r="B49" s="24" t="s">
        <v>184</v>
      </c>
      <c r="C49" s="24" t="s">
        <v>185</v>
      </c>
      <c r="D49" s="24" t="s">
        <v>24</v>
      </c>
      <c r="E49" s="28">
        <v>4000</v>
      </c>
      <c r="F49" s="25">
        <v>19993.62</v>
      </c>
      <c r="G49" s="26">
        <v>2.9021633158350699</v>
      </c>
      <c r="H49" s="27">
        <v>5.8236000000000003E-2</v>
      </c>
      <c r="I49" s="29"/>
    </row>
    <row r="50" spans="2:9" x14ac:dyDescent="0.2">
      <c r="B50" s="24" t="s">
        <v>186</v>
      </c>
      <c r="C50" s="24" t="s">
        <v>187</v>
      </c>
      <c r="D50" s="24" t="s">
        <v>24</v>
      </c>
      <c r="E50" s="28">
        <v>4000</v>
      </c>
      <c r="F50" s="25">
        <v>19761.82</v>
      </c>
      <c r="G50" s="26">
        <v>2.86851650967338</v>
      </c>
      <c r="H50" s="27">
        <v>6.1101999999999997E-2</v>
      </c>
      <c r="I50" s="29"/>
    </row>
    <row r="51" spans="2:9" x14ac:dyDescent="0.2">
      <c r="B51" s="24" t="s">
        <v>188</v>
      </c>
      <c r="C51" s="24" t="s">
        <v>189</v>
      </c>
      <c r="D51" s="24" t="s">
        <v>24</v>
      </c>
      <c r="E51" s="28">
        <v>3500</v>
      </c>
      <c r="F51" s="25">
        <v>17450.09</v>
      </c>
      <c r="G51" s="26">
        <v>2.5329585665837602</v>
      </c>
      <c r="H51" s="27">
        <v>6.5246999999999999E-2</v>
      </c>
      <c r="I51" s="29"/>
    </row>
    <row r="52" spans="2:9" x14ac:dyDescent="0.2">
      <c r="B52" s="24" t="s">
        <v>190</v>
      </c>
      <c r="C52" s="24" t="s">
        <v>191</v>
      </c>
      <c r="D52" s="24" t="s">
        <v>24</v>
      </c>
      <c r="E52" s="28">
        <v>3500</v>
      </c>
      <c r="F52" s="25">
        <v>17447.237499999999</v>
      </c>
      <c r="G52" s="26">
        <v>2.5325445134578901</v>
      </c>
      <c r="H52" s="27">
        <v>6.4939999999999998E-2</v>
      </c>
      <c r="I52" s="29"/>
    </row>
    <row r="53" spans="2:9" x14ac:dyDescent="0.2">
      <c r="B53" s="24" t="s">
        <v>192</v>
      </c>
      <c r="C53" s="24" t="s">
        <v>193</v>
      </c>
      <c r="D53" s="24" t="s">
        <v>24</v>
      </c>
      <c r="E53" s="28">
        <v>3000</v>
      </c>
      <c r="F53" s="25">
        <v>14975.865</v>
      </c>
      <c r="G53" s="26">
        <v>2.17381374788049</v>
      </c>
      <c r="H53" s="27">
        <v>5.8840999999999997E-2</v>
      </c>
      <c r="I53" s="29"/>
    </row>
    <row r="54" spans="2:9" x14ac:dyDescent="0.2">
      <c r="B54" s="24" t="s">
        <v>194</v>
      </c>
      <c r="C54" s="24" t="s">
        <v>195</v>
      </c>
      <c r="D54" s="24" t="s">
        <v>24</v>
      </c>
      <c r="E54" s="28">
        <v>2600</v>
      </c>
      <c r="F54" s="25">
        <v>12935.546</v>
      </c>
      <c r="G54" s="26">
        <v>1.8776523246664201</v>
      </c>
      <c r="H54" s="27">
        <v>6.4952999999999997E-2</v>
      </c>
      <c r="I54" s="29"/>
    </row>
    <row r="55" spans="2:9" x14ac:dyDescent="0.2">
      <c r="B55" s="24" t="s">
        <v>196</v>
      </c>
      <c r="C55" s="24" t="s">
        <v>197</v>
      </c>
      <c r="D55" s="24" t="s">
        <v>24</v>
      </c>
      <c r="E55" s="28">
        <v>2000</v>
      </c>
      <c r="F55" s="25">
        <v>9973.2800000000007</v>
      </c>
      <c r="G55" s="26">
        <v>1.4476661732368401</v>
      </c>
      <c r="H55" s="27">
        <v>6.5193000000000001E-2</v>
      </c>
      <c r="I55" s="29"/>
    </row>
    <row r="56" spans="2:9" x14ac:dyDescent="0.2">
      <c r="B56" s="24" t="s">
        <v>198</v>
      </c>
      <c r="C56" s="24" t="s">
        <v>199</v>
      </c>
      <c r="D56" s="24" t="s">
        <v>24</v>
      </c>
      <c r="E56" s="28">
        <v>2000</v>
      </c>
      <c r="F56" s="25">
        <v>9880.39</v>
      </c>
      <c r="G56" s="26">
        <v>1.43418277451225</v>
      </c>
      <c r="H56" s="27">
        <v>6.5948999999999994E-2</v>
      </c>
      <c r="I56" s="29"/>
    </row>
    <row r="57" spans="2:9" x14ac:dyDescent="0.2">
      <c r="B57" s="24" t="s">
        <v>200</v>
      </c>
      <c r="C57" s="24" t="s">
        <v>201</v>
      </c>
      <c r="D57" s="24" t="s">
        <v>27</v>
      </c>
      <c r="E57" s="28">
        <v>2000</v>
      </c>
      <c r="F57" s="25">
        <v>9874.83</v>
      </c>
      <c r="G57" s="26">
        <v>1.4333757156586799</v>
      </c>
      <c r="H57" s="27">
        <v>6.2523999999999996E-2</v>
      </c>
      <c r="I57" s="29"/>
    </row>
    <row r="58" spans="2:9" x14ac:dyDescent="0.2">
      <c r="B58" s="24" t="s">
        <v>202</v>
      </c>
      <c r="C58" s="24" t="s">
        <v>203</v>
      </c>
      <c r="D58" s="24" t="s">
        <v>24</v>
      </c>
      <c r="E58" s="28">
        <v>2000</v>
      </c>
      <c r="F58" s="25">
        <v>9873.4500000000007</v>
      </c>
      <c r="G58" s="26">
        <v>1.4331754024899801</v>
      </c>
      <c r="H58" s="27">
        <v>5.9219000000000001E-2</v>
      </c>
      <c r="I58" s="29"/>
    </row>
    <row r="59" spans="2:9" x14ac:dyDescent="0.2">
      <c r="B59" s="24" t="s">
        <v>204</v>
      </c>
      <c r="C59" s="24" t="s">
        <v>205</v>
      </c>
      <c r="D59" s="24" t="s">
        <v>24</v>
      </c>
      <c r="E59" s="28">
        <v>2000</v>
      </c>
      <c r="F59" s="25">
        <v>9864.2099999999991</v>
      </c>
      <c r="G59" s="26">
        <v>1.43183417518656</v>
      </c>
      <c r="H59" s="27">
        <v>6.7900000000000002E-2</v>
      </c>
      <c r="I59" s="29"/>
    </row>
    <row r="60" spans="2:9" x14ac:dyDescent="0.2">
      <c r="B60" s="24" t="s">
        <v>206</v>
      </c>
      <c r="C60" s="24" t="s">
        <v>207</v>
      </c>
      <c r="D60" s="24" t="s">
        <v>24</v>
      </c>
      <c r="E60" s="28">
        <v>1000</v>
      </c>
      <c r="F60" s="25">
        <v>4992.3549999999996</v>
      </c>
      <c r="G60" s="26">
        <v>0.72466264441485795</v>
      </c>
      <c r="H60" s="27">
        <v>6.2103999999999999E-2</v>
      </c>
      <c r="I60" s="29"/>
    </row>
    <row r="61" spans="2:9" x14ac:dyDescent="0.2">
      <c r="B61" s="24" t="s">
        <v>208</v>
      </c>
      <c r="C61" s="24" t="s">
        <v>209</v>
      </c>
      <c r="D61" s="24" t="s">
        <v>24</v>
      </c>
      <c r="E61" s="28">
        <v>1000</v>
      </c>
      <c r="F61" s="25">
        <v>4986.085</v>
      </c>
      <c r="G61" s="26">
        <v>0.72375252588753403</v>
      </c>
      <c r="H61" s="27">
        <v>6.3663999999999998E-2</v>
      </c>
      <c r="I61" s="29"/>
    </row>
    <row r="62" spans="2:9" x14ac:dyDescent="0.2">
      <c r="B62" s="24" t="s">
        <v>210</v>
      </c>
      <c r="C62" s="24" t="s">
        <v>211</v>
      </c>
      <c r="D62" s="24" t="s">
        <v>24</v>
      </c>
      <c r="E62" s="28">
        <v>1000</v>
      </c>
      <c r="F62" s="25">
        <v>4922.5</v>
      </c>
      <c r="G62" s="26">
        <v>0.71452287890827904</v>
      </c>
      <c r="H62" s="27">
        <v>6.5301999999999999E-2</v>
      </c>
      <c r="I62" s="29"/>
    </row>
    <row r="63" spans="2:9" x14ac:dyDescent="0.2">
      <c r="B63" s="24" t="s">
        <v>212</v>
      </c>
      <c r="C63" s="24" t="s">
        <v>213</v>
      </c>
      <c r="D63" s="24" t="s">
        <v>24</v>
      </c>
      <c r="E63" s="28">
        <v>500</v>
      </c>
      <c r="F63" s="25">
        <v>2498.7249999999999</v>
      </c>
      <c r="G63" s="26">
        <v>0.36270110321992699</v>
      </c>
      <c r="H63" s="27">
        <v>6.2081999999999998E-2</v>
      </c>
      <c r="I63" s="29"/>
    </row>
    <row r="64" spans="2:9" x14ac:dyDescent="0.2">
      <c r="B64" s="24" t="s">
        <v>214</v>
      </c>
      <c r="C64" s="24" t="s">
        <v>215</v>
      </c>
      <c r="D64" s="24" t="s">
        <v>27</v>
      </c>
      <c r="E64" s="28">
        <v>500</v>
      </c>
      <c r="F64" s="25">
        <v>2470.4124999999999</v>
      </c>
      <c r="G64" s="26">
        <v>0.35859141728613497</v>
      </c>
      <c r="H64" s="27">
        <v>6.5249000000000001E-2</v>
      </c>
      <c r="I64" s="29"/>
    </row>
    <row r="65" spans="2:9" x14ac:dyDescent="0.2">
      <c r="B65" s="23" t="s">
        <v>56</v>
      </c>
      <c r="C65" s="23"/>
      <c r="D65" s="23"/>
      <c r="E65" s="23"/>
      <c r="F65" s="30">
        <f>SUM(F47:F64)</f>
        <v>206721.42600000004</v>
      </c>
      <c r="G65" s="31">
        <f>SUM(G47:G64)</f>
        <v>30.006539042670319</v>
      </c>
      <c r="H65" s="32"/>
      <c r="I65" s="32"/>
    </row>
    <row r="66" spans="2:9" x14ac:dyDescent="0.2">
      <c r="B66" s="23" t="s">
        <v>74</v>
      </c>
      <c r="C66" s="24"/>
      <c r="D66" s="24"/>
      <c r="E66" s="24"/>
      <c r="F66" s="25"/>
      <c r="G66" s="26"/>
      <c r="H66" s="27"/>
      <c r="I66" s="27"/>
    </row>
    <row r="67" spans="2:9" x14ac:dyDescent="0.2">
      <c r="B67" s="24" t="s">
        <v>216</v>
      </c>
      <c r="C67" s="24" t="s">
        <v>217</v>
      </c>
      <c r="D67" s="24" t="s">
        <v>85</v>
      </c>
      <c r="E67" s="28">
        <v>59000000</v>
      </c>
      <c r="F67" s="25">
        <v>58551.245999999999</v>
      </c>
      <c r="G67" s="26">
        <v>8.4989750849338392</v>
      </c>
      <c r="H67" s="27">
        <v>5.3796999999999998E-2</v>
      </c>
      <c r="I67" s="29"/>
    </row>
    <row r="68" spans="2:9" x14ac:dyDescent="0.2">
      <c r="B68" s="24" t="s">
        <v>218</v>
      </c>
      <c r="C68" s="24" t="s">
        <v>219</v>
      </c>
      <c r="D68" s="24" t="s">
        <v>85</v>
      </c>
      <c r="E68" s="28">
        <v>32000000</v>
      </c>
      <c r="F68" s="25">
        <v>31850.592000000001</v>
      </c>
      <c r="G68" s="26">
        <v>4.6232558031026896</v>
      </c>
      <c r="H68" s="27">
        <v>5.3505999999999998E-2</v>
      </c>
      <c r="I68" s="29"/>
    </row>
    <row r="69" spans="2:9" x14ac:dyDescent="0.2">
      <c r="B69" s="24" t="s">
        <v>220</v>
      </c>
      <c r="C69" s="24" t="s">
        <v>221</v>
      </c>
      <c r="D69" s="24" t="s">
        <v>85</v>
      </c>
      <c r="E69" s="28">
        <v>16500000</v>
      </c>
      <c r="F69" s="25">
        <v>16372.1085</v>
      </c>
      <c r="G69" s="26">
        <v>2.37648473320847</v>
      </c>
      <c r="H69" s="27">
        <v>5.3796999999999998E-2</v>
      </c>
      <c r="I69" s="29"/>
    </row>
    <row r="70" spans="2:9" x14ac:dyDescent="0.2">
      <c r="B70" s="24" t="s">
        <v>222</v>
      </c>
      <c r="C70" s="24" t="s">
        <v>223</v>
      </c>
      <c r="D70" s="24" t="s">
        <v>85</v>
      </c>
      <c r="E70" s="28">
        <v>7500000</v>
      </c>
      <c r="F70" s="25">
        <v>7450.7624999999998</v>
      </c>
      <c r="G70" s="26">
        <v>1.08151148228783</v>
      </c>
      <c r="H70" s="27">
        <v>5.3601000000000003E-2</v>
      </c>
      <c r="I70" s="29"/>
    </row>
    <row r="71" spans="2:9" x14ac:dyDescent="0.2">
      <c r="B71" s="24" t="s">
        <v>224</v>
      </c>
      <c r="C71" s="24" t="s">
        <v>225</v>
      </c>
      <c r="D71" s="24" t="s">
        <v>85</v>
      </c>
      <c r="E71" s="28">
        <v>5000000</v>
      </c>
      <c r="F71" s="25">
        <v>4982.8649999999998</v>
      </c>
      <c r="G71" s="26">
        <v>0.72328512849391602</v>
      </c>
      <c r="H71" s="27">
        <v>5.2297999999999997E-2</v>
      </c>
      <c r="I71" s="29"/>
    </row>
    <row r="72" spans="2:9" x14ac:dyDescent="0.2">
      <c r="B72" s="24" t="s">
        <v>226</v>
      </c>
      <c r="C72" s="24" t="s">
        <v>227</v>
      </c>
      <c r="D72" s="24" t="s">
        <v>85</v>
      </c>
      <c r="E72" s="28">
        <v>500000</v>
      </c>
      <c r="F72" s="25">
        <v>494.75099999999998</v>
      </c>
      <c r="G72" s="26">
        <v>7.1815319220467203E-2</v>
      </c>
      <c r="H72" s="27">
        <v>5.3046999999999997E-2</v>
      </c>
      <c r="I72" s="29"/>
    </row>
    <row r="73" spans="2:9" x14ac:dyDescent="0.2">
      <c r="B73" s="23" t="s">
        <v>56</v>
      </c>
      <c r="C73" s="23"/>
      <c r="D73" s="23"/>
      <c r="E73" s="23"/>
      <c r="F73" s="33">
        <f>SUM(F66:F72)</f>
        <v>119702.32500000001</v>
      </c>
      <c r="G73" s="34">
        <f>SUM(G66:G72)</f>
        <v>17.37532755124721</v>
      </c>
      <c r="H73" s="32"/>
      <c r="I73" s="32"/>
    </row>
    <row r="74" spans="2:9" x14ac:dyDescent="0.2">
      <c r="B74" s="35" t="s">
        <v>81</v>
      </c>
      <c r="C74" s="35"/>
      <c r="D74" s="35"/>
      <c r="E74" s="35"/>
      <c r="F74" s="36">
        <f>+F46+F65+F73</f>
        <v>661426.473</v>
      </c>
      <c r="G74" s="37">
        <f>+G46+G65+G73</f>
        <v>96.009009177066275</v>
      </c>
      <c r="H74" s="32"/>
      <c r="I74" s="32"/>
    </row>
    <row r="75" spans="2:9" x14ac:dyDescent="0.2">
      <c r="B75" s="23" t="s">
        <v>82</v>
      </c>
      <c r="C75" s="24"/>
      <c r="D75" s="24"/>
      <c r="E75" s="24"/>
      <c r="F75" s="25"/>
      <c r="G75" s="26"/>
      <c r="H75" s="27"/>
      <c r="I75" s="27"/>
    </row>
    <row r="76" spans="2:9" x14ac:dyDescent="0.2">
      <c r="B76" s="24" t="s">
        <v>228</v>
      </c>
      <c r="C76" s="24" t="s">
        <v>229</v>
      </c>
      <c r="D76" s="24" t="s">
        <v>85</v>
      </c>
      <c r="E76" s="28">
        <v>3500000</v>
      </c>
      <c r="F76" s="25">
        <v>3502.0614999999998</v>
      </c>
      <c r="G76" s="26">
        <v>0.50833988117701301</v>
      </c>
      <c r="H76" s="27">
        <v>5.4199999999999998E-2</v>
      </c>
      <c r="I76" s="29"/>
    </row>
    <row r="77" spans="2:9" x14ac:dyDescent="0.2">
      <c r="B77" s="24" t="s">
        <v>230</v>
      </c>
      <c r="C77" s="24" t="s">
        <v>231</v>
      </c>
      <c r="D77" s="24" t="s">
        <v>85</v>
      </c>
      <c r="E77" s="28">
        <v>1522000</v>
      </c>
      <c r="F77" s="25">
        <v>1528.3147779999999</v>
      </c>
      <c r="G77" s="26">
        <v>0.22184172169723201</v>
      </c>
      <c r="H77" s="27">
        <v>5.4899999999999997E-2</v>
      </c>
      <c r="I77" s="29"/>
    </row>
    <row r="78" spans="2:9" x14ac:dyDescent="0.2">
      <c r="B78" s="24" t="s">
        <v>232</v>
      </c>
      <c r="C78" s="24" t="s">
        <v>233</v>
      </c>
      <c r="D78" s="24" t="s">
        <v>85</v>
      </c>
      <c r="E78" s="28">
        <v>650000</v>
      </c>
      <c r="F78" s="25">
        <v>651.08095000000003</v>
      </c>
      <c r="G78" s="26">
        <v>9.4507310268428096E-2</v>
      </c>
      <c r="H78" s="27">
        <v>5.4199999999999998E-2</v>
      </c>
      <c r="I78" s="29"/>
    </row>
    <row r="79" spans="2:9" x14ac:dyDescent="0.2">
      <c r="B79" s="24" t="s">
        <v>234</v>
      </c>
      <c r="C79" s="24" t="s">
        <v>235</v>
      </c>
      <c r="D79" s="24" t="s">
        <v>85</v>
      </c>
      <c r="E79" s="28">
        <v>540000</v>
      </c>
      <c r="F79" s="25">
        <v>542.24585999999999</v>
      </c>
      <c r="G79" s="26">
        <v>7.8709410454707002E-2</v>
      </c>
      <c r="H79" s="27">
        <v>5.5120000000000002E-2</v>
      </c>
      <c r="I79" s="29"/>
    </row>
    <row r="80" spans="2:9" x14ac:dyDescent="0.2">
      <c r="B80" s="24" t="s">
        <v>236</v>
      </c>
      <c r="C80" s="24" t="s">
        <v>237</v>
      </c>
      <c r="D80" s="24" t="s">
        <v>85</v>
      </c>
      <c r="E80" s="28">
        <v>500000</v>
      </c>
      <c r="F80" s="25">
        <v>501.48200000000003</v>
      </c>
      <c r="G80" s="26">
        <v>7.27923539584929E-2</v>
      </c>
      <c r="H80" s="27">
        <v>5.5120000000000002E-2</v>
      </c>
      <c r="I80" s="29"/>
    </row>
    <row r="81" spans="2:9" x14ac:dyDescent="0.2">
      <c r="B81" s="24" t="s">
        <v>238</v>
      </c>
      <c r="C81" s="24" t="s">
        <v>239</v>
      </c>
      <c r="D81" s="24" t="s">
        <v>85</v>
      </c>
      <c r="E81" s="28">
        <v>500000</v>
      </c>
      <c r="F81" s="25">
        <v>500.83150000000001</v>
      </c>
      <c r="G81" s="26">
        <v>7.2697930975713906E-2</v>
      </c>
      <c r="H81" s="27">
        <v>5.4199999999999998E-2</v>
      </c>
      <c r="I81" s="29"/>
    </row>
    <row r="82" spans="2:9" x14ac:dyDescent="0.2">
      <c r="B82" s="24" t="s">
        <v>240</v>
      </c>
      <c r="C82" s="24" t="s">
        <v>241</v>
      </c>
      <c r="D82" s="24" t="s">
        <v>85</v>
      </c>
      <c r="E82" s="28">
        <v>220000</v>
      </c>
      <c r="F82" s="25">
        <v>220.13023999999999</v>
      </c>
      <c r="G82" s="26">
        <v>3.1952888333076801E-2</v>
      </c>
      <c r="H82" s="27">
        <v>5.4199999999999998E-2</v>
      </c>
      <c r="I82" s="29"/>
    </row>
    <row r="83" spans="2:9" x14ac:dyDescent="0.2">
      <c r="B83" s="23" t="s">
        <v>81</v>
      </c>
      <c r="C83" s="23"/>
      <c r="D83" s="23"/>
      <c r="E83" s="23"/>
      <c r="F83" s="30">
        <f>SUM(F76:F82)</f>
        <v>7446.1468279999999</v>
      </c>
      <c r="G83" s="31">
        <f>SUM(G76:G82)</f>
        <v>1.0808414968646638</v>
      </c>
      <c r="H83" s="32"/>
      <c r="I83" s="32"/>
    </row>
    <row r="84" spans="2:9" x14ac:dyDescent="0.2">
      <c r="B84" s="23"/>
      <c r="C84" s="24"/>
      <c r="D84" s="24"/>
      <c r="E84" s="24"/>
      <c r="F84" s="25"/>
      <c r="G84" s="26"/>
      <c r="H84" s="27"/>
      <c r="I84" s="27"/>
    </row>
    <row r="85" spans="2:9" x14ac:dyDescent="0.2">
      <c r="B85" s="23" t="s">
        <v>86</v>
      </c>
      <c r="C85" s="23"/>
      <c r="D85" s="23"/>
      <c r="E85" s="23"/>
      <c r="F85" s="30">
        <v>31075.295393799999</v>
      </c>
      <c r="G85" s="31">
        <v>4.51071803508444</v>
      </c>
      <c r="H85" s="38">
        <v>5.305E-2</v>
      </c>
      <c r="I85" s="38"/>
    </row>
    <row r="86" spans="2:9" x14ac:dyDescent="0.2">
      <c r="B86" s="24"/>
      <c r="C86" s="24"/>
      <c r="D86" s="24"/>
      <c r="E86" s="24"/>
      <c r="F86" s="25"/>
      <c r="G86" s="26"/>
      <c r="H86" s="27"/>
      <c r="I86" s="27"/>
    </row>
    <row r="87" spans="2:9" x14ac:dyDescent="0.2">
      <c r="B87" s="23" t="s">
        <v>104</v>
      </c>
      <c r="C87" s="24"/>
      <c r="D87" s="24"/>
      <c r="E87" s="24"/>
      <c r="F87" s="25"/>
      <c r="G87" s="26"/>
      <c r="H87" s="27"/>
      <c r="I87" s="27"/>
    </row>
    <row r="88" spans="2:9" x14ac:dyDescent="0.2">
      <c r="B88" s="24" t="s">
        <v>105</v>
      </c>
      <c r="C88" s="24"/>
      <c r="D88" s="24"/>
      <c r="E88" s="24"/>
      <c r="F88" s="25">
        <v>9574.1633333000009</v>
      </c>
      <c r="G88" s="26">
        <v>1.3897326049868199</v>
      </c>
      <c r="H88" s="27">
        <v>5.6300000000000003E-2</v>
      </c>
      <c r="I88" s="27"/>
    </row>
    <row r="89" spans="2:9" x14ac:dyDescent="0.2">
      <c r="B89" s="23" t="s">
        <v>81</v>
      </c>
      <c r="C89" s="23"/>
      <c r="D89" s="23"/>
      <c r="E89" s="23"/>
      <c r="F89" s="30">
        <v>9574.1633333000009</v>
      </c>
      <c r="G89" s="31">
        <v>1.3897326049868199</v>
      </c>
      <c r="H89" s="27"/>
      <c r="I89" s="27"/>
    </row>
    <row r="90" spans="2:9" x14ac:dyDescent="0.2">
      <c r="B90" s="24"/>
      <c r="C90" s="24"/>
      <c r="D90" s="24"/>
      <c r="E90" s="24"/>
      <c r="F90" s="25"/>
      <c r="G90" s="26"/>
      <c r="H90" s="27"/>
      <c r="I90" s="27"/>
    </row>
    <row r="91" spans="2:9" x14ac:dyDescent="0.2">
      <c r="B91" s="43" t="s">
        <v>88</v>
      </c>
      <c r="C91" s="43"/>
      <c r="D91" s="43"/>
      <c r="E91" s="43"/>
      <c r="F91" s="30">
        <f>F92-(F46+F65+F73+F83+F85+F89)</f>
        <v>-20600.821405000053</v>
      </c>
      <c r="G91" s="31">
        <f>G92-(G46+G65+G73+G83+G85+G89)</f>
        <v>-2.9903013140021955</v>
      </c>
      <c r="H91" s="32"/>
      <c r="I91" s="32"/>
    </row>
    <row r="92" spans="2:9" x14ac:dyDescent="0.2">
      <c r="B92" s="39" t="s">
        <v>87</v>
      </c>
      <c r="C92" s="39"/>
      <c r="D92" s="39"/>
      <c r="E92" s="39"/>
      <c r="F92" s="40">
        <v>688921.25715009996</v>
      </c>
      <c r="G92" s="41">
        <v>100</v>
      </c>
      <c r="H92" s="42"/>
      <c r="I92" s="42"/>
    </row>
    <row r="94" spans="2:9" x14ac:dyDescent="0.2">
      <c r="B94" s="16" t="s">
        <v>90</v>
      </c>
    </row>
    <row r="95" spans="2:9" ht="40.049999999999997" customHeight="1" x14ac:dyDescent="0.2">
      <c r="B95" s="82" t="s">
        <v>91</v>
      </c>
      <c r="C95" s="82"/>
      <c r="D95" s="82"/>
      <c r="E95" s="82"/>
      <c r="F95" s="82"/>
      <c r="G95" s="82"/>
      <c r="H95" s="82"/>
      <c r="I95" s="82"/>
    </row>
    <row r="97" spans="2:5" x14ac:dyDescent="0.2">
      <c r="B97" s="16" t="s">
        <v>1354</v>
      </c>
    </row>
    <row r="98" spans="2:5" x14ac:dyDescent="0.2">
      <c r="B98" s="16"/>
      <c r="C98" s="16"/>
      <c r="D98" s="44"/>
      <c r="E98" s="16"/>
    </row>
    <row r="99" spans="2:5" x14ac:dyDescent="0.2">
      <c r="D99" s="45"/>
      <c r="E99" s="45"/>
    </row>
    <row r="118" spans="2:2" x14ac:dyDescent="0.2">
      <c r="B118" s="16" t="s">
        <v>1355</v>
      </c>
    </row>
    <row r="119" spans="2:2" x14ac:dyDescent="0.2">
      <c r="B119" s="16" t="s">
        <v>1358</v>
      </c>
    </row>
  </sheetData>
  <mergeCells count="2">
    <mergeCell ref="B1:C1"/>
    <mergeCell ref="B95:I95"/>
  </mergeCells>
  <conditionalFormatting sqref="G1:G3 G5:G94 G96:G138">
    <cfRule type="cellIs" dxfId="8" priority="2" stopIfTrue="1" operator="between">
      <formula>0.009</formula>
      <formula>-0.009</formula>
    </cfRule>
  </conditionalFormatting>
  <hyperlinks>
    <hyperlink ref="A2" location="JBLF!A1" display="-" xr:uid="{87E64458-4E6E-4097-8871-075A012D3D85}"/>
  </hyperlinks>
  <pageMargins left="0.7" right="0.7" top="0.75" bottom="0.75" header="0.3" footer="0.3"/>
  <pageSetup paperSize="9" scale="47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532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34E8D-8808-4795-AC64-DB99B6D90E7E}">
  <dimension ref="A1:K39"/>
  <sheetViews>
    <sheetView view="pageBreakPreview" zoomScaleNormal="100" zoomScaleSheetLayoutView="100" workbookViewId="0">
      <selection activeCell="B1" sqref="B1:C1"/>
    </sheetView>
  </sheetViews>
  <sheetFormatPr defaultColWidth="9.21875" defaultRowHeight="10.199999999999999" x14ac:dyDescent="0.2"/>
  <cols>
    <col min="1" max="1" width="7.21875" style="6" customWidth="1"/>
    <col min="2" max="2" width="52.77734375" style="6" bestFit="1" customWidth="1"/>
    <col min="3" max="3" width="10.21875" style="6" bestFit="1" customWidth="1"/>
    <col min="4" max="5" width="13.77734375" style="6" bestFit="1" customWidth="1"/>
    <col min="6" max="6" width="12.77734375" style="8" bestFit="1" customWidth="1"/>
    <col min="7" max="7" width="12.21875" style="14" customWidth="1"/>
    <col min="8" max="8" width="11.77734375" style="11" bestFit="1" customWidth="1"/>
    <col min="9" max="9" width="10.21875" style="11" bestFit="1" customWidth="1"/>
    <col min="10" max="10" width="25.77734375" style="6" customWidth="1"/>
    <col min="11" max="16384" width="9.21875" style="6"/>
  </cols>
  <sheetData>
    <row r="1" spans="1:11" s="1" customFormat="1" ht="16.8" customHeight="1" x14ac:dyDescent="0.25">
      <c r="B1" s="80" t="s">
        <v>13</v>
      </c>
      <c r="C1" s="81"/>
      <c r="D1" s="10"/>
      <c r="F1" s="5"/>
      <c r="G1" s="14"/>
      <c r="H1" s="11"/>
      <c r="I1" s="12"/>
    </row>
    <row r="2" spans="1:11" s="1" customFormat="1" ht="14.4" x14ac:dyDescent="0.3">
      <c r="A2" s="59" t="s">
        <v>1372</v>
      </c>
      <c r="F2" s="5"/>
      <c r="G2" s="14"/>
      <c r="H2" s="11"/>
      <c r="I2" s="12"/>
    </row>
    <row r="3" spans="1:11" s="1" customFormat="1" ht="12" x14ac:dyDescent="0.2">
      <c r="B3" s="7" t="s">
        <v>9</v>
      </c>
      <c r="C3" s="2"/>
      <c r="D3" s="3"/>
      <c r="E3" s="3"/>
      <c r="F3" s="4"/>
      <c r="G3" s="14"/>
      <c r="H3" s="11"/>
      <c r="I3" s="12"/>
    </row>
    <row r="4" spans="1:11" s="1" customFormat="1" ht="30.6" x14ac:dyDescent="0.2">
      <c r="B4" s="18" t="s">
        <v>7</v>
      </c>
      <c r="C4" s="18" t="s">
        <v>8</v>
      </c>
      <c r="D4" s="19" t="s">
        <v>89</v>
      </c>
      <c r="E4" s="19" t="s">
        <v>0</v>
      </c>
      <c r="F4" s="20" t="s">
        <v>4</v>
      </c>
      <c r="G4" s="21" t="s">
        <v>5</v>
      </c>
      <c r="H4" s="22" t="s">
        <v>6</v>
      </c>
      <c r="I4" s="22" t="s">
        <v>19</v>
      </c>
      <c r="J4" s="13"/>
      <c r="K4" s="9"/>
    </row>
    <row r="5" spans="1:11" x14ac:dyDescent="0.2">
      <c r="B5" s="23" t="s">
        <v>82</v>
      </c>
      <c r="C5" s="24"/>
      <c r="D5" s="24"/>
      <c r="E5" s="24"/>
      <c r="F5" s="25"/>
      <c r="G5" s="26"/>
      <c r="H5" s="27"/>
      <c r="I5" s="27"/>
    </row>
    <row r="6" spans="1:11" x14ac:dyDescent="0.2">
      <c r="B6" s="24" t="s">
        <v>242</v>
      </c>
      <c r="C6" s="24" t="s">
        <v>243</v>
      </c>
      <c r="D6" s="24" t="s">
        <v>85</v>
      </c>
      <c r="E6" s="28">
        <v>1497000</v>
      </c>
      <c r="F6" s="25">
        <v>1474.672245</v>
      </c>
      <c r="G6" s="26">
        <v>54.625318954524403</v>
      </c>
      <c r="H6" s="27">
        <v>6.65062337620001E-2</v>
      </c>
      <c r="I6" s="29"/>
    </row>
    <row r="7" spans="1:11" x14ac:dyDescent="0.2">
      <c r="B7" s="24" t="s">
        <v>244</v>
      </c>
      <c r="C7" s="24" t="s">
        <v>245</v>
      </c>
      <c r="D7" s="24" t="s">
        <v>85</v>
      </c>
      <c r="E7" s="28">
        <v>700000</v>
      </c>
      <c r="F7" s="25">
        <v>709.39750000000004</v>
      </c>
      <c r="G7" s="26">
        <v>26.277747366868098</v>
      </c>
      <c r="H7" s="27">
        <v>6.6941143056124905E-2</v>
      </c>
      <c r="I7" s="29"/>
    </row>
    <row r="8" spans="1:11" x14ac:dyDescent="0.2">
      <c r="B8" s="24" t="s">
        <v>246</v>
      </c>
      <c r="C8" s="24" t="s">
        <v>247</v>
      </c>
      <c r="D8" s="24" t="s">
        <v>85</v>
      </c>
      <c r="E8" s="28">
        <v>483100</v>
      </c>
      <c r="F8" s="25">
        <v>482.27969619999999</v>
      </c>
      <c r="G8" s="26">
        <v>17.864771185285399</v>
      </c>
      <c r="H8" s="27">
        <v>6.6077966305125094E-2</v>
      </c>
      <c r="I8" s="29"/>
    </row>
    <row r="9" spans="1:11" x14ac:dyDescent="0.2">
      <c r="B9" s="23" t="s">
        <v>81</v>
      </c>
      <c r="C9" s="23"/>
      <c r="D9" s="23"/>
      <c r="E9" s="23"/>
      <c r="F9" s="30">
        <f>SUM(F6:F8)</f>
        <v>2666.3494412</v>
      </c>
      <c r="G9" s="31">
        <f>SUM(G6:G8)</f>
        <v>98.767837506677893</v>
      </c>
      <c r="H9" s="32"/>
      <c r="I9" s="32"/>
    </row>
    <row r="10" spans="1:11" x14ac:dyDescent="0.2">
      <c r="B10" s="23"/>
      <c r="C10" s="24"/>
      <c r="D10" s="24"/>
      <c r="E10" s="24"/>
      <c r="F10" s="25"/>
      <c r="G10" s="26"/>
      <c r="H10" s="27"/>
      <c r="I10" s="27"/>
    </row>
    <row r="11" spans="1:11" x14ac:dyDescent="0.2">
      <c r="B11" s="23" t="s">
        <v>86</v>
      </c>
      <c r="C11" s="23"/>
      <c r="D11" s="23"/>
      <c r="E11" s="23"/>
      <c r="F11" s="30">
        <v>38.815051599999997</v>
      </c>
      <c r="G11" s="31">
        <v>1.4378005560729401</v>
      </c>
      <c r="H11" s="38">
        <v>5.305E-2</v>
      </c>
      <c r="I11" s="38"/>
    </row>
    <row r="12" spans="1:11" x14ac:dyDescent="0.2">
      <c r="B12" s="24"/>
      <c r="C12" s="24"/>
      <c r="D12" s="24"/>
      <c r="E12" s="24"/>
      <c r="F12" s="25"/>
      <c r="G12" s="26"/>
      <c r="H12" s="27"/>
      <c r="I12" s="27"/>
    </row>
    <row r="13" spans="1:11" x14ac:dyDescent="0.2">
      <c r="B13" s="43" t="s">
        <v>88</v>
      </c>
      <c r="C13" s="43"/>
      <c r="D13" s="43"/>
      <c r="E13" s="43"/>
      <c r="F13" s="30">
        <f>F14-(F9+F11)</f>
        <v>-5.5514320000002044</v>
      </c>
      <c r="G13" s="31">
        <f>G14-(G9+G11)</f>
        <v>-0.20563806275083607</v>
      </c>
      <c r="H13" s="32"/>
      <c r="I13" s="32"/>
    </row>
    <row r="14" spans="1:11" x14ac:dyDescent="0.2">
      <c r="B14" s="39" t="s">
        <v>87</v>
      </c>
      <c r="C14" s="39"/>
      <c r="D14" s="39"/>
      <c r="E14" s="39"/>
      <c r="F14" s="40">
        <v>2699.6130607999999</v>
      </c>
      <c r="G14" s="41">
        <v>100</v>
      </c>
      <c r="H14" s="42"/>
      <c r="I14" s="42"/>
    </row>
    <row r="16" spans="1:11" ht="40.049999999999997" customHeight="1" x14ac:dyDescent="0.2">
      <c r="B16" s="82" t="s">
        <v>91</v>
      </c>
      <c r="C16" s="82"/>
      <c r="D16" s="82"/>
      <c r="E16" s="82"/>
      <c r="F16" s="82"/>
      <c r="G16" s="82"/>
      <c r="H16" s="82"/>
      <c r="I16" s="82"/>
    </row>
    <row r="17" spans="2:9" ht="12" customHeight="1" x14ac:dyDescent="0.2">
      <c r="B17" s="62"/>
      <c r="C17" s="62"/>
      <c r="D17" s="62"/>
      <c r="E17" s="62"/>
      <c r="F17" s="62"/>
      <c r="G17" s="62"/>
      <c r="H17" s="62"/>
      <c r="I17" s="62"/>
    </row>
    <row r="18" spans="2:9" ht="12" customHeight="1" x14ac:dyDescent="0.2">
      <c r="B18" s="79" t="s">
        <v>1382</v>
      </c>
      <c r="C18" s="62"/>
      <c r="D18" s="62"/>
      <c r="E18" s="62"/>
      <c r="F18" s="62"/>
      <c r="G18" s="62"/>
      <c r="H18" s="62"/>
      <c r="I18" s="62"/>
    </row>
    <row r="19" spans="2:9" ht="12.6" customHeight="1" x14ac:dyDescent="0.2">
      <c r="B19" s="62"/>
      <c r="C19" s="62"/>
      <c r="D19" s="62"/>
      <c r="E19" s="62"/>
      <c r="F19" s="62"/>
      <c r="G19" s="62"/>
      <c r="H19" s="62"/>
      <c r="I19" s="62"/>
    </row>
    <row r="20" spans="2:9" x14ac:dyDescent="0.2">
      <c r="B20" s="16" t="s">
        <v>93</v>
      </c>
    </row>
    <row r="38" spans="2:2" x14ac:dyDescent="0.2">
      <c r="B38" s="16" t="s">
        <v>1355</v>
      </c>
    </row>
    <row r="39" spans="2:2" x14ac:dyDescent="0.2">
      <c r="B39" s="16" t="s">
        <v>1359</v>
      </c>
    </row>
  </sheetData>
  <mergeCells count="2">
    <mergeCell ref="B1:C1"/>
    <mergeCell ref="B16:I16"/>
  </mergeCells>
  <conditionalFormatting sqref="G1:G3 G5:G15 G20:G58">
    <cfRule type="cellIs" dxfId="7" priority="2" stopIfTrue="1" operator="between">
      <formula>0.009</formula>
      <formula>-0.009</formula>
    </cfRule>
  </conditionalFormatting>
  <hyperlinks>
    <hyperlink ref="A2" location="'JBN8-13'!A1" display="-" xr:uid="{F78402DB-82AF-46C2-9969-2EF6110844C2}"/>
  </hyperlinks>
  <pageMargins left="0.7" right="0.7" top="0.75" bottom="0.75" header="0.3" footer="0.3"/>
  <pageSetup paperSize="9" scale="63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34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10F47-B25D-4BF0-824C-DCB8D254DBBA}">
  <dimension ref="A1:J101"/>
  <sheetViews>
    <sheetView view="pageBreakPreview" zoomScaleNormal="100" zoomScaleSheetLayoutView="100" workbookViewId="0">
      <selection activeCell="B1" sqref="B1:C1"/>
    </sheetView>
  </sheetViews>
  <sheetFormatPr defaultColWidth="9.21875" defaultRowHeight="10.199999999999999" x14ac:dyDescent="0.2"/>
  <cols>
    <col min="1" max="1" width="7.21875" style="6" customWidth="1"/>
    <col min="2" max="2" width="52.77734375" style="6" bestFit="1" customWidth="1"/>
    <col min="3" max="3" width="11" style="6" bestFit="1" customWidth="1"/>
    <col min="4" max="4" width="23" style="6" bestFit="1" customWidth="1"/>
    <col min="5" max="5" width="13.77734375" style="6" bestFit="1" customWidth="1"/>
    <col min="6" max="6" width="13.44140625" style="8" bestFit="1" customWidth="1"/>
    <col min="7" max="7" width="6.77734375" style="14" bestFit="1" customWidth="1"/>
    <col min="8" max="8" width="11.77734375" style="11" bestFit="1" customWidth="1"/>
    <col min="9" max="9" width="25.77734375" style="6" customWidth="1"/>
    <col min="10" max="16384" width="9.21875" style="6"/>
  </cols>
  <sheetData>
    <row r="1" spans="1:10" s="1" customFormat="1" ht="16.8" customHeight="1" x14ac:dyDescent="0.25">
      <c r="B1" s="80" t="s">
        <v>14</v>
      </c>
      <c r="C1" s="81"/>
      <c r="D1" s="10"/>
      <c r="F1" s="5"/>
      <c r="G1" s="14"/>
      <c r="H1" s="12"/>
    </row>
    <row r="2" spans="1:10" s="1" customFormat="1" ht="14.4" x14ac:dyDescent="0.3">
      <c r="A2" s="59" t="s">
        <v>1372</v>
      </c>
      <c r="F2" s="5"/>
      <c r="G2" s="14"/>
      <c r="H2" s="12"/>
    </row>
    <row r="3" spans="1:10" s="1" customFormat="1" ht="12" x14ac:dyDescent="0.2">
      <c r="B3" s="7" t="s">
        <v>9</v>
      </c>
      <c r="C3" s="2"/>
      <c r="D3" s="3"/>
      <c r="E3" s="3"/>
      <c r="F3" s="4"/>
      <c r="G3" s="14"/>
      <c r="H3" s="12"/>
    </row>
    <row r="4" spans="1:10" s="1" customFormat="1" ht="25.5" customHeight="1" x14ac:dyDescent="0.2">
      <c r="B4" s="18" t="s">
        <v>7</v>
      </c>
      <c r="C4" s="18" t="s">
        <v>8</v>
      </c>
      <c r="D4" s="19" t="s">
        <v>377</v>
      </c>
      <c r="E4" s="19" t="s">
        <v>0</v>
      </c>
      <c r="F4" s="20" t="s">
        <v>4</v>
      </c>
      <c r="G4" s="21" t="s">
        <v>5</v>
      </c>
      <c r="H4" s="22" t="s">
        <v>6</v>
      </c>
      <c r="I4" s="13"/>
      <c r="J4" s="9"/>
    </row>
    <row r="5" spans="1:10" x14ac:dyDescent="0.2">
      <c r="B5" s="23" t="s">
        <v>248</v>
      </c>
      <c r="C5" s="24"/>
      <c r="D5" s="24"/>
      <c r="E5" s="24"/>
      <c r="F5" s="25"/>
      <c r="G5" s="26"/>
      <c r="H5" s="27"/>
    </row>
    <row r="6" spans="1:10" x14ac:dyDescent="0.2">
      <c r="B6" s="23" t="s">
        <v>249</v>
      </c>
      <c r="C6" s="24"/>
      <c r="D6" s="24"/>
      <c r="E6" s="24"/>
      <c r="F6" s="25"/>
      <c r="G6" s="26"/>
      <c r="H6" s="27"/>
    </row>
    <row r="7" spans="1:10" x14ac:dyDescent="0.2">
      <c r="B7" s="24" t="s">
        <v>250</v>
      </c>
      <c r="C7" s="24" t="s">
        <v>251</v>
      </c>
      <c r="D7" s="24" t="s">
        <v>252</v>
      </c>
      <c r="E7" s="28">
        <v>193027</v>
      </c>
      <c r="F7" s="25">
        <v>1944.9400519999999</v>
      </c>
      <c r="G7" s="26">
        <v>12.8611956089605</v>
      </c>
      <c r="H7" s="27"/>
    </row>
    <row r="8" spans="1:10" x14ac:dyDescent="0.2">
      <c r="B8" s="24" t="s">
        <v>253</v>
      </c>
      <c r="C8" s="24" t="s">
        <v>254</v>
      </c>
      <c r="D8" s="24" t="s">
        <v>255</v>
      </c>
      <c r="E8" s="28">
        <v>85558</v>
      </c>
      <c r="F8" s="25">
        <v>1341.12165</v>
      </c>
      <c r="G8" s="26">
        <v>8.86835964857897</v>
      </c>
      <c r="H8" s="27"/>
    </row>
    <row r="9" spans="1:10" x14ac:dyDescent="0.2">
      <c r="B9" s="24" t="s">
        <v>256</v>
      </c>
      <c r="C9" s="24" t="s">
        <v>257</v>
      </c>
      <c r="D9" s="24" t="s">
        <v>252</v>
      </c>
      <c r="E9" s="28">
        <v>90187</v>
      </c>
      <c r="F9" s="25">
        <v>1252.5170559999999</v>
      </c>
      <c r="G9" s="26">
        <v>8.2824490370335404</v>
      </c>
      <c r="H9" s="27"/>
    </row>
    <row r="10" spans="1:10" x14ac:dyDescent="0.2">
      <c r="B10" s="24" t="s">
        <v>258</v>
      </c>
      <c r="C10" s="24" t="s">
        <v>259</v>
      </c>
      <c r="D10" s="24" t="s">
        <v>260</v>
      </c>
      <c r="E10" s="28">
        <v>34446</v>
      </c>
      <c r="F10" s="25">
        <v>723.91713600000003</v>
      </c>
      <c r="G10" s="26">
        <v>4.7870060988257501</v>
      </c>
      <c r="H10" s="27"/>
    </row>
    <row r="11" spans="1:10" x14ac:dyDescent="0.2">
      <c r="B11" s="24" t="s">
        <v>261</v>
      </c>
      <c r="C11" s="24" t="s">
        <v>262</v>
      </c>
      <c r="D11" s="24" t="s">
        <v>263</v>
      </c>
      <c r="E11" s="28">
        <v>45532</v>
      </c>
      <c r="F11" s="25">
        <v>710.34473200000002</v>
      </c>
      <c r="G11" s="26">
        <v>4.6972566268313098</v>
      </c>
      <c r="H11" s="27"/>
    </row>
    <row r="12" spans="1:10" x14ac:dyDescent="0.2">
      <c r="B12" s="24" t="s">
        <v>264</v>
      </c>
      <c r="C12" s="24" t="s">
        <v>265</v>
      </c>
      <c r="D12" s="24" t="s">
        <v>266</v>
      </c>
      <c r="E12" s="28">
        <v>14842</v>
      </c>
      <c r="F12" s="25">
        <v>604.01003200000002</v>
      </c>
      <c r="G12" s="26">
        <v>3.9941031412964598</v>
      </c>
      <c r="H12" s="27"/>
    </row>
    <row r="13" spans="1:10" x14ac:dyDescent="0.2">
      <c r="B13" s="24" t="s">
        <v>267</v>
      </c>
      <c r="C13" s="24" t="s">
        <v>268</v>
      </c>
      <c r="D13" s="24" t="s">
        <v>252</v>
      </c>
      <c r="E13" s="28">
        <v>52437</v>
      </c>
      <c r="F13" s="25">
        <v>513.35823000000005</v>
      </c>
      <c r="G13" s="26">
        <v>3.3946550726385798</v>
      </c>
      <c r="H13" s="27"/>
    </row>
    <row r="14" spans="1:10" x14ac:dyDescent="0.2">
      <c r="B14" s="24" t="s">
        <v>269</v>
      </c>
      <c r="C14" s="24" t="s">
        <v>270</v>
      </c>
      <c r="D14" s="24" t="s">
        <v>271</v>
      </c>
      <c r="E14" s="28">
        <v>121767</v>
      </c>
      <c r="F14" s="25">
        <v>492.24309749999998</v>
      </c>
      <c r="G14" s="26">
        <v>3.2550282244422202</v>
      </c>
      <c r="H14" s="27"/>
    </row>
    <row r="15" spans="1:10" x14ac:dyDescent="0.2">
      <c r="B15" s="24" t="s">
        <v>272</v>
      </c>
      <c r="C15" s="24" t="s">
        <v>273</v>
      </c>
      <c r="D15" s="24" t="s">
        <v>252</v>
      </c>
      <c r="E15" s="28">
        <v>36193</v>
      </c>
      <c r="F15" s="25">
        <v>463.16182099999997</v>
      </c>
      <c r="G15" s="26">
        <v>3.06272410419946</v>
      </c>
      <c r="H15" s="27"/>
    </row>
    <row r="16" spans="1:10" x14ac:dyDescent="0.2">
      <c r="B16" s="24" t="s">
        <v>274</v>
      </c>
      <c r="C16" s="24" t="s">
        <v>275</v>
      </c>
      <c r="D16" s="24" t="s">
        <v>276</v>
      </c>
      <c r="E16" s="28">
        <v>11201</v>
      </c>
      <c r="F16" s="25">
        <v>420.85517299999998</v>
      </c>
      <c r="G16" s="26">
        <v>2.7829653142419399</v>
      </c>
      <c r="H16" s="27"/>
    </row>
    <row r="17" spans="2:8" x14ac:dyDescent="0.2">
      <c r="B17" s="24" t="s">
        <v>277</v>
      </c>
      <c r="C17" s="24" t="s">
        <v>278</v>
      </c>
      <c r="D17" s="24" t="s">
        <v>263</v>
      </c>
      <c r="E17" s="28">
        <v>12908</v>
      </c>
      <c r="F17" s="25">
        <v>404.98849999999999</v>
      </c>
      <c r="G17" s="26">
        <v>2.6780446587664302</v>
      </c>
      <c r="H17" s="27"/>
    </row>
    <row r="18" spans="2:8" x14ac:dyDescent="0.2">
      <c r="B18" s="24" t="s">
        <v>279</v>
      </c>
      <c r="C18" s="24" t="s">
        <v>280</v>
      </c>
      <c r="D18" s="24" t="s">
        <v>252</v>
      </c>
      <c r="E18" s="28">
        <v>18586</v>
      </c>
      <c r="F18" s="25">
        <v>394.84098399999999</v>
      </c>
      <c r="G18" s="26">
        <v>2.6109427508763399</v>
      </c>
      <c r="H18" s="27"/>
    </row>
    <row r="19" spans="2:8" x14ac:dyDescent="0.2">
      <c r="B19" s="24" t="s">
        <v>281</v>
      </c>
      <c r="C19" s="24" t="s">
        <v>282</v>
      </c>
      <c r="D19" s="24" t="s">
        <v>283</v>
      </c>
      <c r="E19" s="28">
        <v>33626</v>
      </c>
      <c r="F19" s="25">
        <v>348.86975000000001</v>
      </c>
      <c r="G19" s="26">
        <v>2.3069513593415101</v>
      </c>
      <c r="H19" s="27"/>
    </row>
    <row r="20" spans="2:8" x14ac:dyDescent="0.2">
      <c r="B20" s="24" t="s">
        <v>284</v>
      </c>
      <c r="C20" s="24" t="s">
        <v>285</v>
      </c>
      <c r="D20" s="24" t="s">
        <v>271</v>
      </c>
      <c r="E20" s="28">
        <v>11216</v>
      </c>
      <c r="F20" s="25">
        <v>276.65385600000002</v>
      </c>
      <c r="G20" s="26">
        <v>1.82941338183168</v>
      </c>
      <c r="H20" s="27"/>
    </row>
    <row r="21" spans="2:8" x14ac:dyDescent="0.2">
      <c r="B21" s="24" t="s">
        <v>286</v>
      </c>
      <c r="C21" s="24" t="s">
        <v>287</v>
      </c>
      <c r="D21" s="24" t="s">
        <v>288</v>
      </c>
      <c r="E21" s="28">
        <v>88003</v>
      </c>
      <c r="F21" s="25">
        <v>264.09700299999997</v>
      </c>
      <c r="G21" s="26">
        <v>1.7463793867736299</v>
      </c>
      <c r="H21" s="27"/>
    </row>
    <row r="22" spans="2:8" x14ac:dyDescent="0.2">
      <c r="B22" s="24" t="s">
        <v>289</v>
      </c>
      <c r="C22" s="24" t="s">
        <v>290</v>
      </c>
      <c r="D22" s="24" t="s">
        <v>276</v>
      </c>
      <c r="E22" s="28">
        <v>1658</v>
      </c>
      <c r="F22" s="25">
        <v>263.62200000000001</v>
      </c>
      <c r="G22" s="26">
        <v>1.7432383611715501</v>
      </c>
      <c r="H22" s="27"/>
    </row>
    <row r="23" spans="2:8" x14ac:dyDescent="0.2">
      <c r="B23" s="24" t="s">
        <v>291</v>
      </c>
      <c r="C23" s="24" t="s">
        <v>292</v>
      </c>
      <c r="D23" s="24" t="s">
        <v>293</v>
      </c>
      <c r="E23" s="28">
        <v>13319</v>
      </c>
      <c r="F23" s="25">
        <v>243.95080400000001</v>
      </c>
      <c r="G23" s="26">
        <v>1.6131597505953299</v>
      </c>
      <c r="H23" s="27"/>
    </row>
    <row r="24" spans="2:8" x14ac:dyDescent="0.2">
      <c r="B24" s="24" t="s">
        <v>294</v>
      </c>
      <c r="C24" s="24" t="s">
        <v>295</v>
      </c>
      <c r="D24" s="24" t="s">
        <v>263</v>
      </c>
      <c r="E24" s="28">
        <v>13390</v>
      </c>
      <c r="F24" s="25">
        <v>217.48038</v>
      </c>
      <c r="G24" s="26">
        <v>1.4381202677248699</v>
      </c>
      <c r="H24" s="27"/>
    </row>
    <row r="25" spans="2:8" x14ac:dyDescent="0.2">
      <c r="B25" s="24" t="s">
        <v>296</v>
      </c>
      <c r="C25" s="24" t="s">
        <v>297</v>
      </c>
      <c r="D25" s="24" t="s">
        <v>298</v>
      </c>
      <c r="E25" s="28">
        <v>5215</v>
      </c>
      <c r="F25" s="25">
        <v>203.78655499999999</v>
      </c>
      <c r="G25" s="26">
        <v>1.3475678819180299</v>
      </c>
      <c r="H25" s="27"/>
    </row>
    <row r="26" spans="2:8" x14ac:dyDescent="0.2">
      <c r="B26" s="24" t="s">
        <v>299</v>
      </c>
      <c r="C26" s="24" t="s">
        <v>300</v>
      </c>
      <c r="D26" s="24" t="s">
        <v>301</v>
      </c>
      <c r="E26" s="28">
        <v>59920</v>
      </c>
      <c r="F26" s="25">
        <v>195.60883999999999</v>
      </c>
      <c r="G26" s="26">
        <v>1.2934915662284201</v>
      </c>
      <c r="H26" s="27"/>
    </row>
    <row r="27" spans="2:8" x14ac:dyDescent="0.2">
      <c r="B27" s="24" t="s">
        <v>302</v>
      </c>
      <c r="C27" s="24" t="s">
        <v>303</v>
      </c>
      <c r="D27" s="24" t="s">
        <v>304</v>
      </c>
      <c r="E27" s="28">
        <v>45267</v>
      </c>
      <c r="F27" s="25">
        <v>186.38687250000001</v>
      </c>
      <c r="G27" s="26">
        <v>1.23250998080885</v>
      </c>
      <c r="H27" s="27"/>
    </row>
    <row r="28" spans="2:8" x14ac:dyDescent="0.2">
      <c r="B28" s="24" t="s">
        <v>305</v>
      </c>
      <c r="C28" s="24" t="s">
        <v>306</v>
      </c>
      <c r="D28" s="24" t="s">
        <v>307</v>
      </c>
      <c r="E28" s="28">
        <v>104514</v>
      </c>
      <c r="F28" s="25">
        <v>175.54171439999999</v>
      </c>
      <c r="G28" s="26">
        <v>1.1607948142715701</v>
      </c>
      <c r="H28" s="27"/>
    </row>
    <row r="29" spans="2:8" x14ac:dyDescent="0.2">
      <c r="B29" s="24" t="s">
        <v>308</v>
      </c>
      <c r="C29" s="24" t="s">
        <v>309</v>
      </c>
      <c r="D29" s="24" t="s">
        <v>310</v>
      </c>
      <c r="E29" s="28">
        <v>1500</v>
      </c>
      <c r="F29" s="25">
        <v>174</v>
      </c>
      <c r="G29" s="26">
        <v>1.1506000062356301</v>
      </c>
      <c r="H29" s="27"/>
    </row>
    <row r="30" spans="2:8" x14ac:dyDescent="0.2">
      <c r="B30" s="24" t="s">
        <v>311</v>
      </c>
      <c r="C30" s="24" t="s">
        <v>312</v>
      </c>
      <c r="D30" s="24" t="s">
        <v>298</v>
      </c>
      <c r="E30" s="28">
        <v>5715</v>
      </c>
      <c r="F30" s="25">
        <v>164.27196000000001</v>
      </c>
      <c r="G30" s="26">
        <v>1.08627194368011</v>
      </c>
      <c r="H30" s="27"/>
    </row>
    <row r="31" spans="2:8" x14ac:dyDescent="0.2">
      <c r="B31" s="24" t="s">
        <v>313</v>
      </c>
      <c r="C31" s="24" t="s">
        <v>314</v>
      </c>
      <c r="D31" s="24" t="s">
        <v>315</v>
      </c>
      <c r="E31" s="28">
        <v>2761</v>
      </c>
      <c r="F31" s="25">
        <v>162.940415</v>
      </c>
      <c r="G31" s="26">
        <v>1.07746691100596</v>
      </c>
      <c r="H31" s="27"/>
    </row>
    <row r="32" spans="2:8" x14ac:dyDescent="0.2">
      <c r="B32" s="24" t="s">
        <v>316</v>
      </c>
      <c r="C32" s="24" t="s">
        <v>317</v>
      </c>
      <c r="D32" s="24" t="s">
        <v>301</v>
      </c>
      <c r="E32" s="28">
        <v>57247</v>
      </c>
      <c r="F32" s="25">
        <v>154.53827649999999</v>
      </c>
      <c r="G32" s="26">
        <v>1.0219065626697901</v>
      </c>
      <c r="H32" s="27"/>
    </row>
    <row r="33" spans="2:8" x14ac:dyDescent="0.2">
      <c r="B33" s="24" t="s">
        <v>318</v>
      </c>
      <c r="C33" s="24" t="s">
        <v>319</v>
      </c>
      <c r="D33" s="24" t="s">
        <v>283</v>
      </c>
      <c r="E33" s="28">
        <v>7214</v>
      </c>
      <c r="F33" s="25">
        <v>151.06116</v>
      </c>
      <c r="G33" s="26">
        <v>0.99891363010322898</v>
      </c>
      <c r="H33" s="27"/>
    </row>
    <row r="34" spans="2:8" x14ac:dyDescent="0.2">
      <c r="B34" s="24" t="s">
        <v>320</v>
      </c>
      <c r="C34" s="24" t="s">
        <v>321</v>
      </c>
      <c r="D34" s="24" t="s">
        <v>283</v>
      </c>
      <c r="E34" s="28">
        <v>17696</v>
      </c>
      <c r="F34" s="25">
        <v>150.70798400000001</v>
      </c>
      <c r="G34" s="26">
        <v>0.99657820304689404</v>
      </c>
      <c r="H34" s="27"/>
    </row>
    <row r="35" spans="2:8" x14ac:dyDescent="0.2">
      <c r="B35" s="24" t="s">
        <v>322</v>
      </c>
      <c r="C35" s="24" t="s">
        <v>323</v>
      </c>
      <c r="D35" s="24" t="s">
        <v>324</v>
      </c>
      <c r="E35" s="28">
        <v>18305</v>
      </c>
      <c r="F35" s="25">
        <v>147.97762</v>
      </c>
      <c r="G35" s="26">
        <v>0.97852327870536704</v>
      </c>
      <c r="H35" s="27"/>
    </row>
    <row r="36" spans="2:8" x14ac:dyDescent="0.2">
      <c r="B36" s="24" t="s">
        <v>325</v>
      </c>
      <c r="C36" s="24" t="s">
        <v>326</v>
      </c>
      <c r="D36" s="24" t="s">
        <v>327</v>
      </c>
      <c r="E36" s="28">
        <v>9327</v>
      </c>
      <c r="F36" s="25">
        <v>141.48126300000001</v>
      </c>
      <c r="G36" s="26">
        <v>0.93556518442543102</v>
      </c>
      <c r="H36" s="27"/>
    </row>
    <row r="37" spans="2:8" x14ac:dyDescent="0.2">
      <c r="B37" s="24" t="s">
        <v>328</v>
      </c>
      <c r="C37" s="24" t="s">
        <v>329</v>
      </c>
      <c r="D37" s="24" t="s">
        <v>307</v>
      </c>
      <c r="E37" s="28">
        <v>11839</v>
      </c>
      <c r="F37" s="25">
        <v>137.36791700000001</v>
      </c>
      <c r="G37" s="26">
        <v>0.90836509285503297</v>
      </c>
      <c r="H37" s="27"/>
    </row>
    <row r="38" spans="2:8" x14ac:dyDescent="0.2">
      <c r="B38" s="24" t="s">
        <v>330</v>
      </c>
      <c r="C38" s="24" t="s">
        <v>331</v>
      </c>
      <c r="D38" s="24" t="s">
        <v>310</v>
      </c>
      <c r="E38" s="28">
        <v>4829</v>
      </c>
      <c r="F38" s="25">
        <v>132.28562600000001</v>
      </c>
      <c r="G38" s="26">
        <v>0.87475771322117502</v>
      </c>
      <c r="H38" s="27"/>
    </row>
    <row r="39" spans="2:8" x14ac:dyDescent="0.2">
      <c r="B39" s="24" t="s">
        <v>332</v>
      </c>
      <c r="C39" s="24" t="s">
        <v>333</v>
      </c>
      <c r="D39" s="24" t="s">
        <v>276</v>
      </c>
      <c r="E39" s="28">
        <v>1401</v>
      </c>
      <c r="F39" s="25">
        <v>127.11973500000001</v>
      </c>
      <c r="G39" s="26">
        <v>0.840597516572827</v>
      </c>
      <c r="H39" s="27"/>
    </row>
    <row r="40" spans="2:8" x14ac:dyDescent="0.2">
      <c r="B40" s="24" t="s">
        <v>334</v>
      </c>
      <c r="C40" s="24" t="s">
        <v>335</v>
      </c>
      <c r="D40" s="24" t="s">
        <v>283</v>
      </c>
      <c r="E40" s="28">
        <v>41419</v>
      </c>
      <c r="F40" s="25">
        <v>126.824978</v>
      </c>
      <c r="G40" s="26">
        <v>0.83864839354961995</v>
      </c>
      <c r="H40" s="27"/>
    </row>
    <row r="41" spans="2:8" x14ac:dyDescent="0.2">
      <c r="B41" s="24" t="s">
        <v>336</v>
      </c>
      <c r="C41" s="24" t="s">
        <v>337</v>
      </c>
      <c r="D41" s="24" t="s">
        <v>276</v>
      </c>
      <c r="E41" s="28">
        <v>1739</v>
      </c>
      <c r="F41" s="25">
        <v>122.660365</v>
      </c>
      <c r="G41" s="26">
        <v>0.81110929157393596</v>
      </c>
      <c r="H41" s="27"/>
    </row>
    <row r="42" spans="2:8" x14ac:dyDescent="0.2">
      <c r="B42" s="24" t="s">
        <v>338</v>
      </c>
      <c r="C42" s="24" t="s">
        <v>339</v>
      </c>
      <c r="D42" s="24" t="s">
        <v>263</v>
      </c>
      <c r="E42" s="28">
        <v>8023</v>
      </c>
      <c r="F42" s="25">
        <v>121.732979</v>
      </c>
      <c r="G42" s="26">
        <v>0.80497681837058599</v>
      </c>
      <c r="H42" s="27"/>
    </row>
    <row r="43" spans="2:8" x14ac:dyDescent="0.2">
      <c r="B43" s="24" t="s">
        <v>340</v>
      </c>
      <c r="C43" s="24" t="s">
        <v>341</v>
      </c>
      <c r="D43" s="24" t="s">
        <v>342</v>
      </c>
      <c r="E43" s="28">
        <v>49093</v>
      </c>
      <c r="F43" s="25">
        <v>119.4187225</v>
      </c>
      <c r="G43" s="26">
        <v>0.78967346467328303</v>
      </c>
      <c r="H43" s="27"/>
    </row>
    <row r="44" spans="2:8" x14ac:dyDescent="0.2">
      <c r="B44" s="24" t="s">
        <v>343</v>
      </c>
      <c r="C44" s="24" t="s">
        <v>344</v>
      </c>
      <c r="D44" s="24" t="s">
        <v>288</v>
      </c>
      <c r="E44" s="28">
        <v>2805</v>
      </c>
      <c r="F44" s="25">
        <v>119.22372</v>
      </c>
      <c r="G44" s="26">
        <v>0.78838398261744402</v>
      </c>
      <c r="H44" s="27"/>
    </row>
    <row r="45" spans="2:8" x14ac:dyDescent="0.2">
      <c r="B45" s="24" t="s">
        <v>345</v>
      </c>
      <c r="C45" s="24" t="s">
        <v>346</v>
      </c>
      <c r="D45" s="24" t="s">
        <v>347</v>
      </c>
      <c r="E45" s="28">
        <v>9062</v>
      </c>
      <c r="F45" s="25">
        <v>114.28088200000001</v>
      </c>
      <c r="G45" s="26">
        <v>0.75569875598743397</v>
      </c>
      <c r="H45" s="27"/>
    </row>
    <row r="46" spans="2:8" x14ac:dyDescent="0.2">
      <c r="B46" s="24" t="s">
        <v>348</v>
      </c>
      <c r="C46" s="24" t="s">
        <v>349</v>
      </c>
      <c r="D46" s="24" t="s">
        <v>350</v>
      </c>
      <c r="E46" s="28">
        <v>5670</v>
      </c>
      <c r="F46" s="25">
        <v>111.4722</v>
      </c>
      <c r="G46" s="26">
        <v>0.73712594261551501</v>
      </c>
      <c r="H46" s="27"/>
    </row>
    <row r="47" spans="2:8" x14ac:dyDescent="0.2">
      <c r="B47" s="24" t="s">
        <v>351</v>
      </c>
      <c r="C47" s="24" t="s">
        <v>352</v>
      </c>
      <c r="D47" s="24" t="s">
        <v>353</v>
      </c>
      <c r="E47" s="28">
        <v>9394</v>
      </c>
      <c r="F47" s="25">
        <v>109.23343199999999</v>
      </c>
      <c r="G47" s="26">
        <v>0.72232176747321497</v>
      </c>
      <c r="H47" s="27"/>
    </row>
    <row r="48" spans="2:8" x14ac:dyDescent="0.2">
      <c r="B48" s="24" t="s">
        <v>354</v>
      </c>
      <c r="C48" s="24" t="s">
        <v>355</v>
      </c>
      <c r="D48" s="24" t="s">
        <v>293</v>
      </c>
      <c r="E48" s="28">
        <v>7109</v>
      </c>
      <c r="F48" s="25">
        <v>108.860117</v>
      </c>
      <c r="G48" s="26">
        <v>0.71985316838512403</v>
      </c>
      <c r="H48" s="27"/>
    </row>
    <row r="49" spans="2:9" x14ac:dyDescent="0.2">
      <c r="B49" s="24" t="s">
        <v>356</v>
      </c>
      <c r="C49" s="24" t="s">
        <v>357</v>
      </c>
      <c r="D49" s="24" t="s">
        <v>358</v>
      </c>
      <c r="E49" s="28">
        <v>28701</v>
      </c>
      <c r="F49" s="25">
        <v>107.9588115</v>
      </c>
      <c r="G49" s="26">
        <v>0.71389315623615701</v>
      </c>
      <c r="H49" s="27"/>
    </row>
    <row r="50" spans="2:9" x14ac:dyDescent="0.2">
      <c r="B50" s="24" t="s">
        <v>359</v>
      </c>
      <c r="C50" s="24" t="s">
        <v>360</v>
      </c>
      <c r="D50" s="24" t="s">
        <v>350</v>
      </c>
      <c r="E50" s="28">
        <v>13562</v>
      </c>
      <c r="F50" s="25">
        <v>103.654366</v>
      </c>
      <c r="G50" s="26">
        <v>0.68542939175833595</v>
      </c>
      <c r="H50" s="27"/>
    </row>
    <row r="51" spans="2:9" x14ac:dyDescent="0.2">
      <c r="B51" s="24" t="s">
        <v>361</v>
      </c>
      <c r="C51" s="24" t="s">
        <v>362</v>
      </c>
      <c r="D51" s="24" t="s">
        <v>293</v>
      </c>
      <c r="E51" s="28">
        <v>7700</v>
      </c>
      <c r="F51" s="25">
        <v>96.927599999999998</v>
      </c>
      <c r="G51" s="26">
        <v>0.64094768485290099</v>
      </c>
      <c r="H51" s="27"/>
    </row>
    <row r="52" spans="2:9" x14ac:dyDescent="0.2">
      <c r="B52" s="24" t="s">
        <v>363</v>
      </c>
      <c r="C52" s="24" t="s">
        <v>364</v>
      </c>
      <c r="D52" s="24" t="s">
        <v>365</v>
      </c>
      <c r="E52" s="28">
        <v>8231</v>
      </c>
      <c r="F52" s="25">
        <v>96.500243999999995</v>
      </c>
      <c r="G52" s="26">
        <v>0.63812173188586196</v>
      </c>
      <c r="H52" s="27"/>
    </row>
    <row r="53" spans="2:9" x14ac:dyDescent="0.2">
      <c r="B53" s="24" t="s">
        <v>366</v>
      </c>
      <c r="C53" s="24" t="s">
        <v>367</v>
      </c>
      <c r="D53" s="24" t="s">
        <v>276</v>
      </c>
      <c r="E53" s="28">
        <v>26400</v>
      </c>
      <c r="F53" s="25">
        <v>94.1952</v>
      </c>
      <c r="G53" s="26">
        <v>0.62287929716877299</v>
      </c>
      <c r="H53" s="27"/>
    </row>
    <row r="54" spans="2:9" x14ac:dyDescent="0.2">
      <c r="B54" s="24" t="s">
        <v>368</v>
      </c>
      <c r="C54" s="24" t="s">
        <v>369</v>
      </c>
      <c r="D54" s="24" t="s">
        <v>353</v>
      </c>
      <c r="E54" s="28">
        <v>1277</v>
      </c>
      <c r="F54" s="25">
        <v>93.674334999999999</v>
      </c>
      <c r="G54" s="26">
        <v>0.61943500250068195</v>
      </c>
      <c r="H54" s="27"/>
    </row>
    <row r="55" spans="2:9" x14ac:dyDescent="0.2">
      <c r="B55" s="24" t="s">
        <v>370</v>
      </c>
      <c r="C55" s="24" t="s">
        <v>371</v>
      </c>
      <c r="D55" s="24" t="s">
        <v>263</v>
      </c>
      <c r="E55" s="28">
        <v>36060</v>
      </c>
      <c r="F55" s="25">
        <v>89.980518000000004</v>
      </c>
      <c r="G55" s="26">
        <v>0.59500910673497298</v>
      </c>
      <c r="H55" s="27"/>
    </row>
    <row r="56" spans="2:9" x14ac:dyDescent="0.2">
      <c r="B56" s="24" t="s">
        <v>372</v>
      </c>
      <c r="C56" s="24" t="s">
        <v>373</v>
      </c>
      <c r="D56" s="24" t="s">
        <v>374</v>
      </c>
      <c r="E56" s="28">
        <v>3292</v>
      </c>
      <c r="F56" s="25">
        <v>75.064183999999997</v>
      </c>
      <c r="G56" s="26">
        <v>0.49637270447398102</v>
      </c>
      <c r="H56" s="27"/>
    </row>
    <row r="57" spans="2:9" x14ac:dyDescent="0.2">
      <c r="B57" s="23" t="s">
        <v>56</v>
      </c>
      <c r="C57" s="23"/>
      <c r="D57" s="23"/>
      <c r="E57" s="23"/>
      <c r="F57" s="30">
        <f>SUM(F7:F56)</f>
        <v>15097.710848900004</v>
      </c>
      <c r="G57" s="31">
        <f>SUM(G7:G56)</f>
        <v>99.835782740736235</v>
      </c>
      <c r="H57" s="32"/>
      <c r="I57" s="16"/>
    </row>
    <row r="58" spans="2:9" x14ac:dyDescent="0.2">
      <c r="B58" s="23" t="s">
        <v>375</v>
      </c>
      <c r="C58" s="23"/>
      <c r="D58" s="23"/>
      <c r="E58" s="23"/>
      <c r="F58" s="46" t="s">
        <v>376</v>
      </c>
      <c r="G58" s="47" t="s">
        <v>376</v>
      </c>
      <c r="H58" s="32"/>
      <c r="I58" s="16"/>
    </row>
    <row r="59" spans="2:9" x14ac:dyDescent="0.2">
      <c r="B59" s="23" t="s">
        <v>56</v>
      </c>
      <c r="C59" s="23"/>
      <c r="D59" s="23"/>
      <c r="E59" s="23"/>
      <c r="F59" s="48" t="s">
        <v>376</v>
      </c>
      <c r="G59" s="49" t="s">
        <v>376</v>
      </c>
      <c r="H59" s="32"/>
      <c r="I59" s="16"/>
    </row>
    <row r="60" spans="2:9" x14ac:dyDescent="0.2">
      <c r="B60" s="35" t="s">
        <v>81</v>
      </c>
      <c r="C60" s="35"/>
      <c r="D60" s="35"/>
      <c r="E60" s="35"/>
      <c r="F60" s="36">
        <f>F57</f>
        <v>15097.710848900004</v>
      </c>
      <c r="G60" s="37">
        <f>G57</f>
        <v>99.835782740736235</v>
      </c>
      <c r="H60" s="32"/>
      <c r="I60" s="16"/>
    </row>
    <row r="61" spans="2:9" x14ac:dyDescent="0.2">
      <c r="B61" s="23" t="s">
        <v>86</v>
      </c>
      <c r="C61" s="23"/>
      <c r="D61" s="23"/>
      <c r="E61" s="23"/>
      <c r="F61" s="30">
        <v>155.5723175</v>
      </c>
      <c r="G61" s="31">
        <v>1.0287443073884599</v>
      </c>
      <c r="H61" s="38">
        <v>5.305E-2</v>
      </c>
      <c r="I61" s="17"/>
    </row>
    <row r="62" spans="2:9" x14ac:dyDescent="0.2">
      <c r="B62" s="24"/>
      <c r="C62" s="24"/>
      <c r="D62" s="24"/>
      <c r="E62" s="24"/>
      <c r="F62" s="25"/>
      <c r="G62" s="26"/>
      <c r="H62" s="27"/>
    </row>
    <row r="63" spans="2:9" x14ac:dyDescent="0.2">
      <c r="B63" s="43" t="s">
        <v>88</v>
      </c>
      <c r="C63" s="43"/>
      <c r="D63" s="43"/>
      <c r="E63" s="43"/>
      <c r="F63" s="30">
        <f>F64-(F57+F61)</f>
        <v>-130.73848910000379</v>
      </c>
      <c r="G63" s="31">
        <f>G64-(G57+G61)</f>
        <v>-0.8645270481246996</v>
      </c>
      <c r="H63" s="32"/>
      <c r="I63" s="16"/>
    </row>
    <row r="64" spans="2:9" x14ac:dyDescent="0.2">
      <c r="B64" s="39" t="s">
        <v>87</v>
      </c>
      <c r="C64" s="39"/>
      <c r="D64" s="39"/>
      <c r="E64" s="39"/>
      <c r="F64" s="40">
        <v>15122.5446773</v>
      </c>
      <c r="G64" s="41">
        <v>100</v>
      </c>
      <c r="H64" s="42"/>
      <c r="I64" s="16"/>
    </row>
    <row r="67" spans="2:8" x14ac:dyDescent="0.2">
      <c r="B67" s="16" t="s">
        <v>93</v>
      </c>
      <c r="H67" s="6"/>
    </row>
    <row r="68" spans="2:8" x14ac:dyDescent="0.2">
      <c r="H68" s="6"/>
    </row>
    <row r="69" spans="2:8" x14ac:dyDescent="0.2">
      <c r="H69" s="6"/>
    </row>
    <row r="70" spans="2:8" x14ac:dyDescent="0.2">
      <c r="H70" s="6"/>
    </row>
    <row r="71" spans="2:8" x14ac:dyDescent="0.2">
      <c r="H71" s="6"/>
    </row>
    <row r="72" spans="2:8" x14ac:dyDescent="0.2">
      <c r="H72" s="6"/>
    </row>
    <row r="73" spans="2:8" x14ac:dyDescent="0.2">
      <c r="H73" s="6"/>
    </row>
    <row r="74" spans="2:8" x14ac:dyDescent="0.2">
      <c r="H74" s="6"/>
    </row>
    <row r="75" spans="2:8" x14ac:dyDescent="0.2">
      <c r="H75" s="6"/>
    </row>
    <row r="76" spans="2:8" x14ac:dyDescent="0.2">
      <c r="H76" s="6"/>
    </row>
    <row r="77" spans="2:8" x14ac:dyDescent="0.2">
      <c r="H77" s="6"/>
    </row>
    <row r="78" spans="2:8" x14ac:dyDescent="0.2">
      <c r="H78" s="6"/>
    </row>
    <row r="79" spans="2:8" x14ac:dyDescent="0.2">
      <c r="H79" s="6"/>
    </row>
    <row r="80" spans="2:8" x14ac:dyDescent="0.2">
      <c r="H80" s="6"/>
    </row>
    <row r="81" spans="2:8" x14ac:dyDescent="0.2">
      <c r="H81" s="6"/>
    </row>
    <row r="82" spans="2:8" x14ac:dyDescent="0.2">
      <c r="H82" s="6"/>
    </row>
    <row r="83" spans="2:8" x14ac:dyDescent="0.2">
      <c r="H83" s="6"/>
    </row>
    <row r="84" spans="2:8" x14ac:dyDescent="0.2">
      <c r="B84" s="60" t="s">
        <v>1355</v>
      </c>
      <c r="H84" s="6"/>
    </row>
    <row r="85" spans="2:8" x14ac:dyDescent="0.2">
      <c r="B85" s="61" t="s">
        <v>1360</v>
      </c>
      <c r="H85" s="6"/>
    </row>
    <row r="86" spans="2:8" x14ac:dyDescent="0.2">
      <c r="H86" s="6"/>
    </row>
    <row r="87" spans="2:8" x14ac:dyDescent="0.2">
      <c r="H87" s="6"/>
    </row>
    <row r="88" spans="2:8" x14ac:dyDescent="0.2">
      <c r="H88" s="6"/>
    </row>
    <row r="89" spans="2:8" x14ac:dyDescent="0.2">
      <c r="H89" s="6"/>
    </row>
    <row r="90" spans="2:8" x14ac:dyDescent="0.2">
      <c r="H90" s="6"/>
    </row>
    <row r="91" spans="2:8" x14ac:dyDescent="0.2">
      <c r="H91" s="6"/>
    </row>
    <row r="92" spans="2:8" x14ac:dyDescent="0.2">
      <c r="H92" s="6"/>
    </row>
    <row r="93" spans="2:8" x14ac:dyDescent="0.2">
      <c r="H93" s="6"/>
    </row>
    <row r="94" spans="2:8" x14ac:dyDescent="0.2">
      <c r="H94" s="6"/>
    </row>
    <row r="95" spans="2:8" x14ac:dyDescent="0.2">
      <c r="H95" s="6"/>
    </row>
    <row r="96" spans="2:8" x14ac:dyDescent="0.2">
      <c r="H96" s="6"/>
    </row>
    <row r="97" spans="8:8" x14ac:dyDescent="0.2">
      <c r="H97" s="6"/>
    </row>
    <row r="98" spans="8:8" x14ac:dyDescent="0.2">
      <c r="H98" s="6"/>
    </row>
    <row r="99" spans="8:8" x14ac:dyDescent="0.2">
      <c r="H99" s="6"/>
    </row>
    <row r="100" spans="8:8" x14ac:dyDescent="0.2">
      <c r="H100" s="6"/>
    </row>
    <row r="101" spans="8:8" x14ac:dyDescent="0.2">
      <c r="H101" s="6"/>
    </row>
  </sheetData>
  <mergeCells count="1">
    <mergeCell ref="B1:C1"/>
  </mergeCells>
  <conditionalFormatting sqref="G1:G3 G5:G101">
    <cfRule type="cellIs" dxfId="6" priority="2" stopIfTrue="1" operator="between">
      <formula>0.009</formula>
      <formula>-0.009</formula>
    </cfRule>
  </conditionalFormatting>
  <hyperlinks>
    <hyperlink ref="A2" location="'JBN50'!A1" display="-" xr:uid="{27445EBE-66F4-4D34-B70E-F6AB420D7F7C}"/>
  </hyperlinks>
  <pageMargins left="0.7" right="0.7" top="0.75" bottom="0.75" header="0.3" footer="0.3"/>
  <pageSetup paperSize="9" scale="65" orientation="portrait" r:id="rId1"/>
  <headerFooter>
    <oddFooter>&amp;C&amp;1#&amp;"Calibri"&amp;10&amp;K000000RESTRICTED</oddFooter>
    <evenFooter>&amp;LPUBLIC</evenFooter>
    <firstFooter>&amp;LPUBLIC</first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ECBEC-DB25-438A-935E-4223C5EF065C}">
  <dimension ref="A1:I93"/>
  <sheetViews>
    <sheetView view="pageBreakPreview" zoomScaleNormal="100" zoomScaleSheetLayoutView="100" workbookViewId="0">
      <selection activeCell="B1" sqref="B1:C1"/>
    </sheetView>
  </sheetViews>
  <sheetFormatPr defaultColWidth="9.21875" defaultRowHeight="10.199999999999999" x14ac:dyDescent="0.2"/>
  <cols>
    <col min="1" max="1" width="7.21875" style="6" customWidth="1"/>
    <col min="2" max="2" width="52.77734375" style="6" bestFit="1" customWidth="1"/>
    <col min="3" max="3" width="11.21875" style="6" customWidth="1"/>
    <col min="4" max="4" width="22.21875" style="6" bestFit="1" customWidth="1"/>
    <col min="5" max="5" width="13.77734375" style="6" bestFit="1" customWidth="1"/>
    <col min="6" max="6" width="12.77734375" style="8" bestFit="1" customWidth="1"/>
    <col min="7" max="7" width="9.21875" style="14" customWidth="1"/>
    <col min="8" max="8" width="11.77734375" style="6" bestFit="1" customWidth="1"/>
    <col min="9" max="16384" width="9.21875" style="6"/>
  </cols>
  <sheetData>
    <row r="1" spans="1:9" s="1" customFormat="1" ht="16.8" customHeight="1" x14ac:dyDescent="0.25">
      <c r="B1" s="80" t="s">
        <v>15</v>
      </c>
      <c r="C1" s="81"/>
      <c r="D1" s="10"/>
      <c r="F1" s="5"/>
      <c r="G1" s="14"/>
    </row>
    <row r="2" spans="1:9" s="1" customFormat="1" ht="14.4" x14ac:dyDescent="0.3">
      <c r="A2" s="59" t="s">
        <v>1372</v>
      </c>
      <c r="F2" s="5"/>
      <c r="G2" s="14"/>
    </row>
    <row r="3" spans="1:9" s="1" customFormat="1" ht="10.5" customHeight="1" x14ac:dyDescent="0.2">
      <c r="B3" s="7" t="s">
        <v>9</v>
      </c>
      <c r="C3" s="2"/>
      <c r="D3" s="3"/>
      <c r="E3" s="3"/>
      <c r="F3" s="4"/>
      <c r="G3" s="14"/>
    </row>
    <row r="4" spans="1:9" s="1" customFormat="1" ht="45.75" customHeight="1" x14ac:dyDescent="0.2">
      <c r="B4" s="18" t="s">
        <v>7</v>
      </c>
      <c r="C4" s="18" t="s">
        <v>8</v>
      </c>
      <c r="D4" s="78" t="s">
        <v>1367</v>
      </c>
      <c r="E4" s="19" t="s">
        <v>0</v>
      </c>
      <c r="F4" s="20" t="s">
        <v>4</v>
      </c>
      <c r="G4" s="21" t="s">
        <v>5</v>
      </c>
      <c r="H4" s="20" t="s">
        <v>6</v>
      </c>
      <c r="I4" s="9"/>
    </row>
    <row r="5" spans="1:9" x14ac:dyDescent="0.2">
      <c r="B5" s="23" t="s">
        <v>248</v>
      </c>
      <c r="C5" s="24"/>
      <c r="D5" s="24"/>
      <c r="E5" s="24"/>
      <c r="F5" s="25"/>
      <c r="G5" s="26"/>
      <c r="H5" s="24"/>
    </row>
    <row r="6" spans="1:9" x14ac:dyDescent="0.2">
      <c r="B6" s="23" t="s">
        <v>249</v>
      </c>
      <c r="C6" s="24"/>
      <c r="D6" s="24"/>
      <c r="E6" s="24"/>
      <c r="F6" s="25"/>
      <c r="G6" s="26"/>
      <c r="H6" s="24"/>
    </row>
    <row r="7" spans="1:9" x14ac:dyDescent="0.2">
      <c r="B7" s="24" t="s">
        <v>378</v>
      </c>
      <c r="C7" s="24" t="s">
        <v>379</v>
      </c>
      <c r="D7" s="24" t="s">
        <v>380</v>
      </c>
      <c r="E7" s="28">
        <v>100288</v>
      </c>
      <c r="F7" s="25">
        <v>527.51487999999995</v>
      </c>
      <c r="G7" s="26">
        <v>3.85958977355744</v>
      </c>
      <c r="H7" s="24"/>
    </row>
    <row r="8" spans="1:9" x14ac:dyDescent="0.2">
      <c r="B8" s="24" t="s">
        <v>381</v>
      </c>
      <c r="C8" s="24" t="s">
        <v>382</v>
      </c>
      <c r="D8" s="24" t="s">
        <v>304</v>
      </c>
      <c r="E8" s="28">
        <v>11223</v>
      </c>
      <c r="F8" s="25">
        <v>509.79355199999998</v>
      </c>
      <c r="G8" s="26">
        <v>3.72993076503306</v>
      </c>
      <c r="H8" s="24"/>
    </row>
    <row r="9" spans="1:9" x14ac:dyDescent="0.2">
      <c r="B9" s="24" t="s">
        <v>383</v>
      </c>
      <c r="C9" s="24" t="s">
        <v>384</v>
      </c>
      <c r="D9" s="24" t="s">
        <v>276</v>
      </c>
      <c r="E9" s="28">
        <v>13876</v>
      </c>
      <c r="F9" s="25">
        <v>490.03093999999999</v>
      </c>
      <c r="G9" s="26">
        <v>3.5853365970467799</v>
      </c>
      <c r="H9" s="24"/>
    </row>
    <row r="10" spans="1:9" x14ac:dyDescent="0.2">
      <c r="B10" s="24" t="s">
        <v>385</v>
      </c>
      <c r="C10" s="24" t="s">
        <v>386</v>
      </c>
      <c r="D10" s="24" t="s">
        <v>293</v>
      </c>
      <c r="E10" s="28">
        <v>7509</v>
      </c>
      <c r="F10" s="25">
        <v>486.35793000000001</v>
      </c>
      <c r="G10" s="26">
        <v>3.5584628303121302</v>
      </c>
      <c r="H10" s="24"/>
    </row>
    <row r="11" spans="1:9" x14ac:dyDescent="0.2">
      <c r="B11" s="24" t="s">
        <v>387</v>
      </c>
      <c r="C11" s="24" t="s">
        <v>388</v>
      </c>
      <c r="D11" s="24" t="s">
        <v>283</v>
      </c>
      <c r="E11" s="28">
        <v>24915</v>
      </c>
      <c r="F11" s="25">
        <v>432.52440000000001</v>
      </c>
      <c r="G11" s="26">
        <v>3.1645870369648499</v>
      </c>
      <c r="H11" s="24"/>
    </row>
    <row r="12" spans="1:9" x14ac:dyDescent="0.2">
      <c r="B12" s="24" t="s">
        <v>389</v>
      </c>
      <c r="C12" s="24" t="s">
        <v>390</v>
      </c>
      <c r="D12" s="24" t="s">
        <v>255</v>
      </c>
      <c r="E12" s="28">
        <v>114589</v>
      </c>
      <c r="F12" s="25">
        <v>411.48909900000001</v>
      </c>
      <c r="G12" s="26">
        <v>3.0106811743978898</v>
      </c>
      <c r="H12" s="24"/>
    </row>
    <row r="13" spans="1:9" x14ac:dyDescent="0.2">
      <c r="B13" s="24" t="s">
        <v>391</v>
      </c>
      <c r="C13" s="24" t="s">
        <v>392</v>
      </c>
      <c r="D13" s="24" t="s">
        <v>347</v>
      </c>
      <c r="E13" s="28">
        <v>6972</v>
      </c>
      <c r="F13" s="25">
        <v>407.58312000000001</v>
      </c>
      <c r="G13" s="26">
        <v>2.9821028779825798</v>
      </c>
      <c r="H13" s="24"/>
    </row>
    <row r="14" spans="1:9" x14ac:dyDescent="0.2">
      <c r="B14" s="24" t="s">
        <v>393</v>
      </c>
      <c r="C14" s="24" t="s">
        <v>394</v>
      </c>
      <c r="D14" s="24" t="s">
        <v>301</v>
      </c>
      <c r="E14" s="28">
        <v>99273</v>
      </c>
      <c r="F14" s="25">
        <v>387.26397300000002</v>
      </c>
      <c r="G14" s="26">
        <v>2.8334367930209399</v>
      </c>
      <c r="H14" s="24"/>
    </row>
    <row r="15" spans="1:9" x14ac:dyDescent="0.2">
      <c r="B15" s="24" t="s">
        <v>395</v>
      </c>
      <c r="C15" s="24" t="s">
        <v>396</v>
      </c>
      <c r="D15" s="24" t="s">
        <v>397</v>
      </c>
      <c r="E15" s="28">
        <v>51925</v>
      </c>
      <c r="F15" s="25">
        <v>386.47777500000001</v>
      </c>
      <c r="G15" s="26">
        <v>2.8276845348840798</v>
      </c>
      <c r="H15" s="24"/>
    </row>
    <row r="16" spans="1:9" x14ac:dyDescent="0.2">
      <c r="B16" s="24" t="s">
        <v>398</v>
      </c>
      <c r="C16" s="24" t="s">
        <v>399</v>
      </c>
      <c r="D16" s="24" t="s">
        <v>400</v>
      </c>
      <c r="E16" s="28">
        <v>80094</v>
      </c>
      <c r="F16" s="25">
        <v>385.692657</v>
      </c>
      <c r="G16" s="26">
        <v>2.8219401786228202</v>
      </c>
      <c r="H16" s="24"/>
    </row>
    <row r="17" spans="2:8" x14ac:dyDescent="0.2">
      <c r="B17" s="24" t="s">
        <v>401</v>
      </c>
      <c r="C17" s="24" t="s">
        <v>402</v>
      </c>
      <c r="D17" s="24" t="s">
        <v>255</v>
      </c>
      <c r="E17" s="28">
        <v>220888</v>
      </c>
      <c r="F17" s="25">
        <v>357.28634</v>
      </c>
      <c r="G17" s="26">
        <v>2.6141038980658999</v>
      </c>
      <c r="H17" s="24"/>
    </row>
    <row r="18" spans="2:8" x14ac:dyDescent="0.2">
      <c r="B18" s="24" t="s">
        <v>403</v>
      </c>
      <c r="C18" s="24" t="s">
        <v>404</v>
      </c>
      <c r="D18" s="24" t="s">
        <v>288</v>
      </c>
      <c r="E18" s="28">
        <v>8702</v>
      </c>
      <c r="F18" s="25">
        <v>347.77542999999997</v>
      </c>
      <c r="G18" s="26">
        <v>2.5445168354730399</v>
      </c>
      <c r="H18" s="24"/>
    </row>
    <row r="19" spans="2:8" x14ac:dyDescent="0.2">
      <c r="B19" s="24" t="s">
        <v>405</v>
      </c>
      <c r="C19" s="24" t="s">
        <v>406</v>
      </c>
      <c r="D19" s="24" t="s">
        <v>301</v>
      </c>
      <c r="E19" s="28">
        <v>232680</v>
      </c>
      <c r="F19" s="25">
        <v>343.179732</v>
      </c>
      <c r="G19" s="26">
        <v>2.5108921744906598</v>
      </c>
      <c r="H19" s="24"/>
    </row>
    <row r="20" spans="2:8" x14ac:dyDescent="0.2">
      <c r="B20" s="24" t="s">
        <v>407</v>
      </c>
      <c r="C20" s="24" t="s">
        <v>408</v>
      </c>
      <c r="D20" s="24" t="s">
        <v>263</v>
      </c>
      <c r="E20" s="28">
        <v>5481</v>
      </c>
      <c r="F20" s="25">
        <v>334.14916499999998</v>
      </c>
      <c r="G20" s="26">
        <v>2.44481956618315</v>
      </c>
      <c r="H20" s="24"/>
    </row>
    <row r="21" spans="2:8" x14ac:dyDescent="0.2">
      <c r="B21" s="24" t="s">
        <v>409</v>
      </c>
      <c r="C21" s="24" t="s">
        <v>410</v>
      </c>
      <c r="D21" s="24" t="s">
        <v>252</v>
      </c>
      <c r="E21" s="28">
        <v>109135</v>
      </c>
      <c r="F21" s="25">
        <v>316.27323000000001</v>
      </c>
      <c r="G21" s="26">
        <v>2.3140293675848098</v>
      </c>
      <c r="H21" s="24"/>
    </row>
    <row r="22" spans="2:8" x14ac:dyDescent="0.2">
      <c r="B22" s="24" t="s">
        <v>411</v>
      </c>
      <c r="C22" s="24" t="s">
        <v>412</v>
      </c>
      <c r="D22" s="24" t="s">
        <v>283</v>
      </c>
      <c r="E22" s="28">
        <v>86079</v>
      </c>
      <c r="F22" s="25">
        <v>312.20853299999999</v>
      </c>
      <c r="G22" s="26">
        <v>2.2842898027524301</v>
      </c>
      <c r="H22" s="24"/>
    </row>
    <row r="23" spans="2:8" x14ac:dyDescent="0.2">
      <c r="B23" s="24" t="s">
        <v>413</v>
      </c>
      <c r="C23" s="24" t="s">
        <v>414</v>
      </c>
      <c r="D23" s="24" t="s">
        <v>288</v>
      </c>
      <c r="E23" s="28">
        <v>22979</v>
      </c>
      <c r="F23" s="25">
        <v>305.66665799999998</v>
      </c>
      <c r="G23" s="26">
        <v>2.2364258375693198</v>
      </c>
      <c r="H23" s="24"/>
    </row>
    <row r="24" spans="2:8" x14ac:dyDescent="0.2">
      <c r="B24" s="24" t="s">
        <v>415</v>
      </c>
      <c r="C24" s="24" t="s">
        <v>416</v>
      </c>
      <c r="D24" s="24" t="s">
        <v>417</v>
      </c>
      <c r="E24" s="28">
        <v>262484</v>
      </c>
      <c r="F24" s="25">
        <v>305.29514039999998</v>
      </c>
      <c r="G24" s="26">
        <v>2.2337076099248998</v>
      </c>
      <c r="H24" s="24"/>
    </row>
    <row r="25" spans="2:8" x14ac:dyDescent="0.2">
      <c r="B25" s="24" t="s">
        <v>418</v>
      </c>
      <c r="C25" s="24" t="s">
        <v>419</v>
      </c>
      <c r="D25" s="24" t="s">
        <v>252</v>
      </c>
      <c r="E25" s="28">
        <v>199310</v>
      </c>
      <c r="F25" s="25">
        <v>302.11409800000001</v>
      </c>
      <c r="G25" s="26">
        <v>2.21043334945989</v>
      </c>
      <c r="H25" s="24"/>
    </row>
    <row r="26" spans="2:8" x14ac:dyDescent="0.2">
      <c r="B26" s="24" t="s">
        <v>420</v>
      </c>
      <c r="C26" s="24" t="s">
        <v>421</v>
      </c>
      <c r="D26" s="24" t="s">
        <v>283</v>
      </c>
      <c r="E26" s="28">
        <v>2560</v>
      </c>
      <c r="F26" s="25">
        <v>294.37439999999998</v>
      </c>
      <c r="G26" s="26">
        <v>2.1538054506388602</v>
      </c>
      <c r="H26" s="24"/>
    </row>
    <row r="27" spans="2:8" x14ac:dyDescent="0.2">
      <c r="B27" s="24" t="s">
        <v>422</v>
      </c>
      <c r="C27" s="24" t="s">
        <v>423</v>
      </c>
      <c r="D27" s="24" t="s">
        <v>350</v>
      </c>
      <c r="E27" s="28">
        <v>14269</v>
      </c>
      <c r="F27" s="25">
        <v>281.17064499999998</v>
      </c>
      <c r="G27" s="26">
        <v>2.05719949751284</v>
      </c>
      <c r="H27" s="24"/>
    </row>
    <row r="28" spans="2:8" x14ac:dyDescent="0.2">
      <c r="B28" s="24" t="s">
        <v>424</v>
      </c>
      <c r="C28" s="24" t="s">
        <v>425</v>
      </c>
      <c r="D28" s="24" t="s">
        <v>426</v>
      </c>
      <c r="E28" s="28">
        <v>159463</v>
      </c>
      <c r="F28" s="25">
        <v>280.79839670000001</v>
      </c>
      <c r="G28" s="26">
        <v>2.05447592366427</v>
      </c>
      <c r="H28" s="24"/>
    </row>
    <row r="29" spans="2:8" x14ac:dyDescent="0.2">
      <c r="B29" s="24" t="s">
        <v>427</v>
      </c>
      <c r="C29" s="24" t="s">
        <v>428</v>
      </c>
      <c r="D29" s="24" t="s">
        <v>429</v>
      </c>
      <c r="E29" s="28">
        <v>37923</v>
      </c>
      <c r="F29" s="25">
        <v>274.41082799999998</v>
      </c>
      <c r="G29" s="26">
        <v>2.0077409484680899</v>
      </c>
      <c r="H29" s="24"/>
    </row>
    <row r="30" spans="2:8" x14ac:dyDescent="0.2">
      <c r="B30" s="24" t="s">
        <v>430</v>
      </c>
      <c r="C30" s="24" t="s">
        <v>431</v>
      </c>
      <c r="D30" s="24" t="s">
        <v>432</v>
      </c>
      <c r="E30" s="28">
        <v>40581</v>
      </c>
      <c r="F30" s="25">
        <v>273.06954899999999</v>
      </c>
      <c r="G30" s="26">
        <v>1.9979274116217201</v>
      </c>
      <c r="H30" s="24"/>
    </row>
    <row r="31" spans="2:8" x14ac:dyDescent="0.2">
      <c r="B31" s="24" t="s">
        <v>433</v>
      </c>
      <c r="C31" s="24" t="s">
        <v>434</v>
      </c>
      <c r="D31" s="24" t="s">
        <v>435</v>
      </c>
      <c r="E31" s="28">
        <v>23781</v>
      </c>
      <c r="F31" s="25">
        <v>272.435136</v>
      </c>
      <c r="G31" s="26">
        <v>1.9932856962505601</v>
      </c>
      <c r="H31" s="24"/>
    </row>
    <row r="32" spans="2:8" x14ac:dyDescent="0.2">
      <c r="B32" s="24" t="s">
        <v>436</v>
      </c>
      <c r="C32" s="24" t="s">
        <v>437</v>
      </c>
      <c r="D32" s="24" t="s">
        <v>438</v>
      </c>
      <c r="E32" s="28">
        <v>18351</v>
      </c>
      <c r="F32" s="25">
        <v>269.72299800000002</v>
      </c>
      <c r="G32" s="26">
        <v>1.97344219896518</v>
      </c>
      <c r="H32" s="24"/>
    </row>
    <row r="33" spans="2:8" x14ac:dyDescent="0.2">
      <c r="B33" s="24" t="s">
        <v>439</v>
      </c>
      <c r="C33" s="24" t="s">
        <v>440</v>
      </c>
      <c r="D33" s="24" t="s">
        <v>283</v>
      </c>
      <c r="E33" s="28">
        <v>73839</v>
      </c>
      <c r="F33" s="25">
        <v>266.48495100000002</v>
      </c>
      <c r="G33" s="26">
        <v>1.9497508614099299</v>
      </c>
      <c r="H33" s="24"/>
    </row>
    <row r="34" spans="2:8" x14ac:dyDescent="0.2">
      <c r="B34" s="24" t="s">
        <v>441</v>
      </c>
      <c r="C34" s="24" t="s">
        <v>442</v>
      </c>
      <c r="D34" s="24" t="s">
        <v>252</v>
      </c>
      <c r="E34" s="28">
        <v>203839</v>
      </c>
      <c r="F34" s="25">
        <v>253.77955499999999</v>
      </c>
      <c r="G34" s="26">
        <v>1.85679117756064</v>
      </c>
      <c r="H34" s="24"/>
    </row>
    <row r="35" spans="2:8" x14ac:dyDescent="0.2">
      <c r="B35" s="24" t="s">
        <v>443</v>
      </c>
      <c r="C35" s="24" t="s">
        <v>444</v>
      </c>
      <c r="D35" s="24" t="s">
        <v>400</v>
      </c>
      <c r="E35" s="28">
        <v>17460</v>
      </c>
      <c r="F35" s="25">
        <v>253.44936000000001</v>
      </c>
      <c r="G35" s="26">
        <v>1.8543752888462199</v>
      </c>
      <c r="H35" s="24"/>
    </row>
    <row r="36" spans="2:8" x14ac:dyDescent="0.2">
      <c r="B36" s="24" t="s">
        <v>445</v>
      </c>
      <c r="C36" s="24" t="s">
        <v>446</v>
      </c>
      <c r="D36" s="24" t="s">
        <v>307</v>
      </c>
      <c r="E36" s="28">
        <v>22096</v>
      </c>
      <c r="F36" s="25">
        <v>230.770624</v>
      </c>
      <c r="G36" s="26">
        <v>1.6884451495052999</v>
      </c>
      <c r="H36" s="24"/>
    </row>
    <row r="37" spans="2:8" x14ac:dyDescent="0.2">
      <c r="B37" s="24" t="s">
        <v>447</v>
      </c>
      <c r="C37" s="24" t="s">
        <v>448</v>
      </c>
      <c r="D37" s="24" t="s">
        <v>293</v>
      </c>
      <c r="E37" s="28">
        <v>6183</v>
      </c>
      <c r="F37" s="25">
        <v>230.04469800000001</v>
      </c>
      <c r="G37" s="26">
        <v>1.6831338745589699</v>
      </c>
      <c r="H37" s="24"/>
    </row>
    <row r="38" spans="2:8" x14ac:dyDescent="0.2">
      <c r="B38" s="24" t="s">
        <v>449</v>
      </c>
      <c r="C38" s="24" t="s">
        <v>450</v>
      </c>
      <c r="D38" s="24" t="s">
        <v>298</v>
      </c>
      <c r="E38" s="28">
        <v>14904</v>
      </c>
      <c r="F38" s="25">
        <v>214.90077600000001</v>
      </c>
      <c r="G38" s="26">
        <v>1.5723325897065801</v>
      </c>
      <c r="H38" s="24"/>
    </row>
    <row r="39" spans="2:8" x14ac:dyDescent="0.2">
      <c r="B39" s="24" t="s">
        <v>451</v>
      </c>
      <c r="C39" s="24" t="s">
        <v>452</v>
      </c>
      <c r="D39" s="24" t="s">
        <v>310</v>
      </c>
      <c r="E39" s="28">
        <v>791</v>
      </c>
      <c r="F39" s="25">
        <v>208.82400000000001</v>
      </c>
      <c r="G39" s="26">
        <v>1.52787154529813</v>
      </c>
      <c r="H39" s="24"/>
    </row>
    <row r="40" spans="2:8" x14ac:dyDescent="0.2">
      <c r="B40" s="24" t="s">
        <v>453</v>
      </c>
      <c r="C40" s="24" t="s">
        <v>454</v>
      </c>
      <c r="D40" s="24" t="s">
        <v>301</v>
      </c>
      <c r="E40" s="28">
        <v>20508</v>
      </c>
      <c r="F40" s="25">
        <v>203.96231399999999</v>
      </c>
      <c r="G40" s="26">
        <v>1.4923007694219199</v>
      </c>
      <c r="H40" s="24"/>
    </row>
    <row r="41" spans="2:8" x14ac:dyDescent="0.2">
      <c r="B41" s="24" t="s">
        <v>455</v>
      </c>
      <c r="C41" s="24" t="s">
        <v>456</v>
      </c>
      <c r="D41" s="24" t="s">
        <v>310</v>
      </c>
      <c r="E41" s="28">
        <v>37000</v>
      </c>
      <c r="F41" s="25">
        <v>203.57400000000001</v>
      </c>
      <c r="G41" s="26">
        <v>1.4894596500523001</v>
      </c>
      <c r="H41" s="24"/>
    </row>
    <row r="42" spans="2:8" x14ac:dyDescent="0.2">
      <c r="B42" s="24" t="s">
        <v>457</v>
      </c>
      <c r="C42" s="24" t="s">
        <v>458</v>
      </c>
      <c r="D42" s="24" t="s">
        <v>276</v>
      </c>
      <c r="E42" s="28">
        <v>8430</v>
      </c>
      <c r="F42" s="25">
        <v>196.08179999999999</v>
      </c>
      <c r="G42" s="26">
        <v>1.43464258308834</v>
      </c>
      <c r="H42" s="24"/>
    </row>
    <row r="43" spans="2:8" x14ac:dyDescent="0.2">
      <c r="B43" s="24" t="s">
        <v>459</v>
      </c>
      <c r="C43" s="24" t="s">
        <v>460</v>
      </c>
      <c r="D43" s="24" t="s">
        <v>438</v>
      </c>
      <c r="E43" s="28">
        <v>1440</v>
      </c>
      <c r="F43" s="25">
        <v>191.11680000000001</v>
      </c>
      <c r="G43" s="26">
        <v>1.3983159050130001</v>
      </c>
      <c r="H43" s="24"/>
    </row>
    <row r="44" spans="2:8" x14ac:dyDescent="0.2">
      <c r="B44" s="24" t="s">
        <v>461</v>
      </c>
      <c r="C44" s="24" t="s">
        <v>462</v>
      </c>
      <c r="D44" s="24" t="s">
        <v>429</v>
      </c>
      <c r="E44" s="28">
        <v>16609</v>
      </c>
      <c r="F44" s="25">
        <v>190.70453800000001</v>
      </c>
      <c r="G44" s="26">
        <v>1.39529956886865</v>
      </c>
      <c r="H44" s="24"/>
    </row>
    <row r="45" spans="2:8" x14ac:dyDescent="0.2">
      <c r="B45" s="24" t="s">
        <v>463</v>
      </c>
      <c r="C45" s="24" t="s">
        <v>464</v>
      </c>
      <c r="D45" s="24" t="s">
        <v>301</v>
      </c>
      <c r="E45" s="28">
        <v>18098</v>
      </c>
      <c r="F45" s="25">
        <v>189.703236</v>
      </c>
      <c r="G45" s="26">
        <v>1.38797349124323</v>
      </c>
      <c r="H45" s="24"/>
    </row>
    <row r="46" spans="2:8" x14ac:dyDescent="0.2">
      <c r="B46" s="24" t="s">
        <v>465</v>
      </c>
      <c r="C46" s="24" t="s">
        <v>466</v>
      </c>
      <c r="D46" s="24" t="s">
        <v>417</v>
      </c>
      <c r="E46" s="28">
        <v>513</v>
      </c>
      <c r="F46" s="25">
        <v>185.24430000000001</v>
      </c>
      <c r="G46" s="26">
        <v>1.3553494564737301</v>
      </c>
      <c r="H46" s="24"/>
    </row>
    <row r="47" spans="2:8" x14ac:dyDescent="0.2">
      <c r="B47" s="24" t="s">
        <v>467</v>
      </c>
      <c r="C47" s="24" t="s">
        <v>468</v>
      </c>
      <c r="D47" s="24" t="s">
        <v>432</v>
      </c>
      <c r="E47" s="28">
        <v>5225</v>
      </c>
      <c r="F47" s="25">
        <v>172.26824999999999</v>
      </c>
      <c r="G47" s="26">
        <v>1.2604095187014199</v>
      </c>
      <c r="H47" s="24"/>
    </row>
    <row r="48" spans="2:8" x14ac:dyDescent="0.2">
      <c r="B48" s="24" t="s">
        <v>469</v>
      </c>
      <c r="C48" s="24" t="s">
        <v>470</v>
      </c>
      <c r="D48" s="24" t="s">
        <v>432</v>
      </c>
      <c r="E48" s="28">
        <v>5229</v>
      </c>
      <c r="F48" s="25">
        <v>165.215484</v>
      </c>
      <c r="G48" s="26">
        <v>1.2088075932184901</v>
      </c>
      <c r="H48" s="24"/>
    </row>
    <row r="49" spans="2:9" x14ac:dyDescent="0.2">
      <c r="B49" s="24" t="s">
        <v>471</v>
      </c>
      <c r="C49" s="24" t="s">
        <v>472</v>
      </c>
      <c r="D49" s="24" t="s">
        <v>432</v>
      </c>
      <c r="E49" s="28">
        <v>3101</v>
      </c>
      <c r="F49" s="25">
        <v>160.47675000000001</v>
      </c>
      <c r="G49" s="26">
        <v>1.1741364019792799</v>
      </c>
      <c r="H49" s="24"/>
    </row>
    <row r="50" spans="2:9" x14ac:dyDescent="0.2">
      <c r="B50" s="24" t="s">
        <v>473</v>
      </c>
      <c r="C50" s="24" t="s">
        <v>474</v>
      </c>
      <c r="D50" s="24" t="s">
        <v>301</v>
      </c>
      <c r="E50" s="28">
        <v>31654</v>
      </c>
      <c r="F50" s="25">
        <v>154.67727099999999</v>
      </c>
      <c r="G50" s="26">
        <v>1.1317042153453001</v>
      </c>
      <c r="H50" s="24"/>
    </row>
    <row r="51" spans="2:9" x14ac:dyDescent="0.2">
      <c r="B51" s="24" t="s">
        <v>475</v>
      </c>
      <c r="C51" s="24" t="s">
        <v>476</v>
      </c>
      <c r="D51" s="24" t="s">
        <v>293</v>
      </c>
      <c r="E51" s="28">
        <v>14766</v>
      </c>
      <c r="F51" s="25">
        <v>139.16954999999999</v>
      </c>
      <c r="G51" s="26">
        <v>1.0182411763827199</v>
      </c>
      <c r="H51" s="24"/>
    </row>
    <row r="52" spans="2:9" x14ac:dyDescent="0.2">
      <c r="B52" s="24" t="s">
        <v>477</v>
      </c>
      <c r="C52" s="24" t="s">
        <v>478</v>
      </c>
      <c r="D52" s="24" t="s">
        <v>324</v>
      </c>
      <c r="E52" s="28">
        <v>25628</v>
      </c>
      <c r="F52" s="25">
        <v>124.34705599999999</v>
      </c>
      <c r="G52" s="26">
        <v>0.90979163603797097</v>
      </c>
      <c r="H52" s="24"/>
    </row>
    <row r="53" spans="2:9" x14ac:dyDescent="0.2">
      <c r="B53" s="24" t="s">
        <v>479</v>
      </c>
      <c r="C53" s="24" t="s">
        <v>480</v>
      </c>
      <c r="D53" s="24" t="s">
        <v>283</v>
      </c>
      <c r="E53" s="28">
        <v>105630</v>
      </c>
      <c r="F53" s="25">
        <v>124.18919099999999</v>
      </c>
      <c r="G53" s="26">
        <v>0.90863660863930795</v>
      </c>
      <c r="H53" s="24"/>
    </row>
    <row r="54" spans="2:9" x14ac:dyDescent="0.2">
      <c r="B54" s="24" t="s">
        <v>481</v>
      </c>
      <c r="C54" s="24" t="s">
        <v>482</v>
      </c>
      <c r="D54" s="24" t="s">
        <v>483</v>
      </c>
      <c r="E54" s="28">
        <v>4491</v>
      </c>
      <c r="F54" s="25">
        <v>120.340836</v>
      </c>
      <c r="G54" s="26">
        <v>0.88047992118620899</v>
      </c>
      <c r="H54" s="24"/>
    </row>
    <row r="55" spans="2:9" x14ac:dyDescent="0.2">
      <c r="B55" s="24" t="s">
        <v>484</v>
      </c>
      <c r="C55" s="24" t="s">
        <v>485</v>
      </c>
      <c r="D55" s="24" t="s">
        <v>350</v>
      </c>
      <c r="E55" s="28">
        <v>13123</v>
      </c>
      <c r="F55" s="25">
        <v>117.3786735</v>
      </c>
      <c r="G55" s="26">
        <v>0.85880710677647099</v>
      </c>
      <c r="H55" s="24"/>
    </row>
    <row r="56" spans="2:9" x14ac:dyDescent="0.2">
      <c r="B56" s="24" t="s">
        <v>486</v>
      </c>
      <c r="C56" s="24" t="s">
        <v>487</v>
      </c>
      <c r="D56" s="24" t="s">
        <v>283</v>
      </c>
      <c r="E56" s="28">
        <v>55057</v>
      </c>
      <c r="F56" s="25">
        <v>57.848389900000001</v>
      </c>
      <c r="G56" s="26">
        <v>0.42325072247213802</v>
      </c>
      <c r="H56" s="24"/>
    </row>
    <row r="57" spans="2:9" x14ac:dyDescent="0.2">
      <c r="B57" s="23" t="s">
        <v>56</v>
      </c>
      <c r="C57" s="23"/>
      <c r="D57" s="23"/>
      <c r="E57" s="23"/>
      <c r="F57" s="30">
        <f>SUM(F7:F56)</f>
        <v>13649.211008499997</v>
      </c>
      <c r="G57" s="31">
        <f>SUM(G7:G56)</f>
        <v>99.865154942234398</v>
      </c>
      <c r="H57" s="23"/>
      <c r="I57" s="16"/>
    </row>
    <row r="58" spans="2:9" x14ac:dyDescent="0.2">
      <c r="B58" s="23" t="s">
        <v>375</v>
      </c>
      <c r="C58" s="23"/>
      <c r="D58" s="23"/>
      <c r="E58" s="23"/>
      <c r="F58" s="46" t="s">
        <v>376</v>
      </c>
      <c r="G58" s="47" t="s">
        <v>376</v>
      </c>
      <c r="H58" s="24"/>
    </row>
    <row r="59" spans="2:9" x14ac:dyDescent="0.2">
      <c r="B59" s="23" t="s">
        <v>56</v>
      </c>
      <c r="C59" s="23"/>
      <c r="D59" s="23"/>
      <c r="E59" s="23"/>
      <c r="F59" s="48" t="s">
        <v>376</v>
      </c>
      <c r="G59" s="49" t="s">
        <v>376</v>
      </c>
      <c r="H59" s="23"/>
      <c r="I59" s="16"/>
    </row>
    <row r="60" spans="2:9" x14ac:dyDescent="0.2">
      <c r="B60" s="35" t="s">
        <v>81</v>
      </c>
      <c r="C60" s="35"/>
      <c r="D60" s="35"/>
      <c r="E60" s="35"/>
      <c r="F60" s="36">
        <f>F57</f>
        <v>13649.211008499997</v>
      </c>
      <c r="G60" s="37">
        <f>G57</f>
        <v>99.865154942234398</v>
      </c>
      <c r="H60" s="23"/>
      <c r="I60" s="16"/>
    </row>
    <row r="61" spans="2:9" ht="14.4" x14ac:dyDescent="0.3">
      <c r="B61" s="70" t="s">
        <v>1370</v>
      </c>
      <c r="C61" s="71"/>
      <c r="D61" s="71"/>
      <c r="E61" s="72"/>
      <c r="F61" s="25"/>
      <c r="G61" s="73"/>
      <c r="H61" s="23"/>
      <c r="I61" s="16"/>
    </row>
    <row r="62" spans="2:9" ht="14.4" x14ac:dyDescent="0.3">
      <c r="B62" s="70" t="s">
        <v>249</v>
      </c>
      <c r="C62" s="71"/>
      <c r="D62" s="71"/>
      <c r="E62" s="72"/>
      <c r="F62" s="25"/>
      <c r="G62" s="73"/>
      <c r="H62" s="23"/>
      <c r="I62" s="16"/>
    </row>
    <row r="63" spans="2:9" ht="14.4" x14ac:dyDescent="0.3">
      <c r="B63" s="70" t="s">
        <v>1371</v>
      </c>
      <c r="C63" s="71"/>
      <c r="D63" s="71"/>
      <c r="E63" s="72"/>
      <c r="F63" s="25"/>
      <c r="G63" s="73"/>
      <c r="H63" s="23"/>
      <c r="I63" s="16"/>
    </row>
    <row r="64" spans="2:9" x14ac:dyDescent="0.2">
      <c r="B64" s="74" t="s">
        <v>488</v>
      </c>
      <c r="C64" s="71" t="s">
        <v>489</v>
      </c>
      <c r="D64" s="71" t="s">
        <v>30</v>
      </c>
      <c r="E64" s="28">
        <v>26520</v>
      </c>
      <c r="F64" s="25">
        <v>2.6892871</v>
      </c>
      <c r="G64" s="26">
        <v>1.9676307499268901E-2</v>
      </c>
      <c r="H64" s="38">
        <v>6.0350000000000001E-2</v>
      </c>
      <c r="I64" s="16"/>
    </row>
    <row r="65" spans="2:9" x14ac:dyDescent="0.2">
      <c r="B65" s="23" t="s">
        <v>56</v>
      </c>
      <c r="C65" s="23"/>
      <c r="D65" s="23"/>
      <c r="E65" s="23"/>
      <c r="F65" s="30">
        <f>F64</f>
        <v>2.6892871</v>
      </c>
      <c r="G65" s="75">
        <f>G64</f>
        <v>1.9676307499268901E-2</v>
      </c>
      <c r="H65" s="23"/>
      <c r="I65" s="16"/>
    </row>
    <row r="66" spans="2:9" x14ac:dyDescent="0.2">
      <c r="B66" s="23" t="s">
        <v>375</v>
      </c>
      <c r="C66" s="23"/>
      <c r="D66" s="23"/>
      <c r="E66" s="23"/>
      <c r="F66" s="46" t="s">
        <v>376</v>
      </c>
      <c r="G66" s="76" t="s">
        <v>376</v>
      </c>
      <c r="H66" s="23"/>
      <c r="I66" s="16"/>
    </row>
    <row r="67" spans="2:9" x14ac:dyDescent="0.2">
      <c r="B67" s="35" t="s">
        <v>81</v>
      </c>
      <c r="C67" s="35"/>
      <c r="D67" s="35"/>
      <c r="E67" s="35"/>
      <c r="F67" s="36">
        <f>F64</f>
        <v>2.6892871</v>
      </c>
      <c r="G67" s="77">
        <f>G64</f>
        <v>1.9676307499268901E-2</v>
      </c>
      <c r="H67" s="23"/>
      <c r="I67" s="16"/>
    </row>
    <row r="68" spans="2:9" x14ac:dyDescent="0.2">
      <c r="B68" s="23"/>
      <c r="C68" s="23"/>
      <c r="D68" s="23"/>
      <c r="E68" s="23"/>
      <c r="F68" s="68"/>
      <c r="G68" s="69"/>
      <c r="H68" s="23"/>
      <c r="I68" s="16"/>
    </row>
    <row r="69" spans="2:9" x14ac:dyDescent="0.2">
      <c r="B69" s="23" t="s">
        <v>86</v>
      </c>
      <c r="C69" s="23"/>
      <c r="D69" s="23"/>
      <c r="E69" s="23"/>
      <c r="F69" s="30">
        <v>96.441523599999996</v>
      </c>
      <c r="G69" s="31">
        <v>0.70561937178503498</v>
      </c>
      <c r="H69" s="38">
        <v>5.305E-2</v>
      </c>
      <c r="I69" s="17"/>
    </row>
    <row r="70" spans="2:9" x14ac:dyDescent="0.2">
      <c r="B70" s="24"/>
      <c r="C70" s="24"/>
      <c r="D70" s="24"/>
      <c r="E70" s="24"/>
      <c r="F70" s="25"/>
      <c r="G70" s="26"/>
      <c r="H70" s="24"/>
    </row>
    <row r="71" spans="2:9" x14ac:dyDescent="0.2">
      <c r="B71" s="43" t="s">
        <v>88</v>
      </c>
      <c r="C71" s="43"/>
      <c r="D71" s="43"/>
      <c r="E71" s="43"/>
      <c r="F71" s="30">
        <f>F72-(F57+F64+F69)</f>
        <v>-80.700672099997973</v>
      </c>
      <c r="G71" s="31">
        <f>G72-(G57+G64+G69)</f>
        <v>-0.59045062151869843</v>
      </c>
      <c r="H71" s="23"/>
      <c r="I71" s="16"/>
    </row>
    <row r="72" spans="2:9" x14ac:dyDescent="0.2">
      <c r="B72" s="39" t="s">
        <v>87</v>
      </c>
      <c r="C72" s="39"/>
      <c r="D72" s="39"/>
      <c r="E72" s="39"/>
      <c r="F72" s="40">
        <v>13667.641147099999</v>
      </c>
      <c r="G72" s="41">
        <v>100</v>
      </c>
      <c r="H72" s="50"/>
      <c r="I72" s="16"/>
    </row>
    <row r="73" spans="2:9" x14ac:dyDescent="0.2">
      <c r="B73" s="16"/>
      <c r="C73" s="16"/>
      <c r="D73" s="16"/>
      <c r="E73" s="16"/>
      <c r="F73" s="63"/>
      <c r="G73" s="64"/>
      <c r="H73" s="16"/>
      <c r="I73" s="16"/>
    </row>
    <row r="74" spans="2:9" x14ac:dyDescent="0.2">
      <c r="B74" s="16" t="s">
        <v>490</v>
      </c>
    </row>
    <row r="76" spans="2:9" x14ac:dyDescent="0.2">
      <c r="B76" s="16" t="s">
        <v>93</v>
      </c>
    </row>
    <row r="92" spans="2:2" x14ac:dyDescent="0.2">
      <c r="B92" s="60" t="s">
        <v>1355</v>
      </c>
    </row>
    <row r="93" spans="2:2" x14ac:dyDescent="0.2">
      <c r="B93" s="61" t="s">
        <v>1361</v>
      </c>
    </row>
  </sheetData>
  <mergeCells count="1">
    <mergeCell ref="B1:C1"/>
  </mergeCells>
  <conditionalFormatting sqref="G1:G3">
    <cfRule type="cellIs" dxfId="5" priority="4" stopIfTrue="1" operator="between">
      <formula>0.009</formula>
      <formula>-0.009</formula>
    </cfRule>
  </conditionalFormatting>
  <conditionalFormatting sqref="G5:G108">
    <cfRule type="cellIs" dxfId="4" priority="1" stopIfTrue="1" operator="between">
      <formula>0.009</formula>
      <formula>-0.009</formula>
    </cfRule>
  </conditionalFormatting>
  <hyperlinks>
    <hyperlink ref="A2" location="JBNNX50!A1" display="-" xr:uid="{6A0E78B2-6B08-4D2E-821A-98401F79AAE3}"/>
  </hyperlinks>
  <pageMargins left="0.7" right="0.7" top="0.75" bottom="0.75" header="0.3" footer="0.3"/>
  <pageSetup paperSize="9" scale="59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397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5933-6CE4-4D0E-BD9C-392101AD08AA}">
  <dimension ref="A1:I185"/>
  <sheetViews>
    <sheetView view="pageBreakPreview" zoomScaleNormal="100" zoomScaleSheetLayoutView="100" workbookViewId="0">
      <selection activeCell="B1" sqref="B1:C1"/>
    </sheetView>
  </sheetViews>
  <sheetFormatPr defaultColWidth="9.21875" defaultRowHeight="10.199999999999999" x14ac:dyDescent="0.2"/>
  <cols>
    <col min="1" max="1" width="7.21875" style="6" customWidth="1"/>
    <col min="2" max="2" width="52.77734375" style="6" bestFit="1" customWidth="1"/>
    <col min="3" max="3" width="11.21875" style="6" bestFit="1" customWidth="1"/>
    <col min="4" max="4" width="32.21875" style="6" bestFit="1" customWidth="1"/>
    <col min="5" max="5" width="13.77734375" style="6" bestFit="1" customWidth="1"/>
    <col min="6" max="6" width="13.44140625" style="8" bestFit="1" customWidth="1"/>
    <col min="7" max="7" width="6.77734375" style="14" bestFit="1" customWidth="1"/>
    <col min="8" max="8" width="13.77734375" style="6" bestFit="1" customWidth="1"/>
    <col min="9" max="16384" width="9.21875" style="6"/>
  </cols>
  <sheetData>
    <row r="1" spans="1:9" s="1" customFormat="1" ht="16.8" customHeight="1" x14ac:dyDescent="0.25">
      <c r="B1" s="80" t="s">
        <v>16</v>
      </c>
      <c r="C1" s="81"/>
      <c r="D1" s="10"/>
      <c r="F1" s="5"/>
      <c r="G1" s="14"/>
    </row>
    <row r="2" spans="1:9" s="1" customFormat="1" ht="14.4" x14ac:dyDescent="0.3">
      <c r="A2" s="59" t="s">
        <v>1372</v>
      </c>
      <c r="F2" s="5"/>
      <c r="G2" s="14"/>
    </row>
    <row r="3" spans="1:9" s="1" customFormat="1" ht="12" x14ac:dyDescent="0.2">
      <c r="B3" s="7" t="s">
        <v>9</v>
      </c>
      <c r="C3" s="2"/>
      <c r="D3" s="3"/>
      <c r="E3" s="3"/>
      <c r="F3" s="4"/>
      <c r="G3" s="14"/>
    </row>
    <row r="4" spans="1:9" s="1" customFormat="1" ht="25.5" customHeight="1" x14ac:dyDescent="0.2">
      <c r="B4" s="18" t="s">
        <v>7</v>
      </c>
      <c r="C4" s="18" t="s">
        <v>8</v>
      </c>
      <c r="D4" s="19" t="s">
        <v>377</v>
      </c>
      <c r="E4" s="19" t="s">
        <v>0</v>
      </c>
      <c r="F4" s="20" t="s">
        <v>4</v>
      </c>
      <c r="G4" s="21" t="s">
        <v>5</v>
      </c>
      <c r="H4" s="51" t="s">
        <v>6</v>
      </c>
      <c r="I4" s="9"/>
    </row>
    <row r="5" spans="1:9" x14ac:dyDescent="0.2">
      <c r="B5" s="23" t="s">
        <v>248</v>
      </c>
      <c r="C5" s="24"/>
      <c r="D5" s="24"/>
      <c r="E5" s="24"/>
      <c r="F5" s="25"/>
      <c r="G5" s="26"/>
      <c r="H5" s="24"/>
    </row>
    <row r="6" spans="1:9" x14ac:dyDescent="0.2">
      <c r="B6" s="23" t="s">
        <v>249</v>
      </c>
      <c r="C6" s="24"/>
      <c r="D6" s="24"/>
      <c r="E6" s="24"/>
      <c r="F6" s="25"/>
      <c r="G6" s="26"/>
      <c r="H6" s="24"/>
    </row>
    <row r="7" spans="1:9" x14ac:dyDescent="0.2">
      <c r="B7" s="24" t="s">
        <v>491</v>
      </c>
      <c r="C7" s="24" t="s">
        <v>492</v>
      </c>
      <c r="D7" s="24" t="s">
        <v>493</v>
      </c>
      <c r="E7" s="28">
        <v>17602</v>
      </c>
      <c r="F7" s="25">
        <v>510.880448</v>
      </c>
      <c r="G7" s="26">
        <v>3.08907744605761</v>
      </c>
      <c r="H7" s="24"/>
    </row>
    <row r="8" spans="1:9" x14ac:dyDescent="0.2">
      <c r="B8" s="24" t="s">
        <v>494</v>
      </c>
      <c r="C8" s="24" t="s">
        <v>495</v>
      </c>
      <c r="D8" s="24" t="s">
        <v>276</v>
      </c>
      <c r="E8" s="28">
        <v>5595</v>
      </c>
      <c r="F8" s="25">
        <v>345.46327500000001</v>
      </c>
      <c r="G8" s="26">
        <v>2.08886994094496</v>
      </c>
      <c r="H8" s="24"/>
    </row>
    <row r="9" spans="1:9" x14ac:dyDescent="0.2">
      <c r="B9" s="24" t="s">
        <v>496</v>
      </c>
      <c r="C9" s="24" t="s">
        <v>497</v>
      </c>
      <c r="D9" s="24" t="s">
        <v>263</v>
      </c>
      <c r="E9" s="28">
        <v>4625</v>
      </c>
      <c r="F9" s="25">
        <v>293.82625000000002</v>
      </c>
      <c r="G9" s="26">
        <v>1.77664274584782</v>
      </c>
      <c r="H9" s="24"/>
    </row>
    <row r="10" spans="1:9" x14ac:dyDescent="0.2">
      <c r="B10" s="24" t="s">
        <v>498</v>
      </c>
      <c r="C10" s="24" t="s">
        <v>499</v>
      </c>
      <c r="D10" s="24" t="s">
        <v>432</v>
      </c>
      <c r="E10" s="28">
        <v>522774</v>
      </c>
      <c r="F10" s="25">
        <v>282.35023740000003</v>
      </c>
      <c r="G10" s="26">
        <v>1.7072521637025999</v>
      </c>
      <c r="H10" s="24"/>
    </row>
    <row r="11" spans="1:9" x14ac:dyDescent="0.2">
      <c r="B11" s="24" t="s">
        <v>500</v>
      </c>
      <c r="C11" s="24" t="s">
        <v>501</v>
      </c>
      <c r="D11" s="24" t="s">
        <v>263</v>
      </c>
      <c r="E11" s="28">
        <v>14408</v>
      </c>
      <c r="F11" s="25">
        <v>275.00549599999999</v>
      </c>
      <c r="G11" s="26">
        <v>1.6628416267664401</v>
      </c>
      <c r="H11" s="24"/>
    </row>
    <row r="12" spans="1:9" x14ac:dyDescent="0.2">
      <c r="B12" s="24" t="s">
        <v>502</v>
      </c>
      <c r="C12" s="24" t="s">
        <v>503</v>
      </c>
      <c r="D12" s="24" t="s">
        <v>252</v>
      </c>
      <c r="E12" s="28">
        <v>105941</v>
      </c>
      <c r="F12" s="25">
        <v>273.24302719999997</v>
      </c>
      <c r="G12" s="26">
        <v>1.65218472525303</v>
      </c>
      <c r="H12" s="24"/>
    </row>
    <row r="13" spans="1:9" x14ac:dyDescent="0.2">
      <c r="B13" s="24" t="s">
        <v>504</v>
      </c>
      <c r="C13" s="24" t="s">
        <v>505</v>
      </c>
      <c r="D13" s="24" t="s">
        <v>506</v>
      </c>
      <c r="E13" s="28">
        <v>14534</v>
      </c>
      <c r="F13" s="25">
        <v>264.358926</v>
      </c>
      <c r="G13" s="26">
        <v>1.59846633232402</v>
      </c>
      <c r="H13" s="24"/>
    </row>
    <row r="14" spans="1:9" x14ac:dyDescent="0.2">
      <c r="B14" s="24" t="s">
        <v>507</v>
      </c>
      <c r="C14" s="24" t="s">
        <v>508</v>
      </c>
      <c r="D14" s="24" t="s">
        <v>509</v>
      </c>
      <c r="E14" s="28">
        <v>5824</v>
      </c>
      <c r="F14" s="25">
        <v>260.87443200000001</v>
      </c>
      <c r="G14" s="26">
        <v>1.5773970745975601</v>
      </c>
      <c r="H14" s="24"/>
    </row>
    <row r="15" spans="1:9" x14ac:dyDescent="0.2">
      <c r="B15" s="24" t="s">
        <v>510</v>
      </c>
      <c r="C15" s="24" t="s">
        <v>511</v>
      </c>
      <c r="D15" s="24" t="s">
        <v>298</v>
      </c>
      <c r="E15" s="28">
        <v>1767</v>
      </c>
      <c r="F15" s="25">
        <v>257.99966999999998</v>
      </c>
      <c r="G15" s="26">
        <v>1.5600146077371599</v>
      </c>
      <c r="H15" s="24"/>
    </row>
    <row r="16" spans="1:9" x14ac:dyDescent="0.2">
      <c r="B16" s="24" t="s">
        <v>512</v>
      </c>
      <c r="C16" s="24" t="s">
        <v>513</v>
      </c>
      <c r="D16" s="24" t="s">
        <v>252</v>
      </c>
      <c r="E16" s="28">
        <v>28386</v>
      </c>
      <c r="F16" s="25">
        <v>243.70800299999999</v>
      </c>
      <c r="G16" s="26">
        <v>1.473598957326</v>
      </c>
      <c r="H16" s="24"/>
    </row>
    <row r="17" spans="2:8" x14ac:dyDescent="0.2">
      <c r="B17" s="24" t="s">
        <v>514</v>
      </c>
      <c r="C17" s="24" t="s">
        <v>515</v>
      </c>
      <c r="D17" s="24" t="s">
        <v>493</v>
      </c>
      <c r="E17" s="28">
        <v>8761</v>
      </c>
      <c r="F17" s="25">
        <v>234.18153000000001</v>
      </c>
      <c r="G17" s="26">
        <v>1.41599641450021</v>
      </c>
      <c r="H17" s="24"/>
    </row>
    <row r="18" spans="2:8" x14ac:dyDescent="0.2">
      <c r="B18" s="24" t="s">
        <v>516</v>
      </c>
      <c r="C18" s="24" t="s">
        <v>517</v>
      </c>
      <c r="D18" s="24" t="s">
        <v>252</v>
      </c>
      <c r="E18" s="28">
        <v>24255</v>
      </c>
      <c r="F18" s="25">
        <v>231.6958875</v>
      </c>
      <c r="G18" s="26">
        <v>1.4009667882622701</v>
      </c>
      <c r="H18" s="24"/>
    </row>
    <row r="19" spans="2:8" x14ac:dyDescent="0.2">
      <c r="B19" s="24" t="s">
        <v>518</v>
      </c>
      <c r="C19" s="24" t="s">
        <v>519</v>
      </c>
      <c r="D19" s="24" t="s">
        <v>260</v>
      </c>
      <c r="E19" s="28">
        <v>56965</v>
      </c>
      <c r="F19" s="25">
        <v>228.4581325</v>
      </c>
      <c r="G19" s="26">
        <v>1.3813894566467899</v>
      </c>
      <c r="H19" s="24"/>
    </row>
    <row r="20" spans="2:8" x14ac:dyDescent="0.2">
      <c r="B20" s="24" t="s">
        <v>520</v>
      </c>
      <c r="C20" s="24" t="s">
        <v>521</v>
      </c>
      <c r="D20" s="24" t="s">
        <v>293</v>
      </c>
      <c r="E20" s="28">
        <v>10427</v>
      </c>
      <c r="F20" s="25">
        <v>217.11099400000001</v>
      </c>
      <c r="G20" s="26">
        <v>1.31277812153921</v>
      </c>
      <c r="H20" s="24"/>
    </row>
    <row r="21" spans="2:8" x14ac:dyDescent="0.2">
      <c r="B21" s="24" t="s">
        <v>522</v>
      </c>
      <c r="C21" s="24" t="s">
        <v>523</v>
      </c>
      <c r="D21" s="24" t="s">
        <v>252</v>
      </c>
      <c r="E21" s="28">
        <v>270555</v>
      </c>
      <c r="F21" s="25">
        <v>216.79572150000001</v>
      </c>
      <c r="G21" s="26">
        <v>1.31087180241323</v>
      </c>
      <c r="H21" s="24"/>
    </row>
    <row r="22" spans="2:8" x14ac:dyDescent="0.2">
      <c r="B22" s="24" t="s">
        <v>524</v>
      </c>
      <c r="C22" s="24" t="s">
        <v>525</v>
      </c>
      <c r="D22" s="24" t="s">
        <v>506</v>
      </c>
      <c r="E22" s="28">
        <v>15834</v>
      </c>
      <c r="F22" s="25">
        <v>209.103804</v>
      </c>
      <c r="G22" s="26">
        <v>1.2643620388096199</v>
      </c>
      <c r="H22" s="24"/>
    </row>
    <row r="23" spans="2:8" x14ac:dyDescent="0.2">
      <c r="B23" s="24" t="s">
        <v>526</v>
      </c>
      <c r="C23" s="24" t="s">
        <v>527</v>
      </c>
      <c r="D23" s="24" t="s">
        <v>353</v>
      </c>
      <c r="E23" s="28">
        <v>22460</v>
      </c>
      <c r="F23" s="25">
        <v>206.42985999999999</v>
      </c>
      <c r="G23" s="26">
        <v>1.2481938332445801</v>
      </c>
      <c r="H23" s="24"/>
    </row>
    <row r="24" spans="2:8" x14ac:dyDescent="0.2">
      <c r="B24" s="24" t="s">
        <v>528</v>
      </c>
      <c r="C24" s="24" t="s">
        <v>529</v>
      </c>
      <c r="D24" s="24" t="s">
        <v>530</v>
      </c>
      <c r="E24" s="28">
        <v>123315</v>
      </c>
      <c r="F24" s="25">
        <v>194.98567800000001</v>
      </c>
      <c r="G24" s="26">
        <v>1.1789957172407799</v>
      </c>
      <c r="H24" s="24"/>
    </row>
    <row r="25" spans="2:8" x14ac:dyDescent="0.2">
      <c r="B25" s="24" t="s">
        <v>531</v>
      </c>
      <c r="C25" s="24" t="s">
        <v>532</v>
      </c>
      <c r="D25" s="24" t="s">
        <v>252</v>
      </c>
      <c r="E25" s="28">
        <v>848770</v>
      </c>
      <c r="F25" s="25">
        <v>194.622961</v>
      </c>
      <c r="G25" s="26">
        <v>1.1768025213406701</v>
      </c>
      <c r="H25" s="24"/>
    </row>
    <row r="26" spans="2:8" x14ac:dyDescent="0.2">
      <c r="B26" s="24" t="s">
        <v>533</v>
      </c>
      <c r="C26" s="24" t="s">
        <v>534</v>
      </c>
      <c r="D26" s="24" t="s">
        <v>350</v>
      </c>
      <c r="E26" s="28">
        <v>11358</v>
      </c>
      <c r="F26" s="25">
        <v>193.32451800000001</v>
      </c>
      <c r="G26" s="26">
        <v>1.1689513870841199</v>
      </c>
      <c r="H26" s="24"/>
    </row>
    <row r="27" spans="2:8" x14ac:dyDescent="0.2">
      <c r="B27" s="24" t="s">
        <v>535</v>
      </c>
      <c r="C27" s="24" t="s">
        <v>536</v>
      </c>
      <c r="D27" s="24" t="s">
        <v>255</v>
      </c>
      <c r="E27" s="28">
        <v>41391</v>
      </c>
      <c r="F27" s="25">
        <v>189.36382499999999</v>
      </c>
      <c r="G27" s="26">
        <v>1.1450027559220699</v>
      </c>
      <c r="H27" s="24"/>
    </row>
    <row r="28" spans="2:8" x14ac:dyDescent="0.2">
      <c r="B28" s="24" t="s">
        <v>537</v>
      </c>
      <c r="C28" s="24" t="s">
        <v>538</v>
      </c>
      <c r="D28" s="24" t="s">
        <v>539</v>
      </c>
      <c r="E28" s="28">
        <v>24505</v>
      </c>
      <c r="F28" s="25">
        <v>185.9071825</v>
      </c>
      <c r="G28" s="26">
        <v>1.1241019044065399</v>
      </c>
      <c r="H28" s="24"/>
    </row>
    <row r="29" spans="2:8" x14ac:dyDescent="0.2">
      <c r="B29" s="24" t="s">
        <v>540</v>
      </c>
      <c r="C29" s="24" t="s">
        <v>541</v>
      </c>
      <c r="D29" s="24" t="s">
        <v>438</v>
      </c>
      <c r="E29" s="28">
        <v>6256</v>
      </c>
      <c r="F29" s="25">
        <v>183.131888</v>
      </c>
      <c r="G29" s="26">
        <v>1.1073208753425401</v>
      </c>
      <c r="H29" s="24"/>
    </row>
    <row r="30" spans="2:8" x14ac:dyDescent="0.2">
      <c r="B30" s="24" t="s">
        <v>542</v>
      </c>
      <c r="C30" s="24" t="s">
        <v>543</v>
      </c>
      <c r="D30" s="24" t="s">
        <v>283</v>
      </c>
      <c r="E30" s="28">
        <v>4622</v>
      </c>
      <c r="F30" s="25">
        <v>173.05692400000001</v>
      </c>
      <c r="G30" s="26">
        <v>1.0464018400103401</v>
      </c>
      <c r="H30" s="24"/>
    </row>
    <row r="31" spans="2:8" x14ac:dyDescent="0.2">
      <c r="B31" s="24" t="s">
        <v>544</v>
      </c>
      <c r="C31" s="24" t="s">
        <v>545</v>
      </c>
      <c r="D31" s="24" t="s">
        <v>327</v>
      </c>
      <c r="E31" s="28">
        <v>153783</v>
      </c>
      <c r="F31" s="25">
        <v>166.62388050000001</v>
      </c>
      <c r="G31" s="26">
        <v>1.0075039536982799</v>
      </c>
      <c r="H31" s="24"/>
    </row>
    <row r="32" spans="2:8" x14ac:dyDescent="0.2">
      <c r="B32" s="24" t="s">
        <v>546</v>
      </c>
      <c r="C32" s="24" t="s">
        <v>547</v>
      </c>
      <c r="D32" s="24" t="s">
        <v>417</v>
      </c>
      <c r="E32" s="28">
        <v>11491</v>
      </c>
      <c r="F32" s="25">
        <v>164.757958</v>
      </c>
      <c r="G32" s="26">
        <v>0.99622151152730498</v>
      </c>
      <c r="H32" s="24"/>
    </row>
    <row r="33" spans="2:8" x14ac:dyDescent="0.2">
      <c r="B33" s="24" t="s">
        <v>548</v>
      </c>
      <c r="C33" s="24" t="s">
        <v>549</v>
      </c>
      <c r="D33" s="24" t="s">
        <v>365</v>
      </c>
      <c r="E33" s="28">
        <v>22811</v>
      </c>
      <c r="F33" s="25">
        <v>163.64611400000001</v>
      </c>
      <c r="G33" s="26">
        <v>0.98949866230224603</v>
      </c>
      <c r="H33" s="24"/>
    </row>
    <row r="34" spans="2:8" x14ac:dyDescent="0.2">
      <c r="B34" s="24" t="s">
        <v>550</v>
      </c>
      <c r="C34" s="24" t="s">
        <v>551</v>
      </c>
      <c r="D34" s="24" t="s">
        <v>509</v>
      </c>
      <c r="E34" s="28">
        <v>2167</v>
      </c>
      <c r="F34" s="25">
        <v>161.8749</v>
      </c>
      <c r="G34" s="26">
        <v>0.97878888227257199</v>
      </c>
      <c r="H34" s="24"/>
    </row>
    <row r="35" spans="2:8" x14ac:dyDescent="0.2">
      <c r="B35" s="24" t="s">
        <v>552</v>
      </c>
      <c r="C35" s="24" t="s">
        <v>553</v>
      </c>
      <c r="D35" s="24" t="s">
        <v>432</v>
      </c>
      <c r="E35" s="28">
        <v>55385</v>
      </c>
      <c r="F35" s="25">
        <v>161.08727250000001</v>
      </c>
      <c r="G35" s="26">
        <v>0.97402643274906797</v>
      </c>
      <c r="H35" s="24"/>
    </row>
    <row r="36" spans="2:8" x14ac:dyDescent="0.2">
      <c r="B36" s="24" t="s">
        <v>554</v>
      </c>
      <c r="C36" s="24" t="s">
        <v>555</v>
      </c>
      <c r="D36" s="24" t="s">
        <v>288</v>
      </c>
      <c r="E36" s="28">
        <v>58820</v>
      </c>
      <c r="F36" s="25">
        <v>157.231742</v>
      </c>
      <c r="G36" s="26">
        <v>0.950713674633617</v>
      </c>
      <c r="H36" s="24"/>
    </row>
    <row r="37" spans="2:8" x14ac:dyDescent="0.2">
      <c r="B37" s="24" t="s">
        <v>556</v>
      </c>
      <c r="C37" s="24" t="s">
        <v>557</v>
      </c>
      <c r="D37" s="24" t="s">
        <v>432</v>
      </c>
      <c r="E37" s="28">
        <v>5343</v>
      </c>
      <c r="F37" s="25">
        <v>153.953202</v>
      </c>
      <c r="G37" s="26">
        <v>0.93088973341675196</v>
      </c>
      <c r="H37" s="24"/>
    </row>
    <row r="38" spans="2:8" x14ac:dyDescent="0.2">
      <c r="B38" s="24" t="s">
        <v>558</v>
      </c>
      <c r="C38" s="24" t="s">
        <v>559</v>
      </c>
      <c r="D38" s="24" t="s">
        <v>293</v>
      </c>
      <c r="E38" s="28">
        <v>12053</v>
      </c>
      <c r="F38" s="25">
        <v>147.854151</v>
      </c>
      <c r="G38" s="26">
        <v>0.89401135813304</v>
      </c>
      <c r="H38" s="24"/>
    </row>
    <row r="39" spans="2:8" x14ac:dyDescent="0.2">
      <c r="B39" s="24" t="s">
        <v>560</v>
      </c>
      <c r="C39" s="24" t="s">
        <v>561</v>
      </c>
      <c r="D39" s="24" t="s">
        <v>283</v>
      </c>
      <c r="E39" s="28">
        <v>2967</v>
      </c>
      <c r="F39" s="25">
        <v>140.297562</v>
      </c>
      <c r="G39" s="26">
        <v>0.84831986858708097</v>
      </c>
      <c r="H39" s="24"/>
    </row>
    <row r="40" spans="2:8" x14ac:dyDescent="0.2">
      <c r="B40" s="24" t="s">
        <v>562</v>
      </c>
      <c r="C40" s="24" t="s">
        <v>563</v>
      </c>
      <c r="D40" s="24" t="s">
        <v>429</v>
      </c>
      <c r="E40" s="28">
        <v>8041</v>
      </c>
      <c r="F40" s="25">
        <v>139.65608800000001</v>
      </c>
      <c r="G40" s="26">
        <v>0.844441147306222</v>
      </c>
      <c r="H40" s="24"/>
    </row>
    <row r="41" spans="2:8" x14ac:dyDescent="0.2">
      <c r="B41" s="24" t="s">
        <v>564</v>
      </c>
      <c r="C41" s="24" t="s">
        <v>565</v>
      </c>
      <c r="D41" s="24" t="s">
        <v>288</v>
      </c>
      <c r="E41" s="28">
        <v>36619</v>
      </c>
      <c r="F41" s="25">
        <v>138.52967699999999</v>
      </c>
      <c r="G41" s="26">
        <v>0.83763021760884704</v>
      </c>
      <c r="H41" s="24"/>
    </row>
    <row r="42" spans="2:8" x14ac:dyDescent="0.2">
      <c r="B42" s="24" t="s">
        <v>566</v>
      </c>
      <c r="C42" s="24" t="s">
        <v>567</v>
      </c>
      <c r="D42" s="24" t="s">
        <v>293</v>
      </c>
      <c r="E42" s="28">
        <v>2427</v>
      </c>
      <c r="F42" s="25">
        <v>137.97495000000001</v>
      </c>
      <c r="G42" s="26">
        <v>0.83427601865461498</v>
      </c>
      <c r="H42" s="24"/>
    </row>
    <row r="43" spans="2:8" x14ac:dyDescent="0.2">
      <c r="B43" s="24" t="s">
        <v>568</v>
      </c>
      <c r="C43" s="24" t="s">
        <v>569</v>
      </c>
      <c r="D43" s="24" t="s">
        <v>263</v>
      </c>
      <c r="E43" s="28">
        <v>4907</v>
      </c>
      <c r="F43" s="25">
        <v>137.955398</v>
      </c>
      <c r="G43" s="26">
        <v>0.83415779600103401</v>
      </c>
      <c r="H43" s="24"/>
    </row>
    <row r="44" spans="2:8" x14ac:dyDescent="0.2">
      <c r="B44" s="24" t="s">
        <v>570</v>
      </c>
      <c r="C44" s="24" t="s">
        <v>571</v>
      </c>
      <c r="D44" s="24" t="s">
        <v>429</v>
      </c>
      <c r="E44" s="28">
        <v>6475</v>
      </c>
      <c r="F44" s="25">
        <v>136.92035000000001</v>
      </c>
      <c r="G44" s="26">
        <v>0.82789929962501496</v>
      </c>
      <c r="H44" s="24"/>
    </row>
    <row r="45" spans="2:8" x14ac:dyDescent="0.2">
      <c r="B45" s="24" t="s">
        <v>572</v>
      </c>
      <c r="C45" s="24" t="s">
        <v>573</v>
      </c>
      <c r="D45" s="24" t="s">
        <v>298</v>
      </c>
      <c r="E45" s="28">
        <v>9813</v>
      </c>
      <c r="F45" s="25">
        <v>135.056319</v>
      </c>
      <c r="G45" s="26">
        <v>0.81662829455250896</v>
      </c>
      <c r="H45" s="24"/>
    </row>
    <row r="46" spans="2:8" x14ac:dyDescent="0.2">
      <c r="B46" s="24" t="s">
        <v>574</v>
      </c>
      <c r="C46" s="24" t="s">
        <v>575</v>
      </c>
      <c r="D46" s="24" t="s">
        <v>509</v>
      </c>
      <c r="E46" s="28">
        <v>7817</v>
      </c>
      <c r="F46" s="25">
        <v>134.36641299999999</v>
      </c>
      <c r="G46" s="26">
        <v>0.81245672550373604</v>
      </c>
      <c r="H46" s="24"/>
    </row>
    <row r="47" spans="2:8" x14ac:dyDescent="0.2">
      <c r="B47" s="24" t="s">
        <v>576</v>
      </c>
      <c r="C47" s="24" t="s">
        <v>577</v>
      </c>
      <c r="D47" s="24" t="s">
        <v>417</v>
      </c>
      <c r="E47" s="28">
        <v>87</v>
      </c>
      <c r="F47" s="25">
        <v>132.6054</v>
      </c>
      <c r="G47" s="26">
        <v>0.801808626595644</v>
      </c>
      <c r="H47" s="24"/>
    </row>
    <row r="48" spans="2:8" x14ac:dyDescent="0.2">
      <c r="B48" s="24" t="s">
        <v>578</v>
      </c>
      <c r="C48" s="24" t="s">
        <v>579</v>
      </c>
      <c r="D48" s="24" t="s">
        <v>252</v>
      </c>
      <c r="E48" s="28">
        <v>15231</v>
      </c>
      <c r="F48" s="25">
        <v>132.5477775</v>
      </c>
      <c r="G48" s="26">
        <v>0.80146020777117699</v>
      </c>
      <c r="H48" s="24"/>
    </row>
    <row r="49" spans="2:8" x14ac:dyDescent="0.2">
      <c r="B49" s="24" t="s">
        <v>580</v>
      </c>
      <c r="C49" s="24" t="s">
        <v>581</v>
      </c>
      <c r="D49" s="24" t="s">
        <v>435</v>
      </c>
      <c r="E49" s="28">
        <v>25413</v>
      </c>
      <c r="F49" s="25">
        <v>131.486862</v>
      </c>
      <c r="G49" s="26">
        <v>0.79504530159096798</v>
      </c>
      <c r="H49" s="24"/>
    </row>
    <row r="50" spans="2:8" x14ac:dyDescent="0.2">
      <c r="B50" s="24" t="s">
        <v>582</v>
      </c>
      <c r="C50" s="24" t="s">
        <v>583</v>
      </c>
      <c r="D50" s="24" t="s">
        <v>432</v>
      </c>
      <c r="E50" s="28">
        <v>4085</v>
      </c>
      <c r="F50" s="25">
        <v>129.59662499999999</v>
      </c>
      <c r="G50" s="26">
        <v>0.78361583994830297</v>
      </c>
      <c r="H50" s="24"/>
    </row>
    <row r="51" spans="2:8" x14ac:dyDescent="0.2">
      <c r="B51" s="24" t="s">
        <v>584</v>
      </c>
      <c r="C51" s="24" t="s">
        <v>585</v>
      </c>
      <c r="D51" s="24" t="s">
        <v>417</v>
      </c>
      <c r="E51" s="28">
        <v>4602</v>
      </c>
      <c r="F51" s="25">
        <v>128.13808800000001</v>
      </c>
      <c r="G51" s="26">
        <v>0.77479668515665101</v>
      </c>
      <c r="H51" s="24"/>
    </row>
    <row r="52" spans="2:8" x14ac:dyDescent="0.2">
      <c r="B52" s="24" t="s">
        <v>586</v>
      </c>
      <c r="C52" s="24" t="s">
        <v>587</v>
      </c>
      <c r="D52" s="24" t="s">
        <v>252</v>
      </c>
      <c r="E52" s="28">
        <v>83279</v>
      </c>
      <c r="F52" s="25">
        <v>127.6417233</v>
      </c>
      <c r="G52" s="26">
        <v>0.77179537828379696</v>
      </c>
      <c r="H52" s="24"/>
    </row>
    <row r="53" spans="2:8" x14ac:dyDescent="0.2">
      <c r="B53" s="24" t="s">
        <v>588</v>
      </c>
      <c r="C53" s="24" t="s">
        <v>589</v>
      </c>
      <c r="D53" s="24" t="s">
        <v>293</v>
      </c>
      <c r="E53" s="28">
        <v>6490</v>
      </c>
      <c r="F53" s="25">
        <v>126.30838</v>
      </c>
      <c r="G53" s="26">
        <v>0.76373321671154204</v>
      </c>
      <c r="H53" s="24"/>
    </row>
    <row r="54" spans="2:8" x14ac:dyDescent="0.2">
      <c r="B54" s="24" t="s">
        <v>590</v>
      </c>
      <c r="C54" s="24" t="s">
        <v>591</v>
      </c>
      <c r="D54" s="24" t="s">
        <v>435</v>
      </c>
      <c r="E54" s="28">
        <v>5676</v>
      </c>
      <c r="F54" s="25">
        <v>123.089736</v>
      </c>
      <c r="G54" s="26">
        <v>0.74427144120963695</v>
      </c>
      <c r="H54" s="24"/>
    </row>
    <row r="55" spans="2:8" x14ac:dyDescent="0.2">
      <c r="B55" s="24" t="s">
        <v>592</v>
      </c>
      <c r="C55" s="24" t="s">
        <v>593</v>
      </c>
      <c r="D55" s="24" t="s">
        <v>288</v>
      </c>
      <c r="E55" s="28">
        <v>90324</v>
      </c>
      <c r="F55" s="25">
        <v>122.659992</v>
      </c>
      <c r="G55" s="26">
        <v>0.74167296146124295</v>
      </c>
      <c r="H55" s="24"/>
    </row>
    <row r="56" spans="2:8" x14ac:dyDescent="0.2">
      <c r="B56" s="24" t="s">
        <v>594</v>
      </c>
      <c r="C56" s="24" t="s">
        <v>595</v>
      </c>
      <c r="D56" s="24" t="s">
        <v>429</v>
      </c>
      <c r="E56" s="28">
        <v>7271</v>
      </c>
      <c r="F56" s="25">
        <v>121.95648300000001</v>
      </c>
      <c r="G56" s="26">
        <v>0.73741914083940097</v>
      </c>
      <c r="H56" s="24"/>
    </row>
    <row r="57" spans="2:8" x14ac:dyDescent="0.2">
      <c r="B57" s="24" t="s">
        <v>596</v>
      </c>
      <c r="C57" s="24" t="s">
        <v>597</v>
      </c>
      <c r="D57" s="24" t="s">
        <v>539</v>
      </c>
      <c r="E57" s="28">
        <v>5089</v>
      </c>
      <c r="F57" s="25">
        <v>121.225069</v>
      </c>
      <c r="G57" s="26">
        <v>0.73299659051480703</v>
      </c>
      <c r="H57" s="24"/>
    </row>
    <row r="58" spans="2:8" x14ac:dyDescent="0.2">
      <c r="B58" s="24" t="s">
        <v>598</v>
      </c>
      <c r="C58" s="24" t="s">
        <v>599</v>
      </c>
      <c r="D58" s="24" t="s">
        <v>432</v>
      </c>
      <c r="E58" s="28">
        <v>548</v>
      </c>
      <c r="F58" s="25">
        <v>120.86687999999999</v>
      </c>
      <c r="G58" s="26">
        <v>0.730830773510736</v>
      </c>
      <c r="H58" s="24"/>
    </row>
    <row r="59" spans="2:8" x14ac:dyDescent="0.2">
      <c r="B59" s="24" t="s">
        <v>600</v>
      </c>
      <c r="C59" s="24" t="s">
        <v>601</v>
      </c>
      <c r="D59" s="24" t="s">
        <v>539</v>
      </c>
      <c r="E59" s="28">
        <v>3491</v>
      </c>
      <c r="F59" s="25">
        <v>118.540396</v>
      </c>
      <c r="G59" s="26">
        <v>0.71676351123607196</v>
      </c>
      <c r="H59" s="24"/>
    </row>
    <row r="60" spans="2:8" x14ac:dyDescent="0.2">
      <c r="B60" s="24" t="s">
        <v>602</v>
      </c>
      <c r="C60" s="24" t="s">
        <v>603</v>
      </c>
      <c r="D60" s="24" t="s">
        <v>260</v>
      </c>
      <c r="E60" s="28">
        <v>1189963</v>
      </c>
      <c r="F60" s="25">
        <v>118.52031479999999</v>
      </c>
      <c r="G60" s="26">
        <v>0.71664208873448199</v>
      </c>
      <c r="H60" s="24"/>
    </row>
    <row r="61" spans="2:8" x14ac:dyDescent="0.2">
      <c r="B61" s="24" t="s">
        <v>604</v>
      </c>
      <c r="C61" s="24" t="s">
        <v>605</v>
      </c>
      <c r="D61" s="24" t="s">
        <v>283</v>
      </c>
      <c r="E61" s="28">
        <v>32944</v>
      </c>
      <c r="F61" s="25">
        <v>117.95599199999999</v>
      </c>
      <c r="G61" s="26">
        <v>0.71322986804645105</v>
      </c>
      <c r="H61" s="24"/>
    </row>
    <row r="62" spans="2:8" x14ac:dyDescent="0.2">
      <c r="B62" s="24" t="s">
        <v>606</v>
      </c>
      <c r="C62" s="24" t="s">
        <v>607</v>
      </c>
      <c r="D62" s="24" t="s">
        <v>493</v>
      </c>
      <c r="E62" s="28">
        <v>9945</v>
      </c>
      <c r="F62" s="25">
        <v>117.66924</v>
      </c>
      <c r="G62" s="26">
        <v>0.71149600029073701</v>
      </c>
      <c r="H62" s="24"/>
    </row>
    <row r="63" spans="2:8" x14ac:dyDescent="0.2">
      <c r="B63" s="24" t="s">
        <v>608</v>
      </c>
      <c r="C63" s="24" t="s">
        <v>609</v>
      </c>
      <c r="D63" s="24" t="s">
        <v>283</v>
      </c>
      <c r="E63" s="28">
        <v>12918</v>
      </c>
      <c r="F63" s="25">
        <v>113.697777</v>
      </c>
      <c r="G63" s="26">
        <v>0.68748224750536402</v>
      </c>
      <c r="H63" s="24"/>
    </row>
    <row r="64" spans="2:8" x14ac:dyDescent="0.2">
      <c r="B64" s="24" t="s">
        <v>610</v>
      </c>
      <c r="C64" s="24" t="s">
        <v>611</v>
      </c>
      <c r="D64" s="24" t="s">
        <v>509</v>
      </c>
      <c r="E64" s="28">
        <v>2657</v>
      </c>
      <c r="F64" s="25">
        <v>110.14859199999999</v>
      </c>
      <c r="G64" s="26">
        <v>0.66602183073211196</v>
      </c>
      <c r="H64" s="24"/>
    </row>
    <row r="65" spans="2:8" x14ac:dyDescent="0.2">
      <c r="B65" s="24" t="s">
        <v>612</v>
      </c>
      <c r="C65" s="24" t="s">
        <v>613</v>
      </c>
      <c r="D65" s="24" t="s">
        <v>614</v>
      </c>
      <c r="E65" s="28">
        <v>148964</v>
      </c>
      <c r="F65" s="25">
        <v>110.11418879999999</v>
      </c>
      <c r="G65" s="26">
        <v>0.66581380916932098</v>
      </c>
      <c r="H65" s="24"/>
    </row>
    <row r="66" spans="2:8" x14ac:dyDescent="0.2">
      <c r="B66" s="24" t="s">
        <v>615</v>
      </c>
      <c r="C66" s="24" t="s">
        <v>616</v>
      </c>
      <c r="D66" s="24" t="s">
        <v>283</v>
      </c>
      <c r="E66" s="28">
        <v>35139</v>
      </c>
      <c r="F66" s="25">
        <v>109.75666649999999</v>
      </c>
      <c r="G66" s="26">
        <v>0.66365202341745599</v>
      </c>
      <c r="H66" s="24"/>
    </row>
    <row r="67" spans="2:8" x14ac:dyDescent="0.2">
      <c r="B67" s="24" t="s">
        <v>617</v>
      </c>
      <c r="C67" s="24" t="s">
        <v>618</v>
      </c>
      <c r="D67" s="24" t="s">
        <v>293</v>
      </c>
      <c r="E67" s="28">
        <v>4873</v>
      </c>
      <c r="F67" s="25">
        <v>109.69123</v>
      </c>
      <c r="G67" s="26">
        <v>0.66325635664827298</v>
      </c>
      <c r="H67" s="24"/>
    </row>
    <row r="68" spans="2:8" x14ac:dyDescent="0.2">
      <c r="B68" s="24" t="s">
        <v>619</v>
      </c>
      <c r="C68" s="24" t="s">
        <v>620</v>
      </c>
      <c r="D68" s="24" t="s">
        <v>301</v>
      </c>
      <c r="E68" s="28">
        <v>8200</v>
      </c>
      <c r="F68" s="25">
        <v>107.789</v>
      </c>
      <c r="G68" s="26">
        <v>0.65175437841986805</v>
      </c>
      <c r="H68" s="24"/>
    </row>
    <row r="69" spans="2:8" x14ac:dyDescent="0.2">
      <c r="B69" s="24" t="s">
        <v>621</v>
      </c>
      <c r="C69" s="24" t="s">
        <v>622</v>
      </c>
      <c r="D69" s="24" t="s">
        <v>307</v>
      </c>
      <c r="E69" s="28">
        <v>13842</v>
      </c>
      <c r="F69" s="25">
        <v>106.728741</v>
      </c>
      <c r="G69" s="26">
        <v>0.64534344181679004</v>
      </c>
      <c r="H69" s="24"/>
    </row>
    <row r="70" spans="2:8" x14ac:dyDescent="0.2">
      <c r="B70" s="24" t="s">
        <v>623</v>
      </c>
      <c r="C70" s="24" t="s">
        <v>624</v>
      </c>
      <c r="D70" s="24" t="s">
        <v>283</v>
      </c>
      <c r="E70" s="28">
        <v>28509</v>
      </c>
      <c r="F70" s="25">
        <v>106.0107165</v>
      </c>
      <c r="G70" s="26">
        <v>0.64100185212129501</v>
      </c>
      <c r="H70" s="24"/>
    </row>
    <row r="71" spans="2:8" x14ac:dyDescent="0.2">
      <c r="B71" s="24" t="s">
        <v>625</v>
      </c>
      <c r="C71" s="24" t="s">
        <v>626</v>
      </c>
      <c r="D71" s="24" t="s">
        <v>350</v>
      </c>
      <c r="E71" s="28">
        <v>16906</v>
      </c>
      <c r="F71" s="25">
        <v>104.774935</v>
      </c>
      <c r="G71" s="26">
        <v>0.633529605385587</v>
      </c>
      <c r="H71" s="24"/>
    </row>
    <row r="72" spans="2:8" x14ac:dyDescent="0.2">
      <c r="B72" s="24" t="s">
        <v>627</v>
      </c>
      <c r="C72" s="24" t="s">
        <v>628</v>
      </c>
      <c r="D72" s="24" t="s">
        <v>301</v>
      </c>
      <c r="E72" s="28">
        <v>136355</v>
      </c>
      <c r="F72" s="25">
        <v>104.63882700000001</v>
      </c>
      <c r="G72" s="26">
        <v>0.63270661802196004</v>
      </c>
      <c r="H72" s="24"/>
    </row>
    <row r="73" spans="2:8" x14ac:dyDescent="0.2">
      <c r="B73" s="24" t="s">
        <v>629</v>
      </c>
      <c r="C73" s="24" t="s">
        <v>630</v>
      </c>
      <c r="D73" s="24" t="s">
        <v>631</v>
      </c>
      <c r="E73" s="28">
        <v>272</v>
      </c>
      <c r="F73" s="25">
        <v>104.2304</v>
      </c>
      <c r="G73" s="26">
        <v>0.63023703313375401</v>
      </c>
      <c r="H73" s="24"/>
    </row>
    <row r="74" spans="2:8" x14ac:dyDescent="0.2">
      <c r="B74" s="24" t="s">
        <v>632</v>
      </c>
      <c r="C74" s="24" t="s">
        <v>633</v>
      </c>
      <c r="D74" s="24" t="s">
        <v>310</v>
      </c>
      <c r="E74" s="28">
        <v>1804</v>
      </c>
      <c r="F74" s="25">
        <v>103.87432</v>
      </c>
      <c r="G74" s="26">
        <v>0.62808396835842595</v>
      </c>
      <c r="H74" s="24"/>
    </row>
    <row r="75" spans="2:8" x14ac:dyDescent="0.2">
      <c r="B75" s="24" t="s">
        <v>634</v>
      </c>
      <c r="C75" s="24" t="s">
        <v>635</v>
      </c>
      <c r="D75" s="24" t="s">
        <v>293</v>
      </c>
      <c r="E75" s="28">
        <v>25887</v>
      </c>
      <c r="F75" s="25">
        <v>103.1208645</v>
      </c>
      <c r="G75" s="26">
        <v>0.62352814242934695</v>
      </c>
      <c r="H75" s="24"/>
    </row>
    <row r="76" spans="2:8" x14ac:dyDescent="0.2">
      <c r="B76" s="24" t="s">
        <v>636</v>
      </c>
      <c r="C76" s="24" t="s">
        <v>637</v>
      </c>
      <c r="D76" s="24" t="s">
        <v>397</v>
      </c>
      <c r="E76" s="28">
        <v>16876</v>
      </c>
      <c r="F76" s="25">
        <v>101.50914</v>
      </c>
      <c r="G76" s="26">
        <v>0.61378272777959997</v>
      </c>
      <c r="H76" s="24"/>
    </row>
    <row r="77" spans="2:8" x14ac:dyDescent="0.2">
      <c r="B77" s="24" t="s">
        <v>638</v>
      </c>
      <c r="C77" s="24" t="s">
        <v>639</v>
      </c>
      <c r="D77" s="24" t="s">
        <v>417</v>
      </c>
      <c r="E77" s="28">
        <v>7739</v>
      </c>
      <c r="F77" s="25">
        <v>101.133252</v>
      </c>
      <c r="G77" s="26">
        <v>0.61150989242723996</v>
      </c>
      <c r="H77" s="24"/>
    </row>
    <row r="78" spans="2:8" x14ac:dyDescent="0.2">
      <c r="B78" s="24" t="s">
        <v>640</v>
      </c>
      <c r="C78" s="24" t="s">
        <v>641</v>
      </c>
      <c r="D78" s="24" t="s">
        <v>324</v>
      </c>
      <c r="E78" s="28">
        <v>38650</v>
      </c>
      <c r="F78" s="25">
        <v>100.48227</v>
      </c>
      <c r="G78" s="26">
        <v>0.60757368030195402</v>
      </c>
      <c r="H78" s="24"/>
    </row>
    <row r="79" spans="2:8" x14ac:dyDescent="0.2">
      <c r="B79" s="24" t="s">
        <v>642</v>
      </c>
      <c r="C79" s="24" t="s">
        <v>643</v>
      </c>
      <c r="D79" s="24" t="s">
        <v>417</v>
      </c>
      <c r="E79" s="28">
        <v>19318</v>
      </c>
      <c r="F79" s="25">
        <v>98.859864999999999</v>
      </c>
      <c r="G79" s="26">
        <v>0.59776368519744105</v>
      </c>
      <c r="H79" s="24"/>
    </row>
    <row r="80" spans="2:8" x14ac:dyDescent="0.2">
      <c r="B80" s="24" t="s">
        <v>644</v>
      </c>
      <c r="C80" s="24" t="s">
        <v>645</v>
      </c>
      <c r="D80" s="24" t="s">
        <v>298</v>
      </c>
      <c r="E80" s="28">
        <v>5592</v>
      </c>
      <c r="F80" s="25">
        <v>98.721168000000006</v>
      </c>
      <c r="G80" s="26">
        <v>0.59692504324859996</v>
      </c>
      <c r="H80" s="24"/>
    </row>
    <row r="81" spans="2:8" x14ac:dyDescent="0.2">
      <c r="B81" s="24" t="s">
        <v>646</v>
      </c>
      <c r="C81" s="24" t="s">
        <v>647</v>
      </c>
      <c r="D81" s="24" t="s">
        <v>342</v>
      </c>
      <c r="E81" s="28">
        <v>23507</v>
      </c>
      <c r="F81" s="25">
        <v>97.130923999999993</v>
      </c>
      <c r="G81" s="26">
        <v>0.587309512074213</v>
      </c>
      <c r="H81" s="24"/>
    </row>
    <row r="82" spans="2:8" x14ac:dyDescent="0.2">
      <c r="B82" s="24" t="s">
        <v>648</v>
      </c>
      <c r="C82" s="24" t="s">
        <v>649</v>
      </c>
      <c r="D82" s="24" t="s">
        <v>509</v>
      </c>
      <c r="E82" s="28">
        <v>2783</v>
      </c>
      <c r="F82" s="25">
        <v>94.388227999999998</v>
      </c>
      <c r="G82" s="26">
        <v>0.570725592317331</v>
      </c>
      <c r="H82" s="24"/>
    </row>
    <row r="83" spans="2:8" x14ac:dyDescent="0.2">
      <c r="B83" s="24" t="s">
        <v>650</v>
      </c>
      <c r="C83" s="24" t="s">
        <v>651</v>
      </c>
      <c r="D83" s="24" t="s">
        <v>260</v>
      </c>
      <c r="E83" s="28">
        <v>5062</v>
      </c>
      <c r="F83" s="25">
        <v>91.885424</v>
      </c>
      <c r="G83" s="26">
        <v>0.55559219776569002</v>
      </c>
      <c r="H83" s="24"/>
    </row>
    <row r="84" spans="2:8" x14ac:dyDescent="0.2">
      <c r="B84" s="24" t="s">
        <v>652</v>
      </c>
      <c r="C84" s="24" t="s">
        <v>653</v>
      </c>
      <c r="D84" s="24" t="s">
        <v>397</v>
      </c>
      <c r="E84" s="28">
        <v>13001</v>
      </c>
      <c r="F84" s="25">
        <v>89.277867000000001</v>
      </c>
      <c r="G84" s="26">
        <v>0.53982540624030795</v>
      </c>
      <c r="H84" s="24"/>
    </row>
    <row r="85" spans="2:8" x14ac:dyDescent="0.2">
      <c r="B85" s="24" t="s">
        <v>654</v>
      </c>
      <c r="C85" s="24" t="s">
        <v>655</v>
      </c>
      <c r="D85" s="24" t="s">
        <v>426</v>
      </c>
      <c r="E85" s="28">
        <v>32303</v>
      </c>
      <c r="F85" s="25">
        <v>87.815705500000007</v>
      </c>
      <c r="G85" s="26">
        <v>0.53098433563401304</v>
      </c>
      <c r="H85" s="24"/>
    </row>
    <row r="86" spans="2:8" x14ac:dyDescent="0.2">
      <c r="B86" s="24" t="s">
        <v>656</v>
      </c>
      <c r="C86" s="24" t="s">
        <v>657</v>
      </c>
      <c r="D86" s="24" t="s">
        <v>293</v>
      </c>
      <c r="E86" s="28">
        <v>5990</v>
      </c>
      <c r="F86" s="25">
        <v>87.040689999999998</v>
      </c>
      <c r="G86" s="26">
        <v>0.526298145526783</v>
      </c>
      <c r="H86" s="24"/>
    </row>
    <row r="87" spans="2:8" x14ac:dyDescent="0.2">
      <c r="B87" s="24" t="s">
        <v>658</v>
      </c>
      <c r="C87" s="24" t="s">
        <v>659</v>
      </c>
      <c r="D87" s="24" t="s">
        <v>263</v>
      </c>
      <c r="E87" s="28">
        <v>7053</v>
      </c>
      <c r="F87" s="25">
        <v>86.215872000000005</v>
      </c>
      <c r="G87" s="26">
        <v>0.52131082081925695</v>
      </c>
      <c r="H87" s="24"/>
    </row>
    <row r="88" spans="2:8" x14ac:dyDescent="0.2">
      <c r="B88" s="24" t="s">
        <v>660</v>
      </c>
      <c r="C88" s="24" t="s">
        <v>661</v>
      </c>
      <c r="D88" s="24" t="s">
        <v>307</v>
      </c>
      <c r="E88" s="28">
        <v>62306</v>
      </c>
      <c r="F88" s="25">
        <v>84.057024600000005</v>
      </c>
      <c r="G88" s="26">
        <v>0.50825718598369496</v>
      </c>
      <c r="H88" s="24"/>
    </row>
    <row r="89" spans="2:8" x14ac:dyDescent="0.2">
      <c r="B89" s="24" t="s">
        <v>662</v>
      </c>
      <c r="C89" s="24" t="s">
        <v>663</v>
      </c>
      <c r="D89" s="24" t="s">
        <v>397</v>
      </c>
      <c r="E89" s="28">
        <v>40156</v>
      </c>
      <c r="F89" s="25">
        <v>83.805571999999998</v>
      </c>
      <c r="G89" s="26">
        <v>0.50673675873216595</v>
      </c>
      <c r="H89" s="24"/>
    </row>
    <row r="90" spans="2:8" x14ac:dyDescent="0.2">
      <c r="B90" s="24" t="s">
        <v>664</v>
      </c>
      <c r="C90" s="24" t="s">
        <v>665</v>
      </c>
      <c r="D90" s="24" t="s">
        <v>298</v>
      </c>
      <c r="E90" s="28">
        <v>16579</v>
      </c>
      <c r="F90" s="25">
        <v>83.781976499999999</v>
      </c>
      <c r="G90" s="26">
        <v>0.50659408674860595</v>
      </c>
      <c r="H90" s="24"/>
    </row>
    <row r="91" spans="2:8" x14ac:dyDescent="0.2">
      <c r="B91" s="24" t="s">
        <v>666</v>
      </c>
      <c r="C91" s="24" t="s">
        <v>667</v>
      </c>
      <c r="D91" s="24" t="s">
        <v>429</v>
      </c>
      <c r="E91" s="28">
        <v>5073</v>
      </c>
      <c r="F91" s="25">
        <v>83.562455999999997</v>
      </c>
      <c r="G91" s="26">
        <v>0.505266739365961</v>
      </c>
      <c r="H91" s="24"/>
    </row>
    <row r="92" spans="2:8" x14ac:dyDescent="0.2">
      <c r="B92" s="24" t="s">
        <v>668</v>
      </c>
      <c r="C92" s="24" t="s">
        <v>669</v>
      </c>
      <c r="D92" s="24" t="s">
        <v>670</v>
      </c>
      <c r="E92" s="28">
        <v>14657</v>
      </c>
      <c r="F92" s="25">
        <v>83.273745500000004</v>
      </c>
      <c r="G92" s="26">
        <v>0.50352102939118804</v>
      </c>
      <c r="H92" s="24"/>
    </row>
    <row r="93" spans="2:8" x14ac:dyDescent="0.2">
      <c r="B93" s="24" t="s">
        <v>671</v>
      </c>
      <c r="C93" s="24" t="s">
        <v>672</v>
      </c>
      <c r="D93" s="24" t="s">
        <v>263</v>
      </c>
      <c r="E93" s="28">
        <v>1023</v>
      </c>
      <c r="F93" s="25">
        <v>82.934610000000006</v>
      </c>
      <c r="G93" s="26">
        <v>0.50147042082257098</v>
      </c>
      <c r="H93" s="24"/>
    </row>
    <row r="94" spans="2:8" x14ac:dyDescent="0.2">
      <c r="B94" s="24" t="s">
        <v>673</v>
      </c>
      <c r="C94" s="24" t="s">
        <v>674</v>
      </c>
      <c r="D94" s="24" t="s">
        <v>417</v>
      </c>
      <c r="E94" s="28">
        <v>3451</v>
      </c>
      <c r="F94" s="25">
        <v>79.680138999999997</v>
      </c>
      <c r="G94" s="26">
        <v>0.48179201464299398</v>
      </c>
      <c r="H94" s="24"/>
    </row>
    <row r="95" spans="2:8" x14ac:dyDescent="0.2">
      <c r="B95" s="24" t="s">
        <v>675</v>
      </c>
      <c r="C95" s="24" t="s">
        <v>676</v>
      </c>
      <c r="D95" s="24" t="s">
        <v>266</v>
      </c>
      <c r="E95" s="28">
        <v>24465</v>
      </c>
      <c r="F95" s="25">
        <v>79.291065000000003</v>
      </c>
      <c r="G95" s="26">
        <v>0.47943944913974801</v>
      </c>
      <c r="H95" s="24"/>
    </row>
    <row r="96" spans="2:8" x14ac:dyDescent="0.2">
      <c r="B96" s="24" t="s">
        <v>677</v>
      </c>
      <c r="C96" s="24" t="s">
        <v>678</v>
      </c>
      <c r="D96" s="24" t="s">
        <v>263</v>
      </c>
      <c r="E96" s="28">
        <v>1494</v>
      </c>
      <c r="F96" s="25">
        <v>77.067989999999995</v>
      </c>
      <c r="G96" s="26">
        <v>0.46599745724070701</v>
      </c>
      <c r="H96" s="24"/>
    </row>
    <row r="97" spans="2:8" x14ac:dyDescent="0.2">
      <c r="B97" s="24" t="s">
        <v>679</v>
      </c>
      <c r="C97" s="24" t="s">
        <v>680</v>
      </c>
      <c r="D97" s="24" t="s">
        <v>252</v>
      </c>
      <c r="E97" s="28">
        <v>52373</v>
      </c>
      <c r="F97" s="25">
        <v>77.061632200000005</v>
      </c>
      <c r="G97" s="26">
        <v>0.46595901431993503</v>
      </c>
      <c r="H97" s="24"/>
    </row>
    <row r="98" spans="2:8" x14ac:dyDescent="0.2">
      <c r="B98" s="24" t="s">
        <v>681</v>
      </c>
      <c r="C98" s="24" t="s">
        <v>682</v>
      </c>
      <c r="D98" s="24" t="s">
        <v>509</v>
      </c>
      <c r="E98" s="28">
        <v>5305</v>
      </c>
      <c r="F98" s="25">
        <v>76.434439999999995</v>
      </c>
      <c r="G98" s="26">
        <v>0.46216664902792198</v>
      </c>
      <c r="H98" s="24"/>
    </row>
    <row r="99" spans="2:8" x14ac:dyDescent="0.2">
      <c r="B99" s="24" t="s">
        <v>683</v>
      </c>
      <c r="C99" s="24" t="s">
        <v>684</v>
      </c>
      <c r="D99" s="24" t="s">
        <v>315</v>
      </c>
      <c r="E99" s="28">
        <v>14851</v>
      </c>
      <c r="F99" s="25">
        <v>75.925737499999997</v>
      </c>
      <c r="G99" s="26">
        <v>0.459090740709929</v>
      </c>
      <c r="H99" s="24"/>
    </row>
    <row r="100" spans="2:8" x14ac:dyDescent="0.2">
      <c r="B100" s="24" t="s">
        <v>685</v>
      </c>
      <c r="C100" s="24" t="s">
        <v>686</v>
      </c>
      <c r="D100" s="24" t="s">
        <v>417</v>
      </c>
      <c r="E100" s="28">
        <v>19616</v>
      </c>
      <c r="F100" s="25">
        <v>73.520768000000004</v>
      </c>
      <c r="G100" s="26">
        <v>0.44454890989610502</v>
      </c>
      <c r="H100" s="24"/>
    </row>
    <row r="101" spans="2:8" x14ac:dyDescent="0.2">
      <c r="B101" s="24" t="s">
        <v>687</v>
      </c>
      <c r="C101" s="24" t="s">
        <v>688</v>
      </c>
      <c r="D101" s="24" t="s">
        <v>426</v>
      </c>
      <c r="E101" s="28">
        <v>11956</v>
      </c>
      <c r="F101" s="25">
        <v>72.531074000000004</v>
      </c>
      <c r="G101" s="26">
        <v>0.43856464992713001</v>
      </c>
      <c r="H101" s="24"/>
    </row>
    <row r="102" spans="2:8" x14ac:dyDescent="0.2">
      <c r="B102" s="24" t="s">
        <v>689</v>
      </c>
      <c r="C102" s="24" t="s">
        <v>690</v>
      </c>
      <c r="D102" s="24" t="s">
        <v>417</v>
      </c>
      <c r="E102" s="28">
        <v>13953</v>
      </c>
      <c r="F102" s="25">
        <v>71.718419999999995</v>
      </c>
      <c r="G102" s="26">
        <v>0.43365087576983702</v>
      </c>
      <c r="H102" s="24"/>
    </row>
    <row r="103" spans="2:8" x14ac:dyDescent="0.2">
      <c r="B103" s="24" t="s">
        <v>691</v>
      </c>
      <c r="C103" s="24" t="s">
        <v>692</v>
      </c>
      <c r="D103" s="24" t="s">
        <v>283</v>
      </c>
      <c r="E103" s="28">
        <v>12960</v>
      </c>
      <c r="F103" s="25">
        <v>71.163359999999997</v>
      </c>
      <c r="G103" s="26">
        <v>0.43029466330580401</v>
      </c>
      <c r="H103" s="24"/>
    </row>
    <row r="104" spans="2:8" x14ac:dyDescent="0.2">
      <c r="B104" s="24" t="s">
        <v>693</v>
      </c>
      <c r="C104" s="24" t="s">
        <v>694</v>
      </c>
      <c r="D104" s="24" t="s">
        <v>298</v>
      </c>
      <c r="E104" s="28">
        <v>12274</v>
      </c>
      <c r="F104" s="25">
        <v>69.299003999999996</v>
      </c>
      <c r="G104" s="26">
        <v>0.41902169309610399</v>
      </c>
      <c r="H104" s="24"/>
    </row>
    <row r="105" spans="2:8" x14ac:dyDescent="0.2">
      <c r="B105" s="24" t="s">
        <v>695</v>
      </c>
      <c r="C105" s="24" t="s">
        <v>696</v>
      </c>
      <c r="D105" s="24" t="s">
        <v>310</v>
      </c>
      <c r="E105" s="28">
        <v>3433</v>
      </c>
      <c r="F105" s="25">
        <v>68.982702000000003</v>
      </c>
      <c r="G105" s="26">
        <v>0.41710914902015001</v>
      </c>
      <c r="H105" s="24"/>
    </row>
    <row r="106" spans="2:8" x14ac:dyDescent="0.2">
      <c r="B106" s="24" t="s">
        <v>697</v>
      </c>
      <c r="C106" s="24" t="s">
        <v>698</v>
      </c>
      <c r="D106" s="24" t="s">
        <v>614</v>
      </c>
      <c r="E106" s="28">
        <v>5648</v>
      </c>
      <c r="F106" s="25">
        <v>68.928191999999996</v>
      </c>
      <c r="G106" s="26">
        <v>0.416779550163424</v>
      </c>
      <c r="H106" s="24"/>
    </row>
    <row r="107" spans="2:8" x14ac:dyDescent="0.2">
      <c r="B107" s="24" t="s">
        <v>699</v>
      </c>
      <c r="C107" s="24" t="s">
        <v>700</v>
      </c>
      <c r="D107" s="24" t="s">
        <v>293</v>
      </c>
      <c r="E107" s="28">
        <v>225</v>
      </c>
      <c r="F107" s="25">
        <v>67.668750000000003</v>
      </c>
      <c r="G107" s="26">
        <v>0.40916423841671601</v>
      </c>
      <c r="H107" s="24"/>
    </row>
    <row r="108" spans="2:8" x14ac:dyDescent="0.2">
      <c r="B108" s="24" t="s">
        <v>701</v>
      </c>
      <c r="C108" s="24" t="s">
        <v>702</v>
      </c>
      <c r="D108" s="24" t="s">
        <v>417</v>
      </c>
      <c r="E108" s="28">
        <v>1734</v>
      </c>
      <c r="F108" s="25">
        <v>67.615595999999996</v>
      </c>
      <c r="G108" s="26">
        <v>0.40884283871701999</v>
      </c>
      <c r="H108" s="24"/>
    </row>
    <row r="109" spans="2:8" x14ac:dyDescent="0.2">
      <c r="B109" s="24" t="s">
        <v>703</v>
      </c>
      <c r="C109" s="24" t="s">
        <v>704</v>
      </c>
      <c r="D109" s="24" t="s">
        <v>432</v>
      </c>
      <c r="E109" s="28">
        <v>728</v>
      </c>
      <c r="F109" s="25">
        <v>66.681160000000006</v>
      </c>
      <c r="G109" s="26">
        <v>0.403192700443605</v>
      </c>
      <c r="H109" s="24"/>
    </row>
    <row r="110" spans="2:8" x14ac:dyDescent="0.2">
      <c r="B110" s="24" t="s">
        <v>705</v>
      </c>
      <c r="C110" s="24" t="s">
        <v>706</v>
      </c>
      <c r="D110" s="24" t="s">
        <v>493</v>
      </c>
      <c r="E110" s="28">
        <v>7613</v>
      </c>
      <c r="F110" s="25">
        <v>66.659428000000005</v>
      </c>
      <c r="G110" s="26">
        <v>0.40306129625438503</v>
      </c>
      <c r="H110" s="24"/>
    </row>
    <row r="111" spans="2:8" x14ac:dyDescent="0.2">
      <c r="B111" s="24" t="s">
        <v>707</v>
      </c>
      <c r="C111" s="24" t="s">
        <v>708</v>
      </c>
      <c r="D111" s="24" t="s">
        <v>509</v>
      </c>
      <c r="E111" s="28">
        <v>1673</v>
      </c>
      <c r="F111" s="25">
        <v>64.621297999999996</v>
      </c>
      <c r="G111" s="26">
        <v>0.39073758835015698</v>
      </c>
      <c r="H111" s="24"/>
    </row>
    <row r="112" spans="2:8" x14ac:dyDescent="0.2">
      <c r="B112" s="24" t="s">
        <v>709</v>
      </c>
      <c r="C112" s="24" t="s">
        <v>710</v>
      </c>
      <c r="D112" s="24" t="s">
        <v>493</v>
      </c>
      <c r="E112" s="28">
        <v>6653</v>
      </c>
      <c r="F112" s="25">
        <v>63.8322085</v>
      </c>
      <c r="G112" s="26">
        <v>0.38596629873256899</v>
      </c>
      <c r="H112" s="24"/>
    </row>
    <row r="113" spans="2:8" x14ac:dyDescent="0.2">
      <c r="B113" s="24" t="s">
        <v>711</v>
      </c>
      <c r="C113" s="24" t="s">
        <v>712</v>
      </c>
      <c r="D113" s="24" t="s">
        <v>483</v>
      </c>
      <c r="E113" s="28">
        <v>3648</v>
      </c>
      <c r="F113" s="25">
        <v>60.779328</v>
      </c>
      <c r="G113" s="26">
        <v>0.367506824828296</v>
      </c>
      <c r="H113" s="24"/>
    </row>
    <row r="114" spans="2:8" x14ac:dyDescent="0.2">
      <c r="B114" s="24" t="s">
        <v>713</v>
      </c>
      <c r="C114" s="24" t="s">
        <v>714</v>
      </c>
      <c r="D114" s="24" t="s">
        <v>426</v>
      </c>
      <c r="E114" s="28">
        <v>30232</v>
      </c>
      <c r="F114" s="25">
        <v>60.276561600000001</v>
      </c>
      <c r="G114" s="26">
        <v>0.36446680958998501</v>
      </c>
      <c r="H114" s="24"/>
    </row>
    <row r="115" spans="2:8" x14ac:dyDescent="0.2">
      <c r="B115" s="24" t="s">
        <v>715</v>
      </c>
      <c r="C115" s="24" t="s">
        <v>716</v>
      </c>
      <c r="D115" s="24" t="s">
        <v>438</v>
      </c>
      <c r="E115" s="28">
        <v>1760</v>
      </c>
      <c r="F115" s="25">
        <v>60.253599999999999</v>
      </c>
      <c r="G115" s="26">
        <v>0.36432797053093802</v>
      </c>
      <c r="H115" s="24"/>
    </row>
    <row r="116" spans="2:8" x14ac:dyDescent="0.2">
      <c r="B116" s="24" t="s">
        <v>717</v>
      </c>
      <c r="C116" s="24" t="s">
        <v>718</v>
      </c>
      <c r="D116" s="24" t="s">
        <v>304</v>
      </c>
      <c r="E116" s="28">
        <v>3972</v>
      </c>
      <c r="F116" s="25">
        <v>60.120192000000003</v>
      </c>
      <c r="G116" s="26">
        <v>0.36352130892245998</v>
      </c>
      <c r="H116" s="24"/>
    </row>
    <row r="117" spans="2:8" x14ac:dyDescent="0.2">
      <c r="B117" s="24" t="s">
        <v>719</v>
      </c>
      <c r="C117" s="24" t="s">
        <v>720</v>
      </c>
      <c r="D117" s="24" t="s">
        <v>260</v>
      </c>
      <c r="E117" s="28">
        <v>3241</v>
      </c>
      <c r="F117" s="25">
        <v>57.310603</v>
      </c>
      <c r="G117" s="26">
        <v>0.34653291555847798</v>
      </c>
      <c r="H117" s="24"/>
    </row>
    <row r="118" spans="2:8" x14ac:dyDescent="0.2">
      <c r="B118" s="24" t="s">
        <v>721</v>
      </c>
      <c r="C118" s="24" t="s">
        <v>722</v>
      </c>
      <c r="D118" s="24" t="s">
        <v>530</v>
      </c>
      <c r="E118" s="28">
        <v>1431</v>
      </c>
      <c r="F118" s="25">
        <v>54.626994000000003</v>
      </c>
      <c r="G118" s="26">
        <v>0.33030626983658701</v>
      </c>
      <c r="H118" s="24"/>
    </row>
    <row r="119" spans="2:8" x14ac:dyDescent="0.2">
      <c r="B119" s="24" t="s">
        <v>723</v>
      </c>
      <c r="C119" s="24" t="s">
        <v>724</v>
      </c>
      <c r="D119" s="24" t="s">
        <v>438</v>
      </c>
      <c r="E119" s="28">
        <v>906</v>
      </c>
      <c r="F119" s="25">
        <v>54.051960000000001</v>
      </c>
      <c r="G119" s="26">
        <v>0.32682928306390802</v>
      </c>
      <c r="H119" s="24"/>
    </row>
    <row r="120" spans="2:8" x14ac:dyDescent="0.2">
      <c r="B120" s="24" t="s">
        <v>725</v>
      </c>
      <c r="C120" s="24" t="s">
        <v>726</v>
      </c>
      <c r="D120" s="24" t="s">
        <v>353</v>
      </c>
      <c r="E120" s="28">
        <v>8175</v>
      </c>
      <c r="F120" s="25">
        <v>52.998525000000001</v>
      </c>
      <c r="G120" s="26">
        <v>0.32045960829532499</v>
      </c>
      <c r="H120" s="24"/>
    </row>
    <row r="121" spans="2:8" x14ac:dyDescent="0.2">
      <c r="B121" s="24" t="s">
        <v>727</v>
      </c>
      <c r="C121" s="24" t="s">
        <v>728</v>
      </c>
      <c r="D121" s="24" t="s">
        <v>729</v>
      </c>
      <c r="E121" s="28">
        <v>1187</v>
      </c>
      <c r="F121" s="25">
        <v>52.707548000000003</v>
      </c>
      <c r="G121" s="26">
        <v>0.31870019375609099</v>
      </c>
      <c r="H121" s="24"/>
    </row>
    <row r="122" spans="2:8" x14ac:dyDescent="0.2">
      <c r="B122" s="24" t="s">
        <v>730</v>
      </c>
      <c r="C122" s="24" t="s">
        <v>731</v>
      </c>
      <c r="D122" s="24" t="s">
        <v>400</v>
      </c>
      <c r="E122" s="28">
        <v>3112</v>
      </c>
      <c r="F122" s="25">
        <v>52.611471999999999</v>
      </c>
      <c r="G122" s="26">
        <v>0.31811926292213699</v>
      </c>
      <c r="H122" s="24"/>
    </row>
    <row r="123" spans="2:8" x14ac:dyDescent="0.2">
      <c r="B123" s="24" t="s">
        <v>732</v>
      </c>
      <c r="C123" s="24" t="s">
        <v>733</v>
      </c>
      <c r="D123" s="24" t="s">
        <v>435</v>
      </c>
      <c r="E123" s="28">
        <v>408</v>
      </c>
      <c r="F123" s="25">
        <v>52.04448</v>
      </c>
      <c r="G123" s="26">
        <v>0.31469090271349798</v>
      </c>
      <c r="H123" s="24"/>
    </row>
    <row r="124" spans="2:8" x14ac:dyDescent="0.2">
      <c r="B124" s="24" t="s">
        <v>734</v>
      </c>
      <c r="C124" s="24" t="s">
        <v>735</v>
      </c>
      <c r="D124" s="24" t="s">
        <v>283</v>
      </c>
      <c r="E124" s="28">
        <v>21629</v>
      </c>
      <c r="F124" s="25">
        <v>51.753871199999999</v>
      </c>
      <c r="G124" s="26">
        <v>0.31293371452354002</v>
      </c>
      <c r="H124" s="24"/>
    </row>
    <row r="125" spans="2:8" x14ac:dyDescent="0.2">
      <c r="B125" s="24" t="s">
        <v>736</v>
      </c>
      <c r="C125" s="24" t="s">
        <v>737</v>
      </c>
      <c r="D125" s="24" t="s">
        <v>631</v>
      </c>
      <c r="E125" s="28">
        <v>4794</v>
      </c>
      <c r="F125" s="25">
        <v>51.75123</v>
      </c>
      <c r="G125" s="26">
        <v>0.31291774430705899</v>
      </c>
      <c r="H125" s="24"/>
    </row>
    <row r="126" spans="2:8" x14ac:dyDescent="0.2">
      <c r="B126" s="24" t="s">
        <v>738</v>
      </c>
      <c r="C126" s="24" t="s">
        <v>739</v>
      </c>
      <c r="D126" s="24" t="s">
        <v>350</v>
      </c>
      <c r="E126" s="28">
        <v>13327</v>
      </c>
      <c r="F126" s="25">
        <v>51.602144000000003</v>
      </c>
      <c r="G126" s="26">
        <v>0.31201628448035101</v>
      </c>
      <c r="H126" s="24"/>
    </row>
    <row r="127" spans="2:8" x14ac:dyDescent="0.2">
      <c r="B127" s="24" t="s">
        <v>740</v>
      </c>
      <c r="C127" s="24" t="s">
        <v>741</v>
      </c>
      <c r="D127" s="24" t="s">
        <v>742</v>
      </c>
      <c r="E127" s="28">
        <v>1754</v>
      </c>
      <c r="F127" s="25">
        <v>50.392420000000001</v>
      </c>
      <c r="G127" s="26">
        <v>0.30470159639826799</v>
      </c>
      <c r="H127" s="24"/>
    </row>
    <row r="128" spans="2:8" x14ac:dyDescent="0.2">
      <c r="B128" s="24" t="s">
        <v>743</v>
      </c>
      <c r="C128" s="24" t="s">
        <v>744</v>
      </c>
      <c r="D128" s="24" t="s">
        <v>729</v>
      </c>
      <c r="E128" s="28">
        <v>7396</v>
      </c>
      <c r="F128" s="25">
        <v>50.222538</v>
      </c>
      <c r="G128" s="26">
        <v>0.30367439197745799</v>
      </c>
      <c r="H128" s="24"/>
    </row>
    <row r="129" spans="2:8" x14ac:dyDescent="0.2">
      <c r="B129" s="24" t="s">
        <v>745</v>
      </c>
      <c r="C129" s="24" t="s">
        <v>746</v>
      </c>
      <c r="D129" s="24" t="s">
        <v>310</v>
      </c>
      <c r="E129" s="28">
        <v>2700</v>
      </c>
      <c r="F129" s="25">
        <v>49.966200000000001</v>
      </c>
      <c r="G129" s="26">
        <v>0.302124424783631</v>
      </c>
      <c r="H129" s="24"/>
    </row>
    <row r="130" spans="2:8" x14ac:dyDescent="0.2">
      <c r="B130" s="24" t="s">
        <v>747</v>
      </c>
      <c r="C130" s="24" t="s">
        <v>748</v>
      </c>
      <c r="D130" s="24" t="s">
        <v>283</v>
      </c>
      <c r="E130" s="28">
        <v>34289</v>
      </c>
      <c r="F130" s="25">
        <v>48.998981000000001</v>
      </c>
      <c r="G130" s="26">
        <v>0.296276061609829</v>
      </c>
      <c r="H130" s="24"/>
    </row>
    <row r="131" spans="2:8" x14ac:dyDescent="0.2">
      <c r="B131" s="24" t="s">
        <v>749</v>
      </c>
      <c r="C131" s="24" t="s">
        <v>750</v>
      </c>
      <c r="D131" s="24" t="s">
        <v>432</v>
      </c>
      <c r="E131" s="28">
        <v>1670</v>
      </c>
      <c r="F131" s="25">
        <v>48.76567</v>
      </c>
      <c r="G131" s="26">
        <v>0.294865328921118</v>
      </c>
      <c r="H131" s="24"/>
    </row>
    <row r="132" spans="2:8" x14ac:dyDescent="0.2">
      <c r="B132" s="24" t="s">
        <v>751</v>
      </c>
      <c r="C132" s="24" t="s">
        <v>752</v>
      </c>
      <c r="D132" s="24" t="s">
        <v>432</v>
      </c>
      <c r="E132" s="28">
        <v>4924</v>
      </c>
      <c r="F132" s="25">
        <v>48.043467999999997</v>
      </c>
      <c r="G132" s="26">
        <v>0.29049847965446202</v>
      </c>
      <c r="H132" s="24"/>
    </row>
    <row r="133" spans="2:8" x14ac:dyDescent="0.2">
      <c r="B133" s="24" t="s">
        <v>753</v>
      </c>
      <c r="C133" s="24" t="s">
        <v>754</v>
      </c>
      <c r="D133" s="24" t="s">
        <v>283</v>
      </c>
      <c r="E133" s="28">
        <v>1051</v>
      </c>
      <c r="F133" s="25">
        <v>46.493087000000003</v>
      </c>
      <c r="G133" s="26">
        <v>0.28112398313840797</v>
      </c>
      <c r="H133" s="24"/>
    </row>
    <row r="134" spans="2:8" x14ac:dyDescent="0.2">
      <c r="B134" s="24" t="s">
        <v>755</v>
      </c>
      <c r="C134" s="24" t="s">
        <v>756</v>
      </c>
      <c r="D134" s="24" t="s">
        <v>293</v>
      </c>
      <c r="E134" s="28">
        <v>1815</v>
      </c>
      <c r="F134" s="25">
        <v>46.478520000000003</v>
      </c>
      <c r="G134" s="26">
        <v>0.28103590266609202</v>
      </c>
      <c r="H134" s="24"/>
    </row>
    <row r="135" spans="2:8" x14ac:dyDescent="0.2">
      <c r="B135" s="24" t="s">
        <v>757</v>
      </c>
      <c r="C135" s="24" t="s">
        <v>758</v>
      </c>
      <c r="D135" s="24" t="s">
        <v>438</v>
      </c>
      <c r="E135" s="28">
        <v>2961</v>
      </c>
      <c r="F135" s="25">
        <v>46.150145999999999</v>
      </c>
      <c r="G135" s="26">
        <v>0.27905036432489499</v>
      </c>
      <c r="H135" s="24"/>
    </row>
    <row r="136" spans="2:8" x14ac:dyDescent="0.2">
      <c r="B136" s="24" t="s">
        <v>759</v>
      </c>
      <c r="C136" s="24" t="s">
        <v>760</v>
      </c>
      <c r="D136" s="24" t="s">
        <v>293</v>
      </c>
      <c r="E136" s="28">
        <v>1785</v>
      </c>
      <c r="F136" s="25">
        <v>45.865575</v>
      </c>
      <c r="G136" s="26">
        <v>0.27732968415139603</v>
      </c>
      <c r="H136" s="24"/>
    </row>
    <row r="137" spans="2:8" x14ac:dyDescent="0.2">
      <c r="B137" s="24" t="s">
        <v>761</v>
      </c>
      <c r="C137" s="24" t="s">
        <v>762</v>
      </c>
      <c r="D137" s="24" t="s">
        <v>353</v>
      </c>
      <c r="E137" s="28">
        <v>3637</v>
      </c>
      <c r="F137" s="25">
        <v>45.317019999999999</v>
      </c>
      <c r="G137" s="26">
        <v>0.27401280466411898</v>
      </c>
      <c r="H137" s="24"/>
    </row>
    <row r="138" spans="2:8" x14ac:dyDescent="0.2">
      <c r="B138" s="24" t="s">
        <v>763</v>
      </c>
      <c r="C138" s="24" t="s">
        <v>764</v>
      </c>
      <c r="D138" s="24" t="s">
        <v>263</v>
      </c>
      <c r="E138" s="28">
        <v>5719</v>
      </c>
      <c r="F138" s="25">
        <v>43.278532499999997</v>
      </c>
      <c r="G138" s="26">
        <v>0.261686935108977</v>
      </c>
      <c r="H138" s="24"/>
    </row>
    <row r="139" spans="2:8" x14ac:dyDescent="0.2">
      <c r="B139" s="24" t="s">
        <v>765</v>
      </c>
      <c r="C139" s="24" t="s">
        <v>766</v>
      </c>
      <c r="D139" s="24" t="s">
        <v>767</v>
      </c>
      <c r="E139" s="28">
        <v>122</v>
      </c>
      <c r="F139" s="25">
        <v>42.504800000000003</v>
      </c>
      <c r="G139" s="26">
        <v>0.25700850275873</v>
      </c>
      <c r="H139" s="24"/>
    </row>
    <row r="140" spans="2:8" x14ac:dyDescent="0.2">
      <c r="B140" s="24" t="s">
        <v>768</v>
      </c>
      <c r="C140" s="24" t="s">
        <v>769</v>
      </c>
      <c r="D140" s="24" t="s">
        <v>283</v>
      </c>
      <c r="E140" s="28">
        <v>5602</v>
      </c>
      <c r="F140" s="25">
        <v>41.776915000000002</v>
      </c>
      <c r="G140" s="26">
        <v>0.25260729080077399</v>
      </c>
      <c r="H140" s="24"/>
    </row>
    <row r="141" spans="2:8" x14ac:dyDescent="0.2">
      <c r="B141" s="24" t="s">
        <v>770</v>
      </c>
      <c r="C141" s="24" t="s">
        <v>771</v>
      </c>
      <c r="D141" s="24" t="s">
        <v>417</v>
      </c>
      <c r="E141" s="28">
        <v>1520</v>
      </c>
      <c r="F141" s="25">
        <v>40.182720000000003</v>
      </c>
      <c r="G141" s="26">
        <v>0.242967869604687</v>
      </c>
      <c r="H141" s="24"/>
    </row>
    <row r="142" spans="2:8" x14ac:dyDescent="0.2">
      <c r="B142" s="24" t="s">
        <v>772</v>
      </c>
      <c r="C142" s="24" t="s">
        <v>773</v>
      </c>
      <c r="D142" s="24" t="s">
        <v>252</v>
      </c>
      <c r="E142" s="28">
        <v>67808</v>
      </c>
      <c r="F142" s="25">
        <v>39.708364799999998</v>
      </c>
      <c r="G142" s="26">
        <v>0.240099644845887</v>
      </c>
      <c r="H142" s="24"/>
    </row>
    <row r="143" spans="2:8" x14ac:dyDescent="0.2">
      <c r="B143" s="24" t="s">
        <v>774</v>
      </c>
      <c r="C143" s="24" t="s">
        <v>775</v>
      </c>
      <c r="D143" s="24" t="s">
        <v>301</v>
      </c>
      <c r="E143" s="28">
        <v>40036</v>
      </c>
      <c r="F143" s="25">
        <v>38.014181999999998</v>
      </c>
      <c r="G143" s="26">
        <v>0.22985563981992299</v>
      </c>
      <c r="H143" s="24"/>
    </row>
    <row r="144" spans="2:8" x14ac:dyDescent="0.2">
      <c r="B144" s="24" t="s">
        <v>776</v>
      </c>
      <c r="C144" s="24" t="s">
        <v>777</v>
      </c>
      <c r="D144" s="24" t="s">
        <v>327</v>
      </c>
      <c r="E144" s="28">
        <v>13885</v>
      </c>
      <c r="F144" s="25">
        <v>37.538097499999999</v>
      </c>
      <c r="G144" s="26">
        <v>0.22697695871727999</v>
      </c>
      <c r="H144" s="24"/>
    </row>
    <row r="145" spans="2:9" x14ac:dyDescent="0.2">
      <c r="B145" s="24" t="s">
        <v>778</v>
      </c>
      <c r="C145" s="24" t="s">
        <v>779</v>
      </c>
      <c r="D145" s="24" t="s">
        <v>365</v>
      </c>
      <c r="E145" s="28">
        <v>14212</v>
      </c>
      <c r="F145" s="25">
        <v>36.809080000000002</v>
      </c>
      <c r="G145" s="26">
        <v>0.22256889901202501</v>
      </c>
      <c r="H145" s="24"/>
    </row>
    <row r="146" spans="2:9" x14ac:dyDescent="0.2">
      <c r="B146" s="24" t="s">
        <v>780</v>
      </c>
      <c r="C146" s="24" t="s">
        <v>781</v>
      </c>
      <c r="D146" s="24" t="s">
        <v>266</v>
      </c>
      <c r="E146" s="28">
        <v>85500</v>
      </c>
      <c r="F146" s="25">
        <v>36.688049999999997</v>
      </c>
      <c r="G146" s="26">
        <v>0.22183708192104001</v>
      </c>
      <c r="H146" s="24"/>
    </row>
    <row r="147" spans="2:9" x14ac:dyDescent="0.2">
      <c r="B147" s="24" t="s">
        <v>782</v>
      </c>
      <c r="C147" s="24" t="s">
        <v>783</v>
      </c>
      <c r="D147" s="24" t="s">
        <v>301</v>
      </c>
      <c r="E147" s="28">
        <v>14060</v>
      </c>
      <c r="F147" s="25">
        <v>34.193919999999999</v>
      </c>
      <c r="G147" s="26">
        <v>0.20675613536946</v>
      </c>
      <c r="H147" s="24"/>
    </row>
    <row r="148" spans="2:9" x14ac:dyDescent="0.2">
      <c r="B148" s="24" t="s">
        <v>784</v>
      </c>
      <c r="C148" s="24" t="s">
        <v>785</v>
      </c>
      <c r="D148" s="24" t="s">
        <v>483</v>
      </c>
      <c r="E148" s="28">
        <v>95</v>
      </c>
      <c r="F148" s="25">
        <v>33.625250000000001</v>
      </c>
      <c r="G148" s="26">
        <v>0.203317629006324</v>
      </c>
      <c r="H148" s="24"/>
    </row>
    <row r="149" spans="2:9" x14ac:dyDescent="0.2">
      <c r="B149" s="24" t="s">
        <v>786</v>
      </c>
      <c r="C149" s="24" t="s">
        <v>787</v>
      </c>
      <c r="D149" s="24" t="s">
        <v>426</v>
      </c>
      <c r="E149" s="28">
        <v>7431</v>
      </c>
      <c r="F149" s="25">
        <v>29.4379065</v>
      </c>
      <c r="G149" s="26">
        <v>0.177998538374878</v>
      </c>
      <c r="H149" s="24"/>
    </row>
    <row r="150" spans="2:9" x14ac:dyDescent="0.2">
      <c r="B150" s="24" t="s">
        <v>788</v>
      </c>
      <c r="C150" s="24" t="s">
        <v>789</v>
      </c>
      <c r="D150" s="24" t="s">
        <v>252</v>
      </c>
      <c r="E150" s="28">
        <v>24160</v>
      </c>
      <c r="F150" s="25">
        <v>24.251808</v>
      </c>
      <c r="G150" s="26">
        <v>0.146640399749492</v>
      </c>
      <c r="H150" s="24"/>
    </row>
    <row r="151" spans="2:9" x14ac:dyDescent="0.2">
      <c r="B151" s="24" t="s">
        <v>790</v>
      </c>
      <c r="C151" s="24" t="s">
        <v>791</v>
      </c>
      <c r="D151" s="24" t="s">
        <v>301</v>
      </c>
      <c r="E151" s="28">
        <v>30828</v>
      </c>
      <c r="F151" s="25">
        <v>24.0026808</v>
      </c>
      <c r="G151" s="26">
        <v>0.145134033205749</v>
      </c>
      <c r="H151" s="24"/>
    </row>
    <row r="152" spans="2:9" x14ac:dyDescent="0.2">
      <c r="B152" s="24" t="s">
        <v>792</v>
      </c>
      <c r="C152" s="24" t="s">
        <v>793</v>
      </c>
      <c r="D152" s="24" t="s">
        <v>539</v>
      </c>
      <c r="E152" s="28">
        <v>2685</v>
      </c>
      <c r="F152" s="25">
        <v>23.53134</v>
      </c>
      <c r="G152" s="26">
        <v>0.142284035245587</v>
      </c>
      <c r="H152" s="24"/>
    </row>
    <row r="153" spans="2:9" x14ac:dyDescent="0.2">
      <c r="B153" s="24" t="s">
        <v>794</v>
      </c>
      <c r="C153" s="24" t="s">
        <v>795</v>
      </c>
      <c r="D153" s="24" t="s">
        <v>767</v>
      </c>
      <c r="E153" s="28">
        <v>1910</v>
      </c>
      <c r="F153" s="25">
        <v>20.085560000000001</v>
      </c>
      <c r="G153" s="26">
        <v>0.121448864661653</v>
      </c>
      <c r="H153" s="24"/>
    </row>
    <row r="154" spans="2:9" x14ac:dyDescent="0.2">
      <c r="B154" s="24" t="s">
        <v>796</v>
      </c>
      <c r="C154" s="24" t="s">
        <v>797</v>
      </c>
      <c r="D154" s="24" t="s">
        <v>350</v>
      </c>
      <c r="E154" s="28">
        <v>10373</v>
      </c>
      <c r="F154" s="25">
        <v>17.704636399999998</v>
      </c>
      <c r="G154" s="26">
        <v>0.107052429209212</v>
      </c>
      <c r="H154" s="24"/>
    </row>
    <row r="155" spans="2:9" x14ac:dyDescent="0.2">
      <c r="B155" s="24" t="s">
        <v>798</v>
      </c>
      <c r="C155" s="24" t="s">
        <v>799</v>
      </c>
      <c r="D155" s="24" t="s">
        <v>252</v>
      </c>
      <c r="E155" s="28">
        <v>44873</v>
      </c>
      <c r="F155" s="25">
        <v>17.406236700000001</v>
      </c>
      <c r="G155" s="26">
        <v>0.10524813275044401</v>
      </c>
      <c r="H155" s="24"/>
    </row>
    <row r="156" spans="2:9" x14ac:dyDescent="0.2">
      <c r="B156" s="24" t="s">
        <v>800</v>
      </c>
      <c r="C156" s="24" t="s">
        <v>801</v>
      </c>
      <c r="D156" s="24" t="s">
        <v>252</v>
      </c>
      <c r="E156" s="28">
        <v>49039</v>
      </c>
      <c r="F156" s="25">
        <v>15.0942042</v>
      </c>
      <c r="G156" s="26">
        <v>9.1268252568569602E-2</v>
      </c>
      <c r="H156" s="24"/>
    </row>
    <row r="157" spans="2:9" x14ac:dyDescent="0.2">
      <c r="B157" s="23" t="s">
        <v>56</v>
      </c>
      <c r="C157" s="23"/>
      <c r="D157" s="23"/>
      <c r="E157" s="23"/>
      <c r="F157" s="30">
        <f>SUM(F7:F156)</f>
        <v>16519.025037000018</v>
      </c>
      <c r="G157" s="31">
        <f>SUM(G7:G156)</f>
        <v>99.883540018853168</v>
      </c>
      <c r="H157" s="23"/>
      <c r="I157" s="16"/>
    </row>
    <row r="158" spans="2:9" x14ac:dyDescent="0.2">
      <c r="B158" s="23" t="s">
        <v>375</v>
      </c>
      <c r="C158" s="23"/>
      <c r="D158" s="23"/>
      <c r="E158" s="23"/>
      <c r="F158" s="46" t="s">
        <v>376</v>
      </c>
      <c r="G158" s="47" t="s">
        <v>376</v>
      </c>
      <c r="H158" s="23"/>
      <c r="I158" s="16"/>
    </row>
    <row r="159" spans="2:9" x14ac:dyDescent="0.2">
      <c r="B159" s="23" t="s">
        <v>56</v>
      </c>
      <c r="C159" s="23"/>
      <c r="D159" s="23"/>
      <c r="E159" s="23"/>
      <c r="F159" s="48" t="s">
        <v>376</v>
      </c>
      <c r="G159" s="49" t="s">
        <v>376</v>
      </c>
      <c r="H159" s="23"/>
      <c r="I159" s="16"/>
    </row>
    <row r="160" spans="2:9" x14ac:dyDescent="0.2">
      <c r="B160" s="35" t="s">
        <v>81</v>
      </c>
      <c r="C160" s="35"/>
      <c r="D160" s="35"/>
      <c r="E160" s="35"/>
      <c r="F160" s="36">
        <f>F157</f>
        <v>16519.025037000018</v>
      </c>
      <c r="G160" s="37">
        <f>G157</f>
        <v>99.883540018853168</v>
      </c>
      <c r="H160" s="23"/>
      <c r="I160" s="16"/>
    </row>
    <row r="161" spans="2:9" x14ac:dyDescent="0.2">
      <c r="B161" s="23" t="s">
        <v>86</v>
      </c>
      <c r="C161" s="23"/>
      <c r="D161" s="23"/>
      <c r="E161" s="23"/>
      <c r="F161" s="30">
        <v>107.5054189</v>
      </c>
      <c r="G161" s="31">
        <v>0.650039683751932</v>
      </c>
      <c r="H161" s="38">
        <v>5.305E-2</v>
      </c>
      <c r="I161" s="17"/>
    </row>
    <row r="162" spans="2:9" x14ac:dyDescent="0.2">
      <c r="B162" s="24"/>
      <c r="C162" s="24"/>
      <c r="D162" s="24"/>
      <c r="E162" s="24"/>
      <c r="F162" s="25"/>
      <c r="G162" s="26"/>
      <c r="H162" s="24"/>
    </row>
    <row r="163" spans="2:9" x14ac:dyDescent="0.2">
      <c r="B163" s="43" t="s">
        <v>88</v>
      </c>
      <c r="C163" s="43"/>
      <c r="D163" s="43"/>
      <c r="E163" s="43"/>
      <c r="F163" s="30">
        <f>F164-(F157+F161)</f>
        <v>-88.244934700018348</v>
      </c>
      <c r="G163" s="31">
        <f>G164-(G157+G161)</f>
        <v>-0.53357970260509546</v>
      </c>
      <c r="H163" s="23"/>
      <c r="I163" s="16"/>
    </row>
    <row r="164" spans="2:9" x14ac:dyDescent="0.2">
      <c r="B164" s="39" t="s">
        <v>87</v>
      </c>
      <c r="C164" s="39"/>
      <c r="D164" s="39"/>
      <c r="E164" s="39"/>
      <c r="F164" s="40">
        <v>16538.285521199999</v>
      </c>
      <c r="G164" s="41">
        <v>100</v>
      </c>
      <c r="H164" s="50"/>
      <c r="I164" s="16"/>
    </row>
    <row r="165" spans="2:9" x14ac:dyDescent="0.2">
      <c r="B165" s="16"/>
      <c r="C165" s="16"/>
      <c r="D165" s="16"/>
      <c r="E165" s="16"/>
      <c r="F165" s="63"/>
      <c r="G165" s="64"/>
      <c r="H165" s="16"/>
      <c r="I165" s="16"/>
    </row>
    <row r="167" spans="2:9" x14ac:dyDescent="0.2">
      <c r="B167" s="16" t="s">
        <v>93</v>
      </c>
    </row>
    <row r="184" spans="2:2" x14ac:dyDescent="0.2">
      <c r="B184" s="60" t="s">
        <v>1355</v>
      </c>
    </row>
    <row r="185" spans="2:2" x14ac:dyDescent="0.2">
      <c r="B185" s="61" t="s">
        <v>1362</v>
      </c>
    </row>
  </sheetData>
  <mergeCells count="1">
    <mergeCell ref="B1:C1"/>
  </mergeCells>
  <conditionalFormatting sqref="G1:G3 G5:G204">
    <cfRule type="cellIs" dxfId="3" priority="2" stopIfTrue="1" operator="between">
      <formula>0.009</formula>
      <formula>-0.009</formula>
    </cfRule>
  </conditionalFormatting>
  <hyperlinks>
    <hyperlink ref="A2" location="JBNM150!A1" display="-" xr:uid="{514325EA-D415-42CD-B51A-8DCCA804640B}"/>
  </hyperlinks>
  <pageMargins left="0.7" right="0.7" top="0.75" bottom="0.75" header="0.3" footer="0.3"/>
  <pageSetup paperSize="9" scale="60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496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CA616-F34A-4339-8185-BDF8E50FEC2D}">
  <dimension ref="A1:I288"/>
  <sheetViews>
    <sheetView view="pageBreakPreview" zoomScaleNormal="100" zoomScaleSheetLayoutView="100" workbookViewId="0">
      <selection activeCell="B1" sqref="B1:C1"/>
    </sheetView>
  </sheetViews>
  <sheetFormatPr defaultColWidth="9.21875" defaultRowHeight="10.199999999999999" x14ac:dyDescent="0.2"/>
  <cols>
    <col min="1" max="1" width="7.21875" style="6" customWidth="1"/>
    <col min="2" max="2" width="52.77734375" style="6" bestFit="1" customWidth="1"/>
    <col min="3" max="3" width="11.21875" style="6" bestFit="1" customWidth="1"/>
    <col min="4" max="4" width="32.21875" style="6" bestFit="1" customWidth="1"/>
    <col min="5" max="5" width="13.77734375" style="6" bestFit="1" customWidth="1"/>
    <col min="6" max="6" width="12.77734375" style="8" bestFit="1" customWidth="1"/>
    <col min="7" max="7" width="11.77734375" style="14" customWidth="1"/>
    <col min="8" max="8" width="16" style="6" customWidth="1"/>
    <col min="9" max="16384" width="9.21875" style="6"/>
  </cols>
  <sheetData>
    <row r="1" spans="1:8" s="1" customFormat="1" ht="16.8" customHeight="1" x14ac:dyDescent="0.25">
      <c r="B1" s="80" t="s">
        <v>17</v>
      </c>
      <c r="C1" s="81"/>
      <c r="D1" s="10"/>
      <c r="F1" s="5"/>
      <c r="G1" s="14"/>
    </row>
    <row r="2" spans="1:8" s="1" customFormat="1" ht="14.4" x14ac:dyDescent="0.3">
      <c r="A2" s="59" t="s">
        <v>1372</v>
      </c>
      <c r="F2" s="5"/>
      <c r="G2" s="14"/>
    </row>
    <row r="3" spans="1:8" s="1" customFormat="1" ht="12" x14ac:dyDescent="0.2">
      <c r="B3" s="7" t="s">
        <v>9</v>
      </c>
      <c r="C3" s="2"/>
      <c r="D3" s="3"/>
      <c r="E3" s="3"/>
      <c r="F3" s="4"/>
      <c r="G3" s="14"/>
    </row>
    <row r="4" spans="1:8" s="1" customFormat="1" ht="36" customHeight="1" x14ac:dyDescent="0.2">
      <c r="B4" s="18" t="s">
        <v>7</v>
      </c>
      <c r="C4" s="18" t="s">
        <v>8</v>
      </c>
      <c r="D4" s="19" t="s">
        <v>377</v>
      </c>
      <c r="E4" s="19" t="s">
        <v>0</v>
      </c>
      <c r="F4" s="20" t="s">
        <v>4</v>
      </c>
      <c r="G4" s="21" t="s">
        <v>5</v>
      </c>
      <c r="H4" s="67" t="s">
        <v>6</v>
      </c>
    </row>
    <row r="5" spans="1:8" x14ac:dyDescent="0.2">
      <c r="B5" s="23" t="s">
        <v>248</v>
      </c>
      <c r="C5" s="24"/>
      <c r="D5" s="24"/>
      <c r="E5" s="24"/>
      <c r="F5" s="25"/>
      <c r="G5" s="26"/>
      <c r="H5" s="24"/>
    </row>
    <row r="6" spans="1:8" x14ac:dyDescent="0.2">
      <c r="B6" s="23" t="s">
        <v>249</v>
      </c>
      <c r="C6" s="24"/>
      <c r="D6" s="24"/>
      <c r="E6" s="24"/>
      <c r="F6" s="25"/>
      <c r="G6" s="26"/>
      <c r="H6" s="24"/>
    </row>
    <row r="7" spans="1:8" x14ac:dyDescent="0.2">
      <c r="B7" s="24" t="s">
        <v>802</v>
      </c>
      <c r="C7" s="24" t="s">
        <v>803</v>
      </c>
      <c r="D7" s="24" t="s">
        <v>493</v>
      </c>
      <c r="E7" s="28">
        <v>4795</v>
      </c>
      <c r="F7" s="25">
        <v>483.02432499999998</v>
      </c>
      <c r="G7" s="26">
        <v>2.5795712738376499</v>
      </c>
      <c r="H7" s="24"/>
    </row>
    <row r="8" spans="1:8" x14ac:dyDescent="0.2">
      <c r="B8" s="24" t="s">
        <v>804</v>
      </c>
      <c r="C8" s="24" t="s">
        <v>805</v>
      </c>
      <c r="D8" s="24" t="s">
        <v>293</v>
      </c>
      <c r="E8" s="28">
        <v>36512</v>
      </c>
      <c r="F8" s="25">
        <v>376.56651199999999</v>
      </c>
      <c r="G8" s="26">
        <v>2.0110377609749599</v>
      </c>
      <c r="H8" s="24"/>
    </row>
    <row r="9" spans="1:8" x14ac:dyDescent="0.2">
      <c r="B9" s="24" t="s">
        <v>806</v>
      </c>
      <c r="C9" s="24" t="s">
        <v>807</v>
      </c>
      <c r="D9" s="24" t="s">
        <v>493</v>
      </c>
      <c r="E9" s="28">
        <v>16741</v>
      </c>
      <c r="F9" s="25">
        <v>270.73545200000001</v>
      </c>
      <c r="G9" s="26">
        <v>1.4458513963839199</v>
      </c>
      <c r="H9" s="24"/>
    </row>
    <row r="10" spans="1:8" x14ac:dyDescent="0.2">
      <c r="B10" s="24" t="s">
        <v>808</v>
      </c>
      <c r="C10" s="24" t="s">
        <v>809</v>
      </c>
      <c r="D10" s="24" t="s">
        <v>400</v>
      </c>
      <c r="E10" s="28">
        <v>7353</v>
      </c>
      <c r="F10" s="25">
        <v>235.891593</v>
      </c>
      <c r="G10" s="26">
        <v>1.25976921978537</v>
      </c>
      <c r="H10" s="24"/>
    </row>
    <row r="11" spans="1:8" x14ac:dyDescent="0.2">
      <c r="B11" s="24" t="s">
        <v>810</v>
      </c>
      <c r="C11" s="24" t="s">
        <v>811</v>
      </c>
      <c r="D11" s="24" t="s">
        <v>252</v>
      </c>
      <c r="E11" s="28">
        <v>88729</v>
      </c>
      <c r="F11" s="25">
        <v>220.0213013</v>
      </c>
      <c r="G11" s="26">
        <v>1.17501458848032</v>
      </c>
      <c r="H11" s="24"/>
    </row>
    <row r="12" spans="1:8" x14ac:dyDescent="0.2">
      <c r="B12" s="24" t="s">
        <v>812</v>
      </c>
      <c r="C12" s="24" t="s">
        <v>813</v>
      </c>
      <c r="D12" s="24" t="s">
        <v>315</v>
      </c>
      <c r="E12" s="28">
        <v>50261</v>
      </c>
      <c r="F12" s="25">
        <v>214.21238199999999</v>
      </c>
      <c r="G12" s="26">
        <v>1.14399229709091</v>
      </c>
      <c r="H12" s="24"/>
    </row>
    <row r="13" spans="1:8" x14ac:dyDescent="0.2">
      <c r="B13" s="24" t="s">
        <v>814</v>
      </c>
      <c r="C13" s="24" t="s">
        <v>815</v>
      </c>
      <c r="D13" s="24" t="s">
        <v>438</v>
      </c>
      <c r="E13" s="28">
        <v>3454</v>
      </c>
      <c r="F13" s="25">
        <v>198.10417000000001</v>
      </c>
      <c r="G13" s="26">
        <v>1.0579670623409101</v>
      </c>
      <c r="H13" s="24"/>
    </row>
    <row r="14" spans="1:8" x14ac:dyDescent="0.2">
      <c r="B14" s="24" t="s">
        <v>816</v>
      </c>
      <c r="C14" s="24" t="s">
        <v>817</v>
      </c>
      <c r="D14" s="24" t="s">
        <v>252</v>
      </c>
      <c r="E14" s="28">
        <v>67734</v>
      </c>
      <c r="F14" s="25">
        <v>183.61332719999999</v>
      </c>
      <c r="G14" s="26">
        <v>0.98057932038696705</v>
      </c>
      <c r="H14" s="24"/>
    </row>
    <row r="15" spans="1:8" x14ac:dyDescent="0.2">
      <c r="B15" s="24" t="s">
        <v>818</v>
      </c>
      <c r="C15" s="24" t="s">
        <v>819</v>
      </c>
      <c r="D15" s="24" t="s">
        <v>252</v>
      </c>
      <c r="E15" s="28">
        <v>56212</v>
      </c>
      <c r="F15" s="25">
        <v>175.60628800000001</v>
      </c>
      <c r="G15" s="26">
        <v>0.93781806129548795</v>
      </c>
      <c r="H15" s="24"/>
    </row>
    <row r="16" spans="1:8" x14ac:dyDescent="0.2">
      <c r="B16" s="24" t="s">
        <v>820</v>
      </c>
      <c r="C16" s="24" t="s">
        <v>821</v>
      </c>
      <c r="D16" s="24" t="s">
        <v>493</v>
      </c>
      <c r="E16" s="28">
        <v>4509</v>
      </c>
      <c r="F16" s="25">
        <v>174.51182700000001</v>
      </c>
      <c r="G16" s="26">
        <v>0.93197313794522896</v>
      </c>
      <c r="H16" s="24"/>
    </row>
    <row r="17" spans="2:8" x14ac:dyDescent="0.2">
      <c r="B17" s="24" t="s">
        <v>822</v>
      </c>
      <c r="C17" s="24" t="s">
        <v>823</v>
      </c>
      <c r="D17" s="24" t="s">
        <v>283</v>
      </c>
      <c r="E17" s="28">
        <v>9308</v>
      </c>
      <c r="F17" s="25">
        <v>171.84429600000001</v>
      </c>
      <c r="G17" s="26">
        <v>0.91772729982999202</v>
      </c>
      <c r="H17" s="24"/>
    </row>
    <row r="18" spans="2:8" x14ac:dyDescent="0.2">
      <c r="B18" s="24" t="s">
        <v>824</v>
      </c>
      <c r="C18" s="24" t="s">
        <v>825</v>
      </c>
      <c r="D18" s="24" t="s">
        <v>493</v>
      </c>
      <c r="E18" s="28">
        <v>6041</v>
      </c>
      <c r="F18" s="25">
        <v>163.336558</v>
      </c>
      <c r="G18" s="26">
        <v>0.87229207966765898</v>
      </c>
      <c r="H18" s="24"/>
    </row>
    <row r="19" spans="2:8" x14ac:dyDescent="0.2">
      <c r="B19" s="24" t="s">
        <v>826</v>
      </c>
      <c r="C19" s="24" t="s">
        <v>827</v>
      </c>
      <c r="D19" s="24" t="s">
        <v>483</v>
      </c>
      <c r="E19" s="28">
        <v>2935</v>
      </c>
      <c r="F19" s="25">
        <v>161.13149999999999</v>
      </c>
      <c r="G19" s="26">
        <v>0.86051605933173603</v>
      </c>
      <c r="H19" s="24"/>
    </row>
    <row r="20" spans="2:8" x14ac:dyDescent="0.2">
      <c r="B20" s="24" t="s">
        <v>828</v>
      </c>
      <c r="C20" s="24" t="s">
        <v>829</v>
      </c>
      <c r="D20" s="24" t="s">
        <v>298</v>
      </c>
      <c r="E20" s="28">
        <v>60400</v>
      </c>
      <c r="F20" s="25">
        <v>160.2714</v>
      </c>
      <c r="G20" s="26">
        <v>0.85592273113314499</v>
      </c>
      <c r="H20" s="24"/>
    </row>
    <row r="21" spans="2:8" x14ac:dyDescent="0.2">
      <c r="B21" s="24" t="s">
        <v>830</v>
      </c>
      <c r="C21" s="24" t="s">
        <v>831</v>
      </c>
      <c r="D21" s="24" t="s">
        <v>283</v>
      </c>
      <c r="E21" s="28">
        <v>17654</v>
      </c>
      <c r="F21" s="25">
        <v>159.821662</v>
      </c>
      <c r="G21" s="26">
        <v>0.85352092409050095</v>
      </c>
      <c r="H21" s="24"/>
    </row>
    <row r="22" spans="2:8" x14ac:dyDescent="0.2">
      <c r="B22" s="24" t="s">
        <v>832</v>
      </c>
      <c r="C22" s="24" t="s">
        <v>833</v>
      </c>
      <c r="D22" s="24" t="s">
        <v>353</v>
      </c>
      <c r="E22" s="28">
        <v>23154</v>
      </c>
      <c r="F22" s="25">
        <v>158.62805399999999</v>
      </c>
      <c r="G22" s="26">
        <v>0.84714651031947097</v>
      </c>
      <c r="H22" s="24"/>
    </row>
    <row r="23" spans="2:8" x14ac:dyDescent="0.2">
      <c r="B23" s="24" t="s">
        <v>834</v>
      </c>
      <c r="C23" s="24" t="s">
        <v>835</v>
      </c>
      <c r="D23" s="24" t="s">
        <v>836</v>
      </c>
      <c r="E23" s="28">
        <v>55837</v>
      </c>
      <c r="F23" s="25">
        <v>156.957807</v>
      </c>
      <c r="G23" s="26">
        <v>0.83822662583660601</v>
      </c>
      <c r="H23" s="24"/>
    </row>
    <row r="24" spans="2:8" x14ac:dyDescent="0.2">
      <c r="B24" s="24" t="s">
        <v>837</v>
      </c>
      <c r="C24" s="24" t="s">
        <v>838</v>
      </c>
      <c r="D24" s="24" t="s">
        <v>283</v>
      </c>
      <c r="E24" s="28">
        <v>51580</v>
      </c>
      <c r="F24" s="25">
        <v>146.97721000000001</v>
      </c>
      <c r="G24" s="26">
        <v>0.78492566357771698</v>
      </c>
      <c r="H24" s="24"/>
    </row>
    <row r="25" spans="2:8" x14ac:dyDescent="0.2">
      <c r="B25" s="24" t="s">
        <v>839</v>
      </c>
      <c r="C25" s="24" t="s">
        <v>840</v>
      </c>
      <c r="D25" s="24" t="s">
        <v>298</v>
      </c>
      <c r="E25" s="28">
        <v>1997</v>
      </c>
      <c r="F25" s="25">
        <v>143.40457000000001</v>
      </c>
      <c r="G25" s="26">
        <v>0.76584612857549295</v>
      </c>
      <c r="H25" s="24"/>
    </row>
    <row r="26" spans="2:8" x14ac:dyDescent="0.2">
      <c r="B26" s="24" t="s">
        <v>841</v>
      </c>
      <c r="C26" s="24" t="s">
        <v>842</v>
      </c>
      <c r="D26" s="24" t="s">
        <v>353</v>
      </c>
      <c r="E26" s="28">
        <v>21241</v>
      </c>
      <c r="F26" s="25">
        <v>141.34823449999999</v>
      </c>
      <c r="G26" s="26">
        <v>0.75486435455164302</v>
      </c>
      <c r="H26" s="24"/>
    </row>
    <row r="27" spans="2:8" x14ac:dyDescent="0.2">
      <c r="B27" s="24" t="s">
        <v>843</v>
      </c>
      <c r="C27" s="24" t="s">
        <v>844</v>
      </c>
      <c r="D27" s="24" t="s">
        <v>293</v>
      </c>
      <c r="E27" s="28">
        <v>805</v>
      </c>
      <c r="F27" s="25">
        <v>139.16839999999999</v>
      </c>
      <c r="G27" s="26">
        <v>0.74322303926608202</v>
      </c>
      <c r="H27" s="24"/>
    </row>
    <row r="28" spans="2:8" x14ac:dyDescent="0.2">
      <c r="B28" s="24" t="s">
        <v>845</v>
      </c>
      <c r="C28" s="24" t="s">
        <v>846</v>
      </c>
      <c r="D28" s="24" t="s">
        <v>293</v>
      </c>
      <c r="E28" s="28">
        <v>7651</v>
      </c>
      <c r="F28" s="25">
        <v>135.52216300000001</v>
      </c>
      <c r="G28" s="26">
        <v>0.72375046255308995</v>
      </c>
      <c r="H28" s="24"/>
    </row>
    <row r="29" spans="2:8" x14ac:dyDescent="0.2">
      <c r="B29" s="24" t="s">
        <v>847</v>
      </c>
      <c r="C29" s="24" t="s">
        <v>848</v>
      </c>
      <c r="D29" s="24" t="s">
        <v>493</v>
      </c>
      <c r="E29" s="28">
        <v>12516</v>
      </c>
      <c r="F29" s="25">
        <v>132.20650800000001</v>
      </c>
      <c r="G29" s="26">
        <v>0.70604334523150103</v>
      </c>
      <c r="H29" s="24"/>
    </row>
    <row r="30" spans="2:8" x14ac:dyDescent="0.2">
      <c r="B30" s="24" t="s">
        <v>849</v>
      </c>
      <c r="C30" s="24" t="s">
        <v>850</v>
      </c>
      <c r="D30" s="24" t="s">
        <v>293</v>
      </c>
      <c r="E30" s="28">
        <v>7479</v>
      </c>
      <c r="F30" s="25">
        <v>131.60048399999999</v>
      </c>
      <c r="G30" s="26">
        <v>0.70280689932030105</v>
      </c>
      <c r="H30" s="24"/>
    </row>
    <row r="31" spans="2:8" x14ac:dyDescent="0.2">
      <c r="B31" s="24" t="s">
        <v>851</v>
      </c>
      <c r="C31" s="24" t="s">
        <v>852</v>
      </c>
      <c r="D31" s="24" t="s">
        <v>283</v>
      </c>
      <c r="E31" s="28">
        <v>26993</v>
      </c>
      <c r="F31" s="25">
        <v>129.647379</v>
      </c>
      <c r="G31" s="26">
        <v>0.69237642347876105</v>
      </c>
      <c r="H31" s="24"/>
    </row>
    <row r="32" spans="2:8" x14ac:dyDescent="0.2">
      <c r="B32" s="24" t="s">
        <v>853</v>
      </c>
      <c r="C32" s="24" t="s">
        <v>854</v>
      </c>
      <c r="D32" s="24" t="s">
        <v>266</v>
      </c>
      <c r="E32" s="28">
        <v>10679</v>
      </c>
      <c r="F32" s="25">
        <v>128.11596299999999</v>
      </c>
      <c r="G32" s="26">
        <v>0.68419796016452705</v>
      </c>
      <c r="H32" s="24"/>
    </row>
    <row r="33" spans="2:8" x14ac:dyDescent="0.2">
      <c r="B33" s="24" t="s">
        <v>855</v>
      </c>
      <c r="C33" s="24" t="s">
        <v>856</v>
      </c>
      <c r="D33" s="24" t="s">
        <v>283</v>
      </c>
      <c r="E33" s="28">
        <v>21814</v>
      </c>
      <c r="F33" s="25">
        <v>126.237618</v>
      </c>
      <c r="G33" s="26">
        <v>0.67416673698677798</v>
      </c>
      <c r="H33" s="24"/>
    </row>
    <row r="34" spans="2:8" x14ac:dyDescent="0.2">
      <c r="B34" s="24" t="s">
        <v>857</v>
      </c>
      <c r="C34" s="24" t="s">
        <v>858</v>
      </c>
      <c r="D34" s="24" t="s">
        <v>353</v>
      </c>
      <c r="E34" s="28">
        <v>6382</v>
      </c>
      <c r="F34" s="25">
        <v>124.16181</v>
      </c>
      <c r="G34" s="26">
        <v>0.66308097088834705</v>
      </c>
      <c r="H34" s="24"/>
    </row>
    <row r="35" spans="2:8" x14ac:dyDescent="0.2">
      <c r="B35" s="24" t="s">
        <v>859</v>
      </c>
      <c r="C35" s="24" t="s">
        <v>860</v>
      </c>
      <c r="D35" s="24" t="s">
        <v>252</v>
      </c>
      <c r="E35" s="28">
        <v>81961</v>
      </c>
      <c r="F35" s="25">
        <v>123.23655960000001</v>
      </c>
      <c r="G35" s="26">
        <v>0.65813970969420998</v>
      </c>
      <c r="H35" s="24"/>
    </row>
    <row r="36" spans="2:8" x14ac:dyDescent="0.2">
      <c r="B36" s="24" t="s">
        <v>861</v>
      </c>
      <c r="C36" s="24" t="s">
        <v>862</v>
      </c>
      <c r="D36" s="24" t="s">
        <v>310</v>
      </c>
      <c r="E36" s="28">
        <v>11874</v>
      </c>
      <c r="F36" s="25">
        <v>123.19275</v>
      </c>
      <c r="G36" s="26">
        <v>0.65790574635151799</v>
      </c>
      <c r="H36" s="24"/>
    </row>
    <row r="37" spans="2:8" x14ac:dyDescent="0.2">
      <c r="B37" s="24" t="s">
        <v>863</v>
      </c>
      <c r="C37" s="24" t="s">
        <v>864</v>
      </c>
      <c r="D37" s="24" t="s">
        <v>432</v>
      </c>
      <c r="E37" s="28">
        <v>90626</v>
      </c>
      <c r="F37" s="25">
        <v>121.89197</v>
      </c>
      <c r="G37" s="26">
        <v>0.650958984981721</v>
      </c>
      <c r="H37" s="24"/>
    </row>
    <row r="38" spans="2:8" x14ac:dyDescent="0.2">
      <c r="B38" s="24" t="s">
        <v>865</v>
      </c>
      <c r="C38" s="24" t="s">
        <v>866</v>
      </c>
      <c r="D38" s="24" t="s">
        <v>438</v>
      </c>
      <c r="E38" s="28">
        <v>14714</v>
      </c>
      <c r="F38" s="25">
        <v>117.77085599999999</v>
      </c>
      <c r="G38" s="26">
        <v>0.628950347444449</v>
      </c>
      <c r="H38" s="24"/>
    </row>
    <row r="39" spans="2:8" x14ac:dyDescent="0.2">
      <c r="B39" s="24" t="s">
        <v>867</v>
      </c>
      <c r="C39" s="24" t="s">
        <v>868</v>
      </c>
      <c r="D39" s="24" t="s">
        <v>429</v>
      </c>
      <c r="E39" s="28">
        <v>13051</v>
      </c>
      <c r="F39" s="25">
        <v>116.819501</v>
      </c>
      <c r="G39" s="26">
        <v>0.62386967572212604</v>
      </c>
      <c r="H39" s="24"/>
    </row>
    <row r="40" spans="2:8" x14ac:dyDescent="0.2">
      <c r="B40" s="24" t="s">
        <v>869</v>
      </c>
      <c r="C40" s="24" t="s">
        <v>870</v>
      </c>
      <c r="D40" s="24" t="s">
        <v>266</v>
      </c>
      <c r="E40" s="28">
        <v>97309</v>
      </c>
      <c r="F40" s="25">
        <v>113.5498721</v>
      </c>
      <c r="G40" s="26">
        <v>0.60640835886908895</v>
      </c>
      <c r="H40" s="24"/>
    </row>
    <row r="41" spans="2:8" x14ac:dyDescent="0.2">
      <c r="B41" s="24" t="s">
        <v>871</v>
      </c>
      <c r="C41" s="24" t="s">
        <v>872</v>
      </c>
      <c r="D41" s="24" t="s">
        <v>283</v>
      </c>
      <c r="E41" s="28">
        <v>72473</v>
      </c>
      <c r="F41" s="25">
        <v>111.43448480000001</v>
      </c>
      <c r="G41" s="26">
        <v>0.59511122116878601</v>
      </c>
      <c r="H41" s="24"/>
    </row>
    <row r="42" spans="2:8" x14ac:dyDescent="0.2">
      <c r="B42" s="24" t="s">
        <v>873</v>
      </c>
      <c r="C42" s="24" t="s">
        <v>874</v>
      </c>
      <c r="D42" s="24" t="s">
        <v>417</v>
      </c>
      <c r="E42" s="28">
        <v>10882</v>
      </c>
      <c r="F42" s="25">
        <v>111.072574</v>
      </c>
      <c r="G42" s="26">
        <v>0.59317845162685501</v>
      </c>
      <c r="H42" s="24"/>
    </row>
    <row r="43" spans="2:8" x14ac:dyDescent="0.2">
      <c r="B43" s="24" t="s">
        <v>875</v>
      </c>
      <c r="C43" s="24" t="s">
        <v>876</v>
      </c>
      <c r="D43" s="24" t="s">
        <v>417</v>
      </c>
      <c r="E43" s="28">
        <v>11512</v>
      </c>
      <c r="F43" s="25">
        <v>109.582728</v>
      </c>
      <c r="G43" s="26">
        <v>0.58522199116486495</v>
      </c>
      <c r="H43" s="24"/>
    </row>
    <row r="44" spans="2:8" x14ac:dyDescent="0.2">
      <c r="B44" s="24" t="s">
        <v>877</v>
      </c>
      <c r="C44" s="24" t="s">
        <v>878</v>
      </c>
      <c r="D44" s="24" t="s">
        <v>353</v>
      </c>
      <c r="E44" s="28">
        <v>3589</v>
      </c>
      <c r="F44" s="25">
        <v>109.52910199999999</v>
      </c>
      <c r="G44" s="26">
        <v>0.58493560374714904</v>
      </c>
      <c r="H44" s="24"/>
    </row>
    <row r="45" spans="2:8" x14ac:dyDescent="0.2">
      <c r="B45" s="24" t="s">
        <v>879</v>
      </c>
      <c r="C45" s="24" t="s">
        <v>880</v>
      </c>
      <c r="D45" s="24" t="s">
        <v>417</v>
      </c>
      <c r="E45" s="28">
        <v>238953</v>
      </c>
      <c r="F45" s="25">
        <v>109.1059398</v>
      </c>
      <c r="G45" s="26">
        <v>0.58267572365665099</v>
      </c>
      <c r="H45" s="24"/>
    </row>
    <row r="46" spans="2:8" x14ac:dyDescent="0.2">
      <c r="B46" s="24" t="s">
        <v>881</v>
      </c>
      <c r="C46" s="24" t="s">
        <v>882</v>
      </c>
      <c r="D46" s="24" t="s">
        <v>293</v>
      </c>
      <c r="E46" s="28">
        <v>58077</v>
      </c>
      <c r="F46" s="25">
        <v>108.7259517</v>
      </c>
      <c r="G46" s="26">
        <v>0.58064641304758302</v>
      </c>
      <c r="H46" s="24"/>
    </row>
    <row r="47" spans="2:8" x14ac:dyDescent="0.2">
      <c r="B47" s="24" t="s">
        <v>883</v>
      </c>
      <c r="C47" s="24" t="s">
        <v>884</v>
      </c>
      <c r="D47" s="24" t="s">
        <v>283</v>
      </c>
      <c r="E47" s="28">
        <v>3993</v>
      </c>
      <c r="F47" s="25">
        <v>108.070545</v>
      </c>
      <c r="G47" s="26">
        <v>0.57714624088544497</v>
      </c>
      <c r="H47" s="24"/>
    </row>
    <row r="48" spans="2:8" x14ac:dyDescent="0.2">
      <c r="B48" s="24" t="s">
        <v>885</v>
      </c>
      <c r="C48" s="24" t="s">
        <v>886</v>
      </c>
      <c r="D48" s="24" t="s">
        <v>301</v>
      </c>
      <c r="E48" s="28">
        <v>269289</v>
      </c>
      <c r="F48" s="25">
        <v>107.5809555</v>
      </c>
      <c r="G48" s="26">
        <v>0.57453160856817498</v>
      </c>
      <c r="H48" s="24"/>
    </row>
    <row r="49" spans="2:8" x14ac:dyDescent="0.2">
      <c r="B49" s="24" t="s">
        <v>887</v>
      </c>
      <c r="C49" s="24" t="s">
        <v>888</v>
      </c>
      <c r="D49" s="24" t="s">
        <v>509</v>
      </c>
      <c r="E49" s="28">
        <v>3374</v>
      </c>
      <c r="F49" s="25">
        <v>106.429456</v>
      </c>
      <c r="G49" s="26">
        <v>0.56838207348619196</v>
      </c>
      <c r="H49" s="24"/>
    </row>
    <row r="50" spans="2:8" x14ac:dyDescent="0.2">
      <c r="B50" s="24" t="s">
        <v>889</v>
      </c>
      <c r="C50" s="24" t="s">
        <v>890</v>
      </c>
      <c r="D50" s="24" t="s">
        <v>493</v>
      </c>
      <c r="E50" s="28">
        <v>1414</v>
      </c>
      <c r="F50" s="25">
        <v>105.51975</v>
      </c>
      <c r="G50" s="26">
        <v>0.56352382651232003</v>
      </c>
      <c r="H50" s="24"/>
    </row>
    <row r="51" spans="2:8" x14ac:dyDescent="0.2">
      <c r="B51" s="24" t="s">
        <v>891</v>
      </c>
      <c r="C51" s="24" t="s">
        <v>892</v>
      </c>
      <c r="D51" s="24" t="s">
        <v>509</v>
      </c>
      <c r="E51" s="28">
        <v>12297</v>
      </c>
      <c r="F51" s="25">
        <v>105.311508</v>
      </c>
      <c r="G51" s="26">
        <v>0.56241171879143803</v>
      </c>
      <c r="H51" s="24"/>
    </row>
    <row r="52" spans="2:8" x14ac:dyDescent="0.2">
      <c r="B52" s="24" t="s">
        <v>893</v>
      </c>
      <c r="C52" s="24" t="s">
        <v>894</v>
      </c>
      <c r="D52" s="24" t="s">
        <v>493</v>
      </c>
      <c r="E52" s="28">
        <v>3623</v>
      </c>
      <c r="F52" s="25">
        <v>104.66484699999999</v>
      </c>
      <c r="G52" s="26">
        <v>0.55895825267560395</v>
      </c>
      <c r="H52" s="24"/>
    </row>
    <row r="53" spans="2:8" x14ac:dyDescent="0.2">
      <c r="B53" s="24" t="s">
        <v>895</v>
      </c>
      <c r="C53" s="24" t="s">
        <v>896</v>
      </c>
      <c r="D53" s="24" t="s">
        <v>350</v>
      </c>
      <c r="E53" s="28">
        <v>21361</v>
      </c>
      <c r="F53" s="25">
        <v>104.2309995</v>
      </c>
      <c r="G53" s="26">
        <v>0.556641308185849</v>
      </c>
      <c r="H53" s="24"/>
    </row>
    <row r="54" spans="2:8" x14ac:dyDescent="0.2">
      <c r="B54" s="24" t="s">
        <v>897</v>
      </c>
      <c r="C54" s="24" t="s">
        <v>898</v>
      </c>
      <c r="D54" s="24" t="s">
        <v>493</v>
      </c>
      <c r="E54" s="28">
        <v>74734</v>
      </c>
      <c r="F54" s="25">
        <v>104.0969886</v>
      </c>
      <c r="G54" s="26">
        <v>0.55592562856035399</v>
      </c>
      <c r="H54" s="24"/>
    </row>
    <row r="55" spans="2:8" x14ac:dyDescent="0.2">
      <c r="B55" s="24" t="s">
        <v>899</v>
      </c>
      <c r="C55" s="24" t="s">
        <v>900</v>
      </c>
      <c r="D55" s="24" t="s">
        <v>283</v>
      </c>
      <c r="E55" s="28">
        <v>17522</v>
      </c>
      <c r="F55" s="25">
        <v>103.537498</v>
      </c>
      <c r="G55" s="26">
        <v>0.55293769233221002</v>
      </c>
      <c r="H55" s="24"/>
    </row>
    <row r="56" spans="2:8" x14ac:dyDescent="0.2">
      <c r="B56" s="24" t="s">
        <v>901</v>
      </c>
      <c r="C56" s="24" t="s">
        <v>902</v>
      </c>
      <c r="D56" s="24" t="s">
        <v>509</v>
      </c>
      <c r="E56" s="28">
        <v>20234</v>
      </c>
      <c r="F56" s="25">
        <v>103.29456999999999</v>
      </c>
      <c r="G56" s="26">
        <v>0.55164034547413798</v>
      </c>
      <c r="H56" s="24"/>
    </row>
    <row r="57" spans="2:8" x14ac:dyDescent="0.2">
      <c r="B57" s="24" t="s">
        <v>903</v>
      </c>
      <c r="C57" s="24" t="s">
        <v>904</v>
      </c>
      <c r="D57" s="24" t="s">
        <v>509</v>
      </c>
      <c r="E57" s="28">
        <v>568</v>
      </c>
      <c r="F57" s="25">
        <v>103.24536000000001</v>
      </c>
      <c r="G57" s="26">
        <v>0.55137754152035101</v>
      </c>
      <c r="H57" s="24"/>
    </row>
    <row r="58" spans="2:8" x14ac:dyDescent="0.2">
      <c r="B58" s="24" t="s">
        <v>905</v>
      </c>
      <c r="C58" s="24" t="s">
        <v>906</v>
      </c>
      <c r="D58" s="24" t="s">
        <v>836</v>
      </c>
      <c r="E58" s="28">
        <v>29843</v>
      </c>
      <c r="F58" s="25">
        <v>103.19709400000001</v>
      </c>
      <c r="G58" s="26">
        <v>0.55111977895921505</v>
      </c>
      <c r="H58" s="24"/>
    </row>
    <row r="59" spans="2:8" x14ac:dyDescent="0.2">
      <c r="B59" s="24" t="s">
        <v>907</v>
      </c>
      <c r="C59" s="24" t="s">
        <v>908</v>
      </c>
      <c r="D59" s="24" t="s">
        <v>315</v>
      </c>
      <c r="E59" s="28">
        <v>9318</v>
      </c>
      <c r="F59" s="25">
        <v>103.140942</v>
      </c>
      <c r="G59" s="26">
        <v>0.55081990154378901</v>
      </c>
      <c r="H59" s="24"/>
    </row>
    <row r="60" spans="2:8" x14ac:dyDescent="0.2">
      <c r="B60" s="24" t="s">
        <v>909</v>
      </c>
      <c r="C60" s="24" t="s">
        <v>910</v>
      </c>
      <c r="D60" s="24" t="s">
        <v>301</v>
      </c>
      <c r="E60" s="28">
        <v>59252</v>
      </c>
      <c r="F60" s="25">
        <v>101.0128096</v>
      </c>
      <c r="G60" s="26">
        <v>0.539454699168188</v>
      </c>
      <c r="H60" s="24"/>
    </row>
    <row r="61" spans="2:8" x14ac:dyDescent="0.2">
      <c r="B61" s="24" t="s">
        <v>911</v>
      </c>
      <c r="C61" s="24" t="s">
        <v>912</v>
      </c>
      <c r="D61" s="24" t="s">
        <v>324</v>
      </c>
      <c r="E61" s="28">
        <v>30843</v>
      </c>
      <c r="F61" s="25">
        <v>100.85661</v>
      </c>
      <c r="G61" s="26">
        <v>0.538620521715231</v>
      </c>
      <c r="H61" s="24"/>
    </row>
    <row r="62" spans="2:8" x14ac:dyDescent="0.2">
      <c r="B62" s="24" t="s">
        <v>913</v>
      </c>
      <c r="C62" s="24" t="s">
        <v>914</v>
      </c>
      <c r="D62" s="24" t="s">
        <v>347</v>
      </c>
      <c r="E62" s="28">
        <v>9658</v>
      </c>
      <c r="F62" s="25">
        <v>99.564322000000004</v>
      </c>
      <c r="G62" s="26">
        <v>0.53171911151746298</v>
      </c>
      <c r="H62" s="24"/>
    </row>
    <row r="63" spans="2:8" x14ac:dyDescent="0.2">
      <c r="B63" s="24" t="s">
        <v>915</v>
      </c>
      <c r="C63" s="24" t="s">
        <v>916</v>
      </c>
      <c r="D63" s="24" t="s">
        <v>729</v>
      </c>
      <c r="E63" s="28">
        <v>5949</v>
      </c>
      <c r="F63" s="25">
        <v>98.806940999999995</v>
      </c>
      <c r="G63" s="26">
        <v>0.52767434985675199</v>
      </c>
      <c r="H63" s="24"/>
    </row>
    <row r="64" spans="2:8" x14ac:dyDescent="0.2">
      <c r="B64" s="24" t="s">
        <v>917</v>
      </c>
      <c r="C64" s="24" t="s">
        <v>918</v>
      </c>
      <c r="D64" s="24" t="s">
        <v>435</v>
      </c>
      <c r="E64" s="28">
        <v>18529</v>
      </c>
      <c r="F64" s="25">
        <v>98.296345000000002</v>
      </c>
      <c r="G64" s="26">
        <v>0.52494753320184295</v>
      </c>
      <c r="H64" s="24"/>
    </row>
    <row r="65" spans="2:8" x14ac:dyDescent="0.2">
      <c r="B65" s="24" t="s">
        <v>919</v>
      </c>
      <c r="C65" s="24" t="s">
        <v>920</v>
      </c>
      <c r="D65" s="24" t="s">
        <v>417</v>
      </c>
      <c r="E65" s="28">
        <v>10390</v>
      </c>
      <c r="F65" s="25">
        <v>97.120525000000001</v>
      </c>
      <c r="G65" s="26">
        <v>0.51866811550335801</v>
      </c>
      <c r="H65" s="24"/>
    </row>
    <row r="66" spans="2:8" x14ac:dyDescent="0.2">
      <c r="B66" s="24" t="s">
        <v>921</v>
      </c>
      <c r="C66" s="24" t="s">
        <v>922</v>
      </c>
      <c r="D66" s="24" t="s">
        <v>438</v>
      </c>
      <c r="E66" s="28">
        <v>22051</v>
      </c>
      <c r="F66" s="25">
        <v>96.495176000000001</v>
      </c>
      <c r="G66" s="26">
        <v>0.51532846523517895</v>
      </c>
      <c r="H66" s="24"/>
    </row>
    <row r="67" spans="2:8" x14ac:dyDescent="0.2">
      <c r="B67" s="24" t="s">
        <v>923</v>
      </c>
      <c r="C67" s="24" t="s">
        <v>924</v>
      </c>
      <c r="D67" s="24" t="s">
        <v>293</v>
      </c>
      <c r="E67" s="28">
        <v>7763</v>
      </c>
      <c r="F67" s="25">
        <v>95.873050000000006</v>
      </c>
      <c r="G67" s="26">
        <v>0.512006027264157</v>
      </c>
      <c r="H67" s="24"/>
    </row>
    <row r="68" spans="2:8" x14ac:dyDescent="0.2">
      <c r="B68" s="24" t="s">
        <v>925</v>
      </c>
      <c r="C68" s="24" t="s">
        <v>926</v>
      </c>
      <c r="D68" s="24" t="s">
        <v>263</v>
      </c>
      <c r="E68" s="28">
        <v>8553</v>
      </c>
      <c r="F68" s="25">
        <v>95.152124999999998</v>
      </c>
      <c r="G68" s="26">
        <v>0.50815595735185703</v>
      </c>
      <c r="H68" s="24"/>
    </row>
    <row r="69" spans="2:8" x14ac:dyDescent="0.2">
      <c r="B69" s="24" t="s">
        <v>927</v>
      </c>
      <c r="C69" s="24" t="s">
        <v>928</v>
      </c>
      <c r="D69" s="24" t="s">
        <v>509</v>
      </c>
      <c r="E69" s="28">
        <v>10590</v>
      </c>
      <c r="F69" s="25">
        <v>93.795630000000003</v>
      </c>
      <c r="G69" s="26">
        <v>0.50091165234691903</v>
      </c>
      <c r="H69" s="24"/>
    </row>
    <row r="70" spans="2:8" x14ac:dyDescent="0.2">
      <c r="B70" s="24" t="s">
        <v>929</v>
      </c>
      <c r="C70" s="24" t="s">
        <v>930</v>
      </c>
      <c r="D70" s="24" t="s">
        <v>417</v>
      </c>
      <c r="E70" s="28">
        <v>710</v>
      </c>
      <c r="F70" s="25">
        <v>93.748400000000004</v>
      </c>
      <c r="G70" s="26">
        <v>0.50065942250059903</v>
      </c>
      <c r="H70" s="24"/>
    </row>
    <row r="71" spans="2:8" x14ac:dyDescent="0.2">
      <c r="B71" s="24" t="s">
        <v>931</v>
      </c>
      <c r="C71" s="24" t="s">
        <v>932</v>
      </c>
      <c r="D71" s="24" t="s">
        <v>509</v>
      </c>
      <c r="E71" s="28">
        <v>10796</v>
      </c>
      <c r="F71" s="25">
        <v>92.505526000000003</v>
      </c>
      <c r="G71" s="26">
        <v>0.49402190571011501</v>
      </c>
      <c r="H71" s="24"/>
    </row>
    <row r="72" spans="2:8" x14ac:dyDescent="0.2">
      <c r="B72" s="24" t="s">
        <v>933</v>
      </c>
      <c r="C72" s="24" t="s">
        <v>934</v>
      </c>
      <c r="D72" s="24" t="s">
        <v>836</v>
      </c>
      <c r="E72" s="28">
        <v>2011</v>
      </c>
      <c r="F72" s="25">
        <v>91.514577000000003</v>
      </c>
      <c r="G72" s="26">
        <v>0.48872978388118199</v>
      </c>
      <c r="H72" s="24"/>
    </row>
    <row r="73" spans="2:8" x14ac:dyDescent="0.2">
      <c r="B73" s="24" t="s">
        <v>935</v>
      </c>
      <c r="C73" s="24" t="s">
        <v>936</v>
      </c>
      <c r="D73" s="24" t="s">
        <v>426</v>
      </c>
      <c r="E73" s="28">
        <v>11804</v>
      </c>
      <c r="F73" s="25">
        <v>90.141245999999995</v>
      </c>
      <c r="G73" s="26">
        <v>0.481395566920016</v>
      </c>
      <c r="H73" s="24"/>
    </row>
    <row r="74" spans="2:8" x14ac:dyDescent="0.2">
      <c r="B74" s="24" t="s">
        <v>937</v>
      </c>
      <c r="C74" s="24" t="s">
        <v>938</v>
      </c>
      <c r="D74" s="24" t="s">
        <v>729</v>
      </c>
      <c r="E74" s="28">
        <v>7950</v>
      </c>
      <c r="F74" s="25">
        <v>89.3262</v>
      </c>
      <c r="G74" s="26">
        <v>0.47704284773044697</v>
      </c>
      <c r="H74" s="24"/>
    </row>
    <row r="75" spans="2:8" x14ac:dyDescent="0.2">
      <c r="B75" s="24" t="s">
        <v>939</v>
      </c>
      <c r="C75" s="24" t="s">
        <v>940</v>
      </c>
      <c r="D75" s="24" t="s">
        <v>298</v>
      </c>
      <c r="E75" s="28">
        <v>15039</v>
      </c>
      <c r="F75" s="25">
        <v>88.865450999999993</v>
      </c>
      <c r="G75" s="26">
        <v>0.47458223690127299</v>
      </c>
      <c r="H75" s="24"/>
    </row>
    <row r="76" spans="2:8" x14ac:dyDescent="0.2">
      <c r="B76" s="24" t="s">
        <v>941</v>
      </c>
      <c r="C76" s="24" t="s">
        <v>942</v>
      </c>
      <c r="D76" s="24" t="s">
        <v>509</v>
      </c>
      <c r="E76" s="28">
        <v>7818</v>
      </c>
      <c r="F76" s="25">
        <v>87.940772999999993</v>
      </c>
      <c r="G76" s="26">
        <v>0.46964403258547599</v>
      </c>
      <c r="H76" s="24"/>
    </row>
    <row r="77" spans="2:8" x14ac:dyDescent="0.2">
      <c r="B77" s="24" t="s">
        <v>943</v>
      </c>
      <c r="C77" s="24" t="s">
        <v>944</v>
      </c>
      <c r="D77" s="24" t="s">
        <v>438</v>
      </c>
      <c r="E77" s="28">
        <v>1497</v>
      </c>
      <c r="F77" s="25">
        <v>87.933779999999999</v>
      </c>
      <c r="G77" s="26">
        <v>0.46960668676046402</v>
      </c>
      <c r="H77" s="24"/>
    </row>
    <row r="78" spans="2:8" x14ac:dyDescent="0.2">
      <c r="B78" s="24" t="s">
        <v>945</v>
      </c>
      <c r="C78" s="24" t="s">
        <v>946</v>
      </c>
      <c r="D78" s="24" t="s">
        <v>947</v>
      </c>
      <c r="E78" s="28">
        <v>86538</v>
      </c>
      <c r="F78" s="25">
        <v>87.810108600000007</v>
      </c>
      <c r="G78" s="26">
        <v>0.46894622480373899</v>
      </c>
      <c r="H78" s="24"/>
    </row>
    <row r="79" spans="2:8" x14ac:dyDescent="0.2">
      <c r="B79" s="24" t="s">
        <v>948</v>
      </c>
      <c r="C79" s="24" t="s">
        <v>949</v>
      </c>
      <c r="D79" s="24" t="s">
        <v>255</v>
      </c>
      <c r="E79" s="28">
        <v>45475</v>
      </c>
      <c r="F79" s="25">
        <v>87.425687499999995</v>
      </c>
      <c r="G79" s="26">
        <v>0.46689323994295201</v>
      </c>
      <c r="H79" s="24"/>
    </row>
    <row r="80" spans="2:8" x14ac:dyDescent="0.2">
      <c r="B80" s="24" t="s">
        <v>950</v>
      </c>
      <c r="C80" s="24" t="s">
        <v>951</v>
      </c>
      <c r="D80" s="24" t="s">
        <v>952</v>
      </c>
      <c r="E80" s="28">
        <v>4915</v>
      </c>
      <c r="F80" s="25">
        <v>87.172439999999995</v>
      </c>
      <c r="G80" s="26">
        <v>0.46554078222527701</v>
      </c>
      <c r="H80" s="24"/>
    </row>
    <row r="81" spans="2:8" x14ac:dyDescent="0.2">
      <c r="B81" s="24" t="s">
        <v>953</v>
      </c>
      <c r="C81" s="24" t="s">
        <v>954</v>
      </c>
      <c r="D81" s="24" t="s">
        <v>438</v>
      </c>
      <c r="E81" s="28">
        <v>6310</v>
      </c>
      <c r="F81" s="25">
        <v>86.36497</v>
      </c>
      <c r="G81" s="26">
        <v>0.461228522347918</v>
      </c>
      <c r="H81" s="24"/>
    </row>
    <row r="82" spans="2:8" x14ac:dyDescent="0.2">
      <c r="B82" s="24" t="s">
        <v>955</v>
      </c>
      <c r="C82" s="24" t="s">
        <v>956</v>
      </c>
      <c r="D82" s="24" t="s">
        <v>301</v>
      </c>
      <c r="E82" s="28">
        <v>448026</v>
      </c>
      <c r="F82" s="25">
        <v>84.184085400000001</v>
      </c>
      <c r="G82" s="26">
        <v>0.44958159904707801</v>
      </c>
      <c r="H82" s="24"/>
    </row>
    <row r="83" spans="2:8" x14ac:dyDescent="0.2">
      <c r="B83" s="24" t="s">
        <v>957</v>
      </c>
      <c r="C83" s="24" t="s">
        <v>958</v>
      </c>
      <c r="D83" s="24" t="s">
        <v>266</v>
      </c>
      <c r="E83" s="28">
        <v>12195</v>
      </c>
      <c r="F83" s="25">
        <v>83.627212499999999</v>
      </c>
      <c r="G83" s="26">
        <v>0.44660764253667101</v>
      </c>
      <c r="H83" s="24"/>
    </row>
    <row r="84" spans="2:8" x14ac:dyDescent="0.2">
      <c r="B84" s="24" t="s">
        <v>959</v>
      </c>
      <c r="C84" s="24" t="s">
        <v>960</v>
      </c>
      <c r="D84" s="24" t="s">
        <v>298</v>
      </c>
      <c r="E84" s="28">
        <v>7815</v>
      </c>
      <c r="F84" s="25">
        <v>83.401679999999999</v>
      </c>
      <c r="G84" s="26">
        <v>0.44540319562125602</v>
      </c>
      <c r="H84" s="24"/>
    </row>
    <row r="85" spans="2:8" x14ac:dyDescent="0.2">
      <c r="B85" s="24" t="s">
        <v>961</v>
      </c>
      <c r="C85" s="24" t="s">
        <v>962</v>
      </c>
      <c r="D85" s="24" t="s">
        <v>293</v>
      </c>
      <c r="E85" s="28">
        <v>9407</v>
      </c>
      <c r="F85" s="25">
        <v>83.195508000000004</v>
      </c>
      <c r="G85" s="26">
        <v>0.44430214264909001</v>
      </c>
      <c r="H85" s="24"/>
    </row>
    <row r="86" spans="2:8" x14ac:dyDescent="0.2">
      <c r="B86" s="24" t="s">
        <v>963</v>
      </c>
      <c r="C86" s="24" t="s">
        <v>964</v>
      </c>
      <c r="D86" s="24" t="s">
        <v>304</v>
      </c>
      <c r="E86" s="28">
        <v>2783</v>
      </c>
      <c r="F86" s="25">
        <v>82.677363999999997</v>
      </c>
      <c r="G86" s="26">
        <v>0.44153501621480301</v>
      </c>
      <c r="H86" s="24"/>
    </row>
    <row r="87" spans="2:8" x14ac:dyDescent="0.2">
      <c r="B87" s="24" t="s">
        <v>965</v>
      </c>
      <c r="C87" s="24" t="s">
        <v>966</v>
      </c>
      <c r="D87" s="24" t="s">
        <v>293</v>
      </c>
      <c r="E87" s="28">
        <v>7581</v>
      </c>
      <c r="F87" s="25">
        <v>82.610157000000001</v>
      </c>
      <c r="G87" s="26">
        <v>0.44117610003268098</v>
      </c>
      <c r="H87" s="24"/>
    </row>
    <row r="88" spans="2:8" x14ac:dyDescent="0.2">
      <c r="B88" s="24" t="s">
        <v>967</v>
      </c>
      <c r="C88" s="24" t="s">
        <v>968</v>
      </c>
      <c r="D88" s="24" t="s">
        <v>283</v>
      </c>
      <c r="E88" s="28">
        <v>7417</v>
      </c>
      <c r="F88" s="25">
        <v>82.402869999999993</v>
      </c>
      <c r="G88" s="26">
        <v>0.44006909244949199</v>
      </c>
      <c r="H88" s="24"/>
    </row>
    <row r="89" spans="2:8" x14ac:dyDescent="0.2">
      <c r="B89" s="24" t="s">
        <v>969</v>
      </c>
      <c r="C89" s="24" t="s">
        <v>970</v>
      </c>
      <c r="D89" s="24" t="s">
        <v>417</v>
      </c>
      <c r="E89" s="28">
        <v>1153</v>
      </c>
      <c r="F89" s="25">
        <v>80.992485000000002</v>
      </c>
      <c r="G89" s="26">
        <v>0.43253699014584202</v>
      </c>
      <c r="H89" s="24"/>
    </row>
    <row r="90" spans="2:8" x14ac:dyDescent="0.2">
      <c r="B90" s="24" t="s">
        <v>971</v>
      </c>
      <c r="C90" s="24" t="s">
        <v>972</v>
      </c>
      <c r="D90" s="24" t="s">
        <v>293</v>
      </c>
      <c r="E90" s="28">
        <v>5074</v>
      </c>
      <c r="F90" s="25">
        <v>80.950596000000004</v>
      </c>
      <c r="G90" s="26">
        <v>0.43231328368739402</v>
      </c>
      <c r="H90" s="24"/>
    </row>
    <row r="91" spans="2:8" x14ac:dyDescent="0.2">
      <c r="B91" s="24" t="s">
        <v>973</v>
      </c>
      <c r="C91" s="24" t="s">
        <v>974</v>
      </c>
      <c r="D91" s="24" t="s">
        <v>483</v>
      </c>
      <c r="E91" s="28">
        <v>8010</v>
      </c>
      <c r="F91" s="25">
        <v>80.921025</v>
      </c>
      <c r="G91" s="26">
        <v>0.43215536099449697</v>
      </c>
      <c r="H91" s="24"/>
    </row>
    <row r="92" spans="2:8" x14ac:dyDescent="0.2">
      <c r="B92" s="24" t="s">
        <v>975</v>
      </c>
      <c r="C92" s="24" t="s">
        <v>976</v>
      </c>
      <c r="D92" s="24" t="s">
        <v>350</v>
      </c>
      <c r="E92" s="28">
        <v>22541</v>
      </c>
      <c r="F92" s="25">
        <v>80.730591500000003</v>
      </c>
      <c r="G92" s="26">
        <v>0.43113835882555601</v>
      </c>
      <c r="H92" s="24"/>
    </row>
    <row r="93" spans="2:8" x14ac:dyDescent="0.2">
      <c r="B93" s="24" t="s">
        <v>977</v>
      </c>
      <c r="C93" s="24" t="s">
        <v>978</v>
      </c>
      <c r="D93" s="24" t="s">
        <v>276</v>
      </c>
      <c r="E93" s="28">
        <v>453</v>
      </c>
      <c r="F93" s="25">
        <v>80.715540000000004</v>
      </c>
      <c r="G93" s="26">
        <v>0.431057976917195</v>
      </c>
      <c r="H93" s="24"/>
    </row>
    <row r="94" spans="2:8" x14ac:dyDescent="0.2">
      <c r="B94" s="24" t="s">
        <v>979</v>
      </c>
      <c r="C94" s="24" t="s">
        <v>980</v>
      </c>
      <c r="D94" s="24" t="s">
        <v>263</v>
      </c>
      <c r="E94" s="28">
        <v>10766</v>
      </c>
      <c r="F94" s="25">
        <v>80.707318999999998</v>
      </c>
      <c r="G94" s="26">
        <v>0.43101407300937</v>
      </c>
      <c r="H94" s="24"/>
    </row>
    <row r="95" spans="2:8" x14ac:dyDescent="0.2">
      <c r="B95" s="24" t="s">
        <v>981</v>
      </c>
      <c r="C95" s="24" t="s">
        <v>982</v>
      </c>
      <c r="D95" s="24" t="s">
        <v>293</v>
      </c>
      <c r="E95" s="28">
        <v>5196</v>
      </c>
      <c r="F95" s="25">
        <v>79.613112000000001</v>
      </c>
      <c r="G95" s="26">
        <v>0.42517050613552398</v>
      </c>
      <c r="H95" s="24"/>
    </row>
    <row r="96" spans="2:8" x14ac:dyDescent="0.2">
      <c r="B96" s="24" t="s">
        <v>983</v>
      </c>
      <c r="C96" s="24" t="s">
        <v>984</v>
      </c>
      <c r="D96" s="24" t="s">
        <v>426</v>
      </c>
      <c r="E96" s="28">
        <v>27059</v>
      </c>
      <c r="F96" s="25">
        <v>77.794624999999996</v>
      </c>
      <c r="G96" s="26">
        <v>0.41545895211172301</v>
      </c>
      <c r="H96" s="24"/>
    </row>
    <row r="97" spans="2:8" x14ac:dyDescent="0.2">
      <c r="B97" s="24" t="s">
        <v>985</v>
      </c>
      <c r="C97" s="24" t="s">
        <v>986</v>
      </c>
      <c r="D97" s="24" t="s">
        <v>276</v>
      </c>
      <c r="E97" s="28">
        <v>10802</v>
      </c>
      <c r="F97" s="25">
        <v>77.552959000000001</v>
      </c>
      <c r="G97" s="26">
        <v>0.41416834491204801</v>
      </c>
      <c r="H97" s="24"/>
    </row>
    <row r="98" spans="2:8" x14ac:dyDescent="0.2">
      <c r="B98" s="24" t="s">
        <v>987</v>
      </c>
      <c r="C98" s="24" t="s">
        <v>988</v>
      </c>
      <c r="D98" s="24" t="s">
        <v>304</v>
      </c>
      <c r="E98" s="28">
        <v>2753</v>
      </c>
      <c r="F98" s="25">
        <v>76.896795999999995</v>
      </c>
      <c r="G98" s="26">
        <v>0.41066413376128402</v>
      </c>
      <c r="H98" s="24"/>
    </row>
    <row r="99" spans="2:8" x14ac:dyDescent="0.2">
      <c r="B99" s="24" t="s">
        <v>989</v>
      </c>
      <c r="C99" s="24" t="s">
        <v>990</v>
      </c>
      <c r="D99" s="24" t="s">
        <v>417</v>
      </c>
      <c r="E99" s="28">
        <v>1979</v>
      </c>
      <c r="F99" s="25">
        <v>76.132130000000004</v>
      </c>
      <c r="G99" s="26">
        <v>0.40658046686173399</v>
      </c>
      <c r="H99" s="24"/>
    </row>
    <row r="100" spans="2:8" x14ac:dyDescent="0.2">
      <c r="B100" s="24" t="s">
        <v>991</v>
      </c>
      <c r="C100" s="24" t="s">
        <v>992</v>
      </c>
      <c r="D100" s="24" t="s">
        <v>293</v>
      </c>
      <c r="E100" s="28">
        <v>13635</v>
      </c>
      <c r="F100" s="25">
        <v>75.824235000000002</v>
      </c>
      <c r="G100" s="26">
        <v>0.40493616644817099</v>
      </c>
      <c r="H100" s="24"/>
    </row>
    <row r="101" spans="2:8" x14ac:dyDescent="0.2">
      <c r="B101" s="24" t="s">
        <v>993</v>
      </c>
      <c r="C101" s="24" t="s">
        <v>994</v>
      </c>
      <c r="D101" s="24" t="s">
        <v>729</v>
      </c>
      <c r="E101" s="28">
        <v>4475</v>
      </c>
      <c r="F101" s="25">
        <v>75.206850000000003</v>
      </c>
      <c r="G101" s="26">
        <v>0.40163904759003</v>
      </c>
      <c r="H101" s="24"/>
    </row>
    <row r="102" spans="2:8" x14ac:dyDescent="0.2">
      <c r="B102" s="24" t="s">
        <v>995</v>
      </c>
      <c r="C102" s="24" t="s">
        <v>996</v>
      </c>
      <c r="D102" s="24" t="s">
        <v>283</v>
      </c>
      <c r="E102" s="28">
        <v>511</v>
      </c>
      <c r="F102" s="25">
        <v>75.14255</v>
      </c>
      <c r="G102" s="26">
        <v>0.40129565612023699</v>
      </c>
      <c r="H102" s="24"/>
    </row>
    <row r="103" spans="2:8" x14ac:dyDescent="0.2">
      <c r="B103" s="24" t="s">
        <v>997</v>
      </c>
      <c r="C103" s="24" t="s">
        <v>998</v>
      </c>
      <c r="D103" s="24" t="s">
        <v>397</v>
      </c>
      <c r="E103" s="28">
        <v>46704</v>
      </c>
      <c r="F103" s="25">
        <v>73.918420800000007</v>
      </c>
      <c r="G103" s="26">
        <v>0.39475824515281599</v>
      </c>
      <c r="H103" s="24"/>
    </row>
    <row r="104" spans="2:8" x14ac:dyDescent="0.2">
      <c r="B104" s="24" t="s">
        <v>999</v>
      </c>
      <c r="C104" s="24" t="s">
        <v>1000</v>
      </c>
      <c r="D104" s="24" t="s">
        <v>293</v>
      </c>
      <c r="E104" s="28">
        <v>8417</v>
      </c>
      <c r="F104" s="25">
        <v>73.8381325</v>
      </c>
      <c r="G104" s="26">
        <v>0.39432946883330999</v>
      </c>
      <c r="H104" s="24"/>
    </row>
    <row r="105" spans="2:8" x14ac:dyDescent="0.2">
      <c r="B105" s="24" t="s">
        <v>1001</v>
      </c>
      <c r="C105" s="24" t="s">
        <v>1002</v>
      </c>
      <c r="D105" s="24" t="s">
        <v>429</v>
      </c>
      <c r="E105" s="28">
        <v>12797</v>
      </c>
      <c r="F105" s="25">
        <v>73.768306499999994</v>
      </c>
      <c r="G105" s="26">
        <v>0.39395656599085599</v>
      </c>
      <c r="H105" s="24"/>
    </row>
    <row r="106" spans="2:8" x14ac:dyDescent="0.2">
      <c r="B106" s="24" t="s">
        <v>1003</v>
      </c>
      <c r="C106" s="24" t="s">
        <v>1004</v>
      </c>
      <c r="D106" s="24" t="s">
        <v>438</v>
      </c>
      <c r="E106" s="28">
        <v>19282</v>
      </c>
      <c r="F106" s="25">
        <v>73.715085999999999</v>
      </c>
      <c r="G106" s="26">
        <v>0.39367234412898799</v>
      </c>
      <c r="H106" s="24"/>
    </row>
    <row r="107" spans="2:8" x14ac:dyDescent="0.2">
      <c r="B107" s="24" t="s">
        <v>1005</v>
      </c>
      <c r="C107" s="24" t="s">
        <v>1006</v>
      </c>
      <c r="D107" s="24" t="s">
        <v>729</v>
      </c>
      <c r="E107" s="28">
        <v>143927</v>
      </c>
      <c r="F107" s="25">
        <v>72.078641599999997</v>
      </c>
      <c r="G107" s="26">
        <v>0.38493298102243501</v>
      </c>
      <c r="H107" s="24"/>
    </row>
    <row r="108" spans="2:8" x14ac:dyDescent="0.2">
      <c r="B108" s="24" t="s">
        <v>1007</v>
      </c>
      <c r="C108" s="24" t="s">
        <v>1008</v>
      </c>
      <c r="D108" s="24" t="s">
        <v>947</v>
      </c>
      <c r="E108" s="28">
        <v>6703</v>
      </c>
      <c r="F108" s="25">
        <v>71.581337000000005</v>
      </c>
      <c r="G108" s="26">
        <v>0.38227714653520201</v>
      </c>
      <c r="H108" s="24"/>
    </row>
    <row r="109" spans="2:8" x14ac:dyDescent="0.2">
      <c r="B109" s="24" t="s">
        <v>1009</v>
      </c>
      <c r="C109" s="24" t="s">
        <v>1010</v>
      </c>
      <c r="D109" s="24" t="s">
        <v>509</v>
      </c>
      <c r="E109" s="28">
        <v>16588</v>
      </c>
      <c r="F109" s="25">
        <v>70.980052000000001</v>
      </c>
      <c r="G109" s="26">
        <v>0.37906600905596799</v>
      </c>
      <c r="H109" s="24"/>
    </row>
    <row r="110" spans="2:8" x14ac:dyDescent="0.2">
      <c r="B110" s="24" t="s">
        <v>1011</v>
      </c>
      <c r="C110" s="24" t="s">
        <v>1012</v>
      </c>
      <c r="D110" s="24" t="s">
        <v>293</v>
      </c>
      <c r="E110" s="28">
        <v>1425</v>
      </c>
      <c r="F110" s="25">
        <v>70.893749999999997</v>
      </c>
      <c r="G110" s="26">
        <v>0.37860511682227999</v>
      </c>
      <c r="H110" s="24"/>
    </row>
    <row r="111" spans="2:8" x14ac:dyDescent="0.2">
      <c r="B111" s="24" t="s">
        <v>1013</v>
      </c>
      <c r="C111" s="24" t="s">
        <v>1014</v>
      </c>
      <c r="D111" s="24" t="s">
        <v>283</v>
      </c>
      <c r="E111" s="28">
        <v>25376</v>
      </c>
      <c r="F111" s="25">
        <v>70.824415999999999</v>
      </c>
      <c r="G111" s="26">
        <v>0.378234841485318</v>
      </c>
      <c r="H111" s="24"/>
    </row>
    <row r="112" spans="2:8" x14ac:dyDescent="0.2">
      <c r="B112" s="24" t="s">
        <v>1015</v>
      </c>
      <c r="C112" s="24" t="s">
        <v>1016</v>
      </c>
      <c r="D112" s="24" t="s">
        <v>283</v>
      </c>
      <c r="E112" s="28">
        <v>7946</v>
      </c>
      <c r="F112" s="25">
        <v>70.286343000000002</v>
      </c>
      <c r="G112" s="26">
        <v>0.37536128505722799</v>
      </c>
      <c r="H112" s="24"/>
    </row>
    <row r="113" spans="2:8" x14ac:dyDescent="0.2">
      <c r="B113" s="24" t="s">
        <v>1017</v>
      </c>
      <c r="C113" s="24" t="s">
        <v>1018</v>
      </c>
      <c r="D113" s="24" t="s">
        <v>397</v>
      </c>
      <c r="E113" s="28">
        <v>18633</v>
      </c>
      <c r="F113" s="25">
        <v>69.678103500000006</v>
      </c>
      <c r="G113" s="26">
        <v>0.37211300736062702</v>
      </c>
      <c r="H113" s="24"/>
    </row>
    <row r="114" spans="2:8" x14ac:dyDescent="0.2">
      <c r="B114" s="24" t="s">
        <v>1019</v>
      </c>
      <c r="C114" s="24" t="s">
        <v>1020</v>
      </c>
      <c r="D114" s="24" t="s">
        <v>1021</v>
      </c>
      <c r="E114" s="28">
        <v>3587</v>
      </c>
      <c r="F114" s="25">
        <v>69.555516999999995</v>
      </c>
      <c r="G114" s="26">
        <v>0.37145833926713001</v>
      </c>
      <c r="H114" s="24"/>
    </row>
    <row r="115" spans="2:8" x14ac:dyDescent="0.2">
      <c r="B115" s="24" t="s">
        <v>1022</v>
      </c>
      <c r="C115" s="24" t="s">
        <v>1023</v>
      </c>
      <c r="D115" s="24" t="s">
        <v>283</v>
      </c>
      <c r="E115" s="28">
        <v>36280</v>
      </c>
      <c r="F115" s="25">
        <v>68.257192000000003</v>
      </c>
      <c r="G115" s="26">
        <v>0.36452468872250099</v>
      </c>
      <c r="H115" s="24"/>
    </row>
    <row r="116" spans="2:8" x14ac:dyDescent="0.2">
      <c r="B116" s="24" t="s">
        <v>1024</v>
      </c>
      <c r="C116" s="24" t="s">
        <v>1025</v>
      </c>
      <c r="D116" s="24" t="s">
        <v>301</v>
      </c>
      <c r="E116" s="28">
        <v>13029</v>
      </c>
      <c r="F116" s="25">
        <v>68.011380000000003</v>
      </c>
      <c r="G116" s="26">
        <v>0.36321193998264301</v>
      </c>
      <c r="H116" s="24"/>
    </row>
    <row r="117" spans="2:8" x14ac:dyDescent="0.2">
      <c r="B117" s="24" t="s">
        <v>1026</v>
      </c>
      <c r="C117" s="24" t="s">
        <v>1027</v>
      </c>
      <c r="D117" s="24" t="s">
        <v>293</v>
      </c>
      <c r="E117" s="28">
        <v>12005</v>
      </c>
      <c r="F117" s="25">
        <v>67.756219999999999</v>
      </c>
      <c r="G117" s="26">
        <v>0.36184926863843597</v>
      </c>
      <c r="H117" s="24"/>
    </row>
    <row r="118" spans="2:8" x14ac:dyDescent="0.2">
      <c r="B118" s="24" t="s">
        <v>1028</v>
      </c>
      <c r="C118" s="24" t="s">
        <v>1029</v>
      </c>
      <c r="D118" s="24" t="s">
        <v>283</v>
      </c>
      <c r="E118" s="28">
        <v>5056</v>
      </c>
      <c r="F118" s="25">
        <v>67.603775999999996</v>
      </c>
      <c r="G118" s="26">
        <v>0.36103514781073398</v>
      </c>
      <c r="H118" s="24"/>
    </row>
    <row r="119" spans="2:8" x14ac:dyDescent="0.2">
      <c r="B119" s="24" t="s">
        <v>1030</v>
      </c>
      <c r="C119" s="24" t="s">
        <v>1031</v>
      </c>
      <c r="D119" s="24" t="s">
        <v>365</v>
      </c>
      <c r="E119" s="28">
        <v>6633</v>
      </c>
      <c r="F119" s="25">
        <v>66.900437999999994</v>
      </c>
      <c r="G119" s="26">
        <v>0.35727900053885903</v>
      </c>
      <c r="H119" s="24"/>
    </row>
    <row r="120" spans="2:8" x14ac:dyDescent="0.2">
      <c r="B120" s="24" t="s">
        <v>1032</v>
      </c>
      <c r="C120" s="24" t="s">
        <v>1033</v>
      </c>
      <c r="D120" s="24" t="s">
        <v>435</v>
      </c>
      <c r="E120" s="28">
        <v>764</v>
      </c>
      <c r="F120" s="25">
        <v>66.349580000000003</v>
      </c>
      <c r="G120" s="26">
        <v>0.35433716635118401</v>
      </c>
      <c r="H120" s="24"/>
    </row>
    <row r="121" spans="2:8" x14ac:dyDescent="0.2">
      <c r="B121" s="24" t="s">
        <v>1034</v>
      </c>
      <c r="C121" s="24" t="s">
        <v>1035</v>
      </c>
      <c r="D121" s="24" t="s">
        <v>288</v>
      </c>
      <c r="E121" s="28">
        <v>2871</v>
      </c>
      <c r="F121" s="25">
        <v>66.320099999999996</v>
      </c>
      <c r="G121" s="26">
        <v>0.354179729639994</v>
      </c>
      <c r="H121" s="24"/>
    </row>
    <row r="122" spans="2:8" x14ac:dyDescent="0.2">
      <c r="B122" s="24" t="s">
        <v>1036</v>
      </c>
      <c r="C122" s="24" t="s">
        <v>1037</v>
      </c>
      <c r="D122" s="24" t="s">
        <v>266</v>
      </c>
      <c r="E122" s="28">
        <v>38438</v>
      </c>
      <c r="F122" s="25">
        <v>65.886575800000003</v>
      </c>
      <c r="G122" s="26">
        <v>0.351864511720413</v>
      </c>
      <c r="H122" s="24"/>
    </row>
    <row r="123" spans="2:8" x14ac:dyDescent="0.2">
      <c r="B123" s="24" t="s">
        <v>1038</v>
      </c>
      <c r="C123" s="24" t="s">
        <v>1039</v>
      </c>
      <c r="D123" s="24" t="s">
        <v>530</v>
      </c>
      <c r="E123" s="28">
        <v>3594</v>
      </c>
      <c r="F123" s="25">
        <v>65.698319999999995</v>
      </c>
      <c r="G123" s="26">
        <v>0.35085913946754899</v>
      </c>
      <c r="H123" s="24"/>
    </row>
    <row r="124" spans="2:8" x14ac:dyDescent="0.2">
      <c r="B124" s="24" t="s">
        <v>1040</v>
      </c>
      <c r="C124" s="24" t="s">
        <v>1041</v>
      </c>
      <c r="D124" s="24" t="s">
        <v>263</v>
      </c>
      <c r="E124" s="28">
        <v>18306</v>
      </c>
      <c r="F124" s="25">
        <v>65.425644000000005</v>
      </c>
      <c r="G124" s="26">
        <v>0.34940292465545902</v>
      </c>
      <c r="H124" s="24"/>
    </row>
    <row r="125" spans="2:8" x14ac:dyDescent="0.2">
      <c r="B125" s="24" t="s">
        <v>1042</v>
      </c>
      <c r="C125" s="24" t="s">
        <v>1043</v>
      </c>
      <c r="D125" s="24" t="s">
        <v>260</v>
      </c>
      <c r="E125" s="28">
        <v>92797</v>
      </c>
      <c r="F125" s="25">
        <v>65.115654899999996</v>
      </c>
      <c r="G125" s="26">
        <v>0.34774744078813402</v>
      </c>
      <c r="H125" s="24"/>
    </row>
    <row r="126" spans="2:8" x14ac:dyDescent="0.2">
      <c r="B126" s="24" t="s">
        <v>1044</v>
      </c>
      <c r="C126" s="24" t="s">
        <v>1045</v>
      </c>
      <c r="D126" s="24" t="s">
        <v>429</v>
      </c>
      <c r="E126" s="28">
        <v>4184</v>
      </c>
      <c r="F126" s="25">
        <v>64.320632000000003</v>
      </c>
      <c r="G126" s="26">
        <v>0.34350165412949502</v>
      </c>
      <c r="H126" s="24"/>
    </row>
    <row r="127" spans="2:8" x14ac:dyDescent="0.2">
      <c r="B127" s="24" t="s">
        <v>1046</v>
      </c>
      <c r="C127" s="24" t="s">
        <v>1047</v>
      </c>
      <c r="D127" s="24" t="s">
        <v>426</v>
      </c>
      <c r="E127" s="28">
        <v>5353</v>
      </c>
      <c r="F127" s="25">
        <v>64.246706000000003</v>
      </c>
      <c r="G127" s="26">
        <v>0.343106855407941</v>
      </c>
      <c r="H127" s="24"/>
    </row>
    <row r="128" spans="2:8" x14ac:dyDescent="0.2">
      <c r="B128" s="24" t="s">
        <v>1048</v>
      </c>
      <c r="C128" s="24" t="s">
        <v>1049</v>
      </c>
      <c r="D128" s="24" t="s">
        <v>353</v>
      </c>
      <c r="E128" s="28">
        <v>4697</v>
      </c>
      <c r="F128" s="25">
        <v>63.470560999999996</v>
      </c>
      <c r="G128" s="26">
        <v>0.33896188538736699</v>
      </c>
      <c r="H128" s="24"/>
    </row>
    <row r="129" spans="2:8" x14ac:dyDescent="0.2">
      <c r="B129" s="24" t="s">
        <v>1050</v>
      </c>
      <c r="C129" s="24" t="s">
        <v>1051</v>
      </c>
      <c r="D129" s="24" t="s">
        <v>539</v>
      </c>
      <c r="E129" s="28">
        <v>14287</v>
      </c>
      <c r="F129" s="25">
        <v>62.884230500000001</v>
      </c>
      <c r="G129" s="26">
        <v>0.33583061179203699</v>
      </c>
      <c r="H129" s="24"/>
    </row>
    <row r="130" spans="2:8" x14ac:dyDescent="0.2">
      <c r="B130" s="24" t="s">
        <v>1052</v>
      </c>
      <c r="C130" s="24" t="s">
        <v>1053</v>
      </c>
      <c r="D130" s="24" t="s">
        <v>298</v>
      </c>
      <c r="E130" s="28">
        <v>5822</v>
      </c>
      <c r="F130" s="25">
        <v>62.417662</v>
      </c>
      <c r="G130" s="26">
        <v>0.333338922165686</v>
      </c>
      <c r="H130" s="24"/>
    </row>
    <row r="131" spans="2:8" x14ac:dyDescent="0.2">
      <c r="B131" s="24" t="s">
        <v>1054</v>
      </c>
      <c r="C131" s="24" t="s">
        <v>1055</v>
      </c>
      <c r="D131" s="24" t="s">
        <v>483</v>
      </c>
      <c r="E131" s="28">
        <v>7529</v>
      </c>
      <c r="F131" s="25">
        <v>62.242243000000002</v>
      </c>
      <c r="G131" s="26">
        <v>0.33240210430814798</v>
      </c>
      <c r="H131" s="24"/>
    </row>
    <row r="132" spans="2:8" x14ac:dyDescent="0.2">
      <c r="B132" s="24" t="s">
        <v>1056</v>
      </c>
      <c r="C132" s="24" t="s">
        <v>1057</v>
      </c>
      <c r="D132" s="24" t="s">
        <v>288</v>
      </c>
      <c r="E132" s="28">
        <v>20141</v>
      </c>
      <c r="F132" s="25">
        <v>60.926524999999998</v>
      </c>
      <c r="G132" s="26">
        <v>0.325375567172008</v>
      </c>
      <c r="H132" s="24"/>
    </row>
    <row r="133" spans="2:8" x14ac:dyDescent="0.2">
      <c r="B133" s="24" t="s">
        <v>1058</v>
      </c>
      <c r="C133" s="24" t="s">
        <v>1059</v>
      </c>
      <c r="D133" s="24" t="s">
        <v>283</v>
      </c>
      <c r="E133" s="28">
        <v>7475</v>
      </c>
      <c r="F133" s="25">
        <v>60.282137499999997</v>
      </c>
      <c r="G133" s="26">
        <v>0.321934242588158</v>
      </c>
      <c r="H133" s="24"/>
    </row>
    <row r="134" spans="2:8" x14ac:dyDescent="0.2">
      <c r="B134" s="24" t="s">
        <v>1060</v>
      </c>
      <c r="C134" s="24" t="s">
        <v>1061</v>
      </c>
      <c r="D134" s="24" t="s">
        <v>304</v>
      </c>
      <c r="E134" s="28">
        <v>4285</v>
      </c>
      <c r="F134" s="25">
        <v>60.277095000000003</v>
      </c>
      <c r="G134" s="26">
        <v>0.32190731332709399</v>
      </c>
      <c r="H134" s="24"/>
    </row>
    <row r="135" spans="2:8" x14ac:dyDescent="0.2">
      <c r="B135" s="24" t="s">
        <v>1062</v>
      </c>
      <c r="C135" s="24" t="s">
        <v>1063</v>
      </c>
      <c r="D135" s="24" t="s">
        <v>298</v>
      </c>
      <c r="E135" s="28">
        <v>6001</v>
      </c>
      <c r="F135" s="25">
        <v>59.961992000000002</v>
      </c>
      <c r="G135" s="26">
        <v>0.32022451888998199</v>
      </c>
      <c r="H135" s="24"/>
    </row>
    <row r="136" spans="2:8" x14ac:dyDescent="0.2">
      <c r="B136" s="24" t="s">
        <v>1064</v>
      </c>
      <c r="C136" s="24" t="s">
        <v>1065</v>
      </c>
      <c r="D136" s="24" t="s">
        <v>397</v>
      </c>
      <c r="E136" s="28">
        <v>6713</v>
      </c>
      <c r="F136" s="25">
        <v>59.504032000000002</v>
      </c>
      <c r="G136" s="26">
        <v>0.317778802599054</v>
      </c>
      <c r="H136" s="24"/>
    </row>
    <row r="137" spans="2:8" x14ac:dyDescent="0.2">
      <c r="B137" s="24" t="s">
        <v>1066</v>
      </c>
      <c r="C137" s="24" t="s">
        <v>1067</v>
      </c>
      <c r="D137" s="24" t="s">
        <v>298</v>
      </c>
      <c r="E137" s="28">
        <v>17271</v>
      </c>
      <c r="F137" s="25">
        <v>59.464053</v>
      </c>
      <c r="G137" s="26">
        <v>0.31756529641599202</v>
      </c>
      <c r="H137" s="24"/>
    </row>
    <row r="138" spans="2:8" x14ac:dyDescent="0.2">
      <c r="B138" s="24" t="s">
        <v>1068</v>
      </c>
      <c r="C138" s="24" t="s">
        <v>1069</v>
      </c>
      <c r="D138" s="24" t="s">
        <v>263</v>
      </c>
      <c r="E138" s="28">
        <v>15523</v>
      </c>
      <c r="F138" s="25">
        <v>59.018445999999997</v>
      </c>
      <c r="G138" s="26">
        <v>0.315185550806657</v>
      </c>
      <c r="H138" s="24"/>
    </row>
    <row r="139" spans="2:8" x14ac:dyDescent="0.2">
      <c r="B139" s="24" t="s">
        <v>1070</v>
      </c>
      <c r="C139" s="24" t="s">
        <v>1071</v>
      </c>
      <c r="D139" s="24" t="s">
        <v>438</v>
      </c>
      <c r="E139" s="28">
        <v>13111</v>
      </c>
      <c r="F139" s="25">
        <v>58.842168000000001</v>
      </c>
      <c r="G139" s="26">
        <v>0.31424414549542401</v>
      </c>
      <c r="H139" s="24"/>
    </row>
    <row r="140" spans="2:8" x14ac:dyDescent="0.2">
      <c r="B140" s="24" t="s">
        <v>1072</v>
      </c>
      <c r="C140" s="24" t="s">
        <v>1073</v>
      </c>
      <c r="D140" s="24" t="s">
        <v>483</v>
      </c>
      <c r="E140" s="28">
        <v>7170</v>
      </c>
      <c r="F140" s="25">
        <v>58.811925000000002</v>
      </c>
      <c r="G140" s="26">
        <v>0.31408263401453801</v>
      </c>
      <c r="H140" s="24"/>
    </row>
    <row r="141" spans="2:8" x14ac:dyDescent="0.2">
      <c r="B141" s="24" t="s">
        <v>1074</v>
      </c>
      <c r="C141" s="24" t="s">
        <v>1075</v>
      </c>
      <c r="D141" s="24" t="s">
        <v>432</v>
      </c>
      <c r="E141" s="28">
        <v>10837</v>
      </c>
      <c r="F141" s="25">
        <v>58.183852999999999</v>
      </c>
      <c r="G141" s="26">
        <v>0.310728441678362</v>
      </c>
      <c r="H141" s="24"/>
    </row>
    <row r="142" spans="2:8" x14ac:dyDescent="0.2">
      <c r="B142" s="24" t="s">
        <v>1076</v>
      </c>
      <c r="C142" s="24" t="s">
        <v>1077</v>
      </c>
      <c r="D142" s="24" t="s">
        <v>283</v>
      </c>
      <c r="E142" s="28">
        <v>3736</v>
      </c>
      <c r="F142" s="25">
        <v>57.777239999999999</v>
      </c>
      <c r="G142" s="26">
        <v>0.30855694190064598</v>
      </c>
      <c r="H142" s="24"/>
    </row>
    <row r="143" spans="2:8" x14ac:dyDescent="0.2">
      <c r="B143" s="24" t="s">
        <v>1078</v>
      </c>
      <c r="C143" s="24" t="s">
        <v>1079</v>
      </c>
      <c r="D143" s="24" t="s">
        <v>288</v>
      </c>
      <c r="E143" s="28">
        <v>44138</v>
      </c>
      <c r="F143" s="25">
        <v>57.454434599999999</v>
      </c>
      <c r="G143" s="26">
        <v>0.30683301311739097</v>
      </c>
      <c r="H143" s="24"/>
    </row>
    <row r="144" spans="2:8" x14ac:dyDescent="0.2">
      <c r="B144" s="24" t="s">
        <v>1080</v>
      </c>
      <c r="C144" s="24" t="s">
        <v>1081</v>
      </c>
      <c r="D144" s="24" t="s">
        <v>266</v>
      </c>
      <c r="E144" s="28">
        <v>4712</v>
      </c>
      <c r="F144" s="25">
        <v>56.793736000000003</v>
      </c>
      <c r="G144" s="26">
        <v>0.30330457978388398</v>
      </c>
      <c r="H144" s="24"/>
    </row>
    <row r="145" spans="2:8" x14ac:dyDescent="0.2">
      <c r="B145" s="24" t="s">
        <v>1082</v>
      </c>
      <c r="C145" s="24" t="s">
        <v>1083</v>
      </c>
      <c r="D145" s="24" t="s">
        <v>266</v>
      </c>
      <c r="E145" s="28">
        <v>13961</v>
      </c>
      <c r="F145" s="25">
        <v>56.416401</v>
      </c>
      <c r="G145" s="26">
        <v>0.30128943794477803</v>
      </c>
      <c r="H145" s="24"/>
    </row>
    <row r="146" spans="2:8" x14ac:dyDescent="0.2">
      <c r="B146" s="24" t="s">
        <v>1084</v>
      </c>
      <c r="C146" s="24" t="s">
        <v>1085</v>
      </c>
      <c r="D146" s="24" t="s">
        <v>438</v>
      </c>
      <c r="E146" s="28">
        <v>7924</v>
      </c>
      <c r="F146" s="25">
        <v>56.105882000000001</v>
      </c>
      <c r="G146" s="26">
        <v>0.299631124168591</v>
      </c>
      <c r="H146" s="24"/>
    </row>
    <row r="147" spans="2:8" x14ac:dyDescent="0.2">
      <c r="B147" s="24" t="s">
        <v>1086</v>
      </c>
      <c r="C147" s="24" t="s">
        <v>1087</v>
      </c>
      <c r="D147" s="24" t="s">
        <v>539</v>
      </c>
      <c r="E147" s="28">
        <v>1198</v>
      </c>
      <c r="F147" s="25">
        <v>55.807631999999998</v>
      </c>
      <c r="G147" s="26">
        <v>0.29803833247549799</v>
      </c>
      <c r="H147" s="24"/>
    </row>
    <row r="148" spans="2:8" x14ac:dyDescent="0.2">
      <c r="B148" s="24" t="s">
        <v>1088</v>
      </c>
      <c r="C148" s="24" t="s">
        <v>1089</v>
      </c>
      <c r="D148" s="24" t="s">
        <v>397</v>
      </c>
      <c r="E148" s="28">
        <v>22242</v>
      </c>
      <c r="F148" s="25">
        <v>55.315854000000002</v>
      </c>
      <c r="G148" s="26">
        <v>0.295412012565201</v>
      </c>
      <c r="H148" s="24"/>
    </row>
    <row r="149" spans="2:8" x14ac:dyDescent="0.2">
      <c r="B149" s="24" t="s">
        <v>1090</v>
      </c>
      <c r="C149" s="24" t="s">
        <v>1091</v>
      </c>
      <c r="D149" s="24" t="s">
        <v>614</v>
      </c>
      <c r="E149" s="28">
        <v>2974</v>
      </c>
      <c r="F149" s="25">
        <v>54.224941999999999</v>
      </c>
      <c r="G149" s="26">
        <v>0.28958604250150899</v>
      </c>
      <c r="H149" s="24"/>
    </row>
    <row r="150" spans="2:8" x14ac:dyDescent="0.2">
      <c r="B150" s="24" t="s">
        <v>1092</v>
      </c>
      <c r="C150" s="24" t="s">
        <v>1093</v>
      </c>
      <c r="D150" s="24" t="s">
        <v>509</v>
      </c>
      <c r="E150" s="28">
        <v>23009</v>
      </c>
      <c r="F150" s="25">
        <v>54.117167999999999</v>
      </c>
      <c r="G150" s="26">
        <v>0.28901047994683499</v>
      </c>
      <c r="H150" s="24"/>
    </row>
    <row r="151" spans="2:8" x14ac:dyDescent="0.2">
      <c r="B151" s="24" t="s">
        <v>1094</v>
      </c>
      <c r="C151" s="24" t="s">
        <v>1095</v>
      </c>
      <c r="D151" s="24" t="s">
        <v>539</v>
      </c>
      <c r="E151" s="28">
        <v>11564</v>
      </c>
      <c r="F151" s="25">
        <v>53.888240000000003</v>
      </c>
      <c r="G151" s="26">
        <v>0.287787899505204</v>
      </c>
      <c r="H151" s="24"/>
    </row>
    <row r="152" spans="2:8" x14ac:dyDescent="0.2">
      <c r="B152" s="24" t="s">
        <v>1096</v>
      </c>
      <c r="C152" s="24" t="s">
        <v>1097</v>
      </c>
      <c r="D152" s="24" t="s">
        <v>509</v>
      </c>
      <c r="E152" s="28">
        <v>6600</v>
      </c>
      <c r="F152" s="25">
        <v>53.717399999999998</v>
      </c>
      <c r="G152" s="26">
        <v>0.28687553560630003</v>
      </c>
      <c r="H152" s="24"/>
    </row>
    <row r="153" spans="2:8" x14ac:dyDescent="0.2">
      <c r="B153" s="24" t="s">
        <v>1098</v>
      </c>
      <c r="C153" s="24" t="s">
        <v>1099</v>
      </c>
      <c r="D153" s="24" t="s">
        <v>438</v>
      </c>
      <c r="E153" s="28">
        <v>16517</v>
      </c>
      <c r="F153" s="25">
        <v>53.705025499999998</v>
      </c>
      <c r="G153" s="26">
        <v>0.28680945010485498</v>
      </c>
      <c r="H153" s="24"/>
    </row>
    <row r="154" spans="2:8" x14ac:dyDescent="0.2">
      <c r="B154" s="24" t="s">
        <v>1100</v>
      </c>
      <c r="C154" s="24" t="s">
        <v>1101</v>
      </c>
      <c r="D154" s="24" t="s">
        <v>509</v>
      </c>
      <c r="E154" s="28">
        <v>7115</v>
      </c>
      <c r="F154" s="25">
        <v>53.3020225</v>
      </c>
      <c r="G154" s="26">
        <v>0.28465722938166299</v>
      </c>
      <c r="H154" s="24"/>
    </row>
    <row r="155" spans="2:8" x14ac:dyDescent="0.2">
      <c r="B155" s="24" t="s">
        <v>1102</v>
      </c>
      <c r="C155" s="24" t="s">
        <v>1103</v>
      </c>
      <c r="D155" s="24" t="s">
        <v>283</v>
      </c>
      <c r="E155" s="28">
        <v>36668</v>
      </c>
      <c r="F155" s="25">
        <v>53.296937999999997</v>
      </c>
      <c r="G155" s="26">
        <v>0.28463007582135003</v>
      </c>
      <c r="H155" s="24"/>
    </row>
    <row r="156" spans="2:8" x14ac:dyDescent="0.2">
      <c r="B156" s="24" t="s">
        <v>1104</v>
      </c>
      <c r="C156" s="24" t="s">
        <v>1105</v>
      </c>
      <c r="D156" s="24" t="s">
        <v>417</v>
      </c>
      <c r="E156" s="28">
        <v>9664</v>
      </c>
      <c r="F156" s="25">
        <v>53.152000000000001</v>
      </c>
      <c r="G156" s="26">
        <v>0.28385604047377699</v>
      </c>
      <c r="H156" s="24"/>
    </row>
    <row r="157" spans="2:8" x14ac:dyDescent="0.2">
      <c r="B157" s="24" t="s">
        <v>1106</v>
      </c>
      <c r="C157" s="24" t="s">
        <v>1107</v>
      </c>
      <c r="D157" s="24" t="s">
        <v>365</v>
      </c>
      <c r="E157" s="28">
        <v>12919</v>
      </c>
      <c r="F157" s="25">
        <v>52.748277000000002</v>
      </c>
      <c r="G157" s="26">
        <v>0.28169997462059798</v>
      </c>
      <c r="H157" s="24"/>
    </row>
    <row r="158" spans="2:8" x14ac:dyDescent="0.2">
      <c r="B158" s="24" t="s">
        <v>1108</v>
      </c>
      <c r="C158" s="24" t="s">
        <v>1109</v>
      </c>
      <c r="D158" s="24" t="s">
        <v>263</v>
      </c>
      <c r="E158" s="28">
        <v>5949</v>
      </c>
      <c r="F158" s="25">
        <v>52.419613499999997</v>
      </c>
      <c r="G158" s="26">
        <v>0.27994476089847498</v>
      </c>
      <c r="H158" s="24"/>
    </row>
    <row r="159" spans="2:8" x14ac:dyDescent="0.2">
      <c r="B159" s="24" t="s">
        <v>1110</v>
      </c>
      <c r="C159" s="24" t="s">
        <v>1111</v>
      </c>
      <c r="D159" s="24" t="s">
        <v>293</v>
      </c>
      <c r="E159" s="28">
        <v>579</v>
      </c>
      <c r="F159" s="25">
        <v>52.248959999999997</v>
      </c>
      <c r="G159" s="26">
        <v>0.27903339299504698</v>
      </c>
      <c r="H159" s="24"/>
    </row>
    <row r="160" spans="2:8" x14ac:dyDescent="0.2">
      <c r="B160" s="24" t="s">
        <v>1112</v>
      </c>
      <c r="C160" s="24" t="s">
        <v>1113</v>
      </c>
      <c r="D160" s="24" t="s">
        <v>397</v>
      </c>
      <c r="E160" s="28">
        <v>38515</v>
      </c>
      <c r="F160" s="25">
        <v>52.241745999999999</v>
      </c>
      <c r="G160" s="26">
        <v>0.27899486692874698</v>
      </c>
      <c r="H160" s="24"/>
    </row>
    <row r="161" spans="2:8" x14ac:dyDescent="0.2">
      <c r="B161" s="24" t="s">
        <v>1114</v>
      </c>
      <c r="C161" s="24" t="s">
        <v>1115</v>
      </c>
      <c r="D161" s="24" t="s">
        <v>397</v>
      </c>
      <c r="E161" s="28">
        <v>3130</v>
      </c>
      <c r="F161" s="25">
        <v>51.716990000000003</v>
      </c>
      <c r="G161" s="26">
        <v>0.27619242938406702</v>
      </c>
      <c r="H161" s="24"/>
    </row>
    <row r="162" spans="2:8" x14ac:dyDescent="0.2">
      <c r="B162" s="24" t="s">
        <v>1116</v>
      </c>
      <c r="C162" s="24" t="s">
        <v>1117</v>
      </c>
      <c r="D162" s="24" t="s">
        <v>947</v>
      </c>
      <c r="E162" s="28">
        <v>9284</v>
      </c>
      <c r="F162" s="25">
        <v>51.586545999999998</v>
      </c>
      <c r="G162" s="26">
        <v>0.27549579863934298</v>
      </c>
      <c r="H162" s="24"/>
    </row>
    <row r="163" spans="2:8" x14ac:dyDescent="0.2">
      <c r="B163" s="24" t="s">
        <v>1118</v>
      </c>
      <c r="C163" s="24" t="s">
        <v>1119</v>
      </c>
      <c r="D163" s="24" t="s">
        <v>353</v>
      </c>
      <c r="E163" s="28">
        <v>9652</v>
      </c>
      <c r="F163" s="25">
        <v>51.281075999999999</v>
      </c>
      <c r="G163" s="26">
        <v>0.27386444883720001</v>
      </c>
      <c r="H163" s="24"/>
    </row>
    <row r="164" spans="2:8" x14ac:dyDescent="0.2">
      <c r="B164" s="24" t="s">
        <v>1120</v>
      </c>
      <c r="C164" s="24" t="s">
        <v>1121</v>
      </c>
      <c r="D164" s="24" t="s">
        <v>417</v>
      </c>
      <c r="E164" s="28">
        <v>11412</v>
      </c>
      <c r="F164" s="25">
        <v>51.01164</v>
      </c>
      <c r="G164" s="26">
        <v>0.27242553711005701</v>
      </c>
      <c r="H164" s="24"/>
    </row>
    <row r="165" spans="2:8" x14ac:dyDescent="0.2">
      <c r="B165" s="24" t="s">
        <v>1122</v>
      </c>
      <c r="C165" s="24" t="s">
        <v>1123</v>
      </c>
      <c r="D165" s="24" t="s">
        <v>729</v>
      </c>
      <c r="E165" s="28">
        <v>1547</v>
      </c>
      <c r="F165" s="25">
        <v>50.917957999999999</v>
      </c>
      <c r="G165" s="26">
        <v>0.27192523229398902</v>
      </c>
      <c r="H165" s="24"/>
    </row>
    <row r="166" spans="2:8" x14ac:dyDescent="0.2">
      <c r="B166" s="24" t="s">
        <v>1124</v>
      </c>
      <c r="C166" s="24" t="s">
        <v>1125</v>
      </c>
      <c r="D166" s="24" t="s">
        <v>266</v>
      </c>
      <c r="E166" s="28">
        <v>25741</v>
      </c>
      <c r="F166" s="25">
        <v>50.6685844</v>
      </c>
      <c r="G166" s="26">
        <v>0.27059346297778802</v>
      </c>
      <c r="H166" s="24"/>
    </row>
    <row r="167" spans="2:8" x14ac:dyDescent="0.2">
      <c r="B167" s="24" t="s">
        <v>1126</v>
      </c>
      <c r="C167" s="24" t="s">
        <v>1127</v>
      </c>
      <c r="D167" s="24" t="s">
        <v>493</v>
      </c>
      <c r="E167" s="28">
        <v>6821</v>
      </c>
      <c r="F167" s="25">
        <v>50.158223499999998</v>
      </c>
      <c r="G167" s="26">
        <v>0.267867901864629</v>
      </c>
      <c r="H167" s="24"/>
    </row>
    <row r="168" spans="2:8" x14ac:dyDescent="0.2">
      <c r="B168" s="24" t="s">
        <v>1128</v>
      </c>
      <c r="C168" s="24" t="s">
        <v>1129</v>
      </c>
      <c r="D168" s="24" t="s">
        <v>266</v>
      </c>
      <c r="E168" s="28">
        <v>30624</v>
      </c>
      <c r="F168" s="25">
        <v>49.280140799999998</v>
      </c>
      <c r="G168" s="26">
        <v>0.26317853780625799</v>
      </c>
      <c r="H168" s="24"/>
    </row>
    <row r="169" spans="2:8" x14ac:dyDescent="0.2">
      <c r="B169" s="24" t="s">
        <v>1130</v>
      </c>
      <c r="C169" s="24" t="s">
        <v>1131</v>
      </c>
      <c r="D169" s="24" t="s">
        <v>365</v>
      </c>
      <c r="E169" s="28">
        <v>10788</v>
      </c>
      <c r="F169" s="25">
        <v>48.287087999999997</v>
      </c>
      <c r="G169" s="26">
        <v>0.25787518072111698</v>
      </c>
      <c r="H169" s="24"/>
    </row>
    <row r="170" spans="2:8" x14ac:dyDescent="0.2">
      <c r="B170" s="24" t="s">
        <v>1132</v>
      </c>
      <c r="C170" s="24" t="s">
        <v>1133</v>
      </c>
      <c r="D170" s="24" t="s">
        <v>276</v>
      </c>
      <c r="E170" s="28">
        <v>3845</v>
      </c>
      <c r="F170" s="25">
        <v>48.07788</v>
      </c>
      <c r="G170" s="26">
        <v>0.25675791411750098</v>
      </c>
      <c r="H170" s="24"/>
    </row>
    <row r="171" spans="2:8" x14ac:dyDescent="0.2">
      <c r="B171" s="24" t="s">
        <v>1134</v>
      </c>
      <c r="C171" s="24" t="s">
        <v>1135</v>
      </c>
      <c r="D171" s="24" t="s">
        <v>283</v>
      </c>
      <c r="E171" s="28">
        <v>9921</v>
      </c>
      <c r="F171" s="25">
        <v>47.734891500000003</v>
      </c>
      <c r="G171" s="26">
        <v>0.25492619832998498</v>
      </c>
      <c r="H171" s="24"/>
    </row>
    <row r="172" spans="2:8" x14ac:dyDescent="0.2">
      <c r="B172" s="24" t="s">
        <v>1136</v>
      </c>
      <c r="C172" s="24" t="s">
        <v>1137</v>
      </c>
      <c r="D172" s="24" t="s">
        <v>276</v>
      </c>
      <c r="E172" s="28">
        <v>115784</v>
      </c>
      <c r="F172" s="25">
        <v>47.714586400000002</v>
      </c>
      <c r="G172" s="26">
        <v>0.25481775978980897</v>
      </c>
      <c r="H172" s="24"/>
    </row>
    <row r="173" spans="2:8" x14ac:dyDescent="0.2">
      <c r="B173" s="24" t="s">
        <v>1138</v>
      </c>
      <c r="C173" s="24" t="s">
        <v>1139</v>
      </c>
      <c r="D173" s="24" t="s">
        <v>293</v>
      </c>
      <c r="E173" s="28">
        <v>5246</v>
      </c>
      <c r="F173" s="25">
        <v>47.591712000000001</v>
      </c>
      <c r="G173" s="26">
        <v>0.254161554178363</v>
      </c>
      <c r="H173" s="24"/>
    </row>
    <row r="174" spans="2:8" x14ac:dyDescent="0.2">
      <c r="B174" s="24" t="s">
        <v>1140</v>
      </c>
      <c r="C174" s="24" t="s">
        <v>1141</v>
      </c>
      <c r="D174" s="24" t="s">
        <v>509</v>
      </c>
      <c r="E174" s="28">
        <v>26454</v>
      </c>
      <c r="F174" s="25">
        <v>47.2812342</v>
      </c>
      <c r="G174" s="26">
        <v>0.25250346042905902</v>
      </c>
      <c r="H174" s="24"/>
    </row>
    <row r="175" spans="2:8" x14ac:dyDescent="0.2">
      <c r="B175" s="24" t="s">
        <v>1142</v>
      </c>
      <c r="C175" s="24" t="s">
        <v>1143</v>
      </c>
      <c r="D175" s="24" t="s">
        <v>353</v>
      </c>
      <c r="E175" s="28">
        <v>2443</v>
      </c>
      <c r="F175" s="25">
        <v>47.174329999999998</v>
      </c>
      <c r="G175" s="26">
        <v>0.25193254300502899</v>
      </c>
      <c r="H175" s="24"/>
    </row>
    <row r="176" spans="2:8" x14ac:dyDescent="0.2">
      <c r="B176" s="24" t="s">
        <v>1366</v>
      </c>
      <c r="C176" s="24" t="s">
        <v>1144</v>
      </c>
      <c r="D176" s="24" t="s">
        <v>509</v>
      </c>
      <c r="E176" s="28">
        <v>1717</v>
      </c>
      <c r="F176" s="25">
        <v>46.503228</v>
      </c>
      <c r="G176" s="26">
        <v>0.24834855074746501</v>
      </c>
      <c r="H176" s="24"/>
    </row>
    <row r="177" spans="2:8" x14ac:dyDescent="0.2">
      <c r="B177" s="24" t="s">
        <v>1145</v>
      </c>
      <c r="C177" s="24" t="s">
        <v>1146</v>
      </c>
      <c r="D177" s="24" t="s">
        <v>301</v>
      </c>
      <c r="E177" s="28">
        <v>27013</v>
      </c>
      <c r="F177" s="25">
        <v>46.440749599999997</v>
      </c>
      <c r="G177" s="26">
        <v>0.24801488745654199</v>
      </c>
      <c r="H177" s="24"/>
    </row>
    <row r="178" spans="2:8" x14ac:dyDescent="0.2">
      <c r="B178" s="24" t="s">
        <v>1147</v>
      </c>
      <c r="C178" s="24" t="s">
        <v>1148</v>
      </c>
      <c r="D178" s="24" t="s">
        <v>353</v>
      </c>
      <c r="E178" s="28">
        <v>4585</v>
      </c>
      <c r="F178" s="25">
        <v>45.760592500000001</v>
      </c>
      <c r="G178" s="26">
        <v>0.24438253681487099</v>
      </c>
      <c r="H178" s="24"/>
    </row>
    <row r="179" spans="2:8" x14ac:dyDescent="0.2">
      <c r="B179" s="24" t="s">
        <v>1149</v>
      </c>
      <c r="C179" s="24" t="s">
        <v>1150</v>
      </c>
      <c r="D179" s="24" t="s">
        <v>298</v>
      </c>
      <c r="E179" s="28">
        <v>5708</v>
      </c>
      <c r="F179" s="25">
        <v>45.709663999999997</v>
      </c>
      <c r="G179" s="26">
        <v>0.24411055528346501</v>
      </c>
      <c r="H179" s="24"/>
    </row>
    <row r="180" spans="2:8" x14ac:dyDescent="0.2">
      <c r="B180" s="24" t="s">
        <v>1151</v>
      </c>
      <c r="C180" s="24" t="s">
        <v>1152</v>
      </c>
      <c r="D180" s="24" t="s">
        <v>307</v>
      </c>
      <c r="E180" s="28">
        <v>108275</v>
      </c>
      <c r="F180" s="25">
        <v>45.334742499999997</v>
      </c>
      <c r="G180" s="26">
        <v>0.24210830264050801</v>
      </c>
      <c r="H180" s="24"/>
    </row>
    <row r="181" spans="2:8" x14ac:dyDescent="0.2">
      <c r="B181" s="24" t="s">
        <v>1153</v>
      </c>
      <c r="C181" s="24" t="s">
        <v>1154</v>
      </c>
      <c r="D181" s="24" t="s">
        <v>767</v>
      </c>
      <c r="E181" s="28">
        <v>3717</v>
      </c>
      <c r="F181" s="25">
        <v>45.198720000000002</v>
      </c>
      <c r="G181" s="26">
        <v>0.24138188014906201</v>
      </c>
      <c r="H181" s="24"/>
    </row>
    <row r="182" spans="2:8" x14ac:dyDescent="0.2">
      <c r="B182" s="24" t="s">
        <v>1155</v>
      </c>
      <c r="C182" s="24" t="s">
        <v>1156</v>
      </c>
      <c r="D182" s="24" t="s">
        <v>252</v>
      </c>
      <c r="E182" s="28">
        <v>41907</v>
      </c>
      <c r="F182" s="25">
        <v>44.832108599999998</v>
      </c>
      <c r="G182" s="26">
        <v>0.239424007248765</v>
      </c>
      <c r="H182" s="24"/>
    </row>
    <row r="183" spans="2:8" x14ac:dyDescent="0.2">
      <c r="B183" s="24" t="s">
        <v>1157</v>
      </c>
      <c r="C183" s="24" t="s">
        <v>1158</v>
      </c>
      <c r="D183" s="24" t="s">
        <v>493</v>
      </c>
      <c r="E183" s="28">
        <v>3911</v>
      </c>
      <c r="F183" s="25">
        <v>44.628421000000003</v>
      </c>
      <c r="G183" s="26">
        <v>0.238336222111243</v>
      </c>
      <c r="H183" s="24"/>
    </row>
    <row r="184" spans="2:8" x14ac:dyDescent="0.2">
      <c r="B184" s="24" t="s">
        <v>1159</v>
      </c>
      <c r="C184" s="24" t="s">
        <v>1160</v>
      </c>
      <c r="D184" s="24" t="s">
        <v>438</v>
      </c>
      <c r="E184" s="28">
        <v>1071</v>
      </c>
      <c r="F184" s="25">
        <v>44.519328000000002</v>
      </c>
      <c r="G184" s="26">
        <v>0.23775361549204799</v>
      </c>
      <c r="H184" s="24"/>
    </row>
    <row r="185" spans="2:8" x14ac:dyDescent="0.2">
      <c r="B185" s="24" t="s">
        <v>1161</v>
      </c>
      <c r="C185" s="24" t="s">
        <v>1162</v>
      </c>
      <c r="D185" s="24" t="s">
        <v>631</v>
      </c>
      <c r="E185" s="28">
        <v>29861</v>
      </c>
      <c r="F185" s="25">
        <v>44.439140199999997</v>
      </c>
      <c r="G185" s="26">
        <v>0.237325375888603</v>
      </c>
      <c r="H185" s="24"/>
    </row>
    <row r="186" spans="2:8" x14ac:dyDescent="0.2">
      <c r="B186" s="24" t="s">
        <v>1163</v>
      </c>
      <c r="C186" s="24" t="s">
        <v>1164</v>
      </c>
      <c r="D186" s="24" t="s">
        <v>293</v>
      </c>
      <c r="E186" s="28">
        <v>3109</v>
      </c>
      <c r="F186" s="25">
        <v>44.073183999999998</v>
      </c>
      <c r="G186" s="26">
        <v>0.235371002056597</v>
      </c>
      <c r="H186" s="24"/>
    </row>
    <row r="187" spans="2:8" x14ac:dyDescent="0.2">
      <c r="B187" s="24" t="s">
        <v>1165</v>
      </c>
      <c r="C187" s="24" t="s">
        <v>1166</v>
      </c>
      <c r="D187" s="24" t="s">
        <v>417</v>
      </c>
      <c r="E187" s="28">
        <v>7544</v>
      </c>
      <c r="F187" s="25">
        <v>43.849499999999999</v>
      </c>
      <c r="G187" s="26">
        <v>0.23417642697838101</v>
      </c>
      <c r="H187" s="24"/>
    </row>
    <row r="188" spans="2:8" x14ac:dyDescent="0.2">
      <c r="B188" s="24" t="s">
        <v>1167</v>
      </c>
      <c r="C188" s="24" t="s">
        <v>1168</v>
      </c>
      <c r="D188" s="24" t="s">
        <v>350</v>
      </c>
      <c r="E188" s="28">
        <v>57934</v>
      </c>
      <c r="F188" s="25">
        <v>43.068135599999998</v>
      </c>
      <c r="G188" s="26">
        <v>0.230003582969667</v>
      </c>
      <c r="H188" s="24"/>
    </row>
    <row r="189" spans="2:8" x14ac:dyDescent="0.2">
      <c r="B189" s="24" t="s">
        <v>1169</v>
      </c>
      <c r="C189" s="24" t="s">
        <v>1170</v>
      </c>
      <c r="D189" s="24" t="s">
        <v>509</v>
      </c>
      <c r="E189" s="28">
        <v>3056</v>
      </c>
      <c r="F189" s="25">
        <v>42.884847999999998</v>
      </c>
      <c r="G189" s="26">
        <v>0.22902474318181401</v>
      </c>
      <c r="H189" s="24"/>
    </row>
    <row r="190" spans="2:8" x14ac:dyDescent="0.2">
      <c r="B190" s="24" t="s">
        <v>1171</v>
      </c>
      <c r="C190" s="24" t="s">
        <v>1172</v>
      </c>
      <c r="D190" s="24" t="s">
        <v>1173</v>
      </c>
      <c r="E190" s="28">
        <v>1694</v>
      </c>
      <c r="F190" s="25">
        <v>42.519399999999997</v>
      </c>
      <c r="G190" s="26">
        <v>0.22707308337072399</v>
      </c>
      <c r="H190" s="24"/>
    </row>
    <row r="191" spans="2:8" x14ac:dyDescent="0.2">
      <c r="B191" s="24" t="s">
        <v>1174</v>
      </c>
      <c r="C191" s="24" t="s">
        <v>1175</v>
      </c>
      <c r="D191" s="24" t="s">
        <v>347</v>
      </c>
      <c r="E191" s="28">
        <v>5917</v>
      </c>
      <c r="F191" s="25">
        <v>42.4337655</v>
      </c>
      <c r="G191" s="26">
        <v>0.22661575589296301</v>
      </c>
      <c r="H191" s="24"/>
    </row>
    <row r="192" spans="2:8" x14ac:dyDescent="0.2">
      <c r="B192" s="24" t="s">
        <v>1176</v>
      </c>
      <c r="C192" s="24" t="s">
        <v>1177</v>
      </c>
      <c r="D192" s="24" t="s">
        <v>307</v>
      </c>
      <c r="E192" s="28">
        <v>8639</v>
      </c>
      <c r="F192" s="25">
        <v>42.287905000000002</v>
      </c>
      <c r="G192" s="26">
        <v>0.22583679397259299</v>
      </c>
      <c r="H192" s="24"/>
    </row>
    <row r="193" spans="2:8" x14ac:dyDescent="0.2">
      <c r="B193" s="24" t="s">
        <v>1178</v>
      </c>
      <c r="C193" s="24" t="s">
        <v>1179</v>
      </c>
      <c r="D193" s="24" t="s">
        <v>631</v>
      </c>
      <c r="E193" s="28">
        <v>9632</v>
      </c>
      <c r="F193" s="25">
        <v>42.101472000000001</v>
      </c>
      <c r="G193" s="26">
        <v>0.22484115630714899</v>
      </c>
      <c r="H193" s="24"/>
    </row>
    <row r="194" spans="2:8" x14ac:dyDescent="0.2">
      <c r="B194" s="24" t="s">
        <v>1180</v>
      </c>
      <c r="C194" s="24" t="s">
        <v>1181</v>
      </c>
      <c r="D194" s="24" t="s">
        <v>614</v>
      </c>
      <c r="E194" s="28">
        <v>7777</v>
      </c>
      <c r="F194" s="25">
        <v>41.941361000000001</v>
      </c>
      <c r="G194" s="26">
        <v>0.22398609018553001</v>
      </c>
      <c r="H194" s="24"/>
    </row>
    <row r="195" spans="2:8" x14ac:dyDescent="0.2">
      <c r="B195" s="24" t="s">
        <v>1182</v>
      </c>
      <c r="C195" s="24" t="s">
        <v>1183</v>
      </c>
      <c r="D195" s="24" t="s">
        <v>417</v>
      </c>
      <c r="E195" s="28">
        <v>2184</v>
      </c>
      <c r="F195" s="25">
        <v>41.836703999999997</v>
      </c>
      <c r="G195" s="26">
        <v>0.223427173839431</v>
      </c>
      <c r="H195" s="24"/>
    </row>
    <row r="196" spans="2:8" x14ac:dyDescent="0.2">
      <c r="B196" s="24" t="s">
        <v>1184</v>
      </c>
      <c r="C196" s="24" t="s">
        <v>1185</v>
      </c>
      <c r="D196" s="24" t="s">
        <v>509</v>
      </c>
      <c r="E196" s="28">
        <v>7907</v>
      </c>
      <c r="F196" s="25">
        <v>41.725239000000002</v>
      </c>
      <c r="G196" s="26">
        <v>0.22283189965310801</v>
      </c>
      <c r="H196" s="24"/>
    </row>
    <row r="197" spans="2:8" x14ac:dyDescent="0.2">
      <c r="B197" s="24" t="s">
        <v>1186</v>
      </c>
      <c r="C197" s="24" t="s">
        <v>1187</v>
      </c>
      <c r="D197" s="24" t="s">
        <v>432</v>
      </c>
      <c r="E197" s="28">
        <v>8271</v>
      </c>
      <c r="F197" s="25">
        <v>41.723059499999998</v>
      </c>
      <c r="G197" s="26">
        <v>0.222820260124206</v>
      </c>
      <c r="H197" s="24"/>
    </row>
    <row r="198" spans="2:8" x14ac:dyDescent="0.2">
      <c r="B198" s="24" t="s">
        <v>1188</v>
      </c>
      <c r="C198" s="24" t="s">
        <v>1189</v>
      </c>
      <c r="D198" s="24" t="s">
        <v>255</v>
      </c>
      <c r="E198" s="28">
        <v>4527</v>
      </c>
      <c r="F198" s="25">
        <v>41.474110500000002</v>
      </c>
      <c r="G198" s="26">
        <v>0.221490758366607</v>
      </c>
      <c r="H198" s="24"/>
    </row>
    <row r="199" spans="2:8" x14ac:dyDescent="0.2">
      <c r="B199" s="24" t="s">
        <v>1190</v>
      </c>
      <c r="C199" s="24" t="s">
        <v>1191</v>
      </c>
      <c r="D199" s="24" t="s">
        <v>429</v>
      </c>
      <c r="E199" s="28">
        <v>3682</v>
      </c>
      <c r="F199" s="25">
        <v>40.976978000000003</v>
      </c>
      <c r="G199" s="26">
        <v>0.218835842972251</v>
      </c>
      <c r="H199" s="24"/>
    </row>
    <row r="200" spans="2:8" x14ac:dyDescent="0.2">
      <c r="B200" s="24" t="s">
        <v>1192</v>
      </c>
      <c r="C200" s="24" t="s">
        <v>1193</v>
      </c>
      <c r="D200" s="24" t="s">
        <v>509</v>
      </c>
      <c r="E200" s="28">
        <v>2377</v>
      </c>
      <c r="F200" s="25">
        <v>40.178431000000003</v>
      </c>
      <c r="G200" s="26">
        <v>0.21457123600445599</v>
      </c>
      <c r="H200" s="24"/>
    </row>
    <row r="201" spans="2:8" x14ac:dyDescent="0.2">
      <c r="B201" s="24" t="s">
        <v>1194</v>
      </c>
      <c r="C201" s="24" t="s">
        <v>1195</v>
      </c>
      <c r="D201" s="24" t="s">
        <v>288</v>
      </c>
      <c r="E201" s="28">
        <v>51054</v>
      </c>
      <c r="F201" s="25">
        <v>39.898701000000003</v>
      </c>
      <c r="G201" s="26">
        <v>0.213077349599397</v>
      </c>
      <c r="H201" s="24"/>
    </row>
    <row r="202" spans="2:8" x14ac:dyDescent="0.2">
      <c r="B202" s="24" t="s">
        <v>1196</v>
      </c>
      <c r="C202" s="24" t="s">
        <v>1197</v>
      </c>
      <c r="D202" s="24" t="s">
        <v>432</v>
      </c>
      <c r="E202" s="28">
        <v>5498</v>
      </c>
      <c r="F202" s="25">
        <v>39.384923000000001</v>
      </c>
      <c r="G202" s="26">
        <v>0.210333539606122</v>
      </c>
      <c r="H202" s="24"/>
    </row>
    <row r="203" spans="2:8" x14ac:dyDescent="0.2">
      <c r="B203" s="24" t="s">
        <v>1198</v>
      </c>
      <c r="C203" s="24" t="s">
        <v>1199</v>
      </c>
      <c r="D203" s="24" t="s">
        <v>353</v>
      </c>
      <c r="E203" s="28">
        <v>7212</v>
      </c>
      <c r="F203" s="25">
        <v>38.494050000000001</v>
      </c>
      <c r="G203" s="26">
        <v>0.20557586948373699</v>
      </c>
      <c r="H203" s="24"/>
    </row>
    <row r="204" spans="2:8" x14ac:dyDescent="0.2">
      <c r="B204" s="24" t="s">
        <v>1200</v>
      </c>
      <c r="C204" s="24" t="s">
        <v>1201</v>
      </c>
      <c r="D204" s="24" t="s">
        <v>263</v>
      </c>
      <c r="E204" s="28">
        <v>7707</v>
      </c>
      <c r="F204" s="25">
        <v>38.446369500000003</v>
      </c>
      <c r="G204" s="26">
        <v>0.20532123376094599</v>
      </c>
      <c r="H204" s="24"/>
    </row>
    <row r="205" spans="2:8" x14ac:dyDescent="0.2">
      <c r="B205" s="24" t="s">
        <v>1202</v>
      </c>
      <c r="C205" s="24" t="s">
        <v>1203</v>
      </c>
      <c r="D205" s="24" t="s">
        <v>530</v>
      </c>
      <c r="E205" s="28">
        <v>3869</v>
      </c>
      <c r="F205" s="25">
        <v>38.411431999999998</v>
      </c>
      <c r="G205" s="26">
        <v>0.20513465149849</v>
      </c>
      <c r="H205" s="24"/>
    </row>
    <row r="206" spans="2:8" x14ac:dyDescent="0.2">
      <c r="B206" s="24" t="s">
        <v>1204</v>
      </c>
      <c r="C206" s="24" t="s">
        <v>1205</v>
      </c>
      <c r="D206" s="24" t="s">
        <v>1173</v>
      </c>
      <c r="E206" s="28">
        <v>12793</v>
      </c>
      <c r="F206" s="25">
        <v>38.385396499999999</v>
      </c>
      <c r="G206" s="26">
        <v>0.20499560999597299</v>
      </c>
      <c r="H206" s="24"/>
    </row>
    <row r="207" spans="2:8" x14ac:dyDescent="0.2">
      <c r="B207" s="24" t="s">
        <v>1206</v>
      </c>
      <c r="C207" s="24" t="s">
        <v>1207</v>
      </c>
      <c r="D207" s="24" t="s">
        <v>283</v>
      </c>
      <c r="E207" s="28">
        <v>35117</v>
      </c>
      <c r="F207" s="25">
        <v>38.0598046</v>
      </c>
      <c r="G207" s="26">
        <v>0.203256800025618</v>
      </c>
      <c r="H207" s="24"/>
    </row>
    <row r="208" spans="2:8" x14ac:dyDescent="0.2">
      <c r="B208" s="24" t="s">
        <v>1208</v>
      </c>
      <c r="C208" s="24" t="s">
        <v>1209</v>
      </c>
      <c r="D208" s="24" t="s">
        <v>509</v>
      </c>
      <c r="E208" s="28">
        <v>4926</v>
      </c>
      <c r="F208" s="25">
        <v>37.824291000000002</v>
      </c>
      <c r="G208" s="26">
        <v>0.201999049461693</v>
      </c>
      <c r="H208" s="24"/>
    </row>
    <row r="209" spans="2:8" x14ac:dyDescent="0.2">
      <c r="B209" s="24" t="s">
        <v>1210</v>
      </c>
      <c r="C209" s="24" t="s">
        <v>1211</v>
      </c>
      <c r="D209" s="24" t="s">
        <v>1212</v>
      </c>
      <c r="E209" s="28">
        <v>7604</v>
      </c>
      <c r="F209" s="25">
        <v>37.578968000000003</v>
      </c>
      <c r="G209" s="26">
        <v>0.200688912205952</v>
      </c>
      <c r="H209" s="24"/>
    </row>
    <row r="210" spans="2:8" x14ac:dyDescent="0.2">
      <c r="B210" s="24" t="s">
        <v>1213</v>
      </c>
      <c r="C210" s="24" t="s">
        <v>1214</v>
      </c>
      <c r="D210" s="24" t="s">
        <v>397</v>
      </c>
      <c r="E210" s="28">
        <v>11387</v>
      </c>
      <c r="F210" s="25">
        <v>37.548632499999997</v>
      </c>
      <c r="G210" s="26">
        <v>0.20052690673267201</v>
      </c>
      <c r="H210" s="24"/>
    </row>
    <row r="211" spans="2:8" x14ac:dyDescent="0.2">
      <c r="B211" s="24" t="s">
        <v>1215</v>
      </c>
      <c r="C211" s="24" t="s">
        <v>1216</v>
      </c>
      <c r="D211" s="24" t="s">
        <v>435</v>
      </c>
      <c r="E211" s="28">
        <v>12938</v>
      </c>
      <c r="F211" s="25">
        <v>37.507261999999997</v>
      </c>
      <c r="G211" s="26">
        <v>0.20030596930186201</v>
      </c>
      <c r="H211" s="24"/>
    </row>
    <row r="212" spans="2:8" x14ac:dyDescent="0.2">
      <c r="B212" s="24" t="s">
        <v>1217</v>
      </c>
      <c r="C212" s="24" t="s">
        <v>1218</v>
      </c>
      <c r="D212" s="24" t="s">
        <v>315</v>
      </c>
      <c r="E212" s="28">
        <v>15893</v>
      </c>
      <c r="F212" s="25">
        <v>36.839973999999998</v>
      </c>
      <c r="G212" s="26">
        <v>0.19674234555232001</v>
      </c>
      <c r="H212" s="24"/>
    </row>
    <row r="213" spans="2:8" x14ac:dyDescent="0.2">
      <c r="B213" s="24" t="s">
        <v>1219</v>
      </c>
      <c r="C213" s="24" t="s">
        <v>1220</v>
      </c>
      <c r="D213" s="24" t="s">
        <v>483</v>
      </c>
      <c r="E213" s="28">
        <v>11591</v>
      </c>
      <c r="F213" s="25">
        <v>36.650742000000001</v>
      </c>
      <c r="G213" s="26">
        <v>0.19573175994404701</v>
      </c>
      <c r="H213" s="24"/>
    </row>
    <row r="214" spans="2:8" x14ac:dyDescent="0.2">
      <c r="B214" s="24" t="s">
        <v>1221</v>
      </c>
      <c r="C214" s="24" t="s">
        <v>1222</v>
      </c>
      <c r="D214" s="24" t="s">
        <v>483</v>
      </c>
      <c r="E214" s="28">
        <v>12759</v>
      </c>
      <c r="F214" s="25">
        <v>36.465221999999997</v>
      </c>
      <c r="G214" s="26">
        <v>0.19474099811704701</v>
      </c>
      <c r="H214" s="24"/>
    </row>
    <row r="215" spans="2:8" x14ac:dyDescent="0.2">
      <c r="B215" s="24" t="s">
        <v>1223</v>
      </c>
      <c r="C215" s="24" t="s">
        <v>1224</v>
      </c>
      <c r="D215" s="24" t="s">
        <v>293</v>
      </c>
      <c r="E215" s="28">
        <v>1897</v>
      </c>
      <c r="F215" s="25">
        <v>36.247875999999998</v>
      </c>
      <c r="G215" s="26">
        <v>0.19358027086364499</v>
      </c>
      <c r="H215" s="24"/>
    </row>
    <row r="216" spans="2:8" x14ac:dyDescent="0.2">
      <c r="B216" s="24" t="s">
        <v>1225</v>
      </c>
      <c r="C216" s="24" t="s">
        <v>1226</v>
      </c>
      <c r="D216" s="24" t="s">
        <v>509</v>
      </c>
      <c r="E216" s="28">
        <v>21836</v>
      </c>
      <c r="F216" s="25">
        <v>35.542457200000001</v>
      </c>
      <c r="G216" s="26">
        <v>0.189813011166103</v>
      </c>
      <c r="H216" s="24"/>
    </row>
    <row r="217" spans="2:8" x14ac:dyDescent="0.2">
      <c r="B217" s="24" t="s">
        <v>1227</v>
      </c>
      <c r="C217" s="24" t="s">
        <v>1228</v>
      </c>
      <c r="D217" s="24" t="s">
        <v>252</v>
      </c>
      <c r="E217" s="28">
        <v>91506</v>
      </c>
      <c r="F217" s="25">
        <v>35.110852199999997</v>
      </c>
      <c r="G217" s="26">
        <v>0.18750804265412399</v>
      </c>
      <c r="H217" s="24"/>
    </row>
    <row r="218" spans="2:8" x14ac:dyDescent="0.2">
      <c r="B218" s="24" t="s">
        <v>1229</v>
      </c>
      <c r="C218" s="24" t="s">
        <v>1230</v>
      </c>
      <c r="D218" s="24" t="s">
        <v>288</v>
      </c>
      <c r="E218" s="28">
        <v>5736</v>
      </c>
      <c r="F218" s="25">
        <v>34.883484000000003</v>
      </c>
      <c r="G218" s="26">
        <v>0.18629379225937601</v>
      </c>
      <c r="H218" s="24"/>
    </row>
    <row r="219" spans="2:8" x14ac:dyDescent="0.2">
      <c r="B219" s="24" t="s">
        <v>1231</v>
      </c>
      <c r="C219" s="24" t="s">
        <v>1232</v>
      </c>
      <c r="D219" s="24" t="s">
        <v>509</v>
      </c>
      <c r="E219" s="28">
        <v>6267</v>
      </c>
      <c r="F219" s="25">
        <v>34.781849999999999</v>
      </c>
      <c r="G219" s="26">
        <v>0.18575102011877001</v>
      </c>
      <c r="H219" s="24"/>
    </row>
    <row r="220" spans="2:8" x14ac:dyDescent="0.2">
      <c r="B220" s="24" t="s">
        <v>1233</v>
      </c>
      <c r="C220" s="24" t="s">
        <v>1234</v>
      </c>
      <c r="D220" s="24" t="s">
        <v>263</v>
      </c>
      <c r="E220" s="28">
        <v>6759</v>
      </c>
      <c r="F220" s="25">
        <v>33.683476499999998</v>
      </c>
      <c r="G220" s="26">
        <v>0.17988520222534499</v>
      </c>
      <c r="H220" s="24"/>
    </row>
    <row r="221" spans="2:8" x14ac:dyDescent="0.2">
      <c r="B221" s="24" t="s">
        <v>1235</v>
      </c>
      <c r="C221" s="24" t="s">
        <v>1236</v>
      </c>
      <c r="D221" s="24" t="s">
        <v>310</v>
      </c>
      <c r="E221" s="28">
        <v>9418</v>
      </c>
      <c r="F221" s="25">
        <v>33.570461000000002</v>
      </c>
      <c r="G221" s="26">
        <v>0.17928164765840099</v>
      </c>
      <c r="H221" s="24"/>
    </row>
    <row r="222" spans="2:8" x14ac:dyDescent="0.2">
      <c r="B222" s="24" t="s">
        <v>1237</v>
      </c>
      <c r="C222" s="24" t="s">
        <v>1238</v>
      </c>
      <c r="D222" s="24" t="s">
        <v>293</v>
      </c>
      <c r="E222" s="28">
        <v>2360</v>
      </c>
      <c r="F222" s="25">
        <v>33.377479999999998</v>
      </c>
      <c r="G222" s="26">
        <v>0.17825104067189701</v>
      </c>
      <c r="H222" s="24"/>
    </row>
    <row r="223" spans="2:8" x14ac:dyDescent="0.2">
      <c r="B223" s="24" t="s">
        <v>1239</v>
      </c>
      <c r="C223" s="24" t="s">
        <v>1240</v>
      </c>
      <c r="D223" s="24" t="s">
        <v>631</v>
      </c>
      <c r="E223" s="28">
        <v>117397</v>
      </c>
      <c r="F223" s="25">
        <v>33.152912800000003</v>
      </c>
      <c r="G223" s="26">
        <v>0.17705174890089601</v>
      </c>
      <c r="H223" s="24"/>
    </row>
    <row r="224" spans="2:8" x14ac:dyDescent="0.2">
      <c r="B224" s="24" t="s">
        <v>1241</v>
      </c>
      <c r="C224" s="24" t="s">
        <v>1242</v>
      </c>
      <c r="D224" s="24" t="s">
        <v>315</v>
      </c>
      <c r="E224" s="28">
        <v>556</v>
      </c>
      <c r="F224" s="25">
        <v>31.797640000000001</v>
      </c>
      <c r="G224" s="26">
        <v>0.169813971004113</v>
      </c>
      <c r="H224" s="24"/>
    </row>
    <row r="225" spans="2:8" x14ac:dyDescent="0.2">
      <c r="B225" s="24" t="s">
        <v>1243</v>
      </c>
      <c r="C225" s="24" t="s">
        <v>1244</v>
      </c>
      <c r="D225" s="24" t="s">
        <v>283</v>
      </c>
      <c r="E225" s="28">
        <v>61842</v>
      </c>
      <c r="F225" s="25">
        <v>31.502314800000001</v>
      </c>
      <c r="G225" s="26">
        <v>0.168236799083505</v>
      </c>
      <c r="H225" s="24"/>
    </row>
    <row r="226" spans="2:8" x14ac:dyDescent="0.2">
      <c r="B226" s="24" t="s">
        <v>1245</v>
      </c>
      <c r="C226" s="24" t="s">
        <v>1246</v>
      </c>
      <c r="D226" s="24" t="s">
        <v>836</v>
      </c>
      <c r="E226" s="28">
        <v>9549</v>
      </c>
      <c r="F226" s="25">
        <v>31.320720000000001</v>
      </c>
      <c r="G226" s="26">
        <v>0.16726699962349201</v>
      </c>
      <c r="H226" s="24"/>
    </row>
    <row r="227" spans="2:8" x14ac:dyDescent="0.2">
      <c r="B227" s="24" t="s">
        <v>1247</v>
      </c>
      <c r="C227" s="24" t="s">
        <v>1248</v>
      </c>
      <c r="D227" s="24" t="s">
        <v>397</v>
      </c>
      <c r="E227" s="28">
        <v>22996</v>
      </c>
      <c r="F227" s="25">
        <v>30.306428400000001</v>
      </c>
      <c r="G227" s="26">
        <v>0.161850217612245</v>
      </c>
      <c r="H227" s="24"/>
    </row>
    <row r="228" spans="2:8" x14ac:dyDescent="0.2">
      <c r="B228" s="24" t="s">
        <v>1249</v>
      </c>
      <c r="C228" s="24" t="s">
        <v>1250</v>
      </c>
      <c r="D228" s="24" t="s">
        <v>298</v>
      </c>
      <c r="E228" s="28">
        <v>542</v>
      </c>
      <c r="F228" s="25">
        <v>30.010539999999999</v>
      </c>
      <c r="G228" s="26">
        <v>0.16027003794551301</v>
      </c>
      <c r="H228" s="24"/>
    </row>
    <row r="229" spans="2:8" x14ac:dyDescent="0.2">
      <c r="B229" s="24" t="s">
        <v>1251</v>
      </c>
      <c r="C229" s="24" t="s">
        <v>1252</v>
      </c>
      <c r="D229" s="24" t="s">
        <v>347</v>
      </c>
      <c r="E229" s="28">
        <v>1628</v>
      </c>
      <c r="F229" s="25">
        <v>29.872171999999999</v>
      </c>
      <c r="G229" s="26">
        <v>0.159531089409084</v>
      </c>
      <c r="H229" s="24"/>
    </row>
    <row r="230" spans="2:8" x14ac:dyDescent="0.2">
      <c r="B230" s="24" t="s">
        <v>1253</v>
      </c>
      <c r="C230" s="24" t="s">
        <v>1254</v>
      </c>
      <c r="D230" s="24" t="s">
        <v>266</v>
      </c>
      <c r="E230" s="28">
        <v>12590</v>
      </c>
      <c r="F230" s="25">
        <v>29.842077</v>
      </c>
      <c r="G230" s="26">
        <v>0.15937036831602899</v>
      </c>
      <c r="H230" s="24"/>
    </row>
    <row r="231" spans="2:8" x14ac:dyDescent="0.2">
      <c r="B231" s="24" t="s">
        <v>1255</v>
      </c>
      <c r="C231" s="24" t="s">
        <v>1256</v>
      </c>
      <c r="D231" s="24" t="s">
        <v>670</v>
      </c>
      <c r="E231" s="28">
        <v>8037</v>
      </c>
      <c r="F231" s="25">
        <v>28.599664499999999</v>
      </c>
      <c r="G231" s="26">
        <v>0.15273531614705799</v>
      </c>
      <c r="H231" s="24"/>
    </row>
    <row r="232" spans="2:8" x14ac:dyDescent="0.2">
      <c r="B232" s="24" t="s">
        <v>1257</v>
      </c>
      <c r="C232" s="24" t="s">
        <v>1258</v>
      </c>
      <c r="D232" s="24" t="s">
        <v>298</v>
      </c>
      <c r="E232" s="28">
        <v>850</v>
      </c>
      <c r="F232" s="25">
        <v>28.1418</v>
      </c>
      <c r="G232" s="26">
        <v>0.15029010986989999</v>
      </c>
      <c r="H232" s="24"/>
    </row>
    <row r="233" spans="2:8" x14ac:dyDescent="0.2">
      <c r="B233" s="24" t="s">
        <v>1259</v>
      </c>
      <c r="C233" s="24" t="s">
        <v>1260</v>
      </c>
      <c r="D233" s="24" t="s">
        <v>947</v>
      </c>
      <c r="E233" s="28">
        <v>7038</v>
      </c>
      <c r="F233" s="25">
        <v>27.976050000000001</v>
      </c>
      <c r="G233" s="26">
        <v>0.149404928903831</v>
      </c>
      <c r="H233" s="24"/>
    </row>
    <row r="234" spans="2:8" x14ac:dyDescent="0.2">
      <c r="B234" s="24" t="s">
        <v>1261</v>
      </c>
      <c r="C234" s="24" t="s">
        <v>1262</v>
      </c>
      <c r="D234" s="24" t="s">
        <v>1212</v>
      </c>
      <c r="E234" s="28">
        <v>9032</v>
      </c>
      <c r="F234" s="25">
        <v>27.945008000000001</v>
      </c>
      <c r="G234" s="26">
        <v>0.14923915039674901</v>
      </c>
      <c r="H234" s="24"/>
    </row>
    <row r="235" spans="2:8" x14ac:dyDescent="0.2">
      <c r="B235" s="24" t="s">
        <v>1263</v>
      </c>
      <c r="C235" s="24" t="s">
        <v>1264</v>
      </c>
      <c r="D235" s="24" t="s">
        <v>260</v>
      </c>
      <c r="E235" s="28">
        <v>8213</v>
      </c>
      <c r="F235" s="25">
        <v>27.833856999999998</v>
      </c>
      <c r="G235" s="26">
        <v>0.148645553114339</v>
      </c>
      <c r="H235" s="24"/>
    </row>
    <row r="236" spans="2:8" x14ac:dyDescent="0.2">
      <c r="B236" s="24" t="s">
        <v>1265</v>
      </c>
      <c r="C236" s="24" t="s">
        <v>1266</v>
      </c>
      <c r="D236" s="24" t="s">
        <v>342</v>
      </c>
      <c r="E236" s="28">
        <v>10607</v>
      </c>
      <c r="F236" s="25">
        <v>27.6365385</v>
      </c>
      <c r="G236" s="26">
        <v>0.14759178188988401</v>
      </c>
      <c r="H236" s="24"/>
    </row>
    <row r="237" spans="2:8" x14ac:dyDescent="0.2">
      <c r="B237" s="24" t="s">
        <v>1267</v>
      </c>
      <c r="C237" s="24" t="s">
        <v>1268</v>
      </c>
      <c r="D237" s="24" t="s">
        <v>432</v>
      </c>
      <c r="E237" s="28">
        <v>10069</v>
      </c>
      <c r="F237" s="25">
        <v>27.2920245</v>
      </c>
      <c r="G237" s="26">
        <v>0.14575191923320499</v>
      </c>
      <c r="H237" s="24"/>
    </row>
    <row r="238" spans="2:8" x14ac:dyDescent="0.2">
      <c r="B238" s="24" t="s">
        <v>1269</v>
      </c>
      <c r="C238" s="24" t="s">
        <v>1270</v>
      </c>
      <c r="D238" s="24" t="s">
        <v>263</v>
      </c>
      <c r="E238" s="28">
        <v>1605</v>
      </c>
      <c r="F238" s="25">
        <v>26.894984999999998</v>
      </c>
      <c r="G238" s="26">
        <v>0.143631546333188</v>
      </c>
      <c r="H238" s="24"/>
    </row>
    <row r="239" spans="2:8" x14ac:dyDescent="0.2">
      <c r="B239" s="24" t="s">
        <v>1271</v>
      </c>
      <c r="C239" s="24" t="s">
        <v>1272</v>
      </c>
      <c r="D239" s="24" t="s">
        <v>255</v>
      </c>
      <c r="E239" s="28">
        <v>16778</v>
      </c>
      <c r="F239" s="25">
        <v>26.519306799999999</v>
      </c>
      <c r="G239" s="26">
        <v>0.14162525256542199</v>
      </c>
      <c r="H239" s="24"/>
    </row>
    <row r="240" spans="2:8" x14ac:dyDescent="0.2">
      <c r="B240" s="24" t="s">
        <v>1273</v>
      </c>
      <c r="C240" s="24" t="s">
        <v>1274</v>
      </c>
      <c r="D240" s="24" t="s">
        <v>509</v>
      </c>
      <c r="E240" s="28">
        <v>5696</v>
      </c>
      <c r="F240" s="25">
        <v>26.446528000000001</v>
      </c>
      <c r="G240" s="26">
        <v>0.141236580417649</v>
      </c>
      <c r="H240" s="24"/>
    </row>
    <row r="241" spans="2:8" x14ac:dyDescent="0.2">
      <c r="B241" s="24" t="s">
        <v>1275</v>
      </c>
      <c r="C241" s="24" t="s">
        <v>1276</v>
      </c>
      <c r="D241" s="24" t="s">
        <v>509</v>
      </c>
      <c r="E241" s="28">
        <v>2116</v>
      </c>
      <c r="F241" s="25">
        <v>24.748736000000001</v>
      </c>
      <c r="G241" s="26">
        <v>0.13216959301043801</v>
      </c>
      <c r="H241" s="24"/>
    </row>
    <row r="242" spans="2:8" x14ac:dyDescent="0.2">
      <c r="B242" s="24" t="s">
        <v>1277</v>
      </c>
      <c r="C242" s="24" t="s">
        <v>1278</v>
      </c>
      <c r="D242" s="24" t="s">
        <v>347</v>
      </c>
      <c r="E242" s="28">
        <v>4120</v>
      </c>
      <c r="F242" s="25">
        <v>24.495460000000001</v>
      </c>
      <c r="G242" s="26">
        <v>0.13081698308970099</v>
      </c>
      <c r="H242" s="24"/>
    </row>
    <row r="243" spans="2:8" x14ac:dyDescent="0.2">
      <c r="B243" s="24" t="s">
        <v>1279</v>
      </c>
      <c r="C243" s="24" t="s">
        <v>1280</v>
      </c>
      <c r="D243" s="24" t="s">
        <v>260</v>
      </c>
      <c r="E243" s="28">
        <v>47235</v>
      </c>
      <c r="F243" s="25">
        <v>24.486623999999999</v>
      </c>
      <c r="G243" s="26">
        <v>0.130769794800011</v>
      </c>
      <c r="H243" s="24"/>
    </row>
    <row r="244" spans="2:8" x14ac:dyDescent="0.2">
      <c r="B244" s="24" t="s">
        <v>1281</v>
      </c>
      <c r="C244" s="24" t="s">
        <v>1282</v>
      </c>
      <c r="D244" s="24" t="s">
        <v>397</v>
      </c>
      <c r="E244" s="28">
        <v>5877</v>
      </c>
      <c r="F244" s="25">
        <v>24.1985475</v>
      </c>
      <c r="G244" s="26">
        <v>0.12923133425960701</v>
      </c>
      <c r="H244" s="24"/>
    </row>
    <row r="245" spans="2:8" x14ac:dyDescent="0.2">
      <c r="B245" s="24" t="s">
        <v>1283</v>
      </c>
      <c r="C245" s="24" t="s">
        <v>1284</v>
      </c>
      <c r="D245" s="24" t="s">
        <v>417</v>
      </c>
      <c r="E245" s="28">
        <v>3789</v>
      </c>
      <c r="F245" s="25">
        <v>23.26446</v>
      </c>
      <c r="G245" s="26">
        <v>0.124242878901275</v>
      </c>
      <c r="H245" s="24"/>
    </row>
    <row r="246" spans="2:8" x14ac:dyDescent="0.2">
      <c r="B246" s="24" t="s">
        <v>1285</v>
      </c>
      <c r="C246" s="24" t="s">
        <v>1286</v>
      </c>
      <c r="D246" s="24" t="s">
        <v>509</v>
      </c>
      <c r="E246" s="28">
        <v>3828</v>
      </c>
      <c r="F246" s="25">
        <v>22.550747999999999</v>
      </c>
      <c r="G246" s="26">
        <v>0.120431329714817</v>
      </c>
      <c r="H246" s="24"/>
    </row>
    <row r="247" spans="2:8" x14ac:dyDescent="0.2">
      <c r="B247" s="24" t="s">
        <v>1287</v>
      </c>
      <c r="C247" s="24" t="s">
        <v>1288</v>
      </c>
      <c r="D247" s="24" t="s">
        <v>298</v>
      </c>
      <c r="E247" s="28">
        <v>8023</v>
      </c>
      <c r="F247" s="25">
        <v>22.135456999999999</v>
      </c>
      <c r="G247" s="26">
        <v>0.118213485439825</v>
      </c>
      <c r="H247" s="24"/>
    </row>
    <row r="248" spans="2:8" x14ac:dyDescent="0.2">
      <c r="B248" s="24" t="s">
        <v>1289</v>
      </c>
      <c r="C248" s="24" t="s">
        <v>1290</v>
      </c>
      <c r="D248" s="24" t="s">
        <v>438</v>
      </c>
      <c r="E248" s="28">
        <v>1302</v>
      </c>
      <c r="F248" s="25">
        <v>21.880109999999998</v>
      </c>
      <c r="G248" s="26">
        <v>0.116849815429912</v>
      </c>
      <c r="H248" s="24"/>
    </row>
    <row r="249" spans="2:8" x14ac:dyDescent="0.2">
      <c r="B249" s="24" t="s">
        <v>1291</v>
      </c>
      <c r="C249" s="24" t="s">
        <v>1292</v>
      </c>
      <c r="D249" s="24" t="s">
        <v>301</v>
      </c>
      <c r="E249" s="28">
        <v>9457</v>
      </c>
      <c r="F249" s="25">
        <v>21.765285500000001</v>
      </c>
      <c r="G249" s="26">
        <v>0.11623659997387301</v>
      </c>
      <c r="H249" s="24"/>
    </row>
    <row r="250" spans="2:8" x14ac:dyDescent="0.2">
      <c r="B250" s="24" t="s">
        <v>1293</v>
      </c>
      <c r="C250" s="24" t="s">
        <v>1294</v>
      </c>
      <c r="D250" s="24" t="s">
        <v>631</v>
      </c>
      <c r="E250" s="28">
        <v>116679</v>
      </c>
      <c r="F250" s="25">
        <v>19.742086799999999</v>
      </c>
      <c r="G250" s="26">
        <v>0.10543179164918801</v>
      </c>
      <c r="H250" s="24"/>
    </row>
    <row r="251" spans="2:8" x14ac:dyDescent="0.2">
      <c r="B251" s="24" t="s">
        <v>1295</v>
      </c>
      <c r="C251" s="24" t="s">
        <v>1296</v>
      </c>
      <c r="D251" s="24" t="s">
        <v>438</v>
      </c>
      <c r="E251" s="28">
        <v>2115</v>
      </c>
      <c r="F251" s="25">
        <v>19.320525</v>
      </c>
      <c r="G251" s="26">
        <v>0.10318045842817999</v>
      </c>
      <c r="H251" s="24"/>
    </row>
    <row r="252" spans="2:8" x14ac:dyDescent="0.2">
      <c r="B252" s="24" t="s">
        <v>1297</v>
      </c>
      <c r="C252" s="24" t="s">
        <v>1298</v>
      </c>
      <c r="D252" s="24" t="s">
        <v>293</v>
      </c>
      <c r="E252" s="28">
        <v>3300</v>
      </c>
      <c r="F252" s="25">
        <v>19.088850000000001</v>
      </c>
      <c r="G252" s="26">
        <v>0.101943207747552</v>
      </c>
      <c r="H252" s="24"/>
    </row>
    <row r="253" spans="2:8" x14ac:dyDescent="0.2">
      <c r="B253" s="24" t="s">
        <v>1299</v>
      </c>
      <c r="C253" s="24" t="s">
        <v>1300</v>
      </c>
      <c r="D253" s="24" t="s">
        <v>539</v>
      </c>
      <c r="E253" s="28">
        <v>12978</v>
      </c>
      <c r="F253" s="25">
        <v>18.344403</v>
      </c>
      <c r="G253" s="26">
        <v>9.79675195747155E-2</v>
      </c>
      <c r="H253" s="24"/>
    </row>
    <row r="254" spans="2:8" x14ac:dyDescent="0.2">
      <c r="B254" s="24" t="s">
        <v>1301</v>
      </c>
      <c r="C254" s="24" t="s">
        <v>1302</v>
      </c>
      <c r="D254" s="24" t="s">
        <v>310</v>
      </c>
      <c r="E254" s="28">
        <v>4574</v>
      </c>
      <c r="F254" s="25">
        <v>17.966671999999999</v>
      </c>
      <c r="G254" s="26">
        <v>9.5950262914115694E-2</v>
      </c>
      <c r="H254" s="24"/>
    </row>
    <row r="255" spans="2:8" x14ac:dyDescent="0.2">
      <c r="B255" s="24" t="s">
        <v>1303</v>
      </c>
      <c r="C255" s="24" t="s">
        <v>1304</v>
      </c>
      <c r="D255" s="24" t="s">
        <v>397</v>
      </c>
      <c r="E255" s="28">
        <v>2425</v>
      </c>
      <c r="F255" s="25">
        <v>17.6576375</v>
      </c>
      <c r="G255" s="26">
        <v>9.4299877048300798E-2</v>
      </c>
      <c r="H255" s="24"/>
    </row>
    <row r="256" spans="2:8" x14ac:dyDescent="0.2">
      <c r="B256" s="24" t="s">
        <v>1305</v>
      </c>
      <c r="C256" s="24" t="s">
        <v>1306</v>
      </c>
      <c r="D256" s="24" t="s">
        <v>293</v>
      </c>
      <c r="E256" s="28">
        <v>2579</v>
      </c>
      <c r="F256" s="25">
        <v>10.985250499999999</v>
      </c>
      <c r="G256" s="26">
        <v>5.8666272398829399E-2</v>
      </c>
      <c r="H256" s="24"/>
    </row>
    <row r="257" spans="2:9" x14ac:dyDescent="0.2">
      <c r="B257" s="24" t="s">
        <v>1307</v>
      </c>
      <c r="C257" s="24" t="s">
        <v>1308</v>
      </c>
      <c r="D257" s="24" t="s">
        <v>836</v>
      </c>
      <c r="E257" s="28">
        <v>14223</v>
      </c>
      <c r="F257" s="25">
        <v>8.6077595999999996</v>
      </c>
      <c r="G257" s="26">
        <v>4.5969381347948202E-2</v>
      </c>
      <c r="H257" s="24"/>
    </row>
    <row r="258" spans="2:9" x14ac:dyDescent="0.2">
      <c r="B258" s="23" t="s">
        <v>56</v>
      </c>
      <c r="C258" s="23"/>
      <c r="D258" s="23"/>
      <c r="E258" s="23"/>
      <c r="F258" s="30">
        <f>SUM(F7:F257)</f>
        <v>18713.881292400012</v>
      </c>
      <c r="G258" s="31">
        <f>SUM(G7:G257)</f>
        <v>99.94070299437378</v>
      </c>
      <c r="H258" s="23"/>
      <c r="I258" s="16"/>
    </row>
    <row r="259" spans="2:9" x14ac:dyDescent="0.2">
      <c r="B259" s="23" t="s">
        <v>375</v>
      </c>
      <c r="C259" s="23"/>
      <c r="D259" s="23"/>
      <c r="E259" s="23"/>
      <c r="F259" s="46" t="s">
        <v>376</v>
      </c>
      <c r="G259" s="47" t="s">
        <v>376</v>
      </c>
      <c r="H259" s="23"/>
      <c r="I259" s="16"/>
    </row>
    <row r="260" spans="2:9" x14ac:dyDescent="0.2">
      <c r="B260" s="23" t="s">
        <v>56</v>
      </c>
      <c r="C260" s="23"/>
      <c r="D260" s="23"/>
      <c r="E260" s="23"/>
      <c r="F260" s="48" t="s">
        <v>376</v>
      </c>
      <c r="G260" s="49" t="s">
        <v>376</v>
      </c>
      <c r="H260" s="23"/>
      <c r="I260" s="16"/>
    </row>
    <row r="261" spans="2:9" x14ac:dyDescent="0.2">
      <c r="B261" s="35" t="s">
        <v>81</v>
      </c>
      <c r="C261" s="35"/>
      <c r="D261" s="35"/>
      <c r="E261" s="35"/>
      <c r="F261" s="36">
        <f>F258</f>
        <v>18713.881292400012</v>
      </c>
      <c r="G261" s="37">
        <f>G258</f>
        <v>99.94070299437378</v>
      </c>
      <c r="H261" s="23"/>
      <c r="I261" s="16"/>
    </row>
    <row r="262" spans="2:9" x14ac:dyDescent="0.2">
      <c r="B262" s="23" t="s">
        <v>86</v>
      </c>
      <c r="C262" s="23"/>
      <c r="D262" s="23"/>
      <c r="E262" s="23"/>
      <c r="F262" s="30">
        <v>125.36980130000001</v>
      </c>
      <c r="G262" s="31">
        <v>0.66953219807349096</v>
      </c>
      <c r="H262" s="38">
        <v>5.305E-2</v>
      </c>
      <c r="I262" s="17"/>
    </row>
    <row r="263" spans="2:9" x14ac:dyDescent="0.2">
      <c r="B263" s="24"/>
      <c r="C263" s="24"/>
      <c r="D263" s="24"/>
      <c r="E263" s="24"/>
      <c r="F263" s="25"/>
      <c r="G263" s="26"/>
      <c r="H263" s="24"/>
    </row>
    <row r="264" spans="2:9" x14ac:dyDescent="0.2">
      <c r="B264" s="43" t="s">
        <v>88</v>
      </c>
      <c r="C264" s="43"/>
      <c r="D264" s="43"/>
      <c r="E264" s="43"/>
      <c r="F264" s="30">
        <f>F265-(F258+F262)</f>
        <v>-114.26644610001313</v>
      </c>
      <c r="G264" s="31">
        <f>G265-(G258+G262)</f>
        <v>-0.61023519244727709</v>
      </c>
      <c r="H264" s="23"/>
      <c r="I264" s="16"/>
    </row>
    <row r="265" spans="2:9" x14ac:dyDescent="0.2">
      <c r="B265" s="39" t="s">
        <v>87</v>
      </c>
      <c r="C265" s="39"/>
      <c r="D265" s="39"/>
      <c r="E265" s="39"/>
      <c r="F265" s="40">
        <v>18724.984647599998</v>
      </c>
      <c r="G265" s="41">
        <v>100</v>
      </c>
      <c r="H265" s="50"/>
      <c r="I265" s="16"/>
    </row>
    <row r="266" spans="2:9" x14ac:dyDescent="0.2">
      <c r="B266" s="16"/>
      <c r="C266" s="16"/>
      <c r="D266" s="16"/>
      <c r="E266" s="16"/>
      <c r="F266" s="63"/>
      <c r="G266" s="64"/>
      <c r="H266" s="16"/>
      <c r="I266" s="16"/>
    </row>
    <row r="267" spans="2:9" x14ac:dyDescent="0.2">
      <c r="B267" s="16" t="s">
        <v>490</v>
      </c>
    </row>
    <row r="269" spans="2:9" x14ac:dyDescent="0.2">
      <c r="B269" s="16" t="s">
        <v>93</v>
      </c>
    </row>
    <row r="287" spans="2:2" x14ac:dyDescent="0.2">
      <c r="B287" s="60" t="s">
        <v>1355</v>
      </c>
    </row>
    <row r="288" spans="2:2" x14ac:dyDescent="0.2">
      <c r="B288" s="61" t="s">
        <v>1363</v>
      </c>
    </row>
  </sheetData>
  <mergeCells count="1">
    <mergeCell ref="B1:C1"/>
  </mergeCells>
  <conditionalFormatting sqref="G1:G3 G5:G305">
    <cfRule type="cellIs" dxfId="2" priority="2" stopIfTrue="1" operator="between">
      <formula>0.009</formula>
      <formula>-0.009</formula>
    </cfRule>
  </conditionalFormatting>
  <hyperlinks>
    <hyperlink ref="A2" location="JBNS250!A1" display="-" xr:uid="{E478271A-C651-48AE-910F-26ED722B6CAC}"/>
  </hyperlinks>
  <pageMargins left="0.7" right="0.7" top="0.75" bottom="0.75" header="0.3" footer="0.3"/>
  <pageSetup paperSize="9" scale="38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25" min="1" max="7" man="1"/>
  </rowBreaks>
  <colBreaks count="1" manualBreakCount="1">
    <brk id="8" max="598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6298-DA8E-409F-8B7F-66A3702F1A78}">
  <dimension ref="A1:I182"/>
  <sheetViews>
    <sheetView view="pageBreakPreview" zoomScaleNormal="100" zoomScaleSheetLayoutView="100" workbookViewId="0">
      <selection activeCell="B1" sqref="B1:C1"/>
    </sheetView>
  </sheetViews>
  <sheetFormatPr defaultColWidth="9.21875" defaultRowHeight="10.199999999999999" x14ac:dyDescent="0.2"/>
  <cols>
    <col min="1" max="1" width="7.21875" style="6" customWidth="1"/>
    <col min="2" max="2" width="69.5546875" style="6" bestFit="1" customWidth="1"/>
    <col min="3" max="3" width="10.77734375" style="6" bestFit="1" customWidth="1"/>
    <col min="4" max="4" width="32.21875" style="6" bestFit="1" customWidth="1"/>
    <col min="5" max="5" width="13.77734375" style="6" bestFit="1" customWidth="1"/>
    <col min="6" max="6" width="22.77734375" style="8" bestFit="1" customWidth="1"/>
    <col min="7" max="7" width="14" style="14" bestFit="1" customWidth="1"/>
    <col min="8" max="8" width="14.44140625" style="6" customWidth="1"/>
    <col min="9" max="16384" width="9.21875" style="6"/>
  </cols>
  <sheetData>
    <row r="1" spans="1:8" s="1" customFormat="1" ht="16.8" customHeight="1" x14ac:dyDescent="0.25">
      <c r="B1" s="80" t="s">
        <v>18</v>
      </c>
      <c r="C1" s="81"/>
      <c r="D1" s="10"/>
      <c r="F1" s="5"/>
      <c r="G1" s="14"/>
    </row>
    <row r="2" spans="1:8" s="1" customFormat="1" ht="14.4" x14ac:dyDescent="0.3">
      <c r="A2" s="59" t="s">
        <v>1372</v>
      </c>
      <c r="F2" s="5"/>
      <c r="G2" s="14"/>
    </row>
    <row r="3" spans="1:8" s="1" customFormat="1" ht="12" x14ac:dyDescent="0.2">
      <c r="B3" s="7" t="s">
        <v>9</v>
      </c>
      <c r="C3" s="2"/>
      <c r="D3" s="3"/>
      <c r="E3" s="3"/>
      <c r="F3" s="4"/>
      <c r="G3" s="14"/>
    </row>
    <row r="4" spans="1:8" s="1" customFormat="1" ht="25.5" customHeight="1" x14ac:dyDescent="0.2">
      <c r="B4" s="18" t="s">
        <v>7</v>
      </c>
      <c r="C4" s="18" t="s">
        <v>8</v>
      </c>
      <c r="D4" s="19" t="s">
        <v>377</v>
      </c>
      <c r="E4" s="19" t="s">
        <v>0</v>
      </c>
      <c r="F4" s="20" t="s">
        <v>4</v>
      </c>
      <c r="G4" s="21" t="s">
        <v>5</v>
      </c>
      <c r="H4" s="52" t="s">
        <v>6</v>
      </c>
    </row>
    <row r="5" spans="1:8" x14ac:dyDescent="0.2">
      <c r="B5" s="23" t="s">
        <v>248</v>
      </c>
      <c r="C5" s="24"/>
      <c r="D5" s="24"/>
      <c r="E5" s="24"/>
      <c r="F5" s="25"/>
      <c r="G5" s="26"/>
      <c r="H5" s="24"/>
    </row>
    <row r="6" spans="1:8" x14ac:dyDescent="0.2">
      <c r="B6" s="23" t="s">
        <v>249</v>
      </c>
      <c r="C6" s="24"/>
      <c r="D6" s="24"/>
      <c r="E6" s="24"/>
      <c r="F6" s="25"/>
      <c r="G6" s="26"/>
      <c r="H6" s="24"/>
    </row>
    <row r="7" spans="1:8" x14ac:dyDescent="0.2">
      <c r="B7" s="24" t="s">
        <v>250</v>
      </c>
      <c r="C7" s="24" t="s">
        <v>251</v>
      </c>
      <c r="D7" s="24" t="s">
        <v>252</v>
      </c>
      <c r="E7" s="28">
        <v>1995443</v>
      </c>
      <c r="F7" s="25">
        <v>20106.083667999999</v>
      </c>
      <c r="G7" s="26">
        <v>9.0095503228671099</v>
      </c>
      <c r="H7" s="24"/>
    </row>
    <row r="8" spans="1:8" x14ac:dyDescent="0.2">
      <c r="B8" s="24" t="s">
        <v>256</v>
      </c>
      <c r="C8" s="24" t="s">
        <v>257</v>
      </c>
      <c r="D8" s="24" t="s">
        <v>252</v>
      </c>
      <c r="E8" s="28">
        <v>941595</v>
      </c>
      <c r="F8" s="25">
        <v>13076.871359999999</v>
      </c>
      <c r="G8" s="26">
        <v>5.8597553123233004</v>
      </c>
      <c r="H8" s="24"/>
    </row>
    <row r="9" spans="1:8" x14ac:dyDescent="0.2">
      <c r="B9" s="24" t="s">
        <v>253</v>
      </c>
      <c r="C9" s="24" t="s">
        <v>254</v>
      </c>
      <c r="D9" s="24" t="s">
        <v>255</v>
      </c>
      <c r="E9" s="28">
        <v>629173</v>
      </c>
      <c r="F9" s="25">
        <v>9862.2867750000005</v>
      </c>
      <c r="G9" s="26">
        <v>4.4192976844778</v>
      </c>
      <c r="H9" s="24"/>
    </row>
    <row r="10" spans="1:8" x14ac:dyDescent="0.2">
      <c r="B10" s="24" t="s">
        <v>261</v>
      </c>
      <c r="C10" s="24" t="s">
        <v>262</v>
      </c>
      <c r="D10" s="24" t="s">
        <v>263</v>
      </c>
      <c r="E10" s="28">
        <v>586512</v>
      </c>
      <c r="F10" s="25">
        <v>9150.1737119999998</v>
      </c>
      <c r="G10" s="26">
        <v>4.10019931690855</v>
      </c>
      <c r="H10" s="24"/>
    </row>
    <row r="11" spans="1:8" x14ac:dyDescent="0.2">
      <c r="B11" s="24" t="s">
        <v>267</v>
      </c>
      <c r="C11" s="24" t="s">
        <v>268</v>
      </c>
      <c r="D11" s="24" t="s">
        <v>252</v>
      </c>
      <c r="E11" s="28">
        <v>728947</v>
      </c>
      <c r="F11" s="25">
        <v>7136.39113</v>
      </c>
      <c r="G11" s="26">
        <v>3.1978219165439898</v>
      </c>
      <c r="H11" s="24"/>
    </row>
    <row r="12" spans="1:8" x14ac:dyDescent="0.2">
      <c r="B12" s="24" t="s">
        <v>264</v>
      </c>
      <c r="C12" s="24" t="s">
        <v>265</v>
      </c>
      <c r="D12" s="24" t="s">
        <v>266</v>
      </c>
      <c r="E12" s="28">
        <v>146962</v>
      </c>
      <c r="F12" s="25">
        <v>5980.7655519999998</v>
      </c>
      <c r="G12" s="26">
        <v>2.67998527708176</v>
      </c>
      <c r="H12" s="24"/>
    </row>
    <row r="13" spans="1:8" x14ac:dyDescent="0.2">
      <c r="B13" s="24" t="s">
        <v>277</v>
      </c>
      <c r="C13" s="24" t="s">
        <v>278</v>
      </c>
      <c r="D13" s="24" t="s">
        <v>263</v>
      </c>
      <c r="E13" s="28">
        <v>161801</v>
      </c>
      <c r="F13" s="25">
        <v>5076.5063749999999</v>
      </c>
      <c r="G13" s="26">
        <v>2.27478609982666</v>
      </c>
      <c r="H13" s="24"/>
    </row>
    <row r="14" spans="1:8" x14ac:dyDescent="0.2">
      <c r="B14" s="24" t="s">
        <v>258</v>
      </c>
      <c r="C14" s="24" t="s">
        <v>259</v>
      </c>
      <c r="D14" s="24" t="s">
        <v>260</v>
      </c>
      <c r="E14" s="28">
        <v>239843</v>
      </c>
      <c r="F14" s="25">
        <v>5040.5404879999996</v>
      </c>
      <c r="G14" s="26">
        <v>2.2586697604050299</v>
      </c>
      <c r="H14" s="24"/>
    </row>
    <row r="15" spans="1:8" x14ac:dyDescent="0.2">
      <c r="B15" s="24" t="s">
        <v>294</v>
      </c>
      <c r="C15" s="24" t="s">
        <v>295</v>
      </c>
      <c r="D15" s="24" t="s">
        <v>263</v>
      </c>
      <c r="E15" s="28">
        <v>308962</v>
      </c>
      <c r="F15" s="25">
        <v>5018.1608040000001</v>
      </c>
      <c r="G15" s="26">
        <v>2.2486414081641302</v>
      </c>
      <c r="H15" s="24"/>
    </row>
    <row r="16" spans="1:8" x14ac:dyDescent="0.2">
      <c r="B16" s="24" t="s">
        <v>313</v>
      </c>
      <c r="C16" s="24" t="s">
        <v>314</v>
      </c>
      <c r="D16" s="24" t="s">
        <v>315</v>
      </c>
      <c r="E16" s="28">
        <v>80324</v>
      </c>
      <c r="F16" s="25">
        <v>4740.3208599999998</v>
      </c>
      <c r="G16" s="26">
        <v>2.1241411326005402</v>
      </c>
      <c r="H16" s="24"/>
    </row>
    <row r="17" spans="2:8" x14ac:dyDescent="0.2">
      <c r="B17" s="24" t="s">
        <v>296</v>
      </c>
      <c r="C17" s="24" t="s">
        <v>297</v>
      </c>
      <c r="D17" s="24" t="s">
        <v>298</v>
      </c>
      <c r="E17" s="28">
        <v>111960</v>
      </c>
      <c r="F17" s="25">
        <v>4375.0609199999999</v>
      </c>
      <c r="G17" s="26">
        <v>1.96046789495282</v>
      </c>
      <c r="H17" s="24"/>
    </row>
    <row r="18" spans="2:8" x14ac:dyDescent="0.2">
      <c r="B18" s="24" t="s">
        <v>383</v>
      </c>
      <c r="C18" s="24" t="s">
        <v>384</v>
      </c>
      <c r="D18" s="24" t="s">
        <v>276</v>
      </c>
      <c r="E18" s="28">
        <v>119835</v>
      </c>
      <c r="F18" s="25">
        <v>4231.9730250000002</v>
      </c>
      <c r="G18" s="26">
        <v>1.8963501079246401</v>
      </c>
      <c r="H18" s="24"/>
    </row>
    <row r="19" spans="2:8" x14ac:dyDescent="0.2">
      <c r="B19" s="24" t="s">
        <v>325</v>
      </c>
      <c r="C19" s="24" t="s">
        <v>326</v>
      </c>
      <c r="D19" s="24" t="s">
        <v>327</v>
      </c>
      <c r="E19" s="28">
        <v>278082</v>
      </c>
      <c r="F19" s="25">
        <v>4218.2258579999998</v>
      </c>
      <c r="G19" s="26">
        <v>1.8901899926615899</v>
      </c>
      <c r="H19" s="24"/>
    </row>
    <row r="20" spans="2:8" x14ac:dyDescent="0.2">
      <c r="B20" s="24" t="s">
        <v>494</v>
      </c>
      <c r="C20" s="24" t="s">
        <v>495</v>
      </c>
      <c r="D20" s="24" t="s">
        <v>276</v>
      </c>
      <c r="E20" s="28">
        <v>68291</v>
      </c>
      <c r="F20" s="25">
        <v>4216.6277950000003</v>
      </c>
      <c r="G20" s="26">
        <v>1.8894738995001701</v>
      </c>
      <c r="H20" s="24"/>
    </row>
    <row r="21" spans="2:8" x14ac:dyDescent="0.2">
      <c r="B21" s="24" t="s">
        <v>391</v>
      </c>
      <c r="C21" s="24" t="s">
        <v>392</v>
      </c>
      <c r="D21" s="24" t="s">
        <v>347</v>
      </c>
      <c r="E21" s="28">
        <v>69016</v>
      </c>
      <c r="F21" s="25">
        <v>4034.6753600000002</v>
      </c>
      <c r="G21" s="26">
        <v>1.8079408845893801</v>
      </c>
      <c r="H21" s="24"/>
    </row>
    <row r="22" spans="2:8" x14ac:dyDescent="0.2">
      <c r="B22" s="24" t="s">
        <v>389</v>
      </c>
      <c r="C22" s="24" t="s">
        <v>390</v>
      </c>
      <c r="D22" s="24" t="s">
        <v>255</v>
      </c>
      <c r="E22" s="28">
        <v>997678</v>
      </c>
      <c r="F22" s="25">
        <v>3582.6616979999999</v>
      </c>
      <c r="G22" s="26">
        <v>1.60539324270853</v>
      </c>
      <c r="H22" s="24"/>
    </row>
    <row r="23" spans="2:8" x14ac:dyDescent="0.2">
      <c r="B23" s="24" t="s">
        <v>808</v>
      </c>
      <c r="C23" s="24" t="s">
        <v>809</v>
      </c>
      <c r="D23" s="24" t="s">
        <v>400</v>
      </c>
      <c r="E23" s="28">
        <v>106779</v>
      </c>
      <c r="F23" s="25">
        <v>3425.5770990000001</v>
      </c>
      <c r="G23" s="26">
        <v>1.53500352271098</v>
      </c>
      <c r="H23" s="24"/>
    </row>
    <row r="24" spans="2:8" x14ac:dyDescent="0.2">
      <c r="B24" s="24" t="s">
        <v>484</v>
      </c>
      <c r="C24" s="24" t="s">
        <v>485</v>
      </c>
      <c r="D24" s="24" t="s">
        <v>350</v>
      </c>
      <c r="E24" s="28">
        <v>380095</v>
      </c>
      <c r="F24" s="25">
        <v>3399.7597274999998</v>
      </c>
      <c r="G24" s="26">
        <v>1.5234347402681001</v>
      </c>
      <c r="H24" s="24"/>
    </row>
    <row r="25" spans="2:8" x14ac:dyDescent="0.2">
      <c r="B25" s="24" t="s">
        <v>269</v>
      </c>
      <c r="C25" s="24" t="s">
        <v>270</v>
      </c>
      <c r="D25" s="24" t="s">
        <v>271</v>
      </c>
      <c r="E25" s="28">
        <v>813932</v>
      </c>
      <c r="F25" s="25">
        <v>3290.3201100000001</v>
      </c>
      <c r="G25" s="26">
        <v>1.47439477020417</v>
      </c>
      <c r="H25" s="24"/>
    </row>
    <row r="26" spans="2:8" x14ac:dyDescent="0.2">
      <c r="B26" s="24" t="s">
        <v>632</v>
      </c>
      <c r="C26" s="24" t="s">
        <v>633</v>
      </c>
      <c r="D26" s="24" t="s">
        <v>310</v>
      </c>
      <c r="E26" s="28">
        <v>55291</v>
      </c>
      <c r="F26" s="25">
        <v>3183.65578</v>
      </c>
      <c r="G26" s="26">
        <v>1.4265984084333601</v>
      </c>
      <c r="H26" s="24"/>
    </row>
    <row r="27" spans="2:8" x14ac:dyDescent="0.2">
      <c r="B27" s="24" t="s">
        <v>550</v>
      </c>
      <c r="C27" s="24" t="s">
        <v>551</v>
      </c>
      <c r="D27" s="24" t="s">
        <v>509</v>
      </c>
      <c r="E27" s="28">
        <v>42080</v>
      </c>
      <c r="F27" s="25">
        <v>3143.3760000000002</v>
      </c>
      <c r="G27" s="26">
        <v>1.40854901050503</v>
      </c>
      <c r="H27" s="24"/>
    </row>
    <row r="28" spans="2:8" x14ac:dyDescent="0.2">
      <c r="B28" s="24" t="s">
        <v>305</v>
      </c>
      <c r="C28" s="24" t="s">
        <v>306</v>
      </c>
      <c r="D28" s="24" t="s">
        <v>307</v>
      </c>
      <c r="E28" s="28">
        <v>1857070</v>
      </c>
      <c r="F28" s="25">
        <v>3119.1347719999999</v>
      </c>
      <c r="G28" s="26">
        <v>1.3976864990801099</v>
      </c>
      <c r="H28" s="24"/>
    </row>
    <row r="29" spans="2:8" x14ac:dyDescent="0.2">
      <c r="B29" s="24" t="s">
        <v>640</v>
      </c>
      <c r="C29" s="24" t="s">
        <v>641</v>
      </c>
      <c r="D29" s="24" t="s">
        <v>324</v>
      </c>
      <c r="E29" s="28">
        <v>1137928</v>
      </c>
      <c r="F29" s="25">
        <v>2958.3852144000002</v>
      </c>
      <c r="G29" s="26">
        <v>1.3256545085398099</v>
      </c>
      <c r="H29" s="24"/>
    </row>
    <row r="30" spans="2:8" x14ac:dyDescent="0.2">
      <c r="B30" s="24" t="s">
        <v>520</v>
      </c>
      <c r="C30" s="24" t="s">
        <v>521</v>
      </c>
      <c r="D30" s="24" t="s">
        <v>293</v>
      </c>
      <c r="E30" s="28">
        <v>140815</v>
      </c>
      <c r="F30" s="25">
        <v>2932.0499300000001</v>
      </c>
      <c r="G30" s="26">
        <v>1.31385364895986</v>
      </c>
      <c r="H30" s="24"/>
    </row>
    <row r="31" spans="2:8" x14ac:dyDescent="0.2">
      <c r="B31" s="24" t="s">
        <v>418</v>
      </c>
      <c r="C31" s="24" t="s">
        <v>419</v>
      </c>
      <c r="D31" s="24" t="s">
        <v>252</v>
      </c>
      <c r="E31" s="28">
        <v>1760091</v>
      </c>
      <c r="F31" s="25">
        <v>2667.9459378000001</v>
      </c>
      <c r="G31" s="26">
        <v>1.1955084631202599</v>
      </c>
      <c r="H31" s="24"/>
    </row>
    <row r="32" spans="2:8" x14ac:dyDescent="0.2">
      <c r="B32" s="24" t="s">
        <v>526</v>
      </c>
      <c r="C32" s="24" t="s">
        <v>527</v>
      </c>
      <c r="D32" s="24" t="s">
        <v>353</v>
      </c>
      <c r="E32" s="28">
        <v>284921</v>
      </c>
      <c r="F32" s="25">
        <v>2618.7089110000002</v>
      </c>
      <c r="G32" s="26">
        <v>1.1734453165608401</v>
      </c>
      <c r="H32" s="24"/>
    </row>
    <row r="33" spans="2:8" x14ac:dyDescent="0.2">
      <c r="B33" s="24" t="s">
        <v>556</v>
      </c>
      <c r="C33" s="24" t="s">
        <v>557</v>
      </c>
      <c r="D33" s="24" t="s">
        <v>432</v>
      </c>
      <c r="E33" s="28">
        <v>89612</v>
      </c>
      <c r="F33" s="25">
        <v>2582.080168</v>
      </c>
      <c r="G33" s="26">
        <v>1.15703195089644</v>
      </c>
      <c r="H33" s="24"/>
    </row>
    <row r="34" spans="2:8" x14ac:dyDescent="0.2">
      <c r="B34" s="24" t="s">
        <v>533</v>
      </c>
      <c r="C34" s="24" t="s">
        <v>534</v>
      </c>
      <c r="D34" s="24" t="s">
        <v>350</v>
      </c>
      <c r="E34" s="28">
        <v>143483</v>
      </c>
      <c r="F34" s="25">
        <v>2442.2241429999999</v>
      </c>
      <c r="G34" s="26">
        <v>1.0943623671028</v>
      </c>
      <c r="H34" s="24"/>
    </row>
    <row r="35" spans="2:8" x14ac:dyDescent="0.2">
      <c r="B35" s="24" t="s">
        <v>535</v>
      </c>
      <c r="C35" s="24" t="s">
        <v>536</v>
      </c>
      <c r="D35" s="24" t="s">
        <v>255</v>
      </c>
      <c r="E35" s="28">
        <v>498026</v>
      </c>
      <c r="F35" s="25">
        <v>2278.4689499999999</v>
      </c>
      <c r="G35" s="26">
        <v>1.02098354921235</v>
      </c>
      <c r="H35" s="24"/>
    </row>
    <row r="36" spans="2:8" x14ac:dyDescent="0.2">
      <c r="B36" s="24" t="s">
        <v>445</v>
      </c>
      <c r="C36" s="24" t="s">
        <v>446</v>
      </c>
      <c r="D36" s="24" t="s">
        <v>307</v>
      </c>
      <c r="E36" s="28">
        <v>206607</v>
      </c>
      <c r="F36" s="25">
        <v>2157.803508</v>
      </c>
      <c r="G36" s="26">
        <v>0.96691327924425197</v>
      </c>
      <c r="H36" s="24"/>
    </row>
    <row r="37" spans="2:8" x14ac:dyDescent="0.2">
      <c r="B37" s="24" t="s">
        <v>615</v>
      </c>
      <c r="C37" s="24" t="s">
        <v>616</v>
      </c>
      <c r="D37" s="24" t="s">
        <v>283</v>
      </c>
      <c r="E37" s="28">
        <v>672729</v>
      </c>
      <c r="F37" s="25">
        <v>2101.2690315</v>
      </c>
      <c r="G37" s="26">
        <v>0.941580140309077</v>
      </c>
      <c r="H37" s="24"/>
    </row>
    <row r="38" spans="2:8" x14ac:dyDescent="0.2">
      <c r="B38" s="24" t="s">
        <v>274</v>
      </c>
      <c r="C38" s="24" t="s">
        <v>275</v>
      </c>
      <c r="D38" s="24" t="s">
        <v>276</v>
      </c>
      <c r="E38" s="28">
        <v>55126</v>
      </c>
      <c r="F38" s="25">
        <v>2071.249198</v>
      </c>
      <c r="G38" s="26">
        <v>0.92812823166946501</v>
      </c>
      <c r="H38" s="24"/>
    </row>
    <row r="39" spans="2:8" x14ac:dyDescent="0.2">
      <c r="B39" s="24" t="s">
        <v>814</v>
      </c>
      <c r="C39" s="24" t="s">
        <v>815</v>
      </c>
      <c r="D39" s="24" t="s">
        <v>438</v>
      </c>
      <c r="E39" s="28">
        <v>35970</v>
      </c>
      <c r="F39" s="25">
        <v>2063.05935</v>
      </c>
      <c r="G39" s="26">
        <v>0.924458354983829</v>
      </c>
      <c r="H39" s="24"/>
    </row>
    <row r="40" spans="2:8" x14ac:dyDescent="0.2">
      <c r="B40" s="24" t="s">
        <v>451</v>
      </c>
      <c r="C40" s="24" t="s">
        <v>452</v>
      </c>
      <c r="D40" s="24" t="s">
        <v>310</v>
      </c>
      <c r="E40" s="28">
        <v>7684</v>
      </c>
      <c r="F40" s="25">
        <v>2028.576</v>
      </c>
      <c r="G40" s="26">
        <v>0.90900634144125603</v>
      </c>
      <c r="H40" s="24"/>
    </row>
    <row r="41" spans="2:8" x14ac:dyDescent="0.2">
      <c r="B41" s="24" t="s">
        <v>370</v>
      </c>
      <c r="C41" s="24" t="s">
        <v>371</v>
      </c>
      <c r="D41" s="24" t="s">
        <v>263</v>
      </c>
      <c r="E41" s="28">
        <v>786282</v>
      </c>
      <c r="F41" s="25">
        <v>1962.0094746</v>
      </c>
      <c r="G41" s="26">
        <v>0.87917783429323204</v>
      </c>
      <c r="H41" s="24"/>
    </row>
    <row r="42" spans="2:8" x14ac:dyDescent="0.2">
      <c r="B42" s="24" t="s">
        <v>548</v>
      </c>
      <c r="C42" s="24" t="s">
        <v>549</v>
      </c>
      <c r="D42" s="24" t="s">
        <v>365</v>
      </c>
      <c r="E42" s="28">
        <v>263521</v>
      </c>
      <c r="F42" s="25">
        <v>1890.499654</v>
      </c>
      <c r="G42" s="26">
        <v>0.84713423306718605</v>
      </c>
      <c r="H42" s="24"/>
    </row>
    <row r="43" spans="2:8" x14ac:dyDescent="0.2">
      <c r="B43" s="24" t="s">
        <v>592</v>
      </c>
      <c r="C43" s="24" t="s">
        <v>593</v>
      </c>
      <c r="D43" s="24" t="s">
        <v>288</v>
      </c>
      <c r="E43" s="28">
        <v>1383842</v>
      </c>
      <c r="F43" s="25">
        <v>1879.2574360000001</v>
      </c>
      <c r="G43" s="26">
        <v>0.84209658722406</v>
      </c>
      <c r="H43" s="24"/>
    </row>
    <row r="44" spans="2:8" x14ac:dyDescent="0.2">
      <c r="B44" s="24" t="s">
        <v>804</v>
      </c>
      <c r="C44" s="24" t="s">
        <v>805</v>
      </c>
      <c r="D44" s="24" t="s">
        <v>293</v>
      </c>
      <c r="E44" s="28">
        <v>172304</v>
      </c>
      <c r="F44" s="25">
        <v>1777.0573039999999</v>
      </c>
      <c r="G44" s="26">
        <v>0.79630063573684295</v>
      </c>
      <c r="H44" s="24"/>
    </row>
    <row r="45" spans="2:8" x14ac:dyDescent="0.2">
      <c r="B45" s="24" t="s">
        <v>510</v>
      </c>
      <c r="C45" s="24" t="s">
        <v>511</v>
      </c>
      <c r="D45" s="24" t="s">
        <v>298</v>
      </c>
      <c r="E45" s="28">
        <v>10779</v>
      </c>
      <c r="F45" s="25">
        <v>1573.8417899999999</v>
      </c>
      <c r="G45" s="26">
        <v>0.70523962007598295</v>
      </c>
      <c r="H45" s="24"/>
    </row>
    <row r="46" spans="2:8" x14ac:dyDescent="0.2">
      <c r="B46" s="24" t="s">
        <v>507</v>
      </c>
      <c r="C46" s="24" t="s">
        <v>508</v>
      </c>
      <c r="D46" s="24" t="s">
        <v>509</v>
      </c>
      <c r="E46" s="28">
        <v>34604</v>
      </c>
      <c r="F46" s="25">
        <v>1550.0169719999999</v>
      </c>
      <c r="G46" s="26">
        <v>0.69456370226679898</v>
      </c>
      <c r="H46" s="24"/>
    </row>
    <row r="47" spans="2:8" x14ac:dyDescent="0.2">
      <c r="B47" s="24" t="s">
        <v>338</v>
      </c>
      <c r="C47" s="24" t="s">
        <v>339</v>
      </c>
      <c r="D47" s="24" t="s">
        <v>263</v>
      </c>
      <c r="E47" s="28">
        <v>97077</v>
      </c>
      <c r="F47" s="25">
        <v>1472.9493210000001</v>
      </c>
      <c r="G47" s="26">
        <v>0.66002963330463904</v>
      </c>
      <c r="H47" s="24"/>
    </row>
    <row r="48" spans="2:8" x14ac:dyDescent="0.2">
      <c r="B48" s="24" t="s">
        <v>514</v>
      </c>
      <c r="C48" s="24" t="s">
        <v>515</v>
      </c>
      <c r="D48" s="24" t="s">
        <v>493</v>
      </c>
      <c r="E48" s="28">
        <v>54966</v>
      </c>
      <c r="F48" s="25">
        <v>1469.24118</v>
      </c>
      <c r="G48" s="26">
        <v>0.65836801269788903</v>
      </c>
      <c r="H48" s="24"/>
    </row>
    <row r="49" spans="2:8" x14ac:dyDescent="0.2">
      <c r="B49" s="24" t="s">
        <v>1120</v>
      </c>
      <c r="C49" s="24" t="s">
        <v>1121</v>
      </c>
      <c r="D49" s="24" t="s">
        <v>417</v>
      </c>
      <c r="E49" s="28">
        <v>309363</v>
      </c>
      <c r="F49" s="25">
        <v>1382.8526099999999</v>
      </c>
      <c r="G49" s="26">
        <v>0.61965723333441403</v>
      </c>
      <c r="H49" s="24"/>
    </row>
    <row r="50" spans="2:8" x14ac:dyDescent="0.2">
      <c r="B50" s="24" t="s">
        <v>810</v>
      </c>
      <c r="C50" s="24" t="s">
        <v>811</v>
      </c>
      <c r="D50" s="24" t="s">
        <v>252</v>
      </c>
      <c r="E50" s="28">
        <v>546736</v>
      </c>
      <c r="F50" s="25">
        <v>1355.7412592000001</v>
      </c>
      <c r="G50" s="26">
        <v>0.60750861785131705</v>
      </c>
      <c r="H50" s="24"/>
    </row>
    <row r="51" spans="2:8" x14ac:dyDescent="0.2">
      <c r="B51" s="24" t="s">
        <v>578</v>
      </c>
      <c r="C51" s="24" t="s">
        <v>579</v>
      </c>
      <c r="D51" s="24" t="s">
        <v>252</v>
      </c>
      <c r="E51" s="28">
        <v>152229</v>
      </c>
      <c r="F51" s="25">
        <v>1324.7728724999999</v>
      </c>
      <c r="G51" s="26">
        <v>0.59363166185139205</v>
      </c>
      <c r="H51" s="24"/>
    </row>
    <row r="52" spans="2:8" x14ac:dyDescent="0.2">
      <c r="B52" s="24" t="s">
        <v>802</v>
      </c>
      <c r="C52" s="24" t="s">
        <v>803</v>
      </c>
      <c r="D52" s="24" t="s">
        <v>493</v>
      </c>
      <c r="E52" s="28">
        <v>11956</v>
      </c>
      <c r="F52" s="25">
        <v>1204.3876600000001</v>
      </c>
      <c r="G52" s="26">
        <v>0.53968696292058804</v>
      </c>
      <c r="H52" s="24"/>
    </row>
    <row r="53" spans="2:8" x14ac:dyDescent="0.2">
      <c r="B53" s="24" t="s">
        <v>913</v>
      </c>
      <c r="C53" s="24" t="s">
        <v>914</v>
      </c>
      <c r="D53" s="24" t="s">
        <v>347</v>
      </c>
      <c r="E53" s="28">
        <v>116023</v>
      </c>
      <c r="F53" s="25">
        <v>1196.081107</v>
      </c>
      <c r="G53" s="26">
        <v>0.53596479064184799</v>
      </c>
      <c r="H53" s="24"/>
    </row>
    <row r="54" spans="2:8" x14ac:dyDescent="0.2">
      <c r="B54" s="24" t="s">
        <v>378</v>
      </c>
      <c r="C54" s="24" t="s">
        <v>379</v>
      </c>
      <c r="D54" s="24" t="s">
        <v>380</v>
      </c>
      <c r="E54" s="28">
        <v>226734</v>
      </c>
      <c r="F54" s="25">
        <v>1192.62084</v>
      </c>
      <c r="G54" s="26">
        <v>0.53441424254994496</v>
      </c>
      <c r="H54" s="24"/>
    </row>
    <row r="55" spans="2:8" x14ac:dyDescent="0.2">
      <c r="B55" s="24" t="s">
        <v>877</v>
      </c>
      <c r="C55" s="24" t="s">
        <v>878</v>
      </c>
      <c r="D55" s="24" t="s">
        <v>353</v>
      </c>
      <c r="E55" s="28">
        <v>37319</v>
      </c>
      <c r="F55" s="25">
        <v>1138.9012419999999</v>
      </c>
      <c r="G55" s="26">
        <v>0.51034245266301204</v>
      </c>
      <c r="H55" s="24"/>
    </row>
    <row r="56" spans="2:8" x14ac:dyDescent="0.2">
      <c r="B56" s="24" t="s">
        <v>1309</v>
      </c>
      <c r="C56" s="24" t="s">
        <v>1310</v>
      </c>
      <c r="D56" s="24" t="s">
        <v>539</v>
      </c>
      <c r="E56" s="28">
        <v>128668</v>
      </c>
      <c r="F56" s="25">
        <v>1109.954502</v>
      </c>
      <c r="G56" s="26">
        <v>0.49737139798029301</v>
      </c>
      <c r="H56" s="24"/>
    </row>
    <row r="57" spans="2:8" x14ac:dyDescent="0.2">
      <c r="B57" s="24" t="s">
        <v>381</v>
      </c>
      <c r="C57" s="24" t="s">
        <v>382</v>
      </c>
      <c r="D57" s="24" t="s">
        <v>304</v>
      </c>
      <c r="E57" s="28">
        <v>24374</v>
      </c>
      <c r="F57" s="25">
        <v>1107.1645759999999</v>
      </c>
      <c r="G57" s="26">
        <v>0.49612123016496301</v>
      </c>
      <c r="H57" s="24"/>
    </row>
    <row r="58" spans="2:8" x14ac:dyDescent="0.2">
      <c r="B58" s="24" t="s">
        <v>985</v>
      </c>
      <c r="C58" s="24" t="s">
        <v>986</v>
      </c>
      <c r="D58" s="24" t="s">
        <v>276</v>
      </c>
      <c r="E58" s="28">
        <v>153202</v>
      </c>
      <c r="F58" s="25">
        <v>1099.913759</v>
      </c>
      <c r="G58" s="26">
        <v>0.49287213393508</v>
      </c>
      <c r="H58" s="24"/>
    </row>
    <row r="59" spans="2:8" x14ac:dyDescent="0.2">
      <c r="B59" s="24" t="s">
        <v>660</v>
      </c>
      <c r="C59" s="24" t="s">
        <v>661</v>
      </c>
      <c r="D59" s="24" t="s">
        <v>307</v>
      </c>
      <c r="E59" s="28">
        <v>814102</v>
      </c>
      <c r="F59" s="25">
        <v>1098.3050082</v>
      </c>
      <c r="G59" s="26">
        <v>0.492151251562914</v>
      </c>
      <c r="H59" s="24"/>
    </row>
    <row r="60" spans="2:8" x14ac:dyDescent="0.2">
      <c r="B60" s="24" t="s">
        <v>420</v>
      </c>
      <c r="C60" s="24" t="s">
        <v>421</v>
      </c>
      <c r="D60" s="24" t="s">
        <v>283</v>
      </c>
      <c r="E60" s="28">
        <v>7988</v>
      </c>
      <c r="F60" s="25">
        <v>918.54012</v>
      </c>
      <c r="G60" s="26">
        <v>0.41159847792156301</v>
      </c>
      <c r="H60" s="24"/>
    </row>
    <row r="61" spans="2:8" x14ac:dyDescent="0.2">
      <c r="B61" s="24" t="s">
        <v>302</v>
      </c>
      <c r="C61" s="24" t="s">
        <v>303</v>
      </c>
      <c r="D61" s="24" t="s">
        <v>304</v>
      </c>
      <c r="E61" s="28">
        <v>214329</v>
      </c>
      <c r="F61" s="25">
        <v>882.49965750000001</v>
      </c>
      <c r="G61" s="26">
        <v>0.39544872116560398</v>
      </c>
      <c r="H61" s="24"/>
    </row>
    <row r="62" spans="2:8" x14ac:dyDescent="0.2">
      <c r="B62" s="24" t="s">
        <v>1046</v>
      </c>
      <c r="C62" s="24" t="s">
        <v>1047</v>
      </c>
      <c r="D62" s="24" t="s">
        <v>426</v>
      </c>
      <c r="E62" s="28">
        <v>71399</v>
      </c>
      <c r="F62" s="25">
        <v>856.93079799999998</v>
      </c>
      <c r="G62" s="26">
        <v>0.38399129712582403</v>
      </c>
      <c r="H62" s="24"/>
    </row>
    <row r="63" spans="2:8" x14ac:dyDescent="0.2">
      <c r="B63" s="24" t="s">
        <v>1007</v>
      </c>
      <c r="C63" s="24" t="s">
        <v>1008</v>
      </c>
      <c r="D63" s="24" t="s">
        <v>947</v>
      </c>
      <c r="E63" s="28">
        <v>78564</v>
      </c>
      <c r="F63" s="25">
        <v>838.98495600000001</v>
      </c>
      <c r="G63" s="26">
        <v>0.37594975262342301</v>
      </c>
      <c r="H63" s="24"/>
    </row>
    <row r="64" spans="2:8" x14ac:dyDescent="0.2">
      <c r="B64" s="24" t="s">
        <v>869</v>
      </c>
      <c r="C64" s="24" t="s">
        <v>870</v>
      </c>
      <c r="D64" s="24" t="s">
        <v>266</v>
      </c>
      <c r="E64" s="28">
        <v>661865</v>
      </c>
      <c r="F64" s="25">
        <v>772.33026849999999</v>
      </c>
      <c r="G64" s="26">
        <v>0.34608173997598701</v>
      </c>
      <c r="H64" s="24"/>
    </row>
    <row r="65" spans="2:8" x14ac:dyDescent="0.2">
      <c r="B65" s="24" t="s">
        <v>709</v>
      </c>
      <c r="C65" s="24" t="s">
        <v>710</v>
      </c>
      <c r="D65" s="24" t="s">
        <v>493</v>
      </c>
      <c r="E65" s="28">
        <v>78400</v>
      </c>
      <c r="F65" s="25">
        <v>752.2088</v>
      </c>
      <c r="G65" s="26">
        <v>0.337065295699011</v>
      </c>
      <c r="H65" s="24"/>
    </row>
    <row r="66" spans="2:8" x14ac:dyDescent="0.2">
      <c r="B66" s="24" t="s">
        <v>366</v>
      </c>
      <c r="C66" s="24" t="s">
        <v>367</v>
      </c>
      <c r="D66" s="24" t="s">
        <v>276</v>
      </c>
      <c r="E66" s="28">
        <v>209451</v>
      </c>
      <c r="F66" s="25">
        <v>747.32116799999994</v>
      </c>
      <c r="G66" s="26">
        <v>0.33487514434030902</v>
      </c>
      <c r="H66" s="24"/>
    </row>
    <row r="67" spans="2:8" x14ac:dyDescent="0.2">
      <c r="B67" s="24" t="s">
        <v>407</v>
      </c>
      <c r="C67" s="24" t="s">
        <v>408</v>
      </c>
      <c r="D67" s="24" t="s">
        <v>263</v>
      </c>
      <c r="E67" s="28">
        <v>12105</v>
      </c>
      <c r="F67" s="25">
        <v>737.98132499999997</v>
      </c>
      <c r="G67" s="26">
        <v>0.330689954081198</v>
      </c>
      <c r="H67" s="24"/>
    </row>
    <row r="68" spans="2:8" x14ac:dyDescent="0.2">
      <c r="B68" s="24" t="s">
        <v>272</v>
      </c>
      <c r="C68" s="24" t="s">
        <v>273</v>
      </c>
      <c r="D68" s="24" t="s">
        <v>252</v>
      </c>
      <c r="E68" s="28">
        <v>56094</v>
      </c>
      <c r="F68" s="25">
        <v>717.83491800000002</v>
      </c>
      <c r="G68" s="26">
        <v>0.32166233484472101</v>
      </c>
      <c r="H68" s="24"/>
    </row>
    <row r="69" spans="2:8" x14ac:dyDescent="0.2">
      <c r="B69" s="24" t="s">
        <v>316</v>
      </c>
      <c r="C69" s="24" t="s">
        <v>317</v>
      </c>
      <c r="D69" s="24" t="s">
        <v>301</v>
      </c>
      <c r="E69" s="28">
        <v>257003</v>
      </c>
      <c r="F69" s="25">
        <v>693.77959850000002</v>
      </c>
      <c r="G69" s="26">
        <v>0.31088312915023603</v>
      </c>
      <c r="H69" s="24"/>
    </row>
    <row r="70" spans="2:8" x14ac:dyDescent="0.2">
      <c r="B70" s="24" t="s">
        <v>1311</v>
      </c>
      <c r="C70" s="24" t="s">
        <v>1312</v>
      </c>
      <c r="D70" s="24" t="s">
        <v>301</v>
      </c>
      <c r="E70" s="28">
        <v>439624</v>
      </c>
      <c r="F70" s="25">
        <v>693.72667200000001</v>
      </c>
      <c r="G70" s="26">
        <v>0.31085941274812401</v>
      </c>
      <c r="H70" s="24"/>
    </row>
    <row r="71" spans="2:8" x14ac:dyDescent="0.2">
      <c r="B71" s="24" t="s">
        <v>500</v>
      </c>
      <c r="C71" s="24" t="s">
        <v>501</v>
      </c>
      <c r="D71" s="24" t="s">
        <v>263</v>
      </c>
      <c r="E71" s="28">
        <v>35160</v>
      </c>
      <c r="F71" s="25">
        <v>671.09892000000002</v>
      </c>
      <c r="G71" s="26">
        <v>0.30071990106083202</v>
      </c>
      <c r="H71" s="24"/>
    </row>
    <row r="72" spans="2:8" x14ac:dyDescent="0.2">
      <c r="B72" s="24" t="s">
        <v>1313</v>
      </c>
      <c r="C72" s="24" t="s">
        <v>1314</v>
      </c>
      <c r="D72" s="24" t="s">
        <v>353</v>
      </c>
      <c r="E72" s="28">
        <v>129603</v>
      </c>
      <c r="F72" s="25">
        <v>642.44207100000006</v>
      </c>
      <c r="G72" s="26">
        <v>0.28787874674039998</v>
      </c>
      <c r="H72" s="24"/>
    </row>
    <row r="73" spans="2:8" x14ac:dyDescent="0.2">
      <c r="B73" s="24" t="s">
        <v>1315</v>
      </c>
      <c r="C73" s="24" t="s">
        <v>1316</v>
      </c>
      <c r="D73" s="24" t="s">
        <v>670</v>
      </c>
      <c r="E73" s="28">
        <v>149606</v>
      </c>
      <c r="F73" s="25">
        <v>611.14050999999995</v>
      </c>
      <c r="G73" s="26">
        <v>0.27385249510082099</v>
      </c>
      <c r="H73" s="24"/>
    </row>
    <row r="74" spans="2:8" x14ac:dyDescent="0.2">
      <c r="B74" s="24" t="s">
        <v>491</v>
      </c>
      <c r="C74" s="24" t="s">
        <v>492</v>
      </c>
      <c r="D74" s="24" t="s">
        <v>493</v>
      </c>
      <c r="E74" s="28">
        <v>20965</v>
      </c>
      <c r="F74" s="25">
        <v>608.48815999999999</v>
      </c>
      <c r="G74" s="26">
        <v>0.27266397518846802</v>
      </c>
      <c r="H74" s="24"/>
    </row>
    <row r="75" spans="2:8" x14ac:dyDescent="0.2">
      <c r="B75" s="24" t="s">
        <v>1317</v>
      </c>
      <c r="C75" s="24" t="s">
        <v>1318</v>
      </c>
      <c r="D75" s="24" t="s">
        <v>483</v>
      </c>
      <c r="E75" s="28">
        <v>54153</v>
      </c>
      <c r="F75" s="25">
        <v>608.08403699999997</v>
      </c>
      <c r="G75" s="26">
        <v>0.27248288738612703</v>
      </c>
      <c r="H75" s="24"/>
    </row>
    <row r="76" spans="2:8" x14ac:dyDescent="0.2">
      <c r="B76" s="24" t="s">
        <v>1319</v>
      </c>
      <c r="C76" s="24" t="s">
        <v>1320</v>
      </c>
      <c r="D76" s="24" t="s">
        <v>417</v>
      </c>
      <c r="E76" s="28">
        <v>26416</v>
      </c>
      <c r="F76" s="25">
        <v>598.40164800000002</v>
      </c>
      <c r="G76" s="26">
        <v>0.26814420202195899</v>
      </c>
      <c r="H76" s="24"/>
    </row>
    <row r="77" spans="2:8" x14ac:dyDescent="0.2">
      <c r="B77" s="24" t="s">
        <v>701</v>
      </c>
      <c r="C77" s="24" t="s">
        <v>702</v>
      </c>
      <c r="D77" s="24" t="s">
        <v>417</v>
      </c>
      <c r="E77" s="28">
        <v>15337</v>
      </c>
      <c r="F77" s="25">
        <v>598.05097799999999</v>
      </c>
      <c r="G77" s="26">
        <v>0.26798706654675303</v>
      </c>
      <c r="H77" s="24"/>
    </row>
    <row r="78" spans="2:8" x14ac:dyDescent="0.2">
      <c r="B78" s="24" t="s">
        <v>816</v>
      </c>
      <c r="C78" s="24" t="s">
        <v>817</v>
      </c>
      <c r="D78" s="24" t="s">
        <v>252</v>
      </c>
      <c r="E78" s="28">
        <v>212177</v>
      </c>
      <c r="F78" s="25">
        <v>575.16941159999999</v>
      </c>
      <c r="G78" s="26">
        <v>0.25773382044716903</v>
      </c>
      <c r="H78" s="24"/>
    </row>
    <row r="79" spans="2:8" x14ac:dyDescent="0.2">
      <c r="B79" s="24" t="s">
        <v>461</v>
      </c>
      <c r="C79" s="24" t="s">
        <v>462</v>
      </c>
      <c r="D79" s="24" t="s">
        <v>429</v>
      </c>
      <c r="E79" s="28">
        <v>49721</v>
      </c>
      <c r="F79" s="25">
        <v>570.896522</v>
      </c>
      <c r="G79" s="26">
        <v>0.25581913559302599</v>
      </c>
      <c r="H79" s="24"/>
    </row>
    <row r="80" spans="2:8" x14ac:dyDescent="0.2">
      <c r="B80" s="24" t="s">
        <v>1190</v>
      </c>
      <c r="C80" s="24" t="s">
        <v>1191</v>
      </c>
      <c r="D80" s="24" t="s">
        <v>429</v>
      </c>
      <c r="E80" s="28">
        <v>49814</v>
      </c>
      <c r="F80" s="25">
        <v>554.38000599999998</v>
      </c>
      <c r="G80" s="26">
        <v>0.248418073082912</v>
      </c>
      <c r="H80" s="24"/>
    </row>
    <row r="81" spans="2:8" x14ac:dyDescent="0.2">
      <c r="B81" s="24" t="s">
        <v>1321</v>
      </c>
      <c r="C81" s="24" t="s">
        <v>1322</v>
      </c>
      <c r="D81" s="24" t="s">
        <v>288</v>
      </c>
      <c r="E81" s="28">
        <v>69386</v>
      </c>
      <c r="F81" s="25">
        <v>543.04952900000001</v>
      </c>
      <c r="G81" s="26">
        <v>0.243340878319416</v>
      </c>
      <c r="H81" s="24"/>
    </row>
    <row r="82" spans="2:8" x14ac:dyDescent="0.2">
      <c r="B82" s="24" t="s">
        <v>1126</v>
      </c>
      <c r="C82" s="24" t="s">
        <v>1127</v>
      </c>
      <c r="D82" s="24" t="s">
        <v>493</v>
      </c>
      <c r="E82" s="28">
        <v>72759</v>
      </c>
      <c r="F82" s="25">
        <v>535.03330649999998</v>
      </c>
      <c r="G82" s="26">
        <v>0.23974880334322399</v>
      </c>
      <c r="H82" s="24"/>
    </row>
    <row r="83" spans="2:8" x14ac:dyDescent="0.2">
      <c r="B83" s="24" t="s">
        <v>965</v>
      </c>
      <c r="C83" s="24" t="s">
        <v>966</v>
      </c>
      <c r="D83" s="24" t="s">
        <v>293</v>
      </c>
      <c r="E83" s="28">
        <v>48413</v>
      </c>
      <c r="F83" s="25">
        <v>527.55646100000001</v>
      </c>
      <c r="G83" s="26">
        <v>0.23639842358250601</v>
      </c>
      <c r="H83" s="24"/>
    </row>
    <row r="84" spans="2:8" x14ac:dyDescent="0.2">
      <c r="B84" s="24" t="s">
        <v>596</v>
      </c>
      <c r="C84" s="24" t="s">
        <v>597</v>
      </c>
      <c r="D84" s="24" t="s">
        <v>539</v>
      </c>
      <c r="E84" s="28">
        <v>21143</v>
      </c>
      <c r="F84" s="25">
        <v>503.647403</v>
      </c>
      <c r="G84" s="26">
        <v>0.22568475776969699</v>
      </c>
      <c r="H84" s="24"/>
    </row>
    <row r="85" spans="2:8" x14ac:dyDescent="0.2">
      <c r="B85" s="24" t="s">
        <v>1157</v>
      </c>
      <c r="C85" s="24" t="s">
        <v>1158</v>
      </c>
      <c r="D85" s="24" t="s">
        <v>493</v>
      </c>
      <c r="E85" s="28">
        <v>43272</v>
      </c>
      <c r="F85" s="25">
        <v>493.776792</v>
      </c>
      <c r="G85" s="26">
        <v>0.22126172999410401</v>
      </c>
      <c r="H85" s="24"/>
    </row>
    <row r="86" spans="2:8" x14ac:dyDescent="0.2">
      <c r="B86" s="24" t="s">
        <v>800</v>
      </c>
      <c r="C86" s="24" t="s">
        <v>801</v>
      </c>
      <c r="D86" s="24" t="s">
        <v>252</v>
      </c>
      <c r="E86" s="28">
        <v>1592123</v>
      </c>
      <c r="F86" s="25">
        <v>490.05545940000002</v>
      </c>
      <c r="G86" s="26">
        <v>0.219594198222057</v>
      </c>
      <c r="H86" s="24"/>
    </row>
    <row r="87" spans="2:8" x14ac:dyDescent="0.2">
      <c r="B87" s="24" t="s">
        <v>340</v>
      </c>
      <c r="C87" s="24" t="s">
        <v>341</v>
      </c>
      <c r="D87" s="24" t="s">
        <v>342</v>
      </c>
      <c r="E87" s="28">
        <v>199129</v>
      </c>
      <c r="F87" s="25">
        <v>484.38129249999997</v>
      </c>
      <c r="G87" s="26">
        <v>0.21705160001794899</v>
      </c>
      <c r="H87" s="24"/>
    </row>
    <row r="88" spans="2:8" x14ac:dyDescent="0.2">
      <c r="B88" s="24" t="s">
        <v>1323</v>
      </c>
      <c r="C88" s="24" t="s">
        <v>1324</v>
      </c>
      <c r="D88" s="24" t="s">
        <v>397</v>
      </c>
      <c r="E88" s="28">
        <v>319817</v>
      </c>
      <c r="F88" s="25">
        <v>474.12870249999997</v>
      </c>
      <c r="G88" s="26">
        <v>0.21245740718209</v>
      </c>
      <c r="H88" s="24"/>
    </row>
    <row r="89" spans="2:8" x14ac:dyDescent="0.2">
      <c r="B89" s="24" t="s">
        <v>975</v>
      </c>
      <c r="C89" s="24" t="s">
        <v>976</v>
      </c>
      <c r="D89" s="24" t="s">
        <v>350</v>
      </c>
      <c r="E89" s="28">
        <v>130011</v>
      </c>
      <c r="F89" s="25">
        <v>465.63439649999998</v>
      </c>
      <c r="G89" s="26">
        <v>0.208651102651156</v>
      </c>
      <c r="H89" s="24"/>
    </row>
    <row r="90" spans="2:8" x14ac:dyDescent="0.2">
      <c r="B90" s="24" t="s">
        <v>459</v>
      </c>
      <c r="C90" s="24" t="s">
        <v>460</v>
      </c>
      <c r="D90" s="24" t="s">
        <v>438</v>
      </c>
      <c r="E90" s="28">
        <v>3437</v>
      </c>
      <c r="F90" s="25">
        <v>456.15863999999999</v>
      </c>
      <c r="G90" s="26">
        <v>0.20440500945649501</v>
      </c>
      <c r="H90" s="24"/>
    </row>
    <row r="91" spans="2:8" x14ac:dyDescent="0.2">
      <c r="B91" s="24" t="s">
        <v>909</v>
      </c>
      <c r="C91" s="24" t="s">
        <v>910</v>
      </c>
      <c r="D91" s="24" t="s">
        <v>301</v>
      </c>
      <c r="E91" s="28">
        <v>265013</v>
      </c>
      <c r="F91" s="25">
        <v>451.7941624</v>
      </c>
      <c r="G91" s="26">
        <v>0.202449283954725</v>
      </c>
      <c r="H91" s="24"/>
    </row>
    <row r="92" spans="2:8" x14ac:dyDescent="0.2">
      <c r="B92" s="24" t="s">
        <v>289</v>
      </c>
      <c r="C92" s="24" t="s">
        <v>290</v>
      </c>
      <c r="D92" s="24" t="s">
        <v>276</v>
      </c>
      <c r="E92" s="28">
        <v>2781</v>
      </c>
      <c r="F92" s="25">
        <v>442.17899999999997</v>
      </c>
      <c r="G92" s="26">
        <v>0.19814072287760101</v>
      </c>
      <c r="H92" s="24"/>
    </row>
    <row r="93" spans="2:8" x14ac:dyDescent="0.2">
      <c r="B93" s="24" t="s">
        <v>537</v>
      </c>
      <c r="C93" s="24" t="s">
        <v>538</v>
      </c>
      <c r="D93" s="24" t="s">
        <v>539</v>
      </c>
      <c r="E93" s="28">
        <v>56577</v>
      </c>
      <c r="F93" s="25">
        <v>429.22141049999999</v>
      </c>
      <c r="G93" s="26">
        <v>0.192334417851173</v>
      </c>
      <c r="H93" s="24"/>
    </row>
    <row r="94" spans="2:8" x14ac:dyDescent="0.2">
      <c r="B94" s="24" t="s">
        <v>699</v>
      </c>
      <c r="C94" s="24" t="s">
        <v>700</v>
      </c>
      <c r="D94" s="24" t="s">
        <v>293</v>
      </c>
      <c r="E94" s="28">
        <v>1393</v>
      </c>
      <c r="F94" s="25">
        <v>418.94475</v>
      </c>
      <c r="G94" s="26">
        <v>0.187729439007226</v>
      </c>
      <c r="H94" s="24"/>
    </row>
    <row r="95" spans="2:8" x14ac:dyDescent="0.2">
      <c r="B95" s="24" t="s">
        <v>1325</v>
      </c>
      <c r="C95" s="24" t="s">
        <v>1326</v>
      </c>
      <c r="D95" s="24" t="s">
        <v>417</v>
      </c>
      <c r="E95" s="28">
        <v>15790</v>
      </c>
      <c r="F95" s="25">
        <v>412.38742999999999</v>
      </c>
      <c r="G95" s="26">
        <v>0.184791099273905</v>
      </c>
      <c r="H95" s="24"/>
    </row>
    <row r="96" spans="2:8" x14ac:dyDescent="0.2">
      <c r="B96" s="24" t="s">
        <v>465</v>
      </c>
      <c r="C96" s="24" t="s">
        <v>466</v>
      </c>
      <c r="D96" s="24" t="s">
        <v>417</v>
      </c>
      <c r="E96" s="28">
        <v>1131</v>
      </c>
      <c r="F96" s="25">
        <v>408.40410000000003</v>
      </c>
      <c r="G96" s="26">
        <v>0.18300616628147501</v>
      </c>
      <c r="H96" s="24"/>
    </row>
    <row r="97" spans="2:8" x14ac:dyDescent="0.2">
      <c r="B97" s="24" t="s">
        <v>1102</v>
      </c>
      <c r="C97" s="24" t="s">
        <v>1103</v>
      </c>
      <c r="D97" s="24" t="s">
        <v>283</v>
      </c>
      <c r="E97" s="28">
        <v>276286</v>
      </c>
      <c r="F97" s="25">
        <v>401.58170100000001</v>
      </c>
      <c r="G97" s="26">
        <v>0.17994904446063001</v>
      </c>
      <c r="H97" s="24"/>
    </row>
    <row r="98" spans="2:8" x14ac:dyDescent="0.2">
      <c r="B98" s="24" t="s">
        <v>893</v>
      </c>
      <c r="C98" s="24" t="s">
        <v>894</v>
      </c>
      <c r="D98" s="24" t="s">
        <v>493</v>
      </c>
      <c r="E98" s="28">
        <v>13581</v>
      </c>
      <c r="F98" s="25">
        <v>392.34150899999997</v>
      </c>
      <c r="G98" s="26">
        <v>0.17580850788515301</v>
      </c>
      <c r="H98" s="24"/>
    </row>
    <row r="99" spans="2:8" x14ac:dyDescent="0.2">
      <c r="B99" s="24" t="s">
        <v>1186</v>
      </c>
      <c r="C99" s="24" t="s">
        <v>1187</v>
      </c>
      <c r="D99" s="24" t="s">
        <v>432</v>
      </c>
      <c r="E99" s="28">
        <v>75510</v>
      </c>
      <c r="F99" s="25">
        <v>380.91019499999999</v>
      </c>
      <c r="G99" s="26">
        <v>0.170686127990583</v>
      </c>
      <c r="H99" s="24"/>
    </row>
    <row r="100" spans="2:8" x14ac:dyDescent="0.2">
      <c r="B100" s="24" t="s">
        <v>1299</v>
      </c>
      <c r="C100" s="24" t="s">
        <v>1300</v>
      </c>
      <c r="D100" s="24" t="s">
        <v>539</v>
      </c>
      <c r="E100" s="28">
        <v>269184</v>
      </c>
      <c r="F100" s="25">
        <v>380.49158399999999</v>
      </c>
      <c r="G100" s="26">
        <v>0.170498548105187</v>
      </c>
      <c r="H100" s="24"/>
    </row>
    <row r="101" spans="2:8" x14ac:dyDescent="0.2">
      <c r="B101" s="24" t="s">
        <v>959</v>
      </c>
      <c r="C101" s="24" t="s">
        <v>960</v>
      </c>
      <c r="D101" s="24" t="s">
        <v>298</v>
      </c>
      <c r="E101" s="28">
        <v>33831</v>
      </c>
      <c r="F101" s="25">
        <v>361.04443199999997</v>
      </c>
      <c r="G101" s="26">
        <v>0.16178426552914801</v>
      </c>
      <c r="H101" s="24"/>
    </row>
    <row r="102" spans="2:8" x14ac:dyDescent="0.2">
      <c r="B102" s="24" t="s">
        <v>1277</v>
      </c>
      <c r="C102" s="24" t="s">
        <v>1278</v>
      </c>
      <c r="D102" s="24" t="s">
        <v>347</v>
      </c>
      <c r="E102" s="28">
        <v>58290</v>
      </c>
      <c r="F102" s="25">
        <v>346.56319500000001</v>
      </c>
      <c r="G102" s="26">
        <v>0.15529521297952001</v>
      </c>
      <c r="H102" s="24"/>
    </row>
    <row r="103" spans="2:8" x14ac:dyDescent="0.2">
      <c r="B103" s="24" t="s">
        <v>1034</v>
      </c>
      <c r="C103" s="24" t="s">
        <v>1035</v>
      </c>
      <c r="D103" s="24" t="s">
        <v>288</v>
      </c>
      <c r="E103" s="28">
        <v>14703</v>
      </c>
      <c r="F103" s="25">
        <v>339.63929999999999</v>
      </c>
      <c r="G103" s="26">
        <v>0.15219261072923501</v>
      </c>
      <c r="H103" s="24"/>
    </row>
    <row r="104" spans="2:8" x14ac:dyDescent="0.2">
      <c r="B104" s="24" t="s">
        <v>999</v>
      </c>
      <c r="C104" s="24" t="s">
        <v>1000</v>
      </c>
      <c r="D104" s="24" t="s">
        <v>293</v>
      </c>
      <c r="E104" s="28">
        <v>38558</v>
      </c>
      <c r="F104" s="25">
        <v>338.25005499999997</v>
      </c>
      <c r="G104" s="26">
        <v>0.151570089061417</v>
      </c>
      <c r="H104" s="24"/>
    </row>
    <row r="105" spans="2:8" x14ac:dyDescent="0.2">
      <c r="B105" s="24" t="s">
        <v>1011</v>
      </c>
      <c r="C105" s="24" t="s">
        <v>1012</v>
      </c>
      <c r="D105" s="24" t="s">
        <v>293</v>
      </c>
      <c r="E105" s="28">
        <v>6692</v>
      </c>
      <c r="F105" s="25">
        <v>332.92700000000002</v>
      </c>
      <c r="G105" s="26">
        <v>0.149184824348219</v>
      </c>
      <c r="H105" s="24"/>
    </row>
    <row r="106" spans="2:8" x14ac:dyDescent="0.2">
      <c r="B106" s="24" t="s">
        <v>524</v>
      </c>
      <c r="C106" s="24" t="s">
        <v>525</v>
      </c>
      <c r="D106" s="24" t="s">
        <v>506</v>
      </c>
      <c r="E106" s="28">
        <v>24811</v>
      </c>
      <c r="F106" s="25">
        <v>327.654066</v>
      </c>
      <c r="G106" s="26">
        <v>0.14682201889059701</v>
      </c>
      <c r="H106" s="24"/>
    </row>
    <row r="107" spans="2:8" x14ac:dyDescent="0.2">
      <c r="B107" s="24" t="s">
        <v>654</v>
      </c>
      <c r="C107" s="24" t="s">
        <v>655</v>
      </c>
      <c r="D107" s="24" t="s">
        <v>426</v>
      </c>
      <c r="E107" s="28">
        <v>113025</v>
      </c>
      <c r="F107" s="25">
        <v>307.25846250000001</v>
      </c>
      <c r="G107" s="26">
        <v>0.13768273452608601</v>
      </c>
      <c r="H107" s="24"/>
    </row>
    <row r="108" spans="2:8" x14ac:dyDescent="0.2">
      <c r="B108" s="24" t="s">
        <v>1327</v>
      </c>
      <c r="C108" s="24" t="s">
        <v>1328</v>
      </c>
      <c r="D108" s="24" t="s">
        <v>288</v>
      </c>
      <c r="E108" s="28">
        <v>9927</v>
      </c>
      <c r="F108" s="25">
        <v>306.51597900000002</v>
      </c>
      <c r="G108" s="26">
        <v>0.137350027144201</v>
      </c>
      <c r="H108" s="24"/>
    </row>
    <row r="109" spans="2:8" x14ac:dyDescent="0.2">
      <c r="B109" s="24" t="s">
        <v>761</v>
      </c>
      <c r="C109" s="24" t="s">
        <v>762</v>
      </c>
      <c r="D109" s="24" t="s">
        <v>353</v>
      </c>
      <c r="E109" s="28">
        <v>24521</v>
      </c>
      <c r="F109" s="25">
        <v>305.53165999999999</v>
      </c>
      <c r="G109" s="26">
        <v>0.136908953103593</v>
      </c>
      <c r="H109" s="24"/>
    </row>
    <row r="110" spans="2:8" x14ac:dyDescent="0.2">
      <c r="B110" s="24" t="s">
        <v>853</v>
      </c>
      <c r="C110" s="24" t="s">
        <v>854</v>
      </c>
      <c r="D110" s="24" t="s">
        <v>266</v>
      </c>
      <c r="E110" s="28">
        <v>24338</v>
      </c>
      <c r="F110" s="25">
        <v>291.98298599999998</v>
      </c>
      <c r="G110" s="26">
        <v>0.13083778269433999</v>
      </c>
      <c r="H110" s="24"/>
    </row>
    <row r="111" spans="2:8" x14ac:dyDescent="0.2">
      <c r="B111" s="24" t="s">
        <v>1329</v>
      </c>
      <c r="C111" s="24" t="s">
        <v>1330</v>
      </c>
      <c r="D111" s="24" t="s">
        <v>266</v>
      </c>
      <c r="E111" s="28">
        <v>791867</v>
      </c>
      <c r="F111" s="25">
        <v>287.60609440000002</v>
      </c>
      <c r="G111" s="26">
        <v>0.12887649447038299</v>
      </c>
      <c r="H111" s="24"/>
    </row>
    <row r="112" spans="2:8" x14ac:dyDescent="0.2">
      <c r="B112" s="24" t="s">
        <v>531</v>
      </c>
      <c r="C112" s="24" t="s">
        <v>532</v>
      </c>
      <c r="D112" s="24" t="s">
        <v>252</v>
      </c>
      <c r="E112" s="28">
        <v>1216858</v>
      </c>
      <c r="F112" s="25">
        <v>279.02553940000001</v>
      </c>
      <c r="G112" s="26">
        <v>0.12503154170150199</v>
      </c>
      <c r="H112" s="24"/>
    </row>
    <row r="113" spans="2:8" x14ac:dyDescent="0.2">
      <c r="B113" s="24" t="s">
        <v>961</v>
      </c>
      <c r="C113" s="24" t="s">
        <v>962</v>
      </c>
      <c r="D113" s="24" t="s">
        <v>293</v>
      </c>
      <c r="E113" s="28">
        <v>29664</v>
      </c>
      <c r="F113" s="25">
        <v>262.34841599999999</v>
      </c>
      <c r="G113" s="26">
        <v>0.11755851090177</v>
      </c>
      <c r="H113" s="24"/>
    </row>
    <row r="114" spans="2:8" x14ac:dyDescent="0.2">
      <c r="B114" s="24" t="s">
        <v>721</v>
      </c>
      <c r="C114" s="24" t="s">
        <v>722</v>
      </c>
      <c r="D114" s="24" t="s">
        <v>530</v>
      </c>
      <c r="E114" s="28">
        <v>6579</v>
      </c>
      <c r="F114" s="25">
        <v>251.14674600000001</v>
      </c>
      <c r="G114" s="26">
        <v>0.112539034646144</v>
      </c>
      <c r="H114" s="24"/>
    </row>
    <row r="115" spans="2:8" x14ac:dyDescent="0.2">
      <c r="B115" s="24" t="s">
        <v>1032</v>
      </c>
      <c r="C115" s="24" t="s">
        <v>1033</v>
      </c>
      <c r="D115" s="24" t="s">
        <v>435</v>
      </c>
      <c r="E115" s="28">
        <v>2528</v>
      </c>
      <c r="F115" s="25">
        <v>219.54416000000001</v>
      </c>
      <c r="G115" s="26">
        <v>9.8377893490997501E-2</v>
      </c>
      <c r="H115" s="24"/>
    </row>
    <row r="116" spans="2:8" x14ac:dyDescent="0.2">
      <c r="B116" s="24" t="s">
        <v>1331</v>
      </c>
      <c r="C116" s="24" t="s">
        <v>1332</v>
      </c>
      <c r="D116" s="24" t="s">
        <v>293</v>
      </c>
      <c r="E116" s="28">
        <v>67881</v>
      </c>
      <c r="F116" s="25">
        <v>211.58507700000001</v>
      </c>
      <c r="G116" s="26">
        <v>9.4811422765199105E-2</v>
      </c>
      <c r="H116" s="24"/>
    </row>
    <row r="117" spans="2:8" x14ac:dyDescent="0.2">
      <c r="B117" s="24" t="s">
        <v>1285</v>
      </c>
      <c r="C117" s="24" t="s">
        <v>1286</v>
      </c>
      <c r="D117" s="24" t="s">
        <v>509</v>
      </c>
      <c r="E117" s="28">
        <v>35615</v>
      </c>
      <c r="F117" s="25">
        <v>209.807965</v>
      </c>
      <c r="G117" s="26">
        <v>9.4015097620145899E-2</v>
      </c>
      <c r="H117" s="24"/>
    </row>
    <row r="118" spans="2:8" x14ac:dyDescent="0.2">
      <c r="B118" s="24" t="s">
        <v>1365</v>
      </c>
      <c r="C118" s="24" t="s">
        <v>1333</v>
      </c>
      <c r="D118" s="24" t="s">
        <v>315</v>
      </c>
      <c r="E118" s="28">
        <v>884320</v>
      </c>
      <c r="F118" s="25">
        <v>205.78126399999999</v>
      </c>
      <c r="G118" s="26">
        <v>9.2210730051916795E-2</v>
      </c>
      <c r="H118" s="24"/>
    </row>
    <row r="119" spans="2:8" x14ac:dyDescent="0.2">
      <c r="B119" s="24" t="s">
        <v>713</v>
      </c>
      <c r="C119" s="24" t="s">
        <v>714</v>
      </c>
      <c r="D119" s="24" t="s">
        <v>426</v>
      </c>
      <c r="E119" s="28">
        <v>102990</v>
      </c>
      <c r="F119" s="25">
        <v>205.34146200000001</v>
      </c>
      <c r="G119" s="26">
        <v>9.2013654464421696E-2</v>
      </c>
      <c r="H119" s="24"/>
    </row>
    <row r="120" spans="2:8" x14ac:dyDescent="0.2">
      <c r="B120" s="24" t="s">
        <v>989</v>
      </c>
      <c r="C120" s="24" t="s">
        <v>990</v>
      </c>
      <c r="D120" s="24" t="s">
        <v>417</v>
      </c>
      <c r="E120" s="28">
        <v>5099</v>
      </c>
      <c r="F120" s="25">
        <v>196.15853000000001</v>
      </c>
      <c r="G120" s="26">
        <v>8.7898776135473797E-2</v>
      </c>
      <c r="H120" s="24"/>
    </row>
    <row r="121" spans="2:8" x14ac:dyDescent="0.2">
      <c r="B121" s="24" t="s">
        <v>933</v>
      </c>
      <c r="C121" s="24" t="s">
        <v>934</v>
      </c>
      <c r="D121" s="24" t="s">
        <v>836</v>
      </c>
      <c r="E121" s="28">
        <v>4297</v>
      </c>
      <c r="F121" s="25">
        <v>195.54357899999999</v>
      </c>
      <c r="G121" s="26">
        <v>8.7623216157106901E-2</v>
      </c>
      <c r="H121" s="24"/>
    </row>
    <row r="122" spans="2:8" x14ac:dyDescent="0.2">
      <c r="B122" s="24" t="s">
        <v>755</v>
      </c>
      <c r="C122" s="24" t="s">
        <v>756</v>
      </c>
      <c r="D122" s="24" t="s">
        <v>293</v>
      </c>
      <c r="E122" s="28">
        <v>7423</v>
      </c>
      <c r="F122" s="25">
        <v>190.08818400000001</v>
      </c>
      <c r="G122" s="26">
        <v>8.5178649796237502E-2</v>
      </c>
      <c r="H122" s="24"/>
    </row>
    <row r="123" spans="2:8" x14ac:dyDescent="0.2">
      <c r="B123" s="24" t="s">
        <v>1072</v>
      </c>
      <c r="C123" s="24" t="s">
        <v>1073</v>
      </c>
      <c r="D123" s="24" t="s">
        <v>483</v>
      </c>
      <c r="E123" s="28">
        <v>22831</v>
      </c>
      <c r="F123" s="25">
        <v>187.2712775</v>
      </c>
      <c r="G123" s="26">
        <v>8.3916391999760004E-2</v>
      </c>
      <c r="H123" s="24"/>
    </row>
    <row r="124" spans="2:8" x14ac:dyDescent="0.2">
      <c r="B124" s="24" t="s">
        <v>1235</v>
      </c>
      <c r="C124" s="24" t="s">
        <v>1236</v>
      </c>
      <c r="D124" s="24" t="s">
        <v>310</v>
      </c>
      <c r="E124" s="28">
        <v>51988</v>
      </c>
      <c r="F124" s="25">
        <v>185.311226</v>
      </c>
      <c r="G124" s="26">
        <v>8.3038091535270905E-2</v>
      </c>
      <c r="H124" s="24"/>
    </row>
    <row r="125" spans="2:8" x14ac:dyDescent="0.2">
      <c r="B125" s="24" t="s">
        <v>279</v>
      </c>
      <c r="C125" s="24" t="s">
        <v>280</v>
      </c>
      <c r="D125" s="24" t="s">
        <v>252</v>
      </c>
      <c r="E125" s="28">
        <v>7450</v>
      </c>
      <c r="F125" s="25">
        <v>158.26779999999999</v>
      </c>
      <c r="G125" s="26">
        <v>7.0919913203131901E-2</v>
      </c>
      <c r="H125" s="24"/>
    </row>
    <row r="126" spans="2:8" x14ac:dyDescent="0.2">
      <c r="B126" s="24" t="s">
        <v>1334</v>
      </c>
      <c r="C126" s="24" t="s">
        <v>1335</v>
      </c>
      <c r="D126" s="24" t="s">
        <v>347</v>
      </c>
      <c r="E126" s="28">
        <v>11640</v>
      </c>
      <c r="F126" s="25">
        <v>148.96871999999999</v>
      </c>
      <c r="G126" s="26">
        <v>6.6752988873173505E-2</v>
      </c>
      <c r="H126" s="24"/>
    </row>
    <row r="127" spans="2:8" x14ac:dyDescent="0.2">
      <c r="B127" s="24" t="s">
        <v>1336</v>
      </c>
      <c r="C127" s="24" t="s">
        <v>1337</v>
      </c>
      <c r="D127" s="24" t="s">
        <v>315</v>
      </c>
      <c r="E127" s="28">
        <v>136204</v>
      </c>
      <c r="F127" s="25">
        <v>148.46235999999999</v>
      </c>
      <c r="G127" s="26">
        <v>6.6526088598768102E-2</v>
      </c>
      <c r="H127" s="24"/>
    </row>
    <row r="128" spans="2:8" x14ac:dyDescent="0.2">
      <c r="B128" s="24" t="s">
        <v>286</v>
      </c>
      <c r="C128" s="24" t="s">
        <v>287</v>
      </c>
      <c r="D128" s="24" t="s">
        <v>288</v>
      </c>
      <c r="E128" s="28">
        <v>42791</v>
      </c>
      <c r="F128" s="25">
        <v>128.41579100000001</v>
      </c>
      <c r="G128" s="26">
        <v>5.7543206840756797E-2</v>
      </c>
      <c r="H128" s="24"/>
    </row>
    <row r="129" spans="2:9" x14ac:dyDescent="0.2">
      <c r="B129" s="24" t="s">
        <v>1338</v>
      </c>
      <c r="C129" s="24" t="s">
        <v>1339</v>
      </c>
      <c r="D129" s="24" t="s">
        <v>315</v>
      </c>
      <c r="E129" s="28">
        <v>884320</v>
      </c>
      <c r="F129" s="25">
        <v>114.607872</v>
      </c>
      <c r="G129" s="26">
        <v>5.1355868563508503E-2</v>
      </c>
      <c r="H129" s="24"/>
    </row>
    <row r="130" spans="2:9" x14ac:dyDescent="0.2">
      <c r="B130" s="24" t="s">
        <v>453</v>
      </c>
      <c r="C130" s="24" t="s">
        <v>454</v>
      </c>
      <c r="D130" s="24" t="s">
        <v>301</v>
      </c>
      <c r="E130" s="28">
        <v>11192</v>
      </c>
      <c r="F130" s="25">
        <v>111.310036</v>
      </c>
      <c r="G130" s="26">
        <v>4.9878105917675497E-2</v>
      </c>
      <c r="H130" s="24"/>
    </row>
    <row r="131" spans="2:9" x14ac:dyDescent="0.2">
      <c r="B131" s="24" t="s">
        <v>1340</v>
      </c>
      <c r="C131" s="24" t="s">
        <v>1341</v>
      </c>
      <c r="D131" s="24" t="s">
        <v>539</v>
      </c>
      <c r="E131" s="28">
        <v>129727</v>
      </c>
      <c r="F131" s="25">
        <v>110.3587589</v>
      </c>
      <c r="G131" s="26">
        <v>4.9451837975844501E-2</v>
      </c>
      <c r="H131" s="24"/>
    </row>
    <row r="132" spans="2:9" x14ac:dyDescent="0.2">
      <c r="B132" s="24" t="s">
        <v>638</v>
      </c>
      <c r="C132" s="24" t="s">
        <v>639</v>
      </c>
      <c r="D132" s="24" t="s">
        <v>417</v>
      </c>
      <c r="E132" s="28">
        <v>7997</v>
      </c>
      <c r="F132" s="25">
        <v>104.504796</v>
      </c>
      <c r="G132" s="26">
        <v>4.6828673056875797E-2</v>
      </c>
      <c r="H132" s="24"/>
    </row>
    <row r="133" spans="2:9" x14ac:dyDescent="0.2">
      <c r="B133" s="24" t="s">
        <v>891</v>
      </c>
      <c r="C133" s="24" t="s">
        <v>892</v>
      </c>
      <c r="D133" s="24" t="s">
        <v>509</v>
      </c>
      <c r="E133" s="28">
        <v>11956</v>
      </c>
      <c r="F133" s="25">
        <v>102.391184</v>
      </c>
      <c r="G133" s="26">
        <v>4.5881562023645399E-2</v>
      </c>
      <c r="H133" s="24"/>
    </row>
    <row r="134" spans="2:9" x14ac:dyDescent="0.2">
      <c r="B134" s="24" t="s">
        <v>1342</v>
      </c>
      <c r="C134" s="24" t="s">
        <v>1343</v>
      </c>
      <c r="D134" s="24" t="s">
        <v>266</v>
      </c>
      <c r="E134" s="28">
        <v>10082</v>
      </c>
      <c r="F134" s="25">
        <v>100.341105</v>
      </c>
      <c r="G134" s="26">
        <v>4.49629201726841E-2</v>
      </c>
      <c r="H134" s="24"/>
    </row>
    <row r="135" spans="2:9" x14ac:dyDescent="0.2">
      <c r="B135" s="24" t="s">
        <v>424</v>
      </c>
      <c r="C135" s="24" t="s">
        <v>425</v>
      </c>
      <c r="D135" s="24" t="s">
        <v>426</v>
      </c>
      <c r="E135" s="28">
        <v>47180</v>
      </c>
      <c r="F135" s="25">
        <v>83.079262</v>
      </c>
      <c r="G135" s="26">
        <v>3.7227876106322597E-2</v>
      </c>
      <c r="H135" s="24"/>
    </row>
    <row r="136" spans="2:9" x14ac:dyDescent="0.2">
      <c r="B136" s="24" t="s">
        <v>1188</v>
      </c>
      <c r="C136" s="24" t="s">
        <v>1189</v>
      </c>
      <c r="D136" s="24" t="s">
        <v>255</v>
      </c>
      <c r="E136" s="28">
        <v>8137</v>
      </c>
      <c r="F136" s="25">
        <v>74.547125500000007</v>
      </c>
      <c r="G136" s="26">
        <v>3.34046197015627E-2</v>
      </c>
      <c r="H136" s="24"/>
    </row>
    <row r="137" spans="2:9" x14ac:dyDescent="0.2">
      <c r="B137" s="24" t="s">
        <v>1344</v>
      </c>
      <c r="C137" s="24" t="s">
        <v>1345</v>
      </c>
      <c r="D137" s="24" t="s">
        <v>255</v>
      </c>
      <c r="E137" s="28">
        <v>6301</v>
      </c>
      <c r="F137" s="25">
        <v>74.465217999999993</v>
      </c>
      <c r="G137" s="26">
        <v>3.3367916892837898E-2</v>
      </c>
      <c r="H137" s="24"/>
    </row>
    <row r="138" spans="2:9" x14ac:dyDescent="0.2">
      <c r="B138" s="24" t="s">
        <v>1178</v>
      </c>
      <c r="C138" s="24" t="s">
        <v>1179</v>
      </c>
      <c r="D138" s="24" t="s">
        <v>631</v>
      </c>
      <c r="E138" s="28">
        <v>15571</v>
      </c>
      <c r="F138" s="25">
        <v>68.060840999999996</v>
      </c>
      <c r="G138" s="26">
        <v>3.0498111026072E-2</v>
      </c>
      <c r="H138" s="24"/>
    </row>
    <row r="139" spans="2:9" x14ac:dyDescent="0.2">
      <c r="B139" s="24" t="s">
        <v>1239</v>
      </c>
      <c r="C139" s="24" t="s">
        <v>1240</v>
      </c>
      <c r="D139" s="24" t="s">
        <v>631</v>
      </c>
      <c r="E139" s="28">
        <v>229150</v>
      </c>
      <c r="F139" s="25">
        <v>64.711960000000005</v>
      </c>
      <c r="G139" s="26">
        <v>2.8997475079609002E-2</v>
      </c>
      <c r="H139" s="24"/>
    </row>
    <row r="140" spans="2:9" x14ac:dyDescent="0.2">
      <c r="B140" s="24" t="s">
        <v>1215</v>
      </c>
      <c r="C140" s="24" t="s">
        <v>1216</v>
      </c>
      <c r="D140" s="24" t="s">
        <v>435</v>
      </c>
      <c r="E140" s="28">
        <v>21181</v>
      </c>
      <c r="F140" s="25">
        <v>61.403719000000002</v>
      </c>
      <c r="G140" s="26">
        <v>2.75150499459113E-2</v>
      </c>
      <c r="H140" s="24"/>
    </row>
    <row r="141" spans="2:9" x14ac:dyDescent="0.2">
      <c r="B141" s="24" t="s">
        <v>871</v>
      </c>
      <c r="C141" s="24" t="s">
        <v>872</v>
      </c>
      <c r="D141" s="24" t="s">
        <v>283</v>
      </c>
      <c r="E141" s="28">
        <v>39229</v>
      </c>
      <c r="F141" s="25">
        <v>60.318510400000001</v>
      </c>
      <c r="G141" s="26">
        <v>2.7028767204132501E-2</v>
      </c>
      <c r="H141" s="24"/>
    </row>
    <row r="142" spans="2:9" x14ac:dyDescent="0.2">
      <c r="B142" s="24" t="s">
        <v>1346</v>
      </c>
      <c r="C142" s="24" t="s">
        <v>1347</v>
      </c>
      <c r="D142" s="24" t="s">
        <v>417</v>
      </c>
      <c r="E142" s="28">
        <v>49446</v>
      </c>
      <c r="F142" s="25">
        <v>56.650282199999999</v>
      </c>
      <c r="G142" s="26">
        <v>2.5385031551313199E-2</v>
      </c>
      <c r="H142" s="24"/>
    </row>
    <row r="143" spans="2:9" x14ac:dyDescent="0.2">
      <c r="B143" s="24" t="s">
        <v>1024</v>
      </c>
      <c r="C143" s="24" t="s">
        <v>1025</v>
      </c>
      <c r="D143" s="24" t="s">
        <v>301</v>
      </c>
      <c r="E143" s="28">
        <v>7052</v>
      </c>
      <c r="F143" s="25">
        <v>36.811439999999997</v>
      </c>
      <c r="G143" s="26">
        <v>1.6495232319412401E-2</v>
      </c>
      <c r="H143" s="24"/>
    </row>
    <row r="144" spans="2:9" x14ac:dyDescent="0.2">
      <c r="B144" s="23" t="s">
        <v>56</v>
      </c>
      <c r="C144" s="23"/>
      <c r="D144" s="23"/>
      <c r="E144" s="23"/>
      <c r="F144" s="30">
        <f>SUM(F7:F143)</f>
        <v>216990.10958389996</v>
      </c>
      <c r="G144" s="31">
        <f>SUM(G7:G143)</f>
        <v>97.23342169176712</v>
      </c>
      <c r="H144" s="23"/>
      <c r="I144" s="16"/>
    </row>
    <row r="145" spans="2:9" x14ac:dyDescent="0.2">
      <c r="B145" s="23" t="s">
        <v>375</v>
      </c>
      <c r="C145" s="23"/>
      <c r="D145" s="23"/>
      <c r="E145" s="23"/>
      <c r="F145" s="46" t="s">
        <v>376</v>
      </c>
      <c r="G145" s="47" t="s">
        <v>376</v>
      </c>
      <c r="H145" s="23"/>
      <c r="I145" s="16"/>
    </row>
    <row r="146" spans="2:9" x14ac:dyDescent="0.2">
      <c r="B146" s="23" t="s">
        <v>56</v>
      </c>
      <c r="C146" s="23"/>
      <c r="D146" s="23"/>
      <c r="E146" s="23"/>
      <c r="F146" s="48" t="s">
        <v>376</v>
      </c>
      <c r="G146" s="49" t="s">
        <v>376</v>
      </c>
      <c r="H146" s="23"/>
      <c r="I146" s="16"/>
    </row>
    <row r="147" spans="2:9" x14ac:dyDescent="0.2">
      <c r="B147" s="35" t="s">
        <v>81</v>
      </c>
      <c r="C147" s="35"/>
      <c r="D147" s="35"/>
      <c r="E147" s="35"/>
      <c r="F147" s="36">
        <f>F144</f>
        <v>216990.10958389996</v>
      </c>
      <c r="G147" s="37">
        <f>G144</f>
        <v>97.23342169176712</v>
      </c>
      <c r="H147" s="23"/>
      <c r="I147" s="16"/>
    </row>
    <row r="148" spans="2:9" x14ac:dyDescent="0.2">
      <c r="B148" s="23" t="s">
        <v>86</v>
      </c>
      <c r="C148" s="23"/>
      <c r="D148" s="23"/>
      <c r="E148" s="23"/>
      <c r="F148" s="30">
        <v>5758.6284254000002</v>
      </c>
      <c r="G148" s="31">
        <v>2.5804454734219799</v>
      </c>
      <c r="H148" s="38">
        <v>5.305E-2</v>
      </c>
      <c r="I148" s="17"/>
    </row>
    <row r="149" spans="2:9" x14ac:dyDescent="0.2">
      <c r="B149" s="24"/>
      <c r="C149" s="24"/>
      <c r="D149" s="24"/>
      <c r="E149" s="24"/>
      <c r="F149" s="25"/>
      <c r="G149" s="26"/>
      <c r="H149" s="24"/>
    </row>
    <row r="150" spans="2:9" x14ac:dyDescent="0.2">
      <c r="B150" s="23" t="s">
        <v>1348</v>
      </c>
      <c r="C150" s="24"/>
      <c r="D150" s="24"/>
      <c r="E150" s="24"/>
      <c r="F150" s="65">
        <v>800</v>
      </c>
      <c r="G150" s="66">
        <f>F150/F152*100</f>
        <v>0.35848056624597985</v>
      </c>
      <c r="H150" s="24"/>
    </row>
    <row r="151" spans="2:9" x14ac:dyDescent="0.2">
      <c r="B151" s="43" t="s">
        <v>88</v>
      </c>
      <c r="C151" s="43"/>
      <c r="D151" s="43"/>
      <c r="E151" s="43"/>
      <c r="F151" s="30">
        <f>F152-(F144+F148+F150)</f>
        <v>-384.61829769995529</v>
      </c>
      <c r="G151" s="31">
        <f>G152-(G144+G148+G150)</f>
        <v>-0.17234773143506743</v>
      </c>
      <c r="H151" s="23"/>
      <c r="I151" s="16"/>
    </row>
    <row r="152" spans="2:9" x14ac:dyDescent="0.2">
      <c r="B152" s="39" t="s">
        <v>87</v>
      </c>
      <c r="C152" s="39"/>
      <c r="D152" s="39"/>
      <c r="E152" s="39"/>
      <c r="F152" s="40">
        <v>223164.11971160001</v>
      </c>
      <c r="G152" s="41">
        <v>100</v>
      </c>
      <c r="H152" s="50"/>
      <c r="I152" s="16"/>
    </row>
    <row r="154" spans="2:9" x14ac:dyDescent="0.2">
      <c r="B154" s="16" t="s">
        <v>1349</v>
      </c>
    </row>
    <row r="156" spans="2:9" ht="20.399999999999999" x14ac:dyDescent="0.2">
      <c r="B156" s="18" t="s">
        <v>7</v>
      </c>
      <c r="C156" s="18" t="s">
        <v>1350</v>
      </c>
      <c r="D156" s="19" t="s">
        <v>377</v>
      </c>
      <c r="E156" s="19" t="s">
        <v>0</v>
      </c>
      <c r="F156" s="20" t="s">
        <v>1351</v>
      </c>
      <c r="G156" s="21" t="s">
        <v>1352</v>
      </c>
    </row>
    <row r="157" spans="2:9" x14ac:dyDescent="0.2">
      <c r="B157" s="56" t="s">
        <v>1369</v>
      </c>
      <c r="C157" s="56" t="s">
        <v>1353</v>
      </c>
      <c r="D157" s="56" t="s">
        <v>1368</v>
      </c>
      <c r="E157" s="56">
        <v>17625</v>
      </c>
      <c r="F157" s="57">
        <v>4650.7792499999996</v>
      </c>
      <c r="G157" s="58">
        <v>2.0840174737813202</v>
      </c>
    </row>
    <row r="158" spans="2:9" x14ac:dyDescent="0.2">
      <c r="B158" s="53"/>
      <c r="C158" s="53"/>
      <c r="D158" s="53"/>
      <c r="E158" s="53"/>
      <c r="F158" s="54">
        <f>SUM(F157:F157)</f>
        <v>4650.7792499999996</v>
      </c>
      <c r="G158" s="55">
        <f>SUM(G157:G157)</f>
        <v>2.0840174737813202</v>
      </c>
    </row>
    <row r="159" spans="2:9" x14ac:dyDescent="0.2">
      <c r="B159" s="16"/>
      <c r="C159" s="16"/>
      <c r="D159" s="16"/>
      <c r="E159" s="16"/>
      <c r="F159" s="63"/>
      <c r="G159" s="64"/>
    </row>
    <row r="160" spans="2:9" x14ac:dyDescent="0.2">
      <c r="B160" s="16" t="s">
        <v>490</v>
      </c>
    </row>
    <row r="162" spans="2:2" x14ac:dyDescent="0.2">
      <c r="B162" s="16" t="s">
        <v>92</v>
      </c>
    </row>
    <row r="164" spans="2:2" x14ac:dyDescent="0.2">
      <c r="B164" s="16" t="s">
        <v>93</v>
      </c>
    </row>
    <row r="181" spans="2:2" x14ac:dyDescent="0.2">
      <c r="B181" s="60" t="s">
        <v>1355</v>
      </c>
    </row>
    <row r="182" spans="2:2" x14ac:dyDescent="0.2">
      <c r="B182" s="61" t="s">
        <v>1364</v>
      </c>
    </row>
  </sheetData>
  <mergeCells count="1">
    <mergeCell ref="B1:C1"/>
  </mergeCells>
  <conditionalFormatting sqref="G1:G3 G157:G199">
    <cfRule type="cellIs" dxfId="1" priority="3" stopIfTrue="1" operator="between">
      <formula>0.009</formula>
      <formula>-0.009</formula>
    </cfRule>
  </conditionalFormatting>
  <conditionalFormatting sqref="G5:G155">
    <cfRule type="cellIs" dxfId="0" priority="1" stopIfTrue="1" operator="between">
      <formula>0.009</formula>
      <formula>-0.009</formula>
    </cfRule>
  </conditionalFormatting>
  <hyperlinks>
    <hyperlink ref="A2" location="JBFLEXI!A1" display="-" xr:uid="{0287FB85-5E30-4F03-A965-71E001107B5F}"/>
  </hyperlinks>
  <pageMargins left="0.7" right="0.7" top="0.75" bottom="0.75" header="0.3" footer="0.3"/>
  <pageSetup paperSize="9" scale="33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29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Index</vt:lpstr>
      <vt:lpstr>JBMMF</vt:lpstr>
      <vt:lpstr>JBOF</vt:lpstr>
      <vt:lpstr>JBLF</vt:lpstr>
      <vt:lpstr>JBN8-13</vt:lpstr>
      <vt:lpstr>JBN50</vt:lpstr>
      <vt:lpstr>JBNNX50</vt:lpstr>
      <vt:lpstr>JBNM150</vt:lpstr>
      <vt:lpstr>JBNS250</vt:lpstr>
      <vt:lpstr>JBFLEXI</vt:lpstr>
      <vt:lpstr>JBFLEXI!Print_Area</vt:lpstr>
      <vt:lpstr>JBLF!Print_Area</vt:lpstr>
      <vt:lpstr>JBMMF!Print_Area</vt:lpstr>
      <vt:lpstr>'JBN50'!Print_Area</vt:lpstr>
      <vt:lpstr>'JBN8-13'!Print_Area</vt:lpstr>
      <vt:lpstr>JBNM150!Print_Area</vt:lpstr>
      <vt:lpstr>JBNNX50!Print_Area</vt:lpstr>
      <vt:lpstr>JBNS250!Print_Area</vt:lpstr>
      <vt:lpstr>JBOF!Print_Area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2025-12-06T04:47:06Z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2025-12-02T08:03:00Z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05865c13-5549-4d6a-891f-8facef410b07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  <property fmtid="{D5CDD505-2E9C-101B-9397-08002B2CF9AE}" pid="12" name="MSIP_Label_defa4170-0d19-0005-0004-bc88714345d2_Enabled">
    <vt:lpwstr>true</vt:lpwstr>
  </property>
  <property fmtid="{D5CDD505-2E9C-101B-9397-08002B2CF9AE}" pid="13" name="MSIP_Label_defa4170-0d19-0005-0004-bc88714345d2_SetDate">
    <vt:lpwstr>2025-12-06T04:46:59Z</vt:lpwstr>
  </property>
  <property fmtid="{D5CDD505-2E9C-101B-9397-08002B2CF9AE}" pid="14" name="MSIP_Label_defa4170-0d19-0005-0004-bc88714345d2_Method">
    <vt:lpwstr>Standard</vt:lpwstr>
  </property>
  <property fmtid="{D5CDD505-2E9C-101B-9397-08002B2CF9AE}" pid="15" name="MSIP_Label_defa4170-0d19-0005-0004-bc88714345d2_Name">
    <vt:lpwstr>defa4170-0d19-0005-0004-bc88714345d2</vt:lpwstr>
  </property>
  <property fmtid="{D5CDD505-2E9C-101B-9397-08002B2CF9AE}" pid="16" name="MSIP_Label_defa4170-0d19-0005-0004-bc88714345d2_SiteId">
    <vt:lpwstr>c0116485-0978-4b0a-9f1f-fae6c3d6539a</vt:lpwstr>
  </property>
  <property fmtid="{D5CDD505-2E9C-101B-9397-08002B2CF9AE}" pid="17" name="MSIP_Label_defa4170-0d19-0005-0004-bc88714345d2_ActionId">
    <vt:lpwstr>83efc7ce-707e-4b93-9f12-4a3f93320b1b</vt:lpwstr>
  </property>
  <property fmtid="{D5CDD505-2E9C-101B-9397-08002B2CF9AE}" pid="18" name="MSIP_Label_defa4170-0d19-0005-0004-bc88714345d2_ContentBits">
    <vt:lpwstr>0</vt:lpwstr>
  </property>
  <property fmtid="{D5CDD505-2E9C-101B-9397-08002B2CF9AE}" pid="19" name="MSIP_Label_defa4170-0d19-0005-0004-bc88714345d2_Tag">
    <vt:lpwstr>10, 3, 0, 1</vt:lpwstr>
  </property>
</Properties>
</file>