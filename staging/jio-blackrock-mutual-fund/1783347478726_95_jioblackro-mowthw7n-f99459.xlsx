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 defaultThemeVersion="124226"/>
  <xr:revisionPtr revIDLastSave="0" documentId="8_{56ABEE62-A593-431B-86E5-F0C3537D4941}" xr6:coauthVersionLast="47" xr6:coauthVersionMax="47" xr10:uidLastSave="{00000000-0000-0000-0000-000000000000}"/>
  <bookViews>
    <workbookView xWindow="16830" yWindow="10720" windowWidth="2370" windowHeight="560" tabRatio="669" xr2:uid="{7291B499-DD8C-4F12-BA28-9EE7F24AB421}"/>
  </bookViews>
  <sheets>
    <sheet name="JBNNX50" sheetId="11" r:id="rId1"/>
  </sheets>
  <definedNames>
    <definedName name="_xlnm.Print_Area" localSheetId="0">JBNNX50!$B$1:$H$121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61" i="11" l="1"/>
  <c r="G67" i="11" s="1"/>
  <c r="F61" i="11"/>
  <c r="F67" i="11" s="1"/>
  <c r="F64" i="11" l="1"/>
  <c r="G64" i="11"/>
</calcChain>
</file>

<file path=xl/sharedStrings.xml><?xml version="1.0" encoding="utf-8"?>
<sst xmlns="http://schemas.openxmlformats.org/spreadsheetml/2006/main" count="202" uniqueCount="171">
  <si>
    <t>Quantity</t>
  </si>
  <si>
    <t>Market/Fair Value
 (Rs. in Lakhs)</t>
  </si>
  <si>
    <t>% to Net
 Assets</t>
  </si>
  <si>
    <t xml:space="preserve">Yield to Maturity </t>
  </si>
  <si>
    <t xml:space="preserve">Name of the Instrument </t>
  </si>
  <si>
    <t>ISIN</t>
  </si>
  <si>
    <t>Monthly Portfolio Statement as on April 30, 2026</t>
  </si>
  <si>
    <t>JioBlackRock Nifty Next 50 Index Fund</t>
  </si>
  <si>
    <t>Equity &amp; Equity related</t>
  </si>
  <si>
    <t>(a) Listed / awaiting listing on Stock Exchanges</t>
  </si>
  <si>
    <t>Banks</t>
  </si>
  <si>
    <t>Automobiles</t>
  </si>
  <si>
    <t>Petroleum Products</t>
  </si>
  <si>
    <t>Power</t>
  </si>
  <si>
    <t>IT - Software</t>
  </si>
  <si>
    <t>Britannia Industries Ltd</t>
  </si>
  <si>
    <t>INE216A01030</t>
  </si>
  <si>
    <t>Food Products</t>
  </si>
  <si>
    <t>Indian Oil Corporation Ltd</t>
  </si>
  <si>
    <t>INE242A01010</t>
  </si>
  <si>
    <t>Agricultural, Commercial &amp; Construction Vehicles</t>
  </si>
  <si>
    <t>Ferrous Metals</t>
  </si>
  <si>
    <t>Auto Components</t>
  </si>
  <si>
    <t>Capital Markets</t>
  </si>
  <si>
    <t>Retailing</t>
  </si>
  <si>
    <t>Pharmaceuticals &amp; Biotechnology</t>
  </si>
  <si>
    <t>Samvardhana Motherson International Ltd</t>
  </si>
  <si>
    <t>INE775A01035</t>
  </si>
  <si>
    <t>Vedanta Ltd</t>
  </si>
  <si>
    <t>INE205A01025</t>
  </si>
  <si>
    <t>Diversified Metals</t>
  </si>
  <si>
    <t>Cement &amp; Cement Products</t>
  </si>
  <si>
    <t>Bharat Petroleum Corporation Ltd</t>
  </si>
  <si>
    <t>INE029A01011</t>
  </si>
  <si>
    <t>United Spirits Ltd</t>
  </si>
  <si>
    <t>INE854D01024</t>
  </si>
  <si>
    <t>Beverages</t>
  </si>
  <si>
    <t>INE704J01044</t>
  </si>
  <si>
    <t>INE694L01019</t>
  </si>
  <si>
    <t>INE1CDF01017</t>
  </si>
  <si>
    <t>Metals &amp; Minerals Trading</t>
  </si>
  <si>
    <t>INE1CLE01013</t>
  </si>
  <si>
    <t>Ltm Ltd</t>
  </si>
  <si>
    <t>INE214T01019</t>
  </si>
  <si>
    <t>Finance</t>
  </si>
  <si>
    <t>Sub Total</t>
  </si>
  <si>
    <t xml:space="preserve">(b) Unlisted </t>
  </si>
  <si>
    <t>NIL</t>
  </si>
  <si>
    <t>Total</t>
  </si>
  <si>
    <t>TREPS</t>
  </si>
  <si>
    <t>Grand Total</t>
  </si>
  <si>
    <t>Net Receivables / (Payables)</t>
  </si>
  <si>
    <t>Industry Classification</t>
  </si>
  <si>
    <t>Notes</t>
  </si>
  <si>
    <t xml:space="preserve">Scheme Risk-O-Meter </t>
  </si>
  <si>
    <t>** Non Traded Security</t>
  </si>
  <si>
    <t>Aerospace &amp; Defense</t>
  </si>
  <si>
    <t>Non - Ferrous Metals</t>
  </si>
  <si>
    <t>Adani Power Ltd</t>
  </si>
  <si>
    <t>INE814H01029</t>
  </si>
  <si>
    <t>Tata Motors Ltd</t>
  </si>
  <si>
    <t>INE1TAE01010</t>
  </si>
  <si>
    <t>Divi's Laboratories Ltd</t>
  </si>
  <si>
    <t>INE361B01024</t>
  </si>
  <si>
    <t>Hindustan Aeronautics Ltd</t>
  </si>
  <si>
    <t>INE066F01020</t>
  </si>
  <si>
    <t>TVS Motor Co Ltd</t>
  </si>
  <si>
    <t>INE494B01023</t>
  </si>
  <si>
    <t>Tata Power Co Ltd</t>
  </si>
  <si>
    <t>INE245A01021</t>
  </si>
  <si>
    <t>Cummins India Ltd</t>
  </si>
  <si>
    <t>INE298A01020</t>
  </si>
  <si>
    <t>Industrial Products</t>
  </si>
  <si>
    <t>Varun Beverages Ltd</t>
  </si>
  <si>
    <t>INE200M01039</t>
  </si>
  <si>
    <t>Avenue Supermarts Ltd</t>
  </si>
  <si>
    <t>INE192R01011</t>
  </si>
  <si>
    <t>Cholamandalam Investment and Finance Co Ltd</t>
  </si>
  <si>
    <t>INE121A01024</t>
  </si>
  <si>
    <t>Power Finance Corporation Ltd</t>
  </si>
  <si>
    <t>INE134E01011</t>
  </si>
  <si>
    <t>Indian Hotels Co Ltd</t>
  </si>
  <si>
    <t>INE053A01029</t>
  </si>
  <si>
    <t>Leisure Services</t>
  </si>
  <si>
    <t>CG Power and Industrial Solutions Ltd</t>
  </si>
  <si>
    <t>INE067A01029</t>
  </si>
  <si>
    <t>Electrical Equipment</t>
  </si>
  <si>
    <t>HDFC Asset Management Co Ltd</t>
  </si>
  <si>
    <t>INE127D01025</t>
  </si>
  <si>
    <t>Bank of Baroda</t>
  </si>
  <si>
    <t>INE028A01039</t>
  </si>
  <si>
    <t>Adani Energy Solutions Ltd</t>
  </si>
  <si>
    <t>INE931S01010</t>
  </si>
  <si>
    <t>Canara Bank</t>
  </si>
  <si>
    <t>INE476A01022</t>
  </si>
  <si>
    <t>Jindal Steel Ltd</t>
  </si>
  <si>
    <t>INE749A01030</t>
  </si>
  <si>
    <t>Bajaj Holdings &amp; Investment Ltd</t>
  </si>
  <si>
    <t>INE118A01012</t>
  </si>
  <si>
    <t>REC Ltd</t>
  </si>
  <si>
    <t>INE020B01018</t>
  </si>
  <si>
    <t>GAIL (India) Ltd</t>
  </si>
  <si>
    <t>INE129A01019</t>
  </si>
  <si>
    <t>Gas</t>
  </si>
  <si>
    <t>Torrent Pharmaceuticals Ltd</t>
  </si>
  <si>
    <t>INE685A01028</t>
  </si>
  <si>
    <t>Godrej Consumer Products Ltd</t>
  </si>
  <si>
    <t>INE102D01028</t>
  </si>
  <si>
    <t>Personal Products</t>
  </si>
  <si>
    <t>Pidilite Industries Ltd</t>
  </si>
  <si>
    <t>INE318A01026</t>
  </si>
  <si>
    <t>Chemicals &amp; Petrochemicals</t>
  </si>
  <si>
    <t>Adani Green Energy Ltd</t>
  </si>
  <si>
    <t>INE364U01010</t>
  </si>
  <si>
    <t>ABB India Ltd</t>
  </si>
  <si>
    <t>INE117A01022</t>
  </si>
  <si>
    <t>Punjab National Bank</t>
  </si>
  <si>
    <t>INE160A01022</t>
  </si>
  <si>
    <t>DLF Ltd</t>
  </si>
  <si>
    <t>INE271C01023</t>
  </si>
  <si>
    <t>Realty</t>
  </si>
  <si>
    <t>Solar Industries India Ltd</t>
  </si>
  <si>
    <t>INE343H01029</t>
  </si>
  <si>
    <t>Muthoot Finance Ltd</t>
  </si>
  <si>
    <t>INE414G01012</t>
  </si>
  <si>
    <t>Siemens Ltd</t>
  </si>
  <si>
    <t>INE003A01024</t>
  </si>
  <si>
    <t>Shree Cement Ltd</t>
  </si>
  <si>
    <t>INE070A01015</t>
  </si>
  <si>
    <t>Union Bank Of India</t>
  </si>
  <si>
    <t>INE692A01016</t>
  </si>
  <si>
    <t>Bosch Ltd</t>
  </si>
  <si>
    <t>INE323A01026</t>
  </si>
  <si>
    <t>Siemens Energy India ltd</t>
  </si>
  <si>
    <t>INE1NPP01017</t>
  </si>
  <si>
    <t>Ambuja Cements Ltd</t>
  </si>
  <si>
    <t>INE079A01024</t>
  </si>
  <si>
    <t>Hyundai Motor India Ltd</t>
  </si>
  <si>
    <t>INE0V6F01027</t>
  </si>
  <si>
    <t>Hindustan Zinc Ltd</t>
  </si>
  <si>
    <t>INE267A01025</t>
  </si>
  <si>
    <t>Lodha Developers Ltd</t>
  </si>
  <si>
    <t>INE670K01029</t>
  </si>
  <si>
    <t>Zydus Lifesciences Ltd</t>
  </si>
  <si>
    <t>INE010B01027</t>
  </si>
  <si>
    <t>Indian Railway Finance Corporation Ltd</t>
  </si>
  <si>
    <t>INE053F01010</t>
  </si>
  <si>
    <t>Mazagon Dock Shipbuilders Ltd</t>
  </si>
  <si>
    <t>INE249Z01020</t>
  </si>
  <si>
    <t>Industrial Manufacturing</t>
  </si>
  <si>
    <t>Tata Capital Ltd</t>
  </si>
  <si>
    <t>INE976I01016</t>
  </si>
  <si>
    <t>Benchmark Risk-O-Meter</t>
  </si>
  <si>
    <t>Benchmark Name - NIFTY Next 50 Index (TRI)</t>
  </si>
  <si>
    <t>-</t>
  </si>
  <si>
    <t>(1) There is no security which is in default beyond its maturity/ interest payment date.</t>
  </si>
  <si>
    <t>Plan/ Option</t>
  </si>
  <si>
    <t>As on April 30, 2026</t>
  </si>
  <si>
    <t>Direct Plan - Growth Option</t>
  </si>
  <si>
    <t>(2) Aggregate value of illiquid equity shares of the fund amounts to Rs. Nil and their percentage to net asset value is Nil.</t>
  </si>
  <si>
    <t>(3) Plan/ Option wise per unit net asset value are as follows:</t>
  </si>
  <si>
    <t>As on March 31, 2026</t>
  </si>
  <si>
    <t>(4) There was no distribution (of income and capital) during the month ended April 30, 2026.</t>
  </si>
  <si>
    <t>(5) Total outstanding exposure in derivative instruments as on April 30, 2026 is Rs. Nil.</t>
  </si>
  <si>
    <t>(6) Total market value of investments in foreign securities/ American Depository Receipts/ Global Depository Receipts as at April 30, 2026 is Rs. Nil.</t>
  </si>
  <si>
    <t>(8) Repo transactions in corporate debt securities as on April 30, 2026 is Rs. Nil.</t>
  </si>
  <si>
    <t>Vedanta Iron And Steel Ltd **</t>
  </si>
  <si>
    <t>Talwandi Sabo Power Ltd **</t>
  </si>
  <si>
    <t>Malco Energy Ltd **</t>
  </si>
  <si>
    <t>Vedanta Aluminium Metal Ltd **</t>
  </si>
  <si>
    <t>(7) During the period, the portfolio turnover ratio is 0.33 times.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</si>
</sst>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#,##0.00%"/>
    <numFmt numFmtId="168" formatCode="0.0000"/>
  </numFmts>
  <fonts count="12" x14ac:knownFonts="1">
    <font>
      <sz val="11"/>
      <color theme="1"/>
      <name val="Calibri"/>
      <family val="2"/>
      <scheme val="minor"/>
    </font>
    <font>
      <b/>
      <sz val="9"/>
      <name val="Arial"/>
      <family val="2"/>
    </font>
    <font>
      <sz val="9"/>
      <name val="Arial"/>
      <family val="2"/>
    </font>
    <font>
      <b/>
      <sz val="8"/>
      <name val="Arial"/>
      <family val="2"/>
    </font>
    <font>
      <sz val="9"/>
      <color theme="1"/>
      <name val="Arial"/>
      <family val="2"/>
    </font>
    <font>
      <b/>
      <sz val="8"/>
      <color theme="1"/>
      <name val="Arial"/>
      <family val="2"/>
    </font>
    <font>
      <sz val="8"/>
      <color theme="1"/>
      <name val="Arial"/>
      <family val="2"/>
    </font>
    <font>
      <b/>
      <sz val="12"/>
      <color rgb="FF000000"/>
      <name val="Arial"/>
      <family val="2"/>
    </font>
    <font>
      <sz val="12"/>
      <color theme="1"/>
      <name val="Arial"/>
      <family val="2"/>
    </font>
    <font>
      <u/>
      <sz val="11"/>
      <color theme="10"/>
      <name val="Calibri"/>
      <family val="2"/>
      <scheme val="minor"/>
    </font>
    <font>
      <b/>
      <sz val="9"/>
      <color theme="1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9" fillId="0" borderId="0" applyNumberFormat="0" applyFill="0" applyBorder="0" applyAlignment="0" applyProtection="0"/>
  </cellStyleXfs>
  <cellXfs count="53">
    <xf numFmtId="0" fontId="0" fillId="0" borderId="0" xfId="0"/>
    <xf numFmtId="0" fontId="4" fillId="2" borderId="0" xfId="0" applyFont="1" applyFill="1"/>
    <xf numFmtId="0" fontId="1" fillId="2" borderId="0" xfId="0" applyFont="1" applyFill="1" applyAlignment="1">
      <alignment horizontal="left" vertical="top" wrapText="1"/>
    </xf>
    <xf numFmtId="0" fontId="2" fillId="2" borderId="0" xfId="0" applyFont="1" applyFill="1" applyAlignment="1">
      <alignment horizontal="left" vertical="top" wrapText="1"/>
    </xf>
    <xf numFmtId="4" fontId="2" fillId="2" borderId="0" xfId="0" applyNumberFormat="1" applyFont="1" applyFill="1" applyAlignment="1">
      <alignment horizontal="left" vertical="top" wrapText="1"/>
    </xf>
    <xf numFmtId="4" fontId="4" fillId="2" borderId="0" xfId="0" applyNumberFormat="1" applyFont="1" applyFill="1"/>
    <xf numFmtId="0" fontId="6" fillId="2" borderId="0" xfId="0" applyFont="1" applyFill="1"/>
    <xf numFmtId="0" fontId="3" fillId="2" borderId="0" xfId="0" applyFont="1" applyFill="1" applyAlignment="1">
      <alignment horizontal="left" vertical="top"/>
    </xf>
    <xf numFmtId="39" fontId="6" fillId="2" borderId="0" xfId="0" applyNumberFormat="1" applyFont="1" applyFill="1"/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wrapText="1"/>
    </xf>
    <xf numFmtId="39" fontId="6" fillId="3" borderId="0" xfId="0" applyNumberFormat="1" applyFont="1" applyFill="1"/>
    <xf numFmtId="0" fontId="5" fillId="2" borderId="0" xfId="0" applyFont="1" applyFill="1"/>
    <xf numFmtId="165" fontId="6" fillId="2" borderId="0" xfId="0" applyNumberFormat="1" applyFont="1" applyFill="1"/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center" vertical="center"/>
    </xf>
    <xf numFmtId="2" fontId="5" fillId="0" borderId="1" xfId="0" applyNumberFormat="1" applyFont="1" applyBorder="1" applyAlignment="1">
      <alignment horizontal="center" vertical="center" wrapText="1"/>
    </xf>
    <xf numFmtId="39" fontId="5" fillId="0" borderId="1" xfId="0" applyNumberFormat="1" applyFont="1" applyBorder="1" applyAlignment="1">
      <alignment horizontal="center" vertical="center" wrapText="1"/>
    </xf>
    <xf numFmtId="0" fontId="5" fillId="2" borderId="2" xfId="0" applyFont="1" applyFill="1" applyBorder="1"/>
    <xf numFmtId="0" fontId="6" fillId="2" borderId="2" xfId="0" applyFont="1" applyFill="1" applyBorder="1"/>
    <xf numFmtId="39" fontId="6" fillId="2" borderId="2" xfId="0" applyNumberFormat="1" applyFont="1" applyFill="1" applyBorder="1"/>
    <xf numFmtId="39" fontId="6" fillId="3" borderId="2" xfId="0" applyNumberFormat="1" applyFont="1" applyFill="1" applyBorder="1"/>
    <xf numFmtId="3" fontId="6" fillId="2" borderId="2" xfId="0" applyNumberFormat="1" applyFont="1" applyFill="1" applyBorder="1"/>
    <xf numFmtId="165" fontId="6" fillId="2" borderId="2" xfId="0" applyNumberFormat="1" applyFont="1" applyFill="1" applyBorder="1"/>
    <xf numFmtId="39" fontId="5" fillId="2" borderId="3" xfId="0" applyNumberFormat="1" applyFont="1" applyFill="1" applyBorder="1"/>
    <xf numFmtId="39" fontId="5" fillId="3" borderId="3" xfId="0" applyNumberFormat="1" applyFont="1" applyFill="1" applyBorder="1"/>
    <xf numFmtId="39" fontId="5" fillId="2" borderId="2" xfId="0" applyNumberFormat="1" applyFont="1" applyFill="1" applyBorder="1" applyAlignment="1">
      <alignment horizontal="right"/>
    </xf>
    <xf numFmtId="39" fontId="5" fillId="3" borderId="2" xfId="0" applyNumberFormat="1" applyFont="1" applyFill="1" applyBorder="1" applyAlignment="1">
      <alignment horizontal="right"/>
    </xf>
    <xf numFmtId="39" fontId="5" fillId="2" borderId="4" xfId="0" applyNumberFormat="1" applyFont="1" applyFill="1" applyBorder="1" applyAlignment="1">
      <alignment horizontal="right"/>
    </xf>
    <xf numFmtId="39" fontId="5" fillId="3" borderId="4" xfId="0" applyNumberFormat="1" applyFont="1" applyFill="1" applyBorder="1" applyAlignment="1">
      <alignment horizontal="right"/>
    </xf>
    <xf numFmtId="0" fontId="5" fillId="2" borderId="5" xfId="0" applyFont="1" applyFill="1" applyBorder="1"/>
    <xf numFmtId="39" fontId="5" fillId="2" borderId="5" xfId="0" applyNumberFormat="1" applyFont="1" applyFill="1" applyBorder="1"/>
    <xf numFmtId="39" fontId="5" fillId="3" borderId="5" xfId="0" applyNumberFormat="1" applyFont="1" applyFill="1" applyBorder="1"/>
    <xf numFmtId="0" fontId="5" fillId="2" borderId="6" xfId="0" applyFont="1" applyFill="1" applyBorder="1"/>
    <xf numFmtId="39" fontId="5" fillId="2" borderId="6" xfId="0" applyNumberFormat="1" applyFont="1" applyFill="1" applyBorder="1"/>
    <xf numFmtId="39" fontId="5" fillId="3" borderId="6" xfId="0" applyNumberFormat="1" applyFont="1" applyFill="1" applyBorder="1"/>
    <xf numFmtId="0" fontId="5" fillId="2" borderId="7" xfId="0" applyFont="1" applyFill="1" applyBorder="1"/>
    <xf numFmtId="0" fontId="5" fillId="2" borderId="3" xfId="0" applyFont="1" applyFill="1" applyBorder="1"/>
    <xf numFmtId="0" fontId="10" fillId="2" borderId="1" xfId="0" applyFont="1" applyFill="1" applyBorder="1" applyAlignment="1">
      <alignment horizontal="center" vertical="center" wrapText="1"/>
    </xf>
    <xf numFmtId="0" fontId="9" fillId="2" borderId="0" xfId="1" applyFill="1"/>
    <xf numFmtId="0" fontId="5" fillId="2" borderId="0" xfId="0" applyFont="1" applyFill="1" applyAlignment="1">
      <alignment vertical="center"/>
    </xf>
    <xf numFmtId="0" fontId="5" fillId="0" borderId="0" xfId="0" applyFont="1"/>
    <xf numFmtId="0" fontId="6" fillId="2" borderId="0" xfId="0" applyFont="1" applyFill="1" applyAlignment="1">
      <alignment vertical="center"/>
    </xf>
    <xf numFmtId="0" fontId="5" fillId="2" borderId="6" xfId="0" applyFont="1" applyFill="1" applyBorder="1" applyAlignment="1">
      <alignment horizontal="center" vertical="center" wrapText="1"/>
    </xf>
    <xf numFmtId="0" fontId="6" fillId="2" borderId="6" xfId="0" applyFont="1" applyFill="1" applyBorder="1" applyAlignment="1">
      <alignment vertical="center"/>
    </xf>
    <xf numFmtId="0" fontId="11" fillId="2" borderId="0" xfId="0" applyFont="1" applyFill="1" applyAlignment="1">
      <alignment vertical="center"/>
    </xf>
    <xf numFmtId="0" fontId="5" fillId="2" borderId="6" xfId="0" applyFont="1" applyFill="1" applyBorder="1" applyAlignment="1">
      <alignment vertical="center"/>
    </xf>
    <xf numFmtId="0" fontId="6" fillId="2" borderId="6" xfId="0" applyFont="1" applyFill="1" applyBorder="1" applyAlignment="1">
      <alignment horizontal="center" vertical="center"/>
    </xf>
    <xf numFmtId="168" fontId="6" fillId="2" borderId="6" xfId="0" applyNumberFormat="1" applyFont="1" applyFill="1" applyBorder="1" applyAlignment="1">
      <alignment horizontal="center" vertical="center"/>
    </xf>
    <xf numFmtId="39" fontId="5" fillId="2" borderId="0" xfId="0" applyNumberFormat="1" applyFont="1" applyFill="1"/>
    <xf numFmtId="39" fontId="5" fillId="3" borderId="0" xfId="0" applyNumberFormat="1" applyFont="1" applyFill="1"/>
    <xf numFmtId="0" fontId="7" fillId="0" borderId="0" xfId="0" applyFont="1" applyAlignment="1">
      <alignment horizontal="left" vertical="top" wrapText="1"/>
    </xf>
    <xf numFmtId="0" fontId="8" fillId="0" borderId="0" xfId="0" applyFont="1"/>
  </cellXfs>
  <cellStyles count="2">
    <cellStyle name="Hyperlink" xfId="1" builtinId="8"/>
    <cellStyle name="Normal" xfId="0" builtinId="0"/>
  </cellStyles>
  <dxfs count="1">
    <dxf>
      <numFmt numFmtId="172" formatCode="&quot;0.00*&quot;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476250</xdr:colOff>
      <xdr:row>88</xdr:row>
      <xdr:rowOff>104775</xdr:rowOff>
    </xdr:from>
    <xdr:to>
      <xdr:col>2</xdr:col>
      <xdr:colOff>825500</xdr:colOff>
      <xdr:row>102</xdr:row>
      <xdr:rowOff>82550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2520A9E-E273-44B4-B477-9F351FA5C5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7900" y="9166225"/>
          <a:ext cx="4006850" cy="1755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762000</xdr:colOff>
      <xdr:row>105</xdr:row>
      <xdr:rowOff>19050</xdr:rowOff>
    </xdr:from>
    <xdr:to>
      <xdr:col>2</xdr:col>
      <xdr:colOff>720725</xdr:colOff>
      <xdr:row>119</xdr:row>
      <xdr:rowOff>101601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4F3359A-3245-4D6C-8F31-197FE79FAE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63650" y="11252200"/>
          <a:ext cx="3616325" cy="186055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2B4A25-A4BD-49EE-84F5-E40E3E323E3F}">
  <dimension ref="A1:I105"/>
  <sheetViews>
    <sheetView tabSelected="1" view="pageBreakPreview" zoomScaleNormal="100" zoomScaleSheetLayoutView="100" workbookViewId="0"/>
  </sheetViews>
  <sheetFormatPr defaultColWidth="9.1796875" defaultRowHeight="10" x14ac:dyDescent="0.2"/>
  <cols>
    <col min="1" max="1" width="7.1796875" style="6" customWidth="1"/>
    <col min="2" max="2" width="52.453125" style="6" bestFit="1" customWidth="1"/>
    <col min="3" max="3" width="17.1796875" style="6" customWidth="1"/>
    <col min="4" max="4" width="32.1796875" style="6" bestFit="1" customWidth="1"/>
    <col min="5" max="5" width="13.54296875" style="6" bestFit="1" customWidth="1"/>
    <col min="6" max="6" width="12.7265625" style="8" bestFit="1" customWidth="1"/>
    <col min="7" max="7" width="6.7265625" style="11" bestFit="1" customWidth="1"/>
    <col min="8" max="8" width="13.81640625" style="6" bestFit="1" customWidth="1"/>
    <col min="9" max="16384" width="9.1796875" style="6"/>
  </cols>
  <sheetData>
    <row r="1" spans="1:9" s="1" customFormat="1" ht="16.75" customHeight="1" x14ac:dyDescent="0.35">
      <c r="B1" s="51" t="s">
        <v>7</v>
      </c>
      <c r="C1" s="52"/>
      <c r="D1" s="10"/>
      <c r="F1" s="5"/>
      <c r="G1" s="11"/>
    </row>
    <row r="2" spans="1:9" s="1" customFormat="1" ht="14.5" x14ac:dyDescent="0.35">
      <c r="A2" s="39" t="s">
        <v>154</v>
      </c>
      <c r="F2" s="5"/>
      <c r="G2" s="11"/>
    </row>
    <row r="3" spans="1:9" s="1" customFormat="1" ht="11.5" x14ac:dyDescent="0.25">
      <c r="B3" s="7" t="s">
        <v>6</v>
      </c>
      <c r="C3" s="2"/>
      <c r="D3" s="3"/>
      <c r="E3" s="3"/>
      <c r="F3" s="4"/>
      <c r="G3" s="11"/>
    </row>
    <row r="4" spans="1:9" s="1" customFormat="1" ht="25.5" customHeight="1" x14ac:dyDescent="0.25">
      <c r="B4" s="14" t="s">
        <v>4</v>
      </c>
      <c r="C4" s="14" t="s">
        <v>5</v>
      </c>
      <c r="D4" s="15" t="s">
        <v>52</v>
      </c>
      <c r="E4" s="15" t="s">
        <v>0</v>
      </c>
      <c r="F4" s="16" t="s">
        <v>1</v>
      </c>
      <c r="G4" s="17" t="s">
        <v>2</v>
      </c>
      <c r="H4" s="38" t="s">
        <v>3</v>
      </c>
      <c r="I4" s="9"/>
    </row>
    <row r="5" spans="1:9" ht="10.5" x14ac:dyDescent="0.25">
      <c r="B5" s="18" t="s">
        <v>8</v>
      </c>
      <c r="C5" s="19"/>
      <c r="D5" s="19"/>
      <c r="E5" s="19"/>
      <c r="F5" s="20"/>
      <c r="G5" s="21"/>
      <c r="H5" s="19"/>
    </row>
    <row r="6" spans="1:9" ht="10.5" x14ac:dyDescent="0.25">
      <c r="B6" s="18" t="s">
        <v>9</v>
      </c>
      <c r="C6" s="19"/>
      <c r="D6" s="19"/>
      <c r="E6" s="19"/>
      <c r="F6" s="20"/>
      <c r="G6" s="21"/>
      <c r="H6" s="19"/>
    </row>
    <row r="7" spans="1:9" x14ac:dyDescent="0.2">
      <c r="B7" s="19" t="s">
        <v>58</v>
      </c>
      <c r="C7" s="19" t="s">
        <v>59</v>
      </c>
      <c r="D7" s="19" t="s">
        <v>13</v>
      </c>
      <c r="E7" s="22">
        <v>309467</v>
      </c>
      <c r="F7" s="20">
        <v>686.55253949999997</v>
      </c>
      <c r="G7" s="21">
        <v>3.7268807638492398</v>
      </c>
      <c r="H7" s="23"/>
    </row>
    <row r="8" spans="1:9" x14ac:dyDescent="0.2">
      <c r="B8" s="19" t="s">
        <v>60</v>
      </c>
      <c r="C8" s="19" t="s">
        <v>61</v>
      </c>
      <c r="D8" s="19" t="s">
        <v>20</v>
      </c>
      <c r="E8" s="22">
        <v>156371</v>
      </c>
      <c r="F8" s="20">
        <v>640.96472900000003</v>
      </c>
      <c r="G8" s="21">
        <v>3.4794119624925499</v>
      </c>
      <c r="H8" s="23"/>
    </row>
    <row r="9" spans="1:9" x14ac:dyDescent="0.2">
      <c r="B9" s="19" t="s">
        <v>62</v>
      </c>
      <c r="C9" s="19" t="s">
        <v>63</v>
      </c>
      <c r="D9" s="19" t="s">
        <v>25</v>
      </c>
      <c r="E9" s="22">
        <v>9508</v>
      </c>
      <c r="F9" s="20">
        <v>618.2577</v>
      </c>
      <c r="G9" s="21">
        <v>3.3561491607179099</v>
      </c>
      <c r="H9" s="23"/>
    </row>
    <row r="10" spans="1:9" x14ac:dyDescent="0.2">
      <c r="B10" s="19" t="s">
        <v>64</v>
      </c>
      <c r="C10" s="19" t="s">
        <v>65</v>
      </c>
      <c r="D10" s="19" t="s">
        <v>56</v>
      </c>
      <c r="E10" s="22">
        <v>14195</v>
      </c>
      <c r="F10" s="20">
        <v>615.89265999999998</v>
      </c>
      <c r="G10" s="21">
        <v>3.3433107811699201</v>
      </c>
      <c r="H10" s="23"/>
    </row>
    <row r="11" spans="1:9" x14ac:dyDescent="0.2">
      <c r="B11" s="19" t="s">
        <v>66</v>
      </c>
      <c r="C11" s="19" t="s">
        <v>67</v>
      </c>
      <c r="D11" s="19" t="s">
        <v>11</v>
      </c>
      <c r="E11" s="22">
        <v>17571</v>
      </c>
      <c r="F11" s="20">
        <v>613.73745899999994</v>
      </c>
      <c r="G11" s="21">
        <v>3.3316114913311901</v>
      </c>
      <c r="H11" s="23"/>
    </row>
    <row r="12" spans="1:9" x14ac:dyDescent="0.2">
      <c r="B12" s="19" t="s">
        <v>68</v>
      </c>
      <c r="C12" s="19" t="s">
        <v>69</v>
      </c>
      <c r="D12" s="19" t="s">
        <v>13</v>
      </c>
      <c r="E12" s="22">
        <v>125256</v>
      </c>
      <c r="F12" s="20">
        <v>556.82554800000003</v>
      </c>
      <c r="G12" s="21">
        <v>3.02267096000016</v>
      </c>
      <c r="H12" s="23"/>
    </row>
    <row r="13" spans="1:9" x14ac:dyDescent="0.2">
      <c r="B13" s="19" t="s">
        <v>70</v>
      </c>
      <c r="C13" s="19" t="s">
        <v>71</v>
      </c>
      <c r="D13" s="19" t="s">
        <v>72</v>
      </c>
      <c r="E13" s="22">
        <v>10107</v>
      </c>
      <c r="F13" s="20">
        <v>532.27504799999997</v>
      </c>
      <c r="G13" s="21">
        <v>2.8894010630458502</v>
      </c>
      <c r="H13" s="23"/>
    </row>
    <row r="14" spans="1:9" x14ac:dyDescent="0.2">
      <c r="B14" s="19" t="s">
        <v>73</v>
      </c>
      <c r="C14" s="19" t="s">
        <v>74</v>
      </c>
      <c r="D14" s="19" t="s">
        <v>36</v>
      </c>
      <c r="E14" s="22">
        <v>102398</v>
      </c>
      <c r="F14" s="20">
        <v>526.01852599999995</v>
      </c>
      <c r="G14" s="21">
        <v>2.85543816851286</v>
      </c>
      <c r="H14" s="23"/>
    </row>
    <row r="15" spans="1:9" x14ac:dyDescent="0.2">
      <c r="B15" s="19" t="s">
        <v>75</v>
      </c>
      <c r="C15" s="19" t="s">
        <v>76</v>
      </c>
      <c r="D15" s="19" t="s">
        <v>24</v>
      </c>
      <c r="E15" s="22">
        <v>11016</v>
      </c>
      <c r="F15" s="20">
        <v>505.18274400000001</v>
      </c>
      <c r="G15" s="21">
        <v>2.7423332411141299</v>
      </c>
      <c r="H15" s="23"/>
    </row>
    <row r="16" spans="1:9" x14ac:dyDescent="0.2">
      <c r="B16" s="19" t="s">
        <v>15</v>
      </c>
      <c r="C16" s="19" t="s">
        <v>16</v>
      </c>
      <c r="D16" s="19" t="s">
        <v>17</v>
      </c>
      <c r="E16" s="22">
        <v>8815</v>
      </c>
      <c r="F16" s="20">
        <v>504.74689999999998</v>
      </c>
      <c r="G16" s="21">
        <v>2.7399673062057501</v>
      </c>
      <c r="H16" s="23"/>
    </row>
    <row r="17" spans="2:8" x14ac:dyDescent="0.2">
      <c r="B17" s="19" t="s">
        <v>77</v>
      </c>
      <c r="C17" s="19" t="s">
        <v>78</v>
      </c>
      <c r="D17" s="19" t="s">
        <v>44</v>
      </c>
      <c r="E17" s="22">
        <v>32043</v>
      </c>
      <c r="F17" s="20">
        <v>500.80004700000001</v>
      </c>
      <c r="G17" s="21">
        <v>2.7185422153683501</v>
      </c>
      <c r="H17" s="23"/>
    </row>
    <row r="18" spans="2:8" x14ac:dyDescent="0.2">
      <c r="B18" s="19" t="s">
        <v>79</v>
      </c>
      <c r="C18" s="19" t="s">
        <v>80</v>
      </c>
      <c r="D18" s="19" t="s">
        <v>44</v>
      </c>
      <c r="E18" s="22">
        <v>108945</v>
      </c>
      <c r="F18" s="20">
        <v>488.50938000000002</v>
      </c>
      <c r="G18" s="21">
        <v>2.65182357727178</v>
      </c>
      <c r="H18" s="23"/>
    </row>
    <row r="19" spans="2:8" x14ac:dyDescent="0.2">
      <c r="B19" s="19" t="s">
        <v>32</v>
      </c>
      <c r="C19" s="19" t="s">
        <v>33</v>
      </c>
      <c r="D19" s="19" t="s">
        <v>12</v>
      </c>
      <c r="E19" s="22">
        <v>151638</v>
      </c>
      <c r="F19" s="20">
        <v>455.59637099999998</v>
      </c>
      <c r="G19" s="21">
        <v>2.4731586491486901</v>
      </c>
      <c r="H19" s="23"/>
    </row>
    <row r="20" spans="2:8" x14ac:dyDescent="0.2">
      <c r="B20" s="19" t="s">
        <v>81</v>
      </c>
      <c r="C20" s="19" t="s">
        <v>82</v>
      </c>
      <c r="D20" s="19" t="s">
        <v>83</v>
      </c>
      <c r="E20" s="22">
        <v>65700</v>
      </c>
      <c r="F20" s="20">
        <v>417.75344999999999</v>
      </c>
      <c r="G20" s="21">
        <v>2.2677321942039899</v>
      </c>
      <c r="H20" s="23"/>
    </row>
    <row r="21" spans="2:8" x14ac:dyDescent="0.2">
      <c r="B21" s="19" t="s">
        <v>84</v>
      </c>
      <c r="C21" s="19" t="s">
        <v>85</v>
      </c>
      <c r="D21" s="19" t="s">
        <v>86</v>
      </c>
      <c r="E21" s="22">
        <v>51333</v>
      </c>
      <c r="F21" s="20">
        <v>417.51695549999999</v>
      </c>
      <c r="G21" s="21">
        <v>2.2664484078189702</v>
      </c>
      <c r="H21" s="23"/>
    </row>
    <row r="22" spans="2:8" x14ac:dyDescent="0.2">
      <c r="B22" s="19" t="s">
        <v>87</v>
      </c>
      <c r="C22" s="19" t="s">
        <v>88</v>
      </c>
      <c r="D22" s="19" t="s">
        <v>23</v>
      </c>
      <c r="E22" s="22">
        <v>15243</v>
      </c>
      <c r="F22" s="20">
        <v>413.48161800000003</v>
      </c>
      <c r="G22" s="21">
        <v>2.2445429878560099</v>
      </c>
      <c r="H22" s="23"/>
    </row>
    <row r="23" spans="2:8" x14ac:dyDescent="0.2">
      <c r="B23" s="19" t="s">
        <v>26</v>
      </c>
      <c r="C23" s="19" t="s">
        <v>27</v>
      </c>
      <c r="D23" s="19" t="s">
        <v>22</v>
      </c>
      <c r="E23" s="22">
        <v>331135</v>
      </c>
      <c r="F23" s="20">
        <v>401.36873350000002</v>
      </c>
      <c r="G23" s="21">
        <v>2.1787894240127299</v>
      </c>
      <c r="H23" s="23"/>
    </row>
    <row r="24" spans="2:8" x14ac:dyDescent="0.2">
      <c r="B24" s="19" t="s">
        <v>18</v>
      </c>
      <c r="C24" s="19" t="s">
        <v>19</v>
      </c>
      <c r="D24" s="19" t="s">
        <v>12</v>
      </c>
      <c r="E24" s="22">
        <v>279549</v>
      </c>
      <c r="F24" s="20">
        <v>397.65845250000001</v>
      </c>
      <c r="G24" s="21">
        <v>2.1586485402612201</v>
      </c>
      <c r="H24" s="23"/>
    </row>
    <row r="25" spans="2:8" x14ac:dyDescent="0.2">
      <c r="B25" s="19" t="s">
        <v>89</v>
      </c>
      <c r="C25" s="19" t="s">
        <v>90</v>
      </c>
      <c r="D25" s="19" t="s">
        <v>10</v>
      </c>
      <c r="E25" s="22">
        <v>138809</v>
      </c>
      <c r="F25" s="20">
        <v>365.70619140000002</v>
      </c>
      <c r="G25" s="21">
        <v>1.98519893458092</v>
      </c>
      <c r="H25" s="23"/>
    </row>
    <row r="26" spans="2:8" x14ac:dyDescent="0.2">
      <c r="B26" s="19" t="s">
        <v>91</v>
      </c>
      <c r="C26" s="19" t="s">
        <v>92</v>
      </c>
      <c r="D26" s="19" t="s">
        <v>13</v>
      </c>
      <c r="E26" s="22">
        <v>25956</v>
      </c>
      <c r="F26" s="20">
        <v>348.39440999999999</v>
      </c>
      <c r="G26" s="21">
        <v>1.8912236866929599</v>
      </c>
      <c r="H26" s="23"/>
    </row>
    <row r="27" spans="2:8" x14ac:dyDescent="0.2">
      <c r="B27" s="19" t="s">
        <v>28</v>
      </c>
      <c r="C27" s="19" t="s">
        <v>29</v>
      </c>
      <c r="D27" s="19" t="s">
        <v>30</v>
      </c>
      <c r="E27" s="22">
        <v>127133</v>
      </c>
      <c r="F27" s="20">
        <v>345.22966150000002</v>
      </c>
      <c r="G27" s="21">
        <v>1.8740441707368201</v>
      </c>
      <c r="H27" s="23"/>
    </row>
    <row r="28" spans="2:8" x14ac:dyDescent="0.2">
      <c r="B28" s="19" t="s">
        <v>93</v>
      </c>
      <c r="C28" s="19" t="s">
        <v>94</v>
      </c>
      <c r="D28" s="19" t="s">
        <v>10</v>
      </c>
      <c r="E28" s="22">
        <v>252254</v>
      </c>
      <c r="F28" s="20">
        <v>339.660011</v>
      </c>
      <c r="G28" s="21">
        <v>1.8438098884123599</v>
      </c>
      <c r="H28" s="23"/>
    </row>
    <row r="29" spans="2:8" x14ac:dyDescent="0.2">
      <c r="B29" s="19" t="s">
        <v>95</v>
      </c>
      <c r="C29" s="19" t="s">
        <v>96</v>
      </c>
      <c r="D29" s="19" t="s">
        <v>21</v>
      </c>
      <c r="E29" s="22">
        <v>27710</v>
      </c>
      <c r="F29" s="20">
        <v>338.92101000000002</v>
      </c>
      <c r="G29" s="21">
        <v>1.8397982965051101</v>
      </c>
      <c r="H29" s="23"/>
    </row>
    <row r="30" spans="2:8" x14ac:dyDescent="0.2">
      <c r="B30" s="19" t="s">
        <v>97</v>
      </c>
      <c r="C30" s="19" t="s">
        <v>98</v>
      </c>
      <c r="D30" s="19" t="s">
        <v>44</v>
      </c>
      <c r="E30" s="22">
        <v>3239</v>
      </c>
      <c r="F30" s="20">
        <v>332.54813000000001</v>
      </c>
      <c r="G30" s="21">
        <v>1.80520376438144</v>
      </c>
      <c r="H30" s="23"/>
    </row>
    <row r="31" spans="2:8" x14ac:dyDescent="0.2">
      <c r="B31" s="19" t="s">
        <v>99</v>
      </c>
      <c r="C31" s="19" t="s">
        <v>100</v>
      </c>
      <c r="D31" s="19" t="s">
        <v>44</v>
      </c>
      <c r="E31" s="22">
        <v>93453</v>
      </c>
      <c r="F31" s="20">
        <v>331.10397899999998</v>
      </c>
      <c r="G31" s="21">
        <v>1.79736433728397</v>
      </c>
      <c r="H31" s="23"/>
    </row>
    <row r="32" spans="2:8" x14ac:dyDescent="0.2">
      <c r="B32" s="19" t="s">
        <v>101</v>
      </c>
      <c r="C32" s="19" t="s">
        <v>102</v>
      </c>
      <c r="D32" s="19" t="s">
        <v>103</v>
      </c>
      <c r="E32" s="22">
        <v>201820</v>
      </c>
      <c r="F32" s="20">
        <v>329.43078600000001</v>
      </c>
      <c r="G32" s="21">
        <v>1.7882815789411799</v>
      </c>
      <c r="H32" s="23"/>
    </row>
    <row r="33" spans="2:8" x14ac:dyDescent="0.2">
      <c r="B33" s="19" t="s">
        <v>104</v>
      </c>
      <c r="C33" s="19" t="s">
        <v>105</v>
      </c>
      <c r="D33" s="19" t="s">
        <v>25</v>
      </c>
      <c r="E33" s="22">
        <v>7826</v>
      </c>
      <c r="F33" s="20">
        <v>327.52592600000003</v>
      </c>
      <c r="G33" s="21">
        <v>1.77794123980705</v>
      </c>
      <c r="H33" s="23"/>
    </row>
    <row r="34" spans="2:8" x14ac:dyDescent="0.2">
      <c r="B34" s="19" t="s">
        <v>106</v>
      </c>
      <c r="C34" s="19" t="s">
        <v>107</v>
      </c>
      <c r="D34" s="19" t="s">
        <v>108</v>
      </c>
      <c r="E34" s="22">
        <v>30097</v>
      </c>
      <c r="F34" s="20">
        <v>321.16508700000003</v>
      </c>
      <c r="G34" s="21">
        <v>1.74341207102951</v>
      </c>
      <c r="H34" s="23"/>
    </row>
    <row r="35" spans="2:8" x14ac:dyDescent="0.2">
      <c r="B35" s="19" t="s">
        <v>109</v>
      </c>
      <c r="C35" s="19" t="s">
        <v>110</v>
      </c>
      <c r="D35" s="19" t="s">
        <v>111</v>
      </c>
      <c r="E35" s="22">
        <v>23205</v>
      </c>
      <c r="F35" s="20">
        <v>319.23118499999998</v>
      </c>
      <c r="G35" s="21">
        <v>1.7329140803466501</v>
      </c>
      <c r="H35" s="23"/>
    </row>
    <row r="36" spans="2:8" x14ac:dyDescent="0.2">
      <c r="B36" s="19" t="s">
        <v>112</v>
      </c>
      <c r="C36" s="19" t="s">
        <v>113</v>
      </c>
      <c r="D36" s="19" t="s">
        <v>13</v>
      </c>
      <c r="E36" s="22">
        <v>25084</v>
      </c>
      <c r="F36" s="20">
        <v>307.81830600000001</v>
      </c>
      <c r="G36" s="21">
        <v>1.67096042529759</v>
      </c>
      <c r="H36" s="23"/>
    </row>
    <row r="37" spans="2:8" x14ac:dyDescent="0.2">
      <c r="B37" s="19" t="s">
        <v>42</v>
      </c>
      <c r="C37" s="19" t="s">
        <v>43</v>
      </c>
      <c r="D37" s="19" t="s">
        <v>14</v>
      </c>
      <c r="E37" s="22">
        <v>6942</v>
      </c>
      <c r="F37" s="20">
        <v>296.39563199999998</v>
      </c>
      <c r="G37" s="21">
        <v>1.60895359908539</v>
      </c>
      <c r="H37" s="23"/>
    </row>
    <row r="38" spans="2:8" x14ac:dyDescent="0.2">
      <c r="B38" s="19" t="s">
        <v>34</v>
      </c>
      <c r="C38" s="19" t="s">
        <v>35</v>
      </c>
      <c r="D38" s="19" t="s">
        <v>36</v>
      </c>
      <c r="E38" s="22">
        <v>22100</v>
      </c>
      <c r="F38" s="20">
        <v>292.95760000000001</v>
      </c>
      <c r="G38" s="21">
        <v>1.5902905913924399</v>
      </c>
      <c r="H38" s="23"/>
    </row>
    <row r="39" spans="2:8" x14ac:dyDescent="0.2">
      <c r="B39" s="19" t="s">
        <v>114</v>
      </c>
      <c r="C39" s="19" t="s">
        <v>115</v>
      </c>
      <c r="D39" s="19" t="s">
        <v>86</v>
      </c>
      <c r="E39" s="22">
        <v>3924</v>
      </c>
      <c r="F39" s="20">
        <v>283.70519999999999</v>
      </c>
      <c r="G39" s="21">
        <v>1.54006487726931</v>
      </c>
      <c r="H39" s="23"/>
    </row>
    <row r="40" spans="2:8" x14ac:dyDescent="0.2">
      <c r="B40" s="19" t="s">
        <v>116</v>
      </c>
      <c r="C40" s="19" t="s">
        <v>117</v>
      </c>
      <c r="D40" s="19" t="s">
        <v>10</v>
      </c>
      <c r="E40" s="22">
        <v>257983</v>
      </c>
      <c r="F40" s="20">
        <v>282.13020879999999</v>
      </c>
      <c r="G40" s="21">
        <v>1.53151519742866</v>
      </c>
      <c r="H40" s="23"/>
    </row>
    <row r="41" spans="2:8" x14ac:dyDescent="0.2">
      <c r="B41" s="19" t="s">
        <v>118</v>
      </c>
      <c r="C41" s="19" t="s">
        <v>119</v>
      </c>
      <c r="D41" s="19" t="s">
        <v>120</v>
      </c>
      <c r="E41" s="22">
        <v>47997</v>
      </c>
      <c r="F41" s="20">
        <v>281.74239</v>
      </c>
      <c r="G41" s="21">
        <v>1.5294099624430999</v>
      </c>
      <c r="H41" s="23"/>
    </row>
    <row r="42" spans="2:8" x14ac:dyDescent="0.2">
      <c r="B42" s="19" t="s">
        <v>121</v>
      </c>
      <c r="C42" s="19" t="s">
        <v>122</v>
      </c>
      <c r="D42" s="19" t="s">
        <v>111</v>
      </c>
      <c r="E42" s="22">
        <v>1823</v>
      </c>
      <c r="F42" s="20">
        <v>281.45296999999999</v>
      </c>
      <c r="G42" s="21">
        <v>1.5278388753541801</v>
      </c>
      <c r="H42" s="23"/>
    </row>
    <row r="43" spans="2:8" x14ac:dyDescent="0.2">
      <c r="B43" s="19" t="s">
        <v>123</v>
      </c>
      <c r="C43" s="19" t="s">
        <v>124</v>
      </c>
      <c r="D43" s="19" t="s">
        <v>44</v>
      </c>
      <c r="E43" s="22">
        <v>8024</v>
      </c>
      <c r="F43" s="20">
        <v>274.75780800000001</v>
      </c>
      <c r="G43" s="21">
        <v>1.4914948681106499</v>
      </c>
      <c r="H43" s="23"/>
    </row>
    <row r="44" spans="2:8" x14ac:dyDescent="0.2">
      <c r="B44" s="19" t="s">
        <v>125</v>
      </c>
      <c r="C44" s="19" t="s">
        <v>126</v>
      </c>
      <c r="D44" s="19" t="s">
        <v>86</v>
      </c>
      <c r="E44" s="22">
        <v>6613</v>
      </c>
      <c r="F44" s="20">
        <v>251.83626599999999</v>
      </c>
      <c r="G44" s="21">
        <v>1.3670676042922401</v>
      </c>
      <c r="H44" s="23"/>
    </row>
    <row r="45" spans="2:8" x14ac:dyDescent="0.2">
      <c r="B45" s="19" t="s">
        <v>127</v>
      </c>
      <c r="C45" s="19" t="s">
        <v>128</v>
      </c>
      <c r="D45" s="19" t="s">
        <v>31</v>
      </c>
      <c r="E45" s="22">
        <v>1001</v>
      </c>
      <c r="F45" s="20">
        <v>242.19194999999999</v>
      </c>
      <c r="G45" s="21">
        <v>1.3147144139492899</v>
      </c>
      <c r="H45" s="23"/>
    </row>
    <row r="46" spans="2:8" x14ac:dyDescent="0.2">
      <c r="B46" s="19" t="s">
        <v>129</v>
      </c>
      <c r="C46" s="19" t="s">
        <v>130</v>
      </c>
      <c r="D46" s="19" t="s">
        <v>10</v>
      </c>
      <c r="E46" s="22">
        <v>144576</v>
      </c>
      <c r="F46" s="20">
        <v>239.9094144</v>
      </c>
      <c r="G46" s="21">
        <v>1.3023239011610901</v>
      </c>
      <c r="H46" s="23"/>
    </row>
    <row r="47" spans="2:8" x14ac:dyDescent="0.2">
      <c r="B47" s="19" t="s">
        <v>131</v>
      </c>
      <c r="C47" s="19" t="s">
        <v>132</v>
      </c>
      <c r="D47" s="19" t="s">
        <v>22</v>
      </c>
      <c r="E47" s="22">
        <v>649</v>
      </c>
      <c r="F47" s="20">
        <v>233.60755</v>
      </c>
      <c r="G47" s="21">
        <v>1.26811487001273</v>
      </c>
      <c r="H47" s="23"/>
    </row>
    <row r="48" spans="2:8" x14ac:dyDescent="0.2">
      <c r="B48" s="19" t="s">
        <v>133</v>
      </c>
      <c r="C48" s="19" t="s">
        <v>134</v>
      </c>
      <c r="D48" s="19" t="s">
        <v>86</v>
      </c>
      <c r="E48" s="22">
        <v>6617</v>
      </c>
      <c r="F48" s="20">
        <v>216.95819599999999</v>
      </c>
      <c r="G48" s="21">
        <v>1.1777355420179501</v>
      </c>
      <c r="H48" s="23"/>
    </row>
    <row r="49" spans="2:9" x14ac:dyDescent="0.2">
      <c r="B49" s="19" t="s">
        <v>135</v>
      </c>
      <c r="C49" s="19" t="s">
        <v>136</v>
      </c>
      <c r="D49" s="19" t="s">
        <v>31</v>
      </c>
      <c r="E49" s="22">
        <v>45630</v>
      </c>
      <c r="F49" s="20">
        <v>202.68845999999999</v>
      </c>
      <c r="G49" s="21">
        <v>1.1002737287642399</v>
      </c>
      <c r="H49" s="23"/>
    </row>
    <row r="50" spans="2:9" x14ac:dyDescent="0.2">
      <c r="B50" s="19" t="s">
        <v>137</v>
      </c>
      <c r="C50" s="19" t="s">
        <v>138</v>
      </c>
      <c r="D50" s="19" t="s">
        <v>11</v>
      </c>
      <c r="E50" s="22">
        <v>10668</v>
      </c>
      <c r="F50" s="20">
        <v>193.901568</v>
      </c>
      <c r="G50" s="21">
        <v>1.0525749775620801</v>
      </c>
      <c r="H50" s="23"/>
    </row>
    <row r="51" spans="2:9" x14ac:dyDescent="0.2">
      <c r="B51" s="19" t="s">
        <v>139</v>
      </c>
      <c r="C51" s="19" t="s">
        <v>140</v>
      </c>
      <c r="D51" s="19" t="s">
        <v>57</v>
      </c>
      <c r="E51" s="22">
        <v>32435</v>
      </c>
      <c r="F51" s="20">
        <v>193.29638249999999</v>
      </c>
      <c r="G51" s="21">
        <v>1.0492897895120199</v>
      </c>
      <c r="H51" s="23"/>
    </row>
    <row r="52" spans="2:9" x14ac:dyDescent="0.2">
      <c r="B52" s="19" t="s">
        <v>141</v>
      </c>
      <c r="C52" s="19" t="s">
        <v>142</v>
      </c>
      <c r="D52" s="19" t="s">
        <v>120</v>
      </c>
      <c r="E52" s="22">
        <v>21066</v>
      </c>
      <c r="F52" s="20">
        <v>189.151614</v>
      </c>
      <c r="G52" s="21">
        <v>1.0267903344746701</v>
      </c>
      <c r="H52" s="23"/>
    </row>
    <row r="53" spans="2:9" x14ac:dyDescent="0.2">
      <c r="B53" s="19" t="s">
        <v>143</v>
      </c>
      <c r="C53" s="19" t="s">
        <v>144</v>
      </c>
      <c r="D53" s="19" t="s">
        <v>25</v>
      </c>
      <c r="E53" s="22">
        <v>18717</v>
      </c>
      <c r="F53" s="20">
        <v>166.93692300000001</v>
      </c>
      <c r="G53" s="21">
        <v>0.90620013955229295</v>
      </c>
      <c r="H53" s="23"/>
    </row>
    <row r="54" spans="2:9" x14ac:dyDescent="0.2">
      <c r="B54" s="19" t="s">
        <v>145</v>
      </c>
      <c r="C54" s="19" t="s">
        <v>146</v>
      </c>
      <c r="D54" s="19" t="s">
        <v>44</v>
      </c>
      <c r="E54" s="22">
        <v>150500</v>
      </c>
      <c r="F54" s="20">
        <v>156.83605</v>
      </c>
      <c r="G54" s="21">
        <v>0.85136857588318204</v>
      </c>
      <c r="H54" s="23"/>
    </row>
    <row r="55" spans="2:9" x14ac:dyDescent="0.2">
      <c r="B55" s="19" t="s">
        <v>147</v>
      </c>
      <c r="C55" s="19" t="s">
        <v>148</v>
      </c>
      <c r="D55" s="19" t="s">
        <v>149</v>
      </c>
      <c r="E55" s="22">
        <v>5684</v>
      </c>
      <c r="F55" s="20">
        <v>155.35508799999999</v>
      </c>
      <c r="G55" s="21">
        <v>0.84332932400915805</v>
      </c>
      <c r="H55" s="23"/>
    </row>
    <row r="56" spans="2:9" x14ac:dyDescent="0.2">
      <c r="B56" s="19" t="s">
        <v>166</v>
      </c>
      <c r="C56" s="19" t="s">
        <v>41</v>
      </c>
      <c r="D56" s="19" t="s">
        <v>40</v>
      </c>
      <c r="E56" s="22">
        <v>126917</v>
      </c>
      <c r="F56" s="20">
        <v>153.60129929999999</v>
      </c>
      <c r="G56" s="21">
        <v>0.83380906009075995</v>
      </c>
      <c r="H56" s="23"/>
    </row>
    <row r="57" spans="2:9" x14ac:dyDescent="0.2">
      <c r="B57" s="19" t="s">
        <v>167</v>
      </c>
      <c r="C57" s="19" t="s">
        <v>38</v>
      </c>
      <c r="D57" s="19" t="s">
        <v>13</v>
      </c>
      <c r="E57" s="22">
        <v>126917</v>
      </c>
      <c r="F57" s="20">
        <v>153.60129929999999</v>
      </c>
      <c r="G57" s="21">
        <v>0.83380906009075995</v>
      </c>
      <c r="H57" s="23"/>
    </row>
    <row r="58" spans="2:9" x14ac:dyDescent="0.2">
      <c r="B58" s="19" t="s">
        <v>168</v>
      </c>
      <c r="C58" s="19" t="s">
        <v>37</v>
      </c>
      <c r="D58" s="19" t="s">
        <v>13</v>
      </c>
      <c r="E58" s="22">
        <v>126917</v>
      </c>
      <c r="F58" s="20">
        <v>153.60129929999999</v>
      </c>
      <c r="G58" s="21">
        <v>0.83380906009075995</v>
      </c>
      <c r="H58" s="23"/>
    </row>
    <row r="59" spans="2:9" x14ac:dyDescent="0.2">
      <c r="B59" s="19" t="s">
        <v>169</v>
      </c>
      <c r="C59" s="19" t="s">
        <v>39</v>
      </c>
      <c r="D59" s="19" t="s">
        <v>40</v>
      </c>
      <c r="E59" s="22">
        <v>126917</v>
      </c>
      <c r="F59" s="20">
        <v>153.60129929999999</v>
      </c>
      <c r="G59" s="21">
        <v>0.83380906009075995</v>
      </c>
      <c r="H59" s="23"/>
    </row>
    <row r="60" spans="2:9" x14ac:dyDescent="0.2">
      <c r="B60" s="19" t="s">
        <v>150</v>
      </c>
      <c r="C60" s="19" t="s">
        <v>151</v>
      </c>
      <c r="D60" s="19" t="s">
        <v>44</v>
      </c>
      <c r="E60" s="22">
        <v>32320</v>
      </c>
      <c r="F60" s="20">
        <v>107.67408</v>
      </c>
      <c r="G60" s="21">
        <v>0.58449781251907196</v>
      </c>
      <c r="H60" s="23"/>
    </row>
    <row r="61" spans="2:9" ht="10.5" x14ac:dyDescent="0.25">
      <c r="B61" s="18" t="s">
        <v>45</v>
      </c>
      <c r="C61" s="18"/>
      <c r="D61" s="18"/>
      <c r="E61" s="18"/>
      <c r="F61" s="24">
        <f>SUM(F7:F60)</f>
        <v>18457.764091800007</v>
      </c>
      <c r="G61" s="25">
        <f>SUM(G7:G60)</f>
        <v>100.19609859355364</v>
      </c>
      <c r="H61" s="18"/>
      <c r="I61" s="12"/>
    </row>
    <row r="62" spans="2:9" ht="10.5" x14ac:dyDescent="0.25">
      <c r="B62" s="18" t="s">
        <v>46</v>
      </c>
      <c r="C62" s="18"/>
      <c r="D62" s="18"/>
      <c r="E62" s="18"/>
      <c r="F62" s="26" t="s">
        <v>47</v>
      </c>
      <c r="G62" s="27" t="s">
        <v>47</v>
      </c>
      <c r="H62" s="18"/>
      <c r="I62" s="12"/>
    </row>
    <row r="63" spans="2:9" ht="10.5" x14ac:dyDescent="0.25">
      <c r="B63" s="18" t="s">
        <v>45</v>
      </c>
      <c r="C63" s="18"/>
      <c r="D63" s="18"/>
      <c r="E63" s="18"/>
      <c r="F63" s="28" t="s">
        <v>47</v>
      </c>
      <c r="G63" s="29" t="s">
        <v>47</v>
      </c>
      <c r="H63" s="18"/>
      <c r="I63" s="12"/>
    </row>
    <row r="64" spans="2:9" ht="10.5" x14ac:dyDescent="0.25">
      <c r="B64" s="30" t="s">
        <v>48</v>
      </c>
      <c r="C64" s="30"/>
      <c r="D64" s="30"/>
      <c r="E64" s="30"/>
      <c r="F64" s="31">
        <f>F61</f>
        <v>18457.764091800007</v>
      </c>
      <c r="G64" s="32">
        <f>G61</f>
        <v>100.19609859355364</v>
      </c>
      <c r="H64" s="18"/>
      <c r="I64" s="12"/>
    </row>
    <row r="65" spans="2:9" ht="10.5" x14ac:dyDescent="0.25">
      <c r="B65" s="18" t="s">
        <v>49</v>
      </c>
      <c r="C65" s="18"/>
      <c r="D65" s="18"/>
      <c r="E65" s="18"/>
      <c r="F65" s="24">
        <v>102.45126980000001</v>
      </c>
      <c r="G65" s="25">
        <v>0.55614631755294597</v>
      </c>
      <c r="H65" s="23">
        <v>5.2499999999999998E-2</v>
      </c>
      <c r="I65" s="13"/>
    </row>
    <row r="66" spans="2:9" x14ac:dyDescent="0.2">
      <c r="B66" s="19"/>
      <c r="C66" s="19"/>
      <c r="D66" s="19"/>
      <c r="E66" s="19"/>
      <c r="F66" s="20"/>
      <c r="G66" s="21"/>
      <c r="H66" s="19"/>
    </row>
    <row r="67" spans="2:9" ht="10.5" x14ac:dyDescent="0.25">
      <c r="B67" s="37" t="s">
        <v>51</v>
      </c>
      <c r="C67" s="37"/>
      <c r="D67" s="37"/>
      <c r="E67" s="37"/>
      <c r="F67" s="24">
        <f>F68-(F61+F65)</f>
        <v>-138.57584580000548</v>
      </c>
      <c r="G67" s="25">
        <f>G68-(G61+G65)</f>
        <v>-0.75224491110658676</v>
      </c>
      <c r="H67" s="18"/>
      <c r="I67" s="12"/>
    </row>
    <row r="68" spans="2:9" ht="10.5" x14ac:dyDescent="0.25">
      <c r="B68" s="33" t="s">
        <v>50</v>
      </c>
      <c r="C68" s="33"/>
      <c r="D68" s="33"/>
      <c r="E68" s="33"/>
      <c r="F68" s="34">
        <v>18421.639515800001</v>
      </c>
      <c r="G68" s="35">
        <v>100</v>
      </c>
      <c r="H68" s="36"/>
      <c r="I68" s="12"/>
    </row>
    <row r="69" spans="2:9" ht="10.5" x14ac:dyDescent="0.25">
      <c r="B69" s="12"/>
      <c r="C69" s="12"/>
      <c r="D69" s="12"/>
      <c r="E69" s="12"/>
      <c r="F69" s="49"/>
      <c r="G69" s="50"/>
      <c r="H69" s="12"/>
      <c r="I69" s="12"/>
    </row>
    <row r="70" spans="2:9" ht="10.5" x14ac:dyDescent="0.25">
      <c r="B70" s="12" t="s">
        <v>55</v>
      </c>
    </row>
    <row r="71" spans="2:9" ht="10.5" x14ac:dyDescent="0.25">
      <c r="B71" s="12"/>
    </row>
    <row r="72" spans="2:9" ht="10.5" x14ac:dyDescent="0.2">
      <c r="B72" s="40" t="s">
        <v>53</v>
      </c>
    </row>
    <row r="73" spans="2:9" ht="10.5" x14ac:dyDescent="0.2">
      <c r="B73" s="40"/>
    </row>
    <row r="74" spans="2:9" x14ac:dyDescent="0.2">
      <c r="B74" s="42" t="s">
        <v>155</v>
      </c>
    </row>
    <row r="75" spans="2:9" x14ac:dyDescent="0.2">
      <c r="B75" s="42" t="s">
        <v>159</v>
      </c>
    </row>
    <row r="76" spans="2:9" x14ac:dyDescent="0.2">
      <c r="B76" s="42" t="s">
        <v>160</v>
      </c>
    </row>
    <row r="77" spans="2:9" ht="10.5" x14ac:dyDescent="0.2">
      <c r="B77" s="40"/>
    </row>
    <row r="78" spans="2:9" ht="10.5" x14ac:dyDescent="0.2">
      <c r="B78" s="46" t="s">
        <v>156</v>
      </c>
      <c r="C78" s="43" t="s">
        <v>161</v>
      </c>
      <c r="D78" s="43" t="s">
        <v>157</v>
      </c>
    </row>
    <row r="79" spans="2:9" x14ac:dyDescent="0.2">
      <c r="B79" s="44" t="s">
        <v>158</v>
      </c>
      <c r="C79" s="48">
        <v>8.9727999999999994</v>
      </c>
      <c r="D79" s="47">
        <v>10.37</v>
      </c>
    </row>
    <row r="80" spans="2:9" ht="10.5" x14ac:dyDescent="0.2">
      <c r="B80" s="40"/>
    </row>
    <row r="81" spans="2:2" x14ac:dyDescent="0.2">
      <c r="B81" s="42" t="s">
        <v>162</v>
      </c>
    </row>
    <row r="82" spans="2:2" x14ac:dyDescent="0.2">
      <c r="B82" s="42" t="s">
        <v>163</v>
      </c>
    </row>
    <row r="83" spans="2:2" x14ac:dyDescent="0.2">
      <c r="B83" s="42" t="s">
        <v>164</v>
      </c>
    </row>
    <row r="84" spans="2:2" x14ac:dyDescent="0.2">
      <c r="B84" s="45" t="s">
        <v>170</v>
      </c>
    </row>
    <row r="85" spans="2:2" x14ac:dyDescent="0.2">
      <c r="B85" s="42" t="s">
        <v>165</v>
      </c>
    </row>
    <row r="88" spans="2:2" ht="10.5" x14ac:dyDescent="0.25">
      <c r="B88" s="12" t="s">
        <v>54</v>
      </c>
    </row>
    <row r="104" spans="2:2" ht="10.5" x14ac:dyDescent="0.2">
      <c r="B104" s="40" t="s">
        <v>152</v>
      </c>
    </row>
    <row r="105" spans="2:2" ht="10.5" x14ac:dyDescent="0.25">
      <c r="B105" s="41" t="s">
        <v>153</v>
      </c>
    </row>
  </sheetData>
  <mergeCells count="1">
    <mergeCell ref="B1:C1"/>
  </mergeCells>
  <conditionalFormatting sqref="G1:G3 G5:G120">
    <cfRule type="cellIs" dxfId="0" priority="2" stopIfTrue="1" operator="between">
      <formula>0.009</formula>
      <formula>-0.009</formula>
    </cfRule>
  </conditionalFormatting>
  <hyperlinks>
    <hyperlink ref="A2" location="Index!A1" display="-" xr:uid="{EA008264-F94C-4E0D-BD03-93C8157D112C}"/>
  </hyperlinks>
  <pageMargins left="0.7" right="0.7" top="0.75" bottom="0.75" header="0.3" footer="0.3"/>
  <pageSetup paperSize="9" scale="58" orientation="portrait" r:id="rId1"/>
  <headerFooter>
    <oddFooter>&amp;C&amp;1#&amp;"Calibri"&amp;10&amp;K000000RESTRICTED</oddFooter>
    <evenFooter>&amp;LPUBLIC</evenFooter>
    <firstFooter>&amp;LPUBLIC</firstFooter>
  </headerFooter>
  <colBreaks count="1" manualBreakCount="1">
    <brk id="8" max="720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JBNNX50</vt:lpstr>
      <vt:lpstr>JBNNX50!Print_Area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keywords>PUBLIC</cp:keywords>
  <dc:description>PUBLIC</dc:description>
  <cp:lastModifiedBy/>
  <dcterms:created xsi:type="dcterms:W3CDTF">2006-09-16T00:00:00Z</dcterms:created>
  <dcterms:modified xsi:type="dcterms:W3CDTF">2026-05-08T09:10:15Z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ource">
    <vt:lpwstr>Internal</vt:lpwstr>
  </property>
  <property fmtid="{D5CDD505-2E9C-101B-9397-08002B2CF9AE}" pid="3" name="Footers">
    <vt:lpwstr>Footers</vt:lpwstr>
  </property>
  <property fmtid="{D5CDD505-2E9C-101B-9397-08002B2CF9AE}" pid="4" name="MSIP_Label_f851b4f6-a95e-46a7-8457-84c26f440032_Enabled">
    <vt:lpwstr>true</vt:lpwstr>
  </property>
  <property fmtid="{D5CDD505-2E9C-101B-9397-08002B2CF9AE}" pid="5" name="MSIP_Label_f851b4f6-a95e-46a7-8457-84c26f440032_SetDate">
    <vt:lpwstr>2025-12-04T08:50:42Z</vt:lpwstr>
  </property>
  <property fmtid="{D5CDD505-2E9C-101B-9397-08002B2CF9AE}" pid="6" name="MSIP_Label_f851b4f6-a95e-46a7-8457-84c26f440032_Method">
    <vt:lpwstr>Privileged</vt:lpwstr>
  </property>
  <property fmtid="{D5CDD505-2E9C-101B-9397-08002B2CF9AE}" pid="7" name="MSIP_Label_f851b4f6-a95e-46a7-8457-84c26f440032_Name">
    <vt:lpwstr>CLARESTRI</vt:lpwstr>
  </property>
  <property fmtid="{D5CDD505-2E9C-101B-9397-08002B2CF9AE}" pid="8" name="MSIP_Label_f851b4f6-a95e-46a7-8457-84c26f440032_SiteId">
    <vt:lpwstr>e0fd434d-ba64-497b-90d2-859c472e1a92</vt:lpwstr>
  </property>
  <property fmtid="{D5CDD505-2E9C-101B-9397-08002B2CF9AE}" pid="9" name="MSIP_Label_f851b4f6-a95e-46a7-8457-84c26f440032_ActionId">
    <vt:lpwstr>49350c0e-e69c-418e-b18a-2209837d064f</vt:lpwstr>
  </property>
  <property fmtid="{D5CDD505-2E9C-101B-9397-08002B2CF9AE}" pid="10" name="MSIP_Label_f851b4f6-a95e-46a7-8457-84c26f440032_ContentBits">
    <vt:lpwstr>2</vt:lpwstr>
  </property>
  <property fmtid="{D5CDD505-2E9C-101B-9397-08002B2CF9AE}" pid="11" name="Classification">
    <vt:lpwstr>RESTRICTED</vt:lpwstr>
  </property>
</Properties>
</file>