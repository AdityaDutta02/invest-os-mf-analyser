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45CCFF2B-BE45-49CB-9455-44D95F5FB27D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NM150" sheetId="9" r:id="rId1"/>
  </sheets>
  <definedNames>
    <definedName name="_xlnm.Print_Area" localSheetId="0">JBNM150!$B$1:$H$204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9" l="1"/>
  <c r="G163" i="9" s="1"/>
  <c r="F157" i="9"/>
  <c r="F160" i="9" s="1"/>
  <c r="G160" i="9" l="1"/>
  <c r="F163" i="9"/>
</calcChain>
</file>

<file path=xl/sharedStrings.xml><?xml version="1.0" encoding="utf-8"?>
<sst xmlns="http://schemas.openxmlformats.org/spreadsheetml/2006/main" count="476" uniqueCount="363">
  <si>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</si>
  <si>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</si>
  <si>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</si>
  <si>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</si>
  <si>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</si>
  <si>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</si>
  <si>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</si>
  <si>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</si>
  <si>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</si>
  <si>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</si>
  <si>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</si>
  <si>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</si>
  <si>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</si>
  <si>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</si>
  <si>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</si>
  <si>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</si>
  <si>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</si>
  <si>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</si>
  <si>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</si>
  <si>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</si>
  <si>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</si>
  <si>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</si>
  <si>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</si>
  <si>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</si>
  <si>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</si>
  <si>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Consumer Durables</t>
  </si>
  <si>
    <t>Power</t>
  </si>
  <si>
    <t>Aerospace &amp; Defense</t>
  </si>
  <si>
    <t>Ferrous Metals</t>
  </si>
  <si>
    <t>Cement &amp; Cement Products</t>
  </si>
  <si>
    <t>Transport Services</t>
  </si>
  <si>
    <t>Non - Ferrous Metals</t>
  </si>
  <si>
    <t>Transport Infrastructure</t>
  </si>
  <si>
    <t>Oil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</si>
  <si>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</si>
  <si>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</si>
  <si>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</si>
  <si>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</si>
  <si>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</si>
  <si>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</si>
  <si>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</si>
  <si>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</si>
  <si>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Auto Components</t>
  </si>
  <si>
    <t>Gas</t>
  </si>
  <si>
    <t>Realty</t>
  </si>
  <si>
    <t>Electrical Equipment</t>
  </si>
  <si>
    <t>Personal Products</t>
  </si>
  <si>
    <t>Chemicals &amp; Petrochemicals</t>
  </si>
  <si>
    <t>Industrial Manufacturing</t>
  </si>
  <si>
    <t>BSE Ltd</t>
  </si>
  <si>
    <t>INE118H01025</t>
  </si>
  <si>
    <t>Capital Markets</t>
  </si>
  <si>
    <t>Hero MotoCorp Ltd</t>
  </si>
  <si>
    <t>INE158A01026</t>
  </si>
  <si>
    <t>Persistent Systems Ltd</t>
  </si>
  <si>
    <t>INE262H01021</t>
  </si>
  <si>
    <t>Suzlon Energy Ltd</t>
  </si>
  <si>
    <t>INE040H01021</t>
  </si>
  <si>
    <t>Coforge Ltd</t>
  </si>
  <si>
    <t>INE591G01025</t>
  </si>
  <si>
    <t>Federal Bank Ltd</t>
  </si>
  <si>
    <t>INE171A01029</t>
  </si>
  <si>
    <t>PB Fintech Ltd</t>
  </si>
  <si>
    <t>INE417T01026</t>
  </si>
  <si>
    <t>Financial Technology (Fintech)</t>
  </si>
  <si>
    <t>Cummins India Ltd</t>
  </si>
  <si>
    <t>INE298A01020</t>
  </si>
  <si>
    <t>Industrial Products</t>
  </si>
  <si>
    <t>Dixon Technologies (India) Ltd</t>
  </si>
  <si>
    <t>INE935N01020</t>
  </si>
  <si>
    <t>IndusInd Bank Ltd</t>
  </si>
  <si>
    <t>INE095A01012</t>
  </si>
  <si>
    <t>HDFC Asset Management Co Ltd</t>
  </si>
  <si>
    <t>INE127D01025</t>
  </si>
  <si>
    <t>AU Small Finance Bank Ltd</t>
  </si>
  <si>
    <t>INE949L01017</t>
  </si>
  <si>
    <t>Indus Towers Ltd</t>
  </si>
  <si>
    <t>INE121J01017</t>
  </si>
  <si>
    <t>Lupin Ltd</t>
  </si>
  <si>
    <t>INE326A01037</t>
  </si>
  <si>
    <t>IDFC First Bank Ltd</t>
  </si>
  <si>
    <t>INE092T01019</t>
  </si>
  <si>
    <t>One 97 Communications Ltd</t>
  </si>
  <si>
    <t>INE982J01020</t>
  </si>
  <si>
    <t>Fortis Healthcare Ltd</t>
  </si>
  <si>
    <t>INE061F01013</t>
  </si>
  <si>
    <t>Ashok Leyland Ltd</t>
  </si>
  <si>
    <t>INE208A01029</t>
  </si>
  <si>
    <t>Agricultural, Commercial &amp; Construction Vehicles</t>
  </si>
  <si>
    <t>Yes Bank Ltd</t>
  </si>
  <si>
    <t>INE528G01035</t>
  </si>
  <si>
    <t>Max Financial Services Ltd</t>
  </si>
  <si>
    <t>INE180A01020</t>
  </si>
  <si>
    <t>Hindustan Petroleum Corporation Ltd</t>
  </si>
  <si>
    <t>INE094A01015</t>
  </si>
  <si>
    <t>UPL Ltd</t>
  </si>
  <si>
    <t>INE628A01036</t>
  </si>
  <si>
    <t>Fertilizers &amp; Agrochemicals</t>
  </si>
  <si>
    <t>SRF Ltd</t>
  </si>
  <si>
    <t>INE647A01010</t>
  </si>
  <si>
    <t>Muthoot Finance Ltd</t>
  </si>
  <si>
    <t>INE414G01012</t>
  </si>
  <si>
    <t>GMR Airports Ltd</t>
  </si>
  <si>
    <t>INE776C01039</t>
  </si>
  <si>
    <t>Bharat Forge Ltd</t>
  </si>
  <si>
    <t>INE465A01025</t>
  </si>
  <si>
    <t>Marico Ltd</t>
  </si>
  <si>
    <t>INE196A01026</t>
  </si>
  <si>
    <t>Polycab India Ltd</t>
  </si>
  <si>
    <t>INE455K01017</t>
  </si>
  <si>
    <t>Bharat Heavy Electricals Ltd</t>
  </si>
  <si>
    <t>INE257A01026</t>
  </si>
  <si>
    <t>FSN E-Commerce Ventures Ltd</t>
  </si>
  <si>
    <t>INE388Y01029</t>
  </si>
  <si>
    <t>Ge Vernova T&amp;D India Ltd</t>
  </si>
  <si>
    <t>INE200A01026</t>
  </si>
  <si>
    <t>Aurobindo Pharma Ltd</t>
  </si>
  <si>
    <t>INE406A01037</t>
  </si>
  <si>
    <t>Sundaram Finance Ltd</t>
  </si>
  <si>
    <t>INE660A01013</t>
  </si>
  <si>
    <t>Phoenix Mills Ltd</t>
  </si>
  <si>
    <t>INE211B01039</t>
  </si>
  <si>
    <t>Swiggy Ltd</t>
  </si>
  <si>
    <t>INE00H001014</t>
  </si>
  <si>
    <t>Alkem Laboratories Ltd</t>
  </si>
  <si>
    <t>INE540L01014</t>
  </si>
  <si>
    <t>Mphasis Ltd</t>
  </si>
  <si>
    <t>INE356A01018</t>
  </si>
  <si>
    <t>Godrej Properties Ltd</t>
  </si>
  <si>
    <t>INE484J01027</t>
  </si>
  <si>
    <t>Voltas Ltd</t>
  </si>
  <si>
    <t>INE226A01021</t>
  </si>
  <si>
    <t>APL Apollo Tubes Ltd</t>
  </si>
  <si>
    <t>INE702C01027</t>
  </si>
  <si>
    <t>MRF Ltd</t>
  </si>
  <si>
    <t>INE883A01011</t>
  </si>
  <si>
    <t>Indian Bank</t>
  </si>
  <si>
    <t>INE562A01011</t>
  </si>
  <si>
    <t>Dabur India Ltd</t>
  </si>
  <si>
    <t>INE016A01026</t>
  </si>
  <si>
    <t>Waaree Energies Ltd</t>
  </si>
  <si>
    <t>INE377N01017</t>
  </si>
  <si>
    <t>Tube Investments of India Ltd</t>
  </si>
  <si>
    <t>INE974X01010</t>
  </si>
  <si>
    <t>Union Bank Of India</t>
  </si>
  <si>
    <t>INE692A01016</t>
  </si>
  <si>
    <t>Glenmark Pharmaceuticals Ltd</t>
  </si>
  <si>
    <t>INE935A01035</t>
  </si>
  <si>
    <t>Colgate Palmolive (India) Ltd</t>
  </si>
  <si>
    <t>INE259A01022</t>
  </si>
  <si>
    <t>Vishal Mega Mart Ltd</t>
  </si>
  <si>
    <t>INE01EA01019</t>
  </si>
  <si>
    <t>Prestige Estates Projects Ltd</t>
  </si>
  <si>
    <t>INE811K01011</t>
  </si>
  <si>
    <t>Coromandel International Ltd</t>
  </si>
  <si>
    <t>INE169A01031</t>
  </si>
  <si>
    <t>Hitachi Energy India Ltd</t>
  </si>
  <si>
    <t>INE07Y701011</t>
  </si>
  <si>
    <t>PI Industries Ltd</t>
  </si>
  <si>
    <t>INE603J01030</t>
  </si>
  <si>
    <t>Vodafone Idea Ltd</t>
  </si>
  <si>
    <t>INE669E01016</t>
  </si>
  <si>
    <t>Aditya Birla Capital Ltd</t>
  </si>
  <si>
    <t>INE674K01013</t>
  </si>
  <si>
    <t>360 One Wam Ltd</t>
  </si>
  <si>
    <t>INE466L01038</t>
  </si>
  <si>
    <t>SBI Cards and Payment Services Ltd</t>
  </si>
  <si>
    <t>INE018E01016</t>
  </si>
  <si>
    <t>KEI Industries Ltd</t>
  </si>
  <si>
    <t>INE878B01027</t>
  </si>
  <si>
    <t>NMDC Ltd</t>
  </si>
  <si>
    <t>INE584A01023</t>
  </si>
  <si>
    <t>Minerals &amp; Mining</t>
  </si>
  <si>
    <t>L&amp;T Finance Ltd</t>
  </si>
  <si>
    <t>INE498L01015</t>
  </si>
  <si>
    <t>Mankind Pharma Ltd</t>
  </si>
  <si>
    <t>INE634S01028</t>
  </si>
  <si>
    <t>Torrent Power Ltd</t>
  </si>
  <si>
    <t>INE813H01021</t>
  </si>
  <si>
    <t>Jindal Stainless Ltd</t>
  </si>
  <si>
    <t>INE220G01021</t>
  </si>
  <si>
    <t>Mahindra &amp; Mahindra Financial Services Ltd</t>
  </si>
  <si>
    <t>INE774D01024</t>
  </si>
  <si>
    <t>ICICI Prudential Life Insurance Co Ltd</t>
  </si>
  <si>
    <t>INE726G01019</t>
  </si>
  <si>
    <t>NHPC Ltd</t>
  </si>
  <si>
    <t>INE848E01016</t>
  </si>
  <si>
    <t>Page Industries Ltd</t>
  </si>
  <si>
    <t>INE761H01022</t>
  </si>
  <si>
    <t>Textiles &amp; Apparels</t>
  </si>
  <si>
    <t>J.K. Cement Ltd</t>
  </si>
  <si>
    <t>INE823G01014</t>
  </si>
  <si>
    <t>Biocon Ltd</t>
  </si>
  <si>
    <t>INE376G01013</t>
  </si>
  <si>
    <t>Jubilant Foodworks Ltd</t>
  </si>
  <si>
    <t>INE797F01020</t>
  </si>
  <si>
    <t>Uno Minda Ltd</t>
  </si>
  <si>
    <t>INE405E01023</t>
  </si>
  <si>
    <t>National Aluminium Co Ltd</t>
  </si>
  <si>
    <t>INE139A01034</t>
  </si>
  <si>
    <t>Sona Blw Precision Forgings Ltd</t>
  </si>
  <si>
    <t>INE073K01018</t>
  </si>
  <si>
    <t>Blue Star Ltd</t>
  </si>
  <si>
    <t>INE472A01039</t>
  </si>
  <si>
    <t>Oil India Ltd</t>
  </si>
  <si>
    <t>INE274J01014</t>
  </si>
  <si>
    <t>Supreme Industries Ltd</t>
  </si>
  <si>
    <t>INE195A01028</t>
  </si>
  <si>
    <t>Tata Communications Ltd</t>
  </si>
  <si>
    <t>INE151A01013</t>
  </si>
  <si>
    <t>Indian Railway Catering And Tourism Corporation Ltd</t>
  </si>
  <si>
    <t>INE335Y01020</t>
  </si>
  <si>
    <t>Petronet LNG Ltd</t>
  </si>
  <si>
    <t>INE347G01014</t>
  </si>
  <si>
    <t>IPCA Laboratories Ltd</t>
  </si>
  <si>
    <t>INE571A01038</t>
  </si>
  <si>
    <t>KPIT Technologies Ltd</t>
  </si>
  <si>
    <t>INE04I401011</t>
  </si>
  <si>
    <t>Steel Authority of India Ltd</t>
  </si>
  <si>
    <t>INE114A01011</t>
  </si>
  <si>
    <t>ITC Hotels Ltd</t>
  </si>
  <si>
    <t>INE379A01028</t>
  </si>
  <si>
    <t>Kalyan Jewellers India Ltd</t>
  </si>
  <si>
    <t>INE303R01014</t>
  </si>
  <si>
    <t>Oberoi Realty Ltd</t>
  </si>
  <si>
    <t>INE093I01010</t>
  </si>
  <si>
    <t>Patanjali Foods Ltd</t>
  </si>
  <si>
    <t>INE619A01035</t>
  </si>
  <si>
    <t>Agricultural Food &amp; other Products</t>
  </si>
  <si>
    <t>Oracle Financial Services Software Ltd</t>
  </si>
  <si>
    <t>INE881D01027</t>
  </si>
  <si>
    <t>Balkrishna Industries Ltd</t>
  </si>
  <si>
    <t>INE787D01026</t>
  </si>
  <si>
    <t>Rail Vikas Nigam Ltd</t>
  </si>
  <si>
    <t>INE415G01027</t>
  </si>
  <si>
    <t>Tata Elxsi Ltd</t>
  </si>
  <si>
    <t>INE670A01012</t>
  </si>
  <si>
    <t>Bank of India</t>
  </si>
  <si>
    <t>INE084A01016</t>
  </si>
  <si>
    <t>Astral Ltd</t>
  </si>
  <si>
    <t>INE006I01046</t>
  </si>
  <si>
    <t>Container Corporation Of India Ltd</t>
  </si>
  <si>
    <t>INE111A01025</t>
  </si>
  <si>
    <t>Exide Industries Ltd</t>
  </si>
  <si>
    <t>INE302A01020</t>
  </si>
  <si>
    <t>Adani Total Gas Ltd</t>
  </si>
  <si>
    <t>INE399L01023</t>
  </si>
  <si>
    <t>Apollo Tyres Ltd</t>
  </si>
  <si>
    <t>INE438A01022</t>
  </si>
  <si>
    <t>LIC Housing Finance Ltd</t>
  </si>
  <si>
    <t>INE115A01026</t>
  </si>
  <si>
    <t>Berger Paints India Ltd</t>
  </si>
  <si>
    <t>INE463A01038</t>
  </si>
  <si>
    <t>Dalmia Bharat Ltd</t>
  </si>
  <si>
    <t>INE00R701025</t>
  </si>
  <si>
    <t>Lloyds Metals And Energy Ltd</t>
  </si>
  <si>
    <t>INE281B01032</t>
  </si>
  <si>
    <t>Abbott India Ltd</t>
  </si>
  <si>
    <t>INE358A01014</t>
  </si>
  <si>
    <t>Schaeffler India Ltd</t>
  </si>
  <si>
    <t>INE513A01022</t>
  </si>
  <si>
    <t>Apar Industries Ltd</t>
  </si>
  <si>
    <t>INE372A01015</t>
  </si>
  <si>
    <t>Nippon Life India Asset Management Ltd</t>
  </si>
  <si>
    <t>INE298J01013</t>
  </si>
  <si>
    <t>AIA Engineering Ltd</t>
  </si>
  <si>
    <t>INE212H01026</t>
  </si>
  <si>
    <t>Motilal Oswal Financial Services Ltd</t>
  </si>
  <si>
    <t>INE338I01027</t>
  </si>
  <si>
    <t>Cochin Shipyard Ltd</t>
  </si>
  <si>
    <t>INE704P01025</t>
  </si>
  <si>
    <t>Indraprastha Gas Ltd</t>
  </si>
  <si>
    <t>INE203G01027</t>
  </si>
  <si>
    <t>Gujarat Fluorochemicals Ltd</t>
  </si>
  <si>
    <t>INE09N301011</t>
  </si>
  <si>
    <t>Bharat Dynamics Ltd</t>
  </si>
  <si>
    <t>INE171Z01026</t>
  </si>
  <si>
    <t>Bharti Hexacom Ltd</t>
  </si>
  <si>
    <t>INE343G01021</t>
  </si>
  <si>
    <t>Escorts Kubota Ltd</t>
  </si>
  <si>
    <t>INE042A01014</t>
  </si>
  <si>
    <t>Linde India Ltd</t>
  </si>
  <si>
    <t>INE473A01011</t>
  </si>
  <si>
    <t>Syngene International Ltd</t>
  </si>
  <si>
    <t>INE398R01022</t>
  </si>
  <si>
    <t>L&amp;T Technology Services Ltd</t>
  </si>
  <si>
    <t>INE010V01017</t>
  </si>
  <si>
    <t>IT - Services</t>
  </si>
  <si>
    <t>United Breweries Ltd</t>
  </si>
  <si>
    <t>INE686F01025</t>
  </si>
  <si>
    <t>Procter &amp; Gamble Hygiene and Health Care Ltd</t>
  </si>
  <si>
    <t>INE179A01014</t>
  </si>
  <si>
    <t>Housing &amp; Urban Development Corporation Ltd</t>
  </si>
  <si>
    <t>INE031A01017</t>
  </si>
  <si>
    <t>K.P.R. Mill Ltd</t>
  </si>
  <si>
    <t>INE930H01031</t>
  </si>
  <si>
    <t>General Insurance Corporation Of India</t>
  </si>
  <si>
    <t>INE481Y01014</t>
  </si>
  <si>
    <t>Godfrey Phillips India Ltd</t>
  </si>
  <si>
    <t>INE260B01028</t>
  </si>
  <si>
    <t>Cigarettes &amp; Tobacco Products</t>
  </si>
  <si>
    <t>Tata Technologies Ltd</t>
  </si>
  <si>
    <t>INE142M01025</t>
  </si>
  <si>
    <t>ACC Ltd</t>
  </si>
  <si>
    <t>INE012A01025</t>
  </si>
  <si>
    <t>Indian Renewable Energy Development Agency Ltd</t>
  </si>
  <si>
    <t>INE202E01016</t>
  </si>
  <si>
    <t>Thermax Ltd</t>
  </si>
  <si>
    <t>INE152A01029</t>
  </si>
  <si>
    <t>Premier Energies Ltd</t>
  </si>
  <si>
    <t>INE0BS701011</t>
  </si>
  <si>
    <t>CRISIL Ltd</t>
  </si>
  <si>
    <t>INE007A01025</t>
  </si>
  <si>
    <t>Ajanta Pharma Ltd</t>
  </si>
  <si>
    <t>INE031B01049</t>
  </si>
  <si>
    <t>Deepak Nitrite Ltd</t>
  </si>
  <si>
    <t>INE288B01029</t>
  </si>
  <si>
    <t>Glaxosmithkline Pharmaceuticals Ltd</t>
  </si>
  <si>
    <t>INE159A01016</t>
  </si>
  <si>
    <t>Global Health Ltd</t>
  </si>
  <si>
    <t>INE474Q01031</t>
  </si>
  <si>
    <t>Hexaware Technologies Ltd</t>
  </si>
  <si>
    <t>INE093A01041</t>
  </si>
  <si>
    <t>3M India Ltd</t>
  </si>
  <si>
    <t>INE470A01017</t>
  </si>
  <si>
    <t>Diversified</t>
  </si>
  <si>
    <t>Tata Investment Corporation Ltd</t>
  </si>
  <si>
    <t>INE672A01026</t>
  </si>
  <si>
    <t>Endurance Technologies Ltd</t>
  </si>
  <si>
    <t>INE913H01037</t>
  </si>
  <si>
    <t>Bank Of Maharashtra</t>
  </si>
  <si>
    <t>INE457A01014</t>
  </si>
  <si>
    <t>NTPC Green Energy Ltd</t>
  </si>
  <si>
    <t>INE0ONG01011</t>
  </si>
  <si>
    <t>JSW Infrastructure Ltd</t>
  </si>
  <si>
    <t>INE880J01026</t>
  </si>
  <si>
    <t>Awl Agri Business Ltd</t>
  </si>
  <si>
    <t>INE699H01024</t>
  </si>
  <si>
    <t>IRB Infrastructure Developers Ltd</t>
  </si>
  <si>
    <t>INE821I01022</t>
  </si>
  <si>
    <t>NLC India Ltd</t>
  </si>
  <si>
    <t>INE589A01014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</si>
  <si>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</si>
  <si>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</si>
  <si>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</si>
  <si>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</si>
  <si>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</si>
  <si>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</si>
  <si>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</si>
  <si>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</si>
  <si>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</si>
  <si>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</si>
  <si>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</si>
  <si>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</si>
  <si>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</si>
  <si>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</si>
  <si>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</si>
  <si>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</si>
  <si>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</si>
  <si>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</si>
  <si>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Benchmark Risk-O-Meter</t>
  </si>
  <si>
    <t>Benchmark Name - NIFTY Midcap 150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</si>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</sst>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5" fillId="3" borderId="0" xfId="0" applyNumberFormat="1" applyFont="1" applyFill="1" applyBorder="1"/>
    <xf numFmtId="0" fontId="9" fillId="2" borderId="0" xfId="0" applyFont="1" applyFill="1"/>
    <xf numFmtId="164" fontId="5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39" fontId="9" fillId="2" borderId="2" xfId="0" applyNumberFormat="1" applyFont="1" applyFill="1" applyBorder="1" applyAlignment="1">
      <alignment horizontal="right"/>
    </xf>
    <xf numFmtId="39" fontId="9" fillId="3" borderId="2" xfId="0" applyNumberFormat="1" applyFont="1" applyFill="1" applyBorder="1" applyAlignment="1">
      <alignment horizontal="right"/>
    </xf>
    <xf numFmtId="39" fontId="9" fillId="2" borderId="4" xfId="0" applyNumberFormat="1" applyFont="1" applyFill="1" applyBorder="1" applyAlignment="1">
      <alignment horizontal="right"/>
    </xf>
    <xf numFmtId="39" fontId="9" fillId="3" borderId="4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9" fillId="2" borderId="0" xfId="0" applyFont="1" applyFill="1" applyBorder="1"/>
    <xf numFmtId="0" fontId="9" fillId="2" borderId="0" xfId="0" applyNumberFormat="1" applyFont="1" applyFill="1" applyBorder="1"/>
    <xf numFmtId="39" fontId="9" fillId="2" borderId="0" xfId="0" applyNumberFormat="1" applyFont="1" applyFill="1" applyBorder="1"/>
    <xf numFmtId="39" fontId="9" fillId="3" borderId="0" xfId="0" applyNumberFormat="1" applyFont="1" applyFill="1" applyBorder="1"/>
    <xf numFmtId="0" fontId="6" fillId="0" borderId="0" xfId="0" applyFont="1" applyAlignment="1">
      <alignment horizontal="left" vertical="top" wrapText="1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695325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D1F24-7825-45BD-A307-9C745AB4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3935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600075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14B2D2-6629-4148-B5DA-6B5A5629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7070050"/>
          <a:ext cx="3571875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5933-6CE4-4D0E-BD9C-392101AD08AA}">
  <dimension ref="A1:I204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.140625" style="8" bestFit="1" customWidth="1"/>
    <col min="4" max="4" width="32.140625" style="8" bestFit="1" customWidth="1"/>
    <col min="5" max="5" width="13.85546875" style="9" bestFit="1" customWidth="1"/>
    <col min="6" max="6" width="12.7109375" style="11" bestFit="1" customWidth="1"/>
    <col min="7" max="7" width="6.7109375" style="14" bestFit="1" customWidth="1"/>
    <col min="8" max="8" width="13.85546875" style="8" bestFit="1" customWidth="1"/>
    <col min="9" max="16384" width="9.140625" style="8"/>
  </cols>
  <sheetData>
    <row r="1" spans="1:9" s="1" customFormat="1" ht="16.7" customHeight="1" x14ac:dyDescent="0.2">
      <c r="B1" s="56" t="s">
        <v>7</v>
      </c>
      <c r="C1" s="57"/>
      <c r="D1" s="13"/>
      <c r="E1" s="6"/>
      <c r="F1" s="7"/>
      <c r="G1" s="14"/>
    </row>
    <row r="2" spans="1:9" s="1" customFormat="1" ht="15" x14ac:dyDescent="0.25">
      <c r="A2" s="48" t="s">
        <v>362</v>
      </c>
      <c r="E2" s="6"/>
      <c r="F2" s="7"/>
      <c r="G2" s="14"/>
    </row>
    <row r="3" spans="1:9" s="1" customFormat="1" ht="12" x14ac:dyDescent="0.2">
      <c r="B3" s="10" t="s">
        <v>6</v>
      </c>
      <c r="C3" s="2"/>
      <c r="D3" s="3"/>
      <c r="E3" s="4"/>
      <c r="F3" s="5"/>
      <c r="G3" s="14"/>
    </row>
    <row r="4" spans="1:9" s="1" customFormat="1" ht="25.5" customHeight="1" x14ac:dyDescent="0.2">
      <c r="B4" s="17" t="s">
        <v>4</v>
      </c>
      <c r="C4" s="17" t="s">
        <v>5</v>
      </c>
      <c r="D4" s="18" t="s">
        <v>39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x14ac:dyDescent="0.2">
      <c r="B5" s="22" t="s">
        <v>14</v>
      </c>
      <c r="C5" s="23"/>
      <c r="D5" s="23"/>
      <c r="E5" s="24"/>
      <c r="F5" s="25"/>
      <c r="G5" s="26"/>
      <c r="H5" s="23"/>
    </row>
    <row r="6" spans="1:9" x14ac:dyDescent="0.2">
      <c r="B6" s="22" t="s">
        <v>15</v>
      </c>
      <c r="C6" s="23"/>
      <c r="D6" s="23"/>
      <c r="E6" s="24"/>
      <c r="F6" s="25"/>
      <c r="G6" s="26"/>
      <c r="H6" s="23"/>
    </row>
    <row r="7" spans="1:9" x14ac:dyDescent="0.2">
      <c r="B7" s="23" t="s">
        <v>49</v>
      </c>
      <c r="C7" s="23" t="s">
        <v>50</v>
      </c>
      <c r="D7" s="23" t="s">
        <v>51</v>
      </c>
      <c r="E7" s="27">
        <v>17602</v>
      </c>
      <c r="F7" s="25">
        <v>510.880448</v>
      </c>
      <c r="G7" s="26">
        <v>3.08907744605761</v>
      </c>
      <c r="H7" s="23"/>
    </row>
    <row r="8" spans="1:9" x14ac:dyDescent="0.2">
      <c r="B8" s="23" t="s">
        <v>52</v>
      </c>
      <c r="C8" s="23" t="s">
        <v>53</v>
      </c>
      <c r="D8" s="23" t="s">
        <v>21</v>
      </c>
      <c r="E8" s="27">
        <v>5595</v>
      </c>
      <c r="F8" s="25">
        <v>345.46327500000001</v>
      </c>
      <c r="G8" s="26">
        <v>2.08886994094496</v>
      </c>
      <c r="H8" s="23"/>
    </row>
    <row r="9" spans="1:9" x14ac:dyDescent="0.2">
      <c r="B9" s="23" t="s">
        <v>54</v>
      </c>
      <c r="C9" s="23" t="s">
        <v>55</v>
      </c>
      <c r="D9" s="23" t="s">
        <v>19</v>
      </c>
      <c r="E9" s="27">
        <v>4625</v>
      </c>
      <c r="F9" s="25">
        <v>293.82625000000002</v>
      </c>
      <c r="G9" s="26">
        <v>1.77664274584782</v>
      </c>
      <c r="H9" s="23"/>
    </row>
    <row r="10" spans="1:9" x14ac:dyDescent="0.2">
      <c r="B10" s="23" t="s">
        <v>56</v>
      </c>
      <c r="C10" s="23" t="s">
        <v>57</v>
      </c>
      <c r="D10" s="23" t="s">
        <v>45</v>
      </c>
      <c r="E10" s="27">
        <v>522774</v>
      </c>
      <c r="F10" s="25">
        <v>282.35023740000003</v>
      </c>
      <c r="G10" s="26">
        <v>1.7072521637025999</v>
      </c>
      <c r="H10" s="23"/>
    </row>
    <row r="11" spans="1:9" x14ac:dyDescent="0.2">
      <c r="B11" s="23" t="s">
        <v>58</v>
      </c>
      <c r="C11" s="23" t="s">
        <v>59</v>
      </c>
      <c r="D11" s="23" t="s">
        <v>19</v>
      </c>
      <c r="E11" s="27">
        <v>14408</v>
      </c>
      <c r="F11" s="25">
        <v>275.00549599999999</v>
      </c>
      <c r="G11" s="26">
        <v>1.6628416267664401</v>
      </c>
      <c r="H11" s="23"/>
    </row>
    <row r="12" spans="1:9" x14ac:dyDescent="0.2">
      <c r="B12" s="23" t="s">
        <v>60</v>
      </c>
      <c r="C12" s="23" t="s">
        <v>61</v>
      </c>
      <c r="D12" s="23" t="s">
        <v>16</v>
      </c>
      <c r="E12" s="27">
        <v>105941</v>
      </c>
      <c r="F12" s="25">
        <v>273.24302719999997</v>
      </c>
      <c r="G12" s="26">
        <v>1.65218472525303</v>
      </c>
      <c r="H12" s="23"/>
    </row>
    <row r="13" spans="1:9" x14ac:dyDescent="0.2">
      <c r="B13" s="23" t="s">
        <v>62</v>
      </c>
      <c r="C13" s="23" t="s">
        <v>63</v>
      </c>
      <c r="D13" s="23" t="s">
        <v>64</v>
      </c>
      <c r="E13" s="27">
        <v>14534</v>
      </c>
      <c r="F13" s="25">
        <v>264.358926</v>
      </c>
      <c r="G13" s="26">
        <v>1.59846633232402</v>
      </c>
      <c r="H13" s="23"/>
    </row>
    <row r="14" spans="1:9" x14ac:dyDescent="0.2">
      <c r="B14" s="23" t="s">
        <v>65</v>
      </c>
      <c r="C14" s="23" t="s">
        <v>66</v>
      </c>
      <c r="D14" s="23" t="s">
        <v>67</v>
      </c>
      <c r="E14" s="27">
        <v>5824</v>
      </c>
      <c r="F14" s="25">
        <v>260.87443200000001</v>
      </c>
      <c r="G14" s="26">
        <v>1.5773970745975601</v>
      </c>
      <c r="H14" s="23"/>
    </row>
    <row r="15" spans="1:9" x14ac:dyDescent="0.2">
      <c r="B15" s="23" t="s">
        <v>68</v>
      </c>
      <c r="C15" s="23" t="s">
        <v>69</v>
      </c>
      <c r="D15" s="23" t="s">
        <v>25</v>
      </c>
      <c r="E15" s="27">
        <v>1767</v>
      </c>
      <c r="F15" s="25">
        <v>257.99966999999998</v>
      </c>
      <c r="G15" s="26">
        <v>1.5600146077371599</v>
      </c>
      <c r="H15" s="23"/>
    </row>
    <row r="16" spans="1:9" x14ac:dyDescent="0.2">
      <c r="B16" s="23" t="s">
        <v>70</v>
      </c>
      <c r="C16" s="23" t="s">
        <v>71</v>
      </c>
      <c r="D16" s="23" t="s">
        <v>16</v>
      </c>
      <c r="E16" s="27">
        <v>28386</v>
      </c>
      <c r="F16" s="25">
        <v>243.70800299999999</v>
      </c>
      <c r="G16" s="26">
        <v>1.473598957326</v>
      </c>
      <c r="H16" s="23"/>
    </row>
    <row r="17" spans="2:8" x14ac:dyDescent="0.2">
      <c r="B17" s="23" t="s">
        <v>72</v>
      </c>
      <c r="C17" s="23" t="s">
        <v>73</v>
      </c>
      <c r="D17" s="23" t="s">
        <v>51</v>
      </c>
      <c r="E17" s="27">
        <v>8761</v>
      </c>
      <c r="F17" s="25">
        <v>234.18153000000001</v>
      </c>
      <c r="G17" s="26">
        <v>1.41599641450021</v>
      </c>
      <c r="H17" s="23"/>
    </row>
    <row r="18" spans="2:8" x14ac:dyDescent="0.2">
      <c r="B18" s="23" t="s">
        <v>74</v>
      </c>
      <c r="C18" s="23" t="s">
        <v>75</v>
      </c>
      <c r="D18" s="23" t="s">
        <v>16</v>
      </c>
      <c r="E18" s="27">
        <v>24255</v>
      </c>
      <c r="F18" s="25">
        <v>231.6958875</v>
      </c>
      <c r="G18" s="26">
        <v>1.4009667882622701</v>
      </c>
      <c r="H18" s="23"/>
    </row>
    <row r="19" spans="2:8" x14ac:dyDescent="0.2">
      <c r="B19" s="23" t="s">
        <v>76</v>
      </c>
      <c r="C19" s="23" t="s">
        <v>77</v>
      </c>
      <c r="D19" s="23" t="s">
        <v>18</v>
      </c>
      <c r="E19" s="27">
        <v>56965</v>
      </c>
      <c r="F19" s="25">
        <v>228.4581325</v>
      </c>
      <c r="G19" s="26">
        <v>1.3813894566467899</v>
      </c>
      <c r="H19" s="23"/>
    </row>
    <row r="20" spans="2:8" x14ac:dyDescent="0.2">
      <c r="B20" s="23" t="s">
        <v>78</v>
      </c>
      <c r="C20" s="23" t="s">
        <v>79</v>
      </c>
      <c r="D20" s="23" t="s">
        <v>24</v>
      </c>
      <c r="E20" s="27">
        <v>10427</v>
      </c>
      <c r="F20" s="25">
        <v>217.11099400000001</v>
      </c>
      <c r="G20" s="26">
        <v>1.31277812153921</v>
      </c>
      <c r="H20" s="23"/>
    </row>
    <row r="21" spans="2:8" x14ac:dyDescent="0.2">
      <c r="B21" s="23" t="s">
        <v>80</v>
      </c>
      <c r="C21" s="23" t="s">
        <v>81</v>
      </c>
      <c r="D21" s="23" t="s">
        <v>16</v>
      </c>
      <c r="E21" s="27">
        <v>270555</v>
      </c>
      <c r="F21" s="25">
        <v>216.79572150000001</v>
      </c>
      <c r="G21" s="26">
        <v>1.31087180241323</v>
      </c>
      <c r="H21" s="23"/>
    </row>
    <row r="22" spans="2:8" x14ac:dyDescent="0.2">
      <c r="B22" s="23" t="s">
        <v>82</v>
      </c>
      <c r="C22" s="23" t="s">
        <v>83</v>
      </c>
      <c r="D22" s="23" t="s">
        <v>64</v>
      </c>
      <c r="E22" s="27">
        <v>15834</v>
      </c>
      <c r="F22" s="25">
        <v>209.103804</v>
      </c>
      <c r="G22" s="26">
        <v>1.2643620388096199</v>
      </c>
      <c r="H22" s="23"/>
    </row>
    <row r="23" spans="2:8" x14ac:dyDescent="0.2">
      <c r="B23" s="23" t="s">
        <v>84</v>
      </c>
      <c r="C23" s="23" t="s">
        <v>85</v>
      </c>
      <c r="D23" s="23" t="s">
        <v>35</v>
      </c>
      <c r="E23" s="27">
        <v>22460</v>
      </c>
      <c r="F23" s="25">
        <v>206.42985999999999</v>
      </c>
      <c r="G23" s="26">
        <v>1.2481938332445801</v>
      </c>
      <c r="H23" s="23"/>
    </row>
    <row r="24" spans="2:8" x14ac:dyDescent="0.2">
      <c r="B24" s="23" t="s">
        <v>86</v>
      </c>
      <c r="C24" s="23" t="s">
        <v>87</v>
      </c>
      <c r="D24" s="23" t="s">
        <v>88</v>
      </c>
      <c r="E24" s="27">
        <v>123315</v>
      </c>
      <c r="F24" s="25">
        <v>194.98567800000001</v>
      </c>
      <c r="G24" s="26">
        <v>1.1789957172407799</v>
      </c>
      <c r="H24" s="23"/>
    </row>
    <row r="25" spans="2:8" x14ac:dyDescent="0.2">
      <c r="B25" s="23" t="s">
        <v>89</v>
      </c>
      <c r="C25" s="23" t="s">
        <v>90</v>
      </c>
      <c r="D25" s="23" t="s">
        <v>16</v>
      </c>
      <c r="E25" s="27">
        <v>848770</v>
      </c>
      <c r="F25" s="25">
        <v>194.622961</v>
      </c>
      <c r="G25" s="26">
        <v>1.1768025213406701</v>
      </c>
      <c r="H25" s="23"/>
    </row>
    <row r="26" spans="2:8" x14ac:dyDescent="0.2">
      <c r="B26" s="23" t="s">
        <v>91</v>
      </c>
      <c r="C26" s="23" t="s">
        <v>92</v>
      </c>
      <c r="D26" s="23" t="s">
        <v>34</v>
      </c>
      <c r="E26" s="27">
        <v>11358</v>
      </c>
      <c r="F26" s="25">
        <v>193.32451800000001</v>
      </c>
      <c r="G26" s="26">
        <v>1.1689513870841199</v>
      </c>
      <c r="H26" s="23"/>
    </row>
    <row r="27" spans="2:8" x14ac:dyDescent="0.2">
      <c r="B27" s="23" t="s">
        <v>93</v>
      </c>
      <c r="C27" s="23" t="s">
        <v>94</v>
      </c>
      <c r="D27" s="23" t="s">
        <v>17</v>
      </c>
      <c r="E27" s="27">
        <v>41391</v>
      </c>
      <c r="F27" s="25">
        <v>189.36382499999999</v>
      </c>
      <c r="G27" s="26">
        <v>1.1450027559220699</v>
      </c>
      <c r="H27" s="23"/>
    </row>
    <row r="28" spans="2:8" x14ac:dyDescent="0.2">
      <c r="B28" s="23" t="s">
        <v>95</v>
      </c>
      <c r="C28" s="23" t="s">
        <v>96</v>
      </c>
      <c r="D28" s="23" t="s">
        <v>97</v>
      </c>
      <c r="E28" s="27">
        <v>24505</v>
      </c>
      <c r="F28" s="25">
        <v>185.9071825</v>
      </c>
      <c r="G28" s="26">
        <v>1.1241019044065399</v>
      </c>
      <c r="H28" s="23"/>
    </row>
    <row r="29" spans="2:8" x14ac:dyDescent="0.2">
      <c r="B29" s="23" t="s">
        <v>98</v>
      </c>
      <c r="C29" s="23" t="s">
        <v>99</v>
      </c>
      <c r="D29" s="23" t="s">
        <v>47</v>
      </c>
      <c r="E29" s="27">
        <v>6256</v>
      </c>
      <c r="F29" s="25">
        <v>183.131888</v>
      </c>
      <c r="G29" s="26">
        <v>1.1073208753425401</v>
      </c>
      <c r="H29" s="23"/>
    </row>
    <row r="30" spans="2:8" x14ac:dyDescent="0.2">
      <c r="B30" s="23" t="s">
        <v>100</v>
      </c>
      <c r="C30" s="23" t="s">
        <v>101</v>
      </c>
      <c r="D30" s="23" t="s">
        <v>22</v>
      </c>
      <c r="E30" s="27">
        <v>4622</v>
      </c>
      <c r="F30" s="25">
        <v>173.05692400000001</v>
      </c>
      <c r="G30" s="26">
        <v>1.0464018400103401</v>
      </c>
      <c r="H30" s="23"/>
    </row>
    <row r="31" spans="2:8" x14ac:dyDescent="0.2">
      <c r="B31" s="23" t="s">
        <v>102</v>
      </c>
      <c r="C31" s="23" t="s">
        <v>103</v>
      </c>
      <c r="D31" s="23" t="s">
        <v>32</v>
      </c>
      <c r="E31" s="27">
        <v>153783</v>
      </c>
      <c r="F31" s="25">
        <v>166.62388050000001</v>
      </c>
      <c r="G31" s="26">
        <v>1.0075039536982799</v>
      </c>
      <c r="H31" s="23"/>
    </row>
    <row r="32" spans="2:8" x14ac:dyDescent="0.2">
      <c r="B32" s="23" t="s">
        <v>104</v>
      </c>
      <c r="C32" s="23" t="s">
        <v>105</v>
      </c>
      <c r="D32" s="23" t="s">
        <v>42</v>
      </c>
      <c r="E32" s="27">
        <v>11491</v>
      </c>
      <c r="F32" s="25">
        <v>164.757958</v>
      </c>
      <c r="G32" s="26">
        <v>0.99622151152730498</v>
      </c>
      <c r="H32" s="23"/>
    </row>
    <row r="33" spans="2:8" x14ac:dyDescent="0.2">
      <c r="B33" s="23" t="s">
        <v>106</v>
      </c>
      <c r="C33" s="23" t="s">
        <v>107</v>
      </c>
      <c r="D33" s="23" t="s">
        <v>36</v>
      </c>
      <c r="E33" s="27">
        <v>22811</v>
      </c>
      <c r="F33" s="25">
        <v>163.64611400000001</v>
      </c>
      <c r="G33" s="26">
        <v>0.98949866230224603</v>
      </c>
      <c r="H33" s="23"/>
    </row>
    <row r="34" spans="2:8" x14ac:dyDescent="0.2">
      <c r="B34" s="23" t="s">
        <v>108</v>
      </c>
      <c r="C34" s="23" t="s">
        <v>109</v>
      </c>
      <c r="D34" s="23" t="s">
        <v>67</v>
      </c>
      <c r="E34" s="27">
        <v>2167</v>
      </c>
      <c r="F34" s="25">
        <v>161.8749</v>
      </c>
      <c r="G34" s="26">
        <v>0.97878888227257199</v>
      </c>
      <c r="H34" s="23"/>
    </row>
    <row r="35" spans="2:8" x14ac:dyDescent="0.2">
      <c r="B35" s="23" t="s">
        <v>110</v>
      </c>
      <c r="C35" s="23" t="s">
        <v>111</v>
      </c>
      <c r="D35" s="23" t="s">
        <v>45</v>
      </c>
      <c r="E35" s="27">
        <v>55385</v>
      </c>
      <c r="F35" s="25">
        <v>161.08727250000001</v>
      </c>
      <c r="G35" s="26">
        <v>0.97402643274906797</v>
      </c>
      <c r="H35" s="23"/>
    </row>
    <row r="36" spans="2:8" x14ac:dyDescent="0.2">
      <c r="B36" s="23" t="s">
        <v>112</v>
      </c>
      <c r="C36" s="23" t="s">
        <v>113</v>
      </c>
      <c r="D36" s="23" t="s">
        <v>23</v>
      </c>
      <c r="E36" s="27">
        <v>58820</v>
      </c>
      <c r="F36" s="25">
        <v>157.231742</v>
      </c>
      <c r="G36" s="26">
        <v>0.950713674633617</v>
      </c>
      <c r="H36" s="23"/>
    </row>
    <row r="37" spans="2:8" x14ac:dyDescent="0.2">
      <c r="B37" s="23" t="s">
        <v>114</v>
      </c>
      <c r="C37" s="23" t="s">
        <v>115</v>
      </c>
      <c r="D37" s="23" t="s">
        <v>45</v>
      </c>
      <c r="E37" s="27">
        <v>5343</v>
      </c>
      <c r="F37" s="25">
        <v>153.953202</v>
      </c>
      <c r="G37" s="26">
        <v>0.93088973341675196</v>
      </c>
      <c r="H37" s="23"/>
    </row>
    <row r="38" spans="2:8" x14ac:dyDescent="0.2">
      <c r="B38" s="23" t="s">
        <v>116</v>
      </c>
      <c r="C38" s="23" t="s">
        <v>117</v>
      </c>
      <c r="D38" s="23" t="s">
        <v>24</v>
      </c>
      <c r="E38" s="27">
        <v>12053</v>
      </c>
      <c r="F38" s="25">
        <v>147.854151</v>
      </c>
      <c r="G38" s="26">
        <v>0.89401135813304</v>
      </c>
      <c r="H38" s="23"/>
    </row>
    <row r="39" spans="2:8" x14ac:dyDescent="0.2">
      <c r="B39" s="23" t="s">
        <v>118</v>
      </c>
      <c r="C39" s="23" t="s">
        <v>119</v>
      </c>
      <c r="D39" s="23" t="s">
        <v>22</v>
      </c>
      <c r="E39" s="27">
        <v>2967</v>
      </c>
      <c r="F39" s="25">
        <v>140.297562</v>
      </c>
      <c r="G39" s="26">
        <v>0.84831986858708097</v>
      </c>
      <c r="H39" s="23"/>
    </row>
    <row r="40" spans="2:8" x14ac:dyDescent="0.2">
      <c r="B40" s="23" t="s">
        <v>120</v>
      </c>
      <c r="C40" s="23" t="s">
        <v>121</v>
      </c>
      <c r="D40" s="23" t="s">
        <v>44</v>
      </c>
      <c r="E40" s="27">
        <v>8041</v>
      </c>
      <c r="F40" s="25">
        <v>139.65608800000001</v>
      </c>
      <c r="G40" s="26">
        <v>0.844441147306222</v>
      </c>
      <c r="H40" s="23"/>
    </row>
    <row r="41" spans="2:8" x14ac:dyDescent="0.2">
      <c r="B41" s="23" t="s">
        <v>122</v>
      </c>
      <c r="C41" s="23" t="s">
        <v>123</v>
      </c>
      <c r="D41" s="23" t="s">
        <v>23</v>
      </c>
      <c r="E41" s="27">
        <v>36619</v>
      </c>
      <c r="F41" s="25">
        <v>138.52967699999999</v>
      </c>
      <c r="G41" s="26">
        <v>0.83763021760884704</v>
      </c>
      <c r="H41" s="23"/>
    </row>
    <row r="42" spans="2:8" x14ac:dyDescent="0.2">
      <c r="B42" s="23" t="s">
        <v>124</v>
      </c>
      <c r="C42" s="23" t="s">
        <v>125</v>
      </c>
      <c r="D42" s="23" t="s">
        <v>24</v>
      </c>
      <c r="E42" s="27">
        <v>2427</v>
      </c>
      <c r="F42" s="25">
        <v>137.97495000000001</v>
      </c>
      <c r="G42" s="26">
        <v>0.83427601865461498</v>
      </c>
      <c r="H42" s="23"/>
    </row>
    <row r="43" spans="2:8" x14ac:dyDescent="0.2">
      <c r="B43" s="23" t="s">
        <v>126</v>
      </c>
      <c r="C43" s="23" t="s">
        <v>127</v>
      </c>
      <c r="D43" s="23" t="s">
        <v>19</v>
      </c>
      <c r="E43" s="27">
        <v>4907</v>
      </c>
      <c r="F43" s="25">
        <v>137.955398</v>
      </c>
      <c r="G43" s="26">
        <v>0.83415779600103401</v>
      </c>
      <c r="H43" s="23"/>
    </row>
    <row r="44" spans="2:8" x14ac:dyDescent="0.2">
      <c r="B44" s="23" t="s">
        <v>128</v>
      </c>
      <c r="C44" s="23" t="s">
        <v>129</v>
      </c>
      <c r="D44" s="23" t="s">
        <v>44</v>
      </c>
      <c r="E44" s="27">
        <v>6475</v>
      </c>
      <c r="F44" s="25">
        <v>136.92035000000001</v>
      </c>
      <c r="G44" s="26">
        <v>0.82789929962501496</v>
      </c>
      <c r="H44" s="23"/>
    </row>
    <row r="45" spans="2:8" x14ac:dyDescent="0.2">
      <c r="B45" s="23" t="s">
        <v>130</v>
      </c>
      <c r="C45" s="23" t="s">
        <v>131</v>
      </c>
      <c r="D45" s="23" t="s">
        <v>25</v>
      </c>
      <c r="E45" s="27">
        <v>9813</v>
      </c>
      <c r="F45" s="25">
        <v>135.056319</v>
      </c>
      <c r="G45" s="26">
        <v>0.81662829455250896</v>
      </c>
      <c r="H45" s="23"/>
    </row>
    <row r="46" spans="2:8" x14ac:dyDescent="0.2">
      <c r="B46" s="23" t="s">
        <v>132</v>
      </c>
      <c r="C46" s="23" t="s">
        <v>133</v>
      </c>
      <c r="D46" s="23" t="s">
        <v>67</v>
      </c>
      <c r="E46" s="27">
        <v>7817</v>
      </c>
      <c r="F46" s="25">
        <v>134.36641299999999</v>
      </c>
      <c r="G46" s="26">
        <v>0.81245672550373604</v>
      </c>
      <c r="H46" s="23"/>
    </row>
    <row r="47" spans="2:8" x14ac:dyDescent="0.2">
      <c r="B47" s="23" t="s">
        <v>134</v>
      </c>
      <c r="C47" s="23" t="s">
        <v>135</v>
      </c>
      <c r="D47" s="23" t="s">
        <v>42</v>
      </c>
      <c r="E47" s="27">
        <v>87</v>
      </c>
      <c r="F47" s="25">
        <v>132.6054</v>
      </c>
      <c r="G47" s="26">
        <v>0.801808626595644</v>
      </c>
      <c r="H47" s="23"/>
    </row>
    <row r="48" spans="2:8" x14ac:dyDescent="0.2">
      <c r="B48" s="23" t="s">
        <v>136</v>
      </c>
      <c r="C48" s="23" t="s">
        <v>137</v>
      </c>
      <c r="D48" s="23" t="s">
        <v>16</v>
      </c>
      <c r="E48" s="27">
        <v>15231</v>
      </c>
      <c r="F48" s="25">
        <v>132.5477775</v>
      </c>
      <c r="G48" s="26">
        <v>0.80146020777117699</v>
      </c>
      <c r="H48" s="23"/>
    </row>
    <row r="49" spans="2:8" x14ac:dyDescent="0.2">
      <c r="B49" s="23" t="s">
        <v>138</v>
      </c>
      <c r="C49" s="23" t="s">
        <v>139</v>
      </c>
      <c r="D49" s="23" t="s">
        <v>46</v>
      </c>
      <c r="E49" s="27">
        <v>25413</v>
      </c>
      <c r="F49" s="25">
        <v>131.486862</v>
      </c>
      <c r="G49" s="26">
        <v>0.79504530159096798</v>
      </c>
      <c r="H49" s="23"/>
    </row>
    <row r="50" spans="2:8" x14ac:dyDescent="0.2">
      <c r="B50" s="23" t="s">
        <v>140</v>
      </c>
      <c r="C50" s="23" t="s">
        <v>141</v>
      </c>
      <c r="D50" s="23" t="s">
        <v>45</v>
      </c>
      <c r="E50" s="27">
        <v>4085</v>
      </c>
      <c r="F50" s="25">
        <v>129.59662499999999</v>
      </c>
      <c r="G50" s="26">
        <v>0.78361583994830297</v>
      </c>
      <c r="H50" s="23"/>
    </row>
    <row r="51" spans="2:8" x14ac:dyDescent="0.2">
      <c r="B51" s="23" t="s">
        <v>142</v>
      </c>
      <c r="C51" s="23" t="s">
        <v>143</v>
      </c>
      <c r="D51" s="23" t="s">
        <v>42</v>
      </c>
      <c r="E51" s="27">
        <v>4602</v>
      </c>
      <c r="F51" s="25">
        <v>128.13808800000001</v>
      </c>
      <c r="G51" s="26">
        <v>0.77479668515665101</v>
      </c>
      <c r="H51" s="23"/>
    </row>
    <row r="52" spans="2:8" x14ac:dyDescent="0.2">
      <c r="B52" s="23" t="s">
        <v>144</v>
      </c>
      <c r="C52" s="23" t="s">
        <v>145</v>
      </c>
      <c r="D52" s="23" t="s">
        <v>16</v>
      </c>
      <c r="E52" s="27">
        <v>83279</v>
      </c>
      <c r="F52" s="25">
        <v>127.6417233</v>
      </c>
      <c r="G52" s="26">
        <v>0.77179537828379696</v>
      </c>
      <c r="H52" s="23"/>
    </row>
    <row r="53" spans="2:8" x14ac:dyDescent="0.2">
      <c r="B53" s="23" t="s">
        <v>146</v>
      </c>
      <c r="C53" s="23" t="s">
        <v>147</v>
      </c>
      <c r="D53" s="23" t="s">
        <v>24</v>
      </c>
      <c r="E53" s="27">
        <v>6490</v>
      </c>
      <c r="F53" s="25">
        <v>126.30838</v>
      </c>
      <c r="G53" s="26">
        <v>0.76373321671154204</v>
      </c>
      <c r="H53" s="23"/>
    </row>
    <row r="54" spans="2:8" x14ac:dyDescent="0.2">
      <c r="B54" s="23" t="s">
        <v>148</v>
      </c>
      <c r="C54" s="23" t="s">
        <v>149</v>
      </c>
      <c r="D54" s="23" t="s">
        <v>46</v>
      </c>
      <c r="E54" s="27">
        <v>5676</v>
      </c>
      <c r="F54" s="25">
        <v>123.089736</v>
      </c>
      <c r="G54" s="26">
        <v>0.74427144120963695</v>
      </c>
      <c r="H54" s="23"/>
    </row>
    <row r="55" spans="2:8" x14ac:dyDescent="0.2">
      <c r="B55" s="23" t="s">
        <v>150</v>
      </c>
      <c r="C55" s="23" t="s">
        <v>151</v>
      </c>
      <c r="D55" s="23" t="s">
        <v>23</v>
      </c>
      <c r="E55" s="27">
        <v>90324</v>
      </c>
      <c r="F55" s="25">
        <v>122.659992</v>
      </c>
      <c r="G55" s="26">
        <v>0.74167296146124295</v>
      </c>
      <c r="H55" s="23"/>
    </row>
    <row r="56" spans="2:8" x14ac:dyDescent="0.2">
      <c r="B56" s="23" t="s">
        <v>152</v>
      </c>
      <c r="C56" s="23" t="s">
        <v>153</v>
      </c>
      <c r="D56" s="23" t="s">
        <v>44</v>
      </c>
      <c r="E56" s="27">
        <v>7271</v>
      </c>
      <c r="F56" s="25">
        <v>121.95648300000001</v>
      </c>
      <c r="G56" s="26">
        <v>0.73741914083940097</v>
      </c>
      <c r="H56" s="23"/>
    </row>
    <row r="57" spans="2:8" x14ac:dyDescent="0.2">
      <c r="B57" s="23" t="s">
        <v>154</v>
      </c>
      <c r="C57" s="23" t="s">
        <v>155</v>
      </c>
      <c r="D57" s="23" t="s">
        <v>97</v>
      </c>
      <c r="E57" s="27">
        <v>5089</v>
      </c>
      <c r="F57" s="25">
        <v>121.225069</v>
      </c>
      <c r="G57" s="26">
        <v>0.73299659051480703</v>
      </c>
      <c r="H57" s="23"/>
    </row>
    <row r="58" spans="2:8" x14ac:dyDescent="0.2">
      <c r="B58" s="23" t="s">
        <v>156</v>
      </c>
      <c r="C58" s="23" t="s">
        <v>157</v>
      </c>
      <c r="D58" s="23" t="s">
        <v>45</v>
      </c>
      <c r="E58" s="27">
        <v>548</v>
      </c>
      <c r="F58" s="25">
        <v>120.86687999999999</v>
      </c>
      <c r="G58" s="26">
        <v>0.730830773510736</v>
      </c>
      <c r="H58" s="23"/>
    </row>
    <row r="59" spans="2:8" x14ac:dyDescent="0.2">
      <c r="B59" s="23" t="s">
        <v>158</v>
      </c>
      <c r="C59" s="23" t="s">
        <v>159</v>
      </c>
      <c r="D59" s="23" t="s">
        <v>97</v>
      </c>
      <c r="E59" s="27">
        <v>3491</v>
      </c>
      <c r="F59" s="25">
        <v>118.540396</v>
      </c>
      <c r="G59" s="26">
        <v>0.71676351123607196</v>
      </c>
      <c r="H59" s="23"/>
    </row>
    <row r="60" spans="2:8" x14ac:dyDescent="0.2">
      <c r="B60" s="23" t="s">
        <v>160</v>
      </c>
      <c r="C60" s="23" t="s">
        <v>161</v>
      </c>
      <c r="D60" s="23" t="s">
        <v>18</v>
      </c>
      <c r="E60" s="27">
        <v>1189963</v>
      </c>
      <c r="F60" s="25">
        <v>118.52031479999999</v>
      </c>
      <c r="G60" s="26">
        <v>0.71664208873448199</v>
      </c>
      <c r="H60" s="23"/>
    </row>
    <row r="61" spans="2:8" x14ac:dyDescent="0.2">
      <c r="B61" s="23" t="s">
        <v>162</v>
      </c>
      <c r="C61" s="23" t="s">
        <v>163</v>
      </c>
      <c r="D61" s="23" t="s">
        <v>22</v>
      </c>
      <c r="E61" s="27">
        <v>32944</v>
      </c>
      <c r="F61" s="25">
        <v>117.95599199999999</v>
      </c>
      <c r="G61" s="26">
        <v>0.71322986804645105</v>
      </c>
      <c r="H61" s="23"/>
    </row>
    <row r="62" spans="2:8" x14ac:dyDescent="0.2">
      <c r="B62" s="23" t="s">
        <v>164</v>
      </c>
      <c r="C62" s="23" t="s">
        <v>165</v>
      </c>
      <c r="D62" s="23" t="s">
        <v>51</v>
      </c>
      <c r="E62" s="27">
        <v>9945</v>
      </c>
      <c r="F62" s="25">
        <v>117.66924</v>
      </c>
      <c r="G62" s="26">
        <v>0.71149600029073701</v>
      </c>
      <c r="H62" s="23"/>
    </row>
    <row r="63" spans="2:8" x14ac:dyDescent="0.2">
      <c r="B63" s="23" t="s">
        <v>166</v>
      </c>
      <c r="C63" s="23" t="s">
        <v>167</v>
      </c>
      <c r="D63" s="23" t="s">
        <v>22</v>
      </c>
      <c r="E63" s="27">
        <v>12918</v>
      </c>
      <c r="F63" s="25">
        <v>113.697777</v>
      </c>
      <c r="G63" s="26">
        <v>0.68748224750536402</v>
      </c>
      <c r="H63" s="23"/>
    </row>
    <row r="64" spans="2:8" x14ac:dyDescent="0.2">
      <c r="B64" s="23" t="s">
        <v>168</v>
      </c>
      <c r="C64" s="23" t="s">
        <v>169</v>
      </c>
      <c r="D64" s="23" t="s">
        <v>67</v>
      </c>
      <c r="E64" s="27">
        <v>2657</v>
      </c>
      <c r="F64" s="25">
        <v>110.14859199999999</v>
      </c>
      <c r="G64" s="26">
        <v>0.66602183073211196</v>
      </c>
      <c r="H64" s="23"/>
    </row>
    <row r="65" spans="2:8" x14ac:dyDescent="0.2">
      <c r="B65" s="23" t="s">
        <v>170</v>
      </c>
      <c r="C65" s="23" t="s">
        <v>171</v>
      </c>
      <c r="D65" s="23" t="s">
        <v>172</v>
      </c>
      <c r="E65" s="27">
        <v>148964</v>
      </c>
      <c r="F65" s="25">
        <v>110.11418879999999</v>
      </c>
      <c r="G65" s="26">
        <v>0.66581380916932098</v>
      </c>
      <c r="H65" s="23"/>
    </row>
    <row r="66" spans="2:8" x14ac:dyDescent="0.2">
      <c r="B66" s="23" t="s">
        <v>173</v>
      </c>
      <c r="C66" s="23" t="s">
        <v>174</v>
      </c>
      <c r="D66" s="23" t="s">
        <v>22</v>
      </c>
      <c r="E66" s="27">
        <v>35139</v>
      </c>
      <c r="F66" s="25">
        <v>109.75666649999999</v>
      </c>
      <c r="G66" s="26">
        <v>0.66365202341745599</v>
      </c>
      <c r="H66" s="23"/>
    </row>
    <row r="67" spans="2:8" x14ac:dyDescent="0.2">
      <c r="B67" s="23" t="s">
        <v>175</v>
      </c>
      <c r="C67" s="23" t="s">
        <v>176</v>
      </c>
      <c r="D67" s="23" t="s">
        <v>24</v>
      </c>
      <c r="E67" s="27">
        <v>4873</v>
      </c>
      <c r="F67" s="25">
        <v>109.69123</v>
      </c>
      <c r="G67" s="26">
        <v>0.66325635664827298</v>
      </c>
      <c r="H67" s="23"/>
    </row>
    <row r="68" spans="2:8" x14ac:dyDescent="0.2">
      <c r="B68" s="23" t="s">
        <v>177</v>
      </c>
      <c r="C68" s="23" t="s">
        <v>178</v>
      </c>
      <c r="D68" s="23" t="s">
        <v>26</v>
      </c>
      <c r="E68" s="27">
        <v>8200</v>
      </c>
      <c r="F68" s="25">
        <v>107.789</v>
      </c>
      <c r="G68" s="26">
        <v>0.65175437841986805</v>
      </c>
      <c r="H68" s="23"/>
    </row>
    <row r="69" spans="2:8" x14ac:dyDescent="0.2">
      <c r="B69" s="23" t="s">
        <v>179</v>
      </c>
      <c r="C69" s="23" t="s">
        <v>180</v>
      </c>
      <c r="D69" s="23" t="s">
        <v>28</v>
      </c>
      <c r="E69" s="27">
        <v>13842</v>
      </c>
      <c r="F69" s="25">
        <v>106.728741</v>
      </c>
      <c r="G69" s="26">
        <v>0.64534344181679004</v>
      </c>
      <c r="H69" s="23"/>
    </row>
    <row r="70" spans="2:8" x14ac:dyDescent="0.2">
      <c r="B70" s="23" t="s">
        <v>181</v>
      </c>
      <c r="C70" s="23" t="s">
        <v>182</v>
      </c>
      <c r="D70" s="23" t="s">
        <v>22</v>
      </c>
      <c r="E70" s="27">
        <v>28509</v>
      </c>
      <c r="F70" s="25">
        <v>106.0107165</v>
      </c>
      <c r="G70" s="26">
        <v>0.64100185212129501</v>
      </c>
      <c r="H70" s="23"/>
    </row>
    <row r="71" spans="2:8" x14ac:dyDescent="0.2">
      <c r="B71" s="23" t="s">
        <v>183</v>
      </c>
      <c r="C71" s="23" t="s">
        <v>184</v>
      </c>
      <c r="D71" s="23" t="s">
        <v>34</v>
      </c>
      <c r="E71" s="27">
        <v>16906</v>
      </c>
      <c r="F71" s="25">
        <v>104.774935</v>
      </c>
      <c r="G71" s="26">
        <v>0.633529605385587</v>
      </c>
      <c r="H71" s="23"/>
    </row>
    <row r="72" spans="2:8" x14ac:dyDescent="0.2">
      <c r="B72" s="23" t="s">
        <v>185</v>
      </c>
      <c r="C72" s="23" t="s">
        <v>186</v>
      </c>
      <c r="D72" s="23" t="s">
        <v>26</v>
      </c>
      <c r="E72" s="27">
        <v>136355</v>
      </c>
      <c r="F72" s="25">
        <v>104.63882700000001</v>
      </c>
      <c r="G72" s="26">
        <v>0.63270661802196004</v>
      </c>
      <c r="H72" s="23"/>
    </row>
    <row r="73" spans="2:8" x14ac:dyDescent="0.2">
      <c r="B73" s="23" t="s">
        <v>187</v>
      </c>
      <c r="C73" s="23" t="s">
        <v>188</v>
      </c>
      <c r="D73" s="23" t="s">
        <v>189</v>
      </c>
      <c r="E73" s="27">
        <v>272</v>
      </c>
      <c r="F73" s="25">
        <v>104.2304</v>
      </c>
      <c r="G73" s="26">
        <v>0.63023703313375401</v>
      </c>
      <c r="H73" s="23"/>
    </row>
    <row r="74" spans="2:8" x14ac:dyDescent="0.2">
      <c r="B74" s="23" t="s">
        <v>190</v>
      </c>
      <c r="C74" s="23" t="s">
        <v>191</v>
      </c>
      <c r="D74" s="23" t="s">
        <v>29</v>
      </c>
      <c r="E74" s="27">
        <v>1804</v>
      </c>
      <c r="F74" s="25">
        <v>103.87432</v>
      </c>
      <c r="G74" s="26">
        <v>0.62808396835842595</v>
      </c>
      <c r="H74" s="23"/>
    </row>
    <row r="75" spans="2:8" x14ac:dyDescent="0.2">
      <c r="B75" s="23" t="s">
        <v>192</v>
      </c>
      <c r="C75" s="23" t="s">
        <v>193</v>
      </c>
      <c r="D75" s="23" t="s">
        <v>24</v>
      </c>
      <c r="E75" s="27">
        <v>25887</v>
      </c>
      <c r="F75" s="25">
        <v>103.1208645</v>
      </c>
      <c r="G75" s="26">
        <v>0.62352814242934695</v>
      </c>
      <c r="H75" s="23"/>
    </row>
    <row r="76" spans="2:8" x14ac:dyDescent="0.2">
      <c r="B76" s="23" t="s">
        <v>194</v>
      </c>
      <c r="C76" s="23" t="s">
        <v>195</v>
      </c>
      <c r="D76" s="23" t="s">
        <v>40</v>
      </c>
      <c r="E76" s="27">
        <v>16876</v>
      </c>
      <c r="F76" s="25">
        <v>101.50914</v>
      </c>
      <c r="G76" s="26">
        <v>0.61378272777959997</v>
      </c>
      <c r="H76" s="23"/>
    </row>
    <row r="77" spans="2:8" x14ac:dyDescent="0.2">
      <c r="B77" s="23" t="s">
        <v>196</v>
      </c>
      <c r="C77" s="23" t="s">
        <v>197</v>
      </c>
      <c r="D77" s="23" t="s">
        <v>42</v>
      </c>
      <c r="E77" s="27">
        <v>7739</v>
      </c>
      <c r="F77" s="25">
        <v>101.133252</v>
      </c>
      <c r="G77" s="26">
        <v>0.61150989242723996</v>
      </c>
      <c r="H77" s="23"/>
    </row>
    <row r="78" spans="2:8" x14ac:dyDescent="0.2">
      <c r="B78" s="23" t="s">
        <v>198</v>
      </c>
      <c r="C78" s="23" t="s">
        <v>199</v>
      </c>
      <c r="D78" s="23" t="s">
        <v>31</v>
      </c>
      <c r="E78" s="27">
        <v>38650</v>
      </c>
      <c r="F78" s="25">
        <v>100.48227</v>
      </c>
      <c r="G78" s="26">
        <v>0.60757368030195402</v>
      </c>
      <c r="H78" s="23"/>
    </row>
    <row r="79" spans="2:8" x14ac:dyDescent="0.2">
      <c r="B79" s="23" t="s">
        <v>200</v>
      </c>
      <c r="C79" s="23" t="s">
        <v>201</v>
      </c>
      <c r="D79" s="23" t="s">
        <v>42</v>
      </c>
      <c r="E79" s="27">
        <v>19318</v>
      </c>
      <c r="F79" s="25">
        <v>98.859864999999999</v>
      </c>
      <c r="G79" s="26">
        <v>0.59776368519744105</v>
      </c>
      <c r="H79" s="23"/>
    </row>
    <row r="80" spans="2:8" x14ac:dyDescent="0.2">
      <c r="B80" s="23" t="s">
        <v>202</v>
      </c>
      <c r="C80" s="23" t="s">
        <v>203</v>
      </c>
      <c r="D80" s="23" t="s">
        <v>25</v>
      </c>
      <c r="E80" s="27">
        <v>5592</v>
      </c>
      <c r="F80" s="25">
        <v>98.721168000000006</v>
      </c>
      <c r="G80" s="26">
        <v>0.59692504324859996</v>
      </c>
      <c r="H80" s="23"/>
    </row>
    <row r="81" spans="2:8" x14ac:dyDescent="0.2">
      <c r="B81" s="23" t="s">
        <v>204</v>
      </c>
      <c r="C81" s="23" t="s">
        <v>205</v>
      </c>
      <c r="D81" s="23" t="s">
        <v>33</v>
      </c>
      <c r="E81" s="27">
        <v>23507</v>
      </c>
      <c r="F81" s="25">
        <v>97.130923999999993</v>
      </c>
      <c r="G81" s="26">
        <v>0.587309512074213</v>
      </c>
      <c r="H81" s="23"/>
    </row>
    <row r="82" spans="2:8" x14ac:dyDescent="0.2">
      <c r="B82" s="23" t="s">
        <v>206</v>
      </c>
      <c r="C82" s="23" t="s">
        <v>207</v>
      </c>
      <c r="D82" s="23" t="s">
        <v>67</v>
      </c>
      <c r="E82" s="27">
        <v>2783</v>
      </c>
      <c r="F82" s="25">
        <v>94.388227999999998</v>
      </c>
      <c r="G82" s="26">
        <v>0.570725592317331</v>
      </c>
      <c r="H82" s="23"/>
    </row>
    <row r="83" spans="2:8" x14ac:dyDescent="0.2">
      <c r="B83" s="23" t="s">
        <v>208</v>
      </c>
      <c r="C83" s="23" t="s">
        <v>209</v>
      </c>
      <c r="D83" s="23" t="s">
        <v>18</v>
      </c>
      <c r="E83" s="27">
        <v>5062</v>
      </c>
      <c r="F83" s="25">
        <v>91.885424</v>
      </c>
      <c r="G83" s="26">
        <v>0.55559219776569002</v>
      </c>
      <c r="H83" s="23"/>
    </row>
    <row r="84" spans="2:8" x14ac:dyDescent="0.2">
      <c r="B84" s="23" t="s">
        <v>210</v>
      </c>
      <c r="C84" s="23" t="s">
        <v>211</v>
      </c>
      <c r="D84" s="23" t="s">
        <v>40</v>
      </c>
      <c r="E84" s="27">
        <v>13001</v>
      </c>
      <c r="F84" s="25">
        <v>89.277867000000001</v>
      </c>
      <c r="G84" s="26">
        <v>0.53982540624030795</v>
      </c>
      <c r="H84" s="23"/>
    </row>
    <row r="85" spans="2:8" x14ac:dyDescent="0.2">
      <c r="B85" s="23" t="s">
        <v>212</v>
      </c>
      <c r="C85" s="23" t="s">
        <v>213</v>
      </c>
      <c r="D85" s="23" t="s">
        <v>43</v>
      </c>
      <c r="E85" s="27">
        <v>32303</v>
      </c>
      <c r="F85" s="25">
        <v>87.815705500000007</v>
      </c>
      <c r="G85" s="26">
        <v>0.53098433563401304</v>
      </c>
      <c r="H85" s="23"/>
    </row>
    <row r="86" spans="2:8" x14ac:dyDescent="0.2">
      <c r="B86" s="23" t="s">
        <v>214</v>
      </c>
      <c r="C86" s="23" t="s">
        <v>215</v>
      </c>
      <c r="D86" s="23" t="s">
        <v>24</v>
      </c>
      <c r="E86" s="27">
        <v>5990</v>
      </c>
      <c r="F86" s="25">
        <v>87.040689999999998</v>
      </c>
      <c r="G86" s="26">
        <v>0.526298145526783</v>
      </c>
      <c r="H86" s="23"/>
    </row>
    <row r="87" spans="2:8" x14ac:dyDescent="0.2">
      <c r="B87" s="23" t="s">
        <v>216</v>
      </c>
      <c r="C87" s="23" t="s">
        <v>217</v>
      </c>
      <c r="D87" s="23" t="s">
        <v>19</v>
      </c>
      <c r="E87" s="27">
        <v>7053</v>
      </c>
      <c r="F87" s="25">
        <v>86.215872000000005</v>
      </c>
      <c r="G87" s="26">
        <v>0.52131082081925695</v>
      </c>
      <c r="H87" s="23"/>
    </row>
    <row r="88" spans="2:8" x14ac:dyDescent="0.2">
      <c r="B88" s="23" t="s">
        <v>218</v>
      </c>
      <c r="C88" s="23" t="s">
        <v>219</v>
      </c>
      <c r="D88" s="23" t="s">
        <v>28</v>
      </c>
      <c r="E88" s="27">
        <v>62306</v>
      </c>
      <c r="F88" s="25">
        <v>84.057024600000005</v>
      </c>
      <c r="G88" s="26">
        <v>0.50825718598369496</v>
      </c>
      <c r="H88" s="23"/>
    </row>
    <row r="89" spans="2:8" x14ac:dyDescent="0.2">
      <c r="B89" s="23" t="s">
        <v>220</v>
      </c>
      <c r="C89" s="23" t="s">
        <v>221</v>
      </c>
      <c r="D89" s="23" t="s">
        <v>40</v>
      </c>
      <c r="E89" s="27">
        <v>40156</v>
      </c>
      <c r="F89" s="25">
        <v>83.805571999999998</v>
      </c>
      <c r="G89" s="26">
        <v>0.50673675873216595</v>
      </c>
      <c r="H89" s="23"/>
    </row>
    <row r="90" spans="2:8" x14ac:dyDescent="0.2">
      <c r="B90" s="23" t="s">
        <v>222</v>
      </c>
      <c r="C90" s="23" t="s">
        <v>223</v>
      </c>
      <c r="D90" s="23" t="s">
        <v>25</v>
      </c>
      <c r="E90" s="27">
        <v>16579</v>
      </c>
      <c r="F90" s="25">
        <v>83.781976499999999</v>
      </c>
      <c r="G90" s="26">
        <v>0.50659408674860595</v>
      </c>
      <c r="H90" s="23"/>
    </row>
    <row r="91" spans="2:8" x14ac:dyDescent="0.2">
      <c r="B91" s="23" t="s">
        <v>224</v>
      </c>
      <c r="C91" s="23" t="s">
        <v>225</v>
      </c>
      <c r="D91" s="23" t="s">
        <v>44</v>
      </c>
      <c r="E91" s="27">
        <v>5073</v>
      </c>
      <c r="F91" s="25">
        <v>83.562455999999997</v>
      </c>
      <c r="G91" s="26">
        <v>0.505266739365961</v>
      </c>
      <c r="H91" s="23"/>
    </row>
    <row r="92" spans="2:8" x14ac:dyDescent="0.2">
      <c r="B92" s="23" t="s">
        <v>226</v>
      </c>
      <c r="C92" s="23" t="s">
        <v>227</v>
      </c>
      <c r="D92" s="23" t="s">
        <v>228</v>
      </c>
      <c r="E92" s="27">
        <v>14657</v>
      </c>
      <c r="F92" s="25">
        <v>83.273745500000004</v>
      </c>
      <c r="G92" s="26">
        <v>0.50352102939118804</v>
      </c>
      <c r="H92" s="23"/>
    </row>
    <row r="93" spans="2:8" x14ac:dyDescent="0.2">
      <c r="B93" s="23" t="s">
        <v>229</v>
      </c>
      <c r="C93" s="23" t="s">
        <v>230</v>
      </c>
      <c r="D93" s="23" t="s">
        <v>19</v>
      </c>
      <c r="E93" s="27">
        <v>1023</v>
      </c>
      <c r="F93" s="25">
        <v>82.934610000000006</v>
      </c>
      <c r="G93" s="26">
        <v>0.50147042082257098</v>
      </c>
      <c r="H93" s="23"/>
    </row>
    <row r="94" spans="2:8" x14ac:dyDescent="0.2">
      <c r="B94" s="23" t="s">
        <v>231</v>
      </c>
      <c r="C94" s="23" t="s">
        <v>232</v>
      </c>
      <c r="D94" s="23" t="s">
        <v>42</v>
      </c>
      <c r="E94" s="27">
        <v>3451</v>
      </c>
      <c r="F94" s="25">
        <v>79.680138999999997</v>
      </c>
      <c r="G94" s="26">
        <v>0.48179201464299398</v>
      </c>
      <c r="H94" s="23"/>
    </row>
    <row r="95" spans="2:8" x14ac:dyDescent="0.2">
      <c r="B95" s="23" t="s">
        <v>233</v>
      </c>
      <c r="C95" s="23" t="s">
        <v>234</v>
      </c>
      <c r="D95" s="23" t="s">
        <v>20</v>
      </c>
      <c r="E95" s="27">
        <v>24465</v>
      </c>
      <c r="F95" s="25">
        <v>79.291065000000003</v>
      </c>
      <c r="G95" s="26">
        <v>0.47943944913974801</v>
      </c>
      <c r="H95" s="23"/>
    </row>
    <row r="96" spans="2:8" x14ac:dyDescent="0.2">
      <c r="B96" s="23" t="s">
        <v>235</v>
      </c>
      <c r="C96" s="23" t="s">
        <v>236</v>
      </c>
      <c r="D96" s="23" t="s">
        <v>19</v>
      </c>
      <c r="E96" s="27">
        <v>1494</v>
      </c>
      <c r="F96" s="25">
        <v>77.067989999999995</v>
      </c>
      <c r="G96" s="26">
        <v>0.46599745724070701</v>
      </c>
      <c r="H96" s="23"/>
    </row>
    <row r="97" spans="2:8" x14ac:dyDescent="0.2">
      <c r="B97" s="23" t="s">
        <v>237</v>
      </c>
      <c r="C97" s="23" t="s">
        <v>238</v>
      </c>
      <c r="D97" s="23" t="s">
        <v>16</v>
      </c>
      <c r="E97" s="27">
        <v>52373</v>
      </c>
      <c r="F97" s="25">
        <v>77.061632200000005</v>
      </c>
      <c r="G97" s="26">
        <v>0.46595901431993503</v>
      </c>
      <c r="H97" s="23"/>
    </row>
    <row r="98" spans="2:8" x14ac:dyDescent="0.2">
      <c r="B98" s="23" t="s">
        <v>239</v>
      </c>
      <c r="C98" s="23" t="s">
        <v>240</v>
      </c>
      <c r="D98" s="23" t="s">
        <v>67</v>
      </c>
      <c r="E98" s="27">
        <v>5305</v>
      </c>
      <c r="F98" s="25">
        <v>76.434439999999995</v>
      </c>
      <c r="G98" s="26">
        <v>0.46216664902792198</v>
      </c>
      <c r="H98" s="23"/>
    </row>
    <row r="99" spans="2:8" x14ac:dyDescent="0.2">
      <c r="B99" s="23" t="s">
        <v>241</v>
      </c>
      <c r="C99" s="23" t="s">
        <v>242</v>
      </c>
      <c r="D99" s="23" t="s">
        <v>30</v>
      </c>
      <c r="E99" s="27">
        <v>14851</v>
      </c>
      <c r="F99" s="25">
        <v>75.925737499999997</v>
      </c>
      <c r="G99" s="26">
        <v>0.459090740709929</v>
      </c>
      <c r="H99" s="23"/>
    </row>
    <row r="100" spans="2:8" x14ac:dyDescent="0.2">
      <c r="B100" s="23" t="s">
        <v>243</v>
      </c>
      <c r="C100" s="23" t="s">
        <v>244</v>
      </c>
      <c r="D100" s="23" t="s">
        <v>42</v>
      </c>
      <c r="E100" s="27">
        <v>19616</v>
      </c>
      <c r="F100" s="25">
        <v>73.520768000000004</v>
      </c>
      <c r="G100" s="26">
        <v>0.44454890989610502</v>
      </c>
      <c r="H100" s="23"/>
    </row>
    <row r="101" spans="2:8" x14ac:dyDescent="0.2">
      <c r="B101" s="23" t="s">
        <v>245</v>
      </c>
      <c r="C101" s="23" t="s">
        <v>246</v>
      </c>
      <c r="D101" s="23" t="s">
        <v>43</v>
      </c>
      <c r="E101" s="27">
        <v>11956</v>
      </c>
      <c r="F101" s="25">
        <v>72.531074000000004</v>
      </c>
      <c r="G101" s="26">
        <v>0.43856464992713001</v>
      </c>
      <c r="H101" s="23"/>
    </row>
    <row r="102" spans="2:8" x14ac:dyDescent="0.2">
      <c r="B102" s="23" t="s">
        <v>247</v>
      </c>
      <c r="C102" s="23" t="s">
        <v>248</v>
      </c>
      <c r="D102" s="23" t="s">
        <v>42</v>
      </c>
      <c r="E102" s="27">
        <v>13953</v>
      </c>
      <c r="F102" s="25">
        <v>71.718419999999995</v>
      </c>
      <c r="G102" s="26">
        <v>0.43365087576983702</v>
      </c>
      <c r="H102" s="23"/>
    </row>
    <row r="103" spans="2:8" x14ac:dyDescent="0.2">
      <c r="B103" s="23" t="s">
        <v>249</v>
      </c>
      <c r="C103" s="23" t="s">
        <v>250</v>
      </c>
      <c r="D103" s="23" t="s">
        <v>22</v>
      </c>
      <c r="E103" s="27">
        <v>12960</v>
      </c>
      <c r="F103" s="25">
        <v>71.163359999999997</v>
      </c>
      <c r="G103" s="26">
        <v>0.43029466330580401</v>
      </c>
      <c r="H103" s="23"/>
    </row>
    <row r="104" spans="2:8" x14ac:dyDescent="0.2">
      <c r="B104" s="23" t="s">
        <v>251</v>
      </c>
      <c r="C104" s="23" t="s">
        <v>252</v>
      </c>
      <c r="D104" s="23" t="s">
        <v>25</v>
      </c>
      <c r="E104" s="27">
        <v>12274</v>
      </c>
      <c r="F104" s="25">
        <v>69.299003999999996</v>
      </c>
      <c r="G104" s="26">
        <v>0.41902169309610399</v>
      </c>
      <c r="H104" s="23"/>
    </row>
    <row r="105" spans="2:8" x14ac:dyDescent="0.2">
      <c r="B105" s="23" t="s">
        <v>253</v>
      </c>
      <c r="C105" s="23" t="s">
        <v>254</v>
      </c>
      <c r="D105" s="23" t="s">
        <v>29</v>
      </c>
      <c r="E105" s="27">
        <v>3433</v>
      </c>
      <c r="F105" s="25">
        <v>68.982702000000003</v>
      </c>
      <c r="G105" s="26">
        <v>0.41710914902015001</v>
      </c>
      <c r="H105" s="23"/>
    </row>
    <row r="106" spans="2:8" x14ac:dyDescent="0.2">
      <c r="B106" s="23" t="s">
        <v>255</v>
      </c>
      <c r="C106" s="23" t="s">
        <v>256</v>
      </c>
      <c r="D106" s="23" t="s">
        <v>172</v>
      </c>
      <c r="E106" s="27">
        <v>5648</v>
      </c>
      <c r="F106" s="25">
        <v>68.928191999999996</v>
      </c>
      <c r="G106" s="26">
        <v>0.416779550163424</v>
      </c>
      <c r="H106" s="23"/>
    </row>
    <row r="107" spans="2:8" x14ac:dyDescent="0.2">
      <c r="B107" s="23" t="s">
        <v>257</v>
      </c>
      <c r="C107" s="23" t="s">
        <v>258</v>
      </c>
      <c r="D107" s="23" t="s">
        <v>24</v>
      </c>
      <c r="E107" s="27">
        <v>225</v>
      </c>
      <c r="F107" s="25">
        <v>67.668750000000003</v>
      </c>
      <c r="G107" s="26">
        <v>0.40916423841671601</v>
      </c>
      <c r="H107" s="23"/>
    </row>
    <row r="108" spans="2:8" x14ac:dyDescent="0.2">
      <c r="B108" s="23" t="s">
        <v>259</v>
      </c>
      <c r="C108" s="23" t="s">
        <v>260</v>
      </c>
      <c r="D108" s="23" t="s">
        <v>42</v>
      </c>
      <c r="E108" s="27">
        <v>1734</v>
      </c>
      <c r="F108" s="25">
        <v>67.615595999999996</v>
      </c>
      <c r="G108" s="26">
        <v>0.40884283871701999</v>
      </c>
      <c r="H108" s="23"/>
    </row>
    <row r="109" spans="2:8" x14ac:dyDescent="0.2">
      <c r="B109" s="23" t="s">
        <v>261</v>
      </c>
      <c r="C109" s="23" t="s">
        <v>262</v>
      </c>
      <c r="D109" s="23" t="s">
        <v>45</v>
      </c>
      <c r="E109" s="27">
        <v>728</v>
      </c>
      <c r="F109" s="25">
        <v>66.681160000000006</v>
      </c>
      <c r="G109" s="26">
        <v>0.403192700443605</v>
      </c>
      <c r="H109" s="23"/>
    </row>
    <row r="110" spans="2:8" x14ac:dyDescent="0.2">
      <c r="B110" s="23" t="s">
        <v>263</v>
      </c>
      <c r="C110" s="23" t="s">
        <v>264</v>
      </c>
      <c r="D110" s="23" t="s">
        <v>51</v>
      </c>
      <c r="E110" s="27">
        <v>7613</v>
      </c>
      <c r="F110" s="25">
        <v>66.659428000000005</v>
      </c>
      <c r="G110" s="26">
        <v>0.40306129625438503</v>
      </c>
      <c r="H110" s="23"/>
    </row>
    <row r="111" spans="2:8" x14ac:dyDescent="0.2">
      <c r="B111" s="23" t="s">
        <v>265</v>
      </c>
      <c r="C111" s="23" t="s">
        <v>266</v>
      </c>
      <c r="D111" s="23" t="s">
        <v>67</v>
      </c>
      <c r="E111" s="27">
        <v>1673</v>
      </c>
      <c r="F111" s="25">
        <v>64.621297999999996</v>
      </c>
      <c r="G111" s="26">
        <v>0.39073758835015698</v>
      </c>
      <c r="H111" s="23"/>
    </row>
    <row r="112" spans="2:8" x14ac:dyDescent="0.2">
      <c r="B112" s="23" t="s">
        <v>267</v>
      </c>
      <c r="C112" s="23" t="s">
        <v>268</v>
      </c>
      <c r="D112" s="23" t="s">
        <v>51</v>
      </c>
      <c r="E112" s="27">
        <v>6653</v>
      </c>
      <c r="F112" s="25">
        <v>63.8322085</v>
      </c>
      <c r="G112" s="26">
        <v>0.38596629873256899</v>
      </c>
      <c r="H112" s="23"/>
    </row>
    <row r="113" spans="2:8" x14ac:dyDescent="0.2">
      <c r="B113" s="23" t="s">
        <v>269</v>
      </c>
      <c r="C113" s="23" t="s">
        <v>270</v>
      </c>
      <c r="D113" s="23" t="s">
        <v>48</v>
      </c>
      <c r="E113" s="27">
        <v>3648</v>
      </c>
      <c r="F113" s="25">
        <v>60.779328</v>
      </c>
      <c r="G113" s="26">
        <v>0.367506824828296</v>
      </c>
      <c r="H113" s="23"/>
    </row>
    <row r="114" spans="2:8" x14ac:dyDescent="0.2">
      <c r="B114" s="23" t="s">
        <v>271</v>
      </c>
      <c r="C114" s="23" t="s">
        <v>272</v>
      </c>
      <c r="D114" s="23" t="s">
        <v>43</v>
      </c>
      <c r="E114" s="27">
        <v>30232</v>
      </c>
      <c r="F114" s="25">
        <v>60.276561600000001</v>
      </c>
      <c r="G114" s="26">
        <v>0.36446680958998501</v>
      </c>
      <c r="H114" s="23"/>
    </row>
    <row r="115" spans="2:8" x14ac:dyDescent="0.2">
      <c r="B115" s="23" t="s">
        <v>273</v>
      </c>
      <c r="C115" s="23" t="s">
        <v>274</v>
      </c>
      <c r="D115" s="23" t="s">
        <v>47</v>
      </c>
      <c r="E115" s="27">
        <v>1760</v>
      </c>
      <c r="F115" s="25">
        <v>60.253599999999999</v>
      </c>
      <c r="G115" s="26">
        <v>0.36432797053093802</v>
      </c>
      <c r="H115" s="23"/>
    </row>
    <row r="116" spans="2:8" x14ac:dyDescent="0.2">
      <c r="B116" s="23" t="s">
        <v>275</v>
      </c>
      <c r="C116" s="23" t="s">
        <v>276</v>
      </c>
      <c r="D116" s="23" t="s">
        <v>27</v>
      </c>
      <c r="E116" s="27">
        <v>3972</v>
      </c>
      <c r="F116" s="25">
        <v>60.120192000000003</v>
      </c>
      <c r="G116" s="26">
        <v>0.36352130892245998</v>
      </c>
      <c r="H116" s="23"/>
    </row>
    <row r="117" spans="2:8" x14ac:dyDescent="0.2">
      <c r="B117" s="23" t="s">
        <v>277</v>
      </c>
      <c r="C117" s="23" t="s">
        <v>278</v>
      </c>
      <c r="D117" s="23" t="s">
        <v>18</v>
      </c>
      <c r="E117" s="27">
        <v>3241</v>
      </c>
      <c r="F117" s="25">
        <v>57.310603</v>
      </c>
      <c r="G117" s="26">
        <v>0.34653291555847798</v>
      </c>
      <c r="H117" s="23"/>
    </row>
    <row r="118" spans="2:8" x14ac:dyDescent="0.2">
      <c r="B118" s="23" t="s">
        <v>279</v>
      </c>
      <c r="C118" s="23" t="s">
        <v>280</v>
      </c>
      <c r="D118" s="23" t="s">
        <v>88</v>
      </c>
      <c r="E118" s="27">
        <v>1431</v>
      </c>
      <c r="F118" s="25">
        <v>54.626994000000003</v>
      </c>
      <c r="G118" s="26">
        <v>0.33030626983658701</v>
      </c>
      <c r="H118" s="23"/>
    </row>
    <row r="119" spans="2:8" x14ac:dyDescent="0.2">
      <c r="B119" s="23" t="s">
        <v>281</v>
      </c>
      <c r="C119" s="23" t="s">
        <v>282</v>
      </c>
      <c r="D119" s="23" t="s">
        <v>47</v>
      </c>
      <c r="E119" s="27">
        <v>906</v>
      </c>
      <c r="F119" s="25">
        <v>54.051960000000001</v>
      </c>
      <c r="G119" s="26">
        <v>0.32682928306390802</v>
      </c>
      <c r="H119" s="23"/>
    </row>
    <row r="120" spans="2:8" x14ac:dyDescent="0.2">
      <c r="B120" s="23" t="s">
        <v>283</v>
      </c>
      <c r="C120" s="23" t="s">
        <v>284</v>
      </c>
      <c r="D120" s="23" t="s">
        <v>35</v>
      </c>
      <c r="E120" s="27">
        <v>8175</v>
      </c>
      <c r="F120" s="25">
        <v>52.998525000000001</v>
      </c>
      <c r="G120" s="26">
        <v>0.32045960829532499</v>
      </c>
      <c r="H120" s="23"/>
    </row>
    <row r="121" spans="2:8" x14ac:dyDescent="0.2">
      <c r="B121" s="23" t="s">
        <v>285</v>
      </c>
      <c r="C121" s="23" t="s">
        <v>286</v>
      </c>
      <c r="D121" s="23" t="s">
        <v>287</v>
      </c>
      <c r="E121" s="27">
        <v>1187</v>
      </c>
      <c r="F121" s="25">
        <v>52.707548000000003</v>
      </c>
      <c r="G121" s="26">
        <v>0.31870019375609099</v>
      </c>
      <c r="H121" s="23"/>
    </row>
    <row r="122" spans="2:8" x14ac:dyDescent="0.2">
      <c r="B122" s="23" t="s">
        <v>288</v>
      </c>
      <c r="C122" s="23" t="s">
        <v>289</v>
      </c>
      <c r="D122" s="23" t="s">
        <v>41</v>
      </c>
      <c r="E122" s="27">
        <v>3112</v>
      </c>
      <c r="F122" s="25">
        <v>52.611471999999999</v>
      </c>
      <c r="G122" s="26">
        <v>0.31811926292213699</v>
      </c>
      <c r="H122" s="23"/>
    </row>
    <row r="123" spans="2:8" x14ac:dyDescent="0.2">
      <c r="B123" s="23" t="s">
        <v>290</v>
      </c>
      <c r="C123" s="23" t="s">
        <v>291</v>
      </c>
      <c r="D123" s="23" t="s">
        <v>46</v>
      </c>
      <c r="E123" s="27">
        <v>408</v>
      </c>
      <c r="F123" s="25">
        <v>52.04448</v>
      </c>
      <c r="G123" s="26">
        <v>0.31469090271349798</v>
      </c>
      <c r="H123" s="23"/>
    </row>
    <row r="124" spans="2:8" x14ac:dyDescent="0.2">
      <c r="B124" s="23" t="s">
        <v>292</v>
      </c>
      <c r="C124" s="23" t="s">
        <v>293</v>
      </c>
      <c r="D124" s="23" t="s">
        <v>22</v>
      </c>
      <c r="E124" s="27">
        <v>21629</v>
      </c>
      <c r="F124" s="25">
        <v>51.753871199999999</v>
      </c>
      <c r="G124" s="26">
        <v>0.31293371452354002</v>
      </c>
      <c r="H124" s="23"/>
    </row>
    <row r="125" spans="2:8" x14ac:dyDescent="0.2">
      <c r="B125" s="23" t="s">
        <v>294</v>
      </c>
      <c r="C125" s="23" t="s">
        <v>295</v>
      </c>
      <c r="D125" s="23" t="s">
        <v>189</v>
      </c>
      <c r="E125" s="27">
        <v>4794</v>
      </c>
      <c r="F125" s="25">
        <v>51.75123</v>
      </c>
      <c r="G125" s="26">
        <v>0.31291774430705899</v>
      </c>
      <c r="H125" s="23"/>
    </row>
    <row r="126" spans="2:8" x14ac:dyDescent="0.2">
      <c r="B126" s="23" t="s">
        <v>296</v>
      </c>
      <c r="C126" s="23" t="s">
        <v>297</v>
      </c>
      <c r="D126" s="23" t="s">
        <v>34</v>
      </c>
      <c r="E126" s="27">
        <v>13327</v>
      </c>
      <c r="F126" s="25">
        <v>51.602144000000003</v>
      </c>
      <c r="G126" s="26">
        <v>0.31201628448035101</v>
      </c>
      <c r="H126" s="23"/>
    </row>
    <row r="127" spans="2:8" x14ac:dyDescent="0.2">
      <c r="B127" s="23" t="s">
        <v>298</v>
      </c>
      <c r="C127" s="23" t="s">
        <v>299</v>
      </c>
      <c r="D127" s="23" t="s">
        <v>300</v>
      </c>
      <c r="E127" s="27">
        <v>1754</v>
      </c>
      <c r="F127" s="25">
        <v>50.392420000000001</v>
      </c>
      <c r="G127" s="26">
        <v>0.30470159639826799</v>
      </c>
      <c r="H127" s="23"/>
    </row>
    <row r="128" spans="2:8" x14ac:dyDescent="0.2">
      <c r="B128" s="23" t="s">
        <v>301</v>
      </c>
      <c r="C128" s="23" t="s">
        <v>302</v>
      </c>
      <c r="D128" s="23" t="s">
        <v>287</v>
      </c>
      <c r="E128" s="27">
        <v>7396</v>
      </c>
      <c r="F128" s="25">
        <v>50.222538</v>
      </c>
      <c r="G128" s="26">
        <v>0.30367439197745799</v>
      </c>
      <c r="H128" s="23"/>
    </row>
    <row r="129" spans="2:8" x14ac:dyDescent="0.2">
      <c r="B129" s="23" t="s">
        <v>303</v>
      </c>
      <c r="C129" s="23" t="s">
        <v>304</v>
      </c>
      <c r="D129" s="23" t="s">
        <v>29</v>
      </c>
      <c r="E129" s="27">
        <v>2700</v>
      </c>
      <c r="F129" s="25">
        <v>49.966200000000001</v>
      </c>
      <c r="G129" s="26">
        <v>0.302124424783631</v>
      </c>
      <c r="H129" s="23"/>
    </row>
    <row r="130" spans="2:8" x14ac:dyDescent="0.2">
      <c r="B130" s="23" t="s">
        <v>305</v>
      </c>
      <c r="C130" s="23" t="s">
        <v>306</v>
      </c>
      <c r="D130" s="23" t="s">
        <v>22</v>
      </c>
      <c r="E130" s="27">
        <v>34289</v>
      </c>
      <c r="F130" s="25">
        <v>48.998981000000001</v>
      </c>
      <c r="G130" s="26">
        <v>0.296276061609829</v>
      </c>
      <c r="H130" s="23"/>
    </row>
    <row r="131" spans="2:8" x14ac:dyDescent="0.2">
      <c r="B131" s="23" t="s">
        <v>307</v>
      </c>
      <c r="C131" s="23" t="s">
        <v>308</v>
      </c>
      <c r="D131" s="23" t="s">
        <v>45</v>
      </c>
      <c r="E131" s="27">
        <v>1670</v>
      </c>
      <c r="F131" s="25">
        <v>48.76567</v>
      </c>
      <c r="G131" s="26">
        <v>0.294865328921118</v>
      </c>
      <c r="H131" s="23"/>
    </row>
    <row r="132" spans="2:8" x14ac:dyDescent="0.2">
      <c r="B132" s="23" t="s">
        <v>309</v>
      </c>
      <c r="C132" s="23" t="s">
        <v>310</v>
      </c>
      <c r="D132" s="23" t="s">
        <v>45</v>
      </c>
      <c r="E132" s="27">
        <v>4924</v>
      </c>
      <c r="F132" s="25">
        <v>48.043467999999997</v>
      </c>
      <c r="G132" s="26">
        <v>0.29049847965446202</v>
      </c>
      <c r="H132" s="23"/>
    </row>
    <row r="133" spans="2:8" x14ac:dyDescent="0.2">
      <c r="B133" s="23" t="s">
        <v>311</v>
      </c>
      <c r="C133" s="23" t="s">
        <v>312</v>
      </c>
      <c r="D133" s="23" t="s">
        <v>22</v>
      </c>
      <c r="E133" s="27">
        <v>1051</v>
      </c>
      <c r="F133" s="25">
        <v>46.493087000000003</v>
      </c>
      <c r="G133" s="26">
        <v>0.28112398313840797</v>
      </c>
      <c r="H133" s="23"/>
    </row>
    <row r="134" spans="2:8" x14ac:dyDescent="0.2">
      <c r="B134" s="23" t="s">
        <v>313</v>
      </c>
      <c r="C134" s="23" t="s">
        <v>314</v>
      </c>
      <c r="D134" s="23" t="s">
        <v>24</v>
      </c>
      <c r="E134" s="27">
        <v>1815</v>
      </c>
      <c r="F134" s="25">
        <v>46.478520000000003</v>
      </c>
      <c r="G134" s="26">
        <v>0.28103590266609202</v>
      </c>
      <c r="H134" s="23"/>
    </row>
    <row r="135" spans="2:8" x14ac:dyDescent="0.2">
      <c r="B135" s="23" t="s">
        <v>315</v>
      </c>
      <c r="C135" s="23" t="s">
        <v>316</v>
      </c>
      <c r="D135" s="23" t="s">
        <v>47</v>
      </c>
      <c r="E135" s="27">
        <v>2961</v>
      </c>
      <c r="F135" s="25">
        <v>46.150145999999999</v>
      </c>
      <c r="G135" s="26">
        <v>0.27905036432489499</v>
      </c>
      <c r="H135" s="23"/>
    </row>
    <row r="136" spans="2:8" x14ac:dyDescent="0.2">
      <c r="B136" s="23" t="s">
        <v>317</v>
      </c>
      <c r="C136" s="23" t="s">
        <v>318</v>
      </c>
      <c r="D136" s="23" t="s">
        <v>24</v>
      </c>
      <c r="E136" s="27">
        <v>1785</v>
      </c>
      <c r="F136" s="25">
        <v>45.865575</v>
      </c>
      <c r="G136" s="26">
        <v>0.27732968415139603</v>
      </c>
      <c r="H136" s="23"/>
    </row>
    <row r="137" spans="2:8" x14ac:dyDescent="0.2">
      <c r="B137" s="23" t="s">
        <v>319</v>
      </c>
      <c r="C137" s="23" t="s">
        <v>320</v>
      </c>
      <c r="D137" s="23" t="s">
        <v>35</v>
      </c>
      <c r="E137" s="27">
        <v>3637</v>
      </c>
      <c r="F137" s="25">
        <v>45.317019999999999</v>
      </c>
      <c r="G137" s="26">
        <v>0.27401280466411898</v>
      </c>
      <c r="H137" s="23"/>
    </row>
    <row r="138" spans="2:8" x14ac:dyDescent="0.2">
      <c r="B138" s="23" t="s">
        <v>321</v>
      </c>
      <c r="C138" s="23" t="s">
        <v>322</v>
      </c>
      <c r="D138" s="23" t="s">
        <v>19</v>
      </c>
      <c r="E138" s="27">
        <v>5719</v>
      </c>
      <c r="F138" s="25">
        <v>43.278532499999997</v>
      </c>
      <c r="G138" s="26">
        <v>0.261686935108977</v>
      </c>
      <c r="H138" s="23"/>
    </row>
    <row r="139" spans="2:8" x14ac:dyDescent="0.2">
      <c r="B139" s="23" t="s">
        <v>323</v>
      </c>
      <c r="C139" s="23" t="s">
        <v>324</v>
      </c>
      <c r="D139" s="23" t="s">
        <v>325</v>
      </c>
      <c r="E139" s="27">
        <v>122</v>
      </c>
      <c r="F139" s="25">
        <v>42.504800000000003</v>
      </c>
      <c r="G139" s="26">
        <v>0.25700850275873</v>
      </c>
      <c r="H139" s="23"/>
    </row>
    <row r="140" spans="2:8" x14ac:dyDescent="0.2">
      <c r="B140" s="23" t="s">
        <v>326</v>
      </c>
      <c r="C140" s="23" t="s">
        <v>327</v>
      </c>
      <c r="D140" s="23" t="s">
        <v>22</v>
      </c>
      <c r="E140" s="27">
        <v>5602</v>
      </c>
      <c r="F140" s="25">
        <v>41.776915000000002</v>
      </c>
      <c r="G140" s="26">
        <v>0.25260729080077399</v>
      </c>
      <c r="H140" s="23"/>
    </row>
    <row r="141" spans="2:8" x14ac:dyDescent="0.2">
      <c r="B141" s="23" t="s">
        <v>328</v>
      </c>
      <c r="C141" s="23" t="s">
        <v>329</v>
      </c>
      <c r="D141" s="23" t="s">
        <v>42</v>
      </c>
      <c r="E141" s="27">
        <v>1520</v>
      </c>
      <c r="F141" s="25">
        <v>40.182720000000003</v>
      </c>
      <c r="G141" s="26">
        <v>0.242967869604687</v>
      </c>
      <c r="H141" s="23"/>
    </row>
    <row r="142" spans="2:8" x14ac:dyDescent="0.2">
      <c r="B142" s="23" t="s">
        <v>330</v>
      </c>
      <c r="C142" s="23" t="s">
        <v>331</v>
      </c>
      <c r="D142" s="23" t="s">
        <v>16</v>
      </c>
      <c r="E142" s="27">
        <v>67808</v>
      </c>
      <c r="F142" s="25">
        <v>39.708364799999998</v>
      </c>
      <c r="G142" s="26">
        <v>0.240099644845887</v>
      </c>
      <c r="H142" s="23"/>
    </row>
    <row r="143" spans="2:8" x14ac:dyDescent="0.2">
      <c r="B143" s="23" t="s">
        <v>332</v>
      </c>
      <c r="C143" s="23" t="s">
        <v>333</v>
      </c>
      <c r="D143" s="23" t="s">
        <v>26</v>
      </c>
      <c r="E143" s="27">
        <v>40036</v>
      </c>
      <c r="F143" s="25">
        <v>38.014181999999998</v>
      </c>
      <c r="G143" s="26">
        <v>0.22985563981992299</v>
      </c>
      <c r="H143" s="23"/>
    </row>
    <row r="144" spans="2:8" x14ac:dyDescent="0.2">
      <c r="B144" s="23" t="s">
        <v>334</v>
      </c>
      <c r="C144" s="23" t="s">
        <v>335</v>
      </c>
      <c r="D144" s="23" t="s">
        <v>32</v>
      </c>
      <c r="E144" s="27">
        <v>13885</v>
      </c>
      <c r="F144" s="25">
        <v>37.538097499999999</v>
      </c>
      <c r="G144" s="26">
        <v>0.22697695871727999</v>
      </c>
      <c r="H144" s="23"/>
    </row>
    <row r="145" spans="2:9" x14ac:dyDescent="0.2">
      <c r="B145" s="23" t="s">
        <v>336</v>
      </c>
      <c r="C145" s="23" t="s">
        <v>337</v>
      </c>
      <c r="D145" s="23" t="s">
        <v>36</v>
      </c>
      <c r="E145" s="27">
        <v>14212</v>
      </c>
      <c r="F145" s="25">
        <v>36.809080000000002</v>
      </c>
      <c r="G145" s="26">
        <v>0.22256889901202501</v>
      </c>
      <c r="H145" s="23"/>
    </row>
    <row r="146" spans="2:9" x14ac:dyDescent="0.2">
      <c r="B146" s="23" t="s">
        <v>338</v>
      </c>
      <c r="C146" s="23" t="s">
        <v>339</v>
      </c>
      <c r="D146" s="23" t="s">
        <v>20</v>
      </c>
      <c r="E146" s="27">
        <v>85500</v>
      </c>
      <c r="F146" s="25">
        <v>36.688049999999997</v>
      </c>
      <c r="G146" s="26">
        <v>0.22183708192104001</v>
      </c>
      <c r="H146" s="23"/>
    </row>
    <row r="147" spans="2:9" x14ac:dyDescent="0.2">
      <c r="B147" s="23" t="s">
        <v>340</v>
      </c>
      <c r="C147" s="23" t="s">
        <v>341</v>
      </c>
      <c r="D147" s="23" t="s">
        <v>26</v>
      </c>
      <c r="E147" s="27">
        <v>14060</v>
      </c>
      <c r="F147" s="25">
        <v>34.193919999999999</v>
      </c>
      <c r="G147" s="26">
        <v>0.20675613536946</v>
      </c>
      <c r="H147" s="23"/>
    </row>
    <row r="148" spans="2:9" x14ac:dyDescent="0.2">
      <c r="B148" s="23" t="s">
        <v>342</v>
      </c>
      <c r="C148" s="23" t="s">
        <v>343</v>
      </c>
      <c r="D148" s="23" t="s">
        <v>48</v>
      </c>
      <c r="E148" s="27">
        <v>95</v>
      </c>
      <c r="F148" s="25">
        <v>33.625250000000001</v>
      </c>
      <c r="G148" s="26">
        <v>0.203317629006324</v>
      </c>
      <c r="H148" s="23"/>
    </row>
    <row r="149" spans="2:9" x14ac:dyDescent="0.2">
      <c r="B149" s="23" t="s">
        <v>344</v>
      </c>
      <c r="C149" s="23" t="s">
        <v>345</v>
      </c>
      <c r="D149" s="23" t="s">
        <v>43</v>
      </c>
      <c r="E149" s="27">
        <v>7431</v>
      </c>
      <c r="F149" s="25">
        <v>29.4379065</v>
      </c>
      <c r="G149" s="26">
        <v>0.177998538374878</v>
      </c>
      <c r="H149" s="23"/>
    </row>
    <row r="150" spans="2:9" x14ac:dyDescent="0.2">
      <c r="B150" s="23" t="s">
        <v>346</v>
      </c>
      <c r="C150" s="23" t="s">
        <v>347</v>
      </c>
      <c r="D150" s="23" t="s">
        <v>16</v>
      </c>
      <c r="E150" s="27">
        <v>24160</v>
      </c>
      <c r="F150" s="25">
        <v>24.251808</v>
      </c>
      <c r="G150" s="26">
        <v>0.146640399749492</v>
      </c>
      <c r="H150" s="23"/>
    </row>
    <row r="151" spans="2:9" x14ac:dyDescent="0.2">
      <c r="B151" s="23" t="s">
        <v>348</v>
      </c>
      <c r="C151" s="23" t="s">
        <v>349</v>
      </c>
      <c r="D151" s="23" t="s">
        <v>26</v>
      </c>
      <c r="E151" s="27">
        <v>30828</v>
      </c>
      <c r="F151" s="25">
        <v>24.0026808</v>
      </c>
      <c r="G151" s="26">
        <v>0.145134033205749</v>
      </c>
      <c r="H151" s="23"/>
    </row>
    <row r="152" spans="2:9" x14ac:dyDescent="0.2">
      <c r="B152" s="23" t="s">
        <v>350</v>
      </c>
      <c r="C152" s="23" t="s">
        <v>351</v>
      </c>
      <c r="D152" s="23" t="s">
        <v>97</v>
      </c>
      <c r="E152" s="27">
        <v>2685</v>
      </c>
      <c r="F152" s="25">
        <v>23.53134</v>
      </c>
      <c r="G152" s="26">
        <v>0.142284035245587</v>
      </c>
      <c r="H152" s="23"/>
    </row>
    <row r="153" spans="2:9" x14ac:dyDescent="0.2">
      <c r="B153" s="23" t="s">
        <v>352</v>
      </c>
      <c r="C153" s="23" t="s">
        <v>353</v>
      </c>
      <c r="D153" s="23" t="s">
        <v>325</v>
      </c>
      <c r="E153" s="27">
        <v>1910</v>
      </c>
      <c r="F153" s="25">
        <v>20.085560000000001</v>
      </c>
      <c r="G153" s="26">
        <v>0.121448864661653</v>
      </c>
      <c r="H153" s="23"/>
    </row>
    <row r="154" spans="2:9" x14ac:dyDescent="0.2">
      <c r="B154" s="23" t="s">
        <v>354</v>
      </c>
      <c r="C154" s="23" t="s">
        <v>355</v>
      </c>
      <c r="D154" s="23" t="s">
        <v>34</v>
      </c>
      <c r="E154" s="27">
        <v>10373</v>
      </c>
      <c r="F154" s="25">
        <v>17.704636399999998</v>
      </c>
      <c r="G154" s="26">
        <v>0.107052429209212</v>
      </c>
      <c r="H154" s="23"/>
    </row>
    <row r="155" spans="2:9" x14ac:dyDescent="0.2">
      <c r="B155" s="23" t="s">
        <v>356</v>
      </c>
      <c r="C155" s="23" t="s">
        <v>357</v>
      </c>
      <c r="D155" s="23" t="s">
        <v>16</v>
      </c>
      <c r="E155" s="27">
        <v>44873</v>
      </c>
      <c r="F155" s="25">
        <v>17.406236700000001</v>
      </c>
      <c r="G155" s="26">
        <v>0.10524813275044401</v>
      </c>
      <c r="H155" s="23"/>
    </row>
    <row r="156" spans="2:9" x14ac:dyDescent="0.2">
      <c r="B156" s="23" t="s">
        <v>358</v>
      </c>
      <c r="C156" s="23" t="s">
        <v>359</v>
      </c>
      <c r="D156" s="23" t="s">
        <v>16</v>
      </c>
      <c r="E156" s="27">
        <v>49039</v>
      </c>
      <c r="F156" s="25">
        <v>15.0942042</v>
      </c>
      <c r="G156" s="26">
        <v>9.1268252568569602E-2</v>
      </c>
      <c r="H156" s="23"/>
    </row>
    <row r="157" spans="2:9" x14ac:dyDescent="0.2">
      <c r="B157" s="22" t="s">
        <v>8</v>
      </c>
      <c r="C157" s="22"/>
      <c r="D157" s="22"/>
      <c r="E157" s="28"/>
      <c r="F157" s="29">
        <f>SUM(F7:F156)</f>
        <v>16519.025037000018</v>
      </c>
      <c r="G157" s="30">
        <f>SUM(G7:G156)</f>
        <v>99.883540018853168</v>
      </c>
      <c r="H157" s="22"/>
      <c r="I157" s="15"/>
    </row>
    <row r="158" spans="2:9" x14ac:dyDescent="0.2">
      <c r="B158" s="22" t="s">
        <v>37</v>
      </c>
      <c r="C158" s="22"/>
      <c r="D158" s="22"/>
      <c r="E158" s="28"/>
      <c r="F158" s="42" t="s">
        <v>38</v>
      </c>
      <c r="G158" s="43" t="s">
        <v>38</v>
      </c>
      <c r="H158" s="22"/>
      <c r="I158" s="15"/>
    </row>
    <row r="159" spans="2:9" x14ac:dyDescent="0.2">
      <c r="B159" s="22" t="s">
        <v>8</v>
      </c>
      <c r="C159" s="22"/>
      <c r="D159" s="22"/>
      <c r="E159" s="28"/>
      <c r="F159" s="44" t="s">
        <v>38</v>
      </c>
      <c r="G159" s="45" t="s">
        <v>38</v>
      </c>
      <c r="H159" s="22"/>
      <c r="I159" s="15"/>
    </row>
    <row r="160" spans="2:9" x14ac:dyDescent="0.2">
      <c r="B160" s="31" t="s">
        <v>9</v>
      </c>
      <c r="C160" s="31"/>
      <c r="D160" s="31"/>
      <c r="E160" s="32"/>
      <c r="F160" s="33">
        <f>F157</f>
        <v>16519.025037000018</v>
      </c>
      <c r="G160" s="34">
        <f>G157</f>
        <v>99.883540018853168</v>
      </c>
      <c r="H160" s="22"/>
      <c r="I160" s="15"/>
    </row>
    <row r="161" spans="2:9" x14ac:dyDescent="0.2">
      <c r="B161" s="22" t="s">
        <v>10</v>
      </c>
      <c r="C161" s="22"/>
      <c r="D161" s="22"/>
      <c r="E161" s="28"/>
      <c r="F161" s="29">
        <v>107.5054189</v>
      </c>
      <c r="G161" s="30">
        <v>0.650039683751932</v>
      </c>
      <c r="H161" s="35">
        <v>5.305E-2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x14ac:dyDescent="0.2">
      <c r="B163" s="40" t="s">
        <v>12</v>
      </c>
      <c r="C163" s="40"/>
      <c r="D163" s="40"/>
      <c r="E163" s="41"/>
      <c r="F163" s="29">
        <f>F164-(F157+F161)</f>
        <v>-88.244934700018348</v>
      </c>
      <c r="G163" s="30">
        <f>G164-(G157+G161)</f>
        <v>-0.53357970260509546</v>
      </c>
      <c r="H163" s="22"/>
      <c r="I163" s="15"/>
    </row>
    <row r="164" spans="2:9" x14ac:dyDescent="0.2">
      <c r="B164" s="36" t="s">
        <v>11</v>
      </c>
      <c r="C164" s="36"/>
      <c r="D164" s="36"/>
      <c r="E164" s="37"/>
      <c r="F164" s="38">
        <v>16538.285521199999</v>
      </c>
      <c r="G164" s="39">
        <v>100</v>
      </c>
      <c r="H164" s="46"/>
      <c r="I164" s="15"/>
    </row>
    <row r="165" spans="2:9" x14ac:dyDescent="0.2">
      <c r="B165" s="52"/>
      <c r="C165" s="52"/>
      <c r="D165" s="52"/>
      <c r="E165" s="53"/>
      <c r="F165" s="54"/>
      <c r="G165" s="55"/>
      <c r="H165" s="52"/>
      <c r="I165" s="15"/>
    </row>
    <row r="167" spans="2:9" x14ac:dyDescent="0.2">
      <c r="B167" s="15" t="s">
        <v>13</v>
      </c>
      <c r="E167" s="8"/>
      <c r="G167" s="49"/>
    </row>
    <row r="168" spans="2:9" x14ac:dyDescent="0.2"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x14ac:dyDescent="0.2">
      <c r="B184" s="50" t="s">
        <v>360</v>
      </c>
      <c r="E184" s="8"/>
      <c r="G184" s="49"/>
    </row>
    <row r="185" spans="2:7" x14ac:dyDescent="0.2">
      <c r="B185" s="51" t="s">
        <v>361</v>
      </c>
      <c r="E185" s="8"/>
      <c r="G185" s="49"/>
    </row>
    <row r="186" spans="2:7" x14ac:dyDescent="0.2"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</sheetData>
  <mergeCells count="1">
    <mergeCell ref="B1:C1"/>
  </mergeCells>
  <conditionalFormatting sqref="G1:G3 G5:G204">
    <cfRule type="cellIs" dxfId="0" priority="2" stopIfTrue="1" operator="between">
      <formula>0.009</formula>
      <formula>-0.009</formula>
    </cfRule>
  </conditionalFormatting>
  <hyperlinks>
    <hyperlink ref="A2" location="JBNM150!A1" display="-" xr:uid="{514325EA-D415-42CD-B51A-8DCCA804640B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4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