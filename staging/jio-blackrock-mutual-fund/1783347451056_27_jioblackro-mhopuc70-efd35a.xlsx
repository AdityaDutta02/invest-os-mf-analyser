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1F08E323-0C00-402B-9162-202CE78A830C}" xr6:coauthVersionLast="47" xr6:coauthVersionMax="47" xr10:uidLastSave="{00000000-0000-0000-0000-000000000000}"/>
  <bookViews>
    <workbookView xWindow="0" yWindow="165" windowWidth="28800" windowHeight="15315" xr2:uid="{89728DBC-F07D-4157-8807-01DBF0F4A3D6}"/>
  </bookViews>
  <sheets>
    <sheet name="JBN50" sheetId="7" r:id="rId1"/>
  </sheets>
  <definedNames>
    <definedName name="_xlnm.Print_Area" localSheetId="0">'JBN50'!$B$1:$H$105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G58" i="7"/>
  <c r="G64" i="7" s="1"/>
  <c r="F58" i="7"/>
  <c r="F61" i="7"/>
  <c r="F64" i="7"/>
  <c r="G61" i="7" l="1"/>
</calcChain>
</file>

<file path=xl/sharedStrings.xml><?xml version="1.0" encoding="utf-8"?>
<sst xmlns="http://schemas.openxmlformats.org/spreadsheetml/2006/main" count="180" uniqueCount="150">
  <si>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</si>
  <si>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</si>
  <si>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</si>
  <si>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</si>
  <si>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</si>
  <si>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</si>
  <si>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Nifty 50 Index Fund</t>
  </si>
  <si>
    <t>Sub Total</t>
  </si>
  <si>
    <t>Total</t>
  </si>
  <si>
    <t>TREPS</t>
  </si>
  <si>
    <t>Grand Total</t>
  </si>
  <si>
    <t>Net Receivables / (Payables)</t>
  </si>
  <si>
    <t>Notes</t>
  </si>
  <si>
    <t xml:space="preserve">Scheme Risk-O-Meter </t>
  </si>
  <si>
    <t>(a) Listed / awaiting listing on Stock Exchanges</t>
  </si>
  <si>
    <t>Equity &amp; Equity related</t>
  </si>
  <si>
    <t>HDFC Bank Ltd</t>
  </si>
  <si>
    <t>INE040A01034</t>
  </si>
  <si>
    <t>Banks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</si>
  <si>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</si>
  <si>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</si>
  <si>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</si>
  <si>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</si>
  <si>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</si>
  <si>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</si>
  <si>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</si>
  <si>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</si>
  <si>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</si>
  <si>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</si>
  <si>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</si>
  <si>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</si>
  <si>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</si>
  <si>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</si>
  <si>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ITC Ltd</t>
  </si>
  <si>
    <t>INE154A01025</t>
  </si>
  <si>
    <t>Diversified Fmcg</t>
  </si>
  <si>
    <t>State Bank of India</t>
  </si>
  <si>
    <t>INE062A01020</t>
  </si>
  <si>
    <t>Axis Bank Ltd</t>
  </si>
  <si>
    <t>INE238A01034</t>
  </si>
  <si>
    <t>Tata Consultancy Services Ltd</t>
  </si>
  <si>
    <t>INE467B01029</t>
  </si>
  <si>
    <t>Kotak Mahindra Bank Ltd</t>
  </si>
  <si>
    <t>INE237A01028</t>
  </si>
  <si>
    <t>Mahindra &amp; Mahindra Ltd</t>
  </si>
  <si>
    <t>INE101A01026</t>
  </si>
  <si>
    <t>Automobiles</t>
  </si>
  <si>
    <t>Bajaj Finance Ltd</t>
  </si>
  <si>
    <t>INE296A01032</t>
  </si>
  <si>
    <t>Finance</t>
  </si>
  <si>
    <t>Eternal Ltd</t>
  </si>
  <si>
    <t>INE758T01015</t>
  </si>
  <si>
    <t>Retailing</t>
  </si>
  <si>
    <t>Hindustan Unilever Ltd</t>
  </si>
  <si>
    <t>INE030A01027</t>
  </si>
  <si>
    <t>Maruti Suzuki India Ltd</t>
  </si>
  <si>
    <t>INE585B01010</t>
  </si>
  <si>
    <t>Sun Pharmaceutical Industries Ltd</t>
  </si>
  <si>
    <t>INE044A01036</t>
  </si>
  <si>
    <t>Pharmaceuticals &amp; Biotechnology</t>
  </si>
  <si>
    <t>HCL Technologies Ltd</t>
  </si>
  <si>
    <t>INE860A01027</t>
  </si>
  <si>
    <t>NTPC Ltd</t>
  </si>
  <si>
    <t>INE733E01010</t>
  </si>
  <si>
    <t>Power</t>
  </si>
  <si>
    <t>Titan Co Ltd</t>
  </si>
  <si>
    <t>INE280A01028</t>
  </si>
  <si>
    <t>Consumer Durables</t>
  </si>
  <si>
    <t>Bharat Electronics Ltd</t>
  </si>
  <si>
    <t>INE263A01024</t>
  </si>
  <si>
    <t>Aerospace &amp; Defense</t>
  </si>
  <si>
    <t>Tata Steel Ltd</t>
  </si>
  <si>
    <t>INE081A01020</t>
  </si>
  <si>
    <t>Ferrous Metals</t>
  </si>
  <si>
    <t>Ultratech Cement Ltd</t>
  </si>
  <si>
    <t>INE481G01011</t>
  </si>
  <si>
    <t>Cement &amp; Cement Products</t>
  </si>
  <si>
    <t>Power Grid Corporation of India Ltd</t>
  </si>
  <si>
    <t>INE752E01010</t>
  </si>
  <si>
    <t>Interglobe Aviation Ltd</t>
  </si>
  <si>
    <t>INE646L01027</t>
  </si>
  <si>
    <t>Transport Services</t>
  </si>
  <si>
    <t>Hindalco Industries Ltd</t>
  </si>
  <si>
    <t>INE038A01020</t>
  </si>
  <si>
    <t>Non - Ferrous Metals</t>
  </si>
  <si>
    <t>Bajaj Finserv Ltd</t>
  </si>
  <si>
    <t>INE918I01026</t>
  </si>
  <si>
    <t>Asian Paints Ltd</t>
  </si>
  <si>
    <t>INE021A01026</t>
  </si>
  <si>
    <t>JSW Steel Ltd</t>
  </si>
  <si>
    <t>INE019A01038</t>
  </si>
  <si>
    <t>Grasim Industries Ltd</t>
  </si>
  <si>
    <t>INE047A01021</t>
  </si>
  <si>
    <t>Adani Ports and Special Economic Zone Ltd</t>
  </si>
  <si>
    <t>INE742F01042</t>
  </si>
  <si>
    <t>Transport Infrastructure</t>
  </si>
  <si>
    <t>Shriram Finance Ltd</t>
  </si>
  <si>
    <t>INE721A01047</t>
  </si>
  <si>
    <t>Trent Ltd</t>
  </si>
  <si>
    <t>INE849A01020</t>
  </si>
  <si>
    <t>Jio Financial Services Ltd</t>
  </si>
  <si>
    <t>INE758E01017</t>
  </si>
  <si>
    <t>Oil &amp; Natural Gas Corporation Ltd</t>
  </si>
  <si>
    <t>INE213A01029</t>
  </si>
  <si>
    <t>Oil</t>
  </si>
  <si>
    <t>Bajaj Auto Ltd</t>
  </si>
  <si>
    <t>INE917I01010</t>
  </si>
  <si>
    <t>Eicher Motors Ltd</t>
  </si>
  <si>
    <t>INE066A01021</t>
  </si>
  <si>
    <t>Nestle India Ltd</t>
  </si>
  <si>
    <t>INE239A01024</t>
  </si>
  <si>
    <t>Food Products</t>
  </si>
  <si>
    <t>Tech Mahindra Ltd</t>
  </si>
  <si>
    <t>INE669C01036</t>
  </si>
  <si>
    <t>Coal India Ltd</t>
  </si>
  <si>
    <t>INE522F01014</t>
  </si>
  <si>
    <t>Consumable Fuels</t>
  </si>
  <si>
    <t>SBI Life Insurance Co Ltd</t>
  </si>
  <si>
    <t>INE123W01016</t>
  </si>
  <si>
    <t>Insurance</t>
  </si>
  <si>
    <t>Tata Motors Passenger Vehicles Ltd</t>
  </si>
  <si>
    <t>INE155A01022</t>
  </si>
  <si>
    <t>Max Healthcare Institute Ltd</t>
  </si>
  <si>
    <t>INE027H01010</t>
  </si>
  <si>
    <t>Healthcare Services</t>
  </si>
  <si>
    <t>Cipla Ltd</t>
  </si>
  <si>
    <t>INE059A01026</t>
  </si>
  <si>
    <t>HDFC Life Insurance Co Ltd</t>
  </si>
  <si>
    <t>INE795G01014</t>
  </si>
  <si>
    <t>Apollo Hospitals Enterprise Ltd</t>
  </si>
  <si>
    <t>INE437A01024</t>
  </si>
  <si>
    <t>Tata Consumer Products Ltd</t>
  </si>
  <si>
    <t>INE192A01025</t>
  </si>
  <si>
    <t>Agricultural Food &amp; Other Products</t>
  </si>
  <si>
    <t>Dr. Reddy's Laboratories Ltd</t>
  </si>
  <si>
    <t>INE089A01031</t>
  </si>
  <si>
    <t>Wipro Ltd</t>
  </si>
  <si>
    <t>INE075A01022</t>
  </si>
  <si>
    <t>Adani Enterprises Ltd</t>
  </si>
  <si>
    <t>INE423A01024</t>
  </si>
  <si>
    <t>Metals &amp; Minerals Trading</t>
  </si>
  <si>
    <t>INE1TAE01010</t>
  </si>
  <si>
    <t xml:space="preserve">(b) Unlisted </t>
  </si>
  <si>
    <t>NIL</t>
  </si>
  <si>
    <t>Industry Classification</t>
  </si>
  <si>
    <t>** Non- Traded Security</t>
  </si>
  <si>
    <t>Benchmark Risk-O-Meter</t>
  </si>
  <si>
    <t>Benchmark Name - NIFTY 50 Index (TRI)</t>
  </si>
  <si>
    <t>Monthly Portfolio Statement as on October 31, 2025</t>
  </si>
  <si>
    <t>TATA Motors Ltd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</si>
</sst>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9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10" fontId="6" fillId="2" borderId="0" xfId="0" applyNumberFormat="1" applyFont="1" applyFill="1"/>
    <xf numFmtId="10" fontId="5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7" fillId="2" borderId="0" xfId="0" applyFont="1" applyFill="1"/>
    <xf numFmtId="164" fontId="6" fillId="2" borderId="0" xfId="0" applyNumberFormat="1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10" fontId="7" fillId="2" borderId="2" xfId="0" applyNumberFormat="1" applyFont="1" applyFill="1" applyBorder="1"/>
    <xf numFmtId="0" fontId="7" fillId="2" borderId="5" xfId="0" applyFont="1" applyFill="1" applyBorder="1"/>
    <xf numFmtId="0" fontId="7" fillId="2" borderId="5" xfId="0" applyNumberFormat="1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10" fontId="7" fillId="2" borderId="7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39" fontId="7" fillId="2" borderId="4" xfId="0" applyNumberFormat="1" applyFont="1" applyFill="1" applyBorder="1" applyAlignment="1">
      <alignment horizontal="right"/>
    </xf>
    <xf numFmtId="39" fontId="7" fillId="3" borderId="4" xfId="0" applyNumberFormat="1" applyFont="1" applyFill="1" applyBorder="1" applyAlignment="1">
      <alignment horizontal="right"/>
    </xf>
    <xf numFmtId="39" fontId="7" fillId="2" borderId="2" xfId="0" applyNumberFormat="1" applyFont="1" applyFill="1" applyBorder="1" applyAlignment="1">
      <alignment horizontal="right"/>
    </xf>
    <xf numFmtId="39" fontId="7" fillId="3" borderId="2" xfId="0" applyNumberFormat="1" applyFont="1" applyFill="1" applyBorder="1" applyAlignment="1">
      <alignment horizontal="right"/>
    </xf>
    <xf numFmtId="0" fontId="4" fillId="2" borderId="0" xfId="1" applyFill="1"/>
    <xf numFmtId="39" fontId="6" fillId="3" borderId="0" xfId="0" applyNumberFormat="1" applyFont="1" applyFill="1"/>
    <xf numFmtId="0" fontId="7" fillId="2" borderId="0" xfId="0" applyFont="1" applyFill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0" applyFont="1" applyAlignment="1"/>
  </cellXfs>
  <cellStyles count="2">
    <cellStyle name="Hyperlink" xfId="1" builtinId="8"/>
    <cellStyle name="Normal" xfId="0" builtinId="0"/>
  </cellStyles>
  <dxfs count="2"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72</xdr:row>
      <xdr:rowOff>9525</xdr:rowOff>
    </xdr:from>
    <xdr:to>
      <xdr:col>2</xdr:col>
      <xdr:colOff>333375</xdr:colOff>
      <xdr:row>86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6085C7-2D2C-402D-B68C-D101D7DA4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029825"/>
          <a:ext cx="383857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89</xdr:row>
      <xdr:rowOff>9525</xdr:rowOff>
    </xdr:from>
    <xdr:to>
      <xdr:col>2</xdr:col>
      <xdr:colOff>95250</xdr:colOff>
      <xdr:row>103</xdr:row>
      <xdr:rowOff>95251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846806-5D43-4F22-B319-499791E1B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5" y="12458700"/>
          <a:ext cx="3457575" cy="208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AD4C-8289-48A9-8F6B-1BC833115A44}">
  <dimension ref="A1:J293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59.5703125" style="8" bestFit="1" customWidth="1"/>
    <col min="3" max="3" width="11.42578125" style="8" bestFit="1" customWidth="1"/>
    <col min="4" max="4" width="25.5703125" style="8" bestFit="1" customWidth="1"/>
    <col min="5" max="5" width="15" style="9" bestFit="1" customWidth="1"/>
    <col min="6" max="6" width="14.85546875" style="11" bestFit="1" customWidth="1"/>
    <col min="7" max="7" width="7.28515625" style="17" bestFit="1" customWidth="1"/>
    <col min="8" max="8" width="7.42578125" style="14" bestFit="1" customWidth="1"/>
    <col min="9" max="9" width="25.7109375" style="8" customWidth="1"/>
    <col min="10" max="16384" width="9.140625" style="8"/>
  </cols>
  <sheetData>
    <row r="1" spans="1:10" s="1" customFormat="1" ht="16.899999999999999" customHeight="1" x14ac:dyDescent="0.2">
      <c r="B1" s="57" t="s">
        <v>6</v>
      </c>
      <c r="C1" s="58"/>
      <c r="D1" s="13"/>
      <c r="E1" s="6"/>
      <c r="F1" s="7"/>
      <c r="G1" s="17"/>
      <c r="H1" s="15"/>
    </row>
    <row r="2" spans="1:10" s="1" customFormat="1" ht="15" x14ac:dyDescent="0.25">
      <c r="A2" s="53" t="str">
        <f>HYPERLINK("[Fortnightly-Portfolio-ISIN-31-Oct-2025.xls]index!A1","")</f>
        <v/>
      </c>
      <c r="E2" s="6"/>
      <c r="F2" s="7"/>
      <c r="G2" s="17"/>
      <c r="H2" s="15"/>
    </row>
    <row r="3" spans="1:10" s="1" customFormat="1" ht="12" x14ac:dyDescent="0.2">
      <c r="B3" s="10" t="s">
        <v>148</v>
      </c>
      <c r="C3" s="2"/>
      <c r="D3" s="3"/>
      <c r="E3" s="4"/>
      <c r="F3" s="5"/>
      <c r="G3" s="17"/>
      <c r="H3" s="15"/>
    </row>
    <row r="4" spans="1:10" s="1" customFormat="1" ht="25.5" customHeight="1" x14ac:dyDescent="0.2">
      <c r="B4" s="20" t="s">
        <v>4</v>
      </c>
      <c r="C4" s="20" t="s">
        <v>5</v>
      </c>
      <c r="D4" s="21" t="s">
        <v>144</v>
      </c>
      <c r="E4" s="22" t="s">
        <v>0</v>
      </c>
      <c r="F4" s="23" t="s">
        <v>1</v>
      </c>
      <c r="G4" s="24" t="s">
        <v>2</v>
      </c>
      <c r="H4" s="25" t="s">
        <v>3</v>
      </c>
      <c r="I4" s="16"/>
      <c r="J4" s="12"/>
    </row>
    <row r="5" spans="1:10" x14ac:dyDescent="0.2">
      <c r="B5" s="26" t="s">
        <v>15</v>
      </c>
      <c r="C5" s="27"/>
      <c r="D5" s="27"/>
      <c r="E5" s="28"/>
      <c r="F5" s="29"/>
      <c r="G5" s="30"/>
      <c r="H5" s="31"/>
    </row>
    <row r="6" spans="1:10" x14ac:dyDescent="0.2">
      <c r="B6" s="26" t="s">
        <v>14</v>
      </c>
      <c r="C6" s="27"/>
      <c r="D6" s="27"/>
      <c r="E6" s="28"/>
      <c r="F6" s="29"/>
      <c r="G6" s="30"/>
      <c r="H6" s="31"/>
    </row>
    <row r="7" spans="1:10" x14ac:dyDescent="0.2">
      <c r="B7" s="27" t="s">
        <v>16</v>
      </c>
      <c r="C7" s="27" t="s">
        <v>17</v>
      </c>
      <c r="D7" s="27" t="s">
        <v>18</v>
      </c>
      <c r="E7" s="32">
        <v>165164</v>
      </c>
      <c r="F7" s="29">
        <v>1630.664172</v>
      </c>
      <c r="G7" s="30">
        <v>13.0180714617016</v>
      </c>
      <c r="H7" s="31"/>
    </row>
    <row r="8" spans="1:10" x14ac:dyDescent="0.2">
      <c r="B8" s="27" t="s">
        <v>19</v>
      </c>
      <c r="C8" s="27" t="s">
        <v>20</v>
      </c>
      <c r="D8" s="27" t="s">
        <v>21</v>
      </c>
      <c r="E8" s="32">
        <v>73208</v>
      </c>
      <c r="F8" s="29">
        <v>1088.163712</v>
      </c>
      <c r="G8" s="30">
        <v>8.6871308072417204</v>
      </c>
      <c r="H8" s="31"/>
    </row>
    <row r="9" spans="1:10" x14ac:dyDescent="0.2">
      <c r="B9" s="27" t="s">
        <v>22</v>
      </c>
      <c r="C9" s="27" t="s">
        <v>23</v>
      </c>
      <c r="D9" s="27" t="s">
        <v>18</v>
      </c>
      <c r="E9" s="32">
        <v>77169</v>
      </c>
      <c r="F9" s="29">
        <v>1038.1545570000001</v>
      </c>
      <c r="G9" s="30">
        <v>8.2878930213701896</v>
      </c>
      <c r="H9" s="31"/>
    </row>
    <row r="10" spans="1:10" x14ac:dyDescent="0.2">
      <c r="B10" s="27" t="s">
        <v>24</v>
      </c>
      <c r="C10" s="27" t="s">
        <v>25</v>
      </c>
      <c r="D10" s="27" t="s">
        <v>26</v>
      </c>
      <c r="E10" s="32">
        <v>29474</v>
      </c>
      <c r="F10" s="29">
        <v>605.54332999999997</v>
      </c>
      <c r="G10" s="30">
        <v>4.8342304187798</v>
      </c>
      <c r="H10" s="31"/>
    </row>
    <row r="11" spans="1:10" x14ac:dyDescent="0.2">
      <c r="B11" s="27" t="s">
        <v>27</v>
      </c>
      <c r="C11" s="27" t="s">
        <v>28</v>
      </c>
      <c r="D11" s="27" t="s">
        <v>29</v>
      </c>
      <c r="E11" s="32">
        <v>38959</v>
      </c>
      <c r="F11" s="29">
        <v>577.48925699999995</v>
      </c>
      <c r="G11" s="30">
        <v>4.6102665067881201</v>
      </c>
      <c r="H11" s="31"/>
    </row>
    <row r="12" spans="1:10" x14ac:dyDescent="0.2">
      <c r="B12" s="27" t="s">
        <v>30</v>
      </c>
      <c r="C12" s="27" t="s">
        <v>31</v>
      </c>
      <c r="D12" s="27" t="s">
        <v>32</v>
      </c>
      <c r="E12" s="32">
        <v>12700</v>
      </c>
      <c r="F12" s="29">
        <v>511.92430000000002</v>
      </c>
      <c r="G12" s="30">
        <v>4.0868421805134103</v>
      </c>
      <c r="H12" s="31"/>
    </row>
    <row r="13" spans="1:10" x14ac:dyDescent="0.2">
      <c r="B13" s="27" t="s">
        <v>33</v>
      </c>
      <c r="C13" s="27" t="s">
        <v>34</v>
      </c>
      <c r="D13" s="27" t="s">
        <v>35</v>
      </c>
      <c r="E13" s="32">
        <v>104191</v>
      </c>
      <c r="F13" s="29">
        <v>437.96686849999998</v>
      </c>
      <c r="G13" s="30">
        <v>3.4964182631165799</v>
      </c>
      <c r="H13" s="31"/>
    </row>
    <row r="14" spans="1:10" x14ac:dyDescent="0.2">
      <c r="B14" s="27" t="s">
        <v>36</v>
      </c>
      <c r="C14" s="27" t="s">
        <v>37</v>
      </c>
      <c r="D14" s="27" t="s">
        <v>18</v>
      </c>
      <c r="E14" s="32">
        <v>44868</v>
      </c>
      <c r="F14" s="29">
        <v>420.41316</v>
      </c>
      <c r="G14" s="30">
        <v>3.35628184778674</v>
      </c>
      <c r="H14" s="31"/>
    </row>
    <row r="15" spans="1:10" x14ac:dyDescent="0.2">
      <c r="B15" s="27" t="s">
        <v>38</v>
      </c>
      <c r="C15" s="27" t="s">
        <v>39</v>
      </c>
      <c r="D15" s="27" t="s">
        <v>18</v>
      </c>
      <c r="E15" s="32">
        <v>30969</v>
      </c>
      <c r="F15" s="29">
        <v>381.78583200000003</v>
      </c>
      <c r="G15" s="30">
        <v>3.0479085328436399</v>
      </c>
      <c r="H15" s="31"/>
    </row>
    <row r="16" spans="1:10" x14ac:dyDescent="0.2">
      <c r="B16" s="27" t="s">
        <v>40</v>
      </c>
      <c r="C16" s="27" t="s">
        <v>41</v>
      </c>
      <c r="D16" s="27" t="s">
        <v>29</v>
      </c>
      <c r="E16" s="32">
        <v>11044</v>
      </c>
      <c r="F16" s="29">
        <v>337.72552000000002</v>
      </c>
      <c r="G16" s="30">
        <v>2.6961621094599901</v>
      </c>
      <c r="H16" s="31"/>
    </row>
    <row r="17" spans="2:8" x14ac:dyDescent="0.2">
      <c r="B17" s="27" t="s">
        <v>42</v>
      </c>
      <c r="C17" s="27" t="s">
        <v>43</v>
      </c>
      <c r="D17" s="27" t="s">
        <v>18</v>
      </c>
      <c r="E17" s="32">
        <v>15903</v>
      </c>
      <c r="F17" s="29">
        <v>334.31286599999999</v>
      </c>
      <c r="G17" s="30">
        <v>2.6689178893385801</v>
      </c>
      <c r="H17" s="31"/>
    </row>
    <row r="18" spans="2:8" x14ac:dyDescent="0.2">
      <c r="B18" s="27" t="s">
        <v>44</v>
      </c>
      <c r="C18" s="27" t="s">
        <v>45</v>
      </c>
      <c r="D18" s="27" t="s">
        <v>46</v>
      </c>
      <c r="E18" s="32">
        <v>9584</v>
      </c>
      <c r="F18" s="29">
        <v>334.21324800000002</v>
      </c>
      <c r="G18" s="30">
        <v>2.6681226095592501</v>
      </c>
      <c r="H18" s="31"/>
    </row>
    <row r="19" spans="2:8" x14ac:dyDescent="0.2">
      <c r="B19" s="27" t="s">
        <v>47</v>
      </c>
      <c r="C19" s="27" t="s">
        <v>48</v>
      </c>
      <c r="D19" s="27" t="s">
        <v>49</v>
      </c>
      <c r="E19" s="32">
        <v>28772</v>
      </c>
      <c r="F19" s="29">
        <v>300.03441600000002</v>
      </c>
      <c r="G19" s="30">
        <v>2.39526294593656</v>
      </c>
      <c r="H19" s="31"/>
    </row>
    <row r="20" spans="2:8" x14ac:dyDescent="0.2">
      <c r="B20" s="27" t="s">
        <v>50</v>
      </c>
      <c r="C20" s="27" t="s">
        <v>51</v>
      </c>
      <c r="D20" s="27" t="s">
        <v>52</v>
      </c>
      <c r="E20" s="32">
        <v>75300</v>
      </c>
      <c r="F20" s="29">
        <v>239.26575</v>
      </c>
      <c r="G20" s="30">
        <v>1.9101288207107501</v>
      </c>
      <c r="H20" s="31"/>
    </row>
    <row r="21" spans="2:8" x14ac:dyDescent="0.2">
      <c r="B21" s="27" t="s">
        <v>53</v>
      </c>
      <c r="C21" s="27" t="s">
        <v>54</v>
      </c>
      <c r="D21" s="27" t="s">
        <v>35</v>
      </c>
      <c r="E21" s="32">
        <v>9597</v>
      </c>
      <c r="F21" s="29">
        <v>236.614035</v>
      </c>
      <c r="G21" s="30">
        <v>1.8889594003243799</v>
      </c>
      <c r="H21" s="31"/>
    </row>
    <row r="22" spans="2:8" x14ac:dyDescent="0.2">
      <c r="B22" s="27" t="s">
        <v>55</v>
      </c>
      <c r="C22" s="27" t="s">
        <v>56</v>
      </c>
      <c r="D22" s="27" t="s">
        <v>46</v>
      </c>
      <c r="E22" s="32">
        <v>1419</v>
      </c>
      <c r="F22" s="29">
        <v>229.67934</v>
      </c>
      <c r="G22" s="30">
        <v>1.83359769150338</v>
      </c>
      <c r="H22" s="31"/>
    </row>
    <row r="23" spans="2:8" x14ac:dyDescent="0.2">
      <c r="B23" s="27" t="s">
        <v>57</v>
      </c>
      <c r="C23" s="27" t="s">
        <v>58</v>
      </c>
      <c r="D23" s="27" t="s">
        <v>59</v>
      </c>
      <c r="E23" s="32">
        <v>11396</v>
      </c>
      <c r="F23" s="29">
        <v>192.67217199999999</v>
      </c>
      <c r="G23" s="30">
        <v>1.5381585901289201</v>
      </c>
      <c r="H23" s="31"/>
    </row>
    <row r="24" spans="2:8" x14ac:dyDescent="0.2">
      <c r="B24" s="27" t="s">
        <v>60</v>
      </c>
      <c r="C24" s="27" t="s">
        <v>61</v>
      </c>
      <c r="D24" s="27" t="s">
        <v>29</v>
      </c>
      <c r="E24" s="32">
        <v>11457</v>
      </c>
      <c r="F24" s="29">
        <v>176.609655</v>
      </c>
      <c r="G24" s="30">
        <v>1.4099267949185501</v>
      </c>
      <c r="H24" s="31"/>
    </row>
    <row r="25" spans="2:8" x14ac:dyDescent="0.2">
      <c r="B25" s="27" t="s">
        <v>62</v>
      </c>
      <c r="C25" s="27" t="s">
        <v>63</v>
      </c>
      <c r="D25" s="27" t="s">
        <v>64</v>
      </c>
      <c r="E25" s="32">
        <v>51271</v>
      </c>
      <c r="F25" s="29">
        <v>172.75763449999999</v>
      </c>
      <c r="G25" s="30">
        <v>1.3791749828643001</v>
      </c>
      <c r="H25" s="31"/>
    </row>
    <row r="26" spans="2:8" x14ac:dyDescent="0.2">
      <c r="B26" s="27" t="s">
        <v>65</v>
      </c>
      <c r="C26" s="27" t="s">
        <v>66</v>
      </c>
      <c r="D26" s="27" t="s">
        <v>67</v>
      </c>
      <c r="E26" s="32">
        <v>4463</v>
      </c>
      <c r="F26" s="29">
        <v>167.21522100000001</v>
      </c>
      <c r="G26" s="30">
        <v>1.33492826655557</v>
      </c>
      <c r="H26" s="31"/>
    </row>
    <row r="27" spans="2:8" x14ac:dyDescent="0.2">
      <c r="B27" s="27" t="s">
        <v>68</v>
      </c>
      <c r="C27" s="27" t="s">
        <v>69</v>
      </c>
      <c r="D27" s="27" t="s">
        <v>70</v>
      </c>
      <c r="E27" s="32">
        <v>38733</v>
      </c>
      <c r="F27" s="29">
        <v>165.041313</v>
      </c>
      <c r="G27" s="30">
        <v>1.31757331991413</v>
      </c>
      <c r="H27" s="31"/>
    </row>
    <row r="28" spans="2:8" x14ac:dyDescent="0.2">
      <c r="B28" s="27" t="s">
        <v>71</v>
      </c>
      <c r="C28" s="27" t="s">
        <v>72</v>
      </c>
      <c r="D28" s="27" t="s">
        <v>73</v>
      </c>
      <c r="E28" s="32">
        <v>89428</v>
      </c>
      <c r="F28" s="29">
        <v>163.51015520000001</v>
      </c>
      <c r="G28" s="30">
        <v>1.3053496370726201</v>
      </c>
      <c r="H28" s="31"/>
    </row>
    <row r="29" spans="2:8" x14ac:dyDescent="0.2">
      <c r="B29" s="27" t="s">
        <v>74</v>
      </c>
      <c r="C29" s="27" t="s">
        <v>75</v>
      </c>
      <c r="D29" s="27" t="s">
        <v>76</v>
      </c>
      <c r="E29" s="32">
        <v>1284</v>
      </c>
      <c r="F29" s="29">
        <v>153.39948000000001</v>
      </c>
      <c r="G29" s="30">
        <v>1.2246331446520999</v>
      </c>
      <c r="H29" s="31"/>
    </row>
    <row r="30" spans="2:8" x14ac:dyDescent="0.2">
      <c r="B30" s="27" t="s">
        <v>77</v>
      </c>
      <c r="C30" s="27" t="s">
        <v>78</v>
      </c>
      <c r="D30" s="27" t="s">
        <v>64</v>
      </c>
      <c r="E30" s="32">
        <v>48984</v>
      </c>
      <c r="F30" s="29">
        <v>141.14739599999999</v>
      </c>
      <c r="G30" s="30">
        <v>1.1268211562577299</v>
      </c>
      <c r="H30" s="31"/>
    </row>
    <row r="31" spans="2:8" x14ac:dyDescent="0.2">
      <c r="B31" s="27" t="s">
        <v>79</v>
      </c>
      <c r="C31" s="27" t="s">
        <v>80</v>
      </c>
      <c r="D31" s="27" t="s">
        <v>81</v>
      </c>
      <c r="E31" s="32">
        <v>2362</v>
      </c>
      <c r="F31" s="29">
        <v>132.86250000000001</v>
      </c>
      <c r="G31" s="30">
        <v>1.06068039592663</v>
      </c>
      <c r="H31" s="31"/>
    </row>
    <row r="32" spans="2:8" x14ac:dyDescent="0.2">
      <c r="B32" s="27" t="s">
        <v>82</v>
      </c>
      <c r="C32" s="27" t="s">
        <v>83</v>
      </c>
      <c r="D32" s="27" t="s">
        <v>84</v>
      </c>
      <c r="E32" s="32">
        <v>15663</v>
      </c>
      <c r="F32" s="29">
        <v>132.7987455</v>
      </c>
      <c r="G32" s="30">
        <v>1.0601714250108201</v>
      </c>
      <c r="H32" s="31"/>
    </row>
    <row r="33" spans="2:8" x14ac:dyDescent="0.2">
      <c r="B33" s="27" t="s">
        <v>85</v>
      </c>
      <c r="C33" s="27" t="s">
        <v>86</v>
      </c>
      <c r="D33" s="27" t="s">
        <v>49</v>
      </c>
      <c r="E33" s="32">
        <v>6173</v>
      </c>
      <c r="F33" s="29">
        <v>128.91075900000001</v>
      </c>
      <c r="G33" s="30">
        <v>1.02913248580542</v>
      </c>
      <c r="H33" s="31"/>
    </row>
    <row r="34" spans="2:8" x14ac:dyDescent="0.2">
      <c r="B34" s="27" t="s">
        <v>87</v>
      </c>
      <c r="C34" s="27" t="s">
        <v>88</v>
      </c>
      <c r="D34" s="27" t="s">
        <v>67</v>
      </c>
      <c r="E34" s="32">
        <v>4890</v>
      </c>
      <c r="F34" s="29">
        <v>122.77812</v>
      </c>
      <c r="G34" s="30">
        <v>0.98017382581787504</v>
      </c>
      <c r="H34" s="31"/>
    </row>
    <row r="35" spans="2:8" x14ac:dyDescent="0.2">
      <c r="B35" s="27" t="s">
        <v>89</v>
      </c>
      <c r="C35" s="27" t="s">
        <v>90</v>
      </c>
      <c r="D35" s="27" t="s">
        <v>73</v>
      </c>
      <c r="E35" s="32">
        <v>10130</v>
      </c>
      <c r="F35" s="29">
        <v>122.1678</v>
      </c>
      <c r="G35" s="30">
        <v>0.97530146183825805</v>
      </c>
      <c r="H35" s="31"/>
    </row>
    <row r="36" spans="2:8" x14ac:dyDescent="0.2">
      <c r="B36" s="27" t="s">
        <v>91</v>
      </c>
      <c r="C36" s="27" t="s">
        <v>92</v>
      </c>
      <c r="D36" s="27" t="s">
        <v>76</v>
      </c>
      <c r="E36" s="32">
        <v>4132</v>
      </c>
      <c r="F36" s="29">
        <v>119.485044</v>
      </c>
      <c r="G36" s="30">
        <v>0.95388423202356498</v>
      </c>
      <c r="H36" s="31"/>
    </row>
    <row r="37" spans="2:8" x14ac:dyDescent="0.2">
      <c r="B37" s="27" t="s">
        <v>93</v>
      </c>
      <c r="C37" s="27" t="s">
        <v>94</v>
      </c>
      <c r="D37" s="27" t="s">
        <v>95</v>
      </c>
      <c r="E37" s="32">
        <v>7981</v>
      </c>
      <c r="F37" s="29">
        <v>115.84421500000001</v>
      </c>
      <c r="G37" s="30">
        <v>0.92481842379911405</v>
      </c>
      <c r="H37" s="31"/>
    </row>
    <row r="38" spans="2:8" x14ac:dyDescent="0.2">
      <c r="B38" s="27" t="s">
        <v>96</v>
      </c>
      <c r="C38" s="27" t="s">
        <v>97</v>
      </c>
      <c r="D38" s="27" t="s">
        <v>49</v>
      </c>
      <c r="E38" s="32">
        <v>15141</v>
      </c>
      <c r="F38" s="29">
        <v>113.39094900000001</v>
      </c>
      <c r="G38" s="30">
        <v>0.90523328011904403</v>
      </c>
      <c r="H38" s="31"/>
    </row>
    <row r="39" spans="2:8" x14ac:dyDescent="0.2">
      <c r="B39" s="27" t="s">
        <v>98</v>
      </c>
      <c r="C39" s="27" t="s">
        <v>99</v>
      </c>
      <c r="D39" s="27" t="s">
        <v>52</v>
      </c>
      <c r="E39" s="32">
        <v>2400</v>
      </c>
      <c r="F39" s="29">
        <v>112.6632</v>
      </c>
      <c r="G39" s="30">
        <v>0.89942344591108303</v>
      </c>
      <c r="H39" s="31"/>
    </row>
    <row r="40" spans="2:8" x14ac:dyDescent="0.2">
      <c r="B40" s="27" t="s">
        <v>100</v>
      </c>
      <c r="C40" s="27" t="s">
        <v>101</v>
      </c>
      <c r="D40" s="27" t="s">
        <v>49</v>
      </c>
      <c r="E40" s="32">
        <v>35440</v>
      </c>
      <c r="F40" s="29">
        <v>108.72992000000001</v>
      </c>
      <c r="G40" s="30">
        <v>0.86802291537996801</v>
      </c>
      <c r="H40" s="31"/>
    </row>
    <row r="41" spans="2:8" x14ac:dyDescent="0.2">
      <c r="B41" s="27" t="s">
        <v>102</v>
      </c>
      <c r="C41" s="27" t="s">
        <v>103</v>
      </c>
      <c r="D41" s="27" t="s">
        <v>104</v>
      </c>
      <c r="E41" s="32">
        <v>42007</v>
      </c>
      <c r="F41" s="29">
        <v>107.2732759</v>
      </c>
      <c r="G41" s="30">
        <v>0.85639409731081895</v>
      </c>
      <c r="H41" s="31"/>
    </row>
    <row r="42" spans="2:8" x14ac:dyDescent="0.2">
      <c r="B42" s="27" t="s">
        <v>105</v>
      </c>
      <c r="C42" s="27" t="s">
        <v>106</v>
      </c>
      <c r="D42" s="27" t="s">
        <v>46</v>
      </c>
      <c r="E42" s="32">
        <v>1199</v>
      </c>
      <c r="F42" s="29">
        <v>106.621075</v>
      </c>
      <c r="G42" s="30">
        <v>0.85118738579451003</v>
      </c>
      <c r="H42" s="31"/>
    </row>
    <row r="43" spans="2:8" x14ac:dyDescent="0.2">
      <c r="B43" s="27" t="s">
        <v>107</v>
      </c>
      <c r="C43" s="27" t="s">
        <v>108</v>
      </c>
      <c r="D43" s="27" t="s">
        <v>46</v>
      </c>
      <c r="E43" s="32">
        <v>1488</v>
      </c>
      <c r="F43" s="29">
        <v>104.26416</v>
      </c>
      <c r="G43" s="30">
        <v>0.83237144047235001</v>
      </c>
      <c r="H43" s="31"/>
    </row>
    <row r="44" spans="2:8" x14ac:dyDescent="0.2">
      <c r="B44" s="27" t="s">
        <v>109</v>
      </c>
      <c r="C44" s="27" t="s">
        <v>110</v>
      </c>
      <c r="D44" s="27" t="s">
        <v>111</v>
      </c>
      <c r="E44" s="32">
        <v>7754</v>
      </c>
      <c r="F44" s="29">
        <v>98.599863999999997</v>
      </c>
      <c r="G44" s="30">
        <v>0.78715170033555004</v>
      </c>
      <c r="H44" s="31"/>
    </row>
    <row r="45" spans="2:8" x14ac:dyDescent="0.2">
      <c r="B45" s="27" t="s">
        <v>112</v>
      </c>
      <c r="C45" s="27" t="s">
        <v>113</v>
      </c>
      <c r="D45" s="27" t="s">
        <v>29</v>
      </c>
      <c r="E45" s="32">
        <v>6865</v>
      </c>
      <c r="F45" s="29">
        <v>97.785060000000001</v>
      </c>
      <c r="G45" s="30">
        <v>0.78064688047048203</v>
      </c>
      <c r="H45" s="31"/>
    </row>
    <row r="46" spans="2:8" x14ac:dyDescent="0.2">
      <c r="B46" s="27" t="s">
        <v>114</v>
      </c>
      <c r="C46" s="27" t="s">
        <v>115</v>
      </c>
      <c r="D46" s="27" t="s">
        <v>116</v>
      </c>
      <c r="E46" s="32">
        <v>24558</v>
      </c>
      <c r="F46" s="29">
        <v>95.444666999999995</v>
      </c>
      <c r="G46" s="30">
        <v>0.76196283513139895</v>
      </c>
      <c r="H46" s="31"/>
    </row>
    <row r="47" spans="2:8" x14ac:dyDescent="0.2">
      <c r="B47" s="27" t="s">
        <v>117</v>
      </c>
      <c r="C47" s="27" t="s">
        <v>118</v>
      </c>
      <c r="D47" s="27" t="s">
        <v>119</v>
      </c>
      <c r="E47" s="32">
        <v>4852</v>
      </c>
      <c r="F47" s="29">
        <v>94.890563999999998</v>
      </c>
      <c r="G47" s="30">
        <v>0.75753926798924698</v>
      </c>
      <c r="H47" s="31"/>
    </row>
    <row r="48" spans="2:8" x14ac:dyDescent="0.2">
      <c r="B48" s="27" t="s">
        <v>120</v>
      </c>
      <c r="C48" s="27" t="s">
        <v>121</v>
      </c>
      <c r="D48" s="27" t="s">
        <v>46</v>
      </c>
      <c r="E48" s="32">
        <v>22589</v>
      </c>
      <c r="F48" s="29">
        <v>92.614900000000006</v>
      </c>
      <c r="G48" s="30">
        <v>0.73937197328595605</v>
      </c>
      <c r="H48" s="31"/>
    </row>
    <row r="49" spans="2:9" x14ac:dyDescent="0.2">
      <c r="B49" s="27" t="s">
        <v>122</v>
      </c>
      <c r="C49" s="27" t="s">
        <v>123</v>
      </c>
      <c r="D49" s="27" t="s">
        <v>124</v>
      </c>
      <c r="E49" s="32">
        <v>8038</v>
      </c>
      <c r="F49" s="29">
        <v>92.260164000000003</v>
      </c>
      <c r="G49" s="30">
        <v>0.73654001151397797</v>
      </c>
      <c r="H49" s="31"/>
    </row>
    <row r="50" spans="2:9" x14ac:dyDescent="0.2">
      <c r="B50" s="27" t="s">
        <v>125</v>
      </c>
      <c r="C50" s="27" t="s">
        <v>126</v>
      </c>
      <c r="D50" s="27" t="s">
        <v>59</v>
      </c>
      <c r="E50" s="32">
        <v>6082</v>
      </c>
      <c r="F50" s="29">
        <v>91.309066000000001</v>
      </c>
      <c r="G50" s="30">
        <v>0.72894711657970401</v>
      </c>
      <c r="H50" s="31"/>
    </row>
    <row r="51" spans="2:9" x14ac:dyDescent="0.2">
      <c r="B51" s="27" t="s">
        <v>127</v>
      </c>
      <c r="C51" s="27" t="s">
        <v>128</v>
      </c>
      <c r="D51" s="27" t="s">
        <v>119</v>
      </c>
      <c r="E51" s="32">
        <v>11604</v>
      </c>
      <c r="F51" s="29">
        <v>84.923873999999998</v>
      </c>
      <c r="G51" s="30">
        <v>0.67797225174856202</v>
      </c>
      <c r="H51" s="31"/>
    </row>
    <row r="52" spans="2:9" x14ac:dyDescent="0.2">
      <c r="B52" s="27" t="s">
        <v>129</v>
      </c>
      <c r="C52" s="27" t="s">
        <v>130</v>
      </c>
      <c r="D52" s="27" t="s">
        <v>124</v>
      </c>
      <c r="E52" s="32">
        <v>1093</v>
      </c>
      <c r="F52" s="29">
        <v>83.953329999999994</v>
      </c>
      <c r="G52" s="30">
        <v>0.67022411367962498</v>
      </c>
      <c r="H52" s="31"/>
    </row>
    <row r="53" spans="2:9" x14ac:dyDescent="0.2">
      <c r="B53" s="27" t="s">
        <v>131</v>
      </c>
      <c r="C53" s="27" t="s">
        <v>132</v>
      </c>
      <c r="D53" s="27" t="s">
        <v>133</v>
      </c>
      <c r="E53" s="32">
        <v>7043</v>
      </c>
      <c r="F53" s="29">
        <v>82.05095</v>
      </c>
      <c r="G53" s="30">
        <v>0.65503685488498398</v>
      </c>
      <c r="H53" s="31"/>
    </row>
    <row r="54" spans="2:9" x14ac:dyDescent="0.2">
      <c r="B54" s="27" t="s">
        <v>134</v>
      </c>
      <c r="C54" s="27" t="s">
        <v>135</v>
      </c>
      <c r="D54" s="27" t="s">
        <v>59</v>
      </c>
      <c r="E54" s="32">
        <v>6588</v>
      </c>
      <c r="F54" s="29">
        <v>78.897887999999995</v>
      </c>
      <c r="G54" s="30">
        <v>0.62986503401347205</v>
      </c>
      <c r="H54" s="31"/>
    </row>
    <row r="55" spans="2:9" x14ac:dyDescent="0.2">
      <c r="B55" s="27" t="s">
        <v>136</v>
      </c>
      <c r="C55" s="27" t="s">
        <v>137</v>
      </c>
      <c r="D55" s="27" t="s">
        <v>29</v>
      </c>
      <c r="E55" s="32">
        <v>30855</v>
      </c>
      <c r="F55" s="29">
        <v>74.258728500000004</v>
      </c>
      <c r="G55" s="30">
        <v>0.59282925992201096</v>
      </c>
      <c r="H55" s="31"/>
    </row>
    <row r="56" spans="2:9" x14ac:dyDescent="0.2">
      <c r="B56" s="27" t="s">
        <v>138</v>
      </c>
      <c r="C56" s="27" t="s">
        <v>139</v>
      </c>
      <c r="D56" s="27" t="s">
        <v>140</v>
      </c>
      <c r="E56" s="32">
        <v>2817</v>
      </c>
      <c r="F56" s="29">
        <v>69.889769999999999</v>
      </c>
      <c r="G56" s="30">
        <v>0.55795057984624097</v>
      </c>
      <c r="H56" s="31"/>
    </row>
    <row r="57" spans="2:9" x14ac:dyDescent="0.2">
      <c r="B57" s="27" t="s">
        <v>149</v>
      </c>
      <c r="C57" s="27" t="s">
        <v>141</v>
      </c>
      <c r="D57" s="27" t="s">
        <v>46</v>
      </c>
      <c r="E57" s="32">
        <v>19519</v>
      </c>
      <c r="F57" s="29">
        <v>50.895792499999999</v>
      </c>
      <c r="G57" s="30">
        <v>0.406316073684446</v>
      </c>
      <c r="H57" s="31"/>
    </row>
    <row r="58" spans="2:9" x14ac:dyDescent="0.2">
      <c r="B58" s="26" t="s">
        <v>7</v>
      </c>
      <c r="C58" s="26"/>
      <c r="D58" s="26"/>
      <c r="E58" s="33"/>
      <c r="F58" s="34">
        <f>SUM(F7:F57)</f>
        <v>12751.8677716</v>
      </c>
      <c r="G58" s="35">
        <f>SUM(G7:G57)</f>
        <v>101.80190916763372</v>
      </c>
      <c r="H58" s="36"/>
      <c r="I58" s="18"/>
    </row>
    <row r="59" spans="2:9" x14ac:dyDescent="0.2">
      <c r="B59" s="26" t="s">
        <v>142</v>
      </c>
      <c r="C59" s="26"/>
      <c r="D59" s="26"/>
      <c r="E59" s="33"/>
      <c r="F59" s="51" t="s">
        <v>143</v>
      </c>
      <c r="G59" s="52" t="s">
        <v>143</v>
      </c>
      <c r="H59" s="36"/>
      <c r="I59" s="18"/>
    </row>
    <row r="60" spans="2:9" x14ac:dyDescent="0.2">
      <c r="B60" s="26" t="s">
        <v>7</v>
      </c>
      <c r="C60" s="26"/>
      <c r="D60" s="26"/>
      <c r="E60" s="33"/>
      <c r="F60" s="49" t="s">
        <v>143</v>
      </c>
      <c r="G60" s="50" t="s">
        <v>143</v>
      </c>
      <c r="H60" s="36"/>
      <c r="I60" s="18"/>
    </row>
    <row r="61" spans="2:9" x14ac:dyDescent="0.2">
      <c r="B61" s="37" t="s">
        <v>8</v>
      </c>
      <c r="C61" s="37"/>
      <c r="D61" s="37"/>
      <c r="E61" s="38"/>
      <c r="F61" s="39">
        <f>F58</f>
        <v>12751.8677716</v>
      </c>
      <c r="G61" s="40">
        <f>G58</f>
        <v>101.80190916763372</v>
      </c>
      <c r="H61" s="36"/>
      <c r="I61" s="18"/>
    </row>
    <row r="62" spans="2:9" x14ac:dyDescent="0.2">
      <c r="B62" s="26" t="s">
        <v>9</v>
      </c>
      <c r="C62" s="26"/>
      <c r="D62" s="26"/>
      <c r="E62" s="33"/>
      <c r="F62" s="34">
        <v>303.94706239999999</v>
      </c>
      <c r="G62" s="35">
        <v>2.4264987523730799</v>
      </c>
      <c r="H62" s="41">
        <v>5.4149999999999997E-2</v>
      </c>
      <c r="I62" s="19"/>
    </row>
    <row r="63" spans="2:9" x14ac:dyDescent="0.2">
      <c r="B63" s="27"/>
      <c r="C63" s="27"/>
      <c r="D63" s="27"/>
      <c r="E63" s="28"/>
      <c r="F63" s="29"/>
      <c r="G63" s="30"/>
      <c r="H63" s="31"/>
    </row>
    <row r="64" spans="2:9" x14ac:dyDescent="0.2">
      <c r="B64" s="47" t="s">
        <v>11</v>
      </c>
      <c r="C64" s="47"/>
      <c r="D64" s="47"/>
      <c r="E64" s="48"/>
      <c r="F64" s="34">
        <f>F65-(F58+F62)</f>
        <v>-529.65704790000018</v>
      </c>
      <c r="G64" s="35">
        <f>G65-(G58+G62)</f>
        <v>-4.2284079200068021</v>
      </c>
      <c r="H64" s="36"/>
      <c r="I64" s="18"/>
    </row>
    <row r="65" spans="2:9" x14ac:dyDescent="0.2">
      <c r="B65" s="42" t="s">
        <v>10</v>
      </c>
      <c r="C65" s="42"/>
      <c r="D65" s="42"/>
      <c r="E65" s="43"/>
      <c r="F65" s="44">
        <v>12526.157786100001</v>
      </c>
      <c r="G65" s="45">
        <v>100</v>
      </c>
      <c r="H65" s="46"/>
      <c r="I65" s="18"/>
    </row>
    <row r="67" spans="2:9" x14ac:dyDescent="0.2">
      <c r="B67" s="18" t="s">
        <v>145</v>
      </c>
    </row>
    <row r="69" spans="2:9" x14ac:dyDescent="0.2">
      <c r="B69" s="18" t="s">
        <v>12</v>
      </c>
    </row>
    <row r="71" spans="2:9" x14ac:dyDescent="0.2">
      <c r="B71" s="18" t="s">
        <v>13</v>
      </c>
      <c r="E71" s="8"/>
      <c r="G71" s="54"/>
      <c r="H71" s="8"/>
    </row>
    <row r="72" spans="2:9" x14ac:dyDescent="0.2">
      <c r="E72" s="8"/>
      <c r="G72" s="54"/>
      <c r="H72" s="8"/>
    </row>
    <row r="73" spans="2:9" x14ac:dyDescent="0.2">
      <c r="E73" s="8"/>
      <c r="G73" s="54"/>
      <c r="H73" s="8"/>
    </row>
    <row r="74" spans="2:9" x14ac:dyDescent="0.2">
      <c r="E74" s="8"/>
      <c r="G74" s="54"/>
      <c r="H74" s="8"/>
    </row>
    <row r="75" spans="2:9" x14ac:dyDescent="0.2">
      <c r="E75" s="8"/>
      <c r="G75" s="54"/>
      <c r="H75" s="8"/>
    </row>
    <row r="76" spans="2:9" x14ac:dyDescent="0.2">
      <c r="E76" s="8"/>
      <c r="G76" s="54"/>
      <c r="H76" s="8"/>
    </row>
    <row r="77" spans="2:9" x14ac:dyDescent="0.2">
      <c r="E77" s="8"/>
      <c r="G77" s="54"/>
      <c r="H77" s="8"/>
    </row>
    <row r="78" spans="2:9" x14ac:dyDescent="0.2">
      <c r="E78" s="8"/>
      <c r="G78" s="54"/>
      <c r="H78" s="8"/>
    </row>
    <row r="79" spans="2:9" x14ac:dyDescent="0.2">
      <c r="E79" s="8"/>
      <c r="G79" s="54"/>
      <c r="H79" s="8"/>
    </row>
    <row r="80" spans="2:9" x14ac:dyDescent="0.2">
      <c r="E80" s="8"/>
      <c r="G80" s="54"/>
      <c r="H80" s="8"/>
    </row>
    <row r="81" spans="2:8" x14ac:dyDescent="0.2">
      <c r="E81" s="8"/>
      <c r="G81" s="54"/>
      <c r="H81" s="8"/>
    </row>
    <row r="82" spans="2:8" x14ac:dyDescent="0.2">
      <c r="E82" s="8"/>
      <c r="G82" s="54"/>
      <c r="H82" s="8"/>
    </row>
    <row r="83" spans="2:8" x14ac:dyDescent="0.2">
      <c r="E83" s="8"/>
      <c r="G83" s="54"/>
      <c r="H83" s="8"/>
    </row>
    <row r="84" spans="2:8" x14ac:dyDescent="0.2">
      <c r="E84" s="8"/>
      <c r="G84" s="54"/>
      <c r="H84" s="8"/>
    </row>
    <row r="85" spans="2:8" x14ac:dyDescent="0.2">
      <c r="E85" s="8"/>
      <c r="G85" s="54"/>
      <c r="H85" s="8"/>
    </row>
    <row r="86" spans="2:8" x14ac:dyDescent="0.2">
      <c r="E86" s="8"/>
      <c r="G86" s="54"/>
      <c r="H86" s="8"/>
    </row>
    <row r="87" spans="2:8" x14ac:dyDescent="0.2">
      <c r="E87" s="8"/>
      <c r="G87" s="54"/>
      <c r="H87" s="8"/>
    </row>
    <row r="88" spans="2:8" x14ac:dyDescent="0.2">
      <c r="B88" s="55" t="s">
        <v>146</v>
      </c>
      <c r="E88" s="8"/>
      <c r="G88" s="54"/>
      <c r="H88" s="8"/>
    </row>
    <row r="89" spans="2:8" x14ac:dyDescent="0.2">
      <c r="B89" s="56" t="s">
        <v>147</v>
      </c>
      <c r="E89" s="8"/>
      <c r="G89" s="54"/>
      <c r="H89" s="8"/>
    </row>
    <row r="90" spans="2:8" x14ac:dyDescent="0.2">
      <c r="E90" s="8"/>
      <c r="G90" s="54"/>
      <c r="H90" s="8"/>
    </row>
    <row r="91" spans="2:8" x14ac:dyDescent="0.2">
      <c r="E91" s="8"/>
      <c r="G91" s="54"/>
      <c r="H91" s="8"/>
    </row>
    <row r="92" spans="2:8" x14ac:dyDescent="0.2">
      <c r="E92" s="8"/>
      <c r="G92" s="54"/>
      <c r="H92" s="8"/>
    </row>
    <row r="93" spans="2:8" x14ac:dyDescent="0.2">
      <c r="E93" s="8"/>
      <c r="G93" s="54"/>
      <c r="H93" s="8"/>
    </row>
    <row r="94" spans="2:8" x14ac:dyDescent="0.2">
      <c r="E94" s="8"/>
      <c r="G94" s="54"/>
      <c r="H94" s="8"/>
    </row>
    <row r="95" spans="2:8" x14ac:dyDescent="0.2">
      <c r="E95" s="8"/>
      <c r="G95" s="54"/>
      <c r="H95" s="8"/>
    </row>
    <row r="96" spans="2:8" x14ac:dyDescent="0.2">
      <c r="E96" s="8"/>
      <c r="G96" s="54"/>
      <c r="H96" s="8"/>
    </row>
    <row r="97" spans="5:8" x14ac:dyDescent="0.2">
      <c r="E97" s="8"/>
      <c r="G97" s="54"/>
      <c r="H97" s="8"/>
    </row>
    <row r="98" spans="5:8" x14ac:dyDescent="0.2">
      <c r="E98" s="8"/>
      <c r="G98" s="54"/>
      <c r="H98" s="8"/>
    </row>
    <row r="99" spans="5:8" x14ac:dyDescent="0.2">
      <c r="E99" s="8"/>
      <c r="G99" s="54"/>
      <c r="H99" s="8"/>
    </row>
    <row r="100" spans="5:8" x14ac:dyDescent="0.2">
      <c r="E100" s="8"/>
      <c r="G100" s="54"/>
      <c r="H100" s="8"/>
    </row>
    <row r="101" spans="5:8" x14ac:dyDescent="0.2">
      <c r="E101" s="8"/>
      <c r="G101" s="54"/>
      <c r="H101" s="8"/>
    </row>
    <row r="102" spans="5:8" x14ac:dyDescent="0.2">
      <c r="E102" s="8"/>
      <c r="G102" s="54"/>
      <c r="H102" s="8"/>
    </row>
    <row r="103" spans="5:8" x14ac:dyDescent="0.2">
      <c r="E103" s="8"/>
      <c r="G103" s="54"/>
      <c r="H103" s="8"/>
    </row>
    <row r="104" spans="5:8" x14ac:dyDescent="0.2">
      <c r="E104" s="8"/>
      <c r="G104" s="54"/>
      <c r="H104" s="8"/>
    </row>
    <row r="105" spans="5:8" x14ac:dyDescent="0.2">
      <c r="E105" s="8"/>
      <c r="G105" s="54"/>
      <c r="H105" s="8"/>
    </row>
    <row r="106" spans="5:8" x14ac:dyDescent="0.2">
      <c r="E106" s="8"/>
      <c r="G106" s="54"/>
      <c r="H106" s="8"/>
    </row>
    <row r="107" spans="5:8" x14ac:dyDescent="0.2">
      <c r="E107" s="8"/>
      <c r="G107" s="54"/>
      <c r="H107" s="8"/>
    </row>
    <row r="108" spans="5:8" x14ac:dyDescent="0.2">
      <c r="E108" s="8"/>
      <c r="G108" s="54"/>
      <c r="H108" s="8"/>
    </row>
    <row r="109" spans="5:8" x14ac:dyDescent="0.2">
      <c r="E109" s="8"/>
      <c r="G109" s="54"/>
      <c r="H109" s="8"/>
    </row>
    <row r="110" spans="5:8" x14ac:dyDescent="0.2">
      <c r="E110" s="8"/>
      <c r="G110" s="54"/>
      <c r="H110" s="8"/>
    </row>
    <row r="111" spans="5:8" x14ac:dyDescent="0.2">
      <c r="E111" s="8"/>
      <c r="G111" s="54"/>
      <c r="H111" s="8"/>
    </row>
    <row r="112" spans="5:8" x14ac:dyDescent="0.2">
      <c r="E112" s="8"/>
      <c r="G112" s="54"/>
      <c r="H112" s="8"/>
    </row>
    <row r="113" spans="5:8" x14ac:dyDescent="0.2">
      <c r="E113" s="8"/>
      <c r="G113" s="54"/>
      <c r="H113" s="8"/>
    </row>
    <row r="114" spans="5:8" x14ac:dyDescent="0.2">
      <c r="E114" s="8"/>
      <c r="G114" s="54"/>
      <c r="H114" s="8"/>
    </row>
    <row r="115" spans="5:8" x14ac:dyDescent="0.2">
      <c r="E115" s="8"/>
      <c r="G115" s="54"/>
      <c r="H115" s="8"/>
    </row>
    <row r="116" spans="5:8" x14ac:dyDescent="0.2">
      <c r="E116" s="8"/>
      <c r="G116" s="54"/>
      <c r="H116" s="8"/>
    </row>
    <row r="117" spans="5:8" x14ac:dyDescent="0.2">
      <c r="E117" s="8"/>
      <c r="G117" s="54"/>
      <c r="H117" s="8"/>
    </row>
    <row r="118" spans="5:8" x14ac:dyDescent="0.2">
      <c r="E118" s="8"/>
      <c r="G118" s="54"/>
      <c r="H118" s="8"/>
    </row>
    <row r="119" spans="5:8" x14ac:dyDescent="0.2">
      <c r="E119" s="8"/>
      <c r="G119" s="54"/>
      <c r="H119" s="8"/>
    </row>
    <row r="120" spans="5:8" x14ac:dyDescent="0.2">
      <c r="E120" s="8"/>
      <c r="G120" s="54"/>
      <c r="H120" s="8"/>
    </row>
    <row r="121" spans="5:8" x14ac:dyDescent="0.2">
      <c r="E121" s="8"/>
      <c r="G121" s="54"/>
      <c r="H121" s="8"/>
    </row>
    <row r="122" spans="5:8" x14ac:dyDescent="0.2">
      <c r="E122" s="8"/>
      <c r="G122" s="54"/>
      <c r="H122" s="8"/>
    </row>
    <row r="123" spans="5:8" x14ac:dyDescent="0.2">
      <c r="E123" s="8"/>
      <c r="G123" s="54"/>
      <c r="H123" s="8"/>
    </row>
    <row r="124" spans="5:8" x14ac:dyDescent="0.2">
      <c r="E124" s="8"/>
      <c r="G124" s="54"/>
      <c r="H124" s="8"/>
    </row>
    <row r="125" spans="5:8" x14ac:dyDescent="0.2">
      <c r="E125" s="8"/>
      <c r="G125" s="54"/>
      <c r="H125" s="8"/>
    </row>
    <row r="126" spans="5:8" x14ac:dyDescent="0.2">
      <c r="E126" s="8"/>
      <c r="G126" s="54"/>
      <c r="H126" s="8"/>
    </row>
    <row r="127" spans="5:8" x14ac:dyDescent="0.2">
      <c r="E127" s="8"/>
      <c r="G127" s="54"/>
      <c r="H127" s="8"/>
    </row>
    <row r="128" spans="5:8" x14ac:dyDescent="0.2">
      <c r="E128" s="8"/>
      <c r="G128" s="54"/>
      <c r="H128" s="8"/>
    </row>
    <row r="129" spans="5:8" x14ac:dyDescent="0.2">
      <c r="E129" s="8"/>
      <c r="G129" s="54"/>
      <c r="H129" s="8"/>
    </row>
    <row r="130" spans="5:8" x14ac:dyDescent="0.2">
      <c r="E130" s="8"/>
      <c r="G130" s="54"/>
      <c r="H130" s="8"/>
    </row>
    <row r="131" spans="5:8" x14ac:dyDescent="0.2">
      <c r="E131" s="8"/>
      <c r="G131" s="54"/>
      <c r="H131" s="8"/>
    </row>
    <row r="132" spans="5:8" x14ac:dyDescent="0.2">
      <c r="E132" s="8"/>
      <c r="G132" s="54"/>
      <c r="H132" s="8"/>
    </row>
    <row r="133" spans="5:8" x14ac:dyDescent="0.2">
      <c r="E133" s="8"/>
      <c r="G133" s="54"/>
      <c r="H133" s="8"/>
    </row>
    <row r="134" spans="5:8" x14ac:dyDescent="0.2">
      <c r="E134" s="8"/>
      <c r="G134" s="54"/>
      <c r="H134" s="8"/>
    </row>
    <row r="135" spans="5:8" x14ac:dyDescent="0.2">
      <c r="E135" s="8"/>
      <c r="G135" s="54"/>
      <c r="H135" s="8"/>
    </row>
    <row r="136" spans="5:8" x14ac:dyDescent="0.2">
      <c r="E136" s="8"/>
      <c r="G136" s="54"/>
      <c r="H136" s="8"/>
    </row>
    <row r="137" spans="5:8" x14ac:dyDescent="0.2">
      <c r="E137" s="8"/>
      <c r="G137" s="54"/>
      <c r="H137" s="8"/>
    </row>
    <row r="138" spans="5:8" x14ac:dyDescent="0.2">
      <c r="E138" s="8"/>
      <c r="G138" s="54"/>
      <c r="H138" s="8"/>
    </row>
    <row r="139" spans="5:8" x14ac:dyDescent="0.2">
      <c r="E139" s="8"/>
      <c r="G139" s="54"/>
      <c r="H139" s="8"/>
    </row>
    <row r="140" spans="5:8" x14ac:dyDescent="0.2">
      <c r="E140" s="8"/>
      <c r="G140" s="54"/>
      <c r="H140" s="8"/>
    </row>
    <row r="141" spans="5:8" x14ac:dyDescent="0.2">
      <c r="E141" s="8"/>
      <c r="G141" s="54"/>
      <c r="H141" s="8"/>
    </row>
    <row r="142" spans="5:8" x14ac:dyDescent="0.2">
      <c r="E142" s="8"/>
      <c r="G142" s="54"/>
      <c r="H142" s="8"/>
    </row>
    <row r="143" spans="5:8" x14ac:dyDescent="0.2">
      <c r="E143" s="8"/>
      <c r="G143" s="54"/>
      <c r="H143" s="8"/>
    </row>
    <row r="144" spans="5:8" x14ac:dyDescent="0.2">
      <c r="E144" s="8"/>
      <c r="G144" s="54"/>
      <c r="H144" s="8"/>
    </row>
    <row r="145" spans="5:8" x14ac:dyDescent="0.2">
      <c r="E145" s="8"/>
      <c r="G145" s="54"/>
      <c r="H145" s="8"/>
    </row>
    <row r="146" spans="5:8" x14ac:dyDescent="0.2">
      <c r="E146" s="8"/>
      <c r="G146" s="54"/>
      <c r="H146" s="8"/>
    </row>
    <row r="147" spans="5:8" x14ac:dyDescent="0.2">
      <c r="E147" s="8"/>
      <c r="G147" s="54"/>
      <c r="H147" s="8"/>
    </row>
    <row r="148" spans="5:8" x14ac:dyDescent="0.2">
      <c r="E148" s="8"/>
      <c r="G148" s="54"/>
      <c r="H148" s="8"/>
    </row>
    <row r="149" spans="5:8" x14ac:dyDescent="0.2">
      <c r="E149" s="8"/>
      <c r="G149" s="54"/>
      <c r="H149" s="8"/>
    </row>
    <row r="150" spans="5:8" x14ac:dyDescent="0.2">
      <c r="E150" s="8"/>
      <c r="G150" s="54"/>
      <c r="H150" s="8"/>
    </row>
    <row r="151" spans="5:8" x14ac:dyDescent="0.2">
      <c r="E151" s="8"/>
      <c r="G151" s="54"/>
      <c r="H151" s="8"/>
    </row>
    <row r="152" spans="5:8" x14ac:dyDescent="0.2">
      <c r="E152" s="8"/>
      <c r="G152" s="54"/>
      <c r="H152" s="8"/>
    </row>
    <row r="153" spans="5:8" x14ac:dyDescent="0.2">
      <c r="E153" s="8"/>
      <c r="G153" s="54"/>
      <c r="H153" s="8"/>
    </row>
    <row r="154" spans="5:8" x14ac:dyDescent="0.2">
      <c r="E154" s="8"/>
      <c r="G154" s="54"/>
      <c r="H154" s="8"/>
    </row>
    <row r="155" spans="5:8" x14ac:dyDescent="0.2">
      <c r="E155" s="8"/>
      <c r="G155" s="54"/>
      <c r="H155" s="8"/>
    </row>
    <row r="156" spans="5:8" x14ac:dyDescent="0.2">
      <c r="E156" s="8"/>
      <c r="G156" s="54"/>
      <c r="H156" s="8"/>
    </row>
    <row r="157" spans="5:8" x14ac:dyDescent="0.2">
      <c r="E157" s="8"/>
      <c r="G157" s="54"/>
      <c r="H157" s="8"/>
    </row>
    <row r="158" spans="5:8" x14ac:dyDescent="0.2">
      <c r="E158" s="8"/>
      <c r="G158" s="54"/>
      <c r="H158" s="8"/>
    </row>
    <row r="159" spans="5:8" x14ac:dyDescent="0.2">
      <c r="E159" s="8"/>
      <c r="G159" s="54"/>
      <c r="H159" s="8"/>
    </row>
    <row r="160" spans="5:8" x14ac:dyDescent="0.2">
      <c r="E160" s="8"/>
      <c r="G160" s="54"/>
      <c r="H160" s="8"/>
    </row>
    <row r="161" spans="5:8" x14ac:dyDescent="0.2">
      <c r="E161" s="8"/>
      <c r="G161" s="54"/>
      <c r="H161" s="8"/>
    </row>
    <row r="162" spans="5:8" x14ac:dyDescent="0.2">
      <c r="E162" s="8"/>
      <c r="G162" s="54"/>
      <c r="H162" s="8"/>
    </row>
    <row r="163" spans="5:8" x14ac:dyDescent="0.2">
      <c r="E163" s="8"/>
      <c r="G163" s="54"/>
      <c r="H163" s="8"/>
    </row>
    <row r="164" spans="5:8" x14ac:dyDescent="0.2">
      <c r="E164" s="8"/>
      <c r="G164" s="54"/>
      <c r="H164" s="8"/>
    </row>
    <row r="165" spans="5:8" x14ac:dyDescent="0.2">
      <c r="E165" s="8"/>
      <c r="G165" s="54"/>
      <c r="H165" s="8"/>
    </row>
    <row r="166" spans="5:8" x14ac:dyDescent="0.2">
      <c r="E166" s="8"/>
      <c r="G166" s="54"/>
      <c r="H166" s="8"/>
    </row>
    <row r="167" spans="5:8" x14ac:dyDescent="0.2">
      <c r="E167" s="8"/>
      <c r="G167" s="54"/>
      <c r="H167" s="8"/>
    </row>
    <row r="168" spans="5:8" x14ac:dyDescent="0.2">
      <c r="E168" s="8"/>
      <c r="G168" s="54"/>
      <c r="H168" s="8"/>
    </row>
    <row r="169" spans="5:8" x14ac:dyDescent="0.2">
      <c r="E169" s="8"/>
      <c r="G169" s="54"/>
      <c r="H169" s="8"/>
    </row>
    <row r="170" spans="5:8" x14ac:dyDescent="0.2">
      <c r="E170" s="8"/>
      <c r="G170" s="54"/>
      <c r="H170" s="8"/>
    </row>
    <row r="171" spans="5:8" x14ac:dyDescent="0.2">
      <c r="E171" s="8"/>
      <c r="G171" s="54"/>
      <c r="H171" s="8"/>
    </row>
    <row r="172" spans="5:8" x14ac:dyDescent="0.2">
      <c r="E172" s="8"/>
      <c r="G172" s="54"/>
      <c r="H172" s="8"/>
    </row>
    <row r="173" spans="5:8" x14ac:dyDescent="0.2">
      <c r="E173" s="8"/>
      <c r="G173" s="54"/>
      <c r="H173" s="8"/>
    </row>
    <row r="174" spans="5:8" x14ac:dyDescent="0.2">
      <c r="E174" s="8"/>
      <c r="G174" s="54"/>
      <c r="H174" s="8"/>
    </row>
    <row r="175" spans="5:8" x14ac:dyDescent="0.2">
      <c r="E175" s="8"/>
      <c r="G175" s="54"/>
      <c r="H175" s="8"/>
    </row>
    <row r="176" spans="5:8" x14ac:dyDescent="0.2">
      <c r="E176" s="8"/>
      <c r="G176" s="54"/>
      <c r="H176" s="8"/>
    </row>
    <row r="177" spans="5:8" x14ac:dyDescent="0.2">
      <c r="E177" s="8"/>
      <c r="G177" s="54"/>
      <c r="H177" s="8"/>
    </row>
    <row r="178" spans="5:8" x14ac:dyDescent="0.2">
      <c r="E178" s="8"/>
      <c r="G178" s="54"/>
      <c r="H178" s="8"/>
    </row>
    <row r="179" spans="5:8" x14ac:dyDescent="0.2">
      <c r="E179" s="8"/>
      <c r="G179" s="54"/>
      <c r="H179" s="8"/>
    </row>
    <row r="180" spans="5:8" x14ac:dyDescent="0.2">
      <c r="E180" s="8"/>
      <c r="G180" s="54"/>
      <c r="H180" s="8"/>
    </row>
    <row r="181" spans="5:8" x14ac:dyDescent="0.2">
      <c r="E181" s="8"/>
      <c r="G181" s="54"/>
      <c r="H181" s="8"/>
    </row>
    <row r="182" spans="5:8" x14ac:dyDescent="0.2">
      <c r="E182" s="8"/>
      <c r="G182" s="54"/>
      <c r="H182" s="8"/>
    </row>
    <row r="183" spans="5:8" x14ac:dyDescent="0.2">
      <c r="E183" s="8"/>
      <c r="G183" s="54"/>
      <c r="H183" s="8"/>
    </row>
    <row r="184" spans="5:8" x14ac:dyDescent="0.2">
      <c r="E184" s="8"/>
      <c r="G184" s="54"/>
      <c r="H184" s="8"/>
    </row>
    <row r="185" spans="5:8" x14ac:dyDescent="0.2">
      <c r="E185" s="8"/>
      <c r="G185" s="54"/>
      <c r="H185" s="8"/>
    </row>
    <row r="186" spans="5:8" x14ac:dyDescent="0.2">
      <c r="E186" s="8"/>
      <c r="G186" s="54"/>
      <c r="H186" s="8"/>
    </row>
    <row r="187" spans="5:8" x14ac:dyDescent="0.2">
      <c r="E187" s="8"/>
      <c r="G187" s="54"/>
      <c r="H187" s="8"/>
    </row>
    <row r="188" spans="5:8" x14ac:dyDescent="0.2">
      <c r="E188" s="8"/>
      <c r="G188" s="54"/>
      <c r="H188" s="8"/>
    </row>
    <row r="189" spans="5:8" x14ac:dyDescent="0.2">
      <c r="E189" s="8"/>
      <c r="G189" s="54"/>
      <c r="H189" s="8"/>
    </row>
    <row r="190" spans="5:8" x14ac:dyDescent="0.2">
      <c r="E190" s="8"/>
      <c r="G190" s="54"/>
      <c r="H190" s="8"/>
    </row>
    <row r="191" spans="5:8" x14ac:dyDescent="0.2">
      <c r="E191" s="8"/>
      <c r="G191" s="54"/>
      <c r="H191" s="8"/>
    </row>
    <row r="192" spans="5:8" x14ac:dyDescent="0.2">
      <c r="E192" s="8"/>
      <c r="G192" s="54"/>
    </row>
    <row r="193" spans="5:7" x14ac:dyDescent="0.2">
      <c r="E193" s="8"/>
      <c r="G193" s="54"/>
    </row>
    <row r="194" spans="5:7" x14ac:dyDescent="0.2">
      <c r="E194" s="8"/>
      <c r="G194" s="54"/>
    </row>
    <row r="195" spans="5:7" x14ac:dyDescent="0.2">
      <c r="E195" s="8"/>
      <c r="G195" s="54"/>
    </row>
    <row r="196" spans="5:7" x14ac:dyDescent="0.2">
      <c r="E196" s="8"/>
      <c r="G196" s="54"/>
    </row>
    <row r="197" spans="5:7" x14ac:dyDescent="0.2">
      <c r="E197" s="8"/>
      <c r="G197" s="54"/>
    </row>
    <row r="198" spans="5:7" x14ac:dyDescent="0.2">
      <c r="E198" s="8"/>
      <c r="G198" s="54"/>
    </row>
    <row r="199" spans="5:7" x14ac:dyDescent="0.2">
      <c r="E199" s="8"/>
      <c r="G199" s="54"/>
    </row>
    <row r="200" spans="5:7" x14ac:dyDescent="0.2">
      <c r="E200" s="8"/>
      <c r="G200" s="54"/>
    </row>
    <row r="201" spans="5:7" x14ac:dyDescent="0.2">
      <c r="E201" s="8"/>
      <c r="G201" s="54"/>
    </row>
    <row r="202" spans="5:7" x14ac:dyDescent="0.2">
      <c r="E202" s="8"/>
      <c r="G202" s="54"/>
    </row>
    <row r="203" spans="5:7" x14ac:dyDescent="0.2">
      <c r="E203" s="8"/>
      <c r="G203" s="54"/>
    </row>
    <row r="204" spans="5:7" x14ac:dyDescent="0.2">
      <c r="E204" s="8"/>
      <c r="G204" s="54"/>
    </row>
    <row r="205" spans="5:7" x14ac:dyDescent="0.2">
      <c r="E205" s="8"/>
      <c r="G205" s="54"/>
    </row>
    <row r="206" spans="5:7" x14ac:dyDescent="0.2">
      <c r="E206" s="8"/>
      <c r="G206" s="54"/>
    </row>
    <row r="207" spans="5:7" x14ac:dyDescent="0.2">
      <c r="E207" s="8"/>
      <c r="G207" s="54"/>
    </row>
    <row r="208" spans="5:7" x14ac:dyDescent="0.2">
      <c r="E208" s="8"/>
      <c r="G208" s="54"/>
    </row>
    <row r="209" spans="5:7" x14ac:dyDescent="0.2">
      <c r="E209" s="8"/>
      <c r="G209" s="54"/>
    </row>
    <row r="210" spans="5:7" x14ac:dyDescent="0.2">
      <c r="E210" s="8"/>
      <c r="G210" s="54"/>
    </row>
    <row r="211" spans="5:7" x14ac:dyDescent="0.2">
      <c r="E211" s="8"/>
      <c r="G211" s="54"/>
    </row>
    <row r="212" spans="5:7" x14ac:dyDescent="0.2">
      <c r="E212" s="8"/>
      <c r="G212" s="54"/>
    </row>
    <row r="213" spans="5:7" x14ac:dyDescent="0.2">
      <c r="E213" s="8"/>
      <c r="G213" s="54"/>
    </row>
    <row r="214" spans="5:7" x14ac:dyDescent="0.2">
      <c r="E214" s="8"/>
      <c r="G214" s="54"/>
    </row>
    <row r="215" spans="5:7" x14ac:dyDescent="0.2">
      <c r="E215" s="8"/>
      <c r="G215" s="54"/>
    </row>
    <row r="216" spans="5:7" x14ac:dyDescent="0.2">
      <c r="E216" s="8"/>
      <c r="G216" s="54"/>
    </row>
    <row r="217" spans="5:7" x14ac:dyDescent="0.2">
      <c r="E217" s="8"/>
      <c r="G217" s="54"/>
    </row>
    <row r="218" spans="5:7" x14ac:dyDescent="0.2">
      <c r="E218" s="8"/>
      <c r="G218" s="54"/>
    </row>
    <row r="219" spans="5:7" x14ac:dyDescent="0.2">
      <c r="E219" s="8"/>
      <c r="G219" s="54"/>
    </row>
    <row r="220" spans="5:7" x14ac:dyDescent="0.2">
      <c r="E220" s="8"/>
      <c r="G220" s="54"/>
    </row>
    <row r="221" spans="5:7" x14ac:dyDescent="0.2">
      <c r="E221" s="8"/>
      <c r="G221" s="54"/>
    </row>
    <row r="222" spans="5:7" x14ac:dyDescent="0.2">
      <c r="E222" s="8"/>
      <c r="G222" s="54"/>
    </row>
    <row r="223" spans="5:7" x14ac:dyDescent="0.2">
      <c r="E223" s="8"/>
      <c r="G223" s="54"/>
    </row>
    <row r="224" spans="5:7" x14ac:dyDescent="0.2">
      <c r="E224" s="8"/>
      <c r="G224" s="54"/>
    </row>
    <row r="225" spans="5:7" x14ac:dyDescent="0.2">
      <c r="E225" s="8"/>
      <c r="G225" s="54"/>
    </row>
    <row r="226" spans="5:7" x14ac:dyDescent="0.2">
      <c r="E226" s="8"/>
      <c r="G226" s="54"/>
    </row>
    <row r="227" spans="5:7" x14ac:dyDescent="0.2">
      <c r="E227" s="8"/>
      <c r="G227" s="54"/>
    </row>
    <row r="228" spans="5:7" x14ac:dyDescent="0.2">
      <c r="E228" s="8"/>
      <c r="G228" s="54"/>
    </row>
    <row r="229" spans="5:7" x14ac:dyDescent="0.2">
      <c r="E229" s="8"/>
      <c r="G229" s="54"/>
    </row>
    <row r="230" spans="5:7" x14ac:dyDescent="0.2">
      <c r="E230" s="8"/>
      <c r="G230" s="54"/>
    </row>
    <row r="231" spans="5:7" x14ac:dyDescent="0.2">
      <c r="E231" s="8"/>
      <c r="G231" s="54"/>
    </row>
    <row r="232" spans="5:7" x14ac:dyDescent="0.2">
      <c r="E232" s="8"/>
      <c r="G232" s="54"/>
    </row>
    <row r="233" spans="5:7" x14ac:dyDescent="0.2">
      <c r="E233" s="8"/>
      <c r="G233" s="54"/>
    </row>
    <row r="234" spans="5:7" x14ac:dyDescent="0.2">
      <c r="E234" s="8"/>
      <c r="G234" s="54"/>
    </row>
    <row r="235" spans="5:7" x14ac:dyDescent="0.2">
      <c r="E235" s="8"/>
      <c r="G235" s="54"/>
    </row>
    <row r="236" spans="5:7" x14ac:dyDescent="0.2">
      <c r="E236" s="8"/>
      <c r="G236" s="54"/>
    </row>
    <row r="237" spans="5:7" x14ac:dyDescent="0.2">
      <c r="E237" s="8"/>
      <c r="G237" s="54"/>
    </row>
    <row r="238" spans="5:7" x14ac:dyDescent="0.2">
      <c r="E238" s="8"/>
      <c r="G238" s="54"/>
    </row>
    <row r="239" spans="5:7" x14ac:dyDescent="0.2">
      <c r="E239" s="8"/>
      <c r="G239" s="54"/>
    </row>
    <row r="240" spans="5:7" x14ac:dyDescent="0.2">
      <c r="E240" s="8"/>
      <c r="G240" s="54"/>
    </row>
    <row r="241" spans="5:7" x14ac:dyDescent="0.2">
      <c r="E241" s="8"/>
      <c r="G241" s="54"/>
    </row>
    <row r="242" spans="5:7" x14ac:dyDescent="0.2">
      <c r="E242" s="8"/>
      <c r="G242" s="54"/>
    </row>
    <row r="243" spans="5:7" x14ac:dyDescent="0.2">
      <c r="E243" s="8"/>
      <c r="G243" s="54"/>
    </row>
    <row r="244" spans="5:7" x14ac:dyDescent="0.2">
      <c r="E244" s="8"/>
      <c r="G244" s="54"/>
    </row>
    <row r="245" spans="5:7" x14ac:dyDescent="0.2">
      <c r="E245" s="8"/>
      <c r="G245" s="54"/>
    </row>
    <row r="246" spans="5:7" x14ac:dyDescent="0.2">
      <c r="E246" s="8"/>
      <c r="G246" s="54"/>
    </row>
    <row r="247" spans="5:7" x14ac:dyDescent="0.2">
      <c r="E247" s="8"/>
      <c r="G247" s="54"/>
    </row>
    <row r="248" spans="5:7" x14ac:dyDescent="0.2">
      <c r="E248" s="8"/>
      <c r="G248" s="54"/>
    </row>
    <row r="249" spans="5:7" x14ac:dyDescent="0.2">
      <c r="E249" s="8"/>
      <c r="G249" s="54"/>
    </row>
    <row r="250" spans="5:7" x14ac:dyDescent="0.2">
      <c r="E250" s="8"/>
      <c r="G250" s="54"/>
    </row>
    <row r="251" spans="5:7" x14ac:dyDescent="0.2">
      <c r="E251" s="8"/>
      <c r="G251" s="54"/>
    </row>
    <row r="252" spans="5:7" x14ac:dyDescent="0.2">
      <c r="E252" s="8"/>
      <c r="G252" s="54"/>
    </row>
    <row r="253" spans="5:7" x14ac:dyDescent="0.2">
      <c r="E253" s="8"/>
      <c r="G253" s="54"/>
    </row>
    <row r="254" spans="5:7" x14ac:dyDescent="0.2">
      <c r="E254" s="8"/>
      <c r="G254" s="54"/>
    </row>
    <row r="255" spans="5:7" x14ac:dyDescent="0.2">
      <c r="E255" s="8"/>
      <c r="G255" s="54"/>
    </row>
    <row r="256" spans="5:7" x14ac:dyDescent="0.2">
      <c r="E256" s="8"/>
      <c r="G256" s="54"/>
    </row>
    <row r="257" spans="5:7" x14ac:dyDescent="0.2">
      <c r="E257" s="8"/>
      <c r="G257" s="54"/>
    </row>
    <row r="258" spans="5:7" x14ac:dyDescent="0.2">
      <c r="E258" s="8"/>
      <c r="G258" s="54"/>
    </row>
    <row r="259" spans="5:7" x14ac:dyDescent="0.2">
      <c r="E259" s="8"/>
      <c r="G259" s="54"/>
    </row>
    <row r="260" spans="5:7" x14ac:dyDescent="0.2">
      <c r="E260" s="8"/>
      <c r="G260" s="54"/>
    </row>
    <row r="261" spans="5:7" x14ac:dyDescent="0.2">
      <c r="E261" s="8"/>
      <c r="G261" s="54"/>
    </row>
    <row r="262" spans="5:7" x14ac:dyDescent="0.2">
      <c r="E262" s="8"/>
      <c r="G262" s="54"/>
    </row>
    <row r="263" spans="5:7" x14ac:dyDescent="0.2">
      <c r="E263" s="8"/>
      <c r="G263" s="54"/>
    </row>
    <row r="264" spans="5:7" x14ac:dyDescent="0.2">
      <c r="E264" s="8"/>
      <c r="G264" s="54"/>
    </row>
    <row r="265" spans="5:7" x14ac:dyDescent="0.2">
      <c r="E265" s="8"/>
      <c r="G265" s="54"/>
    </row>
    <row r="266" spans="5:7" x14ac:dyDescent="0.2">
      <c r="E266" s="8"/>
      <c r="G266" s="54"/>
    </row>
    <row r="267" spans="5:7" x14ac:dyDescent="0.2">
      <c r="E267" s="8"/>
      <c r="G267" s="54"/>
    </row>
    <row r="268" spans="5:7" x14ac:dyDescent="0.2">
      <c r="E268" s="8"/>
      <c r="G268" s="54"/>
    </row>
    <row r="269" spans="5:7" x14ac:dyDescent="0.2">
      <c r="E269" s="8"/>
      <c r="G269" s="54"/>
    </row>
    <row r="270" spans="5:7" x14ac:dyDescent="0.2">
      <c r="E270" s="8"/>
      <c r="G270" s="54"/>
    </row>
    <row r="271" spans="5:7" x14ac:dyDescent="0.2">
      <c r="E271" s="8"/>
      <c r="G271" s="54"/>
    </row>
    <row r="272" spans="5:7" x14ac:dyDescent="0.2">
      <c r="E272" s="8"/>
      <c r="G272" s="54"/>
    </row>
    <row r="273" spans="5:7" x14ac:dyDescent="0.2">
      <c r="E273" s="8"/>
      <c r="G273" s="54"/>
    </row>
    <row r="274" spans="5:7" x14ac:dyDescent="0.2">
      <c r="E274" s="8"/>
      <c r="G274" s="54"/>
    </row>
    <row r="275" spans="5:7" x14ac:dyDescent="0.2">
      <c r="E275" s="8"/>
      <c r="G275" s="54"/>
    </row>
    <row r="276" spans="5:7" x14ac:dyDescent="0.2">
      <c r="E276" s="8"/>
      <c r="G276" s="54"/>
    </row>
    <row r="277" spans="5:7" x14ac:dyDescent="0.2">
      <c r="E277" s="8"/>
      <c r="G277" s="54"/>
    </row>
    <row r="278" spans="5:7" x14ac:dyDescent="0.2">
      <c r="E278" s="8"/>
      <c r="G278" s="54"/>
    </row>
    <row r="279" spans="5:7" x14ac:dyDescent="0.2">
      <c r="E279" s="8"/>
      <c r="G279" s="54"/>
    </row>
    <row r="280" spans="5:7" x14ac:dyDescent="0.2">
      <c r="E280" s="8"/>
      <c r="G280" s="54"/>
    </row>
    <row r="281" spans="5:7" x14ac:dyDescent="0.2">
      <c r="E281" s="8"/>
      <c r="G281" s="54"/>
    </row>
    <row r="282" spans="5:7" x14ac:dyDescent="0.2">
      <c r="E282" s="8"/>
      <c r="G282" s="54"/>
    </row>
    <row r="283" spans="5:7" x14ac:dyDescent="0.2">
      <c r="E283" s="8"/>
      <c r="G283" s="54"/>
    </row>
    <row r="284" spans="5:7" x14ac:dyDescent="0.2">
      <c r="E284" s="8"/>
      <c r="G284" s="54"/>
    </row>
    <row r="285" spans="5:7" x14ac:dyDescent="0.2">
      <c r="E285" s="8"/>
      <c r="G285" s="54"/>
    </row>
    <row r="286" spans="5:7" x14ac:dyDescent="0.2">
      <c r="E286" s="8"/>
      <c r="G286" s="54"/>
    </row>
    <row r="287" spans="5:7" x14ac:dyDescent="0.2">
      <c r="E287" s="8"/>
      <c r="G287" s="54"/>
    </row>
    <row r="288" spans="5:7" x14ac:dyDescent="0.2">
      <c r="E288" s="8"/>
      <c r="G288" s="54"/>
    </row>
    <row r="289" spans="5:7" x14ac:dyDescent="0.2">
      <c r="E289" s="8"/>
      <c r="G289" s="54"/>
    </row>
    <row r="290" spans="5:7" x14ac:dyDescent="0.2">
      <c r="E290" s="8"/>
      <c r="G290" s="54"/>
    </row>
    <row r="291" spans="5:7" x14ac:dyDescent="0.2">
      <c r="E291" s="8"/>
      <c r="G291" s="54"/>
    </row>
    <row r="292" spans="5:7" x14ac:dyDescent="0.2">
      <c r="E292" s="8"/>
      <c r="G292" s="54"/>
    </row>
    <row r="293" spans="5:7" x14ac:dyDescent="0.2">
      <c r="E293" s="8"/>
      <c r="G293" s="54"/>
    </row>
  </sheetData>
  <mergeCells count="1">
    <mergeCell ref="B1:C1"/>
  </mergeCells>
  <conditionalFormatting sqref="G1:G3">
    <cfRule type="cellIs" dxfId="1" priority="2" stopIfTrue="1" operator="between">
      <formula>0.009</formula>
      <formula>-0.009</formula>
    </cfRule>
  </conditionalFormatting>
  <conditionalFormatting sqref="G5:G65538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7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JBN50</vt:lpstr>
      <vt:lpstr>'JBN50'!Print_Area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2025-11-06T12:18:09Z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2025-11-06T08:45:51Z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ef336553-7af8-4207-9dd3-8f85d68daaa6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