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filterPrivacy="1" defaultThemeVersion="124226"/>
  <xr:revisionPtr revIDLastSave="0" documentId="13_ncr:1_{28F4A170-835E-454C-A713-EACE3CB3E360}" xr6:coauthVersionLast="47" xr6:coauthVersionMax="47" xr10:uidLastSave="{00000000-0000-0000-0000-000000000000}"/>
  <bookViews>
    <workbookView xWindow="-108" yWindow="-108" windowWidth="23256" windowHeight="13896" xr2:uid="{7291B499-DD8C-4F12-BA28-9EE7F24AB421}"/>
  </bookViews>
  <sheets>
    <sheet name="JBMMF" sheetId="3" r:id="rId1"/>
  </sheets>
  <definedNames>
    <definedName name="_xlnm.Print_Area" localSheetId="0">JBMMF!$B$1:$I$110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2" i="3" l="1"/>
  <c r="F52" i="3"/>
  <c r="G49" i="3"/>
  <c r="F49" i="3"/>
  <c r="G45" i="3"/>
  <c r="F45" i="3"/>
  <c r="G40" i="3"/>
  <c r="F40" i="3"/>
  <c r="G22" i="3"/>
  <c r="F22" i="3"/>
  <c r="G56" i="3" l="1"/>
  <c r="F56" i="3"/>
  <c r="G46" i="3"/>
  <c r="F46" i="3"/>
</calcChain>
</file>

<file path=xl/sharedStrings.xml><?xml version="1.0" encoding="utf-8"?>
<sst xmlns="http://schemas.openxmlformats.org/spreadsheetml/2006/main" count="139" uniqueCount="105">
  <si>
    <t>Quantity</t>
  </si>
  <si>
    <t>Market/Fair Value
 (Rs. in Lakhs)</t>
  </si>
  <si>
    <t>% to Net
 Assets</t>
  </si>
  <si>
    <t xml:space="preserve">Yield to Maturity </t>
  </si>
  <si>
    <t xml:space="preserve">Name of the Instrument </t>
  </si>
  <si>
    <t>ISIN</t>
  </si>
  <si>
    <t>Monthly Portfolio Statement as on January 31, 2026</t>
  </si>
  <si>
    <t>JioBlackRock Money Market Fund</t>
  </si>
  <si>
    <t>Yield to Call ^</t>
  </si>
  <si>
    <t>Money Market Instruments</t>
  </si>
  <si>
    <t>Certificate of Deposit</t>
  </si>
  <si>
    <t>HDFC Bank Ltd (12-Mar-2026)</t>
  </si>
  <si>
    <t>INE040A16GN6</t>
  </si>
  <si>
    <t>CARE A1+</t>
  </si>
  <si>
    <t>Bank of Baroda (11-Mar-2026) **</t>
  </si>
  <si>
    <t>INE028A16HZ3</t>
  </si>
  <si>
    <t>IND A1+</t>
  </si>
  <si>
    <t>HDFC Bank Ltd (24-Mar-2026)</t>
  </si>
  <si>
    <t>INE040A16GS5</t>
  </si>
  <si>
    <t>Punjab National Bank (09-Mar-2026) **</t>
  </si>
  <si>
    <t>INE160A16TT2</t>
  </si>
  <si>
    <t>National Bank For Agriculture &amp; Rural Development (10-Mar-2026)</t>
  </si>
  <si>
    <t>INE261F16975</t>
  </si>
  <si>
    <t>CRISIL A1+</t>
  </si>
  <si>
    <t>Canara Bank (12-Mar-2026)</t>
  </si>
  <si>
    <t>INE476A16B23</t>
  </si>
  <si>
    <t>Punjab National Bank (15-Dec-2026) **</t>
  </si>
  <si>
    <t>INE160A16TZ9</t>
  </si>
  <si>
    <t>Axis Bank Ltd (30-Apr-2026)</t>
  </si>
  <si>
    <t>INE238AD6BK4</t>
  </si>
  <si>
    <t>Export-Import Bank Of India (28-May-2026)</t>
  </si>
  <si>
    <t>INE514E16CL5</t>
  </si>
  <si>
    <t>Punjab National Bank (18-Mar-2026)</t>
  </si>
  <si>
    <t>INE160A16RK5</t>
  </si>
  <si>
    <t>Federal Bank Ltd (20-Mar-2026) **</t>
  </si>
  <si>
    <t>INE171A16NE4</t>
  </si>
  <si>
    <t>Axis Bank Ltd (25-Mar-2026) **</t>
  </si>
  <si>
    <t>INE238AD6BT5</t>
  </si>
  <si>
    <t>Small Industries Development Bank of India (04-Dec-2026) **</t>
  </si>
  <si>
    <t>INE556F16BS0</t>
  </si>
  <si>
    <t>Canara Bank (28-Jan-2027) **</t>
  </si>
  <si>
    <t>INE476A16G28</t>
  </si>
  <si>
    <t>Indian Bank (06-Mar-2026) **</t>
  </si>
  <si>
    <t>INE562A16OG7</t>
  </si>
  <si>
    <t>Sub Total</t>
  </si>
  <si>
    <t>Commercial Paper</t>
  </si>
  <si>
    <t>NTPC Ltd (10-Mar-2026) **</t>
  </si>
  <si>
    <t>INE733E14BU9</t>
  </si>
  <si>
    <t>LIC Housing Finance Ltd (18-Mar-2026) **</t>
  </si>
  <si>
    <t>INE115A14FL7</t>
  </si>
  <si>
    <t>Power Finance Corporation Ltd (15-Apr-2026) **</t>
  </si>
  <si>
    <t>INE134E14AX6</t>
  </si>
  <si>
    <t>Kotak Securities Ltd (13-Mar-2026) **</t>
  </si>
  <si>
    <t>INE028E14TK7</t>
  </si>
  <si>
    <t>Kotak Securities Ltd (06-Mar-2026) **</t>
  </si>
  <si>
    <t>INE028E14TR2</t>
  </si>
  <si>
    <t>ICICI Securities Ltd (09-Mar-2026) **</t>
  </si>
  <si>
    <t>INE763G14D03</t>
  </si>
  <si>
    <t>ICICI Securities Ltd (12-Mar-2026) **</t>
  </si>
  <si>
    <t>INE763G14D60</t>
  </si>
  <si>
    <t>Kotak Securities Ltd (12-Mar-2026) **</t>
  </si>
  <si>
    <t>INE028E14TZ5</t>
  </si>
  <si>
    <t>Kotak Securities Ltd (16-Mar-2026) **</t>
  </si>
  <si>
    <t>INE028E14UA6</t>
  </si>
  <si>
    <t>ICICI Securities Ltd (17-Mar-2026) **</t>
  </si>
  <si>
    <t>INE763G14XS9</t>
  </si>
  <si>
    <t>Small Industries Development Bank Of India (20-Mar-2026) **</t>
  </si>
  <si>
    <t>INE556F14LX4</t>
  </si>
  <si>
    <t>Bajaj Financial Securities Ltd (18-Mar-2026) **</t>
  </si>
  <si>
    <t>INE01C314DZ6</t>
  </si>
  <si>
    <t>Mahindra &amp; Mahindra Financial Services Ltd (20-Mar-2026) **</t>
  </si>
  <si>
    <t>INE774D14TE1</t>
  </si>
  <si>
    <t>Tata Capital Ltd (23-Mar-2026) **</t>
  </si>
  <si>
    <t>INE976I14QR9</t>
  </si>
  <si>
    <t>ICICI Securities Ltd (06-Mar-2026) **</t>
  </si>
  <si>
    <t>INE763G14XX9</t>
  </si>
  <si>
    <t>ICRA A1+</t>
  </si>
  <si>
    <t>Kotak Securities Ltd (24-Mar-2026) **</t>
  </si>
  <si>
    <t>INE028E14UF5</t>
  </si>
  <si>
    <t>Treasury Bill</t>
  </si>
  <si>
    <t>364 DTB (21-JAN-2027)</t>
  </si>
  <si>
    <t>IN002025Z427</t>
  </si>
  <si>
    <t>364 DTB (03-DEC-2026)</t>
  </si>
  <si>
    <t>IN002025Z369</t>
  </si>
  <si>
    <t>364 DTB (10-DEC-2026)</t>
  </si>
  <si>
    <t>IN002025Z377</t>
  </si>
  <si>
    <t>Total</t>
  </si>
  <si>
    <t>Government Securities</t>
  </si>
  <si>
    <t>5.63% GOI 2026 (12-APR-2026)</t>
  </si>
  <si>
    <t>IN0020210012</t>
  </si>
  <si>
    <t>SOVEREIGN</t>
  </si>
  <si>
    <t>Alternative Investment Fund</t>
  </si>
  <si>
    <t>Corporate Debt Market Development Fund Class A2</t>
  </si>
  <si>
    <t>INF0RQ622028</t>
  </si>
  <si>
    <t>TREPS</t>
  </si>
  <si>
    <t>Grand Total</t>
  </si>
  <si>
    <t>Net Receivables / (Payables)</t>
  </si>
  <si>
    <t>Rating</t>
  </si>
  <si>
    <t>** Non Traded Security</t>
  </si>
  <si>
    <t>^ It is disclosed for Perpetual Bond issued by Banks (i.e. AT-1 Bond / Tier 1 Bond / Tier 2 Bond), as per AMFI Best Practices Guidelines Circular no. 91/2020-21 dated March 24, 2021 on Valuation of AT-1 Bonds and Tier 2 Bonds. 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</si>
  <si>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Scheme Risk-O-Meter</t>
  </si>
  <si>
    <t>Benchmark Risk-O-Meter</t>
  </si>
  <si>
    <t>Benchmark Name - NIFTY Money Market Index A-I</t>
  </si>
  <si>
    <t>-</t>
  </si>
  <si>
    <t>Aggregate Investments by other schemes (at NAV) as on January 31, 2026, is Rs. 2,514.02 Lakh's.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</si>
</sst>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"/>
    <numFmt numFmtId="165" formatCode="#,##0.0000"/>
  </numFmts>
  <fonts count="10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49">
    <xf numFmtId="0" fontId="0" fillId="0" borderId="0" xfId="0"/>
    <xf numFmtId="0" fontId="4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4" fontId="4" fillId="2" borderId="0" xfId="0" applyNumberFormat="1" applyFont="1" applyFill="1"/>
    <xf numFmtId="0" fontId="6" fillId="2" borderId="0" xfId="0" applyFont="1" applyFill="1"/>
    <xf numFmtId="0" fontId="3" fillId="2" borderId="0" xfId="0" applyFont="1" applyFill="1" applyAlignment="1">
      <alignment horizontal="left" vertical="top"/>
    </xf>
    <xf numFmtId="39" fontId="6" fillId="2" borderId="0" xfId="0" applyNumberFormat="1" applyFont="1" applyFill="1"/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wrapText="1"/>
    </xf>
    <xf numFmtId="10" fontId="6" fillId="2" borderId="0" xfId="0" applyNumberFormat="1" applyFont="1" applyFill="1"/>
    <xf numFmtId="10" fontId="4" fillId="2" borderId="0" xfId="0" applyNumberFormat="1" applyFont="1" applyFill="1"/>
    <xf numFmtId="0" fontId="4" fillId="2" borderId="0" xfId="0" applyFont="1" applyFill="1" applyAlignment="1">
      <alignment horizontal="center" vertical="center" wrapText="1"/>
    </xf>
    <xf numFmtId="39" fontId="6" fillId="3" borderId="0" xfId="0" applyNumberFormat="1" applyFont="1" applyFill="1"/>
    <xf numFmtId="0" fontId="5" fillId="2" borderId="0" xfId="0" applyFont="1" applyFill="1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 wrapText="1"/>
    </xf>
    <xf numFmtId="39" fontId="5" fillId="0" borderId="1" xfId="0" applyNumberFormat="1" applyFont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 vertical="center" wrapText="1"/>
    </xf>
    <xf numFmtId="0" fontId="5" fillId="2" borderId="2" xfId="0" applyFont="1" applyFill="1" applyBorder="1"/>
    <xf numFmtId="0" fontId="6" fillId="2" borderId="2" xfId="0" applyFont="1" applyFill="1" applyBorder="1"/>
    <xf numFmtId="39" fontId="6" fillId="2" borderId="2" xfId="0" applyNumberFormat="1" applyFont="1" applyFill="1" applyBorder="1"/>
    <xf numFmtId="39" fontId="6" fillId="3" borderId="2" xfId="0" applyNumberFormat="1" applyFont="1" applyFill="1" applyBorder="1"/>
    <xf numFmtId="10" fontId="6" fillId="2" borderId="2" xfId="0" applyNumberFormat="1" applyFont="1" applyFill="1" applyBorder="1"/>
    <xf numFmtId="3" fontId="6" fillId="2" borderId="2" xfId="0" applyNumberFormat="1" applyFont="1" applyFill="1" applyBorder="1"/>
    <xf numFmtId="164" fontId="6" fillId="2" borderId="2" xfId="0" applyNumberFormat="1" applyFont="1" applyFill="1" applyBorder="1"/>
    <xf numFmtId="4" fontId="6" fillId="2" borderId="2" xfId="0" applyNumberFormat="1" applyFont="1" applyFill="1" applyBorder="1"/>
    <xf numFmtId="39" fontId="5" fillId="2" borderId="3" xfId="0" applyNumberFormat="1" applyFont="1" applyFill="1" applyBorder="1"/>
    <xf numFmtId="39" fontId="5" fillId="3" borderId="3" xfId="0" applyNumberFormat="1" applyFont="1" applyFill="1" applyBorder="1"/>
    <xf numFmtId="10" fontId="5" fillId="2" borderId="2" xfId="0" applyNumberFormat="1" applyFont="1" applyFill="1" applyBorder="1"/>
    <xf numFmtId="39" fontId="5" fillId="2" borderId="4" xfId="0" applyNumberFormat="1" applyFont="1" applyFill="1" applyBorder="1"/>
    <xf numFmtId="39" fontId="5" fillId="3" borderId="4" xfId="0" applyNumberFormat="1" applyFont="1" applyFill="1" applyBorder="1"/>
    <xf numFmtId="0" fontId="5" fillId="2" borderId="5" xfId="0" applyFont="1" applyFill="1" applyBorder="1"/>
    <xf numFmtId="39" fontId="5" fillId="2" borderId="5" xfId="0" applyNumberFormat="1" applyFont="1" applyFill="1" applyBorder="1"/>
    <xf numFmtId="39" fontId="5" fillId="3" borderId="5" xfId="0" applyNumberFormat="1" applyFont="1" applyFill="1" applyBorder="1"/>
    <xf numFmtId="0" fontId="5" fillId="2" borderId="6" xfId="0" applyFont="1" applyFill="1" applyBorder="1"/>
    <xf numFmtId="39" fontId="5" fillId="2" borderId="6" xfId="0" applyNumberFormat="1" applyFont="1" applyFill="1" applyBorder="1"/>
    <xf numFmtId="39" fontId="5" fillId="3" borderId="6" xfId="0" applyNumberFormat="1" applyFont="1" applyFill="1" applyBorder="1"/>
    <xf numFmtId="10" fontId="5" fillId="2" borderId="7" xfId="0" applyNumberFormat="1" applyFont="1" applyFill="1" applyBorder="1"/>
    <xf numFmtId="0" fontId="5" fillId="2" borderId="3" xfId="0" applyFont="1" applyFill="1" applyBorder="1"/>
    <xf numFmtId="0" fontId="5" fillId="2" borderId="0" xfId="0" applyFont="1" applyFill="1" applyAlignment="1">
      <alignment horizontal="right"/>
    </xf>
    <xf numFmtId="165" fontId="6" fillId="2" borderId="0" xfId="0" applyNumberFormat="1" applyFont="1" applyFill="1"/>
    <xf numFmtId="0" fontId="9" fillId="2" borderId="0" xfId="1" applyFill="1"/>
    <xf numFmtId="0" fontId="5" fillId="2" borderId="0" xfId="0" applyFont="1" applyFill="1" applyAlignment="1">
      <alignment vertical="center"/>
    </xf>
    <xf numFmtId="0" fontId="7" fillId="0" borderId="0" xfId="0" applyFont="1" applyAlignment="1">
      <alignment horizontal="left" vertical="top" wrapText="1"/>
    </xf>
    <xf numFmtId="0" fontId="8" fillId="0" borderId="0" xfId="0" applyFont="1"/>
    <xf numFmtId="0" fontId="5" fillId="2" borderId="0" xfId="0" applyFont="1" applyFill="1" applyAlignment="1">
      <alignment vertical="center" wrapText="1"/>
    </xf>
  </cellXfs>
  <cellStyles count="2">
    <cellStyle name="Hyperlink" xfId="1" builtinId="8"/>
    <cellStyle name="Normal" xfId="0" builtinId="0"/>
  </cellStyles>
  <dxfs count="1">
    <dxf>
      <numFmt numFmtId="166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68</xdr:row>
      <xdr:rowOff>9525</xdr:rowOff>
    </xdr:from>
    <xdr:to>
      <xdr:col>4</xdr:col>
      <xdr:colOff>28575</xdr:colOff>
      <xdr:row>85</xdr:row>
      <xdr:rowOff>60325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0C799987-E5C6-44CF-92E6-B29E39A230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1700" y="8664575"/>
          <a:ext cx="5032375" cy="2209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476250</xdr:colOff>
      <xdr:row>91</xdr:row>
      <xdr:rowOff>47625</xdr:rowOff>
    </xdr:from>
    <xdr:to>
      <xdr:col>4</xdr:col>
      <xdr:colOff>228600</xdr:colOff>
      <xdr:row>108</xdr:row>
      <xdr:rowOff>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851FE6BC-2AF7-47CB-8B2A-3017496B7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7900" y="11642725"/>
          <a:ext cx="5156200" cy="2111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7B53B-D54B-4663-B00E-D47B616FBD77}">
  <dimension ref="A1:K88"/>
  <sheetViews>
    <sheetView tabSelected="1" view="pageBreakPreview" zoomScaleNormal="100" zoomScaleSheetLayoutView="100" workbookViewId="0"/>
  </sheetViews>
  <sheetFormatPr defaultColWidth="9.109375" defaultRowHeight="10.199999999999999" x14ac:dyDescent="0.2"/>
  <cols>
    <col min="1" max="1" width="7.21875" style="6" customWidth="1"/>
    <col min="2" max="2" width="52.44140625" style="6" bestFit="1" customWidth="1"/>
    <col min="3" max="3" width="11.21875" style="6" bestFit="1" customWidth="1"/>
    <col min="4" max="5" width="13.6640625" style="6" bestFit="1" customWidth="1"/>
    <col min="6" max="6" width="12.77734375" style="8" bestFit="1" customWidth="1"/>
    <col min="7" max="7" width="6.77734375" style="14" bestFit="1" customWidth="1"/>
    <col min="8" max="8" width="11.77734375" style="11" bestFit="1" customWidth="1"/>
    <col min="9" max="9" width="10.109375" style="11" bestFit="1" customWidth="1"/>
    <col min="10" max="10" width="25.77734375" style="6" customWidth="1"/>
    <col min="11" max="16384" width="9.109375" style="6"/>
  </cols>
  <sheetData>
    <row r="1" spans="1:11" s="1" customFormat="1" ht="16.8" customHeight="1" x14ac:dyDescent="0.25">
      <c r="B1" s="46" t="s">
        <v>7</v>
      </c>
      <c r="C1" s="47"/>
      <c r="D1" s="10"/>
      <c r="F1" s="5"/>
      <c r="G1" s="14"/>
      <c r="H1" s="11"/>
      <c r="I1" s="12"/>
    </row>
    <row r="2" spans="1:11" s="1" customFormat="1" ht="14.4" x14ac:dyDescent="0.3">
      <c r="A2" s="44" t="s">
        <v>103</v>
      </c>
      <c r="F2" s="5"/>
      <c r="G2" s="14"/>
      <c r="H2" s="11"/>
      <c r="I2" s="12"/>
    </row>
    <row r="3" spans="1:11" s="1" customFormat="1" ht="12" x14ac:dyDescent="0.2">
      <c r="B3" s="7" t="s">
        <v>6</v>
      </c>
      <c r="C3" s="2"/>
      <c r="D3" s="3"/>
      <c r="E3" s="3"/>
      <c r="F3" s="4"/>
      <c r="G3" s="14"/>
      <c r="H3" s="11"/>
      <c r="I3" s="12"/>
    </row>
    <row r="4" spans="1:11" s="1" customFormat="1" ht="25.5" customHeight="1" x14ac:dyDescent="0.2">
      <c r="B4" s="16" t="s">
        <v>4</v>
      </c>
      <c r="C4" s="16" t="s">
        <v>5</v>
      </c>
      <c r="D4" s="17" t="s">
        <v>97</v>
      </c>
      <c r="E4" s="17" t="s">
        <v>0</v>
      </c>
      <c r="F4" s="18" t="s">
        <v>1</v>
      </c>
      <c r="G4" s="19" t="s">
        <v>2</v>
      </c>
      <c r="H4" s="20" t="s">
        <v>3</v>
      </c>
      <c r="I4" s="20" t="s">
        <v>8</v>
      </c>
      <c r="J4" s="13"/>
      <c r="K4" s="9"/>
    </row>
    <row r="5" spans="1:11" x14ac:dyDescent="0.2">
      <c r="B5" s="21" t="s">
        <v>9</v>
      </c>
      <c r="C5" s="22"/>
      <c r="D5" s="22"/>
      <c r="E5" s="22"/>
      <c r="F5" s="23"/>
      <c r="G5" s="24"/>
      <c r="H5" s="25"/>
      <c r="I5" s="25"/>
    </row>
    <row r="6" spans="1:11" x14ac:dyDescent="0.2">
      <c r="B6" s="21" t="s">
        <v>10</v>
      </c>
      <c r="C6" s="22"/>
      <c r="D6" s="22"/>
      <c r="E6" s="22"/>
      <c r="F6" s="23"/>
      <c r="G6" s="24"/>
      <c r="H6" s="25"/>
      <c r="I6" s="25"/>
    </row>
    <row r="7" spans="1:11" x14ac:dyDescent="0.2">
      <c r="B7" s="22" t="s">
        <v>11</v>
      </c>
      <c r="C7" s="22" t="s">
        <v>12</v>
      </c>
      <c r="D7" s="22" t="s">
        <v>13</v>
      </c>
      <c r="E7" s="26">
        <v>3000</v>
      </c>
      <c r="F7" s="23">
        <v>14894.01</v>
      </c>
      <c r="G7" s="24">
        <v>5.0347669424649402</v>
      </c>
      <c r="H7" s="27">
        <v>6.6600999999999994E-2</v>
      </c>
      <c r="I7" s="28"/>
    </row>
    <row r="8" spans="1:11" x14ac:dyDescent="0.2">
      <c r="B8" s="22" t="s">
        <v>14</v>
      </c>
      <c r="C8" s="22" t="s">
        <v>15</v>
      </c>
      <c r="D8" s="22" t="s">
        <v>16</v>
      </c>
      <c r="E8" s="26">
        <v>2500</v>
      </c>
      <c r="F8" s="23">
        <v>12414.3125</v>
      </c>
      <c r="G8" s="24">
        <v>4.1965306984773898</v>
      </c>
      <c r="H8" s="27">
        <v>6.6298999999999997E-2</v>
      </c>
      <c r="I8" s="28"/>
    </row>
    <row r="9" spans="1:11" x14ac:dyDescent="0.2">
      <c r="B9" s="22" t="s">
        <v>17</v>
      </c>
      <c r="C9" s="22" t="s">
        <v>18</v>
      </c>
      <c r="D9" s="22" t="s">
        <v>13</v>
      </c>
      <c r="E9" s="26">
        <v>2380</v>
      </c>
      <c r="F9" s="23">
        <v>11789.627500000001</v>
      </c>
      <c r="G9" s="24">
        <v>3.9853623571473098</v>
      </c>
      <c r="H9" s="27">
        <v>6.7001000000000005E-2</v>
      </c>
      <c r="I9" s="28"/>
    </row>
    <row r="10" spans="1:11" x14ac:dyDescent="0.2">
      <c r="B10" s="22" t="s">
        <v>19</v>
      </c>
      <c r="C10" s="22" t="s">
        <v>20</v>
      </c>
      <c r="D10" s="22" t="s">
        <v>16</v>
      </c>
      <c r="E10" s="26">
        <v>2000</v>
      </c>
      <c r="F10" s="23">
        <v>9934.64</v>
      </c>
      <c r="G10" s="24">
        <v>3.3583029054828</v>
      </c>
      <c r="H10" s="27">
        <v>6.6703999999999999E-2</v>
      </c>
      <c r="I10" s="28"/>
    </row>
    <row r="11" spans="1:11" x14ac:dyDescent="0.2">
      <c r="B11" s="22" t="s">
        <v>21</v>
      </c>
      <c r="C11" s="22" t="s">
        <v>22</v>
      </c>
      <c r="D11" s="22" t="s">
        <v>23</v>
      </c>
      <c r="E11" s="26">
        <v>2000</v>
      </c>
      <c r="F11" s="23">
        <v>9933.0400000000009</v>
      </c>
      <c r="G11" s="24">
        <v>3.3577620419337699</v>
      </c>
      <c r="H11" s="27">
        <v>6.6500000000000004E-2</v>
      </c>
      <c r="I11" s="28"/>
    </row>
    <row r="12" spans="1:11" x14ac:dyDescent="0.2">
      <c r="B12" s="22" t="s">
        <v>24</v>
      </c>
      <c r="C12" s="22" t="s">
        <v>25</v>
      </c>
      <c r="D12" s="22" t="s">
        <v>23</v>
      </c>
      <c r="E12" s="26">
        <v>2000</v>
      </c>
      <c r="F12" s="23">
        <v>9929.4500000000007</v>
      </c>
      <c r="G12" s="24">
        <v>3.3565484793456202</v>
      </c>
      <c r="H12" s="27">
        <v>6.6497000000000001E-2</v>
      </c>
      <c r="I12" s="28"/>
    </row>
    <row r="13" spans="1:11" x14ac:dyDescent="0.2">
      <c r="B13" s="22" t="s">
        <v>26</v>
      </c>
      <c r="C13" s="22" t="s">
        <v>27</v>
      </c>
      <c r="D13" s="22" t="s">
        <v>23</v>
      </c>
      <c r="E13" s="26">
        <v>2000</v>
      </c>
      <c r="F13" s="23">
        <v>9417.26</v>
      </c>
      <c r="G13" s="24">
        <v>3.1834079161083801</v>
      </c>
      <c r="H13" s="27">
        <v>7.1249999999999994E-2</v>
      </c>
      <c r="I13" s="28"/>
    </row>
    <row r="14" spans="1:11" x14ac:dyDescent="0.2">
      <c r="B14" s="22" t="s">
        <v>28</v>
      </c>
      <c r="C14" s="22" t="s">
        <v>29</v>
      </c>
      <c r="D14" s="22" t="s">
        <v>23</v>
      </c>
      <c r="E14" s="26">
        <v>1500</v>
      </c>
      <c r="F14" s="23">
        <v>7370.16</v>
      </c>
      <c r="G14" s="24">
        <v>2.4914068090915298</v>
      </c>
      <c r="H14" s="27">
        <v>7.3069999999999996E-2</v>
      </c>
      <c r="I14" s="28"/>
    </row>
    <row r="15" spans="1:11" x14ac:dyDescent="0.2">
      <c r="B15" s="22" t="s">
        <v>30</v>
      </c>
      <c r="C15" s="22" t="s">
        <v>31</v>
      </c>
      <c r="D15" s="22" t="s">
        <v>23</v>
      </c>
      <c r="E15" s="26">
        <v>1500</v>
      </c>
      <c r="F15" s="23">
        <v>7330.86</v>
      </c>
      <c r="G15" s="24">
        <v>2.47812184816839</v>
      </c>
      <c r="H15" s="27">
        <v>7.2597999999999996E-2</v>
      </c>
      <c r="I15" s="28"/>
    </row>
    <row r="16" spans="1:11" x14ac:dyDescent="0.2">
      <c r="B16" s="22" t="s">
        <v>32</v>
      </c>
      <c r="C16" s="22" t="s">
        <v>33</v>
      </c>
      <c r="D16" s="22" t="s">
        <v>23</v>
      </c>
      <c r="E16" s="26">
        <v>1000</v>
      </c>
      <c r="F16" s="23">
        <v>4959.2150000000001</v>
      </c>
      <c r="G16" s="24">
        <v>1.6764116408258301</v>
      </c>
      <c r="H16" s="27">
        <v>6.6706000000000001E-2</v>
      </c>
      <c r="I16" s="28"/>
    </row>
    <row r="17" spans="2:9" x14ac:dyDescent="0.2">
      <c r="B17" s="22" t="s">
        <v>34</v>
      </c>
      <c r="C17" s="22" t="s">
        <v>35</v>
      </c>
      <c r="D17" s="22" t="s">
        <v>23</v>
      </c>
      <c r="E17" s="26">
        <v>1000</v>
      </c>
      <c r="F17" s="23">
        <v>4956.7849999999999</v>
      </c>
      <c r="G17" s="24">
        <v>1.67559020431073</v>
      </c>
      <c r="H17" s="27">
        <v>6.7706000000000002E-2</v>
      </c>
      <c r="I17" s="28"/>
    </row>
    <row r="18" spans="2:9" x14ac:dyDescent="0.2">
      <c r="B18" s="22" t="s">
        <v>36</v>
      </c>
      <c r="C18" s="22" t="s">
        <v>37</v>
      </c>
      <c r="D18" s="22" t="s">
        <v>23</v>
      </c>
      <c r="E18" s="26">
        <v>1000</v>
      </c>
      <c r="F18" s="23">
        <v>4952.7299999999996</v>
      </c>
      <c r="G18" s="24">
        <v>1.6742194532536501</v>
      </c>
      <c r="H18" s="27">
        <v>6.6997000000000001E-2</v>
      </c>
      <c r="I18" s="28"/>
    </row>
    <row r="19" spans="2:9" x14ac:dyDescent="0.2">
      <c r="B19" s="22" t="s">
        <v>38</v>
      </c>
      <c r="C19" s="22" t="s">
        <v>39</v>
      </c>
      <c r="D19" s="22" t="s">
        <v>23</v>
      </c>
      <c r="E19" s="26">
        <v>1000</v>
      </c>
      <c r="F19" s="23">
        <v>4712.95</v>
      </c>
      <c r="G19" s="24">
        <v>1.5931642896365801</v>
      </c>
      <c r="H19" s="27">
        <v>7.2650000000000006E-2</v>
      </c>
      <c r="I19" s="28"/>
    </row>
    <row r="20" spans="2:9" x14ac:dyDescent="0.2">
      <c r="B20" s="22" t="s">
        <v>40</v>
      </c>
      <c r="C20" s="22" t="s">
        <v>41</v>
      </c>
      <c r="D20" s="22" t="s">
        <v>23</v>
      </c>
      <c r="E20" s="26">
        <v>1000</v>
      </c>
      <c r="F20" s="23">
        <v>4675.6000000000004</v>
      </c>
      <c r="G20" s="24">
        <v>1.58053850616382</v>
      </c>
      <c r="H20" s="27">
        <v>7.0150000000000004E-2</v>
      </c>
      <c r="I20" s="28"/>
    </row>
    <row r="21" spans="2:9" x14ac:dyDescent="0.2">
      <c r="B21" s="22" t="s">
        <v>42</v>
      </c>
      <c r="C21" s="22" t="s">
        <v>43</v>
      </c>
      <c r="D21" s="22" t="s">
        <v>23</v>
      </c>
      <c r="E21" s="26">
        <v>500</v>
      </c>
      <c r="F21" s="23">
        <v>2485.1</v>
      </c>
      <c r="G21" s="24">
        <v>0.84006250356483003</v>
      </c>
      <c r="H21" s="27">
        <v>6.6316E-2</v>
      </c>
      <c r="I21" s="28"/>
    </row>
    <row r="22" spans="2:9" x14ac:dyDescent="0.2">
      <c r="B22" s="21" t="s">
        <v>44</v>
      </c>
      <c r="C22" s="21"/>
      <c r="D22" s="21"/>
      <c r="E22" s="21"/>
      <c r="F22" s="29">
        <f>SUM(F6:F21)</f>
        <v>119755.74</v>
      </c>
      <c r="G22" s="30">
        <f>SUM(G6:G21)</f>
        <v>40.482196595975573</v>
      </c>
      <c r="H22" s="31"/>
      <c r="I22" s="31"/>
    </row>
    <row r="23" spans="2:9" x14ac:dyDescent="0.2">
      <c r="B23" s="21" t="s">
        <v>45</v>
      </c>
      <c r="C23" s="22"/>
      <c r="D23" s="22"/>
      <c r="E23" s="22"/>
      <c r="F23" s="23"/>
      <c r="G23" s="24"/>
      <c r="H23" s="25"/>
      <c r="I23" s="25"/>
    </row>
    <row r="24" spans="2:9" x14ac:dyDescent="0.2">
      <c r="B24" s="22" t="s">
        <v>46</v>
      </c>
      <c r="C24" s="22" t="s">
        <v>47</v>
      </c>
      <c r="D24" s="22" t="s">
        <v>13</v>
      </c>
      <c r="E24" s="26">
        <v>4000</v>
      </c>
      <c r="F24" s="23">
        <v>19867.740000000002</v>
      </c>
      <c r="G24" s="24">
        <v>6.7160852297996501</v>
      </c>
      <c r="H24" s="27">
        <v>6.5675999999999998E-2</v>
      </c>
      <c r="I24" s="28"/>
    </row>
    <row r="25" spans="2:9" x14ac:dyDescent="0.2">
      <c r="B25" s="22" t="s">
        <v>48</v>
      </c>
      <c r="C25" s="22" t="s">
        <v>49</v>
      </c>
      <c r="D25" s="22" t="s">
        <v>23</v>
      </c>
      <c r="E25" s="26">
        <v>3000</v>
      </c>
      <c r="F25" s="23">
        <v>14876.115</v>
      </c>
      <c r="G25" s="24">
        <v>5.02871772170871</v>
      </c>
      <c r="H25" s="27">
        <v>6.7547999999999997E-2</v>
      </c>
      <c r="I25" s="28"/>
    </row>
    <row r="26" spans="2:9" x14ac:dyDescent="0.2">
      <c r="B26" s="22" t="s">
        <v>50</v>
      </c>
      <c r="C26" s="22" t="s">
        <v>51</v>
      </c>
      <c r="D26" s="22" t="s">
        <v>23</v>
      </c>
      <c r="E26" s="26">
        <v>2500</v>
      </c>
      <c r="F26" s="23">
        <v>12320.737499999999</v>
      </c>
      <c r="G26" s="24">
        <v>4.1648986318518704</v>
      </c>
      <c r="H26" s="27">
        <v>7.2750999999999996E-2</v>
      </c>
      <c r="I26" s="28"/>
    </row>
    <row r="27" spans="2:9" x14ac:dyDescent="0.2">
      <c r="B27" s="22" t="s">
        <v>52</v>
      </c>
      <c r="C27" s="22" t="s">
        <v>53</v>
      </c>
      <c r="D27" s="22" t="s">
        <v>23</v>
      </c>
      <c r="E27" s="26">
        <v>1500</v>
      </c>
      <c r="F27" s="23">
        <v>7441.4925000000003</v>
      </c>
      <c r="G27" s="24">
        <v>2.5155200272861902</v>
      </c>
      <c r="H27" s="27">
        <v>7.1744000000000002E-2</v>
      </c>
      <c r="I27" s="28"/>
    </row>
    <row r="28" spans="2:9" x14ac:dyDescent="0.2">
      <c r="B28" s="22" t="s">
        <v>54</v>
      </c>
      <c r="C28" s="22" t="s">
        <v>55</v>
      </c>
      <c r="D28" s="22" t="s">
        <v>23</v>
      </c>
      <c r="E28" s="26">
        <v>1000</v>
      </c>
      <c r="F28" s="23">
        <v>4967.7749999999996</v>
      </c>
      <c r="G28" s="24">
        <v>1.67930526081316</v>
      </c>
      <c r="H28" s="27">
        <v>7.1748000000000006E-2</v>
      </c>
      <c r="I28" s="28"/>
    </row>
    <row r="29" spans="2:9" x14ac:dyDescent="0.2">
      <c r="B29" s="22" t="s">
        <v>56</v>
      </c>
      <c r="C29" s="22" t="s">
        <v>57</v>
      </c>
      <c r="D29" s="22" t="s">
        <v>23</v>
      </c>
      <c r="E29" s="26">
        <v>1000</v>
      </c>
      <c r="F29" s="23">
        <v>4964.9849999999997</v>
      </c>
      <c r="G29" s="24">
        <v>1.6783621299995299</v>
      </c>
      <c r="H29" s="27">
        <v>7.1502999999999997E-2</v>
      </c>
      <c r="I29" s="28"/>
    </row>
    <row r="30" spans="2:9" x14ac:dyDescent="0.2">
      <c r="B30" s="22" t="s">
        <v>58</v>
      </c>
      <c r="C30" s="22" t="s">
        <v>59</v>
      </c>
      <c r="D30" s="22" t="s">
        <v>23</v>
      </c>
      <c r="E30" s="26">
        <v>1000</v>
      </c>
      <c r="F30" s="23">
        <v>4962.09</v>
      </c>
      <c r="G30" s="24">
        <v>1.6773835050154999</v>
      </c>
      <c r="H30" s="27">
        <v>7.1501999999999996E-2</v>
      </c>
      <c r="I30" s="28"/>
    </row>
    <row r="31" spans="2:9" x14ac:dyDescent="0.2">
      <c r="B31" s="22" t="s">
        <v>60</v>
      </c>
      <c r="C31" s="22" t="s">
        <v>61</v>
      </c>
      <c r="D31" s="22" t="s">
        <v>23</v>
      </c>
      <c r="E31" s="26">
        <v>1000</v>
      </c>
      <c r="F31" s="23">
        <v>4961.96</v>
      </c>
      <c r="G31" s="24">
        <v>1.6773395598521399</v>
      </c>
      <c r="H31" s="27">
        <v>7.1748999999999993E-2</v>
      </c>
      <c r="I31" s="28"/>
    </row>
    <row r="32" spans="2:9" x14ac:dyDescent="0.2">
      <c r="B32" s="22" t="s">
        <v>62</v>
      </c>
      <c r="C32" s="22" t="s">
        <v>63</v>
      </c>
      <c r="D32" s="22" t="s">
        <v>23</v>
      </c>
      <c r="E32" s="26">
        <v>1000</v>
      </c>
      <c r="F32" s="23">
        <v>4958.09</v>
      </c>
      <c r="G32" s="24">
        <v>1.6760313461429099</v>
      </c>
      <c r="H32" s="27">
        <v>7.1750999999999995E-2</v>
      </c>
      <c r="I32" s="28"/>
    </row>
    <row r="33" spans="2:9" x14ac:dyDescent="0.2">
      <c r="B33" s="22" t="s">
        <v>64</v>
      </c>
      <c r="C33" s="22" t="s">
        <v>65</v>
      </c>
      <c r="D33" s="22" t="s">
        <v>23</v>
      </c>
      <c r="E33" s="26">
        <v>1000</v>
      </c>
      <c r="F33" s="23">
        <v>4957.2700000000004</v>
      </c>
      <c r="G33" s="24">
        <v>1.6757541535740299</v>
      </c>
      <c r="H33" s="27">
        <v>7.1503999999999998E-2</v>
      </c>
      <c r="I33" s="28"/>
    </row>
    <row r="34" spans="2:9" x14ac:dyDescent="0.2">
      <c r="B34" s="22" t="s">
        <v>66</v>
      </c>
      <c r="C34" s="22" t="s">
        <v>67</v>
      </c>
      <c r="D34" s="22" t="s">
        <v>23</v>
      </c>
      <c r="E34" s="26">
        <v>1000</v>
      </c>
      <c r="F34" s="23">
        <v>4956.8549999999996</v>
      </c>
      <c r="G34" s="24">
        <v>1.6756138670909999</v>
      </c>
      <c r="H34" s="27">
        <v>6.7599999999999993E-2</v>
      </c>
      <c r="I34" s="28"/>
    </row>
    <row r="35" spans="2:9" x14ac:dyDescent="0.2">
      <c r="B35" s="22" t="s">
        <v>68</v>
      </c>
      <c r="C35" s="22" t="s">
        <v>69</v>
      </c>
      <c r="D35" s="22" t="s">
        <v>23</v>
      </c>
      <c r="E35" s="26">
        <v>1000</v>
      </c>
      <c r="F35" s="23">
        <v>4956.0050000000001</v>
      </c>
      <c r="G35" s="24">
        <v>1.67532653333058</v>
      </c>
      <c r="H35" s="27">
        <v>7.2002999999999998E-2</v>
      </c>
      <c r="I35" s="28"/>
    </row>
    <row r="36" spans="2:9" x14ac:dyDescent="0.2">
      <c r="B36" s="22" t="s">
        <v>70</v>
      </c>
      <c r="C36" s="22" t="s">
        <v>71</v>
      </c>
      <c r="D36" s="22" t="s">
        <v>23</v>
      </c>
      <c r="E36" s="26">
        <v>1000</v>
      </c>
      <c r="F36" s="23">
        <v>4955.21</v>
      </c>
      <c r="G36" s="24">
        <v>1.6750577917546501</v>
      </c>
      <c r="H36" s="27">
        <v>7.0195999999999995E-2</v>
      </c>
      <c r="I36" s="28"/>
    </row>
    <row r="37" spans="2:9" x14ac:dyDescent="0.2">
      <c r="B37" s="22" t="s">
        <v>72</v>
      </c>
      <c r="C37" s="22" t="s">
        <v>73</v>
      </c>
      <c r="D37" s="22" t="s">
        <v>23</v>
      </c>
      <c r="E37" s="26">
        <v>1000</v>
      </c>
      <c r="F37" s="23">
        <v>4951.82</v>
      </c>
      <c r="G37" s="24">
        <v>1.67391183711014</v>
      </c>
      <c r="H37" s="27">
        <v>7.1027000000000007E-2</v>
      </c>
      <c r="I37" s="28"/>
    </row>
    <row r="38" spans="2:9" x14ac:dyDescent="0.2">
      <c r="B38" s="22" t="s">
        <v>74</v>
      </c>
      <c r="C38" s="22" t="s">
        <v>75</v>
      </c>
      <c r="D38" s="22" t="s">
        <v>76</v>
      </c>
      <c r="E38" s="26">
        <v>500</v>
      </c>
      <c r="F38" s="23">
        <v>2483.9425000000001</v>
      </c>
      <c r="G38" s="24">
        <v>0.83967122259107596</v>
      </c>
      <c r="H38" s="27">
        <v>7.1501999999999996E-2</v>
      </c>
      <c r="I38" s="28"/>
    </row>
    <row r="39" spans="2:9" x14ac:dyDescent="0.2">
      <c r="B39" s="22" t="s">
        <v>77</v>
      </c>
      <c r="C39" s="22" t="s">
        <v>78</v>
      </c>
      <c r="D39" s="22" t="s">
        <v>23</v>
      </c>
      <c r="E39" s="26">
        <v>500</v>
      </c>
      <c r="F39" s="23">
        <v>2475.1875</v>
      </c>
      <c r="G39" s="24">
        <v>0.83671168485870695</v>
      </c>
      <c r="H39" s="27">
        <v>7.1748000000000006E-2</v>
      </c>
      <c r="I39" s="28"/>
    </row>
    <row r="40" spans="2:9" x14ac:dyDescent="0.2">
      <c r="B40" s="21" t="s">
        <v>44</v>
      </c>
      <c r="C40" s="21"/>
      <c r="D40" s="21"/>
      <c r="E40" s="21"/>
      <c r="F40" s="29">
        <f>SUM(F23:F39)</f>
        <v>109057.27500000002</v>
      </c>
      <c r="G40" s="30">
        <f>SUM(G23:G39)</f>
        <v>36.865690502779842</v>
      </c>
      <c r="H40" s="31"/>
      <c r="I40" s="31"/>
    </row>
    <row r="41" spans="2:9" x14ac:dyDescent="0.2">
      <c r="B41" s="21" t="s">
        <v>79</v>
      </c>
      <c r="C41" s="22"/>
      <c r="D41" s="22"/>
      <c r="E41" s="22"/>
      <c r="F41" s="23"/>
      <c r="G41" s="24"/>
      <c r="H41" s="25"/>
      <c r="I41" s="25"/>
    </row>
    <row r="42" spans="2:9" x14ac:dyDescent="0.2">
      <c r="B42" s="22" t="s">
        <v>80</v>
      </c>
      <c r="C42" s="22" t="s">
        <v>81</v>
      </c>
      <c r="D42" s="22" t="s">
        <v>90</v>
      </c>
      <c r="E42" s="26">
        <v>15000000</v>
      </c>
      <c r="F42" s="23">
        <v>14213.264999999999</v>
      </c>
      <c r="G42" s="24">
        <v>4.8046480945355796</v>
      </c>
      <c r="H42" s="27">
        <v>5.7072999999999999E-2</v>
      </c>
      <c r="I42" s="28"/>
    </row>
    <row r="43" spans="2:9" x14ac:dyDescent="0.2">
      <c r="B43" s="22" t="s">
        <v>82</v>
      </c>
      <c r="C43" s="22" t="s">
        <v>83</v>
      </c>
      <c r="D43" s="22" t="s">
        <v>90</v>
      </c>
      <c r="E43" s="26">
        <v>5000000</v>
      </c>
      <c r="F43" s="23">
        <v>4773.4399999999996</v>
      </c>
      <c r="G43" s="24">
        <v>1.6136123121872401</v>
      </c>
      <c r="H43" s="27">
        <v>5.6800000000000003E-2</v>
      </c>
      <c r="I43" s="28"/>
    </row>
    <row r="44" spans="2:9" x14ac:dyDescent="0.2">
      <c r="B44" s="22" t="s">
        <v>84</v>
      </c>
      <c r="C44" s="22" t="s">
        <v>85</v>
      </c>
      <c r="D44" s="22" t="s">
        <v>90</v>
      </c>
      <c r="E44" s="26">
        <v>2500000</v>
      </c>
      <c r="F44" s="23">
        <v>2384.2399999999998</v>
      </c>
      <c r="G44" s="24">
        <v>0.80596781759261604</v>
      </c>
      <c r="H44" s="27">
        <v>5.6800000000000003E-2</v>
      </c>
      <c r="I44" s="28"/>
    </row>
    <row r="45" spans="2:9" x14ac:dyDescent="0.2">
      <c r="B45" s="21" t="s">
        <v>44</v>
      </c>
      <c r="C45" s="21"/>
      <c r="D45" s="21"/>
      <c r="E45" s="21"/>
      <c r="F45" s="32">
        <f>SUM(F41:F44)</f>
        <v>21370.945</v>
      </c>
      <c r="G45" s="33">
        <f>SUM(G41:G44)</f>
        <v>7.2242282243154357</v>
      </c>
      <c r="H45" s="31"/>
      <c r="I45" s="31"/>
    </row>
    <row r="46" spans="2:9" x14ac:dyDescent="0.2">
      <c r="B46" s="34" t="s">
        <v>86</v>
      </c>
      <c r="C46" s="34"/>
      <c r="D46" s="34"/>
      <c r="E46" s="34"/>
      <c r="F46" s="35">
        <f>+F22+F40+F45</f>
        <v>250183.96000000002</v>
      </c>
      <c r="G46" s="36">
        <f>+G22+G40+G45</f>
        <v>84.572115323070861</v>
      </c>
      <c r="H46" s="31"/>
      <c r="I46" s="31"/>
    </row>
    <row r="47" spans="2:9" x14ac:dyDescent="0.2">
      <c r="B47" s="21" t="s">
        <v>87</v>
      </c>
      <c r="C47" s="22"/>
      <c r="D47" s="22"/>
      <c r="E47" s="22"/>
      <c r="F47" s="23"/>
      <c r="G47" s="24"/>
      <c r="H47" s="25"/>
      <c r="I47" s="25"/>
    </row>
    <row r="48" spans="2:9" x14ac:dyDescent="0.2">
      <c r="B48" s="22" t="s">
        <v>88</v>
      </c>
      <c r="C48" s="22" t="s">
        <v>89</v>
      </c>
      <c r="D48" s="22" t="s">
        <v>90</v>
      </c>
      <c r="E48" s="26">
        <v>14500000</v>
      </c>
      <c r="F48" s="23">
        <v>14506.9745</v>
      </c>
      <c r="G48" s="24">
        <v>4.9039335711324101</v>
      </c>
      <c r="H48" s="27">
        <v>5.4434000000000003E-2</v>
      </c>
      <c r="I48" s="28"/>
    </row>
    <row r="49" spans="2:9" x14ac:dyDescent="0.2">
      <c r="B49" s="21" t="s">
        <v>86</v>
      </c>
      <c r="C49" s="21"/>
      <c r="D49" s="21"/>
      <c r="E49" s="21"/>
      <c r="F49" s="29">
        <f>SUM(F48:F48)</f>
        <v>14506.9745</v>
      </c>
      <c r="G49" s="30">
        <f>SUM(G48:G48)</f>
        <v>4.9039335711324101</v>
      </c>
      <c r="H49" s="31"/>
      <c r="I49" s="31"/>
    </row>
    <row r="50" spans="2:9" x14ac:dyDescent="0.2">
      <c r="B50" s="21" t="s">
        <v>91</v>
      </c>
      <c r="C50" s="22"/>
      <c r="D50" s="22"/>
      <c r="E50" s="22"/>
      <c r="F50" s="23"/>
      <c r="G50" s="24"/>
      <c r="H50" s="25"/>
      <c r="I50" s="25"/>
    </row>
    <row r="51" spans="2:9" x14ac:dyDescent="0.2">
      <c r="B51" s="22" t="s">
        <v>92</v>
      </c>
      <c r="C51" s="22" t="s">
        <v>93</v>
      </c>
      <c r="D51" s="22"/>
      <c r="E51" s="26">
        <v>6542.44</v>
      </c>
      <c r="F51" s="23">
        <v>758.85148530000004</v>
      </c>
      <c r="G51" s="24">
        <v>0.25652194220554803</v>
      </c>
      <c r="H51" s="25"/>
      <c r="I51" s="25"/>
    </row>
    <row r="52" spans="2:9" x14ac:dyDescent="0.2">
      <c r="B52" s="21" t="s">
        <v>44</v>
      </c>
      <c r="C52" s="21"/>
      <c r="D52" s="21"/>
      <c r="E52" s="21"/>
      <c r="F52" s="29">
        <f>SUM(F51:F51)</f>
        <v>758.85148530000004</v>
      </c>
      <c r="G52" s="30">
        <f>SUM(G51:G51)</f>
        <v>0.25652194220554803</v>
      </c>
      <c r="H52" s="31"/>
      <c r="I52" s="31"/>
    </row>
    <row r="53" spans="2:9" x14ac:dyDescent="0.2">
      <c r="B53" s="21"/>
      <c r="C53" s="22"/>
      <c r="D53" s="22"/>
      <c r="E53" s="22"/>
      <c r="F53" s="23"/>
      <c r="G53" s="24"/>
      <c r="H53" s="25"/>
      <c r="I53" s="25"/>
    </row>
    <row r="54" spans="2:9" x14ac:dyDescent="0.2">
      <c r="B54" s="21" t="s">
        <v>94</v>
      </c>
      <c r="C54" s="21"/>
      <c r="D54" s="21"/>
      <c r="E54" s="21"/>
      <c r="F54" s="29">
        <v>31476.131777800001</v>
      </c>
      <c r="G54" s="30">
        <v>10.6401827144965</v>
      </c>
      <c r="H54" s="27">
        <v>5.04819029E-2</v>
      </c>
      <c r="I54" s="27"/>
    </row>
    <row r="55" spans="2:9" x14ac:dyDescent="0.2">
      <c r="B55" s="22"/>
      <c r="C55" s="22"/>
      <c r="D55" s="22"/>
      <c r="E55" s="22"/>
      <c r="F55" s="23"/>
      <c r="G55" s="24"/>
      <c r="H55" s="25"/>
      <c r="I55" s="25"/>
    </row>
    <row r="56" spans="2:9" x14ac:dyDescent="0.2">
      <c r="B56" s="41" t="s">
        <v>96</v>
      </c>
      <c r="C56" s="41"/>
      <c r="D56" s="41"/>
      <c r="E56" s="41"/>
      <c r="F56" s="29">
        <f>F57-(F22+F40+F45+F49+F52+F54)</f>
        <v>-1102.6915799999842</v>
      </c>
      <c r="G56" s="30">
        <f>G57-(G22+G40+G45+G49+G52+G54)</f>
        <v>-0.37275355090532969</v>
      </c>
      <c r="H56" s="31"/>
      <c r="I56" s="31"/>
    </row>
    <row r="57" spans="2:9" x14ac:dyDescent="0.2">
      <c r="B57" s="37" t="s">
        <v>95</v>
      </c>
      <c r="C57" s="37"/>
      <c r="D57" s="37"/>
      <c r="E57" s="37"/>
      <c r="F57" s="38">
        <v>295823.22618310002</v>
      </c>
      <c r="G57" s="39">
        <v>100</v>
      </c>
      <c r="H57" s="40"/>
      <c r="I57" s="40"/>
    </row>
    <row r="59" spans="2:9" x14ac:dyDescent="0.2">
      <c r="B59" s="15" t="s">
        <v>98</v>
      </c>
    </row>
    <row r="60" spans="2:9" ht="40.049999999999997" customHeight="1" x14ac:dyDescent="0.2">
      <c r="B60" s="48" t="s">
        <v>99</v>
      </c>
      <c r="C60" s="48"/>
      <c r="D60" s="48"/>
      <c r="E60" s="48"/>
      <c r="F60" s="48"/>
      <c r="G60" s="48"/>
      <c r="H60" s="48"/>
      <c r="I60" s="48"/>
    </row>
    <row r="61" spans="2:9" x14ac:dyDescent="0.2">
      <c r="B61" s="15"/>
    </row>
    <row r="62" spans="2:9" x14ac:dyDescent="0.2">
      <c r="B62" s="15" t="s">
        <v>104</v>
      </c>
    </row>
    <row r="63" spans="2:9" x14ac:dyDescent="0.2">
      <c r="B63" s="15"/>
    </row>
    <row r="66" spans="2:5" x14ac:dyDescent="0.2">
      <c r="B66" s="15" t="s">
        <v>100</v>
      </c>
      <c r="C66" s="15"/>
      <c r="D66" s="42"/>
      <c r="E66" s="15"/>
    </row>
    <row r="67" spans="2:5" x14ac:dyDescent="0.2">
      <c r="D67" s="43"/>
      <c r="E67" s="43"/>
    </row>
    <row r="71" spans="2:5" x14ac:dyDescent="0.2">
      <c r="B71" s="15"/>
    </row>
    <row r="87" spans="2:2" x14ac:dyDescent="0.2">
      <c r="B87" s="15" t="s">
        <v>101</v>
      </c>
    </row>
    <row r="88" spans="2:2" x14ac:dyDescent="0.2">
      <c r="B88" s="45" t="s">
        <v>102</v>
      </c>
    </row>
  </sheetData>
  <mergeCells count="2">
    <mergeCell ref="B1:C1"/>
    <mergeCell ref="B60:I60"/>
  </mergeCells>
  <conditionalFormatting sqref="G1:G3 G5:G59 G61:G126">
    <cfRule type="cellIs" dxfId="0" priority="2" stopIfTrue="1" operator="between">
      <formula>0.009</formula>
      <formula>-0.009</formula>
    </cfRule>
  </conditionalFormatting>
  <hyperlinks>
    <hyperlink ref="A2" location="Index!A1" display="-" xr:uid="{6B54233E-6B8F-41DE-BAD3-AED079DF1BA9}"/>
  </hyperlinks>
  <pageMargins left="0.7" right="0.7" top="0.75" bottom="0.75" header="0.3" footer="0.3"/>
  <pageSetup paperSize="9" scale="64" orientation="portrait" r:id="rId1"/>
  <headerFooter>
    <oddFooter>&amp;C&amp;1#&amp;"Calibri"&amp;10&amp;K000000RESTRICTED</oddFooter>
    <evenFooter>&amp;LPUBLIC</evenFooter>
    <firstFooter>&amp;LPUBLIC</firstFooter>
  </headerFooter>
  <rowBreaks count="1" manualBreakCount="1">
    <brk id="110" min="1" max="8" man="1"/>
  </rowBreaks>
  <colBreaks count="1" manualBreakCount="1">
    <brk id="9" max="331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JBMMF</vt:lpstr>
      <vt:lpstr>JBMMF!Print_Area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2026-02-06T10:00:08Z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f851b4f6-a95e-46a7-8457-84c26f440032_Enabled">
    <vt:lpwstr>true</vt:lpwstr>
  </property>
  <property fmtid="{D5CDD505-2E9C-101B-9397-08002B2CF9AE}" pid="5" name="MSIP_Label_f851b4f6-a95e-46a7-8457-84c26f440032_SetDate">
    <vt:lpwstr>2026-02-04T15:19:06Z</vt:lpwstr>
  </property>
  <property fmtid="{D5CDD505-2E9C-101B-9397-08002B2CF9AE}" pid="6" name="MSIP_Label_f851b4f6-a95e-46a7-8457-84c26f440032_Method">
    <vt:lpwstr>Privileged</vt:lpwstr>
  </property>
  <property fmtid="{D5CDD505-2E9C-101B-9397-08002B2CF9AE}" pid="7" name="MSIP_Label_f851b4f6-a95e-46a7-8457-84c26f440032_Name">
    <vt:lpwstr>CLARESTRI</vt:lpwstr>
  </property>
  <property fmtid="{D5CDD505-2E9C-101B-9397-08002B2CF9AE}" pid="8" name="MSIP_Label_f851b4f6-a95e-46a7-8457-84c26f440032_SiteId">
    <vt:lpwstr>e0fd434d-ba64-497b-90d2-859c472e1a92</vt:lpwstr>
  </property>
  <property fmtid="{D5CDD505-2E9C-101B-9397-08002B2CF9AE}" pid="9" name="MSIP_Label_f851b4f6-a95e-46a7-8457-84c26f440032_ActionId">
    <vt:lpwstr>9ceee4da-86e6-4b02-811e-245f12d2a74a</vt:lpwstr>
  </property>
  <property fmtid="{D5CDD505-2E9C-101B-9397-08002B2CF9AE}" pid="10" name="MSIP_Label_f851b4f6-a95e-46a7-8457-84c26f440032_ContentBits">
    <vt:lpwstr>2</vt:lpwstr>
  </property>
  <property fmtid="{D5CDD505-2E9C-101B-9397-08002B2CF9AE}" pid="11" name="Classification">
    <vt:lpwstr>RESTRICTED</vt:lpwstr>
  </property>
  <property fmtid="{D5CDD505-2E9C-101B-9397-08002B2CF9AE}" pid="12" name="MSIP_Label_defa4170-0d19-0005-0004-bc88714345d2_Enabled">
    <vt:lpwstr>true</vt:lpwstr>
  </property>
  <property fmtid="{D5CDD505-2E9C-101B-9397-08002B2CF9AE}" pid="13" name="MSIP_Label_defa4170-0d19-0005-0004-bc88714345d2_SetDate">
    <vt:lpwstr>2026-02-06T10:00:08Z</vt:lpwstr>
  </property>
  <property fmtid="{D5CDD505-2E9C-101B-9397-08002B2CF9AE}" pid="14" name="MSIP_Label_defa4170-0d19-0005-0004-bc88714345d2_Method">
    <vt:lpwstr>Standard</vt:lpwstr>
  </property>
  <property fmtid="{D5CDD505-2E9C-101B-9397-08002B2CF9AE}" pid="15" name="MSIP_Label_defa4170-0d19-0005-0004-bc88714345d2_Name">
    <vt:lpwstr>defa4170-0d19-0005-0004-bc88714345d2</vt:lpwstr>
  </property>
  <property fmtid="{D5CDD505-2E9C-101B-9397-08002B2CF9AE}" pid="16" name="MSIP_Label_defa4170-0d19-0005-0004-bc88714345d2_SiteId">
    <vt:lpwstr>c0116485-0978-4b0a-9f1f-fae6c3d6539a</vt:lpwstr>
  </property>
  <property fmtid="{D5CDD505-2E9C-101B-9397-08002B2CF9AE}" pid="17" name="MSIP_Label_defa4170-0d19-0005-0004-bc88714345d2_ActionId">
    <vt:lpwstr>74772eba-912a-4af9-88b7-632bec1a8c05</vt:lpwstr>
  </property>
  <property fmtid="{D5CDD505-2E9C-101B-9397-08002B2CF9AE}" pid="18" name="MSIP_Label_defa4170-0d19-0005-0004-bc88714345d2_ContentBits">
    <vt:lpwstr>0</vt:lpwstr>
  </property>
  <property fmtid="{D5CDD505-2E9C-101B-9397-08002B2CF9AE}" pid="19" name="MSIP_Label_defa4170-0d19-0005-0004-bc88714345d2_Tag">
    <vt:lpwstr>10, 3, 0, 1</vt:lpwstr>
  </property>
</Properties>
</file>