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5A4EC045-763A-421A-81C5-65D7B5D94055}" xr6:coauthVersionLast="47" xr6:coauthVersionMax="47" xr10:uidLastSave="{00000000-0000-0000-0000-000000000000}"/>
  <bookViews>
    <workbookView xWindow="1950" yWindow="1950" windowWidth="21600" windowHeight="11235" xr2:uid="{7291B499-DD8C-4F12-BA28-9EE7F24AB421}"/>
  </bookViews>
  <sheets>
    <sheet name="JBFLEXI" sheetId="11" r:id="rId1"/>
  </sheets>
  <definedNames>
    <definedName name="_xlnm.Print_Area" localSheetId="0">JBFLEXI!$B$1:$H$192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G153" i="11"/>
  <c r="F153" i="11"/>
  <c r="G145" i="11"/>
  <c r="G139" i="11"/>
  <c r="F139" i="11"/>
  <c r="F146" i="11" s="1"/>
  <c r="G146" i="11" l="1"/>
  <c r="F142" i="11"/>
  <c r="G142" i="11"/>
</calcChain>
</file>

<file path=xl/sharedStrings.xml><?xml version="1.0" encoding="utf-8"?>
<sst xmlns="http://schemas.openxmlformats.org/spreadsheetml/2006/main" count="433" uniqueCount="335">
  <si>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</si>
  <si>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</si>
  <si>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</si>
  <si>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</si>
  <si>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</si>
  <si>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</si>
  <si>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</si>
  <si>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Flexi Cap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</si>
  <si>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</si>
  <si>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</si>
  <si>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</si>
  <si>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</si>
  <si>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</si>
  <si>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</si>
  <si>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</si>
  <si>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</si>
  <si>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</si>
  <si>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</si>
  <si>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</si>
  <si>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</si>
  <si>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</si>
  <si>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</si>
  <si>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</si>
  <si>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</si>
  <si>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</si>
  <si>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</si>
  <si>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</si>
  <si>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</si>
  <si>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</si>
  <si>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</si>
  <si>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</si>
  <si>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</si>
  <si>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</si>
  <si>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</si>
  <si>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</si>
  <si>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</si>
  <si>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</si>
  <si>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</si>
  <si>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</si>
  <si>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</si>
  <si>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</si>
  <si>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</si>
  <si>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</si>
  <si>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</si>
  <si>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</si>
  <si>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</si>
  <si>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Finance</t>
  </si>
  <si>
    <t>Maruti Suzuki India Ltd</t>
  </si>
  <si>
    <t>INE585B01010</t>
  </si>
  <si>
    <t>Eternal Ltd</t>
  </si>
  <si>
    <t>INE758T01015</t>
  </si>
  <si>
    <t>Retailing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</si>
  <si>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</si>
  <si>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</si>
  <si>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</si>
  <si>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</si>
  <si>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</si>
  <si>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</si>
  <si>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Power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</si>
  <si>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</si>
  <si>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</si>
  <si>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</si>
  <si>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</si>
  <si>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</si>
  <si>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</si>
  <si>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Cement &amp; Cement Products</t>
  </si>
  <si>
    <t>Non - Ferrous Metals</t>
  </si>
  <si>
    <t>Asian Paints Ltd</t>
  </si>
  <si>
    <t>INE021A01026</t>
  </si>
  <si>
    <t>Interglobe Aviation Ltd</t>
  </si>
  <si>
    <t>INE646L01027</t>
  </si>
  <si>
    <t>Transport Services</t>
  </si>
  <si>
    <t>JSW Steel Ltd</t>
  </si>
  <si>
    <t>INE019A01038</t>
  </si>
  <si>
    <t>Adani Ports and Special Economic Zone Ltd</t>
  </si>
  <si>
    <t>INE742F01042</t>
  </si>
  <si>
    <t>Transport Infrastructure</t>
  </si>
  <si>
    <t>Tech Mahindra Ltd</t>
  </si>
  <si>
    <t>INE669C01036</t>
  </si>
  <si>
    <t>Oil &amp; Natural Gas Corporation Ltd</t>
  </si>
  <si>
    <t>INE213A01029</t>
  </si>
  <si>
    <t>Oil</t>
  </si>
  <si>
    <t>Food Products</t>
  </si>
  <si>
    <t>Insurance</t>
  </si>
  <si>
    <t>Healthcare Services</t>
  </si>
  <si>
    <t>Agricultural Food &amp; Other Products</t>
  </si>
  <si>
    <t>Wipro Ltd</t>
  </si>
  <si>
    <t>INE075A01022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</si>
  <si>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</si>
  <si>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</si>
  <si>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</si>
  <si>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</si>
  <si>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</si>
  <si>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</si>
  <si>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TVS Motor Co Ltd</t>
  </si>
  <si>
    <t>INE494B01023</t>
  </si>
  <si>
    <t>Hindustan Aeronautics Ltd</t>
  </si>
  <si>
    <t>INE066F01020</t>
  </si>
  <si>
    <t>Bharat Petroleum Corporation Ltd</t>
  </si>
  <si>
    <t>INE029A01011</t>
  </si>
  <si>
    <t>Britannia Industries Ltd</t>
  </si>
  <si>
    <t>INE216A01030</t>
  </si>
  <si>
    <t>Beverages</t>
  </si>
  <si>
    <t>Indian Oil Corporation Ltd</t>
  </si>
  <si>
    <t>INE242A01010</t>
  </si>
  <si>
    <t>Ltimindtree Ltd</t>
  </si>
  <si>
    <t>INE214T01019</t>
  </si>
  <si>
    <t>Auto Components</t>
  </si>
  <si>
    <t>Canara Bank</t>
  </si>
  <si>
    <t>INE476A01022</t>
  </si>
  <si>
    <t>Personal Products</t>
  </si>
  <si>
    <t>Bajaj Holdings &amp; Investment Ltd</t>
  </si>
  <si>
    <t>INE118A01012</t>
  </si>
  <si>
    <t>Gas</t>
  </si>
  <si>
    <t>Chemicals &amp; Petrochemicals</t>
  </si>
  <si>
    <t>Electrical Equipment</t>
  </si>
  <si>
    <t>Realty</t>
  </si>
  <si>
    <t>Jindal Steel Ltd</t>
  </si>
  <si>
    <t>INE749A01030</t>
  </si>
  <si>
    <t>Adani Energy Solutions Ltd</t>
  </si>
  <si>
    <t>INE931S01010</t>
  </si>
  <si>
    <t>Shree Cement Ltd</t>
  </si>
  <si>
    <t>INE070A01015</t>
  </si>
  <si>
    <t>Lodha Developers Ltd</t>
  </si>
  <si>
    <t>INE670K01029</t>
  </si>
  <si>
    <t>Solar Industries India Ltd</t>
  </si>
  <si>
    <t>INE343H01029</t>
  </si>
  <si>
    <t>Siemens Energy India ltd</t>
  </si>
  <si>
    <t>INE1NPP01017</t>
  </si>
  <si>
    <t>Indian Railway Finance Corporation Ltd</t>
  </si>
  <si>
    <t>INE053F01010</t>
  </si>
  <si>
    <t>Life Insurance Corporation Of India</t>
  </si>
  <si>
    <t>INE0J1Y01017</t>
  </si>
  <si>
    <t>Industrial Manufacturing</t>
  </si>
  <si>
    <t>** Non- Traded Security</t>
  </si>
  <si>
    <t>BSE Ltd</t>
  </si>
  <si>
    <t>INE118H01025</t>
  </si>
  <si>
    <t>Capital Markets</t>
  </si>
  <si>
    <t>Hero MotoCorp Ltd</t>
  </si>
  <si>
    <t>INE158A01026</t>
  </si>
  <si>
    <t>Cummins India Ltd</t>
  </si>
  <si>
    <t>INE298A01020</t>
  </si>
  <si>
    <t>Industrial Products</t>
  </si>
  <si>
    <t>Coforge Ltd</t>
  </si>
  <si>
    <t>INE591G01025</t>
  </si>
  <si>
    <t>HDFC Asset Management Co Ltd</t>
  </si>
  <si>
    <t>INE127D01025</t>
  </si>
  <si>
    <t>Agricultural, Commercial &amp; Construction Vehicles</t>
  </si>
  <si>
    <t>Lupin Ltd</t>
  </si>
  <si>
    <t>INE326A01037</t>
  </si>
  <si>
    <t>Dixon Technologies (India) Ltd</t>
  </si>
  <si>
    <t>INE935N01020</t>
  </si>
  <si>
    <t>Hindustan Petroleum Corporation Ltd</t>
  </si>
  <si>
    <t>INE094A01015</t>
  </si>
  <si>
    <t>Fortis Healthcare Ltd</t>
  </si>
  <si>
    <t>INE061F01013</t>
  </si>
  <si>
    <t>UPL Ltd</t>
  </si>
  <si>
    <t>INE628A01036</t>
  </si>
  <si>
    <t>Fertilizers &amp; Agrochemicals</t>
  </si>
  <si>
    <t>Max Financial Services Ltd</t>
  </si>
  <si>
    <t>INE180A01020</t>
  </si>
  <si>
    <t>Polycab India Ltd</t>
  </si>
  <si>
    <t>INE455K01017</t>
  </si>
  <si>
    <t>Marico Ltd</t>
  </si>
  <si>
    <t>INE196A01026</t>
  </si>
  <si>
    <t>Ge Vernova T&amp;D India Ltd</t>
  </si>
  <si>
    <t>INE200A01026</t>
  </si>
  <si>
    <t>Yes Bank Ltd</t>
  </si>
  <si>
    <t>INE528G01035</t>
  </si>
  <si>
    <t>Mphasis Ltd</t>
  </si>
  <si>
    <t>INE356A01018</t>
  </si>
  <si>
    <t>Indian Bank</t>
  </si>
  <si>
    <t>INE562A01011</t>
  </si>
  <si>
    <t>Vishal Mega Mart Ltd</t>
  </si>
  <si>
    <t>INE01EA01019</t>
  </si>
  <si>
    <t>National Aluminium Co Ltd</t>
  </si>
  <si>
    <t>INE139A01034</t>
  </si>
  <si>
    <t>Coromandel International Ltd</t>
  </si>
  <si>
    <t>INE169A01031</t>
  </si>
  <si>
    <t>L&amp;T Finance Ltd</t>
  </si>
  <si>
    <t>INE498L01015</t>
  </si>
  <si>
    <t>J.K. Cement Ltd</t>
  </si>
  <si>
    <t>INE823G01014</t>
  </si>
  <si>
    <t>Textiles &amp; Apparels</t>
  </si>
  <si>
    <t>Agricultural Food &amp; other Products</t>
  </si>
  <si>
    <t>Apollo Tyres Ltd</t>
  </si>
  <si>
    <t>INE438A01022</t>
  </si>
  <si>
    <t>Schaeffler India Ltd</t>
  </si>
  <si>
    <t>INE513A01022</t>
  </si>
  <si>
    <t>Abbott India Ltd</t>
  </si>
  <si>
    <t>INE358A01014</t>
  </si>
  <si>
    <t>Indraprastha Gas Ltd</t>
  </si>
  <si>
    <t>INE203G01027</t>
  </si>
  <si>
    <t>Motilal Oswal Financial Services Ltd</t>
  </si>
  <si>
    <t>INE338I01027</t>
  </si>
  <si>
    <t>Escorts Kubota Ltd</t>
  </si>
  <si>
    <t>INE042A01014</t>
  </si>
  <si>
    <t>The New India Assurance Co Ltd</t>
  </si>
  <si>
    <t>INE470Y01017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</si>
  <si>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</si>
  <si>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</si>
  <si>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</si>
  <si>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</si>
  <si>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</si>
  <si>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</si>
  <si>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Radico Khaitan Ltd</t>
  </si>
  <si>
    <t>INE944F01028</t>
  </si>
  <si>
    <t>Karur Vysya Bank Ltd</t>
  </si>
  <si>
    <t>INE036D01028</t>
  </si>
  <si>
    <t>Navin Fluorine International Ltd</t>
  </si>
  <si>
    <t>INE048G01026</t>
  </si>
  <si>
    <t>City Union Bank Ltd</t>
  </si>
  <si>
    <t>INE491A01021</t>
  </si>
  <si>
    <t>Commercial Services &amp; Supplies</t>
  </si>
  <si>
    <t>Kalpataru Projects International Ltd</t>
  </si>
  <si>
    <t>INE220B01022</t>
  </si>
  <si>
    <t>Sai Life Sciences Ltd</t>
  </si>
  <si>
    <t>INE570L01029</t>
  </si>
  <si>
    <t>Dr. Lal Path Labs Ltd</t>
  </si>
  <si>
    <t>INE600L01024</t>
  </si>
  <si>
    <t>Ather Energy Ltd</t>
  </si>
  <si>
    <t>INE0LEZ01016</t>
  </si>
  <si>
    <t>EID Parry India Ltd</t>
  </si>
  <si>
    <t>INE126A01031</t>
  </si>
  <si>
    <t>CESC Ltd</t>
  </si>
  <si>
    <t>INE486A01021</t>
  </si>
  <si>
    <t>eClerx Services Ltd</t>
  </si>
  <si>
    <t>INE738I01010</t>
  </si>
  <si>
    <t>Castrol India Ltd</t>
  </si>
  <si>
    <t>INE172A01027</t>
  </si>
  <si>
    <t>Jubilant Pharmova Ltd</t>
  </si>
  <si>
    <t>INE700A01033</t>
  </si>
  <si>
    <t>Entertainment</t>
  </si>
  <si>
    <t>Go Digit General Insurance Ltd</t>
  </si>
  <si>
    <t>INE03JT01014</t>
  </si>
  <si>
    <t>Natco Pharma Ltd</t>
  </si>
  <si>
    <t>INE987B01026</t>
  </si>
  <si>
    <t>Kajaria Ceramics Ltd</t>
  </si>
  <si>
    <t>INE217B01036</t>
  </si>
  <si>
    <t>CEAT Ltd</t>
  </si>
  <si>
    <t>INE482A01020</t>
  </si>
  <si>
    <t>Pfizer Ltd</t>
  </si>
  <si>
    <t>INE182A01018</t>
  </si>
  <si>
    <t>PVR Inox Ltd</t>
  </si>
  <si>
    <t>INE191H01014</t>
  </si>
  <si>
    <t>Capri Global Capital Ltd</t>
  </si>
  <si>
    <t>INE180C01042</t>
  </si>
  <si>
    <t>Indiamart Intermesh Ltd</t>
  </si>
  <si>
    <t>INE933S01016</t>
  </si>
  <si>
    <t>CCL Products (India) Ltd</t>
  </si>
  <si>
    <t>INE421D01022</t>
  </si>
  <si>
    <t>Mahanagar Gas Ltd</t>
  </si>
  <si>
    <t>INE002S01010</t>
  </si>
  <si>
    <t>Brainbees Solutions Ltd</t>
  </si>
  <si>
    <t>INE02RE01045</t>
  </si>
  <si>
    <t>JK Tyre &amp; Industries Ltd</t>
  </si>
  <si>
    <t>INE573A01042</t>
  </si>
  <si>
    <t>Aditya Birla Sun Life AMC Ltd</t>
  </si>
  <si>
    <t>INE404A01024</t>
  </si>
  <si>
    <t>JM Financial Ltd</t>
  </si>
  <si>
    <t>INE780C01023</t>
  </si>
  <si>
    <t>Syrma SGS Technology Ltd</t>
  </si>
  <si>
    <t>INE0DYJ01015</t>
  </si>
  <si>
    <t>UTI Asset Management Co Ltd</t>
  </si>
  <si>
    <t>INE094J01016</t>
  </si>
  <si>
    <t>Vardhman Textiles Ltd</t>
  </si>
  <si>
    <t>INE825A01020</t>
  </si>
  <si>
    <t>Elecon Engineering Co Ltd</t>
  </si>
  <si>
    <t>INE205B01031</t>
  </si>
  <si>
    <t>Chennai Petroleum Corporation Ltd</t>
  </si>
  <si>
    <t>INE178A01016</t>
  </si>
  <si>
    <t>Honasa Consumer Ltd</t>
  </si>
  <si>
    <t>INE0J5401028</t>
  </si>
  <si>
    <t>Nuvoco Vistas Corporation Ltd</t>
  </si>
  <si>
    <t>INE118D01016</t>
  </si>
  <si>
    <t>Godrej Agrovet Ltd</t>
  </si>
  <si>
    <t>INE850D01014</t>
  </si>
  <si>
    <t>Rashtriya Chemicals and Fertilizers Ltd</t>
  </si>
  <si>
    <t>INE027A01015</t>
  </si>
  <si>
    <t>Sharda Cropchem Ltd</t>
  </si>
  <si>
    <t>INE221J01015</t>
  </si>
  <si>
    <t>PTC India Ltd</t>
  </si>
  <si>
    <t>INE877F01012</t>
  </si>
  <si>
    <t>GMM Pfaudler Ltd</t>
  </si>
  <si>
    <t>INE541A01023</t>
  </si>
  <si>
    <t>Avanti Feeds Ltd</t>
  </si>
  <si>
    <t>INE871C01038</t>
  </si>
  <si>
    <t>V-Mart Retail Ltd</t>
  </si>
  <si>
    <t>INE665J01013</t>
  </si>
  <si>
    <t>Thyrocare Technologies Ltd</t>
  </si>
  <si>
    <t>INE594H01019</t>
  </si>
  <si>
    <t>Fiem Industries Ltd</t>
  </si>
  <si>
    <t>INE737H01014</t>
  </si>
  <si>
    <t>KRBL Ltd</t>
  </si>
  <si>
    <t>INE001B01026</t>
  </si>
  <si>
    <t>Shriram Pistons &amp; Rings Ltd</t>
  </si>
  <si>
    <t>INE526E01018</t>
  </si>
  <si>
    <t>VA Tech Wabag Ltd</t>
  </si>
  <si>
    <t>INE956G01038</t>
  </si>
  <si>
    <t>Other Utilities</t>
  </si>
  <si>
    <t>Ahluwalia Contracts (India) Ltd</t>
  </si>
  <si>
    <t>INE758C01029</t>
  </si>
  <si>
    <t>Route Mobile Ltd</t>
  </si>
  <si>
    <t>INE450U01017</t>
  </si>
  <si>
    <t>CarTrade Tech Ltd</t>
  </si>
  <si>
    <t>INE290S01011</t>
  </si>
  <si>
    <t>Patel Engineering Ltd</t>
  </si>
  <si>
    <t>INE244B01030</t>
  </si>
  <si>
    <t>INE1YPB01014</t>
  </si>
  <si>
    <t>Advanced Enzyme Technologies Ltd</t>
  </si>
  <si>
    <t>INE837H01020</t>
  </si>
  <si>
    <t>TVS Supply Chain Solutions Ltd</t>
  </si>
  <si>
    <t>INE395N01027</t>
  </si>
  <si>
    <t>Dodla Dairy Ltd</t>
  </si>
  <si>
    <t>INE021O01019</t>
  </si>
  <si>
    <t>National Fertilizers Ltd</t>
  </si>
  <si>
    <t>INE870D01012</t>
  </si>
  <si>
    <t>Allcargo Logistics Ltd</t>
  </si>
  <si>
    <t>INE418H01029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</si>
  <si>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</si>
  <si>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</si>
  <si>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</si>
  <si>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</si>
  <si>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</si>
  <si>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</si>
  <si>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</si>
  <si>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</si>
  <si>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</si>
  <si>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27-JAN-26 FUT</t>
  </si>
  <si>
    <t>Long</t>
  </si>
  <si>
    <t>Benchmark Risk-O-Meter</t>
  </si>
  <si>
    <t>Benchmark Name - Nifty 500 Index (TRI)</t>
  </si>
  <si>
    <t>Allcargo Global Ltd **</t>
  </si>
  <si>
    <t>Diversified FMCG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</si>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</sst>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64" fontId="6" fillId="2" borderId="3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0" fillId="2" borderId="2" xfId="0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39" fontId="5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3" fontId="5" fillId="2" borderId="7" xfId="0" applyNumberFormat="1" applyFont="1" applyFill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0" borderId="3" xfId="0" applyNumberFormat="1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158</xdr:row>
      <xdr:rowOff>0</xdr:rowOff>
    </xdr:from>
    <xdr:to>
      <xdr:col>2</xdr:col>
      <xdr:colOff>114300</xdr:colOff>
      <xdr:row>171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3FBF9-EDC7-4E86-A997-1ABD84A6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1418550"/>
          <a:ext cx="4067175" cy="177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176</xdr:row>
      <xdr:rowOff>47625</xdr:rowOff>
    </xdr:from>
    <xdr:to>
      <xdr:col>1</xdr:col>
      <xdr:colOff>4562475</xdr:colOff>
      <xdr:row>191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843F9D-BA31-4C24-AF23-9B0AD216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6550" y="23764875"/>
          <a:ext cx="3457575" cy="1857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2E42-1020-4A07-AD58-8CCC1017AEC0}">
  <dimension ref="A1:I294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69.5703125" style="8" bestFit="1" customWidth="1"/>
    <col min="3" max="3" width="11" style="8" bestFit="1" customWidth="1"/>
    <col min="4" max="4" width="35.42578125" style="8" bestFit="1" customWidth="1"/>
    <col min="5" max="5" width="13.85546875" style="9" bestFit="1" customWidth="1"/>
    <col min="6" max="6" width="22.85546875" style="11" bestFit="1" customWidth="1"/>
    <col min="7" max="7" width="12.140625" style="13" bestFit="1" customWidth="1"/>
    <col min="8" max="8" width="14.42578125" style="8" bestFit="1" customWidth="1"/>
    <col min="9" max="16384" width="9.140625" style="8"/>
  </cols>
  <sheetData>
    <row r="1" spans="1:8" s="1" customFormat="1" ht="16.7" customHeight="1" x14ac:dyDescent="0.2">
      <c r="B1" s="63" t="s">
        <v>7</v>
      </c>
      <c r="C1" s="64"/>
      <c r="D1" s="12"/>
      <c r="E1" s="6"/>
      <c r="F1" s="7"/>
      <c r="G1" s="13"/>
    </row>
    <row r="2" spans="1:8" s="1" customFormat="1" ht="15" x14ac:dyDescent="0.25">
      <c r="A2" s="54" t="str">
        <f>HYPERLINK("[Monthly-Portfolio-ISIN-31-Dec-2025.xlsx]index!A1","")</f>
        <v/>
      </c>
      <c r="E2" s="6"/>
      <c r="F2" s="7"/>
      <c r="G2" s="13"/>
    </row>
    <row r="3" spans="1:8" s="1" customFormat="1" ht="12" x14ac:dyDescent="0.2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">
      <c r="B4" s="16" t="s">
        <v>4</v>
      </c>
      <c r="C4" s="16" t="s">
        <v>5</v>
      </c>
      <c r="D4" s="17" t="s">
        <v>90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x14ac:dyDescent="0.2">
      <c r="B5" s="21" t="s">
        <v>14</v>
      </c>
      <c r="C5" s="22"/>
      <c r="D5" s="22"/>
      <c r="E5" s="23"/>
      <c r="F5" s="24"/>
      <c r="G5" s="25"/>
      <c r="H5" s="22"/>
    </row>
    <row r="6" spans="1:8" x14ac:dyDescent="0.2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16</v>
      </c>
      <c r="C7" s="22" t="s">
        <v>17</v>
      </c>
      <c r="D7" s="22" t="s">
        <v>18</v>
      </c>
      <c r="E7" s="26">
        <v>2253026</v>
      </c>
      <c r="F7" s="24">
        <v>22331.993712</v>
      </c>
      <c r="G7" s="25">
        <v>8.9464535108755392</v>
      </c>
      <c r="H7" s="22"/>
    </row>
    <row r="8" spans="1:8" x14ac:dyDescent="0.2">
      <c r="B8" s="22" t="s">
        <v>22</v>
      </c>
      <c r="C8" s="22" t="s">
        <v>23</v>
      </c>
      <c r="D8" s="22" t="s">
        <v>18</v>
      </c>
      <c r="E8" s="26">
        <v>1150436</v>
      </c>
      <c r="F8" s="24">
        <v>15449.205044</v>
      </c>
      <c r="G8" s="25">
        <v>6.1891292147310804</v>
      </c>
      <c r="H8" s="22"/>
    </row>
    <row r="9" spans="1:8" x14ac:dyDescent="0.2">
      <c r="B9" s="22" t="s">
        <v>24</v>
      </c>
      <c r="C9" s="22" t="s">
        <v>25</v>
      </c>
      <c r="D9" s="22" t="s">
        <v>26</v>
      </c>
      <c r="E9" s="26">
        <v>492512</v>
      </c>
      <c r="F9" s="24">
        <v>10370.332672</v>
      </c>
      <c r="G9" s="25">
        <v>4.1544745327645298</v>
      </c>
      <c r="H9" s="22"/>
    </row>
    <row r="10" spans="1:8" x14ac:dyDescent="0.2">
      <c r="B10" s="22" t="s">
        <v>19</v>
      </c>
      <c r="C10" s="22" t="s">
        <v>20</v>
      </c>
      <c r="D10" s="22" t="s">
        <v>21</v>
      </c>
      <c r="E10" s="26">
        <v>592643</v>
      </c>
      <c r="F10" s="24">
        <v>9306.8656719999999</v>
      </c>
      <c r="G10" s="25">
        <v>3.7284374221263601</v>
      </c>
      <c r="H10" s="22"/>
    </row>
    <row r="11" spans="1:8" x14ac:dyDescent="0.2">
      <c r="B11" s="22" t="s">
        <v>27</v>
      </c>
      <c r="C11" s="22" t="s">
        <v>28</v>
      </c>
      <c r="D11" s="22" t="s">
        <v>29</v>
      </c>
      <c r="E11" s="26">
        <v>570153</v>
      </c>
      <c r="F11" s="24">
        <v>9210.2515619999995</v>
      </c>
      <c r="G11" s="25">
        <v>3.6897326985465302</v>
      </c>
      <c r="H11" s="22"/>
    </row>
    <row r="12" spans="1:8" x14ac:dyDescent="0.2">
      <c r="B12" s="22" t="s">
        <v>33</v>
      </c>
      <c r="C12" s="22" t="s">
        <v>34</v>
      </c>
      <c r="D12" s="22" t="s">
        <v>18</v>
      </c>
      <c r="E12" s="26">
        <v>846698</v>
      </c>
      <c r="F12" s="24">
        <v>8316.2677559999993</v>
      </c>
      <c r="G12" s="25">
        <v>3.3315925045719599</v>
      </c>
      <c r="H12" s="22"/>
    </row>
    <row r="13" spans="1:8" x14ac:dyDescent="0.2">
      <c r="B13" s="22" t="s">
        <v>30</v>
      </c>
      <c r="C13" s="22" t="s">
        <v>31</v>
      </c>
      <c r="D13" s="22" t="s">
        <v>32</v>
      </c>
      <c r="E13" s="26">
        <v>158624</v>
      </c>
      <c r="F13" s="24">
        <v>6477.41104</v>
      </c>
      <c r="G13" s="25">
        <v>2.5949253563085501</v>
      </c>
      <c r="H13" s="22"/>
    </row>
    <row r="14" spans="1:8" x14ac:dyDescent="0.2">
      <c r="B14" s="22" t="s">
        <v>55</v>
      </c>
      <c r="C14" s="22" t="s">
        <v>56</v>
      </c>
      <c r="D14" s="22" t="s">
        <v>57</v>
      </c>
      <c r="E14" s="26">
        <v>140314</v>
      </c>
      <c r="F14" s="24">
        <v>5684.8217100000002</v>
      </c>
      <c r="G14" s="25">
        <v>2.2774049555101801</v>
      </c>
      <c r="H14" s="22"/>
    </row>
    <row r="15" spans="1:8" x14ac:dyDescent="0.2">
      <c r="B15" s="22" t="s">
        <v>53</v>
      </c>
      <c r="C15" s="22" t="s">
        <v>54</v>
      </c>
      <c r="D15" s="22" t="s">
        <v>29</v>
      </c>
      <c r="E15" s="26">
        <v>308962</v>
      </c>
      <c r="F15" s="24">
        <v>5015.3801460000004</v>
      </c>
      <c r="G15" s="25">
        <v>2.0092189660364501</v>
      </c>
      <c r="H15" s="22"/>
    </row>
    <row r="16" spans="1:8" x14ac:dyDescent="0.2">
      <c r="B16" s="22" t="s">
        <v>98</v>
      </c>
      <c r="C16" s="22" t="s">
        <v>99</v>
      </c>
      <c r="D16" s="22" t="s">
        <v>21</v>
      </c>
      <c r="E16" s="26">
        <v>1214936</v>
      </c>
      <c r="F16" s="24">
        <v>4665.3542399999997</v>
      </c>
      <c r="G16" s="25">
        <v>1.8689945626080899</v>
      </c>
      <c r="H16" s="22"/>
    </row>
    <row r="17" spans="2:8" x14ac:dyDescent="0.2">
      <c r="B17" s="22" t="s">
        <v>138</v>
      </c>
      <c r="C17" s="22" t="s">
        <v>139</v>
      </c>
      <c r="D17" s="22" t="s">
        <v>41</v>
      </c>
      <c r="E17" s="26">
        <v>80780</v>
      </c>
      <c r="F17" s="24">
        <v>4661.8137999999999</v>
      </c>
      <c r="G17" s="25">
        <v>1.8675762216271401</v>
      </c>
      <c r="H17" s="22"/>
    </row>
    <row r="18" spans="2:8" x14ac:dyDescent="0.2">
      <c r="B18" s="22" t="s">
        <v>140</v>
      </c>
      <c r="C18" s="22" t="s">
        <v>141</v>
      </c>
      <c r="D18" s="22" t="s">
        <v>142</v>
      </c>
      <c r="E18" s="26">
        <v>101311</v>
      </c>
      <c r="F18" s="24">
        <v>4492.5349839999999</v>
      </c>
      <c r="G18" s="25">
        <v>1.7997611811408001</v>
      </c>
      <c r="H18" s="22"/>
    </row>
    <row r="19" spans="2:8" x14ac:dyDescent="0.2">
      <c r="B19" s="22" t="s">
        <v>94</v>
      </c>
      <c r="C19" s="22" t="s">
        <v>95</v>
      </c>
      <c r="D19" s="22" t="s">
        <v>41</v>
      </c>
      <c r="E19" s="26">
        <v>119835</v>
      </c>
      <c r="F19" s="24">
        <v>4457.6223300000001</v>
      </c>
      <c r="G19" s="25">
        <v>1.7857747704342399</v>
      </c>
      <c r="H19" s="22"/>
    </row>
    <row r="20" spans="2:8" x14ac:dyDescent="0.2">
      <c r="B20" s="22" t="s">
        <v>100</v>
      </c>
      <c r="C20" s="22" t="s">
        <v>101</v>
      </c>
      <c r="D20" s="22" t="s">
        <v>82</v>
      </c>
      <c r="E20" s="26">
        <v>71610</v>
      </c>
      <c r="F20" s="24">
        <v>4318.7991000000002</v>
      </c>
      <c r="G20" s="25">
        <v>1.7301605879549899</v>
      </c>
      <c r="H20" s="22"/>
    </row>
    <row r="21" spans="2:8" x14ac:dyDescent="0.2">
      <c r="B21" s="22" t="s">
        <v>74</v>
      </c>
      <c r="C21" s="22" t="s">
        <v>75</v>
      </c>
      <c r="D21" s="22" t="s">
        <v>76</v>
      </c>
      <c r="E21" s="26">
        <v>278082</v>
      </c>
      <c r="F21" s="24">
        <v>4087.2492360000001</v>
      </c>
      <c r="G21" s="25">
        <v>1.6373990494895601</v>
      </c>
      <c r="H21" s="22"/>
    </row>
    <row r="22" spans="2:8" x14ac:dyDescent="0.2">
      <c r="B22" s="22" t="s">
        <v>205</v>
      </c>
      <c r="C22" s="22" t="s">
        <v>206</v>
      </c>
      <c r="D22" s="22" t="s">
        <v>102</v>
      </c>
      <c r="E22" s="26">
        <v>120351</v>
      </c>
      <c r="F22" s="24">
        <v>3969.6573840000001</v>
      </c>
      <c r="G22" s="25">
        <v>1.59029040120929</v>
      </c>
      <c r="H22" s="22"/>
    </row>
    <row r="23" spans="2:8" x14ac:dyDescent="0.2">
      <c r="B23" s="22" t="s">
        <v>69</v>
      </c>
      <c r="C23" s="22" t="s">
        <v>70</v>
      </c>
      <c r="D23" s="22" t="s">
        <v>71</v>
      </c>
      <c r="E23" s="26">
        <v>78357</v>
      </c>
      <c r="F23" s="24">
        <v>3964.4724150000002</v>
      </c>
      <c r="G23" s="25">
        <v>1.5882132429979801</v>
      </c>
      <c r="H23" s="22"/>
    </row>
    <row r="24" spans="2:8" x14ac:dyDescent="0.2">
      <c r="B24" s="22" t="s">
        <v>175</v>
      </c>
      <c r="C24" s="22" t="s">
        <v>176</v>
      </c>
      <c r="D24" s="22" t="s">
        <v>66</v>
      </c>
      <c r="E24" s="26">
        <v>1228840</v>
      </c>
      <c r="F24" s="24">
        <v>3862.2441199999998</v>
      </c>
      <c r="G24" s="25">
        <v>1.5472594123410199</v>
      </c>
      <c r="H24" s="22"/>
    </row>
    <row r="25" spans="2:8" x14ac:dyDescent="0.2">
      <c r="B25" s="22" t="s">
        <v>159</v>
      </c>
      <c r="C25" s="22" t="s">
        <v>160</v>
      </c>
      <c r="D25" s="22" t="s">
        <v>83</v>
      </c>
      <c r="E25" s="26">
        <v>225381</v>
      </c>
      <c r="F25" s="24">
        <v>3767.9195580000001</v>
      </c>
      <c r="G25" s="25">
        <v>1.509471908021</v>
      </c>
      <c r="H25" s="22"/>
    </row>
    <row r="26" spans="2:8" x14ac:dyDescent="0.2">
      <c r="B26" s="22" t="s">
        <v>42</v>
      </c>
      <c r="C26" s="22" t="s">
        <v>43</v>
      </c>
      <c r="D26" s="22" t="s">
        <v>29</v>
      </c>
      <c r="E26" s="26">
        <v>111552</v>
      </c>
      <c r="F26" s="24">
        <v>3576.5802239999998</v>
      </c>
      <c r="G26" s="25">
        <v>1.4328191703161299</v>
      </c>
      <c r="H26" s="22"/>
    </row>
    <row r="27" spans="2:8" x14ac:dyDescent="0.2">
      <c r="B27" s="22" t="s">
        <v>131</v>
      </c>
      <c r="C27" s="22" t="s">
        <v>132</v>
      </c>
      <c r="D27" s="22" t="s">
        <v>83</v>
      </c>
      <c r="E27" s="26">
        <v>412740</v>
      </c>
      <c r="F27" s="24">
        <v>3528.5142599999999</v>
      </c>
      <c r="G27" s="25">
        <v>1.4135633923534801</v>
      </c>
      <c r="H27" s="22"/>
    </row>
    <row r="28" spans="2:8" x14ac:dyDescent="0.2">
      <c r="B28" s="22" t="s">
        <v>59</v>
      </c>
      <c r="C28" s="22" t="s">
        <v>60</v>
      </c>
      <c r="D28" s="22" t="s">
        <v>61</v>
      </c>
      <c r="E28" s="26">
        <v>1857070</v>
      </c>
      <c r="F28" s="24">
        <v>3344.2116559999999</v>
      </c>
      <c r="G28" s="25">
        <v>1.33972964961276</v>
      </c>
      <c r="H28" s="22"/>
    </row>
    <row r="29" spans="2:8" x14ac:dyDescent="0.2">
      <c r="B29" s="22" t="s">
        <v>35</v>
      </c>
      <c r="C29" s="22" t="s">
        <v>36</v>
      </c>
      <c r="D29" s="22" t="s">
        <v>333</v>
      </c>
      <c r="E29" s="26">
        <v>813932</v>
      </c>
      <c r="F29" s="24">
        <v>3280.1459599999998</v>
      </c>
      <c r="G29" s="25">
        <v>1.3140641950054599</v>
      </c>
      <c r="H29" s="22"/>
    </row>
    <row r="30" spans="2:8" x14ac:dyDescent="0.2">
      <c r="B30" s="22" t="s">
        <v>209</v>
      </c>
      <c r="C30" s="22" t="s">
        <v>210</v>
      </c>
      <c r="D30" s="22" t="s">
        <v>114</v>
      </c>
      <c r="E30" s="26">
        <v>55224</v>
      </c>
      <c r="F30" s="24">
        <v>3269.2608</v>
      </c>
      <c r="G30" s="25">
        <v>1.3097034747243099</v>
      </c>
      <c r="H30" s="22"/>
    </row>
    <row r="31" spans="2:8" x14ac:dyDescent="0.2">
      <c r="B31" s="22" t="s">
        <v>161</v>
      </c>
      <c r="C31" s="22" t="s">
        <v>162</v>
      </c>
      <c r="D31" s="22" t="s">
        <v>142</v>
      </c>
      <c r="E31" s="26">
        <v>42080</v>
      </c>
      <c r="F31" s="24">
        <v>3206.0752000000002</v>
      </c>
      <c r="G31" s="25">
        <v>1.2843905966961799</v>
      </c>
      <c r="H31" s="22"/>
    </row>
    <row r="32" spans="2:8" x14ac:dyDescent="0.2">
      <c r="B32" s="22" t="s">
        <v>108</v>
      </c>
      <c r="C32" s="22" t="s">
        <v>109</v>
      </c>
      <c r="D32" s="22" t="s">
        <v>18</v>
      </c>
      <c r="E32" s="26">
        <v>1943436</v>
      </c>
      <c r="F32" s="24">
        <v>3010.5767076000002</v>
      </c>
      <c r="G32" s="25">
        <v>1.20607165230372</v>
      </c>
      <c r="H32" s="22"/>
    </row>
    <row r="33" spans="2:8" x14ac:dyDescent="0.2">
      <c r="B33" s="22" t="s">
        <v>103</v>
      </c>
      <c r="C33" s="22" t="s">
        <v>104</v>
      </c>
      <c r="D33" s="22" t="s">
        <v>21</v>
      </c>
      <c r="E33" s="26">
        <v>1790402</v>
      </c>
      <c r="F33" s="24">
        <v>2980.3031692</v>
      </c>
      <c r="G33" s="25">
        <v>1.19394372465883</v>
      </c>
      <c r="H33" s="22"/>
    </row>
    <row r="34" spans="2:8" x14ac:dyDescent="0.2">
      <c r="B34" s="22" t="s">
        <v>148</v>
      </c>
      <c r="C34" s="22" t="s">
        <v>149</v>
      </c>
      <c r="D34" s="22" t="s">
        <v>52</v>
      </c>
      <c r="E34" s="26">
        <v>140815</v>
      </c>
      <c r="F34" s="24">
        <v>2970.4924249999999</v>
      </c>
      <c r="G34" s="25">
        <v>1.1900134277035099</v>
      </c>
      <c r="H34" s="22"/>
    </row>
    <row r="35" spans="2:8" x14ac:dyDescent="0.2">
      <c r="B35" s="22" t="s">
        <v>165</v>
      </c>
      <c r="C35" s="22" t="s">
        <v>166</v>
      </c>
      <c r="D35" s="22" t="s">
        <v>115</v>
      </c>
      <c r="E35" s="26">
        <v>85762</v>
      </c>
      <c r="F35" s="24">
        <v>2686.4946500000001</v>
      </c>
      <c r="G35" s="25">
        <v>1.0762406529125099</v>
      </c>
      <c r="H35" s="22"/>
    </row>
    <row r="36" spans="2:8" x14ac:dyDescent="0.2">
      <c r="B36" s="22" t="s">
        <v>91</v>
      </c>
      <c r="C36" s="22" t="s">
        <v>92</v>
      </c>
      <c r="D36" s="22" t="s">
        <v>93</v>
      </c>
      <c r="E36" s="26">
        <v>437515</v>
      </c>
      <c r="F36" s="24">
        <v>2644.3406599999998</v>
      </c>
      <c r="G36" s="25">
        <v>1.0593532797251199</v>
      </c>
      <c r="H36" s="22"/>
    </row>
    <row r="37" spans="2:8" x14ac:dyDescent="0.2">
      <c r="B37" s="22" t="s">
        <v>152</v>
      </c>
      <c r="C37" s="22" t="s">
        <v>153</v>
      </c>
      <c r="D37" s="22" t="s">
        <v>21</v>
      </c>
      <c r="E37" s="26">
        <v>498026</v>
      </c>
      <c r="F37" s="24">
        <v>2485.3987529999999</v>
      </c>
      <c r="G37" s="25">
        <v>0.99567932386414704</v>
      </c>
      <c r="H37" s="22"/>
    </row>
    <row r="38" spans="2:8" x14ac:dyDescent="0.2">
      <c r="B38" s="22" t="s">
        <v>96</v>
      </c>
      <c r="C38" s="22" t="s">
        <v>97</v>
      </c>
      <c r="D38" s="22" t="s">
        <v>64</v>
      </c>
      <c r="E38" s="26">
        <v>54850</v>
      </c>
      <c r="F38" s="24">
        <v>2407.2019500000001</v>
      </c>
      <c r="G38" s="25">
        <v>0.96435278527737101</v>
      </c>
      <c r="H38" s="22"/>
    </row>
    <row r="39" spans="2:8" x14ac:dyDescent="0.2">
      <c r="B39" s="22" t="s">
        <v>171</v>
      </c>
      <c r="C39" s="22" t="s">
        <v>172</v>
      </c>
      <c r="D39" s="22" t="s">
        <v>18</v>
      </c>
      <c r="E39" s="26">
        <v>270275</v>
      </c>
      <c r="F39" s="24">
        <v>2262.8774374999998</v>
      </c>
      <c r="G39" s="25">
        <v>0.90653472576093796</v>
      </c>
      <c r="H39" s="22"/>
    </row>
    <row r="40" spans="2:8" x14ac:dyDescent="0.2">
      <c r="B40" s="22" t="s">
        <v>181</v>
      </c>
      <c r="C40" s="22" t="s">
        <v>182</v>
      </c>
      <c r="D40" s="22" t="s">
        <v>65</v>
      </c>
      <c r="E40" s="26">
        <v>40771</v>
      </c>
      <c r="F40" s="24">
        <v>2255.0440100000001</v>
      </c>
      <c r="G40" s="25">
        <v>0.90339656461583995</v>
      </c>
      <c r="H40" s="22"/>
    </row>
    <row r="41" spans="2:8" x14ac:dyDescent="0.2">
      <c r="B41" s="22" t="s">
        <v>179</v>
      </c>
      <c r="C41" s="22" t="s">
        <v>180</v>
      </c>
      <c r="D41" s="22" t="s">
        <v>46</v>
      </c>
      <c r="E41" s="26">
        <v>672729</v>
      </c>
      <c r="F41" s="24">
        <v>2125.4872755000001</v>
      </c>
      <c r="G41" s="25">
        <v>0.85149464680353704</v>
      </c>
      <c r="H41" s="22"/>
    </row>
    <row r="42" spans="2:8" x14ac:dyDescent="0.2">
      <c r="B42" s="22" t="s">
        <v>72</v>
      </c>
      <c r="C42" s="22" t="s">
        <v>73</v>
      </c>
      <c r="D42" s="22" t="s">
        <v>61</v>
      </c>
      <c r="E42" s="26">
        <v>178144</v>
      </c>
      <c r="F42" s="24">
        <v>2075.0213119999999</v>
      </c>
      <c r="G42" s="25">
        <v>0.83127740143991902</v>
      </c>
      <c r="H42" s="22"/>
    </row>
    <row r="43" spans="2:8" x14ac:dyDescent="0.2">
      <c r="B43" s="22" t="s">
        <v>86</v>
      </c>
      <c r="C43" s="22" t="s">
        <v>87</v>
      </c>
      <c r="D43" s="22" t="s">
        <v>29</v>
      </c>
      <c r="E43" s="26">
        <v>786282</v>
      </c>
      <c r="F43" s="24">
        <v>2070.1232495999998</v>
      </c>
      <c r="G43" s="25">
        <v>0.82931518131214699</v>
      </c>
      <c r="H43" s="22"/>
    </row>
    <row r="44" spans="2:8" x14ac:dyDescent="0.2">
      <c r="B44" s="22" t="s">
        <v>39</v>
      </c>
      <c r="C44" s="22" t="s">
        <v>40</v>
      </c>
      <c r="D44" s="22" t="s">
        <v>41</v>
      </c>
      <c r="E44" s="26">
        <v>55126</v>
      </c>
      <c r="F44" s="24">
        <v>2044.733592</v>
      </c>
      <c r="G44" s="25">
        <v>0.81914379248297098</v>
      </c>
      <c r="H44" s="22"/>
    </row>
    <row r="45" spans="2:8" x14ac:dyDescent="0.2">
      <c r="B45" s="22" t="s">
        <v>121</v>
      </c>
      <c r="C45" s="22" t="s">
        <v>122</v>
      </c>
      <c r="D45" s="22" t="s">
        <v>65</v>
      </c>
      <c r="E45" s="26">
        <v>7684</v>
      </c>
      <c r="F45" s="24">
        <v>2042.0229999999999</v>
      </c>
      <c r="G45" s="25">
        <v>0.81805789815451602</v>
      </c>
      <c r="H45" s="22"/>
    </row>
    <row r="46" spans="2:8" x14ac:dyDescent="0.2">
      <c r="B46" s="22" t="s">
        <v>222</v>
      </c>
      <c r="C46" s="22" t="s">
        <v>223</v>
      </c>
      <c r="D46" s="22" t="s">
        <v>82</v>
      </c>
      <c r="E46" s="26">
        <v>193600</v>
      </c>
      <c r="F46" s="24">
        <v>2003.1792</v>
      </c>
      <c r="G46" s="25">
        <v>0.80249662515008202</v>
      </c>
      <c r="H46" s="22"/>
    </row>
    <row r="47" spans="2:8" x14ac:dyDescent="0.2">
      <c r="B47" s="22" t="s">
        <v>163</v>
      </c>
      <c r="C47" s="22" t="s">
        <v>164</v>
      </c>
      <c r="D47" s="22" t="s">
        <v>85</v>
      </c>
      <c r="E47" s="26">
        <v>263521</v>
      </c>
      <c r="F47" s="24">
        <v>1977.9886260000001</v>
      </c>
      <c r="G47" s="25">
        <v>0.79240499150063404</v>
      </c>
      <c r="H47" s="22"/>
    </row>
    <row r="48" spans="2:8" x14ac:dyDescent="0.2">
      <c r="B48" s="22" t="s">
        <v>117</v>
      </c>
      <c r="C48" s="22" t="s">
        <v>118</v>
      </c>
      <c r="D48" s="22" t="s">
        <v>61</v>
      </c>
      <c r="E48" s="26">
        <v>185480</v>
      </c>
      <c r="F48" s="24">
        <v>1954.58824</v>
      </c>
      <c r="G48" s="25">
        <v>0.78303052775210402</v>
      </c>
      <c r="H48" s="22"/>
    </row>
    <row r="49" spans="2:8" x14ac:dyDescent="0.2">
      <c r="B49" s="22" t="s">
        <v>203</v>
      </c>
      <c r="C49" s="22" t="s">
        <v>204</v>
      </c>
      <c r="D49" s="22" t="s">
        <v>52</v>
      </c>
      <c r="E49" s="26">
        <v>172304</v>
      </c>
      <c r="F49" s="24">
        <v>1909.12832</v>
      </c>
      <c r="G49" s="25">
        <v>0.76481876098675805</v>
      </c>
      <c r="H49" s="22"/>
    </row>
    <row r="50" spans="2:8" x14ac:dyDescent="0.2">
      <c r="B50" s="22" t="s">
        <v>173</v>
      </c>
      <c r="C50" s="22" t="s">
        <v>174</v>
      </c>
      <c r="D50" s="22" t="s">
        <v>51</v>
      </c>
      <c r="E50" s="26">
        <v>1383842</v>
      </c>
      <c r="F50" s="24">
        <v>1887.1453354</v>
      </c>
      <c r="G50" s="25">
        <v>0.75601212453994104</v>
      </c>
      <c r="H50" s="22"/>
    </row>
    <row r="51" spans="2:8" x14ac:dyDescent="0.2">
      <c r="B51" s="22" t="s">
        <v>201</v>
      </c>
      <c r="C51" s="22" t="s">
        <v>202</v>
      </c>
      <c r="D51" s="22" t="s">
        <v>137</v>
      </c>
      <c r="E51" s="26">
        <v>15971</v>
      </c>
      <c r="F51" s="24">
        <v>1778.5305599999999</v>
      </c>
      <c r="G51" s="25">
        <v>0.71249979638680605</v>
      </c>
      <c r="H51" s="22"/>
    </row>
    <row r="52" spans="2:8" x14ac:dyDescent="0.2">
      <c r="B52" s="22" t="s">
        <v>255</v>
      </c>
      <c r="C52" s="22" t="s">
        <v>256</v>
      </c>
      <c r="D52" s="22" t="s">
        <v>107</v>
      </c>
      <c r="E52" s="26">
        <v>309363</v>
      </c>
      <c r="F52" s="24">
        <v>1555.1678010000001</v>
      </c>
      <c r="G52" s="25">
        <v>0.62301810634044796</v>
      </c>
      <c r="H52" s="22"/>
    </row>
    <row r="53" spans="2:8" x14ac:dyDescent="0.2">
      <c r="B53" s="22" t="s">
        <v>77</v>
      </c>
      <c r="C53" s="22" t="s">
        <v>78</v>
      </c>
      <c r="D53" s="22" t="s">
        <v>29</v>
      </c>
      <c r="E53" s="26">
        <v>97077</v>
      </c>
      <c r="F53" s="24">
        <v>1544.397993</v>
      </c>
      <c r="G53" s="25">
        <v>0.61870359739710801</v>
      </c>
      <c r="H53" s="22"/>
    </row>
    <row r="54" spans="2:8" x14ac:dyDescent="0.2">
      <c r="B54" s="22" t="s">
        <v>145</v>
      </c>
      <c r="C54" s="22" t="s">
        <v>146</v>
      </c>
      <c r="D54" s="22" t="s">
        <v>137</v>
      </c>
      <c r="E54" s="26">
        <v>54966</v>
      </c>
      <c r="F54" s="24">
        <v>1468.8014519999999</v>
      </c>
      <c r="G54" s="25">
        <v>0.58841875367193297</v>
      </c>
      <c r="H54" s="22"/>
    </row>
    <row r="55" spans="2:8" x14ac:dyDescent="0.2">
      <c r="B55" s="22" t="s">
        <v>207</v>
      </c>
      <c r="C55" s="22" t="s">
        <v>208</v>
      </c>
      <c r="D55" s="22" t="s">
        <v>18</v>
      </c>
      <c r="E55" s="26">
        <v>546736</v>
      </c>
      <c r="F55" s="24">
        <v>1442.4535888</v>
      </c>
      <c r="G55" s="25">
        <v>0.57786349665952197</v>
      </c>
      <c r="H55" s="22"/>
    </row>
    <row r="56" spans="2:8" x14ac:dyDescent="0.2">
      <c r="B56" s="22" t="s">
        <v>150</v>
      </c>
      <c r="C56" s="22" t="s">
        <v>151</v>
      </c>
      <c r="D56" s="22" t="s">
        <v>57</v>
      </c>
      <c r="E56" s="26">
        <v>11586</v>
      </c>
      <c r="F56" s="24">
        <v>1402.1377199999999</v>
      </c>
      <c r="G56" s="25">
        <v>0.56171249596423101</v>
      </c>
      <c r="H56" s="22"/>
    </row>
    <row r="57" spans="2:8" x14ac:dyDescent="0.2">
      <c r="B57" s="22" t="s">
        <v>169</v>
      </c>
      <c r="C57" s="22" t="s">
        <v>170</v>
      </c>
      <c r="D57" s="22" t="s">
        <v>29</v>
      </c>
      <c r="E57" s="26">
        <v>48737</v>
      </c>
      <c r="F57" s="24">
        <v>1360.3471440000001</v>
      </c>
      <c r="G57" s="25">
        <v>0.54497071060469904</v>
      </c>
      <c r="H57" s="22"/>
    </row>
    <row r="58" spans="2:8" x14ac:dyDescent="0.2">
      <c r="B58" s="22" t="s">
        <v>220</v>
      </c>
      <c r="C58" s="22" t="s">
        <v>221</v>
      </c>
      <c r="D58" s="22" t="s">
        <v>41</v>
      </c>
      <c r="E58" s="26">
        <v>153202</v>
      </c>
      <c r="F58" s="24">
        <v>1156.292095</v>
      </c>
      <c r="G58" s="25">
        <v>0.46322391123331202</v>
      </c>
      <c r="H58" s="22"/>
    </row>
    <row r="59" spans="2:8" x14ac:dyDescent="0.2">
      <c r="B59" s="22" t="s">
        <v>279</v>
      </c>
      <c r="C59" s="22" t="s">
        <v>280</v>
      </c>
      <c r="D59" s="22" t="s">
        <v>158</v>
      </c>
      <c r="E59" s="26">
        <v>128668</v>
      </c>
      <c r="F59" s="24">
        <v>1123.400308</v>
      </c>
      <c r="G59" s="25">
        <v>0.45004708308800501</v>
      </c>
      <c r="H59" s="22"/>
    </row>
    <row r="60" spans="2:8" x14ac:dyDescent="0.2">
      <c r="B60" s="22" t="s">
        <v>218</v>
      </c>
      <c r="C60" s="22" t="s">
        <v>219</v>
      </c>
      <c r="D60" s="22" t="s">
        <v>84</v>
      </c>
      <c r="E60" s="26">
        <v>74638</v>
      </c>
      <c r="F60" s="24">
        <v>1106.5829879999999</v>
      </c>
      <c r="G60" s="25">
        <v>0.44330987128784799</v>
      </c>
      <c r="H60" s="22"/>
    </row>
    <row r="61" spans="2:8" x14ac:dyDescent="0.2">
      <c r="B61" s="22" t="s">
        <v>154</v>
      </c>
      <c r="C61" s="22" t="s">
        <v>155</v>
      </c>
      <c r="D61" s="22" t="s">
        <v>84</v>
      </c>
      <c r="E61" s="26">
        <v>125008</v>
      </c>
      <c r="F61" s="24">
        <v>1105.0707199999999</v>
      </c>
      <c r="G61" s="25">
        <v>0.44270403933515801</v>
      </c>
      <c r="H61" s="22"/>
    </row>
    <row r="62" spans="2:8" x14ac:dyDescent="0.2">
      <c r="B62" s="22" t="s">
        <v>281</v>
      </c>
      <c r="C62" s="22" t="s">
        <v>282</v>
      </c>
      <c r="D62" s="22" t="s">
        <v>58</v>
      </c>
      <c r="E62" s="26">
        <v>631977</v>
      </c>
      <c r="F62" s="24">
        <v>1019.8212849</v>
      </c>
      <c r="G62" s="25">
        <v>0.40855213522008899</v>
      </c>
      <c r="H62" s="22"/>
    </row>
    <row r="63" spans="2:8" x14ac:dyDescent="0.2">
      <c r="B63" s="22" t="s">
        <v>283</v>
      </c>
      <c r="C63" s="22" t="s">
        <v>284</v>
      </c>
      <c r="D63" s="22" t="s">
        <v>133</v>
      </c>
      <c r="E63" s="26">
        <v>85192</v>
      </c>
      <c r="F63" s="24">
        <v>940.94564000000003</v>
      </c>
      <c r="G63" s="25">
        <v>0.37695364476113002</v>
      </c>
      <c r="H63" s="22"/>
    </row>
    <row r="64" spans="2:8" x14ac:dyDescent="0.2">
      <c r="B64" s="22" t="s">
        <v>111</v>
      </c>
      <c r="C64" s="22" t="s">
        <v>112</v>
      </c>
      <c r="D64" s="22" t="s">
        <v>46</v>
      </c>
      <c r="E64" s="26">
        <v>7988</v>
      </c>
      <c r="F64" s="24">
        <v>904.88063999999997</v>
      </c>
      <c r="G64" s="25">
        <v>0.36250559099437801</v>
      </c>
      <c r="H64" s="22"/>
    </row>
    <row r="65" spans="2:8" x14ac:dyDescent="0.2">
      <c r="B65" s="22" t="s">
        <v>62</v>
      </c>
      <c r="C65" s="22" t="s">
        <v>63</v>
      </c>
      <c r="D65" s="22" t="s">
        <v>64</v>
      </c>
      <c r="E65" s="26">
        <v>214329</v>
      </c>
      <c r="F65" s="24">
        <v>856.45868399999995</v>
      </c>
      <c r="G65" s="25">
        <v>0.34310719854243699</v>
      </c>
      <c r="H65" s="22"/>
    </row>
    <row r="66" spans="2:8" x14ac:dyDescent="0.2">
      <c r="B66" s="22" t="s">
        <v>241</v>
      </c>
      <c r="C66" s="22" t="s">
        <v>242</v>
      </c>
      <c r="D66" s="22" t="s">
        <v>52</v>
      </c>
      <c r="E66" s="26">
        <v>16843</v>
      </c>
      <c r="F66" s="24">
        <v>840.07831099999999</v>
      </c>
      <c r="G66" s="25">
        <v>0.33654503273560399</v>
      </c>
      <c r="H66" s="22"/>
    </row>
    <row r="67" spans="2:8" x14ac:dyDescent="0.2">
      <c r="B67" s="22" t="s">
        <v>230</v>
      </c>
      <c r="C67" s="22" t="s">
        <v>231</v>
      </c>
      <c r="D67" s="22" t="s">
        <v>52</v>
      </c>
      <c r="E67" s="26">
        <v>77277</v>
      </c>
      <c r="F67" s="24">
        <v>829.414041</v>
      </c>
      <c r="G67" s="25">
        <v>0.332272803528806</v>
      </c>
      <c r="H67" s="22"/>
    </row>
    <row r="68" spans="2:8" x14ac:dyDescent="0.2">
      <c r="B68" s="22" t="s">
        <v>285</v>
      </c>
      <c r="C68" s="22" t="s">
        <v>286</v>
      </c>
      <c r="D68" s="22" t="s">
        <v>82</v>
      </c>
      <c r="E68" s="26">
        <v>98337</v>
      </c>
      <c r="F68" s="24">
        <v>818.11467149999999</v>
      </c>
      <c r="G68" s="25">
        <v>0.32774614615832598</v>
      </c>
      <c r="H68" s="22"/>
    </row>
    <row r="69" spans="2:8" x14ac:dyDescent="0.2">
      <c r="B69" s="22" t="s">
        <v>37</v>
      </c>
      <c r="C69" s="22" t="s">
        <v>38</v>
      </c>
      <c r="D69" s="22" t="s">
        <v>18</v>
      </c>
      <c r="E69" s="26">
        <v>64361</v>
      </c>
      <c r="F69" s="24">
        <v>816.99853399999995</v>
      </c>
      <c r="G69" s="25">
        <v>0.327299008639649</v>
      </c>
      <c r="H69" s="22"/>
    </row>
    <row r="70" spans="2:8" x14ac:dyDescent="0.2">
      <c r="B70" s="22" t="s">
        <v>251</v>
      </c>
      <c r="C70" s="22" t="s">
        <v>252</v>
      </c>
      <c r="D70" s="22" t="s">
        <v>113</v>
      </c>
      <c r="E70" s="26">
        <v>71399</v>
      </c>
      <c r="F70" s="24">
        <v>811.164039</v>
      </c>
      <c r="G70" s="25">
        <v>0.32496164284284201</v>
      </c>
      <c r="H70" s="22"/>
    </row>
    <row r="71" spans="2:8" x14ac:dyDescent="0.2">
      <c r="B71" s="22" t="s">
        <v>287</v>
      </c>
      <c r="C71" s="22" t="s">
        <v>288</v>
      </c>
      <c r="D71" s="22" t="s">
        <v>51</v>
      </c>
      <c r="E71" s="26">
        <v>112233</v>
      </c>
      <c r="F71" s="24">
        <v>802.80264899999997</v>
      </c>
      <c r="G71" s="25">
        <v>0.32161197384839402</v>
      </c>
      <c r="H71" s="22"/>
    </row>
    <row r="72" spans="2:8" x14ac:dyDescent="0.2">
      <c r="B72" s="22" t="s">
        <v>193</v>
      </c>
      <c r="C72" s="22" t="s">
        <v>194</v>
      </c>
      <c r="D72" s="22" t="s">
        <v>137</v>
      </c>
      <c r="E72" s="26">
        <v>87113</v>
      </c>
      <c r="F72" s="24">
        <v>745.46949749999999</v>
      </c>
      <c r="G72" s="25">
        <v>0.29864365399564702</v>
      </c>
      <c r="H72" s="22"/>
    </row>
    <row r="73" spans="2:8" x14ac:dyDescent="0.2">
      <c r="B73" s="22" t="s">
        <v>235</v>
      </c>
      <c r="C73" s="22" t="s">
        <v>236</v>
      </c>
      <c r="D73" s="22" t="s">
        <v>52</v>
      </c>
      <c r="E73" s="26">
        <v>77172</v>
      </c>
      <c r="F73" s="24">
        <v>696.901746</v>
      </c>
      <c r="G73" s="25">
        <v>0.27918685418967998</v>
      </c>
      <c r="H73" s="22"/>
    </row>
    <row r="74" spans="2:8" x14ac:dyDescent="0.2">
      <c r="B74" s="22" t="s">
        <v>289</v>
      </c>
      <c r="C74" s="22" t="s">
        <v>290</v>
      </c>
      <c r="D74" s="22" t="s">
        <v>84</v>
      </c>
      <c r="E74" s="26">
        <v>148615</v>
      </c>
      <c r="F74" s="24">
        <v>662.37705500000004</v>
      </c>
      <c r="G74" s="25">
        <v>0.26535586592270399</v>
      </c>
      <c r="H74" s="22"/>
    </row>
    <row r="75" spans="2:8" x14ac:dyDescent="0.2">
      <c r="B75" s="22" t="s">
        <v>211</v>
      </c>
      <c r="C75" s="22" t="s">
        <v>212</v>
      </c>
      <c r="D75" s="22" t="s">
        <v>18</v>
      </c>
      <c r="E75" s="26">
        <v>212177</v>
      </c>
      <c r="F75" s="24">
        <v>617.010716</v>
      </c>
      <c r="G75" s="25">
        <v>0.24718158878218999</v>
      </c>
      <c r="H75" s="22"/>
    </row>
    <row r="76" spans="2:8" x14ac:dyDescent="0.2">
      <c r="B76" s="22" t="s">
        <v>291</v>
      </c>
      <c r="C76" s="22" t="s">
        <v>292</v>
      </c>
      <c r="D76" s="22" t="s">
        <v>107</v>
      </c>
      <c r="E76" s="26">
        <v>26416</v>
      </c>
      <c r="F76" s="24">
        <v>597.10726399999999</v>
      </c>
      <c r="G76" s="25">
        <v>0.23920803701066701</v>
      </c>
      <c r="H76" s="22"/>
    </row>
    <row r="77" spans="2:8" x14ac:dyDescent="0.2">
      <c r="B77" s="22" t="s">
        <v>187</v>
      </c>
      <c r="C77" s="22" t="s">
        <v>188</v>
      </c>
      <c r="D77" s="22" t="s">
        <v>107</v>
      </c>
      <c r="E77" s="26">
        <v>15337</v>
      </c>
      <c r="F77" s="24">
        <v>594.92223000000001</v>
      </c>
      <c r="G77" s="25">
        <v>0.23833268726121001</v>
      </c>
      <c r="H77" s="22"/>
    </row>
    <row r="78" spans="2:8" x14ac:dyDescent="0.2">
      <c r="B78" s="22" t="s">
        <v>191</v>
      </c>
      <c r="C78" s="22" t="s">
        <v>192</v>
      </c>
      <c r="D78" s="22" t="s">
        <v>113</v>
      </c>
      <c r="E78" s="26">
        <v>305435</v>
      </c>
      <c r="F78" s="24">
        <v>594.28487949999999</v>
      </c>
      <c r="G78" s="25">
        <v>0.23807735732103899</v>
      </c>
      <c r="H78" s="22"/>
    </row>
    <row r="79" spans="2:8" x14ac:dyDescent="0.2">
      <c r="B79" s="22" t="s">
        <v>293</v>
      </c>
      <c r="C79" s="22" t="s">
        <v>294</v>
      </c>
      <c r="D79" s="22" t="s">
        <v>184</v>
      </c>
      <c r="E79" s="26">
        <v>149606</v>
      </c>
      <c r="F79" s="24">
        <v>590.19566999999995</v>
      </c>
      <c r="G79" s="25">
        <v>0.23643917296724701</v>
      </c>
      <c r="H79" s="22"/>
    </row>
    <row r="80" spans="2:8" x14ac:dyDescent="0.2">
      <c r="B80" s="22" t="s">
        <v>257</v>
      </c>
      <c r="C80" s="22" t="s">
        <v>258</v>
      </c>
      <c r="D80" s="22" t="s">
        <v>137</v>
      </c>
      <c r="E80" s="26">
        <v>72759</v>
      </c>
      <c r="F80" s="24">
        <v>585.89184750000004</v>
      </c>
      <c r="G80" s="25">
        <v>0.23471501217749099</v>
      </c>
      <c r="H80" s="22"/>
    </row>
    <row r="81" spans="2:8" x14ac:dyDescent="0.2">
      <c r="B81" s="22" t="s">
        <v>143</v>
      </c>
      <c r="C81" s="22" t="s">
        <v>144</v>
      </c>
      <c r="D81" s="22" t="s">
        <v>29</v>
      </c>
      <c r="E81" s="26">
        <v>35160</v>
      </c>
      <c r="F81" s="24">
        <v>584.71079999999995</v>
      </c>
      <c r="G81" s="25">
        <v>0.23424187096631399</v>
      </c>
      <c r="H81" s="22"/>
    </row>
    <row r="82" spans="2:8" x14ac:dyDescent="0.2">
      <c r="B82" s="22" t="s">
        <v>243</v>
      </c>
      <c r="C82" s="22" t="s">
        <v>244</v>
      </c>
      <c r="D82" s="22" t="s">
        <v>232</v>
      </c>
      <c r="E82" s="26">
        <v>55652</v>
      </c>
      <c r="F82" s="24">
        <v>564.97910400000001</v>
      </c>
      <c r="G82" s="25">
        <v>0.226337126623678</v>
      </c>
      <c r="H82" s="22"/>
    </row>
    <row r="83" spans="2:8" x14ac:dyDescent="0.2">
      <c r="B83" s="22" t="s">
        <v>135</v>
      </c>
      <c r="C83" s="22" t="s">
        <v>136</v>
      </c>
      <c r="D83" s="22" t="s">
        <v>137</v>
      </c>
      <c r="E83" s="26">
        <v>20965</v>
      </c>
      <c r="F83" s="24">
        <v>551.84073000000001</v>
      </c>
      <c r="G83" s="25">
        <v>0.22107374290096299</v>
      </c>
      <c r="H83" s="22"/>
    </row>
    <row r="84" spans="2:8" x14ac:dyDescent="0.2">
      <c r="B84" s="22" t="s">
        <v>123</v>
      </c>
      <c r="C84" s="22" t="s">
        <v>124</v>
      </c>
      <c r="D84" s="22" t="s">
        <v>116</v>
      </c>
      <c r="E84" s="26">
        <v>49721</v>
      </c>
      <c r="F84" s="24">
        <v>527.68897300000003</v>
      </c>
      <c r="G84" s="25">
        <v>0.21139827128866601</v>
      </c>
      <c r="H84" s="22"/>
    </row>
    <row r="85" spans="2:8" x14ac:dyDescent="0.2">
      <c r="B85" s="22" t="s">
        <v>295</v>
      </c>
      <c r="C85" s="22" t="s">
        <v>296</v>
      </c>
      <c r="D85" s="22" t="s">
        <v>107</v>
      </c>
      <c r="E85" s="26">
        <v>15790</v>
      </c>
      <c r="F85" s="24">
        <v>511.28019999999998</v>
      </c>
      <c r="G85" s="25">
        <v>0.20482472811521699</v>
      </c>
      <c r="H85" s="22"/>
    </row>
    <row r="86" spans="2:8" x14ac:dyDescent="0.2">
      <c r="B86" s="22" t="s">
        <v>177</v>
      </c>
      <c r="C86" s="22" t="s">
        <v>178</v>
      </c>
      <c r="D86" s="22" t="s">
        <v>158</v>
      </c>
      <c r="E86" s="26">
        <v>21143</v>
      </c>
      <c r="F86" s="24">
        <v>479.18495200000001</v>
      </c>
      <c r="G86" s="25">
        <v>0.19196700265393299</v>
      </c>
      <c r="H86" s="22"/>
    </row>
    <row r="87" spans="2:8" x14ac:dyDescent="0.2">
      <c r="B87" s="22" t="s">
        <v>297</v>
      </c>
      <c r="C87" s="22" t="s">
        <v>298</v>
      </c>
      <c r="D87" s="22" t="s">
        <v>299</v>
      </c>
      <c r="E87" s="26">
        <v>36755</v>
      </c>
      <c r="F87" s="24">
        <v>479.02791500000001</v>
      </c>
      <c r="G87" s="25">
        <v>0.19190409182572399</v>
      </c>
      <c r="H87" s="22"/>
    </row>
    <row r="88" spans="2:8" x14ac:dyDescent="0.2">
      <c r="B88" s="22" t="s">
        <v>79</v>
      </c>
      <c r="C88" s="22" t="s">
        <v>80</v>
      </c>
      <c r="D88" s="22" t="s">
        <v>81</v>
      </c>
      <c r="E88" s="26">
        <v>199129</v>
      </c>
      <c r="F88" s="24">
        <v>478.66629019999999</v>
      </c>
      <c r="G88" s="25">
        <v>0.191759220771966</v>
      </c>
      <c r="H88" s="22"/>
    </row>
    <row r="89" spans="2:8" x14ac:dyDescent="0.2">
      <c r="B89" s="22" t="s">
        <v>67</v>
      </c>
      <c r="C89" s="22" t="s">
        <v>68</v>
      </c>
      <c r="D89" s="22" t="s">
        <v>57</v>
      </c>
      <c r="E89" s="26">
        <v>17006</v>
      </c>
      <c r="F89" s="24">
        <v>470.98117000000002</v>
      </c>
      <c r="G89" s="25">
        <v>0.18868047323686099</v>
      </c>
      <c r="H89" s="22"/>
    </row>
    <row r="90" spans="2:8" x14ac:dyDescent="0.2">
      <c r="B90" s="22" t="s">
        <v>199</v>
      </c>
      <c r="C90" s="22" t="s">
        <v>200</v>
      </c>
      <c r="D90" s="22" t="s">
        <v>18</v>
      </c>
      <c r="E90" s="26">
        <v>1592123</v>
      </c>
      <c r="F90" s="24">
        <v>468.8802235</v>
      </c>
      <c r="G90" s="25">
        <v>0.18783880990695501</v>
      </c>
      <c r="H90" s="22"/>
    </row>
    <row r="91" spans="2:8" x14ac:dyDescent="0.2">
      <c r="B91" s="22" t="s">
        <v>156</v>
      </c>
      <c r="C91" s="22" t="s">
        <v>157</v>
      </c>
      <c r="D91" s="22" t="s">
        <v>158</v>
      </c>
      <c r="E91" s="26">
        <v>56577</v>
      </c>
      <c r="F91" s="24">
        <v>449.87201549999997</v>
      </c>
      <c r="G91" s="25">
        <v>0.180223903177617</v>
      </c>
      <c r="H91" s="22"/>
    </row>
    <row r="92" spans="2:8" x14ac:dyDescent="0.2">
      <c r="B92" s="22" t="s">
        <v>233</v>
      </c>
      <c r="C92" s="22" t="s">
        <v>234</v>
      </c>
      <c r="D92" s="22" t="s">
        <v>83</v>
      </c>
      <c r="E92" s="26">
        <v>130011</v>
      </c>
      <c r="F92" s="24">
        <v>448.01790599999998</v>
      </c>
      <c r="G92" s="25">
        <v>0.17948112558866799</v>
      </c>
      <c r="H92" s="22"/>
    </row>
    <row r="93" spans="2:8" x14ac:dyDescent="0.2">
      <c r="B93" s="22" t="s">
        <v>224</v>
      </c>
      <c r="C93" s="22" t="s">
        <v>225</v>
      </c>
      <c r="D93" s="22" t="s">
        <v>58</v>
      </c>
      <c r="E93" s="26">
        <v>265013</v>
      </c>
      <c r="F93" s="24">
        <v>444.05578279999997</v>
      </c>
      <c r="G93" s="25">
        <v>0.17789385346821601</v>
      </c>
      <c r="H93" s="22"/>
    </row>
    <row r="94" spans="2:8" x14ac:dyDescent="0.2">
      <c r="B94" s="22" t="s">
        <v>185</v>
      </c>
      <c r="C94" s="22" t="s">
        <v>186</v>
      </c>
      <c r="D94" s="22" t="s">
        <v>107</v>
      </c>
      <c r="E94" s="26">
        <v>87364</v>
      </c>
      <c r="F94" s="24">
        <v>436.82</v>
      </c>
      <c r="G94" s="25">
        <v>0.174995115663171</v>
      </c>
      <c r="H94" s="22"/>
    </row>
    <row r="95" spans="2:8" x14ac:dyDescent="0.2">
      <c r="B95" s="22" t="s">
        <v>300</v>
      </c>
      <c r="C95" s="22" t="s">
        <v>301</v>
      </c>
      <c r="D95" s="22" t="s">
        <v>32</v>
      </c>
      <c r="E95" s="26">
        <v>43859</v>
      </c>
      <c r="F95" s="24">
        <v>430.08135399999998</v>
      </c>
      <c r="G95" s="25">
        <v>0.17229553657754501</v>
      </c>
      <c r="H95" s="22"/>
    </row>
    <row r="96" spans="2:8" x14ac:dyDescent="0.2">
      <c r="B96" s="22" t="s">
        <v>125</v>
      </c>
      <c r="C96" s="22" t="s">
        <v>126</v>
      </c>
      <c r="D96" s="22" t="s">
        <v>114</v>
      </c>
      <c r="E96" s="26">
        <v>3437</v>
      </c>
      <c r="F96" s="24">
        <v>421.10124000000002</v>
      </c>
      <c r="G96" s="25">
        <v>0.168697999633041</v>
      </c>
      <c r="H96" s="22"/>
    </row>
    <row r="97" spans="2:8" x14ac:dyDescent="0.2">
      <c r="B97" s="22" t="s">
        <v>259</v>
      </c>
      <c r="C97" s="22" t="s">
        <v>260</v>
      </c>
      <c r="D97" s="22" t="s">
        <v>46</v>
      </c>
      <c r="E97" s="26">
        <v>276286</v>
      </c>
      <c r="F97" s="24">
        <v>414.705286</v>
      </c>
      <c r="G97" s="25">
        <v>0.16613570690375601</v>
      </c>
      <c r="H97" s="22"/>
    </row>
    <row r="98" spans="2:8" x14ac:dyDescent="0.2">
      <c r="B98" s="22" t="s">
        <v>119</v>
      </c>
      <c r="C98" s="22" t="s">
        <v>120</v>
      </c>
      <c r="D98" s="22" t="s">
        <v>58</v>
      </c>
      <c r="E98" s="26">
        <v>39968</v>
      </c>
      <c r="F98" s="24">
        <v>410.61124799999999</v>
      </c>
      <c r="G98" s="25">
        <v>0.16449558819733301</v>
      </c>
      <c r="H98" s="22"/>
    </row>
    <row r="99" spans="2:8" x14ac:dyDescent="0.2">
      <c r="B99" s="22" t="s">
        <v>189</v>
      </c>
      <c r="C99" s="22" t="s">
        <v>190</v>
      </c>
      <c r="D99" s="22" t="s">
        <v>52</v>
      </c>
      <c r="E99" s="26">
        <v>1393</v>
      </c>
      <c r="F99" s="24">
        <v>404.31824999999998</v>
      </c>
      <c r="G99" s="25">
        <v>0.16197454082569701</v>
      </c>
      <c r="H99" s="22"/>
    </row>
    <row r="100" spans="2:8" x14ac:dyDescent="0.2">
      <c r="B100" s="22" t="s">
        <v>277</v>
      </c>
      <c r="C100" s="22" t="s">
        <v>278</v>
      </c>
      <c r="D100" s="22" t="s">
        <v>158</v>
      </c>
      <c r="E100" s="26">
        <v>269184</v>
      </c>
      <c r="F100" s="24">
        <v>393.6546816</v>
      </c>
      <c r="G100" s="25">
        <v>0.15770259268792799</v>
      </c>
      <c r="H100" s="22"/>
    </row>
    <row r="101" spans="2:8" x14ac:dyDescent="0.2">
      <c r="B101" s="22" t="s">
        <v>263</v>
      </c>
      <c r="C101" s="22" t="s">
        <v>264</v>
      </c>
      <c r="D101" s="22" t="s">
        <v>137</v>
      </c>
      <c r="E101" s="26">
        <v>34827</v>
      </c>
      <c r="F101" s="24">
        <v>393.37096500000001</v>
      </c>
      <c r="G101" s="25">
        <v>0.157588932555076</v>
      </c>
      <c r="H101" s="22"/>
    </row>
    <row r="102" spans="2:8" x14ac:dyDescent="0.2">
      <c r="B102" s="22" t="s">
        <v>267</v>
      </c>
      <c r="C102" s="22" t="s">
        <v>268</v>
      </c>
      <c r="D102" s="22" t="s">
        <v>115</v>
      </c>
      <c r="E102" s="26">
        <v>75510</v>
      </c>
      <c r="F102" s="24">
        <v>363.54289499999999</v>
      </c>
      <c r="G102" s="25">
        <v>0.14563946467434899</v>
      </c>
      <c r="H102" s="22"/>
    </row>
    <row r="103" spans="2:8" x14ac:dyDescent="0.2">
      <c r="B103" s="22" t="s">
        <v>302</v>
      </c>
      <c r="C103" s="22" t="s">
        <v>303</v>
      </c>
      <c r="D103" s="22" t="s">
        <v>26</v>
      </c>
      <c r="E103" s="26">
        <v>51046</v>
      </c>
      <c r="F103" s="24">
        <v>358.24082800000002</v>
      </c>
      <c r="G103" s="25">
        <v>0.14351539565754801</v>
      </c>
      <c r="H103" s="22"/>
    </row>
    <row r="104" spans="2:8" x14ac:dyDescent="0.2">
      <c r="B104" s="22" t="s">
        <v>237</v>
      </c>
      <c r="C104" s="22" t="s">
        <v>238</v>
      </c>
      <c r="D104" s="22" t="s">
        <v>57</v>
      </c>
      <c r="E104" s="26">
        <v>33831</v>
      </c>
      <c r="F104" s="24">
        <v>327.653235</v>
      </c>
      <c r="G104" s="25">
        <v>0.13126165412810101</v>
      </c>
      <c r="H104" s="22"/>
    </row>
    <row r="105" spans="2:8" x14ac:dyDescent="0.2">
      <c r="B105" s="22" t="s">
        <v>247</v>
      </c>
      <c r="C105" s="22" t="s">
        <v>248</v>
      </c>
      <c r="D105" s="22" t="s">
        <v>51</v>
      </c>
      <c r="E105" s="26">
        <v>14703</v>
      </c>
      <c r="F105" s="24">
        <v>326.92120499999999</v>
      </c>
      <c r="G105" s="25">
        <v>0.13096839449136599</v>
      </c>
      <c r="H105" s="22"/>
    </row>
    <row r="106" spans="2:8" x14ac:dyDescent="0.2">
      <c r="B106" s="22" t="s">
        <v>105</v>
      </c>
      <c r="C106" s="22" t="s">
        <v>106</v>
      </c>
      <c r="D106" s="22" t="s">
        <v>29</v>
      </c>
      <c r="E106" s="26">
        <v>5273</v>
      </c>
      <c r="F106" s="24">
        <v>319.72835500000002</v>
      </c>
      <c r="G106" s="25">
        <v>0.12808685605975101</v>
      </c>
      <c r="H106" s="22"/>
    </row>
    <row r="107" spans="2:8" x14ac:dyDescent="0.2">
      <c r="B107" s="22" t="s">
        <v>249</v>
      </c>
      <c r="C107" s="22" t="s">
        <v>250</v>
      </c>
      <c r="D107" s="22" t="s">
        <v>85</v>
      </c>
      <c r="E107" s="26">
        <v>33156</v>
      </c>
      <c r="F107" s="24">
        <v>313.05895199999998</v>
      </c>
      <c r="G107" s="25">
        <v>0.125415016516257</v>
      </c>
      <c r="H107" s="22"/>
    </row>
    <row r="108" spans="2:8" x14ac:dyDescent="0.2">
      <c r="B108" s="22" t="s">
        <v>44</v>
      </c>
      <c r="C108" s="22" t="s">
        <v>45</v>
      </c>
      <c r="D108" s="22" t="s">
        <v>18</v>
      </c>
      <c r="E108" s="26">
        <v>13519</v>
      </c>
      <c r="F108" s="24">
        <v>297.566709</v>
      </c>
      <c r="G108" s="25">
        <v>0.119208645801392</v>
      </c>
      <c r="H108" s="22"/>
    </row>
    <row r="109" spans="2:8" x14ac:dyDescent="0.2">
      <c r="B109" s="22" t="s">
        <v>269</v>
      </c>
      <c r="C109" s="22" t="s">
        <v>270</v>
      </c>
      <c r="D109" s="22" t="s">
        <v>21</v>
      </c>
      <c r="E109" s="26">
        <v>35363</v>
      </c>
      <c r="F109" s="24">
        <v>295.70540599999998</v>
      </c>
      <c r="G109" s="25">
        <v>0.118462986413614</v>
      </c>
      <c r="H109" s="22"/>
    </row>
    <row r="110" spans="2:8" x14ac:dyDescent="0.2">
      <c r="B110" s="22" t="s">
        <v>214</v>
      </c>
      <c r="C110" s="22" t="s">
        <v>215</v>
      </c>
      <c r="D110" s="22" t="s">
        <v>32</v>
      </c>
      <c r="E110" s="26">
        <v>24338</v>
      </c>
      <c r="F110" s="24">
        <v>292.64011199999999</v>
      </c>
      <c r="G110" s="25">
        <v>0.11723499438469701</v>
      </c>
      <c r="H110" s="22"/>
    </row>
    <row r="111" spans="2:8" x14ac:dyDescent="0.2">
      <c r="B111" s="22" t="s">
        <v>129</v>
      </c>
      <c r="C111" s="22" t="s">
        <v>130</v>
      </c>
      <c r="D111" s="22" t="s">
        <v>46</v>
      </c>
      <c r="E111" s="26">
        <v>230857</v>
      </c>
      <c r="F111" s="24">
        <v>287.69399340000001</v>
      </c>
      <c r="G111" s="25">
        <v>0.11525352239053301</v>
      </c>
      <c r="H111" s="22"/>
    </row>
    <row r="112" spans="2:8" x14ac:dyDescent="0.2">
      <c r="B112" s="22" t="s">
        <v>304</v>
      </c>
      <c r="C112" s="22" t="s">
        <v>305</v>
      </c>
      <c r="D112" s="22" t="s">
        <v>51</v>
      </c>
      <c r="E112" s="26">
        <v>9927</v>
      </c>
      <c r="F112" s="24">
        <v>280.55687399999999</v>
      </c>
      <c r="G112" s="25">
        <v>0.11239431027820999</v>
      </c>
      <c r="H112" s="22"/>
    </row>
    <row r="113" spans="2:8" x14ac:dyDescent="0.2">
      <c r="B113" s="22" t="s">
        <v>127</v>
      </c>
      <c r="C113" s="22" t="s">
        <v>128</v>
      </c>
      <c r="D113" s="22" t="s">
        <v>115</v>
      </c>
      <c r="E113" s="26">
        <v>10681</v>
      </c>
      <c r="F113" s="24">
        <v>273.44428099999999</v>
      </c>
      <c r="G113" s="25">
        <v>0.109544923723794</v>
      </c>
      <c r="H113" s="22"/>
    </row>
    <row r="114" spans="2:8" x14ac:dyDescent="0.2">
      <c r="B114" s="22" t="s">
        <v>216</v>
      </c>
      <c r="C114" s="22" t="s">
        <v>217</v>
      </c>
      <c r="D114" s="22" t="s">
        <v>52</v>
      </c>
      <c r="E114" s="26">
        <v>29664</v>
      </c>
      <c r="F114" s="24">
        <v>269.46777600000001</v>
      </c>
      <c r="G114" s="25">
        <v>0.10795189008886399</v>
      </c>
      <c r="H114" s="22"/>
    </row>
    <row r="115" spans="2:8" x14ac:dyDescent="0.2">
      <c r="B115" s="22" t="s">
        <v>167</v>
      </c>
      <c r="C115" s="22" t="s">
        <v>168</v>
      </c>
      <c r="D115" s="22" t="s">
        <v>18</v>
      </c>
      <c r="E115" s="26">
        <v>1216858</v>
      </c>
      <c r="F115" s="24">
        <v>262.84132799999998</v>
      </c>
      <c r="G115" s="25">
        <v>0.10529725881237501</v>
      </c>
      <c r="H115" s="22"/>
    </row>
    <row r="116" spans="2:8" x14ac:dyDescent="0.2">
      <c r="B116" s="22" t="s">
        <v>228</v>
      </c>
      <c r="C116" s="22" t="s">
        <v>229</v>
      </c>
      <c r="D116" s="22" t="s">
        <v>21</v>
      </c>
      <c r="E116" s="26">
        <v>132466</v>
      </c>
      <c r="F116" s="24">
        <v>255.06328300000001</v>
      </c>
      <c r="G116" s="25">
        <v>0.10218128453370499</v>
      </c>
      <c r="H116" s="22"/>
    </row>
    <row r="117" spans="2:8" x14ac:dyDescent="0.2">
      <c r="B117" s="22" t="s">
        <v>195</v>
      </c>
      <c r="C117" s="22" t="s">
        <v>196</v>
      </c>
      <c r="D117" s="22" t="s">
        <v>147</v>
      </c>
      <c r="E117" s="26">
        <v>6579</v>
      </c>
      <c r="F117" s="24">
        <v>244.72564199999999</v>
      </c>
      <c r="G117" s="25">
        <v>9.80399066607157E-2</v>
      </c>
      <c r="H117" s="22"/>
    </row>
    <row r="118" spans="2:8" x14ac:dyDescent="0.2">
      <c r="B118" s="22" t="s">
        <v>306</v>
      </c>
      <c r="C118" s="22" t="s">
        <v>307</v>
      </c>
      <c r="D118" s="22" t="s">
        <v>32</v>
      </c>
      <c r="E118" s="26">
        <v>791867</v>
      </c>
      <c r="F118" s="24">
        <v>227.42420240000001</v>
      </c>
      <c r="G118" s="25">
        <v>9.1108750981164902E-2</v>
      </c>
      <c r="H118" s="22"/>
    </row>
    <row r="119" spans="2:8" x14ac:dyDescent="0.2">
      <c r="B119" s="22" t="s">
        <v>332</v>
      </c>
      <c r="C119" s="22" t="s">
        <v>308</v>
      </c>
      <c r="D119" s="22" t="s">
        <v>71</v>
      </c>
      <c r="E119" s="26">
        <v>884320</v>
      </c>
      <c r="F119" s="24">
        <v>205.78126399999999</v>
      </c>
      <c r="G119" s="25">
        <v>8.2438340952780506E-2</v>
      </c>
      <c r="H119" s="22"/>
    </row>
    <row r="120" spans="2:8" x14ac:dyDescent="0.2">
      <c r="B120" s="22" t="s">
        <v>309</v>
      </c>
      <c r="C120" s="22" t="s">
        <v>310</v>
      </c>
      <c r="D120" s="22" t="s">
        <v>52</v>
      </c>
      <c r="E120" s="26">
        <v>67881</v>
      </c>
      <c r="F120" s="24">
        <v>205.1703225</v>
      </c>
      <c r="G120" s="25">
        <v>8.2193590761727095E-2</v>
      </c>
      <c r="H120" s="22"/>
    </row>
    <row r="121" spans="2:8" x14ac:dyDescent="0.2">
      <c r="B121" s="22" t="s">
        <v>226</v>
      </c>
      <c r="C121" s="22" t="s">
        <v>227</v>
      </c>
      <c r="D121" s="22" t="s">
        <v>213</v>
      </c>
      <c r="E121" s="26">
        <v>4297</v>
      </c>
      <c r="F121" s="24">
        <v>201.75704099999999</v>
      </c>
      <c r="G121" s="25">
        <v>8.08261909382679E-2</v>
      </c>
      <c r="H121" s="22"/>
    </row>
    <row r="122" spans="2:8" x14ac:dyDescent="0.2">
      <c r="B122" s="22" t="s">
        <v>239</v>
      </c>
      <c r="C122" s="22" t="s">
        <v>240</v>
      </c>
      <c r="D122" s="22" t="s">
        <v>107</v>
      </c>
      <c r="E122" s="26">
        <v>5099</v>
      </c>
      <c r="F122" s="24">
        <v>194.40447399999999</v>
      </c>
      <c r="G122" s="25">
        <v>7.7880668039622597E-2</v>
      </c>
      <c r="H122" s="22"/>
    </row>
    <row r="123" spans="2:8" x14ac:dyDescent="0.2">
      <c r="B123" s="22" t="s">
        <v>273</v>
      </c>
      <c r="C123" s="22" t="s">
        <v>274</v>
      </c>
      <c r="D123" s="22" t="s">
        <v>65</v>
      </c>
      <c r="E123" s="26">
        <v>51988</v>
      </c>
      <c r="F123" s="24">
        <v>185.051286</v>
      </c>
      <c r="G123" s="25">
        <v>7.4133673360168004E-2</v>
      </c>
      <c r="H123" s="22"/>
    </row>
    <row r="124" spans="2:8" x14ac:dyDescent="0.2">
      <c r="B124" s="22" t="s">
        <v>261</v>
      </c>
      <c r="C124" s="22" t="s">
        <v>262</v>
      </c>
      <c r="D124" s="22" t="s">
        <v>133</v>
      </c>
      <c r="E124" s="26">
        <v>22831</v>
      </c>
      <c r="F124" s="24">
        <v>167.38547650000001</v>
      </c>
      <c r="G124" s="25">
        <v>6.7056546908228903E-2</v>
      </c>
      <c r="H124" s="22"/>
    </row>
    <row r="125" spans="2:8" x14ac:dyDescent="0.2">
      <c r="B125" s="22" t="s">
        <v>245</v>
      </c>
      <c r="C125" s="22" t="s">
        <v>246</v>
      </c>
      <c r="D125" s="22" t="s">
        <v>46</v>
      </c>
      <c r="E125" s="26">
        <v>89403</v>
      </c>
      <c r="F125" s="24">
        <v>163.4644452</v>
      </c>
      <c r="G125" s="25">
        <v>6.5485736675495898E-2</v>
      </c>
      <c r="H125" s="22"/>
    </row>
    <row r="126" spans="2:8" x14ac:dyDescent="0.2">
      <c r="B126" s="22" t="s">
        <v>311</v>
      </c>
      <c r="C126" s="22" t="s">
        <v>312</v>
      </c>
      <c r="D126" s="22" t="s">
        <v>71</v>
      </c>
      <c r="E126" s="26">
        <v>136204</v>
      </c>
      <c r="F126" s="24">
        <v>152.16710879999999</v>
      </c>
      <c r="G126" s="25">
        <v>6.0959893788256898E-2</v>
      </c>
      <c r="H126" s="22"/>
    </row>
    <row r="127" spans="2:8" x14ac:dyDescent="0.2">
      <c r="B127" s="22" t="s">
        <v>47</v>
      </c>
      <c r="C127" s="22" t="s">
        <v>48</v>
      </c>
      <c r="D127" s="22" t="s">
        <v>41</v>
      </c>
      <c r="E127" s="26">
        <v>882</v>
      </c>
      <c r="F127" s="24">
        <v>147.26754</v>
      </c>
      <c r="G127" s="25">
        <v>5.89970701793203E-2</v>
      </c>
      <c r="H127" s="22"/>
    </row>
    <row r="128" spans="2:8" x14ac:dyDescent="0.2">
      <c r="B128" s="22" t="s">
        <v>275</v>
      </c>
      <c r="C128" s="22" t="s">
        <v>276</v>
      </c>
      <c r="D128" s="22" t="s">
        <v>82</v>
      </c>
      <c r="E128" s="26">
        <v>25769</v>
      </c>
      <c r="F128" s="24">
        <v>147.19252800000001</v>
      </c>
      <c r="G128" s="25">
        <v>5.8967019509442303E-2</v>
      </c>
      <c r="H128" s="22"/>
    </row>
    <row r="129" spans="2:9" x14ac:dyDescent="0.2">
      <c r="B129" s="22" t="s">
        <v>313</v>
      </c>
      <c r="C129" s="22" t="s">
        <v>314</v>
      </c>
      <c r="D129" s="22" t="s">
        <v>82</v>
      </c>
      <c r="E129" s="26">
        <v>11640</v>
      </c>
      <c r="F129" s="24">
        <v>145.59312</v>
      </c>
      <c r="G129" s="25">
        <v>5.8326278270596499E-2</v>
      </c>
      <c r="H129" s="22"/>
    </row>
    <row r="130" spans="2:9" x14ac:dyDescent="0.2">
      <c r="B130" s="22" t="s">
        <v>197</v>
      </c>
      <c r="C130" s="22" t="s">
        <v>198</v>
      </c>
      <c r="D130" s="22" t="s">
        <v>83</v>
      </c>
      <c r="E130" s="26">
        <v>90913</v>
      </c>
      <c r="F130" s="24">
        <v>141.6606366</v>
      </c>
      <c r="G130" s="25">
        <v>5.6750880194898302E-2</v>
      </c>
      <c r="H130" s="22"/>
    </row>
    <row r="131" spans="2:9" x14ac:dyDescent="0.2">
      <c r="B131" s="22" t="s">
        <v>253</v>
      </c>
      <c r="C131" s="22" t="s">
        <v>254</v>
      </c>
      <c r="D131" s="22" t="s">
        <v>51</v>
      </c>
      <c r="E131" s="26">
        <v>47307</v>
      </c>
      <c r="F131" s="24">
        <v>135.723783</v>
      </c>
      <c r="G131" s="25">
        <v>5.4372508365752803E-2</v>
      </c>
      <c r="H131" s="22"/>
    </row>
    <row r="132" spans="2:9" x14ac:dyDescent="0.2">
      <c r="B132" s="22" t="s">
        <v>49</v>
      </c>
      <c r="C132" s="22" t="s">
        <v>50</v>
      </c>
      <c r="D132" s="22" t="s">
        <v>51</v>
      </c>
      <c r="E132" s="26">
        <v>42791</v>
      </c>
      <c r="F132" s="24">
        <v>118.98037549999999</v>
      </c>
      <c r="G132" s="25">
        <v>4.7664906763129102E-2</v>
      </c>
      <c r="H132" s="22"/>
    </row>
    <row r="133" spans="2:9" x14ac:dyDescent="0.2">
      <c r="B133" s="22" t="s">
        <v>315</v>
      </c>
      <c r="C133" s="22" t="s">
        <v>316</v>
      </c>
      <c r="D133" s="22" t="s">
        <v>158</v>
      </c>
      <c r="E133" s="26">
        <v>129727</v>
      </c>
      <c r="F133" s="24">
        <v>118.7131777</v>
      </c>
      <c r="G133" s="25">
        <v>4.7557864251531697E-2</v>
      </c>
      <c r="H133" s="22"/>
    </row>
    <row r="134" spans="2:9" x14ac:dyDescent="0.2">
      <c r="B134" s="22" t="s">
        <v>317</v>
      </c>
      <c r="C134" s="22" t="s">
        <v>318</v>
      </c>
      <c r="D134" s="22" t="s">
        <v>71</v>
      </c>
      <c r="E134" s="26">
        <v>884320</v>
      </c>
      <c r="F134" s="24">
        <v>89.670047999999994</v>
      </c>
      <c r="G134" s="25">
        <v>3.5922852482217202E-2</v>
      </c>
      <c r="H134" s="22"/>
    </row>
    <row r="135" spans="2:9" x14ac:dyDescent="0.2">
      <c r="B135" s="22" t="s">
        <v>319</v>
      </c>
      <c r="C135" s="22" t="s">
        <v>320</v>
      </c>
      <c r="D135" s="22" t="s">
        <v>21</v>
      </c>
      <c r="E135" s="26">
        <v>6301</v>
      </c>
      <c r="F135" s="24">
        <v>75.637203999999997</v>
      </c>
      <c r="G135" s="25">
        <v>3.0301133790620601E-2</v>
      </c>
      <c r="H135" s="22"/>
    </row>
    <row r="136" spans="2:9" x14ac:dyDescent="0.2">
      <c r="B136" s="22" t="s">
        <v>265</v>
      </c>
      <c r="C136" s="22" t="s">
        <v>266</v>
      </c>
      <c r="D136" s="22" t="s">
        <v>183</v>
      </c>
      <c r="E136" s="26">
        <v>15571</v>
      </c>
      <c r="F136" s="24">
        <v>68.130910499999999</v>
      </c>
      <c r="G136" s="25">
        <v>2.7294026288138502E-2</v>
      </c>
      <c r="H136" s="22"/>
    </row>
    <row r="137" spans="2:9" x14ac:dyDescent="0.2">
      <c r="B137" s="22" t="s">
        <v>321</v>
      </c>
      <c r="C137" s="22" t="s">
        <v>322</v>
      </c>
      <c r="D137" s="22" t="s">
        <v>107</v>
      </c>
      <c r="E137" s="26">
        <v>49446</v>
      </c>
      <c r="F137" s="24">
        <v>62.588746800000003</v>
      </c>
      <c r="G137" s="25">
        <v>2.5073771772077601E-2</v>
      </c>
      <c r="H137" s="22"/>
    </row>
    <row r="138" spans="2:9" x14ac:dyDescent="0.2">
      <c r="B138" s="22" t="s">
        <v>271</v>
      </c>
      <c r="C138" s="22" t="s">
        <v>272</v>
      </c>
      <c r="D138" s="22" t="s">
        <v>110</v>
      </c>
      <c r="E138" s="26">
        <v>21181</v>
      </c>
      <c r="F138" s="24">
        <v>60.630612499999998</v>
      </c>
      <c r="G138" s="25">
        <v>2.4289320651907899E-2</v>
      </c>
      <c r="H138" s="22"/>
    </row>
    <row r="139" spans="2:9" x14ac:dyDescent="0.2">
      <c r="B139" s="21" t="s">
        <v>8</v>
      </c>
      <c r="C139" s="21"/>
      <c r="D139" s="21"/>
      <c r="E139" s="27"/>
      <c r="F139" s="28">
        <f>SUM(F7:F138)</f>
        <v>245322.24852749999</v>
      </c>
      <c r="G139" s="29">
        <f>SUM(G7:G138)</f>
        <v>98.278914096925675</v>
      </c>
      <c r="H139" s="21"/>
      <c r="I139" s="14"/>
    </row>
    <row r="140" spans="2:9" x14ac:dyDescent="0.2">
      <c r="B140" s="21" t="s">
        <v>88</v>
      </c>
      <c r="C140" s="21"/>
      <c r="D140" s="21"/>
      <c r="E140" s="27"/>
      <c r="F140" s="41" t="s">
        <v>89</v>
      </c>
      <c r="G140" s="42" t="s">
        <v>89</v>
      </c>
      <c r="H140" s="21"/>
      <c r="I140" s="14"/>
    </row>
    <row r="141" spans="2:9" x14ac:dyDescent="0.2">
      <c r="B141" s="21" t="s">
        <v>8</v>
      </c>
      <c r="C141" s="21"/>
      <c r="D141" s="21"/>
      <c r="E141" s="27"/>
      <c r="F141" s="43" t="s">
        <v>89</v>
      </c>
      <c r="G141" s="44" t="s">
        <v>89</v>
      </c>
      <c r="H141" s="21"/>
      <c r="I141" s="14"/>
    </row>
    <row r="142" spans="2:9" x14ac:dyDescent="0.2">
      <c r="B142" s="30" t="s">
        <v>9</v>
      </c>
      <c r="C142" s="30"/>
      <c r="D142" s="30"/>
      <c r="E142" s="31"/>
      <c r="F142" s="32">
        <f>F139</f>
        <v>245322.24852749999</v>
      </c>
      <c r="G142" s="33">
        <f>G139</f>
        <v>98.278914096925675</v>
      </c>
      <c r="H142" s="21"/>
      <c r="I142" s="14"/>
    </row>
    <row r="143" spans="2:9" x14ac:dyDescent="0.2">
      <c r="B143" s="21" t="s">
        <v>10</v>
      </c>
      <c r="C143" s="21"/>
      <c r="D143" s="21"/>
      <c r="E143" s="27"/>
      <c r="F143" s="28">
        <v>4526.2587780000003</v>
      </c>
      <c r="G143" s="29">
        <v>1.81327132085883</v>
      </c>
      <c r="H143" s="34">
        <v>5.3636339999999998E-2</v>
      </c>
      <c r="I143" s="15"/>
    </row>
    <row r="144" spans="2:9" x14ac:dyDescent="0.2">
      <c r="B144" s="22"/>
      <c r="C144" s="22"/>
      <c r="D144" s="22"/>
      <c r="E144" s="23"/>
      <c r="F144" s="24"/>
      <c r="G144" s="25"/>
      <c r="H144" s="22"/>
    </row>
    <row r="145" spans="2:9" x14ac:dyDescent="0.2">
      <c r="B145" s="21" t="s">
        <v>323</v>
      </c>
      <c r="C145" s="22"/>
      <c r="D145" s="22"/>
      <c r="E145" s="23"/>
      <c r="F145" s="62">
        <v>700</v>
      </c>
      <c r="G145" s="62">
        <f>F145/F147*100</f>
        <v>0.2804280503736547</v>
      </c>
      <c r="H145" s="22"/>
    </row>
    <row r="146" spans="2:9" x14ac:dyDescent="0.2">
      <c r="B146" s="39" t="s">
        <v>12</v>
      </c>
      <c r="C146" s="39"/>
      <c r="D146" s="39"/>
      <c r="E146" s="40"/>
      <c r="F146" s="28">
        <f>F147-(F139+F143+F145)</f>
        <v>-930.11176079997676</v>
      </c>
      <c r="G146" s="29">
        <f>G147-(G139+G143+G145)</f>
        <v>-0.3726134681581641</v>
      </c>
      <c r="H146" s="21"/>
      <c r="I146" s="14"/>
    </row>
    <row r="147" spans="2:9" x14ac:dyDescent="0.2">
      <c r="B147" s="35" t="s">
        <v>11</v>
      </c>
      <c r="C147" s="35"/>
      <c r="D147" s="35"/>
      <c r="E147" s="36"/>
      <c r="F147" s="37">
        <v>249618.3955447</v>
      </c>
      <c r="G147" s="38">
        <v>100</v>
      </c>
      <c r="H147" s="45"/>
      <c r="I147" s="14"/>
    </row>
    <row r="149" spans="2:9" x14ac:dyDescent="0.2">
      <c r="B149" s="14" t="s">
        <v>324</v>
      </c>
    </row>
    <row r="151" spans="2:9" ht="22.5" x14ac:dyDescent="0.2">
      <c r="B151" s="59" t="s">
        <v>4</v>
      </c>
      <c r="C151" s="59" t="s">
        <v>325</v>
      </c>
      <c r="D151" s="59" t="s">
        <v>90</v>
      </c>
      <c r="E151" s="60" t="s">
        <v>0</v>
      </c>
      <c r="F151" s="61" t="s">
        <v>326</v>
      </c>
      <c r="G151" s="58" t="s">
        <v>327</v>
      </c>
    </row>
    <row r="152" spans="2:9" x14ac:dyDescent="0.2">
      <c r="B152" s="51" t="s">
        <v>328</v>
      </c>
      <c r="C152" s="51" t="s">
        <v>329</v>
      </c>
      <c r="D152" s="51" t="s">
        <v>334</v>
      </c>
      <c r="E152" s="26">
        <v>13520</v>
      </c>
      <c r="F152" s="52">
        <v>3555.2597599999999</v>
      </c>
      <c r="G152" s="53">
        <v>1.4242779472410101</v>
      </c>
    </row>
    <row r="153" spans="2:9" x14ac:dyDescent="0.2">
      <c r="B153" s="47"/>
      <c r="C153" s="47"/>
      <c r="D153" s="47"/>
      <c r="E153" s="48"/>
      <c r="F153" s="49">
        <f>SUM(F152:F152)</f>
        <v>3555.2597599999999</v>
      </c>
      <c r="G153" s="50">
        <f>SUM(G152:G152)</f>
        <v>1.4242779472410101</v>
      </c>
    </row>
    <row r="155" spans="2:9" x14ac:dyDescent="0.2">
      <c r="B155" s="14" t="s">
        <v>134</v>
      </c>
    </row>
    <row r="157" spans="2:9" x14ac:dyDescent="0.2">
      <c r="B157" s="14" t="s">
        <v>13</v>
      </c>
      <c r="E157" s="8"/>
      <c r="G157" s="55"/>
    </row>
    <row r="158" spans="2:9" x14ac:dyDescent="0.2">
      <c r="E158" s="8"/>
      <c r="G158" s="55"/>
    </row>
    <row r="159" spans="2:9" x14ac:dyDescent="0.2">
      <c r="E159" s="8"/>
      <c r="G159" s="55"/>
    </row>
    <row r="160" spans="2:9" x14ac:dyDescent="0.2">
      <c r="E160" s="8"/>
      <c r="G160" s="55"/>
    </row>
    <row r="161" spans="2:7" x14ac:dyDescent="0.2">
      <c r="E161" s="8"/>
      <c r="G161" s="55"/>
    </row>
    <row r="162" spans="2:7" x14ac:dyDescent="0.2">
      <c r="E162" s="8"/>
      <c r="G162" s="55"/>
    </row>
    <row r="163" spans="2:7" x14ac:dyDescent="0.2">
      <c r="E163" s="8"/>
      <c r="G163" s="55"/>
    </row>
    <row r="164" spans="2:7" x14ac:dyDescent="0.2">
      <c r="E164" s="8"/>
      <c r="G164" s="55"/>
    </row>
    <row r="165" spans="2:7" x14ac:dyDescent="0.2">
      <c r="E165" s="8"/>
      <c r="G165" s="55"/>
    </row>
    <row r="166" spans="2:7" x14ac:dyDescent="0.2">
      <c r="E166" s="8"/>
      <c r="G166" s="55"/>
    </row>
    <row r="167" spans="2:7" x14ac:dyDescent="0.2">
      <c r="E167" s="8"/>
      <c r="G167" s="55"/>
    </row>
    <row r="168" spans="2:7" x14ac:dyDescent="0.2">
      <c r="E168" s="8"/>
      <c r="G168" s="55"/>
    </row>
    <row r="169" spans="2:7" x14ac:dyDescent="0.2">
      <c r="E169" s="8"/>
      <c r="G169" s="55"/>
    </row>
    <row r="170" spans="2:7" x14ac:dyDescent="0.2">
      <c r="E170" s="8"/>
      <c r="G170" s="55"/>
    </row>
    <row r="171" spans="2:7" x14ac:dyDescent="0.2">
      <c r="E171" s="8"/>
      <c r="G171" s="55"/>
    </row>
    <row r="172" spans="2:7" x14ac:dyDescent="0.2">
      <c r="E172" s="8"/>
      <c r="G172" s="55"/>
    </row>
    <row r="173" spans="2:7" x14ac:dyDescent="0.2">
      <c r="E173" s="8"/>
      <c r="G173" s="55"/>
    </row>
    <row r="174" spans="2:7" x14ac:dyDescent="0.2">
      <c r="B174" s="56" t="s">
        <v>330</v>
      </c>
      <c r="E174" s="8"/>
      <c r="G174" s="55"/>
    </row>
    <row r="175" spans="2:7" x14ac:dyDescent="0.2">
      <c r="B175" s="57" t="s">
        <v>331</v>
      </c>
      <c r="E175" s="8"/>
      <c r="G175" s="55"/>
    </row>
    <row r="176" spans="2:7" x14ac:dyDescent="0.2">
      <c r="E176" s="8"/>
      <c r="G176" s="55"/>
    </row>
    <row r="177" spans="5:7" x14ac:dyDescent="0.2">
      <c r="E177" s="8"/>
      <c r="G177" s="55"/>
    </row>
    <row r="178" spans="5:7" x14ac:dyDescent="0.2">
      <c r="E178" s="8"/>
      <c r="G178" s="55"/>
    </row>
    <row r="179" spans="5:7" x14ac:dyDescent="0.2">
      <c r="E179" s="8"/>
      <c r="G179" s="55"/>
    </row>
    <row r="180" spans="5:7" x14ac:dyDescent="0.2">
      <c r="E180" s="8"/>
      <c r="G180" s="55"/>
    </row>
    <row r="181" spans="5:7" x14ac:dyDescent="0.2">
      <c r="E181" s="8"/>
      <c r="G181" s="55"/>
    </row>
    <row r="182" spans="5:7" x14ac:dyDescent="0.2">
      <c r="E182" s="8"/>
      <c r="G182" s="55"/>
    </row>
    <row r="183" spans="5:7" x14ac:dyDescent="0.2">
      <c r="E183" s="8"/>
      <c r="G183" s="55"/>
    </row>
    <row r="184" spans="5:7" x14ac:dyDescent="0.2">
      <c r="E184" s="8"/>
      <c r="G184" s="55"/>
    </row>
    <row r="185" spans="5:7" x14ac:dyDescent="0.2">
      <c r="E185" s="8"/>
      <c r="G185" s="55"/>
    </row>
    <row r="186" spans="5:7" x14ac:dyDescent="0.2">
      <c r="E186" s="8"/>
      <c r="G186" s="55"/>
    </row>
    <row r="187" spans="5:7" x14ac:dyDescent="0.2">
      <c r="E187" s="8"/>
      <c r="G187" s="55"/>
    </row>
    <row r="188" spans="5:7" x14ac:dyDescent="0.2">
      <c r="E188" s="8"/>
      <c r="G188" s="55"/>
    </row>
    <row r="189" spans="5:7" x14ac:dyDescent="0.2">
      <c r="E189" s="8"/>
      <c r="G189" s="55"/>
    </row>
    <row r="190" spans="5:7" x14ac:dyDescent="0.2">
      <c r="E190" s="8"/>
      <c r="G190" s="55"/>
    </row>
    <row r="191" spans="5:7" x14ac:dyDescent="0.2">
      <c r="E191" s="8"/>
      <c r="G191" s="55"/>
    </row>
    <row r="192" spans="5:7" x14ac:dyDescent="0.2">
      <c r="E192" s="8"/>
      <c r="G192" s="55"/>
    </row>
    <row r="193" spans="5:7" x14ac:dyDescent="0.2">
      <c r="E193" s="8"/>
      <c r="G193" s="55"/>
    </row>
    <row r="194" spans="5:7" x14ac:dyDescent="0.2">
      <c r="E194" s="8"/>
      <c r="G194" s="55"/>
    </row>
    <row r="195" spans="5:7" x14ac:dyDescent="0.2">
      <c r="E195" s="8"/>
      <c r="G195" s="55"/>
    </row>
    <row r="196" spans="5:7" x14ac:dyDescent="0.2">
      <c r="E196" s="8"/>
      <c r="G196" s="55"/>
    </row>
    <row r="197" spans="5:7" x14ac:dyDescent="0.2">
      <c r="E197" s="8"/>
      <c r="G197" s="55"/>
    </row>
    <row r="198" spans="5:7" x14ac:dyDescent="0.2">
      <c r="E198" s="8"/>
      <c r="G198" s="55"/>
    </row>
    <row r="199" spans="5:7" x14ac:dyDescent="0.2">
      <c r="E199" s="8"/>
      <c r="G199" s="55"/>
    </row>
    <row r="200" spans="5:7" x14ac:dyDescent="0.2">
      <c r="E200" s="8"/>
      <c r="G200" s="55"/>
    </row>
    <row r="201" spans="5:7" x14ac:dyDescent="0.2">
      <c r="E201" s="8"/>
      <c r="G201" s="55"/>
    </row>
    <row r="202" spans="5:7" x14ac:dyDescent="0.2">
      <c r="E202" s="8"/>
      <c r="G202" s="55"/>
    </row>
    <row r="203" spans="5:7" x14ac:dyDescent="0.2">
      <c r="E203" s="8"/>
      <c r="G203" s="55"/>
    </row>
    <row r="204" spans="5:7" x14ac:dyDescent="0.2">
      <c r="E204" s="8"/>
      <c r="G204" s="55"/>
    </row>
    <row r="205" spans="5:7" x14ac:dyDescent="0.2">
      <c r="E205" s="8"/>
      <c r="G205" s="55"/>
    </row>
    <row r="206" spans="5:7" x14ac:dyDescent="0.2">
      <c r="E206" s="8"/>
      <c r="G206" s="55"/>
    </row>
    <row r="207" spans="5:7" x14ac:dyDescent="0.2">
      <c r="E207" s="8"/>
      <c r="G207" s="55"/>
    </row>
    <row r="208" spans="5:7" x14ac:dyDescent="0.2">
      <c r="E208" s="8"/>
      <c r="G208" s="55"/>
    </row>
    <row r="209" spans="5:7" x14ac:dyDescent="0.2">
      <c r="E209" s="8"/>
      <c r="G209" s="55"/>
    </row>
    <row r="210" spans="5:7" x14ac:dyDescent="0.2">
      <c r="E210" s="8"/>
      <c r="G210" s="55"/>
    </row>
    <row r="211" spans="5:7" x14ac:dyDescent="0.2">
      <c r="E211" s="8"/>
      <c r="G211" s="55"/>
    </row>
    <row r="212" spans="5:7" x14ac:dyDescent="0.2">
      <c r="E212" s="8"/>
      <c r="G212" s="55"/>
    </row>
    <row r="213" spans="5:7" x14ac:dyDescent="0.2">
      <c r="E213" s="8"/>
      <c r="G213" s="55"/>
    </row>
    <row r="214" spans="5:7" x14ac:dyDescent="0.2">
      <c r="E214" s="8"/>
      <c r="G214" s="55"/>
    </row>
    <row r="215" spans="5:7" x14ac:dyDescent="0.2">
      <c r="E215" s="8"/>
      <c r="G215" s="55"/>
    </row>
    <row r="216" spans="5:7" x14ac:dyDescent="0.2">
      <c r="E216" s="8"/>
      <c r="G216" s="55"/>
    </row>
    <row r="217" spans="5:7" x14ac:dyDescent="0.2">
      <c r="E217" s="8"/>
      <c r="G217" s="55"/>
    </row>
    <row r="218" spans="5:7" x14ac:dyDescent="0.2">
      <c r="E218" s="8"/>
      <c r="G218" s="55"/>
    </row>
    <row r="219" spans="5:7" x14ac:dyDescent="0.2">
      <c r="E219" s="8"/>
      <c r="G219" s="55"/>
    </row>
    <row r="220" spans="5:7" x14ac:dyDescent="0.2">
      <c r="E220" s="8"/>
      <c r="G220" s="55"/>
    </row>
    <row r="221" spans="5:7" x14ac:dyDescent="0.2">
      <c r="E221" s="8"/>
      <c r="G221" s="55"/>
    </row>
    <row r="222" spans="5:7" x14ac:dyDescent="0.2">
      <c r="E222" s="8"/>
      <c r="G222" s="55"/>
    </row>
    <row r="223" spans="5:7" x14ac:dyDescent="0.2">
      <c r="E223" s="8"/>
      <c r="G223" s="55"/>
    </row>
    <row r="224" spans="5:7" x14ac:dyDescent="0.2">
      <c r="E224" s="8"/>
      <c r="G224" s="55"/>
    </row>
    <row r="225" spans="5:7" x14ac:dyDescent="0.2">
      <c r="E225" s="8"/>
      <c r="G225" s="55"/>
    </row>
    <row r="226" spans="5:7" x14ac:dyDescent="0.2">
      <c r="E226" s="8"/>
      <c r="G226" s="55"/>
    </row>
    <row r="227" spans="5:7" x14ac:dyDescent="0.2">
      <c r="E227" s="8"/>
      <c r="G227" s="55"/>
    </row>
    <row r="228" spans="5:7" x14ac:dyDescent="0.2">
      <c r="E228" s="8"/>
      <c r="G228" s="55"/>
    </row>
    <row r="229" spans="5:7" x14ac:dyDescent="0.2">
      <c r="E229" s="8"/>
      <c r="G229" s="55"/>
    </row>
    <row r="230" spans="5:7" x14ac:dyDescent="0.2">
      <c r="E230" s="8"/>
      <c r="G230" s="55"/>
    </row>
    <row r="231" spans="5:7" x14ac:dyDescent="0.2">
      <c r="E231" s="8"/>
      <c r="G231" s="55"/>
    </row>
    <row r="232" spans="5:7" x14ac:dyDescent="0.2">
      <c r="E232" s="8"/>
      <c r="G232" s="55"/>
    </row>
    <row r="233" spans="5:7" x14ac:dyDescent="0.2">
      <c r="E233" s="8"/>
      <c r="G233" s="55"/>
    </row>
    <row r="234" spans="5:7" x14ac:dyDescent="0.2">
      <c r="E234" s="8"/>
      <c r="G234" s="55"/>
    </row>
    <row r="235" spans="5:7" x14ac:dyDescent="0.2">
      <c r="E235" s="8"/>
      <c r="G235" s="55"/>
    </row>
    <row r="236" spans="5:7" x14ac:dyDescent="0.2">
      <c r="E236" s="8"/>
      <c r="G236" s="55"/>
    </row>
    <row r="237" spans="5:7" x14ac:dyDescent="0.2">
      <c r="E237" s="8"/>
      <c r="G237" s="55"/>
    </row>
    <row r="238" spans="5:7" x14ac:dyDescent="0.2">
      <c r="E238" s="8"/>
      <c r="G238" s="55"/>
    </row>
    <row r="239" spans="5:7" x14ac:dyDescent="0.2">
      <c r="E239" s="8"/>
      <c r="G239" s="55"/>
    </row>
    <row r="240" spans="5:7" x14ac:dyDescent="0.2">
      <c r="E240" s="8"/>
      <c r="G240" s="55"/>
    </row>
    <row r="241" spans="5:7" x14ac:dyDescent="0.2">
      <c r="E241" s="8"/>
      <c r="G241" s="55"/>
    </row>
    <row r="242" spans="5:7" x14ac:dyDescent="0.2">
      <c r="E242" s="8"/>
      <c r="G242" s="55"/>
    </row>
    <row r="243" spans="5:7" x14ac:dyDescent="0.2">
      <c r="E243" s="8"/>
      <c r="G243" s="55"/>
    </row>
    <row r="244" spans="5:7" x14ac:dyDescent="0.2">
      <c r="E244" s="8"/>
      <c r="G244" s="55"/>
    </row>
    <row r="245" spans="5:7" x14ac:dyDescent="0.2">
      <c r="E245" s="8"/>
      <c r="G245" s="55"/>
    </row>
    <row r="246" spans="5:7" x14ac:dyDescent="0.2">
      <c r="E246" s="8"/>
      <c r="G246" s="55"/>
    </row>
    <row r="247" spans="5:7" x14ac:dyDescent="0.2">
      <c r="E247" s="8"/>
      <c r="G247" s="55"/>
    </row>
    <row r="248" spans="5:7" x14ac:dyDescent="0.2">
      <c r="E248" s="8"/>
      <c r="G248" s="55"/>
    </row>
    <row r="249" spans="5:7" x14ac:dyDescent="0.2">
      <c r="E249" s="8"/>
      <c r="G249" s="55"/>
    </row>
    <row r="250" spans="5:7" x14ac:dyDescent="0.2">
      <c r="E250" s="8"/>
      <c r="G250" s="55"/>
    </row>
    <row r="251" spans="5:7" x14ac:dyDescent="0.2">
      <c r="E251" s="8"/>
      <c r="G251" s="55"/>
    </row>
    <row r="252" spans="5:7" x14ac:dyDescent="0.2">
      <c r="E252" s="8"/>
      <c r="G252" s="55"/>
    </row>
    <row r="253" spans="5:7" x14ac:dyDescent="0.2">
      <c r="E253" s="8"/>
      <c r="G253" s="55"/>
    </row>
    <row r="254" spans="5:7" x14ac:dyDescent="0.2">
      <c r="E254" s="8"/>
      <c r="G254" s="55"/>
    </row>
    <row r="255" spans="5:7" x14ac:dyDescent="0.2">
      <c r="E255" s="8"/>
      <c r="G255" s="55"/>
    </row>
    <row r="256" spans="5:7" x14ac:dyDescent="0.2">
      <c r="E256" s="8"/>
      <c r="G256" s="55"/>
    </row>
    <row r="257" spans="5:7" x14ac:dyDescent="0.2">
      <c r="E257" s="8"/>
      <c r="G257" s="55"/>
    </row>
    <row r="258" spans="5:7" x14ac:dyDescent="0.2">
      <c r="E258" s="8"/>
      <c r="G258" s="55"/>
    </row>
    <row r="259" spans="5:7" x14ac:dyDescent="0.2">
      <c r="E259" s="8"/>
      <c r="G259" s="55"/>
    </row>
    <row r="260" spans="5:7" x14ac:dyDescent="0.2">
      <c r="E260" s="8"/>
      <c r="G260" s="55"/>
    </row>
    <row r="261" spans="5:7" x14ac:dyDescent="0.2">
      <c r="E261" s="8"/>
      <c r="G261" s="55"/>
    </row>
    <row r="262" spans="5:7" x14ac:dyDescent="0.2">
      <c r="E262" s="8"/>
      <c r="G262" s="55"/>
    </row>
    <row r="263" spans="5:7" x14ac:dyDescent="0.2">
      <c r="E263" s="8"/>
      <c r="G263" s="55"/>
    </row>
    <row r="264" spans="5:7" x14ac:dyDescent="0.2">
      <c r="E264" s="8"/>
      <c r="G264" s="55"/>
    </row>
    <row r="265" spans="5:7" x14ac:dyDescent="0.2">
      <c r="E265" s="8"/>
      <c r="G265" s="55"/>
    </row>
    <row r="266" spans="5:7" x14ac:dyDescent="0.2">
      <c r="E266" s="8"/>
      <c r="G266" s="55"/>
    </row>
    <row r="267" spans="5:7" x14ac:dyDescent="0.2">
      <c r="E267" s="8"/>
      <c r="G267" s="55"/>
    </row>
    <row r="268" spans="5:7" x14ac:dyDescent="0.2">
      <c r="E268" s="8"/>
      <c r="G268" s="55"/>
    </row>
    <row r="269" spans="5:7" x14ac:dyDescent="0.2">
      <c r="E269" s="8"/>
      <c r="G269" s="55"/>
    </row>
    <row r="270" spans="5:7" x14ac:dyDescent="0.2">
      <c r="E270" s="8"/>
      <c r="G270" s="55"/>
    </row>
    <row r="271" spans="5:7" x14ac:dyDescent="0.2">
      <c r="E271" s="8"/>
      <c r="G271" s="55"/>
    </row>
    <row r="272" spans="5:7" x14ac:dyDescent="0.2">
      <c r="E272" s="8"/>
      <c r="G272" s="55"/>
    </row>
    <row r="273" spans="5:7" x14ac:dyDescent="0.2">
      <c r="E273" s="8"/>
      <c r="G273" s="55"/>
    </row>
    <row r="274" spans="5:7" x14ac:dyDescent="0.2">
      <c r="E274" s="8"/>
      <c r="G274" s="55"/>
    </row>
    <row r="275" spans="5:7" x14ac:dyDescent="0.2">
      <c r="E275" s="8"/>
      <c r="G275" s="55"/>
    </row>
    <row r="276" spans="5:7" x14ac:dyDescent="0.2">
      <c r="E276" s="8"/>
      <c r="G276" s="55"/>
    </row>
    <row r="277" spans="5:7" x14ac:dyDescent="0.2">
      <c r="E277" s="8"/>
      <c r="G277" s="55"/>
    </row>
    <row r="278" spans="5:7" x14ac:dyDescent="0.2">
      <c r="E278" s="8"/>
      <c r="G278" s="55"/>
    </row>
    <row r="279" spans="5:7" x14ac:dyDescent="0.2">
      <c r="E279" s="8"/>
      <c r="G279" s="55"/>
    </row>
    <row r="280" spans="5:7" x14ac:dyDescent="0.2">
      <c r="E280" s="8"/>
      <c r="G280" s="55"/>
    </row>
    <row r="281" spans="5:7" x14ac:dyDescent="0.2">
      <c r="E281" s="8"/>
      <c r="G281" s="55"/>
    </row>
    <row r="282" spans="5:7" x14ac:dyDescent="0.2">
      <c r="E282" s="8"/>
      <c r="G282" s="55"/>
    </row>
    <row r="283" spans="5:7" x14ac:dyDescent="0.2">
      <c r="E283" s="8"/>
      <c r="G283" s="55"/>
    </row>
    <row r="284" spans="5:7" x14ac:dyDescent="0.2">
      <c r="E284" s="8"/>
      <c r="G284" s="55"/>
    </row>
    <row r="285" spans="5:7" x14ac:dyDescent="0.2">
      <c r="E285" s="8"/>
      <c r="G285" s="55"/>
    </row>
    <row r="286" spans="5:7" x14ac:dyDescent="0.2">
      <c r="E286" s="8"/>
      <c r="G286" s="55"/>
    </row>
    <row r="287" spans="5:7" x14ac:dyDescent="0.2">
      <c r="E287" s="8"/>
      <c r="G287" s="55"/>
    </row>
    <row r="288" spans="5:7" x14ac:dyDescent="0.2">
      <c r="E288" s="8"/>
      <c r="G288" s="55"/>
    </row>
    <row r="289" spans="5:7" x14ac:dyDescent="0.2">
      <c r="E289" s="8"/>
      <c r="G289" s="55"/>
    </row>
    <row r="290" spans="5:7" x14ac:dyDescent="0.2">
      <c r="E290" s="8"/>
      <c r="G290" s="55"/>
    </row>
    <row r="291" spans="5:7" x14ac:dyDescent="0.2">
      <c r="E291" s="8"/>
      <c r="G291" s="55"/>
    </row>
    <row r="292" spans="5:7" x14ac:dyDescent="0.2">
      <c r="E292" s="8"/>
      <c r="G292" s="55"/>
    </row>
    <row r="293" spans="5:7" x14ac:dyDescent="0.2">
      <c r="E293" s="8"/>
      <c r="G293" s="55"/>
    </row>
    <row r="294" spans="5:7" x14ac:dyDescent="0.2">
      <c r="E294" s="8"/>
      <c r="G294" s="55"/>
    </row>
  </sheetData>
  <mergeCells count="1">
    <mergeCell ref="B1:C1"/>
  </mergeCells>
  <conditionalFormatting sqref="G1:G3 G5:G192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0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