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24226"/>
  <xr:revisionPtr revIDLastSave="0" documentId="8_{00AC0C3D-0947-4154-B0AE-303115E5817F}" xr6:coauthVersionLast="47" xr6:coauthVersionMax="47" xr10:uidLastSave="{00000000-0000-0000-0000-000000000000}"/>
  <bookViews>
    <workbookView xWindow="0" yWindow="165" windowWidth="28800" windowHeight="15315" xr2:uid="{89728DBC-F07D-4157-8807-01DBF0F4A3D6}"/>
  </bookViews>
  <sheets>
    <sheet name="JBNM150" sheetId="9" r:id="rId1"/>
  </sheets>
  <definedNames>
    <definedName name="_xlnm.Print_Area" localSheetId="0">JBNM150!$B$1:$H$205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9" l="1"/>
  <c r="G157" i="9"/>
  <c r="G163" i="9"/>
  <c r="F157" i="9"/>
  <c r="F163" i="9"/>
  <c r="F160" i="9"/>
  <c r="G160" i="9"/>
</calcChain>
</file>

<file path=xl/sharedStrings.xml><?xml version="1.0" encoding="utf-8"?>
<sst xmlns="http://schemas.openxmlformats.org/spreadsheetml/2006/main" count="476" uniqueCount="363">
  <si>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</si>
  <si>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</si>
  <si>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</si>
  <si>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</si>
  <si>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</si>
  <si>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</si>
  <si>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JioBlackRock Nifty Midcap 150 Index Fund</t>
  </si>
  <si>
    <t>Sub Total</t>
  </si>
  <si>
    <t>Total</t>
  </si>
  <si>
    <t>TREPS</t>
  </si>
  <si>
    <t>Grand Total</t>
  </si>
  <si>
    <t>Net Receivables / (Payables)</t>
  </si>
  <si>
    <t>Notes</t>
  </si>
  <si>
    <t xml:space="preserve">Scheme Risk-O-Meter </t>
  </si>
  <si>
    <t>(a) Listed / awaiting listing on Stock Exchanges</t>
  </si>
  <si>
    <t>Equity &amp; Equity related</t>
  </si>
  <si>
    <t>Banks</t>
  </si>
  <si>
    <t>Petroleum Products</t>
  </si>
  <si>
    <t>Telecom - Services</t>
  </si>
  <si>
    <t>IT - Software</t>
  </si>
  <si>
    <t>Construction</t>
  </si>
  <si>
    <t>Automobiles</t>
  </si>
  <si>
    <t>Finance</t>
  </si>
  <si>
    <t>Retailing</t>
  </si>
  <si>
    <t>Pharmaceuticals &amp; Biotechnology</t>
  </si>
  <si>
    <t>Power</t>
  </si>
  <si>
    <t>Consumer Durables</t>
  </si>
  <si>
    <t>Aerospace &amp; Defense</t>
  </si>
  <si>
    <t>Ferrous Metals</t>
  </si>
  <si>
    <t>Cement &amp; Cement Products</t>
  </si>
  <si>
    <t>Transport Services</t>
  </si>
  <si>
    <t>Non - Ferrous Metals</t>
  </si>
  <si>
    <t>Transport Infrastructure</t>
  </si>
  <si>
    <t>Oil</t>
  </si>
  <si>
    <t>Insurance</t>
  </si>
  <si>
    <t>Healthcare Services</t>
  </si>
  <si>
    <t>Agricultural Food &amp; Other Products</t>
  </si>
  <si>
    <t xml:space="preserve">(b) Unlisted </t>
  </si>
  <si>
    <t>NIL</t>
  </si>
  <si>
    <t>Industry Classification</t>
  </si>
  <si>
    <t>Leisure Services</t>
  </si>
  <si>
    <t>Beverages</t>
  </si>
  <si>
    <t>Electrical Equipment</t>
  </si>
  <si>
    <t>Gas</t>
  </si>
  <si>
    <t>Realty</t>
  </si>
  <si>
    <t>Auto Components</t>
  </si>
  <si>
    <t>Personal Products</t>
  </si>
  <si>
    <t>Chemicals &amp; Petrochemicals</t>
  </si>
  <si>
    <t>Industrial Manufacturing</t>
  </si>
  <si>
    <t>BSE Ltd</t>
  </si>
  <si>
    <t>INE118H01025</t>
  </si>
  <si>
    <t>Capital Markets</t>
  </si>
  <si>
    <t>Hero MotoCorp Ltd</t>
  </si>
  <si>
    <t>INE158A01026</t>
  </si>
  <si>
    <t>Suzlon Energy Ltd</t>
  </si>
  <si>
    <t>INE040H01021</t>
  </si>
  <si>
    <t>Dixon Technologies (India) Ltd</t>
  </si>
  <si>
    <t>INE935N01020</t>
  </si>
  <si>
    <t>Persistent Systems Ltd</t>
  </si>
  <si>
    <t>INE262H01021</t>
  </si>
  <si>
    <t>PB Fintech Ltd</t>
  </si>
  <si>
    <t>INE417T01026</t>
  </si>
  <si>
    <t>Financial Technology (Fintech)</t>
  </si>
  <si>
    <t>Coforge Ltd</t>
  </si>
  <si>
    <t>INE591G01025</t>
  </si>
  <si>
    <t>Cummins India Ltd</t>
  </si>
  <si>
    <t>INE298A01020</t>
  </si>
  <si>
    <t>Industrial Products</t>
  </si>
  <si>
    <t>Federal Bank Ltd</t>
  </si>
  <si>
    <t>INE171A01029</t>
  </si>
  <si>
    <t>HDFC Asset Management Co Ltd</t>
  </si>
  <si>
    <t>INE127D01025</t>
  </si>
  <si>
    <t>IDFC First Bank Ltd</t>
  </si>
  <si>
    <t>INE092T01019</t>
  </si>
  <si>
    <t>Fortis Healthcare Ltd</t>
  </si>
  <si>
    <t>INE061F01013</t>
  </si>
  <si>
    <t>IndusInd Bank Ltd</t>
  </si>
  <si>
    <t>INE095A01012</t>
  </si>
  <si>
    <t>AU Small Finance Bank Ltd</t>
  </si>
  <si>
    <t>INE949L01017</t>
  </si>
  <si>
    <t>Indus Towers Ltd</t>
  </si>
  <si>
    <t>INE121J01017</t>
  </si>
  <si>
    <t>One 97 Communications Ltd</t>
  </si>
  <si>
    <t>INE982J01020</t>
  </si>
  <si>
    <t>Lupin Ltd</t>
  </si>
  <si>
    <t>INE326A01037</t>
  </si>
  <si>
    <t>Hindustan Petroleum Corporation Ltd</t>
  </si>
  <si>
    <t>INE094A01015</t>
  </si>
  <si>
    <t>Yes Bank Ltd</t>
  </si>
  <si>
    <t>INE528G01035</t>
  </si>
  <si>
    <t>SRF Ltd</t>
  </si>
  <si>
    <t>INE647A01010</t>
  </si>
  <si>
    <t>UPL Ltd</t>
  </si>
  <si>
    <t>INE628A01036</t>
  </si>
  <si>
    <t>Fertilizers &amp; Agrochemicals</t>
  </si>
  <si>
    <t>Max Financial Services Ltd</t>
  </si>
  <si>
    <t>INE180A01020</t>
  </si>
  <si>
    <t>Ashok Leyland Ltd</t>
  </si>
  <si>
    <t>INE208A01029</t>
  </si>
  <si>
    <t>Agricultural, Commercial &amp; Construction Vehicles</t>
  </si>
  <si>
    <t>Polycab India Ltd</t>
  </si>
  <si>
    <t>INE455K01017</t>
  </si>
  <si>
    <t>Marico Ltd</t>
  </si>
  <si>
    <t>INE196A01026</t>
  </si>
  <si>
    <t>Ge Vernova T&amp;D India Ltd</t>
  </si>
  <si>
    <t>INE200A01026</t>
  </si>
  <si>
    <t>Bharat Forge Ltd</t>
  </si>
  <si>
    <t>INE465A01025</t>
  </si>
  <si>
    <t>Swiggy Ltd</t>
  </si>
  <si>
    <t>INE00H001014</t>
  </si>
  <si>
    <t>Godrej Properties Ltd</t>
  </si>
  <si>
    <t>INE484J01027</t>
  </si>
  <si>
    <t>Bharat Heavy Electricals Ltd</t>
  </si>
  <si>
    <t>INE257A01026</t>
  </si>
  <si>
    <t>Muthoot Finance Ltd</t>
  </si>
  <si>
    <t>INE414G01012</t>
  </si>
  <si>
    <t>FSN E-Commerce Ventures Ltd</t>
  </si>
  <si>
    <t>INE388Y01029</t>
  </si>
  <si>
    <t>GMR Airports Ltd</t>
  </si>
  <si>
    <t>INE776C01039</t>
  </si>
  <si>
    <t>APL Apollo Tubes Ltd</t>
  </si>
  <si>
    <t>INE702C01027</t>
  </si>
  <si>
    <t>Waaree Energies Ltd</t>
  </si>
  <si>
    <t>INE377N01017</t>
  </si>
  <si>
    <t>Tube Investments of India Ltd</t>
  </si>
  <si>
    <t>INE974X01010</t>
  </si>
  <si>
    <t>Aurobindo Pharma Ltd</t>
  </si>
  <si>
    <t>INE406A01037</t>
  </si>
  <si>
    <t>MRF Ltd</t>
  </si>
  <si>
    <t>INE883A01011</t>
  </si>
  <si>
    <t>Sundaram Finance Ltd</t>
  </si>
  <si>
    <t>INE660A01013</t>
  </si>
  <si>
    <t>Voltas Ltd</t>
  </si>
  <si>
    <t>INE226A01021</t>
  </si>
  <si>
    <t>Mphasis Ltd</t>
  </si>
  <si>
    <t>INE356A01018</t>
  </si>
  <si>
    <t>Phoenix Mills Ltd</t>
  </si>
  <si>
    <t>INE211B01039</t>
  </si>
  <si>
    <t>Alkem Laboratories Ltd</t>
  </si>
  <si>
    <t>INE540L01014</t>
  </si>
  <si>
    <t>Indian Bank</t>
  </si>
  <si>
    <t>INE562A01011</t>
  </si>
  <si>
    <t>Vishal Mega Mart Ltd</t>
  </si>
  <si>
    <t>INE01EA01019</t>
  </si>
  <si>
    <t>Colgate Palmolive (India) Ltd</t>
  </si>
  <si>
    <t>INE259A01022</t>
  </si>
  <si>
    <t>Prestige Estates Projects Ltd</t>
  </si>
  <si>
    <t>INE811K01011</t>
  </si>
  <si>
    <t>PI Industries Ltd</t>
  </si>
  <si>
    <t>INE603J01030</t>
  </si>
  <si>
    <t>Dabur India Ltd</t>
  </si>
  <si>
    <t>INE016A01026</t>
  </si>
  <si>
    <t>Union Bank Of India</t>
  </si>
  <si>
    <t>INE692A01016</t>
  </si>
  <si>
    <t>Glenmark Pharmaceuticals Ltd</t>
  </si>
  <si>
    <t>INE935A01035</t>
  </si>
  <si>
    <t>Mankind Pharma Ltd</t>
  </si>
  <si>
    <t>INE634S01028</t>
  </si>
  <si>
    <t>NHPC Ltd</t>
  </si>
  <si>
    <t>INE848E01016</t>
  </si>
  <si>
    <t>SBI Cards and Payment Services Ltd</t>
  </si>
  <si>
    <t>INE018E01016</t>
  </si>
  <si>
    <t>NMDC Ltd</t>
  </si>
  <si>
    <t>INE584A01023</t>
  </si>
  <si>
    <t>Minerals &amp; Mining</t>
  </si>
  <si>
    <t>J.K. Cement Ltd</t>
  </si>
  <si>
    <t>INE823G01014</t>
  </si>
  <si>
    <t>Page Industries Ltd</t>
  </si>
  <si>
    <t>INE761H01022</t>
  </si>
  <si>
    <t>Textiles &amp; Apparels</t>
  </si>
  <si>
    <t>Blue Star Ltd</t>
  </si>
  <si>
    <t>INE472A01039</t>
  </si>
  <si>
    <t>Coromandel International Ltd</t>
  </si>
  <si>
    <t>INE169A01031</t>
  </si>
  <si>
    <t>Torrent Power Ltd</t>
  </si>
  <si>
    <t>INE813H01021</t>
  </si>
  <si>
    <t>360 One Wam Ltd</t>
  </si>
  <si>
    <t>INE466L01038</t>
  </si>
  <si>
    <t>KEI Industries Ltd</t>
  </si>
  <si>
    <t>INE878B01027</t>
  </si>
  <si>
    <t>Aditya Birla Capital Ltd</t>
  </si>
  <si>
    <t>INE674K01013</t>
  </si>
  <si>
    <t>Supreme Industries Ltd</t>
  </si>
  <si>
    <t>INE195A01028</t>
  </si>
  <si>
    <t>Jindal Stainless Ltd</t>
  </si>
  <si>
    <t>INE220G01021</t>
  </si>
  <si>
    <t>Vodafone Idea Ltd</t>
  </si>
  <si>
    <t>INE669E01016</t>
  </si>
  <si>
    <t>Oil India Ltd</t>
  </si>
  <si>
    <t>INE274J01014</t>
  </si>
  <si>
    <t>Jubilant Foodworks Ltd</t>
  </si>
  <si>
    <t>INE797F01020</t>
  </si>
  <si>
    <t>ICICI Prudential Life Insurance Co Ltd</t>
  </si>
  <si>
    <t>INE726G01019</t>
  </si>
  <si>
    <t>Hitachi Energy India Ltd</t>
  </si>
  <si>
    <t>INE07Y701011</t>
  </si>
  <si>
    <t>Biocon Ltd</t>
  </si>
  <si>
    <t>INE376G01013</t>
  </si>
  <si>
    <t>Uno Minda Ltd</t>
  </si>
  <si>
    <t>INE405E01023</t>
  </si>
  <si>
    <t>L&amp;T Finance Ltd</t>
  </si>
  <si>
    <t>INE498L01015</t>
  </si>
  <si>
    <t>Tata Communications Ltd</t>
  </si>
  <si>
    <t>INE151A01013</t>
  </si>
  <si>
    <t>Indian Railway Catering And Tourism Corporation Ltd</t>
  </si>
  <si>
    <t>INE335Y01020</t>
  </si>
  <si>
    <t>Sona Blw Precision Forgings Ltd</t>
  </si>
  <si>
    <t>INE073K01018</t>
  </si>
  <si>
    <t>Petronet LNG Ltd</t>
  </si>
  <si>
    <t>INE347G01014</t>
  </si>
  <si>
    <t>National Aluminium Co Ltd</t>
  </si>
  <si>
    <t>INE139A01034</t>
  </si>
  <si>
    <t>Oberoi Realty Ltd</t>
  </si>
  <si>
    <t>INE093I01010</t>
  </si>
  <si>
    <t>Mahindra &amp; Mahindra Financial Services Ltd</t>
  </si>
  <si>
    <t>INE774D01024</t>
  </si>
  <si>
    <t>Patanjali Foods Ltd</t>
  </si>
  <si>
    <t>INE619A01035</t>
  </si>
  <si>
    <t>Agricultural Food &amp; other Products</t>
  </si>
  <si>
    <t>Oracle Financial Services Software Ltd</t>
  </si>
  <si>
    <t>INE881D01027</t>
  </si>
  <si>
    <t>ITC Hotels Ltd</t>
  </si>
  <si>
    <t>INE379A01028</t>
  </si>
  <si>
    <t>Steel Authority of India Ltd</t>
  </si>
  <si>
    <t>INE114A01011</t>
  </si>
  <si>
    <t>Kalyan Jewellers India Ltd</t>
  </si>
  <si>
    <t>INE303R01014</t>
  </si>
  <si>
    <t>KPIT Technologies Ltd</t>
  </si>
  <si>
    <t>INE04I401011</t>
  </si>
  <si>
    <t>Tata Elxsi Ltd</t>
  </si>
  <si>
    <t>INE670A01012</t>
  </si>
  <si>
    <t>Container Corporation Of India Ltd</t>
  </si>
  <si>
    <t>INE111A01025</t>
  </si>
  <si>
    <t>Rail Vikas Nigam Ltd</t>
  </si>
  <si>
    <t>INE415G01027</t>
  </si>
  <si>
    <t>Balkrishna Industries Ltd</t>
  </si>
  <si>
    <t>INE787D01026</t>
  </si>
  <si>
    <t>Astral Ltd</t>
  </si>
  <si>
    <t>INE006I01046</t>
  </si>
  <si>
    <t>IPCA Laboratories Ltd</t>
  </si>
  <si>
    <t>INE571A01038</t>
  </si>
  <si>
    <t>Adani Total Gas Ltd</t>
  </si>
  <si>
    <t>INE399L01023</t>
  </si>
  <si>
    <t>Exide Industries Ltd</t>
  </si>
  <si>
    <t>INE302A01020</t>
  </si>
  <si>
    <t>LIC Housing Finance Ltd</t>
  </si>
  <si>
    <t>INE115A01026</t>
  </si>
  <si>
    <t>Lloyds Metals And Energy Ltd</t>
  </si>
  <si>
    <t>INE281B01032</t>
  </si>
  <si>
    <t>Bank of India</t>
  </si>
  <si>
    <t>INE084A01016</t>
  </si>
  <si>
    <t>Dalmia Bharat Ltd</t>
  </si>
  <si>
    <t>INE00R701025</t>
  </si>
  <si>
    <t>Apollo Tyres Ltd</t>
  </si>
  <si>
    <t>INE438A01022</t>
  </si>
  <si>
    <t>Schaeffler India Ltd</t>
  </si>
  <si>
    <t>INE513A01022</t>
  </si>
  <si>
    <t>Nippon Life India Asset Management Ltd</t>
  </si>
  <si>
    <t>INE298J01013</t>
  </si>
  <si>
    <t>Berger Paints India Ltd</t>
  </si>
  <si>
    <t>INE463A01038</t>
  </si>
  <si>
    <t>Gujarat Fluorochemicals Ltd</t>
  </si>
  <si>
    <t>INE09N301011</t>
  </si>
  <si>
    <t>Cochin Shipyard Ltd</t>
  </si>
  <si>
    <t>INE704P01025</t>
  </si>
  <si>
    <t>Abbott India Ltd</t>
  </si>
  <si>
    <t>INE358A01014</t>
  </si>
  <si>
    <t>Motilal Oswal Financial Services Ltd</t>
  </si>
  <si>
    <t>INE338I01027</t>
  </si>
  <si>
    <t>Indraprastha Gas Ltd</t>
  </si>
  <si>
    <t>INE203G01027</t>
  </si>
  <si>
    <t>Apar Industries Ltd</t>
  </si>
  <si>
    <t>INE372A01015</t>
  </si>
  <si>
    <t>Bharat Dynamics Ltd</t>
  </si>
  <si>
    <t>INE171Z01026</t>
  </si>
  <si>
    <t>Bharti Hexacom Ltd</t>
  </si>
  <si>
    <t>INE343G01021</t>
  </si>
  <si>
    <t>United Breweries Ltd</t>
  </si>
  <si>
    <t>INE686F01025</t>
  </si>
  <si>
    <t>Linde India Ltd</t>
  </si>
  <si>
    <t>INE473A01011</t>
  </si>
  <si>
    <t>Procter &amp; Gamble Hygiene and Health Care Ltd</t>
  </si>
  <si>
    <t>INE179A01014</t>
  </si>
  <si>
    <t>AIA Engineering Ltd</t>
  </si>
  <si>
    <t>INE212H01026</t>
  </si>
  <si>
    <t>Escorts Kubota Ltd</t>
  </si>
  <si>
    <t>INE042A01014</t>
  </si>
  <si>
    <t>Godfrey Phillips India Ltd</t>
  </si>
  <si>
    <t>INE260B01028</t>
  </si>
  <si>
    <t>Cigarettes &amp; Tobacco Products</t>
  </si>
  <si>
    <t>Premier Energies Ltd</t>
  </si>
  <si>
    <t>INE0BS701011</t>
  </si>
  <si>
    <t>Thermax Ltd</t>
  </si>
  <si>
    <t>INE152A01029</t>
  </si>
  <si>
    <t>Syngene International Ltd</t>
  </si>
  <si>
    <t>INE398R01022</t>
  </si>
  <si>
    <t>Indian Renewable Energy Development Agency Ltd</t>
  </si>
  <si>
    <t>INE202E01016</t>
  </si>
  <si>
    <t>CRISIL Ltd</t>
  </si>
  <si>
    <t>INE007A01025</t>
  </si>
  <si>
    <t>K.P.R. Mill Ltd</t>
  </si>
  <si>
    <t>INE930H01031</t>
  </si>
  <si>
    <t>Housing &amp; Urban Development Corporation Ltd</t>
  </si>
  <si>
    <t>INE031A01017</t>
  </si>
  <si>
    <t>Tata Technologies Ltd</t>
  </si>
  <si>
    <t>INE142M01025</t>
  </si>
  <si>
    <t>IT - Services</t>
  </si>
  <si>
    <t>Deepak Nitrite Ltd</t>
  </si>
  <si>
    <t>INE288B01029</t>
  </si>
  <si>
    <t>ACC Ltd</t>
  </si>
  <si>
    <t>INE012A01025</t>
  </si>
  <si>
    <t>General Insurance Corporation Of India</t>
  </si>
  <si>
    <t>INE481Y01014</t>
  </si>
  <si>
    <t>L&amp;T Technology Services Ltd</t>
  </si>
  <si>
    <t>INE010V01017</t>
  </si>
  <si>
    <t>Global Health Ltd</t>
  </si>
  <si>
    <t>INE474Q01031</t>
  </si>
  <si>
    <t>Glaxosmithkline Pharmaceuticals Ltd</t>
  </si>
  <si>
    <t>INE159A01016</t>
  </si>
  <si>
    <t>Tata Investment Corporation Ltd</t>
  </si>
  <si>
    <t>INE672A01026</t>
  </si>
  <si>
    <t>Ajanta Pharma Ltd</t>
  </si>
  <si>
    <t>INE031B01049</t>
  </si>
  <si>
    <t>Endurance Technologies Ltd</t>
  </si>
  <si>
    <t>INE913H01037</t>
  </si>
  <si>
    <t>NTPC Green Energy Ltd</t>
  </si>
  <si>
    <t>INE0ONG01011</t>
  </si>
  <si>
    <t>JSW Infrastructure Ltd</t>
  </si>
  <si>
    <t>INE880J01026</t>
  </si>
  <si>
    <t>Bank Of Maharashtra</t>
  </si>
  <si>
    <t>INE457A01014</t>
  </si>
  <si>
    <t>Hexaware Technologies Ltd</t>
  </si>
  <si>
    <t>INE093A01041</t>
  </si>
  <si>
    <t>Awl Agri Business Ltd</t>
  </si>
  <si>
    <t>INE699H01024</t>
  </si>
  <si>
    <t>IRB Infrastructure Developers Ltd</t>
  </si>
  <si>
    <t>INE821I01022</t>
  </si>
  <si>
    <t>NLC India Ltd</t>
  </si>
  <si>
    <t>INE589A01014</t>
  </si>
  <si>
    <t>3M India Ltd</t>
  </si>
  <si>
    <t>INE470A01017</t>
  </si>
  <si>
    <t>Diversified</t>
  </si>
  <si>
    <t>Honeywell Automation India Ltd</t>
  </si>
  <si>
    <t>INE671A01010</t>
  </si>
  <si>
    <t>Gujarat Gas Ltd</t>
  </si>
  <si>
    <t>INE844O01030</t>
  </si>
  <si>
    <t>SJVN Ltd</t>
  </si>
  <si>
    <t>INE002L01015</t>
  </si>
  <si>
    <t>IDBI Bank Ltd</t>
  </si>
  <si>
    <t>INE008A01015</t>
  </si>
  <si>
    <t>Fertilizers And Chemicals Travancore Ltd</t>
  </si>
  <si>
    <t>INE188A01015</t>
  </si>
  <si>
    <t>Godrej Industries Ltd</t>
  </si>
  <si>
    <t>INE233A01035</t>
  </si>
  <si>
    <t>The New India Assurance Co Ltd</t>
  </si>
  <si>
    <t>INE470Y01017</t>
  </si>
  <si>
    <t>Indian Overseas Bank</t>
  </si>
  <si>
    <t>INE565A01014</t>
  </si>
  <si>
    <t>UCO Bank</t>
  </si>
  <si>
    <t>INE691A01018</t>
  </si>
  <si>
    <t>Benchmark Risk-O-Meter</t>
  </si>
  <si>
    <t>Benchmark Name - NIFTY Midcap 150 Index (TRI)</t>
  </si>
  <si>
    <t>Monthly Portfolio Statement as on October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</si>
</sst>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u/>
      <sz val="11"/>
      <color theme="10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4">
    <xf numFmtId="0" fontId="0" fillId="0" borderId="0" xfId="0"/>
    <xf numFmtId="0" fontId="5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5" fillId="2" borderId="0" xfId="0" applyNumberFormat="1" applyFont="1" applyFill="1"/>
    <xf numFmtId="4" fontId="5" fillId="2" borderId="0" xfId="0" applyNumberFormat="1" applyFont="1" applyFill="1"/>
    <xf numFmtId="0" fontId="6" fillId="2" borderId="0" xfId="0" applyFont="1" applyFill="1"/>
    <xf numFmtId="0" fontId="6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wrapText="1"/>
    </xf>
    <xf numFmtId="39" fontId="6" fillId="3" borderId="0" xfId="0" applyNumberFormat="1" applyFont="1" applyFill="1" applyBorder="1"/>
    <xf numFmtId="0" fontId="7" fillId="2" borderId="0" xfId="0" applyFont="1" applyFill="1"/>
    <xf numFmtId="164" fontId="6" fillId="2" borderId="0" xfId="0" applyNumberFormat="1" applyFont="1" applyFill="1"/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 wrapText="1"/>
    </xf>
    <xf numFmtId="39" fontId="7" fillId="0" borderId="1" xfId="0" applyNumberFormat="1" applyFont="1" applyBorder="1" applyAlignment="1">
      <alignment horizontal="center" vertical="center" wrapText="1"/>
    </xf>
    <xf numFmtId="0" fontId="7" fillId="2" borderId="2" xfId="0" applyFont="1" applyFill="1" applyBorder="1"/>
    <xf numFmtId="0" fontId="6" fillId="2" borderId="2" xfId="0" applyFont="1" applyFill="1" applyBorder="1"/>
    <xf numFmtId="0" fontId="6" fillId="2" borderId="2" xfId="0" applyNumberFormat="1" applyFont="1" applyFill="1" applyBorder="1"/>
    <xf numFmtId="39" fontId="6" fillId="2" borderId="2" xfId="0" applyNumberFormat="1" applyFont="1" applyFill="1" applyBorder="1"/>
    <xf numFmtId="39" fontId="6" fillId="3" borderId="2" xfId="0" applyNumberFormat="1" applyFont="1" applyFill="1" applyBorder="1"/>
    <xf numFmtId="3" fontId="6" fillId="2" borderId="2" xfId="0" applyNumberFormat="1" applyFont="1" applyFill="1" applyBorder="1"/>
    <xf numFmtId="0" fontId="7" fillId="2" borderId="2" xfId="0" applyNumberFormat="1" applyFont="1" applyFill="1" applyBorder="1"/>
    <xf numFmtId="39" fontId="7" fillId="2" borderId="3" xfId="0" applyNumberFormat="1" applyFont="1" applyFill="1" applyBorder="1"/>
    <xf numFmtId="39" fontId="7" fillId="3" borderId="3" xfId="0" applyNumberFormat="1" applyFont="1" applyFill="1" applyBorder="1"/>
    <xf numFmtId="0" fontId="7" fillId="2" borderId="5" xfId="0" applyFont="1" applyFill="1" applyBorder="1"/>
    <xf numFmtId="0" fontId="7" fillId="2" borderId="5" xfId="0" applyNumberFormat="1" applyFont="1" applyFill="1" applyBorder="1"/>
    <xf numFmtId="39" fontId="7" fillId="2" borderId="5" xfId="0" applyNumberFormat="1" applyFont="1" applyFill="1" applyBorder="1"/>
    <xf numFmtId="39" fontId="7" fillId="3" borderId="5" xfId="0" applyNumberFormat="1" applyFont="1" applyFill="1" applyBorder="1"/>
    <xf numFmtId="164" fontId="6" fillId="2" borderId="2" xfId="0" applyNumberFormat="1" applyFont="1" applyFill="1" applyBorder="1"/>
    <xf numFmtId="0" fontId="7" fillId="2" borderId="6" xfId="0" applyFont="1" applyFill="1" applyBorder="1"/>
    <xf numFmtId="0" fontId="7" fillId="2" borderId="6" xfId="0" applyNumberFormat="1" applyFont="1" applyFill="1" applyBorder="1"/>
    <xf numFmtId="39" fontId="7" fillId="2" borderId="6" xfId="0" applyNumberFormat="1" applyFont="1" applyFill="1" applyBorder="1"/>
    <xf numFmtId="39" fontId="7" fillId="3" borderId="6" xfId="0" applyNumberFormat="1" applyFont="1" applyFill="1" applyBorder="1"/>
    <xf numFmtId="0" fontId="7" fillId="2" borderId="3" xfId="0" applyFont="1" applyFill="1" applyBorder="1"/>
    <xf numFmtId="0" fontId="7" fillId="2" borderId="3" xfId="0" applyNumberFormat="1" applyFont="1" applyFill="1" applyBorder="1"/>
    <xf numFmtId="39" fontId="7" fillId="2" borderId="4" xfId="0" applyNumberFormat="1" applyFont="1" applyFill="1" applyBorder="1" applyAlignment="1">
      <alignment horizontal="right"/>
    </xf>
    <xf numFmtId="39" fontId="7" fillId="3" borderId="4" xfId="0" applyNumberFormat="1" applyFont="1" applyFill="1" applyBorder="1" applyAlignment="1">
      <alignment horizontal="right"/>
    </xf>
    <xf numFmtId="39" fontId="7" fillId="2" borderId="2" xfId="0" applyNumberFormat="1" applyFont="1" applyFill="1" applyBorder="1" applyAlignment="1">
      <alignment horizontal="right"/>
    </xf>
    <xf numFmtId="39" fontId="7" fillId="3" borderId="2" xfId="0" applyNumberFormat="1" applyFont="1" applyFill="1" applyBorder="1" applyAlignment="1">
      <alignment horizontal="right"/>
    </xf>
    <xf numFmtId="0" fontId="7" fillId="2" borderId="7" xfId="0" applyFont="1" applyFill="1" applyBorder="1"/>
    <xf numFmtId="0" fontId="8" fillId="2" borderId="1" xfId="0" applyFont="1" applyFill="1" applyBorder="1" applyAlignment="1">
      <alignment horizontal="center" vertical="center" wrapText="1"/>
    </xf>
    <xf numFmtId="0" fontId="4" fillId="2" borderId="0" xfId="1" applyFill="1"/>
    <xf numFmtId="39" fontId="6" fillId="3" borderId="0" xfId="0" applyNumberFormat="1" applyFont="1" applyFill="1"/>
    <xf numFmtId="0" fontId="7" fillId="2" borderId="0" xfId="0" applyFont="1" applyFill="1" applyAlignment="1">
      <alignment vertical="center"/>
    </xf>
    <xf numFmtId="0" fontId="7" fillId="0" borderId="0" xfId="0" applyFont="1"/>
    <xf numFmtId="0" fontId="9" fillId="0" borderId="0" xfId="0" applyFont="1" applyAlignment="1">
      <alignment horizontal="left" vertical="top" wrapText="1"/>
    </xf>
    <xf numFmtId="0" fontId="10" fillId="0" borderId="0" xfId="0" applyFont="1" applyAlignment="1"/>
  </cellXfs>
  <cellStyles count="2">
    <cellStyle name="Hyperlink" xfId="1" builtinId="8"/>
    <cellStyle name="Normal" xfId="0" builtinId="0"/>
  </cellStyles>
  <dxfs count="2">
    <dxf>
      <numFmt numFmtId="166" formatCode="&quot;0.00*&quot;"/>
    </dxf>
    <dxf>
      <numFmt numFmtId="166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371475</xdr:colOff>
      <xdr:row>168</xdr:row>
      <xdr:rowOff>85725</xdr:rowOff>
    </xdr:from>
    <xdr:to>
      <xdr:col>2</xdr:col>
      <xdr:colOff>238125</xdr:colOff>
      <xdr:row>182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708421-A4CD-4303-A2BD-1541ED84E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0" y="24250650"/>
          <a:ext cx="3838575" cy="2038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542925</xdr:colOff>
      <xdr:row>187</xdr:row>
      <xdr:rowOff>47625</xdr:rowOff>
    </xdr:from>
    <xdr:to>
      <xdr:col>2</xdr:col>
      <xdr:colOff>142875</xdr:colOff>
      <xdr:row>203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2FB7BE-3027-41DA-B07C-693A47539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8700" y="26927175"/>
          <a:ext cx="3571875" cy="228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75DD4-4EA0-4814-8FF8-E974331864A1}">
  <dimension ref="A1:I390"/>
  <sheetViews>
    <sheetView tabSelected="1" view="pageBreakPreview" zoomScaleNormal="100" zoomScaleSheetLayoutView="100" workbookViewId="0">
      <selection activeCell="B1" sqref="B1:C1"/>
    </sheetView>
  </sheetViews>
  <sheetFormatPr defaultRowHeight="11.25" x14ac:dyDescent="0.2"/>
  <cols>
    <col min="1" max="1" width="7.28515625" style="8" customWidth="1"/>
    <col min="2" max="2" width="59.5703125" style="8" bestFit="1" customWidth="1"/>
    <col min="3" max="3" width="11.5703125" style="8" bestFit="1" customWidth="1"/>
    <col min="4" max="4" width="35.42578125" style="8" bestFit="1" customWidth="1"/>
    <col min="5" max="5" width="15" style="9" bestFit="1" customWidth="1"/>
    <col min="6" max="6" width="14.85546875" style="11" bestFit="1" customWidth="1"/>
    <col min="7" max="7" width="7.28515625" style="14" bestFit="1" customWidth="1"/>
    <col min="8" max="8" width="14" style="8" bestFit="1" customWidth="1"/>
    <col min="9" max="16384" width="9.140625" style="8"/>
  </cols>
  <sheetData>
    <row r="1" spans="1:9" s="1" customFormat="1" ht="16.899999999999999" customHeight="1" x14ac:dyDescent="0.2">
      <c r="B1" s="52" t="s">
        <v>6</v>
      </c>
      <c r="C1" s="53"/>
      <c r="D1" s="13"/>
      <c r="E1" s="6"/>
      <c r="F1" s="7"/>
      <c r="G1" s="14"/>
    </row>
    <row r="2" spans="1:9" s="1" customFormat="1" ht="15" x14ac:dyDescent="0.25">
      <c r="A2" s="48" t="str">
        <f>HYPERLINK("[Fortnightly-Portfolio-ISIN-31-Oct-2025.xls]index!A1","")</f>
        <v/>
      </c>
      <c r="E2" s="6"/>
      <c r="F2" s="7"/>
      <c r="G2" s="14"/>
    </row>
    <row r="3" spans="1:9" s="1" customFormat="1" ht="12" x14ac:dyDescent="0.2">
      <c r="B3" s="10" t="s">
        <v>362</v>
      </c>
      <c r="C3" s="2"/>
      <c r="D3" s="3"/>
      <c r="E3" s="4"/>
      <c r="F3" s="5"/>
      <c r="G3" s="14"/>
    </row>
    <row r="4" spans="1:9" s="1" customFormat="1" ht="25.5" customHeight="1" x14ac:dyDescent="0.2">
      <c r="B4" s="17" t="s">
        <v>4</v>
      </c>
      <c r="C4" s="17" t="s">
        <v>5</v>
      </c>
      <c r="D4" s="18" t="s">
        <v>39</v>
      </c>
      <c r="E4" s="19" t="s">
        <v>0</v>
      </c>
      <c r="F4" s="20" t="s">
        <v>1</v>
      </c>
      <c r="G4" s="21" t="s">
        <v>2</v>
      </c>
      <c r="H4" s="47" t="s">
        <v>3</v>
      </c>
      <c r="I4" s="12"/>
    </row>
    <row r="5" spans="1:9" x14ac:dyDescent="0.2">
      <c r="B5" s="22" t="s">
        <v>15</v>
      </c>
      <c r="C5" s="23"/>
      <c r="D5" s="23"/>
      <c r="E5" s="24"/>
      <c r="F5" s="25"/>
      <c r="G5" s="26"/>
      <c r="H5" s="23"/>
    </row>
    <row r="6" spans="1:9" x14ac:dyDescent="0.2">
      <c r="B6" s="22" t="s">
        <v>14</v>
      </c>
      <c r="C6" s="23"/>
      <c r="D6" s="23"/>
      <c r="E6" s="24"/>
      <c r="F6" s="25"/>
      <c r="G6" s="26"/>
      <c r="H6" s="23"/>
    </row>
    <row r="7" spans="1:9" x14ac:dyDescent="0.2">
      <c r="B7" s="23" t="s">
        <v>49</v>
      </c>
      <c r="C7" s="23" t="s">
        <v>50</v>
      </c>
      <c r="D7" s="23" t="s">
        <v>51</v>
      </c>
      <c r="E7" s="27">
        <v>15762</v>
      </c>
      <c r="F7" s="25">
        <v>390.73998</v>
      </c>
      <c r="G7" s="26">
        <v>2.7006448907041301</v>
      </c>
      <c r="H7" s="23"/>
    </row>
    <row r="8" spans="1:9" x14ac:dyDescent="0.2">
      <c r="B8" s="23" t="s">
        <v>52</v>
      </c>
      <c r="C8" s="23" t="s">
        <v>53</v>
      </c>
      <c r="D8" s="23" t="s">
        <v>21</v>
      </c>
      <c r="E8" s="27">
        <v>5010</v>
      </c>
      <c r="F8" s="25">
        <v>277.75439999999998</v>
      </c>
      <c r="G8" s="26">
        <v>1.9197318923714699</v>
      </c>
      <c r="H8" s="23"/>
    </row>
    <row r="9" spans="1:9" x14ac:dyDescent="0.2">
      <c r="B9" s="23" t="s">
        <v>54</v>
      </c>
      <c r="C9" s="23" t="s">
        <v>55</v>
      </c>
      <c r="D9" s="23" t="s">
        <v>42</v>
      </c>
      <c r="E9" s="27">
        <v>468149</v>
      </c>
      <c r="F9" s="25">
        <v>277.61235699999997</v>
      </c>
      <c r="G9" s="26">
        <v>1.91875014562979</v>
      </c>
      <c r="H9" s="23"/>
    </row>
    <row r="10" spans="1:9" x14ac:dyDescent="0.2">
      <c r="B10" s="23" t="s">
        <v>56</v>
      </c>
      <c r="C10" s="23" t="s">
        <v>57</v>
      </c>
      <c r="D10" s="23" t="s">
        <v>26</v>
      </c>
      <c r="E10" s="27">
        <v>1582</v>
      </c>
      <c r="F10" s="25">
        <v>245.11508000000001</v>
      </c>
      <c r="G10" s="26">
        <v>1.6941414299006099</v>
      </c>
      <c r="H10" s="23"/>
    </row>
    <row r="11" spans="1:9" x14ac:dyDescent="0.2">
      <c r="B11" s="23" t="s">
        <v>58</v>
      </c>
      <c r="C11" s="23" t="s">
        <v>59</v>
      </c>
      <c r="D11" s="23" t="s">
        <v>19</v>
      </c>
      <c r="E11" s="27">
        <v>4142</v>
      </c>
      <c r="F11" s="25">
        <v>245.065572</v>
      </c>
      <c r="G11" s="26">
        <v>1.69379924959121</v>
      </c>
      <c r="H11" s="23"/>
    </row>
    <row r="12" spans="1:9" x14ac:dyDescent="0.2">
      <c r="B12" s="23" t="s">
        <v>60</v>
      </c>
      <c r="C12" s="23" t="s">
        <v>61</v>
      </c>
      <c r="D12" s="23" t="s">
        <v>62</v>
      </c>
      <c r="E12" s="27">
        <v>13016</v>
      </c>
      <c r="F12" s="25">
        <v>232.387664</v>
      </c>
      <c r="G12" s="26">
        <v>1.6061744115467</v>
      </c>
      <c r="H12" s="23"/>
    </row>
    <row r="13" spans="1:9" x14ac:dyDescent="0.2">
      <c r="B13" s="23" t="s">
        <v>63</v>
      </c>
      <c r="C13" s="23" t="s">
        <v>64</v>
      </c>
      <c r="D13" s="23" t="s">
        <v>19</v>
      </c>
      <c r="E13" s="27">
        <v>12902</v>
      </c>
      <c r="F13" s="25">
        <v>229.410462</v>
      </c>
      <c r="G13" s="26">
        <v>1.58559713309699</v>
      </c>
      <c r="H13" s="23"/>
    </row>
    <row r="14" spans="1:9" x14ac:dyDescent="0.2">
      <c r="B14" s="23" t="s">
        <v>65</v>
      </c>
      <c r="C14" s="23" t="s">
        <v>66</v>
      </c>
      <c r="D14" s="23" t="s">
        <v>67</v>
      </c>
      <c r="E14" s="27">
        <v>5216</v>
      </c>
      <c r="F14" s="25">
        <v>226.588256</v>
      </c>
      <c r="G14" s="26">
        <v>1.5660911275574101</v>
      </c>
      <c r="H14" s="23"/>
    </row>
    <row r="15" spans="1:9" x14ac:dyDescent="0.2">
      <c r="B15" s="23" t="s">
        <v>68</v>
      </c>
      <c r="C15" s="23" t="s">
        <v>69</v>
      </c>
      <c r="D15" s="23" t="s">
        <v>16</v>
      </c>
      <c r="E15" s="27">
        <v>94871</v>
      </c>
      <c r="F15" s="25">
        <v>224.4742731</v>
      </c>
      <c r="G15" s="26">
        <v>1.5514800884773501</v>
      </c>
      <c r="H15" s="23"/>
    </row>
    <row r="16" spans="1:9" x14ac:dyDescent="0.2">
      <c r="B16" s="23" t="s">
        <v>70</v>
      </c>
      <c r="C16" s="23" t="s">
        <v>71</v>
      </c>
      <c r="D16" s="23" t="s">
        <v>51</v>
      </c>
      <c r="E16" s="27">
        <v>3923</v>
      </c>
      <c r="F16" s="25">
        <v>211.01817</v>
      </c>
      <c r="G16" s="26">
        <v>1.4584766643439899</v>
      </c>
      <c r="H16" s="23"/>
    </row>
    <row r="17" spans="2:8" x14ac:dyDescent="0.2">
      <c r="B17" s="23" t="s">
        <v>72</v>
      </c>
      <c r="C17" s="23" t="s">
        <v>73</v>
      </c>
      <c r="D17" s="23" t="s">
        <v>16</v>
      </c>
      <c r="E17" s="27">
        <v>255248</v>
      </c>
      <c r="F17" s="25">
        <v>208.71628960000001</v>
      </c>
      <c r="G17" s="26">
        <v>1.4425669498037099</v>
      </c>
      <c r="H17" s="23"/>
    </row>
    <row r="18" spans="2:8" x14ac:dyDescent="0.2">
      <c r="B18" s="23" t="s">
        <v>74</v>
      </c>
      <c r="C18" s="23" t="s">
        <v>75</v>
      </c>
      <c r="D18" s="23" t="s">
        <v>35</v>
      </c>
      <c r="E18" s="27">
        <v>20113</v>
      </c>
      <c r="F18" s="25">
        <v>205.76604649999999</v>
      </c>
      <c r="G18" s="26">
        <v>1.42217600093191</v>
      </c>
      <c r="H18" s="23"/>
    </row>
    <row r="19" spans="2:8" x14ac:dyDescent="0.2">
      <c r="B19" s="23" t="s">
        <v>76</v>
      </c>
      <c r="C19" s="23" t="s">
        <v>77</v>
      </c>
      <c r="D19" s="23" t="s">
        <v>16</v>
      </c>
      <c r="E19" s="27">
        <v>25420</v>
      </c>
      <c r="F19" s="25">
        <v>202.03816</v>
      </c>
      <c r="G19" s="26">
        <v>1.3964102791100701</v>
      </c>
      <c r="H19" s="23"/>
    </row>
    <row r="20" spans="2:8" x14ac:dyDescent="0.2">
      <c r="B20" s="23" t="s">
        <v>78</v>
      </c>
      <c r="C20" s="23" t="s">
        <v>79</v>
      </c>
      <c r="D20" s="23" t="s">
        <v>16</v>
      </c>
      <c r="E20" s="27">
        <v>21721</v>
      </c>
      <c r="F20" s="25">
        <v>190.67779849999999</v>
      </c>
      <c r="G20" s="26">
        <v>1.3178918171868099</v>
      </c>
      <c r="H20" s="23"/>
    </row>
    <row r="21" spans="2:8" x14ac:dyDescent="0.2">
      <c r="B21" s="23" t="s">
        <v>80</v>
      </c>
      <c r="C21" s="23" t="s">
        <v>81</v>
      </c>
      <c r="D21" s="23" t="s">
        <v>18</v>
      </c>
      <c r="E21" s="27">
        <v>51012</v>
      </c>
      <c r="F21" s="25">
        <v>185.47963200000001</v>
      </c>
      <c r="G21" s="26">
        <v>1.2819640838659101</v>
      </c>
      <c r="H21" s="23"/>
    </row>
    <row r="22" spans="2:8" x14ac:dyDescent="0.2">
      <c r="B22" s="23" t="s">
        <v>82</v>
      </c>
      <c r="C22" s="23" t="s">
        <v>83</v>
      </c>
      <c r="D22" s="23" t="s">
        <v>62</v>
      </c>
      <c r="E22" s="27">
        <v>14179</v>
      </c>
      <c r="F22" s="25">
        <v>184.78072800000001</v>
      </c>
      <c r="G22" s="26">
        <v>1.27713352745166</v>
      </c>
      <c r="H22" s="23"/>
    </row>
    <row r="23" spans="2:8" x14ac:dyDescent="0.2">
      <c r="B23" s="23" t="s">
        <v>84</v>
      </c>
      <c r="C23" s="23" t="s">
        <v>85</v>
      </c>
      <c r="D23" s="23" t="s">
        <v>24</v>
      </c>
      <c r="E23" s="27">
        <v>9337</v>
      </c>
      <c r="F23" s="25">
        <v>183.33199500000001</v>
      </c>
      <c r="G23" s="26">
        <v>1.26712044055319</v>
      </c>
      <c r="H23" s="23"/>
    </row>
    <row r="24" spans="2:8" x14ac:dyDescent="0.2">
      <c r="B24" s="23" t="s">
        <v>86</v>
      </c>
      <c r="C24" s="23" t="s">
        <v>87</v>
      </c>
      <c r="D24" s="23" t="s">
        <v>17</v>
      </c>
      <c r="E24" s="27">
        <v>37066</v>
      </c>
      <c r="F24" s="25">
        <v>176.43415999999999</v>
      </c>
      <c r="G24" s="26">
        <v>1.21944525039305</v>
      </c>
      <c r="H24" s="23"/>
    </row>
    <row r="25" spans="2:8" x14ac:dyDescent="0.2">
      <c r="B25" s="23" t="s">
        <v>88</v>
      </c>
      <c r="C25" s="23" t="s">
        <v>89</v>
      </c>
      <c r="D25" s="23" t="s">
        <v>16</v>
      </c>
      <c r="E25" s="27">
        <v>760082</v>
      </c>
      <c r="F25" s="25">
        <v>172.84264680000001</v>
      </c>
      <c r="G25" s="26">
        <v>1.19462208852086</v>
      </c>
      <c r="H25" s="23"/>
    </row>
    <row r="26" spans="2:8" x14ac:dyDescent="0.2">
      <c r="B26" s="23" t="s">
        <v>90</v>
      </c>
      <c r="C26" s="23" t="s">
        <v>91</v>
      </c>
      <c r="D26" s="23" t="s">
        <v>47</v>
      </c>
      <c r="E26" s="27">
        <v>5603</v>
      </c>
      <c r="F26" s="25">
        <v>164.19591500000001</v>
      </c>
      <c r="G26" s="26">
        <v>1.1348591943912201</v>
      </c>
      <c r="H26" s="23"/>
    </row>
    <row r="27" spans="2:8" x14ac:dyDescent="0.2">
      <c r="B27" s="23" t="s">
        <v>92</v>
      </c>
      <c r="C27" s="23" t="s">
        <v>93</v>
      </c>
      <c r="D27" s="23" t="s">
        <v>94</v>
      </c>
      <c r="E27" s="27">
        <v>21944</v>
      </c>
      <c r="F27" s="25">
        <v>158.018744</v>
      </c>
      <c r="G27" s="26">
        <v>1.0921649574202399</v>
      </c>
      <c r="H27" s="23"/>
    </row>
    <row r="28" spans="2:8" x14ac:dyDescent="0.2">
      <c r="B28" s="23" t="s">
        <v>95</v>
      </c>
      <c r="C28" s="23" t="s">
        <v>96</v>
      </c>
      <c r="D28" s="23" t="s">
        <v>34</v>
      </c>
      <c r="E28" s="27">
        <v>10171</v>
      </c>
      <c r="F28" s="25">
        <v>157.29451499999999</v>
      </c>
      <c r="G28" s="26">
        <v>1.08715936431827</v>
      </c>
      <c r="H28" s="23"/>
    </row>
    <row r="29" spans="2:8" x14ac:dyDescent="0.2">
      <c r="B29" s="23" t="s">
        <v>97</v>
      </c>
      <c r="C29" s="23" t="s">
        <v>98</v>
      </c>
      <c r="D29" s="23" t="s">
        <v>99</v>
      </c>
      <c r="E29" s="27">
        <v>110430</v>
      </c>
      <c r="F29" s="25">
        <v>156.29157900000001</v>
      </c>
      <c r="G29" s="26">
        <v>1.08022745531806</v>
      </c>
      <c r="H29" s="23"/>
    </row>
    <row r="30" spans="2:8" x14ac:dyDescent="0.2">
      <c r="B30" s="23" t="s">
        <v>100</v>
      </c>
      <c r="C30" s="23" t="s">
        <v>101</v>
      </c>
      <c r="D30" s="23" t="s">
        <v>67</v>
      </c>
      <c r="E30" s="27">
        <v>1940</v>
      </c>
      <c r="F30" s="25">
        <v>149.45760000000001</v>
      </c>
      <c r="G30" s="26">
        <v>1.03299361334077</v>
      </c>
      <c r="H30" s="23"/>
    </row>
    <row r="31" spans="2:8" x14ac:dyDescent="0.2">
      <c r="B31" s="23" t="s">
        <v>102</v>
      </c>
      <c r="C31" s="23" t="s">
        <v>103</v>
      </c>
      <c r="D31" s="23" t="s">
        <v>36</v>
      </c>
      <c r="E31" s="27">
        <v>20427</v>
      </c>
      <c r="F31" s="25">
        <v>147.06418650000001</v>
      </c>
      <c r="G31" s="26">
        <v>1.0164512571167801</v>
      </c>
      <c r="H31" s="23"/>
    </row>
    <row r="32" spans="2:8" x14ac:dyDescent="0.2">
      <c r="B32" s="23" t="s">
        <v>104</v>
      </c>
      <c r="C32" s="23" t="s">
        <v>105</v>
      </c>
      <c r="D32" s="23" t="s">
        <v>42</v>
      </c>
      <c r="E32" s="27">
        <v>4785</v>
      </c>
      <c r="F32" s="25">
        <v>145.33958999999999</v>
      </c>
      <c r="G32" s="26">
        <v>1.0045315075015699</v>
      </c>
      <c r="H32" s="23"/>
    </row>
    <row r="33" spans="2:8" x14ac:dyDescent="0.2">
      <c r="B33" s="23" t="s">
        <v>106</v>
      </c>
      <c r="C33" s="23" t="s">
        <v>107</v>
      </c>
      <c r="D33" s="23" t="s">
        <v>45</v>
      </c>
      <c r="E33" s="27">
        <v>10291</v>
      </c>
      <c r="F33" s="25">
        <v>136.32487699999999</v>
      </c>
      <c r="G33" s="26">
        <v>0.94222526844045795</v>
      </c>
      <c r="H33" s="23"/>
    </row>
    <row r="34" spans="2:8" x14ac:dyDescent="0.2">
      <c r="B34" s="23" t="s">
        <v>108</v>
      </c>
      <c r="C34" s="23" t="s">
        <v>109</v>
      </c>
      <c r="D34" s="23" t="s">
        <v>23</v>
      </c>
      <c r="E34" s="27">
        <v>32792</v>
      </c>
      <c r="F34" s="25">
        <v>134.43080399999999</v>
      </c>
      <c r="G34" s="26">
        <v>0.92913416225247403</v>
      </c>
      <c r="H34" s="23"/>
    </row>
    <row r="35" spans="2:8" x14ac:dyDescent="0.2">
      <c r="B35" s="23" t="s">
        <v>110</v>
      </c>
      <c r="C35" s="23" t="s">
        <v>111</v>
      </c>
      <c r="D35" s="23" t="s">
        <v>44</v>
      </c>
      <c r="E35" s="27">
        <v>5799</v>
      </c>
      <c r="F35" s="25">
        <v>132.68111999999999</v>
      </c>
      <c r="G35" s="26">
        <v>0.917041017458469</v>
      </c>
      <c r="H35" s="23"/>
    </row>
    <row r="36" spans="2:8" x14ac:dyDescent="0.2">
      <c r="B36" s="23" t="s">
        <v>112</v>
      </c>
      <c r="C36" s="23" t="s">
        <v>113</v>
      </c>
      <c r="D36" s="23" t="s">
        <v>42</v>
      </c>
      <c r="E36" s="27">
        <v>49598</v>
      </c>
      <c r="F36" s="25">
        <v>131.67773020000001</v>
      </c>
      <c r="G36" s="26">
        <v>0.91010597196669496</v>
      </c>
      <c r="H36" s="23"/>
    </row>
    <row r="37" spans="2:8" x14ac:dyDescent="0.2">
      <c r="B37" s="23" t="s">
        <v>114</v>
      </c>
      <c r="C37" s="23" t="s">
        <v>115</v>
      </c>
      <c r="D37" s="23" t="s">
        <v>22</v>
      </c>
      <c r="E37" s="27">
        <v>4139</v>
      </c>
      <c r="F37" s="25">
        <v>131.56639300000001</v>
      </c>
      <c r="G37" s="26">
        <v>0.90933645193875901</v>
      </c>
      <c r="H37" s="23"/>
    </row>
    <row r="38" spans="2:8" x14ac:dyDescent="0.2">
      <c r="B38" s="23" t="s">
        <v>116</v>
      </c>
      <c r="C38" s="23" t="s">
        <v>117</v>
      </c>
      <c r="D38" s="23" t="s">
        <v>23</v>
      </c>
      <c r="E38" s="27">
        <v>52674</v>
      </c>
      <c r="F38" s="25">
        <v>130.5999156</v>
      </c>
      <c r="G38" s="26">
        <v>0.90265653079966601</v>
      </c>
      <c r="H38" s="23"/>
    </row>
    <row r="39" spans="2:8" x14ac:dyDescent="0.2">
      <c r="B39" s="23" t="s">
        <v>118</v>
      </c>
      <c r="C39" s="23" t="s">
        <v>119</v>
      </c>
      <c r="D39" s="23" t="s">
        <v>32</v>
      </c>
      <c r="E39" s="27">
        <v>137714</v>
      </c>
      <c r="F39" s="25">
        <v>129.4098458</v>
      </c>
      <c r="G39" s="26">
        <v>0.89443122474075798</v>
      </c>
      <c r="H39" s="23"/>
    </row>
    <row r="40" spans="2:8" x14ac:dyDescent="0.2">
      <c r="B40" s="23" t="s">
        <v>120</v>
      </c>
      <c r="C40" s="23" t="s">
        <v>121</v>
      </c>
      <c r="D40" s="23" t="s">
        <v>67</v>
      </c>
      <c r="E40" s="27">
        <v>7000</v>
      </c>
      <c r="F40" s="25">
        <v>125.405</v>
      </c>
      <c r="G40" s="26">
        <v>0.86675126645282496</v>
      </c>
      <c r="H40" s="23"/>
    </row>
    <row r="41" spans="2:8" x14ac:dyDescent="0.2">
      <c r="B41" s="23" t="s">
        <v>122</v>
      </c>
      <c r="C41" s="23" t="s">
        <v>123</v>
      </c>
      <c r="D41" s="23" t="s">
        <v>42</v>
      </c>
      <c r="E41" s="27">
        <v>3658</v>
      </c>
      <c r="F41" s="25">
        <v>125.374292</v>
      </c>
      <c r="G41" s="26">
        <v>0.86653902453352205</v>
      </c>
      <c r="H41" s="23"/>
    </row>
    <row r="42" spans="2:8" x14ac:dyDescent="0.2">
      <c r="B42" s="23" t="s">
        <v>124</v>
      </c>
      <c r="C42" s="23" t="s">
        <v>125</v>
      </c>
      <c r="D42" s="23" t="s">
        <v>45</v>
      </c>
      <c r="E42" s="27">
        <v>4121</v>
      </c>
      <c r="F42" s="25">
        <v>124.57783000000001</v>
      </c>
      <c r="G42" s="26">
        <v>0.86103418463733306</v>
      </c>
      <c r="H42" s="23"/>
    </row>
    <row r="43" spans="2:8" x14ac:dyDescent="0.2">
      <c r="B43" s="23" t="s">
        <v>126</v>
      </c>
      <c r="C43" s="23" t="s">
        <v>127</v>
      </c>
      <c r="D43" s="23" t="s">
        <v>24</v>
      </c>
      <c r="E43" s="27">
        <v>10794</v>
      </c>
      <c r="F43" s="25">
        <v>122.932866</v>
      </c>
      <c r="G43" s="26">
        <v>0.84966482432259804</v>
      </c>
      <c r="H43" s="23"/>
    </row>
    <row r="44" spans="2:8" x14ac:dyDescent="0.2">
      <c r="B44" s="23" t="s">
        <v>128</v>
      </c>
      <c r="C44" s="23" t="s">
        <v>129</v>
      </c>
      <c r="D44" s="23" t="s">
        <v>45</v>
      </c>
      <c r="E44" s="27">
        <v>78</v>
      </c>
      <c r="F44" s="25">
        <v>122.8617</v>
      </c>
      <c r="G44" s="26">
        <v>0.84917295222317302</v>
      </c>
      <c r="H44" s="23"/>
    </row>
    <row r="45" spans="2:8" x14ac:dyDescent="0.2">
      <c r="B45" s="23" t="s">
        <v>130</v>
      </c>
      <c r="C45" s="23" t="s">
        <v>131</v>
      </c>
      <c r="D45" s="23" t="s">
        <v>22</v>
      </c>
      <c r="E45" s="27">
        <v>2657</v>
      </c>
      <c r="F45" s="25">
        <v>122.07586499999999</v>
      </c>
      <c r="G45" s="26">
        <v>0.84374156207546802</v>
      </c>
      <c r="H45" s="23"/>
    </row>
    <row r="46" spans="2:8" x14ac:dyDescent="0.2">
      <c r="B46" s="23" t="s">
        <v>132</v>
      </c>
      <c r="C46" s="23" t="s">
        <v>133</v>
      </c>
      <c r="D46" s="23" t="s">
        <v>26</v>
      </c>
      <c r="E46" s="27">
        <v>8787</v>
      </c>
      <c r="F46" s="25">
        <v>121.576932</v>
      </c>
      <c r="G46" s="26">
        <v>0.84029312852317695</v>
      </c>
      <c r="H46" s="23"/>
    </row>
    <row r="47" spans="2:8" x14ac:dyDescent="0.2">
      <c r="B47" s="23" t="s">
        <v>134</v>
      </c>
      <c r="C47" s="23" t="s">
        <v>135</v>
      </c>
      <c r="D47" s="23" t="s">
        <v>19</v>
      </c>
      <c r="E47" s="27">
        <v>4395</v>
      </c>
      <c r="F47" s="25">
        <v>121.49538</v>
      </c>
      <c r="G47" s="26">
        <v>0.83972947237484297</v>
      </c>
      <c r="H47" s="23"/>
    </row>
    <row r="48" spans="2:8" x14ac:dyDescent="0.2">
      <c r="B48" s="23" t="s">
        <v>136</v>
      </c>
      <c r="C48" s="23" t="s">
        <v>137</v>
      </c>
      <c r="D48" s="23" t="s">
        <v>44</v>
      </c>
      <c r="E48" s="27">
        <v>7201</v>
      </c>
      <c r="F48" s="25">
        <v>121.16402600000001</v>
      </c>
      <c r="G48" s="26">
        <v>0.83743928060302997</v>
      </c>
      <c r="H48" s="23"/>
    </row>
    <row r="49" spans="2:8" x14ac:dyDescent="0.2">
      <c r="B49" s="23" t="s">
        <v>138</v>
      </c>
      <c r="C49" s="23" t="s">
        <v>139</v>
      </c>
      <c r="D49" s="23" t="s">
        <v>24</v>
      </c>
      <c r="E49" s="27">
        <v>2173</v>
      </c>
      <c r="F49" s="25">
        <v>119.656245</v>
      </c>
      <c r="G49" s="26">
        <v>0.82701807657381698</v>
      </c>
      <c r="H49" s="23"/>
    </row>
    <row r="50" spans="2:8" x14ac:dyDescent="0.2">
      <c r="B50" s="23" t="s">
        <v>140</v>
      </c>
      <c r="C50" s="23" t="s">
        <v>141</v>
      </c>
      <c r="D50" s="23" t="s">
        <v>16</v>
      </c>
      <c r="E50" s="27">
        <v>13639</v>
      </c>
      <c r="F50" s="25">
        <v>117.118093</v>
      </c>
      <c r="G50" s="26">
        <v>0.80947534334587701</v>
      </c>
      <c r="H50" s="23"/>
    </row>
    <row r="51" spans="2:8" x14ac:dyDescent="0.2">
      <c r="B51" s="23" t="s">
        <v>142</v>
      </c>
      <c r="C51" s="23" t="s">
        <v>143</v>
      </c>
      <c r="D51" s="23" t="s">
        <v>23</v>
      </c>
      <c r="E51" s="27">
        <v>80886</v>
      </c>
      <c r="F51" s="25">
        <v>117.0339534</v>
      </c>
      <c r="G51" s="26">
        <v>0.80889380269870303</v>
      </c>
      <c r="H51" s="23"/>
    </row>
    <row r="52" spans="2:8" x14ac:dyDescent="0.2">
      <c r="B52" s="23" t="s">
        <v>144</v>
      </c>
      <c r="C52" s="23" t="s">
        <v>145</v>
      </c>
      <c r="D52" s="23" t="s">
        <v>46</v>
      </c>
      <c r="E52" s="27">
        <v>5083</v>
      </c>
      <c r="F52" s="25">
        <v>114.01169</v>
      </c>
      <c r="G52" s="26">
        <v>0.78800507713350298</v>
      </c>
      <c r="H52" s="23"/>
    </row>
    <row r="53" spans="2:8" x14ac:dyDescent="0.2">
      <c r="B53" s="23" t="s">
        <v>146</v>
      </c>
      <c r="C53" s="23" t="s">
        <v>147</v>
      </c>
      <c r="D53" s="23" t="s">
        <v>44</v>
      </c>
      <c r="E53" s="27">
        <v>6511</v>
      </c>
      <c r="F53" s="25">
        <v>113.59741699999999</v>
      </c>
      <c r="G53" s="26">
        <v>0.78514178103360899</v>
      </c>
      <c r="H53" s="23"/>
    </row>
    <row r="54" spans="2:8" x14ac:dyDescent="0.2">
      <c r="B54" s="23" t="s">
        <v>148</v>
      </c>
      <c r="C54" s="23" t="s">
        <v>149</v>
      </c>
      <c r="D54" s="23" t="s">
        <v>94</v>
      </c>
      <c r="E54" s="27">
        <v>3127</v>
      </c>
      <c r="F54" s="25">
        <v>111.865298</v>
      </c>
      <c r="G54" s="26">
        <v>0.77317003878332402</v>
      </c>
      <c r="H54" s="23"/>
    </row>
    <row r="55" spans="2:8" x14ac:dyDescent="0.2">
      <c r="B55" s="23" t="s">
        <v>150</v>
      </c>
      <c r="C55" s="23" t="s">
        <v>151</v>
      </c>
      <c r="D55" s="23" t="s">
        <v>46</v>
      </c>
      <c r="E55" s="27">
        <v>22758</v>
      </c>
      <c r="F55" s="25">
        <v>110.95662900000001</v>
      </c>
      <c r="G55" s="26">
        <v>0.76688966713517204</v>
      </c>
      <c r="H55" s="23"/>
    </row>
    <row r="56" spans="2:8" x14ac:dyDescent="0.2">
      <c r="B56" s="23" t="s">
        <v>152</v>
      </c>
      <c r="C56" s="23" t="s">
        <v>153</v>
      </c>
      <c r="D56" s="23" t="s">
        <v>16</v>
      </c>
      <c r="E56" s="27">
        <v>74577</v>
      </c>
      <c r="F56" s="25">
        <v>110.87362589999999</v>
      </c>
      <c r="G56" s="26">
        <v>0.76631598154014402</v>
      </c>
      <c r="H56" s="23"/>
    </row>
    <row r="57" spans="2:8" x14ac:dyDescent="0.2">
      <c r="B57" s="23" t="s">
        <v>154</v>
      </c>
      <c r="C57" s="23" t="s">
        <v>155</v>
      </c>
      <c r="D57" s="23" t="s">
        <v>24</v>
      </c>
      <c r="E57" s="27">
        <v>5812</v>
      </c>
      <c r="F57" s="25">
        <v>109.916544</v>
      </c>
      <c r="G57" s="26">
        <v>0.759700998493821</v>
      </c>
      <c r="H57" s="23"/>
    </row>
    <row r="58" spans="2:8" x14ac:dyDescent="0.2">
      <c r="B58" s="23" t="s">
        <v>156</v>
      </c>
      <c r="C58" s="23" t="s">
        <v>157</v>
      </c>
      <c r="D58" s="23" t="s">
        <v>24</v>
      </c>
      <c r="E58" s="27">
        <v>4364</v>
      </c>
      <c r="F58" s="25">
        <v>104.03776000000001</v>
      </c>
      <c r="G58" s="26">
        <v>0.71906909803369101</v>
      </c>
      <c r="H58" s="23"/>
    </row>
    <row r="59" spans="2:8" x14ac:dyDescent="0.2">
      <c r="B59" s="23" t="s">
        <v>158</v>
      </c>
      <c r="C59" s="23" t="s">
        <v>159</v>
      </c>
      <c r="D59" s="23" t="s">
        <v>25</v>
      </c>
      <c r="E59" s="27">
        <v>122107</v>
      </c>
      <c r="F59" s="25">
        <v>103.5955788</v>
      </c>
      <c r="G59" s="26">
        <v>0.71601291115835497</v>
      </c>
      <c r="H59" s="23"/>
    </row>
    <row r="60" spans="2:8" x14ac:dyDescent="0.2">
      <c r="B60" s="23" t="s">
        <v>160</v>
      </c>
      <c r="C60" s="23" t="s">
        <v>161</v>
      </c>
      <c r="D60" s="23" t="s">
        <v>22</v>
      </c>
      <c r="E60" s="27">
        <v>11568</v>
      </c>
      <c r="F60" s="25">
        <v>101.64223200000001</v>
      </c>
      <c r="G60" s="26">
        <v>0.70251212719661804</v>
      </c>
      <c r="H60" s="23"/>
    </row>
    <row r="61" spans="2:8" x14ac:dyDescent="0.2">
      <c r="B61" s="23" t="s">
        <v>162</v>
      </c>
      <c r="C61" s="23" t="s">
        <v>163</v>
      </c>
      <c r="D61" s="23" t="s">
        <v>164</v>
      </c>
      <c r="E61" s="27">
        <v>133399</v>
      </c>
      <c r="F61" s="25">
        <v>101.1031021</v>
      </c>
      <c r="G61" s="26">
        <v>0.69878586808727206</v>
      </c>
      <c r="H61" s="23"/>
    </row>
    <row r="62" spans="2:8" x14ac:dyDescent="0.2">
      <c r="B62" s="23" t="s">
        <v>165</v>
      </c>
      <c r="C62" s="23" t="s">
        <v>166</v>
      </c>
      <c r="D62" s="23" t="s">
        <v>29</v>
      </c>
      <c r="E62" s="27">
        <v>1615</v>
      </c>
      <c r="F62" s="25">
        <v>100.3561</v>
      </c>
      <c r="G62" s="26">
        <v>0.69362287605172301</v>
      </c>
      <c r="H62" s="23"/>
    </row>
    <row r="63" spans="2:8" x14ac:dyDescent="0.2">
      <c r="B63" s="23" t="s">
        <v>167</v>
      </c>
      <c r="C63" s="23" t="s">
        <v>168</v>
      </c>
      <c r="D63" s="23" t="s">
        <v>169</v>
      </c>
      <c r="E63" s="27">
        <v>243</v>
      </c>
      <c r="F63" s="25">
        <v>100.116</v>
      </c>
      <c r="G63" s="26">
        <v>0.69196339693147002</v>
      </c>
      <c r="H63" s="23"/>
    </row>
    <row r="64" spans="2:8" x14ac:dyDescent="0.2">
      <c r="B64" s="23" t="s">
        <v>170</v>
      </c>
      <c r="C64" s="23" t="s">
        <v>171</v>
      </c>
      <c r="D64" s="23" t="s">
        <v>26</v>
      </c>
      <c r="E64" s="27">
        <v>5008</v>
      </c>
      <c r="F64" s="25">
        <v>97.024991999999997</v>
      </c>
      <c r="G64" s="26">
        <v>0.67059953505502301</v>
      </c>
      <c r="H64" s="23"/>
    </row>
    <row r="65" spans="2:8" x14ac:dyDescent="0.2">
      <c r="B65" s="23" t="s">
        <v>172</v>
      </c>
      <c r="C65" s="23" t="s">
        <v>173</v>
      </c>
      <c r="D65" s="23" t="s">
        <v>94</v>
      </c>
      <c r="E65" s="27">
        <v>4557</v>
      </c>
      <c r="F65" s="25">
        <v>96.818021999999999</v>
      </c>
      <c r="G65" s="26">
        <v>0.66916903778922299</v>
      </c>
      <c r="H65" s="23"/>
    </row>
    <row r="66" spans="2:8" x14ac:dyDescent="0.2">
      <c r="B66" s="23" t="s">
        <v>174</v>
      </c>
      <c r="C66" s="23" t="s">
        <v>175</v>
      </c>
      <c r="D66" s="23" t="s">
        <v>25</v>
      </c>
      <c r="E66" s="27">
        <v>7343</v>
      </c>
      <c r="F66" s="25">
        <v>96.670595000000006</v>
      </c>
      <c r="G66" s="26">
        <v>0.66815007890433498</v>
      </c>
      <c r="H66" s="23"/>
    </row>
    <row r="67" spans="2:8" x14ac:dyDescent="0.2">
      <c r="B67" s="23" t="s">
        <v>176</v>
      </c>
      <c r="C67" s="23" t="s">
        <v>177</v>
      </c>
      <c r="D67" s="23" t="s">
        <v>51</v>
      </c>
      <c r="E67" s="27">
        <v>8905</v>
      </c>
      <c r="F67" s="25">
        <v>96.236334999999997</v>
      </c>
      <c r="G67" s="26">
        <v>0.66514864032557197</v>
      </c>
      <c r="H67" s="23"/>
    </row>
    <row r="68" spans="2:8" x14ac:dyDescent="0.2">
      <c r="B68" s="23" t="s">
        <v>178</v>
      </c>
      <c r="C68" s="23" t="s">
        <v>179</v>
      </c>
      <c r="D68" s="23" t="s">
        <v>67</v>
      </c>
      <c r="E68" s="27">
        <v>2379</v>
      </c>
      <c r="F68" s="25">
        <v>95.921279999999996</v>
      </c>
      <c r="G68" s="26">
        <v>0.66297110099099699</v>
      </c>
      <c r="H68" s="23"/>
    </row>
    <row r="69" spans="2:8" x14ac:dyDescent="0.2">
      <c r="B69" s="23" t="s">
        <v>180</v>
      </c>
      <c r="C69" s="23" t="s">
        <v>181</v>
      </c>
      <c r="D69" s="23" t="s">
        <v>22</v>
      </c>
      <c r="E69" s="27">
        <v>29502</v>
      </c>
      <c r="F69" s="25">
        <v>95.645483999999996</v>
      </c>
      <c r="G69" s="26">
        <v>0.66106490480836799</v>
      </c>
      <c r="H69" s="23"/>
    </row>
    <row r="70" spans="2:8" x14ac:dyDescent="0.2">
      <c r="B70" s="23" t="s">
        <v>182</v>
      </c>
      <c r="C70" s="23" t="s">
        <v>183</v>
      </c>
      <c r="D70" s="23" t="s">
        <v>67</v>
      </c>
      <c r="E70" s="27">
        <v>2492</v>
      </c>
      <c r="F70" s="25">
        <v>95.007499999999993</v>
      </c>
      <c r="G70" s="26">
        <v>0.65665540407094403</v>
      </c>
      <c r="H70" s="23"/>
    </row>
    <row r="71" spans="2:8" x14ac:dyDescent="0.2">
      <c r="B71" s="23" t="s">
        <v>184</v>
      </c>
      <c r="C71" s="23" t="s">
        <v>185</v>
      </c>
      <c r="D71" s="23" t="s">
        <v>28</v>
      </c>
      <c r="E71" s="27">
        <v>12395</v>
      </c>
      <c r="F71" s="25">
        <v>93.421115</v>
      </c>
      <c r="G71" s="26">
        <v>0.64569091933882194</v>
      </c>
      <c r="H71" s="23"/>
    </row>
    <row r="72" spans="2:8" x14ac:dyDescent="0.2">
      <c r="B72" s="23" t="s">
        <v>186</v>
      </c>
      <c r="C72" s="23" t="s">
        <v>187</v>
      </c>
      <c r="D72" s="23" t="s">
        <v>18</v>
      </c>
      <c r="E72" s="27">
        <v>1065623</v>
      </c>
      <c r="F72" s="25">
        <v>93.028887900000001</v>
      </c>
      <c r="G72" s="26">
        <v>0.642979996044997</v>
      </c>
      <c r="H72" s="23"/>
    </row>
    <row r="73" spans="2:8" x14ac:dyDescent="0.2">
      <c r="B73" s="23" t="s">
        <v>188</v>
      </c>
      <c r="C73" s="23" t="s">
        <v>189</v>
      </c>
      <c r="D73" s="23" t="s">
        <v>33</v>
      </c>
      <c r="E73" s="27">
        <v>21051</v>
      </c>
      <c r="F73" s="25">
        <v>91.224508499999999</v>
      </c>
      <c r="G73" s="26">
        <v>0.63050881762219602</v>
      </c>
      <c r="H73" s="23"/>
    </row>
    <row r="74" spans="2:8" x14ac:dyDescent="0.2">
      <c r="B74" s="23" t="s">
        <v>190</v>
      </c>
      <c r="C74" s="23" t="s">
        <v>191</v>
      </c>
      <c r="D74" s="23" t="s">
        <v>40</v>
      </c>
      <c r="E74" s="27">
        <v>15113</v>
      </c>
      <c r="F74" s="25">
        <v>90.353070500000001</v>
      </c>
      <c r="G74" s="26">
        <v>0.62448577236774006</v>
      </c>
      <c r="H74" s="23"/>
    </row>
    <row r="75" spans="2:8" x14ac:dyDescent="0.2">
      <c r="B75" s="23" t="s">
        <v>192</v>
      </c>
      <c r="C75" s="23" t="s">
        <v>193</v>
      </c>
      <c r="D75" s="23" t="s">
        <v>34</v>
      </c>
      <c r="E75" s="27">
        <v>15140</v>
      </c>
      <c r="F75" s="25">
        <v>89.500110000000006</v>
      </c>
      <c r="G75" s="26">
        <v>0.61859043650705403</v>
      </c>
      <c r="H75" s="23"/>
    </row>
    <row r="76" spans="2:8" x14ac:dyDescent="0.2">
      <c r="B76" s="23" t="s">
        <v>194</v>
      </c>
      <c r="C76" s="23" t="s">
        <v>195</v>
      </c>
      <c r="D76" s="23" t="s">
        <v>42</v>
      </c>
      <c r="E76" s="27">
        <v>491</v>
      </c>
      <c r="F76" s="25">
        <v>87.28998</v>
      </c>
      <c r="G76" s="26">
        <v>0.60331486554476899</v>
      </c>
      <c r="H76" s="23"/>
    </row>
    <row r="77" spans="2:8" x14ac:dyDescent="0.2">
      <c r="B77" s="23" t="s">
        <v>196</v>
      </c>
      <c r="C77" s="23" t="s">
        <v>197</v>
      </c>
      <c r="D77" s="23" t="s">
        <v>24</v>
      </c>
      <c r="E77" s="27">
        <v>23182</v>
      </c>
      <c r="F77" s="25">
        <v>86.260221999999999</v>
      </c>
      <c r="G77" s="26">
        <v>0.59619757316695399</v>
      </c>
      <c r="H77" s="23"/>
    </row>
    <row r="78" spans="2:8" x14ac:dyDescent="0.2">
      <c r="B78" s="23" t="s">
        <v>198</v>
      </c>
      <c r="C78" s="23" t="s">
        <v>199</v>
      </c>
      <c r="D78" s="23" t="s">
        <v>45</v>
      </c>
      <c r="E78" s="27">
        <v>6930</v>
      </c>
      <c r="F78" s="25">
        <v>85.599360000000004</v>
      </c>
      <c r="G78" s="26">
        <v>0.59162994846737604</v>
      </c>
      <c r="H78" s="23"/>
    </row>
    <row r="79" spans="2:8" x14ac:dyDescent="0.2">
      <c r="B79" s="23" t="s">
        <v>200</v>
      </c>
      <c r="C79" s="23" t="s">
        <v>201</v>
      </c>
      <c r="D79" s="23" t="s">
        <v>22</v>
      </c>
      <c r="E79" s="27">
        <v>31467</v>
      </c>
      <c r="F79" s="25">
        <v>85.115088299999996</v>
      </c>
      <c r="G79" s="26">
        <v>0.58828284819799104</v>
      </c>
      <c r="H79" s="23"/>
    </row>
    <row r="80" spans="2:8" x14ac:dyDescent="0.2">
      <c r="B80" s="23" t="s">
        <v>202</v>
      </c>
      <c r="C80" s="23" t="s">
        <v>203</v>
      </c>
      <c r="D80" s="23" t="s">
        <v>18</v>
      </c>
      <c r="E80" s="27">
        <v>4533</v>
      </c>
      <c r="F80" s="25">
        <v>85.011882</v>
      </c>
      <c r="G80" s="26">
        <v>0.58756952583260702</v>
      </c>
      <c r="H80" s="23"/>
    </row>
    <row r="81" spans="2:8" x14ac:dyDescent="0.2">
      <c r="B81" s="23" t="s">
        <v>204</v>
      </c>
      <c r="C81" s="23" t="s">
        <v>205</v>
      </c>
      <c r="D81" s="23" t="s">
        <v>40</v>
      </c>
      <c r="E81" s="27">
        <v>11643</v>
      </c>
      <c r="F81" s="25">
        <v>83.678241</v>
      </c>
      <c r="G81" s="26">
        <v>0.57835191069969105</v>
      </c>
      <c r="H81" s="23"/>
    </row>
    <row r="82" spans="2:8" x14ac:dyDescent="0.2">
      <c r="B82" s="23" t="s">
        <v>206</v>
      </c>
      <c r="C82" s="23" t="s">
        <v>207</v>
      </c>
      <c r="D82" s="23" t="s">
        <v>45</v>
      </c>
      <c r="E82" s="27">
        <v>17299</v>
      </c>
      <c r="F82" s="25">
        <v>81.781022500000006</v>
      </c>
      <c r="G82" s="26">
        <v>0.56523906402202495</v>
      </c>
      <c r="H82" s="23"/>
    </row>
    <row r="83" spans="2:8" x14ac:dyDescent="0.2">
      <c r="B83" s="23" t="s">
        <v>208</v>
      </c>
      <c r="C83" s="23" t="s">
        <v>209</v>
      </c>
      <c r="D83" s="23" t="s">
        <v>43</v>
      </c>
      <c r="E83" s="27">
        <v>28928</v>
      </c>
      <c r="F83" s="25">
        <v>81.36</v>
      </c>
      <c r="G83" s="26">
        <v>0.56232911796660301</v>
      </c>
      <c r="H83" s="23"/>
    </row>
    <row r="84" spans="2:8" x14ac:dyDescent="0.2">
      <c r="B84" s="23" t="s">
        <v>210</v>
      </c>
      <c r="C84" s="23" t="s">
        <v>211</v>
      </c>
      <c r="D84" s="23" t="s">
        <v>31</v>
      </c>
      <c r="E84" s="27">
        <v>34611</v>
      </c>
      <c r="F84" s="25">
        <v>81.038195400000006</v>
      </c>
      <c r="G84" s="26">
        <v>0.56010492798533995</v>
      </c>
      <c r="H84" s="23"/>
    </row>
    <row r="85" spans="2:8" x14ac:dyDescent="0.2">
      <c r="B85" s="23" t="s">
        <v>212</v>
      </c>
      <c r="C85" s="23" t="s">
        <v>213</v>
      </c>
      <c r="D85" s="23" t="s">
        <v>44</v>
      </c>
      <c r="E85" s="27">
        <v>4543</v>
      </c>
      <c r="F85" s="25">
        <v>80.788168999999996</v>
      </c>
      <c r="G85" s="26">
        <v>0.55837684139511901</v>
      </c>
      <c r="H85" s="23"/>
    </row>
    <row r="86" spans="2:8" x14ac:dyDescent="0.2">
      <c r="B86" s="23" t="s">
        <v>214</v>
      </c>
      <c r="C86" s="23" t="s">
        <v>215</v>
      </c>
      <c r="D86" s="23" t="s">
        <v>22</v>
      </c>
      <c r="E86" s="27">
        <v>25530</v>
      </c>
      <c r="F86" s="25">
        <v>80.559915000000004</v>
      </c>
      <c r="G86" s="26">
        <v>0.55679923728385605</v>
      </c>
      <c r="H86" s="23"/>
    </row>
    <row r="87" spans="2:8" x14ac:dyDescent="0.2">
      <c r="B87" s="23" t="s">
        <v>216</v>
      </c>
      <c r="C87" s="23" t="s">
        <v>217</v>
      </c>
      <c r="D87" s="23" t="s">
        <v>218</v>
      </c>
      <c r="E87" s="27">
        <v>13125</v>
      </c>
      <c r="F87" s="25">
        <v>79.064999999999998</v>
      </c>
      <c r="G87" s="26">
        <v>0.54646695811245605</v>
      </c>
      <c r="H87" s="23"/>
    </row>
    <row r="88" spans="2:8" x14ac:dyDescent="0.2">
      <c r="B88" s="23" t="s">
        <v>219</v>
      </c>
      <c r="C88" s="23" t="s">
        <v>220</v>
      </c>
      <c r="D88" s="23" t="s">
        <v>19</v>
      </c>
      <c r="E88" s="27">
        <v>916</v>
      </c>
      <c r="F88" s="25">
        <v>77.997399999999999</v>
      </c>
      <c r="G88" s="26">
        <v>0.53908811634326803</v>
      </c>
      <c r="H88" s="23"/>
    </row>
    <row r="89" spans="2:8" x14ac:dyDescent="0.2">
      <c r="B89" s="23" t="s">
        <v>221</v>
      </c>
      <c r="C89" s="23" t="s">
        <v>222</v>
      </c>
      <c r="D89" s="23" t="s">
        <v>40</v>
      </c>
      <c r="E89" s="27">
        <v>35960</v>
      </c>
      <c r="F89" s="25">
        <v>77.990048000000002</v>
      </c>
      <c r="G89" s="26">
        <v>0.53903730213880297</v>
      </c>
      <c r="H89" s="23"/>
    </row>
    <row r="90" spans="2:8" x14ac:dyDescent="0.2">
      <c r="B90" s="23" t="s">
        <v>223</v>
      </c>
      <c r="C90" s="23" t="s">
        <v>224</v>
      </c>
      <c r="D90" s="23" t="s">
        <v>28</v>
      </c>
      <c r="E90" s="27">
        <v>55796</v>
      </c>
      <c r="F90" s="25">
        <v>76.356825999999998</v>
      </c>
      <c r="G90" s="26">
        <v>0.52774909802494296</v>
      </c>
      <c r="H90" s="23"/>
    </row>
    <row r="91" spans="2:8" x14ac:dyDescent="0.2">
      <c r="B91" s="23" t="s">
        <v>225</v>
      </c>
      <c r="C91" s="23" t="s">
        <v>226</v>
      </c>
      <c r="D91" s="23" t="s">
        <v>26</v>
      </c>
      <c r="E91" s="27">
        <v>14847</v>
      </c>
      <c r="F91" s="25">
        <v>75.675158999999994</v>
      </c>
      <c r="G91" s="26">
        <v>0.52303767714420402</v>
      </c>
      <c r="H91" s="23"/>
    </row>
    <row r="92" spans="2:8" x14ac:dyDescent="0.2">
      <c r="B92" s="23" t="s">
        <v>227</v>
      </c>
      <c r="C92" s="23" t="s">
        <v>228</v>
      </c>
      <c r="D92" s="23" t="s">
        <v>19</v>
      </c>
      <c r="E92" s="27">
        <v>6316</v>
      </c>
      <c r="F92" s="25">
        <v>73.688772</v>
      </c>
      <c r="G92" s="26">
        <v>0.50930853199117598</v>
      </c>
      <c r="H92" s="23"/>
    </row>
    <row r="93" spans="2:8" x14ac:dyDescent="0.2">
      <c r="B93" s="23" t="s">
        <v>229</v>
      </c>
      <c r="C93" s="23" t="s">
        <v>230</v>
      </c>
      <c r="D93" s="23" t="s">
        <v>19</v>
      </c>
      <c r="E93" s="27">
        <v>1338</v>
      </c>
      <c r="F93" s="25">
        <v>72.981210000000004</v>
      </c>
      <c r="G93" s="26">
        <v>0.50441813480132003</v>
      </c>
      <c r="H93" s="23"/>
    </row>
    <row r="94" spans="2:8" x14ac:dyDescent="0.2">
      <c r="B94" s="23" t="s">
        <v>231</v>
      </c>
      <c r="C94" s="23" t="s">
        <v>232</v>
      </c>
      <c r="D94" s="23" t="s">
        <v>30</v>
      </c>
      <c r="E94" s="27">
        <v>13299</v>
      </c>
      <c r="F94" s="25">
        <v>72.512797500000005</v>
      </c>
      <c r="G94" s="26">
        <v>0.50118064724024003</v>
      </c>
      <c r="H94" s="23"/>
    </row>
    <row r="95" spans="2:8" x14ac:dyDescent="0.2">
      <c r="B95" s="23" t="s">
        <v>233</v>
      </c>
      <c r="C95" s="23" t="s">
        <v>234</v>
      </c>
      <c r="D95" s="23" t="s">
        <v>20</v>
      </c>
      <c r="E95" s="27">
        <v>21909</v>
      </c>
      <c r="F95" s="25">
        <v>72.036792000000005</v>
      </c>
      <c r="G95" s="26">
        <v>0.49789067977511903</v>
      </c>
      <c r="H95" s="23"/>
    </row>
    <row r="96" spans="2:8" x14ac:dyDescent="0.2">
      <c r="B96" s="23" t="s">
        <v>235</v>
      </c>
      <c r="C96" s="23" t="s">
        <v>236</v>
      </c>
      <c r="D96" s="23" t="s">
        <v>45</v>
      </c>
      <c r="E96" s="27">
        <v>3090</v>
      </c>
      <c r="F96" s="25">
        <v>70.445819999999998</v>
      </c>
      <c r="G96" s="26">
        <v>0.48689449145813801</v>
      </c>
      <c r="H96" s="23"/>
    </row>
    <row r="97" spans="2:8" x14ac:dyDescent="0.2">
      <c r="B97" s="23" t="s">
        <v>237</v>
      </c>
      <c r="C97" s="23" t="s">
        <v>238</v>
      </c>
      <c r="D97" s="23" t="s">
        <v>67</v>
      </c>
      <c r="E97" s="27">
        <v>4751</v>
      </c>
      <c r="F97" s="25">
        <v>68.894250999999997</v>
      </c>
      <c r="G97" s="26">
        <v>0.47617064156587702</v>
      </c>
      <c r="H97" s="23"/>
    </row>
    <row r="98" spans="2:8" x14ac:dyDescent="0.2">
      <c r="B98" s="23" t="s">
        <v>239</v>
      </c>
      <c r="C98" s="23" t="s">
        <v>240</v>
      </c>
      <c r="D98" s="23" t="s">
        <v>24</v>
      </c>
      <c r="E98" s="27">
        <v>5364</v>
      </c>
      <c r="F98" s="25">
        <v>68.187168</v>
      </c>
      <c r="G98" s="26">
        <v>0.47128355504032199</v>
      </c>
      <c r="H98" s="23"/>
    </row>
    <row r="99" spans="2:8" x14ac:dyDescent="0.2">
      <c r="B99" s="23" t="s">
        <v>241</v>
      </c>
      <c r="C99" s="23" t="s">
        <v>242</v>
      </c>
      <c r="D99" s="23" t="s">
        <v>43</v>
      </c>
      <c r="E99" s="27">
        <v>10706</v>
      </c>
      <c r="F99" s="25">
        <v>67.619095999999999</v>
      </c>
      <c r="G99" s="26">
        <v>0.46735725923523902</v>
      </c>
      <c r="H99" s="23"/>
    </row>
    <row r="100" spans="2:8" x14ac:dyDescent="0.2">
      <c r="B100" s="23" t="s">
        <v>243</v>
      </c>
      <c r="C100" s="23" t="s">
        <v>244</v>
      </c>
      <c r="D100" s="23" t="s">
        <v>45</v>
      </c>
      <c r="E100" s="27">
        <v>17566</v>
      </c>
      <c r="F100" s="25">
        <v>67.084553999999997</v>
      </c>
      <c r="G100" s="26">
        <v>0.46366270993120601</v>
      </c>
      <c r="H100" s="23"/>
    </row>
    <row r="101" spans="2:8" x14ac:dyDescent="0.2">
      <c r="B101" s="23" t="s">
        <v>245</v>
      </c>
      <c r="C101" s="23" t="s">
        <v>246</v>
      </c>
      <c r="D101" s="23" t="s">
        <v>22</v>
      </c>
      <c r="E101" s="27">
        <v>11606</v>
      </c>
      <c r="F101" s="25">
        <v>66.264456999999993</v>
      </c>
      <c r="G101" s="26">
        <v>0.45799451397917801</v>
      </c>
      <c r="H101" s="23"/>
    </row>
    <row r="102" spans="2:8" x14ac:dyDescent="0.2">
      <c r="B102" s="23" t="s">
        <v>247</v>
      </c>
      <c r="C102" s="23" t="s">
        <v>248</v>
      </c>
      <c r="D102" s="23" t="s">
        <v>164</v>
      </c>
      <c r="E102" s="27">
        <v>5058</v>
      </c>
      <c r="F102" s="25">
        <v>65.996784000000005</v>
      </c>
      <c r="G102" s="26">
        <v>0.45614446085733101</v>
      </c>
      <c r="H102" s="23"/>
    </row>
    <row r="103" spans="2:8" x14ac:dyDescent="0.2">
      <c r="B103" s="23" t="s">
        <v>249</v>
      </c>
      <c r="C103" s="23" t="s">
        <v>250</v>
      </c>
      <c r="D103" s="23" t="s">
        <v>16</v>
      </c>
      <c r="E103" s="27">
        <v>46901</v>
      </c>
      <c r="F103" s="25">
        <v>65.6051188</v>
      </c>
      <c r="G103" s="26">
        <v>0.45343742120081398</v>
      </c>
      <c r="H103" s="23"/>
    </row>
    <row r="104" spans="2:8" x14ac:dyDescent="0.2">
      <c r="B104" s="23" t="s">
        <v>251</v>
      </c>
      <c r="C104" s="23" t="s">
        <v>252</v>
      </c>
      <c r="D104" s="23" t="s">
        <v>29</v>
      </c>
      <c r="E104" s="27">
        <v>3074</v>
      </c>
      <c r="F104" s="25">
        <v>64.455631999999994</v>
      </c>
      <c r="G104" s="26">
        <v>0.44549260927409001</v>
      </c>
      <c r="H104" s="23"/>
    </row>
    <row r="105" spans="2:8" x14ac:dyDescent="0.2">
      <c r="B105" s="23" t="s">
        <v>253</v>
      </c>
      <c r="C105" s="23" t="s">
        <v>254</v>
      </c>
      <c r="D105" s="23" t="s">
        <v>45</v>
      </c>
      <c r="E105" s="27">
        <v>12495</v>
      </c>
      <c r="F105" s="25">
        <v>62.662424999999999</v>
      </c>
      <c r="G105" s="26">
        <v>0.433098650195408</v>
      </c>
      <c r="H105" s="23"/>
    </row>
    <row r="106" spans="2:8" x14ac:dyDescent="0.2">
      <c r="B106" s="23" t="s">
        <v>255</v>
      </c>
      <c r="C106" s="23" t="s">
        <v>256</v>
      </c>
      <c r="D106" s="23" t="s">
        <v>45</v>
      </c>
      <c r="E106" s="27">
        <v>1553</v>
      </c>
      <c r="F106" s="25">
        <v>62.452342000000002</v>
      </c>
      <c r="G106" s="26">
        <v>0.43164663706746098</v>
      </c>
      <c r="H106" s="23"/>
    </row>
    <row r="107" spans="2:8" x14ac:dyDescent="0.2">
      <c r="B107" s="23" t="s">
        <v>257</v>
      </c>
      <c r="C107" s="23" t="s">
        <v>258</v>
      </c>
      <c r="D107" s="23" t="s">
        <v>51</v>
      </c>
      <c r="E107" s="27">
        <v>6818</v>
      </c>
      <c r="F107" s="25">
        <v>59.643864000000001</v>
      </c>
      <c r="G107" s="26">
        <v>0.41223551419911503</v>
      </c>
      <c r="H107" s="23"/>
    </row>
    <row r="108" spans="2:8" x14ac:dyDescent="0.2">
      <c r="B108" s="23" t="s">
        <v>259</v>
      </c>
      <c r="C108" s="23" t="s">
        <v>260</v>
      </c>
      <c r="D108" s="23" t="s">
        <v>26</v>
      </c>
      <c r="E108" s="27">
        <v>10991</v>
      </c>
      <c r="F108" s="25">
        <v>59.582211000000001</v>
      </c>
      <c r="G108" s="26">
        <v>0.41180939230739999</v>
      </c>
      <c r="H108" s="23"/>
    </row>
    <row r="109" spans="2:8" x14ac:dyDescent="0.2">
      <c r="B109" s="23" t="s">
        <v>261</v>
      </c>
      <c r="C109" s="23" t="s">
        <v>262</v>
      </c>
      <c r="D109" s="23" t="s">
        <v>47</v>
      </c>
      <c r="E109" s="27">
        <v>1577</v>
      </c>
      <c r="F109" s="25">
        <v>59.036572</v>
      </c>
      <c r="G109" s="26">
        <v>0.40803814479513101</v>
      </c>
      <c r="H109" s="23"/>
    </row>
    <row r="110" spans="2:8" x14ac:dyDescent="0.2">
      <c r="B110" s="23" t="s">
        <v>263</v>
      </c>
      <c r="C110" s="23" t="s">
        <v>264</v>
      </c>
      <c r="D110" s="23" t="s">
        <v>48</v>
      </c>
      <c r="E110" s="27">
        <v>3267</v>
      </c>
      <c r="F110" s="25">
        <v>58.462964999999997</v>
      </c>
      <c r="G110" s="26">
        <v>0.40407359319275299</v>
      </c>
      <c r="H110" s="23"/>
    </row>
    <row r="111" spans="2:8" x14ac:dyDescent="0.2">
      <c r="B111" s="23" t="s">
        <v>265</v>
      </c>
      <c r="C111" s="23" t="s">
        <v>266</v>
      </c>
      <c r="D111" s="23" t="s">
        <v>24</v>
      </c>
      <c r="E111" s="27">
        <v>201</v>
      </c>
      <c r="F111" s="25">
        <v>58.279949999999999</v>
      </c>
      <c r="G111" s="26">
        <v>0.40280866370007001</v>
      </c>
      <c r="H111" s="23"/>
    </row>
    <row r="112" spans="2:8" x14ac:dyDescent="0.2">
      <c r="B112" s="23" t="s">
        <v>267</v>
      </c>
      <c r="C112" s="23" t="s">
        <v>268</v>
      </c>
      <c r="D112" s="23" t="s">
        <v>51</v>
      </c>
      <c r="E112" s="27">
        <v>5958</v>
      </c>
      <c r="F112" s="25">
        <v>58.269240000000003</v>
      </c>
      <c r="G112" s="26">
        <v>0.40273464028741801</v>
      </c>
      <c r="H112" s="23"/>
    </row>
    <row r="113" spans="2:8" x14ac:dyDescent="0.2">
      <c r="B113" s="23" t="s">
        <v>269</v>
      </c>
      <c r="C113" s="23" t="s">
        <v>270</v>
      </c>
      <c r="D113" s="23" t="s">
        <v>43</v>
      </c>
      <c r="E113" s="27">
        <v>27073</v>
      </c>
      <c r="F113" s="25">
        <v>57.3785162</v>
      </c>
      <c r="G113" s="26">
        <v>0.39657829897957803</v>
      </c>
      <c r="H113" s="23"/>
    </row>
    <row r="114" spans="2:8" x14ac:dyDescent="0.2">
      <c r="B114" s="23" t="s">
        <v>271</v>
      </c>
      <c r="C114" s="23" t="s">
        <v>272</v>
      </c>
      <c r="D114" s="23" t="s">
        <v>42</v>
      </c>
      <c r="E114" s="27">
        <v>652</v>
      </c>
      <c r="F114" s="25">
        <v>56.53492</v>
      </c>
      <c r="G114" s="26">
        <v>0.39074768556922901</v>
      </c>
      <c r="H114" s="23"/>
    </row>
    <row r="115" spans="2:8" x14ac:dyDescent="0.2">
      <c r="B115" s="23" t="s">
        <v>273</v>
      </c>
      <c r="C115" s="23" t="s">
        <v>274</v>
      </c>
      <c r="D115" s="23" t="s">
        <v>27</v>
      </c>
      <c r="E115" s="27">
        <v>3557</v>
      </c>
      <c r="F115" s="25">
        <v>54.418543</v>
      </c>
      <c r="G115" s="26">
        <v>0.37612009938812302</v>
      </c>
      <c r="H115" s="23"/>
    </row>
    <row r="116" spans="2:8" x14ac:dyDescent="0.2">
      <c r="B116" s="23" t="s">
        <v>275</v>
      </c>
      <c r="C116" s="23" t="s">
        <v>276</v>
      </c>
      <c r="D116" s="23" t="s">
        <v>18</v>
      </c>
      <c r="E116" s="27">
        <v>2903</v>
      </c>
      <c r="F116" s="25">
        <v>54.019024000000002</v>
      </c>
      <c r="G116" s="26">
        <v>0.373358777277984</v>
      </c>
      <c r="H116" s="23"/>
    </row>
    <row r="117" spans="2:8" x14ac:dyDescent="0.2">
      <c r="B117" s="23" t="s">
        <v>277</v>
      </c>
      <c r="C117" s="23" t="s">
        <v>278</v>
      </c>
      <c r="D117" s="23" t="s">
        <v>41</v>
      </c>
      <c r="E117" s="27">
        <v>2787</v>
      </c>
      <c r="F117" s="25">
        <v>50.093538000000002</v>
      </c>
      <c r="G117" s="26">
        <v>0.34622732349270502</v>
      </c>
      <c r="H117" s="23"/>
    </row>
    <row r="118" spans="2:8" x14ac:dyDescent="0.2">
      <c r="B118" s="23" t="s">
        <v>279</v>
      </c>
      <c r="C118" s="23" t="s">
        <v>280</v>
      </c>
      <c r="D118" s="23" t="s">
        <v>47</v>
      </c>
      <c r="E118" s="27">
        <v>812</v>
      </c>
      <c r="F118" s="25">
        <v>48.829619999999998</v>
      </c>
      <c r="G118" s="26">
        <v>0.33749160699661301</v>
      </c>
      <c r="H118" s="23"/>
    </row>
    <row r="119" spans="2:8" x14ac:dyDescent="0.2">
      <c r="B119" s="23" t="s">
        <v>281</v>
      </c>
      <c r="C119" s="23" t="s">
        <v>282</v>
      </c>
      <c r="D119" s="23" t="s">
        <v>46</v>
      </c>
      <c r="E119" s="27">
        <v>365</v>
      </c>
      <c r="F119" s="25">
        <v>48.73115</v>
      </c>
      <c r="G119" s="26">
        <v>0.33681102012043102</v>
      </c>
      <c r="H119" s="23"/>
    </row>
    <row r="120" spans="2:8" x14ac:dyDescent="0.2">
      <c r="B120" s="23" t="s">
        <v>283</v>
      </c>
      <c r="C120" s="23" t="s">
        <v>284</v>
      </c>
      <c r="D120" s="23" t="s">
        <v>67</v>
      </c>
      <c r="E120" s="27">
        <v>1499</v>
      </c>
      <c r="F120" s="25">
        <v>48.716000999999999</v>
      </c>
      <c r="G120" s="26">
        <v>0.33670631604216</v>
      </c>
      <c r="H120" s="23"/>
    </row>
    <row r="121" spans="2:8" x14ac:dyDescent="0.2">
      <c r="B121" s="23" t="s">
        <v>285</v>
      </c>
      <c r="C121" s="23" t="s">
        <v>286</v>
      </c>
      <c r="D121" s="23" t="s">
        <v>99</v>
      </c>
      <c r="E121" s="27">
        <v>1281</v>
      </c>
      <c r="F121" s="25">
        <v>48.505065000000002</v>
      </c>
      <c r="G121" s="26">
        <v>0.335248407305344</v>
      </c>
      <c r="H121" s="23"/>
    </row>
    <row r="122" spans="2:8" x14ac:dyDescent="0.2">
      <c r="B122" s="23" t="s">
        <v>287</v>
      </c>
      <c r="C122" s="23" t="s">
        <v>288</v>
      </c>
      <c r="D122" s="23" t="s">
        <v>289</v>
      </c>
      <c r="E122" s="27">
        <v>1571</v>
      </c>
      <c r="F122" s="25">
        <v>48.350667000000001</v>
      </c>
      <c r="G122" s="26">
        <v>0.33418126754187499</v>
      </c>
      <c r="H122" s="23"/>
    </row>
    <row r="123" spans="2:8" x14ac:dyDescent="0.2">
      <c r="B123" s="23" t="s">
        <v>290</v>
      </c>
      <c r="C123" s="23" t="s">
        <v>291</v>
      </c>
      <c r="D123" s="23" t="s">
        <v>42</v>
      </c>
      <c r="E123" s="27">
        <v>4410</v>
      </c>
      <c r="F123" s="25">
        <v>48.210120000000003</v>
      </c>
      <c r="G123" s="26">
        <v>0.33320986057846702</v>
      </c>
      <c r="H123" s="23"/>
    </row>
    <row r="124" spans="2:8" x14ac:dyDescent="0.2">
      <c r="B124" s="23" t="s">
        <v>292</v>
      </c>
      <c r="C124" s="23" t="s">
        <v>293</v>
      </c>
      <c r="D124" s="23" t="s">
        <v>42</v>
      </c>
      <c r="E124" s="27">
        <v>1495</v>
      </c>
      <c r="F124" s="25">
        <v>48.12106</v>
      </c>
      <c r="G124" s="26">
        <v>0.33259431201349499</v>
      </c>
      <c r="H124" s="23"/>
    </row>
    <row r="125" spans="2:8" x14ac:dyDescent="0.2">
      <c r="B125" s="23" t="s">
        <v>294</v>
      </c>
      <c r="C125" s="23" t="s">
        <v>295</v>
      </c>
      <c r="D125" s="23" t="s">
        <v>35</v>
      </c>
      <c r="E125" s="27">
        <v>7321</v>
      </c>
      <c r="F125" s="25">
        <v>47.593820999999998</v>
      </c>
      <c r="G125" s="26">
        <v>0.32895023824471997</v>
      </c>
      <c r="H125" s="23"/>
    </row>
    <row r="126" spans="2:8" x14ac:dyDescent="0.2">
      <c r="B126" s="23" t="s">
        <v>296</v>
      </c>
      <c r="C126" s="23" t="s">
        <v>297</v>
      </c>
      <c r="D126" s="23" t="s">
        <v>22</v>
      </c>
      <c r="E126" s="27">
        <v>30706</v>
      </c>
      <c r="F126" s="25">
        <v>46.651625799999998</v>
      </c>
      <c r="G126" s="26">
        <v>0.322438146359661</v>
      </c>
      <c r="H126" s="23"/>
    </row>
    <row r="127" spans="2:8" x14ac:dyDescent="0.2">
      <c r="B127" s="23" t="s">
        <v>298</v>
      </c>
      <c r="C127" s="23" t="s">
        <v>299</v>
      </c>
      <c r="D127" s="23" t="s">
        <v>22</v>
      </c>
      <c r="E127" s="27">
        <v>941</v>
      </c>
      <c r="F127" s="25">
        <v>46.383772</v>
      </c>
      <c r="G127" s="26">
        <v>0.32058684361755202</v>
      </c>
      <c r="H127" s="23"/>
    </row>
    <row r="128" spans="2:8" x14ac:dyDescent="0.2">
      <c r="B128" s="23" t="s">
        <v>300</v>
      </c>
      <c r="C128" s="23" t="s">
        <v>301</v>
      </c>
      <c r="D128" s="23" t="s">
        <v>169</v>
      </c>
      <c r="E128" s="27">
        <v>4293</v>
      </c>
      <c r="F128" s="25">
        <v>45.909342000000002</v>
      </c>
      <c r="G128" s="26">
        <v>0.31730776540421701</v>
      </c>
      <c r="H128" s="23"/>
    </row>
    <row r="129" spans="2:8" x14ac:dyDescent="0.2">
      <c r="B129" s="23" t="s">
        <v>302</v>
      </c>
      <c r="C129" s="23" t="s">
        <v>303</v>
      </c>
      <c r="D129" s="23" t="s">
        <v>22</v>
      </c>
      <c r="E129" s="27">
        <v>19369</v>
      </c>
      <c r="F129" s="25">
        <v>45.904530000000001</v>
      </c>
      <c r="G129" s="26">
        <v>0.317274506705647</v>
      </c>
      <c r="H129" s="23"/>
    </row>
    <row r="130" spans="2:8" x14ac:dyDescent="0.2">
      <c r="B130" s="23" t="s">
        <v>304</v>
      </c>
      <c r="C130" s="23" t="s">
        <v>305</v>
      </c>
      <c r="D130" s="23" t="s">
        <v>306</v>
      </c>
      <c r="E130" s="27">
        <v>6623</v>
      </c>
      <c r="F130" s="25">
        <v>45.847717500000002</v>
      </c>
      <c r="G130" s="26">
        <v>0.31688184049357199</v>
      </c>
      <c r="H130" s="23"/>
    </row>
    <row r="131" spans="2:8" x14ac:dyDescent="0.2">
      <c r="B131" s="23" t="s">
        <v>307</v>
      </c>
      <c r="C131" s="23" t="s">
        <v>308</v>
      </c>
      <c r="D131" s="23" t="s">
        <v>47</v>
      </c>
      <c r="E131" s="27">
        <v>2651</v>
      </c>
      <c r="F131" s="25">
        <v>45.819884000000002</v>
      </c>
      <c r="G131" s="26">
        <v>0.31668946601588099</v>
      </c>
      <c r="H131" s="23"/>
    </row>
    <row r="132" spans="2:8" x14ac:dyDescent="0.2">
      <c r="B132" s="23" t="s">
        <v>309</v>
      </c>
      <c r="C132" s="23" t="s">
        <v>310</v>
      </c>
      <c r="D132" s="23" t="s">
        <v>29</v>
      </c>
      <c r="E132" s="27">
        <v>2418</v>
      </c>
      <c r="F132" s="25">
        <v>45.494669999999999</v>
      </c>
      <c r="G132" s="26">
        <v>0.31444171156934198</v>
      </c>
      <c r="H132" s="23"/>
    </row>
    <row r="133" spans="2:8" x14ac:dyDescent="0.2">
      <c r="B133" s="23" t="s">
        <v>311</v>
      </c>
      <c r="C133" s="23" t="s">
        <v>312</v>
      </c>
      <c r="D133" s="23" t="s">
        <v>34</v>
      </c>
      <c r="E133" s="27">
        <v>11935</v>
      </c>
      <c r="F133" s="25">
        <v>44.660769999999999</v>
      </c>
      <c r="G133" s="26">
        <v>0.30867811457484401</v>
      </c>
      <c r="H133" s="23"/>
    </row>
    <row r="134" spans="2:8" x14ac:dyDescent="0.2">
      <c r="B134" s="23" t="s">
        <v>313</v>
      </c>
      <c r="C134" s="23" t="s">
        <v>314</v>
      </c>
      <c r="D134" s="23" t="s">
        <v>306</v>
      </c>
      <c r="E134" s="27">
        <v>1063</v>
      </c>
      <c r="F134" s="25">
        <v>43.782843999999997</v>
      </c>
      <c r="G134" s="26">
        <v>0.30261022675257299</v>
      </c>
      <c r="H134" s="23"/>
    </row>
    <row r="135" spans="2:8" x14ac:dyDescent="0.2">
      <c r="B135" s="23" t="s">
        <v>315</v>
      </c>
      <c r="C135" s="23" t="s">
        <v>316</v>
      </c>
      <c r="D135" s="23" t="s">
        <v>35</v>
      </c>
      <c r="E135" s="27">
        <v>3257</v>
      </c>
      <c r="F135" s="25">
        <v>42.715555000000002</v>
      </c>
      <c r="G135" s="26">
        <v>0.295233534496115</v>
      </c>
      <c r="H135" s="23"/>
    </row>
    <row r="136" spans="2:8" x14ac:dyDescent="0.2">
      <c r="B136" s="23" t="s">
        <v>317</v>
      </c>
      <c r="C136" s="23" t="s">
        <v>318</v>
      </c>
      <c r="D136" s="23" t="s">
        <v>24</v>
      </c>
      <c r="E136" s="27">
        <v>1598</v>
      </c>
      <c r="F136" s="25">
        <v>41.845227999999999</v>
      </c>
      <c r="G136" s="26">
        <v>0.28921816804758399</v>
      </c>
      <c r="H136" s="23"/>
    </row>
    <row r="137" spans="2:8" x14ac:dyDescent="0.2">
      <c r="B137" s="23" t="s">
        <v>319</v>
      </c>
      <c r="C137" s="23" t="s">
        <v>320</v>
      </c>
      <c r="D137" s="23" t="s">
        <v>22</v>
      </c>
      <c r="E137" s="27">
        <v>5017</v>
      </c>
      <c r="F137" s="25">
        <v>40.085830000000001</v>
      </c>
      <c r="G137" s="26">
        <v>0.27705788381095398</v>
      </c>
      <c r="H137" s="23"/>
    </row>
    <row r="138" spans="2:8" x14ac:dyDescent="0.2">
      <c r="B138" s="23" t="s">
        <v>321</v>
      </c>
      <c r="C138" s="23" t="s">
        <v>322</v>
      </c>
      <c r="D138" s="23" t="s">
        <v>24</v>
      </c>
      <c r="E138" s="27">
        <v>1625</v>
      </c>
      <c r="F138" s="25">
        <v>40.061124999999997</v>
      </c>
      <c r="G138" s="26">
        <v>0.27688713232546502</v>
      </c>
      <c r="H138" s="23"/>
    </row>
    <row r="139" spans="2:8" x14ac:dyDescent="0.2">
      <c r="B139" s="23" t="s">
        <v>323</v>
      </c>
      <c r="C139" s="23" t="s">
        <v>324</v>
      </c>
      <c r="D139" s="23" t="s">
        <v>45</v>
      </c>
      <c r="E139" s="27">
        <v>1361</v>
      </c>
      <c r="F139" s="25">
        <v>38.633346000000003</v>
      </c>
      <c r="G139" s="26">
        <v>0.26701887143901898</v>
      </c>
      <c r="H139" s="23"/>
    </row>
    <row r="140" spans="2:8" x14ac:dyDescent="0.2">
      <c r="B140" s="23" t="s">
        <v>325</v>
      </c>
      <c r="C140" s="23" t="s">
        <v>326</v>
      </c>
      <c r="D140" s="23" t="s">
        <v>25</v>
      </c>
      <c r="E140" s="27">
        <v>35852</v>
      </c>
      <c r="F140" s="25">
        <v>36.977752799999998</v>
      </c>
      <c r="G140" s="26">
        <v>0.25557604617024399</v>
      </c>
      <c r="H140" s="23"/>
    </row>
    <row r="141" spans="2:8" x14ac:dyDescent="0.2">
      <c r="B141" s="23" t="s">
        <v>327</v>
      </c>
      <c r="C141" s="23" t="s">
        <v>328</v>
      </c>
      <c r="D141" s="23" t="s">
        <v>32</v>
      </c>
      <c r="E141" s="27">
        <v>12434</v>
      </c>
      <c r="F141" s="25">
        <v>36.039949</v>
      </c>
      <c r="G141" s="26">
        <v>0.249094305957858</v>
      </c>
      <c r="H141" s="23"/>
    </row>
    <row r="142" spans="2:8" x14ac:dyDescent="0.2">
      <c r="B142" s="23" t="s">
        <v>329</v>
      </c>
      <c r="C142" s="23" t="s">
        <v>330</v>
      </c>
      <c r="D142" s="23" t="s">
        <v>16</v>
      </c>
      <c r="E142" s="27">
        <v>60723</v>
      </c>
      <c r="F142" s="25">
        <v>35.844786900000003</v>
      </c>
      <c r="G142" s="26">
        <v>0.24774542036845901</v>
      </c>
      <c r="H142" s="23"/>
    </row>
    <row r="143" spans="2:8" x14ac:dyDescent="0.2">
      <c r="B143" s="23" t="s">
        <v>331</v>
      </c>
      <c r="C143" s="23" t="s">
        <v>332</v>
      </c>
      <c r="D143" s="23" t="s">
        <v>19</v>
      </c>
      <c r="E143" s="27">
        <v>5122</v>
      </c>
      <c r="F143" s="25">
        <v>35.208627999999997</v>
      </c>
      <c r="G143" s="26">
        <v>0.243348534022299</v>
      </c>
      <c r="H143" s="23"/>
    </row>
    <row r="144" spans="2:8" x14ac:dyDescent="0.2">
      <c r="B144" s="23" t="s">
        <v>333</v>
      </c>
      <c r="C144" s="23" t="s">
        <v>334</v>
      </c>
      <c r="D144" s="23" t="s">
        <v>36</v>
      </c>
      <c r="E144" s="27">
        <v>12727</v>
      </c>
      <c r="F144" s="25">
        <v>34.980159499999999</v>
      </c>
      <c r="G144" s="26">
        <v>0.24176944736929801</v>
      </c>
      <c r="H144" s="23"/>
    </row>
    <row r="145" spans="2:9" x14ac:dyDescent="0.2">
      <c r="B145" s="23" t="s">
        <v>335</v>
      </c>
      <c r="C145" s="23" t="s">
        <v>336</v>
      </c>
      <c r="D145" s="23" t="s">
        <v>20</v>
      </c>
      <c r="E145" s="27">
        <v>76566</v>
      </c>
      <c r="F145" s="25">
        <v>34.293911399999999</v>
      </c>
      <c r="G145" s="26">
        <v>0.23702636368223701</v>
      </c>
      <c r="H145" s="23"/>
    </row>
    <row r="146" spans="2:9" x14ac:dyDescent="0.2">
      <c r="B146" s="23" t="s">
        <v>337</v>
      </c>
      <c r="C146" s="23" t="s">
        <v>338</v>
      </c>
      <c r="D146" s="23" t="s">
        <v>25</v>
      </c>
      <c r="E146" s="27">
        <v>12591</v>
      </c>
      <c r="F146" s="25">
        <v>33.026192999999999</v>
      </c>
      <c r="G146" s="26">
        <v>0.22826438027882001</v>
      </c>
      <c r="H146" s="23"/>
    </row>
    <row r="147" spans="2:9" x14ac:dyDescent="0.2">
      <c r="B147" s="23" t="s">
        <v>339</v>
      </c>
      <c r="C147" s="23" t="s">
        <v>340</v>
      </c>
      <c r="D147" s="23" t="s">
        <v>341</v>
      </c>
      <c r="E147" s="27">
        <v>109</v>
      </c>
      <c r="F147" s="25">
        <v>32.220399999999998</v>
      </c>
      <c r="G147" s="26">
        <v>0.22269504808912399</v>
      </c>
      <c r="H147" s="23"/>
    </row>
    <row r="148" spans="2:9" x14ac:dyDescent="0.2">
      <c r="B148" s="23" t="s">
        <v>342</v>
      </c>
      <c r="C148" s="23" t="s">
        <v>343</v>
      </c>
      <c r="D148" s="23" t="s">
        <v>48</v>
      </c>
      <c r="E148" s="27">
        <v>85</v>
      </c>
      <c r="F148" s="25">
        <v>31.02075</v>
      </c>
      <c r="G148" s="26">
        <v>0.21440352736187901</v>
      </c>
      <c r="H148" s="23"/>
    </row>
    <row r="149" spans="2:9" x14ac:dyDescent="0.2">
      <c r="B149" s="23" t="s">
        <v>344</v>
      </c>
      <c r="C149" s="23" t="s">
        <v>345</v>
      </c>
      <c r="D149" s="23" t="s">
        <v>43</v>
      </c>
      <c r="E149" s="27">
        <v>6655</v>
      </c>
      <c r="F149" s="25">
        <v>27.112469999999998</v>
      </c>
      <c r="G149" s="26">
        <v>0.18739099484999999</v>
      </c>
      <c r="H149" s="23"/>
    </row>
    <row r="150" spans="2:9" x14ac:dyDescent="0.2">
      <c r="B150" s="23" t="s">
        <v>346</v>
      </c>
      <c r="C150" s="23" t="s">
        <v>347</v>
      </c>
      <c r="D150" s="23" t="s">
        <v>25</v>
      </c>
      <c r="E150" s="27">
        <v>27607</v>
      </c>
      <c r="F150" s="25">
        <v>24.3024421</v>
      </c>
      <c r="G150" s="26">
        <v>0.16796915966725001</v>
      </c>
      <c r="H150" s="23"/>
    </row>
    <row r="151" spans="2:9" x14ac:dyDescent="0.2">
      <c r="B151" s="23" t="s">
        <v>348</v>
      </c>
      <c r="C151" s="23" t="s">
        <v>349</v>
      </c>
      <c r="D151" s="23" t="s">
        <v>16</v>
      </c>
      <c r="E151" s="27">
        <v>21635</v>
      </c>
      <c r="F151" s="25">
        <v>22.457129999999999</v>
      </c>
      <c r="G151" s="26">
        <v>0.15521507011997701</v>
      </c>
      <c r="H151" s="23"/>
    </row>
    <row r="152" spans="2:9" x14ac:dyDescent="0.2">
      <c r="B152" s="23" t="s">
        <v>350</v>
      </c>
      <c r="C152" s="23" t="s">
        <v>351</v>
      </c>
      <c r="D152" s="23" t="s">
        <v>94</v>
      </c>
      <c r="E152" s="27">
        <v>2404</v>
      </c>
      <c r="F152" s="25">
        <v>21.716533999999999</v>
      </c>
      <c r="G152" s="26">
        <v>0.15009635459085199</v>
      </c>
      <c r="H152" s="23"/>
    </row>
    <row r="153" spans="2:9" x14ac:dyDescent="0.2">
      <c r="B153" s="23" t="s">
        <v>352</v>
      </c>
      <c r="C153" s="23" t="s">
        <v>353</v>
      </c>
      <c r="D153" s="23" t="s">
        <v>341</v>
      </c>
      <c r="E153" s="27">
        <v>1710</v>
      </c>
      <c r="F153" s="25">
        <v>18.893789999999999</v>
      </c>
      <c r="G153" s="26">
        <v>0.130586630601601</v>
      </c>
      <c r="H153" s="23"/>
    </row>
    <row r="154" spans="2:9" x14ac:dyDescent="0.2">
      <c r="B154" s="23" t="s">
        <v>354</v>
      </c>
      <c r="C154" s="23" t="s">
        <v>355</v>
      </c>
      <c r="D154" s="23" t="s">
        <v>34</v>
      </c>
      <c r="E154" s="27">
        <v>9289</v>
      </c>
      <c r="F154" s="25">
        <v>17.3769323</v>
      </c>
      <c r="G154" s="26">
        <v>0.120102691902954</v>
      </c>
      <c r="H154" s="23"/>
    </row>
    <row r="155" spans="2:9" x14ac:dyDescent="0.2">
      <c r="B155" s="23" t="s">
        <v>356</v>
      </c>
      <c r="C155" s="23" t="s">
        <v>357</v>
      </c>
      <c r="D155" s="23" t="s">
        <v>16</v>
      </c>
      <c r="E155" s="27">
        <v>40184</v>
      </c>
      <c r="F155" s="25">
        <v>16.117802399999999</v>
      </c>
      <c r="G155" s="26">
        <v>0.111400068917797</v>
      </c>
      <c r="H155" s="23"/>
    </row>
    <row r="156" spans="2:9" x14ac:dyDescent="0.2">
      <c r="B156" s="23" t="s">
        <v>358</v>
      </c>
      <c r="C156" s="23" t="s">
        <v>359</v>
      </c>
      <c r="D156" s="23" t="s">
        <v>16</v>
      </c>
      <c r="E156" s="27">
        <v>43915</v>
      </c>
      <c r="F156" s="25">
        <v>14.5841715</v>
      </c>
      <c r="G156" s="26">
        <v>0.100800200293371</v>
      </c>
      <c r="H156" s="23"/>
    </row>
    <row r="157" spans="2:9" x14ac:dyDescent="0.2">
      <c r="B157" s="22" t="s">
        <v>7</v>
      </c>
      <c r="C157" s="22"/>
      <c r="D157" s="22"/>
      <c r="E157" s="28"/>
      <c r="F157" s="29">
        <f>SUM(F7:F156)</f>
        <v>14573.983161599999</v>
      </c>
      <c r="G157" s="30">
        <f>SUM(G7:G156)</f>
        <v>100.72978240563731</v>
      </c>
      <c r="H157" s="22"/>
      <c r="I157" s="15"/>
    </row>
    <row r="158" spans="2:9" x14ac:dyDescent="0.2">
      <c r="B158" s="22" t="s">
        <v>37</v>
      </c>
      <c r="C158" s="22"/>
      <c r="D158" s="22"/>
      <c r="E158" s="28"/>
      <c r="F158" s="44" t="s">
        <v>38</v>
      </c>
      <c r="G158" s="45" t="s">
        <v>38</v>
      </c>
      <c r="H158" s="22"/>
      <c r="I158" s="15"/>
    </row>
    <row r="159" spans="2:9" x14ac:dyDescent="0.2">
      <c r="B159" s="22" t="s">
        <v>7</v>
      </c>
      <c r="C159" s="22"/>
      <c r="D159" s="22"/>
      <c r="E159" s="28"/>
      <c r="F159" s="42" t="s">
        <v>38</v>
      </c>
      <c r="G159" s="43" t="s">
        <v>38</v>
      </c>
      <c r="H159" s="22"/>
      <c r="I159" s="15"/>
    </row>
    <row r="160" spans="2:9" x14ac:dyDescent="0.2">
      <c r="B160" s="31" t="s">
        <v>8</v>
      </c>
      <c r="C160" s="31"/>
      <c r="D160" s="31"/>
      <c r="E160" s="32"/>
      <c r="F160" s="33">
        <f>F157</f>
        <v>14573.983161599999</v>
      </c>
      <c r="G160" s="34">
        <f>G157</f>
        <v>100.72978240563731</v>
      </c>
      <c r="H160" s="22"/>
      <c r="I160" s="15"/>
    </row>
    <row r="161" spans="2:9" x14ac:dyDescent="0.2">
      <c r="B161" s="22" t="s">
        <v>9</v>
      </c>
      <c r="C161" s="22"/>
      <c r="D161" s="22"/>
      <c r="E161" s="28"/>
      <c r="F161" s="29">
        <v>167.0674588</v>
      </c>
      <c r="G161" s="30">
        <v>1.15470620388306</v>
      </c>
      <c r="H161" s="35">
        <v>5.4149999999999997E-2</v>
      </c>
      <c r="I161" s="16"/>
    </row>
    <row r="162" spans="2:9" x14ac:dyDescent="0.2">
      <c r="B162" s="23"/>
      <c r="C162" s="23"/>
      <c r="D162" s="23"/>
      <c r="E162" s="24"/>
      <c r="F162" s="25"/>
      <c r="G162" s="26"/>
      <c r="H162" s="23"/>
    </row>
    <row r="163" spans="2:9" x14ac:dyDescent="0.2">
      <c r="B163" s="40" t="s">
        <v>11</v>
      </c>
      <c r="C163" s="40"/>
      <c r="D163" s="40"/>
      <c r="E163" s="41"/>
      <c r="F163" s="29">
        <f>F164-(F157+F161)</f>
        <v>-272.65526249999857</v>
      </c>
      <c r="G163" s="30">
        <f>G164-(G157+G161)</f>
        <v>-1.8844886095203748</v>
      </c>
      <c r="H163" s="22"/>
      <c r="I163" s="15"/>
    </row>
    <row r="164" spans="2:9" x14ac:dyDescent="0.2">
      <c r="B164" s="36" t="s">
        <v>10</v>
      </c>
      <c r="C164" s="36"/>
      <c r="D164" s="36"/>
      <c r="E164" s="37"/>
      <c r="F164" s="38">
        <v>14468.395357900001</v>
      </c>
      <c r="G164" s="39">
        <v>100</v>
      </c>
      <c r="H164" s="46"/>
      <c r="I164" s="15"/>
    </row>
    <row r="166" spans="2:9" x14ac:dyDescent="0.2">
      <c r="B166" s="15" t="s">
        <v>12</v>
      </c>
    </row>
    <row r="168" spans="2:9" x14ac:dyDescent="0.2">
      <c r="B168" s="15" t="s">
        <v>13</v>
      </c>
      <c r="E168" s="8"/>
      <c r="G168" s="49"/>
    </row>
    <row r="169" spans="2:9" x14ac:dyDescent="0.2">
      <c r="E169" s="8"/>
      <c r="G169" s="49"/>
    </row>
    <row r="170" spans="2:9" x14ac:dyDescent="0.2">
      <c r="E170" s="8"/>
      <c r="G170" s="49"/>
    </row>
    <row r="171" spans="2:9" x14ac:dyDescent="0.2">
      <c r="E171" s="8"/>
      <c r="G171" s="49"/>
    </row>
    <row r="172" spans="2:9" x14ac:dyDescent="0.2">
      <c r="E172" s="8"/>
      <c r="G172" s="49"/>
    </row>
    <row r="173" spans="2:9" x14ac:dyDescent="0.2">
      <c r="E173" s="8"/>
      <c r="G173" s="49"/>
    </row>
    <row r="174" spans="2:9" x14ac:dyDescent="0.2">
      <c r="E174" s="8"/>
      <c r="G174" s="49"/>
    </row>
    <row r="175" spans="2:9" x14ac:dyDescent="0.2">
      <c r="E175" s="8"/>
      <c r="G175" s="49"/>
    </row>
    <row r="176" spans="2:9" x14ac:dyDescent="0.2">
      <c r="E176" s="8"/>
      <c r="G176" s="49"/>
    </row>
    <row r="177" spans="2:7" x14ac:dyDescent="0.2">
      <c r="E177" s="8"/>
      <c r="G177" s="49"/>
    </row>
    <row r="178" spans="2:7" x14ac:dyDescent="0.2">
      <c r="E178" s="8"/>
      <c r="G178" s="49"/>
    </row>
    <row r="179" spans="2:7" x14ac:dyDescent="0.2">
      <c r="E179" s="8"/>
      <c r="G179" s="49"/>
    </row>
    <row r="180" spans="2:7" x14ac:dyDescent="0.2">
      <c r="E180" s="8"/>
      <c r="G180" s="49"/>
    </row>
    <row r="181" spans="2:7" x14ac:dyDescent="0.2">
      <c r="E181" s="8"/>
      <c r="G181" s="49"/>
    </row>
    <row r="182" spans="2:7" x14ac:dyDescent="0.2">
      <c r="E182" s="8"/>
      <c r="G182" s="49"/>
    </row>
    <row r="183" spans="2:7" x14ac:dyDescent="0.2">
      <c r="E183" s="8"/>
      <c r="G183" s="49"/>
    </row>
    <row r="184" spans="2:7" x14ac:dyDescent="0.2">
      <c r="E184" s="8"/>
      <c r="G184" s="49"/>
    </row>
    <row r="185" spans="2:7" x14ac:dyDescent="0.2">
      <c r="B185" s="50" t="s">
        <v>360</v>
      </c>
      <c r="E185" s="8"/>
      <c r="G185" s="49"/>
    </row>
    <row r="186" spans="2:7" x14ac:dyDescent="0.2">
      <c r="B186" s="51" t="s">
        <v>361</v>
      </c>
      <c r="E186" s="8"/>
      <c r="G186" s="49"/>
    </row>
    <row r="187" spans="2:7" x14ac:dyDescent="0.2">
      <c r="E187" s="8"/>
      <c r="G187" s="49"/>
    </row>
    <row r="188" spans="2:7" x14ac:dyDescent="0.2">
      <c r="E188" s="8"/>
      <c r="G188" s="49"/>
    </row>
    <row r="189" spans="2:7" x14ac:dyDescent="0.2">
      <c r="E189" s="8"/>
      <c r="G189" s="49"/>
    </row>
    <row r="190" spans="2:7" x14ac:dyDescent="0.2">
      <c r="E190" s="8"/>
      <c r="G190" s="49"/>
    </row>
    <row r="191" spans="2:7" x14ac:dyDescent="0.2">
      <c r="E191" s="8"/>
      <c r="G191" s="49"/>
    </row>
    <row r="192" spans="2:7" x14ac:dyDescent="0.2">
      <c r="E192" s="8"/>
      <c r="G192" s="49"/>
    </row>
    <row r="193" spans="5:7" x14ac:dyDescent="0.2">
      <c r="E193" s="8"/>
      <c r="G193" s="49"/>
    </row>
    <row r="194" spans="5:7" x14ac:dyDescent="0.2">
      <c r="E194" s="8"/>
      <c r="G194" s="49"/>
    </row>
    <row r="195" spans="5:7" x14ac:dyDescent="0.2">
      <c r="E195" s="8"/>
      <c r="G195" s="49"/>
    </row>
    <row r="196" spans="5:7" x14ac:dyDescent="0.2">
      <c r="E196" s="8"/>
      <c r="G196" s="49"/>
    </row>
    <row r="197" spans="5:7" x14ac:dyDescent="0.2">
      <c r="E197" s="8"/>
      <c r="G197" s="49"/>
    </row>
    <row r="198" spans="5:7" x14ac:dyDescent="0.2">
      <c r="E198" s="8"/>
      <c r="G198" s="49"/>
    </row>
    <row r="199" spans="5:7" x14ac:dyDescent="0.2">
      <c r="E199" s="8"/>
      <c r="G199" s="49"/>
    </row>
    <row r="200" spans="5:7" x14ac:dyDescent="0.2">
      <c r="E200" s="8"/>
      <c r="G200" s="49"/>
    </row>
    <row r="201" spans="5:7" x14ac:dyDescent="0.2">
      <c r="E201" s="8"/>
      <c r="G201" s="49"/>
    </row>
    <row r="202" spans="5:7" x14ac:dyDescent="0.2">
      <c r="E202" s="8"/>
      <c r="G202" s="49"/>
    </row>
    <row r="203" spans="5:7" x14ac:dyDescent="0.2">
      <c r="E203" s="8"/>
      <c r="G203" s="49"/>
    </row>
    <row r="204" spans="5:7" x14ac:dyDescent="0.2">
      <c r="E204" s="8"/>
      <c r="G204" s="49"/>
    </row>
    <row r="205" spans="5:7" x14ac:dyDescent="0.2">
      <c r="E205" s="8"/>
      <c r="G205" s="49"/>
    </row>
    <row r="206" spans="5:7" x14ac:dyDescent="0.2">
      <c r="E206" s="8"/>
      <c r="G206" s="49"/>
    </row>
    <row r="207" spans="5:7" x14ac:dyDescent="0.2">
      <c r="E207" s="8"/>
      <c r="G207" s="49"/>
    </row>
    <row r="208" spans="5:7" x14ac:dyDescent="0.2">
      <c r="E208" s="8"/>
      <c r="G208" s="49"/>
    </row>
    <row r="209" spans="5:7" x14ac:dyDescent="0.2">
      <c r="E209" s="8"/>
      <c r="G209" s="49"/>
    </row>
    <row r="210" spans="5:7" x14ac:dyDescent="0.2">
      <c r="E210" s="8"/>
      <c r="G210" s="49"/>
    </row>
    <row r="211" spans="5:7" x14ac:dyDescent="0.2">
      <c r="E211" s="8"/>
      <c r="G211" s="49"/>
    </row>
    <row r="212" spans="5:7" x14ac:dyDescent="0.2">
      <c r="E212" s="8"/>
      <c r="G212" s="49"/>
    </row>
    <row r="213" spans="5:7" x14ac:dyDescent="0.2">
      <c r="E213" s="8"/>
      <c r="G213" s="49"/>
    </row>
    <row r="214" spans="5:7" x14ac:dyDescent="0.2">
      <c r="E214" s="8"/>
      <c r="G214" s="49"/>
    </row>
    <row r="215" spans="5:7" x14ac:dyDescent="0.2">
      <c r="E215" s="8"/>
      <c r="G215" s="49"/>
    </row>
    <row r="216" spans="5:7" x14ac:dyDescent="0.2">
      <c r="E216" s="8"/>
      <c r="G216" s="49"/>
    </row>
    <row r="217" spans="5:7" x14ac:dyDescent="0.2">
      <c r="E217" s="8"/>
      <c r="G217" s="49"/>
    </row>
    <row r="218" spans="5:7" x14ac:dyDescent="0.2">
      <c r="E218" s="8"/>
      <c r="G218" s="49"/>
    </row>
    <row r="219" spans="5:7" x14ac:dyDescent="0.2">
      <c r="E219" s="8"/>
      <c r="G219" s="49"/>
    </row>
    <row r="220" spans="5:7" x14ac:dyDescent="0.2">
      <c r="E220" s="8"/>
      <c r="G220" s="49"/>
    </row>
    <row r="221" spans="5:7" x14ac:dyDescent="0.2">
      <c r="E221" s="8"/>
      <c r="G221" s="49"/>
    </row>
    <row r="222" spans="5:7" x14ac:dyDescent="0.2">
      <c r="E222" s="8"/>
      <c r="G222" s="49"/>
    </row>
    <row r="223" spans="5:7" x14ac:dyDescent="0.2">
      <c r="E223" s="8"/>
      <c r="G223" s="49"/>
    </row>
    <row r="224" spans="5:7" x14ac:dyDescent="0.2">
      <c r="E224" s="8"/>
      <c r="G224" s="49"/>
    </row>
    <row r="225" spans="5:7" x14ac:dyDescent="0.2">
      <c r="E225" s="8"/>
      <c r="G225" s="49"/>
    </row>
    <row r="226" spans="5:7" x14ac:dyDescent="0.2">
      <c r="E226" s="8"/>
      <c r="G226" s="49"/>
    </row>
    <row r="227" spans="5:7" x14ac:dyDescent="0.2">
      <c r="E227" s="8"/>
      <c r="G227" s="49"/>
    </row>
    <row r="228" spans="5:7" x14ac:dyDescent="0.2">
      <c r="E228" s="8"/>
      <c r="G228" s="49"/>
    </row>
    <row r="229" spans="5:7" x14ac:dyDescent="0.2">
      <c r="E229" s="8"/>
      <c r="G229" s="49"/>
    </row>
    <row r="230" spans="5:7" x14ac:dyDescent="0.2">
      <c r="E230" s="8"/>
      <c r="G230" s="49"/>
    </row>
    <row r="231" spans="5:7" x14ac:dyDescent="0.2">
      <c r="E231" s="8"/>
      <c r="G231" s="49"/>
    </row>
    <row r="232" spans="5:7" x14ac:dyDescent="0.2">
      <c r="E232" s="8"/>
      <c r="G232" s="49"/>
    </row>
    <row r="233" spans="5:7" x14ac:dyDescent="0.2">
      <c r="E233" s="8"/>
      <c r="G233" s="49"/>
    </row>
    <row r="234" spans="5:7" x14ac:dyDescent="0.2">
      <c r="E234" s="8"/>
      <c r="G234" s="49"/>
    </row>
    <row r="235" spans="5:7" x14ac:dyDescent="0.2">
      <c r="E235" s="8"/>
      <c r="G235" s="49"/>
    </row>
    <row r="236" spans="5:7" x14ac:dyDescent="0.2">
      <c r="E236" s="8"/>
      <c r="G236" s="49"/>
    </row>
    <row r="237" spans="5:7" x14ac:dyDescent="0.2">
      <c r="E237" s="8"/>
      <c r="G237" s="49"/>
    </row>
    <row r="238" spans="5:7" x14ac:dyDescent="0.2">
      <c r="E238" s="8"/>
      <c r="G238" s="49"/>
    </row>
    <row r="239" spans="5:7" x14ac:dyDescent="0.2">
      <c r="E239" s="8"/>
      <c r="G239" s="49"/>
    </row>
    <row r="240" spans="5:7" x14ac:dyDescent="0.2">
      <c r="E240" s="8"/>
      <c r="G240" s="49"/>
    </row>
    <row r="241" spans="5:7" x14ac:dyDescent="0.2">
      <c r="E241" s="8"/>
      <c r="G241" s="49"/>
    </row>
    <row r="242" spans="5:7" x14ac:dyDescent="0.2">
      <c r="E242" s="8"/>
      <c r="G242" s="49"/>
    </row>
    <row r="243" spans="5:7" x14ac:dyDescent="0.2">
      <c r="E243" s="8"/>
      <c r="G243" s="49"/>
    </row>
    <row r="244" spans="5:7" x14ac:dyDescent="0.2">
      <c r="E244" s="8"/>
      <c r="G244" s="49"/>
    </row>
    <row r="245" spans="5:7" x14ac:dyDescent="0.2">
      <c r="E245" s="8"/>
      <c r="G245" s="49"/>
    </row>
    <row r="246" spans="5:7" x14ac:dyDescent="0.2">
      <c r="E246" s="8"/>
      <c r="G246" s="49"/>
    </row>
    <row r="247" spans="5:7" x14ac:dyDescent="0.2">
      <c r="E247" s="8"/>
      <c r="G247" s="49"/>
    </row>
    <row r="248" spans="5:7" x14ac:dyDescent="0.2">
      <c r="E248" s="8"/>
      <c r="G248" s="49"/>
    </row>
    <row r="249" spans="5:7" x14ac:dyDescent="0.2">
      <c r="E249" s="8"/>
      <c r="G249" s="49"/>
    </row>
    <row r="250" spans="5:7" x14ac:dyDescent="0.2">
      <c r="E250" s="8"/>
      <c r="G250" s="49"/>
    </row>
    <row r="251" spans="5:7" x14ac:dyDescent="0.2">
      <c r="E251" s="8"/>
      <c r="G251" s="49"/>
    </row>
    <row r="252" spans="5:7" x14ac:dyDescent="0.2">
      <c r="E252" s="8"/>
      <c r="G252" s="49"/>
    </row>
    <row r="253" spans="5:7" x14ac:dyDescent="0.2">
      <c r="E253" s="8"/>
      <c r="G253" s="49"/>
    </row>
    <row r="254" spans="5:7" x14ac:dyDescent="0.2">
      <c r="E254" s="8"/>
      <c r="G254" s="49"/>
    </row>
    <row r="255" spans="5:7" x14ac:dyDescent="0.2">
      <c r="E255" s="8"/>
      <c r="G255" s="49"/>
    </row>
    <row r="256" spans="5:7" x14ac:dyDescent="0.2">
      <c r="E256" s="8"/>
      <c r="G256" s="49"/>
    </row>
    <row r="257" spans="5:7" x14ac:dyDescent="0.2">
      <c r="E257" s="8"/>
      <c r="G257" s="49"/>
    </row>
    <row r="258" spans="5:7" x14ac:dyDescent="0.2">
      <c r="E258" s="8"/>
      <c r="G258" s="49"/>
    </row>
    <row r="259" spans="5:7" x14ac:dyDescent="0.2">
      <c r="E259" s="8"/>
      <c r="G259" s="49"/>
    </row>
    <row r="260" spans="5:7" x14ac:dyDescent="0.2">
      <c r="E260" s="8"/>
      <c r="G260" s="49"/>
    </row>
    <row r="261" spans="5:7" x14ac:dyDescent="0.2">
      <c r="E261" s="8"/>
      <c r="G261" s="49"/>
    </row>
    <row r="262" spans="5:7" x14ac:dyDescent="0.2">
      <c r="E262" s="8"/>
      <c r="G262" s="49"/>
    </row>
    <row r="263" spans="5:7" x14ac:dyDescent="0.2">
      <c r="E263" s="8"/>
      <c r="G263" s="49"/>
    </row>
    <row r="264" spans="5:7" x14ac:dyDescent="0.2">
      <c r="E264" s="8"/>
      <c r="G264" s="49"/>
    </row>
    <row r="265" spans="5:7" x14ac:dyDescent="0.2">
      <c r="E265" s="8"/>
      <c r="G265" s="49"/>
    </row>
    <row r="266" spans="5:7" x14ac:dyDescent="0.2">
      <c r="E266" s="8"/>
      <c r="G266" s="49"/>
    </row>
    <row r="267" spans="5:7" x14ac:dyDescent="0.2">
      <c r="E267" s="8"/>
      <c r="G267" s="49"/>
    </row>
    <row r="268" spans="5:7" x14ac:dyDescent="0.2">
      <c r="E268" s="8"/>
      <c r="G268" s="49"/>
    </row>
    <row r="269" spans="5:7" x14ac:dyDescent="0.2">
      <c r="E269" s="8"/>
      <c r="G269" s="49"/>
    </row>
    <row r="270" spans="5:7" x14ac:dyDescent="0.2">
      <c r="E270" s="8"/>
      <c r="G270" s="49"/>
    </row>
    <row r="271" spans="5:7" x14ac:dyDescent="0.2">
      <c r="E271" s="8"/>
      <c r="G271" s="49"/>
    </row>
    <row r="272" spans="5:7" x14ac:dyDescent="0.2">
      <c r="E272" s="8"/>
      <c r="G272" s="49"/>
    </row>
    <row r="273" spans="5:7" x14ac:dyDescent="0.2">
      <c r="E273" s="8"/>
      <c r="G273" s="49"/>
    </row>
    <row r="274" spans="5:7" x14ac:dyDescent="0.2">
      <c r="E274" s="8"/>
      <c r="G274" s="49"/>
    </row>
    <row r="275" spans="5:7" x14ac:dyDescent="0.2">
      <c r="E275" s="8"/>
      <c r="G275" s="49"/>
    </row>
    <row r="276" spans="5:7" x14ac:dyDescent="0.2">
      <c r="E276" s="8"/>
      <c r="G276" s="49"/>
    </row>
    <row r="277" spans="5:7" x14ac:dyDescent="0.2">
      <c r="E277" s="8"/>
      <c r="G277" s="49"/>
    </row>
    <row r="278" spans="5:7" x14ac:dyDescent="0.2">
      <c r="E278" s="8"/>
      <c r="G278" s="49"/>
    </row>
    <row r="279" spans="5:7" x14ac:dyDescent="0.2">
      <c r="E279" s="8"/>
      <c r="G279" s="49"/>
    </row>
    <row r="280" spans="5:7" x14ac:dyDescent="0.2">
      <c r="E280" s="8"/>
      <c r="G280" s="49"/>
    </row>
    <row r="281" spans="5:7" x14ac:dyDescent="0.2">
      <c r="E281" s="8"/>
      <c r="G281" s="49"/>
    </row>
    <row r="282" spans="5:7" x14ac:dyDescent="0.2">
      <c r="E282" s="8"/>
      <c r="G282" s="49"/>
    </row>
    <row r="283" spans="5:7" x14ac:dyDescent="0.2">
      <c r="E283" s="8"/>
      <c r="G283" s="49"/>
    </row>
    <row r="284" spans="5:7" x14ac:dyDescent="0.2">
      <c r="E284" s="8"/>
      <c r="G284" s="49"/>
    </row>
    <row r="285" spans="5:7" x14ac:dyDescent="0.2">
      <c r="E285" s="8"/>
      <c r="G285" s="49"/>
    </row>
    <row r="286" spans="5:7" x14ac:dyDescent="0.2">
      <c r="E286" s="8"/>
      <c r="G286" s="49"/>
    </row>
    <row r="287" spans="5:7" x14ac:dyDescent="0.2">
      <c r="E287" s="8"/>
      <c r="G287" s="49"/>
    </row>
    <row r="288" spans="5:7" x14ac:dyDescent="0.2">
      <c r="E288" s="8"/>
      <c r="G288" s="49"/>
    </row>
    <row r="289" spans="5:7" x14ac:dyDescent="0.2">
      <c r="E289" s="8"/>
      <c r="G289" s="49"/>
    </row>
    <row r="290" spans="5:7" x14ac:dyDescent="0.2">
      <c r="E290" s="8"/>
      <c r="G290" s="49"/>
    </row>
    <row r="291" spans="5:7" x14ac:dyDescent="0.2">
      <c r="E291" s="8"/>
      <c r="G291" s="49"/>
    </row>
    <row r="292" spans="5:7" x14ac:dyDescent="0.2">
      <c r="E292" s="8"/>
      <c r="G292" s="49"/>
    </row>
    <row r="293" spans="5:7" x14ac:dyDescent="0.2">
      <c r="E293" s="8"/>
      <c r="G293" s="49"/>
    </row>
    <row r="294" spans="5:7" x14ac:dyDescent="0.2">
      <c r="E294" s="8"/>
      <c r="G294" s="49"/>
    </row>
    <row r="295" spans="5:7" x14ac:dyDescent="0.2">
      <c r="E295" s="8"/>
      <c r="G295" s="49"/>
    </row>
    <row r="296" spans="5:7" x14ac:dyDescent="0.2">
      <c r="E296" s="8"/>
      <c r="G296" s="49"/>
    </row>
    <row r="297" spans="5:7" x14ac:dyDescent="0.2">
      <c r="E297" s="8"/>
      <c r="G297" s="49"/>
    </row>
    <row r="298" spans="5:7" x14ac:dyDescent="0.2">
      <c r="E298" s="8"/>
      <c r="G298" s="49"/>
    </row>
    <row r="299" spans="5:7" x14ac:dyDescent="0.2">
      <c r="E299" s="8"/>
      <c r="G299" s="49"/>
    </row>
    <row r="300" spans="5:7" x14ac:dyDescent="0.2">
      <c r="E300" s="8"/>
      <c r="G300" s="49"/>
    </row>
    <row r="301" spans="5:7" x14ac:dyDescent="0.2">
      <c r="E301" s="8"/>
      <c r="G301" s="49"/>
    </row>
    <row r="302" spans="5:7" x14ac:dyDescent="0.2">
      <c r="E302" s="8"/>
      <c r="G302" s="49"/>
    </row>
    <row r="303" spans="5:7" x14ac:dyDescent="0.2">
      <c r="E303" s="8"/>
      <c r="G303" s="49"/>
    </row>
    <row r="304" spans="5:7" x14ac:dyDescent="0.2">
      <c r="E304" s="8"/>
      <c r="G304" s="49"/>
    </row>
    <row r="305" spans="5:7" x14ac:dyDescent="0.2">
      <c r="E305" s="8"/>
      <c r="G305" s="49"/>
    </row>
    <row r="306" spans="5:7" x14ac:dyDescent="0.2">
      <c r="E306" s="8"/>
      <c r="G306" s="49"/>
    </row>
    <row r="307" spans="5:7" x14ac:dyDescent="0.2">
      <c r="E307" s="8"/>
      <c r="G307" s="49"/>
    </row>
    <row r="308" spans="5:7" x14ac:dyDescent="0.2">
      <c r="E308" s="8"/>
      <c r="G308" s="49"/>
    </row>
    <row r="309" spans="5:7" x14ac:dyDescent="0.2">
      <c r="E309" s="8"/>
      <c r="G309" s="49"/>
    </row>
    <row r="310" spans="5:7" x14ac:dyDescent="0.2">
      <c r="E310" s="8"/>
      <c r="G310" s="49"/>
    </row>
    <row r="311" spans="5:7" x14ac:dyDescent="0.2">
      <c r="E311" s="8"/>
      <c r="G311" s="49"/>
    </row>
    <row r="312" spans="5:7" x14ac:dyDescent="0.2">
      <c r="E312" s="8"/>
      <c r="G312" s="49"/>
    </row>
    <row r="313" spans="5:7" x14ac:dyDescent="0.2">
      <c r="E313" s="8"/>
      <c r="G313" s="49"/>
    </row>
    <row r="314" spans="5:7" x14ac:dyDescent="0.2">
      <c r="E314" s="8"/>
      <c r="G314" s="49"/>
    </row>
    <row r="315" spans="5:7" x14ac:dyDescent="0.2">
      <c r="E315" s="8"/>
      <c r="G315" s="49"/>
    </row>
    <row r="316" spans="5:7" x14ac:dyDescent="0.2">
      <c r="E316" s="8"/>
      <c r="G316" s="49"/>
    </row>
    <row r="317" spans="5:7" x14ac:dyDescent="0.2">
      <c r="E317" s="8"/>
      <c r="G317" s="49"/>
    </row>
    <row r="318" spans="5:7" x14ac:dyDescent="0.2">
      <c r="E318" s="8"/>
      <c r="G318" s="49"/>
    </row>
    <row r="319" spans="5:7" x14ac:dyDescent="0.2">
      <c r="E319" s="8"/>
      <c r="G319" s="49"/>
    </row>
    <row r="320" spans="5:7" x14ac:dyDescent="0.2">
      <c r="E320" s="8"/>
      <c r="G320" s="49"/>
    </row>
    <row r="321" spans="5:7" x14ac:dyDescent="0.2">
      <c r="E321" s="8"/>
      <c r="G321" s="49"/>
    </row>
    <row r="322" spans="5:7" x14ac:dyDescent="0.2">
      <c r="E322" s="8"/>
      <c r="G322" s="49"/>
    </row>
    <row r="323" spans="5:7" x14ac:dyDescent="0.2">
      <c r="E323" s="8"/>
      <c r="G323" s="49"/>
    </row>
    <row r="324" spans="5:7" x14ac:dyDescent="0.2">
      <c r="E324" s="8"/>
      <c r="G324" s="49"/>
    </row>
    <row r="325" spans="5:7" x14ac:dyDescent="0.2">
      <c r="E325" s="8"/>
      <c r="G325" s="49"/>
    </row>
    <row r="326" spans="5:7" x14ac:dyDescent="0.2">
      <c r="E326" s="8"/>
      <c r="G326" s="49"/>
    </row>
    <row r="327" spans="5:7" x14ac:dyDescent="0.2">
      <c r="E327" s="8"/>
      <c r="G327" s="49"/>
    </row>
    <row r="328" spans="5:7" x14ac:dyDescent="0.2">
      <c r="E328" s="8"/>
      <c r="G328" s="49"/>
    </row>
    <row r="329" spans="5:7" x14ac:dyDescent="0.2">
      <c r="E329" s="8"/>
      <c r="G329" s="49"/>
    </row>
    <row r="330" spans="5:7" x14ac:dyDescent="0.2">
      <c r="E330" s="8"/>
      <c r="G330" s="49"/>
    </row>
    <row r="331" spans="5:7" x14ac:dyDescent="0.2">
      <c r="E331" s="8"/>
      <c r="G331" s="49"/>
    </row>
    <row r="332" spans="5:7" x14ac:dyDescent="0.2">
      <c r="E332" s="8"/>
      <c r="G332" s="49"/>
    </row>
    <row r="333" spans="5:7" x14ac:dyDescent="0.2">
      <c r="E333" s="8"/>
      <c r="G333" s="49"/>
    </row>
    <row r="334" spans="5:7" x14ac:dyDescent="0.2">
      <c r="E334" s="8"/>
      <c r="G334" s="49"/>
    </row>
    <row r="335" spans="5:7" x14ac:dyDescent="0.2">
      <c r="E335" s="8"/>
      <c r="G335" s="49"/>
    </row>
    <row r="336" spans="5:7" x14ac:dyDescent="0.2">
      <c r="E336" s="8"/>
      <c r="G336" s="49"/>
    </row>
    <row r="337" spans="5:7" x14ac:dyDescent="0.2">
      <c r="E337" s="8"/>
      <c r="G337" s="49"/>
    </row>
    <row r="338" spans="5:7" x14ac:dyDescent="0.2">
      <c r="E338" s="8"/>
      <c r="G338" s="49"/>
    </row>
    <row r="339" spans="5:7" x14ac:dyDescent="0.2">
      <c r="E339" s="8"/>
      <c r="G339" s="49"/>
    </row>
    <row r="340" spans="5:7" x14ac:dyDescent="0.2">
      <c r="E340" s="8"/>
      <c r="G340" s="49"/>
    </row>
    <row r="341" spans="5:7" x14ac:dyDescent="0.2">
      <c r="E341" s="8"/>
      <c r="G341" s="49"/>
    </row>
    <row r="342" spans="5:7" x14ac:dyDescent="0.2">
      <c r="E342" s="8"/>
      <c r="G342" s="49"/>
    </row>
    <row r="343" spans="5:7" x14ac:dyDescent="0.2">
      <c r="E343" s="8"/>
      <c r="G343" s="49"/>
    </row>
    <row r="344" spans="5:7" x14ac:dyDescent="0.2">
      <c r="E344" s="8"/>
      <c r="G344" s="49"/>
    </row>
    <row r="345" spans="5:7" x14ac:dyDescent="0.2">
      <c r="E345" s="8"/>
      <c r="G345" s="49"/>
    </row>
    <row r="346" spans="5:7" x14ac:dyDescent="0.2">
      <c r="E346" s="8"/>
      <c r="G346" s="49"/>
    </row>
    <row r="347" spans="5:7" x14ac:dyDescent="0.2">
      <c r="E347" s="8"/>
      <c r="G347" s="49"/>
    </row>
    <row r="348" spans="5:7" x14ac:dyDescent="0.2">
      <c r="E348" s="8"/>
      <c r="G348" s="49"/>
    </row>
    <row r="349" spans="5:7" x14ac:dyDescent="0.2">
      <c r="E349" s="8"/>
      <c r="G349" s="49"/>
    </row>
    <row r="350" spans="5:7" x14ac:dyDescent="0.2">
      <c r="E350" s="8"/>
      <c r="G350" s="49"/>
    </row>
    <row r="351" spans="5:7" x14ac:dyDescent="0.2">
      <c r="E351" s="8"/>
      <c r="G351" s="49"/>
    </row>
    <row r="352" spans="5:7" x14ac:dyDescent="0.2">
      <c r="E352" s="8"/>
      <c r="G352" s="49"/>
    </row>
    <row r="353" spans="5:7" x14ac:dyDescent="0.2">
      <c r="E353" s="8"/>
      <c r="G353" s="49"/>
    </row>
    <row r="354" spans="5:7" x14ac:dyDescent="0.2">
      <c r="E354" s="8"/>
      <c r="G354" s="49"/>
    </row>
    <row r="355" spans="5:7" x14ac:dyDescent="0.2">
      <c r="E355" s="8"/>
      <c r="G355" s="49"/>
    </row>
    <row r="356" spans="5:7" x14ac:dyDescent="0.2">
      <c r="E356" s="8"/>
      <c r="G356" s="49"/>
    </row>
    <row r="357" spans="5:7" x14ac:dyDescent="0.2">
      <c r="E357" s="8"/>
      <c r="G357" s="49"/>
    </row>
    <row r="358" spans="5:7" x14ac:dyDescent="0.2">
      <c r="E358" s="8"/>
      <c r="G358" s="49"/>
    </row>
    <row r="359" spans="5:7" x14ac:dyDescent="0.2">
      <c r="E359" s="8"/>
      <c r="G359" s="49"/>
    </row>
    <row r="360" spans="5:7" x14ac:dyDescent="0.2">
      <c r="E360" s="8"/>
      <c r="G360" s="49"/>
    </row>
    <row r="361" spans="5:7" x14ac:dyDescent="0.2">
      <c r="E361" s="8"/>
      <c r="G361" s="49"/>
    </row>
    <row r="362" spans="5:7" x14ac:dyDescent="0.2">
      <c r="E362" s="8"/>
      <c r="G362" s="49"/>
    </row>
    <row r="363" spans="5:7" x14ac:dyDescent="0.2">
      <c r="E363" s="8"/>
      <c r="G363" s="49"/>
    </row>
    <row r="364" spans="5:7" x14ac:dyDescent="0.2">
      <c r="E364" s="8"/>
      <c r="G364" s="49"/>
    </row>
    <row r="365" spans="5:7" x14ac:dyDescent="0.2">
      <c r="E365" s="8"/>
      <c r="G365" s="49"/>
    </row>
    <row r="366" spans="5:7" x14ac:dyDescent="0.2">
      <c r="E366" s="8"/>
      <c r="G366" s="49"/>
    </row>
    <row r="367" spans="5:7" x14ac:dyDescent="0.2">
      <c r="E367" s="8"/>
      <c r="G367" s="49"/>
    </row>
    <row r="368" spans="5:7" x14ac:dyDescent="0.2">
      <c r="E368" s="8"/>
      <c r="G368" s="49"/>
    </row>
    <row r="369" spans="5:7" x14ac:dyDescent="0.2">
      <c r="E369" s="8"/>
      <c r="G369" s="49"/>
    </row>
    <row r="370" spans="5:7" x14ac:dyDescent="0.2">
      <c r="E370" s="8"/>
      <c r="G370" s="49"/>
    </row>
    <row r="371" spans="5:7" x14ac:dyDescent="0.2">
      <c r="E371" s="8"/>
      <c r="G371" s="49"/>
    </row>
    <row r="372" spans="5:7" x14ac:dyDescent="0.2">
      <c r="E372" s="8"/>
      <c r="G372" s="49"/>
    </row>
    <row r="373" spans="5:7" x14ac:dyDescent="0.2">
      <c r="E373" s="8"/>
      <c r="G373" s="49"/>
    </row>
    <row r="374" spans="5:7" x14ac:dyDescent="0.2">
      <c r="E374" s="8"/>
      <c r="G374" s="49"/>
    </row>
    <row r="375" spans="5:7" x14ac:dyDescent="0.2">
      <c r="E375" s="8"/>
      <c r="G375" s="49"/>
    </row>
    <row r="376" spans="5:7" x14ac:dyDescent="0.2">
      <c r="E376" s="8"/>
      <c r="G376" s="49"/>
    </row>
    <row r="377" spans="5:7" x14ac:dyDescent="0.2">
      <c r="E377" s="8"/>
      <c r="G377" s="49"/>
    </row>
    <row r="378" spans="5:7" x14ac:dyDescent="0.2">
      <c r="E378" s="8"/>
      <c r="G378" s="49"/>
    </row>
    <row r="379" spans="5:7" x14ac:dyDescent="0.2">
      <c r="E379" s="8"/>
      <c r="G379" s="49"/>
    </row>
    <row r="380" spans="5:7" x14ac:dyDescent="0.2">
      <c r="E380" s="8"/>
      <c r="G380" s="49"/>
    </row>
    <row r="381" spans="5:7" x14ac:dyDescent="0.2">
      <c r="E381" s="8"/>
      <c r="G381" s="49"/>
    </row>
    <row r="382" spans="5:7" x14ac:dyDescent="0.2">
      <c r="E382" s="8"/>
      <c r="G382" s="49"/>
    </row>
    <row r="383" spans="5:7" x14ac:dyDescent="0.2">
      <c r="E383" s="8"/>
      <c r="G383" s="49"/>
    </row>
    <row r="384" spans="5:7" x14ac:dyDescent="0.2">
      <c r="E384" s="8"/>
      <c r="G384" s="49"/>
    </row>
    <row r="385" spans="5:7" x14ac:dyDescent="0.2">
      <c r="E385" s="8"/>
      <c r="G385" s="49"/>
    </row>
    <row r="386" spans="5:7" x14ac:dyDescent="0.2">
      <c r="E386" s="8"/>
      <c r="G386" s="49"/>
    </row>
    <row r="387" spans="5:7" x14ac:dyDescent="0.2">
      <c r="E387" s="8"/>
      <c r="G387" s="49"/>
    </row>
    <row r="388" spans="5:7" x14ac:dyDescent="0.2">
      <c r="E388" s="8"/>
      <c r="G388" s="49"/>
    </row>
    <row r="389" spans="5:7" x14ac:dyDescent="0.2">
      <c r="E389" s="8"/>
      <c r="G389" s="49"/>
    </row>
    <row r="390" spans="5:7" x14ac:dyDescent="0.2">
      <c r="E390" s="8"/>
      <c r="G390" s="49"/>
    </row>
  </sheetData>
  <mergeCells count="1">
    <mergeCell ref="B1:C1"/>
  </mergeCells>
  <conditionalFormatting sqref="G1:G3">
    <cfRule type="cellIs" dxfId="1" priority="2" stopIfTrue="1" operator="between">
      <formula>0.009</formula>
      <formula>-0.009</formula>
    </cfRule>
  </conditionalFormatting>
  <conditionalFormatting sqref="G5:G65536">
    <cfRule type="cellIs" dxfId="0" priority="1" stopIfTrue="1" operator="between">
      <formula>0.009</formula>
      <formula>-0.009</formula>
    </cfRule>
  </conditionalFormatting>
  <pageMargins left="0.7" right="0.7" top="0.75" bottom="0.75" header="0.3" footer="0.3"/>
  <pageSetup paperSize="9" scale="52" orientation="portrait" r:id="rId1"/>
  <headerFooter>
    <oddFooter>&amp;C&amp;1#&amp;"Calibri"&amp;10&amp;K000000RESTRICTED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JBNM150</vt:lpstr>
      <vt:lpstr>JBNM150!Print_Area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2025-11-06T12:18:16Z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2025-11-06T08:45:51Z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ef336553-7af8-4207-9dd3-8f85d68daaa6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