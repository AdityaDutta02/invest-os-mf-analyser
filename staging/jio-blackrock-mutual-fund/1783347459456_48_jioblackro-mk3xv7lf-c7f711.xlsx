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filterPrivacy="1" codeName="ThisWorkbook" defaultThemeVersion="124226"/>
  <xr:revisionPtr revIDLastSave="0" documentId="13_ncr:1_{B91F4B65-BF2E-4747-BB68-42FC7F43F5C6}" xr6:coauthVersionLast="47" xr6:coauthVersionMax="47" xr10:uidLastSave="{00000000-0000-0000-0000-000000000000}"/>
  <bookViews>
    <workbookView xWindow="-120" yWindow="-120" windowWidth="51840" windowHeight="21120" xr2:uid="{7291B499-DD8C-4F12-BA28-9EE7F24AB421}"/>
  </bookViews>
  <sheets>
    <sheet name="Index" sheetId="2" r:id="rId1"/>
    <sheet name="JBMMF" sheetId="13" r:id="rId2"/>
    <sheet name="JBOF" sheetId="14" r:id="rId3"/>
    <sheet name="JBLF" sheetId="15" r:id="rId4"/>
    <sheet name="JBN8-13" sheetId="16" r:id="rId5"/>
    <sheet name="JBN50" sheetId="7" r:id="rId6"/>
    <sheet name="JBNNX50" sheetId="8" r:id="rId7"/>
    <sheet name="JBNM150" sheetId="9" r:id="rId8"/>
    <sheet name="JBNS250" sheetId="10" r:id="rId9"/>
    <sheet name="JBFLEXI" sheetId="11" r:id="rId10"/>
    <sheet name="JBARB" sheetId="12" r:id="rId11"/>
  </sheets>
  <definedNames>
    <definedName name="_xlnm._FilterDatabase" localSheetId="10" hidden="1">JBARB!$B$71:$G$128</definedName>
    <definedName name="_xlnm.Print_Area" localSheetId="10">JBARB!$B$1:$H$170</definedName>
    <definedName name="_xlnm.Print_Area" localSheetId="9">JBFLEXI!$B$1:$H$192</definedName>
    <definedName name="_xlnm.Print_Area" localSheetId="3">JBLF!$B$1:$I$145</definedName>
    <definedName name="_xlnm.Print_Area" localSheetId="1">JBMMF!$B$1:$I$103</definedName>
    <definedName name="_xlnm.Print_Area" localSheetId="5">'JBN50'!$B$1:$H$102</definedName>
    <definedName name="_xlnm.Print_Area" localSheetId="4">'JBN8-13'!$B$1:$I$55</definedName>
    <definedName name="_xlnm.Print_Area" localSheetId="7">JBNM150!$B$1:$H$203</definedName>
    <definedName name="_xlnm.Print_Area" localSheetId="6">JBNNX50!$B$1:$H$107</definedName>
    <definedName name="_xlnm.Print_Area" localSheetId="8">JBNS250!$B$1:$H$305</definedName>
    <definedName name="_xlnm.Print_Area" localSheetId="2">JBOF!$B$1:$I$74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0" i="8" l="1"/>
  <c r="F70" i="8"/>
  <c r="G67" i="8"/>
  <c r="F67" i="8"/>
  <c r="G65" i="8"/>
  <c r="F65" i="8"/>
  <c r="G9" i="16" l="1"/>
  <c r="G13" i="16" s="1"/>
  <c r="F9" i="16"/>
  <c r="F13" i="16" s="1"/>
  <c r="G93" i="15"/>
  <c r="F93" i="15"/>
  <c r="G87" i="15"/>
  <c r="F87" i="15"/>
  <c r="G73" i="15"/>
  <c r="F73" i="15"/>
  <c r="G46" i="15"/>
  <c r="F46" i="15"/>
  <c r="G10" i="14"/>
  <c r="G26" i="14" s="1"/>
  <c r="F10" i="14"/>
  <c r="F26" i="14" s="1"/>
  <c r="G50" i="13"/>
  <c r="F50" i="13"/>
  <c r="G46" i="13"/>
  <c r="F46" i="13"/>
  <c r="G40" i="13"/>
  <c r="F40" i="13"/>
  <c r="G24" i="13"/>
  <c r="F24" i="13"/>
  <c r="F54" i="13" s="1"/>
  <c r="G54" i="13" l="1"/>
  <c r="F97" i="15"/>
  <c r="G88" i="15"/>
  <c r="G97" i="15"/>
  <c r="F47" i="13"/>
  <c r="G47" i="13"/>
  <c r="F88" i="15"/>
  <c r="F11" i="14"/>
  <c r="G11" i="14"/>
  <c r="G128" i="12"/>
  <c r="F128" i="12"/>
  <c r="G62" i="12"/>
  <c r="F62" i="12"/>
  <c r="G57" i="12"/>
  <c r="F57" i="12"/>
  <c r="G54" i="12"/>
  <c r="F54" i="12"/>
  <c r="G48" i="12"/>
  <c r="F48" i="12"/>
  <c r="G153" i="11"/>
  <c r="F153" i="11"/>
  <c r="G145" i="11"/>
  <c r="G139" i="11"/>
  <c r="F139" i="11"/>
  <c r="F146" i="11" s="1"/>
  <c r="G257" i="10"/>
  <c r="G260" i="10" s="1"/>
  <c r="F257" i="10"/>
  <c r="F263" i="10" s="1"/>
  <c r="G157" i="9"/>
  <c r="G163" i="9" s="1"/>
  <c r="F157" i="9"/>
  <c r="F160" i="9" s="1"/>
  <c r="G57" i="8"/>
  <c r="F57" i="8"/>
  <c r="G58" i="7"/>
  <c r="G61" i="7" s="1"/>
  <c r="F58" i="7"/>
  <c r="F64" i="7" s="1"/>
  <c r="F51" i="12" l="1"/>
  <c r="F66" i="12"/>
  <c r="G51" i="12"/>
  <c r="G66" i="12"/>
  <c r="F60" i="8"/>
  <c r="G60" i="8"/>
  <c r="G146" i="11"/>
  <c r="F58" i="12"/>
  <c r="G58" i="12"/>
  <c r="F142" i="11"/>
  <c r="G142" i="11"/>
  <c r="G263" i="10"/>
  <c r="F260" i="10"/>
  <c r="F163" i="9"/>
  <c r="G160" i="9"/>
  <c r="G64" i="7"/>
  <c r="F61" i="7"/>
</calcChain>
</file>

<file path=xl/sharedStrings.xml><?xml version="1.0" encoding="utf-8"?>
<sst xmlns="http://schemas.openxmlformats.org/spreadsheetml/2006/main" count="2895" uniqueCount="1467">
  <si>
    <t>Quantity</t>
  </si>
  <si>
    <t>Sr No.</t>
  </si>
  <si>
    <t>Short Name</t>
  </si>
  <si>
    <t>Scheme Name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</si>
  <si>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</si>
  <si>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</si>
  <si>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</si>
  <si>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</si>
  <si>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</si>
  <si>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December 31, 2025</t>
  </si>
  <si>
    <t>JioBlackRock Money Market Fund</t>
  </si>
  <si>
    <t>JioBlackRock Overnight Fund</t>
  </si>
  <si>
    <t>JioBlackRock Liquid Fund</t>
  </si>
  <si>
    <t>JioBlackRock Nifty 8-13 yr G-Sec Index Fund</t>
  </si>
  <si>
    <t>JioBlackRock Nifty 50 Index Fund</t>
  </si>
  <si>
    <t>JioBlackRock Nifty Next 50 Index Fund</t>
  </si>
  <si>
    <t>JioBlackRock Nifty Midcap 150 Index Fund</t>
  </si>
  <si>
    <t>JioBlackRock Nifty Smallcap 250 Index Fund</t>
  </si>
  <si>
    <t>JioBlackRock Flexi Cap Fund</t>
  </si>
  <si>
    <t>JioBlackRock Arbitrage Fund</t>
  </si>
  <si>
    <t>Yield to Call ^</t>
  </si>
  <si>
    <t>Money Market Instruments</t>
  </si>
  <si>
    <t>Certificate of Deposit</t>
  </si>
  <si>
    <t>HDFC Bank Ltd (12-Mar-2026)</t>
  </si>
  <si>
    <t>INE040A16GN6</t>
  </si>
  <si>
    <t>CARE A1+</t>
  </si>
  <si>
    <t>HDFC Bank Ltd (24-Mar-2026)</t>
  </si>
  <si>
    <t>INE040A16GS5</t>
  </si>
  <si>
    <t>Bank of Baroda (11-Mar-2026) **</t>
  </si>
  <si>
    <t>INE028A16HZ3</t>
  </si>
  <si>
    <t>IND A1+</t>
  </si>
  <si>
    <t>Punjab National Bank (09-Mar-2026) **</t>
  </si>
  <si>
    <t>INE160A16TT2</t>
  </si>
  <si>
    <t>National Bank For Agriculture &amp; Rural Development (10-Mar-2026)</t>
  </si>
  <si>
    <t>INE261F16975</t>
  </si>
  <si>
    <t>CRISIL A1+</t>
  </si>
  <si>
    <t>Canara Bank (12-Mar-2026) **</t>
  </si>
  <si>
    <t>INE476A16B23</t>
  </si>
  <si>
    <t>Small Industries Development Bank of India (10-Nov-2026) **</t>
  </si>
  <si>
    <t>INE556F16BR2</t>
  </si>
  <si>
    <t>Punjab National Bank (15-Dec-2026) **</t>
  </si>
  <si>
    <t>INE160A16TZ9</t>
  </si>
  <si>
    <t>Bank of Baroda (13-Mar-2026) **</t>
  </si>
  <si>
    <t>INE028A16IC0</t>
  </si>
  <si>
    <t>Axis Bank Ltd (30-Apr-2026) **</t>
  </si>
  <si>
    <t>INE238AD6BK4</t>
  </si>
  <si>
    <t>Export-Import Bank Of India (28-May-2026)</t>
  </si>
  <si>
    <t>INE514E16CL5</t>
  </si>
  <si>
    <t>Indian Bank (06-Mar-2026) **</t>
  </si>
  <si>
    <t>INE562A16OG7</t>
  </si>
  <si>
    <t>Punjab National Bank (18-Mar-2026)</t>
  </si>
  <si>
    <t>INE160A16RK5</t>
  </si>
  <si>
    <t>Federal Bank Ltd (20-Mar-2026) **</t>
  </si>
  <si>
    <t>INE171A16NE4</t>
  </si>
  <si>
    <t>Axis Bank Ltd (25-Mar-2026) **</t>
  </si>
  <si>
    <t>INE238AD6BT5</t>
  </si>
  <si>
    <t>Small Industries Development Bank of India (04-Dec-2026) **</t>
  </si>
  <si>
    <t>INE556F16BS0</t>
  </si>
  <si>
    <t>Bank of Baroda (15-Dec-2026) **</t>
  </si>
  <si>
    <t>INE028A16KW4</t>
  </si>
  <si>
    <t>Sub Total</t>
  </si>
  <si>
    <t>Commercial Paper</t>
  </si>
  <si>
    <t>NTPC Ltd (10-Mar-2026) **</t>
  </si>
  <si>
    <t>INE733E14BU9</t>
  </si>
  <si>
    <t>Power Finance Corporation Ltd (15-Apr-2026) **</t>
  </si>
  <si>
    <t>INE134E14AX6</t>
  </si>
  <si>
    <t>Kotak Securities Ltd (13-Mar-2026) **</t>
  </si>
  <si>
    <t>INE028E14TK7</t>
  </si>
  <si>
    <t>ICICI Securities Ltd (12-Mar-2026) **</t>
  </si>
  <si>
    <t>INE763G14D60</t>
  </si>
  <si>
    <t>Kotak Securities Ltd (06-Mar-2026) **</t>
  </si>
  <si>
    <t>INE028E14TR2</t>
  </si>
  <si>
    <t>ICICI Securities Ltd (09-Mar-2026) **</t>
  </si>
  <si>
    <t>INE763G14D03</t>
  </si>
  <si>
    <t>Kotak Securities Ltd (12-Mar-2026) **</t>
  </si>
  <si>
    <t>INE028E14TZ5</t>
  </si>
  <si>
    <t>LIC Housing Finance Ltd (18-Mar-2026) **</t>
  </si>
  <si>
    <t>INE115A14FL7</t>
  </si>
  <si>
    <t>Small Industries Development Bank Of India (20-Mar-2026) **</t>
  </si>
  <si>
    <t>INE556F14LX4</t>
  </si>
  <si>
    <t>Kotak Securities Ltd (16-Mar-2026) **</t>
  </si>
  <si>
    <t>INE028E14UA6</t>
  </si>
  <si>
    <t>ICICI Securities Ltd (17-Mar-2026) **</t>
  </si>
  <si>
    <t>INE763G14XS9</t>
  </si>
  <si>
    <t>Bajaj Financial Securities Ltd (18-Mar-2026) **</t>
  </si>
  <si>
    <t>INE01C314DZ6</t>
  </si>
  <si>
    <t>Mahindra &amp; Mahindra Financial Services Ltd (20-Mar-2026) **</t>
  </si>
  <si>
    <t>INE774D14TE1</t>
  </si>
  <si>
    <t>Tata Capital Ltd (23-Mar-2026)</t>
  </si>
  <si>
    <t>INE976I14QR9</t>
  </si>
  <si>
    <t>Treasury Bill</t>
  </si>
  <si>
    <t>182 DTB (26-MAR-2026)</t>
  </si>
  <si>
    <t>IN002025Y263</t>
  </si>
  <si>
    <t>364 DTB (03-DEC-2026)</t>
  </si>
  <si>
    <t>IN002025Z369</t>
  </si>
  <si>
    <t>364 DTB (10-DEC-2026)</t>
  </si>
  <si>
    <t>IN002025Z377</t>
  </si>
  <si>
    <t>364 DTB (16-JUL-2026)</t>
  </si>
  <si>
    <t>IN002025Z161</t>
  </si>
  <si>
    <t>Total</t>
  </si>
  <si>
    <t>Government Securities</t>
  </si>
  <si>
    <t>5.63% GOI 2026 (12-APR-2026)</t>
  </si>
  <si>
    <t>IN0020210012</t>
  </si>
  <si>
    <t>SOVEREIGN</t>
  </si>
  <si>
    <t>TREPS</t>
  </si>
  <si>
    <t>Grand Total</t>
  </si>
  <si>
    <t>Net Receivables / (Payables)</t>
  </si>
  <si>
    <t>Rating</t>
  </si>
  <si>
    <t>** Non Traded Security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</si>
  <si>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</si>
  <si>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 xml:space="preserve">Scheme Risk-O-Meter </t>
  </si>
  <si>
    <t>91 DTB (08-JAN-2026)</t>
  </si>
  <si>
    <t>IN002025X281</t>
  </si>
  <si>
    <t>182 DTB (15-JAN-2026)</t>
  </si>
  <si>
    <t>IN002025Y164</t>
  </si>
  <si>
    <t>91 DTB (15-JAN-2026)</t>
  </si>
  <si>
    <t>IN002025X299</t>
  </si>
  <si>
    <t>Reverse Repo</t>
  </si>
  <si>
    <t>Reverse Repo (01-Jan-2026)</t>
  </si>
  <si>
    <t>Canara Bank (24-Feb-2026) **</t>
  </si>
  <si>
    <t>INE476A16A65</t>
  </si>
  <si>
    <t>Bank of Baroda (24-Feb-2026)</t>
  </si>
  <si>
    <t>INE028A16JJ3</t>
  </si>
  <si>
    <t>Axis Bank Ltd (18-Feb-2026) **</t>
  </si>
  <si>
    <t>INE238AD6BM0</t>
  </si>
  <si>
    <t>Federal Bank Ltd (20-Feb-2026) **</t>
  </si>
  <si>
    <t>INE171A16MU2</t>
  </si>
  <si>
    <t>Union Bank of India (06-Mar-2026) **</t>
  </si>
  <si>
    <t>INE692A16JB3</t>
  </si>
  <si>
    <t>Federal Bank Ltd (24-Feb-2026) **</t>
  </si>
  <si>
    <t>INE171A16NA2</t>
  </si>
  <si>
    <t>Bank of India (05-Mar-2026) **</t>
  </si>
  <si>
    <t>INE084A16FC9</t>
  </si>
  <si>
    <t>Punjab National Bank (13-Mar-2026) **</t>
  </si>
  <si>
    <t>INE160A16TU0</t>
  </si>
  <si>
    <t>Punjab National Bank (03-Feb-2026) **</t>
  </si>
  <si>
    <t>INE160A16TC8</t>
  </si>
  <si>
    <t>National Bank For Agriculture &amp; Rural Development (06-Feb-2026) **</t>
  </si>
  <si>
    <t>INE261F16942</t>
  </si>
  <si>
    <t>HDFC Bank Ltd (12-Feb-2026) **</t>
  </si>
  <si>
    <t>INE040A16HV7</t>
  </si>
  <si>
    <t>Indian Bank (17-Feb-2026) **</t>
  </si>
  <si>
    <t>INE562A16PW1</t>
  </si>
  <si>
    <t>Bank of India (18-Feb-2026) **</t>
  </si>
  <si>
    <t>INE084A16ET6</t>
  </si>
  <si>
    <t>Punjab National Bank (05-Mar-2026) **</t>
  </si>
  <si>
    <t>INE160A16TS4</t>
  </si>
  <si>
    <t>Indian Bank (13-Mar-2026) **</t>
  </si>
  <si>
    <t>INE562A16QB3</t>
  </si>
  <si>
    <t>National Bank For Agriculture &amp; Rural Development (13-Mar-2026) **</t>
  </si>
  <si>
    <t>INE261F16983</t>
  </si>
  <si>
    <t>Export-Import Bank Of India (20-Mar-2026)</t>
  </si>
  <si>
    <t>INE514E16CK7</t>
  </si>
  <si>
    <t>ICRA A1+</t>
  </si>
  <si>
    <t>National Bank For Agriculture &amp; Rural Development (20-Jan-2026)</t>
  </si>
  <si>
    <t>INE261F16892</t>
  </si>
  <si>
    <t>National Bank For Agriculture &amp; Rural Development (17-Feb-2026) **</t>
  </si>
  <si>
    <t>INE261F16959</t>
  </si>
  <si>
    <t>Axis Bank Ltd (04-Mar-2026) **</t>
  </si>
  <si>
    <t>INE238AD6AN0</t>
  </si>
  <si>
    <t>HDFC Bank Ltd (09-Mar-2026) **</t>
  </si>
  <si>
    <t>INE040A16HM6</t>
  </si>
  <si>
    <t>Kotak Mahindra Bank Ltd (18-Feb-2026)</t>
  </si>
  <si>
    <t>INE237A165Z5</t>
  </si>
  <si>
    <t>Canara Bank (21-Jan-2026) **</t>
  </si>
  <si>
    <t>INE476A16A08</t>
  </si>
  <si>
    <t>Union Bank of India (27-Jan-2026) **</t>
  </si>
  <si>
    <t>INE692A16IM2</t>
  </si>
  <si>
    <t>Bank of Baroda (06-Feb-2026) **</t>
  </si>
  <si>
    <t>INE028A16JM7</t>
  </si>
  <si>
    <t>HDFC Bank Ltd (25-Feb-2026) **</t>
  </si>
  <si>
    <t>INE040A16GJ4</t>
  </si>
  <si>
    <t>Small Industries Development Bank of India (27-Feb-2026)</t>
  </si>
  <si>
    <t>INE556F16BB6</t>
  </si>
  <si>
    <t>Canara Bank (04-Mar-2026)</t>
  </si>
  <si>
    <t>INE476A16A73</t>
  </si>
  <si>
    <t>HDFC Bank Ltd (18-Mar-2026)</t>
  </si>
  <si>
    <t>INE040A16IC5</t>
  </si>
  <si>
    <t>Union Bank of India (03-Feb-2026) **</t>
  </si>
  <si>
    <t>INE692A16IP5</t>
  </si>
  <si>
    <t>National Bank For Agriculture &amp; Rural Development (04-Feb-2026)</t>
  </si>
  <si>
    <t>INE261F16926</t>
  </si>
  <si>
    <t>Bank of Baroda (09-Feb-2026) **</t>
  </si>
  <si>
    <t>INE028A16JN5</t>
  </si>
  <si>
    <t>Bank of Baroda (23-Feb-2026) **</t>
  </si>
  <si>
    <t>INE028A16JO3</t>
  </si>
  <si>
    <t>National Bank For Agriculture &amp; Rural Development (27-Feb-2026) **</t>
  </si>
  <si>
    <t>INE261F16967</t>
  </si>
  <si>
    <t>Axis Bank Ltd (05-Mar-2026) **</t>
  </si>
  <si>
    <t>INE238AD6AO8</t>
  </si>
  <si>
    <t>Bajaj Finance Ltd (16-Mar-2026) **</t>
  </si>
  <si>
    <t>INE296A14E12</t>
  </si>
  <si>
    <t>Bajaj Housing Finance Ltd (20-Jan-2026) **</t>
  </si>
  <si>
    <t>INE377Y14BA5</t>
  </si>
  <si>
    <t>ICICI Home Finance Co Ltd (11-Feb-2026) **</t>
  </si>
  <si>
    <t>INE071G14HF7</t>
  </si>
  <si>
    <t>LIC Housing Finance Ltd (11-Mar-2026) **</t>
  </si>
  <si>
    <t>INE115A14FK9</t>
  </si>
  <si>
    <t>HDFC Securities Ltd (09-Mar-2026) **</t>
  </si>
  <si>
    <t>INE700G14RF0</t>
  </si>
  <si>
    <t>Kotak Securities Ltd (06-Feb-2026) **</t>
  </si>
  <si>
    <t>INE028E14TL5</t>
  </si>
  <si>
    <t>Godrej Housing Finance Ltd (13-Feb-2026) **</t>
  </si>
  <si>
    <t>INE02JD14591</t>
  </si>
  <si>
    <t>Julius Baer Capital (India) Pvt Ltd (13-Feb-2026) **</t>
  </si>
  <si>
    <t>INE824H14SV1</t>
  </si>
  <si>
    <t>Small Industries Development Bank Of India (18-Feb-2026) **</t>
  </si>
  <si>
    <t>INE556F14LR6</t>
  </si>
  <si>
    <t>Small Industries Development Bank Of India (24-Feb-2026) **</t>
  </si>
  <si>
    <t>INE556F14LS4</t>
  </si>
  <si>
    <t>Kotak Securities Ltd (02-Mar-2026) **</t>
  </si>
  <si>
    <t>INE028E14TV4</t>
  </si>
  <si>
    <t>ICICI Securities Ltd (10-Mar-2026) **</t>
  </si>
  <si>
    <t>INE763G14A63</t>
  </si>
  <si>
    <t>ICICI Securities Ltd (18-Mar-2026) **</t>
  </si>
  <si>
    <t>INE763G14D94</t>
  </si>
  <si>
    <t>LIC Housing Finance Ltd (18-Feb-2026) **</t>
  </si>
  <si>
    <t>INE115A14FJ1</t>
  </si>
  <si>
    <t>Axis Securities Ltd (27-Feb-2026) **</t>
  </si>
  <si>
    <t>INE110O14GQ6</t>
  </si>
  <si>
    <t>Small Industries Development Bank Of India (06-Mar-2026) **</t>
  </si>
  <si>
    <t>INE556F14LU0</t>
  </si>
  <si>
    <t>ICICI Securities Ltd (06-Mar-2026) **</t>
  </si>
  <si>
    <t>INE763G14XX9</t>
  </si>
  <si>
    <t>Aditya Birla Capital Ltd (06-Feb-2026) **</t>
  </si>
  <si>
    <t>INE860H144V6</t>
  </si>
  <si>
    <t>ICICI Securities Ltd (27-Feb-2026) **</t>
  </si>
  <si>
    <t>INE763G14XI0</t>
  </si>
  <si>
    <t>182 DTB (22-JAN-2026)</t>
  </si>
  <si>
    <t>IN002025Y172</t>
  </si>
  <si>
    <t>364 DTB (12-MAR-2026)</t>
  </si>
  <si>
    <t>IN002024Z487</t>
  </si>
  <si>
    <t>91 DTB (23-JAN-2026)</t>
  </si>
  <si>
    <t>IN002025X307</t>
  </si>
  <si>
    <t>182 DTB (27-FEB-2026)</t>
  </si>
  <si>
    <t>IN002025Y222</t>
  </si>
  <si>
    <t>182 DTB (05-FEB-2026)</t>
  </si>
  <si>
    <t>IN002025Y198</t>
  </si>
  <si>
    <t>91 DTB (12-FEB-2026)</t>
  </si>
  <si>
    <t>IN002025X331</t>
  </si>
  <si>
    <t>182 DTB (19-FEB-2026)</t>
  </si>
  <si>
    <t>IN002025Y214</t>
  </si>
  <si>
    <t>91 DTB (29-JAN-2026)</t>
  </si>
  <si>
    <t>IN002025X315</t>
  </si>
  <si>
    <t>364 DTB (20-FEB-2026)</t>
  </si>
  <si>
    <t>IN002024Z453</t>
  </si>
  <si>
    <t>364 DTB (12-FEB-2026)</t>
  </si>
  <si>
    <t>IN002024Z446</t>
  </si>
  <si>
    <t>182 DTB (12-FEB-2026)</t>
  </si>
  <si>
    <t>IN002025Y206</t>
  </si>
  <si>
    <t>8.36% MAHARASHTRA SDL 27-JAN-26</t>
  </si>
  <si>
    <t>IN2220150170</t>
  </si>
  <si>
    <t>8.39% MADHYA PRADESH SDL 27-JAN-26</t>
  </si>
  <si>
    <t>IN2120150098</t>
  </si>
  <si>
    <t>8.30% MADHYA PRADESH SDL 13-JAN-26</t>
  </si>
  <si>
    <t>IN2120150080</t>
  </si>
  <si>
    <t>6.33% GOI 2035 (05-MAY-2035)</t>
  </si>
  <si>
    <t>IN0020250026</t>
  </si>
  <si>
    <t>6.48% GOI 2035 (06-OCT-2035)</t>
  </si>
  <si>
    <t>IN0020250091</t>
  </si>
  <si>
    <t>6.79% GOI 2034 (07-OCT-2034)</t>
  </si>
  <si>
    <t>IN0020240126</t>
  </si>
  <si>
    <t>Equity &amp; Equity related</t>
  </si>
  <si>
    <t>(a) Listed / awaiting listing on Stock Exchanges</t>
  </si>
  <si>
    <t>HDFC Bank Ltd</t>
  </si>
  <si>
    <t>INE040A01034</t>
  </si>
  <si>
    <t>Banks</t>
  </si>
  <si>
    <t>Reliance Industries Ltd</t>
  </si>
  <si>
    <t>INE002A01018</t>
  </si>
  <si>
    <t>Petroleum Products</t>
  </si>
  <si>
    <t>ICICI Bank Ltd</t>
  </si>
  <si>
    <t>INE090A01021</t>
  </si>
  <si>
    <t>Bharti Airtel Ltd</t>
  </si>
  <si>
    <t>INE397D01024</t>
  </si>
  <si>
    <t>Telecom - Services</t>
  </si>
  <si>
    <t>Infosys Ltd</t>
  </si>
  <si>
    <t>INE009A01021</t>
  </si>
  <si>
    <t>IT - Software</t>
  </si>
  <si>
    <t>Larsen &amp; Toubro Ltd</t>
  </si>
  <si>
    <t>INE018A01030</t>
  </si>
  <si>
    <t>Construction</t>
  </si>
  <si>
    <t>State Bank of India</t>
  </si>
  <si>
    <t>INE062A01020</t>
  </si>
  <si>
    <t>ITC Ltd</t>
  </si>
  <si>
    <t>INE154A01025</t>
  </si>
  <si>
    <t>Axis Bank Ltd</t>
  </si>
  <si>
    <t>INE238A01034</t>
  </si>
  <si>
    <t>Mahindra &amp; Mahindra Ltd</t>
  </si>
  <si>
    <t>INE101A01026</t>
  </si>
  <si>
    <t>Automobiles</t>
  </si>
  <si>
    <t>Tata Consultancy Services Ltd</t>
  </si>
  <si>
    <t>INE467B01029</t>
  </si>
  <si>
    <t>Kotak Mahindra Bank Ltd</t>
  </si>
  <si>
    <t>INE237A01028</t>
  </si>
  <si>
    <t>Bajaj Finance Ltd</t>
  </si>
  <si>
    <t>INE296A01032</t>
  </si>
  <si>
    <t>Finance</t>
  </si>
  <si>
    <t>Maruti Suzuki India Ltd</t>
  </si>
  <si>
    <t>INE585B01010</t>
  </si>
  <si>
    <t>Hindustan Unilever Ltd</t>
  </si>
  <si>
    <t>INE030A01027</t>
  </si>
  <si>
    <t>Eternal Ltd</t>
  </si>
  <si>
    <t>INE758T01015</t>
  </si>
  <si>
    <t>Retailing</t>
  </si>
  <si>
    <t>Sun Pharmaceutical Industries Ltd</t>
  </si>
  <si>
    <t>INE044A01036</t>
  </si>
  <si>
    <t>Pharmaceuticals &amp; Biotechnology</t>
  </si>
  <si>
    <t>HCL Technologies Ltd</t>
  </si>
  <si>
    <t>INE860A01027</t>
  </si>
  <si>
    <t>Titan Co Ltd</t>
  </si>
  <si>
    <t>INE280A01028</t>
  </si>
  <si>
    <t>Consumer Durables</t>
  </si>
  <si>
    <t>NTPC Ltd</t>
  </si>
  <si>
    <t>INE733E01010</t>
  </si>
  <si>
    <t>Power</t>
  </si>
  <si>
    <t>Tata Steel Ltd</t>
  </si>
  <si>
    <t>INE081A01020</t>
  </si>
  <si>
    <t>Ferrous Metals</t>
  </si>
  <si>
    <t>Bharat Electronics Ltd</t>
  </si>
  <si>
    <t>INE263A01024</t>
  </si>
  <si>
    <t>Aerospace &amp; Defense</t>
  </si>
  <si>
    <t>Ultratech Cement Ltd</t>
  </si>
  <si>
    <t>INE481G01011</t>
  </si>
  <si>
    <t>Cement &amp; Cement Products</t>
  </si>
  <si>
    <t>Shriram Finance Ltd</t>
  </si>
  <si>
    <t>INE721A01047</t>
  </si>
  <si>
    <t>Hindalco Industries Ltd</t>
  </si>
  <si>
    <t>INE038A01020</t>
  </si>
  <si>
    <t>Non - Ferrous Metals</t>
  </si>
  <si>
    <t>Asian Paints Ltd</t>
  </si>
  <si>
    <t>INE021A01026</t>
  </si>
  <si>
    <t>Power Grid Corporation of India Ltd</t>
  </si>
  <si>
    <t>INE752E01010</t>
  </si>
  <si>
    <t>Bajaj Finserv Ltd</t>
  </si>
  <si>
    <t>INE918I01026</t>
  </si>
  <si>
    <t>Interglobe Aviation Ltd</t>
  </si>
  <si>
    <t>INE646L01027</t>
  </si>
  <si>
    <t>Transport Services</t>
  </si>
  <si>
    <t>JSW Steel Ltd</t>
  </si>
  <si>
    <t>INE019A01038</t>
  </si>
  <si>
    <t>Grasim Industries Ltd</t>
  </si>
  <si>
    <t>INE047A01021</t>
  </si>
  <si>
    <t>Bajaj Auto Ltd</t>
  </si>
  <si>
    <t>INE917I01010</t>
  </si>
  <si>
    <t>Adani Ports and Special Economic Zone Ltd</t>
  </si>
  <si>
    <t>INE742F01042</t>
  </si>
  <si>
    <t>Transport Infrastructure</t>
  </si>
  <si>
    <t>Tech Mahindra Ltd</t>
  </si>
  <si>
    <t>INE669C01036</t>
  </si>
  <si>
    <t>Eicher Motors Ltd</t>
  </si>
  <si>
    <t>INE066A01021</t>
  </si>
  <si>
    <t>Jio Financial Services Ltd</t>
  </si>
  <si>
    <t>INE758E01017</t>
  </si>
  <si>
    <t>Trent Ltd</t>
  </si>
  <si>
    <t>INE849A01020</t>
  </si>
  <si>
    <t>Oil &amp; Natural Gas Corporation Ltd</t>
  </si>
  <si>
    <t>INE213A01029</t>
  </si>
  <si>
    <t>Oil</t>
  </si>
  <si>
    <t>Nestle India Ltd</t>
  </si>
  <si>
    <t>INE239A01024</t>
  </si>
  <si>
    <t>Food Products</t>
  </si>
  <si>
    <t>SBI Life Insurance Co Ltd</t>
  </si>
  <si>
    <t>INE123W01016</t>
  </si>
  <si>
    <t>Insurance</t>
  </si>
  <si>
    <t>Coal India Ltd</t>
  </si>
  <si>
    <t>INE522F01014</t>
  </si>
  <si>
    <t>Consumable Fuels</t>
  </si>
  <si>
    <t>Cipla Ltd</t>
  </si>
  <si>
    <t>INE059A01026</t>
  </si>
  <si>
    <t>HDFC Life Insurance Co Ltd</t>
  </si>
  <si>
    <t>INE795G01014</t>
  </si>
  <si>
    <t>Max Healthcare Institute Ltd</t>
  </si>
  <si>
    <t>INE027H01010</t>
  </si>
  <si>
    <t>Healthcare Services</t>
  </si>
  <si>
    <t>Tata Consumer Products Ltd</t>
  </si>
  <si>
    <t>INE192A01025</t>
  </si>
  <si>
    <t>Agricultural Food &amp; Other Products</t>
  </si>
  <si>
    <t>Dr. Reddy's Laboratories Ltd</t>
  </si>
  <si>
    <t>INE089A01031</t>
  </si>
  <si>
    <t>Tata Motors Passenger Vehicles Ltd</t>
  </si>
  <si>
    <t>INE155A01022</t>
  </si>
  <si>
    <t>Wipro Ltd</t>
  </si>
  <si>
    <t>INE075A01022</t>
  </si>
  <si>
    <t>Apollo Hospitals Enterprise Ltd</t>
  </si>
  <si>
    <t>INE437A01024</t>
  </si>
  <si>
    <t>Adani Enterprises Ltd</t>
  </si>
  <si>
    <t>INE423A01024</t>
  </si>
  <si>
    <t>Metals &amp; Minerals Trading</t>
  </si>
  <si>
    <t>INE2KCE01013</t>
  </si>
  <si>
    <t xml:space="preserve">(b) Unlisted </t>
  </si>
  <si>
    <t>NIL</t>
  </si>
  <si>
    <t>Industry Classification</t>
  </si>
  <si>
    <t>Vedanta Ltd</t>
  </si>
  <si>
    <t>INE205A01025</t>
  </si>
  <si>
    <t>Diversified Metals</t>
  </si>
  <si>
    <t>TVS Motor Co Ltd</t>
  </si>
  <si>
    <t>INE494B01023</t>
  </si>
  <si>
    <t>Hindustan Aeronautics Ltd</t>
  </si>
  <si>
    <t>INE066F01020</t>
  </si>
  <si>
    <t>Divi's Laboratories Ltd</t>
  </si>
  <si>
    <t>INE361B01024</t>
  </si>
  <si>
    <t>Bharat Petroleum Corporation Ltd</t>
  </si>
  <si>
    <t>INE029A01011</t>
  </si>
  <si>
    <t>Cholamandalam Investment and Finance Co Ltd</t>
  </si>
  <si>
    <t>INE121A01024</t>
  </si>
  <si>
    <t>Britannia Industries Ltd</t>
  </si>
  <si>
    <t>INE216A01030</t>
  </si>
  <si>
    <t>Varun Beverages Ltd</t>
  </si>
  <si>
    <t>INE200M01039</t>
  </si>
  <si>
    <t>Beverages</t>
  </si>
  <si>
    <t>Indian Hotels Co Ltd</t>
  </si>
  <si>
    <t>INE053A01029</t>
  </si>
  <si>
    <t>Leisure Services</t>
  </si>
  <si>
    <t>Tata Power Co Ltd</t>
  </si>
  <si>
    <t>INE245A01021</t>
  </si>
  <si>
    <t>Indian Oil Corporation Ltd</t>
  </si>
  <si>
    <t>INE242A01010</t>
  </si>
  <si>
    <t>Adani Power Ltd</t>
  </si>
  <si>
    <t>INE814H01029</t>
  </si>
  <si>
    <t>Ltimindtree Ltd</t>
  </si>
  <si>
    <t>INE214T01019</t>
  </si>
  <si>
    <t>Avenue Supermarts Ltd</t>
  </si>
  <si>
    <t>INE192R01011</t>
  </si>
  <si>
    <t>Bank of Baroda</t>
  </si>
  <si>
    <t>INE028A01039</t>
  </si>
  <si>
    <t>Samvardhana Motherson International Ltd</t>
  </si>
  <si>
    <t>INE775A01035</t>
  </si>
  <si>
    <t>Auto Components</t>
  </si>
  <si>
    <t>Canara Bank</t>
  </si>
  <si>
    <t>INE476A01022</t>
  </si>
  <si>
    <t>Info Edge (India) Ltd</t>
  </si>
  <si>
    <t>INE663F01032</t>
  </si>
  <si>
    <t>Power Finance Corporation Ltd</t>
  </si>
  <si>
    <t>INE134E01011</t>
  </si>
  <si>
    <t>Godrej Consumer Products Ltd</t>
  </si>
  <si>
    <t>INE102D01028</t>
  </si>
  <si>
    <t>Personal Products</t>
  </si>
  <si>
    <t>Bajaj Holdings &amp; Investment Ltd</t>
  </si>
  <si>
    <t>INE118A01012</t>
  </si>
  <si>
    <t>ICICI Lombard General Insurance Co Ltd</t>
  </si>
  <si>
    <t>INE765G01017</t>
  </si>
  <si>
    <t>GAIL (India) Ltd</t>
  </si>
  <si>
    <t>INE129A01019</t>
  </si>
  <si>
    <t>Gas</t>
  </si>
  <si>
    <t>Pidilite Industries Ltd</t>
  </si>
  <si>
    <t>INE318A01026</t>
  </si>
  <si>
    <t>Chemicals &amp; Petrochemicals</t>
  </si>
  <si>
    <t>REC Ltd</t>
  </si>
  <si>
    <t>INE020B01018</t>
  </si>
  <si>
    <t>CG Power and Industrial Solutions Ltd</t>
  </si>
  <si>
    <t>INE067A01029</t>
  </si>
  <si>
    <t>Electrical Equipment</t>
  </si>
  <si>
    <t>DLF Ltd</t>
  </si>
  <si>
    <t>INE271C01023</t>
  </si>
  <si>
    <t>Realty</t>
  </si>
  <si>
    <t>United Spirits Ltd</t>
  </si>
  <si>
    <t>INE854D01024</t>
  </si>
  <si>
    <t>Punjab National Bank</t>
  </si>
  <si>
    <t>INE160A01022</t>
  </si>
  <si>
    <t>Torrent Pharmaceuticals Ltd</t>
  </si>
  <si>
    <t>INE685A01028</t>
  </si>
  <si>
    <t>Jindal Steel Ltd</t>
  </si>
  <si>
    <t>INE749A01030</t>
  </si>
  <si>
    <t>Havells India Ltd</t>
  </si>
  <si>
    <t>INE176B01034</t>
  </si>
  <si>
    <t>Adani Energy Solutions Ltd</t>
  </si>
  <si>
    <t>INE931S01010</t>
  </si>
  <si>
    <t>Shree Cement Ltd</t>
  </si>
  <si>
    <t>INE070A01015</t>
  </si>
  <si>
    <t>Ambuja Cements Ltd</t>
  </si>
  <si>
    <t>INE079A01024</t>
  </si>
  <si>
    <t>Hyundai Motor India Ltd</t>
  </si>
  <si>
    <t>INE0V6F01027</t>
  </si>
  <si>
    <t>Bosch Ltd</t>
  </si>
  <si>
    <t>INE323A01026</t>
  </si>
  <si>
    <t>Adani Green Energy Ltd</t>
  </si>
  <si>
    <t>INE364U01010</t>
  </si>
  <si>
    <t>Lodha Developers Ltd</t>
  </si>
  <si>
    <t>INE670K01029</t>
  </si>
  <si>
    <t>Solar Industries India Ltd</t>
  </si>
  <si>
    <t>INE343H01029</t>
  </si>
  <si>
    <t>ABB India Ltd</t>
  </si>
  <si>
    <t>INE117A01022</t>
  </si>
  <si>
    <t>Siemens Ltd</t>
  </si>
  <si>
    <t>INE003A01024</t>
  </si>
  <si>
    <t>Hindustan Zinc Ltd</t>
  </si>
  <si>
    <t>INE267A01025</t>
  </si>
  <si>
    <t>JSW Energy Ltd</t>
  </si>
  <si>
    <t>INE121E01018</t>
  </si>
  <si>
    <t>Zydus Lifesciences Ltd</t>
  </si>
  <si>
    <t>INE010B01027</t>
  </si>
  <si>
    <t>Siemens Energy India ltd</t>
  </si>
  <si>
    <t>INE1NPP01017</t>
  </si>
  <si>
    <t>Indian Railway Finance Corporation Ltd</t>
  </si>
  <si>
    <t>INE053F01010</t>
  </si>
  <si>
    <t>Life Insurance Corporation Of India</t>
  </si>
  <si>
    <t>INE0J1Y01017</t>
  </si>
  <si>
    <t>Mazagon Dock Shipbuilders Ltd</t>
  </si>
  <si>
    <t>INE249Z01020</t>
  </si>
  <si>
    <t>Industrial Manufacturing</t>
  </si>
  <si>
    <t>Bajaj Housing Finance Ltd</t>
  </si>
  <si>
    <t>INE377Y01014</t>
  </si>
  <si>
    <t>6.00% TVS Motor Co Ltd Cumulative NCRPS (01-Sep-2026) **</t>
  </si>
  <si>
    <t>INE494B04019</t>
  </si>
  <si>
    <t>** Non- Traded Security</t>
  </si>
  <si>
    <t>BSE Ltd</t>
  </si>
  <si>
    <t>INE118H01025</t>
  </si>
  <si>
    <t>Capital Markets</t>
  </si>
  <si>
    <t>Hero MotoCorp Ltd</t>
  </si>
  <si>
    <t>INE158A01026</t>
  </si>
  <si>
    <t>Persistent Systems Ltd</t>
  </si>
  <si>
    <t>INE262H01021</t>
  </si>
  <si>
    <t>Federal Bank Ltd</t>
  </si>
  <si>
    <t>INE171A01029</t>
  </si>
  <si>
    <t>Suzlon Energy Ltd</t>
  </si>
  <si>
    <t>INE040H01021</t>
  </si>
  <si>
    <t>PB Fintech Ltd</t>
  </si>
  <si>
    <t>INE417T01026</t>
  </si>
  <si>
    <t>Financial Technology (Fintech)</t>
  </si>
  <si>
    <t>Cummins India Ltd</t>
  </si>
  <si>
    <t>INE298A01020</t>
  </si>
  <si>
    <t>Industrial Products</t>
  </si>
  <si>
    <t>IndusInd Bank Ltd</t>
  </si>
  <si>
    <t>INE095A01012</t>
  </si>
  <si>
    <t>IDFC First Bank Ltd</t>
  </si>
  <si>
    <t>INE092T01019</t>
  </si>
  <si>
    <t>AU Small Finance Bank Ltd</t>
  </si>
  <si>
    <t>INE949L01017</t>
  </si>
  <si>
    <t>Coforge Ltd</t>
  </si>
  <si>
    <t>INE591G01025</t>
  </si>
  <si>
    <t>HDFC Asset Management Co Ltd</t>
  </si>
  <si>
    <t>INE127D01025</t>
  </si>
  <si>
    <t>Indus Towers Ltd</t>
  </si>
  <si>
    <t>INE121J01017</t>
  </si>
  <si>
    <t>One 97 Communications Ltd</t>
  </si>
  <si>
    <t>INE982J01020</t>
  </si>
  <si>
    <t>Swiggy Ltd</t>
  </si>
  <si>
    <t>INE00H001014</t>
  </si>
  <si>
    <t>Ashok Leyland Ltd</t>
  </si>
  <si>
    <t>INE208A01029</t>
  </si>
  <si>
    <t>Agricultural, Commercial &amp; Construction Vehicles</t>
  </si>
  <si>
    <t>Lupin Ltd</t>
  </si>
  <si>
    <t>INE326A01037</t>
  </si>
  <si>
    <t>Dixon Technologies (India) Ltd</t>
  </si>
  <si>
    <t>INE935N01020</t>
  </si>
  <si>
    <t>Hindustan Petroleum Corporation Ltd</t>
  </si>
  <si>
    <t>INE094A01015</t>
  </si>
  <si>
    <t>Fortis Healthcare Ltd</t>
  </si>
  <si>
    <t>INE061F01013</t>
  </si>
  <si>
    <t>SRF Ltd</t>
  </si>
  <si>
    <t>INE647A01010</t>
  </si>
  <si>
    <t>UPL Ltd</t>
  </si>
  <si>
    <t>INE628A01036</t>
  </si>
  <si>
    <t>Fertilizers &amp; Agrochemicals</t>
  </si>
  <si>
    <t>Max Financial Services Ltd</t>
  </si>
  <si>
    <t>INE180A01020</t>
  </si>
  <si>
    <t>Muthoot Finance Ltd</t>
  </si>
  <si>
    <t>INE414G01012</t>
  </si>
  <si>
    <t>Polycab India Ltd</t>
  </si>
  <si>
    <t>INE455K01017</t>
  </si>
  <si>
    <t>Marico Ltd</t>
  </si>
  <si>
    <t>INE196A01026</t>
  </si>
  <si>
    <t>Bharat Forge Ltd</t>
  </si>
  <si>
    <t>INE465A01025</t>
  </si>
  <si>
    <t>Ge Vernova T&amp;D India Ltd</t>
  </si>
  <si>
    <t>INE200A01026</t>
  </si>
  <si>
    <t>Yes Bank Ltd</t>
  </si>
  <si>
    <t>INE528G01035</t>
  </si>
  <si>
    <t>GMR Airports Ltd</t>
  </si>
  <si>
    <t>INE776C01039</t>
  </si>
  <si>
    <t>Bharat Heavy Electricals Ltd</t>
  </si>
  <si>
    <t>INE257A01026</t>
  </si>
  <si>
    <t>Sundaram Finance Ltd</t>
  </si>
  <si>
    <t>INE660A01013</t>
  </si>
  <si>
    <t>FSN E-Commerce Ventures Ltd</t>
  </si>
  <si>
    <t>INE388Y01029</t>
  </si>
  <si>
    <t>APL Apollo Tubes Ltd</t>
  </si>
  <si>
    <t>INE702C01027</t>
  </si>
  <si>
    <t>Phoenix Mills Ltd</t>
  </si>
  <si>
    <t>INE211B01039</t>
  </si>
  <si>
    <t>Aurobindo Pharma Ltd</t>
  </si>
  <si>
    <t>INE406A01037</t>
  </si>
  <si>
    <t>Alkem Laboratories Ltd</t>
  </si>
  <si>
    <t>INE540L01014</t>
  </si>
  <si>
    <t>Mphasis Ltd</t>
  </si>
  <si>
    <t>INE356A01018</t>
  </si>
  <si>
    <t>Voltas Ltd</t>
  </si>
  <si>
    <t>INE226A01021</t>
  </si>
  <si>
    <t>MRF Ltd</t>
  </si>
  <si>
    <t>INE883A01011</t>
  </si>
  <si>
    <t>Glenmark Pharmaceuticals Ltd</t>
  </si>
  <si>
    <t>INE935A01035</t>
  </si>
  <si>
    <t>360 One Wam Ltd</t>
  </si>
  <si>
    <t>INE466L01038</t>
  </si>
  <si>
    <t>Godrej Properties Ltd</t>
  </si>
  <si>
    <t>INE484J01027</t>
  </si>
  <si>
    <t>Union Bank Of India</t>
  </si>
  <si>
    <t>INE692A01016</t>
  </si>
  <si>
    <t>Vodafone Idea Ltd</t>
  </si>
  <si>
    <t>INE669E01016</t>
  </si>
  <si>
    <t>Dabur India Ltd</t>
  </si>
  <si>
    <t>INE016A01026</t>
  </si>
  <si>
    <t>Indian Bank</t>
  </si>
  <si>
    <t>INE562A01011</t>
  </si>
  <si>
    <t>Vishal Mega Mart Ltd</t>
  </si>
  <si>
    <t>INE01EA01019</t>
  </si>
  <si>
    <t>NMDC Ltd</t>
  </si>
  <si>
    <t>INE584A01023</t>
  </si>
  <si>
    <t>Minerals &amp; Mining</t>
  </si>
  <si>
    <t>Waaree Energies Ltd</t>
  </si>
  <si>
    <t>INE377N01017</t>
  </si>
  <si>
    <t>National Aluminium Co Ltd</t>
  </si>
  <si>
    <t>INE139A01034</t>
  </si>
  <si>
    <t>Tube Investments of India Ltd</t>
  </si>
  <si>
    <t>INE974X01010</t>
  </si>
  <si>
    <t>KEI Industries Ltd</t>
  </si>
  <si>
    <t>INE878B01027</t>
  </si>
  <si>
    <t>Aditya Birla Capital Ltd</t>
  </si>
  <si>
    <t>INE674K01013</t>
  </si>
  <si>
    <t>Colgate Palmolive (India) Ltd</t>
  </si>
  <si>
    <t>INE259A01022</t>
  </si>
  <si>
    <t>Prestige Estates Projects Ltd</t>
  </si>
  <si>
    <t>INE811K01011</t>
  </si>
  <si>
    <t>Jindal Stainless Ltd</t>
  </si>
  <si>
    <t>INE220G01021</t>
  </si>
  <si>
    <t>Coromandel International Ltd</t>
  </si>
  <si>
    <t>INE169A01031</t>
  </si>
  <si>
    <t>Mahindra &amp; Mahindra Financial Services Ltd</t>
  </si>
  <si>
    <t>INE774D01024</t>
  </si>
  <si>
    <t>ICICI Prudential Life Insurance Co Ltd</t>
  </si>
  <si>
    <t>INE726G01019</t>
  </si>
  <si>
    <t>PI Industries Ltd</t>
  </si>
  <si>
    <t>INE603J01030</t>
  </si>
  <si>
    <t>L&amp;T Finance Ltd</t>
  </si>
  <si>
    <t>INE498L01015</t>
  </si>
  <si>
    <t>SBI Cards and Payment Services Ltd</t>
  </si>
  <si>
    <t>INE018E01016</t>
  </si>
  <si>
    <t>NHPC Ltd</t>
  </si>
  <si>
    <t>INE848E01016</t>
  </si>
  <si>
    <t>Torrent Power Ltd</t>
  </si>
  <si>
    <t>INE813H01021</t>
  </si>
  <si>
    <t>Mankind Pharma Ltd</t>
  </si>
  <si>
    <t>INE634S01028</t>
  </si>
  <si>
    <t>Biocon Ltd</t>
  </si>
  <si>
    <t>INE376G01013</t>
  </si>
  <si>
    <t>Uno Minda Ltd</t>
  </si>
  <si>
    <t>INE405E01023</t>
  </si>
  <si>
    <t>Hitachi Energy India Ltd</t>
  </si>
  <si>
    <t>INE07Y701011</t>
  </si>
  <si>
    <t>J.K. Cement Ltd</t>
  </si>
  <si>
    <t>INE823G01014</t>
  </si>
  <si>
    <t>Oil India Ltd</t>
  </si>
  <si>
    <t>INE274J01014</t>
  </si>
  <si>
    <t>Page Industries Ltd</t>
  </si>
  <si>
    <t>INE761H01022</t>
  </si>
  <si>
    <t>Textiles &amp; Apparels</t>
  </si>
  <si>
    <t>Blue Star Ltd</t>
  </si>
  <si>
    <t>INE472A01039</t>
  </si>
  <si>
    <t>Jubilant Foodworks Ltd</t>
  </si>
  <si>
    <t>INE797F01020</t>
  </si>
  <si>
    <t>Supreme Industries Ltd</t>
  </si>
  <si>
    <t>INE195A01028</t>
  </si>
  <si>
    <t>Sona Blw Precision Forgings Ltd</t>
  </si>
  <si>
    <t>INE073K01018</t>
  </si>
  <si>
    <t>Tata Communications Ltd</t>
  </si>
  <si>
    <t>INE151A01013</t>
  </si>
  <si>
    <t>Petronet LNG Ltd</t>
  </si>
  <si>
    <t>INE347G01014</t>
  </si>
  <si>
    <t>Steel Authority of India Ltd</t>
  </si>
  <si>
    <t>INE114A01011</t>
  </si>
  <si>
    <t>Indian Railway Catering And Tourism Corporation Ltd</t>
  </si>
  <si>
    <t>INE335Y01020</t>
  </si>
  <si>
    <t>Rail Vikas Nigam Ltd</t>
  </si>
  <si>
    <t>INE415G01027</t>
  </si>
  <si>
    <t>IPCA Laboratories Ltd</t>
  </si>
  <si>
    <t>INE571A01038</t>
  </si>
  <si>
    <t>Oberoi Realty Ltd</t>
  </si>
  <si>
    <t>INE093I01010</t>
  </si>
  <si>
    <t>KPIT Technologies Ltd</t>
  </si>
  <si>
    <t>INE04I401011</t>
  </si>
  <si>
    <t>Kalyan Jewellers India Ltd</t>
  </si>
  <si>
    <t>INE303R01014</t>
  </si>
  <si>
    <t>Balkrishna Industries Ltd</t>
  </si>
  <si>
    <t>INE787D01026</t>
  </si>
  <si>
    <t>Patanjali Foods Ltd</t>
  </si>
  <si>
    <t>INE619A01035</t>
  </si>
  <si>
    <t>Agricultural Food &amp; other Products</t>
  </si>
  <si>
    <t>ITC Hotels Ltd</t>
  </si>
  <si>
    <t>INE379A01028</t>
  </si>
  <si>
    <t>Oracle Financial Services Software Ltd</t>
  </si>
  <si>
    <t>INE881D01027</t>
  </si>
  <si>
    <t>Container Corporation Of India Ltd</t>
  </si>
  <si>
    <t>INE111A01025</t>
  </si>
  <si>
    <t>Tata Elxsi Ltd</t>
  </si>
  <si>
    <t>INE670A01012</t>
  </si>
  <si>
    <t>Bank of India</t>
  </si>
  <si>
    <t>INE084A01016</t>
  </si>
  <si>
    <t>Lloyds Metals And Energy Ltd</t>
  </si>
  <si>
    <t>INE281B01032</t>
  </si>
  <si>
    <t>Astral Ltd</t>
  </si>
  <si>
    <t>INE006I01046</t>
  </si>
  <si>
    <t>Dalmia Bharat Ltd</t>
  </si>
  <si>
    <t>INE00R701025</t>
  </si>
  <si>
    <t>Exide Industries Ltd</t>
  </si>
  <si>
    <t>INE302A01020</t>
  </si>
  <si>
    <t>LIC Housing Finance Ltd</t>
  </si>
  <si>
    <t>INE115A01026</t>
  </si>
  <si>
    <t>Apollo Tyres Ltd</t>
  </si>
  <si>
    <t>INE438A01022</t>
  </si>
  <si>
    <t>Adani Total Gas Ltd</t>
  </si>
  <si>
    <t>INE399L01023</t>
  </si>
  <si>
    <t>Nippon Life India Asset Management Ltd</t>
  </si>
  <si>
    <t>INE298J01013</t>
  </si>
  <si>
    <t>Schaeffler India Ltd</t>
  </si>
  <si>
    <t>INE513A01022</t>
  </si>
  <si>
    <t>AIA Engineering Ltd</t>
  </si>
  <si>
    <t>INE212H01026</t>
  </si>
  <si>
    <t>Gujarat Fluorochemicals Ltd</t>
  </si>
  <si>
    <t>INE09N301011</t>
  </si>
  <si>
    <t>Berger Paints India Ltd</t>
  </si>
  <si>
    <t>INE463A01038</t>
  </si>
  <si>
    <t>Abbott India Ltd</t>
  </si>
  <si>
    <t>INE358A01014</t>
  </si>
  <si>
    <t>Apar Industries Ltd</t>
  </si>
  <si>
    <t>INE372A01015</t>
  </si>
  <si>
    <t>Cochin Shipyard Ltd</t>
  </si>
  <si>
    <t>INE704P01025</t>
  </si>
  <si>
    <t>Bharti Hexacom Ltd</t>
  </si>
  <si>
    <t>INE343G01021</t>
  </si>
  <si>
    <t>Indraprastha Gas Ltd</t>
  </si>
  <si>
    <t>INE203G01027</t>
  </si>
  <si>
    <t>Bharat Dynamics Ltd</t>
  </si>
  <si>
    <t>INE171Z01026</t>
  </si>
  <si>
    <t>Motilal Oswal Financial Services Ltd</t>
  </si>
  <si>
    <t>INE338I01027</t>
  </si>
  <si>
    <t>Bank Of Maharashtra</t>
  </si>
  <si>
    <t>INE457A01014</t>
  </si>
  <si>
    <t>Linde India Ltd</t>
  </si>
  <si>
    <t>INE473A01011</t>
  </si>
  <si>
    <t>Escorts Kubota Ltd</t>
  </si>
  <si>
    <t>INE042A01014</t>
  </si>
  <si>
    <t>Syngene International Ltd</t>
  </si>
  <si>
    <t>INE398R01022</t>
  </si>
  <si>
    <t>L&amp;T Technology Services Ltd</t>
  </si>
  <si>
    <t>INE010V01017</t>
  </si>
  <si>
    <t>IT - Services</t>
  </si>
  <si>
    <t>Procter &amp; Gamble Hygiene and Health Care Ltd</t>
  </si>
  <si>
    <t>INE179A01014</t>
  </si>
  <si>
    <t>Deepak Nitrite Ltd</t>
  </si>
  <si>
    <t>INE288B01029</t>
  </si>
  <si>
    <t>General Insurance Corporation Of India</t>
  </si>
  <si>
    <t>INE481Y01014</t>
  </si>
  <si>
    <t>Thermax Ltd</t>
  </si>
  <si>
    <t>INE152A01029</t>
  </si>
  <si>
    <t>United Breweries Ltd</t>
  </si>
  <si>
    <t>INE686F01025</t>
  </si>
  <si>
    <t>Ajanta Pharma Ltd</t>
  </si>
  <si>
    <t>INE031B01049</t>
  </si>
  <si>
    <t>Housing &amp; Urban Development Corporation Ltd</t>
  </si>
  <si>
    <t>INE031A01017</t>
  </si>
  <si>
    <t>Hexaware Technologies Ltd</t>
  </si>
  <si>
    <t>INE093A01041</t>
  </si>
  <si>
    <t>Godfrey Phillips India Ltd</t>
  </si>
  <si>
    <t>INE260B01028</t>
  </si>
  <si>
    <t>Cigarettes &amp; Tobacco Products</t>
  </si>
  <si>
    <t>Indian Renewable Energy Development Agency Ltd</t>
  </si>
  <si>
    <t>INE202E01016</t>
  </si>
  <si>
    <t>Awl Agri Business Ltd</t>
  </si>
  <si>
    <t>INE699H01024</t>
  </si>
  <si>
    <t>Tata Technologies Ltd</t>
  </si>
  <si>
    <t>INE142M01025</t>
  </si>
  <si>
    <t>K.P.R. Mill Ltd</t>
  </si>
  <si>
    <t>INE930H01031</t>
  </si>
  <si>
    <t>ACC Ltd</t>
  </si>
  <si>
    <t>INE012A01025</t>
  </si>
  <si>
    <t>CRISIL Ltd</t>
  </si>
  <si>
    <t>INE007A01025</t>
  </si>
  <si>
    <t>Glaxosmithkline Pharmaceuticals Ltd</t>
  </si>
  <si>
    <t>INE159A01016</t>
  </si>
  <si>
    <t>Global Health Ltd</t>
  </si>
  <si>
    <t>INE474Q01031</t>
  </si>
  <si>
    <t>3M India Ltd</t>
  </si>
  <si>
    <t>INE470A01017</t>
  </si>
  <si>
    <t>Diversified</t>
  </si>
  <si>
    <t>Premier Energies Ltd</t>
  </si>
  <si>
    <t>INE0BS701011</t>
  </si>
  <si>
    <t>JSW Infrastructure Ltd</t>
  </si>
  <si>
    <t>INE880J01026</t>
  </si>
  <si>
    <t>Endurance Technologies Ltd</t>
  </si>
  <si>
    <t>INE913H01037</t>
  </si>
  <si>
    <t>Tata Investment Corporation Ltd</t>
  </si>
  <si>
    <t>INE672A01026</t>
  </si>
  <si>
    <t>NTPC Green Energy Ltd</t>
  </si>
  <si>
    <t>INE0ONG01011</t>
  </si>
  <si>
    <t>IRB Infrastructure Developers Ltd</t>
  </si>
  <si>
    <t>INE821I01022</t>
  </si>
  <si>
    <t>NLC India Ltd</t>
  </si>
  <si>
    <t>INE589A01014</t>
  </si>
  <si>
    <t>Honeywell Automation India Ltd</t>
  </si>
  <si>
    <t>INE671A01010</t>
  </si>
  <si>
    <t>Gujarat Gas Ltd</t>
  </si>
  <si>
    <t>INE844O01030</t>
  </si>
  <si>
    <t>IDBI Bank Ltd</t>
  </si>
  <si>
    <t>INE008A01015</t>
  </si>
  <si>
    <t>Fertilizers And Chemicals Travancore Ltd</t>
  </si>
  <si>
    <t>INE188A01015</t>
  </si>
  <si>
    <t>SJVN Ltd</t>
  </si>
  <si>
    <t>INE002L01015</t>
  </si>
  <si>
    <t>Indian Overseas Bank</t>
  </si>
  <si>
    <t>INE565A01014</t>
  </si>
  <si>
    <t>Godrej Industries Ltd</t>
  </si>
  <si>
    <t>INE233A01035</t>
  </si>
  <si>
    <t>The New India Assurance Co Ltd</t>
  </si>
  <si>
    <t>INE470Y01017</t>
  </si>
  <si>
    <t>UCO Bank</t>
  </si>
  <si>
    <t>INE691A01018</t>
  </si>
  <si>
    <t>Multi Commodity Exchange Of India Ltd</t>
  </si>
  <si>
    <t>INE745G01035</t>
  </si>
  <si>
    <t>Laurus Labs Ltd</t>
  </si>
  <si>
    <t>INE947Q01028</t>
  </si>
  <si>
    <t>Radico Khaitan Ltd</t>
  </si>
  <si>
    <t>INE944F01028</t>
  </si>
  <si>
    <t>Central Depository Services (India) Ltd</t>
  </si>
  <si>
    <t>INE736A01011</t>
  </si>
  <si>
    <t>Karur Vysya Bank Ltd</t>
  </si>
  <si>
    <t>INE036D01028</t>
  </si>
  <si>
    <t>Delhivery Ltd</t>
  </si>
  <si>
    <t>INE148O01028</t>
  </si>
  <si>
    <t>Navin Fluorine International Ltd</t>
  </si>
  <si>
    <t>INE048G01026</t>
  </si>
  <si>
    <t>City Union Bank Ltd</t>
  </si>
  <si>
    <t>INE491A01021</t>
  </si>
  <si>
    <t>RBL Bank Ltd</t>
  </si>
  <si>
    <t>INE976G01028</t>
  </si>
  <si>
    <t>Cholamandalam Financial Holdings Ltd</t>
  </si>
  <si>
    <t>INE149A01033</t>
  </si>
  <si>
    <t>PNB Housing Finance Ltd</t>
  </si>
  <si>
    <t>INE572E01012</t>
  </si>
  <si>
    <t>Computer Age Management Services Ltd</t>
  </si>
  <si>
    <t>INE596I01020</t>
  </si>
  <si>
    <t>Hindustan Copper Ltd</t>
  </si>
  <si>
    <t>INE531E01026</t>
  </si>
  <si>
    <t>Manappuram Finance Ltd</t>
  </si>
  <si>
    <t>INE522D01027</t>
  </si>
  <si>
    <t>Authum Investment &amp; Infrastructure Ltd</t>
  </si>
  <si>
    <t>INE206F01022</t>
  </si>
  <si>
    <t>Crompton Greaves Consumer Electricals Ltd</t>
  </si>
  <si>
    <t>INE299U01018</t>
  </si>
  <si>
    <t>Redington Ltd</t>
  </si>
  <si>
    <t>INE891D01026</t>
  </si>
  <si>
    <t>Commercial Services &amp; Supplies</t>
  </si>
  <si>
    <t>Angel One Ltd</t>
  </si>
  <si>
    <t>INE732I01013</t>
  </si>
  <si>
    <t>Krishna Institute Of Medical Sciences Ltd</t>
  </si>
  <si>
    <t>INE967H01025</t>
  </si>
  <si>
    <t>J.B. Chemicals &amp; Pharmaceuticals Ltd</t>
  </si>
  <si>
    <t>INE572A01036</t>
  </si>
  <si>
    <t>Kfin Technologies Ltd</t>
  </si>
  <si>
    <t>INE138Y01010</t>
  </si>
  <si>
    <t>Aster DM Healthcare Ltd</t>
  </si>
  <si>
    <t>INE914M01019</t>
  </si>
  <si>
    <t>IIFL Finance Ltd</t>
  </si>
  <si>
    <t>INE530B01024</t>
  </si>
  <si>
    <t>Amber Enterprises India Ltd</t>
  </si>
  <si>
    <t>INE371P01015</t>
  </si>
  <si>
    <t>Poonawalla Fincorp Ltd</t>
  </si>
  <si>
    <t>INE511C01022</t>
  </si>
  <si>
    <t>Gland Pharma Ltd</t>
  </si>
  <si>
    <t>INE068V01023</t>
  </si>
  <si>
    <t>Kalpataru Projects International Ltd</t>
  </si>
  <si>
    <t>INE220B01022</t>
  </si>
  <si>
    <t>The Ramco Cements Ltd</t>
  </si>
  <si>
    <t>INE331A01037</t>
  </si>
  <si>
    <t>Anand Rathi Wealth Ltd</t>
  </si>
  <si>
    <t>INE463V01026</t>
  </si>
  <si>
    <t>Neuland Laboratories Ltd</t>
  </si>
  <si>
    <t>INE794A01010</t>
  </si>
  <si>
    <t>Bandhan Bank Ltd</t>
  </si>
  <si>
    <t>INE545U01014</t>
  </si>
  <si>
    <t>Narayana Hrudayalaya Ltd</t>
  </si>
  <si>
    <t>INE410P01011</t>
  </si>
  <si>
    <t>NBCC (India) Ltd</t>
  </si>
  <si>
    <t>INE095N01031</t>
  </si>
  <si>
    <t>Kaynes Technology India Ltd</t>
  </si>
  <si>
    <t>INE918Z01012</t>
  </si>
  <si>
    <t>Sai Life Sciences Ltd</t>
  </si>
  <si>
    <t>INE570L01029</t>
  </si>
  <si>
    <t>Motherson Sumi Wiring India Ltd</t>
  </si>
  <si>
    <t>INE0FS801015</t>
  </si>
  <si>
    <t>Asahi India Glass Ltd</t>
  </si>
  <si>
    <t>INE439A01020</t>
  </si>
  <si>
    <t>Brigade Enterprises Ltd</t>
  </si>
  <si>
    <t>INE791I01019</t>
  </si>
  <si>
    <t>Tata Chemicals Ltd</t>
  </si>
  <si>
    <t>INE092A01019</t>
  </si>
  <si>
    <t>Wockhardt Ltd</t>
  </si>
  <si>
    <t>INE049B01025</t>
  </si>
  <si>
    <t>Inox Wind Ltd</t>
  </si>
  <si>
    <t>INE066P01011</t>
  </si>
  <si>
    <t>Dr. Lal Path Labs Ltd</t>
  </si>
  <si>
    <t>INE600L01024</t>
  </si>
  <si>
    <t>Himadri Speciality Chemical Ltd</t>
  </si>
  <si>
    <t>INE019C01026</t>
  </si>
  <si>
    <t>Affle 3i Ltd</t>
  </si>
  <si>
    <t>INE00WC01027</t>
  </si>
  <si>
    <t>PTC Industries Ltd</t>
  </si>
  <si>
    <t>INE596F01018</t>
  </si>
  <si>
    <t>Nuvama Wealth Management Ltd</t>
  </si>
  <si>
    <t>INE531F01023</t>
  </si>
  <si>
    <t>Sammaan Capital Ltd</t>
  </si>
  <si>
    <t>INE148I01020</t>
  </si>
  <si>
    <t>ZF Commercial Vehicle Control Systems India Ltd</t>
  </si>
  <si>
    <t>INE342J01019</t>
  </si>
  <si>
    <t>Great Eastern Shipping Co Ltd</t>
  </si>
  <si>
    <t>INE017A01032</t>
  </si>
  <si>
    <t>Amara Raja Energy And Mobility Ltd</t>
  </si>
  <si>
    <t>INE885A01032</t>
  </si>
  <si>
    <t>Timken India Ltd</t>
  </si>
  <si>
    <t>INE325A01013</t>
  </si>
  <si>
    <t>Ather Energy Ltd</t>
  </si>
  <si>
    <t>INE0LEZ01016</t>
  </si>
  <si>
    <t>Star Health And Allied Insurance Co Ltd</t>
  </si>
  <si>
    <t>INE575P01011</t>
  </si>
  <si>
    <t>Indian Energy Exchange Ltd</t>
  </si>
  <si>
    <t>INE022Q01020</t>
  </si>
  <si>
    <t>Firstsource Solutions Ltd</t>
  </si>
  <si>
    <t>INE684F01012</t>
  </si>
  <si>
    <t>Piramal Pharma Ltd</t>
  </si>
  <si>
    <t>INE0DK501011</t>
  </si>
  <si>
    <t>Welspun Corp Ltd</t>
  </si>
  <si>
    <t>INE191B01025</t>
  </si>
  <si>
    <t>EID Parry India Ltd</t>
  </si>
  <si>
    <t>INE126A01031</t>
  </si>
  <si>
    <t>CESC Ltd</t>
  </si>
  <si>
    <t>INE486A01021</t>
  </si>
  <si>
    <t>Five-Star Business Finance Ltd</t>
  </si>
  <si>
    <t>INE128S01021</t>
  </si>
  <si>
    <t>HBL Engineering Ltd</t>
  </si>
  <si>
    <t>INE292B01021</t>
  </si>
  <si>
    <t>Emami Ltd</t>
  </si>
  <si>
    <t>INE548C01032</t>
  </si>
  <si>
    <t>Sundram Fasteners Ltd</t>
  </si>
  <si>
    <t>INE387A01021</t>
  </si>
  <si>
    <t>Elgi Equipments Ltd</t>
  </si>
  <si>
    <t>INE285A01027</t>
  </si>
  <si>
    <t>Kirloskar Oil Engines Ltd</t>
  </si>
  <si>
    <t>INE146L01010</t>
  </si>
  <si>
    <t>Onesource Specialty Pharma Ltd</t>
  </si>
  <si>
    <t>INE013P01021</t>
  </si>
  <si>
    <t>eClerx Services Ltd</t>
  </si>
  <si>
    <t>INE738I01010</t>
  </si>
  <si>
    <t>Reliance Power Ltd</t>
  </si>
  <si>
    <t>INE614G01033</t>
  </si>
  <si>
    <t>Home First Finance Co India Ltd</t>
  </si>
  <si>
    <t>INE481N01025</t>
  </si>
  <si>
    <t>Force Motors Ltd</t>
  </si>
  <si>
    <t>INE451A01017</t>
  </si>
  <si>
    <t>Aptus Value Housing Finance India Ltd</t>
  </si>
  <si>
    <t>INE852O01025</t>
  </si>
  <si>
    <t>Carborundum Universal Ltd</t>
  </si>
  <si>
    <t>INE120A01034</t>
  </si>
  <si>
    <t>Atul Ltd</t>
  </si>
  <si>
    <t>INE100A01010</t>
  </si>
  <si>
    <t>KEC International Ltd</t>
  </si>
  <si>
    <t>INE389H01022</t>
  </si>
  <si>
    <t>Cyient Ltd</t>
  </si>
  <si>
    <t>INE136B01020</t>
  </si>
  <si>
    <t>Craftsman Automation Ltd</t>
  </si>
  <si>
    <t>INE00LO01017</t>
  </si>
  <si>
    <t>Castrol India Ltd</t>
  </si>
  <si>
    <t>INE172A01027</t>
  </si>
  <si>
    <t>PG Electroplast Ltd</t>
  </si>
  <si>
    <t>INE457L01029</t>
  </si>
  <si>
    <t>Aegis Logistics Ltd</t>
  </si>
  <si>
    <t>INE208C01025</t>
  </si>
  <si>
    <t>Gujarat State Petronet Ltd</t>
  </si>
  <si>
    <t>INE246F01010</t>
  </si>
  <si>
    <t>Aditya Birla Real Estate Ltd</t>
  </si>
  <si>
    <t>INE055A01016</t>
  </si>
  <si>
    <t>Paper, Forest &amp; Jute Products</t>
  </si>
  <si>
    <t>Intellect Design Arena Ltd</t>
  </si>
  <si>
    <t>INE306R01017</t>
  </si>
  <si>
    <t>Granules India Ltd</t>
  </si>
  <si>
    <t>INE101D01020</t>
  </si>
  <si>
    <t>Jubilant Pharmova Ltd</t>
  </si>
  <si>
    <t>INE700A01033</t>
  </si>
  <si>
    <t>Deepak Fertilizers and Petrochemicals Corporation Ltd</t>
  </si>
  <si>
    <t>INE501A01019</t>
  </si>
  <si>
    <t>Cohance Lifesciences Ltd</t>
  </si>
  <si>
    <t>INE03QK01018</t>
  </si>
  <si>
    <t>Jyoti CNC Automation Ltd</t>
  </si>
  <si>
    <t>INE980O01024</t>
  </si>
  <si>
    <t>Anant Raj Ltd</t>
  </si>
  <si>
    <t>INE242C01024</t>
  </si>
  <si>
    <t>Jaiprakash Power Ventures Ltd</t>
  </si>
  <si>
    <t>INE351F01018</t>
  </si>
  <si>
    <t>Zee Entertainment Enterprises Ltd</t>
  </si>
  <si>
    <t>INE256A01028</t>
  </si>
  <si>
    <t>Entertainment</t>
  </si>
  <si>
    <t>Go Digit General Insurance Ltd</t>
  </si>
  <si>
    <t>INE03JT01014</t>
  </si>
  <si>
    <t>Eris Lifesciences Ltd</t>
  </si>
  <si>
    <t>INE406M01024</t>
  </si>
  <si>
    <t>Usha Martin Ltd</t>
  </si>
  <si>
    <t>INE228A01035</t>
  </si>
  <si>
    <t>Natco Pharma Ltd</t>
  </si>
  <si>
    <t>INE987B01026</t>
  </si>
  <si>
    <t>Zensar Technologies Ltd</t>
  </si>
  <si>
    <t>INE520A01027</t>
  </si>
  <si>
    <t>Kajaria Ceramics Ltd</t>
  </si>
  <si>
    <t>INE217B01036</t>
  </si>
  <si>
    <t>Inventurus Knowledge Solutions Ltd</t>
  </si>
  <si>
    <t>INE115Q01022</t>
  </si>
  <si>
    <t>CEAT Ltd</t>
  </si>
  <si>
    <t>INE482A01020</t>
  </si>
  <si>
    <t>Sagility Ltd</t>
  </si>
  <si>
    <t>INE0W2G01015</t>
  </si>
  <si>
    <t>Lemon Tree Hotels Ltd</t>
  </si>
  <si>
    <t>INE970X01018</t>
  </si>
  <si>
    <t>Nava Ltd</t>
  </si>
  <si>
    <t>INE725A01030</t>
  </si>
  <si>
    <t>Can Fin Homes Ltd</t>
  </si>
  <si>
    <t>INE477A01020</t>
  </si>
  <si>
    <t>Data Patterns India Ltd</t>
  </si>
  <si>
    <t>INE0IX101010</t>
  </si>
  <si>
    <t>Maharashtra Scooters Ltd</t>
  </si>
  <si>
    <t>INE288A01013</t>
  </si>
  <si>
    <t>Aarti Industries Ltd</t>
  </si>
  <si>
    <t>INE769A01020</t>
  </si>
  <si>
    <t>Pfizer Ltd</t>
  </si>
  <si>
    <t>INE182A01018</t>
  </si>
  <si>
    <t>Chambal Fertilizers &amp; Chemicals Ltd</t>
  </si>
  <si>
    <t>INE085A01013</t>
  </si>
  <si>
    <t>EIH Ltd</t>
  </si>
  <si>
    <t>INE230A01023</t>
  </si>
  <si>
    <t>HFCL Ltd</t>
  </si>
  <si>
    <t>INE548A01028</t>
  </si>
  <si>
    <t>PVR Inox Ltd</t>
  </si>
  <si>
    <t>INE191H01014</t>
  </si>
  <si>
    <t>Birlasoft Ltd</t>
  </si>
  <si>
    <t>INE836A01035</t>
  </si>
  <si>
    <t>Garden Reach Shipbuilders &amp; Engineers Ltd</t>
  </si>
  <si>
    <t>INE382Z01011</t>
  </si>
  <si>
    <t>Titagarh Rail Systems Ltd</t>
  </si>
  <si>
    <t>INE615H01020</t>
  </si>
  <si>
    <t>BEML Ltd</t>
  </si>
  <si>
    <t>INE258A01024</t>
  </si>
  <si>
    <t>Capri Global Capital Ltd</t>
  </si>
  <si>
    <t>INE180C01042</t>
  </si>
  <si>
    <t>Sonata Software Ltd</t>
  </si>
  <si>
    <t>INE269A01021</t>
  </si>
  <si>
    <t>Creditaccess Grameen Ltd</t>
  </si>
  <si>
    <t>INE741K01010</t>
  </si>
  <si>
    <t>Indiamart Intermesh Ltd</t>
  </si>
  <si>
    <t>INE933S01016</t>
  </si>
  <si>
    <t>Gillette India Ltd</t>
  </si>
  <si>
    <t>INE322A01010</t>
  </si>
  <si>
    <t>Poly Medicure Ltd</t>
  </si>
  <si>
    <t>INE205C01021</t>
  </si>
  <si>
    <t>Healthcare Equipment &amp; Supplies</t>
  </si>
  <si>
    <t>CCL Products (India) Ltd</t>
  </si>
  <si>
    <t>INE421D01022</t>
  </si>
  <si>
    <t>Rainbow Childrens Medicare Ltd</t>
  </si>
  <si>
    <t>INE961O01016</t>
  </si>
  <si>
    <t>NCC Ltd</t>
  </si>
  <si>
    <t>INE868B01028</t>
  </si>
  <si>
    <t>Swan Corp Ltd</t>
  </si>
  <si>
    <t>INE665A01038</t>
  </si>
  <si>
    <t>Godawari Power &amp; Ispat Ltd</t>
  </si>
  <si>
    <t>INE177H01039</t>
  </si>
  <si>
    <t>Sobha Ltd</t>
  </si>
  <si>
    <t>INE671H01015</t>
  </si>
  <si>
    <t>Mahanagar Gas Ltd</t>
  </si>
  <si>
    <t>INE002S01010</t>
  </si>
  <si>
    <t>Ola Electric Mobility Ltd</t>
  </si>
  <si>
    <t>INE0LXG01040</t>
  </si>
  <si>
    <t>Brainbees Solutions Ltd</t>
  </si>
  <si>
    <t>INE02RE01045</t>
  </si>
  <si>
    <t>Zen Technologies Ltd</t>
  </si>
  <si>
    <t>INE251B01027</t>
  </si>
  <si>
    <t>Chalet Hotels Ltd</t>
  </si>
  <si>
    <t>INE427F01016</t>
  </si>
  <si>
    <t>Triveni Turbine Ltd</t>
  </si>
  <si>
    <t>INE152M01016</t>
  </si>
  <si>
    <t>V-Guard Industries Ltd</t>
  </si>
  <si>
    <t>INE951I01027</t>
  </si>
  <si>
    <t>Aditya Birla Lifestyle Brands Ltd</t>
  </si>
  <si>
    <t>INE14LE01019</t>
  </si>
  <si>
    <t>Choice International Ltd</t>
  </si>
  <si>
    <t>INE102B01014</t>
  </si>
  <si>
    <t>JK Tyre &amp; Industries Ltd</t>
  </si>
  <si>
    <t>INE573A01042</t>
  </si>
  <si>
    <t>Sapphire Foods India Ltd</t>
  </si>
  <si>
    <t>INE806T01020</t>
  </si>
  <si>
    <t>Bata India Ltd</t>
  </si>
  <si>
    <t>INE176A01028</t>
  </si>
  <si>
    <t>Shyam Metalics And Energy Ltd</t>
  </si>
  <si>
    <t>INE810G01011</t>
  </si>
  <si>
    <t>Devyani International Ltd</t>
  </si>
  <si>
    <t>INE872J01023</t>
  </si>
  <si>
    <t>Jubilant Ingrevia Ltd</t>
  </si>
  <si>
    <t>INE0BY001018</t>
  </si>
  <si>
    <t>Gravita India Ltd</t>
  </si>
  <si>
    <t>INE024L01027</t>
  </si>
  <si>
    <t>Aditya Birla Sun Life AMC Ltd</t>
  </si>
  <si>
    <t>INE404A01024</t>
  </si>
  <si>
    <t>JM Financial Ltd</t>
  </si>
  <si>
    <t>INE780C01023</t>
  </si>
  <si>
    <t>Aavas Financiers Ltd</t>
  </si>
  <si>
    <t>INE216P01012</t>
  </si>
  <si>
    <t>Bayer Cropscience Ltd</t>
  </si>
  <si>
    <t>INE462A01022</t>
  </si>
  <si>
    <t>Sun TV Network Ltd</t>
  </si>
  <si>
    <t>INE424H01027</t>
  </si>
  <si>
    <t>Sumitomo Chemical India Ltd</t>
  </si>
  <si>
    <t>INE258G01013</t>
  </si>
  <si>
    <t>Afcons Infrastructure Ltd</t>
  </si>
  <si>
    <t>INE101I01011</t>
  </si>
  <si>
    <t>IRCON International Ltd</t>
  </si>
  <si>
    <t>INE962Y01021</t>
  </si>
  <si>
    <t>Finolex Cables Ltd</t>
  </si>
  <si>
    <t>INE235A01022</t>
  </si>
  <si>
    <t>Syrma SGS Technology Ltd</t>
  </si>
  <si>
    <t>INE0DYJ01015</t>
  </si>
  <si>
    <t>Whirlpool Of India Ltd</t>
  </si>
  <si>
    <t>INE716A01013</t>
  </si>
  <si>
    <t>AstraZenca Pharma India Ltd</t>
  </si>
  <si>
    <t>INE203A01020</t>
  </si>
  <si>
    <t>TBO Tek Ltd</t>
  </si>
  <si>
    <t>INE673O01025</t>
  </si>
  <si>
    <t>Engineers India Ltd</t>
  </si>
  <si>
    <t>INE510A01028</t>
  </si>
  <si>
    <t>Techno Electric &amp; Engineering Co Ltd</t>
  </si>
  <si>
    <t>INE285K01026</t>
  </si>
  <si>
    <t>Newgen Software Technologies Ltd</t>
  </si>
  <si>
    <t>INE619B01017</t>
  </si>
  <si>
    <t>Ramkrishna Forgings Ltd</t>
  </si>
  <si>
    <t>INE399G01023</t>
  </si>
  <si>
    <t>LT Foods Ltd</t>
  </si>
  <si>
    <t>INE818H01020</t>
  </si>
  <si>
    <t>Indegene Ltd</t>
  </si>
  <si>
    <t>INE065X01017</t>
  </si>
  <si>
    <t>PCBL Chemical Ltd</t>
  </si>
  <si>
    <t>INE602A01031</t>
  </si>
  <si>
    <t>Heg Ltd</t>
  </si>
  <si>
    <t>INE545A01024</t>
  </si>
  <si>
    <t>Vijaya Diagnostic Centre Ltd</t>
  </si>
  <si>
    <t>INE043W01024</t>
  </si>
  <si>
    <t>Aadhar Housing Finance Ltd</t>
  </si>
  <si>
    <t>INE883F01010</t>
  </si>
  <si>
    <t>Netweb Technologies India Ltd</t>
  </si>
  <si>
    <t>INE0NT901020</t>
  </si>
  <si>
    <t>Balrampur Chini Mills Ltd</t>
  </si>
  <si>
    <t>INE119A01028</t>
  </si>
  <si>
    <t>NMDC Steel Ltd</t>
  </si>
  <si>
    <t>INE0NNS01018</t>
  </si>
  <si>
    <t>Century Plyboards (India) Ltd</t>
  </si>
  <si>
    <t>INE348B01021</t>
  </si>
  <si>
    <t>Metropolis Healthcare Ltd</t>
  </si>
  <si>
    <t>INE112L01020</t>
  </si>
  <si>
    <t>Dcm Shriram Ltd</t>
  </si>
  <si>
    <t>INE499A01024</t>
  </si>
  <si>
    <t>Gujarat Mineral Development Corporation Ltd</t>
  </si>
  <si>
    <t>INE131A01031</t>
  </si>
  <si>
    <t>Bikaji Foods International Ltd</t>
  </si>
  <si>
    <t>INE00E101023</t>
  </si>
  <si>
    <t>Olectra Greentech Ltd</t>
  </si>
  <si>
    <t>INE260D01016</t>
  </si>
  <si>
    <t>Finolex Industries Ltd</t>
  </si>
  <si>
    <t>INE183A01024</t>
  </si>
  <si>
    <t>Sarda Energy &amp; Minerals Ltd</t>
  </si>
  <si>
    <t>INE385C01021</t>
  </si>
  <si>
    <t>INE036A01016</t>
  </si>
  <si>
    <t>R R Kabel Ltd</t>
  </si>
  <si>
    <t>INE777K01022</t>
  </si>
  <si>
    <t>UTI Asset Management Co Ltd</t>
  </si>
  <si>
    <t>INE094J01016</t>
  </si>
  <si>
    <t>Doms Industries Ltd</t>
  </si>
  <si>
    <t>INE321T01012</t>
  </si>
  <si>
    <t>Household Products</t>
  </si>
  <si>
    <t>Alembic Pharmaceuticals Ltd</t>
  </si>
  <si>
    <t>INE901L01018</t>
  </si>
  <si>
    <t>Niva Bupa Health Insurance Co Ltd</t>
  </si>
  <si>
    <t>INE995S01015</t>
  </si>
  <si>
    <t>Jupiter Wagons Ltd</t>
  </si>
  <si>
    <t>INE209L01016</t>
  </si>
  <si>
    <t>Minda Corporation Ltd</t>
  </si>
  <si>
    <t>INE842C01021</t>
  </si>
  <si>
    <t>BASF India Ltd</t>
  </si>
  <si>
    <t>INE373A01013</t>
  </si>
  <si>
    <t>Vardhman Textiles Ltd</t>
  </si>
  <si>
    <t>INE825A01020</t>
  </si>
  <si>
    <t>The Jammu &amp; Kashmir Bank Ltd</t>
  </si>
  <si>
    <t>INE168A01041</t>
  </si>
  <si>
    <t>Concord Biotech Ltd</t>
  </si>
  <si>
    <t>INE338H01029</t>
  </si>
  <si>
    <t>Signatureglobal (India) Ltd</t>
  </si>
  <si>
    <t>INE903U01023</t>
  </si>
  <si>
    <t>Graphite India Ltd</t>
  </si>
  <si>
    <t>INE371A01025</t>
  </si>
  <si>
    <t>Akzo Nobel India Ltd</t>
  </si>
  <si>
    <t>INE133A01011</t>
  </si>
  <si>
    <t>Elecon Engineering Co Ltd</t>
  </si>
  <si>
    <t>INE205B01031</t>
  </si>
  <si>
    <t>Schneider Electric Infrastructure Ltd</t>
  </si>
  <si>
    <t>INE839M01018</t>
  </si>
  <si>
    <t>Clean Science And Technology Ltd</t>
  </si>
  <si>
    <t>INE227W01023</t>
  </si>
  <si>
    <t>Aditya Birla Fashion and Retail Ltd</t>
  </si>
  <si>
    <t>INE647O01011</t>
  </si>
  <si>
    <t>Welspun Living Ltd</t>
  </si>
  <si>
    <t>INE192B01031</t>
  </si>
  <si>
    <t>Kirloskar Brothers Ltd</t>
  </si>
  <si>
    <t>INE732A01036</t>
  </si>
  <si>
    <t>SBFC Finance Ltd</t>
  </si>
  <si>
    <t>INE423Y01016</t>
  </si>
  <si>
    <t>Emcure Pharmaceuticals Ltd</t>
  </si>
  <si>
    <t>INE168P01015</t>
  </si>
  <si>
    <t>Chennai Petroleum Corporation Ltd</t>
  </si>
  <si>
    <t>INE178A01016</t>
  </si>
  <si>
    <t>Praj Industries Ltd</t>
  </si>
  <si>
    <t>INE074A01025</t>
  </si>
  <si>
    <t>KSB Ltd</t>
  </si>
  <si>
    <t>INE999A01023</t>
  </si>
  <si>
    <t>Honasa Consumer Ltd</t>
  </si>
  <si>
    <t>INE0J5401028</t>
  </si>
  <si>
    <t>Dr. Agarwals Health Care Ltd</t>
  </si>
  <si>
    <t>INE943P01029</t>
  </si>
  <si>
    <t>Shipping Corporation of India Ltd</t>
  </si>
  <si>
    <t>INE109A01011</t>
  </si>
  <si>
    <t>Jindal Saw Ltd</t>
  </si>
  <si>
    <t>INE324A01032</t>
  </si>
  <si>
    <t>Action Construction Equipment Ltd</t>
  </si>
  <si>
    <t>INE731H01025</t>
  </si>
  <si>
    <t>BLS International Services Ltd</t>
  </si>
  <si>
    <t>INE153T01027</t>
  </si>
  <si>
    <t>Jyothy Labs Ltd</t>
  </si>
  <si>
    <t>INE668F01031</t>
  </si>
  <si>
    <t>Happiest Minds Technologies Ltd</t>
  </si>
  <si>
    <t>INE419U01012</t>
  </si>
  <si>
    <t>Caplin Point Laboratories Ltd</t>
  </si>
  <si>
    <t>INE475E01026</t>
  </si>
  <si>
    <t>Tejas Networks Ltd</t>
  </si>
  <si>
    <t>INE010J01012</t>
  </si>
  <si>
    <t>Telecom - Equipment &amp; Accessories</t>
  </si>
  <si>
    <t>Central Bank of India</t>
  </si>
  <si>
    <t>INE483A01010</t>
  </si>
  <si>
    <t>Nuvoco Vistas Corporation Ltd</t>
  </si>
  <si>
    <t>INE118D01016</t>
  </si>
  <si>
    <t>Vedant Fashions Ltd</t>
  </si>
  <si>
    <t>INE825V01034</t>
  </si>
  <si>
    <t>IFCI Ltd</t>
  </si>
  <si>
    <t>INE039A01010</t>
  </si>
  <si>
    <t>Leela Palaces Hotels &amp; Resorts Ltd</t>
  </si>
  <si>
    <t>INE0AQ201015</t>
  </si>
  <si>
    <t>Aegis Vopak Terminals Ltd</t>
  </si>
  <si>
    <t>INE0INX01018</t>
  </si>
  <si>
    <t>International Gemmological Institute India Ltd</t>
  </si>
  <si>
    <t>INE0Q9301021</t>
  </si>
  <si>
    <t>Trident Ltd</t>
  </si>
  <si>
    <t>INE064C01022</t>
  </si>
  <si>
    <t>Triveni Engineering &amp; Industries Ltd</t>
  </si>
  <si>
    <t>INE256C01024</t>
  </si>
  <si>
    <t>Latent View Analytics Ltd</t>
  </si>
  <si>
    <t>INE0I7C01011</t>
  </si>
  <si>
    <t>Bombay Burmah Trading Corporation Ltd</t>
  </si>
  <si>
    <t>INE050A01025</t>
  </si>
  <si>
    <t>Blue Dart Express Ltd</t>
  </si>
  <si>
    <t>INE233B01017</t>
  </si>
  <si>
    <t>Rites Ltd</t>
  </si>
  <si>
    <t>INE320J01015</t>
  </si>
  <si>
    <t>Railtel Corporation Of India Ltd</t>
  </si>
  <si>
    <t>INE0DD101019</t>
  </si>
  <si>
    <t>Transformers And Rectifiers India Ltd</t>
  </si>
  <si>
    <t>INE763I01026</t>
  </si>
  <si>
    <t>Cera Sanitaryware Ltd</t>
  </si>
  <si>
    <t>INE739E01017</t>
  </si>
  <si>
    <t>CE Info Systems Ltd</t>
  </si>
  <si>
    <t>INE0BV301023</t>
  </si>
  <si>
    <t>ITI Ltd</t>
  </si>
  <si>
    <t>INE248A01017</t>
  </si>
  <si>
    <t>The India Cements Ltd</t>
  </si>
  <si>
    <t>INE383A01012</t>
  </si>
  <si>
    <t>Valor Estate Ltd</t>
  </si>
  <si>
    <t>INE879I01012</t>
  </si>
  <si>
    <t>Rhi Magnesita India Ltd</t>
  </si>
  <si>
    <t>INE743M01012</t>
  </si>
  <si>
    <t>Godrej Agrovet Ltd</t>
  </si>
  <si>
    <t>INE850D01014</t>
  </si>
  <si>
    <t>Mangalore Refinery &amp; Petrochemicals Ltd</t>
  </si>
  <si>
    <t>INE103A01014</t>
  </si>
  <si>
    <t>Saregama India Ltd</t>
  </si>
  <si>
    <t>INE979A01025</t>
  </si>
  <si>
    <t>Inox India Ltd</t>
  </si>
  <si>
    <t>INE616N01034</t>
  </si>
  <si>
    <t>JBM Auto Ltd</t>
  </si>
  <si>
    <t>INE927D01051</t>
  </si>
  <si>
    <t>JSW Cement Ltd</t>
  </si>
  <si>
    <t>INE718I01012</t>
  </si>
  <si>
    <t>Tata Teleservices Maharashtra Ltd</t>
  </si>
  <si>
    <t>INE517B01013</t>
  </si>
  <si>
    <t>Acme Solar Holdings Ltd</t>
  </si>
  <si>
    <t>INE622W01025</t>
  </si>
  <si>
    <t>Maharashtra Seamless Ltd</t>
  </si>
  <si>
    <t>INE271B01025</t>
  </si>
  <si>
    <t>Campus Activewear Ltd</t>
  </si>
  <si>
    <t>INE278Y01022</t>
  </si>
  <si>
    <t>Alkyl Amines Chemicals Ltd</t>
  </si>
  <si>
    <t>INE150B01039</t>
  </si>
  <si>
    <t>Rashtriya Chemicals and Fertilizers Ltd</t>
  </si>
  <si>
    <t>INE027A01015</t>
  </si>
  <si>
    <t>Alok Industries Ltd</t>
  </si>
  <si>
    <t>INE270A01029</t>
  </si>
  <si>
    <t>Ventive Hospitality Ltd</t>
  </si>
  <si>
    <t>INE781S01027</t>
  </si>
  <si>
    <t>Blue Jet Healthcare Ltd</t>
  </si>
  <si>
    <t>INE0KBH01020</t>
  </si>
  <si>
    <t>Akums Drugs And Pharmaceuticals Ltd</t>
  </si>
  <si>
    <t>INE09XN01023</t>
  </si>
  <si>
    <t>MMTC Ltd</t>
  </si>
  <si>
    <t>INE123F01029</t>
  </si>
  <si>
    <t>Sharda Cropchem Ltd</t>
  </si>
  <si>
    <t>INE221J01015</t>
  </si>
  <si>
    <t>PTC India Ltd</t>
  </si>
  <si>
    <t>INE877F01012</t>
  </si>
  <si>
    <t>GMM Pfaudler Ltd</t>
  </si>
  <si>
    <t>INE541A01023</t>
  </si>
  <si>
    <t>Avanti Feeds Ltd</t>
  </si>
  <si>
    <t>INE871C01038</t>
  </si>
  <si>
    <t>V-Mart Retail Ltd</t>
  </si>
  <si>
    <t>INE665J01013</t>
  </si>
  <si>
    <t>Thyrocare Technologies Ltd</t>
  </si>
  <si>
    <t>INE594H01019</t>
  </si>
  <si>
    <t>Fiem Industries Ltd</t>
  </si>
  <si>
    <t>INE737H01014</t>
  </si>
  <si>
    <t>KRBL Ltd</t>
  </si>
  <si>
    <t>INE001B01026</t>
  </si>
  <si>
    <t>Shriram Pistons &amp; Rings Ltd</t>
  </si>
  <si>
    <t>INE526E01018</t>
  </si>
  <si>
    <t>VA Tech Wabag Ltd</t>
  </si>
  <si>
    <t>INE956G01038</t>
  </si>
  <si>
    <t>Other Utilities</t>
  </si>
  <si>
    <t>Ahluwalia Contracts (India) Ltd</t>
  </si>
  <si>
    <t>INE758C01029</t>
  </si>
  <si>
    <t>Route Mobile Ltd</t>
  </si>
  <si>
    <t>INE450U01017</t>
  </si>
  <si>
    <t>CarTrade Tech Ltd</t>
  </si>
  <si>
    <t>INE290S01011</t>
  </si>
  <si>
    <t>Patel Engineering Ltd</t>
  </si>
  <si>
    <t>INE244B01030</t>
  </si>
  <si>
    <t>INE1YPB01014</t>
  </si>
  <si>
    <t>Advanced Enzyme Technologies Ltd</t>
  </si>
  <si>
    <t>INE837H01020</t>
  </si>
  <si>
    <t>TVS Supply Chain Solutions Ltd</t>
  </si>
  <si>
    <t>INE395N01027</t>
  </si>
  <si>
    <t>Dodla Dairy Ltd</t>
  </si>
  <si>
    <t>INE021O01019</t>
  </si>
  <si>
    <t>National Fertilizers Ltd</t>
  </si>
  <si>
    <t>INE870D01012</t>
  </si>
  <si>
    <t>Allcargo Logistics Ltd</t>
  </si>
  <si>
    <t>INE418H01029</t>
  </si>
  <si>
    <t>Gulf Oil Lubricants India Ltd</t>
  </si>
  <si>
    <t>INE635Q01029</t>
  </si>
  <si>
    <t>Jamna Auto Industries Ltd</t>
  </si>
  <si>
    <t>INE039C01032</t>
  </si>
  <si>
    <t>Margin on Derivatives</t>
  </si>
  <si>
    <t>Derivatives</t>
  </si>
  <si>
    <t>Long / Short</t>
  </si>
  <si>
    <t>Market/Fair Value (Rs. in Lakhs)</t>
  </si>
  <si>
    <t xml:space="preserve">% to Net Assets </t>
  </si>
  <si>
    <t>NIFTY 27-JAN-26 FUT</t>
  </si>
  <si>
    <t>Long</t>
  </si>
  <si>
    <t>HINDALCO INDUSTRIES LTD FUT 24-FEB-26</t>
  </si>
  <si>
    <t>INFOSYS LTD FUT 27-JAN-26</t>
  </si>
  <si>
    <t>GAIL INDIA LTD FUT 24-FEB-26</t>
  </si>
  <si>
    <t>PUNJAB NATIONAL BANK FUT 27-JAN-26</t>
  </si>
  <si>
    <t>BAJAJ FINSERV LTD FUT 24-FEB-26</t>
  </si>
  <si>
    <t>INDUSIND BANK LTD FUT 24-FEB-26</t>
  </si>
  <si>
    <t>ULTRA TECH CEMENT LTD FUT 24-FEB-26</t>
  </si>
  <si>
    <t>CROMPT GREA CON ELEC LTD FUT 24-FEB-26</t>
  </si>
  <si>
    <t>HINDUSTAN UNILEVER LTD FUT 24-FEB-26</t>
  </si>
  <si>
    <t>GRASIM INDUSTRIES LTD FUT 27-JAN-26</t>
  </si>
  <si>
    <t>PUNJAB NATIONAL BANK FUT 24-FEB-26</t>
  </si>
  <si>
    <t>STATE BANK OF INDIA FUT 27-JAN-26</t>
  </si>
  <si>
    <t>BAJAJ FINANCE LTD FUT 24-FEB-26</t>
  </si>
  <si>
    <t>M&amp;M LTD FUT 24-FEB-26</t>
  </si>
  <si>
    <t>EICHER MOTORS LTD FUT 24-FEB-26</t>
  </si>
  <si>
    <t>AXIS BANK LTD FUT 24-FEB-26</t>
  </si>
  <si>
    <t>ADITYA BIRLA CAPITAL LTD FUT 24-FEB-26</t>
  </si>
  <si>
    <t>INTERGLOBE AVIATION LTD FUT 27-JAN-26</t>
  </si>
  <si>
    <t>SUN PHARMA IND LTD FUT 27-JAN-26</t>
  </si>
  <si>
    <t>APL APOLLO TUBES LTD FUT 24-FEB-26</t>
  </si>
  <si>
    <t>BANK OF BARODA FUT 24-FEB-26</t>
  </si>
  <si>
    <t>VODAFONE IDEA LTD FUT 24-FEB-26</t>
  </si>
  <si>
    <t>DLF LTD FUT 24-FEB-26</t>
  </si>
  <si>
    <t>INDUSIND BANK LTD FUT 27-JAN-26</t>
  </si>
  <si>
    <t>TATA POWER CO LTD FUT 27-JAN-26</t>
  </si>
  <si>
    <t>JSW STEEL LTD FUT 24-FEB-26</t>
  </si>
  <si>
    <t>JSW STEEL LTD FUT 27-JAN-26</t>
  </si>
  <si>
    <t>HDFC AMC LTD FUT 27-JAN-26</t>
  </si>
  <si>
    <t>ULTRA TECH CEMENT LTD FUT 27-JAN-26</t>
  </si>
  <si>
    <t>LAURUS LABS LTD FUT 24-FEB-26</t>
  </si>
  <si>
    <t>BANK OF BARODA FUT 27-JAN-26</t>
  </si>
  <si>
    <t>BAJAJ FINANCE LTD FUT 27-JAN-26</t>
  </si>
  <si>
    <t>VODAFONE IDEA LTD FUT 27-JAN-26</t>
  </si>
  <si>
    <t>ONGC LTD FUT 27-JAN-26</t>
  </si>
  <si>
    <t>TRENT LTD FUT 27-JAN-26</t>
  </si>
  <si>
    <t>TATA POWER CO LTD FUT 24-FEB-26</t>
  </si>
  <si>
    <t>LARSEN AND TOUBRO LTD FUT 24-FEB-26</t>
  </si>
  <si>
    <t>LIC HOUSING FIN LTD FUT 27-JAN-26</t>
  </si>
  <si>
    <t>POLYCAB INDIA LTD FUT 27-JAN-26</t>
  </si>
  <si>
    <t>PFC LTD FUT 27-JAN-26</t>
  </si>
  <si>
    <t>YES BANK LTD FUT 24-FEB-26</t>
  </si>
  <si>
    <t>INTERGLOBE AVIATION LTD FUT 24-FEB-26</t>
  </si>
  <si>
    <t>ICICI BANK LTD FUT 24-FEB-26</t>
  </si>
  <si>
    <t>LARSEN AND TOUBRO LTD FUT 27-JAN-26</t>
  </si>
  <si>
    <t>MAX HEALTHCARE INSTITUTE FUT 27-JAN-26</t>
  </si>
  <si>
    <t>KOTAK BANK LTD FUT 24-FEB-26</t>
  </si>
  <si>
    <t>KOTAK BANK LTD FUT 27-JAN-26</t>
  </si>
  <si>
    <t>STATE BANK OF INDIA FUT 24-FEB-26</t>
  </si>
  <si>
    <t>HDFC BANK LTD FUT 24-FEB-26</t>
  </si>
  <si>
    <t>RELIANCE INDUSTRIES LTD FUT 27-JAN-26</t>
  </si>
  <si>
    <t>AXIS BANK LTD FUT 27-JAN-26</t>
  </si>
  <si>
    <t>ITC LTD FUT 27-JAN-26</t>
  </si>
  <si>
    <t>TATA MOTORS PASS VEHICLES FUT 24-FEB-26</t>
  </si>
  <si>
    <t>ICICI BANK LTD FUT 27-JAN-26</t>
  </si>
  <si>
    <t>HDFC BANK LTD FUT 27-JAN-26</t>
  </si>
  <si>
    <t>MULTI COMMODITY EXCHANGE OF IND27-JAN-26</t>
  </si>
  <si>
    <t>Mutual Fund Units</t>
  </si>
  <si>
    <t>JioBlackRock Money Market Fund - Direct Plan - Growth Option</t>
  </si>
  <si>
    <t>INF22M001028</t>
  </si>
  <si>
    <t>JioBlackRock Liquid Fund - Direct Plan - Growth Option</t>
  </si>
  <si>
    <t>INF22M001010</t>
  </si>
  <si>
    <t>Short</t>
  </si>
  <si>
    <t>Industry Classification / Rating</t>
  </si>
  <si>
    <t>Scheme Risk-O-Meter</t>
  </si>
  <si>
    <t>Benchmark Risk-O-Meter</t>
  </si>
  <si>
    <t>Benchmark Name - NIFTY Money Market Index A-I</t>
  </si>
  <si>
    <t>Benchmark Name - NIFTY 1D Rate Index</t>
  </si>
  <si>
    <t>Benchmark Name - NIFTY Liquid Index A-I</t>
  </si>
  <si>
    <t>Benchmark Name - NIFTY 8-13 yr G-Sec</t>
  </si>
  <si>
    <t>Benchmark Name - NIFTY 50 Index (TRI)</t>
  </si>
  <si>
    <t>Benchmark Name - NIFTY Next 50 Index (TRI)</t>
  </si>
  <si>
    <t>Benchmark Name - NIFTY Midcap 150 Index (TRI)</t>
  </si>
  <si>
    <t>Benchmark Name - NIFTY Smallcap 250 Index (TRI)</t>
  </si>
  <si>
    <t>Benchmark Name - Nifty 500 Index (TRI)</t>
  </si>
  <si>
    <t>JBMMF</t>
  </si>
  <si>
    <t>JBOF</t>
  </si>
  <si>
    <t>JBLF</t>
  </si>
  <si>
    <t>JBN8-13</t>
  </si>
  <si>
    <t>JBN50</t>
  </si>
  <si>
    <t>JBNNX50</t>
  </si>
  <si>
    <t>JBNM150</t>
  </si>
  <si>
    <t>JBNS250</t>
  </si>
  <si>
    <t>JBFLEXI</t>
  </si>
  <si>
    <t>JBARB</t>
  </si>
  <si>
    <t>* Less Than 0.01% of Net Asset Value</t>
  </si>
  <si>
    <t>Kwality Wall’s India Ltd  **</t>
  </si>
  <si>
    <t>Reliance Infrastructure Ltd **</t>
  </si>
  <si>
    <t>Allcargo Global Ltd **</t>
  </si>
  <si>
    <t>Diversified FMCG</t>
  </si>
  <si>
    <t>Debt Instruments</t>
  </si>
  <si>
    <t>Cumulative Non-Convertible Redeemable Preference Shares</t>
  </si>
  <si>
    <t>Index</t>
  </si>
  <si>
    <t>Benchmark Name - Nifty 50 Arbitrage (TRI)</t>
  </si>
  <si>
    <t>Debt Index Replication Factor (DIRF) : 98.43%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</si>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</sst>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##0.00%"/>
    <numFmt numFmtId="166" formatCode="#,##0.0000"/>
  </numFmts>
  <fonts count="14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CCCCCC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/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</borders>
  <cellStyleXfs count="3">
    <xf numFmtId="0" fontId="0" fillId="0" borderId="0"/>
    <xf numFmtId="0" fontId="11" fillId="0" borderId="0" applyNumberFormat="0" applyFill="0" applyBorder="0" applyAlignment="0" applyProtection="0"/>
    <xf numFmtId="164" fontId="13" fillId="0" borderId="0" applyFont="0" applyFill="0" applyBorder="0" applyAlignment="0" applyProtection="0"/>
  </cellStyleXfs>
  <cellXfs count="113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4" fontId="4" fillId="2" borderId="0" xfId="0" applyNumberFormat="1" applyFont="1" applyFill="1"/>
    <xf numFmtId="0" fontId="6" fillId="2" borderId="0" xfId="0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0" fontId="4" fillId="2" borderId="0" xfId="0" applyFont="1" applyFill="1" applyAlignment="1">
      <alignment horizontal="center" vertical="center" wrapText="1"/>
    </xf>
    <xf numFmtId="39" fontId="6" fillId="4" borderId="0" xfId="0" applyNumberFormat="1" applyFont="1" applyFill="1"/>
    <xf numFmtId="0" fontId="10" fillId="0" borderId="0" xfId="0" applyFont="1"/>
    <xf numFmtId="0" fontId="5" fillId="2" borderId="0" xfId="0" applyFont="1" applyFill="1"/>
    <xf numFmtId="165" fontId="6" fillId="2" borderId="0" xfId="0" applyNumberFormat="1" applyFont="1" applyFill="1"/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 wrapText="1"/>
    </xf>
    <xf numFmtId="39" fontId="5" fillId="0" borderId="2" xfId="0" applyNumberFormat="1" applyFont="1" applyBorder="1" applyAlignment="1">
      <alignment horizontal="center" vertical="center" wrapText="1"/>
    </xf>
    <xf numFmtId="10" fontId="5" fillId="0" borderId="2" xfId="0" applyNumberFormat="1" applyFont="1" applyBorder="1" applyAlignment="1">
      <alignment horizontal="center" vertical="center" wrapText="1"/>
    </xf>
    <xf numFmtId="0" fontId="5" fillId="2" borderId="3" xfId="0" applyFont="1" applyFill="1" applyBorder="1"/>
    <xf numFmtId="0" fontId="6" fillId="2" borderId="3" xfId="0" applyFont="1" applyFill="1" applyBorder="1"/>
    <xf numFmtId="39" fontId="6" fillId="2" borderId="3" xfId="0" applyNumberFormat="1" applyFont="1" applyFill="1" applyBorder="1"/>
    <xf numFmtId="39" fontId="6" fillId="4" borderId="3" xfId="0" applyNumberFormat="1" applyFont="1" applyFill="1" applyBorder="1"/>
    <xf numFmtId="10" fontId="6" fillId="2" borderId="3" xfId="0" applyNumberFormat="1" applyFont="1" applyFill="1" applyBorder="1"/>
    <xf numFmtId="3" fontId="6" fillId="2" borderId="3" xfId="0" applyNumberFormat="1" applyFont="1" applyFill="1" applyBorder="1"/>
    <xf numFmtId="4" fontId="6" fillId="2" borderId="3" xfId="0" applyNumberFormat="1" applyFont="1" applyFill="1" applyBorder="1"/>
    <xf numFmtId="39" fontId="5" fillId="2" borderId="4" xfId="0" applyNumberFormat="1" applyFont="1" applyFill="1" applyBorder="1"/>
    <xf numFmtId="39" fontId="5" fillId="4" borderId="4" xfId="0" applyNumberFormat="1" applyFont="1" applyFill="1" applyBorder="1"/>
    <xf numFmtId="10" fontId="5" fillId="2" borderId="3" xfId="0" applyNumberFormat="1" applyFont="1" applyFill="1" applyBorder="1"/>
    <xf numFmtId="39" fontId="5" fillId="2" borderId="5" xfId="0" applyNumberFormat="1" applyFont="1" applyFill="1" applyBorder="1"/>
    <xf numFmtId="39" fontId="5" fillId="4" borderId="5" xfId="0" applyNumberFormat="1" applyFont="1" applyFill="1" applyBorder="1"/>
    <xf numFmtId="0" fontId="5" fillId="2" borderId="6" xfId="0" applyFont="1" applyFill="1" applyBorder="1"/>
    <xf numFmtId="39" fontId="5" fillId="2" borderId="6" xfId="0" applyNumberFormat="1" applyFont="1" applyFill="1" applyBorder="1"/>
    <xf numFmtId="39" fontId="5" fillId="4" borderId="6" xfId="0" applyNumberFormat="1" applyFont="1" applyFill="1" applyBorder="1"/>
    <xf numFmtId="165" fontId="6" fillId="2" borderId="3" xfId="0" applyNumberFormat="1" applyFont="1" applyFill="1" applyBorder="1"/>
    <xf numFmtId="0" fontId="5" fillId="2" borderId="7" xfId="0" applyFont="1" applyFill="1" applyBorder="1"/>
    <xf numFmtId="39" fontId="5" fillId="2" borderId="7" xfId="0" applyNumberFormat="1" applyFont="1" applyFill="1" applyBorder="1"/>
    <xf numFmtId="39" fontId="5" fillId="4" borderId="7" xfId="0" applyNumberFormat="1" applyFont="1" applyFill="1" applyBorder="1"/>
    <xf numFmtId="10" fontId="5" fillId="2" borderId="8" xfId="0" applyNumberFormat="1" applyFont="1" applyFill="1" applyBorder="1"/>
    <xf numFmtId="0" fontId="5" fillId="2" borderId="4" xfId="0" applyFont="1" applyFill="1" applyBorder="1"/>
    <xf numFmtId="0" fontId="5" fillId="2" borderId="0" xfId="0" applyFont="1" applyFill="1" applyAlignment="1">
      <alignment horizontal="right"/>
    </xf>
    <xf numFmtId="166" fontId="6" fillId="2" borderId="0" xfId="0" applyNumberFormat="1" applyFont="1" applyFill="1"/>
    <xf numFmtId="39" fontId="5" fillId="2" borderId="3" xfId="0" applyNumberFormat="1" applyFont="1" applyFill="1" applyBorder="1" applyAlignment="1">
      <alignment horizontal="right"/>
    </xf>
    <xf numFmtId="39" fontId="5" fillId="4" borderId="3" xfId="0" applyNumberFormat="1" applyFont="1" applyFill="1" applyBorder="1" applyAlignment="1">
      <alignment horizontal="right"/>
    </xf>
    <xf numFmtId="39" fontId="5" fillId="2" borderId="5" xfId="0" applyNumberFormat="1" applyFont="1" applyFill="1" applyBorder="1" applyAlignment="1">
      <alignment horizontal="right"/>
    </xf>
    <xf numFmtId="39" fontId="5" fillId="4" borderId="5" xfId="0" applyNumberFormat="1" applyFont="1" applyFill="1" applyBorder="1" applyAlignment="1">
      <alignment horizontal="right"/>
    </xf>
    <xf numFmtId="0" fontId="5" fillId="2" borderId="8" xfId="0" applyFont="1" applyFill="1" applyBorder="1"/>
    <xf numFmtId="0" fontId="12" fillId="2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vertical="center"/>
    </xf>
    <xf numFmtId="0" fontId="5" fillId="2" borderId="1" xfId="0" applyFont="1" applyFill="1" applyBorder="1"/>
    <xf numFmtId="39" fontId="5" fillId="2" borderId="1" xfId="0" applyNumberFormat="1" applyFont="1" applyFill="1" applyBorder="1"/>
    <xf numFmtId="39" fontId="5" fillId="4" borderId="1" xfId="0" applyNumberFormat="1" applyFont="1" applyFill="1" applyBorder="1"/>
    <xf numFmtId="0" fontId="6" fillId="2" borderId="1" xfId="0" applyFont="1" applyFill="1" applyBorder="1"/>
    <xf numFmtId="39" fontId="6" fillId="2" borderId="1" xfId="0" applyNumberFormat="1" applyFont="1" applyFill="1" applyBorder="1"/>
    <xf numFmtId="39" fontId="6" fillId="4" borderId="1" xfId="0" applyNumberFormat="1" applyFont="1" applyFill="1" applyBorder="1"/>
    <xf numFmtId="0" fontId="11" fillId="2" borderId="0" xfId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5" fillId="2" borderId="0" xfId="0" applyFont="1" applyFill="1" applyAlignment="1">
      <alignment vertical="center" wrapText="1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 wrapText="1"/>
    </xf>
    <xf numFmtId="39" fontId="5" fillId="0" borderId="7" xfId="0" applyNumberFormat="1" applyFont="1" applyBorder="1" applyAlignment="1">
      <alignment horizontal="center" vertical="center" wrapText="1"/>
    </xf>
    <xf numFmtId="10" fontId="5" fillId="0" borderId="7" xfId="0" applyNumberFormat="1" applyFont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39" fontId="5" fillId="2" borderId="1" xfId="0" applyNumberFormat="1" applyFont="1" applyFill="1" applyBorder="1" applyAlignment="1">
      <alignment horizontal="center" wrapText="1"/>
    </xf>
    <xf numFmtId="39" fontId="5" fillId="4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4" fontId="6" fillId="2" borderId="1" xfId="2" applyFont="1" applyFill="1" applyBorder="1"/>
    <xf numFmtId="0" fontId="5" fillId="2" borderId="1" xfId="0" applyFont="1" applyFill="1" applyBorder="1" applyAlignment="1">
      <alignment vertical="center"/>
    </xf>
    <xf numFmtId="3" fontId="5" fillId="2" borderId="7" xfId="0" applyNumberFormat="1" applyFont="1" applyFill="1" applyBorder="1" applyAlignment="1">
      <alignment horizontal="center" vertical="center" wrapText="1"/>
    </xf>
    <xf numFmtId="39" fontId="5" fillId="2" borderId="1" xfId="0" applyNumberFormat="1" applyFont="1" applyFill="1" applyBorder="1" applyAlignment="1">
      <alignment horizontal="center" vertical="center" wrapText="1"/>
    </xf>
    <xf numFmtId="0" fontId="5" fillId="4" borderId="0" xfId="0" applyFont="1" applyFill="1"/>
    <xf numFmtId="0" fontId="6" fillId="4" borderId="3" xfId="0" applyFont="1" applyFill="1" applyBorder="1"/>
    <xf numFmtId="0" fontId="0" fillId="4" borderId="3" xfId="0" applyFill="1" applyBorder="1"/>
    <xf numFmtId="39" fontId="6" fillId="2" borderId="9" xfId="0" applyNumberFormat="1" applyFont="1" applyFill="1" applyBorder="1"/>
    <xf numFmtId="39" fontId="6" fillId="4" borderId="10" xfId="0" applyNumberFormat="1" applyFont="1" applyFill="1" applyBorder="1"/>
    <xf numFmtId="0" fontId="5" fillId="2" borderId="9" xfId="0" applyFont="1" applyFill="1" applyBorder="1"/>
    <xf numFmtId="0" fontId="6" fillId="4" borderId="11" xfId="0" applyFont="1" applyFill="1" applyBorder="1"/>
    <xf numFmtId="0" fontId="0" fillId="4" borderId="11" xfId="0" applyFill="1" applyBorder="1"/>
    <xf numFmtId="0" fontId="6" fillId="4" borderId="0" xfId="0" applyFont="1" applyFill="1"/>
    <xf numFmtId="3" fontId="6" fillId="2" borderId="9" xfId="0" applyNumberFormat="1" applyFont="1" applyFill="1" applyBorder="1"/>
    <xf numFmtId="39" fontId="6" fillId="4" borderId="9" xfId="0" applyNumberFormat="1" applyFont="1" applyFill="1" applyBorder="1"/>
    <xf numFmtId="39" fontId="5" fillId="2" borderId="12" xfId="0" applyNumberFormat="1" applyFont="1" applyFill="1" applyBorder="1"/>
    <xf numFmtId="39" fontId="5" fillId="4" borderId="13" xfId="0" applyNumberFormat="1" applyFont="1" applyFill="1" applyBorder="1"/>
    <xf numFmtId="39" fontId="5" fillId="2" borderId="9" xfId="0" applyNumberFormat="1" applyFont="1" applyFill="1" applyBorder="1" applyAlignment="1">
      <alignment horizontal="right"/>
    </xf>
    <xf numFmtId="39" fontId="5" fillId="4" borderId="10" xfId="0" applyNumberFormat="1" applyFont="1" applyFill="1" applyBorder="1" applyAlignment="1">
      <alignment horizontal="right"/>
    </xf>
    <xf numFmtId="0" fontId="5" fillId="2" borderId="14" xfId="0" applyFont="1" applyFill="1" applyBorder="1"/>
    <xf numFmtId="39" fontId="5" fillId="2" borderId="14" xfId="0" applyNumberFormat="1" applyFont="1" applyFill="1" applyBorder="1"/>
    <xf numFmtId="39" fontId="5" fillId="4" borderId="15" xfId="0" applyNumberFormat="1" applyFont="1" applyFill="1" applyBorder="1"/>
    <xf numFmtId="39" fontId="5" fillId="4" borderId="9" xfId="0" applyNumberFormat="1" applyFont="1" applyFill="1" applyBorder="1" applyAlignment="1">
      <alignment horizontal="right"/>
    </xf>
    <xf numFmtId="39" fontId="5" fillId="2" borderId="16" xfId="0" applyNumberFormat="1" applyFont="1" applyFill="1" applyBorder="1" applyAlignment="1">
      <alignment horizontal="right"/>
    </xf>
    <xf numFmtId="39" fontId="5" fillId="4" borderId="16" xfId="0" applyNumberFormat="1" applyFont="1" applyFill="1" applyBorder="1" applyAlignment="1">
      <alignment horizontal="right"/>
    </xf>
    <xf numFmtId="0" fontId="5" fillId="2" borderId="17" xfId="0" applyFont="1" applyFill="1" applyBorder="1"/>
    <xf numFmtId="0" fontId="5" fillId="2" borderId="18" xfId="0" applyFont="1" applyFill="1" applyBorder="1"/>
    <xf numFmtId="0" fontId="5" fillId="2" borderId="19" xfId="0" applyFont="1" applyFill="1" applyBorder="1"/>
    <xf numFmtId="0" fontId="6" fillId="2" borderId="8" xfId="0" applyFont="1" applyFill="1" applyBorder="1"/>
    <xf numFmtId="39" fontId="5" fillId="2" borderId="0" xfId="0" applyNumberFormat="1" applyFont="1" applyFill="1"/>
    <xf numFmtId="39" fontId="5" fillId="4" borderId="0" xfId="0" applyNumberFormat="1" applyFont="1" applyFill="1"/>
    <xf numFmtId="39" fontId="5" fillId="0" borderId="3" xfId="0" applyNumberFormat="1" applyFont="1" applyBorder="1"/>
    <xf numFmtId="0" fontId="5" fillId="4" borderId="0" xfId="0" applyFont="1" applyFill="1" applyAlignment="1">
      <alignment vertical="center"/>
    </xf>
    <xf numFmtId="0" fontId="8" fillId="0" borderId="0" xfId="0" applyFont="1" applyAlignment="1">
      <alignment horizontal="left" vertical="top" wrapText="1"/>
    </xf>
    <xf numFmtId="0" fontId="9" fillId="0" borderId="0" xfId="0" applyFont="1"/>
    <xf numFmtId="0" fontId="5" fillId="2" borderId="0" xfId="0" applyFont="1" applyFill="1" applyAlignment="1">
      <alignment vertical="center" wrapText="1"/>
    </xf>
    <xf numFmtId="0" fontId="5" fillId="4" borderId="0" xfId="0" applyFont="1" applyFill="1" applyAlignment="1">
      <alignment horizontal="left" vertical="center" wrapText="1"/>
    </xf>
    <xf numFmtId="0" fontId="7" fillId="3" borderId="7" xfId="0" applyFont="1" applyFill="1" applyBorder="1" applyAlignment="1">
      <alignment horizontal="left" vertical="top" wrapText="1"/>
    </xf>
    <xf numFmtId="0" fontId="10" fillId="0" borderId="7" xfId="0" applyFont="1" applyBorder="1"/>
    <xf numFmtId="0" fontId="11" fillId="0" borderId="7" xfId="1" applyBorder="1"/>
  </cellXfs>
  <cellStyles count="3">
    <cellStyle name="Comma" xfId="2" builtinId="3"/>
    <cellStyle name="Hyperlink" xfId="1" builtinId="8"/>
    <cellStyle name="Normal" xfId="0" builtinId="0"/>
  </cellStyles>
  <dxfs count="12">
    <dxf>
      <numFmt numFmtId="167" formatCode="&quot;0.00*&quot;"/>
    </dxf>
    <dxf>
      <numFmt numFmtId="167" formatCode="&quot;0.00*&quot;"/>
    </dxf>
    <dxf>
      <numFmt numFmtId="167" formatCode="&quot;0.00*&quot;"/>
    </dxf>
    <dxf>
      <numFmt numFmtId="167" formatCode="&quot;0.00*&quot;"/>
    </dxf>
    <dxf>
      <numFmt numFmtId="167" formatCode="&quot;0.00*&quot;"/>
    </dxf>
    <dxf>
      <numFmt numFmtId="167" formatCode="&quot;0.00*&quot;"/>
    </dxf>
    <dxf>
      <numFmt numFmtId="167" formatCode="&quot;0.00*&quot;"/>
    </dxf>
    <dxf>
      <numFmt numFmtId="167" formatCode="&quot;0.00*&quot;"/>
    </dxf>
    <dxf>
      <numFmt numFmtId="167" formatCode="&quot;0.00*&quot;"/>
    </dxf>
    <dxf>
      <numFmt numFmtId="167" formatCode="&quot;0.00*&quot;"/>
    </dxf>
    <dxf>
      <numFmt numFmtId="167" formatCode="&quot;0.00*&quot;"/>
    </dxf>
    <dxf>
      <numFmt numFmtId="167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62</xdr:row>
      <xdr:rowOff>9525</xdr:rowOff>
    </xdr:from>
    <xdr:to>
      <xdr:col>4</xdr:col>
      <xdr:colOff>200025</xdr:colOff>
      <xdr:row>79</xdr:row>
      <xdr:rowOff>53975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00CA95C9-FD24-4C49-8ED9-601B1F651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0077450"/>
          <a:ext cx="4800600" cy="2473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476250</xdr:colOff>
      <xdr:row>85</xdr:row>
      <xdr:rowOff>47625</xdr:rowOff>
    </xdr:from>
    <xdr:to>
      <xdr:col>4</xdr:col>
      <xdr:colOff>400050</xdr:colOff>
      <xdr:row>102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BC5D648D-0483-4B18-A555-B22F19EFE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3401675"/>
          <a:ext cx="4924425" cy="238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32</xdr:row>
      <xdr:rowOff>104775</xdr:rowOff>
    </xdr:from>
    <xdr:to>
      <xdr:col>3</xdr:col>
      <xdr:colOff>742950</xdr:colOff>
      <xdr:row>49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7BF588-DF6A-4F7B-B685-E54E6DD91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6019800"/>
          <a:ext cx="4429125" cy="233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56</xdr:row>
      <xdr:rowOff>28575</xdr:rowOff>
    </xdr:from>
    <xdr:to>
      <xdr:col>3</xdr:col>
      <xdr:colOff>838200</xdr:colOff>
      <xdr:row>73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B16F36-BE05-4DB9-AB65-8D2088650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9372600"/>
          <a:ext cx="4848225" cy="2428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106</xdr:row>
      <xdr:rowOff>0</xdr:rowOff>
    </xdr:from>
    <xdr:to>
      <xdr:col>3</xdr:col>
      <xdr:colOff>873125</xdr:colOff>
      <xdr:row>123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71DC5D-12AC-42CA-816B-A180913E5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16202025"/>
          <a:ext cx="4797425" cy="2428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323850</xdr:colOff>
      <xdr:row>127</xdr:row>
      <xdr:rowOff>76200</xdr:rowOff>
    </xdr:from>
    <xdr:to>
      <xdr:col>4</xdr:col>
      <xdr:colOff>44450</xdr:colOff>
      <xdr:row>144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18ABA7-94B0-4545-A71E-9E29D0CBC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9278600"/>
          <a:ext cx="4921250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638175</xdr:colOff>
      <xdr:row>21</xdr:row>
      <xdr:rowOff>95250</xdr:rowOff>
    </xdr:from>
    <xdr:to>
      <xdr:col>3</xdr:col>
      <xdr:colOff>368300</xdr:colOff>
      <xdr:row>36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D5181C-50FA-4570-8553-68ADE393C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3867150"/>
          <a:ext cx="3959225" cy="2124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533400</xdr:colOff>
      <xdr:row>40</xdr:row>
      <xdr:rowOff>114300</xdr:rowOff>
    </xdr:from>
    <xdr:to>
      <xdr:col>3</xdr:col>
      <xdr:colOff>415925</xdr:colOff>
      <xdr:row>54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299DC4-69CB-4330-9012-D8780E332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6600825"/>
          <a:ext cx="4111625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70</xdr:row>
      <xdr:rowOff>9525</xdr:rowOff>
    </xdr:from>
    <xdr:to>
      <xdr:col>3</xdr:col>
      <xdr:colOff>57150</xdr:colOff>
      <xdr:row>84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3316DD-3345-4C55-845B-361A48140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375" y="9064625"/>
          <a:ext cx="4041775" cy="181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609600</xdr:colOff>
      <xdr:row>87</xdr:row>
      <xdr:rowOff>9525</xdr:rowOff>
    </xdr:from>
    <xdr:to>
      <xdr:col>2</xdr:col>
      <xdr:colOff>558800</xdr:colOff>
      <xdr:row>101</xdr:row>
      <xdr:rowOff>95251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F22D4C-B3A7-49DB-8530-F58D14B07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1250" y="11236325"/>
          <a:ext cx="3625850" cy="186372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75</xdr:row>
      <xdr:rowOff>104775</xdr:rowOff>
    </xdr:from>
    <xdr:to>
      <xdr:col>3</xdr:col>
      <xdr:colOff>76200</xdr:colOff>
      <xdr:row>89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D19B49-AB6D-498D-8B56-BBDF870C6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900" y="10633075"/>
          <a:ext cx="4044950" cy="175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762000</xdr:colOff>
      <xdr:row>92</xdr:row>
      <xdr:rowOff>19050</xdr:rowOff>
    </xdr:from>
    <xdr:to>
      <xdr:col>2</xdr:col>
      <xdr:colOff>711200</xdr:colOff>
      <xdr:row>106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204F12-A418-4FDB-8A68-5A633DDC4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3650" y="12719050"/>
          <a:ext cx="3625850" cy="186372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167</xdr:row>
      <xdr:rowOff>85725</xdr:rowOff>
    </xdr:from>
    <xdr:to>
      <xdr:col>2</xdr:col>
      <xdr:colOff>701675</xdr:colOff>
      <xdr:row>181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E4E890-7241-4176-9858-8F7E3EEE0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125" y="21720175"/>
          <a:ext cx="4006850" cy="181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542925</xdr:colOff>
      <xdr:row>186</xdr:row>
      <xdr:rowOff>47625</xdr:rowOff>
    </xdr:from>
    <xdr:to>
      <xdr:col>2</xdr:col>
      <xdr:colOff>606425</xdr:colOff>
      <xdr:row>202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01E9B8-A8F0-41C6-A6B8-3E0F81573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4575" y="24107775"/>
          <a:ext cx="3740150" cy="2032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269</xdr:row>
      <xdr:rowOff>47625</xdr:rowOff>
    </xdr:from>
    <xdr:to>
      <xdr:col>3</xdr:col>
      <xdr:colOff>15875</xdr:colOff>
      <xdr:row>283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18D913-196F-4298-A4D8-DAFD63CFA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275" y="34902775"/>
          <a:ext cx="4051300" cy="175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666750</xdr:colOff>
      <xdr:row>288</xdr:row>
      <xdr:rowOff>19050</xdr:rowOff>
    </xdr:from>
    <xdr:to>
      <xdr:col>2</xdr:col>
      <xdr:colOff>615950</xdr:colOff>
      <xdr:row>302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C4129E-6AA5-4DC5-84F2-C10792992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8400" y="37299900"/>
          <a:ext cx="3625850" cy="186372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158</xdr:row>
      <xdr:rowOff>0</xdr:rowOff>
    </xdr:from>
    <xdr:to>
      <xdr:col>2</xdr:col>
      <xdr:colOff>114300</xdr:colOff>
      <xdr:row>171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93FBF9-EDC7-4E86-A997-1ABD84A66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6525" y="21418550"/>
          <a:ext cx="4067175" cy="177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1104900</xdr:colOff>
      <xdr:row>176</xdr:row>
      <xdr:rowOff>47625</xdr:rowOff>
    </xdr:from>
    <xdr:to>
      <xdr:col>1</xdr:col>
      <xdr:colOff>4562475</xdr:colOff>
      <xdr:row>191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843F9D-BA31-4C24-AF23-9B0AD2166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6550" y="23764875"/>
          <a:ext cx="3457575" cy="185737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1276350</xdr:colOff>
      <xdr:row>132</xdr:row>
      <xdr:rowOff>47625</xdr:rowOff>
    </xdr:from>
    <xdr:to>
      <xdr:col>3</xdr:col>
      <xdr:colOff>0</xdr:colOff>
      <xdr:row>148</xdr:row>
      <xdr:rowOff>92075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2F445EE-6081-4747-BB09-137A9FB47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0" y="19497675"/>
          <a:ext cx="4429125" cy="233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923925</xdr:colOff>
      <xdr:row>151</xdr:row>
      <xdr:rowOff>85725</xdr:rowOff>
    </xdr:from>
    <xdr:to>
      <xdr:col>3</xdr:col>
      <xdr:colOff>66675</xdr:colOff>
      <xdr:row>168</xdr:row>
      <xdr:rowOff>85725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C5D069-AFC0-42AE-B3C7-BC4322FD7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175" y="22250400"/>
          <a:ext cx="4848225" cy="2428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D9DFF-70F7-428E-B8B4-6C3F7A0594B3}">
  <sheetPr codeName="Sheet1"/>
  <dimension ref="A1:C11"/>
  <sheetViews>
    <sheetView tabSelected="1" workbookViewId="0"/>
  </sheetViews>
  <sheetFormatPr defaultColWidth="8.85546875" defaultRowHeight="12.75" x14ac:dyDescent="0.2"/>
  <cols>
    <col min="1" max="1" width="6.140625" style="15" bestFit="1" customWidth="1"/>
    <col min="2" max="2" width="10.85546875" style="15" bestFit="1" customWidth="1"/>
    <col min="3" max="3" width="39.42578125" style="15" bestFit="1" customWidth="1"/>
    <col min="4" max="16384" width="8.85546875" style="15"/>
  </cols>
  <sheetData>
    <row r="1" spans="1:3" ht="15.95" customHeight="1" x14ac:dyDescent="0.2">
      <c r="A1" s="110" t="s">
        <v>1</v>
      </c>
      <c r="B1" s="110" t="s">
        <v>2</v>
      </c>
      <c r="C1" s="110" t="s">
        <v>3</v>
      </c>
    </row>
    <row r="2" spans="1:3" ht="15" x14ac:dyDescent="0.25">
      <c r="A2" s="111">
        <v>1</v>
      </c>
      <c r="B2" s="112" t="s">
        <v>1446</v>
      </c>
      <c r="C2" s="111" t="s">
        <v>10</v>
      </c>
    </row>
    <row r="3" spans="1:3" ht="15" x14ac:dyDescent="0.25">
      <c r="A3" s="111">
        <v>2</v>
      </c>
      <c r="B3" s="112" t="s">
        <v>1447</v>
      </c>
      <c r="C3" s="111" t="s">
        <v>11</v>
      </c>
    </row>
    <row r="4" spans="1:3" ht="15" x14ac:dyDescent="0.25">
      <c r="A4" s="111">
        <v>3</v>
      </c>
      <c r="B4" s="112" t="s">
        <v>1448</v>
      </c>
      <c r="C4" s="111" t="s">
        <v>12</v>
      </c>
    </row>
    <row r="5" spans="1:3" ht="15" x14ac:dyDescent="0.25">
      <c r="A5" s="111">
        <v>4</v>
      </c>
      <c r="B5" s="112" t="s">
        <v>1449</v>
      </c>
      <c r="C5" s="111" t="s">
        <v>13</v>
      </c>
    </row>
    <row r="6" spans="1:3" ht="15" x14ac:dyDescent="0.25">
      <c r="A6" s="111">
        <v>5</v>
      </c>
      <c r="B6" s="112" t="s">
        <v>1450</v>
      </c>
      <c r="C6" s="111" t="s">
        <v>14</v>
      </c>
    </row>
    <row r="7" spans="1:3" ht="15" x14ac:dyDescent="0.25">
      <c r="A7" s="111">
        <v>6</v>
      </c>
      <c r="B7" s="112" t="s">
        <v>1451</v>
      </c>
      <c r="C7" s="111" t="s">
        <v>15</v>
      </c>
    </row>
    <row r="8" spans="1:3" ht="15" x14ac:dyDescent="0.25">
      <c r="A8" s="111">
        <v>7</v>
      </c>
      <c r="B8" s="112" t="s">
        <v>1452</v>
      </c>
      <c r="C8" s="111" t="s">
        <v>16</v>
      </c>
    </row>
    <row r="9" spans="1:3" ht="15" x14ac:dyDescent="0.25">
      <c r="A9" s="111">
        <v>8</v>
      </c>
      <c r="B9" s="112" t="s">
        <v>1453</v>
      </c>
      <c r="C9" s="111" t="s">
        <v>17</v>
      </c>
    </row>
    <row r="10" spans="1:3" ht="15" x14ac:dyDescent="0.25">
      <c r="A10" s="111">
        <v>9</v>
      </c>
      <c r="B10" s="112" t="s">
        <v>1454</v>
      </c>
      <c r="C10" s="111" t="s">
        <v>18</v>
      </c>
    </row>
    <row r="11" spans="1:3" ht="15" x14ac:dyDescent="0.25">
      <c r="A11" s="111">
        <v>10</v>
      </c>
      <c r="B11" s="112" t="s">
        <v>1455</v>
      </c>
      <c r="C11" s="111" t="s">
        <v>19</v>
      </c>
    </row>
  </sheetData>
  <hyperlinks>
    <hyperlink ref="B2" location="JBMMF!A1" display="JBMMF" xr:uid="{8083BB6B-13C1-4564-B507-FC5A86422376}"/>
    <hyperlink ref="B3" location="JBOF!A1" display="JBOF" xr:uid="{207F702B-47DC-47C0-997A-49E36B8A29C6}"/>
    <hyperlink ref="B4" location="JBLF!A1" display="JBLF" xr:uid="{AE03B1BE-B477-4DFE-B65B-C0ECE4803C5D}"/>
    <hyperlink ref="B5" location="'JBN8-13'!A1" display="JBN8-13" xr:uid="{D4707D37-47E7-479A-8C18-99C41C844A16}"/>
    <hyperlink ref="B6" location="'JBN50'!A1" display="JBN50" xr:uid="{F166AC05-718B-474D-8FB6-93F55AECEA8C}"/>
    <hyperlink ref="B7" location="JBNNX50!A1" display="JBNNX50" xr:uid="{89EF2585-9B8E-432C-B85F-97AFD3421C2B}"/>
    <hyperlink ref="B8" location="JBNM150!A1" display="JBNM150" xr:uid="{AF2BDE54-7986-4975-903F-19B82BAFCB0E}"/>
    <hyperlink ref="B9" location="JBNS250!A1" display="JBNS250" xr:uid="{8350D4EF-9B0B-446E-9E7D-206FA6DD0417}"/>
    <hyperlink ref="B10" location="JBFLEXI!A1" display="JBFLEXI" xr:uid="{7FA82D17-86B2-4AF8-BC47-9F28435053B7}"/>
    <hyperlink ref="B11" location="JBARB!A1" display="JBARB" xr:uid="{AA7715D0-E6C2-4B14-940C-34C691779B24}"/>
  </hyperlinks>
  <pageMargins left="0.7" right="0.7" top="0.75" bottom="0.75" header="0.3" footer="0.3"/>
  <pageSetup paperSize="9" orientation="portrait" r:id="rId1"/>
  <headerFooter>
    <oddFooter>&amp;C&amp;1#&amp;"Calibri"&amp;10&amp;K000000RESTRICTED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DAFE-7CDB-41C0-B8D0-F42C421CCD3D}">
  <sheetPr codeName="Sheet2"/>
  <dimension ref="A1:K222"/>
  <sheetViews>
    <sheetView view="pageBreakPreview" zoomScaleNormal="100" zoomScaleSheetLayoutView="100" workbookViewId="0"/>
  </sheetViews>
  <sheetFormatPr defaultColWidth="9.140625" defaultRowHeight="11.25" x14ac:dyDescent="0.2"/>
  <cols>
    <col min="1" max="1" width="7.140625" style="6" customWidth="1"/>
    <col min="2" max="2" width="49.28515625" style="6" customWidth="1"/>
    <col min="3" max="3" width="11.85546875" style="6" bestFit="1" customWidth="1"/>
    <col min="4" max="5" width="13.85546875" style="6" bestFit="1" customWidth="1"/>
    <col min="6" max="6" width="12.7109375" style="8" bestFit="1" customWidth="1"/>
    <col min="7" max="7" width="10" style="14" customWidth="1"/>
    <col min="8" max="8" width="11.85546875" style="11" bestFit="1" customWidth="1"/>
    <col min="9" max="9" width="10.140625" style="11" bestFit="1" customWidth="1"/>
    <col min="10" max="10" width="25.85546875" style="6" customWidth="1"/>
    <col min="11" max="16384" width="9.140625" style="6"/>
  </cols>
  <sheetData>
    <row r="1" spans="1:11" s="1" customFormat="1" ht="16.7" customHeight="1" x14ac:dyDescent="0.2">
      <c r="B1" s="106" t="s">
        <v>10</v>
      </c>
      <c r="C1" s="107"/>
      <c r="D1" s="10"/>
      <c r="F1" s="5"/>
      <c r="G1" s="14"/>
      <c r="H1" s="11"/>
      <c r="I1" s="12"/>
    </row>
    <row r="2" spans="1:11" s="1" customFormat="1" ht="15" x14ac:dyDescent="0.25">
      <c r="A2" s="59" t="s">
        <v>1466</v>
      </c>
      <c r="F2" s="5"/>
      <c r="G2" s="14"/>
      <c r="H2" s="11"/>
      <c r="I2" s="12"/>
    </row>
    <row r="3" spans="1:11" s="1" customFormat="1" ht="12" x14ac:dyDescent="0.2">
      <c r="B3" s="7" t="s">
        <v>9</v>
      </c>
      <c r="C3" s="2"/>
      <c r="D3" s="3"/>
      <c r="E3" s="3"/>
      <c r="F3" s="4"/>
      <c r="G3" s="14"/>
      <c r="H3" s="11"/>
      <c r="I3" s="12"/>
    </row>
    <row r="4" spans="1:11" s="1" customFormat="1" ht="33.75" x14ac:dyDescent="0.2">
      <c r="B4" s="63" t="s">
        <v>7</v>
      </c>
      <c r="C4" s="63" t="s">
        <v>8</v>
      </c>
      <c r="D4" s="64" t="s">
        <v>107</v>
      </c>
      <c r="E4" s="64" t="s">
        <v>0</v>
      </c>
      <c r="F4" s="65" t="s">
        <v>4</v>
      </c>
      <c r="G4" s="66" t="s">
        <v>5</v>
      </c>
      <c r="H4" s="67" t="s">
        <v>6</v>
      </c>
      <c r="I4" s="67" t="s">
        <v>20</v>
      </c>
      <c r="J4" s="13"/>
      <c r="K4" s="9"/>
    </row>
    <row r="5" spans="1:11" x14ac:dyDescent="0.2">
      <c r="B5" s="23" t="s">
        <v>21</v>
      </c>
      <c r="C5" s="24"/>
      <c r="D5" s="24"/>
      <c r="E5" s="24"/>
      <c r="F5" s="25"/>
      <c r="G5" s="26"/>
      <c r="H5" s="27"/>
      <c r="I5" s="27"/>
    </row>
    <row r="6" spans="1:11" x14ac:dyDescent="0.2">
      <c r="B6" s="23" t="s">
        <v>22</v>
      </c>
      <c r="C6" s="24"/>
      <c r="D6" s="24"/>
      <c r="E6" s="24"/>
      <c r="F6" s="25"/>
      <c r="G6" s="26"/>
      <c r="H6" s="27"/>
      <c r="I6" s="27"/>
    </row>
    <row r="7" spans="1:11" x14ac:dyDescent="0.2">
      <c r="B7" s="24" t="s">
        <v>23</v>
      </c>
      <c r="C7" s="24" t="s">
        <v>24</v>
      </c>
      <c r="D7" s="24" t="s">
        <v>25</v>
      </c>
      <c r="E7" s="28">
        <v>4000</v>
      </c>
      <c r="F7" s="25">
        <v>19775.12</v>
      </c>
      <c r="G7" s="26">
        <v>6.4713406388660104</v>
      </c>
      <c r="H7" s="27">
        <v>5.9298999999999998E-2</v>
      </c>
      <c r="I7" s="29"/>
    </row>
    <row r="8" spans="1:11" x14ac:dyDescent="0.2">
      <c r="B8" s="24" t="s">
        <v>26</v>
      </c>
      <c r="C8" s="24" t="s">
        <v>27</v>
      </c>
      <c r="D8" s="24" t="s">
        <v>25</v>
      </c>
      <c r="E8" s="28">
        <v>2880</v>
      </c>
      <c r="F8" s="25">
        <v>14211.316800000001</v>
      </c>
      <c r="G8" s="26">
        <v>4.6506049995974301</v>
      </c>
      <c r="H8" s="27">
        <v>5.9098999999999999E-2</v>
      </c>
      <c r="I8" s="29"/>
    </row>
    <row r="9" spans="1:11" x14ac:dyDescent="0.2">
      <c r="B9" s="24" t="s">
        <v>28</v>
      </c>
      <c r="C9" s="24" t="s">
        <v>29</v>
      </c>
      <c r="D9" s="24" t="s">
        <v>30</v>
      </c>
      <c r="E9" s="28">
        <v>2500</v>
      </c>
      <c r="F9" s="25">
        <v>12361.775</v>
      </c>
      <c r="G9" s="26">
        <v>4.0453487476191201</v>
      </c>
      <c r="H9" s="27">
        <v>5.9149E-2</v>
      </c>
      <c r="I9" s="29"/>
    </row>
    <row r="10" spans="1:11" x14ac:dyDescent="0.2">
      <c r="B10" s="24" t="s">
        <v>31</v>
      </c>
      <c r="C10" s="24" t="s">
        <v>32</v>
      </c>
      <c r="D10" s="24" t="s">
        <v>30</v>
      </c>
      <c r="E10" s="28">
        <v>2000</v>
      </c>
      <c r="F10" s="25">
        <v>9892.6200000000008</v>
      </c>
      <c r="G10" s="26">
        <v>3.2373261871917101</v>
      </c>
      <c r="H10" s="27">
        <v>5.9132999999999998E-2</v>
      </c>
      <c r="I10" s="29"/>
    </row>
    <row r="11" spans="1:11" x14ac:dyDescent="0.2">
      <c r="B11" s="24" t="s">
        <v>33</v>
      </c>
      <c r="C11" s="24" t="s">
        <v>34</v>
      </c>
      <c r="D11" s="24" t="s">
        <v>35</v>
      </c>
      <c r="E11" s="28">
        <v>2000</v>
      </c>
      <c r="F11" s="25">
        <v>9889.64</v>
      </c>
      <c r="G11" s="26">
        <v>3.2363509923456699</v>
      </c>
      <c r="H11" s="27">
        <v>5.9898E-2</v>
      </c>
      <c r="I11" s="29"/>
    </row>
    <row r="12" spans="1:11" x14ac:dyDescent="0.2">
      <c r="B12" s="24" t="s">
        <v>36</v>
      </c>
      <c r="C12" s="24" t="s">
        <v>37</v>
      </c>
      <c r="D12" s="24" t="s">
        <v>35</v>
      </c>
      <c r="E12" s="28">
        <v>2000</v>
      </c>
      <c r="F12" s="25">
        <v>9887.65</v>
      </c>
      <c r="G12" s="26">
        <v>3.23569977162634</v>
      </c>
      <c r="H12" s="27">
        <v>5.9248000000000002E-2</v>
      </c>
      <c r="I12" s="29"/>
    </row>
    <row r="13" spans="1:11" x14ac:dyDescent="0.2">
      <c r="B13" s="24" t="s">
        <v>38</v>
      </c>
      <c r="C13" s="24" t="s">
        <v>39</v>
      </c>
      <c r="D13" s="24" t="s">
        <v>35</v>
      </c>
      <c r="E13" s="28">
        <v>2000</v>
      </c>
      <c r="F13" s="25">
        <v>9458.2000000000007</v>
      </c>
      <c r="G13" s="26">
        <v>3.0951637224210198</v>
      </c>
      <c r="H13" s="27">
        <v>6.6799999999999998E-2</v>
      </c>
      <c r="I13" s="29"/>
    </row>
    <row r="14" spans="1:11" x14ac:dyDescent="0.2">
      <c r="B14" s="24" t="s">
        <v>40</v>
      </c>
      <c r="C14" s="24" t="s">
        <v>41</v>
      </c>
      <c r="D14" s="24" t="s">
        <v>35</v>
      </c>
      <c r="E14" s="28">
        <v>2000</v>
      </c>
      <c r="F14" s="25">
        <v>9407.15</v>
      </c>
      <c r="G14" s="26">
        <v>3.0784577838672198</v>
      </c>
      <c r="H14" s="27">
        <v>6.6100000000000006E-2</v>
      </c>
      <c r="I14" s="29"/>
    </row>
    <row r="15" spans="1:11" x14ac:dyDescent="0.2">
      <c r="B15" s="24" t="s">
        <v>42</v>
      </c>
      <c r="C15" s="24" t="s">
        <v>43</v>
      </c>
      <c r="D15" s="24" t="s">
        <v>30</v>
      </c>
      <c r="E15" s="28">
        <v>1500</v>
      </c>
      <c r="F15" s="25">
        <v>7414.6875</v>
      </c>
      <c r="G15" s="26">
        <v>2.42643121979749</v>
      </c>
      <c r="H15" s="27">
        <v>5.9150000000000001E-2</v>
      </c>
      <c r="I15" s="29"/>
    </row>
    <row r="16" spans="1:11" x14ac:dyDescent="0.2">
      <c r="B16" s="24" t="s">
        <v>44</v>
      </c>
      <c r="C16" s="24" t="s">
        <v>45</v>
      </c>
      <c r="D16" s="24" t="s">
        <v>35</v>
      </c>
      <c r="E16" s="28">
        <v>1500</v>
      </c>
      <c r="F16" s="25">
        <v>7347.5249999999996</v>
      </c>
      <c r="G16" s="26">
        <v>2.4044525205199201</v>
      </c>
      <c r="H16" s="27">
        <v>6.3650999999999999E-2</v>
      </c>
      <c r="I16" s="29"/>
    </row>
    <row r="17" spans="2:9" x14ac:dyDescent="0.2">
      <c r="B17" s="24" t="s">
        <v>46</v>
      </c>
      <c r="C17" s="24" t="s">
        <v>47</v>
      </c>
      <c r="D17" s="24" t="s">
        <v>35</v>
      </c>
      <c r="E17" s="28">
        <v>1500</v>
      </c>
      <c r="F17" s="25">
        <v>7314.1274999999996</v>
      </c>
      <c r="G17" s="26">
        <v>2.3935233024425302</v>
      </c>
      <c r="H17" s="27">
        <v>6.3100000000000003E-2</v>
      </c>
      <c r="I17" s="29"/>
    </row>
    <row r="18" spans="2:9" x14ac:dyDescent="0.2">
      <c r="B18" s="24" t="s">
        <v>48</v>
      </c>
      <c r="C18" s="24" t="s">
        <v>49</v>
      </c>
      <c r="D18" s="24" t="s">
        <v>35</v>
      </c>
      <c r="E18" s="28">
        <v>1000</v>
      </c>
      <c r="F18" s="25">
        <v>4948.7650000000003</v>
      </c>
      <c r="G18" s="26">
        <v>1.61946648398077</v>
      </c>
      <c r="H18" s="27">
        <v>5.9048000000000003E-2</v>
      </c>
      <c r="I18" s="29"/>
    </row>
    <row r="19" spans="2:9" x14ac:dyDescent="0.2">
      <c r="B19" s="24" t="s">
        <v>50</v>
      </c>
      <c r="C19" s="24" t="s">
        <v>51</v>
      </c>
      <c r="D19" s="24" t="s">
        <v>35</v>
      </c>
      <c r="E19" s="28">
        <v>1000</v>
      </c>
      <c r="F19" s="25">
        <v>4939.2049999999999</v>
      </c>
      <c r="G19" s="26">
        <v>1.61633800655522</v>
      </c>
      <c r="H19" s="27">
        <v>5.9114E-2</v>
      </c>
      <c r="I19" s="29"/>
    </row>
    <row r="20" spans="2:9" x14ac:dyDescent="0.2">
      <c r="B20" s="24" t="s">
        <v>52</v>
      </c>
      <c r="C20" s="24" t="s">
        <v>53</v>
      </c>
      <c r="D20" s="24" t="s">
        <v>35</v>
      </c>
      <c r="E20" s="28">
        <v>1000</v>
      </c>
      <c r="F20" s="25">
        <v>4936.3900000000003</v>
      </c>
      <c r="G20" s="26">
        <v>1.6154168073969599</v>
      </c>
      <c r="H20" s="27">
        <v>6.0299999999999999E-2</v>
      </c>
      <c r="I20" s="29"/>
    </row>
    <row r="21" spans="2:9" x14ac:dyDescent="0.2">
      <c r="B21" s="24" t="s">
        <v>54</v>
      </c>
      <c r="C21" s="24" t="s">
        <v>55</v>
      </c>
      <c r="D21" s="24" t="s">
        <v>35</v>
      </c>
      <c r="E21" s="28">
        <v>1000</v>
      </c>
      <c r="F21" s="25">
        <v>4933.6949999999997</v>
      </c>
      <c r="G21" s="26">
        <v>1.6145348778298201</v>
      </c>
      <c r="H21" s="27">
        <v>5.91E-2</v>
      </c>
      <c r="I21" s="29"/>
    </row>
    <row r="22" spans="2:9" x14ac:dyDescent="0.2">
      <c r="B22" s="24" t="s">
        <v>56</v>
      </c>
      <c r="C22" s="24" t="s">
        <v>57</v>
      </c>
      <c r="D22" s="24" t="s">
        <v>35</v>
      </c>
      <c r="E22" s="28">
        <v>1000</v>
      </c>
      <c r="F22" s="25">
        <v>4709.5349999999999</v>
      </c>
      <c r="G22" s="26">
        <v>1.54117928162569</v>
      </c>
      <c r="H22" s="27">
        <v>6.6799999999999998E-2</v>
      </c>
      <c r="I22" s="29"/>
    </row>
    <row r="23" spans="2:9" x14ac:dyDescent="0.2">
      <c r="B23" s="24" t="s">
        <v>58</v>
      </c>
      <c r="C23" s="24" t="s">
        <v>59</v>
      </c>
      <c r="D23" s="24" t="s">
        <v>35</v>
      </c>
      <c r="E23" s="28">
        <v>1000</v>
      </c>
      <c r="F23" s="25">
        <v>4706.1049999999996</v>
      </c>
      <c r="G23" s="26">
        <v>1.5400568258129701</v>
      </c>
      <c r="H23" s="27">
        <v>6.5500000000000003E-2</v>
      </c>
      <c r="I23" s="29"/>
    </row>
    <row r="24" spans="2:9" x14ac:dyDescent="0.2">
      <c r="B24" s="23" t="s">
        <v>60</v>
      </c>
      <c r="C24" s="23"/>
      <c r="D24" s="23"/>
      <c r="E24" s="23"/>
      <c r="F24" s="40">
        <f>SUM(F6:F23)</f>
        <v>146133.5068</v>
      </c>
      <c r="G24" s="41">
        <f>SUM(G6:G23)</f>
        <v>47.821692169495883</v>
      </c>
      <c r="H24" s="32"/>
      <c r="I24" s="32"/>
    </row>
    <row r="25" spans="2:9" x14ac:dyDescent="0.2">
      <c r="B25" s="23" t="s">
        <v>61</v>
      </c>
      <c r="C25" s="24"/>
      <c r="D25" s="24"/>
      <c r="E25" s="24"/>
      <c r="F25" s="25"/>
      <c r="G25" s="26"/>
      <c r="H25" s="27"/>
      <c r="I25" s="27"/>
    </row>
    <row r="26" spans="2:9" x14ac:dyDescent="0.2">
      <c r="B26" s="24" t="s">
        <v>62</v>
      </c>
      <c r="C26" s="24" t="s">
        <v>63</v>
      </c>
      <c r="D26" s="24" t="s">
        <v>25</v>
      </c>
      <c r="E26" s="28">
        <v>5000</v>
      </c>
      <c r="F26" s="25">
        <v>24733.674999999999</v>
      </c>
      <c r="G26" s="26">
        <v>8.0940108669886293</v>
      </c>
      <c r="H26" s="27">
        <v>5.7799999999999997E-2</v>
      </c>
      <c r="I26" s="29"/>
    </row>
    <row r="27" spans="2:9" x14ac:dyDescent="0.2">
      <c r="B27" s="24" t="s">
        <v>64</v>
      </c>
      <c r="C27" s="24" t="s">
        <v>65</v>
      </c>
      <c r="D27" s="24" t="s">
        <v>35</v>
      </c>
      <c r="E27" s="28">
        <v>3000</v>
      </c>
      <c r="F27" s="25">
        <v>14734.05</v>
      </c>
      <c r="G27" s="26">
        <v>4.8216676581524496</v>
      </c>
      <c r="H27" s="27">
        <v>6.3350000000000004E-2</v>
      </c>
      <c r="I27" s="29"/>
    </row>
    <row r="28" spans="2:9" x14ac:dyDescent="0.2">
      <c r="B28" s="24" t="s">
        <v>66</v>
      </c>
      <c r="C28" s="24" t="s">
        <v>67</v>
      </c>
      <c r="D28" s="24" t="s">
        <v>35</v>
      </c>
      <c r="E28" s="28">
        <v>2000</v>
      </c>
      <c r="F28" s="25">
        <v>9875.52</v>
      </c>
      <c r="G28" s="26">
        <v>3.2317302704577302</v>
      </c>
      <c r="H28" s="27">
        <v>6.4799999999999996E-2</v>
      </c>
      <c r="I28" s="29"/>
    </row>
    <row r="29" spans="2:9" x14ac:dyDescent="0.2">
      <c r="B29" s="24" t="s">
        <v>68</v>
      </c>
      <c r="C29" s="24" t="s">
        <v>69</v>
      </c>
      <c r="D29" s="24" t="s">
        <v>35</v>
      </c>
      <c r="E29" s="28">
        <v>1500</v>
      </c>
      <c r="F29" s="25">
        <v>7407.9375</v>
      </c>
      <c r="G29" s="26">
        <v>2.42422230529723</v>
      </c>
      <c r="H29" s="27">
        <v>6.4800999999999997E-2</v>
      </c>
      <c r="I29" s="29"/>
    </row>
    <row r="30" spans="2:9" x14ac:dyDescent="0.2">
      <c r="B30" s="24" t="s">
        <v>70</v>
      </c>
      <c r="C30" s="24" t="s">
        <v>71</v>
      </c>
      <c r="D30" s="24" t="s">
        <v>35</v>
      </c>
      <c r="E30" s="28">
        <v>1000</v>
      </c>
      <c r="F30" s="25">
        <v>4943.8249999999998</v>
      </c>
      <c r="G30" s="26">
        <v>1.61784988581317</v>
      </c>
      <c r="H30" s="27">
        <v>6.4802999999999999E-2</v>
      </c>
      <c r="I30" s="29"/>
    </row>
    <row r="31" spans="2:9" x14ac:dyDescent="0.2">
      <c r="B31" s="24" t="s">
        <v>72</v>
      </c>
      <c r="C31" s="24" t="s">
        <v>73</v>
      </c>
      <c r="D31" s="24" t="s">
        <v>35</v>
      </c>
      <c r="E31" s="28">
        <v>1000</v>
      </c>
      <c r="F31" s="25">
        <v>4941.2250000000004</v>
      </c>
      <c r="G31" s="26">
        <v>1.6169990446723299</v>
      </c>
      <c r="H31" s="27">
        <v>6.4799999999999996E-2</v>
      </c>
      <c r="I31" s="29"/>
    </row>
    <row r="32" spans="2:9" x14ac:dyDescent="0.2">
      <c r="B32" s="24" t="s">
        <v>74</v>
      </c>
      <c r="C32" s="24" t="s">
        <v>75</v>
      </c>
      <c r="D32" s="24" t="s">
        <v>35</v>
      </c>
      <c r="E32" s="28">
        <v>1000</v>
      </c>
      <c r="F32" s="25">
        <v>4938.625</v>
      </c>
      <c r="G32" s="26">
        <v>1.61614820353149</v>
      </c>
      <c r="H32" s="27">
        <v>6.4800999999999997E-2</v>
      </c>
      <c r="I32" s="29"/>
    </row>
    <row r="33" spans="2:9" x14ac:dyDescent="0.2">
      <c r="B33" s="24" t="s">
        <v>76</v>
      </c>
      <c r="C33" s="24" t="s">
        <v>77</v>
      </c>
      <c r="D33" s="24" t="s">
        <v>35</v>
      </c>
      <c r="E33" s="28">
        <v>1000</v>
      </c>
      <c r="F33" s="25">
        <v>4938.3050000000003</v>
      </c>
      <c r="G33" s="26">
        <v>1.6160434846218501</v>
      </c>
      <c r="H33" s="27">
        <v>0.06</v>
      </c>
      <c r="I33" s="29"/>
    </row>
    <row r="34" spans="2:9" x14ac:dyDescent="0.2">
      <c r="B34" s="24" t="s">
        <v>78</v>
      </c>
      <c r="C34" s="24" t="s">
        <v>79</v>
      </c>
      <c r="D34" s="24" t="s">
        <v>35</v>
      </c>
      <c r="E34" s="28">
        <v>1000</v>
      </c>
      <c r="F34" s="25">
        <v>4936.7550000000001</v>
      </c>
      <c r="G34" s="26">
        <v>1.6155362524032699</v>
      </c>
      <c r="H34" s="27">
        <v>5.9949000000000002E-2</v>
      </c>
      <c r="I34" s="29"/>
    </row>
    <row r="35" spans="2:9" x14ac:dyDescent="0.2">
      <c r="B35" s="24" t="s">
        <v>80</v>
      </c>
      <c r="C35" s="24" t="s">
        <v>81</v>
      </c>
      <c r="D35" s="24" t="s">
        <v>35</v>
      </c>
      <c r="E35" s="28">
        <v>1000</v>
      </c>
      <c r="F35" s="25">
        <v>4935.165</v>
      </c>
      <c r="G35" s="26">
        <v>1.6150159303209899</v>
      </c>
      <c r="H35" s="27">
        <v>6.4798999999999995E-2</v>
      </c>
      <c r="I35" s="29"/>
    </row>
    <row r="36" spans="2:9" x14ac:dyDescent="0.2">
      <c r="B36" s="24" t="s">
        <v>82</v>
      </c>
      <c r="C36" s="24" t="s">
        <v>83</v>
      </c>
      <c r="D36" s="24" t="s">
        <v>35</v>
      </c>
      <c r="E36" s="28">
        <v>1000</v>
      </c>
      <c r="F36" s="25">
        <v>4934.3</v>
      </c>
      <c r="G36" s="26">
        <v>1.6147328620183601</v>
      </c>
      <c r="H36" s="27">
        <v>6.4798999999999995E-2</v>
      </c>
      <c r="I36" s="29"/>
    </row>
    <row r="37" spans="2:9" x14ac:dyDescent="0.2">
      <c r="B37" s="24" t="s">
        <v>84</v>
      </c>
      <c r="C37" s="24" t="s">
        <v>85</v>
      </c>
      <c r="D37" s="24" t="s">
        <v>35</v>
      </c>
      <c r="E37" s="28">
        <v>1000</v>
      </c>
      <c r="F37" s="25">
        <v>4933.4849999999997</v>
      </c>
      <c r="G37" s="26">
        <v>1.6144661560453699</v>
      </c>
      <c r="H37" s="27">
        <v>6.4751000000000003E-2</v>
      </c>
      <c r="I37" s="29"/>
    </row>
    <row r="38" spans="2:9" x14ac:dyDescent="0.2">
      <c r="B38" s="24" t="s">
        <v>86</v>
      </c>
      <c r="C38" s="24" t="s">
        <v>87</v>
      </c>
      <c r="D38" s="24" t="s">
        <v>35</v>
      </c>
      <c r="E38" s="28">
        <v>1000</v>
      </c>
      <c r="F38" s="25">
        <v>4932.5950000000003</v>
      </c>
      <c r="G38" s="26">
        <v>1.6141749065779301</v>
      </c>
      <c r="H38" s="27">
        <v>6.3949000000000006E-2</v>
      </c>
      <c r="I38" s="29"/>
    </row>
    <row r="39" spans="2:9" x14ac:dyDescent="0.2">
      <c r="B39" s="24" t="s">
        <v>88</v>
      </c>
      <c r="C39" s="24" t="s">
        <v>89</v>
      </c>
      <c r="D39" s="24" t="s">
        <v>35</v>
      </c>
      <c r="E39" s="28">
        <v>1000</v>
      </c>
      <c r="F39" s="25">
        <v>4929.9799999999996</v>
      </c>
      <c r="G39" s="26">
        <v>1.6133191567381999</v>
      </c>
      <c r="H39" s="27">
        <v>6.4001000000000002E-2</v>
      </c>
      <c r="I39" s="29"/>
    </row>
    <row r="40" spans="2:9" x14ac:dyDescent="0.2">
      <c r="B40" s="23" t="s">
        <v>60</v>
      </c>
      <c r="C40" s="23"/>
      <c r="D40" s="23"/>
      <c r="E40" s="23"/>
      <c r="F40" s="40">
        <f>SUM(F25:F39)</f>
        <v>106115.4425</v>
      </c>
      <c r="G40" s="41">
        <f>SUM(G25:G39)</f>
        <v>34.72591698363901</v>
      </c>
      <c r="H40" s="32"/>
      <c r="I40" s="32"/>
    </row>
    <row r="41" spans="2:9" x14ac:dyDescent="0.2">
      <c r="B41" s="23" t="s">
        <v>90</v>
      </c>
      <c r="C41" s="24"/>
      <c r="D41" s="24"/>
      <c r="E41" s="24"/>
      <c r="F41" s="25"/>
      <c r="G41" s="26"/>
      <c r="H41" s="27"/>
      <c r="I41" s="27"/>
    </row>
    <row r="42" spans="2:9" x14ac:dyDescent="0.2">
      <c r="B42" s="24" t="s">
        <v>91</v>
      </c>
      <c r="C42" s="24" t="s">
        <v>92</v>
      </c>
      <c r="D42" s="24" t="s">
        <v>103</v>
      </c>
      <c r="E42" s="28">
        <v>5000000</v>
      </c>
      <c r="F42" s="25">
        <v>4941.4350000000004</v>
      </c>
      <c r="G42" s="26">
        <v>1.6170677664567801</v>
      </c>
      <c r="H42" s="27">
        <v>5.1499000000000003E-2</v>
      </c>
      <c r="I42" s="29"/>
    </row>
    <row r="43" spans="2:9" x14ac:dyDescent="0.2">
      <c r="B43" s="24" t="s">
        <v>93</v>
      </c>
      <c r="C43" s="24" t="s">
        <v>94</v>
      </c>
      <c r="D43" s="24" t="s">
        <v>103</v>
      </c>
      <c r="E43" s="28">
        <v>5000000</v>
      </c>
      <c r="F43" s="25">
        <v>4758.7349999999997</v>
      </c>
      <c r="G43" s="26">
        <v>1.5572798139831301</v>
      </c>
      <c r="H43" s="27">
        <v>5.5074999999999999E-2</v>
      </c>
      <c r="I43" s="29"/>
    </row>
    <row r="44" spans="2:9" x14ac:dyDescent="0.2">
      <c r="B44" s="24" t="s">
        <v>95</v>
      </c>
      <c r="C44" s="24" t="s">
        <v>96</v>
      </c>
      <c r="D44" s="24" t="s">
        <v>103</v>
      </c>
      <c r="E44" s="28">
        <v>2500000</v>
      </c>
      <c r="F44" s="25">
        <v>2377.09</v>
      </c>
      <c r="G44" s="26">
        <v>0.77789460287684697</v>
      </c>
      <c r="H44" s="27">
        <v>5.5023000000000002E-2</v>
      </c>
      <c r="I44" s="29"/>
    </row>
    <row r="45" spans="2:9" x14ac:dyDescent="0.2">
      <c r="B45" s="24" t="s">
        <v>97</v>
      </c>
      <c r="C45" s="24" t="s">
        <v>98</v>
      </c>
      <c r="D45" s="24" t="s">
        <v>103</v>
      </c>
      <c r="E45" s="28">
        <v>1500000</v>
      </c>
      <c r="F45" s="25">
        <v>1457.4404999999999</v>
      </c>
      <c r="G45" s="26">
        <v>0.47694243758719002</v>
      </c>
      <c r="H45" s="27">
        <v>5.4379999999999998E-2</v>
      </c>
      <c r="I45" s="29"/>
    </row>
    <row r="46" spans="2:9" x14ac:dyDescent="0.2">
      <c r="B46" s="23" t="s">
        <v>60</v>
      </c>
      <c r="C46" s="23"/>
      <c r="D46" s="23"/>
      <c r="E46" s="23"/>
      <c r="F46" s="33">
        <f>SUM(F41:F45)</f>
        <v>13534.700500000001</v>
      </c>
      <c r="G46" s="34">
        <f>SUM(G41:G45)</f>
        <v>4.4291846209039472</v>
      </c>
      <c r="H46" s="32"/>
      <c r="I46" s="32"/>
    </row>
    <row r="47" spans="2:9" x14ac:dyDescent="0.2">
      <c r="B47" s="39" t="s">
        <v>99</v>
      </c>
      <c r="C47" s="39"/>
      <c r="D47" s="39"/>
      <c r="E47" s="39"/>
      <c r="F47" s="40">
        <f>+F24+F40+F46</f>
        <v>265783.64980000001</v>
      </c>
      <c r="G47" s="41">
        <f>+G24+G40+G46</f>
        <v>86.976793774038839</v>
      </c>
      <c r="H47" s="32"/>
      <c r="I47" s="32"/>
    </row>
    <row r="48" spans="2:9" x14ac:dyDescent="0.2">
      <c r="B48" s="23" t="s">
        <v>100</v>
      </c>
      <c r="C48" s="24"/>
      <c r="D48" s="24"/>
      <c r="E48" s="24"/>
      <c r="F48" s="25"/>
      <c r="G48" s="26"/>
      <c r="H48" s="27"/>
      <c r="I48" s="27"/>
    </row>
    <row r="49" spans="1:11" x14ac:dyDescent="0.2">
      <c r="B49" s="24" t="s">
        <v>101</v>
      </c>
      <c r="C49" s="24" t="s">
        <v>102</v>
      </c>
      <c r="D49" s="24" t="s">
        <v>103</v>
      </c>
      <c r="E49" s="28">
        <v>22000000</v>
      </c>
      <c r="F49" s="25">
        <v>22007.106</v>
      </c>
      <c r="G49" s="26">
        <v>7.2017504521657498</v>
      </c>
      <c r="H49" s="27">
        <v>5.5216000000000001E-2</v>
      </c>
      <c r="I49" s="29"/>
    </row>
    <row r="50" spans="1:11" x14ac:dyDescent="0.2">
      <c r="B50" s="23" t="s">
        <v>99</v>
      </c>
      <c r="C50" s="23"/>
      <c r="D50" s="23"/>
      <c r="E50" s="23"/>
      <c r="F50" s="40">
        <f>SUM(F49:F49)</f>
        <v>22007.106</v>
      </c>
      <c r="G50" s="41">
        <f>SUM(G49:G49)</f>
        <v>7.2017504521657498</v>
      </c>
      <c r="H50" s="32"/>
      <c r="I50" s="32"/>
    </row>
    <row r="51" spans="1:11" x14ac:dyDescent="0.2">
      <c r="B51" s="23"/>
      <c r="C51" s="24"/>
      <c r="D51" s="24"/>
      <c r="E51" s="24"/>
      <c r="F51" s="25"/>
      <c r="G51" s="26"/>
      <c r="H51" s="27"/>
      <c r="I51" s="27"/>
    </row>
    <row r="52" spans="1:11" x14ac:dyDescent="0.2">
      <c r="B52" s="23" t="s">
        <v>104</v>
      </c>
      <c r="C52" s="23"/>
      <c r="D52" s="23"/>
      <c r="E52" s="23"/>
      <c r="F52" s="40">
        <v>17946.395779999999</v>
      </c>
      <c r="G52" s="41">
        <v>5.8728968690095096</v>
      </c>
      <c r="H52" s="38">
        <v>5.3636339999999998E-2</v>
      </c>
      <c r="I52" s="38"/>
    </row>
    <row r="53" spans="1:11" x14ac:dyDescent="0.2">
      <c r="B53" s="24"/>
      <c r="C53" s="24"/>
      <c r="D53" s="24"/>
      <c r="E53" s="24"/>
      <c r="F53" s="25"/>
      <c r="G53" s="26"/>
      <c r="H53" s="27"/>
      <c r="I53" s="27"/>
    </row>
    <row r="54" spans="1:11" x14ac:dyDescent="0.2">
      <c r="B54" s="39" t="s">
        <v>106</v>
      </c>
      <c r="C54" s="39"/>
      <c r="D54" s="39"/>
      <c r="E54" s="39"/>
      <c r="F54" s="40">
        <f>F55-(F24+F40+F46+F50+F52)</f>
        <v>-157.1936771000619</v>
      </c>
      <c r="G54" s="41">
        <f>G55-(G24+G40+G46+G50+G52)</f>
        <v>-5.1441095214102006E-2</v>
      </c>
      <c r="H54" s="32"/>
      <c r="I54" s="32"/>
    </row>
    <row r="55" spans="1:11" x14ac:dyDescent="0.2">
      <c r="B55" s="39" t="s">
        <v>105</v>
      </c>
      <c r="C55" s="39"/>
      <c r="D55" s="39"/>
      <c r="E55" s="39"/>
      <c r="F55" s="40">
        <v>305579.9579029</v>
      </c>
      <c r="G55" s="41">
        <v>100</v>
      </c>
      <c r="H55" s="42"/>
      <c r="I55" s="42"/>
    </row>
    <row r="57" spans="1:11" x14ac:dyDescent="0.2">
      <c r="B57" s="16" t="s">
        <v>108</v>
      </c>
    </row>
    <row r="58" spans="1:11" ht="39.950000000000003" customHeight="1" x14ac:dyDescent="0.2">
      <c r="B58" s="108" t="s">
        <v>109</v>
      </c>
      <c r="C58" s="108"/>
      <c r="D58" s="108"/>
      <c r="E58" s="108"/>
      <c r="F58" s="108"/>
      <c r="G58" s="108"/>
      <c r="H58" s="108"/>
      <c r="I58" s="108"/>
    </row>
    <row r="60" spans="1:11" x14ac:dyDescent="0.2">
      <c r="B60" s="16" t="s">
        <v>1435</v>
      </c>
      <c r="C60" s="16"/>
      <c r="D60" s="44"/>
      <c r="E60" s="16"/>
    </row>
    <row r="61" spans="1:11" x14ac:dyDescent="0.2">
      <c r="D61" s="45"/>
      <c r="E61" s="45"/>
    </row>
    <row r="63" spans="1:11" s="11" customFormat="1" x14ac:dyDescent="0.2">
      <c r="A63" s="6"/>
      <c r="B63" s="6"/>
      <c r="C63" s="6"/>
      <c r="D63" s="6"/>
      <c r="E63" s="6"/>
      <c r="F63" s="8"/>
      <c r="G63" s="14"/>
      <c r="J63" s="6"/>
      <c r="K63" s="6"/>
    </row>
    <row r="64" spans="1:11" s="11" customFormat="1" x14ac:dyDescent="0.2">
      <c r="A64" s="6"/>
      <c r="B64" s="6"/>
      <c r="C64" s="6"/>
      <c r="D64" s="6"/>
      <c r="E64" s="6"/>
      <c r="F64" s="8"/>
      <c r="G64" s="14"/>
      <c r="J64" s="6"/>
      <c r="K64" s="6"/>
    </row>
    <row r="65" spans="1:11" s="11" customFormat="1" x14ac:dyDescent="0.2">
      <c r="A65" s="6"/>
      <c r="B65" s="16"/>
      <c r="C65" s="6"/>
      <c r="D65" s="6"/>
      <c r="E65" s="6"/>
      <c r="F65" s="8"/>
      <c r="G65" s="14"/>
      <c r="J65" s="6"/>
      <c r="K65" s="6"/>
    </row>
    <row r="66" spans="1:11" s="11" customFormat="1" x14ac:dyDescent="0.2">
      <c r="A66" s="6"/>
      <c r="B66" s="6"/>
      <c r="C66" s="6"/>
      <c r="D66" s="6"/>
      <c r="E66" s="6"/>
      <c r="F66" s="8"/>
      <c r="G66" s="14"/>
      <c r="J66" s="6"/>
      <c r="K66" s="6"/>
    </row>
    <row r="67" spans="1:11" s="11" customFormat="1" x14ac:dyDescent="0.2">
      <c r="A67" s="6"/>
      <c r="B67" s="6"/>
      <c r="C67" s="6"/>
      <c r="D67" s="6"/>
      <c r="E67" s="6"/>
      <c r="F67" s="8"/>
      <c r="G67" s="14"/>
      <c r="J67" s="6"/>
      <c r="K67" s="6"/>
    </row>
    <row r="68" spans="1:11" s="11" customFormat="1" x14ac:dyDescent="0.2">
      <c r="A68" s="6"/>
      <c r="B68" s="6"/>
      <c r="C68" s="6"/>
      <c r="D68" s="6"/>
      <c r="E68" s="6"/>
      <c r="F68" s="8"/>
      <c r="G68" s="14"/>
      <c r="J68" s="6"/>
      <c r="K68" s="6"/>
    </row>
    <row r="69" spans="1:11" s="11" customFormat="1" x14ac:dyDescent="0.2">
      <c r="A69" s="6"/>
      <c r="B69" s="6"/>
      <c r="C69" s="6"/>
      <c r="D69" s="6"/>
      <c r="E69" s="6"/>
      <c r="F69" s="8"/>
      <c r="G69" s="14"/>
      <c r="J69" s="6"/>
      <c r="K69" s="6"/>
    </row>
    <row r="70" spans="1:11" s="11" customFormat="1" x14ac:dyDescent="0.2">
      <c r="A70" s="6"/>
      <c r="B70" s="6"/>
      <c r="C70" s="6"/>
      <c r="D70" s="6"/>
      <c r="E70" s="6"/>
      <c r="F70" s="8"/>
      <c r="G70" s="14"/>
      <c r="J70" s="6"/>
      <c r="K70" s="6"/>
    </row>
    <row r="71" spans="1:11" s="11" customFormat="1" x14ac:dyDescent="0.2">
      <c r="A71" s="6"/>
      <c r="B71" s="6"/>
      <c r="C71" s="6"/>
      <c r="D71" s="6"/>
      <c r="E71" s="6"/>
      <c r="F71" s="8"/>
      <c r="G71" s="14"/>
      <c r="J71" s="6"/>
      <c r="K71" s="6"/>
    </row>
    <row r="72" spans="1:11" s="11" customFormat="1" x14ac:dyDescent="0.2">
      <c r="A72" s="6"/>
      <c r="B72" s="6"/>
      <c r="C72" s="6"/>
      <c r="D72" s="6"/>
      <c r="E72" s="6"/>
      <c r="F72" s="8"/>
      <c r="G72" s="14"/>
      <c r="J72" s="6"/>
      <c r="K72" s="6"/>
    </row>
    <row r="73" spans="1:11" s="11" customFormat="1" x14ac:dyDescent="0.2">
      <c r="A73" s="6"/>
      <c r="B73" s="6"/>
      <c r="C73" s="6"/>
      <c r="D73" s="6"/>
      <c r="E73" s="6"/>
      <c r="F73" s="8"/>
      <c r="G73" s="14"/>
      <c r="J73" s="6"/>
      <c r="K73" s="6"/>
    </row>
    <row r="74" spans="1:11" s="11" customFormat="1" x14ac:dyDescent="0.2">
      <c r="A74" s="6"/>
      <c r="B74" s="6"/>
      <c r="C74" s="6"/>
      <c r="D74" s="6"/>
      <c r="E74" s="6"/>
      <c r="F74" s="8"/>
      <c r="G74" s="14"/>
      <c r="J74" s="6"/>
      <c r="K74" s="6"/>
    </row>
    <row r="75" spans="1:11" s="11" customFormat="1" x14ac:dyDescent="0.2">
      <c r="A75" s="6"/>
      <c r="B75" s="6"/>
      <c r="C75" s="6"/>
      <c r="D75" s="6"/>
      <c r="E75" s="6"/>
      <c r="F75" s="8"/>
      <c r="G75" s="14"/>
      <c r="J75" s="6"/>
      <c r="K75" s="6"/>
    </row>
    <row r="76" spans="1:11" s="11" customFormat="1" x14ac:dyDescent="0.2">
      <c r="A76" s="6"/>
      <c r="B76" s="6"/>
      <c r="C76" s="6"/>
      <c r="D76" s="6"/>
      <c r="E76" s="6"/>
      <c r="F76" s="8"/>
      <c r="G76" s="14"/>
      <c r="J76" s="6"/>
      <c r="K76" s="6"/>
    </row>
    <row r="77" spans="1:11" s="11" customFormat="1" x14ac:dyDescent="0.2">
      <c r="A77" s="6"/>
      <c r="B77" s="6"/>
      <c r="C77" s="6"/>
      <c r="D77" s="6"/>
      <c r="E77" s="6"/>
      <c r="F77" s="8"/>
      <c r="G77" s="14"/>
      <c r="J77" s="6"/>
      <c r="K77" s="6"/>
    </row>
    <row r="78" spans="1:11" s="11" customFormat="1" x14ac:dyDescent="0.2">
      <c r="A78" s="6"/>
      <c r="B78" s="6"/>
      <c r="C78" s="6"/>
      <c r="D78" s="6"/>
      <c r="E78" s="6"/>
      <c r="F78" s="8"/>
      <c r="G78" s="14"/>
      <c r="J78" s="6"/>
      <c r="K78" s="6"/>
    </row>
    <row r="79" spans="1:11" s="11" customFormat="1" x14ac:dyDescent="0.2">
      <c r="A79" s="6"/>
      <c r="B79" s="6"/>
      <c r="C79" s="6"/>
      <c r="D79" s="6"/>
      <c r="E79" s="6"/>
      <c r="F79" s="8"/>
      <c r="G79" s="14"/>
      <c r="J79" s="6"/>
      <c r="K79" s="6"/>
    </row>
    <row r="80" spans="1:11" s="11" customFormat="1" x14ac:dyDescent="0.2">
      <c r="A80" s="6"/>
      <c r="B80" s="6"/>
      <c r="C80" s="6"/>
      <c r="D80" s="6"/>
      <c r="E80" s="6"/>
      <c r="F80" s="8"/>
      <c r="G80" s="14"/>
      <c r="J80" s="6"/>
      <c r="K80" s="6"/>
    </row>
    <row r="81" spans="1:11" s="11" customFormat="1" x14ac:dyDescent="0.2">
      <c r="A81" s="6"/>
      <c r="B81" s="16" t="s">
        <v>1436</v>
      </c>
      <c r="C81" s="6"/>
      <c r="D81" s="6"/>
      <c r="E81" s="6"/>
      <c r="F81" s="8"/>
      <c r="G81" s="14"/>
      <c r="J81" s="6"/>
      <c r="K81" s="6"/>
    </row>
    <row r="82" spans="1:11" s="11" customFormat="1" x14ac:dyDescent="0.2">
      <c r="A82" s="6"/>
      <c r="B82" s="60" t="s">
        <v>1437</v>
      </c>
      <c r="C82" s="6"/>
      <c r="D82" s="6"/>
      <c r="E82" s="6"/>
      <c r="F82" s="8"/>
      <c r="G82" s="14"/>
      <c r="J82" s="6"/>
      <c r="K82" s="6"/>
    </row>
    <row r="83" spans="1:11" s="11" customFormat="1" x14ac:dyDescent="0.2">
      <c r="A83" s="6"/>
      <c r="B83" s="6"/>
      <c r="C83" s="6"/>
      <c r="D83" s="6"/>
      <c r="E83" s="6"/>
      <c r="F83" s="8"/>
      <c r="G83" s="14"/>
      <c r="J83" s="6"/>
      <c r="K83" s="6"/>
    </row>
    <row r="84" spans="1:11" s="11" customFormat="1" x14ac:dyDescent="0.2">
      <c r="A84" s="6"/>
      <c r="B84" s="6"/>
      <c r="C84" s="6"/>
      <c r="D84" s="6"/>
      <c r="E84" s="6"/>
      <c r="F84" s="8"/>
      <c r="G84" s="14"/>
      <c r="J84" s="6"/>
      <c r="K84" s="6"/>
    </row>
    <row r="85" spans="1:11" s="11" customFormat="1" x14ac:dyDescent="0.2">
      <c r="A85" s="6"/>
      <c r="B85" s="6"/>
      <c r="C85" s="6"/>
      <c r="D85" s="6"/>
      <c r="E85" s="6"/>
      <c r="F85" s="8"/>
      <c r="G85" s="14"/>
      <c r="J85" s="6"/>
      <c r="K85" s="6"/>
    </row>
    <row r="86" spans="1:11" s="11" customFormat="1" x14ac:dyDescent="0.2">
      <c r="A86" s="6"/>
      <c r="B86" s="6"/>
      <c r="C86" s="6"/>
      <c r="D86" s="6"/>
      <c r="E86" s="6"/>
      <c r="F86" s="8"/>
      <c r="G86" s="14"/>
      <c r="J86" s="6"/>
      <c r="K86" s="6"/>
    </row>
    <row r="87" spans="1:11" s="11" customFormat="1" x14ac:dyDescent="0.2">
      <c r="A87" s="6"/>
      <c r="B87" s="6"/>
      <c r="C87" s="6"/>
      <c r="D87" s="6"/>
      <c r="E87" s="6"/>
      <c r="F87" s="8"/>
      <c r="G87" s="14"/>
      <c r="J87" s="6"/>
      <c r="K87" s="6"/>
    </row>
    <row r="88" spans="1:11" s="11" customFormat="1" x14ac:dyDescent="0.2">
      <c r="A88" s="6"/>
      <c r="B88" s="6"/>
      <c r="C88" s="6"/>
      <c r="D88" s="6"/>
      <c r="E88" s="6"/>
      <c r="F88" s="8"/>
      <c r="G88" s="14"/>
      <c r="J88" s="6"/>
      <c r="K88" s="6"/>
    </row>
    <row r="89" spans="1:11" s="11" customFormat="1" x14ac:dyDescent="0.2">
      <c r="A89" s="6"/>
      <c r="B89" s="6"/>
      <c r="C89" s="6"/>
      <c r="D89" s="6"/>
      <c r="E89" s="6"/>
      <c r="F89" s="8"/>
      <c r="G89" s="14"/>
      <c r="J89" s="6"/>
      <c r="K89" s="6"/>
    </row>
    <row r="90" spans="1:11" s="11" customFormat="1" x14ac:dyDescent="0.2">
      <c r="A90" s="6"/>
      <c r="B90" s="6"/>
      <c r="C90" s="6"/>
      <c r="D90" s="6"/>
      <c r="E90" s="6"/>
      <c r="F90" s="8"/>
      <c r="G90" s="14"/>
      <c r="J90" s="6"/>
      <c r="K90" s="6"/>
    </row>
    <row r="91" spans="1:11" s="11" customFormat="1" x14ac:dyDescent="0.2">
      <c r="A91" s="6"/>
      <c r="B91" s="6"/>
      <c r="C91" s="6"/>
      <c r="D91" s="6"/>
      <c r="E91" s="6"/>
      <c r="F91" s="8"/>
      <c r="G91" s="14"/>
      <c r="J91" s="6"/>
      <c r="K91" s="6"/>
    </row>
    <row r="92" spans="1:11" s="11" customFormat="1" x14ac:dyDescent="0.2">
      <c r="A92" s="6"/>
      <c r="B92" s="6"/>
      <c r="C92" s="6"/>
      <c r="D92" s="6"/>
      <c r="E92" s="6"/>
      <c r="F92" s="8"/>
      <c r="G92" s="14"/>
      <c r="J92" s="6"/>
      <c r="K92" s="6"/>
    </row>
    <row r="93" spans="1:11" s="11" customFormat="1" x14ac:dyDescent="0.2">
      <c r="A93" s="6"/>
      <c r="B93" s="6"/>
      <c r="C93" s="6"/>
      <c r="D93" s="6"/>
      <c r="E93" s="6"/>
      <c r="F93" s="8"/>
      <c r="G93" s="14"/>
      <c r="J93" s="6"/>
      <c r="K93" s="6"/>
    </row>
    <row r="94" spans="1:11" s="11" customFormat="1" x14ac:dyDescent="0.2">
      <c r="A94" s="6"/>
      <c r="B94" s="6"/>
      <c r="C94" s="6"/>
      <c r="D94" s="6"/>
      <c r="E94" s="6"/>
      <c r="F94" s="8"/>
      <c r="G94" s="14"/>
      <c r="J94" s="6"/>
      <c r="K94" s="6"/>
    </row>
    <row r="95" spans="1:11" s="11" customFormat="1" x14ac:dyDescent="0.2">
      <c r="A95" s="6"/>
      <c r="B95" s="6"/>
      <c r="C95" s="6"/>
      <c r="D95" s="6"/>
      <c r="E95" s="6"/>
      <c r="F95" s="8"/>
      <c r="G95" s="14"/>
      <c r="J95" s="6"/>
      <c r="K95" s="6"/>
    </row>
    <row r="96" spans="1:11" s="11" customFormat="1" x14ac:dyDescent="0.2">
      <c r="A96" s="6"/>
      <c r="B96" s="6"/>
      <c r="C96" s="6"/>
      <c r="D96" s="6"/>
      <c r="E96" s="6"/>
      <c r="F96" s="8"/>
      <c r="G96" s="14"/>
      <c r="J96" s="6"/>
      <c r="K96" s="6"/>
    </row>
    <row r="97" spans="1:11" s="11" customFormat="1" x14ac:dyDescent="0.2">
      <c r="A97" s="6"/>
      <c r="B97" s="6"/>
      <c r="C97" s="6"/>
      <c r="D97" s="6"/>
      <c r="E97" s="6"/>
      <c r="F97" s="8"/>
      <c r="G97" s="14"/>
      <c r="J97" s="6"/>
      <c r="K97" s="6"/>
    </row>
    <row r="98" spans="1:11" s="11" customFormat="1" x14ac:dyDescent="0.2">
      <c r="A98" s="6"/>
      <c r="B98" s="6"/>
      <c r="C98" s="6"/>
      <c r="D98" s="6"/>
      <c r="E98" s="6"/>
      <c r="F98" s="8"/>
      <c r="G98" s="14"/>
      <c r="J98" s="6"/>
      <c r="K98" s="6"/>
    </row>
    <row r="99" spans="1:11" s="11" customFormat="1" x14ac:dyDescent="0.2">
      <c r="A99" s="6"/>
      <c r="B99" s="6"/>
      <c r="C99" s="6"/>
      <c r="D99" s="6"/>
      <c r="E99" s="6"/>
      <c r="F99" s="8"/>
      <c r="G99" s="14"/>
      <c r="J99" s="6"/>
      <c r="K99" s="6"/>
    </row>
    <row r="100" spans="1:11" s="11" customFormat="1" x14ac:dyDescent="0.2">
      <c r="A100" s="6"/>
      <c r="B100" s="6"/>
      <c r="C100" s="6"/>
      <c r="D100" s="6"/>
      <c r="E100" s="6"/>
      <c r="F100" s="8"/>
      <c r="G100" s="14"/>
      <c r="J100" s="6"/>
      <c r="K100" s="6"/>
    </row>
    <row r="101" spans="1:11" s="11" customFormat="1" x14ac:dyDescent="0.2">
      <c r="A101" s="6"/>
      <c r="B101" s="6"/>
      <c r="C101" s="6"/>
      <c r="D101" s="6"/>
      <c r="E101" s="6"/>
      <c r="F101" s="8"/>
      <c r="G101" s="14"/>
      <c r="J101" s="6"/>
      <c r="K101" s="6"/>
    </row>
    <row r="102" spans="1:11" s="11" customFormat="1" x14ac:dyDescent="0.2">
      <c r="A102" s="6"/>
      <c r="B102" s="6"/>
      <c r="C102" s="6"/>
      <c r="D102" s="6"/>
      <c r="E102" s="6"/>
      <c r="F102" s="8"/>
      <c r="G102" s="14"/>
      <c r="J102" s="6"/>
      <c r="K102" s="6"/>
    </row>
    <row r="103" spans="1:11" s="11" customFormat="1" x14ac:dyDescent="0.2">
      <c r="A103" s="6"/>
      <c r="B103" s="6"/>
      <c r="C103" s="6"/>
      <c r="D103" s="6"/>
      <c r="E103" s="6"/>
      <c r="F103" s="8"/>
      <c r="G103" s="14"/>
      <c r="J103" s="6"/>
      <c r="K103" s="6"/>
    </row>
    <row r="104" spans="1:11" s="11" customFormat="1" x14ac:dyDescent="0.2">
      <c r="A104" s="6"/>
      <c r="B104" s="6"/>
      <c r="C104" s="6"/>
      <c r="D104" s="6"/>
      <c r="E104" s="6"/>
      <c r="F104" s="8"/>
      <c r="G104" s="14"/>
      <c r="J104" s="6"/>
      <c r="K104" s="6"/>
    </row>
    <row r="105" spans="1:11" s="11" customFormat="1" x14ac:dyDescent="0.2">
      <c r="A105" s="6"/>
      <c r="B105" s="6"/>
      <c r="C105" s="6"/>
      <c r="D105" s="6"/>
      <c r="E105" s="6"/>
      <c r="F105" s="8"/>
      <c r="G105" s="14"/>
      <c r="J105" s="6"/>
      <c r="K105" s="6"/>
    </row>
    <row r="106" spans="1:11" s="11" customFormat="1" x14ac:dyDescent="0.2">
      <c r="A106" s="6"/>
      <c r="B106" s="6"/>
      <c r="C106" s="6"/>
      <c r="D106" s="6"/>
      <c r="E106" s="6"/>
      <c r="F106" s="8"/>
      <c r="G106" s="14"/>
      <c r="J106" s="6"/>
      <c r="K106" s="6"/>
    </row>
    <row r="107" spans="1:11" s="11" customFormat="1" x14ac:dyDescent="0.2">
      <c r="A107" s="6"/>
      <c r="B107" s="6"/>
      <c r="C107" s="6"/>
      <c r="D107" s="6"/>
      <c r="E107" s="6"/>
      <c r="F107" s="8"/>
      <c r="G107" s="14"/>
      <c r="J107" s="6"/>
      <c r="K107" s="6"/>
    </row>
    <row r="108" spans="1:11" s="11" customFormat="1" x14ac:dyDescent="0.2">
      <c r="A108" s="6"/>
      <c r="B108" s="6"/>
      <c r="C108" s="6"/>
      <c r="D108" s="6"/>
      <c r="E108" s="6"/>
      <c r="F108" s="8"/>
      <c r="G108" s="14"/>
      <c r="J108" s="6"/>
      <c r="K108" s="6"/>
    </row>
    <row r="109" spans="1:11" s="11" customFormat="1" x14ac:dyDescent="0.2">
      <c r="A109" s="6"/>
      <c r="B109" s="6"/>
      <c r="C109" s="6"/>
      <c r="D109" s="6"/>
      <c r="E109" s="6"/>
      <c r="F109" s="8"/>
      <c r="G109" s="14"/>
      <c r="J109" s="6"/>
      <c r="K109" s="6"/>
    </row>
    <row r="110" spans="1:11" s="11" customFormat="1" x14ac:dyDescent="0.2">
      <c r="A110" s="6"/>
      <c r="B110" s="6"/>
      <c r="C110" s="6"/>
      <c r="D110" s="6"/>
      <c r="E110" s="6"/>
      <c r="F110" s="8"/>
      <c r="G110" s="14"/>
      <c r="J110" s="6"/>
      <c r="K110" s="6"/>
    </row>
    <row r="111" spans="1:11" s="11" customFormat="1" x14ac:dyDescent="0.2">
      <c r="A111" s="6"/>
      <c r="B111" s="6"/>
      <c r="C111" s="6"/>
      <c r="D111" s="6"/>
      <c r="E111" s="6"/>
      <c r="F111" s="8"/>
      <c r="G111" s="14"/>
      <c r="J111" s="6"/>
      <c r="K111" s="6"/>
    </row>
    <row r="112" spans="1:11" s="11" customFormat="1" x14ac:dyDescent="0.2">
      <c r="A112" s="6"/>
      <c r="B112" s="6"/>
      <c r="C112" s="6"/>
      <c r="D112" s="6"/>
      <c r="E112" s="6"/>
      <c r="F112" s="8"/>
      <c r="G112" s="14"/>
      <c r="J112" s="6"/>
      <c r="K112" s="6"/>
    </row>
    <row r="113" spans="1:11" s="11" customFormat="1" x14ac:dyDescent="0.2">
      <c r="A113" s="6"/>
      <c r="B113" s="6"/>
      <c r="C113" s="6"/>
      <c r="D113" s="6"/>
      <c r="E113" s="6"/>
      <c r="F113" s="8"/>
      <c r="G113" s="14"/>
      <c r="J113" s="6"/>
      <c r="K113" s="6"/>
    </row>
    <row r="114" spans="1:11" s="11" customFormat="1" x14ac:dyDescent="0.2">
      <c r="A114" s="6"/>
      <c r="B114" s="6"/>
      <c r="C114" s="6"/>
      <c r="D114" s="6"/>
      <c r="E114" s="6"/>
      <c r="F114" s="8"/>
      <c r="G114" s="14"/>
      <c r="J114" s="6"/>
      <c r="K114" s="6"/>
    </row>
    <row r="115" spans="1:11" s="11" customFormat="1" x14ac:dyDescent="0.2">
      <c r="A115" s="6"/>
      <c r="B115" s="6"/>
      <c r="C115" s="6"/>
      <c r="D115" s="6"/>
      <c r="E115" s="6"/>
      <c r="F115" s="8"/>
      <c r="G115" s="14"/>
      <c r="J115" s="6"/>
      <c r="K115" s="6"/>
    </row>
    <row r="116" spans="1:11" s="11" customFormat="1" x14ac:dyDescent="0.2">
      <c r="A116" s="6"/>
      <c r="B116" s="6"/>
      <c r="C116" s="6"/>
      <c r="D116" s="6"/>
      <c r="E116" s="6"/>
      <c r="F116" s="8"/>
      <c r="G116" s="14"/>
      <c r="J116" s="6"/>
      <c r="K116" s="6"/>
    </row>
    <row r="117" spans="1:11" s="11" customFormat="1" x14ac:dyDescent="0.2">
      <c r="A117" s="6"/>
      <c r="B117" s="6"/>
      <c r="C117" s="6"/>
      <c r="D117" s="6"/>
      <c r="E117" s="6"/>
      <c r="F117" s="8"/>
      <c r="G117" s="14"/>
      <c r="J117" s="6"/>
      <c r="K117" s="6"/>
    </row>
    <row r="118" spans="1:11" s="11" customFormat="1" x14ac:dyDescent="0.2">
      <c r="A118" s="6"/>
      <c r="B118" s="6"/>
      <c r="C118" s="6"/>
      <c r="D118" s="6"/>
      <c r="E118" s="6"/>
      <c r="F118" s="8"/>
      <c r="G118" s="14"/>
      <c r="J118" s="6"/>
      <c r="K118" s="6"/>
    </row>
    <row r="119" spans="1:11" s="11" customFormat="1" x14ac:dyDescent="0.2">
      <c r="A119" s="6"/>
      <c r="B119" s="6"/>
      <c r="C119" s="6"/>
      <c r="D119" s="6"/>
      <c r="E119" s="6"/>
      <c r="F119" s="8"/>
      <c r="G119" s="14"/>
      <c r="J119" s="6"/>
      <c r="K119" s="6"/>
    </row>
    <row r="120" spans="1:11" s="11" customFormat="1" x14ac:dyDescent="0.2">
      <c r="A120" s="6"/>
      <c r="B120" s="6"/>
      <c r="C120" s="6"/>
      <c r="D120" s="6"/>
      <c r="E120" s="6"/>
      <c r="F120" s="8"/>
      <c r="G120" s="14"/>
      <c r="J120" s="6"/>
      <c r="K120" s="6"/>
    </row>
    <row r="121" spans="1:11" s="11" customFormat="1" x14ac:dyDescent="0.2">
      <c r="A121" s="6"/>
      <c r="B121" s="6"/>
      <c r="C121" s="6"/>
      <c r="D121" s="6"/>
      <c r="E121" s="6"/>
      <c r="F121" s="8"/>
      <c r="G121" s="14"/>
      <c r="J121" s="6"/>
      <c r="K121" s="6"/>
    </row>
    <row r="122" spans="1:11" s="11" customFormat="1" x14ac:dyDescent="0.2">
      <c r="A122" s="6"/>
      <c r="B122" s="6"/>
      <c r="C122" s="6"/>
      <c r="D122" s="6"/>
      <c r="E122" s="6"/>
      <c r="F122" s="8"/>
      <c r="G122" s="14"/>
      <c r="J122" s="6"/>
      <c r="K122" s="6"/>
    </row>
    <row r="123" spans="1:11" s="11" customFormat="1" x14ac:dyDescent="0.2">
      <c r="A123" s="6"/>
      <c r="B123" s="6"/>
      <c r="C123" s="6"/>
      <c r="D123" s="6"/>
      <c r="E123" s="6"/>
      <c r="F123" s="8"/>
      <c r="G123" s="14"/>
      <c r="J123" s="6"/>
      <c r="K123" s="6"/>
    </row>
    <row r="124" spans="1:11" s="11" customFormat="1" x14ac:dyDescent="0.2">
      <c r="A124" s="6"/>
      <c r="B124" s="6"/>
      <c r="C124" s="6"/>
      <c r="D124" s="6"/>
      <c r="E124" s="6"/>
      <c r="F124" s="8"/>
      <c r="G124" s="14"/>
      <c r="J124" s="6"/>
      <c r="K124" s="6"/>
    </row>
    <row r="125" spans="1:11" s="11" customFormat="1" x14ac:dyDescent="0.2">
      <c r="A125" s="6"/>
      <c r="B125" s="6"/>
      <c r="C125" s="6"/>
      <c r="D125" s="6"/>
      <c r="E125" s="6"/>
      <c r="F125" s="8"/>
      <c r="G125" s="14"/>
      <c r="J125" s="6"/>
      <c r="K125" s="6"/>
    </row>
    <row r="126" spans="1:11" s="11" customFormat="1" x14ac:dyDescent="0.2">
      <c r="A126" s="6"/>
      <c r="B126" s="6"/>
      <c r="C126" s="6"/>
      <c r="D126" s="6"/>
      <c r="E126" s="6"/>
      <c r="F126" s="8"/>
      <c r="G126" s="14"/>
      <c r="J126" s="6"/>
      <c r="K126" s="6"/>
    </row>
    <row r="127" spans="1:11" s="11" customFormat="1" x14ac:dyDescent="0.2">
      <c r="A127" s="6"/>
      <c r="B127" s="6"/>
      <c r="C127" s="6"/>
      <c r="D127" s="6"/>
      <c r="E127" s="6"/>
      <c r="F127" s="8"/>
      <c r="G127" s="14"/>
      <c r="J127" s="6"/>
      <c r="K127" s="6"/>
    </row>
    <row r="128" spans="1:11" s="11" customFormat="1" x14ac:dyDescent="0.2">
      <c r="A128" s="6"/>
      <c r="B128" s="6"/>
      <c r="C128" s="6"/>
      <c r="D128" s="6"/>
      <c r="E128" s="6"/>
      <c r="F128" s="8"/>
      <c r="G128" s="14"/>
      <c r="J128" s="6"/>
      <c r="K128" s="6"/>
    </row>
    <row r="129" spans="1:11" s="11" customFormat="1" x14ac:dyDescent="0.2">
      <c r="A129" s="6"/>
      <c r="B129" s="6"/>
      <c r="C129" s="6"/>
      <c r="D129" s="6"/>
      <c r="E129" s="6"/>
      <c r="F129" s="8"/>
      <c r="G129" s="14"/>
      <c r="J129" s="6"/>
      <c r="K129" s="6"/>
    </row>
    <row r="130" spans="1:11" s="11" customFormat="1" x14ac:dyDescent="0.2">
      <c r="A130" s="6"/>
      <c r="B130" s="6"/>
      <c r="C130" s="6"/>
      <c r="D130" s="6"/>
      <c r="E130" s="6"/>
      <c r="F130" s="8"/>
      <c r="G130" s="14"/>
      <c r="J130" s="6"/>
      <c r="K130" s="6"/>
    </row>
    <row r="131" spans="1:11" s="11" customFormat="1" x14ac:dyDescent="0.2">
      <c r="A131" s="6"/>
      <c r="B131" s="6"/>
      <c r="C131" s="6"/>
      <c r="D131" s="6"/>
      <c r="E131" s="6"/>
      <c r="F131" s="8"/>
      <c r="G131" s="14"/>
      <c r="J131" s="6"/>
      <c r="K131" s="6"/>
    </row>
    <row r="132" spans="1:11" s="11" customFormat="1" x14ac:dyDescent="0.2">
      <c r="A132" s="6"/>
      <c r="B132" s="6"/>
      <c r="C132" s="6"/>
      <c r="D132" s="6"/>
      <c r="E132" s="6"/>
      <c r="F132" s="8"/>
      <c r="G132" s="14"/>
      <c r="J132" s="6"/>
      <c r="K132" s="6"/>
    </row>
    <row r="133" spans="1:11" s="11" customFormat="1" x14ac:dyDescent="0.2">
      <c r="A133" s="6"/>
      <c r="B133" s="6"/>
      <c r="C133" s="6"/>
      <c r="D133" s="6"/>
      <c r="E133" s="6"/>
      <c r="F133" s="8"/>
      <c r="G133" s="14"/>
      <c r="J133" s="6"/>
      <c r="K133" s="6"/>
    </row>
    <row r="134" spans="1:11" s="11" customFormat="1" x14ac:dyDescent="0.2">
      <c r="A134" s="6"/>
      <c r="B134" s="6"/>
      <c r="C134" s="6"/>
      <c r="D134" s="6"/>
      <c r="E134" s="6"/>
      <c r="F134" s="8"/>
      <c r="G134" s="14"/>
      <c r="J134" s="6"/>
      <c r="K134" s="6"/>
    </row>
    <row r="135" spans="1:11" s="11" customFormat="1" x14ac:dyDescent="0.2">
      <c r="A135" s="6"/>
      <c r="B135" s="6"/>
      <c r="C135" s="6"/>
      <c r="D135" s="6"/>
      <c r="E135" s="6"/>
      <c r="F135" s="8"/>
      <c r="G135" s="14"/>
      <c r="J135" s="6"/>
      <c r="K135" s="6"/>
    </row>
    <row r="136" spans="1:11" s="11" customFormat="1" x14ac:dyDescent="0.2">
      <c r="A136" s="6"/>
      <c r="B136" s="6"/>
      <c r="C136" s="6"/>
      <c r="D136" s="6"/>
      <c r="E136" s="6"/>
      <c r="F136" s="8"/>
      <c r="G136" s="14"/>
      <c r="J136" s="6"/>
      <c r="K136" s="6"/>
    </row>
    <row r="137" spans="1:11" s="11" customFormat="1" x14ac:dyDescent="0.2">
      <c r="A137" s="6"/>
      <c r="B137" s="6"/>
      <c r="C137" s="6"/>
      <c r="D137" s="6"/>
      <c r="E137" s="6"/>
      <c r="F137" s="8"/>
      <c r="G137" s="14"/>
      <c r="J137" s="6"/>
      <c r="K137" s="6"/>
    </row>
    <row r="138" spans="1:11" s="11" customFormat="1" x14ac:dyDescent="0.2">
      <c r="A138" s="6"/>
      <c r="B138" s="6"/>
      <c r="C138" s="6"/>
      <c r="D138" s="6"/>
      <c r="E138" s="6"/>
      <c r="F138" s="8"/>
      <c r="G138" s="14"/>
      <c r="J138" s="6"/>
      <c r="K138" s="6"/>
    </row>
    <row r="139" spans="1:11" s="11" customFormat="1" x14ac:dyDescent="0.2">
      <c r="A139" s="6"/>
      <c r="B139" s="6"/>
      <c r="C139" s="6"/>
      <c r="D139" s="6"/>
      <c r="E139" s="6"/>
      <c r="F139" s="8"/>
      <c r="G139" s="14"/>
      <c r="J139" s="6"/>
      <c r="K139" s="6"/>
    </row>
    <row r="140" spans="1:11" s="11" customFormat="1" x14ac:dyDescent="0.2">
      <c r="A140" s="6"/>
      <c r="B140" s="6"/>
      <c r="C140" s="6"/>
      <c r="D140" s="6"/>
      <c r="E140" s="6"/>
      <c r="F140" s="8"/>
      <c r="G140" s="14"/>
      <c r="J140" s="6"/>
      <c r="K140" s="6"/>
    </row>
    <row r="141" spans="1:11" s="11" customFormat="1" x14ac:dyDescent="0.2">
      <c r="A141" s="6"/>
      <c r="B141" s="6"/>
      <c r="C141" s="6"/>
      <c r="D141" s="6"/>
      <c r="E141" s="6"/>
      <c r="F141" s="8"/>
      <c r="G141" s="14"/>
      <c r="J141" s="6"/>
      <c r="K141" s="6"/>
    </row>
    <row r="142" spans="1:11" s="11" customFormat="1" x14ac:dyDescent="0.2">
      <c r="A142" s="6"/>
      <c r="B142" s="6"/>
      <c r="C142" s="6"/>
      <c r="D142" s="6"/>
      <c r="E142" s="6"/>
      <c r="F142" s="8"/>
      <c r="G142" s="14"/>
      <c r="J142" s="6"/>
      <c r="K142" s="6"/>
    </row>
    <row r="143" spans="1:11" s="11" customFormat="1" x14ac:dyDescent="0.2">
      <c r="A143" s="6"/>
      <c r="B143" s="6"/>
      <c r="C143" s="6"/>
      <c r="D143" s="6"/>
      <c r="E143" s="6"/>
      <c r="F143" s="8"/>
      <c r="G143" s="14"/>
      <c r="J143" s="6"/>
      <c r="K143" s="6"/>
    </row>
    <row r="144" spans="1:11" s="11" customFormat="1" x14ac:dyDescent="0.2">
      <c r="A144" s="6"/>
      <c r="B144" s="6"/>
      <c r="C144" s="6"/>
      <c r="D144" s="6"/>
      <c r="E144" s="6"/>
      <c r="F144" s="8"/>
      <c r="G144" s="14"/>
      <c r="J144" s="6"/>
      <c r="K144" s="6"/>
    </row>
    <row r="145" spans="1:11" s="11" customFormat="1" x14ac:dyDescent="0.2">
      <c r="A145" s="6"/>
      <c r="B145" s="6"/>
      <c r="C145" s="6"/>
      <c r="D145" s="6"/>
      <c r="E145" s="6"/>
      <c r="F145" s="8"/>
      <c r="G145" s="14"/>
      <c r="J145" s="6"/>
      <c r="K145" s="6"/>
    </row>
    <row r="146" spans="1:11" s="11" customFormat="1" x14ac:dyDescent="0.2">
      <c r="A146" s="6"/>
      <c r="B146" s="6"/>
      <c r="C146" s="6"/>
      <c r="D146" s="6"/>
      <c r="E146" s="6"/>
      <c r="F146" s="8"/>
      <c r="G146" s="14"/>
      <c r="J146" s="6"/>
      <c r="K146" s="6"/>
    </row>
    <row r="147" spans="1:11" s="11" customFormat="1" x14ac:dyDescent="0.2">
      <c r="A147" s="6"/>
      <c r="B147" s="6"/>
      <c r="C147" s="6"/>
      <c r="D147" s="6"/>
      <c r="E147" s="6"/>
      <c r="F147" s="8"/>
      <c r="G147" s="14"/>
      <c r="J147" s="6"/>
      <c r="K147" s="6"/>
    </row>
    <row r="148" spans="1:11" s="11" customFormat="1" x14ac:dyDescent="0.2">
      <c r="A148" s="6"/>
      <c r="B148" s="6"/>
      <c r="C148" s="6"/>
      <c r="D148" s="6"/>
      <c r="E148" s="6"/>
      <c r="F148" s="8"/>
      <c r="G148" s="14"/>
      <c r="J148" s="6"/>
      <c r="K148" s="6"/>
    </row>
    <row r="149" spans="1:11" s="11" customFormat="1" x14ac:dyDescent="0.2">
      <c r="A149" s="6"/>
      <c r="B149" s="6"/>
      <c r="C149" s="6"/>
      <c r="D149" s="6"/>
      <c r="E149" s="6"/>
      <c r="F149" s="8"/>
      <c r="G149" s="14"/>
      <c r="J149" s="6"/>
      <c r="K149" s="6"/>
    </row>
    <row r="150" spans="1:11" s="11" customFormat="1" x14ac:dyDescent="0.2">
      <c r="A150" s="6"/>
      <c r="B150" s="6"/>
      <c r="C150" s="6"/>
      <c r="D150" s="6"/>
      <c r="E150" s="6"/>
      <c r="F150" s="8"/>
      <c r="G150" s="14"/>
      <c r="J150" s="6"/>
      <c r="K150" s="6"/>
    </row>
    <row r="151" spans="1:11" s="11" customFormat="1" x14ac:dyDescent="0.2">
      <c r="A151" s="6"/>
      <c r="B151" s="6"/>
      <c r="C151" s="6"/>
      <c r="D151" s="6"/>
      <c r="E151" s="6"/>
      <c r="F151" s="8"/>
      <c r="G151" s="14"/>
      <c r="J151" s="6"/>
      <c r="K151" s="6"/>
    </row>
    <row r="152" spans="1:11" s="11" customFormat="1" x14ac:dyDescent="0.2">
      <c r="A152" s="6"/>
      <c r="B152" s="6"/>
      <c r="C152" s="6"/>
      <c r="D152" s="6"/>
      <c r="E152" s="6"/>
      <c r="F152" s="8"/>
      <c r="G152" s="14"/>
      <c r="J152" s="6"/>
      <c r="K152" s="6"/>
    </row>
    <row r="153" spans="1:11" s="11" customFormat="1" x14ac:dyDescent="0.2">
      <c r="A153" s="6"/>
      <c r="B153" s="6"/>
      <c r="C153" s="6"/>
      <c r="D153" s="6"/>
      <c r="E153" s="6"/>
      <c r="F153" s="8"/>
      <c r="G153" s="14"/>
      <c r="J153" s="6"/>
      <c r="K153" s="6"/>
    </row>
    <row r="154" spans="1:11" s="11" customFormat="1" x14ac:dyDescent="0.2">
      <c r="A154" s="6"/>
      <c r="B154" s="6"/>
      <c r="C154" s="6"/>
      <c r="D154" s="6"/>
      <c r="E154" s="6"/>
      <c r="F154" s="8"/>
      <c r="G154" s="14"/>
      <c r="J154" s="6"/>
      <c r="K154" s="6"/>
    </row>
    <row r="155" spans="1:11" s="11" customFormat="1" x14ac:dyDescent="0.2">
      <c r="A155" s="6"/>
      <c r="B155" s="6"/>
      <c r="C155" s="6"/>
      <c r="D155" s="6"/>
      <c r="E155" s="6"/>
      <c r="F155" s="8"/>
      <c r="G155" s="14"/>
      <c r="J155" s="6"/>
      <c r="K155" s="6"/>
    </row>
    <row r="156" spans="1:11" s="11" customFormat="1" x14ac:dyDescent="0.2">
      <c r="A156" s="6"/>
      <c r="B156" s="6"/>
      <c r="C156" s="6"/>
      <c r="D156" s="6"/>
      <c r="E156" s="6"/>
      <c r="F156" s="8"/>
      <c r="G156" s="14"/>
      <c r="J156" s="6"/>
      <c r="K156" s="6"/>
    </row>
    <row r="157" spans="1:11" s="11" customFormat="1" x14ac:dyDescent="0.2">
      <c r="A157" s="6"/>
      <c r="B157" s="6"/>
      <c r="C157" s="6"/>
      <c r="D157" s="6"/>
      <c r="E157" s="6"/>
      <c r="F157" s="8"/>
      <c r="G157" s="14"/>
      <c r="J157" s="6"/>
      <c r="K157" s="6"/>
    </row>
    <row r="158" spans="1:11" s="11" customFormat="1" x14ac:dyDescent="0.2">
      <c r="A158" s="6"/>
      <c r="B158" s="6"/>
      <c r="C158" s="6"/>
      <c r="D158" s="6"/>
      <c r="E158" s="6"/>
      <c r="F158" s="8"/>
      <c r="G158" s="14"/>
      <c r="J158" s="6"/>
      <c r="K158" s="6"/>
    </row>
    <row r="159" spans="1:11" s="11" customFormat="1" x14ac:dyDescent="0.2">
      <c r="A159" s="6"/>
      <c r="B159" s="6"/>
      <c r="C159" s="6"/>
      <c r="D159" s="6"/>
      <c r="E159" s="6"/>
      <c r="F159" s="8"/>
      <c r="G159" s="14"/>
      <c r="J159" s="6"/>
      <c r="K159" s="6"/>
    </row>
    <row r="160" spans="1:11" s="11" customFormat="1" x14ac:dyDescent="0.2">
      <c r="A160" s="6"/>
      <c r="B160" s="6"/>
      <c r="C160" s="6"/>
      <c r="D160" s="6"/>
      <c r="E160" s="6"/>
      <c r="F160" s="8"/>
      <c r="G160" s="14"/>
      <c r="J160" s="6"/>
      <c r="K160" s="6"/>
    </row>
    <row r="161" spans="1:11" s="11" customFormat="1" x14ac:dyDescent="0.2">
      <c r="A161" s="6"/>
      <c r="B161" s="6"/>
      <c r="C161" s="6"/>
      <c r="D161" s="6"/>
      <c r="E161" s="6"/>
      <c r="F161" s="8"/>
      <c r="G161" s="14"/>
      <c r="J161" s="6"/>
      <c r="K161" s="6"/>
    </row>
    <row r="162" spans="1:11" s="11" customFormat="1" x14ac:dyDescent="0.2">
      <c r="A162" s="6"/>
      <c r="B162" s="6"/>
      <c r="C162" s="6"/>
      <c r="D162" s="6"/>
      <c r="E162" s="6"/>
      <c r="F162" s="8"/>
      <c r="G162" s="14"/>
      <c r="J162" s="6"/>
      <c r="K162" s="6"/>
    </row>
    <row r="163" spans="1:11" s="11" customFormat="1" x14ac:dyDescent="0.2">
      <c r="A163" s="6"/>
      <c r="B163" s="6"/>
      <c r="C163" s="6"/>
      <c r="D163" s="6"/>
      <c r="E163" s="6"/>
      <c r="F163" s="8"/>
      <c r="G163" s="14"/>
      <c r="J163" s="6"/>
      <c r="K163" s="6"/>
    </row>
    <row r="164" spans="1:11" s="11" customFormat="1" x14ac:dyDescent="0.2">
      <c r="A164" s="6"/>
      <c r="B164" s="6"/>
      <c r="C164" s="6"/>
      <c r="D164" s="6"/>
      <c r="E164" s="6"/>
      <c r="F164" s="8"/>
      <c r="G164" s="14"/>
      <c r="J164" s="6"/>
      <c r="K164" s="6"/>
    </row>
    <row r="165" spans="1:11" s="11" customFormat="1" x14ac:dyDescent="0.2">
      <c r="A165" s="6"/>
      <c r="B165" s="6"/>
      <c r="C165" s="6"/>
      <c r="D165" s="6"/>
      <c r="E165" s="6"/>
      <c r="F165" s="8"/>
      <c r="G165" s="14"/>
      <c r="J165" s="6"/>
      <c r="K165" s="6"/>
    </row>
    <row r="166" spans="1:11" s="11" customFormat="1" x14ac:dyDescent="0.2">
      <c r="A166" s="6"/>
      <c r="B166" s="6"/>
      <c r="C166" s="6"/>
      <c r="D166" s="6"/>
      <c r="E166" s="6"/>
      <c r="F166" s="8"/>
      <c r="G166" s="14"/>
      <c r="J166" s="6"/>
      <c r="K166" s="6"/>
    </row>
    <row r="167" spans="1:11" s="11" customFormat="1" x14ac:dyDescent="0.2">
      <c r="A167" s="6"/>
      <c r="B167" s="6"/>
      <c r="C167" s="6"/>
      <c r="D167" s="6"/>
      <c r="E167" s="6"/>
      <c r="F167" s="8"/>
      <c r="G167" s="14"/>
      <c r="J167" s="6"/>
      <c r="K167" s="6"/>
    </row>
    <row r="168" spans="1:11" s="11" customFormat="1" x14ac:dyDescent="0.2">
      <c r="A168" s="6"/>
      <c r="B168" s="6"/>
      <c r="C168" s="6"/>
      <c r="D168" s="6"/>
      <c r="E168" s="6"/>
      <c r="F168" s="8"/>
      <c r="G168" s="14"/>
      <c r="J168" s="6"/>
      <c r="K168" s="6"/>
    </row>
    <row r="169" spans="1:11" s="11" customFormat="1" x14ac:dyDescent="0.2">
      <c r="A169" s="6"/>
      <c r="B169" s="6"/>
      <c r="C169" s="6"/>
      <c r="D169" s="6"/>
      <c r="E169" s="6"/>
      <c r="F169" s="8"/>
      <c r="G169" s="14"/>
      <c r="J169" s="6"/>
      <c r="K169" s="6"/>
    </row>
    <row r="170" spans="1:11" s="11" customFormat="1" x14ac:dyDescent="0.2">
      <c r="A170" s="6"/>
      <c r="B170" s="6"/>
      <c r="C170" s="6"/>
      <c r="D170" s="6"/>
      <c r="E170" s="6"/>
      <c r="F170" s="8"/>
      <c r="G170" s="14"/>
      <c r="J170" s="6"/>
      <c r="K170" s="6"/>
    </row>
    <row r="171" spans="1:11" s="11" customFormat="1" x14ac:dyDescent="0.2">
      <c r="A171" s="6"/>
      <c r="B171" s="6"/>
      <c r="C171" s="6"/>
      <c r="D171" s="6"/>
      <c r="E171" s="6"/>
      <c r="F171" s="8"/>
      <c r="G171" s="14"/>
      <c r="J171" s="6"/>
      <c r="K171" s="6"/>
    </row>
    <row r="172" spans="1:11" s="11" customFormat="1" x14ac:dyDescent="0.2">
      <c r="A172" s="6"/>
      <c r="B172" s="6"/>
      <c r="C172" s="6"/>
      <c r="D172" s="6"/>
      <c r="E172" s="6"/>
      <c r="F172" s="8"/>
      <c r="G172" s="14"/>
      <c r="J172" s="6"/>
      <c r="K172" s="6"/>
    </row>
    <row r="173" spans="1:11" s="11" customFormat="1" x14ac:dyDescent="0.2">
      <c r="A173" s="6"/>
      <c r="B173" s="6"/>
      <c r="C173" s="6"/>
      <c r="D173" s="6"/>
      <c r="E173" s="6"/>
      <c r="F173" s="8"/>
      <c r="G173" s="14"/>
      <c r="J173" s="6"/>
      <c r="K173" s="6"/>
    </row>
    <row r="174" spans="1:11" s="11" customFormat="1" x14ac:dyDescent="0.2">
      <c r="A174" s="6"/>
      <c r="B174" s="6"/>
      <c r="C174" s="6"/>
      <c r="D174" s="6"/>
      <c r="E174" s="6"/>
      <c r="F174" s="8"/>
      <c r="G174" s="14"/>
      <c r="J174" s="6"/>
      <c r="K174" s="6"/>
    </row>
    <row r="175" spans="1:11" s="11" customFormat="1" x14ac:dyDescent="0.2">
      <c r="A175" s="6"/>
      <c r="B175" s="6"/>
      <c r="C175" s="6"/>
      <c r="D175" s="6"/>
      <c r="E175" s="6"/>
      <c r="F175" s="8"/>
      <c r="G175" s="14"/>
      <c r="J175" s="6"/>
      <c r="K175" s="6"/>
    </row>
    <row r="176" spans="1:11" s="11" customFormat="1" x14ac:dyDescent="0.2">
      <c r="A176" s="6"/>
      <c r="B176" s="6"/>
      <c r="C176" s="6"/>
      <c r="D176" s="6"/>
      <c r="E176" s="6"/>
      <c r="F176" s="8"/>
      <c r="G176" s="14"/>
      <c r="J176" s="6"/>
      <c r="K176" s="6"/>
    </row>
    <row r="177" spans="1:11" s="11" customFormat="1" x14ac:dyDescent="0.2">
      <c r="A177" s="6"/>
      <c r="B177" s="6"/>
      <c r="C177" s="6"/>
      <c r="D177" s="6"/>
      <c r="E177" s="6"/>
      <c r="F177" s="8"/>
      <c r="G177" s="14"/>
      <c r="J177" s="6"/>
      <c r="K177" s="6"/>
    </row>
    <row r="178" spans="1:11" s="11" customFormat="1" x14ac:dyDescent="0.2">
      <c r="A178" s="6"/>
      <c r="B178" s="6"/>
      <c r="C178" s="6"/>
      <c r="D178" s="6"/>
      <c r="E178" s="6"/>
      <c r="F178" s="8"/>
      <c r="G178" s="14"/>
      <c r="J178" s="6"/>
      <c r="K178" s="6"/>
    </row>
    <row r="179" spans="1:11" s="11" customFormat="1" x14ac:dyDescent="0.2">
      <c r="A179" s="6"/>
      <c r="B179" s="6"/>
      <c r="C179" s="6"/>
      <c r="D179" s="6"/>
      <c r="E179" s="6"/>
      <c r="F179" s="8"/>
      <c r="G179" s="14"/>
      <c r="J179" s="6"/>
      <c r="K179" s="6"/>
    </row>
    <row r="180" spans="1:11" s="11" customFormat="1" x14ac:dyDescent="0.2">
      <c r="A180" s="6"/>
      <c r="B180" s="6"/>
      <c r="C180" s="6"/>
      <c r="D180" s="6"/>
      <c r="E180" s="6"/>
      <c r="F180" s="8"/>
      <c r="G180" s="14"/>
      <c r="J180" s="6"/>
      <c r="K180" s="6"/>
    </row>
    <row r="181" spans="1:11" s="11" customFormat="1" x14ac:dyDescent="0.2">
      <c r="A181" s="6"/>
      <c r="B181" s="6"/>
      <c r="C181" s="6"/>
      <c r="D181" s="6"/>
      <c r="E181" s="6"/>
      <c r="F181" s="8"/>
      <c r="G181" s="14"/>
      <c r="J181" s="6"/>
      <c r="K181" s="6"/>
    </row>
    <row r="182" spans="1:11" s="11" customFormat="1" x14ac:dyDescent="0.2">
      <c r="A182" s="6"/>
      <c r="B182" s="6"/>
      <c r="C182" s="6"/>
      <c r="D182" s="6"/>
      <c r="E182" s="6"/>
      <c r="F182" s="8"/>
      <c r="G182" s="14"/>
      <c r="J182" s="6"/>
      <c r="K182" s="6"/>
    </row>
    <row r="183" spans="1:11" s="11" customFormat="1" x14ac:dyDescent="0.2">
      <c r="A183" s="6"/>
      <c r="B183" s="6"/>
      <c r="C183" s="6"/>
      <c r="D183" s="6"/>
      <c r="E183" s="6"/>
      <c r="F183" s="8"/>
      <c r="G183" s="14"/>
      <c r="J183" s="6"/>
      <c r="K183" s="6"/>
    </row>
    <row r="184" spans="1:11" s="11" customFormat="1" x14ac:dyDescent="0.2">
      <c r="A184" s="6"/>
      <c r="B184" s="6"/>
      <c r="C184" s="6"/>
      <c r="D184" s="6"/>
      <c r="E184" s="6"/>
      <c r="F184" s="8"/>
      <c r="G184" s="14"/>
      <c r="J184" s="6"/>
      <c r="K184" s="6"/>
    </row>
    <row r="185" spans="1:11" s="11" customFormat="1" x14ac:dyDescent="0.2">
      <c r="A185" s="6"/>
      <c r="B185" s="6"/>
      <c r="C185" s="6"/>
      <c r="D185" s="6"/>
      <c r="E185" s="6"/>
      <c r="F185" s="8"/>
      <c r="G185" s="14"/>
      <c r="J185" s="6"/>
      <c r="K185" s="6"/>
    </row>
    <row r="186" spans="1:11" s="11" customFormat="1" x14ac:dyDescent="0.2">
      <c r="A186" s="6"/>
      <c r="B186" s="6"/>
      <c r="C186" s="6"/>
      <c r="D186" s="6"/>
      <c r="E186" s="6"/>
      <c r="F186" s="8"/>
      <c r="G186" s="14"/>
      <c r="J186" s="6"/>
      <c r="K186" s="6"/>
    </row>
    <row r="187" spans="1:11" s="11" customFormat="1" x14ac:dyDescent="0.2">
      <c r="A187" s="6"/>
      <c r="B187" s="6"/>
      <c r="C187" s="6"/>
      <c r="D187" s="6"/>
      <c r="E187" s="6"/>
      <c r="F187" s="8"/>
      <c r="G187" s="14"/>
      <c r="J187" s="6"/>
      <c r="K187" s="6"/>
    </row>
    <row r="188" spans="1:11" s="11" customFormat="1" x14ac:dyDescent="0.2">
      <c r="A188" s="6"/>
      <c r="B188" s="6"/>
      <c r="C188" s="6"/>
      <c r="D188" s="6"/>
      <c r="E188" s="6"/>
      <c r="F188" s="8"/>
      <c r="G188" s="14"/>
      <c r="J188" s="6"/>
      <c r="K188" s="6"/>
    </row>
    <row r="189" spans="1:11" s="11" customFormat="1" x14ac:dyDescent="0.2">
      <c r="A189" s="6"/>
      <c r="B189" s="6"/>
      <c r="C189" s="6"/>
      <c r="D189" s="6"/>
      <c r="E189" s="6"/>
      <c r="F189" s="8"/>
      <c r="G189" s="14"/>
      <c r="J189" s="6"/>
      <c r="K189" s="6"/>
    </row>
    <row r="190" spans="1:11" s="11" customFormat="1" x14ac:dyDescent="0.2">
      <c r="A190" s="6"/>
      <c r="B190" s="6"/>
      <c r="C190" s="6"/>
      <c r="D190" s="6"/>
      <c r="E190" s="6"/>
      <c r="F190" s="8"/>
      <c r="G190" s="14"/>
      <c r="J190" s="6"/>
      <c r="K190" s="6"/>
    </row>
    <row r="191" spans="1:11" s="11" customFormat="1" x14ac:dyDescent="0.2">
      <c r="A191" s="6"/>
      <c r="B191" s="6"/>
      <c r="C191" s="6"/>
      <c r="D191" s="6"/>
      <c r="E191" s="6"/>
      <c r="F191" s="8"/>
      <c r="G191" s="14"/>
      <c r="J191" s="6"/>
      <c r="K191" s="6"/>
    </row>
    <row r="192" spans="1:11" s="11" customFormat="1" x14ac:dyDescent="0.2">
      <c r="A192" s="6"/>
      <c r="B192" s="6"/>
      <c r="C192" s="6"/>
      <c r="D192" s="6"/>
      <c r="E192" s="6"/>
      <c r="F192" s="8"/>
      <c r="G192" s="14"/>
      <c r="J192" s="6"/>
      <c r="K192" s="6"/>
    </row>
    <row r="193" spans="1:11" s="11" customFormat="1" x14ac:dyDescent="0.2">
      <c r="A193" s="6"/>
      <c r="B193" s="6"/>
      <c r="C193" s="6"/>
      <c r="D193" s="6"/>
      <c r="E193" s="6"/>
      <c r="F193" s="8"/>
      <c r="G193" s="14"/>
      <c r="J193" s="6"/>
      <c r="K193" s="6"/>
    </row>
    <row r="194" spans="1:11" s="11" customFormat="1" x14ac:dyDescent="0.2">
      <c r="A194" s="6"/>
      <c r="B194" s="6"/>
      <c r="C194" s="6"/>
      <c r="D194" s="6"/>
      <c r="E194" s="6"/>
      <c r="F194" s="8"/>
      <c r="G194" s="14"/>
      <c r="J194" s="6"/>
      <c r="K194" s="6"/>
    </row>
    <row r="195" spans="1:11" s="11" customFormat="1" x14ac:dyDescent="0.2">
      <c r="A195" s="6"/>
      <c r="B195" s="6"/>
      <c r="C195" s="6"/>
      <c r="D195" s="6"/>
      <c r="E195" s="6"/>
      <c r="F195" s="8"/>
      <c r="G195" s="14"/>
      <c r="J195" s="6"/>
      <c r="K195" s="6"/>
    </row>
    <row r="196" spans="1:11" s="11" customFormat="1" x14ac:dyDescent="0.2">
      <c r="A196" s="6"/>
      <c r="B196" s="6"/>
      <c r="C196" s="6"/>
      <c r="D196" s="6"/>
      <c r="E196" s="6"/>
      <c r="F196" s="8"/>
      <c r="G196" s="14"/>
      <c r="J196" s="6"/>
      <c r="K196" s="6"/>
    </row>
    <row r="197" spans="1:11" s="11" customFormat="1" x14ac:dyDescent="0.2">
      <c r="A197" s="6"/>
      <c r="B197" s="6"/>
      <c r="C197" s="6"/>
      <c r="D197" s="6"/>
      <c r="E197" s="6"/>
      <c r="F197" s="8"/>
      <c r="G197" s="14"/>
      <c r="J197" s="6"/>
      <c r="K197" s="6"/>
    </row>
    <row r="198" spans="1:11" s="11" customFormat="1" x14ac:dyDescent="0.2">
      <c r="A198" s="6"/>
      <c r="B198" s="6"/>
      <c r="C198" s="6"/>
      <c r="D198" s="6"/>
      <c r="E198" s="6"/>
      <c r="F198" s="8"/>
      <c r="G198" s="14"/>
      <c r="J198" s="6"/>
      <c r="K198" s="6"/>
    </row>
    <row r="199" spans="1:11" s="11" customFormat="1" x14ac:dyDescent="0.2">
      <c r="A199" s="6"/>
      <c r="B199" s="6"/>
      <c r="C199" s="6"/>
      <c r="D199" s="6"/>
      <c r="E199" s="6"/>
      <c r="F199" s="8"/>
      <c r="G199" s="14"/>
      <c r="J199" s="6"/>
      <c r="K199" s="6"/>
    </row>
    <row r="200" spans="1:11" s="11" customFormat="1" x14ac:dyDescent="0.2">
      <c r="A200" s="6"/>
      <c r="B200" s="6"/>
      <c r="C200" s="6"/>
      <c r="D200" s="6"/>
      <c r="E200" s="6"/>
      <c r="F200" s="8"/>
      <c r="G200" s="14"/>
      <c r="J200" s="6"/>
      <c r="K200" s="6"/>
    </row>
    <row r="201" spans="1:11" s="11" customFormat="1" x14ac:dyDescent="0.2">
      <c r="A201" s="6"/>
      <c r="B201" s="6"/>
      <c r="C201" s="6"/>
      <c r="D201" s="6"/>
      <c r="E201" s="6"/>
      <c r="F201" s="8"/>
      <c r="G201" s="14"/>
      <c r="J201" s="6"/>
      <c r="K201" s="6"/>
    </row>
    <row r="202" spans="1:11" s="11" customFormat="1" x14ac:dyDescent="0.2">
      <c r="A202" s="6"/>
      <c r="B202" s="6"/>
      <c r="C202" s="6"/>
      <c r="D202" s="6"/>
      <c r="E202" s="6"/>
      <c r="F202" s="8"/>
      <c r="G202" s="14"/>
      <c r="J202" s="6"/>
      <c r="K202" s="6"/>
    </row>
    <row r="203" spans="1:11" s="11" customFormat="1" x14ac:dyDescent="0.2">
      <c r="A203" s="6"/>
      <c r="B203" s="6"/>
      <c r="C203" s="6"/>
      <c r="D203" s="6"/>
      <c r="E203" s="6"/>
      <c r="F203" s="8"/>
      <c r="G203" s="14"/>
      <c r="J203" s="6"/>
      <c r="K203" s="6"/>
    </row>
    <row r="204" spans="1:11" s="11" customFormat="1" x14ac:dyDescent="0.2">
      <c r="A204" s="6"/>
      <c r="B204" s="6"/>
      <c r="C204" s="6"/>
      <c r="D204" s="6"/>
      <c r="E204" s="6"/>
      <c r="F204" s="8"/>
      <c r="G204" s="14"/>
      <c r="J204" s="6"/>
      <c r="K204" s="6"/>
    </row>
    <row r="205" spans="1:11" s="11" customFormat="1" x14ac:dyDescent="0.2">
      <c r="A205" s="6"/>
      <c r="B205" s="6"/>
      <c r="C205" s="6"/>
      <c r="D205" s="6"/>
      <c r="E205" s="6"/>
      <c r="F205" s="8"/>
      <c r="G205" s="14"/>
      <c r="J205" s="6"/>
      <c r="K205" s="6"/>
    </row>
    <row r="206" spans="1:11" s="11" customFormat="1" x14ac:dyDescent="0.2">
      <c r="A206" s="6"/>
      <c r="B206" s="6"/>
      <c r="C206" s="6"/>
      <c r="D206" s="6"/>
      <c r="E206" s="6"/>
      <c r="F206" s="8"/>
      <c r="G206" s="14"/>
      <c r="J206" s="6"/>
      <c r="K206" s="6"/>
    </row>
    <row r="207" spans="1:11" s="11" customFormat="1" x14ac:dyDescent="0.2">
      <c r="A207" s="6"/>
      <c r="B207" s="6"/>
      <c r="C207" s="6"/>
      <c r="D207" s="6"/>
      <c r="E207" s="6"/>
      <c r="F207" s="8"/>
      <c r="G207" s="14"/>
      <c r="J207" s="6"/>
      <c r="K207" s="6"/>
    </row>
    <row r="208" spans="1:11" s="11" customFormat="1" x14ac:dyDescent="0.2">
      <c r="A208" s="6"/>
      <c r="B208" s="6"/>
      <c r="C208" s="6"/>
      <c r="D208" s="6"/>
      <c r="E208" s="6"/>
      <c r="F208" s="8"/>
      <c r="G208" s="14"/>
      <c r="J208" s="6"/>
      <c r="K208" s="6"/>
    </row>
    <row r="209" spans="1:11" s="11" customFormat="1" x14ac:dyDescent="0.2">
      <c r="A209" s="6"/>
      <c r="B209" s="6"/>
      <c r="C209" s="6"/>
      <c r="D209" s="6"/>
      <c r="E209" s="6"/>
      <c r="F209" s="8"/>
      <c r="G209" s="14"/>
      <c r="J209" s="6"/>
      <c r="K209" s="6"/>
    </row>
    <row r="210" spans="1:11" s="11" customFormat="1" x14ac:dyDescent="0.2">
      <c r="A210" s="6"/>
      <c r="B210" s="6"/>
      <c r="C210" s="6"/>
      <c r="D210" s="6"/>
      <c r="E210" s="6"/>
      <c r="F210" s="8"/>
      <c r="G210" s="14"/>
      <c r="J210" s="6"/>
      <c r="K210" s="6"/>
    </row>
    <row r="211" spans="1:11" s="11" customFormat="1" x14ac:dyDescent="0.2">
      <c r="A211" s="6"/>
      <c r="B211" s="6"/>
      <c r="C211" s="6"/>
      <c r="D211" s="6"/>
      <c r="E211" s="6"/>
      <c r="F211" s="8"/>
      <c r="G211" s="14"/>
      <c r="J211" s="6"/>
      <c r="K211" s="6"/>
    </row>
    <row r="212" spans="1:11" s="11" customFormat="1" x14ac:dyDescent="0.2">
      <c r="A212" s="6"/>
      <c r="B212" s="6"/>
      <c r="C212" s="6"/>
      <c r="D212" s="6"/>
      <c r="E212" s="6"/>
      <c r="F212" s="8"/>
      <c r="G212" s="14"/>
      <c r="J212" s="6"/>
      <c r="K212" s="6"/>
    </row>
    <row r="213" spans="1:11" s="11" customFormat="1" x14ac:dyDescent="0.2">
      <c r="A213" s="6"/>
      <c r="B213" s="6"/>
      <c r="C213" s="6"/>
      <c r="D213" s="6"/>
      <c r="E213" s="6"/>
      <c r="F213" s="8"/>
      <c r="G213" s="14"/>
      <c r="J213" s="6"/>
      <c r="K213" s="6"/>
    </row>
    <row r="214" spans="1:11" s="11" customFormat="1" x14ac:dyDescent="0.2">
      <c r="A214" s="6"/>
      <c r="B214" s="6"/>
      <c r="C214" s="6"/>
      <c r="D214" s="6"/>
      <c r="E214" s="6"/>
      <c r="F214" s="8"/>
      <c r="G214" s="14"/>
      <c r="J214" s="6"/>
      <c r="K214" s="6"/>
    </row>
    <row r="215" spans="1:11" s="11" customFormat="1" x14ac:dyDescent="0.2">
      <c r="A215" s="6"/>
      <c r="B215" s="6"/>
      <c r="C215" s="6"/>
      <c r="D215" s="6"/>
      <c r="E215" s="6"/>
      <c r="F215" s="8"/>
      <c r="G215" s="14"/>
      <c r="J215" s="6"/>
      <c r="K215" s="6"/>
    </row>
    <row r="216" spans="1:11" s="11" customFormat="1" x14ac:dyDescent="0.2">
      <c r="A216" s="6"/>
      <c r="B216" s="6"/>
      <c r="C216" s="6"/>
      <c r="D216" s="6"/>
      <c r="E216" s="6"/>
      <c r="F216" s="8"/>
      <c r="G216" s="14"/>
      <c r="J216" s="6"/>
      <c r="K216" s="6"/>
    </row>
    <row r="217" spans="1:11" s="11" customFormat="1" x14ac:dyDescent="0.2">
      <c r="A217" s="6"/>
      <c r="B217" s="6"/>
      <c r="C217" s="6"/>
      <c r="D217" s="6"/>
      <c r="E217" s="6"/>
      <c r="F217" s="8"/>
      <c r="G217" s="14"/>
      <c r="J217" s="6"/>
      <c r="K217" s="6"/>
    </row>
    <row r="218" spans="1:11" s="11" customFormat="1" x14ac:dyDescent="0.2">
      <c r="A218" s="6"/>
      <c r="B218" s="6"/>
      <c r="C218" s="6"/>
      <c r="D218" s="6"/>
      <c r="E218" s="6"/>
      <c r="F218" s="8"/>
      <c r="G218" s="14"/>
      <c r="J218" s="6"/>
      <c r="K218" s="6"/>
    </row>
    <row r="219" spans="1:11" s="11" customFormat="1" x14ac:dyDescent="0.2">
      <c r="A219" s="6"/>
      <c r="B219" s="6"/>
      <c r="C219" s="6"/>
      <c r="D219" s="6"/>
      <c r="E219" s="6"/>
      <c r="F219" s="8"/>
      <c r="G219" s="14"/>
      <c r="J219" s="6"/>
      <c r="K219" s="6"/>
    </row>
    <row r="220" spans="1:11" s="11" customFormat="1" x14ac:dyDescent="0.2">
      <c r="A220" s="6"/>
      <c r="B220" s="6"/>
      <c r="C220" s="6"/>
      <c r="D220" s="6"/>
      <c r="E220" s="6"/>
      <c r="F220" s="8"/>
      <c r="G220" s="14"/>
      <c r="J220" s="6"/>
      <c r="K220" s="6"/>
    </row>
    <row r="221" spans="1:11" s="11" customFormat="1" x14ac:dyDescent="0.2">
      <c r="A221" s="6"/>
      <c r="B221" s="6"/>
      <c r="C221" s="6"/>
      <c r="D221" s="6"/>
      <c r="E221" s="6"/>
      <c r="F221" s="8"/>
      <c r="G221" s="14"/>
      <c r="J221" s="6"/>
      <c r="K221" s="6"/>
    </row>
    <row r="222" spans="1:11" s="11" customFormat="1" x14ac:dyDescent="0.2">
      <c r="A222" s="6"/>
      <c r="B222" s="6"/>
      <c r="C222" s="6"/>
      <c r="D222" s="6"/>
      <c r="E222" s="6"/>
      <c r="F222" s="8"/>
      <c r="G222" s="14"/>
      <c r="J222" s="6"/>
      <c r="K222" s="6"/>
    </row>
  </sheetData>
  <mergeCells count="2">
    <mergeCell ref="B1:C1"/>
    <mergeCell ref="B58:I58"/>
  </mergeCells>
  <conditionalFormatting sqref="G1:G3 G5:G57 G59:G120">
    <cfRule type="cellIs" dxfId="11" priority="1" stopIfTrue="1" operator="between">
      <formula>0.009</formula>
      <formula>-0.009</formula>
    </cfRule>
  </conditionalFormatting>
  <hyperlinks>
    <hyperlink ref="A2" location="Index!A1" display="-" xr:uid="{640B6C4A-91DD-46E5-BB26-02AAC62C4C02}"/>
  </hyperlinks>
  <pageMargins left="0.7" right="0.7" top="0.75" bottom="0.75" header="0.3" footer="0.3"/>
  <pageSetup paperSize="9" scale="61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05" min="1" max="8" man="1"/>
  </rowBreaks>
  <colBreaks count="1" manualBreakCount="1">
    <brk id="9" max="227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BE8F8-F921-4AB8-B554-AC0B219CC4EE}">
  <sheetPr codeName="Sheet3"/>
  <dimension ref="A1:K178"/>
  <sheetViews>
    <sheetView view="pageBreakPreview" zoomScaleNormal="100" zoomScaleSheetLayoutView="100" workbookViewId="0"/>
  </sheetViews>
  <sheetFormatPr defaultColWidth="9.140625" defaultRowHeight="11.25" x14ac:dyDescent="0.2"/>
  <cols>
    <col min="1" max="1" width="7.140625" style="6" customWidth="1"/>
    <col min="2" max="2" width="52.5703125" style="6" bestFit="1" customWidth="1"/>
    <col min="3" max="3" width="11.140625" style="6" bestFit="1" customWidth="1"/>
    <col min="4" max="5" width="13.85546875" style="6" bestFit="1" customWidth="1"/>
    <col min="6" max="6" width="12.7109375" style="8" bestFit="1" customWidth="1"/>
    <col min="7" max="7" width="6.7109375" style="14" bestFit="1" customWidth="1"/>
    <col min="8" max="8" width="11.85546875" style="11" bestFit="1" customWidth="1"/>
    <col min="9" max="9" width="10.140625" style="11" bestFit="1" customWidth="1"/>
    <col min="10" max="10" width="25.85546875" style="6" customWidth="1"/>
    <col min="11" max="16384" width="9.140625" style="6"/>
  </cols>
  <sheetData>
    <row r="1" spans="1:11" s="1" customFormat="1" ht="16.7" customHeight="1" x14ac:dyDescent="0.2">
      <c r="B1" s="106" t="s">
        <v>11</v>
      </c>
      <c r="C1" s="107"/>
      <c r="D1" s="10"/>
      <c r="F1" s="5"/>
      <c r="G1" s="14"/>
      <c r="H1" s="11"/>
      <c r="I1" s="12"/>
    </row>
    <row r="2" spans="1:11" s="1" customFormat="1" ht="15" x14ac:dyDescent="0.25">
      <c r="A2" s="59" t="s">
        <v>1466</v>
      </c>
      <c r="F2" s="5"/>
      <c r="G2" s="14"/>
      <c r="H2" s="11"/>
      <c r="I2" s="12"/>
    </row>
    <row r="3" spans="1:11" s="1" customFormat="1" ht="12" x14ac:dyDescent="0.2">
      <c r="B3" s="7" t="s">
        <v>9</v>
      </c>
      <c r="C3" s="2"/>
      <c r="D3" s="3"/>
      <c r="E3" s="3"/>
      <c r="F3" s="4"/>
      <c r="G3" s="14"/>
      <c r="H3" s="11"/>
      <c r="I3" s="12"/>
    </row>
    <row r="4" spans="1:11" s="1" customFormat="1" ht="45" x14ac:dyDescent="0.2">
      <c r="B4" s="63" t="s">
        <v>7</v>
      </c>
      <c r="C4" s="63" t="s">
        <v>8</v>
      </c>
      <c r="D4" s="64" t="s">
        <v>107</v>
      </c>
      <c r="E4" s="64" t="s">
        <v>0</v>
      </c>
      <c r="F4" s="65" t="s">
        <v>4</v>
      </c>
      <c r="G4" s="66" t="s">
        <v>5</v>
      </c>
      <c r="H4" s="67" t="s">
        <v>6</v>
      </c>
      <c r="I4" s="67" t="s">
        <v>20</v>
      </c>
      <c r="J4" s="13"/>
      <c r="K4" s="9"/>
    </row>
    <row r="5" spans="1:11" x14ac:dyDescent="0.2">
      <c r="B5" s="23" t="s">
        <v>21</v>
      </c>
      <c r="C5" s="24"/>
      <c r="D5" s="24"/>
      <c r="E5" s="24"/>
      <c r="F5" s="25"/>
      <c r="G5" s="26"/>
      <c r="H5" s="27"/>
      <c r="I5" s="27"/>
    </row>
    <row r="6" spans="1:11" x14ac:dyDescent="0.2">
      <c r="B6" s="23" t="s">
        <v>90</v>
      </c>
      <c r="C6" s="24"/>
      <c r="D6" s="24"/>
      <c r="E6" s="24"/>
      <c r="F6" s="25"/>
      <c r="G6" s="26"/>
      <c r="H6" s="27"/>
      <c r="I6" s="27"/>
    </row>
    <row r="7" spans="1:11" x14ac:dyDescent="0.2">
      <c r="B7" s="24" t="s">
        <v>111</v>
      </c>
      <c r="C7" s="24" t="s">
        <v>112</v>
      </c>
      <c r="D7" s="24" t="s">
        <v>103</v>
      </c>
      <c r="E7" s="28">
        <v>3000000</v>
      </c>
      <c r="F7" s="25">
        <v>2996.982</v>
      </c>
      <c r="G7" s="26">
        <v>2.8376128653502501</v>
      </c>
      <c r="H7" s="27">
        <v>5.2509E-2</v>
      </c>
      <c r="I7" s="29"/>
    </row>
    <row r="8" spans="1:11" x14ac:dyDescent="0.2">
      <c r="B8" s="24" t="s">
        <v>113</v>
      </c>
      <c r="C8" s="24" t="s">
        <v>114</v>
      </c>
      <c r="D8" s="24" t="s">
        <v>103</v>
      </c>
      <c r="E8" s="28">
        <v>2000000</v>
      </c>
      <c r="F8" s="25">
        <v>1995.98</v>
      </c>
      <c r="G8" s="26">
        <v>1.88984068872679</v>
      </c>
      <c r="H8" s="27">
        <v>5.2509E-2</v>
      </c>
      <c r="I8" s="29"/>
    </row>
    <row r="9" spans="1:11" x14ac:dyDescent="0.2">
      <c r="B9" s="24" t="s">
        <v>115</v>
      </c>
      <c r="C9" s="24" t="s">
        <v>116</v>
      </c>
      <c r="D9" s="24" t="s">
        <v>103</v>
      </c>
      <c r="E9" s="28">
        <v>1000000</v>
      </c>
      <c r="F9" s="25">
        <v>997.99099999999999</v>
      </c>
      <c r="G9" s="26">
        <v>0.94492129118685597</v>
      </c>
      <c r="H9" s="27">
        <v>5.2483000000000002E-2</v>
      </c>
      <c r="I9" s="29"/>
    </row>
    <row r="10" spans="1:11" x14ac:dyDescent="0.2">
      <c r="B10" s="23" t="s">
        <v>60</v>
      </c>
      <c r="C10" s="23"/>
      <c r="D10" s="23"/>
      <c r="E10" s="23"/>
      <c r="F10" s="33">
        <f>SUM(F6:F9)</f>
        <v>5990.9529999999995</v>
      </c>
      <c r="G10" s="34">
        <f>SUM(G6:G9)</f>
        <v>5.6723748452638958</v>
      </c>
      <c r="H10" s="32"/>
      <c r="I10" s="32"/>
    </row>
    <row r="11" spans="1:11" x14ac:dyDescent="0.2">
      <c r="B11" s="39" t="s">
        <v>99</v>
      </c>
      <c r="C11" s="39"/>
      <c r="D11" s="39"/>
      <c r="E11" s="39"/>
      <c r="F11" s="40">
        <f>+F10</f>
        <v>5990.9529999999995</v>
      </c>
      <c r="G11" s="41">
        <f>+G10</f>
        <v>5.6723748452638958</v>
      </c>
      <c r="H11" s="32"/>
      <c r="I11" s="32"/>
    </row>
    <row r="12" spans="1:11" x14ac:dyDescent="0.2">
      <c r="B12" s="23"/>
      <c r="C12" s="24"/>
      <c r="D12" s="24"/>
      <c r="E12" s="24"/>
      <c r="F12" s="25"/>
      <c r="G12" s="26"/>
      <c r="H12" s="27"/>
      <c r="I12" s="27"/>
    </row>
    <row r="13" spans="1:11" x14ac:dyDescent="0.2">
      <c r="B13" s="23" t="s">
        <v>104</v>
      </c>
      <c r="C13" s="23"/>
      <c r="D13" s="23"/>
      <c r="E13" s="23"/>
      <c r="F13" s="40">
        <v>722.26506070000005</v>
      </c>
      <c r="G13" s="41">
        <v>0.68385750346024798</v>
      </c>
      <c r="H13" s="38">
        <v>5.3636339999999998E-2</v>
      </c>
      <c r="I13" s="38"/>
    </row>
    <row r="14" spans="1:11" x14ac:dyDescent="0.2">
      <c r="B14" s="24"/>
      <c r="C14" s="24"/>
      <c r="D14" s="24"/>
      <c r="E14" s="24"/>
      <c r="F14" s="25"/>
      <c r="G14" s="26"/>
      <c r="H14" s="27"/>
      <c r="I14" s="27"/>
    </row>
    <row r="15" spans="1:11" x14ac:dyDescent="0.2">
      <c r="B15" s="23" t="s">
        <v>117</v>
      </c>
      <c r="C15" s="24"/>
      <c r="D15" s="24"/>
      <c r="E15" s="24"/>
      <c r="F15" s="25"/>
      <c r="G15" s="26"/>
      <c r="H15" s="27"/>
      <c r="I15" s="27"/>
    </row>
    <row r="16" spans="1:11" x14ac:dyDescent="0.2">
      <c r="B16" s="24" t="s">
        <v>118</v>
      </c>
      <c r="C16" s="24"/>
      <c r="D16" s="24"/>
      <c r="E16" s="24"/>
      <c r="F16" s="25">
        <v>44999.230860000003</v>
      </c>
      <c r="G16" s="26">
        <v>42.606327438470501</v>
      </c>
      <c r="H16" s="27">
        <v>5.6000000000000001E-2</v>
      </c>
      <c r="I16" s="27"/>
    </row>
    <row r="17" spans="1:11" x14ac:dyDescent="0.2">
      <c r="B17" s="24" t="s">
        <v>118</v>
      </c>
      <c r="C17" s="24"/>
      <c r="D17" s="24"/>
      <c r="E17" s="24"/>
      <c r="F17" s="25">
        <v>20699.976750000002</v>
      </c>
      <c r="G17" s="26">
        <v>19.599223598357</v>
      </c>
      <c r="H17" s="27">
        <v>5.6500000000000002E-2</v>
      </c>
      <c r="I17" s="27"/>
    </row>
    <row r="18" spans="1:11" x14ac:dyDescent="0.2">
      <c r="B18" s="24" t="s">
        <v>118</v>
      </c>
      <c r="C18" s="24"/>
      <c r="D18" s="24"/>
      <c r="E18" s="24"/>
      <c r="F18" s="25">
        <v>10199.6355</v>
      </c>
      <c r="G18" s="26">
        <v>9.6572541699226608</v>
      </c>
      <c r="H18" s="27">
        <v>5.7500000000000002E-2</v>
      </c>
      <c r="I18" s="27"/>
    </row>
    <row r="19" spans="1:11" x14ac:dyDescent="0.2">
      <c r="B19" s="24" t="s">
        <v>118</v>
      </c>
      <c r="C19" s="24"/>
      <c r="D19" s="24"/>
      <c r="E19" s="24"/>
      <c r="F19" s="25">
        <v>7399.670325</v>
      </c>
      <c r="G19" s="26">
        <v>7.0061814564019702</v>
      </c>
      <c r="H19" s="27">
        <v>5.6500000000000002E-2</v>
      </c>
      <c r="I19" s="27"/>
    </row>
    <row r="20" spans="1:11" x14ac:dyDescent="0.2">
      <c r="B20" s="24" t="s">
        <v>118</v>
      </c>
      <c r="C20" s="24"/>
      <c r="D20" s="24"/>
      <c r="E20" s="24"/>
      <c r="F20" s="25">
        <v>5199.5773399999998</v>
      </c>
      <c r="G20" s="26">
        <v>4.9230818050851299</v>
      </c>
      <c r="H20" s="27">
        <v>5.8000000000000003E-2</v>
      </c>
      <c r="I20" s="27"/>
    </row>
    <row r="21" spans="1:11" x14ac:dyDescent="0.2">
      <c r="B21" s="24" t="s">
        <v>118</v>
      </c>
      <c r="C21" s="24"/>
      <c r="D21" s="24"/>
      <c r="E21" s="24"/>
      <c r="F21" s="25">
        <v>4575.5625</v>
      </c>
      <c r="G21" s="26">
        <v>4.3322499154863703</v>
      </c>
      <c r="H21" s="27">
        <v>5.8999999999999997E-2</v>
      </c>
      <c r="I21" s="27"/>
    </row>
    <row r="22" spans="1:11" x14ac:dyDescent="0.2">
      <c r="B22" s="24" t="s">
        <v>118</v>
      </c>
      <c r="C22" s="24"/>
      <c r="D22" s="24"/>
      <c r="E22" s="24"/>
      <c r="F22" s="25">
        <v>4099.31574</v>
      </c>
      <c r="G22" s="26">
        <v>3.8813283105993901</v>
      </c>
      <c r="H22" s="27">
        <v>5.8500000000000003E-2</v>
      </c>
      <c r="I22" s="27"/>
    </row>
    <row r="23" spans="1:11" x14ac:dyDescent="0.2">
      <c r="B23" s="24" t="s">
        <v>118</v>
      </c>
      <c r="C23" s="24"/>
      <c r="D23" s="24"/>
      <c r="E23" s="24"/>
      <c r="F23" s="25">
        <v>1673.2762499999999</v>
      </c>
      <c r="G23" s="26">
        <v>1.58429720775267</v>
      </c>
      <c r="H23" s="27">
        <v>5.5E-2</v>
      </c>
      <c r="I23" s="27"/>
    </row>
    <row r="24" spans="1:11" x14ac:dyDescent="0.2">
      <c r="B24" s="23" t="s">
        <v>99</v>
      </c>
      <c r="C24" s="23"/>
      <c r="D24" s="23"/>
      <c r="E24" s="23"/>
      <c r="F24" s="40">
        <v>98846.24526500002</v>
      </c>
      <c r="G24" s="41">
        <v>93.589943902075703</v>
      </c>
      <c r="H24" s="27"/>
      <c r="I24" s="27"/>
    </row>
    <row r="25" spans="1:11" x14ac:dyDescent="0.2">
      <c r="B25" s="24"/>
      <c r="C25" s="24"/>
      <c r="D25" s="24"/>
      <c r="E25" s="24"/>
      <c r="F25" s="25"/>
      <c r="G25" s="26"/>
      <c r="H25" s="27"/>
      <c r="I25" s="27"/>
    </row>
    <row r="26" spans="1:11" x14ac:dyDescent="0.2">
      <c r="B26" s="39" t="s">
        <v>106</v>
      </c>
      <c r="C26" s="39"/>
      <c r="D26" s="39"/>
      <c r="E26" s="39"/>
      <c r="F26" s="40">
        <f>F27-(F10+F13+F24)</f>
        <v>56.846657799978857</v>
      </c>
      <c r="G26" s="41">
        <f>G27-(G10+G13+G24)</f>
        <v>5.3823749200148541E-2</v>
      </c>
      <c r="H26" s="32"/>
      <c r="I26" s="32"/>
    </row>
    <row r="27" spans="1:11" x14ac:dyDescent="0.2">
      <c r="B27" s="39" t="s">
        <v>105</v>
      </c>
      <c r="C27" s="39"/>
      <c r="D27" s="39"/>
      <c r="E27" s="39"/>
      <c r="F27" s="40">
        <v>105616.3099835</v>
      </c>
      <c r="G27" s="41">
        <v>100</v>
      </c>
      <c r="H27" s="42"/>
      <c r="I27" s="42"/>
    </row>
    <row r="29" spans="1:11" ht="39.950000000000003" customHeight="1" x14ac:dyDescent="0.2">
      <c r="B29" s="108" t="s">
        <v>109</v>
      </c>
      <c r="C29" s="108"/>
      <c r="D29" s="108"/>
      <c r="E29" s="108"/>
      <c r="F29" s="108"/>
      <c r="G29" s="108"/>
      <c r="H29" s="108"/>
      <c r="I29" s="108"/>
    </row>
    <row r="31" spans="1:11" s="11" customFormat="1" x14ac:dyDescent="0.2">
      <c r="A31" s="6"/>
      <c r="B31" s="16" t="s">
        <v>1435</v>
      </c>
      <c r="C31" s="6"/>
      <c r="D31" s="6"/>
      <c r="E31" s="6"/>
      <c r="F31" s="8"/>
      <c r="G31" s="14"/>
      <c r="J31" s="6"/>
      <c r="K31" s="6"/>
    </row>
    <row r="32" spans="1:11" s="11" customFormat="1" x14ac:dyDescent="0.2">
      <c r="A32" s="6"/>
      <c r="B32" s="16"/>
      <c r="C32" s="16"/>
      <c r="D32" s="44"/>
      <c r="E32" s="16"/>
      <c r="F32" s="8"/>
      <c r="G32" s="14"/>
      <c r="J32" s="6"/>
      <c r="K32" s="6"/>
    </row>
    <row r="33" spans="1:11" s="11" customFormat="1" x14ac:dyDescent="0.2">
      <c r="A33" s="6"/>
      <c r="B33" s="6"/>
      <c r="C33" s="6"/>
      <c r="D33" s="45"/>
      <c r="E33" s="45"/>
      <c r="F33" s="8"/>
      <c r="G33" s="14"/>
      <c r="J33" s="6"/>
      <c r="K33" s="6"/>
    </row>
    <row r="34" spans="1:11" s="11" customFormat="1" x14ac:dyDescent="0.2">
      <c r="A34" s="6"/>
      <c r="B34" s="6"/>
      <c r="C34" s="6"/>
      <c r="D34" s="6"/>
      <c r="E34" s="6"/>
      <c r="F34" s="8"/>
      <c r="G34" s="14"/>
      <c r="J34" s="6"/>
      <c r="K34" s="6"/>
    </row>
    <row r="35" spans="1:11" s="11" customFormat="1" x14ac:dyDescent="0.2">
      <c r="A35" s="6"/>
      <c r="B35" s="6"/>
      <c r="C35" s="6"/>
      <c r="D35" s="6"/>
      <c r="E35" s="6"/>
      <c r="F35" s="8"/>
      <c r="G35" s="14"/>
      <c r="J35" s="6"/>
      <c r="K35" s="6"/>
    </row>
    <row r="36" spans="1:11" s="11" customFormat="1" x14ac:dyDescent="0.2">
      <c r="A36" s="6"/>
      <c r="B36" s="6"/>
      <c r="C36" s="6"/>
      <c r="D36" s="6"/>
      <c r="E36" s="6"/>
      <c r="F36" s="8"/>
      <c r="G36" s="14"/>
      <c r="J36" s="6"/>
      <c r="K36" s="6"/>
    </row>
    <row r="37" spans="1:11" s="11" customFormat="1" x14ac:dyDescent="0.2">
      <c r="A37" s="6"/>
      <c r="B37" s="16"/>
      <c r="C37" s="6"/>
      <c r="D37" s="6"/>
      <c r="E37" s="6"/>
      <c r="F37" s="8"/>
      <c r="G37" s="14"/>
      <c r="J37" s="6"/>
      <c r="K37" s="6"/>
    </row>
    <row r="38" spans="1:11" s="11" customFormat="1" x14ac:dyDescent="0.2">
      <c r="A38" s="6"/>
      <c r="B38" s="6"/>
      <c r="C38" s="6"/>
      <c r="D38" s="6"/>
      <c r="E38" s="6"/>
      <c r="F38" s="8"/>
      <c r="G38" s="14"/>
      <c r="J38" s="6"/>
      <c r="K38" s="6"/>
    </row>
    <row r="39" spans="1:11" s="11" customFormat="1" x14ac:dyDescent="0.2">
      <c r="A39" s="6"/>
      <c r="B39" s="6"/>
      <c r="C39" s="6"/>
      <c r="D39" s="6"/>
      <c r="E39" s="6"/>
      <c r="F39" s="8"/>
      <c r="G39" s="14"/>
      <c r="J39" s="6"/>
      <c r="K39" s="6"/>
    </row>
    <row r="40" spans="1:11" s="11" customFormat="1" x14ac:dyDescent="0.2">
      <c r="A40" s="6"/>
      <c r="B40" s="6"/>
      <c r="C40" s="6"/>
      <c r="D40" s="6"/>
      <c r="E40" s="6"/>
      <c r="F40" s="8"/>
      <c r="G40" s="14"/>
      <c r="J40" s="6"/>
      <c r="K40" s="6"/>
    </row>
    <row r="41" spans="1:11" s="11" customFormat="1" x14ac:dyDescent="0.2">
      <c r="A41" s="6"/>
      <c r="B41" s="6"/>
      <c r="C41" s="6"/>
      <c r="D41" s="6"/>
      <c r="E41" s="6"/>
      <c r="F41" s="8"/>
      <c r="G41" s="14"/>
      <c r="J41" s="6"/>
      <c r="K41" s="6"/>
    </row>
    <row r="42" spans="1:11" s="11" customFormat="1" x14ac:dyDescent="0.2">
      <c r="A42" s="6"/>
      <c r="B42" s="6"/>
      <c r="C42" s="6"/>
      <c r="D42" s="6"/>
      <c r="E42" s="6"/>
      <c r="F42" s="8"/>
      <c r="G42" s="14"/>
      <c r="J42" s="6"/>
      <c r="K42" s="6"/>
    </row>
    <row r="43" spans="1:11" s="11" customFormat="1" x14ac:dyDescent="0.2">
      <c r="A43" s="6"/>
      <c r="B43" s="6"/>
      <c r="C43" s="6"/>
      <c r="D43" s="6"/>
      <c r="E43" s="6"/>
      <c r="F43" s="8"/>
      <c r="G43" s="14"/>
      <c r="J43" s="6"/>
      <c r="K43" s="6"/>
    </row>
    <row r="44" spans="1:11" s="11" customFormat="1" x14ac:dyDescent="0.2">
      <c r="A44" s="6"/>
      <c r="B44" s="6"/>
      <c r="C44" s="6"/>
      <c r="D44" s="6"/>
      <c r="E44" s="6"/>
      <c r="F44" s="8"/>
      <c r="G44" s="14"/>
      <c r="J44" s="6"/>
      <c r="K44" s="6"/>
    </row>
    <row r="45" spans="1:11" s="11" customFormat="1" x14ac:dyDescent="0.2">
      <c r="A45" s="6"/>
      <c r="B45" s="6"/>
      <c r="C45" s="6"/>
      <c r="D45" s="6"/>
      <c r="E45" s="6"/>
      <c r="F45" s="8"/>
      <c r="G45" s="14"/>
      <c r="J45" s="6"/>
      <c r="K45" s="6"/>
    </row>
    <row r="46" spans="1:11" s="11" customFormat="1" x14ac:dyDescent="0.2">
      <c r="A46" s="6"/>
      <c r="B46" s="6"/>
      <c r="C46" s="6"/>
      <c r="D46" s="6"/>
      <c r="E46" s="6"/>
      <c r="F46" s="8"/>
      <c r="G46" s="14"/>
      <c r="J46" s="6"/>
      <c r="K46" s="6"/>
    </row>
    <row r="47" spans="1:11" s="11" customFormat="1" x14ac:dyDescent="0.2">
      <c r="A47" s="6"/>
      <c r="B47" s="6"/>
      <c r="C47" s="6"/>
      <c r="D47" s="6"/>
      <c r="E47" s="6"/>
      <c r="F47" s="8"/>
      <c r="G47" s="14"/>
      <c r="J47" s="6"/>
      <c r="K47" s="6"/>
    </row>
    <row r="48" spans="1:11" s="11" customFormat="1" x14ac:dyDescent="0.2">
      <c r="A48" s="6"/>
      <c r="B48" s="6"/>
      <c r="C48" s="6"/>
      <c r="D48" s="6"/>
      <c r="E48" s="6"/>
      <c r="F48" s="8"/>
      <c r="G48" s="14"/>
      <c r="J48" s="6"/>
      <c r="K48" s="6"/>
    </row>
    <row r="49" spans="1:11" s="11" customFormat="1" x14ac:dyDescent="0.2">
      <c r="A49" s="6"/>
      <c r="B49" s="6"/>
      <c r="C49" s="6"/>
      <c r="D49" s="6"/>
      <c r="E49" s="6"/>
      <c r="F49" s="8"/>
      <c r="G49" s="14"/>
      <c r="J49" s="6"/>
      <c r="K49" s="6"/>
    </row>
    <row r="50" spans="1:11" s="11" customFormat="1" x14ac:dyDescent="0.2">
      <c r="A50" s="6"/>
      <c r="B50" s="6"/>
      <c r="C50" s="6"/>
      <c r="D50" s="6"/>
      <c r="E50" s="6"/>
      <c r="F50" s="8"/>
      <c r="G50" s="14"/>
      <c r="J50" s="6"/>
      <c r="K50" s="6"/>
    </row>
    <row r="51" spans="1:11" s="11" customFormat="1" x14ac:dyDescent="0.2">
      <c r="A51" s="6"/>
      <c r="B51" s="6"/>
      <c r="C51" s="6"/>
      <c r="D51" s="6"/>
      <c r="E51" s="6"/>
      <c r="F51" s="8"/>
      <c r="G51" s="14"/>
      <c r="J51" s="6"/>
      <c r="K51" s="6"/>
    </row>
    <row r="52" spans="1:11" s="11" customFormat="1" x14ac:dyDescent="0.2">
      <c r="A52" s="6"/>
      <c r="B52" s="16" t="s">
        <v>1436</v>
      </c>
      <c r="C52" s="6"/>
      <c r="D52" s="6"/>
      <c r="E52" s="6"/>
      <c r="F52" s="8"/>
      <c r="G52" s="14"/>
      <c r="J52" s="6"/>
      <c r="K52" s="6"/>
    </row>
    <row r="53" spans="1:11" s="11" customFormat="1" x14ac:dyDescent="0.2">
      <c r="A53" s="6"/>
      <c r="B53" s="61" t="s">
        <v>1438</v>
      </c>
      <c r="C53" s="6"/>
      <c r="D53" s="6"/>
      <c r="E53" s="6"/>
      <c r="F53" s="8"/>
      <c r="G53" s="14"/>
      <c r="J53" s="6"/>
      <c r="K53" s="6"/>
    </row>
    <row r="54" spans="1:11" s="11" customFormat="1" x14ac:dyDescent="0.2">
      <c r="A54" s="6"/>
      <c r="B54" s="6"/>
      <c r="C54" s="6"/>
      <c r="D54" s="6"/>
      <c r="E54" s="6"/>
      <c r="F54" s="8"/>
      <c r="G54" s="14"/>
      <c r="J54" s="6"/>
      <c r="K54" s="6"/>
    </row>
    <row r="55" spans="1:11" s="11" customFormat="1" x14ac:dyDescent="0.2">
      <c r="A55" s="6"/>
      <c r="B55" s="6"/>
      <c r="C55" s="6"/>
      <c r="D55" s="6"/>
      <c r="E55" s="6"/>
      <c r="F55" s="8"/>
      <c r="G55" s="14"/>
      <c r="J55" s="6"/>
      <c r="K55" s="6"/>
    </row>
    <row r="56" spans="1:11" s="11" customFormat="1" x14ac:dyDescent="0.2">
      <c r="A56" s="6"/>
      <c r="B56" s="6"/>
      <c r="C56" s="6"/>
      <c r="D56" s="6"/>
      <c r="E56" s="6"/>
      <c r="F56" s="8"/>
      <c r="G56" s="14"/>
      <c r="J56" s="6"/>
      <c r="K56" s="6"/>
    </row>
    <row r="57" spans="1:11" s="11" customFormat="1" x14ac:dyDescent="0.2">
      <c r="A57" s="6"/>
      <c r="B57" s="6"/>
      <c r="C57" s="6"/>
      <c r="D57" s="6"/>
      <c r="E57" s="6"/>
      <c r="F57" s="8"/>
      <c r="G57" s="14"/>
      <c r="J57" s="6"/>
      <c r="K57" s="6"/>
    </row>
    <row r="58" spans="1:11" s="11" customFormat="1" x14ac:dyDescent="0.2">
      <c r="A58" s="6"/>
      <c r="B58" s="6"/>
      <c r="C58" s="6"/>
      <c r="D58" s="6"/>
      <c r="E58" s="6"/>
      <c r="F58" s="8"/>
      <c r="G58" s="14"/>
      <c r="J58" s="6"/>
      <c r="K58" s="6"/>
    </row>
    <row r="59" spans="1:11" s="11" customFormat="1" x14ac:dyDescent="0.2">
      <c r="A59" s="6"/>
      <c r="B59" s="6"/>
      <c r="C59" s="6"/>
      <c r="D59" s="6"/>
      <c r="E59" s="6"/>
      <c r="F59" s="8"/>
      <c r="G59" s="14"/>
      <c r="J59" s="6"/>
      <c r="K59" s="6"/>
    </row>
    <row r="60" spans="1:11" s="11" customFormat="1" x14ac:dyDescent="0.2">
      <c r="A60" s="6"/>
      <c r="B60" s="6"/>
      <c r="C60" s="6"/>
      <c r="D60" s="6"/>
      <c r="E60" s="6"/>
      <c r="F60" s="8"/>
      <c r="G60" s="14"/>
      <c r="J60" s="6"/>
      <c r="K60" s="6"/>
    </row>
    <row r="61" spans="1:11" s="11" customFormat="1" x14ac:dyDescent="0.2">
      <c r="A61" s="6"/>
      <c r="B61" s="6"/>
      <c r="C61" s="6"/>
      <c r="D61" s="6"/>
      <c r="E61" s="6"/>
      <c r="F61" s="8"/>
      <c r="G61" s="14"/>
      <c r="J61" s="6"/>
      <c r="K61" s="6"/>
    </row>
    <row r="62" spans="1:11" s="11" customFormat="1" x14ac:dyDescent="0.2">
      <c r="A62" s="6"/>
      <c r="B62" s="6"/>
      <c r="C62" s="6"/>
      <c r="D62" s="6"/>
      <c r="E62" s="6"/>
      <c r="F62" s="8"/>
      <c r="G62" s="14"/>
      <c r="J62" s="6"/>
      <c r="K62" s="6"/>
    </row>
    <row r="63" spans="1:11" s="11" customFormat="1" x14ac:dyDescent="0.2">
      <c r="A63" s="6"/>
      <c r="B63" s="6"/>
      <c r="C63" s="6"/>
      <c r="D63" s="6"/>
      <c r="E63" s="6"/>
      <c r="F63" s="8"/>
      <c r="G63" s="14"/>
      <c r="J63" s="6"/>
      <c r="K63" s="6"/>
    </row>
    <row r="64" spans="1:11" s="11" customFormat="1" x14ac:dyDescent="0.2">
      <c r="A64" s="6"/>
      <c r="B64" s="6"/>
      <c r="C64" s="6"/>
      <c r="D64" s="6"/>
      <c r="E64" s="6"/>
      <c r="F64" s="8"/>
      <c r="G64" s="14"/>
      <c r="J64" s="6"/>
      <c r="K64" s="6"/>
    </row>
    <row r="65" spans="1:11" s="11" customFormat="1" x14ac:dyDescent="0.2">
      <c r="A65" s="6"/>
      <c r="B65" s="6"/>
      <c r="C65" s="6"/>
      <c r="D65" s="6"/>
      <c r="E65" s="6"/>
      <c r="F65" s="8"/>
      <c r="G65" s="14"/>
      <c r="J65" s="6"/>
      <c r="K65" s="6"/>
    </row>
    <row r="66" spans="1:11" s="11" customFormat="1" x14ac:dyDescent="0.2">
      <c r="A66" s="6"/>
      <c r="B66" s="6"/>
      <c r="C66" s="6"/>
      <c r="D66" s="6"/>
      <c r="E66" s="6"/>
      <c r="F66" s="8"/>
      <c r="G66" s="14"/>
      <c r="J66" s="6"/>
      <c r="K66" s="6"/>
    </row>
    <row r="67" spans="1:11" s="11" customFormat="1" x14ac:dyDescent="0.2">
      <c r="A67" s="6"/>
      <c r="B67" s="6"/>
      <c r="C67" s="6"/>
      <c r="D67" s="6"/>
      <c r="E67" s="6"/>
      <c r="F67" s="8"/>
      <c r="G67" s="14"/>
      <c r="J67" s="6"/>
      <c r="K67" s="6"/>
    </row>
    <row r="68" spans="1:11" s="11" customFormat="1" x14ac:dyDescent="0.2">
      <c r="A68" s="6"/>
      <c r="B68" s="6"/>
      <c r="C68" s="6"/>
      <c r="D68" s="6"/>
      <c r="E68" s="6"/>
      <c r="F68" s="8"/>
      <c r="G68" s="14"/>
      <c r="J68" s="6"/>
      <c r="K68" s="6"/>
    </row>
    <row r="69" spans="1:11" s="11" customFormat="1" x14ac:dyDescent="0.2">
      <c r="A69" s="6"/>
      <c r="B69" s="6"/>
      <c r="C69" s="6"/>
      <c r="D69" s="6"/>
      <c r="E69" s="6"/>
      <c r="F69" s="8"/>
      <c r="G69" s="14"/>
      <c r="J69" s="6"/>
      <c r="K69" s="6"/>
    </row>
    <row r="70" spans="1:11" s="11" customFormat="1" x14ac:dyDescent="0.2">
      <c r="A70" s="6"/>
      <c r="B70" s="6"/>
      <c r="C70" s="6"/>
      <c r="D70" s="6"/>
      <c r="E70" s="6"/>
      <c r="F70" s="8"/>
      <c r="G70" s="14"/>
      <c r="J70" s="6"/>
      <c r="K70" s="6"/>
    </row>
    <row r="71" spans="1:11" s="11" customFormat="1" x14ac:dyDescent="0.2">
      <c r="A71" s="6"/>
      <c r="B71" s="6"/>
      <c r="C71" s="6"/>
      <c r="D71" s="6"/>
      <c r="E71" s="6"/>
      <c r="F71" s="8"/>
      <c r="G71" s="14"/>
      <c r="J71" s="6"/>
      <c r="K71" s="6"/>
    </row>
    <row r="72" spans="1:11" s="11" customFormat="1" x14ac:dyDescent="0.2">
      <c r="A72" s="6"/>
      <c r="B72" s="6"/>
      <c r="C72" s="6"/>
      <c r="D72" s="6"/>
      <c r="E72" s="6"/>
      <c r="F72" s="8"/>
      <c r="G72" s="14"/>
      <c r="J72" s="6"/>
      <c r="K72" s="6"/>
    </row>
    <row r="73" spans="1:11" s="11" customFormat="1" x14ac:dyDescent="0.2">
      <c r="A73" s="6"/>
      <c r="B73" s="6"/>
      <c r="C73" s="6"/>
      <c r="D73" s="6"/>
      <c r="E73" s="6"/>
      <c r="F73" s="8"/>
      <c r="G73" s="14"/>
      <c r="J73" s="6"/>
      <c r="K73" s="6"/>
    </row>
    <row r="74" spans="1:11" s="11" customFormat="1" x14ac:dyDescent="0.2">
      <c r="A74" s="6"/>
      <c r="B74" s="6"/>
      <c r="C74" s="6"/>
      <c r="D74" s="6"/>
      <c r="E74" s="6"/>
      <c r="F74" s="8"/>
      <c r="G74" s="14"/>
      <c r="J74" s="6"/>
      <c r="K74" s="6"/>
    </row>
    <row r="75" spans="1:11" s="11" customFormat="1" x14ac:dyDescent="0.2">
      <c r="A75" s="6"/>
      <c r="B75" s="6"/>
      <c r="C75" s="6"/>
      <c r="D75" s="6"/>
      <c r="E75" s="6"/>
      <c r="F75" s="8"/>
      <c r="G75" s="14"/>
      <c r="J75" s="6"/>
      <c r="K75" s="6"/>
    </row>
    <row r="76" spans="1:11" s="11" customFormat="1" x14ac:dyDescent="0.2">
      <c r="A76" s="6"/>
      <c r="B76" s="6"/>
      <c r="C76" s="6"/>
      <c r="D76" s="6"/>
      <c r="E76" s="6"/>
      <c r="F76" s="8"/>
      <c r="G76" s="14"/>
      <c r="J76" s="6"/>
      <c r="K76" s="6"/>
    </row>
    <row r="77" spans="1:11" s="11" customFormat="1" x14ac:dyDescent="0.2">
      <c r="A77" s="6"/>
      <c r="B77" s="6"/>
      <c r="C77" s="6"/>
      <c r="D77" s="6"/>
      <c r="E77" s="6"/>
      <c r="F77" s="8"/>
      <c r="G77" s="14"/>
      <c r="J77" s="6"/>
      <c r="K77" s="6"/>
    </row>
    <row r="78" spans="1:11" s="11" customFormat="1" x14ac:dyDescent="0.2">
      <c r="A78" s="6"/>
      <c r="B78" s="6"/>
      <c r="C78" s="6"/>
      <c r="D78" s="6"/>
      <c r="E78" s="6"/>
      <c r="F78" s="8"/>
      <c r="G78" s="14"/>
      <c r="J78" s="6"/>
      <c r="K78" s="6"/>
    </row>
    <row r="79" spans="1:11" s="11" customFormat="1" x14ac:dyDescent="0.2">
      <c r="A79" s="6"/>
      <c r="B79" s="6"/>
      <c r="C79" s="6"/>
      <c r="D79" s="6"/>
      <c r="E79" s="6"/>
      <c r="F79" s="8"/>
      <c r="G79" s="14"/>
      <c r="J79" s="6"/>
      <c r="K79" s="6"/>
    </row>
    <row r="80" spans="1:11" s="11" customFormat="1" x14ac:dyDescent="0.2">
      <c r="A80" s="6"/>
      <c r="B80" s="6"/>
      <c r="C80" s="6"/>
      <c r="D80" s="6"/>
      <c r="E80" s="6"/>
      <c r="F80" s="8"/>
      <c r="G80" s="14"/>
      <c r="J80" s="6"/>
      <c r="K80" s="6"/>
    </row>
    <row r="81" spans="1:11" s="11" customFormat="1" x14ac:dyDescent="0.2">
      <c r="A81" s="6"/>
      <c r="B81" s="6"/>
      <c r="C81" s="6"/>
      <c r="D81" s="6"/>
      <c r="E81" s="6"/>
      <c r="F81" s="8"/>
      <c r="G81" s="14"/>
      <c r="J81" s="6"/>
      <c r="K81" s="6"/>
    </row>
    <row r="82" spans="1:11" s="11" customFormat="1" x14ac:dyDescent="0.2">
      <c r="A82" s="6"/>
      <c r="B82" s="6"/>
      <c r="C82" s="6"/>
      <c r="D82" s="6"/>
      <c r="E82" s="6"/>
      <c r="F82" s="8"/>
      <c r="G82" s="14"/>
      <c r="J82" s="6"/>
      <c r="K82" s="6"/>
    </row>
    <row r="83" spans="1:11" s="11" customFormat="1" x14ac:dyDescent="0.2">
      <c r="A83" s="6"/>
      <c r="B83" s="6"/>
      <c r="C83" s="6"/>
      <c r="D83" s="6"/>
      <c r="E83" s="6"/>
      <c r="F83" s="8"/>
      <c r="G83" s="14"/>
      <c r="J83" s="6"/>
      <c r="K83" s="6"/>
    </row>
    <row r="84" spans="1:11" s="11" customFormat="1" x14ac:dyDescent="0.2">
      <c r="A84" s="6"/>
      <c r="B84" s="6"/>
      <c r="C84" s="6"/>
      <c r="D84" s="6"/>
      <c r="E84" s="6"/>
      <c r="F84" s="8"/>
      <c r="G84" s="14"/>
      <c r="J84" s="6"/>
      <c r="K84" s="6"/>
    </row>
    <row r="85" spans="1:11" s="11" customFormat="1" x14ac:dyDescent="0.2">
      <c r="A85" s="6"/>
      <c r="B85" s="6"/>
      <c r="C85" s="6"/>
      <c r="D85" s="6"/>
      <c r="E85" s="6"/>
      <c r="F85" s="8"/>
      <c r="G85" s="14"/>
      <c r="J85" s="6"/>
      <c r="K85" s="6"/>
    </row>
    <row r="86" spans="1:11" s="11" customFormat="1" x14ac:dyDescent="0.2">
      <c r="A86" s="6"/>
      <c r="B86" s="6"/>
      <c r="C86" s="6"/>
      <c r="D86" s="6"/>
      <c r="E86" s="6"/>
      <c r="F86" s="8"/>
      <c r="G86" s="14"/>
      <c r="J86" s="6"/>
      <c r="K86" s="6"/>
    </row>
    <row r="87" spans="1:11" s="11" customFormat="1" x14ac:dyDescent="0.2">
      <c r="A87" s="6"/>
      <c r="B87" s="6"/>
      <c r="C87" s="6"/>
      <c r="D87" s="6"/>
      <c r="E87" s="6"/>
      <c r="F87" s="8"/>
      <c r="G87" s="14"/>
      <c r="J87" s="6"/>
      <c r="K87" s="6"/>
    </row>
    <row r="88" spans="1:11" s="11" customFormat="1" x14ac:dyDescent="0.2">
      <c r="A88" s="6"/>
      <c r="B88" s="6"/>
      <c r="C88" s="6"/>
      <c r="D88" s="6"/>
      <c r="E88" s="6"/>
      <c r="F88" s="8"/>
      <c r="G88" s="14"/>
      <c r="J88" s="6"/>
      <c r="K88" s="6"/>
    </row>
    <row r="89" spans="1:11" s="11" customFormat="1" x14ac:dyDescent="0.2">
      <c r="A89" s="6"/>
      <c r="B89" s="6"/>
      <c r="C89" s="6"/>
      <c r="D89" s="6"/>
      <c r="E89" s="6"/>
      <c r="F89" s="8"/>
      <c r="G89" s="14"/>
      <c r="J89" s="6"/>
      <c r="K89" s="6"/>
    </row>
    <row r="90" spans="1:11" s="11" customFormat="1" x14ac:dyDescent="0.2">
      <c r="A90" s="6"/>
      <c r="B90" s="6"/>
      <c r="C90" s="6"/>
      <c r="D90" s="6"/>
      <c r="E90" s="6"/>
      <c r="F90" s="8"/>
      <c r="G90" s="14"/>
      <c r="J90" s="6"/>
      <c r="K90" s="6"/>
    </row>
    <row r="91" spans="1:11" s="11" customFormat="1" x14ac:dyDescent="0.2">
      <c r="A91" s="6"/>
      <c r="B91" s="6"/>
      <c r="C91" s="6"/>
      <c r="D91" s="6"/>
      <c r="E91" s="6"/>
      <c r="F91" s="8"/>
      <c r="G91" s="14"/>
      <c r="J91" s="6"/>
      <c r="K91" s="6"/>
    </row>
    <row r="92" spans="1:11" s="11" customFormat="1" x14ac:dyDescent="0.2">
      <c r="A92" s="6"/>
      <c r="B92" s="6"/>
      <c r="C92" s="6"/>
      <c r="D92" s="6"/>
      <c r="E92" s="6"/>
      <c r="F92" s="8"/>
      <c r="G92" s="14"/>
      <c r="J92" s="6"/>
      <c r="K92" s="6"/>
    </row>
    <row r="93" spans="1:11" s="11" customFormat="1" x14ac:dyDescent="0.2">
      <c r="A93" s="6"/>
      <c r="B93" s="6"/>
      <c r="C93" s="6"/>
      <c r="D93" s="6"/>
      <c r="E93" s="6"/>
      <c r="F93" s="8"/>
      <c r="G93" s="14"/>
      <c r="J93" s="6"/>
      <c r="K93" s="6"/>
    </row>
    <row r="94" spans="1:11" s="11" customFormat="1" x14ac:dyDescent="0.2">
      <c r="A94" s="6"/>
      <c r="B94" s="6"/>
      <c r="C94" s="6"/>
      <c r="D94" s="6"/>
      <c r="E94" s="6"/>
      <c r="F94" s="8"/>
      <c r="G94" s="14"/>
      <c r="J94" s="6"/>
      <c r="K94" s="6"/>
    </row>
    <row r="95" spans="1:11" s="11" customFormat="1" x14ac:dyDescent="0.2">
      <c r="A95" s="6"/>
      <c r="B95" s="6"/>
      <c r="C95" s="6"/>
      <c r="D95" s="6"/>
      <c r="E95" s="6"/>
      <c r="F95" s="8"/>
      <c r="G95" s="14"/>
      <c r="J95" s="6"/>
      <c r="K95" s="6"/>
    </row>
    <row r="96" spans="1:11" s="11" customFormat="1" x14ac:dyDescent="0.2">
      <c r="A96" s="6"/>
      <c r="B96" s="6"/>
      <c r="C96" s="6"/>
      <c r="D96" s="6"/>
      <c r="E96" s="6"/>
      <c r="F96" s="8"/>
      <c r="G96" s="14"/>
      <c r="J96" s="6"/>
      <c r="K96" s="6"/>
    </row>
    <row r="97" spans="1:11" s="11" customFormat="1" x14ac:dyDescent="0.2">
      <c r="A97" s="6"/>
      <c r="B97" s="6"/>
      <c r="C97" s="6"/>
      <c r="D97" s="6"/>
      <c r="E97" s="6"/>
      <c r="F97" s="8"/>
      <c r="G97" s="14"/>
      <c r="J97" s="6"/>
      <c r="K97" s="6"/>
    </row>
    <row r="98" spans="1:11" s="11" customFormat="1" x14ac:dyDescent="0.2">
      <c r="A98" s="6"/>
      <c r="B98" s="6"/>
      <c r="C98" s="6"/>
      <c r="D98" s="6"/>
      <c r="E98" s="6"/>
      <c r="F98" s="8"/>
      <c r="G98" s="14"/>
      <c r="J98" s="6"/>
      <c r="K98" s="6"/>
    </row>
    <row r="99" spans="1:11" s="11" customFormat="1" x14ac:dyDescent="0.2">
      <c r="A99" s="6"/>
      <c r="B99" s="6"/>
      <c r="C99" s="6"/>
      <c r="D99" s="6"/>
      <c r="E99" s="6"/>
      <c r="F99" s="8"/>
      <c r="G99" s="14"/>
      <c r="J99" s="6"/>
      <c r="K99" s="6"/>
    </row>
    <row r="100" spans="1:11" s="11" customFormat="1" x14ac:dyDescent="0.2">
      <c r="A100" s="6"/>
      <c r="B100" s="6"/>
      <c r="C100" s="6"/>
      <c r="D100" s="6"/>
      <c r="E100" s="6"/>
      <c r="F100" s="8"/>
      <c r="G100" s="14"/>
      <c r="J100" s="6"/>
      <c r="K100" s="6"/>
    </row>
    <row r="101" spans="1:11" s="11" customFormat="1" x14ac:dyDescent="0.2">
      <c r="A101" s="6"/>
      <c r="B101" s="6"/>
      <c r="C101" s="6"/>
      <c r="D101" s="6"/>
      <c r="E101" s="6"/>
      <c r="F101" s="8"/>
      <c r="G101" s="14"/>
      <c r="J101" s="6"/>
      <c r="K101" s="6"/>
    </row>
    <row r="102" spans="1:11" s="11" customFormat="1" x14ac:dyDescent="0.2">
      <c r="A102" s="6"/>
      <c r="B102" s="6"/>
      <c r="C102" s="6"/>
      <c r="D102" s="6"/>
      <c r="E102" s="6"/>
      <c r="F102" s="8"/>
      <c r="G102" s="14"/>
      <c r="J102" s="6"/>
      <c r="K102" s="6"/>
    </row>
    <row r="103" spans="1:11" s="11" customFormat="1" x14ac:dyDescent="0.2">
      <c r="A103" s="6"/>
      <c r="B103" s="6"/>
      <c r="C103" s="6"/>
      <c r="D103" s="6"/>
      <c r="E103" s="6"/>
      <c r="F103" s="8"/>
      <c r="G103" s="14"/>
      <c r="J103" s="6"/>
      <c r="K103" s="6"/>
    </row>
    <row r="104" spans="1:11" s="11" customFormat="1" x14ac:dyDescent="0.2">
      <c r="A104" s="6"/>
      <c r="B104" s="6"/>
      <c r="C104" s="6"/>
      <c r="D104" s="6"/>
      <c r="E104" s="6"/>
      <c r="F104" s="8"/>
      <c r="G104" s="14"/>
      <c r="J104" s="6"/>
      <c r="K104" s="6"/>
    </row>
    <row r="105" spans="1:11" s="11" customFormat="1" x14ac:dyDescent="0.2">
      <c r="A105" s="6"/>
      <c r="B105" s="6"/>
      <c r="C105" s="6"/>
      <c r="D105" s="6"/>
      <c r="E105" s="6"/>
      <c r="F105" s="8"/>
      <c r="G105" s="14"/>
      <c r="J105" s="6"/>
      <c r="K105" s="6"/>
    </row>
    <row r="106" spans="1:11" s="11" customFormat="1" x14ac:dyDescent="0.2">
      <c r="A106" s="6"/>
      <c r="B106" s="6"/>
      <c r="C106" s="6"/>
      <c r="D106" s="6"/>
      <c r="E106" s="6"/>
      <c r="F106" s="8"/>
      <c r="G106" s="14"/>
      <c r="J106" s="6"/>
      <c r="K106" s="6"/>
    </row>
    <row r="107" spans="1:11" s="11" customFormat="1" x14ac:dyDescent="0.2">
      <c r="A107" s="6"/>
      <c r="B107" s="6"/>
      <c r="C107" s="6"/>
      <c r="D107" s="6"/>
      <c r="E107" s="6"/>
      <c r="F107" s="8"/>
      <c r="G107" s="14"/>
      <c r="J107" s="6"/>
      <c r="K107" s="6"/>
    </row>
    <row r="108" spans="1:11" s="11" customFormat="1" x14ac:dyDescent="0.2">
      <c r="A108" s="6"/>
      <c r="B108" s="6"/>
      <c r="C108" s="6"/>
      <c r="D108" s="6"/>
      <c r="E108" s="6"/>
      <c r="F108" s="8"/>
      <c r="G108" s="14"/>
      <c r="J108" s="6"/>
      <c r="K108" s="6"/>
    </row>
    <row r="109" spans="1:11" s="11" customFormat="1" x14ac:dyDescent="0.2">
      <c r="A109" s="6"/>
      <c r="B109" s="6"/>
      <c r="C109" s="6"/>
      <c r="D109" s="6"/>
      <c r="E109" s="6"/>
      <c r="F109" s="8"/>
      <c r="G109" s="14"/>
      <c r="J109" s="6"/>
      <c r="K109" s="6"/>
    </row>
    <row r="110" spans="1:11" s="11" customFormat="1" x14ac:dyDescent="0.2">
      <c r="A110" s="6"/>
      <c r="B110" s="6"/>
      <c r="C110" s="6"/>
      <c r="D110" s="6"/>
      <c r="E110" s="6"/>
      <c r="F110" s="8"/>
      <c r="G110" s="14"/>
      <c r="J110" s="6"/>
      <c r="K110" s="6"/>
    </row>
    <row r="111" spans="1:11" s="11" customFormat="1" x14ac:dyDescent="0.2">
      <c r="A111" s="6"/>
      <c r="B111" s="6"/>
      <c r="C111" s="6"/>
      <c r="D111" s="6"/>
      <c r="E111" s="6"/>
      <c r="F111" s="8"/>
      <c r="G111" s="14"/>
      <c r="J111" s="6"/>
      <c r="K111" s="6"/>
    </row>
    <row r="112" spans="1:11" s="11" customFormat="1" x14ac:dyDescent="0.2">
      <c r="A112" s="6"/>
      <c r="B112" s="6"/>
      <c r="C112" s="6"/>
      <c r="D112" s="6"/>
      <c r="E112" s="6"/>
      <c r="F112" s="8"/>
      <c r="G112" s="14"/>
      <c r="J112" s="6"/>
      <c r="K112" s="6"/>
    </row>
    <row r="113" spans="1:11" s="11" customFormat="1" x14ac:dyDescent="0.2">
      <c r="A113" s="6"/>
      <c r="B113" s="6"/>
      <c r="C113" s="6"/>
      <c r="D113" s="6"/>
      <c r="E113" s="6"/>
      <c r="F113" s="8"/>
      <c r="G113" s="14"/>
      <c r="J113" s="6"/>
      <c r="K113" s="6"/>
    </row>
    <row r="114" spans="1:11" s="11" customFormat="1" x14ac:dyDescent="0.2">
      <c r="A114" s="6"/>
      <c r="B114" s="6"/>
      <c r="C114" s="6"/>
      <c r="D114" s="6"/>
      <c r="E114" s="6"/>
      <c r="F114" s="8"/>
      <c r="G114" s="14"/>
      <c r="J114" s="6"/>
      <c r="K114" s="6"/>
    </row>
    <row r="115" spans="1:11" s="11" customFormat="1" x14ac:dyDescent="0.2">
      <c r="A115" s="6"/>
      <c r="B115" s="6"/>
      <c r="C115" s="6"/>
      <c r="D115" s="6"/>
      <c r="E115" s="6"/>
      <c r="F115" s="8"/>
      <c r="G115" s="14"/>
      <c r="J115" s="6"/>
      <c r="K115" s="6"/>
    </row>
    <row r="116" spans="1:11" s="11" customFormat="1" x14ac:dyDescent="0.2">
      <c r="A116" s="6"/>
      <c r="B116" s="6"/>
      <c r="C116" s="6"/>
      <c r="D116" s="6"/>
      <c r="E116" s="6"/>
      <c r="F116" s="8"/>
      <c r="G116" s="14"/>
      <c r="J116" s="6"/>
      <c r="K116" s="6"/>
    </row>
    <row r="117" spans="1:11" s="11" customFormat="1" x14ac:dyDescent="0.2">
      <c r="A117" s="6"/>
      <c r="B117" s="6"/>
      <c r="C117" s="6"/>
      <c r="D117" s="6"/>
      <c r="E117" s="6"/>
      <c r="F117" s="8"/>
      <c r="G117" s="14"/>
      <c r="J117" s="6"/>
      <c r="K117" s="6"/>
    </row>
    <row r="118" spans="1:11" s="11" customFormat="1" x14ac:dyDescent="0.2">
      <c r="A118" s="6"/>
      <c r="B118" s="6"/>
      <c r="C118" s="6"/>
      <c r="D118" s="6"/>
      <c r="E118" s="6"/>
      <c r="F118" s="8"/>
      <c r="G118" s="14"/>
      <c r="J118" s="6"/>
      <c r="K118" s="6"/>
    </row>
    <row r="119" spans="1:11" s="11" customFormat="1" x14ac:dyDescent="0.2">
      <c r="A119" s="6"/>
      <c r="B119" s="6"/>
      <c r="C119" s="6"/>
      <c r="D119" s="6"/>
      <c r="E119" s="6"/>
      <c r="F119" s="8"/>
      <c r="G119" s="14"/>
      <c r="J119" s="6"/>
      <c r="K119" s="6"/>
    </row>
    <row r="120" spans="1:11" s="11" customFormat="1" x14ac:dyDescent="0.2">
      <c r="A120" s="6"/>
      <c r="B120" s="6"/>
      <c r="C120" s="6"/>
      <c r="D120" s="6"/>
      <c r="E120" s="6"/>
      <c r="F120" s="8"/>
      <c r="G120" s="14"/>
      <c r="J120" s="6"/>
      <c r="K120" s="6"/>
    </row>
    <row r="121" spans="1:11" s="11" customFormat="1" x14ac:dyDescent="0.2">
      <c r="A121" s="6"/>
      <c r="B121" s="6"/>
      <c r="C121" s="6"/>
      <c r="D121" s="6"/>
      <c r="E121" s="6"/>
      <c r="F121" s="8"/>
      <c r="G121" s="14"/>
      <c r="J121" s="6"/>
      <c r="K121" s="6"/>
    </row>
    <row r="122" spans="1:11" s="11" customFormat="1" x14ac:dyDescent="0.2">
      <c r="A122" s="6"/>
      <c r="B122" s="6"/>
      <c r="C122" s="6"/>
      <c r="D122" s="6"/>
      <c r="E122" s="6"/>
      <c r="F122" s="8"/>
      <c r="G122" s="14"/>
      <c r="J122" s="6"/>
      <c r="K122" s="6"/>
    </row>
    <row r="123" spans="1:11" s="11" customFormat="1" x14ac:dyDescent="0.2">
      <c r="A123" s="6"/>
      <c r="B123" s="6"/>
      <c r="C123" s="6"/>
      <c r="D123" s="6"/>
      <c r="E123" s="6"/>
      <c r="F123" s="8"/>
      <c r="G123" s="14"/>
      <c r="J123" s="6"/>
      <c r="K123" s="6"/>
    </row>
    <row r="124" spans="1:11" s="11" customFormat="1" x14ac:dyDescent="0.2">
      <c r="A124" s="6"/>
      <c r="B124" s="6"/>
      <c r="C124" s="6"/>
      <c r="D124" s="6"/>
      <c r="E124" s="6"/>
      <c r="F124" s="8"/>
      <c r="G124" s="14"/>
      <c r="J124" s="6"/>
      <c r="K124" s="6"/>
    </row>
    <row r="125" spans="1:11" s="11" customFormat="1" x14ac:dyDescent="0.2">
      <c r="A125" s="6"/>
      <c r="B125" s="6"/>
      <c r="C125" s="6"/>
      <c r="D125" s="6"/>
      <c r="E125" s="6"/>
      <c r="F125" s="8"/>
      <c r="G125" s="14"/>
      <c r="J125" s="6"/>
      <c r="K125" s="6"/>
    </row>
    <row r="126" spans="1:11" s="11" customFormat="1" x14ac:dyDescent="0.2">
      <c r="A126" s="6"/>
      <c r="B126" s="6"/>
      <c r="C126" s="6"/>
      <c r="D126" s="6"/>
      <c r="E126" s="6"/>
      <c r="F126" s="8"/>
      <c r="G126" s="14"/>
      <c r="J126" s="6"/>
      <c r="K126" s="6"/>
    </row>
    <row r="127" spans="1:11" s="11" customFormat="1" x14ac:dyDescent="0.2">
      <c r="A127" s="6"/>
      <c r="B127" s="6"/>
      <c r="C127" s="6"/>
      <c r="D127" s="6"/>
      <c r="E127" s="6"/>
      <c r="F127" s="8"/>
      <c r="G127" s="14"/>
      <c r="J127" s="6"/>
      <c r="K127" s="6"/>
    </row>
    <row r="128" spans="1:11" s="11" customFormat="1" x14ac:dyDescent="0.2">
      <c r="A128" s="6"/>
      <c r="B128" s="6"/>
      <c r="C128" s="6"/>
      <c r="D128" s="6"/>
      <c r="E128" s="6"/>
      <c r="F128" s="8"/>
      <c r="G128" s="14"/>
      <c r="J128" s="6"/>
      <c r="K128" s="6"/>
    </row>
    <row r="129" spans="1:11" s="11" customFormat="1" x14ac:dyDescent="0.2">
      <c r="A129" s="6"/>
      <c r="B129" s="6"/>
      <c r="C129" s="6"/>
      <c r="D129" s="6"/>
      <c r="E129" s="6"/>
      <c r="F129" s="8"/>
      <c r="G129" s="14"/>
      <c r="J129" s="6"/>
      <c r="K129" s="6"/>
    </row>
    <row r="130" spans="1:11" s="11" customFormat="1" x14ac:dyDescent="0.2">
      <c r="A130" s="6"/>
      <c r="B130" s="6"/>
      <c r="C130" s="6"/>
      <c r="D130" s="6"/>
      <c r="E130" s="6"/>
      <c r="F130" s="8"/>
      <c r="G130" s="14"/>
      <c r="J130" s="6"/>
      <c r="K130" s="6"/>
    </row>
    <row r="131" spans="1:11" s="11" customFormat="1" x14ac:dyDescent="0.2">
      <c r="A131" s="6"/>
      <c r="B131" s="6"/>
      <c r="C131" s="6"/>
      <c r="D131" s="6"/>
      <c r="E131" s="6"/>
      <c r="F131" s="8"/>
      <c r="G131" s="14"/>
      <c r="J131" s="6"/>
      <c r="K131" s="6"/>
    </row>
    <row r="132" spans="1:11" s="11" customFormat="1" x14ac:dyDescent="0.2">
      <c r="A132" s="6"/>
      <c r="B132" s="6"/>
      <c r="C132" s="6"/>
      <c r="D132" s="6"/>
      <c r="E132" s="6"/>
      <c r="F132" s="8"/>
      <c r="G132" s="14"/>
      <c r="J132" s="6"/>
      <c r="K132" s="6"/>
    </row>
    <row r="133" spans="1:11" s="11" customFormat="1" x14ac:dyDescent="0.2">
      <c r="A133" s="6"/>
      <c r="B133" s="6"/>
      <c r="C133" s="6"/>
      <c r="D133" s="6"/>
      <c r="E133" s="6"/>
      <c r="F133" s="8"/>
      <c r="G133" s="14"/>
      <c r="J133" s="6"/>
      <c r="K133" s="6"/>
    </row>
    <row r="134" spans="1:11" s="11" customFormat="1" x14ac:dyDescent="0.2">
      <c r="A134" s="6"/>
      <c r="B134" s="6"/>
      <c r="C134" s="6"/>
      <c r="D134" s="6"/>
      <c r="E134" s="6"/>
      <c r="F134" s="8"/>
      <c r="G134" s="14"/>
      <c r="J134" s="6"/>
      <c r="K134" s="6"/>
    </row>
    <row r="135" spans="1:11" s="11" customFormat="1" x14ac:dyDescent="0.2">
      <c r="A135" s="6"/>
      <c r="B135" s="6"/>
      <c r="C135" s="6"/>
      <c r="D135" s="6"/>
      <c r="E135" s="6"/>
      <c r="F135" s="8"/>
      <c r="G135" s="14"/>
      <c r="J135" s="6"/>
      <c r="K135" s="6"/>
    </row>
    <row r="136" spans="1:11" s="11" customFormat="1" x14ac:dyDescent="0.2">
      <c r="A136" s="6"/>
      <c r="B136" s="6"/>
      <c r="C136" s="6"/>
      <c r="D136" s="6"/>
      <c r="E136" s="6"/>
      <c r="F136" s="8"/>
      <c r="G136" s="14"/>
      <c r="J136" s="6"/>
      <c r="K136" s="6"/>
    </row>
    <row r="137" spans="1:11" s="11" customFormat="1" x14ac:dyDescent="0.2">
      <c r="A137" s="6"/>
      <c r="B137" s="6"/>
      <c r="C137" s="6"/>
      <c r="D137" s="6"/>
      <c r="E137" s="6"/>
      <c r="F137" s="8"/>
      <c r="G137" s="14"/>
      <c r="J137" s="6"/>
      <c r="K137" s="6"/>
    </row>
    <row r="138" spans="1:11" s="11" customFormat="1" x14ac:dyDescent="0.2">
      <c r="A138" s="6"/>
      <c r="B138" s="6"/>
      <c r="C138" s="6"/>
      <c r="D138" s="6"/>
      <c r="E138" s="6"/>
      <c r="F138" s="8"/>
      <c r="G138" s="14"/>
      <c r="J138" s="6"/>
      <c r="K138" s="6"/>
    </row>
    <row r="139" spans="1:11" s="11" customFormat="1" x14ac:dyDescent="0.2">
      <c r="A139" s="6"/>
      <c r="B139" s="6"/>
      <c r="C139" s="6"/>
      <c r="D139" s="6"/>
      <c r="E139" s="6"/>
      <c r="F139" s="8"/>
      <c r="G139" s="14"/>
      <c r="J139" s="6"/>
      <c r="K139" s="6"/>
    </row>
    <row r="140" spans="1:11" s="11" customFormat="1" x14ac:dyDescent="0.2">
      <c r="A140" s="6"/>
      <c r="B140" s="6"/>
      <c r="C140" s="6"/>
      <c r="D140" s="6"/>
      <c r="E140" s="6"/>
      <c r="F140" s="8"/>
      <c r="G140" s="14"/>
      <c r="J140" s="6"/>
      <c r="K140" s="6"/>
    </row>
    <row r="141" spans="1:11" s="11" customFormat="1" x14ac:dyDescent="0.2">
      <c r="A141" s="6"/>
      <c r="B141" s="6"/>
      <c r="C141" s="6"/>
      <c r="D141" s="6"/>
      <c r="E141" s="6"/>
      <c r="F141" s="8"/>
      <c r="G141" s="14"/>
      <c r="J141" s="6"/>
      <c r="K141" s="6"/>
    </row>
    <row r="142" spans="1:11" s="11" customFormat="1" x14ac:dyDescent="0.2">
      <c r="A142" s="6"/>
      <c r="B142" s="6"/>
      <c r="C142" s="6"/>
      <c r="D142" s="6"/>
      <c r="E142" s="6"/>
      <c r="F142" s="8"/>
      <c r="G142" s="14"/>
      <c r="J142" s="6"/>
      <c r="K142" s="6"/>
    </row>
    <row r="143" spans="1:11" s="11" customFormat="1" x14ac:dyDescent="0.2">
      <c r="A143" s="6"/>
      <c r="B143" s="6"/>
      <c r="C143" s="6"/>
      <c r="D143" s="6"/>
      <c r="E143" s="6"/>
      <c r="F143" s="8"/>
      <c r="G143" s="14"/>
      <c r="J143" s="6"/>
      <c r="K143" s="6"/>
    </row>
    <row r="144" spans="1:11" s="11" customFormat="1" x14ac:dyDescent="0.2">
      <c r="A144" s="6"/>
      <c r="B144" s="6"/>
      <c r="C144" s="6"/>
      <c r="D144" s="6"/>
      <c r="E144" s="6"/>
      <c r="F144" s="8"/>
      <c r="G144" s="14"/>
      <c r="J144" s="6"/>
      <c r="K144" s="6"/>
    </row>
    <row r="145" spans="1:11" s="11" customFormat="1" x14ac:dyDescent="0.2">
      <c r="A145" s="6"/>
      <c r="B145" s="6"/>
      <c r="C145" s="6"/>
      <c r="D145" s="6"/>
      <c r="E145" s="6"/>
      <c r="F145" s="8"/>
      <c r="G145" s="14"/>
      <c r="J145" s="6"/>
      <c r="K145" s="6"/>
    </row>
    <row r="146" spans="1:11" s="11" customFormat="1" x14ac:dyDescent="0.2">
      <c r="A146" s="6"/>
      <c r="B146" s="6"/>
      <c r="C146" s="6"/>
      <c r="D146" s="6"/>
      <c r="E146" s="6"/>
      <c r="F146" s="8"/>
      <c r="G146" s="14"/>
      <c r="J146" s="6"/>
      <c r="K146" s="6"/>
    </row>
    <row r="147" spans="1:11" s="11" customFormat="1" x14ac:dyDescent="0.2">
      <c r="A147" s="6"/>
      <c r="B147" s="6"/>
      <c r="C147" s="6"/>
      <c r="D147" s="6"/>
      <c r="E147" s="6"/>
      <c r="F147" s="8"/>
      <c r="G147" s="14"/>
      <c r="J147" s="6"/>
      <c r="K147" s="6"/>
    </row>
    <row r="148" spans="1:11" s="11" customFormat="1" x14ac:dyDescent="0.2">
      <c r="A148" s="6"/>
      <c r="B148" s="6"/>
      <c r="C148" s="6"/>
      <c r="D148" s="6"/>
      <c r="E148" s="6"/>
      <c r="F148" s="8"/>
      <c r="G148" s="14"/>
      <c r="J148" s="6"/>
      <c r="K148" s="6"/>
    </row>
    <row r="149" spans="1:11" s="11" customFormat="1" x14ac:dyDescent="0.2">
      <c r="A149" s="6"/>
      <c r="B149" s="6"/>
      <c r="C149" s="6"/>
      <c r="D149" s="6"/>
      <c r="E149" s="6"/>
      <c r="F149" s="8"/>
      <c r="G149" s="14"/>
      <c r="J149" s="6"/>
      <c r="K149" s="6"/>
    </row>
    <row r="150" spans="1:11" s="11" customFormat="1" x14ac:dyDescent="0.2">
      <c r="A150" s="6"/>
      <c r="B150" s="6"/>
      <c r="C150" s="6"/>
      <c r="D150" s="6"/>
      <c r="E150" s="6"/>
      <c r="F150" s="8"/>
      <c r="G150" s="14"/>
      <c r="J150" s="6"/>
      <c r="K150" s="6"/>
    </row>
    <row r="151" spans="1:11" s="11" customFormat="1" x14ac:dyDescent="0.2">
      <c r="A151" s="6"/>
      <c r="B151" s="6"/>
      <c r="C151" s="6"/>
      <c r="D151" s="6"/>
      <c r="E151" s="6"/>
      <c r="F151" s="8"/>
      <c r="G151" s="14"/>
      <c r="J151" s="6"/>
      <c r="K151" s="6"/>
    </row>
    <row r="152" spans="1:11" s="11" customFormat="1" x14ac:dyDescent="0.2">
      <c r="A152" s="6"/>
      <c r="B152" s="6"/>
      <c r="C152" s="6"/>
      <c r="D152" s="6"/>
      <c r="E152" s="6"/>
      <c r="F152" s="8"/>
      <c r="G152" s="14"/>
      <c r="J152" s="6"/>
      <c r="K152" s="6"/>
    </row>
    <row r="153" spans="1:11" s="11" customFormat="1" x14ac:dyDescent="0.2">
      <c r="A153" s="6"/>
      <c r="B153" s="6"/>
      <c r="C153" s="6"/>
      <c r="D153" s="6"/>
      <c r="E153" s="6"/>
      <c r="F153" s="8"/>
      <c r="G153" s="14"/>
      <c r="J153" s="6"/>
      <c r="K153" s="6"/>
    </row>
    <row r="154" spans="1:11" s="11" customFormat="1" x14ac:dyDescent="0.2">
      <c r="A154" s="6"/>
      <c r="B154" s="6"/>
      <c r="C154" s="6"/>
      <c r="D154" s="6"/>
      <c r="E154" s="6"/>
      <c r="F154" s="8"/>
      <c r="G154" s="14"/>
      <c r="J154" s="6"/>
      <c r="K154" s="6"/>
    </row>
    <row r="155" spans="1:11" s="11" customFormat="1" x14ac:dyDescent="0.2">
      <c r="A155" s="6"/>
      <c r="B155" s="6"/>
      <c r="C155" s="6"/>
      <c r="D155" s="6"/>
      <c r="E155" s="6"/>
      <c r="F155" s="8"/>
      <c r="G155" s="14"/>
      <c r="J155" s="6"/>
      <c r="K155" s="6"/>
    </row>
    <row r="156" spans="1:11" s="11" customFormat="1" x14ac:dyDescent="0.2">
      <c r="A156" s="6"/>
      <c r="B156" s="6"/>
      <c r="C156" s="6"/>
      <c r="D156" s="6"/>
      <c r="E156" s="6"/>
      <c r="F156" s="8"/>
      <c r="G156" s="14"/>
      <c r="J156" s="6"/>
      <c r="K156" s="6"/>
    </row>
    <row r="157" spans="1:11" s="11" customFormat="1" x14ac:dyDescent="0.2">
      <c r="A157" s="6"/>
      <c r="B157" s="6"/>
      <c r="C157" s="6"/>
      <c r="D157" s="6"/>
      <c r="E157" s="6"/>
      <c r="F157" s="8"/>
      <c r="G157" s="14"/>
      <c r="J157" s="6"/>
      <c r="K157" s="6"/>
    </row>
    <row r="158" spans="1:11" s="11" customFormat="1" x14ac:dyDescent="0.2">
      <c r="A158" s="6"/>
      <c r="B158" s="6"/>
      <c r="C158" s="6"/>
      <c r="D158" s="6"/>
      <c r="E158" s="6"/>
      <c r="F158" s="8"/>
      <c r="G158" s="14"/>
      <c r="J158" s="6"/>
      <c r="K158" s="6"/>
    </row>
    <row r="159" spans="1:11" s="11" customFormat="1" x14ac:dyDescent="0.2">
      <c r="A159" s="6"/>
      <c r="B159" s="6"/>
      <c r="C159" s="6"/>
      <c r="D159" s="6"/>
      <c r="E159" s="6"/>
      <c r="F159" s="8"/>
      <c r="G159" s="14"/>
      <c r="J159" s="6"/>
      <c r="K159" s="6"/>
    </row>
    <row r="160" spans="1:11" s="11" customFormat="1" x14ac:dyDescent="0.2">
      <c r="A160" s="6"/>
      <c r="B160" s="6"/>
      <c r="C160" s="6"/>
      <c r="D160" s="6"/>
      <c r="E160" s="6"/>
      <c r="F160" s="8"/>
      <c r="G160" s="14"/>
      <c r="J160" s="6"/>
      <c r="K160" s="6"/>
    </row>
    <row r="161" spans="1:11" s="11" customFormat="1" x14ac:dyDescent="0.2">
      <c r="A161" s="6"/>
      <c r="B161" s="6"/>
      <c r="C161" s="6"/>
      <c r="D161" s="6"/>
      <c r="E161" s="6"/>
      <c r="F161" s="8"/>
      <c r="G161" s="14"/>
      <c r="J161" s="6"/>
      <c r="K161" s="6"/>
    </row>
    <row r="162" spans="1:11" s="11" customFormat="1" x14ac:dyDescent="0.2">
      <c r="A162" s="6"/>
      <c r="B162" s="6"/>
      <c r="C162" s="6"/>
      <c r="D162" s="6"/>
      <c r="E162" s="6"/>
      <c r="F162" s="8"/>
      <c r="G162" s="14"/>
      <c r="J162" s="6"/>
      <c r="K162" s="6"/>
    </row>
    <row r="163" spans="1:11" s="11" customFormat="1" x14ac:dyDescent="0.2">
      <c r="A163" s="6"/>
      <c r="B163" s="6"/>
      <c r="C163" s="6"/>
      <c r="D163" s="6"/>
      <c r="E163" s="6"/>
      <c r="F163" s="8"/>
      <c r="G163" s="14"/>
      <c r="J163" s="6"/>
      <c r="K163" s="6"/>
    </row>
    <row r="164" spans="1:11" s="11" customFormat="1" x14ac:dyDescent="0.2">
      <c r="A164" s="6"/>
      <c r="B164" s="6"/>
      <c r="C164" s="6"/>
      <c r="D164" s="6"/>
      <c r="E164" s="6"/>
      <c r="F164" s="8"/>
      <c r="G164" s="14"/>
      <c r="J164" s="6"/>
      <c r="K164" s="6"/>
    </row>
    <row r="165" spans="1:11" s="11" customFormat="1" x14ac:dyDescent="0.2">
      <c r="A165" s="6"/>
      <c r="B165" s="6"/>
      <c r="C165" s="6"/>
      <c r="D165" s="6"/>
      <c r="E165" s="6"/>
      <c r="F165" s="8"/>
      <c r="G165" s="14"/>
      <c r="J165" s="6"/>
      <c r="K165" s="6"/>
    </row>
    <row r="166" spans="1:11" s="11" customFormat="1" x14ac:dyDescent="0.2">
      <c r="A166" s="6"/>
      <c r="B166" s="6"/>
      <c r="C166" s="6"/>
      <c r="D166" s="6"/>
      <c r="E166" s="6"/>
      <c r="F166" s="8"/>
      <c r="G166" s="14"/>
      <c r="J166" s="6"/>
      <c r="K166" s="6"/>
    </row>
    <row r="167" spans="1:11" s="11" customFormat="1" x14ac:dyDescent="0.2">
      <c r="A167" s="6"/>
      <c r="B167" s="6"/>
      <c r="C167" s="6"/>
      <c r="D167" s="6"/>
      <c r="E167" s="6"/>
      <c r="F167" s="8"/>
      <c r="G167" s="14"/>
      <c r="J167" s="6"/>
      <c r="K167" s="6"/>
    </row>
    <row r="168" spans="1:11" s="11" customFormat="1" x14ac:dyDescent="0.2">
      <c r="A168" s="6"/>
      <c r="B168" s="6"/>
      <c r="C168" s="6"/>
      <c r="D168" s="6"/>
      <c r="E168" s="6"/>
      <c r="F168" s="8"/>
      <c r="G168" s="14"/>
      <c r="J168" s="6"/>
      <c r="K168" s="6"/>
    </row>
    <row r="169" spans="1:11" s="11" customFormat="1" x14ac:dyDescent="0.2">
      <c r="A169" s="6"/>
      <c r="B169" s="6"/>
      <c r="C169" s="6"/>
      <c r="D169" s="6"/>
      <c r="E169" s="6"/>
      <c r="F169" s="8"/>
      <c r="G169" s="14"/>
      <c r="J169" s="6"/>
      <c r="K169" s="6"/>
    </row>
    <row r="170" spans="1:11" s="11" customFormat="1" x14ac:dyDescent="0.2">
      <c r="A170" s="6"/>
      <c r="B170" s="6"/>
      <c r="C170" s="6"/>
      <c r="D170" s="6"/>
      <c r="E170" s="6"/>
      <c r="F170" s="8"/>
      <c r="G170" s="14"/>
      <c r="J170" s="6"/>
      <c r="K170" s="6"/>
    </row>
    <row r="171" spans="1:11" s="11" customFormat="1" x14ac:dyDescent="0.2">
      <c r="A171" s="6"/>
      <c r="B171" s="6"/>
      <c r="C171" s="6"/>
      <c r="D171" s="6"/>
      <c r="E171" s="6"/>
      <c r="F171" s="8"/>
      <c r="G171" s="14"/>
      <c r="J171" s="6"/>
      <c r="K171" s="6"/>
    </row>
    <row r="172" spans="1:11" s="11" customFormat="1" x14ac:dyDescent="0.2">
      <c r="A172" s="6"/>
      <c r="B172" s="6"/>
      <c r="C172" s="6"/>
      <c r="D172" s="6"/>
      <c r="E172" s="6"/>
      <c r="F172" s="8"/>
      <c r="G172" s="14"/>
      <c r="J172" s="6"/>
      <c r="K172" s="6"/>
    </row>
    <row r="173" spans="1:11" s="11" customFormat="1" x14ac:dyDescent="0.2">
      <c r="A173" s="6"/>
      <c r="B173" s="6"/>
      <c r="C173" s="6"/>
      <c r="D173" s="6"/>
      <c r="E173" s="6"/>
      <c r="F173" s="8"/>
      <c r="G173" s="14"/>
      <c r="J173" s="6"/>
      <c r="K173" s="6"/>
    </row>
    <row r="174" spans="1:11" s="11" customFormat="1" x14ac:dyDescent="0.2">
      <c r="A174" s="6"/>
      <c r="B174" s="6"/>
      <c r="C174" s="6"/>
      <c r="D174" s="6"/>
      <c r="E174" s="6"/>
      <c r="F174" s="8"/>
      <c r="G174" s="14"/>
      <c r="J174" s="6"/>
      <c r="K174" s="6"/>
    </row>
    <row r="175" spans="1:11" s="11" customFormat="1" x14ac:dyDescent="0.2">
      <c r="A175" s="6"/>
      <c r="B175" s="6"/>
      <c r="C175" s="6"/>
      <c r="D175" s="6"/>
      <c r="E175" s="6"/>
      <c r="F175" s="8"/>
      <c r="G175" s="14"/>
      <c r="J175" s="6"/>
      <c r="K175" s="6"/>
    </row>
    <row r="176" spans="1:11" s="11" customFormat="1" x14ac:dyDescent="0.2">
      <c r="A176" s="6"/>
      <c r="B176" s="6"/>
      <c r="C176" s="6"/>
      <c r="D176" s="6"/>
      <c r="E176" s="6"/>
      <c r="F176" s="8"/>
      <c r="G176" s="14"/>
      <c r="J176" s="6"/>
      <c r="K176" s="6"/>
    </row>
    <row r="177" spans="1:11" s="11" customFormat="1" x14ac:dyDescent="0.2">
      <c r="A177" s="6"/>
      <c r="B177" s="6"/>
      <c r="C177" s="6"/>
      <c r="D177" s="6"/>
      <c r="E177" s="6"/>
      <c r="F177" s="8"/>
      <c r="G177" s="14"/>
      <c r="J177" s="6"/>
      <c r="K177" s="6"/>
    </row>
    <row r="178" spans="1:11" s="11" customFormat="1" x14ac:dyDescent="0.2">
      <c r="A178" s="6"/>
      <c r="B178" s="6"/>
      <c r="C178" s="6"/>
      <c r="D178" s="6"/>
      <c r="E178" s="6"/>
      <c r="F178" s="8"/>
      <c r="G178" s="14"/>
      <c r="J178" s="6"/>
      <c r="K178" s="6"/>
    </row>
  </sheetData>
  <mergeCells count="2">
    <mergeCell ref="B1:C1"/>
    <mergeCell ref="B29:I29"/>
  </mergeCells>
  <conditionalFormatting sqref="G1:G3 G5:G28 G30:G178">
    <cfRule type="cellIs" dxfId="10" priority="1" stopIfTrue="1" operator="between">
      <formula>0.009</formula>
      <formula>-0.009</formula>
    </cfRule>
  </conditionalFormatting>
  <hyperlinks>
    <hyperlink ref="A2" location="Index!A1" display="-" xr:uid="{86F78766-7F04-4BD6-B1DB-B55A2EB4414F}"/>
  </hyperlinks>
  <pageMargins left="0.7" right="0.7" top="0.75" bottom="0.75" header="0.3" footer="0.3"/>
  <pageSetup paperSize="9" scale="65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184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02A7B-07F7-42A1-8CDF-5124C9AF5D74}">
  <sheetPr codeName="Sheet4"/>
  <dimension ref="A1:K247"/>
  <sheetViews>
    <sheetView view="pageBreakPreview" zoomScaleNormal="100" zoomScaleSheetLayoutView="100" workbookViewId="0"/>
  </sheetViews>
  <sheetFormatPr defaultColWidth="9.140625" defaultRowHeight="11.25" x14ac:dyDescent="0.2"/>
  <cols>
    <col min="1" max="1" width="7.140625" style="6" customWidth="1"/>
    <col min="2" max="2" width="52.5703125" style="6" bestFit="1" customWidth="1"/>
    <col min="3" max="3" width="11.5703125" style="6" customWidth="1"/>
    <col min="4" max="5" width="13.85546875" style="6" bestFit="1" customWidth="1"/>
    <col min="6" max="6" width="12.7109375" style="8" bestFit="1" customWidth="1"/>
    <col min="7" max="7" width="9.42578125" style="14" customWidth="1"/>
    <col min="8" max="8" width="12.42578125" style="11" customWidth="1"/>
    <col min="9" max="9" width="10.140625" style="11" bestFit="1" customWidth="1"/>
    <col min="10" max="10" width="25.85546875" style="6" customWidth="1"/>
    <col min="11" max="16384" width="9.140625" style="6"/>
  </cols>
  <sheetData>
    <row r="1" spans="1:11" s="1" customFormat="1" ht="16.7" customHeight="1" x14ac:dyDescent="0.2">
      <c r="B1" s="106" t="s">
        <v>12</v>
      </c>
      <c r="C1" s="107"/>
      <c r="D1" s="10"/>
      <c r="F1" s="5"/>
      <c r="G1" s="14"/>
      <c r="H1" s="11"/>
      <c r="I1" s="12"/>
    </row>
    <row r="2" spans="1:11" s="1" customFormat="1" ht="15" x14ac:dyDescent="0.25">
      <c r="A2" s="59" t="s">
        <v>1466</v>
      </c>
      <c r="F2" s="5"/>
      <c r="G2" s="14"/>
      <c r="H2" s="11"/>
      <c r="I2" s="12"/>
    </row>
    <row r="3" spans="1:11" s="1" customFormat="1" ht="12" x14ac:dyDescent="0.2">
      <c r="B3" s="7" t="s">
        <v>9</v>
      </c>
      <c r="C3" s="2"/>
      <c r="D3" s="3"/>
      <c r="E3" s="3"/>
      <c r="F3" s="4"/>
      <c r="G3" s="14"/>
      <c r="H3" s="11"/>
      <c r="I3" s="12"/>
    </row>
    <row r="4" spans="1:11" s="1" customFormat="1" ht="33.75" x14ac:dyDescent="0.2">
      <c r="B4" s="63" t="s">
        <v>7</v>
      </c>
      <c r="C4" s="63" t="s">
        <v>8</v>
      </c>
      <c r="D4" s="64" t="s">
        <v>107</v>
      </c>
      <c r="E4" s="64" t="s">
        <v>0</v>
      </c>
      <c r="F4" s="65" t="s">
        <v>4</v>
      </c>
      <c r="G4" s="66" t="s">
        <v>5</v>
      </c>
      <c r="H4" s="67" t="s">
        <v>6</v>
      </c>
      <c r="I4" s="67" t="s">
        <v>20</v>
      </c>
      <c r="J4" s="13"/>
      <c r="K4" s="9"/>
    </row>
    <row r="5" spans="1:11" x14ac:dyDescent="0.2">
      <c r="B5" s="23" t="s">
        <v>21</v>
      </c>
      <c r="C5" s="24"/>
      <c r="D5" s="24"/>
      <c r="E5" s="24"/>
      <c r="F5" s="25"/>
      <c r="G5" s="26"/>
      <c r="H5" s="27"/>
      <c r="I5" s="27"/>
    </row>
    <row r="6" spans="1:11" x14ac:dyDescent="0.2">
      <c r="B6" s="23" t="s">
        <v>22</v>
      </c>
      <c r="C6" s="24"/>
      <c r="D6" s="24"/>
      <c r="E6" s="24"/>
      <c r="F6" s="25"/>
      <c r="G6" s="26"/>
      <c r="H6" s="27"/>
      <c r="I6" s="27"/>
    </row>
    <row r="7" spans="1:11" x14ac:dyDescent="0.2">
      <c r="B7" s="24" t="s">
        <v>119</v>
      </c>
      <c r="C7" s="24" t="s">
        <v>120</v>
      </c>
      <c r="D7" s="24" t="s">
        <v>35</v>
      </c>
      <c r="E7" s="28">
        <v>7000</v>
      </c>
      <c r="F7" s="25">
        <v>34695.885000000002</v>
      </c>
      <c r="G7" s="26">
        <v>4.8647163234624298</v>
      </c>
      <c r="H7" s="27">
        <v>5.9249000000000003E-2</v>
      </c>
      <c r="I7" s="29"/>
    </row>
    <row r="8" spans="1:11" x14ac:dyDescent="0.2">
      <c r="B8" s="24" t="s">
        <v>121</v>
      </c>
      <c r="C8" s="24" t="s">
        <v>122</v>
      </c>
      <c r="D8" s="24" t="s">
        <v>35</v>
      </c>
      <c r="E8" s="28">
        <v>4300</v>
      </c>
      <c r="F8" s="25">
        <v>21313.444500000001</v>
      </c>
      <c r="G8" s="26">
        <v>2.9883619157822499</v>
      </c>
      <c r="H8" s="27">
        <v>5.9166999999999997E-2</v>
      </c>
      <c r="I8" s="29"/>
    </row>
    <row r="9" spans="1:11" x14ac:dyDescent="0.2">
      <c r="B9" s="24" t="s">
        <v>123</v>
      </c>
      <c r="C9" s="24" t="s">
        <v>124</v>
      </c>
      <c r="D9" s="24" t="s">
        <v>35</v>
      </c>
      <c r="E9" s="28">
        <v>4000</v>
      </c>
      <c r="F9" s="25">
        <v>19845.12</v>
      </c>
      <c r="G9" s="26">
        <v>2.78248787154646</v>
      </c>
      <c r="H9" s="27">
        <v>5.935E-2</v>
      </c>
      <c r="I9" s="29"/>
    </row>
    <row r="10" spans="1:11" x14ac:dyDescent="0.2">
      <c r="B10" s="24" t="s">
        <v>125</v>
      </c>
      <c r="C10" s="24" t="s">
        <v>126</v>
      </c>
      <c r="D10" s="24" t="s">
        <v>35</v>
      </c>
      <c r="E10" s="28">
        <v>4000</v>
      </c>
      <c r="F10" s="25">
        <v>19835.48</v>
      </c>
      <c r="G10" s="26">
        <v>2.7811362453994901</v>
      </c>
      <c r="H10" s="27">
        <v>6.0547999999999998E-2</v>
      </c>
      <c r="I10" s="29"/>
    </row>
    <row r="11" spans="1:11" x14ac:dyDescent="0.2">
      <c r="B11" s="24" t="s">
        <v>127</v>
      </c>
      <c r="C11" s="24" t="s">
        <v>128</v>
      </c>
      <c r="D11" s="24" t="s">
        <v>35</v>
      </c>
      <c r="E11" s="28">
        <v>4000</v>
      </c>
      <c r="F11" s="25">
        <v>19794.36</v>
      </c>
      <c r="G11" s="26">
        <v>2.7753708027477</v>
      </c>
      <c r="H11" s="27">
        <v>5.9249000000000003E-2</v>
      </c>
      <c r="I11" s="29"/>
    </row>
    <row r="12" spans="1:11" x14ac:dyDescent="0.2">
      <c r="B12" s="24" t="s">
        <v>129</v>
      </c>
      <c r="C12" s="24" t="s">
        <v>130</v>
      </c>
      <c r="D12" s="24" t="s">
        <v>35</v>
      </c>
      <c r="E12" s="28">
        <v>3000</v>
      </c>
      <c r="F12" s="25">
        <v>14866.83</v>
      </c>
      <c r="G12" s="26">
        <v>2.0844809284772801</v>
      </c>
      <c r="H12" s="27">
        <v>6.055E-2</v>
      </c>
      <c r="I12" s="29"/>
    </row>
    <row r="13" spans="1:11" x14ac:dyDescent="0.2">
      <c r="B13" s="24" t="s">
        <v>131</v>
      </c>
      <c r="C13" s="24" t="s">
        <v>132</v>
      </c>
      <c r="D13" s="24" t="s">
        <v>35</v>
      </c>
      <c r="E13" s="28">
        <v>3000</v>
      </c>
      <c r="F13" s="25">
        <v>14846.64</v>
      </c>
      <c r="G13" s="26">
        <v>2.0816500849184401</v>
      </c>
      <c r="H13" s="27">
        <v>5.9848999999999999E-2</v>
      </c>
      <c r="I13" s="29"/>
    </row>
    <row r="14" spans="1:11" x14ac:dyDescent="0.2">
      <c r="B14" s="24" t="s">
        <v>133</v>
      </c>
      <c r="C14" s="24" t="s">
        <v>134</v>
      </c>
      <c r="D14" s="24" t="s">
        <v>35</v>
      </c>
      <c r="E14" s="28">
        <v>3000</v>
      </c>
      <c r="F14" s="25">
        <v>14829.42</v>
      </c>
      <c r="G14" s="26">
        <v>2.0792356655978201</v>
      </c>
      <c r="H14" s="27">
        <v>5.9133999999999999E-2</v>
      </c>
      <c r="I14" s="29"/>
    </row>
    <row r="15" spans="1:11" x14ac:dyDescent="0.2">
      <c r="B15" s="24" t="s">
        <v>135</v>
      </c>
      <c r="C15" s="24" t="s">
        <v>136</v>
      </c>
      <c r="D15" s="24" t="s">
        <v>35</v>
      </c>
      <c r="E15" s="28">
        <v>2500</v>
      </c>
      <c r="F15" s="25">
        <v>12433.525</v>
      </c>
      <c r="G15" s="26">
        <v>1.7433067934620601</v>
      </c>
      <c r="H15" s="27">
        <v>5.9135E-2</v>
      </c>
      <c r="I15" s="29"/>
    </row>
    <row r="16" spans="1:11" x14ac:dyDescent="0.2">
      <c r="B16" s="24" t="s">
        <v>137</v>
      </c>
      <c r="C16" s="24" t="s">
        <v>138</v>
      </c>
      <c r="D16" s="24" t="s">
        <v>35</v>
      </c>
      <c r="E16" s="28">
        <v>2000</v>
      </c>
      <c r="F16" s="25">
        <v>9941.61</v>
      </c>
      <c r="G16" s="26">
        <v>1.39391493972548</v>
      </c>
      <c r="H16" s="27">
        <v>5.9548999999999998E-2</v>
      </c>
      <c r="I16" s="29"/>
    </row>
    <row r="17" spans="2:9" x14ac:dyDescent="0.2">
      <c r="B17" s="24" t="s">
        <v>139</v>
      </c>
      <c r="C17" s="24" t="s">
        <v>140</v>
      </c>
      <c r="D17" s="24" t="s">
        <v>35</v>
      </c>
      <c r="E17" s="28">
        <v>2000</v>
      </c>
      <c r="F17" s="25">
        <v>9932.57</v>
      </c>
      <c r="G17" s="26">
        <v>1.3926474396872499</v>
      </c>
      <c r="H17" s="27">
        <v>5.8998000000000002E-2</v>
      </c>
      <c r="I17" s="29"/>
    </row>
    <row r="18" spans="2:9" x14ac:dyDescent="0.2">
      <c r="B18" s="24" t="s">
        <v>141</v>
      </c>
      <c r="C18" s="24" t="s">
        <v>142</v>
      </c>
      <c r="D18" s="24" t="s">
        <v>35</v>
      </c>
      <c r="E18" s="28">
        <v>2000</v>
      </c>
      <c r="F18" s="25">
        <v>9924.5400000000009</v>
      </c>
      <c r="G18" s="26">
        <v>1.3915215519320501</v>
      </c>
      <c r="H18" s="27">
        <v>5.9050999999999999E-2</v>
      </c>
      <c r="I18" s="29"/>
    </row>
    <row r="19" spans="2:9" x14ac:dyDescent="0.2">
      <c r="B19" s="24" t="s">
        <v>143</v>
      </c>
      <c r="C19" s="24" t="s">
        <v>144</v>
      </c>
      <c r="D19" s="24" t="s">
        <v>35</v>
      </c>
      <c r="E19" s="28">
        <v>2000</v>
      </c>
      <c r="F19" s="25">
        <v>9921.91</v>
      </c>
      <c r="G19" s="26">
        <v>1.39115279915544</v>
      </c>
      <c r="H19" s="27">
        <v>5.9852000000000002E-2</v>
      </c>
      <c r="I19" s="29"/>
    </row>
    <row r="20" spans="2:9" x14ac:dyDescent="0.2">
      <c r="B20" s="24" t="s">
        <v>145</v>
      </c>
      <c r="C20" s="24" t="s">
        <v>146</v>
      </c>
      <c r="D20" s="24" t="s">
        <v>35</v>
      </c>
      <c r="E20" s="28">
        <v>2000</v>
      </c>
      <c r="F20" s="25">
        <v>9898.9699999999993</v>
      </c>
      <c r="G20" s="26">
        <v>1.3879363775982301</v>
      </c>
      <c r="H20" s="27">
        <v>5.9133999999999999E-2</v>
      </c>
      <c r="I20" s="29"/>
    </row>
    <row r="21" spans="2:9" x14ac:dyDescent="0.2">
      <c r="B21" s="24" t="s">
        <v>147</v>
      </c>
      <c r="C21" s="24" t="s">
        <v>148</v>
      </c>
      <c r="D21" s="24" t="s">
        <v>35</v>
      </c>
      <c r="E21" s="28">
        <v>2000</v>
      </c>
      <c r="F21" s="25">
        <v>9886.44</v>
      </c>
      <c r="G21" s="26">
        <v>1.38617954402754</v>
      </c>
      <c r="H21" s="27">
        <v>5.9049999999999998E-2</v>
      </c>
      <c r="I21" s="29"/>
    </row>
    <row r="22" spans="2:9" x14ac:dyDescent="0.2">
      <c r="B22" s="24" t="s">
        <v>149</v>
      </c>
      <c r="C22" s="24" t="s">
        <v>150</v>
      </c>
      <c r="D22" s="24" t="s">
        <v>30</v>
      </c>
      <c r="E22" s="28">
        <v>2000</v>
      </c>
      <c r="F22" s="25">
        <v>9884.82</v>
      </c>
      <c r="G22" s="26">
        <v>1.3859524035339601</v>
      </c>
      <c r="H22" s="27">
        <v>5.9901999999999997E-2</v>
      </c>
      <c r="I22" s="29"/>
    </row>
    <row r="23" spans="2:9" x14ac:dyDescent="0.2">
      <c r="B23" s="24" t="s">
        <v>151</v>
      </c>
      <c r="C23" s="24" t="s">
        <v>152</v>
      </c>
      <c r="D23" s="24" t="s">
        <v>153</v>
      </c>
      <c r="E23" s="28">
        <v>2000</v>
      </c>
      <c r="F23" s="25">
        <v>9875.2800000000007</v>
      </c>
      <c r="G23" s="26">
        <v>1.38461479840512</v>
      </c>
      <c r="H23" s="27">
        <v>5.91E-2</v>
      </c>
      <c r="I23" s="29"/>
    </row>
    <row r="24" spans="2:9" x14ac:dyDescent="0.2">
      <c r="B24" s="24" t="s">
        <v>154</v>
      </c>
      <c r="C24" s="24" t="s">
        <v>155</v>
      </c>
      <c r="D24" s="24" t="s">
        <v>35</v>
      </c>
      <c r="E24" s="28">
        <v>1500</v>
      </c>
      <c r="F24" s="25">
        <v>7476.3</v>
      </c>
      <c r="G24" s="26">
        <v>1.04825337786029</v>
      </c>
      <c r="H24" s="27">
        <v>6.0898000000000001E-2</v>
      </c>
      <c r="I24" s="29"/>
    </row>
    <row r="25" spans="2:9" x14ac:dyDescent="0.2">
      <c r="B25" s="24" t="s">
        <v>156</v>
      </c>
      <c r="C25" s="24" t="s">
        <v>157</v>
      </c>
      <c r="D25" s="24" t="s">
        <v>35</v>
      </c>
      <c r="E25" s="28">
        <v>1500</v>
      </c>
      <c r="F25" s="25">
        <v>7442.9324999999999</v>
      </c>
      <c r="G25" s="26">
        <v>1.0435749146384099</v>
      </c>
      <c r="H25" s="27">
        <v>5.9547999999999997E-2</v>
      </c>
      <c r="I25" s="29"/>
    </row>
    <row r="26" spans="2:9" x14ac:dyDescent="0.2">
      <c r="B26" s="24" t="s">
        <v>158</v>
      </c>
      <c r="C26" s="24" t="s">
        <v>159</v>
      </c>
      <c r="D26" s="24" t="s">
        <v>153</v>
      </c>
      <c r="E26" s="28">
        <v>1500</v>
      </c>
      <c r="F26" s="25">
        <v>7425.4575000000004</v>
      </c>
      <c r="G26" s="26">
        <v>1.0411247417215801</v>
      </c>
      <c r="H26" s="27">
        <v>5.9098999999999999E-2</v>
      </c>
      <c r="I26" s="29"/>
    </row>
    <row r="27" spans="2:9" x14ac:dyDescent="0.2">
      <c r="B27" s="24" t="s">
        <v>160</v>
      </c>
      <c r="C27" s="24" t="s">
        <v>161</v>
      </c>
      <c r="D27" s="24" t="s">
        <v>35</v>
      </c>
      <c r="E27" s="28">
        <v>1500</v>
      </c>
      <c r="F27" s="25">
        <v>7419.6450000000004</v>
      </c>
      <c r="G27" s="26">
        <v>1.04030977004323</v>
      </c>
      <c r="H27" s="27">
        <v>5.8999000000000003E-2</v>
      </c>
      <c r="I27" s="29"/>
    </row>
    <row r="28" spans="2:9" x14ac:dyDescent="0.2">
      <c r="B28" s="24" t="s">
        <v>23</v>
      </c>
      <c r="C28" s="24" t="s">
        <v>24</v>
      </c>
      <c r="D28" s="24" t="s">
        <v>25</v>
      </c>
      <c r="E28" s="28">
        <v>1500</v>
      </c>
      <c r="F28" s="25">
        <v>7415.67</v>
      </c>
      <c r="G28" s="26">
        <v>1.0397524345728799</v>
      </c>
      <c r="H28" s="27">
        <v>5.9298999999999998E-2</v>
      </c>
      <c r="I28" s="29"/>
    </row>
    <row r="29" spans="2:9" x14ac:dyDescent="0.2">
      <c r="B29" s="24" t="s">
        <v>162</v>
      </c>
      <c r="C29" s="24" t="s">
        <v>163</v>
      </c>
      <c r="D29" s="24" t="s">
        <v>35</v>
      </c>
      <c r="E29" s="28">
        <v>1400</v>
      </c>
      <c r="F29" s="25">
        <v>6945.9740000000002</v>
      </c>
      <c r="G29" s="26">
        <v>0.973896273294243</v>
      </c>
      <c r="H29" s="27">
        <v>5.9149E-2</v>
      </c>
      <c r="I29" s="29"/>
    </row>
    <row r="30" spans="2:9" x14ac:dyDescent="0.2">
      <c r="B30" s="24" t="s">
        <v>164</v>
      </c>
      <c r="C30" s="24" t="s">
        <v>165</v>
      </c>
      <c r="D30" s="24" t="s">
        <v>35</v>
      </c>
      <c r="E30" s="28">
        <v>1000</v>
      </c>
      <c r="F30" s="25">
        <v>4983.5349999999999</v>
      </c>
      <c r="G30" s="26">
        <v>0.69874234546968195</v>
      </c>
      <c r="H30" s="27">
        <v>6.0304999999999997E-2</v>
      </c>
      <c r="I30" s="29"/>
    </row>
    <row r="31" spans="2:9" x14ac:dyDescent="0.2">
      <c r="B31" s="24" t="s">
        <v>166</v>
      </c>
      <c r="C31" s="24" t="s">
        <v>167</v>
      </c>
      <c r="D31" s="24" t="s">
        <v>153</v>
      </c>
      <c r="E31" s="28">
        <v>1000</v>
      </c>
      <c r="F31" s="25">
        <v>4978.6000000000004</v>
      </c>
      <c r="G31" s="26">
        <v>0.69805040822535802</v>
      </c>
      <c r="H31" s="27">
        <v>6.0350000000000001E-2</v>
      </c>
      <c r="I31" s="29"/>
    </row>
    <row r="32" spans="2:9" x14ac:dyDescent="0.2">
      <c r="B32" s="24" t="s">
        <v>168</v>
      </c>
      <c r="C32" s="24" t="s">
        <v>169</v>
      </c>
      <c r="D32" s="24" t="s">
        <v>30</v>
      </c>
      <c r="E32" s="28">
        <v>1000</v>
      </c>
      <c r="F32" s="25">
        <v>4971</v>
      </c>
      <c r="G32" s="26">
        <v>0.69698481084807995</v>
      </c>
      <c r="H32" s="27">
        <v>5.9153999999999998E-2</v>
      </c>
      <c r="I32" s="29"/>
    </row>
    <row r="33" spans="2:9" x14ac:dyDescent="0.2">
      <c r="B33" s="24" t="s">
        <v>170</v>
      </c>
      <c r="C33" s="24" t="s">
        <v>171</v>
      </c>
      <c r="D33" s="24" t="s">
        <v>35</v>
      </c>
      <c r="E33" s="28">
        <v>1000</v>
      </c>
      <c r="F33" s="25">
        <v>4955.57</v>
      </c>
      <c r="G33" s="26">
        <v>0.694821367751845</v>
      </c>
      <c r="H33" s="27">
        <v>5.9499000000000003E-2</v>
      </c>
      <c r="I33" s="29"/>
    </row>
    <row r="34" spans="2:9" x14ac:dyDescent="0.2">
      <c r="B34" s="24" t="s">
        <v>172</v>
      </c>
      <c r="C34" s="24" t="s">
        <v>173</v>
      </c>
      <c r="D34" s="24" t="s">
        <v>35</v>
      </c>
      <c r="E34" s="28">
        <v>1000</v>
      </c>
      <c r="F34" s="25">
        <v>4953.585</v>
      </c>
      <c r="G34" s="26">
        <v>0.69454305054212195</v>
      </c>
      <c r="H34" s="27">
        <v>6.0000999999999999E-2</v>
      </c>
      <c r="I34" s="29"/>
    </row>
    <row r="35" spans="2:9" x14ac:dyDescent="0.2">
      <c r="B35" s="24" t="s">
        <v>174</v>
      </c>
      <c r="C35" s="24" t="s">
        <v>175</v>
      </c>
      <c r="D35" s="24" t="s">
        <v>35</v>
      </c>
      <c r="E35" s="28">
        <v>1000</v>
      </c>
      <c r="F35" s="25">
        <v>4949.9750000000004</v>
      </c>
      <c r="G35" s="26">
        <v>0.69403689178791494</v>
      </c>
      <c r="H35" s="27">
        <v>5.9499000000000003E-2</v>
      </c>
      <c r="I35" s="29"/>
    </row>
    <row r="36" spans="2:9" x14ac:dyDescent="0.2">
      <c r="B36" s="24" t="s">
        <v>176</v>
      </c>
      <c r="C36" s="24" t="s">
        <v>177</v>
      </c>
      <c r="D36" s="24" t="s">
        <v>35</v>
      </c>
      <c r="E36" s="28">
        <v>1000</v>
      </c>
      <c r="F36" s="25">
        <v>4939.5749999999998</v>
      </c>
      <c r="G36" s="26">
        <v>0.69257870590322002</v>
      </c>
      <c r="H36" s="27">
        <v>5.8749999999999997E-2</v>
      </c>
      <c r="I36" s="29"/>
    </row>
    <row r="37" spans="2:9" x14ac:dyDescent="0.2">
      <c r="B37" s="24" t="s">
        <v>26</v>
      </c>
      <c r="C37" s="24" t="s">
        <v>27</v>
      </c>
      <c r="D37" s="24" t="s">
        <v>25</v>
      </c>
      <c r="E37" s="28">
        <v>1000</v>
      </c>
      <c r="F37" s="25">
        <v>4934.4849999999997</v>
      </c>
      <c r="G37" s="26">
        <v>0.69186503608080696</v>
      </c>
      <c r="H37" s="27">
        <v>5.9098999999999999E-2</v>
      </c>
      <c r="I37" s="29"/>
    </row>
    <row r="38" spans="2:9" x14ac:dyDescent="0.2">
      <c r="B38" s="24" t="s">
        <v>50</v>
      </c>
      <c r="C38" s="24" t="s">
        <v>51</v>
      </c>
      <c r="D38" s="24" t="s">
        <v>35</v>
      </c>
      <c r="E38" s="28">
        <v>800</v>
      </c>
      <c r="F38" s="25">
        <v>3951.364</v>
      </c>
      <c r="G38" s="26">
        <v>0.55402146250893503</v>
      </c>
      <c r="H38" s="27">
        <v>5.9114E-2</v>
      </c>
      <c r="I38" s="29"/>
    </row>
    <row r="39" spans="2:9" x14ac:dyDescent="0.2">
      <c r="B39" s="24" t="s">
        <v>178</v>
      </c>
      <c r="C39" s="24" t="s">
        <v>179</v>
      </c>
      <c r="D39" s="24" t="s">
        <v>153</v>
      </c>
      <c r="E39" s="28">
        <v>500</v>
      </c>
      <c r="F39" s="25">
        <v>2486.6799999999998</v>
      </c>
      <c r="G39" s="26">
        <v>0.34865785343788103</v>
      </c>
      <c r="H39" s="27">
        <v>5.9251999999999999E-2</v>
      </c>
      <c r="I39" s="29"/>
    </row>
    <row r="40" spans="2:9" x14ac:dyDescent="0.2">
      <c r="B40" s="24" t="s">
        <v>180</v>
      </c>
      <c r="C40" s="24" t="s">
        <v>181</v>
      </c>
      <c r="D40" s="24" t="s">
        <v>35</v>
      </c>
      <c r="E40" s="28">
        <v>500</v>
      </c>
      <c r="F40" s="25">
        <v>2486.2049999999999</v>
      </c>
      <c r="G40" s="26">
        <v>0.34859125360180099</v>
      </c>
      <c r="H40" s="27">
        <v>5.9570999999999999E-2</v>
      </c>
      <c r="I40" s="29"/>
    </row>
    <row r="41" spans="2:9" x14ac:dyDescent="0.2">
      <c r="B41" s="24" t="s">
        <v>182</v>
      </c>
      <c r="C41" s="24" t="s">
        <v>183</v>
      </c>
      <c r="D41" s="24" t="s">
        <v>30</v>
      </c>
      <c r="E41" s="28">
        <v>500</v>
      </c>
      <c r="F41" s="25">
        <v>2484.3000000000002</v>
      </c>
      <c r="G41" s="26">
        <v>0.348324153206575</v>
      </c>
      <c r="H41" s="27">
        <v>5.9151000000000002E-2</v>
      </c>
      <c r="I41" s="29"/>
    </row>
    <row r="42" spans="2:9" x14ac:dyDescent="0.2">
      <c r="B42" s="24" t="s">
        <v>184</v>
      </c>
      <c r="C42" s="24" t="s">
        <v>185</v>
      </c>
      <c r="D42" s="24" t="s">
        <v>35</v>
      </c>
      <c r="E42" s="28">
        <v>500</v>
      </c>
      <c r="F42" s="25">
        <v>2478.7125000000001</v>
      </c>
      <c r="G42" s="26">
        <v>0.347540728819005</v>
      </c>
      <c r="H42" s="27">
        <v>5.9147999999999999E-2</v>
      </c>
      <c r="I42" s="29"/>
    </row>
    <row r="43" spans="2:9" x14ac:dyDescent="0.2">
      <c r="B43" s="24" t="s">
        <v>186</v>
      </c>
      <c r="C43" s="24" t="s">
        <v>187</v>
      </c>
      <c r="D43" s="24" t="s">
        <v>35</v>
      </c>
      <c r="E43" s="28">
        <v>500</v>
      </c>
      <c r="F43" s="25">
        <v>2476.9650000000001</v>
      </c>
      <c r="G43" s="26">
        <v>0.34729571152732203</v>
      </c>
      <c r="H43" s="27">
        <v>5.9551E-2</v>
      </c>
      <c r="I43" s="29"/>
    </row>
    <row r="44" spans="2:9" x14ac:dyDescent="0.2">
      <c r="B44" s="24" t="s">
        <v>36</v>
      </c>
      <c r="C44" s="24" t="s">
        <v>37</v>
      </c>
      <c r="D44" s="24" t="s">
        <v>35</v>
      </c>
      <c r="E44" s="28">
        <v>500</v>
      </c>
      <c r="F44" s="25">
        <v>2471.9124999999999</v>
      </c>
      <c r="G44" s="26">
        <v>0.34658729958670398</v>
      </c>
      <c r="H44" s="27">
        <v>5.9248000000000002E-2</v>
      </c>
      <c r="I44" s="29"/>
    </row>
    <row r="45" spans="2:9" x14ac:dyDescent="0.2">
      <c r="B45" s="24" t="s">
        <v>188</v>
      </c>
      <c r="C45" s="24" t="s">
        <v>189</v>
      </c>
      <c r="D45" s="24" t="s">
        <v>153</v>
      </c>
      <c r="E45" s="28">
        <v>400</v>
      </c>
      <c r="F45" s="25">
        <v>1979.8040000000001</v>
      </c>
      <c r="G45" s="26">
        <v>0.277588677621459</v>
      </c>
      <c r="H45" s="27">
        <v>5.9101000000000001E-2</v>
      </c>
      <c r="I45" s="29"/>
    </row>
    <row r="46" spans="2:9" x14ac:dyDescent="0.2">
      <c r="B46" s="23" t="s">
        <v>60</v>
      </c>
      <c r="C46" s="23"/>
      <c r="D46" s="23"/>
      <c r="E46" s="23"/>
      <c r="F46" s="40">
        <f>SUM(F6:F45)</f>
        <v>356335.09149999998</v>
      </c>
      <c r="G46" s="41">
        <f>SUM(G6:G45)</f>
        <v>49.961807754508349</v>
      </c>
      <c r="H46" s="32"/>
      <c r="I46" s="32"/>
    </row>
    <row r="47" spans="2:9" x14ac:dyDescent="0.2">
      <c r="B47" s="23" t="s">
        <v>61</v>
      </c>
      <c r="C47" s="24"/>
      <c r="D47" s="24"/>
      <c r="E47" s="24"/>
      <c r="F47" s="25"/>
      <c r="G47" s="26"/>
      <c r="H47" s="27"/>
      <c r="I47" s="27"/>
    </row>
    <row r="48" spans="2:9" x14ac:dyDescent="0.2">
      <c r="B48" s="24" t="s">
        <v>78</v>
      </c>
      <c r="C48" s="24" t="s">
        <v>79</v>
      </c>
      <c r="D48" s="24" t="s">
        <v>35</v>
      </c>
      <c r="E48" s="28">
        <v>9900</v>
      </c>
      <c r="F48" s="25">
        <v>48873.874499999998</v>
      </c>
      <c r="G48" s="26">
        <v>6.8526148006025602</v>
      </c>
      <c r="H48" s="27">
        <v>5.9949000000000002E-2</v>
      </c>
      <c r="I48" s="29"/>
    </row>
    <row r="49" spans="2:9" x14ac:dyDescent="0.2">
      <c r="B49" s="24" t="s">
        <v>190</v>
      </c>
      <c r="C49" s="24" t="s">
        <v>191</v>
      </c>
      <c r="D49" s="24" t="s">
        <v>35</v>
      </c>
      <c r="E49" s="28">
        <v>5500</v>
      </c>
      <c r="F49" s="25">
        <v>27149.65</v>
      </c>
      <c r="G49" s="26">
        <v>3.8066573465784699</v>
      </c>
      <c r="H49" s="27">
        <v>6.3649999999999998E-2</v>
      </c>
      <c r="I49" s="29"/>
    </row>
    <row r="50" spans="2:9" x14ac:dyDescent="0.2">
      <c r="B50" s="24" t="s">
        <v>192</v>
      </c>
      <c r="C50" s="24" t="s">
        <v>193</v>
      </c>
      <c r="D50" s="24" t="s">
        <v>35</v>
      </c>
      <c r="E50" s="28">
        <v>5000</v>
      </c>
      <c r="F50" s="25">
        <v>24920.875</v>
      </c>
      <c r="G50" s="26">
        <v>3.4941603999283202</v>
      </c>
      <c r="H50" s="27">
        <v>6.0994E-2</v>
      </c>
      <c r="I50" s="29"/>
    </row>
    <row r="51" spans="2:9" x14ac:dyDescent="0.2">
      <c r="B51" s="24" t="s">
        <v>194</v>
      </c>
      <c r="C51" s="24" t="s">
        <v>195</v>
      </c>
      <c r="D51" s="24" t="s">
        <v>35</v>
      </c>
      <c r="E51" s="28">
        <v>4000</v>
      </c>
      <c r="F51" s="25">
        <v>19865.439999999999</v>
      </c>
      <c r="G51" s="26">
        <v>2.7853369424288701</v>
      </c>
      <c r="H51" s="27">
        <v>6.0301E-2</v>
      </c>
      <c r="I51" s="29"/>
    </row>
    <row r="52" spans="2:9" x14ac:dyDescent="0.2">
      <c r="B52" s="24" t="s">
        <v>82</v>
      </c>
      <c r="C52" s="24" t="s">
        <v>83</v>
      </c>
      <c r="D52" s="24" t="s">
        <v>35</v>
      </c>
      <c r="E52" s="28">
        <v>4000</v>
      </c>
      <c r="F52" s="25">
        <v>19737.2</v>
      </c>
      <c r="G52" s="26">
        <v>2.7673563887891199</v>
      </c>
      <c r="H52" s="27">
        <v>6.4798999999999995E-2</v>
      </c>
      <c r="I52" s="29"/>
    </row>
    <row r="53" spans="2:9" x14ac:dyDescent="0.2">
      <c r="B53" s="24" t="s">
        <v>196</v>
      </c>
      <c r="C53" s="24" t="s">
        <v>197</v>
      </c>
      <c r="D53" s="24" t="s">
        <v>35</v>
      </c>
      <c r="E53" s="28">
        <v>3500</v>
      </c>
      <c r="F53" s="25">
        <v>17303.737499999999</v>
      </c>
      <c r="G53" s="26">
        <v>2.4261601706703599</v>
      </c>
      <c r="H53" s="27">
        <v>5.9998999999999997E-2</v>
      </c>
      <c r="I53" s="29"/>
    </row>
    <row r="54" spans="2:9" x14ac:dyDescent="0.2">
      <c r="B54" s="24" t="s">
        <v>198</v>
      </c>
      <c r="C54" s="24" t="s">
        <v>199</v>
      </c>
      <c r="D54" s="24" t="s">
        <v>25</v>
      </c>
      <c r="E54" s="28">
        <v>3000</v>
      </c>
      <c r="F54" s="25">
        <v>14823.674999999999</v>
      </c>
      <c r="G54" s="26">
        <v>2.0784301581067002</v>
      </c>
      <c r="H54" s="27">
        <v>6.4799999999999996E-2</v>
      </c>
      <c r="I54" s="29"/>
    </row>
    <row r="55" spans="2:9" x14ac:dyDescent="0.2">
      <c r="B55" s="24" t="s">
        <v>200</v>
      </c>
      <c r="C55" s="24" t="s">
        <v>201</v>
      </c>
      <c r="D55" s="24" t="s">
        <v>35</v>
      </c>
      <c r="E55" s="28">
        <v>2000</v>
      </c>
      <c r="F55" s="25">
        <v>9936.49</v>
      </c>
      <c r="G55" s="26">
        <v>1.3931970635976301</v>
      </c>
      <c r="H55" s="27">
        <v>6.4804E-2</v>
      </c>
      <c r="I55" s="29"/>
    </row>
    <row r="56" spans="2:9" x14ac:dyDescent="0.2">
      <c r="B56" s="24" t="s">
        <v>202</v>
      </c>
      <c r="C56" s="24" t="s">
        <v>203</v>
      </c>
      <c r="D56" s="24" t="s">
        <v>153</v>
      </c>
      <c r="E56" s="28">
        <v>2000</v>
      </c>
      <c r="F56" s="25">
        <v>9927.81</v>
      </c>
      <c r="G56" s="26">
        <v>1.39198003922464</v>
      </c>
      <c r="H56" s="27">
        <v>6.1723E-2</v>
      </c>
      <c r="I56" s="29"/>
    </row>
    <row r="57" spans="2:9" x14ac:dyDescent="0.2">
      <c r="B57" s="24" t="s">
        <v>204</v>
      </c>
      <c r="C57" s="24" t="s">
        <v>205</v>
      </c>
      <c r="D57" s="24" t="s">
        <v>35</v>
      </c>
      <c r="E57" s="28">
        <v>2000</v>
      </c>
      <c r="F57" s="25">
        <v>9921.7999999999993</v>
      </c>
      <c r="G57" s="26">
        <v>1.3911373760354999</v>
      </c>
      <c r="H57" s="27">
        <v>6.6902000000000003E-2</v>
      </c>
      <c r="I57" s="29"/>
    </row>
    <row r="58" spans="2:9" x14ac:dyDescent="0.2">
      <c r="B58" s="24" t="s">
        <v>206</v>
      </c>
      <c r="C58" s="24" t="s">
        <v>207</v>
      </c>
      <c r="D58" s="24" t="s">
        <v>35</v>
      </c>
      <c r="E58" s="28">
        <v>2000</v>
      </c>
      <c r="F58" s="25">
        <v>9921.52</v>
      </c>
      <c r="G58" s="26">
        <v>1.3910981171847601</v>
      </c>
      <c r="H58" s="27">
        <v>6.0150000000000002E-2</v>
      </c>
      <c r="I58" s="29"/>
    </row>
    <row r="59" spans="2:9" x14ac:dyDescent="0.2">
      <c r="B59" s="24" t="s">
        <v>208</v>
      </c>
      <c r="C59" s="24" t="s">
        <v>209</v>
      </c>
      <c r="D59" s="24" t="s">
        <v>35</v>
      </c>
      <c r="E59" s="28">
        <v>2000</v>
      </c>
      <c r="F59" s="25">
        <v>9911.7999999999993</v>
      </c>
      <c r="G59" s="26">
        <v>1.3897352742233</v>
      </c>
      <c r="H59" s="27">
        <v>6.0151000000000003E-2</v>
      </c>
      <c r="I59" s="29"/>
    </row>
    <row r="60" spans="2:9" x14ac:dyDescent="0.2">
      <c r="B60" s="24" t="s">
        <v>210</v>
      </c>
      <c r="C60" s="24" t="s">
        <v>211</v>
      </c>
      <c r="D60" s="24" t="s">
        <v>35</v>
      </c>
      <c r="E60" s="28">
        <v>2000</v>
      </c>
      <c r="F60" s="25">
        <v>9894.6</v>
      </c>
      <c r="G60" s="26">
        <v>1.3873236591063001</v>
      </c>
      <c r="H60" s="27">
        <v>6.4800999999999997E-2</v>
      </c>
      <c r="I60" s="29"/>
    </row>
    <row r="61" spans="2:9" x14ac:dyDescent="0.2">
      <c r="B61" s="24" t="s">
        <v>212</v>
      </c>
      <c r="C61" s="24" t="s">
        <v>213</v>
      </c>
      <c r="D61" s="24" t="s">
        <v>35</v>
      </c>
      <c r="E61" s="28">
        <v>2000</v>
      </c>
      <c r="F61" s="25">
        <v>9880.7199999999993</v>
      </c>
      <c r="G61" s="26">
        <v>1.38537754179096</v>
      </c>
      <c r="H61" s="27">
        <v>6.4797999999999994E-2</v>
      </c>
      <c r="I61" s="29"/>
    </row>
    <row r="62" spans="2:9" x14ac:dyDescent="0.2">
      <c r="B62" s="24" t="s">
        <v>74</v>
      </c>
      <c r="C62" s="24" t="s">
        <v>75</v>
      </c>
      <c r="D62" s="24" t="s">
        <v>35</v>
      </c>
      <c r="E62" s="28">
        <v>2000</v>
      </c>
      <c r="F62" s="25">
        <v>9877.25</v>
      </c>
      <c r="G62" s="26">
        <v>1.3848910124621201</v>
      </c>
      <c r="H62" s="27">
        <v>6.4800999999999997E-2</v>
      </c>
      <c r="I62" s="29"/>
    </row>
    <row r="63" spans="2:9" x14ac:dyDescent="0.2">
      <c r="B63" s="24" t="s">
        <v>68</v>
      </c>
      <c r="C63" s="24" t="s">
        <v>69</v>
      </c>
      <c r="D63" s="24" t="s">
        <v>35</v>
      </c>
      <c r="E63" s="28">
        <v>2000</v>
      </c>
      <c r="F63" s="25">
        <v>9877.25</v>
      </c>
      <c r="G63" s="26">
        <v>1.3848910124621201</v>
      </c>
      <c r="H63" s="27">
        <v>6.4800999999999997E-2</v>
      </c>
      <c r="I63" s="29"/>
    </row>
    <row r="64" spans="2:9" x14ac:dyDescent="0.2">
      <c r="B64" s="24" t="s">
        <v>214</v>
      </c>
      <c r="C64" s="24" t="s">
        <v>215</v>
      </c>
      <c r="D64" s="24" t="s">
        <v>35</v>
      </c>
      <c r="E64" s="28">
        <v>2000</v>
      </c>
      <c r="F64" s="25">
        <v>9866.8700000000008</v>
      </c>
      <c r="G64" s="26">
        <v>1.38343563078105</v>
      </c>
      <c r="H64" s="27">
        <v>6.4799999999999996E-2</v>
      </c>
      <c r="I64" s="29"/>
    </row>
    <row r="65" spans="2:9" x14ac:dyDescent="0.2">
      <c r="B65" s="24" t="s">
        <v>216</v>
      </c>
      <c r="C65" s="24" t="s">
        <v>217</v>
      </c>
      <c r="D65" s="24" t="s">
        <v>35</v>
      </c>
      <c r="E65" s="28">
        <v>1000</v>
      </c>
      <c r="F65" s="25">
        <v>4960.8549999999996</v>
      </c>
      <c r="G65" s="26">
        <v>0.69556237855959602</v>
      </c>
      <c r="H65" s="27">
        <v>6.0003000000000001E-2</v>
      </c>
      <c r="I65" s="29"/>
    </row>
    <row r="66" spans="2:9" x14ac:dyDescent="0.2">
      <c r="B66" s="24" t="s">
        <v>218</v>
      </c>
      <c r="C66" s="24" t="s">
        <v>219</v>
      </c>
      <c r="D66" s="24" t="s">
        <v>35</v>
      </c>
      <c r="E66" s="28">
        <v>1000</v>
      </c>
      <c r="F66" s="25">
        <v>4949.7550000000001</v>
      </c>
      <c r="G66" s="26">
        <v>0.69400604554804701</v>
      </c>
      <c r="H66" s="27">
        <v>6.5002000000000004E-2</v>
      </c>
      <c r="I66" s="29"/>
    </row>
    <row r="67" spans="2:9" x14ac:dyDescent="0.2">
      <c r="B67" s="24" t="s">
        <v>220</v>
      </c>
      <c r="C67" s="24" t="s">
        <v>221</v>
      </c>
      <c r="D67" s="24" t="s">
        <v>35</v>
      </c>
      <c r="E67" s="28">
        <v>1000</v>
      </c>
      <c r="F67" s="25">
        <v>4947.99</v>
      </c>
      <c r="G67" s="26">
        <v>0.69375857457819201</v>
      </c>
      <c r="H67" s="27">
        <v>5.9950000000000003E-2</v>
      </c>
      <c r="I67" s="29"/>
    </row>
    <row r="68" spans="2:9" x14ac:dyDescent="0.2">
      <c r="B68" s="24" t="s">
        <v>222</v>
      </c>
      <c r="C68" s="24" t="s">
        <v>223</v>
      </c>
      <c r="D68" s="24" t="s">
        <v>153</v>
      </c>
      <c r="E68" s="28">
        <v>1000</v>
      </c>
      <c r="F68" s="25">
        <v>4943.8249999999998</v>
      </c>
      <c r="G68" s="26">
        <v>0.69317459917340796</v>
      </c>
      <c r="H68" s="27">
        <v>6.4802999999999999E-2</v>
      </c>
      <c r="I68" s="29"/>
    </row>
    <row r="69" spans="2:9" x14ac:dyDescent="0.2">
      <c r="B69" s="24" t="s">
        <v>70</v>
      </c>
      <c r="C69" s="24" t="s">
        <v>71</v>
      </c>
      <c r="D69" s="24" t="s">
        <v>35</v>
      </c>
      <c r="E69" s="28">
        <v>1000</v>
      </c>
      <c r="F69" s="25">
        <v>4943.8249999999998</v>
      </c>
      <c r="G69" s="26">
        <v>0.69317459917340796</v>
      </c>
      <c r="H69" s="27">
        <v>6.4802999999999999E-2</v>
      </c>
      <c r="I69" s="29"/>
    </row>
    <row r="70" spans="2:9" x14ac:dyDescent="0.2">
      <c r="B70" s="24" t="s">
        <v>224</v>
      </c>
      <c r="C70" s="24" t="s">
        <v>225</v>
      </c>
      <c r="D70" s="24" t="s">
        <v>153</v>
      </c>
      <c r="E70" s="28">
        <v>500</v>
      </c>
      <c r="F70" s="25">
        <v>2484.3175000000001</v>
      </c>
      <c r="G70" s="26">
        <v>0.34832660688474698</v>
      </c>
      <c r="H70" s="27">
        <v>6.4003000000000004E-2</v>
      </c>
      <c r="I70" s="29"/>
    </row>
    <row r="71" spans="2:9" x14ac:dyDescent="0.2">
      <c r="B71" s="24" t="s">
        <v>226</v>
      </c>
      <c r="C71" s="24" t="s">
        <v>227</v>
      </c>
      <c r="D71" s="24" t="s">
        <v>35</v>
      </c>
      <c r="E71" s="28">
        <v>500</v>
      </c>
      <c r="F71" s="25">
        <v>2474.9549999999999</v>
      </c>
      <c r="G71" s="26">
        <v>0.34701388906306802</v>
      </c>
      <c r="H71" s="27">
        <v>6.4799999999999996E-2</v>
      </c>
      <c r="I71" s="29"/>
    </row>
    <row r="72" spans="2:9" x14ac:dyDescent="0.2">
      <c r="B72" s="24" t="s">
        <v>62</v>
      </c>
      <c r="C72" s="24" t="s">
        <v>63</v>
      </c>
      <c r="D72" s="24" t="s">
        <v>25</v>
      </c>
      <c r="E72" s="28">
        <v>500</v>
      </c>
      <c r="F72" s="25">
        <v>2473.3674999999998</v>
      </c>
      <c r="G72" s="26">
        <v>0.34679130540038</v>
      </c>
      <c r="H72" s="27">
        <v>5.7799999999999997E-2</v>
      </c>
      <c r="I72" s="29"/>
    </row>
    <row r="73" spans="2:9" x14ac:dyDescent="0.2">
      <c r="B73" s="23" t="s">
        <v>60</v>
      </c>
      <c r="C73" s="23"/>
      <c r="D73" s="23"/>
      <c r="E73" s="23"/>
      <c r="F73" s="40">
        <f>SUM(F47:F72)</f>
        <v>303869.45199999999</v>
      </c>
      <c r="G73" s="41">
        <f>SUM(G47:G72)</f>
        <v>42.605590932353635</v>
      </c>
      <c r="H73" s="32"/>
      <c r="I73" s="32"/>
    </row>
    <row r="74" spans="2:9" x14ac:dyDescent="0.2">
      <c r="B74" s="23" t="s">
        <v>90</v>
      </c>
      <c r="C74" s="24"/>
      <c r="D74" s="24"/>
      <c r="E74" s="24"/>
      <c r="F74" s="25"/>
      <c r="G74" s="26"/>
      <c r="H74" s="27"/>
      <c r="I74" s="27"/>
    </row>
    <row r="75" spans="2:9" x14ac:dyDescent="0.2">
      <c r="B75" s="24" t="s">
        <v>228</v>
      </c>
      <c r="C75" s="24" t="s">
        <v>229</v>
      </c>
      <c r="D75" s="24" t="s">
        <v>103</v>
      </c>
      <c r="E75" s="28">
        <v>59000000</v>
      </c>
      <c r="F75" s="25">
        <v>58822.351000000002</v>
      </c>
      <c r="G75" s="26">
        <v>8.2474924935374005</v>
      </c>
      <c r="H75" s="27">
        <v>5.2491999999999997E-2</v>
      </c>
      <c r="I75" s="29"/>
    </row>
    <row r="76" spans="2:9" x14ac:dyDescent="0.2">
      <c r="B76" s="24" t="s">
        <v>230</v>
      </c>
      <c r="C76" s="24" t="s">
        <v>231</v>
      </c>
      <c r="D76" s="24" t="s">
        <v>103</v>
      </c>
      <c r="E76" s="28">
        <v>25000000</v>
      </c>
      <c r="F76" s="25">
        <v>24753.575000000001</v>
      </c>
      <c r="G76" s="26">
        <v>3.4707032366100901</v>
      </c>
      <c r="H76" s="27">
        <v>5.1908999999999997E-2</v>
      </c>
      <c r="I76" s="29"/>
    </row>
    <row r="77" spans="2:9" x14ac:dyDescent="0.2">
      <c r="B77" s="24" t="s">
        <v>232</v>
      </c>
      <c r="C77" s="24" t="s">
        <v>233</v>
      </c>
      <c r="D77" s="24" t="s">
        <v>103</v>
      </c>
      <c r="E77" s="28">
        <v>16500000</v>
      </c>
      <c r="F77" s="25">
        <v>16447.464</v>
      </c>
      <c r="G77" s="26">
        <v>2.3061019080608798</v>
      </c>
      <c r="H77" s="27">
        <v>5.2993999999999999E-2</v>
      </c>
      <c r="I77" s="29"/>
    </row>
    <row r="78" spans="2:9" x14ac:dyDescent="0.2">
      <c r="B78" s="24" t="s">
        <v>234</v>
      </c>
      <c r="C78" s="24" t="s">
        <v>235</v>
      </c>
      <c r="D78" s="24" t="s">
        <v>103</v>
      </c>
      <c r="E78" s="28">
        <v>16000000</v>
      </c>
      <c r="F78" s="25">
        <v>15871.328</v>
      </c>
      <c r="G78" s="26">
        <v>2.2253217750931098</v>
      </c>
      <c r="H78" s="27">
        <v>5.1915000000000003E-2</v>
      </c>
      <c r="I78" s="29"/>
    </row>
    <row r="79" spans="2:9" x14ac:dyDescent="0.2">
      <c r="B79" s="24" t="s">
        <v>236</v>
      </c>
      <c r="C79" s="24" t="s">
        <v>237</v>
      </c>
      <c r="D79" s="24" t="s">
        <v>103</v>
      </c>
      <c r="E79" s="28">
        <v>10000000</v>
      </c>
      <c r="F79" s="25">
        <v>9950.3799999999992</v>
      </c>
      <c r="G79" s="26">
        <v>1.3951445830147899</v>
      </c>
      <c r="H79" s="27">
        <v>5.2005000000000003E-2</v>
      </c>
      <c r="I79" s="29"/>
    </row>
    <row r="80" spans="2:9" x14ac:dyDescent="0.2">
      <c r="B80" s="24" t="s">
        <v>238</v>
      </c>
      <c r="C80" s="24" t="s">
        <v>239</v>
      </c>
      <c r="D80" s="24" t="s">
        <v>103</v>
      </c>
      <c r="E80" s="28">
        <v>10000000</v>
      </c>
      <c r="F80" s="25">
        <v>9939.39</v>
      </c>
      <c r="G80" s="26">
        <v>1.39360367312317</v>
      </c>
      <c r="H80" s="27">
        <v>5.2998999999999998E-2</v>
      </c>
      <c r="I80" s="29"/>
    </row>
    <row r="81" spans="2:9" x14ac:dyDescent="0.2">
      <c r="B81" s="24" t="s">
        <v>240</v>
      </c>
      <c r="C81" s="24" t="s">
        <v>241</v>
      </c>
      <c r="D81" s="24" t="s">
        <v>103</v>
      </c>
      <c r="E81" s="28">
        <v>5000000</v>
      </c>
      <c r="F81" s="25">
        <v>4965.3999999999996</v>
      </c>
      <c r="G81" s="26">
        <v>0.69619963383324401</v>
      </c>
      <c r="H81" s="27">
        <v>5.1909999999999998E-2</v>
      </c>
      <c r="I81" s="29"/>
    </row>
    <row r="82" spans="2:9" x14ac:dyDescent="0.2">
      <c r="B82" s="24" t="s">
        <v>115</v>
      </c>
      <c r="C82" s="24" t="s">
        <v>116</v>
      </c>
      <c r="D82" s="24" t="s">
        <v>103</v>
      </c>
      <c r="E82" s="28">
        <v>3000000</v>
      </c>
      <c r="F82" s="25">
        <v>2993.973</v>
      </c>
      <c r="G82" s="26">
        <v>0.41978549689987099</v>
      </c>
      <c r="H82" s="27">
        <v>5.2483000000000002E-2</v>
      </c>
      <c r="I82" s="29"/>
    </row>
    <row r="83" spans="2:9" x14ac:dyDescent="0.2">
      <c r="B83" s="24" t="s">
        <v>242</v>
      </c>
      <c r="C83" s="24" t="s">
        <v>243</v>
      </c>
      <c r="D83" s="24" t="s">
        <v>103</v>
      </c>
      <c r="E83" s="28">
        <v>2500000</v>
      </c>
      <c r="F83" s="25">
        <v>2489.98</v>
      </c>
      <c r="G83" s="26">
        <v>0.349120547035909</v>
      </c>
      <c r="H83" s="27">
        <v>5.2463999999999997E-2</v>
      </c>
      <c r="I83" s="29"/>
    </row>
    <row r="84" spans="2:9" x14ac:dyDescent="0.2">
      <c r="B84" s="24" t="s">
        <v>244</v>
      </c>
      <c r="C84" s="24" t="s">
        <v>245</v>
      </c>
      <c r="D84" s="24" t="s">
        <v>103</v>
      </c>
      <c r="E84" s="28">
        <v>2500000</v>
      </c>
      <c r="F84" s="25">
        <v>2482.3325</v>
      </c>
      <c r="G84" s="26">
        <v>0.34804828967502399</v>
      </c>
      <c r="H84" s="27">
        <v>5.1959999999999999E-2</v>
      </c>
      <c r="I84" s="29"/>
    </row>
    <row r="85" spans="2:9" x14ac:dyDescent="0.2">
      <c r="B85" s="24" t="s">
        <v>246</v>
      </c>
      <c r="C85" s="24" t="s">
        <v>247</v>
      </c>
      <c r="D85" s="24" t="s">
        <v>103</v>
      </c>
      <c r="E85" s="28">
        <v>1500000</v>
      </c>
      <c r="F85" s="25">
        <v>1490.9085</v>
      </c>
      <c r="G85" s="26">
        <v>0.20904055096847601</v>
      </c>
      <c r="H85" s="27">
        <v>5.2998999999999998E-2</v>
      </c>
      <c r="I85" s="29"/>
    </row>
    <row r="86" spans="2:9" x14ac:dyDescent="0.2">
      <c r="B86" s="24" t="s">
        <v>248</v>
      </c>
      <c r="C86" s="24" t="s">
        <v>249</v>
      </c>
      <c r="D86" s="24" t="s">
        <v>103</v>
      </c>
      <c r="E86" s="28">
        <v>500000</v>
      </c>
      <c r="F86" s="25">
        <v>496.96949999999998</v>
      </c>
      <c r="G86" s="26">
        <v>6.9680183656158703E-2</v>
      </c>
      <c r="H86" s="27">
        <v>5.2998999999999998E-2</v>
      </c>
      <c r="I86" s="29"/>
    </row>
    <row r="87" spans="2:9" x14ac:dyDescent="0.2">
      <c r="B87" s="23" t="s">
        <v>60</v>
      </c>
      <c r="C87" s="23"/>
      <c r="D87" s="23"/>
      <c r="E87" s="23"/>
      <c r="F87" s="33">
        <f>SUM(F74:F86)</f>
        <v>150704.0515</v>
      </c>
      <c r="G87" s="34">
        <f>SUM(G74:G86)</f>
        <v>21.130242371508125</v>
      </c>
      <c r="H87" s="32"/>
      <c r="I87" s="32"/>
    </row>
    <row r="88" spans="2:9" x14ac:dyDescent="0.2">
      <c r="B88" s="39" t="s">
        <v>99</v>
      </c>
      <c r="C88" s="39"/>
      <c r="D88" s="39"/>
      <c r="E88" s="39"/>
      <c r="F88" s="40">
        <f>+F46+F73+F87</f>
        <v>810908.59499999997</v>
      </c>
      <c r="G88" s="41">
        <f>+G46+G73+G87</f>
        <v>113.69764105837012</v>
      </c>
      <c r="H88" s="32"/>
      <c r="I88" s="32"/>
    </row>
    <row r="89" spans="2:9" x14ac:dyDescent="0.2">
      <c r="B89" s="23" t="s">
        <v>100</v>
      </c>
      <c r="C89" s="24"/>
      <c r="D89" s="24"/>
      <c r="E89" s="24"/>
      <c r="F89" s="25"/>
      <c r="G89" s="26"/>
      <c r="H89" s="27"/>
      <c r="I89" s="27"/>
    </row>
    <row r="90" spans="2:9" x14ac:dyDescent="0.2">
      <c r="B90" s="24" t="s">
        <v>250</v>
      </c>
      <c r="C90" s="24" t="s">
        <v>251</v>
      </c>
      <c r="D90" s="24" t="s">
        <v>103</v>
      </c>
      <c r="E90" s="28">
        <v>1522000</v>
      </c>
      <c r="F90" s="25">
        <v>1525.126188</v>
      </c>
      <c r="G90" s="26">
        <v>0.213838219203909</v>
      </c>
      <c r="H90" s="27">
        <v>5.3887999999999998E-2</v>
      </c>
      <c r="I90" s="29"/>
    </row>
    <row r="91" spans="2:9" x14ac:dyDescent="0.2">
      <c r="B91" s="24" t="s">
        <v>252</v>
      </c>
      <c r="C91" s="24" t="s">
        <v>253</v>
      </c>
      <c r="D91" s="24" t="s">
        <v>103</v>
      </c>
      <c r="E91" s="28">
        <v>540000</v>
      </c>
      <c r="F91" s="25">
        <v>541.11293999999998</v>
      </c>
      <c r="G91" s="26">
        <v>7.5869543378263696E-2</v>
      </c>
      <c r="H91" s="27">
        <v>5.4079000000000002E-2</v>
      </c>
      <c r="I91" s="29"/>
    </row>
    <row r="92" spans="2:9" x14ac:dyDescent="0.2">
      <c r="B92" s="24" t="s">
        <v>254</v>
      </c>
      <c r="C92" s="24" t="s">
        <v>255</v>
      </c>
      <c r="D92" s="24" t="s">
        <v>103</v>
      </c>
      <c r="E92" s="28">
        <v>500000</v>
      </c>
      <c r="F92" s="25">
        <v>500.45949999999999</v>
      </c>
      <c r="G92" s="26">
        <v>7.0169517188618996E-2</v>
      </c>
      <c r="H92" s="27">
        <v>5.4079000000000002E-2</v>
      </c>
      <c r="I92" s="29"/>
    </row>
    <row r="93" spans="2:9" x14ac:dyDescent="0.2">
      <c r="B93" s="23" t="s">
        <v>99</v>
      </c>
      <c r="C93" s="23"/>
      <c r="D93" s="23"/>
      <c r="E93" s="23"/>
      <c r="F93" s="40">
        <f>SUM(F90:F92)</f>
        <v>2566.6986280000001</v>
      </c>
      <c r="G93" s="41">
        <f>SUM(G90:G92)</f>
        <v>0.35987727977079165</v>
      </c>
      <c r="H93" s="32"/>
      <c r="I93" s="32"/>
    </row>
    <row r="94" spans="2:9" x14ac:dyDescent="0.2">
      <c r="B94" s="23"/>
      <c r="C94" s="24"/>
      <c r="D94" s="24"/>
      <c r="E94" s="24"/>
      <c r="F94" s="25"/>
      <c r="G94" s="26"/>
      <c r="H94" s="27"/>
      <c r="I94" s="27"/>
    </row>
    <row r="95" spans="2:9" x14ac:dyDescent="0.2">
      <c r="B95" s="23" t="s">
        <v>104</v>
      </c>
      <c r="C95" s="23"/>
      <c r="D95" s="23"/>
      <c r="E95" s="23"/>
      <c r="F95" s="40">
        <v>5.4116048000000001</v>
      </c>
      <c r="G95" s="41">
        <v>7.5876208970278899E-4</v>
      </c>
      <c r="H95" s="38">
        <v>5.3636339999999998E-2</v>
      </c>
      <c r="I95" s="38"/>
    </row>
    <row r="96" spans="2:9" x14ac:dyDescent="0.2">
      <c r="B96" s="24"/>
      <c r="C96" s="24"/>
      <c r="D96" s="24"/>
      <c r="E96" s="24"/>
      <c r="F96" s="25"/>
      <c r="G96" s="26"/>
      <c r="H96" s="27"/>
      <c r="I96" s="27"/>
    </row>
    <row r="97" spans="1:11" x14ac:dyDescent="0.2">
      <c r="B97" s="39" t="s">
        <v>106</v>
      </c>
      <c r="C97" s="39"/>
      <c r="D97" s="39"/>
      <c r="E97" s="39"/>
      <c r="F97" s="40">
        <f>F98-(F46+F73+F87+F93+F95)</f>
        <v>-100265.73660940002</v>
      </c>
      <c r="G97" s="41">
        <f>G98-(G46+G73+G87+G93+G95)</f>
        <v>-14.058277100230612</v>
      </c>
      <c r="H97" s="32"/>
      <c r="I97" s="32"/>
    </row>
    <row r="98" spans="1:11" x14ac:dyDescent="0.2">
      <c r="B98" s="39" t="s">
        <v>105</v>
      </c>
      <c r="C98" s="39"/>
      <c r="D98" s="39"/>
      <c r="E98" s="39"/>
      <c r="F98" s="40">
        <v>713214.96862339997</v>
      </c>
      <c r="G98" s="41">
        <v>100</v>
      </c>
      <c r="H98" s="42"/>
      <c r="I98" s="42"/>
    </row>
    <row r="100" spans="1:11" x14ac:dyDescent="0.2">
      <c r="B100" s="16" t="s">
        <v>1456</v>
      </c>
    </row>
    <row r="101" spans="1:11" x14ac:dyDescent="0.2">
      <c r="B101" s="16" t="s">
        <v>108</v>
      </c>
    </row>
    <row r="102" spans="1:11" ht="39.950000000000003" customHeight="1" x14ac:dyDescent="0.2">
      <c r="B102" s="108" t="s">
        <v>109</v>
      </c>
      <c r="C102" s="108"/>
      <c r="D102" s="108"/>
      <c r="E102" s="108"/>
      <c r="F102" s="108"/>
      <c r="G102" s="108"/>
      <c r="H102" s="108"/>
      <c r="I102" s="108"/>
    </row>
    <row r="104" spans="1:11" x14ac:dyDescent="0.2">
      <c r="B104" s="16" t="s">
        <v>1435</v>
      </c>
    </row>
    <row r="105" spans="1:11" x14ac:dyDescent="0.2">
      <c r="B105" s="16"/>
      <c r="C105" s="16"/>
      <c r="D105" s="44"/>
      <c r="E105" s="16"/>
    </row>
    <row r="106" spans="1:11" x14ac:dyDescent="0.2">
      <c r="D106" s="45"/>
      <c r="E106" s="45"/>
    </row>
    <row r="111" spans="1:11" s="11" customFormat="1" x14ac:dyDescent="0.2">
      <c r="A111" s="6"/>
      <c r="B111" s="6"/>
      <c r="C111" s="6"/>
      <c r="D111" s="6"/>
      <c r="E111" s="6"/>
      <c r="F111" s="8"/>
      <c r="G111" s="14"/>
      <c r="J111" s="6"/>
      <c r="K111" s="6"/>
    </row>
    <row r="112" spans="1:11" s="11" customFormat="1" x14ac:dyDescent="0.2">
      <c r="A112" s="6"/>
      <c r="B112" s="6"/>
      <c r="C112" s="6"/>
      <c r="D112" s="6"/>
      <c r="E112" s="6"/>
      <c r="F112" s="8"/>
      <c r="G112" s="14"/>
      <c r="J112" s="6"/>
      <c r="K112" s="6"/>
    </row>
    <row r="113" spans="1:11" s="11" customFormat="1" x14ac:dyDescent="0.2">
      <c r="A113" s="6"/>
      <c r="B113" s="6"/>
      <c r="C113" s="6"/>
      <c r="D113" s="6"/>
      <c r="E113" s="6"/>
      <c r="F113" s="8"/>
      <c r="G113" s="14"/>
      <c r="J113" s="6"/>
      <c r="K113" s="6"/>
    </row>
    <row r="114" spans="1:11" s="11" customFormat="1" x14ac:dyDescent="0.2">
      <c r="A114" s="6"/>
      <c r="B114" s="6"/>
      <c r="C114" s="6"/>
      <c r="D114" s="6"/>
      <c r="E114" s="6"/>
      <c r="F114" s="8"/>
      <c r="G114" s="14"/>
      <c r="J114" s="6"/>
      <c r="K114" s="6"/>
    </row>
    <row r="115" spans="1:11" s="11" customFormat="1" x14ac:dyDescent="0.2">
      <c r="A115" s="6"/>
      <c r="B115" s="6"/>
      <c r="C115" s="6"/>
      <c r="D115" s="6"/>
      <c r="E115" s="6"/>
      <c r="F115" s="8"/>
      <c r="G115" s="14"/>
      <c r="J115" s="6"/>
      <c r="K115" s="6"/>
    </row>
    <row r="116" spans="1:11" s="11" customFormat="1" x14ac:dyDescent="0.2">
      <c r="A116" s="6"/>
      <c r="B116" s="6"/>
      <c r="C116" s="6"/>
      <c r="D116" s="6"/>
      <c r="E116" s="6"/>
      <c r="F116" s="8"/>
      <c r="G116" s="14"/>
      <c r="J116" s="6"/>
      <c r="K116" s="6"/>
    </row>
    <row r="117" spans="1:11" s="11" customFormat="1" x14ac:dyDescent="0.2">
      <c r="A117" s="6"/>
      <c r="B117" s="6"/>
      <c r="C117" s="6"/>
      <c r="D117" s="6"/>
      <c r="E117" s="6"/>
      <c r="F117" s="8"/>
      <c r="G117" s="14"/>
      <c r="J117" s="6"/>
      <c r="K117" s="6"/>
    </row>
    <row r="118" spans="1:11" s="11" customFormat="1" x14ac:dyDescent="0.2">
      <c r="A118" s="6"/>
      <c r="B118" s="6"/>
      <c r="C118" s="6"/>
      <c r="D118" s="6"/>
      <c r="E118" s="6"/>
      <c r="F118" s="8"/>
      <c r="G118" s="14"/>
      <c r="J118" s="6"/>
      <c r="K118" s="6"/>
    </row>
    <row r="119" spans="1:11" s="11" customFormat="1" x14ac:dyDescent="0.2">
      <c r="A119" s="6"/>
      <c r="B119" s="6"/>
      <c r="C119" s="6"/>
      <c r="D119" s="6"/>
      <c r="E119" s="6"/>
      <c r="F119" s="8"/>
      <c r="G119" s="14"/>
      <c r="J119" s="6"/>
      <c r="K119" s="6"/>
    </row>
    <row r="120" spans="1:11" s="11" customFormat="1" x14ac:dyDescent="0.2">
      <c r="A120" s="6"/>
      <c r="B120" s="6"/>
      <c r="C120" s="6"/>
      <c r="D120" s="6"/>
      <c r="E120" s="6"/>
      <c r="F120" s="8"/>
      <c r="G120" s="14"/>
      <c r="J120" s="6"/>
      <c r="K120" s="6"/>
    </row>
    <row r="121" spans="1:11" s="11" customFormat="1" x14ac:dyDescent="0.2">
      <c r="A121" s="6"/>
      <c r="B121" s="6"/>
      <c r="C121" s="6"/>
      <c r="D121" s="6"/>
      <c r="E121" s="6"/>
      <c r="F121" s="8"/>
      <c r="G121" s="14"/>
      <c r="J121" s="6"/>
      <c r="K121" s="6"/>
    </row>
    <row r="122" spans="1:11" s="11" customFormat="1" x14ac:dyDescent="0.2">
      <c r="A122" s="6"/>
      <c r="B122" s="6"/>
      <c r="C122" s="6"/>
      <c r="D122" s="6"/>
      <c r="E122" s="6"/>
      <c r="F122" s="8"/>
      <c r="G122" s="14"/>
      <c r="J122" s="6"/>
      <c r="K122" s="6"/>
    </row>
    <row r="123" spans="1:11" s="11" customFormat="1" x14ac:dyDescent="0.2">
      <c r="A123" s="6"/>
      <c r="B123" s="6"/>
      <c r="C123" s="6"/>
      <c r="D123" s="6"/>
      <c r="E123" s="6"/>
      <c r="F123" s="8"/>
      <c r="G123" s="14"/>
      <c r="J123" s="6"/>
      <c r="K123" s="6"/>
    </row>
    <row r="124" spans="1:11" s="11" customFormat="1" x14ac:dyDescent="0.2">
      <c r="A124" s="6"/>
      <c r="B124" s="6"/>
      <c r="C124" s="6"/>
      <c r="D124" s="6"/>
      <c r="E124" s="6"/>
      <c r="F124" s="8"/>
      <c r="G124" s="14"/>
      <c r="J124" s="6"/>
      <c r="K124" s="6"/>
    </row>
    <row r="125" spans="1:11" s="11" customFormat="1" x14ac:dyDescent="0.2">
      <c r="A125" s="6"/>
      <c r="B125" s="16" t="s">
        <v>1436</v>
      </c>
      <c r="C125" s="6"/>
      <c r="D125" s="6"/>
      <c r="E125" s="6"/>
      <c r="F125" s="8"/>
      <c r="G125" s="14"/>
      <c r="J125" s="6"/>
      <c r="K125" s="6"/>
    </row>
    <row r="126" spans="1:11" s="11" customFormat="1" x14ac:dyDescent="0.2">
      <c r="A126" s="6"/>
      <c r="B126" s="16" t="s">
        <v>1439</v>
      </c>
      <c r="C126" s="6"/>
      <c r="D126" s="6"/>
      <c r="E126" s="6"/>
      <c r="F126" s="8"/>
      <c r="G126" s="14"/>
      <c r="J126" s="6"/>
      <c r="K126" s="6"/>
    </row>
    <row r="127" spans="1:11" s="11" customFormat="1" x14ac:dyDescent="0.2">
      <c r="A127" s="6"/>
      <c r="B127" s="6"/>
      <c r="C127" s="6"/>
      <c r="D127" s="6"/>
      <c r="E127" s="6"/>
      <c r="F127" s="8"/>
      <c r="G127" s="14"/>
      <c r="J127" s="6"/>
      <c r="K127" s="6"/>
    </row>
    <row r="128" spans="1:11" s="11" customFormat="1" x14ac:dyDescent="0.2">
      <c r="A128" s="6"/>
      <c r="B128" s="6"/>
      <c r="C128" s="6"/>
      <c r="D128" s="6"/>
      <c r="E128" s="6"/>
      <c r="F128" s="8"/>
      <c r="G128" s="14"/>
      <c r="J128" s="6"/>
      <c r="K128" s="6"/>
    </row>
    <row r="129" spans="1:11" s="11" customFormat="1" x14ac:dyDescent="0.2">
      <c r="A129" s="6"/>
      <c r="B129" s="6"/>
      <c r="C129" s="6"/>
      <c r="D129" s="6"/>
      <c r="E129" s="6"/>
      <c r="F129" s="8"/>
      <c r="G129" s="14"/>
      <c r="J129" s="6"/>
      <c r="K129" s="6"/>
    </row>
    <row r="130" spans="1:11" s="11" customFormat="1" x14ac:dyDescent="0.2">
      <c r="A130" s="6"/>
      <c r="B130" s="6"/>
      <c r="C130" s="6"/>
      <c r="D130" s="6"/>
      <c r="E130" s="6"/>
      <c r="F130" s="8"/>
      <c r="G130" s="14"/>
      <c r="J130" s="6"/>
      <c r="K130" s="6"/>
    </row>
    <row r="131" spans="1:11" s="11" customFormat="1" x14ac:dyDescent="0.2">
      <c r="A131" s="6"/>
      <c r="B131" s="6"/>
      <c r="C131" s="6"/>
      <c r="D131" s="6"/>
      <c r="E131" s="6"/>
      <c r="F131" s="8"/>
      <c r="G131" s="14"/>
      <c r="J131" s="6"/>
      <c r="K131" s="6"/>
    </row>
    <row r="132" spans="1:11" s="11" customFormat="1" x14ac:dyDescent="0.2">
      <c r="A132" s="6"/>
      <c r="B132" s="6"/>
      <c r="C132" s="6"/>
      <c r="D132" s="6"/>
      <c r="E132" s="6"/>
      <c r="F132" s="8"/>
      <c r="G132" s="14"/>
      <c r="J132" s="6"/>
      <c r="K132" s="6"/>
    </row>
    <row r="133" spans="1:11" s="11" customFormat="1" x14ac:dyDescent="0.2">
      <c r="A133" s="6"/>
      <c r="B133" s="6"/>
      <c r="C133" s="6"/>
      <c r="D133" s="6"/>
      <c r="E133" s="6"/>
      <c r="F133" s="8"/>
      <c r="G133" s="14"/>
      <c r="J133" s="6"/>
      <c r="K133" s="6"/>
    </row>
    <row r="134" spans="1:11" s="11" customFormat="1" x14ac:dyDescent="0.2">
      <c r="A134" s="6"/>
      <c r="B134" s="6"/>
      <c r="C134" s="6"/>
      <c r="D134" s="6"/>
      <c r="E134" s="6"/>
      <c r="F134" s="8"/>
      <c r="G134" s="14"/>
      <c r="J134" s="6"/>
      <c r="K134" s="6"/>
    </row>
    <row r="135" spans="1:11" s="11" customFormat="1" x14ac:dyDescent="0.2">
      <c r="A135" s="6"/>
      <c r="B135" s="6"/>
      <c r="C135" s="6"/>
      <c r="D135" s="6"/>
      <c r="E135" s="6"/>
      <c r="F135" s="8"/>
      <c r="G135" s="14"/>
      <c r="J135" s="6"/>
      <c r="K135" s="6"/>
    </row>
    <row r="136" spans="1:11" s="11" customFormat="1" x14ac:dyDescent="0.2">
      <c r="A136" s="6"/>
      <c r="B136" s="6"/>
      <c r="C136" s="6"/>
      <c r="D136" s="6"/>
      <c r="E136" s="6"/>
      <c r="F136" s="8"/>
      <c r="G136" s="14"/>
      <c r="J136" s="6"/>
      <c r="K136" s="6"/>
    </row>
    <row r="137" spans="1:11" s="11" customFormat="1" x14ac:dyDescent="0.2">
      <c r="A137" s="6"/>
      <c r="B137" s="6"/>
      <c r="C137" s="6"/>
      <c r="D137" s="6"/>
      <c r="E137" s="6"/>
      <c r="F137" s="8"/>
      <c r="G137" s="14"/>
      <c r="J137" s="6"/>
      <c r="K137" s="6"/>
    </row>
    <row r="138" spans="1:11" s="11" customFormat="1" x14ac:dyDescent="0.2">
      <c r="A138" s="6"/>
      <c r="B138" s="6"/>
      <c r="C138" s="6"/>
      <c r="D138" s="6"/>
      <c r="E138" s="6"/>
      <c r="F138" s="8"/>
      <c r="G138" s="14"/>
      <c r="J138" s="6"/>
      <c r="K138" s="6"/>
    </row>
    <row r="139" spans="1:11" s="11" customFormat="1" x14ac:dyDescent="0.2">
      <c r="A139" s="6"/>
      <c r="B139" s="6"/>
      <c r="C139" s="6"/>
      <c r="D139" s="6"/>
      <c r="E139" s="6"/>
      <c r="F139" s="8"/>
      <c r="G139" s="14"/>
      <c r="J139" s="6"/>
      <c r="K139" s="6"/>
    </row>
    <row r="140" spans="1:11" s="11" customFormat="1" x14ac:dyDescent="0.2">
      <c r="A140" s="6"/>
      <c r="B140" s="6"/>
      <c r="C140" s="6"/>
      <c r="D140" s="6"/>
      <c r="E140" s="6"/>
      <c r="F140" s="8"/>
      <c r="G140" s="14"/>
      <c r="J140" s="6"/>
      <c r="K140" s="6"/>
    </row>
    <row r="141" spans="1:11" s="11" customFormat="1" x14ac:dyDescent="0.2">
      <c r="A141" s="6"/>
      <c r="B141" s="6"/>
      <c r="C141" s="6"/>
      <c r="D141" s="6"/>
      <c r="E141" s="6"/>
      <c r="F141" s="8"/>
      <c r="G141" s="14"/>
      <c r="J141" s="6"/>
      <c r="K141" s="6"/>
    </row>
    <row r="142" spans="1:11" s="11" customFormat="1" x14ac:dyDescent="0.2">
      <c r="A142" s="6"/>
      <c r="B142" s="6"/>
      <c r="C142" s="6"/>
      <c r="D142" s="6"/>
      <c r="E142" s="6"/>
      <c r="F142" s="8"/>
      <c r="G142" s="14"/>
      <c r="J142" s="6"/>
      <c r="K142" s="6"/>
    </row>
    <row r="143" spans="1:11" s="11" customFormat="1" x14ac:dyDescent="0.2">
      <c r="A143" s="6"/>
      <c r="B143" s="6"/>
      <c r="C143" s="6"/>
      <c r="D143" s="6"/>
      <c r="E143" s="6"/>
      <c r="F143" s="8"/>
      <c r="G143" s="14"/>
      <c r="J143" s="6"/>
      <c r="K143" s="6"/>
    </row>
    <row r="144" spans="1:11" s="11" customFormat="1" x14ac:dyDescent="0.2">
      <c r="A144" s="6"/>
      <c r="B144" s="6"/>
      <c r="C144" s="6"/>
      <c r="D144" s="6"/>
      <c r="E144" s="6"/>
      <c r="F144" s="8"/>
      <c r="G144" s="14"/>
      <c r="J144" s="6"/>
      <c r="K144" s="6"/>
    </row>
    <row r="145" spans="1:11" s="11" customFormat="1" x14ac:dyDescent="0.2">
      <c r="A145" s="6"/>
      <c r="B145" s="6"/>
      <c r="C145" s="6"/>
      <c r="D145" s="6"/>
      <c r="E145" s="6"/>
      <c r="F145" s="8"/>
      <c r="G145" s="14"/>
      <c r="J145" s="6"/>
      <c r="K145" s="6"/>
    </row>
    <row r="146" spans="1:11" s="11" customFormat="1" x14ac:dyDescent="0.2">
      <c r="A146" s="6"/>
      <c r="B146" s="6"/>
      <c r="C146" s="6"/>
      <c r="D146" s="6"/>
      <c r="E146" s="6"/>
      <c r="F146" s="8"/>
      <c r="G146" s="14"/>
      <c r="J146" s="6"/>
      <c r="K146" s="6"/>
    </row>
    <row r="147" spans="1:11" s="11" customFormat="1" x14ac:dyDescent="0.2">
      <c r="A147" s="6"/>
      <c r="B147" s="6"/>
      <c r="C147" s="6"/>
      <c r="D147" s="6"/>
      <c r="E147" s="6"/>
      <c r="F147" s="8"/>
      <c r="G147" s="14"/>
      <c r="J147" s="6"/>
      <c r="K147" s="6"/>
    </row>
    <row r="148" spans="1:11" s="11" customFormat="1" x14ac:dyDescent="0.2">
      <c r="A148" s="6"/>
      <c r="B148" s="6"/>
      <c r="C148" s="6"/>
      <c r="D148" s="6"/>
      <c r="E148" s="6"/>
      <c r="F148" s="8"/>
      <c r="G148" s="14"/>
      <c r="J148" s="6"/>
      <c r="K148" s="6"/>
    </row>
    <row r="149" spans="1:11" s="11" customFormat="1" x14ac:dyDescent="0.2">
      <c r="A149" s="6"/>
      <c r="B149" s="6"/>
      <c r="C149" s="6"/>
      <c r="D149" s="6"/>
      <c r="E149" s="6"/>
      <c r="F149" s="8"/>
      <c r="G149" s="14"/>
      <c r="J149" s="6"/>
      <c r="K149" s="6"/>
    </row>
    <row r="150" spans="1:11" s="11" customFormat="1" x14ac:dyDescent="0.2">
      <c r="A150" s="6"/>
      <c r="B150" s="6"/>
      <c r="C150" s="6"/>
      <c r="D150" s="6"/>
      <c r="E150" s="6"/>
      <c r="F150" s="8"/>
      <c r="G150" s="14"/>
      <c r="J150" s="6"/>
      <c r="K150" s="6"/>
    </row>
    <row r="151" spans="1:11" s="11" customFormat="1" x14ac:dyDescent="0.2">
      <c r="A151" s="6"/>
      <c r="B151" s="6"/>
      <c r="C151" s="6"/>
      <c r="D151" s="6"/>
      <c r="E151" s="6"/>
      <c r="F151" s="8"/>
      <c r="G151" s="14"/>
      <c r="J151" s="6"/>
      <c r="K151" s="6"/>
    </row>
    <row r="152" spans="1:11" s="11" customFormat="1" x14ac:dyDescent="0.2">
      <c r="A152" s="6"/>
      <c r="B152" s="6"/>
      <c r="C152" s="6"/>
      <c r="D152" s="6"/>
      <c r="E152" s="6"/>
      <c r="F152" s="8"/>
      <c r="G152" s="14"/>
      <c r="J152" s="6"/>
      <c r="K152" s="6"/>
    </row>
    <row r="153" spans="1:11" s="11" customFormat="1" x14ac:dyDescent="0.2">
      <c r="A153" s="6"/>
      <c r="B153" s="6"/>
      <c r="C153" s="6"/>
      <c r="D153" s="6"/>
      <c r="E153" s="6"/>
      <c r="F153" s="8"/>
      <c r="G153" s="14"/>
      <c r="J153" s="6"/>
      <c r="K153" s="6"/>
    </row>
    <row r="154" spans="1:11" s="11" customFormat="1" x14ac:dyDescent="0.2">
      <c r="A154" s="6"/>
      <c r="B154" s="6"/>
      <c r="C154" s="6"/>
      <c r="D154" s="6"/>
      <c r="E154" s="6"/>
      <c r="F154" s="8"/>
      <c r="G154" s="14"/>
      <c r="J154" s="6"/>
      <c r="K154" s="6"/>
    </row>
    <row r="155" spans="1:11" s="11" customFormat="1" x14ac:dyDescent="0.2">
      <c r="A155" s="6"/>
      <c r="B155" s="6"/>
      <c r="C155" s="6"/>
      <c r="D155" s="6"/>
      <c r="E155" s="6"/>
      <c r="F155" s="8"/>
      <c r="G155" s="14"/>
      <c r="J155" s="6"/>
      <c r="K155" s="6"/>
    </row>
    <row r="156" spans="1:11" s="11" customFormat="1" x14ac:dyDescent="0.2">
      <c r="A156" s="6"/>
      <c r="B156" s="6"/>
      <c r="C156" s="6"/>
      <c r="D156" s="6"/>
      <c r="E156" s="6"/>
      <c r="F156" s="8"/>
      <c r="G156" s="14"/>
      <c r="J156" s="6"/>
      <c r="K156" s="6"/>
    </row>
    <row r="157" spans="1:11" s="11" customFormat="1" x14ac:dyDescent="0.2">
      <c r="A157" s="6"/>
      <c r="B157" s="6"/>
      <c r="C157" s="6"/>
      <c r="D157" s="6"/>
      <c r="E157" s="6"/>
      <c r="F157" s="8"/>
      <c r="G157" s="14"/>
      <c r="J157" s="6"/>
      <c r="K157" s="6"/>
    </row>
    <row r="158" spans="1:11" s="11" customFormat="1" x14ac:dyDescent="0.2">
      <c r="A158" s="6"/>
      <c r="B158" s="6"/>
      <c r="C158" s="6"/>
      <c r="D158" s="6"/>
      <c r="E158" s="6"/>
      <c r="F158" s="8"/>
      <c r="G158" s="14"/>
      <c r="J158" s="6"/>
      <c r="K158" s="6"/>
    </row>
    <row r="159" spans="1:11" s="11" customFormat="1" x14ac:dyDescent="0.2">
      <c r="A159" s="6"/>
      <c r="B159" s="6"/>
      <c r="C159" s="6"/>
      <c r="D159" s="6"/>
      <c r="E159" s="6"/>
      <c r="F159" s="8"/>
      <c r="G159" s="14"/>
      <c r="J159" s="6"/>
      <c r="K159" s="6"/>
    </row>
    <row r="160" spans="1:11" s="11" customFormat="1" x14ac:dyDescent="0.2">
      <c r="A160" s="6"/>
      <c r="B160" s="6"/>
      <c r="C160" s="6"/>
      <c r="D160" s="6"/>
      <c r="E160" s="6"/>
      <c r="F160" s="8"/>
      <c r="G160" s="14"/>
      <c r="J160" s="6"/>
      <c r="K160" s="6"/>
    </row>
    <row r="161" spans="1:11" s="11" customFormat="1" x14ac:dyDescent="0.2">
      <c r="A161" s="6"/>
      <c r="B161" s="6"/>
      <c r="C161" s="6"/>
      <c r="D161" s="6"/>
      <c r="E161" s="6"/>
      <c r="F161" s="8"/>
      <c r="G161" s="14"/>
      <c r="J161" s="6"/>
      <c r="K161" s="6"/>
    </row>
    <row r="162" spans="1:11" s="11" customFormat="1" x14ac:dyDescent="0.2">
      <c r="A162" s="6"/>
      <c r="B162" s="6"/>
      <c r="C162" s="6"/>
      <c r="D162" s="6"/>
      <c r="E162" s="6"/>
      <c r="F162" s="8"/>
      <c r="G162" s="14"/>
      <c r="J162" s="6"/>
      <c r="K162" s="6"/>
    </row>
    <row r="163" spans="1:11" s="11" customFormat="1" x14ac:dyDescent="0.2">
      <c r="A163" s="6"/>
      <c r="B163" s="6"/>
      <c r="C163" s="6"/>
      <c r="D163" s="6"/>
      <c r="E163" s="6"/>
      <c r="F163" s="8"/>
      <c r="G163" s="14"/>
      <c r="J163" s="6"/>
      <c r="K163" s="6"/>
    </row>
    <row r="164" spans="1:11" s="11" customFormat="1" x14ac:dyDescent="0.2">
      <c r="A164" s="6"/>
      <c r="B164" s="6"/>
      <c r="C164" s="6"/>
      <c r="D164" s="6"/>
      <c r="E164" s="6"/>
      <c r="F164" s="8"/>
      <c r="G164" s="14"/>
      <c r="J164" s="6"/>
      <c r="K164" s="6"/>
    </row>
    <row r="165" spans="1:11" s="11" customFormat="1" x14ac:dyDescent="0.2">
      <c r="A165" s="6"/>
      <c r="B165" s="6"/>
      <c r="C165" s="6"/>
      <c r="D165" s="6"/>
      <c r="E165" s="6"/>
      <c r="F165" s="8"/>
      <c r="G165" s="14"/>
      <c r="J165" s="6"/>
      <c r="K165" s="6"/>
    </row>
    <row r="166" spans="1:11" s="11" customFormat="1" x14ac:dyDescent="0.2">
      <c r="A166" s="6"/>
      <c r="B166" s="6"/>
      <c r="C166" s="6"/>
      <c r="D166" s="6"/>
      <c r="E166" s="6"/>
      <c r="F166" s="8"/>
      <c r="G166" s="14"/>
      <c r="J166" s="6"/>
      <c r="K166" s="6"/>
    </row>
    <row r="167" spans="1:11" s="11" customFormat="1" x14ac:dyDescent="0.2">
      <c r="A167" s="6"/>
      <c r="B167" s="6"/>
      <c r="C167" s="6"/>
      <c r="D167" s="6"/>
      <c r="E167" s="6"/>
      <c r="F167" s="8"/>
      <c r="G167" s="14"/>
      <c r="J167" s="6"/>
      <c r="K167" s="6"/>
    </row>
    <row r="168" spans="1:11" s="11" customFormat="1" x14ac:dyDescent="0.2">
      <c r="A168" s="6"/>
      <c r="B168" s="6"/>
      <c r="C168" s="6"/>
      <c r="D168" s="6"/>
      <c r="E168" s="6"/>
      <c r="F168" s="8"/>
      <c r="G168" s="14"/>
      <c r="J168" s="6"/>
      <c r="K168" s="6"/>
    </row>
    <row r="169" spans="1:11" s="11" customFormat="1" x14ac:dyDescent="0.2">
      <c r="A169" s="6"/>
      <c r="B169" s="6"/>
      <c r="C169" s="6"/>
      <c r="D169" s="6"/>
      <c r="E169" s="6"/>
      <c r="F169" s="8"/>
      <c r="G169" s="14"/>
      <c r="J169" s="6"/>
      <c r="K169" s="6"/>
    </row>
    <row r="170" spans="1:11" s="11" customFormat="1" x14ac:dyDescent="0.2">
      <c r="A170" s="6"/>
      <c r="B170" s="6"/>
      <c r="C170" s="6"/>
      <c r="D170" s="6"/>
      <c r="E170" s="6"/>
      <c r="F170" s="8"/>
      <c r="G170" s="14"/>
      <c r="J170" s="6"/>
      <c r="K170" s="6"/>
    </row>
    <row r="171" spans="1:11" s="11" customFormat="1" x14ac:dyDescent="0.2">
      <c r="A171" s="6"/>
      <c r="B171" s="6"/>
      <c r="C171" s="6"/>
      <c r="D171" s="6"/>
      <c r="E171" s="6"/>
      <c r="F171" s="8"/>
      <c r="G171" s="14"/>
      <c r="J171" s="6"/>
      <c r="K171" s="6"/>
    </row>
    <row r="172" spans="1:11" s="11" customFormat="1" x14ac:dyDescent="0.2">
      <c r="A172" s="6"/>
      <c r="B172" s="6"/>
      <c r="C172" s="6"/>
      <c r="D172" s="6"/>
      <c r="E172" s="6"/>
      <c r="F172" s="8"/>
      <c r="G172" s="14"/>
      <c r="J172" s="6"/>
      <c r="K172" s="6"/>
    </row>
    <row r="173" spans="1:11" s="11" customFormat="1" x14ac:dyDescent="0.2">
      <c r="A173" s="6"/>
      <c r="B173" s="6"/>
      <c r="C173" s="6"/>
      <c r="D173" s="6"/>
      <c r="E173" s="6"/>
      <c r="F173" s="8"/>
      <c r="G173" s="14"/>
      <c r="J173" s="6"/>
      <c r="K173" s="6"/>
    </row>
    <row r="174" spans="1:11" s="11" customFormat="1" x14ac:dyDescent="0.2">
      <c r="A174" s="6"/>
      <c r="B174" s="6"/>
      <c r="C174" s="6"/>
      <c r="D174" s="6"/>
      <c r="E174" s="6"/>
      <c r="F174" s="8"/>
      <c r="G174" s="14"/>
      <c r="J174" s="6"/>
      <c r="K174" s="6"/>
    </row>
    <row r="175" spans="1:11" s="11" customFormat="1" x14ac:dyDescent="0.2">
      <c r="A175" s="6"/>
      <c r="B175" s="6"/>
      <c r="C175" s="6"/>
      <c r="D175" s="6"/>
      <c r="E175" s="6"/>
      <c r="F175" s="8"/>
      <c r="G175" s="14"/>
      <c r="J175" s="6"/>
      <c r="K175" s="6"/>
    </row>
    <row r="176" spans="1:11" s="11" customFormat="1" x14ac:dyDescent="0.2">
      <c r="A176" s="6"/>
      <c r="B176" s="6"/>
      <c r="C176" s="6"/>
      <c r="D176" s="6"/>
      <c r="E176" s="6"/>
      <c r="F176" s="8"/>
      <c r="G176" s="14"/>
      <c r="J176" s="6"/>
      <c r="K176" s="6"/>
    </row>
    <row r="177" spans="1:11" s="11" customFormat="1" x14ac:dyDescent="0.2">
      <c r="A177" s="6"/>
      <c r="B177" s="6"/>
      <c r="C177" s="6"/>
      <c r="D177" s="6"/>
      <c r="E177" s="6"/>
      <c r="F177" s="8"/>
      <c r="G177" s="14"/>
      <c r="J177" s="6"/>
      <c r="K177" s="6"/>
    </row>
    <row r="178" spans="1:11" s="11" customFormat="1" x14ac:dyDescent="0.2">
      <c r="A178" s="6"/>
      <c r="B178" s="6"/>
      <c r="C178" s="6"/>
      <c r="D178" s="6"/>
      <c r="E178" s="6"/>
      <c r="F178" s="8"/>
      <c r="G178" s="14"/>
      <c r="J178" s="6"/>
      <c r="K178" s="6"/>
    </row>
    <row r="179" spans="1:11" s="11" customFormat="1" x14ac:dyDescent="0.2">
      <c r="A179" s="6"/>
      <c r="B179" s="6"/>
      <c r="C179" s="6"/>
      <c r="D179" s="6"/>
      <c r="E179" s="6"/>
      <c r="F179" s="8"/>
      <c r="G179" s="14"/>
      <c r="J179" s="6"/>
      <c r="K179" s="6"/>
    </row>
    <row r="180" spans="1:11" s="11" customFormat="1" x14ac:dyDescent="0.2">
      <c r="A180" s="6"/>
      <c r="B180" s="6"/>
      <c r="C180" s="6"/>
      <c r="D180" s="6"/>
      <c r="E180" s="6"/>
      <c r="F180" s="8"/>
      <c r="G180" s="14"/>
      <c r="J180" s="6"/>
      <c r="K180" s="6"/>
    </row>
    <row r="181" spans="1:11" s="11" customFormat="1" x14ac:dyDescent="0.2">
      <c r="A181" s="6"/>
      <c r="B181" s="6"/>
      <c r="C181" s="6"/>
      <c r="D181" s="6"/>
      <c r="E181" s="6"/>
      <c r="F181" s="8"/>
      <c r="G181" s="14"/>
      <c r="J181" s="6"/>
      <c r="K181" s="6"/>
    </row>
    <row r="182" spans="1:11" s="11" customFormat="1" x14ac:dyDescent="0.2">
      <c r="A182" s="6"/>
      <c r="B182" s="6"/>
      <c r="C182" s="6"/>
      <c r="D182" s="6"/>
      <c r="E182" s="6"/>
      <c r="F182" s="8"/>
      <c r="G182" s="14"/>
      <c r="J182" s="6"/>
      <c r="K182" s="6"/>
    </row>
    <row r="183" spans="1:11" s="11" customFormat="1" x14ac:dyDescent="0.2">
      <c r="A183" s="6"/>
      <c r="B183" s="6"/>
      <c r="C183" s="6"/>
      <c r="D183" s="6"/>
      <c r="E183" s="6"/>
      <c r="F183" s="8"/>
      <c r="G183" s="14"/>
      <c r="J183" s="6"/>
      <c r="K183" s="6"/>
    </row>
    <row r="184" spans="1:11" s="11" customFormat="1" x14ac:dyDescent="0.2">
      <c r="A184" s="6"/>
      <c r="B184" s="6"/>
      <c r="C184" s="6"/>
      <c r="D184" s="6"/>
      <c r="E184" s="6"/>
      <c r="F184" s="8"/>
      <c r="G184" s="14"/>
      <c r="J184" s="6"/>
      <c r="K184" s="6"/>
    </row>
    <row r="185" spans="1:11" s="11" customFormat="1" x14ac:dyDescent="0.2">
      <c r="A185" s="6"/>
      <c r="B185" s="6"/>
      <c r="C185" s="6"/>
      <c r="D185" s="6"/>
      <c r="E185" s="6"/>
      <c r="F185" s="8"/>
      <c r="G185" s="14"/>
      <c r="J185" s="6"/>
      <c r="K185" s="6"/>
    </row>
    <row r="186" spans="1:11" s="11" customFormat="1" x14ac:dyDescent="0.2">
      <c r="A186" s="6"/>
      <c r="B186" s="6"/>
      <c r="C186" s="6"/>
      <c r="D186" s="6"/>
      <c r="E186" s="6"/>
      <c r="F186" s="8"/>
      <c r="G186" s="14"/>
      <c r="J186" s="6"/>
      <c r="K186" s="6"/>
    </row>
    <row r="187" spans="1:11" s="11" customFormat="1" x14ac:dyDescent="0.2">
      <c r="A187" s="6"/>
      <c r="B187" s="6"/>
      <c r="C187" s="6"/>
      <c r="D187" s="6"/>
      <c r="E187" s="6"/>
      <c r="F187" s="8"/>
      <c r="G187" s="14"/>
      <c r="J187" s="6"/>
      <c r="K187" s="6"/>
    </row>
    <row r="188" spans="1:11" s="11" customFormat="1" x14ac:dyDescent="0.2">
      <c r="A188" s="6"/>
      <c r="B188" s="6"/>
      <c r="C188" s="6"/>
      <c r="D188" s="6"/>
      <c r="E188" s="6"/>
      <c r="F188" s="8"/>
      <c r="G188" s="14"/>
      <c r="J188" s="6"/>
      <c r="K188" s="6"/>
    </row>
    <row r="189" spans="1:11" s="11" customFormat="1" x14ac:dyDescent="0.2">
      <c r="A189" s="6"/>
      <c r="B189" s="6"/>
      <c r="C189" s="6"/>
      <c r="D189" s="6"/>
      <c r="E189" s="6"/>
      <c r="F189" s="8"/>
      <c r="G189" s="14"/>
      <c r="J189" s="6"/>
      <c r="K189" s="6"/>
    </row>
    <row r="190" spans="1:11" s="11" customFormat="1" x14ac:dyDescent="0.2">
      <c r="A190" s="6"/>
      <c r="B190" s="6"/>
      <c r="C190" s="6"/>
      <c r="D190" s="6"/>
      <c r="E190" s="6"/>
      <c r="F190" s="8"/>
      <c r="G190" s="14"/>
      <c r="J190" s="6"/>
      <c r="K190" s="6"/>
    </row>
    <row r="191" spans="1:11" s="11" customFormat="1" x14ac:dyDescent="0.2">
      <c r="A191" s="6"/>
      <c r="B191" s="6"/>
      <c r="C191" s="6"/>
      <c r="D191" s="6"/>
      <c r="E191" s="6"/>
      <c r="F191" s="8"/>
      <c r="G191" s="14"/>
      <c r="J191" s="6"/>
      <c r="K191" s="6"/>
    </row>
    <row r="192" spans="1:11" s="11" customFormat="1" x14ac:dyDescent="0.2">
      <c r="A192" s="6"/>
      <c r="B192" s="6"/>
      <c r="C192" s="6"/>
      <c r="D192" s="6"/>
      <c r="E192" s="6"/>
      <c r="F192" s="8"/>
      <c r="G192" s="14"/>
      <c r="J192" s="6"/>
      <c r="K192" s="6"/>
    </row>
    <row r="193" spans="1:11" s="11" customFormat="1" x14ac:dyDescent="0.2">
      <c r="A193" s="6"/>
      <c r="B193" s="6"/>
      <c r="C193" s="6"/>
      <c r="D193" s="6"/>
      <c r="E193" s="6"/>
      <c r="F193" s="8"/>
      <c r="G193" s="14"/>
      <c r="J193" s="6"/>
      <c r="K193" s="6"/>
    </row>
    <row r="194" spans="1:11" s="11" customFormat="1" x14ac:dyDescent="0.2">
      <c r="A194" s="6"/>
      <c r="B194" s="6"/>
      <c r="C194" s="6"/>
      <c r="D194" s="6"/>
      <c r="E194" s="6"/>
      <c r="F194" s="8"/>
      <c r="G194" s="14"/>
      <c r="J194" s="6"/>
      <c r="K194" s="6"/>
    </row>
    <row r="195" spans="1:11" s="11" customFormat="1" x14ac:dyDescent="0.2">
      <c r="A195" s="6"/>
      <c r="B195" s="6"/>
      <c r="C195" s="6"/>
      <c r="D195" s="6"/>
      <c r="E195" s="6"/>
      <c r="F195" s="8"/>
      <c r="G195" s="14"/>
      <c r="J195" s="6"/>
      <c r="K195" s="6"/>
    </row>
    <row r="196" spans="1:11" s="11" customFormat="1" x14ac:dyDescent="0.2">
      <c r="A196" s="6"/>
      <c r="B196" s="6"/>
      <c r="C196" s="6"/>
      <c r="D196" s="6"/>
      <c r="E196" s="6"/>
      <c r="F196" s="8"/>
      <c r="G196" s="14"/>
      <c r="J196" s="6"/>
      <c r="K196" s="6"/>
    </row>
    <row r="197" spans="1:11" s="11" customFormat="1" x14ac:dyDescent="0.2">
      <c r="A197" s="6"/>
      <c r="B197" s="6"/>
      <c r="C197" s="6"/>
      <c r="D197" s="6"/>
      <c r="E197" s="6"/>
      <c r="F197" s="8"/>
      <c r="G197" s="14"/>
      <c r="J197" s="6"/>
      <c r="K197" s="6"/>
    </row>
    <row r="198" spans="1:11" s="11" customFormat="1" x14ac:dyDescent="0.2">
      <c r="A198" s="6"/>
      <c r="B198" s="6"/>
      <c r="C198" s="6"/>
      <c r="D198" s="6"/>
      <c r="E198" s="6"/>
      <c r="F198" s="8"/>
      <c r="G198" s="14"/>
      <c r="J198" s="6"/>
      <c r="K198" s="6"/>
    </row>
    <row r="199" spans="1:11" s="11" customFormat="1" x14ac:dyDescent="0.2">
      <c r="A199" s="6"/>
      <c r="B199" s="6"/>
      <c r="C199" s="6"/>
      <c r="D199" s="6"/>
      <c r="E199" s="6"/>
      <c r="F199" s="8"/>
      <c r="G199" s="14"/>
      <c r="J199" s="6"/>
      <c r="K199" s="6"/>
    </row>
    <row r="200" spans="1:11" s="11" customFormat="1" x14ac:dyDescent="0.2">
      <c r="A200" s="6"/>
      <c r="B200" s="6"/>
      <c r="C200" s="6"/>
      <c r="D200" s="6"/>
      <c r="E200" s="6"/>
      <c r="F200" s="8"/>
      <c r="G200" s="14"/>
      <c r="J200" s="6"/>
      <c r="K200" s="6"/>
    </row>
    <row r="201" spans="1:11" s="11" customFormat="1" x14ac:dyDescent="0.2">
      <c r="A201" s="6"/>
      <c r="B201" s="6"/>
      <c r="C201" s="6"/>
      <c r="D201" s="6"/>
      <c r="E201" s="6"/>
      <c r="F201" s="8"/>
      <c r="G201" s="14"/>
      <c r="J201" s="6"/>
      <c r="K201" s="6"/>
    </row>
    <row r="202" spans="1:11" s="11" customFormat="1" x14ac:dyDescent="0.2">
      <c r="A202" s="6"/>
      <c r="B202" s="6"/>
      <c r="C202" s="6"/>
      <c r="D202" s="6"/>
      <c r="E202" s="6"/>
      <c r="F202" s="8"/>
      <c r="G202" s="14"/>
      <c r="J202" s="6"/>
      <c r="K202" s="6"/>
    </row>
    <row r="203" spans="1:11" s="11" customFormat="1" x14ac:dyDescent="0.2">
      <c r="A203" s="6"/>
      <c r="B203" s="6"/>
      <c r="C203" s="6"/>
      <c r="D203" s="6"/>
      <c r="E203" s="6"/>
      <c r="F203" s="8"/>
      <c r="G203" s="14"/>
      <c r="J203" s="6"/>
      <c r="K203" s="6"/>
    </row>
    <row r="204" spans="1:11" s="11" customFormat="1" x14ac:dyDescent="0.2">
      <c r="A204" s="6"/>
      <c r="B204" s="6"/>
      <c r="C204" s="6"/>
      <c r="D204" s="6"/>
      <c r="E204" s="6"/>
      <c r="F204" s="8"/>
      <c r="G204" s="14"/>
      <c r="J204" s="6"/>
      <c r="K204" s="6"/>
    </row>
    <row r="205" spans="1:11" s="11" customFormat="1" x14ac:dyDescent="0.2">
      <c r="A205" s="6"/>
      <c r="B205" s="6"/>
      <c r="C205" s="6"/>
      <c r="D205" s="6"/>
      <c r="E205" s="6"/>
      <c r="F205" s="8"/>
      <c r="G205" s="14"/>
      <c r="J205" s="6"/>
      <c r="K205" s="6"/>
    </row>
    <row r="206" spans="1:11" s="11" customFormat="1" x14ac:dyDescent="0.2">
      <c r="A206" s="6"/>
      <c r="B206" s="6"/>
      <c r="C206" s="6"/>
      <c r="D206" s="6"/>
      <c r="E206" s="6"/>
      <c r="F206" s="8"/>
      <c r="G206" s="14"/>
      <c r="J206" s="6"/>
      <c r="K206" s="6"/>
    </row>
    <row r="207" spans="1:11" s="11" customFormat="1" x14ac:dyDescent="0.2">
      <c r="A207" s="6"/>
      <c r="B207" s="6"/>
      <c r="C207" s="6"/>
      <c r="D207" s="6"/>
      <c r="E207" s="6"/>
      <c r="F207" s="8"/>
      <c r="G207" s="14"/>
      <c r="J207" s="6"/>
      <c r="K207" s="6"/>
    </row>
    <row r="208" spans="1:11" s="11" customFormat="1" x14ac:dyDescent="0.2">
      <c r="A208" s="6"/>
      <c r="B208" s="6"/>
      <c r="C208" s="6"/>
      <c r="D208" s="6"/>
      <c r="E208" s="6"/>
      <c r="F208" s="8"/>
      <c r="G208" s="14"/>
      <c r="J208" s="6"/>
      <c r="K208" s="6"/>
    </row>
    <row r="209" spans="1:11" s="11" customFormat="1" x14ac:dyDescent="0.2">
      <c r="A209" s="6"/>
      <c r="B209" s="6"/>
      <c r="C209" s="6"/>
      <c r="D209" s="6"/>
      <c r="E209" s="6"/>
      <c r="F209" s="8"/>
      <c r="G209" s="14"/>
      <c r="J209" s="6"/>
      <c r="K209" s="6"/>
    </row>
    <row r="210" spans="1:11" s="11" customFormat="1" x14ac:dyDescent="0.2">
      <c r="A210" s="6"/>
      <c r="B210" s="6"/>
      <c r="C210" s="6"/>
      <c r="D210" s="6"/>
      <c r="E210" s="6"/>
      <c r="F210" s="8"/>
      <c r="G210" s="14"/>
      <c r="J210" s="6"/>
      <c r="K210" s="6"/>
    </row>
    <row r="211" spans="1:11" s="11" customFormat="1" x14ac:dyDescent="0.2">
      <c r="A211" s="6"/>
      <c r="B211" s="6"/>
      <c r="C211" s="6"/>
      <c r="D211" s="6"/>
      <c r="E211" s="6"/>
      <c r="F211" s="8"/>
      <c r="G211" s="14"/>
      <c r="J211" s="6"/>
      <c r="K211" s="6"/>
    </row>
    <row r="212" spans="1:11" s="11" customFormat="1" x14ac:dyDescent="0.2">
      <c r="A212" s="6"/>
      <c r="B212" s="6"/>
      <c r="C212" s="6"/>
      <c r="D212" s="6"/>
      <c r="E212" s="6"/>
      <c r="F212" s="8"/>
      <c r="G212" s="14"/>
      <c r="J212" s="6"/>
      <c r="K212" s="6"/>
    </row>
    <row r="213" spans="1:11" s="11" customFormat="1" x14ac:dyDescent="0.2">
      <c r="A213" s="6"/>
      <c r="B213" s="6"/>
      <c r="C213" s="6"/>
      <c r="D213" s="6"/>
      <c r="E213" s="6"/>
      <c r="F213" s="8"/>
      <c r="G213" s="14"/>
      <c r="J213" s="6"/>
      <c r="K213" s="6"/>
    </row>
    <row r="214" spans="1:11" s="11" customFormat="1" x14ac:dyDescent="0.2">
      <c r="A214" s="6"/>
      <c r="B214" s="6"/>
      <c r="C214" s="6"/>
      <c r="D214" s="6"/>
      <c r="E214" s="6"/>
      <c r="F214" s="8"/>
      <c r="G214" s="14"/>
      <c r="J214" s="6"/>
      <c r="K214" s="6"/>
    </row>
    <row r="215" spans="1:11" s="11" customFormat="1" x14ac:dyDescent="0.2">
      <c r="A215" s="6"/>
      <c r="B215" s="6"/>
      <c r="C215" s="6"/>
      <c r="D215" s="6"/>
      <c r="E215" s="6"/>
      <c r="F215" s="8"/>
      <c r="G215" s="14"/>
      <c r="J215" s="6"/>
      <c r="K215" s="6"/>
    </row>
    <row r="216" spans="1:11" s="11" customFormat="1" x14ac:dyDescent="0.2">
      <c r="A216" s="6"/>
      <c r="B216" s="6"/>
      <c r="C216" s="6"/>
      <c r="D216" s="6"/>
      <c r="E216" s="6"/>
      <c r="F216" s="8"/>
      <c r="G216" s="14"/>
      <c r="J216" s="6"/>
      <c r="K216" s="6"/>
    </row>
    <row r="217" spans="1:11" s="11" customFormat="1" x14ac:dyDescent="0.2">
      <c r="A217" s="6"/>
      <c r="B217" s="6"/>
      <c r="C217" s="6"/>
      <c r="D217" s="6"/>
      <c r="E217" s="6"/>
      <c r="F217" s="8"/>
      <c r="G217" s="14"/>
      <c r="J217" s="6"/>
      <c r="K217" s="6"/>
    </row>
    <row r="218" spans="1:11" s="11" customFormat="1" x14ac:dyDescent="0.2">
      <c r="A218" s="6"/>
      <c r="B218" s="6"/>
      <c r="C218" s="6"/>
      <c r="D218" s="6"/>
      <c r="E218" s="6"/>
      <c r="F218" s="8"/>
      <c r="G218" s="14"/>
      <c r="J218" s="6"/>
      <c r="K218" s="6"/>
    </row>
    <row r="219" spans="1:11" s="11" customFormat="1" x14ac:dyDescent="0.2">
      <c r="A219" s="6"/>
      <c r="B219" s="6"/>
      <c r="C219" s="6"/>
      <c r="D219" s="6"/>
      <c r="E219" s="6"/>
      <c r="F219" s="8"/>
      <c r="G219" s="14"/>
      <c r="J219" s="6"/>
      <c r="K219" s="6"/>
    </row>
    <row r="220" spans="1:11" s="11" customFormat="1" x14ac:dyDescent="0.2">
      <c r="A220" s="6"/>
      <c r="B220" s="6"/>
      <c r="C220" s="6"/>
      <c r="D220" s="6"/>
      <c r="E220" s="6"/>
      <c r="F220" s="8"/>
      <c r="G220" s="14"/>
      <c r="J220" s="6"/>
      <c r="K220" s="6"/>
    </row>
    <row r="221" spans="1:11" s="11" customFormat="1" x14ac:dyDescent="0.2">
      <c r="A221" s="6"/>
      <c r="B221" s="6"/>
      <c r="C221" s="6"/>
      <c r="D221" s="6"/>
      <c r="E221" s="6"/>
      <c r="F221" s="8"/>
      <c r="G221" s="14"/>
      <c r="J221" s="6"/>
      <c r="K221" s="6"/>
    </row>
    <row r="222" spans="1:11" s="11" customFormat="1" x14ac:dyDescent="0.2">
      <c r="A222" s="6"/>
      <c r="B222" s="6"/>
      <c r="C222" s="6"/>
      <c r="D222" s="6"/>
      <c r="E222" s="6"/>
      <c r="F222" s="8"/>
      <c r="G222" s="14"/>
      <c r="J222" s="6"/>
      <c r="K222" s="6"/>
    </row>
    <row r="223" spans="1:11" s="11" customFormat="1" x14ac:dyDescent="0.2">
      <c r="A223" s="6"/>
      <c r="B223" s="6"/>
      <c r="C223" s="6"/>
      <c r="D223" s="6"/>
      <c r="E223" s="6"/>
      <c r="F223" s="8"/>
      <c r="G223" s="14"/>
      <c r="J223" s="6"/>
      <c r="K223" s="6"/>
    </row>
    <row r="224" spans="1:11" s="11" customFormat="1" x14ac:dyDescent="0.2">
      <c r="A224" s="6"/>
      <c r="B224" s="6"/>
      <c r="C224" s="6"/>
      <c r="D224" s="6"/>
      <c r="E224" s="6"/>
      <c r="F224" s="8"/>
      <c r="G224" s="14"/>
      <c r="J224" s="6"/>
      <c r="K224" s="6"/>
    </row>
    <row r="225" spans="1:11" s="11" customFormat="1" x14ac:dyDescent="0.2">
      <c r="A225" s="6"/>
      <c r="B225" s="6"/>
      <c r="C225" s="6"/>
      <c r="D225" s="6"/>
      <c r="E225" s="6"/>
      <c r="F225" s="8"/>
      <c r="G225" s="14"/>
      <c r="J225" s="6"/>
      <c r="K225" s="6"/>
    </row>
    <row r="226" spans="1:11" s="11" customFormat="1" x14ac:dyDescent="0.2">
      <c r="A226" s="6"/>
      <c r="B226" s="6"/>
      <c r="C226" s="6"/>
      <c r="D226" s="6"/>
      <c r="E226" s="6"/>
      <c r="F226" s="8"/>
      <c r="G226" s="14"/>
      <c r="J226" s="6"/>
      <c r="K226" s="6"/>
    </row>
    <row r="227" spans="1:11" s="11" customFormat="1" x14ac:dyDescent="0.2">
      <c r="A227" s="6"/>
      <c r="B227" s="6"/>
      <c r="C227" s="6"/>
      <c r="D227" s="6"/>
      <c r="E227" s="6"/>
      <c r="F227" s="8"/>
      <c r="G227" s="14"/>
      <c r="J227" s="6"/>
      <c r="K227" s="6"/>
    </row>
    <row r="228" spans="1:11" s="11" customFormat="1" x14ac:dyDescent="0.2">
      <c r="A228" s="6"/>
      <c r="B228" s="6"/>
      <c r="C228" s="6"/>
      <c r="D228" s="6"/>
      <c r="E228" s="6"/>
      <c r="F228" s="8"/>
      <c r="G228" s="14"/>
      <c r="J228" s="6"/>
      <c r="K228" s="6"/>
    </row>
    <row r="229" spans="1:11" s="11" customFormat="1" x14ac:dyDescent="0.2">
      <c r="A229" s="6"/>
      <c r="B229" s="6"/>
      <c r="C229" s="6"/>
      <c r="D229" s="6"/>
      <c r="E229" s="6"/>
      <c r="F229" s="8"/>
      <c r="G229" s="14"/>
      <c r="J229" s="6"/>
      <c r="K229" s="6"/>
    </row>
    <row r="230" spans="1:11" s="11" customFormat="1" x14ac:dyDescent="0.2">
      <c r="A230" s="6"/>
      <c r="B230" s="6"/>
      <c r="C230" s="6"/>
      <c r="D230" s="6"/>
      <c r="E230" s="6"/>
      <c r="F230" s="8"/>
      <c r="G230" s="14"/>
      <c r="J230" s="6"/>
      <c r="K230" s="6"/>
    </row>
    <row r="231" spans="1:11" s="11" customFormat="1" x14ac:dyDescent="0.2">
      <c r="A231" s="6"/>
      <c r="B231" s="6"/>
      <c r="C231" s="6"/>
      <c r="D231" s="6"/>
      <c r="E231" s="6"/>
      <c r="F231" s="8"/>
      <c r="G231" s="14"/>
      <c r="J231" s="6"/>
      <c r="K231" s="6"/>
    </row>
    <row r="232" spans="1:11" s="11" customFormat="1" x14ac:dyDescent="0.2">
      <c r="A232" s="6"/>
      <c r="B232" s="6"/>
      <c r="C232" s="6"/>
      <c r="D232" s="6"/>
      <c r="E232" s="6"/>
      <c r="F232" s="8"/>
      <c r="G232" s="14"/>
      <c r="J232" s="6"/>
      <c r="K232" s="6"/>
    </row>
    <row r="233" spans="1:11" s="11" customFormat="1" x14ac:dyDescent="0.2">
      <c r="A233" s="6"/>
      <c r="B233" s="6"/>
      <c r="C233" s="6"/>
      <c r="D233" s="6"/>
      <c r="E233" s="6"/>
      <c r="F233" s="8"/>
      <c r="G233" s="14"/>
      <c r="J233" s="6"/>
      <c r="K233" s="6"/>
    </row>
    <row r="234" spans="1:11" s="11" customFormat="1" x14ac:dyDescent="0.2">
      <c r="A234" s="6"/>
      <c r="B234" s="6"/>
      <c r="C234" s="6"/>
      <c r="D234" s="6"/>
      <c r="E234" s="6"/>
      <c r="F234" s="8"/>
      <c r="G234" s="14"/>
      <c r="J234" s="6"/>
      <c r="K234" s="6"/>
    </row>
    <row r="235" spans="1:11" s="11" customFormat="1" x14ac:dyDescent="0.2">
      <c r="A235" s="6"/>
      <c r="B235" s="6"/>
      <c r="C235" s="6"/>
      <c r="D235" s="6"/>
      <c r="E235" s="6"/>
      <c r="F235" s="8"/>
      <c r="G235" s="14"/>
      <c r="J235" s="6"/>
      <c r="K235" s="6"/>
    </row>
    <row r="236" spans="1:11" s="11" customFormat="1" x14ac:dyDescent="0.2">
      <c r="A236" s="6"/>
      <c r="B236" s="6"/>
      <c r="C236" s="6"/>
      <c r="D236" s="6"/>
      <c r="E236" s="6"/>
      <c r="F236" s="8"/>
      <c r="G236" s="14"/>
      <c r="J236" s="6"/>
      <c r="K236" s="6"/>
    </row>
    <row r="237" spans="1:11" s="11" customFormat="1" x14ac:dyDescent="0.2">
      <c r="A237" s="6"/>
      <c r="B237" s="6"/>
      <c r="C237" s="6"/>
      <c r="D237" s="6"/>
      <c r="E237" s="6"/>
      <c r="F237" s="8"/>
      <c r="G237" s="14"/>
      <c r="J237" s="6"/>
      <c r="K237" s="6"/>
    </row>
    <row r="238" spans="1:11" s="11" customFormat="1" x14ac:dyDescent="0.2">
      <c r="A238" s="6"/>
      <c r="B238" s="6"/>
      <c r="C238" s="6"/>
      <c r="D238" s="6"/>
      <c r="E238" s="6"/>
      <c r="F238" s="8"/>
      <c r="G238" s="14"/>
      <c r="J238" s="6"/>
      <c r="K238" s="6"/>
    </row>
    <row r="239" spans="1:11" s="11" customFormat="1" x14ac:dyDescent="0.2">
      <c r="A239" s="6"/>
      <c r="B239" s="6"/>
      <c r="C239" s="6"/>
      <c r="D239" s="6"/>
      <c r="E239" s="6"/>
      <c r="F239" s="8"/>
      <c r="G239" s="14"/>
      <c r="J239" s="6"/>
      <c r="K239" s="6"/>
    </row>
    <row r="240" spans="1:11" s="11" customFormat="1" x14ac:dyDescent="0.2">
      <c r="A240" s="6"/>
      <c r="B240" s="6"/>
      <c r="C240" s="6"/>
      <c r="D240" s="6"/>
      <c r="E240" s="6"/>
      <c r="F240" s="8"/>
      <c r="G240" s="14"/>
      <c r="J240" s="6"/>
      <c r="K240" s="6"/>
    </row>
    <row r="241" spans="1:11" s="11" customFormat="1" x14ac:dyDescent="0.2">
      <c r="A241" s="6"/>
      <c r="B241" s="6"/>
      <c r="C241" s="6"/>
      <c r="D241" s="6"/>
      <c r="E241" s="6"/>
      <c r="F241" s="8"/>
      <c r="G241" s="14"/>
      <c r="J241" s="6"/>
      <c r="K241" s="6"/>
    </row>
    <row r="242" spans="1:11" s="11" customFormat="1" x14ac:dyDescent="0.2">
      <c r="A242" s="6"/>
      <c r="B242" s="6"/>
      <c r="C242" s="6"/>
      <c r="D242" s="6"/>
      <c r="E242" s="6"/>
      <c r="F242" s="8"/>
      <c r="G242" s="14"/>
      <c r="J242" s="6"/>
      <c r="K242" s="6"/>
    </row>
    <row r="243" spans="1:11" s="11" customFormat="1" x14ac:dyDescent="0.2">
      <c r="A243" s="6"/>
      <c r="B243" s="6"/>
      <c r="C243" s="6"/>
      <c r="D243" s="6"/>
      <c r="E243" s="6"/>
      <c r="F243" s="8"/>
      <c r="G243" s="14"/>
      <c r="J243" s="6"/>
      <c r="K243" s="6"/>
    </row>
    <row r="244" spans="1:11" s="11" customFormat="1" x14ac:dyDescent="0.2">
      <c r="A244" s="6"/>
      <c r="B244" s="6"/>
      <c r="C244" s="6"/>
      <c r="D244" s="6"/>
      <c r="E244" s="6"/>
      <c r="F244" s="8"/>
      <c r="G244" s="14"/>
      <c r="J244" s="6"/>
      <c r="K244" s="6"/>
    </row>
    <row r="245" spans="1:11" s="11" customFormat="1" x14ac:dyDescent="0.2">
      <c r="A245" s="6"/>
      <c r="B245" s="6"/>
      <c r="C245" s="6"/>
      <c r="D245" s="6"/>
      <c r="E245" s="6"/>
      <c r="F245" s="8"/>
      <c r="G245" s="14"/>
      <c r="J245" s="6"/>
      <c r="K245" s="6"/>
    </row>
    <row r="246" spans="1:11" s="11" customFormat="1" x14ac:dyDescent="0.2">
      <c r="A246" s="6"/>
      <c r="B246" s="6"/>
      <c r="C246" s="6"/>
      <c r="D246" s="6"/>
      <c r="E246" s="6"/>
      <c r="F246" s="8"/>
      <c r="G246" s="14"/>
      <c r="J246" s="6"/>
      <c r="K246" s="6"/>
    </row>
    <row r="247" spans="1:11" s="11" customFormat="1" x14ac:dyDescent="0.2">
      <c r="A247" s="6"/>
      <c r="B247" s="6"/>
      <c r="C247" s="6"/>
      <c r="D247" s="6"/>
      <c r="E247" s="6"/>
      <c r="F247" s="8"/>
      <c r="G247" s="14"/>
      <c r="J247" s="6"/>
      <c r="K247" s="6"/>
    </row>
  </sheetData>
  <mergeCells count="2">
    <mergeCell ref="B1:C1"/>
    <mergeCell ref="B102:I102"/>
  </mergeCells>
  <conditionalFormatting sqref="G1:G3 G5:G101">
    <cfRule type="cellIs" dxfId="9" priority="2" stopIfTrue="1" operator="between">
      <formula>0.009</formula>
      <formula>-0.009</formula>
    </cfRule>
  </conditionalFormatting>
  <conditionalFormatting sqref="G103:G145">
    <cfRule type="cellIs" dxfId="8" priority="1" stopIfTrue="1" operator="between">
      <formula>0.009</formula>
      <formula>-0.009</formula>
    </cfRule>
  </conditionalFormatting>
  <hyperlinks>
    <hyperlink ref="A2" location="Index!A1" display="-" xr:uid="{A2F83303-B41E-4A05-BEA1-28E6161243A6}"/>
  </hyperlinks>
  <pageMargins left="0.7" right="0.7" top="0.75" bottom="0.75" header="0.3" footer="0.3"/>
  <pageSetup paperSize="9" scale="45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44" min="1" max="8" man="1"/>
  </rowBreaks>
  <colBreaks count="1" manualBreakCount="1">
    <brk id="9" max="251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BF57-18CD-41A6-A443-E9E7D8F7676F}">
  <sheetPr codeName="Sheet5"/>
  <dimension ref="A1:K39"/>
  <sheetViews>
    <sheetView view="pageBreakPreview" zoomScaleNormal="100" zoomScaleSheetLayoutView="100" workbookViewId="0"/>
  </sheetViews>
  <sheetFormatPr defaultColWidth="9.140625" defaultRowHeight="11.25" x14ac:dyDescent="0.2"/>
  <cols>
    <col min="1" max="1" width="7.140625" style="6" customWidth="1"/>
    <col min="2" max="2" width="52.5703125" style="6" bestFit="1" customWidth="1"/>
    <col min="3" max="3" width="10.85546875" style="6" bestFit="1" customWidth="1"/>
    <col min="4" max="5" width="13.85546875" style="6" bestFit="1" customWidth="1"/>
    <col min="6" max="6" width="12.7109375" style="8" bestFit="1" customWidth="1"/>
    <col min="7" max="7" width="10.140625" style="14" customWidth="1"/>
    <col min="8" max="8" width="11.85546875" style="11" bestFit="1" customWidth="1"/>
    <col min="9" max="9" width="11.7109375" style="11" customWidth="1"/>
    <col min="10" max="10" width="25.85546875" style="6" customWidth="1"/>
    <col min="11" max="16384" width="9.140625" style="6"/>
  </cols>
  <sheetData>
    <row r="1" spans="1:11" s="1" customFormat="1" ht="16.7" customHeight="1" x14ac:dyDescent="0.2">
      <c r="B1" s="106" t="s">
        <v>13</v>
      </c>
      <c r="C1" s="107"/>
      <c r="D1" s="10"/>
      <c r="F1" s="5"/>
      <c r="G1" s="14"/>
      <c r="H1" s="11"/>
      <c r="I1" s="12"/>
    </row>
    <row r="2" spans="1:11" s="1" customFormat="1" ht="15" x14ac:dyDescent="0.25">
      <c r="A2" s="59" t="s">
        <v>1466</v>
      </c>
      <c r="F2" s="5"/>
      <c r="G2" s="14"/>
      <c r="H2" s="11"/>
      <c r="I2" s="12"/>
    </row>
    <row r="3" spans="1:11" s="1" customFormat="1" ht="12" x14ac:dyDescent="0.2">
      <c r="B3" s="7" t="s">
        <v>9</v>
      </c>
      <c r="C3" s="2"/>
      <c r="D3" s="3"/>
      <c r="E3" s="3"/>
      <c r="F3" s="4"/>
      <c r="G3" s="14"/>
      <c r="H3" s="11"/>
      <c r="I3" s="12"/>
    </row>
    <row r="4" spans="1:11" s="1" customFormat="1" ht="33.75" x14ac:dyDescent="0.2">
      <c r="B4" s="63" t="s">
        <v>7</v>
      </c>
      <c r="C4" s="63" t="s">
        <v>8</v>
      </c>
      <c r="D4" s="64" t="s">
        <v>107</v>
      </c>
      <c r="E4" s="64" t="s">
        <v>0</v>
      </c>
      <c r="F4" s="65" t="s">
        <v>4</v>
      </c>
      <c r="G4" s="66" t="s">
        <v>5</v>
      </c>
      <c r="H4" s="67" t="s">
        <v>6</v>
      </c>
      <c r="I4" s="67" t="s">
        <v>20</v>
      </c>
      <c r="J4" s="13"/>
      <c r="K4" s="9"/>
    </row>
    <row r="5" spans="1:11" x14ac:dyDescent="0.2">
      <c r="B5" s="23" t="s">
        <v>100</v>
      </c>
      <c r="C5" s="24"/>
      <c r="D5" s="24"/>
      <c r="E5" s="24"/>
      <c r="F5" s="25"/>
      <c r="G5" s="26"/>
      <c r="H5" s="27"/>
      <c r="I5" s="27"/>
    </row>
    <row r="6" spans="1:11" x14ac:dyDescent="0.2">
      <c r="B6" s="24" t="s">
        <v>256</v>
      </c>
      <c r="C6" s="24" t="s">
        <v>257</v>
      </c>
      <c r="D6" s="24" t="s">
        <v>103</v>
      </c>
      <c r="E6" s="28">
        <v>1225000</v>
      </c>
      <c r="F6" s="25">
        <v>1201.9038499999999</v>
      </c>
      <c r="G6" s="26">
        <v>44.772727160854203</v>
      </c>
      <c r="H6" s="27">
        <v>6.7109830049999902E-2</v>
      </c>
      <c r="I6" s="29"/>
    </row>
    <row r="7" spans="1:11" x14ac:dyDescent="0.2">
      <c r="B7" s="24" t="s">
        <v>258</v>
      </c>
      <c r="C7" s="24" t="s">
        <v>259</v>
      </c>
      <c r="D7" s="24" t="s">
        <v>103</v>
      </c>
      <c r="E7" s="28">
        <v>788100</v>
      </c>
      <c r="F7" s="25">
        <v>781.29002790000004</v>
      </c>
      <c r="G7" s="26">
        <v>29.104229304750898</v>
      </c>
      <c r="H7" s="27">
        <v>6.7084934002000093E-2</v>
      </c>
      <c r="I7" s="29"/>
    </row>
    <row r="8" spans="1:11" x14ac:dyDescent="0.2">
      <c r="B8" s="24" t="s">
        <v>260</v>
      </c>
      <c r="C8" s="24" t="s">
        <v>261</v>
      </c>
      <c r="D8" s="24" t="s">
        <v>103</v>
      </c>
      <c r="E8" s="28">
        <v>653200</v>
      </c>
      <c r="F8" s="25">
        <v>659.05463159999999</v>
      </c>
      <c r="G8" s="26">
        <v>24.5507768401974</v>
      </c>
      <c r="H8" s="27">
        <v>6.7618997396124994E-2</v>
      </c>
      <c r="I8" s="29"/>
    </row>
    <row r="9" spans="1:11" x14ac:dyDescent="0.2">
      <c r="B9" s="23" t="s">
        <v>99</v>
      </c>
      <c r="C9" s="23"/>
      <c r="D9" s="23"/>
      <c r="E9" s="23"/>
      <c r="F9" s="40">
        <f>SUM(F6:F8)</f>
        <v>2642.2485095000002</v>
      </c>
      <c r="G9" s="41">
        <f>SUM(G6:G8)</f>
        <v>98.427733305802505</v>
      </c>
      <c r="H9" s="32"/>
      <c r="I9" s="32"/>
    </row>
    <row r="10" spans="1:11" x14ac:dyDescent="0.2">
      <c r="B10" s="23"/>
      <c r="C10" s="24"/>
      <c r="D10" s="24"/>
      <c r="E10" s="24"/>
      <c r="F10" s="25"/>
      <c r="G10" s="26"/>
      <c r="H10" s="27"/>
      <c r="I10" s="27"/>
    </row>
    <row r="11" spans="1:11" x14ac:dyDescent="0.2">
      <c r="B11" s="23" t="s">
        <v>104</v>
      </c>
      <c r="C11" s="23"/>
      <c r="D11" s="23"/>
      <c r="E11" s="23"/>
      <c r="F11" s="40">
        <v>9.0591258000000003</v>
      </c>
      <c r="G11" s="41">
        <v>0.33746606915291499</v>
      </c>
      <c r="H11" s="38">
        <v>5.3636339999999998E-2</v>
      </c>
      <c r="I11" s="38"/>
    </row>
    <row r="12" spans="1:11" x14ac:dyDescent="0.2">
      <c r="B12" s="24"/>
      <c r="C12" s="24"/>
      <c r="D12" s="24"/>
      <c r="E12" s="24"/>
      <c r="F12" s="25"/>
      <c r="G12" s="26"/>
      <c r="H12" s="27"/>
      <c r="I12" s="27"/>
    </row>
    <row r="13" spans="1:11" x14ac:dyDescent="0.2">
      <c r="B13" s="39" t="s">
        <v>106</v>
      </c>
      <c r="C13" s="39"/>
      <c r="D13" s="39"/>
      <c r="E13" s="39"/>
      <c r="F13" s="40">
        <f>F14-(F9+F11)</f>
        <v>33.147670899999866</v>
      </c>
      <c r="G13" s="41">
        <f>G14-(G9+G11)</f>
        <v>1.2348006250445849</v>
      </c>
      <c r="H13" s="32"/>
      <c r="I13" s="32"/>
    </row>
    <row r="14" spans="1:11" x14ac:dyDescent="0.2">
      <c r="B14" s="39" t="s">
        <v>105</v>
      </c>
      <c r="C14" s="39"/>
      <c r="D14" s="39"/>
      <c r="E14" s="39"/>
      <c r="F14" s="40">
        <v>2684.4553062</v>
      </c>
      <c r="G14" s="41">
        <v>100</v>
      </c>
      <c r="H14" s="42"/>
      <c r="I14" s="42"/>
    </row>
    <row r="16" spans="1:11" ht="39.950000000000003" customHeight="1" x14ac:dyDescent="0.2">
      <c r="B16" s="108" t="s">
        <v>109</v>
      </c>
      <c r="C16" s="108"/>
      <c r="D16" s="108"/>
      <c r="E16" s="108"/>
      <c r="F16" s="108"/>
      <c r="G16" s="108"/>
      <c r="H16" s="108"/>
      <c r="I16" s="108"/>
    </row>
    <row r="17" spans="2:9" x14ac:dyDescent="0.2">
      <c r="B17" s="62"/>
      <c r="C17" s="62"/>
      <c r="D17" s="62"/>
      <c r="E17" s="62"/>
      <c r="F17" s="62"/>
      <c r="G17" s="62"/>
      <c r="H17" s="62"/>
      <c r="I17" s="62"/>
    </row>
    <row r="18" spans="2:9" x14ac:dyDescent="0.2">
      <c r="B18" s="109" t="s">
        <v>1465</v>
      </c>
      <c r="C18" s="109"/>
      <c r="D18" s="109"/>
      <c r="E18" s="109"/>
      <c r="F18" s="109"/>
      <c r="G18" s="109"/>
      <c r="H18" s="109"/>
      <c r="I18" s="109"/>
    </row>
    <row r="19" spans="2:9" x14ac:dyDescent="0.2">
      <c r="B19" s="68"/>
      <c r="C19" s="68"/>
      <c r="D19" s="68"/>
      <c r="E19" s="68"/>
      <c r="F19" s="68"/>
      <c r="G19" s="68"/>
      <c r="H19" s="68"/>
      <c r="I19" s="68"/>
    </row>
    <row r="20" spans="2:9" x14ac:dyDescent="0.2">
      <c r="B20" s="16" t="s">
        <v>110</v>
      </c>
    </row>
    <row r="38" spans="2:2" x14ac:dyDescent="0.2">
      <c r="B38" s="16" t="s">
        <v>1436</v>
      </c>
    </row>
    <row r="39" spans="2:2" x14ac:dyDescent="0.2">
      <c r="B39" s="16" t="s">
        <v>1440</v>
      </c>
    </row>
  </sheetData>
  <mergeCells count="3">
    <mergeCell ref="B1:C1"/>
    <mergeCell ref="B16:I16"/>
    <mergeCell ref="B18:I18"/>
  </mergeCells>
  <conditionalFormatting sqref="G1:G3 G5:G15 G20:G58">
    <cfRule type="cellIs" dxfId="7" priority="1" stopIfTrue="1" operator="between">
      <formula>0.009</formula>
      <formula>-0.009</formula>
    </cfRule>
  </conditionalFormatting>
  <hyperlinks>
    <hyperlink ref="A2" location="Index!A1" display="-" xr:uid="{9227C323-E088-4B34-8DD7-763EEE76A75A}"/>
  </hyperlinks>
  <pageMargins left="0.7" right="0.7" top="0.75" bottom="0.75" header="0.3" footer="0.3"/>
  <pageSetup paperSize="9" scale="63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163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A3E30-1090-49C0-A83B-08013B9BE314}">
  <sheetPr codeName="Sheet6"/>
  <dimension ref="A1:J103"/>
  <sheetViews>
    <sheetView view="pageBreakPreview" zoomScaleNormal="100" zoomScaleSheetLayoutView="100" workbookViewId="0"/>
  </sheetViews>
  <sheetFormatPr defaultColWidth="9.140625" defaultRowHeight="11.25" x14ac:dyDescent="0.2"/>
  <cols>
    <col min="1" max="1" width="7.140625" style="6" customWidth="1"/>
    <col min="2" max="2" width="52.5703125" style="6" bestFit="1" customWidth="1"/>
    <col min="3" max="3" width="11.140625" style="6" bestFit="1" customWidth="1"/>
    <col min="4" max="4" width="25.5703125" style="6" bestFit="1" customWidth="1"/>
    <col min="5" max="5" width="13.85546875" style="6" bestFit="1" customWidth="1"/>
    <col min="6" max="6" width="12.7109375" style="8" bestFit="1" customWidth="1"/>
    <col min="7" max="7" width="10" style="14" customWidth="1"/>
    <col min="8" max="8" width="11.85546875" style="11" bestFit="1" customWidth="1"/>
    <col min="9" max="9" width="25.85546875" style="6" customWidth="1"/>
    <col min="10" max="16384" width="9.140625" style="6"/>
  </cols>
  <sheetData>
    <row r="1" spans="1:10" s="1" customFormat="1" ht="16.7" customHeight="1" x14ac:dyDescent="0.2">
      <c r="B1" s="106" t="s">
        <v>14</v>
      </c>
      <c r="C1" s="107"/>
      <c r="D1" s="10"/>
      <c r="F1" s="5"/>
      <c r="G1" s="14"/>
      <c r="H1" s="12"/>
    </row>
    <row r="2" spans="1:10" s="1" customFormat="1" ht="15" x14ac:dyDescent="0.25">
      <c r="A2" s="59" t="s">
        <v>1466</v>
      </c>
      <c r="F2" s="5"/>
      <c r="G2" s="14"/>
      <c r="H2" s="12"/>
    </row>
    <row r="3" spans="1:10" s="1" customFormat="1" ht="12" x14ac:dyDescent="0.2">
      <c r="B3" s="7" t="s">
        <v>9</v>
      </c>
      <c r="C3" s="2"/>
      <c r="D3" s="3"/>
      <c r="E3" s="3"/>
      <c r="F3" s="4"/>
      <c r="G3" s="14"/>
      <c r="H3" s="12"/>
    </row>
    <row r="4" spans="1:10" s="1" customFormat="1" ht="33.75" x14ac:dyDescent="0.2">
      <c r="B4" s="18" t="s">
        <v>7</v>
      </c>
      <c r="C4" s="18" t="s">
        <v>8</v>
      </c>
      <c r="D4" s="19" t="s">
        <v>391</v>
      </c>
      <c r="E4" s="19" t="s">
        <v>0</v>
      </c>
      <c r="F4" s="20" t="s">
        <v>4</v>
      </c>
      <c r="G4" s="21" t="s">
        <v>5</v>
      </c>
      <c r="H4" s="22" t="s">
        <v>6</v>
      </c>
      <c r="I4" s="13"/>
      <c r="J4" s="9"/>
    </row>
    <row r="5" spans="1:10" x14ac:dyDescent="0.2">
      <c r="B5" s="23" t="s">
        <v>262</v>
      </c>
      <c r="C5" s="24"/>
      <c r="D5" s="24"/>
      <c r="E5" s="24"/>
      <c r="F5" s="25"/>
      <c r="G5" s="26"/>
      <c r="H5" s="27"/>
    </row>
    <row r="6" spans="1:10" ht="16.5" customHeight="1" x14ac:dyDescent="0.2">
      <c r="B6" s="23" t="s">
        <v>263</v>
      </c>
      <c r="C6" s="24"/>
      <c r="D6" s="24"/>
      <c r="E6" s="24"/>
      <c r="F6" s="25"/>
      <c r="G6" s="26"/>
      <c r="H6" s="27"/>
    </row>
    <row r="7" spans="1:10" x14ac:dyDescent="0.2">
      <c r="B7" s="24" t="s">
        <v>264</v>
      </c>
      <c r="C7" s="24" t="s">
        <v>265</v>
      </c>
      <c r="D7" s="24" t="s">
        <v>266</v>
      </c>
      <c r="E7" s="28">
        <v>221183</v>
      </c>
      <c r="F7" s="25">
        <v>2192.3658959999998</v>
      </c>
      <c r="G7" s="26">
        <v>12.7406093943075</v>
      </c>
      <c r="H7" s="27"/>
    </row>
    <row r="8" spans="1:10" x14ac:dyDescent="0.2">
      <c r="B8" s="24" t="s">
        <v>267</v>
      </c>
      <c r="C8" s="24" t="s">
        <v>268</v>
      </c>
      <c r="D8" s="24" t="s">
        <v>269</v>
      </c>
      <c r="E8" s="28">
        <v>97630</v>
      </c>
      <c r="F8" s="25">
        <v>1533.1815200000001</v>
      </c>
      <c r="G8" s="26">
        <v>8.9098571148776298</v>
      </c>
      <c r="H8" s="27"/>
    </row>
    <row r="9" spans="1:10" x14ac:dyDescent="0.2">
      <c r="B9" s="24" t="s">
        <v>270</v>
      </c>
      <c r="C9" s="24" t="s">
        <v>271</v>
      </c>
      <c r="D9" s="24" t="s">
        <v>266</v>
      </c>
      <c r="E9" s="28">
        <v>103279</v>
      </c>
      <c r="F9" s="25">
        <v>1386.933691</v>
      </c>
      <c r="G9" s="26">
        <v>8.0599595373546098</v>
      </c>
      <c r="H9" s="27"/>
    </row>
    <row r="10" spans="1:10" x14ac:dyDescent="0.2">
      <c r="B10" s="24" t="s">
        <v>272</v>
      </c>
      <c r="C10" s="24" t="s">
        <v>273</v>
      </c>
      <c r="D10" s="24" t="s">
        <v>274</v>
      </c>
      <c r="E10" s="28">
        <v>40290</v>
      </c>
      <c r="F10" s="25">
        <v>848.34623999999997</v>
      </c>
      <c r="G10" s="26">
        <v>4.9300384095052801</v>
      </c>
      <c r="H10" s="27"/>
    </row>
    <row r="11" spans="1:10" x14ac:dyDescent="0.2">
      <c r="B11" s="24" t="s">
        <v>275</v>
      </c>
      <c r="C11" s="24" t="s">
        <v>276</v>
      </c>
      <c r="D11" s="24" t="s">
        <v>277</v>
      </c>
      <c r="E11" s="28">
        <v>50649</v>
      </c>
      <c r="F11" s="25">
        <v>818.18394599999999</v>
      </c>
      <c r="G11" s="26">
        <v>4.7547547093750202</v>
      </c>
      <c r="H11" s="27"/>
    </row>
    <row r="12" spans="1:10" x14ac:dyDescent="0.2">
      <c r="B12" s="24" t="s">
        <v>278</v>
      </c>
      <c r="C12" s="24" t="s">
        <v>279</v>
      </c>
      <c r="D12" s="24" t="s">
        <v>280</v>
      </c>
      <c r="E12" s="28">
        <v>16981</v>
      </c>
      <c r="F12" s="25">
        <v>693.41913499999998</v>
      </c>
      <c r="G12" s="26">
        <v>4.0297025061794596</v>
      </c>
      <c r="H12" s="27"/>
    </row>
    <row r="13" spans="1:10" x14ac:dyDescent="0.2">
      <c r="B13" s="24" t="s">
        <v>281</v>
      </c>
      <c r="C13" s="24" t="s">
        <v>282</v>
      </c>
      <c r="D13" s="24" t="s">
        <v>266</v>
      </c>
      <c r="E13" s="28">
        <v>59993</v>
      </c>
      <c r="F13" s="25">
        <v>589.25124600000004</v>
      </c>
      <c r="G13" s="26">
        <v>3.4243462617678899</v>
      </c>
      <c r="H13" s="27"/>
    </row>
    <row r="14" spans="1:10" x14ac:dyDescent="0.2">
      <c r="B14" s="24" t="s">
        <v>283</v>
      </c>
      <c r="C14" s="24" t="s">
        <v>284</v>
      </c>
      <c r="D14" s="24" t="s">
        <v>1460</v>
      </c>
      <c r="E14" s="28">
        <v>139345</v>
      </c>
      <c r="F14" s="25">
        <v>561.56034999999997</v>
      </c>
      <c r="G14" s="26">
        <v>3.2634247247388402</v>
      </c>
      <c r="H14" s="27"/>
    </row>
    <row r="15" spans="1:10" x14ac:dyDescent="0.2">
      <c r="B15" s="24" t="s">
        <v>285</v>
      </c>
      <c r="C15" s="24" t="s">
        <v>286</v>
      </c>
      <c r="D15" s="24" t="s">
        <v>266</v>
      </c>
      <c r="E15" s="28">
        <v>41441</v>
      </c>
      <c r="F15" s="25">
        <v>526.052054</v>
      </c>
      <c r="G15" s="26">
        <v>3.0570735265110001</v>
      </c>
      <c r="H15" s="27"/>
    </row>
    <row r="16" spans="1:10" x14ac:dyDescent="0.2">
      <c r="B16" s="24" t="s">
        <v>287</v>
      </c>
      <c r="C16" s="24" t="s">
        <v>288</v>
      </c>
      <c r="D16" s="24" t="s">
        <v>289</v>
      </c>
      <c r="E16" s="28">
        <v>12908</v>
      </c>
      <c r="F16" s="25">
        <v>478.78353600000003</v>
      </c>
      <c r="G16" s="26">
        <v>2.7823795415404402</v>
      </c>
      <c r="H16" s="27"/>
    </row>
    <row r="17" spans="2:8" x14ac:dyDescent="0.2">
      <c r="B17" s="24" t="s">
        <v>290</v>
      </c>
      <c r="C17" s="24" t="s">
        <v>291</v>
      </c>
      <c r="D17" s="24" t="s">
        <v>277</v>
      </c>
      <c r="E17" s="28">
        <v>14765</v>
      </c>
      <c r="F17" s="25">
        <v>473.39542999999998</v>
      </c>
      <c r="G17" s="26">
        <v>2.7510673622886199</v>
      </c>
      <c r="H17" s="27"/>
    </row>
    <row r="18" spans="2:8" x14ac:dyDescent="0.2">
      <c r="B18" s="24" t="s">
        <v>292</v>
      </c>
      <c r="C18" s="24" t="s">
        <v>293</v>
      </c>
      <c r="D18" s="24" t="s">
        <v>266</v>
      </c>
      <c r="E18" s="28">
        <v>21265</v>
      </c>
      <c r="F18" s="25">
        <v>468.06391500000001</v>
      </c>
      <c r="G18" s="26">
        <v>2.7200840532438901</v>
      </c>
      <c r="H18" s="27"/>
    </row>
    <row r="19" spans="2:8" x14ac:dyDescent="0.2">
      <c r="B19" s="24" t="s">
        <v>294</v>
      </c>
      <c r="C19" s="24" t="s">
        <v>295</v>
      </c>
      <c r="D19" s="24" t="s">
        <v>296</v>
      </c>
      <c r="E19" s="28">
        <v>38391</v>
      </c>
      <c r="F19" s="25">
        <v>378.84238800000003</v>
      </c>
      <c r="G19" s="26">
        <v>2.2015863758513299</v>
      </c>
      <c r="H19" s="27"/>
    </row>
    <row r="20" spans="2:8" x14ac:dyDescent="0.2">
      <c r="B20" s="24" t="s">
        <v>297</v>
      </c>
      <c r="C20" s="24" t="s">
        <v>298</v>
      </c>
      <c r="D20" s="24" t="s">
        <v>289</v>
      </c>
      <c r="E20" s="28">
        <v>1897</v>
      </c>
      <c r="F20" s="25">
        <v>316.74209000000002</v>
      </c>
      <c r="G20" s="26">
        <v>1.84069970016839</v>
      </c>
      <c r="H20" s="27"/>
    </row>
    <row r="21" spans="2:8" x14ac:dyDescent="0.2">
      <c r="B21" s="24" t="s">
        <v>299</v>
      </c>
      <c r="C21" s="24" t="s">
        <v>300</v>
      </c>
      <c r="D21" s="24" t="s">
        <v>1460</v>
      </c>
      <c r="E21" s="28">
        <v>12832</v>
      </c>
      <c r="F21" s="25">
        <v>297.176288</v>
      </c>
      <c r="G21" s="26">
        <v>1.7269959424046</v>
      </c>
      <c r="H21" s="27"/>
    </row>
    <row r="22" spans="2:8" x14ac:dyDescent="0.2">
      <c r="B22" s="24" t="s">
        <v>301</v>
      </c>
      <c r="C22" s="24" t="s">
        <v>302</v>
      </c>
      <c r="D22" s="24" t="s">
        <v>303</v>
      </c>
      <c r="E22" s="28">
        <v>103887</v>
      </c>
      <c r="F22" s="25">
        <v>288.85780349999999</v>
      </c>
      <c r="G22" s="26">
        <v>1.6786543029180301</v>
      </c>
      <c r="H22" s="27"/>
    </row>
    <row r="23" spans="2:8" x14ac:dyDescent="0.2">
      <c r="B23" s="24" t="s">
        <v>304</v>
      </c>
      <c r="C23" s="24" t="s">
        <v>305</v>
      </c>
      <c r="D23" s="24" t="s">
        <v>306</v>
      </c>
      <c r="E23" s="28">
        <v>15311</v>
      </c>
      <c r="F23" s="25">
        <v>263.30326700000001</v>
      </c>
      <c r="G23" s="26">
        <v>1.5301479024156699</v>
      </c>
      <c r="H23" s="27"/>
    </row>
    <row r="24" spans="2:8" x14ac:dyDescent="0.2">
      <c r="B24" s="24" t="s">
        <v>307</v>
      </c>
      <c r="C24" s="24" t="s">
        <v>308</v>
      </c>
      <c r="D24" s="24" t="s">
        <v>277</v>
      </c>
      <c r="E24" s="28">
        <v>15256</v>
      </c>
      <c r="F24" s="25">
        <v>247.65064799999999</v>
      </c>
      <c r="G24" s="26">
        <v>1.4391850275411999</v>
      </c>
      <c r="H24" s="27"/>
    </row>
    <row r="25" spans="2:8" x14ac:dyDescent="0.2">
      <c r="B25" s="24" t="s">
        <v>309</v>
      </c>
      <c r="C25" s="24" t="s">
        <v>310</v>
      </c>
      <c r="D25" s="24" t="s">
        <v>311</v>
      </c>
      <c r="E25" s="28">
        <v>5968</v>
      </c>
      <c r="F25" s="25">
        <v>241.79352</v>
      </c>
      <c r="G25" s="26">
        <v>1.40514719646719</v>
      </c>
      <c r="H25" s="27"/>
    </row>
    <row r="26" spans="2:8" x14ac:dyDescent="0.2">
      <c r="B26" s="24" t="s">
        <v>312</v>
      </c>
      <c r="C26" s="24" t="s">
        <v>313</v>
      </c>
      <c r="D26" s="24" t="s">
        <v>314</v>
      </c>
      <c r="E26" s="28">
        <v>68551</v>
      </c>
      <c r="F26" s="25">
        <v>225.9098205</v>
      </c>
      <c r="G26" s="26">
        <v>1.3128414315238099</v>
      </c>
      <c r="H26" s="27"/>
    </row>
    <row r="27" spans="2:8" x14ac:dyDescent="0.2">
      <c r="B27" s="24" t="s">
        <v>315</v>
      </c>
      <c r="C27" s="24" t="s">
        <v>316</v>
      </c>
      <c r="D27" s="24" t="s">
        <v>317</v>
      </c>
      <c r="E27" s="28">
        <v>119516</v>
      </c>
      <c r="F27" s="25">
        <v>215.22441280000001</v>
      </c>
      <c r="G27" s="26">
        <v>1.25074476874822</v>
      </c>
      <c r="H27" s="27"/>
    </row>
    <row r="28" spans="2:8" x14ac:dyDescent="0.2">
      <c r="B28" s="24" t="s">
        <v>318</v>
      </c>
      <c r="C28" s="24" t="s">
        <v>319</v>
      </c>
      <c r="D28" s="24" t="s">
        <v>320</v>
      </c>
      <c r="E28" s="28">
        <v>51790</v>
      </c>
      <c r="F28" s="25">
        <v>206.95284000000001</v>
      </c>
      <c r="G28" s="26">
        <v>1.2026757496517</v>
      </c>
      <c r="H28" s="27"/>
    </row>
    <row r="29" spans="2:8" x14ac:dyDescent="0.2">
      <c r="B29" s="24" t="s">
        <v>321</v>
      </c>
      <c r="C29" s="24" t="s">
        <v>322</v>
      </c>
      <c r="D29" s="24" t="s">
        <v>323</v>
      </c>
      <c r="E29" s="28">
        <v>1714</v>
      </c>
      <c r="F29" s="25">
        <v>201.97775999999999</v>
      </c>
      <c r="G29" s="26">
        <v>1.17376380976927</v>
      </c>
      <c r="H29" s="27"/>
    </row>
    <row r="30" spans="2:8" x14ac:dyDescent="0.2">
      <c r="B30" s="24" t="s">
        <v>324</v>
      </c>
      <c r="C30" s="24" t="s">
        <v>325</v>
      </c>
      <c r="D30" s="24" t="s">
        <v>296</v>
      </c>
      <c r="E30" s="28">
        <v>20251</v>
      </c>
      <c r="F30" s="25">
        <v>201.74046200000001</v>
      </c>
      <c r="G30" s="26">
        <v>1.17238478762084</v>
      </c>
      <c r="H30" s="27"/>
    </row>
    <row r="31" spans="2:8" x14ac:dyDescent="0.2">
      <c r="B31" s="24" t="s">
        <v>326</v>
      </c>
      <c r="C31" s="24" t="s">
        <v>327</v>
      </c>
      <c r="D31" s="24" t="s">
        <v>328</v>
      </c>
      <c r="E31" s="28">
        <v>20920</v>
      </c>
      <c r="F31" s="25">
        <v>185.49763999999999</v>
      </c>
      <c r="G31" s="26">
        <v>1.07799203550732</v>
      </c>
      <c r="H31" s="27"/>
    </row>
    <row r="32" spans="2:8" x14ac:dyDescent="0.2">
      <c r="B32" s="24" t="s">
        <v>329</v>
      </c>
      <c r="C32" s="24" t="s">
        <v>330</v>
      </c>
      <c r="D32" s="24" t="s">
        <v>311</v>
      </c>
      <c r="E32" s="28">
        <v>6538</v>
      </c>
      <c r="F32" s="25">
        <v>181.06990999999999</v>
      </c>
      <c r="G32" s="26">
        <v>1.0522609390072399</v>
      </c>
      <c r="H32" s="27"/>
    </row>
    <row r="33" spans="2:8" x14ac:dyDescent="0.2">
      <c r="B33" s="24" t="s">
        <v>331</v>
      </c>
      <c r="C33" s="24" t="s">
        <v>332</v>
      </c>
      <c r="D33" s="24" t="s">
        <v>314</v>
      </c>
      <c r="E33" s="28">
        <v>65493</v>
      </c>
      <c r="F33" s="25">
        <v>173.294478</v>
      </c>
      <c r="G33" s="26">
        <v>1.0070751686188499</v>
      </c>
      <c r="H33" s="27"/>
    </row>
    <row r="34" spans="2:8" x14ac:dyDescent="0.2">
      <c r="B34" s="24" t="s">
        <v>333</v>
      </c>
      <c r="C34" s="24" t="s">
        <v>334</v>
      </c>
      <c r="D34" s="24" t="s">
        <v>296</v>
      </c>
      <c r="E34" s="28">
        <v>8268</v>
      </c>
      <c r="F34" s="25">
        <v>168.65893199999999</v>
      </c>
      <c r="G34" s="26">
        <v>0.98013638024273997</v>
      </c>
      <c r="H34" s="27"/>
    </row>
    <row r="35" spans="2:8" x14ac:dyDescent="0.2">
      <c r="B35" s="24" t="s">
        <v>335</v>
      </c>
      <c r="C35" s="24" t="s">
        <v>336</v>
      </c>
      <c r="D35" s="24" t="s">
        <v>337</v>
      </c>
      <c r="E35" s="28">
        <v>3269</v>
      </c>
      <c r="F35" s="25">
        <v>165.39505500000001</v>
      </c>
      <c r="G35" s="26">
        <v>0.96116884291517302</v>
      </c>
      <c r="H35" s="27"/>
    </row>
    <row r="36" spans="2:8" x14ac:dyDescent="0.2">
      <c r="B36" s="24" t="s">
        <v>338</v>
      </c>
      <c r="C36" s="24" t="s">
        <v>339</v>
      </c>
      <c r="D36" s="24" t="s">
        <v>317</v>
      </c>
      <c r="E36" s="28">
        <v>13584</v>
      </c>
      <c r="F36" s="25">
        <v>158.22643199999999</v>
      </c>
      <c r="G36" s="26">
        <v>0.91950945307304599</v>
      </c>
      <c r="H36" s="27"/>
    </row>
    <row r="37" spans="2:8" x14ac:dyDescent="0.2">
      <c r="B37" s="24" t="s">
        <v>340</v>
      </c>
      <c r="C37" s="24" t="s">
        <v>341</v>
      </c>
      <c r="D37" s="24" t="s">
        <v>323</v>
      </c>
      <c r="E37" s="28">
        <v>5524</v>
      </c>
      <c r="F37" s="25">
        <v>156.27395999999999</v>
      </c>
      <c r="G37" s="26">
        <v>0.90816295149194204</v>
      </c>
      <c r="H37" s="27"/>
    </row>
    <row r="38" spans="2:8" x14ac:dyDescent="0.2">
      <c r="B38" s="24" t="s">
        <v>342</v>
      </c>
      <c r="C38" s="24" t="s">
        <v>343</v>
      </c>
      <c r="D38" s="24" t="s">
        <v>289</v>
      </c>
      <c r="E38" s="28">
        <v>1603</v>
      </c>
      <c r="F38" s="25">
        <v>149.76829000000001</v>
      </c>
      <c r="G38" s="26">
        <v>0.87035621472893498</v>
      </c>
      <c r="H38" s="27"/>
    </row>
    <row r="39" spans="2:8" x14ac:dyDescent="0.2">
      <c r="B39" s="24" t="s">
        <v>344</v>
      </c>
      <c r="C39" s="24" t="s">
        <v>345</v>
      </c>
      <c r="D39" s="24" t="s">
        <v>346</v>
      </c>
      <c r="E39" s="28">
        <v>10005</v>
      </c>
      <c r="F39" s="25">
        <v>147.05349000000001</v>
      </c>
      <c r="G39" s="26">
        <v>0.85457955698819399</v>
      </c>
      <c r="H39" s="27"/>
    </row>
    <row r="40" spans="2:8" x14ac:dyDescent="0.2">
      <c r="B40" s="24" t="s">
        <v>347</v>
      </c>
      <c r="C40" s="24" t="s">
        <v>348</v>
      </c>
      <c r="D40" s="24" t="s">
        <v>277</v>
      </c>
      <c r="E40" s="28">
        <v>9180</v>
      </c>
      <c r="F40" s="25">
        <v>146.04462000000001</v>
      </c>
      <c r="G40" s="26">
        <v>0.84871665854451395</v>
      </c>
      <c r="H40" s="27"/>
    </row>
    <row r="41" spans="2:8" x14ac:dyDescent="0.2">
      <c r="B41" s="24" t="s">
        <v>349</v>
      </c>
      <c r="C41" s="24" t="s">
        <v>350</v>
      </c>
      <c r="D41" s="24" t="s">
        <v>289</v>
      </c>
      <c r="E41" s="28">
        <v>1990</v>
      </c>
      <c r="F41" s="25">
        <v>145.51875000000001</v>
      </c>
      <c r="G41" s="26">
        <v>0.84566064299783505</v>
      </c>
      <c r="H41" s="27"/>
    </row>
    <row r="42" spans="2:8" x14ac:dyDescent="0.2">
      <c r="B42" s="24" t="s">
        <v>351</v>
      </c>
      <c r="C42" s="24" t="s">
        <v>352</v>
      </c>
      <c r="D42" s="24" t="s">
        <v>296</v>
      </c>
      <c r="E42" s="28">
        <v>47399</v>
      </c>
      <c r="F42" s="25">
        <v>139.80335049999999</v>
      </c>
      <c r="G42" s="26">
        <v>0.81244644609084204</v>
      </c>
      <c r="H42" s="27"/>
    </row>
    <row r="43" spans="2:8" x14ac:dyDescent="0.2">
      <c r="B43" s="24" t="s">
        <v>353</v>
      </c>
      <c r="C43" s="24" t="s">
        <v>354</v>
      </c>
      <c r="D43" s="24" t="s">
        <v>303</v>
      </c>
      <c r="E43" s="28">
        <v>3208</v>
      </c>
      <c r="F43" s="25">
        <v>137.27032</v>
      </c>
      <c r="G43" s="26">
        <v>0.79772611485268097</v>
      </c>
      <c r="H43" s="27"/>
    </row>
    <row r="44" spans="2:8" x14ac:dyDescent="0.2">
      <c r="B44" s="24" t="s">
        <v>355</v>
      </c>
      <c r="C44" s="24" t="s">
        <v>356</v>
      </c>
      <c r="D44" s="24" t="s">
        <v>357</v>
      </c>
      <c r="E44" s="28">
        <v>56167</v>
      </c>
      <c r="F44" s="25">
        <v>135.01423460000001</v>
      </c>
      <c r="G44" s="26">
        <v>0.78461520900706305</v>
      </c>
      <c r="H44" s="27"/>
    </row>
    <row r="45" spans="2:8" x14ac:dyDescent="0.2">
      <c r="B45" s="24" t="s">
        <v>358</v>
      </c>
      <c r="C45" s="24" t="s">
        <v>359</v>
      </c>
      <c r="D45" s="24" t="s">
        <v>360</v>
      </c>
      <c r="E45" s="28">
        <v>10367</v>
      </c>
      <c r="F45" s="25">
        <v>133.52696</v>
      </c>
      <c r="G45" s="26">
        <v>0.77597213315223101</v>
      </c>
      <c r="H45" s="27"/>
    </row>
    <row r="46" spans="2:8" x14ac:dyDescent="0.2">
      <c r="B46" s="24" t="s">
        <v>361</v>
      </c>
      <c r="C46" s="24" t="s">
        <v>362</v>
      </c>
      <c r="D46" s="24" t="s">
        <v>363</v>
      </c>
      <c r="E46" s="28">
        <v>6491</v>
      </c>
      <c r="F46" s="25">
        <v>132.08535900000001</v>
      </c>
      <c r="G46" s="26">
        <v>0.76759448265285302</v>
      </c>
      <c r="H46" s="27"/>
    </row>
    <row r="47" spans="2:8" x14ac:dyDescent="0.2">
      <c r="B47" s="24" t="s">
        <v>364</v>
      </c>
      <c r="C47" s="24" t="s">
        <v>365</v>
      </c>
      <c r="D47" s="24" t="s">
        <v>366</v>
      </c>
      <c r="E47" s="28">
        <v>32832</v>
      </c>
      <c r="F47" s="25">
        <v>130.99968000000001</v>
      </c>
      <c r="G47" s="26">
        <v>0.76128522009232902</v>
      </c>
      <c r="H47" s="27"/>
    </row>
    <row r="48" spans="2:8" x14ac:dyDescent="0.2">
      <c r="B48" s="24" t="s">
        <v>367</v>
      </c>
      <c r="C48" s="24" t="s">
        <v>368</v>
      </c>
      <c r="D48" s="24" t="s">
        <v>306</v>
      </c>
      <c r="E48" s="28">
        <v>8135</v>
      </c>
      <c r="F48" s="25">
        <v>122.944255</v>
      </c>
      <c r="G48" s="26">
        <v>0.71447231189238403</v>
      </c>
      <c r="H48" s="27"/>
    </row>
    <row r="49" spans="2:9" x14ac:dyDescent="0.2">
      <c r="B49" s="24" t="s">
        <v>369</v>
      </c>
      <c r="C49" s="24" t="s">
        <v>370</v>
      </c>
      <c r="D49" s="24" t="s">
        <v>363</v>
      </c>
      <c r="E49" s="28">
        <v>15540</v>
      </c>
      <c r="F49" s="25">
        <v>116.52669</v>
      </c>
      <c r="G49" s="26">
        <v>0.67717758427563102</v>
      </c>
      <c r="H49" s="27"/>
    </row>
    <row r="50" spans="2:9" x14ac:dyDescent="0.2">
      <c r="B50" s="24" t="s">
        <v>371</v>
      </c>
      <c r="C50" s="24" t="s">
        <v>372</v>
      </c>
      <c r="D50" s="24" t="s">
        <v>373</v>
      </c>
      <c r="E50" s="28">
        <v>10753</v>
      </c>
      <c r="F50" s="25">
        <v>112.379603</v>
      </c>
      <c r="G50" s="26">
        <v>0.65307740296574501</v>
      </c>
      <c r="H50" s="27"/>
    </row>
    <row r="51" spans="2:9" x14ac:dyDescent="0.2">
      <c r="B51" s="24" t="s">
        <v>374</v>
      </c>
      <c r="C51" s="24" t="s">
        <v>375</v>
      </c>
      <c r="D51" s="24" t="s">
        <v>376</v>
      </c>
      <c r="E51" s="28">
        <v>9415</v>
      </c>
      <c r="F51" s="25">
        <v>112.2268</v>
      </c>
      <c r="G51" s="26">
        <v>0.65218941098373595</v>
      </c>
      <c r="H51" s="27"/>
    </row>
    <row r="52" spans="2:9" x14ac:dyDescent="0.2">
      <c r="B52" s="24" t="s">
        <v>377</v>
      </c>
      <c r="C52" s="24" t="s">
        <v>378</v>
      </c>
      <c r="D52" s="24" t="s">
        <v>306</v>
      </c>
      <c r="E52" s="28">
        <v>8811</v>
      </c>
      <c r="F52" s="25">
        <v>112.023054</v>
      </c>
      <c r="G52" s="26">
        <v>0.651005371309342</v>
      </c>
      <c r="H52" s="27"/>
    </row>
    <row r="53" spans="2:9" x14ac:dyDescent="0.2">
      <c r="B53" s="24" t="s">
        <v>379</v>
      </c>
      <c r="C53" s="24" t="s">
        <v>380</v>
      </c>
      <c r="D53" s="24" t="s">
        <v>289</v>
      </c>
      <c r="E53" s="28">
        <v>30236</v>
      </c>
      <c r="F53" s="25">
        <v>111.071946</v>
      </c>
      <c r="G53" s="26">
        <v>0.64547814816565496</v>
      </c>
      <c r="H53" s="27"/>
    </row>
    <row r="54" spans="2:9" x14ac:dyDescent="0.2">
      <c r="B54" s="24" t="s">
        <v>381</v>
      </c>
      <c r="C54" s="24" t="s">
        <v>382</v>
      </c>
      <c r="D54" s="24" t="s">
        <v>277</v>
      </c>
      <c r="E54" s="28">
        <v>41285</v>
      </c>
      <c r="F54" s="25">
        <v>108.695148</v>
      </c>
      <c r="G54" s="26">
        <v>0.63166573894034195</v>
      </c>
      <c r="H54" s="27"/>
    </row>
    <row r="55" spans="2:9" x14ac:dyDescent="0.2">
      <c r="B55" s="24" t="s">
        <v>383</v>
      </c>
      <c r="C55" s="24" t="s">
        <v>384</v>
      </c>
      <c r="D55" s="24" t="s">
        <v>373</v>
      </c>
      <c r="E55" s="28">
        <v>1488</v>
      </c>
      <c r="F55" s="25">
        <v>104.7924</v>
      </c>
      <c r="G55" s="26">
        <v>0.60898549750658504</v>
      </c>
      <c r="H55" s="27"/>
    </row>
    <row r="56" spans="2:9" x14ac:dyDescent="0.2">
      <c r="B56" s="24" t="s">
        <v>385</v>
      </c>
      <c r="C56" s="24" t="s">
        <v>386</v>
      </c>
      <c r="D56" s="24" t="s">
        <v>387</v>
      </c>
      <c r="E56" s="28">
        <v>3766</v>
      </c>
      <c r="F56" s="25">
        <v>84.347102000000007</v>
      </c>
      <c r="G56" s="26">
        <v>0.49017067912089701</v>
      </c>
      <c r="H56" s="27"/>
    </row>
    <row r="57" spans="2:9" x14ac:dyDescent="0.2">
      <c r="B57" s="24" t="s">
        <v>1457</v>
      </c>
      <c r="C57" s="24" t="s">
        <v>388</v>
      </c>
      <c r="D57" s="24" t="s">
        <v>360</v>
      </c>
      <c r="E57" s="28">
        <v>11798</v>
      </c>
      <c r="F57" s="25">
        <v>4.7427960000000002</v>
      </c>
      <c r="G57" s="26">
        <v>2.7562055851686199E-2</v>
      </c>
      <c r="H57" s="27"/>
    </row>
    <row r="58" spans="2:9" x14ac:dyDescent="0.2">
      <c r="B58" s="23" t="s">
        <v>60</v>
      </c>
      <c r="C58" s="23"/>
      <c r="D58" s="23"/>
      <c r="E58" s="23"/>
      <c r="F58" s="30">
        <f>SUM(F7:F57)</f>
        <v>17230.959513899998</v>
      </c>
      <c r="G58" s="31">
        <f>SUM(G7:G57)</f>
        <v>100.13516678774621</v>
      </c>
      <c r="H58" s="32"/>
      <c r="I58" s="16"/>
    </row>
    <row r="59" spans="2:9" x14ac:dyDescent="0.2">
      <c r="B59" s="23" t="s">
        <v>389</v>
      </c>
      <c r="C59" s="23"/>
      <c r="D59" s="23"/>
      <c r="E59" s="23"/>
      <c r="F59" s="46" t="s">
        <v>390</v>
      </c>
      <c r="G59" s="47" t="s">
        <v>390</v>
      </c>
      <c r="H59" s="32"/>
      <c r="I59" s="16"/>
    </row>
    <row r="60" spans="2:9" x14ac:dyDescent="0.2">
      <c r="B60" s="23" t="s">
        <v>60</v>
      </c>
      <c r="C60" s="23"/>
      <c r="D60" s="23"/>
      <c r="E60" s="23"/>
      <c r="F60" s="48" t="s">
        <v>390</v>
      </c>
      <c r="G60" s="49" t="s">
        <v>390</v>
      </c>
      <c r="H60" s="32"/>
      <c r="I60" s="16"/>
    </row>
    <row r="61" spans="2:9" x14ac:dyDescent="0.2">
      <c r="B61" s="35" t="s">
        <v>99</v>
      </c>
      <c r="C61" s="35"/>
      <c r="D61" s="35"/>
      <c r="E61" s="35"/>
      <c r="F61" s="36">
        <f>F58</f>
        <v>17230.959513899998</v>
      </c>
      <c r="G61" s="37">
        <f>G58</f>
        <v>100.13516678774621</v>
      </c>
      <c r="H61" s="32"/>
      <c r="I61" s="16"/>
    </row>
    <row r="62" spans="2:9" x14ac:dyDescent="0.2">
      <c r="B62" s="23" t="s">
        <v>104</v>
      </c>
      <c r="C62" s="23"/>
      <c r="D62" s="23"/>
      <c r="E62" s="23"/>
      <c r="F62" s="30">
        <v>106.4431641</v>
      </c>
      <c r="G62" s="31">
        <v>0.61857866835394104</v>
      </c>
      <c r="H62" s="38">
        <v>5.3636339999999998E-2</v>
      </c>
      <c r="I62" s="17"/>
    </row>
    <row r="63" spans="2:9" x14ac:dyDescent="0.2">
      <c r="B63" s="24"/>
      <c r="C63" s="24"/>
      <c r="D63" s="24"/>
      <c r="E63" s="24"/>
      <c r="F63" s="25"/>
      <c r="G63" s="26"/>
      <c r="H63" s="27"/>
    </row>
    <row r="64" spans="2:9" x14ac:dyDescent="0.2">
      <c r="B64" s="43" t="s">
        <v>106</v>
      </c>
      <c r="C64" s="43"/>
      <c r="D64" s="43"/>
      <c r="E64" s="43"/>
      <c r="F64" s="30">
        <f>F65-(F58+F62)</f>
        <v>-129.7022599999982</v>
      </c>
      <c r="G64" s="31">
        <f>G65-(G58+G62)</f>
        <v>-0.75374545610016241</v>
      </c>
      <c r="H64" s="32"/>
      <c r="I64" s="16"/>
    </row>
    <row r="65" spans="2:9" x14ac:dyDescent="0.2">
      <c r="B65" s="39" t="s">
        <v>105</v>
      </c>
      <c r="C65" s="39"/>
      <c r="D65" s="39"/>
      <c r="E65" s="39"/>
      <c r="F65" s="40">
        <v>17207.700418</v>
      </c>
      <c r="G65" s="41">
        <v>100</v>
      </c>
      <c r="H65" s="42"/>
      <c r="I65" s="16"/>
    </row>
    <row r="67" spans="2:9" x14ac:dyDescent="0.2">
      <c r="B67" s="16" t="s">
        <v>108</v>
      </c>
    </row>
    <row r="68" spans="2:9" x14ac:dyDescent="0.2">
      <c r="B68" s="16"/>
    </row>
    <row r="69" spans="2:9" x14ac:dyDescent="0.2">
      <c r="B69" s="16" t="s">
        <v>110</v>
      </c>
      <c r="H69" s="6"/>
    </row>
    <row r="70" spans="2:9" x14ac:dyDescent="0.2">
      <c r="H70" s="6"/>
    </row>
    <row r="71" spans="2:9" x14ac:dyDescent="0.2">
      <c r="H71" s="6"/>
    </row>
    <row r="72" spans="2:9" x14ac:dyDescent="0.2">
      <c r="H72" s="6"/>
    </row>
    <row r="73" spans="2:9" x14ac:dyDescent="0.2">
      <c r="H73" s="6"/>
    </row>
    <row r="74" spans="2:9" x14ac:dyDescent="0.2">
      <c r="H74" s="6"/>
    </row>
    <row r="75" spans="2:9" x14ac:dyDescent="0.2">
      <c r="H75" s="6"/>
    </row>
    <row r="76" spans="2:9" x14ac:dyDescent="0.2">
      <c r="H76" s="6"/>
    </row>
    <row r="77" spans="2:9" x14ac:dyDescent="0.2">
      <c r="H77" s="6"/>
    </row>
    <row r="78" spans="2:9" x14ac:dyDescent="0.2">
      <c r="H78" s="6"/>
    </row>
    <row r="79" spans="2:9" x14ac:dyDescent="0.2">
      <c r="H79" s="6"/>
    </row>
    <row r="80" spans="2:9" x14ac:dyDescent="0.2">
      <c r="H80" s="6"/>
    </row>
    <row r="81" spans="2:8" x14ac:dyDescent="0.2">
      <c r="H81" s="6"/>
    </row>
    <row r="82" spans="2:8" x14ac:dyDescent="0.2">
      <c r="H82" s="6"/>
    </row>
    <row r="83" spans="2:8" x14ac:dyDescent="0.2">
      <c r="H83" s="6"/>
    </row>
    <row r="84" spans="2:8" x14ac:dyDescent="0.2">
      <c r="H84" s="6"/>
    </row>
    <row r="85" spans="2:8" x14ac:dyDescent="0.2">
      <c r="H85" s="6"/>
    </row>
    <row r="86" spans="2:8" x14ac:dyDescent="0.2">
      <c r="B86" s="60" t="s">
        <v>1436</v>
      </c>
      <c r="H86" s="6"/>
    </row>
    <row r="87" spans="2:8" x14ac:dyDescent="0.2">
      <c r="B87" s="61" t="s">
        <v>1441</v>
      </c>
      <c r="H87" s="6"/>
    </row>
    <row r="88" spans="2:8" x14ac:dyDescent="0.2">
      <c r="H88" s="6"/>
    </row>
    <row r="89" spans="2:8" x14ac:dyDescent="0.2">
      <c r="H89" s="6"/>
    </row>
    <row r="90" spans="2:8" x14ac:dyDescent="0.2">
      <c r="H90" s="6"/>
    </row>
    <row r="91" spans="2:8" x14ac:dyDescent="0.2">
      <c r="H91" s="6"/>
    </row>
    <row r="92" spans="2:8" x14ac:dyDescent="0.2">
      <c r="H92" s="6"/>
    </row>
    <row r="93" spans="2:8" x14ac:dyDescent="0.2">
      <c r="H93" s="6"/>
    </row>
    <row r="94" spans="2:8" x14ac:dyDescent="0.2">
      <c r="H94" s="6"/>
    </row>
    <row r="95" spans="2:8" x14ac:dyDescent="0.2">
      <c r="H95" s="6"/>
    </row>
    <row r="96" spans="2:8" x14ac:dyDescent="0.2">
      <c r="H96" s="6"/>
    </row>
    <row r="97" spans="8:8" x14ac:dyDescent="0.2">
      <c r="H97" s="6"/>
    </row>
    <row r="98" spans="8:8" x14ac:dyDescent="0.2">
      <c r="H98" s="6"/>
    </row>
    <row r="99" spans="8:8" x14ac:dyDescent="0.2">
      <c r="H99" s="6"/>
    </row>
    <row r="100" spans="8:8" x14ac:dyDescent="0.2">
      <c r="H100" s="6"/>
    </row>
    <row r="101" spans="8:8" x14ac:dyDescent="0.2">
      <c r="H101" s="6"/>
    </row>
    <row r="102" spans="8:8" x14ac:dyDescent="0.2">
      <c r="H102" s="6"/>
    </row>
    <row r="103" spans="8:8" x14ac:dyDescent="0.2">
      <c r="H103" s="6"/>
    </row>
  </sheetData>
  <mergeCells count="1">
    <mergeCell ref="B1:C1"/>
  </mergeCells>
  <conditionalFormatting sqref="G1:G3 G5:G103">
    <cfRule type="cellIs" dxfId="6" priority="2" stopIfTrue="1" operator="between">
      <formula>0.009</formula>
      <formula>-0.009</formula>
    </cfRule>
  </conditionalFormatting>
  <hyperlinks>
    <hyperlink ref="A2" location="Index!A1" display="-" xr:uid="{B5932EDB-2745-46DC-AC9E-26FC34C2C738}"/>
  </hyperlinks>
  <pageMargins left="0.7" right="0.7" top="0.75" bottom="0.75" header="0.3" footer="0.3"/>
  <pageSetup paperSize="9" scale="63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209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FACF1-33C5-4BE1-93A8-BED5967FFB06}">
  <sheetPr codeName="Sheet7"/>
  <dimension ref="A1:I92"/>
  <sheetViews>
    <sheetView view="pageBreakPreview" zoomScaleNormal="100" zoomScaleSheetLayoutView="100" workbookViewId="0"/>
  </sheetViews>
  <sheetFormatPr defaultColWidth="9.140625" defaultRowHeight="11.25" x14ac:dyDescent="0.2"/>
  <cols>
    <col min="1" max="1" width="7.140625" style="6" customWidth="1"/>
    <col min="2" max="2" width="52.5703125" style="6" bestFit="1" customWidth="1"/>
    <col min="3" max="3" width="11" style="6" bestFit="1" customWidth="1"/>
    <col min="4" max="4" width="22.28515625" style="6" bestFit="1" customWidth="1"/>
    <col min="5" max="5" width="13.85546875" style="6" bestFit="1" customWidth="1"/>
    <col min="6" max="6" width="12.7109375" style="8" bestFit="1" customWidth="1"/>
    <col min="7" max="7" width="10.5703125" style="14" customWidth="1"/>
    <col min="8" max="8" width="11.85546875" style="6" bestFit="1" customWidth="1"/>
    <col min="9" max="16384" width="9.140625" style="6"/>
  </cols>
  <sheetData>
    <row r="1" spans="1:9" s="1" customFormat="1" ht="16.7" customHeight="1" x14ac:dyDescent="0.2">
      <c r="B1" s="106" t="s">
        <v>15</v>
      </c>
      <c r="C1" s="107"/>
      <c r="D1" s="10"/>
      <c r="F1" s="5"/>
      <c r="G1" s="14"/>
    </row>
    <row r="2" spans="1:9" s="1" customFormat="1" ht="15" x14ac:dyDescent="0.25">
      <c r="A2" s="59" t="s">
        <v>1466</v>
      </c>
      <c r="F2" s="5"/>
      <c r="G2" s="14"/>
    </row>
    <row r="3" spans="1:9" s="1" customFormat="1" ht="12" x14ac:dyDescent="0.2">
      <c r="B3" s="7" t="s">
        <v>9</v>
      </c>
      <c r="C3" s="2"/>
      <c r="D3" s="3"/>
      <c r="E3" s="3"/>
      <c r="F3" s="4"/>
      <c r="G3" s="14"/>
    </row>
    <row r="4" spans="1:9" s="1" customFormat="1" ht="33.75" x14ac:dyDescent="0.2">
      <c r="B4" s="18" t="s">
        <v>7</v>
      </c>
      <c r="C4" s="18" t="s">
        <v>8</v>
      </c>
      <c r="D4" s="69" t="s">
        <v>1434</v>
      </c>
      <c r="E4" s="19" t="s">
        <v>0</v>
      </c>
      <c r="F4" s="20" t="s">
        <v>4</v>
      </c>
      <c r="G4" s="21" t="s">
        <v>5</v>
      </c>
      <c r="H4" s="20" t="s">
        <v>6</v>
      </c>
      <c r="I4" s="9"/>
    </row>
    <row r="5" spans="1:9" x14ac:dyDescent="0.2">
      <c r="B5" s="23" t="s">
        <v>262</v>
      </c>
      <c r="C5" s="24"/>
      <c r="D5" s="24"/>
      <c r="E5" s="24"/>
      <c r="F5" s="25"/>
      <c r="G5" s="26"/>
      <c r="H5" s="24"/>
    </row>
    <row r="6" spans="1:9" x14ac:dyDescent="0.2">
      <c r="B6" s="23" t="s">
        <v>263</v>
      </c>
      <c r="C6" s="24"/>
      <c r="D6" s="24"/>
      <c r="E6" s="24"/>
      <c r="F6" s="25"/>
      <c r="G6" s="26"/>
      <c r="H6" s="24"/>
    </row>
    <row r="7" spans="1:9" x14ac:dyDescent="0.2">
      <c r="B7" s="24" t="s">
        <v>392</v>
      </c>
      <c r="C7" s="24" t="s">
        <v>393</v>
      </c>
      <c r="D7" s="24" t="s">
        <v>394</v>
      </c>
      <c r="E7" s="28">
        <v>108589</v>
      </c>
      <c r="F7" s="25">
        <v>656.311916</v>
      </c>
      <c r="G7" s="26">
        <v>4.4222727030554596</v>
      </c>
      <c r="H7" s="24"/>
    </row>
    <row r="8" spans="1:9" x14ac:dyDescent="0.2">
      <c r="B8" s="24" t="s">
        <v>395</v>
      </c>
      <c r="C8" s="24" t="s">
        <v>396</v>
      </c>
      <c r="D8" s="24" t="s">
        <v>289</v>
      </c>
      <c r="E8" s="28">
        <v>15029</v>
      </c>
      <c r="F8" s="25">
        <v>559.04874199999995</v>
      </c>
      <c r="G8" s="26">
        <v>3.7669070622574199</v>
      </c>
      <c r="H8" s="24"/>
    </row>
    <row r="9" spans="1:9" x14ac:dyDescent="0.2">
      <c r="B9" s="24" t="s">
        <v>397</v>
      </c>
      <c r="C9" s="24" t="s">
        <v>398</v>
      </c>
      <c r="D9" s="24" t="s">
        <v>320</v>
      </c>
      <c r="E9" s="28">
        <v>12145</v>
      </c>
      <c r="F9" s="25">
        <v>533.00761499999999</v>
      </c>
      <c r="G9" s="26">
        <v>3.59144024186085</v>
      </c>
      <c r="H9" s="24"/>
    </row>
    <row r="10" spans="1:9" x14ac:dyDescent="0.2">
      <c r="B10" s="24" t="s">
        <v>399</v>
      </c>
      <c r="C10" s="24" t="s">
        <v>400</v>
      </c>
      <c r="D10" s="24" t="s">
        <v>306</v>
      </c>
      <c r="E10" s="28">
        <v>8133</v>
      </c>
      <c r="F10" s="25">
        <v>519.90202499999998</v>
      </c>
      <c r="G10" s="26">
        <v>3.5031339175331402</v>
      </c>
      <c r="H10" s="24"/>
    </row>
    <row r="11" spans="1:9" x14ac:dyDescent="0.2">
      <c r="B11" s="24" t="s">
        <v>401</v>
      </c>
      <c r="C11" s="24" t="s">
        <v>402</v>
      </c>
      <c r="D11" s="24" t="s">
        <v>269</v>
      </c>
      <c r="E11" s="28">
        <v>124071</v>
      </c>
      <c r="F11" s="25">
        <v>476.43263999999999</v>
      </c>
      <c r="G11" s="26">
        <v>3.2102343525279702</v>
      </c>
      <c r="H11" s="24"/>
    </row>
    <row r="12" spans="1:9" x14ac:dyDescent="0.2">
      <c r="B12" s="24" t="s">
        <v>403</v>
      </c>
      <c r="C12" s="24" t="s">
        <v>404</v>
      </c>
      <c r="D12" s="24" t="s">
        <v>296</v>
      </c>
      <c r="E12" s="28">
        <v>27071</v>
      </c>
      <c r="F12" s="25">
        <v>460.80256200000002</v>
      </c>
      <c r="G12" s="26">
        <v>3.1049178626076102</v>
      </c>
      <c r="H12" s="24"/>
    </row>
    <row r="13" spans="1:9" x14ac:dyDescent="0.2">
      <c r="B13" s="24" t="s">
        <v>405</v>
      </c>
      <c r="C13" s="24" t="s">
        <v>406</v>
      </c>
      <c r="D13" s="24" t="s">
        <v>360</v>
      </c>
      <c r="E13" s="28">
        <v>7549</v>
      </c>
      <c r="F13" s="25">
        <v>455.28019</v>
      </c>
      <c r="G13" s="26">
        <v>3.0677077581491101</v>
      </c>
      <c r="H13" s="24"/>
    </row>
    <row r="14" spans="1:9" x14ac:dyDescent="0.2">
      <c r="B14" s="24" t="s">
        <v>407</v>
      </c>
      <c r="C14" s="24" t="s">
        <v>408</v>
      </c>
      <c r="D14" s="24" t="s">
        <v>409</v>
      </c>
      <c r="E14" s="28">
        <v>87598</v>
      </c>
      <c r="F14" s="25">
        <v>429.09880299999998</v>
      </c>
      <c r="G14" s="26">
        <v>2.8912958566802498</v>
      </c>
      <c r="H14" s="24"/>
    </row>
    <row r="15" spans="1:9" x14ac:dyDescent="0.2">
      <c r="B15" s="24" t="s">
        <v>410</v>
      </c>
      <c r="C15" s="24" t="s">
        <v>411</v>
      </c>
      <c r="D15" s="24" t="s">
        <v>412</v>
      </c>
      <c r="E15" s="28">
        <v>56222</v>
      </c>
      <c r="F15" s="25">
        <v>415.39624700000002</v>
      </c>
      <c r="G15" s="26">
        <v>2.7989671363208699</v>
      </c>
      <c r="H15" s="24"/>
    </row>
    <row r="16" spans="1:9" x14ac:dyDescent="0.2">
      <c r="B16" s="24" t="s">
        <v>413</v>
      </c>
      <c r="C16" s="24" t="s">
        <v>414</v>
      </c>
      <c r="D16" s="24" t="s">
        <v>314</v>
      </c>
      <c r="E16" s="28">
        <v>107490</v>
      </c>
      <c r="F16" s="25">
        <v>408.03203999999999</v>
      </c>
      <c r="G16" s="26">
        <v>2.7493466269231002</v>
      </c>
      <c r="H16" s="24"/>
    </row>
    <row r="17" spans="2:8" x14ac:dyDescent="0.2">
      <c r="B17" s="24" t="s">
        <v>415</v>
      </c>
      <c r="C17" s="24" t="s">
        <v>416</v>
      </c>
      <c r="D17" s="24" t="s">
        <v>269</v>
      </c>
      <c r="E17" s="28">
        <v>239171</v>
      </c>
      <c r="F17" s="25">
        <v>398.12404659999999</v>
      </c>
      <c r="G17" s="26">
        <v>2.6825859180487002</v>
      </c>
      <c r="H17" s="24"/>
    </row>
    <row r="18" spans="2:8" x14ac:dyDescent="0.2">
      <c r="B18" s="24" t="s">
        <v>417</v>
      </c>
      <c r="C18" s="24" t="s">
        <v>418</v>
      </c>
      <c r="D18" s="24" t="s">
        <v>314</v>
      </c>
      <c r="E18" s="28">
        <v>252520</v>
      </c>
      <c r="F18" s="25">
        <v>361.07834800000001</v>
      </c>
      <c r="G18" s="26">
        <v>2.4329695729991299</v>
      </c>
      <c r="H18" s="24"/>
    </row>
    <row r="19" spans="2:8" x14ac:dyDescent="0.2">
      <c r="B19" s="24" t="s">
        <v>419</v>
      </c>
      <c r="C19" s="24" t="s">
        <v>420</v>
      </c>
      <c r="D19" s="24" t="s">
        <v>277</v>
      </c>
      <c r="E19" s="28">
        <v>5936</v>
      </c>
      <c r="F19" s="25">
        <v>359.92935999999997</v>
      </c>
      <c r="G19" s="26">
        <v>2.42522761655332</v>
      </c>
      <c r="H19" s="24"/>
    </row>
    <row r="20" spans="2:8" x14ac:dyDescent="0.2">
      <c r="B20" s="24" t="s">
        <v>421</v>
      </c>
      <c r="C20" s="24" t="s">
        <v>422</v>
      </c>
      <c r="D20" s="24" t="s">
        <v>303</v>
      </c>
      <c r="E20" s="28">
        <v>9425</v>
      </c>
      <c r="F20" s="25">
        <v>356.47235000000001</v>
      </c>
      <c r="G20" s="26">
        <v>2.4019340566095</v>
      </c>
      <c r="H20" s="24"/>
    </row>
    <row r="21" spans="2:8" x14ac:dyDescent="0.2">
      <c r="B21" s="24" t="s">
        <v>423</v>
      </c>
      <c r="C21" s="24" t="s">
        <v>424</v>
      </c>
      <c r="D21" s="24" t="s">
        <v>266</v>
      </c>
      <c r="E21" s="28">
        <v>118751</v>
      </c>
      <c r="F21" s="25">
        <v>351.384209</v>
      </c>
      <c r="G21" s="26">
        <v>2.3676498290874202</v>
      </c>
      <c r="H21" s="24"/>
    </row>
    <row r="22" spans="2:8" x14ac:dyDescent="0.2">
      <c r="B22" s="24" t="s">
        <v>425</v>
      </c>
      <c r="C22" s="24" t="s">
        <v>426</v>
      </c>
      <c r="D22" s="24" t="s">
        <v>427</v>
      </c>
      <c r="E22" s="28">
        <v>284293</v>
      </c>
      <c r="F22" s="25">
        <v>340.98102419999998</v>
      </c>
      <c r="G22" s="26">
        <v>2.2975524881062102</v>
      </c>
      <c r="H22" s="24"/>
    </row>
    <row r="23" spans="2:8" x14ac:dyDescent="0.2">
      <c r="B23" s="24" t="s">
        <v>428</v>
      </c>
      <c r="C23" s="24" t="s">
        <v>429</v>
      </c>
      <c r="D23" s="24" t="s">
        <v>266</v>
      </c>
      <c r="E23" s="28">
        <v>215804</v>
      </c>
      <c r="F23" s="25">
        <v>334.3019764</v>
      </c>
      <c r="G23" s="26">
        <v>2.2525486263016599</v>
      </c>
      <c r="H23" s="24"/>
    </row>
    <row r="24" spans="2:8" x14ac:dyDescent="0.2">
      <c r="B24" s="24" t="s">
        <v>430</v>
      </c>
      <c r="C24" s="24" t="s">
        <v>431</v>
      </c>
      <c r="D24" s="24" t="s">
        <v>303</v>
      </c>
      <c r="E24" s="28">
        <v>24869</v>
      </c>
      <c r="F24" s="25">
        <v>331.652984</v>
      </c>
      <c r="G24" s="26">
        <v>2.2346995419021001</v>
      </c>
      <c r="H24" s="24"/>
    </row>
    <row r="25" spans="2:8" x14ac:dyDescent="0.2">
      <c r="B25" s="24" t="s">
        <v>432</v>
      </c>
      <c r="C25" s="24" t="s">
        <v>433</v>
      </c>
      <c r="D25" s="24" t="s">
        <v>296</v>
      </c>
      <c r="E25" s="28">
        <v>93202</v>
      </c>
      <c r="F25" s="25">
        <v>331.23990800000001</v>
      </c>
      <c r="G25" s="26">
        <v>2.2319162087421298</v>
      </c>
      <c r="H25" s="24"/>
    </row>
    <row r="26" spans="2:8" x14ac:dyDescent="0.2">
      <c r="B26" s="24" t="s">
        <v>434</v>
      </c>
      <c r="C26" s="24" t="s">
        <v>435</v>
      </c>
      <c r="D26" s="24" t="s">
        <v>436</v>
      </c>
      <c r="E26" s="28">
        <v>25756</v>
      </c>
      <c r="F26" s="25">
        <v>314.78983199999999</v>
      </c>
      <c r="G26" s="26">
        <v>2.12107451855714</v>
      </c>
      <c r="H26" s="24"/>
    </row>
    <row r="27" spans="2:8" x14ac:dyDescent="0.2">
      <c r="B27" s="24" t="s">
        <v>437</v>
      </c>
      <c r="C27" s="24" t="s">
        <v>438</v>
      </c>
      <c r="D27" s="24" t="s">
        <v>296</v>
      </c>
      <c r="E27" s="28">
        <v>2771</v>
      </c>
      <c r="F27" s="25">
        <v>313.89888000000002</v>
      </c>
      <c r="G27" s="26">
        <v>2.1150712255903699</v>
      </c>
      <c r="H27" s="24"/>
    </row>
    <row r="28" spans="2:8" x14ac:dyDescent="0.2">
      <c r="B28" s="24" t="s">
        <v>439</v>
      </c>
      <c r="C28" s="24" t="s">
        <v>440</v>
      </c>
      <c r="D28" s="24" t="s">
        <v>363</v>
      </c>
      <c r="E28" s="28">
        <v>15494</v>
      </c>
      <c r="F28" s="25">
        <v>304.00777399999998</v>
      </c>
      <c r="G28" s="26">
        <v>2.0484243051239299</v>
      </c>
      <c r="H28" s="24"/>
    </row>
    <row r="29" spans="2:8" x14ac:dyDescent="0.2">
      <c r="B29" s="24" t="s">
        <v>441</v>
      </c>
      <c r="C29" s="24" t="s">
        <v>442</v>
      </c>
      <c r="D29" s="24" t="s">
        <v>443</v>
      </c>
      <c r="E29" s="28">
        <v>172659</v>
      </c>
      <c r="F29" s="25">
        <v>297.24973440000002</v>
      </c>
      <c r="G29" s="26">
        <v>2.0028881913940499</v>
      </c>
      <c r="H29" s="24"/>
    </row>
    <row r="30" spans="2:8" x14ac:dyDescent="0.2">
      <c r="B30" s="24" t="s">
        <v>444</v>
      </c>
      <c r="C30" s="24" t="s">
        <v>445</v>
      </c>
      <c r="D30" s="24" t="s">
        <v>446</v>
      </c>
      <c r="E30" s="28">
        <v>19877</v>
      </c>
      <c r="F30" s="25">
        <v>294.65664800000002</v>
      </c>
      <c r="G30" s="26">
        <v>1.9854158052864299</v>
      </c>
      <c r="H30" s="24"/>
    </row>
    <row r="31" spans="2:8" x14ac:dyDescent="0.2">
      <c r="B31" s="24" t="s">
        <v>447</v>
      </c>
      <c r="C31" s="24" t="s">
        <v>448</v>
      </c>
      <c r="D31" s="24" t="s">
        <v>296</v>
      </c>
      <c r="E31" s="28">
        <v>79949</v>
      </c>
      <c r="F31" s="25">
        <v>285.25803200000001</v>
      </c>
      <c r="G31" s="26">
        <v>1.92208731471656</v>
      </c>
      <c r="H31" s="24"/>
    </row>
    <row r="32" spans="2:8" x14ac:dyDescent="0.2">
      <c r="B32" s="24" t="s">
        <v>449</v>
      </c>
      <c r="C32" s="24" t="s">
        <v>450</v>
      </c>
      <c r="D32" s="24" t="s">
        <v>451</v>
      </c>
      <c r="E32" s="28">
        <v>43952</v>
      </c>
      <c r="F32" s="25">
        <v>284.76500800000002</v>
      </c>
      <c r="G32" s="26">
        <v>1.9187652866930001</v>
      </c>
      <c r="H32" s="24"/>
    </row>
    <row r="33" spans="2:8" x14ac:dyDescent="0.2">
      <c r="B33" s="24" t="s">
        <v>452</v>
      </c>
      <c r="C33" s="24" t="s">
        <v>453</v>
      </c>
      <c r="D33" s="24" t="s">
        <v>454</v>
      </c>
      <c r="E33" s="28">
        <v>41063</v>
      </c>
      <c r="F33" s="25">
        <v>282.26706200000001</v>
      </c>
      <c r="G33" s="26">
        <v>1.90193396283584</v>
      </c>
      <c r="H33" s="24"/>
    </row>
    <row r="34" spans="2:8" x14ac:dyDescent="0.2">
      <c r="B34" s="24" t="s">
        <v>455</v>
      </c>
      <c r="C34" s="24" t="s">
        <v>456</v>
      </c>
      <c r="D34" s="24" t="s">
        <v>409</v>
      </c>
      <c r="E34" s="28">
        <v>18906</v>
      </c>
      <c r="F34" s="25">
        <v>272.945922</v>
      </c>
      <c r="G34" s="26">
        <v>1.8391275106315501</v>
      </c>
      <c r="H34" s="24"/>
    </row>
    <row r="35" spans="2:8" x14ac:dyDescent="0.2">
      <c r="B35" s="24" t="s">
        <v>457</v>
      </c>
      <c r="C35" s="24" t="s">
        <v>458</v>
      </c>
      <c r="D35" s="24" t="s">
        <v>266</v>
      </c>
      <c r="E35" s="28">
        <v>220708</v>
      </c>
      <c r="F35" s="25">
        <v>272.75094639999998</v>
      </c>
      <c r="G35" s="26">
        <v>1.83781375226054</v>
      </c>
      <c r="H35" s="24"/>
    </row>
    <row r="36" spans="2:8" x14ac:dyDescent="0.2">
      <c r="B36" s="24" t="s">
        <v>459</v>
      </c>
      <c r="C36" s="24" t="s">
        <v>460</v>
      </c>
      <c r="D36" s="24" t="s">
        <v>306</v>
      </c>
      <c r="E36" s="28">
        <v>6695</v>
      </c>
      <c r="F36" s="25">
        <v>257.75749999999999</v>
      </c>
      <c r="G36" s="26">
        <v>1.7367869277842301</v>
      </c>
      <c r="H36" s="24"/>
    </row>
    <row r="37" spans="2:8" x14ac:dyDescent="0.2">
      <c r="B37" s="24" t="s">
        <v>461</v>
      </c>
      <c r="C37" s="24" t="s">
        <v>462</v>
      </c>
      <c r="D37" s="24" t="s">
        <v>317</v>
      </c>
      <c r="E37" s="28">
        <v>23920</v>
      </c>
      <c r="F37" s="25">
        <v>252.06896</v>
      </c>
      <c r="G37" s="26">
        <v>1.6984571724514901</v>
      </c>
      <c r="H37" s="24"/>
    </row>
    <row r="38" spans="2:8" x14ac:dyDescent="0.2">
      <c r="B38" s="24" t="s">
        <v>463</v>
      </c>
      <c r="C38" s="24" t="s">
        <v>464</v>
      </c>
      <c r="D38" s="24" t="s">
        <v>311</v>
      </c>
      <c r="E38" s="28">
        <v>16144</v>
      </c>
      <c r="F38" s="25">
        <v>230.035856</v>
      </c>
      <c r="G38" s="26">
        <v>1.5499966737047599</v>
      </c>
      <c r="H38" s="24"/>
    </row>
    <row r="39" spans="2:8" x14ac:dyDescent="0.2">
      <c r="B39" s="24" t="s">
        <v>465</v>
      </c>
      <c r="C39" s="24" t="s">
        <v>466</v>
      </c>
      <c r="D39" s="24" t="s">
        <v>314</v>
      </c>
      <c r="E39" s="28">
        <v>22205</v>
      </c>
      <c r="F39" s="25">
        <v>228.12306749999999</v>
      </c>
      <c r="G39" s="26">
        <v>1.53710817943237</v>
      </c>
      <c r="H39" s="24"/>
    </row>
    <row r="40" spans="2:8" x14ac:dyDescent="0.2">
      <c r="B40" s="24" t="s">
        <v>467</v>
      </c>
      <c r="C40" s="24" t="s">
        <v>468</v>
      </c>
      <c r="D40" s="24" t="s">
        <v>323</v>
      </c>
      <c r="E40" s="28">
        <v>856</v>
      </c>
      <c r="F40" s="25">
        <v>227.482</v>
      </c>
      <c r="G40" s="26">
        <v>1.5327886246033999</v>
      </c>
      <c r="H40" s="24"/>
    </row>
    <row r="41" spans="2:8" x14ac:dyDescent="0.2">
      <c r="B41" s="24" t="s">
        <v>469</v>
      </c>
      <c r="C41" s="24" t="s">
        <v>470</v>
      </c>
      <c r="D41" s="24" t="s">
        <v>323</v>
      </c>
      <c r="E41" s="28">
        <v>39036</v>
      </c>
      <c r="F41" s="25">
        <v>217.17678599999999</v>
      </c>
      <c r="G41" s="26">
        <v>1.4633514172933599</v>
      </c>
      <c r="H41" s="24"/>
    </row>
    <row r="42" spans="2:8" x14ac:dyDescent="0.2">
      <c r="B42" s="24" t="s">
        <v>471</v>
      </c>
      <c r="C42" s="24" t="s">
        <v>472</v>
      </c>
      <c r="D42" s="24" t="s">
        <v>289</v>
      </c>
      <c r="E42" s="28">
        <v>9127</v>
      </c>
      <c r="F42" s="25">
        <v>209.73846</v>
      </c>
      <c r="G42" s="26">
        <v>1.4132314892160101</v>
      </c>
      <c r="H42" s="24"/>
    </row>
    <row r="43" spans="2:8" x14ac:dyDescent="0.2">
      <c r="B43" s="24" t="s">
        <v>473</v>
      </c>
      <c r="C43" s="24" t="s">
        <v>474</v>
      </c>
      <c r="D43" s="24" t="s">
        <v>427</v>
      </c>
      <c r="E43" s="28">
        <v>555</v>
      </c>
      <c r="F43" s="25">
        <v>200.02199999999999</v>
      </c>
      <c r="G43" s="26">
        <v>1.34776134494343</v>
      </c>
      <c r="H43" s="24"/>
    </row>
    <row r="44" spans="2:8" x14ac:dyDescent="0.2">
      <c r="B44" s="24" t="s">
        <v>475</v>
      </c>
      <c r="C44" s="24" t="s">
        <v>476</v>
      </c>
      <c r="D44" s="24" t="s">
        <v>314</v>
      </c>
      <c r="E44" s="28">
        <v>19621</v>
      </c>
      <c r="F44" s="25">
        <v>199.17277100000001</v>
      </c>
      <c r="G44" s="26">
        <v>1.3420391842850801</v>
      </c>
      <c r="H44" s="24"/>
    </row>
    <row r="45" spans="2:8" x14ac:dyDescent="0.2">
      <c r="B45" s="24" t="s">
        <v>477</v>
      </c>
      <c r="C45" s="24" t="s">
        <v>478</v>
      </c>
      <c r="D45" s="24" t="s">
        <v>454</v>
      </c>
      <c r="E45" s="28">
        <v>18006</v>
      </c>
      <c r="F45" s="25">
        <v>191.097678</v>
      </c>
      <c r="G45" s="26">
        <v>1.28762867842961</v>
      </c>
      <c r="H45" s="24"/>
    </row>
    <row r="46" spans="2:8" x14ac:dyDescent="0.2">
      <c r="B46" s="24" t="s">
        <v>479</v>
      </c>
      <c r="C46" s="24" t="s">
        <v>480</v>
      </c>
      <c r="D46" s="24" t="s">
        <v>446</v>
      </c>
      <c r="E46" s="28">
        <v>1559</v>
      </c>
      <c r="F46" s="25">
        <v>191.00868</v>
      </c>
      <c r="G46" s="26">
        <v>1.2870290040729</v>
      </c>
      <c r="H46" s="24"/>
    </row>
    <row r="47" spans="2:8" x14ac:dyDescent="0.2">
      <c r="B47" s="24" t="s">
        <v>481</v>
      </c>
      <c r="C47" s="24" t="s">
        <v>482</v>
      </c>
      <c r="D47" s="24" t="s">
        <v>451</v>
      </c>
      <c r="E47" s="28">
        <v>3357</v>
      </c>
      <c r="F47" s="25">
        <v>173.55690000000001</v>
      </c>
      <c r="G47" s="26">
        <v>1.1694377666867299</v>
      </c>
      <c r="H47" s="24"/>
    </row>
    <row r="48" spans="2:8" x14ac:dyDescent="0.2">
      <c r="B48" s="24" t="s">
        <v>483</v>
      </c>
      <c r="C48" s="24" t="s">
        <v>484</v>
      </c>
      <c r="D48" s="24" t="s">
        <v>451</v>
      </c>
      <c r="E48" s="28">
        <v>5657</v>
      </c>
      <c r="F48" s="25">
        <v>173.29088100000001</v>
      </c>
      <c r="G48" s="26">
        <v>1.1676453132305</v>
      </c>
      <c r="H48" s="24"/>
    </row>
    <row r="49" spans="2:9" x14ac:dyDescent="0.2">
      <c r="B49" s="24" t="s">
        <v>485</v>
      </c>
      <c r="C49" s="24" t="s">
        <v>486</v>
      </c>
      <c r="D49" s="24" t="s">
        <v>328</v>
      </c>
      <c r="E49" s="28">
        <v>27749</v>
      </c>
      <c r="F49" s="25">
        <v>169.94875049999999</v>
      </c>
      <c r="G49" s="26">
        <v>1.1451258188866</v>
      </c>
      <c r="H49" s="24"/>
    </row>
    <row r="50" spans="2:9" x14ac:dyDescent="0.2">
      <c r="B50" s="24" t="s">
        <v>487</v>
      </c>
      <c r="C50" s="24" t="s">
        <v>488</v>
      </c>
      <c r="D50" s="24" t="s">
        <v>314</v>
      </c>
      <c r="E50" s="28">
        <v>34348</v>
      </c>
      <c r="F50" s="25">
        <v>165.71192600000001</v>
      </c>
      <c r="G50" s="26">
        <v>1.1165778177346799</v>
      </c>
      <c r="H50" s="24"/>
    </row>
    <row r="51" spans="2:9" x14ac:dyDescent="0.2">
      <c r="B51" s="24" t="s">
        <v>489</v>
      </c>
      <c r="C51" s="24" t="s">
        <v>490</v>
      </c>
      <c r="D51" s="24" t="s">
        <v>306</v>
      </c>
      <c r="E51" s="28">
        <v>16017</v>
      </c>
      <c r="F51" s="25">
        <v>146.45143949999999</v>
      </c>
      <c r="G51" s="26">
        <v>0.98679939741339195</v>
      </c>
      <c r="H51" s="24"/>
    </row>
    <row r="52" spans="2:9" x14ac:dyDescent="0.2">
      <c r="B52" s="24" t="s">
        <v>491</v>
      </c>
      <c r="C52" s="24" t="s">
        <v>492</v>
      </c>
      <c r="D52" s="24" t="s">
        <v>451</v>
      </c>
      <c r="E52" s="28">
        <v>5661</v>
      </c>
      <c r="F52" s="25">
        <v>144.92726099999999</v>
      </c>
      <c r="G52" s="26">
        <v>0.97652938278953105</v>
      </c>
      <c r="H52" s="24"/>
    </row>
    <row r="53" spans="2:9" x14ac:dyDescent="0.2">
      <c r="B53" s="24" t="s">
        <v>493</v>
      </c>
      <c r="C53" s="24" t="s">
        <v>494</v>
      </c>
      <c r="D53" s="24" t="s">
        <v>296</v>
      </c>
      <c r="E53" s="28">
        <v>114371</v>
      </c>
      <c r="F53" s="25">
        <v>142.5291402</v>
      </c>
      <c r="G53" s="26">
        <v>0.96037068767226996</v>
      </c>
      <c r="H53" s="24"/>
    </row>
    <row r="54" spans="2:9" x14ac:dyDescent="0.2">
      <c r="B54" s="24" t="s">
        <v>495</v>
      </c>
      <c r="C54" s="24" t="s">
        <v>496</v>
      </c>
      <c r="D54" s="24" t="s">
        <v>363</v>
      </c>
      <c r="E54" s="28">
        <v>14209</v>
      </c>
      <c r="F54" s="25">
        <v>121.472741</v>
      </c>
      <c r="G54" s="26">
        <v>0.81849128987873898</v>
      </c>
      <c r="H54" s="24"/>
    </row>
    <row r="55" spans="2:9" x14ac:dyDescent="0.2">
      <c r="B55" s="24" t="s">
        <v>497</v>
      </c>
      <c r="C55" s="24" t="s">
        <v>498</v>
      </c>
      <c r="D55" s="24" t="s">
        <v>499</v>
      </c>
      <c r="E55" s="28">
        <v>4863</v>
      </c>
      <c r="F55" s="25">
        <v>121.098426</v>
      </c>
      <c r="G55" s="26">
        <v>0.81596913087706602</v>
      </c>
      <c r="H55" s="24"/>
    </row>
    <row r="56" spans="2:9" x14ac:dyDescent="0.2">
      <c r="B56" s="24" t="s">
        <v>500</v>
      </c>
      <c r="C56" s="24" t="s">
        <v>501</v>
      </c>
      <c r="D56" s="24" t="s">
        <v>296</v>
      </c>
      <c r="E56" s="28">
        <v>59940</v>
      </c>
      <c r="F56" s="25">
        <v>56.541401999999998</v>
      </c>
      <c r="G56" s="26">
        <v>0.38097967225858798</v>
      </c>
      <c r="H56" s="24"/>
    </row>
    <row r="57" spans="2:9" x14ac:dyDescent="0.2">
      <c r="B57" s="23" t="s">
        <v>60</v>
      </c>
      <c r="C57" s="23"/>
      <c r="D57" s="23"/>
      <c r="E57" s="23"/>
      <c r="F57" s="30">
        <f>SUM(F7:F56)</f>
        <v>14820.279450700007</v>
      </c>
      <c r="G57" s="31">
        <f>SUM(G7:G56)</f>
        <v>99.860014223000093</v>
      </c>
      <c r="H57" s="23"/>
      <c r="I57" s="16"/>
    </row>
    <row r="58" spans="2:9" x14ac:dyDescent="0.2">
      <c r="B58" s="82" t="s">
        <v>389</v>
      </c>
      <c r="C58" s="82"/>
      <c r="D58" s="82"/>
      <c r="E58" s="82"/>
      <c r="F58" s="90" t="s">
        <v>390</v>
      </c>
      <c r="G58" s="95" t="s">
        <v>390</v>
      </c>
      <c r="H58" s="24"/>
    </row>
    <row r="59" spans="2:9" x14ac:dyDescent="0.2">
      <c r="B59" s="82" t="s">
        <v>60</v>
      </c>
      <c r="C59" s="82"/>
      <c r="D59" s="82"/>
      <c r="E59" s="82"/>
      <c r="F59" s="96" t="s">
        <v>390</v>
      </c>
      <c r="G59" s="97" t="s">
        <v>390</v>
      </c>
      <c r="H59" s="24"/>
    </row>
    <row r="60" spans="2:9" x14ac:dyDescent="0.2">
      <c r="B60" s="35" t="s">
        <v>99</v>
      </c>
      <c r="C60" s="35"/>
      <c r="D60" s="35"/>
      <c r="E60" s="35"/>
      <c r="F60" s="36">
        <f>F57</f>
        <v>14820.279450700007</v>
      </c>
      <c r="G60" s="37">
        <f>G57</f>
        <v>99.860014223000093</v>
      </c>
      <c r="H60" s="23"/>
      <c r="I60" s="16"/>
    </row>
    <row r="61" spans="2:9" ht="15" x14ac:dyDescent="0.25">
      <c r="B61" s="77" t="s">
        <v>1461</v>
      </c>
      <c r="C61" s="78"/>
      <c r="D61" s="78"/>
      <c r="E61" s="79"/>
      <c r="F61" s="80"/>
      <c r="G61" s="81"/>
      <c r="H61" s="82"/>
      <c r="I61" s="16"/>
    </row>
    <row r="62" spans="2:9" ht="15" x14ac:dyDescent="0.25">
      <c r="B62" s="77" t="s">
        <v>263</v>
      </c>
      <c r="C62" s="83"/>
      <c r="D62" s="83"/>
      <c r="E62" s="84"/>
      <c r="F62" s="80"/>
      <c r="G62" s="81"/>
      <c r="H62" s="82"/>
      <c r="I62" s="16"/>
    </row>
    <row r="63" spans="2:9" ht="15" x14ac:dyDescent="0.25">
      <c r="B63" s="77" t="s">
        <v>1462</v>
      </c>
      <c r="C63" s="83"/>
      <c r="D63" s="83"/>
      <c r="E63" s="84"/>
      <c r="F63" s="80"/>
      <c r="G63" s="81"/>
      <c r="H63" s="82"/>
      <c r="I63" s="16"/>
    </row>
    <row r="64" spans="2:9" x14ac:dyDescent="0.2">
      <c r="B64" s="85" t="s">
        <v>502</v>
      </c>
      <c r="C64" s="83" t="s">
        <v>503</v>
      </c>
      <c r="D64" s="83" t="s">
        <v>25</v>
      </c>
      <c r="E64" s="86">
        <v>26520</v>
      </c>
      <c r="F64" s="80">
        <v>2.7013272000000002</v>
      </c>
      <c r="G64" s="87">
        <v>1.8201719711853099E-2</v>
      </c>
      <c r="H64" s="38">
        <v>6.105E-2</v>
      </c>
      <c r="I64" s="16"/>
    </row>
    <row r="65" spans="2:9" x14ac:dyDescent="0.2">
      <c r="B65" s="82" t="s">
        <v>60</v>
      </c>
      <c r="C65" s="82"/>
      <c r="D65" s="82"/>
      <c r="E65" s="82"/>
      <c r="F65" s="88">
        <f>F64</f>
        <v>2.7013272000000002</v>
      </c>
      <c r="G65" s="89">
        <f>G64</f>
        <v>1.8201719711853099E-2</v>
      </c>
      <c r="H65" s="82"/>
      <c r="I65" s="16"/>
    </row>
    <row r="66" spans="2:9" x14ac:dyDescent="0.2">
      <c r="B66" s="98" t="s">
        <v>389</v>
      </c>
      <c r="C66" s="82"/>
      <c r="D66" s="82"/>
      <c r="E66" s="82"/>
      <c r="F66" s="90" t="s">
        <v>390</v>
      </c>
      <c r="G66" s="91" t="s">
        <v>390</v>
      </c>
      <c r="H66" s="82"/>
      <c r="I66" s="16"/>
    </row>
    <row r="67" spans="2:9" x14ac:dyDescent="0.2">
      <c r="B67" s="99" t="s">
        <v>99</v>
      </c>
      <c r="C67" s="92"/>
      <c r="D67" s="92"/>
      <c r="E67" s="92"/>
      <c r="F67" s="93">
        <f>F64</f>
        <v>2.7013272000000002</v>
      </c>
      <c r="G67" s="94">
        <f>G64</f>
        <v>1.8201719711853099E-2</v>
      </c>
      <c r="H67" s="82"/>
      <c r="I67" s="16"/>
    </row>
    <row r="68" spans="2:9" x14ac:dyDescent="0.2">
      <c r="B68" s="100" t="s">
        <v>104</v>
      </c>
      <c r="C68" s="23"/>
      <c r="D68" s="23"/>
      <c r="E68" s="23"/>
      <c r="F68" s="30">
        <v>42.4687719</v>
      </c>
      <c r="G68" s="31">
        <v>0.28615736835967898</v>
      </c>
      <c r="H68" s="38">
        <v>5.3636339999999998E-2</v>
      </c>
      <c r="I68" s="17"/>
    </row>
    <row r="69" spans="2:9" x14ac:dyDescent="0.2">
      <c r="B69" s="101"/>
      <c r="C69" s="24"/>
      <c r="D69" s="24"/>
      <c r="E69" s="24"/>
      <c r="F69" s="25"/>
      <c r="G69" s="26"/>
      <c r="H69" s="24"/>
    </row>
    <row r="70" spans="2:9" x14ac:dyDescent="0.2">
      <c r="B70" s="43" t="s">
        <v>106</v>
      </c>
      <c r="C70" s="43"/>
      <c r="D70" s="43"/>
      <c r="E70" s="43"/>
      <c r="F70" s="30">
        <f>F71-(F57+F68+F64)</f>
        <v>-24.394733200006158</v>
      </c>
      <c r="G70" s="31">
        <f>G71-(G57+G68+G64)</f>
        <v>-0.16437331107162834</v>
      </c>
      <c r="H70" s="23"/>
      <c r="I70" s="16"/>
    </row>
    <row r="71" spans="2:9" x14ac:dyDescent="0.2">
      <c r="B71" s="39" t="s">
        <v>105</v>
      </c>
      <c r="C71" s="39"/>
      <c r="D71" s="39"/>
      <c r="E71" s="39"/>
      <c r="F71" s="40">
        <v>14841.054816600001</v>
      </c>
      <c r="G71" s="41">
        <v>100</v>
      </c>
      <c r="H71" s="50"/>
      <c r="I71" s="16"/>
    </row>
    <row r="72" spans="2:9" x14ac:dyDescent="0.2">
      <c r="B72" s="16"/>
      <c r="C72" s="16"/>
      <c r="D72" s="16"/>
      <c r="E72" s="16"/>
      <c r="F72" s="102"/>
      <c r="G72" s="103"/>
      <c r="H72" s="16"/>
      <c r="I72" s="16"/>
    </row>
    <row r="73" spans="2:9" x14ac:dyDescent="0.2">
      <c r="B73" s="16" t="s">
        <v>504</v>
      </c>
    </row>
    <row r="75" spans="2:9" x14ac:dyDescent="0.2">
      <c r="B75" s="16" t="s">
        <v>110</v>
      </c>
    </row>
    <row r="91" spans="2:2" x14ac:dyDescent="0.2">
      <c r="B91" s="60" t="s">
        <v>1436</v>
      </c>
    </row>
    <row r="92" spans="2:2" x14ac:dyDescent="0.2">
      <c r="B92" s="61" t="s">
        <v>1442</v>
      </c>
    </row>
  </sheetData>
  <mergeCells count="1">
    <mergeCell ref="B1:C1"/>
  </mergeCells>
  <conditionalFormatting sqref="G1:G3">
    <cfRule type="cellIs" dxfId="5" priority="4" stopIfTrue="1" operator="between">
      <formula>0.009</formula>
      <formula>-0.009</formula>
    </cfRule>
  </conditionalFormatting>
  <conditionalFormatting sqref="G5:G107">
    <cfRule type="cellIs" dxfId="4" priority="1" stopIfTrue="1" operator="between">
      <formula>0.009</formula>
      <formula>-0.009</formula>
    </cfRule>
  </conditionalFormatting>
  <hyperlinks>
    <hyperlink ref="A2" location="Index!A1" display="-" xr:uid="{6B143B32-E582-48C4-96FD-6E6AA0662910}"/>
  </hyperlinks>
  <pageMargins left="0.7" right="0.7" top="0.75" bottom="0.75" header="0.3" footer="0.3"/>
  <pageSetup paperSize="9" scale="61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20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2305F-CA58-4A11-AD68-BCB0F94EEA63}">
  <sheetPr codeName="Sheet8"/>
  <dimension ref="A1:I185"/>
  <sheetViews>
    <sheetView view="pageBreakPreview" zoomScaleNormal="100" zoomScaleSheetLayoutView="100" workbookViewId="0"/>
  </sheetViews>
  <sheetFormatPr defaultColWidth="9.140625" defaultRowHeight="11.25" x14ac:dyDescent="0.2"/>
  <cols>
    <col min="1" max="1" width="7.140625" style="6" customWidth="1"/>
    <col min="2" max="2" width="52.5703125" style="6" bestFit="1" customWidth="1"/>
    <col min="3" max="3" width="11.140625" style="6" bestFit="1" customWidth="1"/>
    <col min="4" max="4" width="35.42578125" style="6" bestFit="1" customWidth="1"/>
    <col min="5" max="5" width="13.85546875" style="6" bestFit="1" customWidth="1"/>
    <col min="6" max="6" width="12.7109375" style="8" bestFit="1" customWidth="1"/>
    <col min="7" max="7" width="11.28515625" style="14" customWidth="1"/>
    <col min="8" max="8" width="13.85546875" style="6" bestFit="1" customWidth="1"/>
    <col min="9" max="16384" width="9.140625" style="6"/>
  </cols>
  <sheetData>
    <row r="1" spans="1:9" s="1" customFormat="1" ht="16.7" customHeight="1" x14ac:dyDescent="0.2">
      <c r="B1" s="106" t="s">
        <v>16</v>
      </c>
      <c r="C1" s="107"/>
      <c r="D1" s="10"/>
      <c r="F1" s="5"/>
      <c r="G1" s="14"/>
    </row>
    <row r="2" spans="1:9" s="1" customFormat="1" ht="15" x14ac:dyDescent="0.25">
      <c r="A2" s="59" t="s">
        <v>1466</v>
      </c>
      <c r="F2" s="5"/>
      <c r="G2" s="14"/>
    </row>
    <row r="3" spans="1:9" s="1" customFormat="1" ht="12" x14ac:dyDescent="0.2">
      <c r="B3" s="7" t="s">
        <v>9</v>
      </c>
      <c r="C3" s="2"/>
      <c r="D3" s="3"/>
      <c r="E3" s="3"/>
      <c r="F3" s="4"/>
      <c r="G3" s="14"/>
    </row>
    <row r="4" spans="1:9" s="1" customFormat="1" ht="33.75" x14ac:dyDescent="0.2">
      <c r="B4" s="18" t="s">
        <v>7</v>
      </c>
      <c r="C4" s="18" t="s">
        <v>8</v>
      </c>
      <c r="D4" s="19" t="s">
        <v>391</v>
      </c>
      <c r="E4" s="19" t="s">
        <v>0</v>
      </c>
      <c r="F4" s="20" t="s">
        <v>4</v>
      </c>
      <c r="G4" s="21" t="s">
        <v>5</v>
      </c>
      <c r="H4" s="51" t="s">
        <v>6</v>
      </c>
      <c r="I4" s="9"/>
    </row>
    <row r="5" spans="1:9" x14ac:dyDescent="0.2">
      <c r="B5" s="23" t="s">
        <v>262</v>
      </c>
      <c r="C5" s="24"/>
      <c r="D5" s="24"/>
      <c r="E5" s="24"/>
      <c r="F5" s="25"/>
      <c r="G5" s="26"/>
      <c r="H5" s="24"/>
    </row>
    <row r="6" spans="1:9" x14ac:dyDescent="0.2">
      <c r="B6" s="23" t="s">
        <v>263</v>
      </c>
      <c r="C6" s="24"/>
      <c r="D6" s="24"/>
      <c r="E6" s="24"/>
      <c r="F6" s="25"/>
      <c r="G6" s="26"/>
      <c r="H6" s="24"/>
    </row>
    <row r="7" spans="1:9" x14ac:dyDescent="0.2">
      <c r="B7" s="24" t="s">
        <v>505</v>
      </c>
      <c r="C7" s="24" t="s">
        <v>506</v>
      </c>
      <c r="D7" s="24" t="s">
        <v>507</v>
      </c>
      <c r="E7" s="28">
        <v>19951</v>
      </c>
      <c r="F7" s="25">
        <v>525.15022199999999</v>
      </c>
      <c r="G7" s="26">
        <v>2.7962375979248102</v>
      </c>
      <c r="H7" s="24"/>
    </row>
    <row r="8" spans="1:9" x14ac:dyDescent="0.2">
      <c r="B8" s="24" t="s">
        <v>508</v>
      </c>
      <c r="C8" s="24" t="s">
        <v>509</v>
      </c>
      <c r="D8" s="24" t="s">
        <v>289</v>
      </c>
      <c r="E8" s="28">
        <v>6337</v>
      </c>
      <c r="F8" s="25">
        <v>365.70827000000003</v>
      </c>
      <c r="G8" s="26">
        <v>1.94726608045886</v>
      </c>
      <c r="H8" s="24"/>
    </row>
    <row r="9" spans="1:9" x14ac:dyDescent="0.2">
      <c r="B9" s="24" t="s">
        <v>510</v>
      </c>
      <c r="C9" s="24" t="s">
        <v>511</v>
      </c>
      <c r="D9" s="24" t="s">
        <v>277</v>
      </c>
      <c r="E9" s="28">
        <v>5313</v>
      </c>
      <c r="F9" s="25">
        <v>333.23136</v>
      </c>
      <c r="G9" s="26">
        <v>1.7743381200353401</v>
      </c>
      <c r="H9" s="24"/>
    </row>
    <row r="10" spans="1:9" x14ac:dyDescent="0.2">
      <c r="B10" s="24" t="s">
        <v>512</v>
      </c>
      <c r="C10" s="24" t="s">
        <v>513</v>
      </c>
      <c r="D10" s="24" t="s">
        <v>266</v>
      </c>
      <c r="E10" s="28">
        <v>120119</v>
      </c>
      <c r="F10" s="25">
        <v>320.83784900000001</v>
      </c>
      <c r="G10" s="26">
        <v>1.7083470950358399</v>
      </c>
      <c r="H10" s="24"/>
    </row>
    <row r="11" spans="1:9" x14ac:dyDescent="0.2">
      <c r="B11" s="24" t="s">
        <v>514</v>
      </c>
      <c r="C11" s="24" t="s">
        <v>515</v>
      </c>
      <c r="D11" s="24" t="s">
        <v>451</v>
      </c>
      <c r="E11" s="28">
        <v>592450</v>
      </c>
      <c r="F11" s="25">
        <v>312.04341499999998</v>
      </c>
      <c r="G11" s="26">
        <v>1.6615198711805099</v>
      </c>
      <c r="H11" s="24"/>
    </row>
    <row r="12" spans="1:9" x14ac:dyDescent="0.2">
      <c r="B12" s="24" t="s">
        <v>516</v>
      </c>
      <c r="C12" s="24" t="s">
        <v>517</v>
      </c>
      <c r="D12" s="24" t="s">
        <v>518</v>
      </c>
      <c r="E12" s="28">
        <v>16648</v>
      </c>
      <c r="F12" s="25">
        <v>303.92588799999999</v>
      </c>
      <c r="G12" s="26">
        <v>1.6182969356305199</v>
      </c>
      <c r="H12" s="24"/>
    </row>
    <row r="13" spans="1:9" x14ac:dyDescent="0.2">
      <c r="B13" s="24" t="s">
        <v>519</v>
      </c>
      <c r="C13" s="24" t="s">
        <v>520</v>
      </c>
      <c r="D13" s="24" t="s">
        <v>521</v>
      </c>
      <c r="E13" s="28">
        <v>6599</v>
      </c>
      <c r="F13" s="25">
        <v>292.62605600000001</v>
      </c>
      <c r="G13" s="26">
        <v>1.55812936116335</v>
      </c>
      <c r="H13" s="24"/>
    </row>
    <row r="14" spans="1:9" x14ac:dyDescent="0.2">
      <c r="B14" s="24" t="s">
        <v>522</v>
      </c>
      <c r="C14" s="24" t="s">
        <v>523</v>
      </c>
      <c r="D14" s="24" t="s">
        <v>266</v>
      </c>
      <c r="E14" s="28">
        <v>32153</v>
      </c>
      <c r="F14" s="25">
        <v>277.86622599999998</v>
      </c>
      <c r="G14" s="26">
        <v>1.4795385316140499</v>
      </c>
      <c r="H14" s="24"/>
    </row>
    <row r="15" spans="1:9" x14ac:dyDescent="0.2">
      <c r="B15" s="24" t="s">
        <v>524</v>
      </c>
      <c r="C15" s="24" t="s">
        <v>525</v>
      </c>
      <c r="D15" s="24" t="s">
        <v>266</v>
      </c>
      <c r="E15" s="28">
        <v>323149</v>
      </c>
      <c r="F15" s="25">
        <v>276.64785890000002</v>
      </c>
      <c r="G15" s="26">
        <v>1.4730511614285799</v>
      </c>
      <c r="H15" s="24"/>
    </row>
    <row r="16" spans="1:9" x14ac:dyDescent="0.2">
      <c r="B16" s="24" t="s">
        <v>526</v>
      </c>
      <c r="C16" s="24" t="s">
        <v>527</v>
      </c>
      <c r="D16" s="24" t="s">
        <v>266</v>
      </c>
      <c r="E16" s="28">
        <v>27555</v>
      </c>
      <c r="F16" s="25">
        <v>274.03447499999999</v>
      </c>
      <c r="G16" s="26">
        <v>1.4591358244205199</v>
      </c>
      <c r="H16" s="24"/>
    </row>
    <row r="17" spans="2:8" x14ac:dyDescent="0.2">
      <c r="B17" s="24" t="s">
        <v>528</v>
      </c>
      <c r="C17" s="24" t="s">
        <v>529</v>
      </c>
      <c r="D17" s="24" t="s">
        <v>277</v>
      </c>
      <c r="E17" s="28">
        <v>16346</v>
      </c>
      <c r="F17" s="25">
        <v>271.83398</v>
      </c>
      <c r="G17" s="26">
        <v>1.4474189735171501</v>
      </c>
      <c r="H17" s="24"/>
    </row>
    <row r="18" spans="2:8" x14ac:dyDescent="0.2">
      <c r="B18" s="24" t="s">
        <v>530</v>
      </c>
      <c r="C18" s="24" t="s">
        <v>531</v>
      </c>
      <c r="D18" s="24" t="s">
        <v>507</v>
      </c>
      <c r="E18" s="28">
        <v>9936</v>
      </c>
      <c r="F18" s="25">
        <v>265.509792</v>
      </c>
      <c r="G18" s="26">
        <v>1.4137449284132599</v>
      </c>
      <c r="H18" s="24"/>
    </row>
    <row r="19" spans="2:8" x14ac:dyDescent="0.2">
      <c r="B19" s="24" t="s">
        <v>532</v>
      </c>
      <c r="C19" s="24" t="s">
        <v>533</v>
      </c>
      <c r="D19" s="24" t="s">
        <v>274</v>
      </c>
      <c r="E19" s="28">
        <v>63192</v>
      </c>
      <c r="F19" s="25">
        <v>264.61649999999997</v>
      </c>
      <c r="G19" s="26">
        <v>1.4089884671728701</v>
      </c>
      <c r="H19" s="24"/>
    </row>
    <row r="20" spans="2:8" x14ac:dyDescent="0.2">
      <c r="B20" s="24" t="s">
        <v>534</v>
      </c>
      <c r="C20" s="24" t="s">
        <v>535</v>
      </c>
      <c r="D20" s="24" t="s">
        <v>518</v>
      </c>
      <c r="E20" s="28">
        <v>19821</v>
      </c>
      <c r="F20" s="25">
        <v>257.45496900000001</v>
      </c>
      <c r="G20" s="26">
        <v>1.37085586929518</v>
      </c>
      <c r="H20" s="24"/>
    </row>
    <row r="21" spans="2:8" x14ac:dyDescent="0.2">
      <c r="B21" s="24" t="s">
        <v>536</v>
      </c>
      <c r="C21" s="24" t="s">
        <v>537</v>
      </c>
      <c r="D21" s="24" t="s">
        <v>303</v>
      </c>
      <c r="E21" s="28">
        <v>65258</v>
      </c>
      <c r="F21" s="25">
        <v>252.05902499999999</v>
      </c>
      <c r="G21" s="26">
        <v>1.3421243923634301</v>
      </c>
      <c r="H21" s="24"/>
    </row>
    <row r="22" spans="2:8" x14ac:dyDescent="0.2">
      <c r="B22" s="24" t="s">
        <v>538</v>
      </c>
      <c r="C22" s="24" t="s">
        <v>539</v>
      </c>
      <c r="D22" s="24" t="s">
        <v>540</v>
      </c>
      <c r="E22" s="28">
        <v>139701</v>
      </c>
      <c r="F22" s="25">
        <v>250.3302219</v>
      </c>
      <c r="G22" s="26">
        <v>1.3329191325632599</v>
      </c>
      <c r="H22" s="24"/>
    </row>
    <row r="23" spans="2:8" x14ac:dyDescent="0.2">
      <c r="B23" s="24" t="s">
        <v>541</v>
      </c>
      <c r="C23" s="24" t="s">
        <v>542</v>
      </c>
      <c r="D23" s="24" t="s">
        <v>306</v>
      </c>
      <c r="E23" s="28">
        <v>11836</v>
      </c>
      <c r="F23" s="25">
        <v>249.68042</v>
      </c>
      <c r="G23" s="26">
        <v>1.32945916924635</v>
      </c>
      <c r="H23" s="24"/>
    </row>
    <row r="24" spans="2:8" x14ac:dyDescent="0.2">
      <c r="B24" s="24" t="s">
        <v>543</v>
      </c>
      <c r="C24" s="24" t="s">
        <v>544</v>
      </c>
      <c r="D24" s="24" t="s">
        <v>311</v>
      </c>
      <c r="E24" s="28">
        <v>2008</v>
      </c>
      <c r="F24" s="25">
        <v>243.00816</v>
      </c>
      <c r="G24" s="26">
        <v>1.2939317649084601</v>
      </c>
      <c r="H24" s="24"/>
    </row>
    <row r="25" spans="2:8" x14ac:dyDescent="0.2">
      <c r="B25" s="24" t="s">
        <v>545</v>
      </c>
      <c r="C25" s="24" t="s">
        <v>546</v>
      </c>
      <c r="D25" s="24" t="s">
        <v>269</v>
      </c>
      <c r="E25" s="28">
        <v>46890</v>
      </c>
      <c r="F25" s="25">
        <v>234.00454500000001</v>
      </c>
      <c r="G25" s="26">
        <v>1.24599072684823</v>
      </c>
      <c r="H25" s="24"/>
    </row>
    <row r="26" spans="2:8" x14ac:dyDescent="0.2">
      <c r="B26" s="24" t="s">
        <v>547</v>
      </c>
      <c r="C26" s="24" t="s">
        <v>548</v>
      </c>
      <c r="D26" s="24" t="s">
        <v>373</v>
      </c>
      <c r="E26" s="28">
        <v>25443</v>
      </c>
      <c r="F26" s="25">
        <v>224.91612000000001</v>
      </c>
      <c r="G26" s="26">
        <v>1.1975981057918501</v>
      </c>
      <c r="H26" s="24"/>
    </row>
    <row r="27" spans="2:8" x14ac:dyDescent="0.2">
      <c r="B27" s="24" t="s">
        <v>549</v>
      </c>
      <c r="C27" s="24" t="s">
        <v>550</v>
      </c>
      <c r="D27" s="24" t="s">
        <v>446</v>
      </c>
      <c r="E27" s="28">
        <v>7089</v>
      </c>
      <c r="F27" s="25">
        <v>217.98675</v>
      </c>
      <c r="G27" s="26">
        <v>1.1607016824215199</v>
      </c>
      <c r="H27" s="24"/>
    </row>
    <row r="28" spans="2:8" x14ac:dyDescent="0.2">
      <c r="B28" s="24" t="s">
        <v>551</v>
      </c>
      <c r="C28" s="24" t="s">
        <v>552</v>
      </c>
      <c r="D28" s="24" t="s">
        <v>553</v>
      </c>
      <c r="E28" s="28">
        <v>27348</v>
      </c>
      <c r="F28" s="25">
        <v>217.45762199999999</v>
      </c>
      <c r="G28" s="26">
        <v>1.15788426457472</v>
      </c>
      <c r="H28" s="24"/>
    </row>
    <row r="29" spans="2:8" x14ac:dyDescent="0.2">
      <c r="B29" s="24" t="s">
        <v>554</v>
      </c>
      <c r="C29" s="24" t="s">
        <v>555</v>
      </c>
      <c r="D29" s="24" t="s">
        <v>363</v>
      </c>
      <c r="E29" s="28">
        <v>12871</v>
      </c>
      <c r="F29" s="25">
        <v>215.177378</v>
      </c>
      <c r="G29" s="26">
        <v>1.14574277869482</v>
      </c>
      <c r="H29" s="24"/>
    </row>
    <row r="30" spans="2:8" x14ac:dyDescent="0.2">
      <c r="B30" s="24" t="s">
        <v>556</v>
      </c>
      <c r="C30" s="24" t="s">
        <v>557</v>
      </c>
      <c r="D30" s="24" t="s">
        <v>296</v>
      </c>
      <c r="E30" s="28">
        <v>5236</v>
      </c>
      <c r="F30" s="25">
        <v>199.580612</v>
      </c>
      <c r="G30" s="26">
        <v>1.06269556350153</v>
      </c>
      <c r="H30" s="24"/>
    </row>
    <row r="31" spans="2:8" x14ac:dyDescent="0.2">
      <c r="B31" s="24" t="s">
        <v>558</v>
      </c>
      <c r="C31" s="24" t="s">
        <v>559</v>
      </c>
      <c r="D31" s="24" t="s">
        <v>521</v>
      </c>
      <c r="E31" s="28">
        <v>2571</v>
      </c>
      <c r="F31" s="25">
        <v>195.88449</v>
      </c>
      <c r="G31" s="26">
        <v>1.0430150323507399</v>
      </c>
      <c r="H31" s="24"/>
    </row>
    <row r="32" spans="2:8" x14ac:dyDescent="0.2">
      <c r="B32" s="24" t="s">
        <v>560</v>
      </c>
      <c r="C32" s="24" t="s">
        <v>561</v>
      </c>
      <c r="D32" s="24" t="s">
        <v>376</v>
      </c>
      <c r="E32" s="28">
        <v>25807</v>
      </c>
      <c r="F32" s="25">
        <v>193.70734200000001</v>
      </c>
      <c r="G32" s="26">
        <v>1.03142249589391</v>
      </c>
      <c r="H32" s="24"/>
    </row>
    <row r="33" spans="2:8" x14ac:dyDescent="0.2">
      <c r="B33" s="24" t="s">
        <v>562</v>
      </c>
      <c r="C33" s="24" t="s">
        <v>563</v>
      </c>
      <c r="D33" s="24" t="s">
        <v>427</v>
      </c>
      <c r="E33" s="28">
        <v>13018</v>
      </c>
      <c r="F33" s="25">
        <v>191.41667200000001</v>
      </c>
      <c r="G33" s="26">
        <v>1.01922549528322</v>
      </c>
      <c r="H33" s="24"/>
    </row>
    <row r="34" spans="2:8" x14ac:dyDescent="0.2">
      <c r="B34" s="24" t="s">
        <v>564</v>
      </c>
      <c r="C34" s="24" t="s">
        <v>565</v>
      </c>
      <c r="D34" s="24" t="s">
        <v>451</v>
      </c>
      <c r="E34" s="28">
        <v>6049</v>
      </c>
      <c r="F34" s="25">
        <v>189.484925</v>
      </c>
      <c r="G34" s="26">
        <v>1.00893963161071</v>
      </c>
      <c r="H34" s="24"/>
    </row>
    <row r="35" spans="2:8" x14ac:dyDescent="0.2">
      <c r="B35" s="24" t="s">
        <v>566</v>
      </c>
      <c r="C35" s="24" t="s">
        <v>567</v>
      </c>
      <c r="D35" s="24" t="s">
        <v>266</v>
      </c>
      <c r="E35" s="28">
        <v>857197</v>
      </c>
      <c r="F35" s="25">
        <v>185.154552</v>
      </c>
      <c r="G35" s="26">
        <v>0.98588194013812103</v>
      </c>
      <c r="H35" s="24"/>
    </row>
    <row r="36" spans="2:8" x14ac:dyDescent="0.2">
      <c r="B36" s="24" t="s">
        <v>568</v>
      </c>
      <c r="C36" s="24" t="s">
        <v>569</v>
      </c>
      <c r="D36" s="24" t="s">
        <v>346</v>
      </c>
      <c r="E36" s="28">
        <v>174213</v>
      </c>
      <c r="F36" s="25">
        <v>181.8261081</v>
      </c>
      <c r="G36" s="26">
        <v>0.968159163709849</v>
      </c>
      <c r="H36" s="24"/>
    </row>
    <row r="37" spans="2:8" x14ac:dyDescent="0.2">
      <c r="B37" s="24" t="s">
        <v>570</v>
      </c>
      <c r="C37" s="24" t="s">
        <v>571</v>
      </c>
      <c r="D37" s="24" t="s">
        <v>451</v>
      </c>
      <c r="E37" s="28">
        <v>62742</v>
      </c>
      <c r="F37" s="25">
        <v>180.351879</v>
      </c>
      <c r="G37" s="26">
        <v>0.96030941964675898</v>
      </c>
      <c r="H37" s="24"/>
    </row>
    <row r="38" spans="2:8" x14ac:dyDescent="0.2">
      <c r="B38" s="24" t="s">
        <v>572</v>
      </c>
      <c r="C38" s="24" t="s">
        <v>573</v>
      </c>
      <c r="D38" s="24" t="s">
        <v>296</v>
      </c>
      <c r="E38" s="28">
        <v>3362</v>
      </c>
      <c r="F38" s="25">
        <v>177.60773599999999</v>
      </c>
      <c r="G38" s="26">
        <v>0.945697837076235</v>
      </c>
      <c r="H38" s="24"/>
    </row>
    <row r="39" spans="2:8" x14ac:dyDescent="0.2">
      <c r="B39" s="24" t="s">
        <v>574</v>
      </c>
      <c r="C39" s="24" t="s">
        <v>575</v>
      </c>
      <c r="D39" s="24" t="s">
        <v>303</v>
      </c>
      <c r="E39" s="28">
        <v>66695</v>
      </c>
      <c r="F39" s="25">
        <v>176.8417925</v>
      </c>
      <c r="G39" s="26">
        <v>0.94161946116994799</v>
      </c>
      <c r="H39" s="24"/>
    </row>
    <row r="40" spans="2:8" x14ac:dyDescent="0.2">
      <c r="B40" s="24" t="s">
        <v>576</v>
      </c>
      <c r="C40" s="24" t="s">
        <v>577</v>
      </c>
      <c r="D40" s="24" t="s">
        <v>521</v>
      </c>
      <c r="E40" s="28">
        <v>8874</v>
      </c>
      <c r="F40" s="25">
        <v>169.84836000000001</v>
      </c>
      <c r="G40" s="26">
        <v>0.90438192783981897</v>
      </c>
      <c r="H40" s="24"/>
    </row>
    <row r="41" spans="2:8" x14ac:dyDescent="0.2">
      <c r="B41" s="24" t="s">
        <v>578</v>
      </c>
      <c r="C41" s="24" t="s">
        <v>579</v>
      </c>
      <c r="D41" s="24" t="s">
        <v>454</v>
      </c>
      <c r="E41" s="28">
        <v>9110</v>
      </c>
      <c r="F41" s="25">
        <v>168.85384999999999</v>
      </c>
      <c r="G41" s="26">
        <v>0.89908651685642205</v>
      </c>
      <c r="H41" s="24"/>
    </row>
    <row r="42" spans="2:8" x14ac:dyDescent="0.2">
      <c r="B42" s="24" t="s">
        <v>580</v>
      </c>
      <c r="C42" s="24" t="s">
        <v>581</v>
      </c>
      <c r="D42" s="24" t="s">
        <v>306</v>
      </c>
      <c r="E42" s="28">
        <v>13656</v>
      </c>
      <c r="F42" s="25">
        <v>161.55047999999999</v>
      </c>
      <c r="G42" s="26">
        <v>0.86019867690125595</v>
      </c>
      <c r="H42" s="24"/>
    </row>
    <row r="43" spans="2:8" x14ac:dyDescent="0.2">
      <c r="B43" s="24" t="s">
        <v>582</v>
      </c>
      <c r="C43" s="24" t="s">
        <v>583</v>
      </c>
      <c r="D43" s="24" t="s">
        <v>306</v>
      </c>
      <c r="E43" s="28">
        <v>2857</v>
      </c>
      <c r="F43" s="25">
        <v>157.320705</v>
      </c>
      <c r="G43" s="26">
        <v>0.83767663389284097</v>
      </c>
      <c r="H43" s="24"/>
    </row>
    <row r="44" spans="2:8" x14ac:dyDescent="0.2">
      <c r="B44" s="24" t="s">
        <v>584</v>
      </c>
      <c r="C44" s="24" t="s">
        <v>585</v>
      </c>
      <c r="D44" s="24" t="s">
        <v>277</v>
      </c>
      <c r="E44" s="28">
        <v>5568</v>
      </c>
      <c r="F44" s="25">
        <v>155.414016</v>
      </c>
      <c r="G44" s="26">
        <v>0.82752419513151898</v>
      </c>
      <c r="H44" s="24"/>
    </row>
    <row r="45" spans="2:8" x14ac:dyDescent="0.2">
      <c r="B45" s="24" t="s">
        <v>586</v>
      </c>
      <c r="C45" s="24" t="s">
        <v>587</v>
      </c>
      <c r="D45" s="24" t="s">
        <v>311</v>
      </c>
      <c r="E45" s="28">
        <v>11118</v>
      </c>
      <c r="F45" s="25">
        <v>151.33821599999999</v>
      </c>
      <c r="G45" s="26">
        <v>0.805822014071369</v>
      </c>
      <c r="H45" s="24"/>
    </row>
    <row r="46" spans="2:8" x14ac:dyDescent="0.2">
      <c r="B46" s="24" t="s">
        <v>588</v>
      </c>
      <c r="C46" s="24" t="s">
        <v>589</v>
      </c>
      <c r="D46" s="24" t="s">
        <v>427</v>
      </c>
      <c r="E46" s="28">
        <v>99</v>
      </c>
      <c r="F46" s="25">
        <v>151.32644999999999</v>
      </c>
      <c r="G46" s="26">
        <v>0.80575936431859596</v>
      </c>
      <c r="H46" s="24"/>
    </row>
    <row r="47" spans="2:8" x14ac:dyDescent="0.2">
      <c r="B47" s="24" t="s">
        <v>590</v>
      </c>
      <c r="C47" s="24" t="s">
        <v>591</v>
      </c>
      <c r="D47" s="24" t="s">
        <v>306</v>
      </c>
      <c r="E47" s="28">
        <v>7352</v>
      </c>
      <c r="F47" s="25">
        <v>149.627904</v>
      </c>
      <c r="G47" s="26">
        <v>0.79671521278245705</v>
      </c>
      <c r="H47" s="24"/>
    </row>
    <row r="48" spans="2:8" x14ac:dyDescent="0.2">
      <c r="B48" s="24" t="s">
        <v>592</v>
      </c>
      <c r="C48" s="24" t="s">
        <v>593</v>
      </c>
      <c r="D48" s="24" t="s">
        <v>507</v>
      </c>
      <c r="E48" s="28">
        <v>12410</v>
      </c>
      <c r="F48" s="25">
        <v>147.679</v>
      </c>
      <c r="G48" s="26">
        <v>0.78633799420528205</v>
      </c>
      <c r="H48" s="24"/>
    </row>
    <row r="49" spans="2:8" x14ac:dyDescent="0.2">
      <c r="B49" s="24" t="s">
        <v>594</v>
      </c>
      <c r="C49" s="24" t="s">
        <v>595</v>
      </c>
      <c r="D49" s="24" t="s">
        <v>454</v>
      </c>
      <c r="E49" s="28">
        <v>7283</v>
      </c>
      <c r="F49" s="25">
        <v>145.98045200000001</v>
      </c>
      <c r="G49" s="26">
        <v>0.77729383201985702</v>
      </c>
      <c r="H49" s="24"/>
    </row>
    <row r="50" spans="2:8" x14ac:dyDescent="0.2">
      <c r="B50" s="24" t="s">
        <v>596</v>
      </c>
      <c r="C50" s="24" t="s">
        <v>597</v>
      </c>
      <c r="D50" s="24" t="s">
        <v>266</v>
      </c>
      <c r="E50" s="28">
        <v>94342</v>
      </c>
      <c r="F50" s="25">
        <v>145.06025919999999</v>
      </c>
      <c r="G50" s="26">
        <v>0.77239413361565501</v>
      </c>
      <c r="H50" s="24"/>
    </row>
    <row r="51" spans="2:8" x14ac:dyDescent="0.2">
      <c r="B51" s="24" t="s">
        <v>598</v>
      </c>
      <c r="C51" s="24" t="s">
        <v>599</v>
      </c>
      <c r="D51" s="24" t="s">
        <v>274</v>
      </c>
      <c r="E51" s="28">
        <v>1348080</v>
      </c>
      <c r="F51" s="25">
        <v>145.05340799999999</v>
      </c>
      <c r="G51" s="26">
        <v>0.77235765341964902</v>
      </c>
      <c r="H51" s="24"/>
    </row>
    <row r="52" spans="2:8" x14ac:dyDescent="0.2">
      <c r="B52" s="24" t="s">
        <v>600</v>
      </c>
      <c r="C52" s="24" t="s">
        <v>601</v>
      </c>
      <c r="D52" s="24" t="s">
        <v>436</v>
      </c>
      <c r="E52" s="28">
        <v>28762</v>
      </c>
      <c r="F52" s="25">
        <v>144.84543199999999</v>
      </c>
      <c r="G52" s="26">
        <v>0.771250255409893</v>
      </c>
      <c r="H52" s="24"/>
    </row>
    <row r="53" spans="2:8" x14ac:dyDescent="0.2">
      <c r="B53" s="24" t="s">
        <v>602</v>
      </c>
      <c r="C53" s="24" t="s">
        <v>603</v>
      </c>
      <c r="D53" s="24" t="s">
        <v>266</v>
      </c>
      <c r="E53" s="28">
        <v>17254</v>
      </c>
      <c r="F53" s="25">
        <v>144.459115</v>
      </c>
      <c r="G53" s="26">
        <v>0.76919325519383397</v>
      </c>
      <c r="H53" s="24"/>
    </row>
    <row r="54" spans="2:8" x14ac:dyDescent="0.2">
      <c r="B54" s="24" t="s">
        <v>604</v>
      </c>
      <c r="C54" s="24" t="s">
        <v>605</v>
      </c>
      <c r="D54" s="24" t="s">
        <v>303</v>
      </c>
      <c r="E54" s="28">
        <v>103911</v>
      </c>
      <c r="F54" s="25">
        <v>141.70343070000001</v>
      </c>
      <c r="G54" s="26">
        <v>0.75452021931788005</v>
      </c>
      <c r="H54" s="24"/>
    </row>
    <row r="55" spans="2:8" x14ac:dyDescent="0.2">
      <c r="B55" s="24" t="s">
        <v>606</v>
      </c>
      <c r="C55" s="24" t="s">
        <v>607</v>
      </c>
      <c r="D55" s="24" t="s">
        <v>608</v>
      </c>
      <c r="E55" s="28">
        <v>168753</v>
      </c>
      <c r="F55" s="25">
        <v>140.35187010000001</v>
      </c>
      <c r="G55" s="26">
        <v>0.74732364125836603</v>
      </c>
      <c r="H55" s="24"/>
    </row>
    <row r="56" spans="2:8" x14ac:dyDescent="0.2">
      <c r="B56" s="24" t="s">
        <v>609</v>
      </c>
      <c r="C56" s="24" t="s">
        <v>610</v>
      </c>
      <c r="D56" s="24" t="s">
        <v>451</v>
      </c>
      <c r="E56" s="28">
        <v>4677</v>
      </c>
      <c r="F56" s="25">
        <v>138.818037</v>
      </c>
      <c r="G56" s="26">
        <v>0.73915652715751501</v>
      </c>
      <c r="H56" s="24"/>
    </row>
    <row r="57" spans="2:8" x14ac:dyDescent="0.2">
      <c r="B57" s="24" t="s">
        <v>611</v>
      </c>
      <c r="C57" s="24" t="s">
        <v>612</v>
      </c>
      <c r="D57" s="24" t="s">
        <v>328</v>
      </c>
      <c r="E57" s="28">
        <v>43784</v>
      </c>
      <c r="F57" s="25">
        <v>137.613112</v>
      </c>
      <c r="G57" s="26">
        <v>0.73274073135941298</v>
      </c>
      <c r="H57" s="24"/>
    </row>
    <row r="58" spans="2:8" x14ac:dyDescent="0.2">
      <c r="B58" s="24" t="s">
        <v>613</v>
      </c>
      <c r="C58" s="24" t="s">
        <v>614</v>
      </c>
      <c r="D58" s="24" t="s">
        <v>427</v>
      </c>
      <c r="E58" s="28">
        <v>5214</v>
      </c>
      <c r="F58" s="25">
        <v>136.29917399999999</v>
      </c>
      <c r="G58" s="26">
        <v>0.72574448022397697</v>
      </c>
      <c r="H58" s="24"/>
    </row>
    <row r="59" spans="2:8" x14ac:dyDescent="0.2">
      <c r="B59" s="24" t="s">
        <v>615</v>
      </c>
      <c r="C59" s="24" t="s">
        <v>616</v>
      </c>
      <c r="D59" s="24" t="s">
        <v>521</v>
      </c>
      <c r="E59" s="28">
        <v>3012</v>
      </c>
      <c r="F59" s="25">
        <v>134.34122400000001</v>
      </c>
      <c r="G59" s="26">
        <v>0.71531909492373602</v>
      </c>
      <c r="H59" s="24"/>
    </row>
    <row r="60" spans="2:8" x14ac:dyDescent="0.2">
      <c r="B60" s="24" t="s">
        <v>617</v>
      </c>
      <c r="C60" s="24" t="s">
        <v>618</v>
      </c>
      <c r="D60" s="24" t="s">
        <v>296</v>
      </c>
      <c r="E60" s="28">
        <v>37454</v>
      </c>
      <c r="F60" s="25">
        <v>133.97295800000001</v>
      </c>
      <c r="G60" s="26">
        <v>0.71335820984343401</v>
      </c>
      <c r="H60" s="24"/>
    </row>
    <row r="61" spans="2:8" x14ac:dyDescent="0.2">
      <c r="B61" s="24" t="s">
        <v>619</v>
      </c>
      <c r="C61" s="24" t="s">
        <v>620</v>
      </c>
      <c r="D61" s="24" t="s">
        <v>436</v>
      </c>
      <c r="E61" s="28">
        <v>6430</v>
      </c>
      <c r="F61" s="25">
        <v>133.46751</v>
      </c>
      <c r="G61" s="26">
        <v>0.71066687954938401</v>
      </c>
      <c r="H61" s="24"/>
    </row>
    <row r="62" spans="2:8" x14ac:dyDescent="0.2">
      <c r="B62" s="24" t="s">
        <v>621</v>
      </c>
      <c r="C62" s="24" t="s">
        <v>622</v>
      </c>
      <c r="D62" s="24" t="s">
        <v>454</v>
      </c>
      <c r="E62" s="28">
        <v>8236</v>
      </c>
      <c r="F62" s="25">
        <v>131.34772799999999</v>
      </c>
      <c r="G62" s="26">
        <v>0.699379796578667</v>
      </c>
      <c r="H62" s="24"/>
    </row>
    <row r="63" spans="2:8" x14ac:dyDescent="0.2">
      <c r="B63" s="24" t="s">
        <v>623</v>
      </c>
      <c r="C63" s="24" t="s">
        <v>624</v>
      </c>
      <c r="D63" s="24" t="s">
        <v>317</v>
      </c>
      <c r="E63" s="28">
        <v>15610</v>
      </c>
      <c r="F63" s="25">
        <v>131.006925</v>
      </c>
      <c r="G63" s="26">
        <v>0.69756514217662502</v>
      </c>
      <c r="H63" s="24"/>
    </row>
    <row r="64" spans="2:8" x14ac:dyDescent="0.2">
      <c r="B64" s="24" t="s">
        <v>625</v>
      </c>
      <c r="C64" s="24" t="s">
        <v>626</v>
      </c>
      <c r="D64" s="24" t="s">
        <v>553</v>
      </c>
      <c r="E64" s="28">
        <v>5771</v>
      </c>
      <c r="F64" s="25">
        <v>130.79394400000001</v>
      </c>
      <c r="G64" s="26">
        <v>0.69643109432727701</v>
      </c>
      <c r="H64" s="24"/>
    </row>
    <row r="65" spans="2:8" x14ac:dyDescent="0.2">
      <c r="B65" s="24" t="s">
        <v>627</v>
      </c>
      <c r="C65" s="24" t="s">
        <v>628</v>
      </c>
      <c r="D65" s="24" t="s">
        <v>296</v>
      </c>
      <c r="E65" s="28">
        <v>32299</v>
      </c>
      <c r="F65" s="25">
        <v>130.16497000000001</v>
      </c>
      <c r="G65" s="26">
        <v>0.69308203214804198</v>
      </c>
      <c r="H65" s="24"/>
    </row>
    <row r="66" spans="2:8" x14ac:dyDescent="0.2">
      <c r="B66" s="24" t="s">
        <v>629</v>
      </c>
      <c r="C66" s="24" t="s">
        <v>630</v>
      </c>
      <c r="D66" s="24" t="s">
        <v>363</v>
      </c>
      <c r="E66" s="28">
        <v>19184</v>
      </c>
      <c r="F66" s="25">
        <v>128.19708</v>
      </c>
      <c r="G66" s="26">
        <v>0.68260371989364799</v>
      </c>
      <c r="H66" s="24"/>
    </row>
    <row r="67" spans="2:8" x14ac:dyDescent="0.2">
      <c r="B67" s="24" t="s">
        <v>631</v>
      </c>
      <c r="C67" s="24" t="s">
        <v>632</v>
      </c>
      <c r="D67" s="24" t="s">
        <v>553</v>
      </c>
      <c r="E67" s="28">
        <v>3955</v>
      </c>
      <c r="F67" s="25">
        <v>128.07080999999999</v>
      </c>
      <c r="G67" s="26">
        <v>0.681931377187317</v>
      </c>
      <c r="H67" s="24"/>
    </row>
    <row r="68" spans="2:8" x14ac:dyDescent="0.2">
      <c r="B68" s="24" t="s">
        <v>633</v>
      </c>
      <c r="C68" s="24" t="s">
        <v>634</v>
      </c>
      <c r="D68" s="24" t="s">
        <v>296</v>
      </c>
      <c r="E68" s="28">
        <v>39931</v>
      </c>
      <c r="F68" s="25">
        <v>126.16199450000001</v>
      </c>
      <c r="G68" s="26">
        <v>0.67176761557207099</v>
      </c>
      <c r="H68" s="24"/>
    </row>
    <row r="69" spans="2:8" x14ac:dyDescent="0.2">
      <c r="B69" s="24" t="s">
        <v>635</v>
      </c>
      <c r="C69" s="24" t="s">
        <v>636</v>
      </c>
      <c r="D69" s="24" t="s">
        <v>296</v>
      </c>
      <c r="E69" s="28">
        <v>14635</v>
      </c>
      <c r="F69" s="25">
        <v>126.10979500000001</v>
      </c>
      <c r="G69" s="26">
        <v>0.67148967185543895</v>
      </c>
      <c r="H69" s="24"/>
    </row>
    <row r="70" spans="2:8" x14ac:dyDescent="0.2">
      <c r="B70" s="24" t="s">
        <v>637</v>
      </c>
      <c r="C70" s="24" t="s">
        <v>638</v>
      </c>
      <c r="D70" s="24" t="s">
        <v>314</v>
      </c>
      <c r="E70" s="28">
        <v>154471</v>
      </c>
      <c r="F70" s="25">
        <v>122.3719262</v>
      </c>
      <c r="G70" s="26">
        <v>0.65158685388677295</v>
      </c>
      <c r="H70" s="24"/>
    </row>
    <row r="71" spans="2:8" x14ac:dyDescent="0.2">
      <c r="B71" s="24" t="s">
        <v>639</v>
      </c>
      <c r="C71" s="24" t="s">
        <v>640</v>
      </c>
      <c r="D71" s="24" t="s">
        <v>314</v>
      </c>
      <c r="E71" s="28">
        <v>9290</v>
      </c>
      <c r="F71" s="25">
        <v>121.39243</v>
      </c>
      <c r="G71" s="26">
        <v>0.64637138603257804</v>
      </c>
      <c r="H71" s="24"/>
    </row>
    <row r="72" spans="2:8" x14ac:dyDescent="0.2">
      <c r="B72" s="24" t="s">
        <v>641</v>
      </c>
      <c r="C72" s="24" t="s">
        <v>642</v>
      </c>
      <c r="D72" s="24" t="s">
        <v>306</v>
      </c>
      <c r="E72" s="28">
        <v>5522</v>
      </c>
      <c r="F72" s="25">
        <v>121.29073</v>
      </c>
      <c r="G72" s="26">
        <v>0.64582986981151302</v>
      </c>
      <c r="H72" s="24"/>
    </row>
    <row r="73" spans="2:8" x14ac:dyDescent="0.2">
      <c r="B73" s="24" t="s">
        <v>643</v>
      </c>
      <c r="C73" s="24" t="s">
        <v>644</v>
      </c>
      <c r="D73" s="24" t="s">
        <v>306</v>
      </c>
      <c r="E73" s="28">
        <v>29314</v>
      </c>
      <c r="F73" s="25">
        <v>115.46784599999999</v>
      </c>
      <c r="G73" s="26">
        <v>0.61482508967994398</v>
      </c>
      <c r="H73" s="24"/>
    </row>
    <row r="74" spans="2:8" x14ac:dyDescent="0.2">
      <c r="B74" s="24" t="s">
        <v>645</v>
      </c>
      <c r="C74" s="24" t="s">
        <v>646</v>
      </c>
      <c r="D74" s="24" t="s">
        <v>427</v>
      </c>
      <c r="E74" s="28">
        <v>8850</v>
      </c>
      <c r="F74" s="25">
        <v>113.7933</v>
      </c>
      <c r="G74" s="26">
        <v>0.60590872958240405</v>
      </c>
      <c r="H74" s="24"/>
    </row>
    <row r="75" spans="2:8" x14ac:dyDescent="0.2">
      <c r="B75" s="24" t="s">
        <v>647</v>
      </c>
      <c r="C75" s="24" t="s">
        <v>648</v>
      </c>
      <c r="D75" s="24" t="s">
        <v>451</v>
      </c>
      <c r="E75" s="28">
        <v>621</v>
      </c>
      <c r="F75" s="25">
        <v>113.7051</v>
      </c>
      <c r="G75" s="26">
        <v>0.60543909604555202</v>
      </c>
      <c r="H75" s="24"/>
    </row>
    <row r="76" spans="2:8" x14ac:dyDescent="0.2">
      <c r="B76" s="24" t="s">
        <v>649</v>
      </c>
      <c r="C76" s="24" t="s">
        <v>650</v>
      </c>
      <c r="D76" s="24" t="s">
        <v>323</v>
      </c>
      <c r="E76" s="28">
        <v>2044</v>
      </c>
      <c r="F76" s="25">
        <v>113.05364</v>
      </c>
      <c r="G76" s="26">
        <v>0.60197030393763495</v>
      </c>
      <c r="H76" s="24"/>
    </row>
    <row r="77" spans="2:8" x14ac:dyDescent="0.2">
      <c r="B77" s="24" t="s">
        <v>651</v>
      </c>
      <c r="C77" s="24" t="s">
        <v>652</v>
      </c>
      <c r="D77" s="24" t="s">
        <v>357</v>
      </c>
      <c r="E77" s="28">
        <v>26630</v>
      </c>
      <c r="F77" s="25">
        <v>113.00440500000001</v>
      </c>
      <c r="G77" s="26">
        <v>0.60170814512599202</v>
      </c>
      <c r="H77" s="24"/>
    </row>
    <row r="78" spans="2:8" x14ac:dyDescent="0.2">
      <c r="B78" s="24" t="s">
        <v>653</v>
      </c>
      <c r="C78" s="24" t="s">
        <v>654</v>
      </c>
      <c r="D78" s="24" t="s">
        <v>655</v>
      </c>
      <c r="E78" s="28">
        <v>308</v>
      </c>
      <c r="F78" s="25">
        <v>111.01860000000001</v>
      </c>
      <c r="G78" s="26">
        <v>0.591134441887327</v>
      </c>
      <c r="H78" s="24"/>
    </row>
    <row r="79" spans="2:8" x14ac:dyDescent="0.2">
      <c r="B79" s="24" t="s">
        <v>656</v>
      </c>
      <c r="C79" s="24" t="s">
        <v>657</v>
      </c>
      <c r="D79" s="24" t="s">
        <v>311</v>
      </c>
      <c r="E79" s="28">
        <v>6336</v>
      </c>
      <c r="F79" s="25">
        <v>109.657152</v>
      </c>
      <c r="G79" s="26">
        <v>0.58388521694989604</v>
      </c>
      <c r="H79" s="24"/>
    </row>
    <row r="80" spans="2:8" x14ac:dyDescent="0.2">
      <c r="B80" s="24" t="s">
        <v>658</v>
      </c>
      <c r="C80" s="24" t="s">
        <v>659</v>
      </c>
      <c r="D80" s="24" t="s">
        <v>412</v>
      </c>
      <c r="E80" s="28">
        <v>19110</v>
      </c>
      <c r="F80" s="25">
        <v>106.74845999999999</v>
      </c>
      <c r="G80" s="26">
        <v>0.56839746965311799</v>
      </c>
      <c r="H80" s="24"/>
    </row>
    <row r="81" spans="2:8" x14ac:dyDescent="0.2">
      <c r="B81" s="24" t="s">
        <v>660</v>
      </c>
      <c r="C81" s="24" t="s">
        <v>661</v>
      </c>
      <c r="D81" s="24" t="s">
        <v>521</v>
      </c>
      <c r="E81" s="28">
        <v>3148</v>
      </c>
      <c r="F81" s="25">
        <v>105.577624</v>
      </c>
      <c r="G81" s="26">
        <v>0.56216318561961698</v>
      </c>
      <c r="H81" s="24"/>
    </row>
    <row r="82" spans="2:8" x14ac:dyDescent="0.2">
      <c r="B82" s="24" t="s">
        <v>662</v>
      </c>
      <c r="C82" s="24" t="s">
        <v>663</v>
      </c>
      <c r="D82" s="24" t="s">
        <v>427</v>
      </c>
      <c r="E82" s="28">
        <v>21884</v>
      </c>
      <c r="F82" s="25">
        <v>104.911896</v>
      </c>
      <c r="G82" s="26">
        <v>0.55861842150145302</v>
      </c>
      <c r="H82" s="24"/>
    </row>
    <row r="83" spans="2:8" x14ac:dyDescent="0.2">
      <c r="B83" s="24" t="s">
        <v>664</v>
      </c>
      <c r="C83" s="24" t="s">
        <v>665</v>
      </c>
      <c r="D83" s="24" t="s">
        <v>274</v>
      </c>
      <c r="E83" s="28">
        <v>5734</v>
      </c>
      <c r="F83" s="25">
        <v>104.662702</v>
      </c>
      <c r="G83" s="26">
        <v>0.55729155234518901</v>
      </c>
      <c r="H83" s="24"/>
    </row>
    <row r="84" spans="2:8" x14ac:dyDescent="0.2">
      <c r="B84" s="24" t="s">
        <v>666</v>
      </c>
      <c r="C84" s="24" t="s">
        <v>667</v>
      </c>
      <c r="D84" s="24" t="s">
        <v>443</v>
      </c>
      <c r="E84" s="28">
        <v>36595</v>
      </c>
      <c r="F84" s="25">
        <v>103.96639500000001</v>
      </c>
      <c r="G84" s="26">
        <v>0.55358396596032</v>
      </c>
      <c r="H84" s="24"/>
    </row>
    <row r="85" spans="2:8" x14ac:dyDescent="0.2">
      <c r="B85" s="24" t="s">
        <v>668</v>
      </c>
      <c r="C85" s="24" t="s">
        <v>669</v>
      </c>
      <c r="D85" s="24" t="s">
        <v>317</v>
      </c>
      <c r="E85" s="28">
        <v>70583</v>
      </c>
      <c r="F85" s="25">
        <v>103.7499517</v>
      </c>
      <c r="G85" s="26">
        <v>0.55243148259856101</v>
      </c>
      <c r="H85" s="24"/>
    </row>
    <row r="86" spans="2:8" x14ac:dyDescent="0.2">
      <c r="B86" s="24" t="s">
        <v>670</v>
      </c>
      <c r="C86" s="24" t="s">
        <v>671</v>
      </c>
      <c r="D86" s="24" t="s">
        <v>412</v>
      </c>
      <c r="E86" s="28">
        <v>14729</v>
      </c>
      <c r="F86" s="25">
        <v>100.834734</v>
      </c>
      <c r="G86" s="26">
        <v>0.53690898827716305</v>
      </c>
      <c r="H86" s="24"/>
    </row>
    <row r="87" spans="2:8" x14ac:dyDescent="0.2">
      <c r="B87" s="24" t="s">
        <v>672</v>
      </c>
      <c r="C87" s="24" t="s">
        <v>673</v>
      </c>
      <c r="D87" s="24" t="s">
        <v>280</v>
      </c>
      <c r="E87" s="28">
        <v>27715</v>
      </c>
      <c r="F87" s="25">
        <v>99.011837499999999</v>
      </c>
      <c r="G87" s="26">
        <v>0.52720271468745905</v>
      </c>
      <c r="H87" s="24"/>
    </row>
    <row r="88" spans="2:8" x14ac:dyDescent="0.2">
      <c r="B88" s="24" t="s">
        <v>674</v>
      </c>
      <c r="C88" s="24" t="s">
        <v>675</v>
      </c>
      <c r="D88" s="24" t="s">
        <v>306</v>
      </c>
      <c r="E88" s="28">
        <v>6786</v>
      </c>
      <c r="F88" s="25">
        <v>96.286553999999995</v>
      </c>
      <c r="G88" s="26">
        <v>0.51269155222677998</v>
      </c>
      <c r="H88" s="24"/>
    </row>
    <row r="89" spans="2:8" x14ac:dyDescent="0.2">
      <c r="B89" s="24" t="s">
        <v>676</v>
      </c>
      <c r="C89" s="24" t="s">
        <v>677</v>
      </c>
      <c r="D89" s="24" t="s">
        <v>454</v>
      </c>
      <c r="E89" s="28">
        <v>5747</v>
      </c>
      <c r="F89" s="25">
        <v>96.009382000000002</v>
      </c>
      <c r="G89" s="26">
        <v>0.51121571020096801</v>
      </c>
      <c r="H89" s="24"/>
    </row>
    <row r="90" spans="2:8" x14ac:dyDescent="0.2">
      <c r="B90" s="24" t="s">
        <v>678</v>
      </c>
      <c r="C90" s="24" t="s">
        <v>679</v>
      </c>
      <c r="D90" s="24" t="s">
        <v>277</v>
      </c>
      <c r="E90" s="28">
        <v>7996</v>
      </c>
      <c r="F90" s="25">
        <v>93.753100000000003</v>
      </c>
      <c r="G90" s="26">
        <v>0.49920181342321701</v>
      </c>
      <c r="H90" s="24"/>
    </row>
    <row r="91" spans="2:8" x14ac:dyDescent="0.2">
      <c r="B91" s="24" t="s">
        <v>680</v>
      </c>
      <c r="C91" s="24" t="s">
        <v>681</v>
      </c>
      <c r="D91" s="24" t="s">
        <v>311</v>
      </c>
      <c r="E91" s="28">
        <v>18799</v>
      </c>
      <c r="F91" s="25">
        <v>91.240946500000007</v>
      </c>
      <c r="G91" s="26">
        <v>0.485825492183733</v>
      </c>
      <c r="H91" s="24"/>
    </row>
    <row r="92" spans="2:8" x14ac:dyDescent="0.2">
      <c r="B92" s="24" t="s">
        <v>682</v>
      </c>
      <c r="C92" s="24" t="s">
        <v>683</v>
      </c>
      <c r="D92" s="24" t="s">
        <v>427</v>
      </c>
      <c r="E92" s="28">
        <v>3909</v>
      </c>
      <c r="F92" s="25">
        <v>90.677072999999993</v>
      </c>
      <c r="G92" s="26">
        <v>0.48282306694402</v>
      </c>
      <c r="H92" s="24"/>
    </row>
    <row r="93" spans="2:8" x14ac:dyDescent="0.2">
      <c r="B93" s="24" t="s">
        <v>684</v>
      </c>
      <c r="C93" s="24" t="s">
        <v>685</v>
      </c>
      <c r="D93" s="24" t="s">
        <v>686</v>
      </c>
      <c r="E93" s="28">
        <v>16604</v>
      </c>
      <c r="F93" s="25">
        <v>90.574820000000003</v>
      </c>
      <c r="G93" s="26">
        <v>0.482278606195224</v>
      </c>
      <c r="H93" s="24"/>
    </row>
    <row r="94" spans="2:8" x14ac:dyDescent="0.2">
      <c r="B94" s="24" t="s">
        <v>687</v>
      </c>
      <c r="C94" s="24" t="s">
        <v>688</v>
      </c>
      <c r="D94" s="24" t="s">
        <v>412</v>
      </c>
      <c r="E94" s="28">
        <v>45521</v>
      </c>
      <c r="F94" s="25">
        <v>89.872110300000003</v>
      </c>
      <c r="G94" s="26">
        <v>0.47853692771685802</v>
      </c>
      <c r="H94" s="24"/>
    </row>
    <row r="95" spans="2:8" x14ac:dyDescent="0.2">
      <c r="B95" s="24" t="s">
        <v>689</v>
      </c>
      <c r="C95" s="24" t="s">
        <v>690</v>
      </c>
      <c r="D95" s="24" t="s">
        <v>277</v>
      </c>
      <c r="E95" s="28">
        <v>1161</v>
      </c>
      <c r="F95" s="25">
        <v>89.246070000000003</v>
      </c>
      <c r="G95" s="26">
        <v>0.475203486443599</v>
      </c>
      <c r="H95" s="24"/>
    </row>
    <row r="96" spans="2:8" x14ac:dyDescent="0.2">
      <c r="B96" s="24" t="s">
        <v>691</v>
      </c>
      <c r="C96" s="24" t="s">
        <v>692</v>
      </c>
      <c r="D96" s="24" t="s">
        <v>337</v>
      </c>
      <c r="E96" s="28">
        <v>16855</v>
      </c>
      <c r="F96" s="25">
        <v>88.4803225</v>
      </c>
      <c r="G96" s="26">
        <v>0.47112615416739301</v>
      </c>
      <c r="H96" s="24"/>
    </row>
    <row r="97" spans="2:8" x14ac:dyDescent="0.2">
      <c r="B97" s="24" t="s">
        <v>693</v>
      </c>
      <c r="C97" s="24" t="s">
        <v>694</v>
      </c>
      <c r="D97" s="24" t="s">
        <v>277</v>
      </c>
      <c r="E97" s="28">
        <v>1680</v>
      </c>
      <c r="F97" s="25">
        <v>88.040400000000005</v>
      </c>
      <c r="G97" s="26">
        <v>0.46878372378625699</v>
      </c>
      <c r="H97" s="24"/>
    </row>
    <row r="98" spans="2:8" x14ac:dyDescent="0.2">
      <c r="B98" s="24" t="s">
        <v>695</v>
      </c>
      <c r="C98" s="24" t="s">
        <v>696</v>
      </c>
      <c r="D98" s="24" t="s">
        <v>266</v>
      </c>
      <c r="E98" s="28">
        <v>59331</v>
      </c>
      <c r="F98" s="25">
        <v>85.347643500000004</v>
      </c>
      <c r="G98" s="26">
        <v>0.45444575599738302</v>
      </c>
      <c r="H98" s="24"/>
    </row>
    <row r="99" spans="2:8" x14ac:dyDescent="0.2">
      <c r="B99" s="24" t="s">
        <v>697</v>
      </c>
      <c r="C99" s="24" t="s">
        <v>698</v>
      </c>
      <c r="D99" s="24" t="s">
        <v>608</v>
      </c>
      <c r="E99" s="28">
        <v>6327</v>
      </c>
      <c r="F99" s="25">
        <v>83.598651000000004</v>
      </c>
      <c r="G99" s="26">
        <v>0.44513299484427299</v>
      </c>
      <c r="H99" s="24"/>
    </row>
    <row r="100" spans="2:8" x14ac:dyDescent="0.2">
      <c r="B100" s="24" t="s">
        <v>699</v>
      </c>
      <c r="C100" s="24" t="s">
        <v>700</v>
      </c>
      <c r="D100" s="24" t="s">
        <v>521</v>
      </c>
      <c r="E100" s="28">
        <v>5982</v>
      </c>
      <c r="F100" s="25">
        <v>83.060069999999996</v>
      </c>
      <c r="G100" s="26">
        <v>0.44226524314459298</v>
      </c>
      <c r="H100" s="24"/>
    </row>
    <row r="101" spans="2:8" x14ac:dyDescent="0.2">
      <c r="B101" s="24" t="s">
        <v>701</v>
      </c>
      <c r="C101" s="24" t="s">
        <v>702</v>
      </c>
      <c r="D101" s="24" t="s">
        <v>323</v>
      </c>
      <c r="E101" s="28">
        <v>3889</v>
      </c>
      <c r="F101" s="25">
        <v>82.870700999999997</v>
      </c>
      <c r="G101" s="26">
        <v>0.44125692077225398</v>
      </c>
      <c r="H101" s="24"/>
    </row>
    <row r="102" spans="2:8" x14ac:dyDescent="0.2">
      <c r="B102" s="24" t="s">
        <v>703</v>
      </c>
      <c r="C102" s="24" t="s">
        <v>704</v>
      </c>
      <c r="D102" s="24" t="s">
        <v>427</v>
      </c>
      <c r="E102" s="28">
        <v>22213</v>
      </c>
      <c r="F102" s="25">
        <v>80.455485999999993</v>
      </c>
      <c r="G102" s="26">
        <v>0.42839676246488101</v>
      </c>
      <c r="H102" s="24"/>
    </row>
    <row r="103" spans="2:8" x14ac:dyDescent="0.2">
      <c r="B103" s="24" t="s">
        <v>705</v>
      </c>
      <c r="C103" s="24" t="s">
        <v>706</v>
      </c>
      <c r="D103" s="24" t="s">
        <v>296</v>
      </c>
      <c r="E103" s="28">
        <v>14681</v>
      </c>
      <c r="F103" s="25">
        <v>79.211335500000004</v>
      </c>
      <c r="G103" s="26">
        <v>0.42177210487199701</v>
      </c>
      <c r="H103" s="24"/>
    </row>
    <row r="104" spans="2:8" x14ac:dyDescent="0.2">
      <c r="B104" s="24" t="s">
        <v>707</v>
      </c>
      <c r="C104" s="24" t="s">
        <v>708</v>
      </c>
      <c r="D104" s="24" t="s">
        <v>427</v>
      </c>
      <c r="E104" s="28">
        <v>15793</v>
      </c>
      <c r="F104" s="25">
        <v>78.965000000000003</v>
      </c>
      <c r="G104" s="26">
        <v>0.42046045620853401</v>
      </c>
      <c r="H104" s="24"/>
    </row>
    <row r="105" spans="2:8" x14ac:dyDescent="0.2">
      <c r="B105" s="24" t="s">
        <v>709</v>
      </c>
      <c r="C105" s="24" t="s">
        <v>710</v>
      </c>
      <c r="D105" s="24" t="s">
        <v>443</v>
      </c>
      <c r="E105" s="28">
        <v>13544</v>
      </c>
      <c r="F105" s="25">
        <v>76.753848000000005</v>
      </c>
      <c r="G105" s="26">
        <v>0.408686860581783</v>
      </c>
      <c r="H105" s="24"/>
    </row>
    <row r="106" spans="2:8" x14ac:dyDescent="0.2">
      <c r="B106" s="24" t="s">
        <v>711</v>
      </c>
      <c r="C106" s="24" t="s">
        <v>712</v>
      </c>
      <c r="D106" s="24" t="s">
        <v>507</v>
      </c>
      <c r="E106" s="28">
        <v>8678</v>
      </c>
      <c r="F106" s="25">
        <v>76.336027000000001</v>
      </c>
      <c r="G106" s="26">
        <v>0.40646211280398897</v>
      </c>
      <c r="H106" s="24"/>
    </row>
    <row r="107" spans="2:8" x14ac:dyDescent="0.2">
      <c r="B107" s="24" t="s">
        <v>713</v>
      </c>
      <c r="C107" s="24" t="s">
        <v>714</v>
      </c>
      <c r="D107" s="24" t="s">
        <v>427</v>
      </c>
      <c r="E107" s="28">
        <v>1965</v>
      </c>
      <c r="F107" s="25">
        <v>76.222350000000006</v>
      </c>
      <c r="G107" s="26">
        <v>0.405856823330419</v>
      </c>
      <c r="H107" s="24"/>
    </row>
    <row r="108" spans="2:8" x14ac:dyDescent="0.2">
      <c r="B108" s="24" t="s">
        <v>715</v>
      </c>
      <c r="C108" s="24" t="s">
        <v>716</v>
      </c>
      <c r="D108" s="24" t="s">
        <v>521</v>
      </c>
      <c r="E108" s="28">
        <v>1896</v>
      </c>
      <c r="F108" s="25">
        <v>76.171800000000005</v>
      </c>
      <c r="G108" s="26">
        <v>0.40558766261286899</v>
      </c>
      <c r="H108" s="24"/>
    </row>
    <row r="109" spans="2:8" x14ac:dyDescent="0.2">
      <c r="B109" s="24" t="s">
        <v>717</v>
      </c>
      <c r="C109" s="24" t="s">
        <v>718</v>
      </c>
      <c r="D109" s="24" t="s">
        <v>446</v>
      </c>
      <c r="E109" s="28">
        <v>2058</v>
      </c>
      <c r="F109" s="25">
        <v>75.452454000000003</v>
      </c>
      <c r="G109" s="26">
        <v>0.40175740177158797</v>
      </c>
      <c r="H109" s="24"/>
    </row>
    <row r="110" spans="2:8" x14ac:dyDescent="0.2">
      <c r="B110" s="24" t="s">
        <v>719</v>
      </c>
      <c r="C110" s="24" t="s">
        <v>720</v>
      </c>
      <c r="D110" s="24" t="s">
        <v>311</v>
      </c>
      <c r="E110" s="28">
        <v>13898</v>
      </c>
      <c r="F110" s="25">
        <v>74.569719000000006</v>
      </c>
      <c r="G110" s="26">
        <v>0.397057152790251</v>
      </c>
      <c r="H110" s="24"/>
    </row>
    <row r="111" spans="2:8" x14ac:dyDescent="0.2">
      <c r="B111" s="24" t="s">
        <v>721</v>
      </c>
      <c r="C111" s="24" t="s">
        <v>722</v>
      </c>
      <c r="D111" s="24" t="s">
        <v>306</v>
      </c>
      <c r="E111" s="28">
        <v>255</v>
      </c>
      <c r="F111" s="25">
        <v>74.013750000000002</v>
      </c>
      <c r="G111" s="26">
        <v>0.394096816193306</v>
      </c>
      <c r="H111" s="24"/>
    </row>
    <row r="112" spans="2:8" x14ac:dyDescent="0.2">
      <c r="B112" s="24" t="s">
        <v>723</v>
      </c>
      <c r="C112" s="24" t="s">
        <v>724</v>
      </c>
      <c r="D112" s="24" t="s">
        <v>451</v>
      </c>
      <c r="E112" s="28">
        <v>825</v>
      </c>
      <c r="F112" s="25">
        <v>69.031874999999999</v>
      </c>
      <c r="G112" s="26">
        <v>0.36757010897778097</v>
      </c>
      <c r="H112" s="24"/>
    </row>
    <row r="113" spans="2:8" x14ac:dyDescent="0.2">
      <c r="B113" s="24" t="s">
        <v>725</v>
      </c>
      <c r="C113" s="24" t="s">
        <v>726</v>
      </c>
      <c r="D113" s="24" t="s">
        <v>499</v>
      </c>
      <c r="E113" s="28">
        <v>4133</v>
      </c>
      <c r="F113" s="25">
        <v>66.958732999999995</v>
      </c>
      <c r="G113" s="26">
        <v>0.35653136736940899</v>
      </c>
      <c r="H113" s="24"/>
    </row>
    <row r="114" spans="2:8" x14ac:dyDescent="0.2">
      <c r="B114" s="24" t="s">
        <v>727</v>
      </c>
      <c r="C114" s="24" t="s">
        <v>728</v>
      </c>
      <c r="D114" s="24" t="s">
        <v>274</v>
      </c>
      <c r="E114" s="28">
        <v>3672</v>
      </c>
      <c r="F114" s="25">
        <v>66.892824000000005</v>
      </c>
      <c r="G114" s="26">
        <v>0.35618042545579898</v>
      </c>
      <c r="H114" s="24"/>
    </row>
    <row r="115" spans="2:8" x14ac:dyDescent="0.2">
      <c r="B115" s="24" t="s">
        <v>729</v>
      </c>
      <c r="C115" s="24" t="s">
        <v>730</v>
      </c>
      <c r="D115" s="24" t="s">
        <v>443</v>
      </c>
      <c r="E115" s="28">
        <v>34249</v>
      </c>
      <c r="F115" s="25">
        <v>66.638279299999994</v>
      </c>
      <c r="G115" s="26">
        <v>0.354825065730763</v>
      </c>
      <c r="H115" s="24"/>
    </row>
    <row r="116" spans="2:8" x14ac:dyDescent="0.2">
      <c r="B116" s="24" t="s">
        <v>731</v>
      </c>
      <c r="C116" s="24" t="s">
        <v>732</v>
      </c>
      <c r="D116" s="24" t="s">
        <v>320</v>
      </c>
      <c r="E116" s="28">
        <v>4500</v>
      </c>
      <c r="F116" s="25">
        <v>65.992500000000007</v>
      </c>
      <c r="G116" s="26">
        <v>0.35138652132389903</v>
      </c>
      <c r="H116" s="24"/>
    </row>
    <row r="117" spans="2:8" x14ac:dyDescent="0.2">
      <c r="B117" s="24" t="s">
        <v>733</v>
      </c>
      <c r="C117" s="24" t="s">
        <v>734</v>
      </c>
      <c r="D117" s="24" t="s">
        <v>507</v>
      </c>
      <c r="E117" s="28">
        <v>7567</v>
      </c>
      <c r="F117" s="25">
        <v>64.754602500000004</v>
      </c>
      <c r="G117" s="26">
        <v>0.344795158725414</v>
      </c>
      <c r="H117" s="24"/>
    </row>
    <row r="118" spans="2:8" x14ac:dyDescent="0.2">
      <c r="B118" s="24" t="s">
        <v>735</v>
      </c>
      <c r="C118" s="24" t="s">
        <v>736</v>
      </c>
      <c r="D118" s="24" t="s">
        <v>266</v>
      </c>
      <c r="E118" s="28">
        <v>99414</v>
      </c>
      <c r="F118" s="25">
        <v>61.686387000000003</v>
      </c>
      <c r="G118" s="26">
        <v>0.32845800569715899</v>
      </c>
      <c r="H118" s="24"/>
    </row>
    <row r="119" spans="2:8" x14ac:dyDescent="0.2">
      <c r="B119" s="24" t="s">
        <v>737</v>
      </c>
      <c r="C119" s="24" t="s">
        <v>738</v>
      </c>
      <c r="D119" s="24" t="s">
        <v>446</v>
      </c>
      <c r="E119" s="28">
        <v>1027</v>
      </c>
      <c r="F119" s="25">
        <v>61.162984999999999</v>
      </c>
      <c r="G119" s="26">
        <v>0.32567107675774998</v>
      </c>
      <c r="H119" s="24"/>
    </row>
    <row r="120" spans="2:8" x14ac:dyDescent="0.2">
      <c r="B120" s="24" t="s">
        <v>739</v>
      </c>
      <c r="C120" s="24" t="s">
        <v>740</v>
      </c>
      <c r="D120" s="24" t="s">
        <v>540</v>
      </c>
      <c r="E120" s="28">
        <v>1623</v>
      </c>
      <c r="F120" s="25">
        <v>60.372354000000001</v>
      </c>
      <c r="G120" s="26">
        <v>0.32146124872061199</v>
      </c>
      <c r="H120" s="24"/>
    </row>
    <row r="121" spans="2:8" x14ac:dyDescent="0.2">
      <c r="B121" s="24" t="s">
        <v>741</v>
      </c>
      <c r="C121" s="24" t="s">
        <v>742</v>
      </c>
      <c r="D121" s="24" t="s">
        <v>373</v>
      </c>
      <c r="E121" s="28">
        <v>9263</v>
      </c>
      <c r="F121" s="25">
        <v>60.302129999999998</v>
      </c>
      <c r="G121" s="26">
        <v>0.32108733097127001</v>
      </c>
      <c r="H121" s="24"/>
    </row>
    <row r="122" spans="2:8" x14ac:dyDescent="0.2">
      <c r="B122" s="24" t="s">
        <v>743</v>
      </c>
      <c r="C122" s="24" t="s">
        <v>744</v>
      </c>
      <c r="D122" s="24" t="s">
        <v>745</v>
      </c>
      <c r="E122" s="28">
        <v>1345</v>
      </c>
      <c r="F122" s="25">
        <v>60.016590000000001</v>
      </c>
      <c r="G122" s="26">
        <v>0.31956693233053302</v>
      </c>
      <c r="H122" s="24"/>
    </row>
    <row r="123" spans="2:8" x14ac:dyDescent="0.2">
      <c r="B123" s="24" t="s">
        <v>746</v>
      </c>
      <c r="C123" s="24" t="s">
        <v>747</v>
      </c>
      <c r="D123" s="24" t="s">
        <v>436</v>
      </c>
      <c r="E123" s="28">
        <v>462</v>
      </c>
      <c r="F123" s="25">
        <v>59.926020000000001</v>
      </c>
      <c r="G123" s="26">
        <v>0.319084679389118</v>
      </c>
      <c r="H123" s="24"/>
    </row>
    <row r="124" spans="2:8" x14ac:dyDescent="0.2">
      <c r="B124" s="24" t="s">
        <v>748</v>
      </c>
      <c r="C124" s="24" t="s">
        <v>749</v>
      </c>
      <c r="D124" s="24" t="s">
        <v>446</v>
      </c>
      <c r="E124" s="28">
        <v>3354</v>
      </c>
      <c r="F124" s="25">
        <v>58.081218</v>
      </c>
      <c r="G124" s="26">
        <v>0.30926176682615503</v>
      </c>
      <c r="H124" s="24"/>
    </row>
    <row r="125" spans="2:8" x14ac:dyDescent="0.2">
      <c r="B125" s="24" t="s">
        <v>750</v>
      </c>
      <c r="C125" s="24" t="s">
        <v>751</v>
      </c>
      <c r="D125" s="24" t="s">
        <v>363</v>
      </c>
      <c r="E125" s="28">
        <v>15098</v>
      </c>
      <c r="F125" s="25">
        <v>57.493183999999999</v>
      </c>
      <c r="G125" s="26">
        <v>0.30613069554259698</v>
      </c>
      <c r="H125" s="24"/>
    </row>
    <row r="126" spans="2:8" x14ac:dyDescent="0.2">
      <c r="B126" s="24" t="s">
        <v>752</v>
      </c>
      <c r="C126" s="24" t="s">
        <v>753</v>
      </c>
      <c r="D126" s="24" t="s">
        <v>451</v>
      </c>
      <c r="E126" s="28">
        <v>1892</v>
      </c>
      <c r="F126" s="25">
        <v>57.187592000000002</v>
      </c>
      <c r="G126" s="26">
        <v>0.30450352715491102</v>
      </c>
      <c r="H126" s="24"/>
    </row>
    <row r="127" spans="2:8" x14ac:dyDescent="0.2">
      <c r="B127" s="24" t="s">
        <v>754</v>
      </c>
      <c r="C127" s="24" t="s">
        <v>755</v>
      </c>
      <c r="D127" s="24" t="s">
        <v>409</v>
      </c>
      <c r="E127" s="28">
        <v>3526</v>
      </c>
      <c r="F127" s="25">
        <v>57.181142000000001</v>
      </c>
      <c r="G127" s="26">
        <v>0.30446918320578698</v>
      </c>
      <c r="H127" s="24"/>
    </row>
    <row r="128" spans="2:8" x14ac:dyDescent="0.2">
      <c r="B128" s="24" t="s">
        <v>756</v>
      </c>
      <c r="C128" s="24" t="s">
        <v>757</v>
      </c>
      <c r="D128" s="24" t="s">
        <v>306</v>
      </c>
      <c r="E128" s="28">
        <v>2057</v>
      </c>
      <c r="F128" s="25">
        <v>56.956273000000003</v>
      </c>
      <c r="G128" s="26">
        <v>0.30327183599718599</v>
      </c>
      <c r="H128" s="24"/>
    </row>
    <row r="129" spans="2:8" x14ac:dyDescent="0.2">
      <c r="B129" s="24" t="s">
        <v>758</v>
      </c>
      <c r="C129" s="24" t="s">
        <v>759</v>
      </c>
      <c r="D129" s="24" t="s">
        <v>296</v>
      </c>
      <c r="E129" s="28">
        <v>24502</v>
      </c>
      <c r="F129" s="25">
        <v>55.896412599999998</v>
      </c>
      <c r="G129" s="26">
        <v>0.29762845744591199</v>
      </c>
      <c r="H129" s="24"/>
    </row>
    <row r="130" spans="2:8" x14ac:dyDescent="0.2">
      <c r="B130" s="24" t="s">
        <v>760</v>
      </c>
      <c r="C130" s="24" t="s">
        <v>761</v>
      </c>
      <c r="D130" s="24" t="s">
        <v>277</v>
      </c>
      <c r="E130" s="28">
        <v>7247</v>
      </c>
      <c r="F130" s="25">
        <v>55.479408499999998</v>
      </c>
      <c r="G130" s="26">
        <v>0.295408059369209</v>
      </c>
      <c r="H130" s="24"/>
    </row>
    <row r="131" spans="2:8" x14ac:dyDescent="0.2">
      <c r="B131" s="24" t="s">
        <v>762</v>
      </c>
      <c r="C131" s="24" t="s">
        <v>763</v>
      </c>
      <c r="D131" s="24" t="s">
        <v>764</v>
      </c>
      <c r="E131" s="28">
        <v>1990</v>
      </c>
      <c r="F131" s="25">
        <v>54.969769999999997</v>
      </c>
      <c r="G131" s="26">
        <v>0.29269441615751501</v>
      </c>
      <c r="H131" s="24"/>
    </row>
    <row r="132" spans="2:8" x14ac:dyDescent="0.2">
      <c r="B132" s="24" t="s">
        <v>765</v>
      </c>
      <c r="C132" s="24" t="s">
        <v>766</v>
      </c>
      <c r="D132" s="24" t="s">
        <v>296</v>
      </c>
      <c r="E132" s="28">
        <v>38843</v>
      </c>
      <c r="F132" s="25">
        <v>54.341357000000002</v>
      </c>
      <c r="G132" s="26">
        <v>0.28934834110315699</v>
      </c>
      <c r="H132" s="24"/>
    </row>
    <row r="133" spans="2:8" x14ac:dyDescent="0.2">
      <c r="B133" s="24" t="s">
        <v>767</v>
      </c>
      <c r="C133" s="24" t="s">
        <v>768</v>
      </c>
      <c r="D133" s="24" t="s">
        <v>376</v>
      </c>
      <c r="E133" s="28">
        <v>22733</v>
      </c>
      <c r="F133" s="25">
        <v>53.945408999999998</v>
      </c>
      <c r="G133" s="26">
        <v>0.28724005924771701</v>
      </c>
      <c r="H133" s="24"/>
    </row>
    <row r="134" spans="2:8" x14ac:dyDescent="0.2">
      <c r="B134" s="24" t="s">
        <v>769</v>
      </c>
      <c r="C134" s="24" t="s">
        <v>770</v>
      </c>
      <c r="D134" s="24" t="s">
        <v>745</v>
      </c>
      <c r="E134" s="28">
        <v>8378</v>
      </c>
      <c r="F134" s="25">
        <v>53.870539999999998</v>
      </c>
      <c r="G134" s="26">
        <v>0.286841408530363</v>
      </c>
      <c r="H134" s="24"/>
    </row>
    <row r="135" spans="2:8" x14ac:dyDescent="0.2">
      <c r="B135" s="24" t="s">
        <v>771</v>
      </c>
      <c r="C135" s="24" t="s">
        <v>772</v>
      </c>
      <c r="D135" s="24" t="s">
        <v>655</v>
      </c>
      <c r="E135" s="28">
        <v>5634</v>
      </c>
      <c r="F135" s="25">
        <v>53.094816000000002</v>
      </c>
      <c r="G135" s="26">
        <v>0.28271095495052501</v>
      </c>
      <c r="H135" s="24"/>
    </row>
    <row r="136" spans="2:8" x14ac:dyDescent="0.2">
      <c r="B136" s="24" t="s">
        <v>773</v>
      </c>
      <c r="C136" s="24" t="s">
        <v>774</v>
      </c>
      <c r="D136" s="24" t="s">
        <v>323</v>
      </c>
      <c r="E136" s="28">
        <v>2978</v>
      </c>
      <c r="F136" s="25">
        <v>51.748705999999999</v>
      </c>
      <c r="G136" s="26">
        <v>0.27554339939164602</v>
      </c>
      <c r="H136" s="24"/>
    </row>
    <row r="137" spans="2:8" x14ac:dyDescent="0.2">
      <c r="B137" s="24" t="s">
        <v>775</v>
      </c>
      <c r="C137" s="24" t="s">
        <v>776</v>
      </c>
      <c r="D137" s="24" t="s">
        <v>296</v>
      </c>
      <c r="E137" s="28">
        <v>1190</v>
      </c>
      <c r="F137" s="25">
        <v>51.427039999999998</v>
      </c>
      <c r="G137" s="26">
        <v>0.27383064268795698</v>
      </c>
      <c r="H137" s="24"/>
    </row>
    <row r="138" spans="2:8" x14ac:dyDescent="0.2">
      <c r="B138" s="24" t="s">
        <v>777</v>
      </c>
      <c r="C138" s="24" t="s">
        <v>778</v>
      </c>
      <c r="D138" s="24" t="s">
        <v>306</v>
      </c>
      <c r="E138" s="28">
        <v>2020</v>
      </c>
      <c r="F138" s="25">
        <v>49.966720000000002</v>
      </c>
      <c r="G138" s="26">
        <v>0.26605495962064302</v>
      </c>
      <c r="H138" s="24"/>
    </row>
    <row r="139" spans="2:8" x14ac:dyDescent="0.2">
      <c r="B139" s="24" t="s">
        <v>779</v>
      </c>
      <c r="C139" s="24" t="s">
        <v>780</v>
      </c>
      <c r="D139" s="24" t="s">
        <v>373</v>
      </c>
      <c r="E139" s="28">
        <v>4133</v>
      </c>
      <c r="F139" s="25">
        <v>49.033912000000001</v>
      </c>
      <c r="G139" s="26">
        <v>0.26108808977659897</v>
      </c>
      <c r="H139" s="24"/>
    </row>
    <row r="140" spans="2:8" x14ac:dyDescent="0.2">
      <c r="B140" s="24" t="s">
        <v>781</v>
      </c>
      <c r="C140" s="24" t="s">
        <v>782</v>
      </c>
      <c r="D140" s="24" t="s">
        <v>783</v>
      </c>
      <c r="E140" s="28">
        <v>138</v>
      </c>
      <c r="F140" s="25">
        <v>48.4587</v>
      </c>
      <c r="G140" s="26">
        <v>0.25802529106911298</v>
      </c>
      <c r="H140" s="24"/>
    </row>
    <row r="141" spans="2:8" x14ac:dyDescent="0.2">
      <c r="B141" s="24" t="s">
        <v>784</v>
      </c>
      <c r="C141" s="24" t="s">
        <v>785</v>
      </c>
      <c r="D141" s="24" t="s">
        <v>451</v>
      </c>
      <c r="E141" s="28">
        <v>5637</v>
      </c>
      <c r="F141" s="25">
        <v>47.471995499999998</v>
      </c>
      <c r="G141" s="26">
        <v>0.252771441588798</v>
      </c>
      <c r="H141" s="24"/>
    </row>
    <row r="142" spans="2:8" x14ac:dyDescent="0.2">
      <c r="B142" s="24" t="s">
        <v>786</v>
      </c>
      <c r="C142" s="24" t="s">
        <v>787</v>
      </c>
      <c r="D142" s="24" t="s">
        <v>346</v>
      </c>
      <c r="E142" s="28">
        <v>15789</v>
      </c>
      <c r="F142" s="25">
        <v>44.967072000000002</v>
      </c>
      <c r="G142" s="26">
        <v>0.23943361752019199</v>
      </c>
      <c r="H142" s="24"/>
    </row>
    <row r="143" spans="2:8" x14ac:dyDescent="0.2">
      <c r="B143" s="24" t="s">
        <v>788</v>
      </c>
      <c r="C143" s="24" t="s">
        <v>789</v>
      </c>
      <c r="D143" s="24" t="s">
        <v>427</v>
      </c>
      <c r="E143" s="28">
        <v>1722</v>
      </c>
      <c r="F143" s="25">
        <v>44.598078000000001</v>
      </c>
      <c r="G143" s="26">
        <v>0.23746885609958601</v>
      </c>
      <c r="H143" s="24"/>
    </row>
    <row r="144" spans="2:8" x14ac:dyDescent="0.2">
      <c r="B144" s="24" t="s">
        <v>790</v>
      </c>
      <c r="C144" s="24" t="s">
        <v>791</v>
      </c>
      <c r="D144" s="24" t="s">
        <v>296</v>
      </c>
      <c r="E144" s="28">
        <v>6346</v>
      </c>
      <c r="F144" s="25">
        <v>44.266522999999999</v>
      </c>
      <c r="G144" s="26">
        <v>0.235703443998551</v>
      </c>
      <c r="H144" s="24"/>
    </row>
    <row r="145" spans="2:9" x14ac:dyDescent="0.2">
      <c r="B145" s="24" t="s">
        <v>792</v>
      </c>
      <c r="C145" s="24" t="s">
        <v>793</v>
      </c>
      <c r="D145" s="24" t="s">
        <v>314</v>
      </c>
      <c r="E145" s="28">
        <v>45354</v>
      </c>
      <c r="F145" s="25">
        <v>42.882207000000001</v>
      </c>
      <c r="G145" s="26">
        <v>0.22833245511870801</v>
      </c>
      <c r="H145" s="24"/>
    </row>
    <row r="146" spans="2:9" x14ac:dyDescent="0.2">
      <c r="B146" s="24" t="s">
        <v>794</v>
      </c>
      <c r="C146" s="24" t="s">
        <v>795</v>
      </c>
      <c r="D146" s="24" t="s">
        <v>280</v>
      </c>
      <c r="E146" s="28">
        <v>96858</v>
      </c>
      <c r="F146" s="25">
        <v>40.728788999999999</v>
      </c>
      <c r="G146" s="26">
        <v>0.21686627244679399</v>
      </c>
      <c r="H146" s="24"/>
    </row>
    <row r="147" spans="2:9" x14ac:dyDescent="0.2">
      <c r="B147" s="24" t="s">
        <v>796</v>
      </c>
      <c r="C147" s="24" t="s">
        <v>797</v>
      </c>
      <c r="D147" s="24" t="s">
        <v>314</v>
      </c>
      <c r="E147" s="28">
        <v>15927</v>
      </c>
      <c r="F147" s="25">
        <v>39.852539399999998</v>
      </c>
      <c r="G147" s="26">
        <v>0.212200555906953</v>
      </c>
      <c r="H147" s="24"/>
    </row>
    <row r="148" spans="2:9" x14ac:dyDescent="0.2">
      <c r="B148" s="24" t="s">
        <v>798</v>
      </c>
      <c r="C148" s="24" t="s">
        <v>799</v>
      </c>
      <c r="D148" s="24" t="s">
        <v>499</v>
      </c>
      <c r="E148" s="28">
        <v>107</v>
      </c>
      <c r="F148" s="25">
        <v>35.101349999999996</v>
      </c>
      <c r="G148" s="26">
        <v>0.186902167220103</v>
      </c>
      <c r="H148" s="24"/>
    </row>
    <row r="149" spans="2:9" x14ac:dyDescent="0.2">
      <c r="B149" s="24" t="s">
        <v>800</v>
      </c>
      <c r="C149" s="24" t="s">
        <v>801</v>
      </c>
      <c r="D149" s="24" t="s">
        <v>443</v>
      </c>
      <c r="E149" s="28">
        <v>8420</v>
      </c>
      <c r="F149" s="25">
        <v>34.707239999999999</v>
      </c>
      <c r="G149" s="26">
        <v>0.184803672059002</v>
      </c>
      <c r="H149" s="24"/>
    </row>
    <row r="150" spans="2:9" x14ac:dyDescent="0.2">
      <c r="B150" s="24" t="s">
        <v>802</v>
      </c>
      <c r="C150" s="24" t="s">
        <v>803</v>
      </c>
      <c r="D150" s="24" t="s">
        <v>266</v>
      </c>
      <c r="E150" s="28">
        <v>27370</v>
      </c>
      <c r="F150" s="25">
        <v>28.188362999999999</v>
      </c>
      <c r="G150" s="26">
        <v>0.150092977480552</v>
      </c>
      <c r="H150" s="24"/>
    </row>
    <row r="151" spans="2:9" x14ac:dyDescent="0.2">
      <c r="B151" s="24" t="s">
        <v>804</v>
      </c>
      <c r="C151" s="24" t="s">
        <v>805</v>
      </c>
      <c r="D151" s="24" t="s">
        <v>553</v>
      </c>
      <c r="E151" s="28">
        <v>3042</v>
      </c>
      <c r="F151" s="25">
        <v>27.756729</v>
      </c>
      <c r="G151" s="26">
        <v>0.1477946804052</v>
      </c>
      <c r="H151" s="24"/>
    </row>
    <row r="152" spans="2:9" x14ac:dyDescent="0.2">
      <c r="B152" s="24" t="s">
        <v>806</v>
      </c>
      <c r="C152" s="24" t="s">
        <v>807</v>
      </c>
      <c r="D152" s="24" t="s">
        <v>314</v>
      </c>
      <c r="E152" s="28">
        <v>34923</v>
      </c>
      <c r="F152" s="25">
        <v>26.108434800000001</v>
      </c>
      <c r="G152" s="26">
        <v>0.13901810177798701</v>
      </c>
      <c r="H152" s="24"/>
    </row>
    <row r="153" spans="2:9" x14ac:dyDescent="0.2">
      <c r="B153" s="24" t="s">
        <v>808</v>
      </c>
      <c r="C153" s="24" t="s">
        <v>809</v>
      </c>
      <c r="D153" s="24" t="s">
        <v>266</v>
      </c>
      <c r="E153" s="28">
        <v>71292</v>
      </c>
      <c r="F153" s="25">
        <v>25.757799599999998</v>
      </c>
      <c r="G153" s="26">
        <v>0.13715109441833701</v>
      </c>
      <c r="H153" s="24"/>
    </row>
    <row r="154" spans="2:9" x14ac:dyDescent="0.2">
      <c r="B154" s="24" t="s">
        <v>810</v>
      </c>
      <c r="C154" s="24" t="s">
        <v>811</v>
      </c>
      <c r="D154" s="24" t="s">
        <v>783</v>
      </c>
      <c r="E154" s="28">
        <v>2108</v>
      </c>
      <c r="F154" s="25">
        <v>21.130592</v>
      </c>
      <c r="G154" s="26">
        <v>0.112512864589076</v>
      </c>
      <c r="H154" s="24"/>
    </row>
    <row r="155" spans="2:9" x14ac:dyDescent="0.2">
      <c r="B155" s="24" t="s">
        <v>812</v>
      </c>
      <c r="C155" s="24" t="s">
        <v>813</v>
      </c>
      <c r="D155" s="24" t="s">
        <v>363</v>
      </c>
      <c r="E155" s="28">
        <v>11750</v>
      </c>
      <c r="F155" s="25">
        <v>18.30885</v>
      </c>
      <c r="G155" s="26">
        <v>9.7488095025056898E-2</v>
      </c>
      <c r="H155" s="24"/>
    </row>
    <row r="156" spans="2:9" x14ac:dyDescent="0.2">
      <c r="B156" s="24" t="s">
        <v>814</v>
      </c>
      <c r="C156" s="24" t="s">
        <v>815</v>
      </c>
      <c r="D156" s="24" t="s">
        <v>266</v>
      </c>
      <c r="E156" s="28">
        <v>55554</v>
      </c>
      <c r="F156" s="25">
        <v>16.360652999999999</v>
      </c>
      <c r="G156" s="26">
        <v>8.7114640970677101E-2</v>
      </c>
      <c r="H156" s="24"/>
    </row>
    <row r="157" spans="2:9" x14ac:dyDescent="0.2">
      <c r="B157" s="23" t="s">
        <v>60</v>
      </c>
      <c r="C157" s="23"/>
      <c r="D157" s="23"/>
      <c r="E157" s="23"/>
      <c r="F157" s="30">
        <f>SUM(F7:F156)</f>
        <v>18807.224458799985</v>
      </c>
      <c r="G157" s="31">
        <f>SUM(G7:G156)</f>
        <v>100.1417612355265</v>
      </c>
      <c r="H157" s="23"/>
      <c r="I157" s="16"/>
    </row>
    <row r="158" spans="2:9" x14ac:dyDescent="0.2">
      <c r="B158" s="23" t="s">
        <v>389</v>
      </c>
      <c r="C158" s="23"/>
      <c r="D158" s="23"/>
      <c r="E158" s="23"/>
      <c r="F158" s="46" t="s">
        <v>390</v>
      </c>
      <c r="G158" s="47" t="s">
        <v>390</v>
      </c>
      <c r="H158" s="23"/>
      <c r="I158" s="16"/>
    </row>
    <row r="159" spans="2:9" x14ac:dyDescent="0.2">
      <c r="B159" s="23" t="s">
        <v>60</v>
      </c>
      <c r="C159" s="23"/>
      <c r="D159" s="23"/>
      <c r="E159" s="23"/>
      <c r="F159" s="48" t="s">
        <v>390</v>
      </c>
      <c r="G159" s="49" t="s">
        <v>390</v>
      </c>
      <c r="H159" s="23"/>
      <c r="I159" s="16"/>
    </row>
    <row r="160" spans="2:9" x14ac:dyDescent="0.2">
      <c r="B160" s="35" t="s">
        <v>99</v>
      </c>
      <c r="C160" s="35"/>
      <c r="D160" s="35"/>
      <c r="E160" s="35"/>
      <c r="F160" s="36">
        <f>F157</f>
        <v>18807.224458799985</v>
      </c>
      <c r="G160" s="37">
        <f>G157</f>
        <v>100.1417612355265</v>
      </c>
      <c r="H160" s="23"/>
      <c r="I160" s="16"/>
    </row>
    <row r="161" spans="2:9" x14ac:dyDescent="0.2">
      <c r="B161" s="23" t="s">
        <v>104</v>
      </c>
      <c r="C161" s="23"/>
      <c r="D161" s="23"/>
      <c r="E161" s="23"/>
      <c r="F161" s="30">
        <v>84.063165499999997</v>
      </c>
      <c r="G161" s="31">
        <v>0.44760636885282701</v>
      </c>
      <c r="H161" s="38">
        <v>5.3636339999999998E-2</v>
      </c>
      <c r="I161" s="17"/>
    </row>
    <row r="162" spans="2:9" x14ac:dyDescent="0.2">
      <c r="B162" s="24"/>
      <c r="C162" s="24"/>
      <c r="D162" s="24"/>
      <c r="E162" s="24"/>
      <c r="F162" s="25"/>
      <c r="G162" s="26"/>
      <c r="H162" s="24"/>
    </row>
    <row r="163" spans="2:9" x14ac:dyDescent="0.2">
      <c r="B163" s="43" t="s">
        <v>106</v>
      </c>
      <c r="C163" s="43"/>
      <c r="D163" s="43"/>
      <c r="E163" s="43"/>
      <c r="F163" s="30">
        <f>F164-(F157+F161)</f>
        <v>-110.68677729998308</v>
      </c>
      <c r="G163" s="31">
        <f>G164-(G157+G161)</f>
        <v>-0.58936760437933344</v>
      </c>
      <c r="H163" s="23"/>
      <c r="I163" s="16"/>
    </row>
    <row r="164" spans="2:9" x14ac:dyDescent="0.2">
      <c r="B164" s="39" t="s">
        <v>105</v>
      </c>
      <c r="C164" s="39"/>
      <c r="D164" s="39"/>
      <c r="E164" s="39"/>
      <c r="F164" s="40">
        <v>18780.600847000002</v>
      </c>
      <c r="G164" s="41">
        <v>100</v>
      </c>
      <c r="H164" s="50"/>
      <c r="I164" s="16"/>
    </row>
    <row r="167" spans="2:9" x14ac:dyDescent="0.2">
      <c r="B167" s="16" t="s">
        <v>110</v>
      </c>
    </row>
    <row r="184" spans="2:2" x14ac:dyDescent="0.2">
      <c r="B184" s="60" t="s">
        <v>1436</v>
      </c>
    </row>
    <row r="185" spans="2:2" x14ac:dyDescent="0.2">
      <c r="B185" s="61" t="s">
        <v>1443</v>
      </c>
    </row>
  </sheetData>
  <mergeCells count="1">
    <mergeCell ref="B1:C1"/>
  </mergeCells>
  <conditionalFormatting sqref="G1:G3 G5:G204">
    <cfRule type="cellIs" dxfId="3" priority="2" stopIfTrue="1" operator="between">
      <formula>0.009</formula>
      <formula>-0.009</formula>
    </cfRule>
  </conditionalFormatting>
  <hyperlinks>
    <hyperlink ref="A2" location="Index!A1" display="-" xr:uid="{FAD4F77C-B571-474E-A698-E2B47A87566F}"/>
  </hyperlinks>
  <pageMargins left="0.7" right="0.7" top="0.75" bottom="0.75" header="0.3" footer="0.3"/>
  <pageSetup paperSize="9" scale="57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03" min="1" max="7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DA397-874E-4021-BD8D-D4DB3B8B7AED}">
  <sheetPr codeName="Sheet9"/>
  <dimension ref="A1:I287"/>
  <sheetViews>
    <sheetView view="pageBreakPreview" zoomScaleNormal="100" zoomScaleSheetLayoutView="100" workbookViewId="0"/>
  </sheetViews>
  <sheetFormatPr defaultColWidth="9.140625" defaultRowHeight="11.25" x14ac:dyDescent="0.2"/>
  <cols>
    <col min="1" max="1" width="7.140625" style="6" customWidth="1"/>
    <col min="2" max="2" width="52.5703125" style="6" bestFit="1" customWidth="1"/>
    <col min="3" max="3" width="11.28515625" style="6" bestFit="1" customWidth="1"/>
    <col min="4" max="4" width="32.140625" style="6" bestFit="1" customWidth="1"/>
    <col min="5" max="5" width="13.85546875" style="6" bestFit="1" customWidth="1"/>
    <col min="6" max="6" width="12.7109375" style="8" bestFit="1" customWidth="1"/>
    <col min="7" max="7" width="8.5703125" style="14" customWidth="1"/>
    <col min="8" max="8" width="14.42578125" style="6" bestFit="1" customWidth="1"/>
    <col min="9" max="16384" width="9.140625" style="6"/>
  </cols>
  <sheetData>
    <row r="1" spans="1:8" s="1" customFormat="1" ht="16.7" customHeight="1" x14ac:dyDescent="0.2">
      <c r="B1" s="106" t="s">
        <v>17</v>
      </c>
      <c r="C1" s="107"/>
      <c r="D1" s="10"/>
      <c r="F1" s="5"/>
      <c r="G1" s="14"/>
    </row>
    <row r="2" spans="1:8" s="1" customFormat="1" ht="15" x14ac:dyDescent="0.25">
      <c r="A2" s="59" t="s">
        <v>1466</v>
      </c>
      <c r="F2" s="5"/>
      <c r="G2" s="14"/>
    </row>
    <row r="3" spans="1:8" s="1" customFormat="1" ht="12" x14ac:dyDescent="0.2">
      <c r="B3" s="7" t="s">
        <v>9</v>
      </c>
      <c r="C3" s="2"/>
      <c r="D3" s="3"/>
      <c r="E3" s="3"/>
      <c r="F3" s="4"/>
      <c r="G3" s="14"/>
    </row>
    <row r="4" spans="1:8" s="1" customFormat="1" ht="33.75" x14ac:dyDescent="0.2">
      <c r="B4" s="18" t="s">
        <v>7</v>
      </c>
      <c r="C4" s="18" t="s">
        <v>8</v>
      </c>
      <c r="D4" s="19" t="s">
        <v>391</v>
      </c>
      <c r="E4" s="19" t="s">
        <v>0</v>
      </c>
      <c r="F4" s="20" t="s">
        <v>4</v>
      </c>
      <c r="G4" s="21" t="s">
        <v>5</v>
      </c>
      <c r="H4" s="52" t="s">
        <v>6</v>
      </c>
    </row>
    <row r="5" spans="1:8" x14ac:dyDescent="0.2">
      <c r="B5" s="23" t="s">
        <v>262</v>
      </c>
      <c r="C5" s="24"/>
      <c r="D5" s="24"/>
      <c r="E5" s="24"/>
      <c r="F5" s="25"/>
      <c r="G5" s="26"/>
      <c r="H5" s="24"/>
    </row>
    <row r="6" spans="1:8" x14ac:dyDescent="0.2">
      <c r="B6" s="23" t="s">
        <v>263</v>
      </c>
      <c r="C6" s="24"/>
      <c r="D6" s="24"/>
      <c r="E6" s="24"/>
      <c r="F6" s="25"/>
      <c r="G6" s="26"/>
      <c r="H6" s="24"/>
    </row>
    <row r="7" spans="1:8" x14ac:dyDescent="0.2">
      <c r="B7" s="24" t="s">
        <v>816</v>
      </c>
      <c r="C7" s="24" t="s">
        <v>817</v>
      </c>
      <c r="D7" s="24" t="s">
        <v>507</v>
      </c>
      <c r="E7" s="28">
        <v>5680</v>
      </c>
      <c r="F7" s="25">
        <v>632.52480000000003</v>
      </c>
      <c r="G7" s="26">
        <v>2.83896009267835</v>
      </c>
      <c r="H7" s="24"/>
    </row>
    <row r="8" spans="1:8" x14ac:dyDescent="0.2">
      <c r="B8" s="24" t="s">
        <v>818</v>
      </c>
      <c r="C8" s="24" t="s">
        <v>819</v>
      </c>
      <c r="D8" s="24" t="s">
        <v>306</v>
      </c>
      <c r="E8" s="28">
        <v>43247</v>
      </c>
      <c r="F8" s="25">
        <v>479.17676</v>
      </c>
      <c r="G8" s="26">
        <v>2.1506883192230699</v>
      </c>
      <c r="H8" s="24"/>
    </row>
    <row r="9" spans="1:8" x14ac:dyDescent="0.2">
      <c r="B9" s="24" t="s">
        <v>820</v>
      </c>
      <c r="C9" s="24" t="s">
        <v>821</v>
      </c>
      <c r="D9" s="24" t="s">
        <v>409</v>
      </c>
      <c r="E9" s="28">
        <v>8715</v>
      </c>
      <c r="F9" s="25">
        <v>287.45555999999999</v>
      </c>
      <c r="G9" s="26">
        <v>1.2901863504142601</v>
      </c>
      <c r="H9" s="24"/>
    </row>
    <row r="10" spans="1:8" x14ac:dyDescent="0.2">
      <c r="B10" s="24" t="s">
        <v>822</v>
      </c>
      <c r="C10" s="24" t="s">
        <v>823</v>
      </c>
      <c r="D10" s="24" t="s">
        <v>507</v>
      </c>
      <c r="E10" s="28">
        <v>19829</v>
      </c>
      <c r="F10" s="25">
        <v>286.25144399999999</v>
      </c>
      <c r="G10" s="26">
        <v>1.2847819184126099</v>
      </c>
      <c r="H10" s="24"/>
    </row>
    <row r="11" spans="1:8" x14ac:dyDescent="0.2">
      <c r="B11" s="24" t="s">
        <v>824</v>
      </c>
      <c r="C11" s="24" t="s">
        <v>825</v>
      </c>
      <c r="D11" s="24" t="s">
        <v>266</v>
      </c>
      <c r="E11" s="28">
        <v>105125</v>
      </c>
      <c r="F11" s="25">
        <v>277.35128750000001</v>
      </c>
      <c r="G11" s="26">
        <v>1.24483535960244</v>
      </c>
      <c r="H11" s="24"/>
    </row>
    <row r="12" spans="1:8" x14ac:dyDescent="0.2">
      <c r="B12" s="24" t="s">
        <v>826</v>
      </c>
      <c r="C12" s="24" t="s">
        <v>827</v>
      </c>
      <c r="D12" s="24" t="s">
        <v>337</v>
      </c>
      <c r="E12" s="28">
        <v>60614</v>
      </c>
      <c r="F12" s="25">
        <v>244.78963899999999</v>
      </c>
      <c r="G12" s="26">
        <v>1.0986889624282501</v>
      </c>
      <c r="H12" s="24"/>
    </row>
    <row r="13" spans="1:8" x14ac:dyDescent="0.2">
      <c r="B13" s="24" t="s">
        <v>828</v>
      </c>
      <c r="C13" s="24" t="s">
        <v>829</v>
      </c>
      <c r="D13" s="24" t="s">
        <v>446</v>
      </c>
      <c r="E13" s="28">
        <v>4092</v>
      </c>
      <c r="F13" s="25">
        <v>242.24639999999999</v>
      </c>
      <c r="G13" s="26">
        <v>1.08727414671329</v>
      </c>
      <c r="H13" s="24"/>
    </row>
    <row r="14" spans="1:8" x14ac:dyDescent="0.2">
      <c r="B14" s="24" t="s">
        <v>830</v>
      </c>
      <c r="C14" s="24" t="s">
        <v>831</v>
      </c>
      <c r="D14" s="24" t="s">
        <v>266</v>
      </c>
      <c r="E14" s="28">
        <v>80336</v>
      </c>
      <c r="F14" s="25">
        <v>233.617088</v>
      </c>
      <c r="G14" s="26">
        <v>1.0485432188583399</v>
      </c>
      <c r="H14" s="24"/>
    </row>
    <row r="15" spans="1:8" x14ac:dyDescent="0.2">
      <c r="B15" s="24" t="s">
        <v>832</v>
      </c>
      <c r="C15" s="24" t="s">
        <v>833</v>
      </c>
      <c r="D15" s="24" t="s">
        <v>266</v>
      </c>
      <c r="E15" s="28">
        <v>67019</v>
      </c>
      <c r="F15" s="25">
        <v>211.64600200000001</v>
      </c>
      <c r="G15" s="26">
        <v>0.94993042715941201</v>
      </c>
      <c r="H15" s="24"/>
    </row>
    <row r="16" spans="1:8" x14ac:dyDescent="0.2">
      <c r="B16" s="24" t="s">
        <v>834</v>
      </c>
      <c r="C16" s="24" t="s">
        <v>835</v>
      </c>
      <c r="D16" s="24" t="s">
        <v>296</v>
      </c>
      <c r="E16" s="28">
        <v>11029</v>
      </c>
      <c r="F16" s="25">
        <v>199.94474099999999</v>
      </c>
      <c r="G16" s="26">
        <v>0.89741167530491905</v>
      </c>
      <c r="H16" s="24"/>
    </row>
    <row r="17" spans="2:8" x14ac:dyDescent="0.2">
      <c r="B17" s="24" t="s">
        <v>836</v>
      </c>
      <c r="C17" s="24" t="s">
        <v>837</v>
      </c>
      <c r="D17" s="24" t="s">
        <v>296</v>
      </c>
      <c r="E17" s="28">
        <v>20919</v>
      </c>
      <c r="F17" s="25">
        <v>199.044285</v>
      </c>
      <c r="G17" s="26">
        <v>0.89337016001696001</v>
      </c>
      <c r="H17" s="24"/>
    </row>
    <row r="18" spans="2:8" x14ac:dyDescent="0.2">
      <c r="B18" s="24" t="s">
        <v>838</v>
      </c>
      <c r="C18" s="24" t="s">
        <v>839</v>
      </c>
      <c r="D18" s="24" t="s">
        <v>507</v>
      </c>
      <c r="E18" s="28">
        <v>26730</v>
      </c>
      <c r="F18" s="25">
        <v>198.04257000000001</v>
      </c>
      <c r="G18" s="26">
        <v>0.888874164114132</v>
      </c>
      <c r="H18" s="24"/>
    </row>
    <row r="19" spans="2:8" x14ac:dyDescent="0.2">
      <c r="B19" s="24" t="s">
        <v>840</v>
      </c>
      <c r="C19" s="24" t="s">
        <v>841</v>
      </c>
      <c r="D19" s="24" t="s">
        <v>328</v>
      </c>
      <c r="E19" s="28">
        <v>36530</v>
      </c>
      <c r="F19" s="25">
        <v>189.33499</v>
      </c>
      <c r="G19" s="26">
        <v>0.84979194611445097</v>
      </c>
      <c r="H19" s="24"/>
    </row>
    <row r="20" spans="2:8" x14ac:dyDescent="0.2">
      <c r="B20" s="24" t="s">
        <v>842</v>
      </c>
      <c r="C20" s="24" t="s">
        <v>843</v>
      </c>
      <c r="D20" s="24" t="s">
        <v>296</v>
      </c>
      <c r="E20" s="28">
        <v>61091</v>
      </c>
      <c r="F20" s="25">
        <v>188.49628050000001</v>
      </c>
      <c r="G20" s="26">
        <v>0.84602756754802999</v>
      </c>
      <c r="H20" s="24"/>
    </row>
    <row r="21" spans="2:8" x14ac:dyDescent="0.2">
      <c r="B21" s="24" t="s">
        <v>844</v>
      </c>
      <c r="C21" s="24" t="s">
        <v>845</v>
      </c>
      <c r="D21" s="24" t="s">
        <v>296</v>
      </c>
      <c r="E21" s="28">
        <v>5897</v>
      </c>
      <c r="F21" s="25">
        <v>184.77659800000001</v>
      </c>
      <c r="G21" s="26">
        <v>0.82933252227085796</v>
      </c>
      <c r="H21" s="24"/>
    </row>
    <row r="22" spans="2:8" x14ac:dyDescent="0.2">
      <c r="B22" s="24" t="s">
        <v>846</v>
      </c>
      <c r="C22" s="24" t="s">
        <v>847</v>
      </c>
      <c r="D22" s="24" t="s">
        <v>311</v>
      </c>
      <c r="E22" s="28">
        <v>71525</v>
      </c>
      <c r="F22" s="25">
        <v>180.42181249999999</v>
      </c>
      <c r="G22" s="26">
        <v>0.80978694516989003</v>
      </c>
      <c r="H22" s="24"/>
    </row>
    <row r="23" spans="2:8" x14ac:dyDescent="0.2">
      <c r="B23" s="24" t="s">
        <v>848</v>
      </c>
      <c r="C23" s="24" t="s">
        <v>849</v>
      </c>
      <c r="D23" s="24" t="s">
        <v>850</v>
      </c>
      <c r="E23" s="28">
        <v>66137</v>
      </c>
      <c r="F23" s="25">
        <v>180.12411950000001</v>
      </c>
      <c r="G23" s="26">
        <v>0.80845081013317699</v>
      </c>
      <c r="H23" s="24"/>
    </row>
    <row r="24" spans="2:8" x14ac:dyDescent="0.2">
      <c r="B24" s="24" t="s">
        <v>851</v>
      </c>
      <c r="C24" s="24" t="s">
        <v>852</v>
      </c>
      <c r="D24" s="24" t="s">
        <v>507</v>
      </c>
      <c r="E24" s="28">
        <v>7174</v>
      </c>
      <c r="F24" s="25">
        <v>168.15855999999999</v>
      </c>
      <c r="G24" s="26">
        <v>0.75474580772525901</v>
      </c>
      <c r="H24" s="24"/>
    </row>
    <row r="25" spans="2:8" x14ac:dyDescent="0.2">
      <c r="B25" s="24" t="s">
        <v>853</v>
      </c>
      <c r="C25" s="24" t="s">
        <v>854</v>
      </c>
      <c r="D25" s="24" t="s">
        <v>373</v>
      </c>
      <c r="E25" s="28">
        <v>27490</v>
      </c>
      <c r="F25" s="25">
        <v>167.30413999999999</v>
      </c>
      <c r="G25" s="26">
        <v>0.75091091574570901</v>
      </c>
      <c r="H25" s="24"/>
    </row>
    <row r="26" spans="2:8" x14ac:dyDescent="0.2">
      <c r="B26" s="24" t="s">
        <v>855</v>
      </c>
      <c r="C26" s="24" t="s">
        <v>856</v>
      </c>
      <c r="D26" s="24" t="s">
        <v>306</v>
      </c>
      <c r="E26" s="28">
        <v>9102</v>
      </c>
      <c r="F26" s="25">
        <v>165.62909400000001</v>
      </c>
      <c r="G26" s="26">
        <v>0.74339280934513696</v>
      </c>
      <c r="H26" s="24"/>
    </row>
    <row r="27" spans="2:8" x14ac:dyDescent="0.2">
      <c r="B27" s="24" t="s">
        <v>857</v>
      </c>
      <c r="C27" s="24" t="s">
        <v>858</v>
      </c>
      <c r="D27" s="24" t="s">
        <v>507</v>
      </c>
      <c r="E27" s="28">
        <v>14838</v>
      </c>
      <c r="F27" s="25">
        <v>160.54715999999999</v>
      </c>
      <c r="G27" s="26">
        <v>0.72058357274346496</v>
      </c>
      <c r="H27" s="24"/>
    </row>
    <row r="28" spans="2:8" x14ac:dyDescent="0.2">
      <c r="B28" s="24" t="s">
        <v>859</v>
      </c>
      <c r="C28" s="24" t="s">
        <v>860</v>
      </c>
      <c r="D28" s="24" t="s">
        <v>373</v>
      </c>
      <c r="E28" s="28">
        <v>25870</v>
      </c>
      <c r="F28" s="25">
        <v>159.579095</v>
      </c>
      <c r="G28" s="26">
        <v>0.71623860808418405</v>
      </c>
      <c r="H28" s="24"/>
    </row>
    <row r="29" spans="2:8" x14ac:dyDescent="0.2">
      <c r="B29" s="24" t="s">
        <v>861</v>
      </c>
      <c r="C29" s="24" t="s">
        <v>862</v>
      </c>
      <c r="D29" s="24" t="s">
        <v>296</v>
      </c>
      <c r="E29" s="28">
        <v>25867</v>
      </c>
      <c r="F29" s="25">
        <v>157.918035</v>
      </c>
      <c r="G29" s="26">
        <v>0.708783275026027</v>
      </c>
      <c r="H29" s="24"/>
    </row>
    <row r="30" spans="2:8" x14ac:dyDescent="0.2">
      <c r="B30" s="24" t="s">
        <v>863</v>
      </c>
      <c r="C30" s="24" t="s">
        <v>864</v>
      </c>
      <c r="D30" s="24" t="s">
        <v>311</v>
      </c>
      <c r="E30" s="28">
        <v>2424</v>
      </c>
      <c r="F30" s="25">
        <v>154.82087999999999</v>
      </c>
      <c r="G30" s="26">
        <v>0.69488231897523001</v>
      </c>
      <c r="H30" s="24"/>
    </row>
    <row r="31" spans="2:8" x14ac:dyDescent="0.2">
      <c r="B31" s="24" t="s">
        <v>865</v>
      </c>
      <c r="C31" s="24" t="s">
        <v>866</v>
      </c>
      <c r="D31" s="24" t="s">
        <v>296</v>
      </c>
      <c r="E31" s="28">
        <v>32013</v>
      </c>
      <c r="F31" s="25">
        <v>154.60678350000001</v>
      </c>
      <c r="G31" s="26">
        <v>0.69392138998164399</v>
      </c>
      <c r="H31" s="24"/>
    </row>
    <row r="32" spans="2:8" x14ac:dyDescent="0.2">
      <c r="B32" s="24" t="s">
        <v>867</v>
      </c>
      <c r="C32" s="24" t="s">
        <v>868</v>
      </c>
      <c r="D32" s="24" t="s">
        <v>306</v>
      </c>
      <c r="E32" s="28">
        <v>8858</v>
      </c>
      <c r="F32" s="25">
        <v>152.53476000000001</v>
      </c>
      <c r="G32" s="26">
        <v>0.68462153007481996</v>
      </c>
      <c r="H32" s="24"/>
    </row>
    <row r="33" spans="2:8" x14ac:dyDescent="0.2">
      <c r="B33" s="24" t="s">
        <v>869</v>
      </c>
      <c r="C33" s="24" t="s">
        <v>870</v>
      </c>
      <c r="D33" s="24" t="s">
        <v>280</v>
      </c>
      <c r="E33" s="28">
        <v>12639</v>
      </c>
      <c r="F33" s="25">
        <v>151.97133600000001</v>
      </c>
      <c r="G33" s="26">
        <v>0.68209271499712298</v>
      </c>
      <c r="H33" s="24"/>
    </row>
    <row r="34" spans="2:8" x14ac:dyDescent="0.2">
      <c r="B34" s="24" t="s">
        <v>871</v>
      </c>
      <c r="C34" s="24" t="s">
        <v>872</v>
      </c>
      <c r="D34" s="24" t="s">
        <v>323</v>
      </c>
      <c r="E34" s="28">
        <v>14061</v>
      </c>
      <c r="F34" s="25">
        <v>148.56852599999999</v>
      </c>
      <c r="G34" s="26">
        <v>0.66681988807718795</v>
      </c>
      <c r="H34" s="24"/>
    </row>
    <row r="35" spans="2:8" x14ac:dyDescent="0.2">
      <c r="B35" s="24" t="s">
        <v>873</v>
      </c>
      <c r="C35" s="24" t="s">
        <v>874</v>
      </c>
      <c r="D35" s="24" t="s">
        <v>507</v>
      </c>
      <c r="E35" s="28">
        <v>4740</v>
      </c>
      <c r="F35" s="25">
        <v>147.52776</v>
      </c>
      <c r="G35" s="26">
        <v>0.66214861963076999</v>
      </c>
      <c r="H35" s="24"/>
    </row>
    <row r="36" spans="2:8" x14ac:dyDescent="0.2">
      <c r="B36" s="24" t="s">
        <v>875</v>
      </c>
      <c r="C36" s="24" t="s">
        <v>876</v>
      </c>
      <c r="D36" s="24" t="s">
        <v>306</v>
      </c>
      <c r="E36" s="28">
        <v>954</v>
      </c>
      <c r="F36" s="25">
        <v>144.76949999999999</v>
      </c>
      <c r="G36" s="26">
        <v>0.64976872549028597</v>
      </c>
      <c r="H36" s="24"/>
    </row>
    <row r="37" spans="2:8" x14ac:dyDescent="0.2">
      <c r="B37" s="24" t="s">
        <v>877</v>
      </c>
      <c r="C37" s="24" t="s">
        <v>878</v>
      </c>
      <c r="D37" s="24" t="s">
        <v>266</v>
      </c>
      <c r="E37" s="28">
        <v>98209</v>
      </c>
      <c r="F37" s="25">
        <v>143.2083638</v>
      </c>
      <c r="G37" s="26">
        <v>0.64276188027088099</v>
      </c>
      <c r="H37" s="24"/>
    </row>
    <row r="38" spans="2:8" x14ac:dyDescent="0.2">
      <c r="B38" s="24" t="s">
        <v>879</v>
      </c>
      <c r="C38" s="24" t="s">
        <v>880</v>
      </c>
      <c r="D38" s="24" t="s">
        <v>373</v>
      </c>
      <c r="E38" s="28">
        <v>7559</v>
      </c>
      <c r="F38" s="25">
        <v>143.01627999999999</v>
      </c>
      <c r="G38" s="26">
        <v>0.64189975084504602</v>
      </c>
      <c r="H38" s="24"/>
    </row>
    <row r="39" spans="2:8" x14ac:dyDescent="0.2">
      <c r="B39" s="24" t="s">
        <v>881</v>
      </c>
      <c r="C39" s="24" t="s">
        <v>882</v>
      </c>
      <c r="D39" s="24" t="s">
        <v>280</v>
      </c>
      <c r="E39" s="28">
        <v>115252</v>
      </c>
      <c r="F39" s="25">
        <v>140.34236039999999</v>
      </c>
      <c r="G39" s="26">
        <v>0.62989840159292099</v>
      </c>
      <c r="H39" s="24"/>
    </row>
    <row r="40" spans="2:8" x14ac:dyDescent="0.2">
      <c r="B40" s="24" t="s">
        <v>883</v>
      </c>
      <c r="C40" s="24" t="s">
        <v>884</v>
      </c>
      <c r="D40" s="24" t="s">
        <v>499</v>
      </c>
      <c r="E40" s="28">
        <v>3482</v>
      </c>
      <c r="F40" s="25">
        <v>139.73266000000001</v>
      </c>
      <c r="G40" s="26">
        <v>0.62716188421986296</v>
      </c>
      <c r="H40" s="24"/>
    </row>
    <row r="41" spans="2:8" x14ac:dyDescent="0.2">
      <c r="B41" s="24" t="s">
        <v>885</v>
      </c>
      <c r="C41" s="24" t="s">
        <v>886</v>
      </c>
      <c r="D41" s="24" t="s">
        <v>306</v>
      </c>
      <c r="E41" s="28">
        <v>15263</v>
      </c>
      <c r="F41" s="25">
        <v>138.649092</v>
      </c>
      <c r="G41" s="26">
        <v>0.622298507622292</v>
      </c>
      <c r="H41" s="24"/>
    </row>
    <row r="42" spans="2:8" x14ac:dyDescent="0.2">
      <c r="B42" s="24" t="s">
        <v>887</v>
      </c>
      <c r="C42" s="24" t="s">
        <v>888</v>
      </c>
      <c r="D42" s="24" t="s">
        <v>427</v>
      </c>
      <c r="E42" s="28">
        <v>283013</v>
      </c>
      <c r="F42" s="25">
        <v>137.31790760000001</v>
      </c>
      <c r="G42" s="26">
        <v>0.61632375471521905</v>
      </c>
      <c r="H42" s="24"/>
    </row>
    <row r="43" spans="2:8" x14ac:dyDescent="0.2">
      <c r="B43" s="24" t="s">
        <v>889</v>
      </c>
      <c r="C43" s="24" t="s">
        <v>890</v>
      </c>
      <c r="D43" s="24" t="s">
        <v>427</v>
      </c>
      <c r="E43" s="28">
        <v>13491</v>
      </c>
      <c r="F43" s="25">
        <v>136.93365</v>
      </c>
      <c r="G43" s="26">
        <v>0.61459909191668805</v>
      </c>
      <c r="H43" s="24"/>
    </row>
    <row r="44" spans="2:8" x14ac:dyDescent="0.2">
      <c r="B44" s="24" t="s">
        <v>891</v>
      </c>
      <c r="C44" s="24" t="s">
        <v>892</v>
      </c>
      <c r="D44" s="24" t="s">
        <v>454</v>
      </c>
      <c r="E44" s="28">
        <v>15461</v>
      </c>
      <c r="F44" s="25">
        <v>136.82984999999999</v>
      </c>
      <c r="G44" s="26">
        <v>0.61413320653540304</v>
      </c>
      <c r="H44" s="24"/>
    </row>
    <row r="45" spans="2:8" x14ac:dyDescent="0.2">
      <c r="B45" s="24" t="s">
        <v>893</v>
      </c>
      <c r="C45" s="24" t="s">
        <v>894</v>
      </c>
      <c r="D45" s="24" t="s">
        <v>446</v>
      </c>
      <c r="E45" s="28">
        <v>17416</v>
      </c>
      <c r="F45" s="25">
        <v>133.32818800000001</v>
      </c>
      <c r="G45" s="26">
        <v>0.59841670233501698</v>
      </c>
      <c r="H45" s="24"/>
    </row>
    <row r="46" spans="2:8" x14ac:dyDescent="0.2">
      <c r="B46" s="24" t="s">
        <v>895</v>
      </c>
      <c r="C46" s="24" t="s">
        <v>896</v>
      </c>
      <c r="D46" s="24" t="s">
        <v>306</v>
      </c>
      <c r="E46" s="28">
        <v>9195</v>
      </c>
      <c r="F46" s="25">
        <v>132.97809000000001</v>
      </c>
      <c r="G46" s="26">
        <v>0.59684535801693395</v>
      </c>
      <c r="H46" s="24"/>
    </row>
    <row r="47" spans="2:8" x14ac:dyDescent="0.2">
      <c r="B47" s="24" t="s">
        <v>897</v>
      </c>
      <c r="C47" s="24" t="s">
        <v>898</v>
      </c>
      <c r="D47" s="24" t="s">
        <v>451</v>
      </c>
      <c r="E47" s="28">
        <v>107336</v>
      </c>
      <c r="F47" s="25">
        <v>132.59216079999999</v>
      </c>
      <c r="G47" s="26">
        <v>0.59511319257867901</v>
      </c>
      <c r="H47" s="24"/>
    </row>
    <row r="48" spans="2:8" x14ac:dyDescent="0.2">
      <c r="B48" s="24" t="s">
        <v>899</v>
      </c>
      <c r="C48" s="24" t="s">
        <v>900</v>
      </c>
      <c r="D48" s="24" t="s">
        <v>373</v>
      </c>
      <c r="E48" s="28">
        <v>8618</v>
      </c>
      <c r="F48" s="25">
        <v>127.77046799999999</v>
      </c>
      <c r="G48" s="26">
        <v>0.57347199615704603</v>
      </c>
      <c r="H48" s="24"/>
    </row>
    <row r="49" spans="2:8" x14ac:dyDescent="0.2">
      <c r="B49" s="24" t="s">
        <v>901</v>
      </c>
      <c r="C49" s="24" t="s">
        <v>902</v>
      </c>
      <c r="D49" s="24" t="s">
        <v>446</v>
      </c>
      <c r="E49" s="28">
        <v>26121</v>
      </c>
      <c r="F49" s="25">
        <v>127.4312985</v>
      </c>
      <c r="G49" s="26">
        <v>0.57194970220880204</v>
      </c>
      <c r="H49" s="24"/>
    </row>
    <row r="50" spans="2:8" x14ac:dyDescent="0.2">
      <c r="B50" s="24" t="s">
        <v>903</v>
      </c>
      <c r="C50" s="24" t="s">
        <v>904</v>
      </c>
      <c r="D50" s="24" t="s">
        <v>745</v>
      </c>
      <c r="E50" s="28">
        <v>7051</v>
      </c>
      <c r="F50" s="25">
        <v>126.875694</v>
      </c>
      <c r="G50" s="26">
        <v>0.56945598338099901</v>
      </c>
      <c r="H50" s="24"/>
    </row>
    <row r="51" spans="2:8" x14ac:dyDescent="0.2">
      <c r="B51" s="24" t="s">
        <v>905</v>
      </c>
      <c r="C51" s="24" t="s">
        <v>906</v>
      </c>
      <c r="D51" s="24" t="s">
        <v>521</v>
      </c>
      <c r="E51" s="28">
        <v>674</v>
      </c>
      <c r="F51" s="25">
        <v>125.24267999999999</v>
      </c>
      <c r="G51" s="26">
        <v>0.56212652914175798</v>
      </c>
      <c r="H51" s="24"/>
    </row>
    <row r="52" spans="2:8" x14ac:dyDescent="0.2">
      <c r="B52" s="24" t="s">
        <v>907</v>
      </c>
      <c r="C52" s="24" t="s">
        <v>908</v>
      </c>
      <c r="D52" s="24" t="s">
        <v>507</v>
      </c>
      <c r="E52" s="28">
        <v>8459</v>
      </c>
      <c r="F52" s="25">
        <v>125.235495</v>
      </c>
      <c r="G52" s="26">
        <v>0.56209428071724399</v>
      </c>
      <c r="H52" s="24"/>
    </row>
    <row r="53" spans="2:8" x14ac:dyDescent="0.2">
      <c r="B53" s="24" t="s">
        <v>909</v>
      </c>
      <c r="C53" s="24" t="s">
        <v>910</v>
      </c>
      <c r="D53" s="24" t="s">
        <v>296</v>
      </c>
      <c r="E53" s="28">
        <v>85920</v>
      </c>
      <c r="F53" s="25">
        <v>125.133888</v>
      </c>
      <c r="G53" s="26">
        <v>0.56163823817450698</v>
      </c>
      <c r="H53" s="24"/>
    </row>
    <row r="54" spans="2:8" x14ac:dyDescent="0.2">
      <c r="B54" s="24" t="s">
        <v>911</v>
      </c>
      <c r="C54" s="24" t="s">
        <v>912</v>
      </c>
      <c r="D54" s="24" t="s">
        <v>427</v>
      </c>
      <c r="E54" s="28">
        <v>841</v>
      </c>
      <c r="F54" s="25">
        <v>125.12398</v>
      </c>
      <c r="G54" s="26">
        <v>0.56159376811325601</v>
      </c>
      <c r="H54" s="24"/>
    </row>
    <row r="55" spans="2:8" x14ac:dyDescent="0.2">
      <c r="B55" s="24" t="s">
        <v>913</v>
      </c>
      <c r="C55" s="24" t="s">
        <v>914</v>
      </c>
      <c r="D55" s="24" t="s">
        <v>337</v>
      </c>
      <c r="E55" s="28">
        <v>11037</v>
      </c>
      <c r="F55" s="25">
        <v>124.60773</v>
      </c>
      <c r="G55" s="26">
        <v>0.55927668402762798</v>
      </c>
      <c r="H55" s="24"/>
    </row>
    <row r="56" spans="2:8" x14ac:dyDescent="0.2">
      <c r="B56" s="24" t="s">
        <v>915</v>
      </c>
      <c r="C56" s="24" t="s">
        <v>916</v>
      </c>
      <c r="D56" s="24" t="s">
        <v>427</v>
      </c>
      <c r="E56" s="28">
        <v>13635</v>
      </c>
      <c r="F56" s="25">
        <v>124.01714250000001</v>
      </c>
      <c r="G56" s="26">
        <v>0.55662595105441504</v>
      </c>
      <c r="H56" s="24"/>
    </row>
    <row r="57" spans="2:8" x14ac:dyDescent="0.2">
      <c r="B57" s="24" t="s">
        <v>917</v>
      </c>
      <c r="C57" s="24" t="s">
        <v>918</v>
      </c>
      <c r="D57" s="24" t="s">
        <v>521</v>
      </c>
      <c r="E57" s="28">
        <v>3997</v>
      </c>
      <c r="F57" s="25">
        <v>120.033907</v>
      </c>
      <c r="G57" s="26">
        <v>0.53874800125032896</v>
      </c>
      <c r="H57" s="24"/>
    </row>
    <row r="58" spans="2:8" x14ac:dyDescent="0.2">
      <c r="B58" s="24" t="s">
        <v>919</v>
      </c>
      <c r="C58" s="24" t="s">
        <v>920</v>
      </c>
      <c r="D58" s="24" t="s">
        <v>289</v>
      </c>
      <c r="E58" s="28">
        <v>15826</v>
      </c>
      <c r="F58" s="25">
        <v>119.446735</v>
      </c>
      <c r="G58" s="26">
        <v>0.53611259806054401</v>
      </c>
      <c r="H58" s="24"/>
    </row>
    <row r="59" spans="2:8" x14ac:dyDescent="0.2">
      <c r="B59" s="24" t="s">
        <v>921</v>
      </c>
      <c r="C59" s="24" t="s">
        <v>922</v>
      </c>
      <c r="D59" s="24" t="s">
        <v>363</v>
      </c>
      <c r="E59" s="28">
        <v>26122</v>
      </c>
      <c r="F59" s="25">
        <v>118.85509999999999</v>
      </c>
      <c r="G59" s="26">
        <v>0.53345716359468298</v>
      </c>
      <c r="H59" s="24"/>
    </row>
    <row r="60" spans="2:8" x14ac:dyDescent="0.2">
      <c r="B60" s="24" t="s">
        <v>923</v>
      </c>
      <c r="C60" s="24" t="s">
        <v>924</v>
      </c>
      <c r="D60" s="24" t="s">
        <v>507</v>
      </c>
      <c r="E60" s="28">
        <v>88466</v>
      </c>
      <c r="F60" s="25">
        <v>118.7390652</v>
      </c>
      <c r="G60" s="26">
        <v>0.53293636477926598</v>
      </c>
      <c r="H60" s="24"/>
    </row>
    <row r="61" spans="2:8" x14ac:dyDescent="0.2">
      <c r="B61" s="24" t="s">
        <v>925</v>
      </c>
      <c r="C61" s="24" t="s">
        <v>926</v>
      </c>
      <c r="D61" s="24" t="s">
        <v>850</v>
      </c>
      <c r="E61" s="28">
        <v>35352</v>
      </c>
      <c r="F61" s="25">
        <v>118.71201600000001</v>
      </c>
      <c r="G61" s="26">
        <v>0.53281495989626604</v>
      </c>
      <c r="H61" s="24"/>
    </row>
    <row r="62" spans="2:8" x14ac:dyDescent="0.2">
      <c r="B62" s="24" t="s">
        <v>927</v>
      </c>
      <c r="C62" s="24" t="s">
        <v>928</v>
      </c>
      <c r="D62" s="24" t="s">
        <v>306</v>
      </c>
      <c r="E62" s="28">
        <v>68873</v>
      </c>
      <c r="F62" s="25">
        <v>118.6061933</v>
      </c>
      <c r="G62" s="26">
        <v>0.532339996033664</v>
      </c>
      <c r="H62" s="24"/>
    </row>
    <row r="63" spans="2:8" x14ac:dyDescent="0.2">
      <c r="B63" s="24" t="s">
        <v>929</v>
      </c>
      <c r="C63" s="24" t="s">
        <v>930</v>
      </c>
      <c r="D63" s="24" t="s">
        <v>521</v>
      </c>
      <c r="E63" s="28">
        <v>14553</v>
      </c>
      <c r="F63" s="25">
        <v>118.519632</v>
      </c>
      <c r="G63" s="26">
        <v>0.53195148308323004</v>
      </c>
      <c r="H63" s="24"/>
    </row>
    <row r="64" spans="2:8" x14ac:dyDescent="0.2">
      <c r="B64" s="24" t="s">
        <v>931</v>
      </c>
      <c r="C64" s="24" t="s">
        <v>932</v>
      </c>
      <c r="D64" s="24" t="s">
        <v>360</v>
      </c>
      <c r="E64" s="28">
        <v>11450</v>
      </c>
      <c r="F64" s="25">
        <v>118.47315</v>
      </c>
      <c r="G64" s="26">
        <v>0.53174285799370402</v>
      </c>
      <c r="H64" s="24"/>
    </row>
    <row r="65" spans="2:8" x14ac:dyDescent="0.2">
      <c r="B65" s="24" t="s">
        <v>933</v>
      </c>
      <c r="C65" s="24" t="s">
        <v>934</v>
      </c>
      <c r="D65" s="24" t="s">
        <v>314</v>
      </c>
      <c r="E65" s="28">
        <v>70178</v>
      </c>
      <c r="F65" s="25">
        <v>117.59025680000001</v>
      </c>
      <c r="G65" s="26">
        <v>0.527780169794131</v>
      </c>
      <c r="H65" s="24"/>
    </row>
    <row r="66" spans="2:8" x14ac:dyDescent="0.2">
      <c r="B66" s="24" t="s">
        <v>935</v>
      </c>
      <c r="C66" s="24" t="s">
        <v>936</v>
      </c>
      <c r="D66" s="24" t="s">
        <v>296</v>
      </c>
      <c r="E66" s="28">
        <v>21493</v>
      </c>
      <c r="F66" s="25">
        <v>117.2120755</v>
      </c>
      <c r="G66" s="26">
        <v>0.52608277924359903</v>
      </c>
      <c r="H66" s="24"/>
    </row>
    <row r="67" spans="2:8" x14ac:dyDescent="0.2">
      <c r="B67" s="24" t="s">
        <v>937</v>
      </c>
      <c r="C67" s="24" t="s">
        <v>938</v>
      </c>
      <c r="D67" s="24" t="s">
        <v>521</v>
      </c>
      <c r="E67" s="28">
        <v>12543</v>
      </c>
      <c r="F67" s="25">
        <v>116.223438</v>
      </c>
      <c r="G67" s="26">
        <v>0.52164547906402503</v>
      </c>
      <c r="H67" s="24"/>
    </row>
    <row r="68" spans="2:8" x14ac:dyDescent="0.2">
      <c r="B68" s="24" t="s">
        <v>939</v>
      </c>
      <c r="C68" s="24" t="s">
        <v>940</v>
      </c>
      <c r="D68" s="24" t="s">
        <v>436</v>
      </c>
      <c r="E68" s="28">
        <v>21930</v>
      </c>
      <c r="F68" s="25">
        <v>115.92198</v>
      </c>
      <c r="G68" s="26">
        <v>0.52029244558356902</v>
      </c>
      <c r="H68" s="24"/>
    </row>
    <row r="69" spans="2:8" x14ac:dyDescent="0.2">
      <c r="B69" s="24" t="s">
        <v>941</v>
      </c>
      <c r="C69" s="24" t="s">
        <v>942</v>
      </c>
      <c r="D69" s="24" t="s">
        <v>427</v>
      </c>
      <c r="E69" s="28">
        <v>12302</v>
      </c>
      <c r="F69" s="25">
        <v>114.980643</v>
      </c>
      <c r="G69" s="26">
        <v>0.51606744416581996</v>
      </c>
      <c r="H69" s="24"/>
    </row>
    <row r="70" spans="2:8" x14ac:dyDescent="0.2">
      <c r="B70" s="24" t="s">
        <v>943</v>
      </c>
      <c r="C70" s="24" t="s">
        <v>944</v>
      </c>
      <c r="D70" s="24" t="s">
        <v>521</v>
      </c>
      <c r="E70" s="28">
        <v>23965</v>
      </c>
      <c r="F70" s="25">
        <v>113.5341875</v>
      </c>
      <c r="G70" s="26">
        <v>0.50957532015687101</v>
      </c>
      <c r="H70" s="24"/>
    </row>
    <row r="71" spans="2:8" x14ac:dyDescent="0.2">
      <c r="B71" s="24" t="s">
        <v>945</v>
      </c>
      <c r="C71" s="24" t="s">
        <v>946</v>
      </c>
      <c r="D71" s="24" t="s">
        <v>521</v>
      </c>
      <c r="E71" s="28">
        <v>9264</v>
      </c>
      <c r="F71" s="25">
        <v>112.909632</v>
      </c>
      <c r="G71" s="26">
        <v>0.50677212866119803</v>
      </c>
      <c r="H71" s="24"/>
    </row>
    <row r="72" spans="2:8" x14ac:dyDescent="0.2">
      <c r="B72" s="24" t="s">
        <v>947</v>
      </c>
      <c r="C72" s="24" t="s">
        <v>948</v>
      </c>
      <c r="D72" s="24" t="s">
        <v>306</v>
      </c>
      <c r="E72" s="28">
        <v>6161</v>
      </c>
      <c r="F72" s="25">
        <v>111.55106600000001</v>
      </c>
      <c r="G72" s="26">
        <v>0.50067447896071204</v>
      </c>
      <c r="H72" s="24"/>
    </row>
    <row r="73" spans="2:8" x14ac:dyDescent="0.2">
      <c r="B73" s="24" t="s">
        <v>949</v>
      </c>
      <c r="C73" s="24" t="s">
        <v>950</v>
      </c>
      <c r="D73" s="24" t="s">
        <v>850</v>
      </c>
      <c r="E73" s="28">
        <v>2372</v>
      </c>
      <c r="F73" s="25">
        <v>111.372516</v>
      </c>
      <c r="G73" s="26">
        <v>0.49987309326872398</v>
      </c>
      <c r="H73" s="24"/>
    </row>
    <row r="74" spans="2:8" x14ac:dyDescent="0.2">
      <c r="B74" s="24" t="s">
        <v>951</v>
      </c>
      <c r="C74" s="24" t="s">
        <v>952</v>
      </c>
      <c r="D74" s="24" t="s">
        <v>314</v>
      </c>
      <c r="E74" s="28">
        <v>318946</v>
      </c>
      <c r="F74" s="25">
        <v>111.152681</v>
      </c>
      <c r="G74" s="26">
        <v>0.49888640817436197</v>
      </c>
      <c r="H74" s="24"/>
    </row>
    <row r="75" spans="2:8" x14ac:dyDescent="0.2">
      <c r="B75" s="24" t="s">
        <v>953</v>
      </c>
      <c r="C75" s="24" t="s">
        <v>954</v>
      </c>
      <c r="D75" s="24" t="s">
        <v>296</v>
      </c>
      <c r="E75" s="28">
        <v>10041</v>
      </c>
      <c r="F75" s="25">
        <v>110.671902</v>
      </c>
      <c r="G75" s="26">
        <v>0.49672852852379701</v>
      </c>
      <c r="H75" s="24"/>
    </row>
    <row r="76" spans="2:8" x14ac:dyDescent="0.2">
      <c r="B76" s="24" t="s">
        <v>955</v>
      </c>
      <c r="C76" s="24" t="s">
        <v>956</v>
      </c>
      <c r="D76" s="24" t="s">
        <v>289</v>
      </c>
      <c r="E76" s="28">
        <v>536</v>
      </c>
      <c r="F76" s="25">
        <v>110.23376</v>
      </c>
      <c r="G76" s="26">
        <v>0.49476201645513801</v>
      </c>
      <c r="H76" s="24"/>
    </row>
    <row r="77" spans="2:8" x14ac:dyDescent="0.2">
      <c r="B77" s="24" t="s">
        <v>957</v>
      </c>
      <c r="C77" s="24" t="s">
        <v>958</v>
      </c>
      <c r="D77" s="24" t="s">
        <v>296</v>
      </c>
      <c r="E77" s="28">
        <v>39403</v>
      </c>
      <c r="F77" s="25">
        <v>109.97377299999999</v>
      </c>
      <c r="G77" s="26">
        <v>0.49359511720057098</v>
      </c>
      <c r="H77" s="24"/>
    </row>
    <row r="78" spans="2:8" x14ac:dyDescent="0.2">
      <c r="B78" s="24" t="s">
        <v>959</v>
      </c>
      <c r="C78" s="24" t="s">
        <v>960</v>
      </c>
      <c r="D78" s="24" t="s">
        <v>521</v>
      </c>
      <c r="E78" s="28">
        <v>12844</v>
      </c>
      <c r="F78" s="25">
        <v>109.93179600000001</v>
      </c>
      <c r="G78" s="26">
        <v>0.49340671189565599</v>
      </c>
      <c r="H78" s="24"/>
    </row>
    <row r="79" spans="2:8" x14ac:dyDescent="0.2">
      <c r="B79" s="24" t="s">
        <v>961</v>
      </c>
      <c r="C79" s="24" t="s">
        <v>962</v>
      </c>
      <c r="D79" s="24" t="s">
        <v>446</v>
      </c>
      <c r="E79" s="28">
        <v>1772</v>
      </c>
      <c r="F79" s="25">
        <v>108.81852000000001</v>
      </c>
      <c r="G79" s="26">
        <v>0.48840999692711001</v>
      </c>
      <c r="H79" s="24"/>
    </row>
    <row r="80" spans="2:8" x14ac:dyDescent="0.2">
      <c r="B80" s="24" t="s">
        <v>963</v>
      </c>
      <c r="C80" s="24" t="s">
        <v>964</v>
      </c>
      <c r="D80" s="24" t="s">
        <v>280</v>
      </c>
      <c r="E80" s="28">
        <v>14445</v>
      </c>
      <c r="F80" s="25">
        <v>106.58965499999999</v>
      </c>
      <c r="G80" s="26">
        <v>0.47840618555565401</v>
      </c>
      <c r="H80" s="24"/>
    </row>
    <row r="81" spans="2:8" x14ac:dyDescent="0.2">
      <c r="B81" s="24" t="s">
        <v>965</v>
      </c>
      <c r="C81" s="24" t="s">
        <v>966</v>
      </c>
      <c r="D81" s="24" t="s">
        <v>745</v>
      </c>
      <c r="E81" s="28">
        <v>9423</v>
      </c>
      <c r="F81" s="25">
        <v>105.33029399999999</v>
      </c>
      <c r="G81" s="26">
        <v>0.47275379750497998</v>
      </c>
      <c r="H81" s="24"/>
    </row>
    <row r="82" spans="2:8" x14ac:dyDescent="0.2">
      <c r="B82" s="24" t="s">
        <v>967</v>
      </c>
      <c r="C82" s="24" t="s">
        <v>968</v>
      </c>
      <c r="D82" s="24" t="s">
        <v>427</v>
      </c>
      <c r="E82" s="28">
        <v>1366</v>
      </c>
      <c r="F82" s="25">
        <v>105.03857000000001</v>
      </c>
      <c r="G82" s="26">
        <v>0.47144445312184002</v>
      </c>
      <c r="H82" s="24"/>
    </row>
    <row r="83" spans="2:8" x14ac:dyDescent="0.2">
      <c r="B83" s="24" t="s">
        <v>969</v>
      </c>
      <c r="C83" s="24" t="s">
        <v>970</v>
      </c>
      <c r="D83" s="24" t="s">
        <v>269</v>
      </c>
      <c r="E83" s="28">
        <v>53766</v>
      </c>
      <c r="F83" s="25">
        <v>103.526433</v>
      </c>
      <c r="G83" s="26">
        <v>0.46465753093687201</v>
      </c>
      <c r="H83" s="24"/>
    </row>
    <row r="84" spans="2:8" x14ac:dyDescent="0.2">
      <c r="B84" s="24" t="s">
        <v>971</v>
      </c>
      <c r="C84" s="24" t="s">
        <v>972</v>
      </c>
      <c r="D84" s="24" t="s">
        <v>311</v>
      </c>
      <c r="E84" s="28">
        <v>17893</v>
      </c>
      <c r="F84" s="25">
        <v>102.938429</v>
      </c>
      <c r="G84" s="26">
        <v>0.46201839348275903</v>
      </c>
      <c r="H84" s="24"/>
    </row>
    <row r="85" spans="2:8" x14ac:dyDescent="0.2">
      <c r="B85" s="24" t="s">
        <v>973</v>
      </c>
      <c r="C85" s="24" t="s">
        <v>974</v>
      </c>
      <c r="D85" s="24" t="s">
        <v>443</v>
      </c>
      <c r="E85" s="28">
        <v>13982</v>
      </c>
      <c r="F85" s="25">
        <v>100.33483200000001</v>
      </c>
      <c r="G85" s="26">
        <v>0.45033267304868801</v>
      </c>
      <c r="H85" s="24"/>
    </row>
    <row r="86" spans="2:8" x14ac:dyDescent="0.2">
      <c r="B86" s="24" t="s">
        <v>975</v>
      </c>
      <c r="C86" s="24" t="s">
        <v>976</v>
      </c>
      <c r="D86" s="24" t="s">
        <v>443</v>
      </c>
      <c r="E86" s="28">
        <v>32047</v>
      </c>
      <c r="F86" s="25">
        <v>98.143937500000007</v>
      </c>
      <c r="G86" s="26">
        <v>0.44049928461432403</v>
      </c>
      <c r="H86" s="24"/>
    </row>
    <row r="87" spans="2:8" x14ac:dyDescent="0.2">
      <c r="B87" s="24" t="s">
        <v>977</v>
      </c>
      <c r="C87" s="24" t="s">
        <v>978</v>
      </c>
      <c r="D87" s="24" t="s">
        <v>979</v>
      </c>
      <c r="E87" s="28">
        <v>5827</v>
      </c>
      <c r="F87" s="25">
        <v>97.590596000000005</v>
      </c>
      <c r="G87" s="26">
        <v>0.43801572280596002</v>
      </c>
      <c r="H87" s="24"/>
    </row>
    <row r="88" spans="2:8" x14ac:dyDescent="0.2">
      <c r="B88" s="24" t="s">
        <v>980</v>
      </c>
      <c r="C88" s="24" t="s">
        <v>981</v>
      </c>
      <c r="D88" s="24" t="s">
        <v>277</v>
      </c>
      <c r="E88" s="28">
        <v>9964</v>
      </c>
      <c r="F88" s="25">
        <v>96.750439999999998</v>
      </c>
      <c r="G88" s="26">
        <v>0.43424485191579998</v>
      </c>
      <c r="H88" s="24"/>
    </row>
    <row r="89" spans="2:8" x14ac:dyDescent="0.2">
      <c r="B89" s="24" t="s">
        <v>982</v>
      </c>
      <c r="C89" s="24" t="s">
        <v>983</v>
      </c>
      <c r="D89" s="24" t="s">
        <v>306</v>
      </c>
      <c r="E89" s="28">
        <v>16150</v>
      </c>
      <c r="F89" s="25">
        <v>96.657749999999993</v>
      </c>
      <c r="G89" s="26">
        <v>0.43382883153052798</v>
      </c>
      <c r="H89" s="24"/>
    </row>
    <row r="90" spans="2:8" x14ac:dyDescent="0.2">
      <c r="B90" s="24" t="s">
        <v>984</v>
      </c>
      <c r="C90" s="24" t="s">
        <v>985</v>
      </c>
      <c r="D90" s="24" t="s">
        <v>306</v>
      </c>
      <c r="E90" s="28">
        <v>8963</v>
      </c>
      <c r="F90" s="25">
        <v>96.199878999999996</v>
      </c>
      <c r="G90" s="26">
        <v>0.43177376982133497</v>
      </c>
      <c r="H90" s="24"/>
    </row>
    <row r="91" spans="2:8" x14ac:dyDescent="0.2">
      <c r="B91" s="24" t="s">
        <v>986</v>
      </c>
      <c r="C91" s="24" t="s">
        <v>987</v>
      </c>
      <c r="D91" s="24" t="s">
        <v>446</v>
      </c>
      <c r="E91" s="28">
        <v>7474</v>
      </c>
      <c r="F91" s="25">
        <v>96.197854000000007</v>
      </c>
      <c r="G91" s="26">
        <v>0.431764681016931</v>
      </c>
      <c r="H91" s="24"/>
    </row>
    <row r="92" spans="2:8" x14ac:dyDescent="0.2">
      <c r="B92" s="24" t="s">
        <v>988</v>
      </c>
      <c r="C92" s="24" t="s">
        <v>989</v>
      </c>
      <c r="D92" s="24" t="s">
        <v>306</v>
      </c>
      <c r="E92" s="28">
        <v>18098</v>
      </c>
      <c r="F92" s="25">
        <v>95.666027999999997</v>
      </c>
      <c r="G92" s="26">
        <v>0.42937768719431901</v>
      </c>
      <c r="H92" s="24"/>
    </row>
    <row r="93" spans="2:8" x14ac:dyDescent="0.2">
      <c r="B93" s="24" t="s">
        <v>990</v>
      </c>
      <c r="C93" s="24" t="s">
        <v>991</v>
      </c>
      <c r="D93" s="24" t="s">
        <v>499</v>
      </c>
      <c r="E93" s="28">
        <v>9487</v>
      </c>
      <c r="F93" s="25">
        <v>93.854890999999995</v>
      </c>
      <c r="G93" s="26">
        <v>0.42124876376653703</v>
      </c>
      <c r="H93" s="24"/>
    </row>
    <row r="94" spans="2:8" x14ac:dyDescent="0.2">
      <c r="B94" s="24" t="s">
        <v>992</v>
      </c>
      <c r="C94" s="24" t="s">
        <v>993</v>
      </c>
      <c r="D94" s="24" t="s">
        <v>454</v>
      </c>
      <c r="E94" s="28">
        <v>17012</v>
      </c>
      <c r="F94" s="25">
        <v>93.106675999999993</v>
      </c>
      <c r="G94" s="26">
        <v>0.417890551526095</v>
      </c>
      <c r="H94" s="24"/>
    </row>
    <row r="95" spans="2:8" x14ac:dyDescent="0.2">
      <c r="B95" s="24" t="s">
        <v>994</v>
      </c>
      <c r="C95" s="24" t="s">
        <v>995</v>
      </c>
      <c r="D95" s="24" t="s">
        <v>314</v>
      </c>
      <c r="E95" s="28">
        <v>541905</v>
      </c>
      <c r="F95" s="25">
        <v>93.099278999999996</v>
      </c>
      <c r="G95" s="26">
        <v>0.41785735158230503</v>
      </c>
      <c r="H95" s="24"/>
    </row>
    <row r="96" spans="2:8" x14ac:dyDescent="0.2">
      <c r="B96" s="24" t="s">
        <v>996</v>
      </c>
      <c r="C96" s="24" t="s">
        <v>997</v>
      </c>
      <c r="D96" s="24" t="s">
        <v>998</v>
      </c>
      <c r="E96" s="28">
        <v>102490</v>
      </c>
      <c r="F96" s="25">
        <v>92.200004000000007</v>
      </c>
      <c r="G96" s="26">
        <v>0.41382113697484102</v>
      </c>
      <c r="H96" s="24"/>
    </row>
    <row r="97" spans="2:8" x14ac:dyDescent="0.2">
      <c r="B97" s="24" t="s">
        <v>999</v>
      </c>
      <c r="C97" s="24" t="s">
        <v>1000</v>
      </c>
      <c r="D97" s="24" t="s">
        <v>363</v>
      </c>
      <c r="E97" s="28">
        <v>26716</v>
      </c>
      <c r="F97" s="25">
        <v>92.063336000000007</v>
      </c>
      <c r="G97" s="26">
        <v>0.41320773019941298</v>
      </c>
      <c r="H97" s="24"/>
    </row>
    <row r="98" spans="2:8" x14ac:dyDescent="0.2">
      <c r="B98" s="24" t="s">
        <v>1001</v>
      </c>
      <c r="C98" s="24" t="s">
        <v>1002</v>
      </c>
      <c r="D98" s="24" t="s">
        <v>306</v>
      </c>
      <c r="E98" s="28">
        <v>6011</v>
      </c>
      <c r="F98" s="25">
        <v>90.501615999999999</v>
      </c>
      <c r="G98" s="26">
        <v>0.40619826471136</v>
      </c>
      <c r="H98" s="24"/>
    </row>
    <row r="99" spans="2:8" x14ac:dyDescent="0.2">
      <c r="B99" s="24" t="s">
        <v>1003</v>
      </c>
      <c r="C99" s="24" t="s">
        <v>1004</v>
      </c>
      <c r="D99" s="24" t="s">
        <v>521</v>
      </c>
      <c r="E99" s="28">
        <v>19877</v>
      </c>
      <c r="F99" s="25">
        <v>90.241579999999999</v>
      </c>
      <c r="G99" s="26">
        <v>0.405031145530168</v>
      </c>
      <c r="H99" s="24"/>
    </row>
    <row r="100" spans="2:8" x14ac:dyDescent="0.2">
      <c r="B100" s="24" t="s">
        <v>1005</v>
      </c>
      <c r="C100" s="24" t="s">
        <v>1006</v>
      </c>
      <c r="D100" s="24" t="s">
        <v>306</v>
      </c>
      <c r="E100" s="28">
        <v>9986</v>
      </c>
      <c r="F100" s="25">
        <v>90.178573</v>
      </c>
      <c r="G100" s="26">
        <v>0.40474835130840903</v>
      </c>
      <c r="H100" s="24"/>
    </row>
    <row r="101" spans="2:8" x14ac:dyDescent="0.2">
      <c r="B101" s="24" t="s">
        <v>1007</v>
      </c>
      <c r="C101" s="24" t="s">
        <v>1008</v>
      </c>
      <c r="D101" s="24" t="s">
        <v>277</v>
      </c>
      <c r="E101" s="28">
        <v>12764</v>
      </c>
      <c r="F101" s="25">
        <v>89.813885999999997</v>
      </c>
      <c r="G101" s="26">
        <v>0.40311152720393401</v>
      </c>
      <c r="H101" s="24"/>
    </row>
    <row r="102" spans="2:8" x14ac:dyDescent="0.2">
      <c r="B102" s="24" t="s">
        <v>1009</v>
      </c>
      <c r="C102" s="24" t="s">
        <v>1010</v>
      </c>
      <c r="D102" s="24" t="s">
        <v>311</v>
      </c>
      <c r="E102" s="28">
        <v>9234</v>
      </c>
      <c r="F102" s="25">
        <v>89.431290000000004</v>
      </c>
      <c r="G102" s="26">
        <v>0.40139432216214199</v>
      </c>
      <c r="H102" s="24"/>
    </row>
    <row r="103" spans="2:8" x14ac:dyDescent="0.2">
      <c r="B103" s="24" t="s">
        <v>1011</v>
      </c>
      <c r="C103" s="24" t="s">
        <v>1012</v>
      </c>
      <c r="D103" s="24" t="s">
        <v>745</v>
      </c>
      <c r="E103" s="28">
        <v>5393</v>
      </c>
      <c r="F103" s="25">
        <v>89.405153999999996</v>
      </c>
      <c r="G103" s="26">
        <v>0.40127701599330501</v>
      </c>
      <c r="H103" s="24"/>
    </row>
    <row r="104" spans="2:8" x14ac:dyDescent="0.2">
      <c r="B104" s="24" t="s">
        <v>1013</v>
      </c>
      <c r="C104" s="24" t="s">
        <v>1014</v>
      </c>
      <c r="D104" s="24" t="s">
        <v>427</v>
      </c>
      <c r="E104" s="28">
        <v>2336</v>
      </c>
      <c r="F104" s="25">
        <v>89.062336000000002</v>
      </c>
      <c r="G104" s="26">
        <v>0.39973834648809098</v>
      </c>
      <c r="H104" s="24"/>
    </row>
    <row r="105" spans="2:8" x14ac:dyDescent="0.2">
      <c r="B105" s="24" t="s">
        <v>1015</v>
      </c>
      <c r="C105" s="24" t="s">
        <v>1016</v>
      </c>
      <c r="D105" s="24" t="s">
        <v>745</v>
      </c>
      <c r="E105" s="28">
        <v>170465</v>
      </c>
      <c r="F105" s="25">
        <v>88.675893000000002</v>
      </c>
      <c r="G105" s="26">
        <v>0.39800387496208101</v>
      </c>
      <c r="H105" s="24"/>
    </row>
    <row r="106" spans="2:8" x14ac:dyDescent="0.2">
      <c r="B106" s="24" t="s">
        <v>1017</v>
      </c>
      <c r="C106" s="24" t="s">
        <v>1018</v>
      </c>
      <c r="D106" s="24" t="s">
        <v>412</v>
      </c>
      <c r="E106" s="28">
        <v>55316</v>
      </c>
      <c r="F106" s="25">
        <v>88.096261600000005</v>
      </c>
      <c r="G106" s="26">
        <v>0.39540231623574601</v>
      </c>
      <c r="H106" s="24"/>
    </row>
    <row r="107" spans="2:8" x14ac:dyDescent="0.2">
      <c r="B107" s="24" t="s">
        <v>1019</v>
      </c>
      <c r="C107" s="24" t="s">
        <v>1020</v>
      </c>
      <c r="D107" s="24" t="s">
        <v>314</v>
      </c>
      <c r="E107" s="28">
        <v>15431</v>
      </c>
      <c r="F107" s="25">
        <v>87.555493999999996</v>
      </c>
      <c r="G107" s="26">
        <v>0.39297518984352597</v>
      </c>
      <c r="H107" s="24"/>
    </row>
    <row r="108" spans="2:8" x14ac:dyDescent="0.2">
      <c r="B108" s="24" t="s">
        <v>1021</v>
      </c>
      <c r="C108" s="24" t="s">
        <v>1022</v>
      </c>
      <c r="D108" s="24" t="s">
        <v>296</v>
      </c>
      <c r="E108" s="28">
        <v>9379</v>
      </c>
      <c r="F108" s="25">
        <v>87.229389499999996</v>
      </c>
      <c r="G108" s="26">
        <v>0.391511535514806</v>
      </c>
      <c r="H108" s="24"/>
    </row>
    <row r="109" spans="2:8" x14ac:dyDescent="0.2">
      <c r="B109" s="24" t="s">
        <v>1023</v>
      </c>
      <c r="C109" s="24" t="s">
        <v>1024</v>
      </c>
      <c r="D109" s="24" t="s">
        <v>320</v>
      </c>
      <c r="E109" s="28">
        <v>3296</v>
      </c>
      <c r="F109" s="25">
        <v>86.572736000000006</v>
      </c>
      <c r="G109" s="26">
        <v>0.38856427861481202</v>
      </c>
      <c r="H109" s="24"/>
    </row>
    <row r="110" spans="2:8" x14ac:dyDescent="0.2">
      <c r="B110" s="24" t="s">
        <v>1025</v>
      </c>
      <c r="C110" s="24" t="s">
        <v>1026</v>
      </c>
      <c r="D110" s="24" t="s">
        <v>296</v>
      </c>
      <c r="E110" s="28">
        <v>605</v>
      </c>
      <c r="F110" s="25">
        <v>86.049149999999997</v>
      </c>
      <c r="G110" s="26">
        <v>0.386214268371601</v>
      </c>
      <c r="H110" s="24"/>
    </row>
    <row r="111" spans="2:8" x14ac:dyDescent="0.2">
      <c r="B111" s="24" t="s">
        <v>1027</v>
      </c>
      <c r="C111" s="24" t="s">
        <v>1028</v>
      </c>
      <c r="D111" s="24" t="s">
        <v>446</v>
      </c>
      <c r="E111" s="28">
        <v>22860</v>
      </c>
      <c r="F111" s="25">
        <v>85.47354</v>
      </c>
      <c r="G111" s="26">
        <v>0.38363075888873699</v>
      </c>
      <c r="H111" s="24"/>
    </row>
    <row r="112" spans="2:8" x14ac:dyDescent="0.2">
      <c r="B112" s="24" t="s">
        <v>1029</v>
      </c>
      <c r="C112" s="24" t="s">
        <v>1030</v>
      </c>
      <c r="D112" s="24" t="s">
        <v>306</v>
      </c>
      <c r="E112" s="28">
        <v>1688</v>
      </c>
      <c r="F112" s="25">
        <v>84.192375999999996</v>
      </c>
      <c r="G112" s="26">
        <v>0.37788051246650001</v>
      </c>
      <c r="H112" s="24"/>
    </row>
    <row r="113" spans="2:8" x14ac:dyDescent="0.2">
      <c r="B113" s="24" t="s">
        <v>1031</v>
      </c>
      <c r="C113" s="24" t="s">
        <v>1032</v>
      </c>
      <c r="D113" s="24" t="s">
        <v>553</v>
      </c>
      <c r="E113" s="28">
        <v>16886</v>
      </c>
      <c r="F113" s="25">
        <v>81.407405999999995</v>
      </c>
      <c r="G113" s="26">
        <v>0.365380735873857</v>
      </c>
      <c r="H113" s="24"/>
    </row>
    <row r="114" spans="2:8" x14ac:dyDescent="0.2">
      <c r="B114" s="24" t="s">
        <v>1033</v>
      </c>
      <c r="C114" s="24" t="s">
        <v>1034</v>
      </c>
      <c r="D114" s="24" t="s">
        <v>412</v>
      </c>
      <c r="E114" s="28">
        <v>22069</v>
      </c>
      <c r="F114" s="25">
        <v>81.269092499999999</v>
      </c>
      <c r="G114" s="26">
        <v>0.364759943603295</v>
      </c>
      <c r="H114" s="24"/>
    </row>
    <row r="115" spans="2:8" x14ac:dyDescent="0.2">
      <c r="B115" s="24" t="s">
        <v>1035</v>
      </c>
      <c r="C115" s="24" t="s">
        <v>1036</v>
      </c>
      <c r="D115" s="24" t="s">
        <v>274</v>
      </c>
      <c r="E115" s="28">
        <v>119274</v>
      </c>
      <c r="F115" s="25">
        <v>80.855844599999998</v>
      </c>
      <c r="G115" s="26">
        <v>0.362905163685601</v>
      </c>
      <c r="H115" s="24"/>
    </row>
    <row r="116" spans="2:8" x14ac:dyDescent="0.2">
      <c r="B116" s="24" t="s">
        <v>1037</v>
      </c>
      <c r="C116" s="24" t="s">
        <v>1038</v>
      </c>
      <c r="D116" s="24" t="s">
        <v>998</v>
      </c>
      <c r="E116" s="28">
        <v>7939</v>
      </c>
      <c r="F116" s="25">
        <v>80.596727999999999</v>
      </c>
      <c r="G116" s="26">
        <v>0.36174217104602302</v>
      </c>
      <c r="H116" s="24"/>
    </row>
    <row r="117" spans="2:8" x14ac:dyDescent="0.2">
      <c r="B117" s="24" t="s">
        <v>1039</v>
      </c>
      <c r="C117" s="24" t="s">
        <v>1040</v>
      </c>
      <c r="D117" s="24" t="s">
        <v>277</v>
      </c>
      <c r="E117" s="28">
        <v>18402</v>
      </c>
      <c r="F117" s="25">
        <v>79.735866000000001</v>
      </c>
      <c r="G117" s="26">
        <v>0.357878365447724</v>
      </c>
      <c r="H117" s="24"/>
    </row>
    <row r="118" spans="2:8" x14ac:dyDescent="0.2">
      <c r="B118" s="24" t="s">
        <v>1041</v>
      </c>
      <c r="C118" s="24" t="s">
        <v>1042</v>
      </c>
      <c r="D118" s="24" t="s">
        <v>320</v>
      </c>
      <c r="E118" s="28">
        <v>3260</v>
      </c>
      <c r="F118" s="25">
        <v>79.677660000000003</v>
      </c>
      <c r="G118" s="26">
        <v>0.35761711954692399</v>
      </c>
      <c r="H118" s="24"/>
    </row>
    <row r="119" spans="2:8" x14ac:dyDescent="0.2">
      <c r="B119" s="24" t="s">
        <v>1043</v>
      </c>
      <c r="C119" s="24" t="s">
        <v>1044</v>
      </c>
      <c r="D119" s="24" t="s">
        <v>499</v>
      </c>
      <c r="E119" s="28">
        <v>8917</v>
      </c>
      <c r="F119" s="25">
        <v>79.535181499999993</v>
      </c>
      <c r="G119" s="26">
        <v>0.35697763351322997</v>
      </c>
      <c r="H119" s="24"/>
    </row>
    <row r="120" spans="2:8" x14ac:dyDescent="0.2">
      <c r="B120" s="24" t="s">
        <v>1045</v>
      </c>
      <c r="C120" s="24" t="s">
        <v>1046</v>
      </c>
      <c r="D120" s="24" t="s">
        <v>540</v>
      </c>
      <c r="E120" s="28">
        <v>4256</v>
      </c>
      <c r="F120" s="25">
        <v>79.157343999999995</v>
      </c>
      <c r="G120" s="26">
        <v>0.355281786039713</v>
      </c>
      <c r="H120" s="24"/>
    </row>
    <row r="121" spans="2:8" x14ac:dyDescent="0.2">
      <c r="B121" s="24" t="s">
        <v>1047</v>
      </c>
      <c r="C121" s="24" t="s">
        <v>1048</v>
      </c>
      <c r="D121" s="24" t="s">
        <v>296</v>
      </c>
      <c r="E121" s="28">
        <v>42992</v>
      </c>
      <c r="F121" s="25">
        <v>78.606572799999995</v>
      </c>
      <c r="G121" s="26">
        <v>0.35280976050490898</v>
      </c>
      <c r="H121" s="24"/>
    </row>
    <row r="122" spans="2:8" x14ac:dyDescent="0.2">
      <c r="B122" s="24" t="s">
        <v>1049</v>
      </c>
      <c r="C122" s="24" t="s">
        <v>1050</v>
      </c>
      <c r="D122" s="24" t="s">
        <v>277</v>
      </c>
      <c r="E122" s="28">
        <v>21664</v>
      </c>
      <c r="F122" s="25">
        <v>77.957903999999999</v>
      </c>
      <c r="G122" s="26">
        <v>0.34989834132171499</v>
      </c>
      <c r="H122" s="24"/>
    </row>
    <row r="123" spans="2:8" x14ac:dyDescent="0.2">
      <c r="B123" s="24" t="s">
        <v>1051</v>
      </c>
      <c r="C123" s="24" t="s">
        <v>1052</v>
      </c>
      <c r="D123" s="24" t="s">
        <v>296</v>
      </c>
      <c r="E123" s="28">
        <v>6004</v>
      </c>
      <c r="F123" s="25">
        <v>76.466943999999998</v>
      </c>
      <c r="G123" s="26">
        <v>0.34320646783346698</v>
      </c>
      <c r="H123" s="24"/>
    </row>
    <row r="124" spans="2:8" x14ac:dyDescent="0.2">
      <c r="B124" s="24" t="s">
        <v>1053</v>
      </c>
      <c r="C124" s="24" t="s">
        <v>1054</v>
      </c>
      <c r="D124" s="24" t="s">
        <v>303</v>
      </c>
      <c r="E124" s="28">
        <v>3404</v>
      </c>
      <c r="F124" s="25">
        <v>75.687939999999998</v>
      </c>
      <c r="G124" s="26">
        <v>0.33971006537140203</v>
      </c>
      <c r="H124" s="24"/>
    </row>
    <row r="125" spans="2:8" x14ac:dyDescent="0.2">
      <c r="B125" s="24" t="s">
        <v>1055</v>
      </c>
      <c r="C125" s="24" t="s">
        <v>1056</v>
      </c>
      <c r="D125" s="24" t="s">
        <v>436</v>
      </c>
      <c r="E125" s="28">
        <v>905</v>
      </c>
      <c r="F125" s="25">
        <v>75.680625000000006</v>
      </c>
      <c r="G125" s="26">
        <v>0.33967723346808698</v>
      </c>
      <c r="H125" s="24"/>
    </row>
    <row r="126" spans="2:8" x14ac:dyDescent="0.2">
      <c r="B126" s="24" t="s">
        <v>1057</v>
      </c>
      <c r="C126" s="24" t="s">
        <v>1058</v>
      </c>
      <c r="D126" s="24" t="s">
        <v>1059</v>
      </c>
      <c r="E126" s="28">
        <v>4251</v>
      </c>
      <c r="F126" s="25">
        <v>75.399986999999996</v>
      </c>
      <c r="G126" s="26">
        <v>0.338417646361797</v>
      </c>
      <c r="H126" s="24"/>
    </row>
    <row r="127" spans="2:8" x14ac:dyDescent="0.2">
      <c r="B127" s="24" t="s">
        <v>1060</v>
      </c>
      <c r="C127" s="24" t="s">
        <v>1061</v>
      </c>
      <c r="D127" s="24" t="s">
        <v>376</v>
      </c>
      <c r="E127" s="28">
        <v>7853</v>
      </c>
      <c r="F127" s="25">
        <v>74.148026000000002</v>
      </c>
      <c r="G127" s="26">
        <v>0.33279847171980698</v>
      </c>
      <c r="H127" s="24"/>
    </row>
    <row r="128" spans="2:8" x14ac:dyDescent="0.2">
      <c r="B128" s="24" t="s">
        <v>1062</v>
      </c>
      <c r="C128" s="24" t="s">
        <v>1063</v>
      </c>
      <c r="D128" s="24" t="s">
        <v>373</v>
      </c>
      <c r="E128" s="28">
        <v>5563</v>
      </c>
      <c r="F128" s="25">
        <v>73.431600000000003</v>
      </c>
      <c r="G128" s="26">
        <v>0.32958293799945798</v>
      </c>
      <c r="H128" s="24"/>
    </row>
    <row r="129" spans="2:8" x14ac:dyDescent="0.2">
      <c r="B129" s="24" t="s">
        <v>1064</v>
      </c>
      <c r="C129" s="24" t="s">
        <v>1065</v>
      </c>
      <c r="D129" s="24" t="s">
        <v>280</v>
      </c>
      <c r="E129" s="28">
        <v>45531</v>
      </c>
      <c r="F129" s="25">
        <v>73.049936400000007</v>
      </c>
      <c r="G129" s="26">
        <v>0.32786991784716002</v>
      </c>
      <c r="H129" s="24"/>
    </row>
    <row r="130" spans="2:8" x14ac:dyDescent="0.2">
      <c r="B130" s="24" t="s">
        <v>1066</v>
      </c>
      <c r="C130" s="24" t="s">
        <v>1067</v>
      </c>
      <c r="D130" s="24" t="s">
        <v>446</v>
      </c>
      <c r="E130" s="28">
        <v>15529</v>
      </c>
      <c r="F130" s="25">
        <v>72.807716499999998</v>
      </c>
      <c r="G130" s="26">
        <v>0.32678276264035599</v>
      </c>
      <c r="H130" s="24"/>
    </row>
    <row r="131" spans="2:8" x14ac:dyDescent="0.2">
      <c r="B131" s="24" t="s">
        <v>1068</v>
      </c>
      <c r="C131" s="24" t="s">
        <v>1069</v>
      </c>
      <c r="D131" s="24" t="s">
        <v>521</v>
      </c>
      <c r="E131" s="28">
        <v>27229</v>
      </c>
      <c r="F131" s="25">
        <v>72.448200299999996</v>
      </c>
      <c r="G131" s="26">
        <v>0.32516914662961399</v>
      </c>
      <c r="H131" s="24"/>
    </row>
    <row r="132" spans="2:8" x14ac:dyDescent="0.2">
      <c r="B132" s="24" t="s">
        <v>1070</v>
      </c>
      <c r="C132" s="24" t="s">
        <v>1071</v>
      </c>
      <c r="D132" s="24" t="s">
        <v>454</v>
      </c>
      <c r="E132" s="28">
        <v>4956</v>
      </c>
      <c r="F132" s="25">
        <v>72.322907999999998</v>
      </c>
      <c r="G132" s="26">
        <v>0.32460679739110299</v>
      </c>
      <c r="H132" s="24"/>
    </row>
    <row r="133" spans="2:8" x14ac:dyDescent="0.2">
      <c r="B133" s="24" t="s">
        <v>1072</v>
      </c>
      <c r="C133" s="24" t="s">
        <v>1073</v>
      </c>
      <c r="D133" s="24" t="s">
        <v>443</v>
      </c>
      <c r="E133" s="28">
        <v>6339</v>
      </c>
      <c r="F133" s="25">
        <v>72.017379000000005</v>
      </c>
      <c r="G133" s="26">
        <v>0.32323549204757202</v>
      </c>
      <c r="H133" s="24"/>
    </row>
    <row r="134" spans="2:8" x14ac:dyDescent="0.2">
      <c r="B134" s="24" t="s">
        <v>1074</v>
      </c>
      <c r="C134" s="24" t="s">
        <v>1075</v>
      </c>
      <c r="D134" s="24" t="s">
        <v>289</v>
      </c>
      <c r="E134" s="28">
        <v>194951</v>
      </c>
      <c r="F134" s="25">
        <v>70.650242399999996</v>
      </c>
      <c r="G134" s="26">
        <v>0.31709937493621099</v>
      </c>
      <c r="H134" s="24"/>
    </row>
    <row r="135" spans="2:8" x14ac:dyDescent="0.2">
      <c r="B135" s="24" t="s">
        <v>1076</v>
      </c>
      <c r="C135" s="24" t="s">
        <v>1077</v>
      </c>
      <c r="D135" s="24" t="s">
        <v>303</v>
      </c>
      <c r="E135" s="28">
        <v>24572</v>
      </c>
      <c r="F135" s="25">
        <v>70.497067999999999</v>
      </c>
      <c r="G135" s="26">
        <v>0.31641188251090202</v>
      </c>
      <c r="H135" s="24"/>
    </row>
    <row r="136" spans="2:8" x14ac:dyDescent="0.2">
      <c r="B136" s="24" t="s">
        <v>1078</v>
      </c>
      <c r="C136" s="24" t="s">
        <v>1079</v>
      </c>
      <c r="D136" s="24" t="s">
        <v>320</v>
      </c>
      <c r="E136" s="28">
        <v>5131</v>
      </c>
      <c r="F136" s="25">
        <v>70.212603999999999</v>
      </c>
      <c r="G136" s="26">
        <v>0.31513512317466202</v>
      </c>
      <c r="H136" s="24"/>
    </row>
    <row r="137" spans="2:8" x14ac:dyDescent="0.2">
      <c r="B137" s="24" t="s">
        <v>1080</v>
      </c>
      <c r="C137" s="24" t="s">
        <v>1081</v>
      </c>
      <c r="D137" s="24" t="s">
        <v>412</v>
      </c>
      <c r="E137" s="28">
        <v>7945</v>
      </c>
      <c r="F137" s="25">
        <v>69.165197500000005</v>
      </c>
      <c r="G137" s="26">
        <v>0.31043405018224801</v>
      </c>
      <c r="H137" s="24"/>
    </row>
    <row r="138" spans="2:8" x14ac:dyDescent="0.2">
      <c r="B138" s="24" t="s">
        <v>1082</v>
      </c>
      <c r="C138" s="24" t="s">
        <v>1083</v>
      </c>
      <c r="D138" s="24" t="s">
        <v>451</v>
      </c>
      <c r="E138" s="28">
        <v>12836</v>
      </c>
      <c r="F138" s="25">
        <v>69.089770000000001</v>
      </c>
      <c r="G138" s="26">
        <v>0.31009550904932998</v>
      </c>
      <c r="H138" s="24"/>
    </row>
    <row r="139" spans="2:8" x14ac:dyDescent="0.2">
      <c r="B139" s="24" t="s">
        <v>1084</v>
      </c>
      <c r="C139" s="24" t="s">
        <v>1085</v>
      </c>
      <c r="D139" s="24" t="s">
        <v>311</v>
      </c>
      <c r="E139" s="28">
        <v>21044</v>
      </c>
      <c r="F139" s="25">
        <v>69.024320000000003</v>
      </c>
      <c r="G139" s="26">
        <v>0.30980174991440701</v>
      </c>
      <c r="H139" s="24"/>
    </row>
    <row r="140" spans="2:8" x14ac:dyDescent="0.2">
      <c r="B140" s="24" t="s">
        <v>1086</v>
      </c>
      <c r="C140" s="24" t="s">
        <v>1087</v>
      </c>
      <c r="D140" s="24" t="s">
        <v>303</v>
      </c>
      <c r="E140" s="28">
        <v>54029</v>
      </c>
      <c r="F140" s="25">
        <v>68.930198200000007</v>
      </c>
      <c r="G140" s="26">
        <v>0.30937930318338303</v>
      </c>
      <c r="H140" s="24"/>
    </row>
    <row r="141" spans="2:8" x14ac:dyDescent="0.2">
      <c r="B141" s="24" t="s">
        <v>1088</v>
      </c>
      <c r="C141" s="24" t="s">
        <v>1089</v>
      </c>
      <c r="D141" s="24" t="s">
        <v>296</v>
      </c>
      <c r="E141" s="28">
        <v>8137</v>
      </c>
      <c r="F141" s="25">
        <v>68.061936500000002</v>
      </c>
      <c r="G141" s="26">
        <v>0.30548228552288798</v>
      </c>
      <c r="H141" s="24"/>
    </row>
    <row r="142" spans="2:8" x14ac:dyDescent="0.2">
      <c r="B142" s="24" t="s">
        <v>1090</v>
      </c>
      <c r="C142" s="24" t="s">
        <v>1091</v>
      </c>
      <c r="D142" s="24" t="s">
        <v>427</v>
      </c>
      <c r="E142" s="28">
        <v>13516</v>
      </c>
      <c r="F142" s="25">
        <v>67.944931999999994</v>
      </c>
      <c r="G142" s="26">
        <v>0.304957134404444</v>
      </c>
      <c r="H142" s="24"/>
    </row>
    <row r="143" spans="2:8" x14ac:dyDescent="0.2">
      <c r="B143" s="24" t="s">
        <v>1092</v>
      </c>
      <c r="C143" s="24" t="s">
        <v>1093</v>
      </c>
      <c r="D143" s="24" t="s">
        <v>412</v>
      </c>
      <c r="E143" s="28">
        <v>26343</v>
      </c>
      <c r="F143" s="25">
        <v>67.714681499999998</v>
      </c>
      <c r="G143" s="26">
        <v>0.30392370143735797</v>
      </c>
      <c r="H143" s="24"/>
    </row>
    <row r="144" spans="2:8" x14ac:dyDescent="0.2">
      <c r="B144" s="24" t="s">
        <v>1094</v>
      </c>
      <c r="C144" s="24" t="s">
        <v>1095</v>
      </c>
      <c r="D144" s="24" t="s">
        <v>311</v>
      </c>
      <c r="E144" s="28">
        <v>7104</v>
      </c>
      <c r="F144" s="25">
        <v>66.990719999999996</v>
      </c>
      <c r="G144" s="26">
        <v>0.300674346143881</v>
      </c>
      <c r="H144" s="24"/>
    </row>
    <row r="145" spans="2:8" x14ac:dyDescent="0.2">
      <c r="B145" s="24" t="s">
        <v>1096</v>
      </c>
      <c r="C145" s="24" t="s">
        <v>1097</v>
      </c>
      <c r="D145" s="24" t="s">
        <v>521</v>
      </c>
      <c r="E145" s="28">
        <v>7817</v>
      </c>
      <c r="F145" s="25">
        <v>66.260800500000002</v>
      </c>
      <c r="G145" s="26">
        <v>0.297398249568114</v>
      </c>
      <c r="H145" s="24"/>
    </row>
    <row r="146" spans="2:8" x14ac:dyDescent="0.2">
      <c r="B146" s="24" t="s">
        <v>1098</v>
      </c>
      <c r="C146" s="24" t="s">
        <v>1099</v>
      </c>
      <c r="D146" s="24" t="s">
        <v>412</v>
      </c>
      <c r="E146" s="28">
        <v>44773</v>
      </c>
      <c r="F146" s="25">
        <v>66.241653499999998</v>
      </c>
      <c r="G146" s="26">
        <v>0.29731231211729098</v>
      </c>
      <c r="H146" s="24"/>
    </row>
    <row r="147" spans="2:8" x14ac:dyDescent="0.2">
      <c r="B147" s="24" t="s">
        <v>1100</v>
      </c>
      <c r="C147" s="24" t="s">
        <v>1101</v>
      </c>
      <c r="D147" s="24" t="s">
        <v>446</v>
      </c>
      <c r="E147" s="28">
        <v>9361</v>
      </c>
      <c r="F147" s="25">
        <v>65.849954499999996</v>
      </c>
      <c r="G147" s="26">
        <v>0.29555425009451802</v>
      </c>
      <c r="H147" s="24"/>
    </row>
    <row r="148" spans="2:8" x14ac:dyDescent="0.2">
      <c r="B148" s="24" t="s">
        <v>1102</v>
      </c>
      <c r="C148" s="24" t="s">
        <v>1103</v>
      </c>
      <c r="D148" s="24" t="s">
        <v>608</v>
      </c>
      <c r="E148" s="28">
        <v>3522</v>
      </c>
      <c r="F148" s="25">
        <v>65.431715999999994</v>
      </c>
      <c r="G148" s="26">
        <v>0.29367707087447498</v>
      </c>
      <c r="H148" s="24"/>
    </row>
    <row r="149" spans="2:8" x14ac:dyDescent="0.2">
      <c r="B149" s="24" t="s">
        <v>1104</v>
      </c>
      <c r="C149" s="24" t="s">
        <v>1105</v>
      </c>
      <c r="D149" s="24" t="s">
        <v>507</v>
      </c>
      <c r="E149" s="28">
        <v>8091</v>
      </c>
      <c r="F149" s="25">
        <v>65.152777499999999</v>
      </c>
      <c r="G149" s="26">
        <v>0.29242511163143597</v>
      </c>
      <c r="H149" s="24"/>
    </row>
    <row r="150" spans="2:8" x14ac:dyDescent="0.2">
      <c r="B150" s="24" t="s">
        <v>1106</v>
      </c>
      <c r="C150" s="24" t="s">
        <v>1107</v>
      </c>
      <c r="D150" s="24" t="s">
        <v>296</v>
      </c>
      <c r="E150" s="28">
        <v>43338</v>
      </c>
      <c r="F150" s="25">
        <v>65.050337999999996</v>
      </c>
      <c r="G150" s="26">
        <v>0.291965332580221</v>
      </c>
      <c r="H150" s="24"/>
    </row>
    <row r="151" spans="2:8" x14ac:dyDescent="0.2">
      <c r="B151" s="24" t="s">
        <v>1108</v>
      </c>
      <c r="C151" s="24" t="s">
        <v>1109</v>
      </c>
      <c r="D151" s="24" t="s">
        <v>296</v>
      </c>
      <c r="E151" s="28">
        <v>4426</v>
      </c>
      <c r="F151" s="25">
        <v>64.796639999999996</v>
      </c>
      <c r="G151" s="26">
        <v>0.29082666023473802</v>
      </c>
      <c r="H151" s="24"/>
    </row>
    <row r="152" spans="2:8" x14ac:dyDescent="0.2">
      <c r="B152" s="24" t="s">
        <v>1110</v>
      </c>
      <c r="C152" s="24" t="s">
        <v>1111</v>
      </c>
      <c r="D152" s="24" t="s">
        <v>553</v>
      </c>
      <c r="E152" s="28">
        <v>1419</v>
      </c>
      <c r="F152" s="25">
        <v>64.678020000000004</v>
      </c>
      <c r="G152" s="26">
        <v>0.29029425827011401</v>
      </c>
      <c r="H152" s="24"/>
    </row>
    <row r="153" spans="2:8" x14ac:dyDescent="0.2">
      <c r="B153" s="24" t="s">
        <v>1112</v>
      </c>
      <c r="C153" s="24" t="s">
        <v>1113</v>
      </c>
      <c r="D153" s="24" t="s">
        <v>998</v>
      </c>
      <c r="E153" s="28">
        <v>10996</v>
      </c>
      <c r="F153" s="25">
        <v>64.606998000000004</v>
      </c>
      <c r="G153" s="26">
        <v>0.28997549033610998</v>
      </c>
      <c r="H153" s="24"/>
    </row>
    <row r="154" spans="2:8" x14ac:dyDescent="0.2">
      <c r="B154" s="24" t="s">
        <v>1114</v>
      </c>
      <c r="C154" s="24" t="s">
        <v>1115</v>
      </c>
      <c r="D154" s="24" t="s">
        <v>553</v>
      </c>
      <c r="E154" s="28">
        <v>13698</v>
      </c>
      <c r="F154" s="25">
        <v>64.517579999999995</v>
      </c>
      <c r="G154" s="26">
        <v>0.28957415566343397</v>
      </c>
      <c r="H154" s="24"/>
    </row>
    <row r="155" spans="2:8" x14ac:dyDescent="0.2">
      <c r="B155" s="24" t="s">
        <v>1116</v>
      </c>
      <c r="C155" s="24" t="s">
        <v>1117</v>
      </c>
      <c r="D155" s="24" t="s">
        <v>280</v>
      </c>
      <c r="E155" s="28">
        <v>16667</v>
      </c>
      <c r="F155" s="25">
        <v>64.484622999999999</v>
      </c>
      <c r="G155" s="26">
        <v>0.28942623481072699</v>
      </c>
      <c r="H155" s="24"/>
    </row>
    <row r="156" spans="2:8" x14ac:dyDescent="0.2">
      <c r="B156" s="24" t="s">
        <v>1118</v>
      </c>
      <c r="C156" s="24" t="s">
        <v>1119</v>
      </c>
      <c r="D156" s="24" t="s">
        <v>280</v>
      </c>
      <c r="E156" s="28">
        <v>36271</v>
      </c>
      <c r="F156" s="25">
        <v>64.435431500000007</v>
      </c>
      <c r="G156" s="26">
        <v>0.289205448676494</v>
      </c>
      <c r="H156" s="24"/>
    </row>
    <row r="157" spans="2:8" x14ac:dyDescent="0.2">
      <c r="B157" s="24" t="s">
        <v>1120</v>
      </c>
      <c r="C157" s="24" t="s">
        <v>1121</v>
      </c>
      <c r="D157" s="24" t="s">
        <v>521</v>
      </c>
      <c r="E157" s="28">
        <v>8427</v>
      </c>
      <c r="F157" s="25">
        <v>63.177219000000001</v>
      </c>
      <c r="G157" s="26">
        <v>0.28355821543661303</v>
      </c>
      <c r="H157" s="24"/>
    </row>
    <row r="158" spans="2:8" x14ac:dyDescent="0.2">
      <c r="B158" s="24" t="s">
        <v>1122</v>
      </c>
      <c r="C158" s="24" t="s">
        <v>1123</v>
      </c>
      <c r="D158" s="24" t="s">
        <v>499</v>
      </c>
      <c r="E158" s="28">
        <v>8506</v>
      </c>
      <c r="F158" s="25">
        <v>62.361739</v>
      </c>
      <c r="G158" s="26">
        <v>0.27989809779952202</v>
      </c>
      <c r="H158" s="24"/>
    </row>
    <row r="159" spans="2:8" x14ac:dyDescent="0.2">
      <c r="B159" s="24" t="s">
        <v>1124</v>
      </c>
      <c r="C159" s="24" t="s">
        <v>1125</v>
      </c>
      <c r="D159" s="24" t="s">
        <v>311</v>
      </c>
      <c r="E159" s="28">
        <v>6896</v>
      </c>
      <c r="F159" s="25">
        <v>62.001936000000001</v>
      </c>
      <c r="G159" s="26">
        <v>0.27828319454477801</v>
      </c>
      <c r="H159" s="24"/>
    </row>
    <row r="160" spans="2:8" x14ac:dyDescent="0.2">
      <c r="B160" s="24" t="s">
        <v>1126</v>
      </c>
      <c r="C160" s="24" t="s">
        <v>1127</v>
      </c>
      <c r="D160" s="24" t="s">
        <v>306</v>
      </c>
      <c r="E160" s="28">
        <v>686</v>
      </c>
      <c r="F160" s="25">
        <v>61.938940000000002</v>
      </c>
      <c r="G160" s="26">
        <v>0.27800044969430199</v>
      </c>
      <c r="H160" s="24"/>
    </row>
    <row r="161" spans="2:8" x14ac:dyDescent="0.2">
      <c r="B161" s="24" t="s">
        <v>1128</v>
      </c>
      <c r="C161" s="24" t="s">
        <v>1129</v>
      </c>
      <c r="D161" s="24" t="s">
        <v>412</v>
      </c>
      <c r="E161" s="28">
        <v>3711</v>
      </c>
      <c r="F161" s="25">
        <v>61.702796999999997</v>
      </c>
      <c r="G161" s="26">
        <v>0.276940569428477</v>
      </c>
      <c r="H161" s="24"/>
    </row>
    <row r="162" spans="2:8" x14ac:dyDescent="0.2">
      <c r="B162" s="24" t="s">
        <v>1130</v>
      </c>
      <c r="C162" s="24" t="s">
        <v>1131</v>
      </c>
      <c r="D162" s="24" t="s">
        <v>280</v>
      </c>
      <c r="E162" s="28">
        <v>30486</v>
      </c>
      <c r="F162" s="25">
        <v>61.350026399999997</v>
      </c>
      <c r="G162" s="26">
        <v>0.27535722968389997</v>
      </c>
      <c r="H162" s="24"/>
    </row>
    <row r="163" spans="2:8" x14ac:dyDescent="0.2">
      <c r="B163" s="24" t="s">
        <v>1132</v>
      </c>
      <c r="C163" s="24" t="s">
        <v>1133</v>
      </c>
      <c r="D163" s="24" t="s">
        <v>280</v>
      </c>
      <c r="E163" s="28">
        <v>5582</v>
      </c>
      <c r="F163" s="25">
        <v>60.402822</v>
      </c>
      <c r="G163" s="26">
        <v>0.27110589362370302</v>
      </c>
      <c r="H163" s="24"/>
    </row>
    <row r="164" spans="2:8" x14ac:dyDescent="0.2">
      <c r="B164" s="24" t="s">
        <v>1134</v>
      </c>
      <c r="C164" s="24" t="s">
        <v>1135</v>
      </c>
      <c r="D164" s="24" t="s">
        <v>277</v>
      </c>
      <c r="E164" s="28">
        <v>7102</v>
      </c>
      <c r="F164" s="25">
        <v>60.019002</v>
      </c>
      <c r="G164" s="26">
        <v>0.26938319490458201</v>
      </c>
      <c r="H164" s="24"/>
    </row>
    <row r="165" spans="2:8" x14ac:dyDescent="0.2">
      <c r="B165" s="24" t="s">
        <v>1136</v>
      </c>
      <c r="C165" s="24" t="s">
        <v>1137</v>
      </c>
      <c r="D165" s="24" t="s">
        <v>427</v>
      </c>
      <c r="E165" s="28">
        <v>11451</v>
      </c>
      <c r="F165" s="25">
        <v>59.9059065</v>
      </c>
      <c r="G165" s="26">
        <v>0.26887558854486099</v>
      </c>
      <c r="H165" s="24"/>
    </row>
    <row r="166" spans="2:8" x14ac:dyDescent="0.2">
      <c r="B166" s="24" t="s">
        <v>1138</v>
      </c>
      <c r="C166" s="24" t="s">
        <v>1139</v>
      </c>
      <c r="D166" s="24" t="s">
        <v>376</v>
      </c>
      <c r="E166" s="28">
        <v>15303</v>
      </c>
      <c r="F166" s="25">
        <v>59.597533499999997</v>
      </c>
      <c r="G166" s="26">
        <v>0.26749151848047897</v>
      </c>
      <c r="H166" s="24"/>
    </row>
    <row r="167" spans="2:8" x14ac:dyDescent="0.2">
      <c r="B167" s="24" t="s">
        <v>1140</v>
      </c>
      <c r="C167" s="24" t="s">
        <v>1141</v>
      </c>
      <c r="D167" s="24" t="s">
        <v>373</v>
      </c>
      <c r="E167" s="28">
        <v>11443</v>
      </c>
      <c r="F167" s="25">
        <v>59.555093499999998</v>
      </c>
      <c r="G167" s="26">
        <v>0.267301035093371</v>
      </c>
      <c r="H167" s="24"/>
    </row>
    <row r="168" spans="2:8" x14ac:dyDescent="0.2">
      <c r="B168" s="24" t="s">
        <v>1142</v>
      </c>
      <c r="C168" s="24" t="s">
        <v>1143</v>
      </c>
      <c r="D168" s="24" t="s">
        <v>446</v>
      </c>
      <c r="E168" s="28">
        <v>19564</v>
      </c>
      <c r="F168" s="25">
        <v>58.985460000000003</v>
      </c>
      <c r="G168" s="26">
        <v>0.26474434992631901</v>
      </c>
      <c r="H168" s="24"/>
    </row>
    <row r="169" spans="2:8" x14ac:dyDescent="0.2">
      <c r="B169" s="24" t="s">
        <v>1144</v>
      </c>
      <c r="C169" s="24" t="s">
        <v>1145</v>
      </c>
      <c r="D169" s="24" t="s">
        <v>521</v>
      </c>
      <c r="E169" s="28">
        <v>9361</v>
      </c>
      <c r="F169" s="25">
        <v>58.398598499999999</v>
      </c>
      <c r="G169" s="26">
        <v>0.26211034035320901</v>
      </c>
      <c r="H169" s="24"/>
    </row>
    <row r="170" spans="2:8" x14ac:dyDescent="0.2">
      <c r="B170" s="24" t="s">
        <v>1146</v>
      </c>
      <c r="C170" s="24" t="s">
        <v>1147</v>
      </c>
      <c r="D170" s="24" t="s">
        <v>373</v>
      </c>
      <c r="E170" s="28">
        <v>5434</v>
      </c>
      <c r="F170" s="25">
        <v>57.654739999999997</v>
      </c>
      <c r="G170" s="26">
        <v>0.25877168138505602</v>
      </c>
      <c r="H170" s="24"/>
    </row>
    <row r="171" spans="2:8" x14ac:dyDescent="0.2">
      <c r="B171" s="24" t="s">
        <v>1148</v>
      </c>
      <c r="C171" s="24" t="s">
        <v>1149</v>
      </c>
      <c r="D171" s="24" t="s">
        <v>296</v>
      </c>
      <c r="E171" s="28">
        <v>11847</v>
      </c>
      <c r="F171" s="25">
        <v>57.463873499999998</v>
      </c>
      <c r="G171" s="26">
        <v>0.25791501556495</v>
      </c>
      <c r="H171" s="24"/>
    </row>
    <row r="172" spans="2:8" x14ac:dyDescent="0.2">
      <c r="B172" s="24" t="s">
        <v>1150</v>
      </c>
      <c r="C172" s="24" t="s">
        <v>1151</v>
      </c>
      <c r="D172" s="24" t="s">
        <v>745</v>
      </c>
      <c r="E172" s="28">
        <v>1834</v>
      </c>
      <c r="F172" s="25">
        <v>57.052072000000003</v>
      </c>
      <c r="G172" s="26">
        <v>0.25606672752216503</v>
      </c>
      <c r="H172" s="24"/>
    </row>
    <row r="173" spans="2:8" x14ac:dyDescent="0.2">
      <c r="B173" s="24" t="s">
        <v>1152</v>
      </c>
      <c r="C173" s="24" t="s">
        <v>1153</v>
      </c>
      <c r="D173" s="24" t="s">
        <v>376</v>
      </c>
      <c r="E173" s="28">
        <v>12780</v>
      </c>
      <c r="F173" s="25">
        <v>56.794319999999999</v>
      </c>
      <c r="G173" s="26">
        <v>0.25490985961467999</v>
      </c>
      <c r="H173" s="24"/>
    </row>
    <row r="174" spans="2:8" x14ac:dyDescent="0.2">
      <c r="B174" s="24" t="s">
        <v>1154</v>
      </c>
      <c r="C174" s="24" t="s">
        <v>1155</v>
      </c>
      <c r="D174" s="24" t="s">
        <v>317</v>
      </c>
      <c r="E174" s="28">
        <v>128240</v>
      </c>
      <c r="F174" s="25">
        <v>56.746200000000002</v>
      </c>
      <c r="G174" s="26">
        <v>0.25469388269225801</v>
      </c>
      <c r="H174" s="24"/>
    </row>
    <row r="175" spans="2:8" x14ac:dyDescent="0.2">
      <c r="B175" s="24" t="s">
        <v>1156</v>
      </c>
      <c r="C175" s="24" t="s">
        <v>1157</v>
      </c>
      <c r="D175" s="24" t="s">
        <v>311</v>
      </c>
      <c r="E175" s="28">
        <v>6760</v>
      </c>
      <c r="F175" s="25">
        <v>56.026879999999998</v>
      </c>
      <c r="G175" s="26">
        <v>0.25146535983613399</v>
      </c>
      <c r="H175" s="24"/>
    </row>
    <row r="176" spans="2:8" x14ac:dyDescent="0.2">
      <c r="B176" s="24" t="s">
        <v>1158</v>
      </c>
      <c r="C176" s="24" t="s">
        <v>1159</v>
      </c>
      <c r="D176" s="24" t="s">
        <v>373</v>
      </c>
      <c r="E176" s="28">
        <v>2895</v>
      </c>
      <c r="F176" s="25">
        <v>55.841655000000003</v>
      </c>
      <c r="G176" s="26">
        <v>0.25063401475185199</v>
      </c>
      <c r="H176" s="24"/>
    </row>
    <row r="177" spans="2:8" x14ac:dyDescent="0.2">
      <c r="B177" s="24" t="s">
        <v>1160</v>
      </c>
      <c r="C177" s="24" t="s">
        <v>1161</v>
      </c>
      <c r="D177" s="24" t="s">
        <v>783</v>
      </c>
      <c r="E177" s="28">
        <v>4431</v>
      </c>
      <c r="F177" s="25">
        <v>55.480550999999998</v>
      </c>
      <c r="G177" s="26">
        <v>0.249013272220798</v>
      </c>
      <c r="H177" s="24"/>
    </row>
    <row r="178" spans="2:8" x14ac:dyDescent="0.2">
      <c r="B178" s="24" t="s">
        <v>1162</v>
      </c>
      <c r="C178" s="24" t="s">
        <v>1163</v>
      </c>
      <c r="D178" s="24" t="s">
        <v>608</v>
      </c>
      <c r="E178" s="28">
        <v>9211</v>
      </c>
      <c r="F178" s="25">
        <v>55.150862500000002</v>
      </c>
      <c r="G178" s="26">
        <v>0.24753353183035801</v>
      </c>
      <c r="H178" s="24"/>
    </row>
    <row r="179" spans="2:8" x14ac:dyDescent="0.2">
      <c r="B179" s="24" t="s">
        <v>1164</v>
      </c>
      <c r="C179" s="24" t="s">
        <v>1165</v>
      </c>
      <c r="D179" s="24" t="s">
        <v>360</v>
      </c>
      <c r="E179" s="28">
        <v>7288</v>
      </c>
      <c r="F179" s="25">
        <v>54.645423999999998</v>
      </c>
      <c r="G179" s="26">
        <v>0.24526497298364799</v>
      </c>
      <c r="H179" s="24"/>
    </row>
    <row r="180" spans="2:8" x14ac:dyDescent="0.2">
      <c r="B180" s="24" t="s">
        <v>1166</v>
      </c>
      <c r="C180" s="24" t="s">
        <v>1167</v>
      </c>
      <c r="D180" s="24" t="s">
        <v>289</v>
      </c>
      <c r="E180" s="28">
        <v>4555</v>
      </c>
      <c r="F180" s="25">
        <v>54.614449999999998</v>
      </c>
      <c r="G180" s="26">
        <v>0.24512595242680901</v>
      </c>
      <c r="H180" s="24"/>
    </row>
    <row r="181" spans="2:8" x14ac:dyDescent="0.2">
      <c r="B181" s="24" t="s">
        <v>1168</v>
      </c>
      <c r="C181" s="24" t="s">
        <v>1169</v>
      </c>
      <c r="D181" s="24" t="s">
        <v>521</v>
      </c>
      <c r="E181" s="28">
        <v>31336</v>
      </c>
      <c r="F181" s="25">
        <v>54.527773600000003</v>
      </c>
      <c r="G181" s="26">
        <v>0.24473692287322199</v>
      </c>
      <c r="H181" s="24"/>
    </row>
    <row r="182" spans="2:8" x14ac:dyDescent="0.2">
      <c r="B182" s="24" t="s">
        <v>1170</v>
      </c>
      <c r="C182" s="24" t="s">
        <v>1171</v>
      </c>
      <c r="D182" s="24" t="s">
        <v>317</v>
      </c>
      <c r="E182" s="28">
        <v>10232</v>
      </c>
      <c r="F182" s="25">
        <v>53.262675999999999</v>
      </c>
      <c r="G182" s="26">
        <v>0.239058787249538</v>
      </c>
      <c r="H182" s="24"/>
    </row>
    <row r="183" spans="2:8" x14ac:dyDescent="0.2">
      <c r="B183" s="24" t="s">
        <v>1458</v>
      </c>
      <c r="C183" s="24" t="s">
        <v>1172</v>
      </c>
      <c r="D183" s="24" t="s">
        <v>314</v>
      </c>
      <c r="E183" s="28">
        <v>32259</v>
      </c>
      <c r="F183" s="25">
        <v>53.0789586</v>
      </c>
      <c r="G183" s="26">
        <v>0.238234208724031</v>
      </c>
      <c r="H183" s="24"/>
    </row>
    <row r="184" spans="2:8" x14ac:dyDescent="0.2">
      <c r="B184" s="24" t="s">
        <v>1173</v>
      </c>
      <c r="C184" s="24" t="s">
        <v>1174</v>
      </c>
      <c r="D184" s="24" t="s">
        <v>521</v>
      </c>
      <c r="E184" s="28">
        <v>3627</v>
      </c>
      <c r="F184" s="25">
        <v>52.689428999999997</v>
      </c>
      <c r="G184" s="26">
        <v>0.23648588361596101</v>
      </c>
      <c r="H184" s="24"/>
    </row>
    <row r="185" spans="2:8" x14ac:dyDescent="0.2">
      <c r="B185" s="24" t="s">
        <v>1175</v>
      </c>
      <c r="C185" s="24" t="s">
        <v>1176</v>
      </c>
      <c r="D185" s="24" t="s">
        <v>507</v>
      </c>
      <c r="E185" s="28">
        <v>4655</v>
      </c>
      <c r="F185" s="25">
        <v>52.578225000000003</v>
      </c>
      <c r="G185" s="26">
        <v>0.23598676687279799</v>
      </c>
      <c r="H185" s="24"/>
    </row>
    <row r="186" spans="2:8" x14ac:dyDescent="0.2">
      <c r="B186" s="24" t="s">
        <v>1177</v>
      </c>
      <c r="C186" s="24" t="s">
        <v>1178</v>
      </c>
      <c r="D186" s="24" t="s">
        <v>1179</v>
      </c>
      <c r="E186" s="28">
        <v>2006</v>
      </c>
      <c r="F186" s="25">
        <v>52.464924000000003</v>
      </c>
      <c r="G186" s="26">
        <v>0.23547823816774099</v>
      </c>
      <c r="H186" s="24"/>
    </row>
    <row r="187" spans="2:8" x14ac:dyDescent="0.2">
      <c r="B187" s="24" t="s">
        <v>1180</v>
      </c>
      <c r="C187" s="24" t="s">
        <v>1181</v>
      </c>
      <c r="D187" s="24" t="s">
        <v>306</v>
      </c>
      <c r="E187" s="28">
        <v>6190</v>
      </c>
      <c r="F187" s="25">
        <v>52.376685000000002</v>
      </c>
      <c r="G187" s="26">
        <v>0.23508219519896201</v>
      </c>
      <c r="H187" s="24"/>
    </row>
    <row r="188" spans="2:8" x14ac:dyDescent="0.2">
      <c r="B188" s="24" t="s">
        <v>1182</v>
      </c>
      <c r="C188" s="24" t="s">
        <v>1183</v>
      </c>
      <c r="D188" s="24" t="s">
        <v>363</v>
      </c>
      <c r="E188" s="28">
        <v>68718</v>
      </c>
      <c r="F188" s="25">
        <v>51.813372000000001</v>
      </c>
      <c r="G188" s="26">
        <v>0.23255387832239599</v>
      </c>
      <c r="H188" s="24"/>
    </row>
    <row r="189" spans="2:8" x14ac:dyDescent="0.2">
      <c r="B189" s="24" t="s">
        <v>1184</v>
      </c>
      <c r="C189" s="24" t="s">
        <v>1185</v>
      </c>
      <c r="D189" s="24" t="s">
        <v>499</v>
      </c>
      <c r="E189" s="28">
        <v>15118</v>
      </c>
      <c r="F189" s="25">
        <v>51.363405</v>
      </c>
      <c r="G189" s="26">
        <v>0.230534292124318</v>
      </c>
      <c r="H189" s="24"/>
    </row>
    <row r="190" spans="2:8" x14ac:dyDescent="0.2">
      <c r="B190" s="24" t="s">
        <v>1186</v>
      </c>
      <c r="C190" s="24" t="s">
        <v>1187</v>
      </c>
      <c r="D190" s="24" t="s">
        <v>427</v>
      </c>
      <c r="E190" s="28">
        <v>8940</v>
      </c>
      <c r="F190" s="25">
        <v>51.324539999999999</v>
      </c>
      <c r="G190" s="26">
        <v>0.230359854404244</v>
      </c>
      <c r="H190" s="24"/>
    </row>
    <row r="191" spans="2:8" x14ac:dyDescent="0.2">
      <c r="B191" s="24" t="s">
        <v>1188</v>
      </c>
      <c r="C191" s="24" t="s">
        <v>1189</v>
      </c>
      <c r="D191" s="24" t="s">
        <v>446</v>
      </c>
      <c r="E191" s="28">
        <v>1269</v>
      </c>
      <c r="F191" s="25">
        <v>50.229557999999997</v>
      </c>
      <c r="G191" s="26">
        <v>0.22544524836792601</v>
      </c>
      <c r="H191" s="24"/>
    </row>
    <row r="192" spans="2:8" x14ac:dyDescent="0.2">
      <c r="B192" s="24" t="s">
        <v>1190</v>
      </c>
      <c r="C192" s="24" t="s">
        <v>1191</v>
      </c>
      <c r="D192" s="24" t="s">
        <v>655</v>
      </c>
      <c r="E192" s="28">
        <v>11409</v>
      </c>
      <c r="F192" s="25">
        <v>49.9200795</v>
      </c>
      <c r="G192" s="26">
        <v>0.22405621648958399</v>
      </c>
      <c r="H192" s="24"/>
    </row>
    <row r="193" spans="2:8" x14ac:dyDescent="0.2">
      <c r="B193" s="24" t="s">
        <v>1192</v>
      </c>
      <c r="C193" s="24" t="s">
        <v>1193</v>
      </c>
      <c r="D193" s="24" t="s">
        <v>266</v>
      </c>
      <c r="E193" s="28">
        <v>49635</v>
      </c>
      <c r="F193" s="25">
        <v>49.783904999999997</v>
      </c>
      <c r="G193" s="26">
        <v>0.22344502468945099</v>
      </c>
      <c r="H193" s="24"/>
    </row>
    <row r="194" spans="2:8" x14ac:dyDescent="0.2">
      <c r="B194" s="24" t="s">
        <v>1194</v>
      </c>
      <c r="C194" s="24" t="s">
        <v>1195</v>
      </c>
      <c r="D194" s="24" t="s">
        <v>306</v>
      </c>
      <c r="E194" s="28">
        <v>3683</v>
      </c>
      <c r="F194" s="25">
        <v>49.558447999999999</v>
      </c>
      <c r="G194" s="26">
        <v>0.22243310638108599</v>
      </c>
      <c r="H194" s="24"/>
    </row>
    <row r="195" spans="2:8" x14ac:dyDescent="0.2">
      <c r="B195" s="24" t="s">
        <v>1196</v>
      </c>
      <c r="C195" s="24" t="s">
        <v>1197</v>
      </c>
      <c r="D195" s="24" t="s">
        <v>454</v>
      </c>
      <c r="E195" s="28">
        <v>4361</v>
      </c>
      <c r="F195" s="25">
        <v>49.165914000000001</v>
      </c>
      <c r="G195" s="26">
        <v>0.22067129662908999</v>
      </c>
      <c r="H195" s="24"/>
    </row>
    <row r="196" spans="2:8" x14ac:dyDescent="0.2">
      <c r="B196" s="24" t="s">
        <v>1198</v>
      </c>
      <c r="C196" s="24" t="s">
        <v>1199</v>
      </c>
      <c r="D196" s="24" t="s">
        <v>521</v>
      </c>
      <c r="E196" s="28">
        <v>7423</v>
      </c>
      <c r="F196" s="25">
        <v>47.633391000000003</v>
      </c>
      <c r="G196" s="26">
        <v>0.21379287599149299</v>
      </c>
      <c r="H196" s="24"/>
    </row>
    <row r="197" spans="2:8" x14ac:dyDescent="0.2">
      <c r="B197" s="24" t="s">
        <v>1200</v>
      </c>
      <c r="C197" s="24" t="s">
        <v>1201</v>
      </c>
      <c r="D197" s="24" t="s">
        <v>311</v>
      </c>
      <c r="E197" s="28">
        <v>1486</v>
      </c>
      <c r="F197" s="25">
        <v>47.214677999999999</v>
      </c>
      <c r="G197" s="26">
        <v>0.211913567073826</v>
      </c>
      <c r="H197" s="24"/>
    </row>
    <row r="198" spans="2:8" x14ac:dyDescent="0.2">
      <c r="B198" s="24" t="s">
        <v>1202</v>
      </c>
      <c r="C198" s="24" t="s">
        <v>1203</v>
      </c>
      <c r="D198" s="24" t="s">
        <v>451</v>
      </c>
      <c r="E198" s="28">
        <v>9796</v>
      </c>
      <c r="F198" s="25">
        <v>47.162841999999998</v>
      </c>
      <c r="G198" s="26">
        <v>0.21168091163428601</v>
      </c>
      <c r="H198" s="24"/>
    </row>
    <row r="199" spans="2:8" x14ac:dyDescent="0.2">
      <c r="B199" s="24" t="s">
        <v>1204</v>
      </c>
      <c r="C199" s="24" t="s">
        <v>1205</v>
      </c>
      <c r="D199" s="24" t="s">
        <v>451</v>
      </c>
      <c r="E199" s="28">
        <v>6511</v>
      </c>
      <c r="F199" s="25">
        <v>47.068019</v>
      </c>
      <c r="G199" s="26">
        <v>0.211255317708375</v>
      </c>
      <c r="H199" s="24"/>
    </row>
    <row r="200" spans="2:8" x14ac:dyDescent="0.2">
      <c r="B200" s="24" t="s">
        <v>1206</v>
      </c>
      <c r="C200" s="24" t="s">
        <v>1207</v>
      </c>
      <c r="D200" s="24" t="s">
        <v>446</v>
      </c>
      <c r="E200" s="28">
        <v>5352</v>
      </c>
      <c r="F200" s="25">
        <v>46.886195999999998</v>
      </c>
      <c r="G200" s="26">
        <v>0.21043924181549101</v>
      </c>
      <c r="H200" s="24"/>
    </row>
    <row r="201" spans="2:8" x14ac:dyDescent="0.2">
      <c r="B201" s="24" t="s">
        <v>1208</v>
      </c>
      <c r="C201" s="24" t="s">
        <v>1209</v>
      </c>
      <c r="D201" s="24" t="s">
        <v>303</v>
      </c>
      <c r="E201" s="28">
        <v>61037</v>
      </c>
      <c r="F201" s="25">
        <v>46.864208599999998</v>
      </c>
      <c r="G201" s="26">
        <v>0.210340555801691</v>
      </c>
      <c r="H201" s="24"/>
    </row>
    <row r="202" spans="2:8" x14ac:dyDescent="0.2">
      <c r="B202" s="24" t="s">
        <v>1210</v>
      </c>
      <c r="C202" s="24" t="s">
        <v>1211</v>
      </c>
      <c r="D202" s="24" t="s">
        <v>655</v>
      </c>
      <c r="E202" s="28">
        <v>35367</v>
      </c>
      <c r="F202" s="25">
        <v>46.178691899999997</v>
      </c>
      <c r="G202" s="26">
        <v>0.20726375224526999</v>
      </c>
      <c r="H202" s="24"/>
    </row>
    <row r="203" spans="2:8" x14ac:dyDescent="0.2">
      <c r="B203" s="24" t="s">
        <v>1212</v>
      </c>
      <c r="C203" s="24" t="s">
        <v>1213</v>
      </c>
      <c r="D203" s="24" t="s">
        <v>521</v>
      </c>
      <c r="E203" s="28">
        <v>2816</v>
      </c>
      <c r="F203" s="25">
        <v>45.343232</v>
      </c>
      <c r="G203" s="26">
        <v>0.203513958853559</v>
      </c>
      <c r="H203" s="24"/>
    </row>
    <row r="204" spans="2:8" x14ac:dyDescent="0.2">
      <c r="B204" s="24" t="s">
        <v>1214</v>
      </c>
      <c r="C204" s="24" t="s">
        <v>1215</v>
      </c>
      <c r="D204" s="24" t="s">
        <v>296</v>
      </c>
      <c r="E204" s="28">
        <v>43427</v>
      </c>
      <c r="F204" s="25">
        <v>45.185793500000003</v>
      </c>
      <c r="G204" s="26">
        <v>0.20280732787474101</v>
      </c>
      <c r="H204" s="24"/>
    </row>
    <row r="205" spans="2:8" x14ac:dyDescent="0.2">
      <c r="B205" s="24" t="s">
        <v>1216</v>
      </c>
      <c r="C205" s="24" t="s">
        <v>1217</v>
      </c>
      <c r="D205" s="24" t="s">
        <v>306</v>
      </c>
      <c r="E205" s="28">
        <v>3310</v>
      </c>
      <c r="F205" s="25">
        <v>45.164949999999997</v>
      </c>
      <c r="G205" s="26">
        <v>0.20271377602556101</v>
      </c>
      <c r="H205" s="24"/>
    </row>
    <row r="206" spans="2:8" x14ac:dyDescent="0.2">
      <c r="B206" s="24" t="s">
        <v>1218</v>
      </c>
      <c r="C206" s="24" t="s">
        <v>1219</v>
      </c>
      <c r="D206" s="24" t="s">
        <v>269</v>
      </c>
      <c r="E206" s="28">
        <v>5353</v>
      </c>
      <c r="F206" s="25">
        <v>44.761786000000001</v>
      </c>
      <c r="G206" s="26">
        <v>0.20090425566081899</v>
      </c>
      <c r="H206" s="24"/>
    </row>
    <row r="207" spans="2:8" x14ac:dyDescent="0.2">
      <c r="B207" s="24" t="s">
        <v>1220</v>
      </c>
      <c r="C207" s="24" t="s">
        <v>1221</v>
      </c>
      <c r="D207" s="24" t="s">
        <v>499</v>
      </c>
      <c r="E207" s="28">
        <v>13742</v>
      </c>
      <c r="F207" s="25">
        <v>44.331691999999997</v>
      </c>
      <c r="G207" s="26">
        <v>0.19897386541825399</v>
      </c>
      <c r="H207" s="24"/>
    </row>
    <row r="208" spans="2:8" x14ac:dyDescent="0.2">
      <c r="B208" s="24" t="s">
        <v>1222</v>
      </c>
      <c r="C208" s="24" t="s">
        <v>1223</v>
      </c>
      <c r="D208" s="24" t="s">
        <v>521</v>
      </c>
      <c r="E208" s="28">
        <v>5835</v>
      </c>
      <c r="F208" s="25">
        <v>44.039662499999999</v>
      </c>
      <c r="G208" s="26">
        <v>0.197663149859931</v>
      </c>
      <c r="H208" s="24"/>
    </row>
    <row r="209" spans="2:8" x14ac:dyDescent="0.2">
      <c r="B209" s="24" t="s">
        <v>1224</v>
      </c>
      <c r="C209" s="24" t="s">
        <v>1225</v>
      </c>
      <c r="D209" s="24" t="s">
        <v>436</v>
      </c>
      <c r="E209" s="28">
        <v>15335</v>
      </c>
      <c r="F209" s="25">
        <v>43.896437499999998</v>
      </c>
      <c r="G209" s="26">
        <v>0.19702031331143</v>
      </c>
      <c r="H209" s="24"/>
    </row>
    <row r="210" spans="2:8" x14ac:dyDescent="0.2">
      <c r="B210" s="24" t="s">
        <v>1226</v>
      </c>
      <c r="C210" s="24" t="s">
        <v>1227</v>
      </c>
      <c r="D210" s="24" t="s">
        <v>373</v>
      </c>
      <c r="E210" s="28">
        <v>8583</v>
      </c>
      <c r="F210" s="25">
        <v>43.631680500000002</v>
      </c>
      <c r="G210" s="26">
        <v>0.195832004873156</v>
      </c>
      <c r="H210" s="24"/>
    </row>
    <row r="211" spans="2:8" x14ac:dyDescent="0.2">
      <c r="B211" s="24" t="s">
        <v>1228</v>
      </c>
      <c r="C211" s="24" t="s">
        <v>1229</v>
      </c>
      <c r="D211" s="24" t="s">
        <v>337</v>
      </c>
      <c r="E211" s="28">
        <v>18824</v>
      </c>
      <c r="F211" s="25">
        <v>43.6265024</v>
      </c>
      <c r="G211" s="26">
        <v>0.19580876401484401</v>
      </c>
      <c r="H211" s="24"/>
    </row>
    <row r="212" spans="2:8" x14ac:dyDescent="0.2">
      <c r="B212" s="24" t="s">
        <v>1230</v>
      </c>
      <c r="C212" s="24" t="s">
        <v>1231</v>
      </c>
      <c r="D212" s="24" t="s">
        <v>521</v>
      </c>
      <c r="E212" s="28">
        <v>25874</v>
      </c>
      <c r="F212" s="25">
        <v>43.452795600000002</v>
      </c>
      <c r="G212" s="26">
        <v>0.19502911605001</v>
      </c>
      <c r="H212" s="24"/>
    </row>
    <row r="213" spans="2:8" x14ac:dyDescent="0.2">
      <c r="B213" s="24" t="s">
        <v>1232</v>
      </c>
      <c r="C213" s="24" t="s">
        <v>1233</v>
      </c>
      <c r="D213" s="24" t="s">
        <v>540</v>
      </c>
      <c r="E213" s="28">
        <v>4581</v>
      </c>
      <c r="F213" s="25">
        <v>43.3660365</v>
      </c>
      <c r="G213" s="26">
        <v>0.19463971531413901</v>
      </c>
      <c r="H213" s="24"/>
    </row>
    <row r="214" spans="2:8" x14ac:dyDescent="0.2">
      <c r="B214" s="24" t="s">
        <v>1234</v>
      </c>
      <c r="C214" s="24" t="s">
        <v>1235</v>
      </c>
      <c r="D214" s="24" t="s">
        <v>412</v>
      </c>
      <c r="E214" s="28">
        <v>13502</v>
      </c>
      <c r="F214" s="25">
        <v>43.354922000000002</v>
      </c>
      <c r="G214" s="26">
        <v>0.19458983012078401</v>
      </c>
      <c r="H214" s="24"/>
    </row>
    <row r="215" spans="2:8" x14ac:dyDescent="0.2">
      <c r="B215" s="24" t="s">
        <v>1236</v>
      </c>
      <c r="C215" s="24" t="s">
        <v>1237</v>
      </c>
      <c r="D215" s="24" t="s">
        <v>1179</v>
      </c>
      <c r="E215" s="28">
        <v>15102</v>
      </c>
      <c r="F215" s="25">
        <v>42.685803</v>
      </c>
      <c r="G215" s="26">
        <v>0.191586624336199</v>
      </c>
      <c r="H215" s="24"/>
    </row>
    <row r="216" spans="2:8" x14ac:dyDescent="0.2">
      <c r="B216" s="24" t="s">
        <v>1238</v>
      </c>
      <c r="C216" s="24" t="s">
        <v>1239</v>
      </c>
      <c r="D216" s="24" t="s">
        <v>277</v>
      </c>
      <c r="E216" s="28">
        <v>9137</v>
      </c>
      <c r="F216" s="25">
        <v>42.066747999999997</v>
      </c>
      <c r="G216" s="26">
        <v>0.18880812072626499</v>
      </c>
      <c r="H216" s="24"/>
    </row>
    <row r="217" spans="2:8" x14ac:dyDescent="0.2">
      <c r="B217" s="24" t="s">
        <v>1240</v>
      </c>
      <c r="C217" s="24" t="s">
        <v>1241</v>
      </c>
      <c r="D217" s="24" t="s">
        <v>306</v>
      </c>
      <c r="E217" s="28">
        <v>2247</v>
      </c>
      <c r="F217" s="25">
        <v>41.302106999999999</v>
      </c>
      <c r="G217" s="26">
        <v>0.185376183695139</v>
      </c>
      <c r="H217" s="24"/>
    </row>
    <row r="218" spans="2:8" x14ac:dyDescent="0.2">
      <c r="B218" s="24" t="s">
        <v>1242</v>
      </c>
      <c r="C218" s="24" t="s">
        <v>1243</v>
      </c>
      <c r="D218" s="24" t="s">
        <v>1244</v>
      </c>
      <c r="E218" s="28">
        <v>9067</v>
      </c>
      <c r="F218" s="25">
        <v>40.769765499999998</v>
      </c>
      <c r="G218" s="26">
        <v>0.182986876154665</v>
      </c>
      <c r="H218" s="24"/>
    </row>
    <row r="219" spans="2:8" x14ac:dyDescent="0.2">
      <c r="B219" s="24" t="s">
        <v>1245</v>
      </c>
      <c r="C219" s="24" t="s">
        <v>1246</v>
      </c>
      <c r="D219" s="24" t="s">
        <v>266</v>
      </c>
      <c r="E219" s="28">
        <v>108379</v>
      </c>
      <c r="F219" s="25">
        <v>40.533746000000001</v>
      </c>
      <c r="G219" s="26">
        <v>0.18192755019370099</v>
      </c>
      <c r="H219" s="24"/>
    </row>
    <row r="220" spans="2:8" x14ac:dyDescent="0.2">
      <c r="B220" s="24" t="s">
        <v>1247</v>
      </c>
      <c r="C220" s="24" t="s">
        <v>1248</v>
      </c>
      <c r="D220" s="24" t="s">
        <v>323</v>
      </c>
      <c r="E220" s="28">
        <v>11155</v>
      </c>
      <c r="F220" s="25">
        <v>39.706222500000003</v>
      </c>
      <c r="G220" s="26">
        <v>0.178213377733975</v>
      </c>
      <c r="H220" s="24"/>
    </row>
    <row r="221" spans="2:8" x14ac:dyDescent="0.2">
      <c r="B221" s="24" t="s">
        <v>1249</v>
      </c>
      <c r="C221" s="24" t="s">
        <v>1250</v>
      </c>
      <c r="D221" s="24" t="s">
        <v>303</v>
      </c>
      <c r="E221" s="28">
        <v>6795</v>
      </c>
      <c r="F221" s="25">
        <v>39.553694999999998</v>
      </c>
      <c r="G221" s="26">
        <v>0.17752878878894701</v>
      </c>
      <c r="H221" s="24"/>
    </row>
    <row r="222" spans="2:8" x14ac:dyDescent="0.2">
      <c r="B222" s="24" t="s">
        <v>1251</v>
      </c>
      <c r="C222" s="24" t="s">
        <v>1252</v>
      </c>
      <c r="D222" s="24" t="s">
        <v>296</v>
      </c>
      <c r="E222" s="28">
        <v>73744</v>
      </c>
      <c r="F222" s="25">
        <v>39.010576</v>
      </c>
      <c r="G222" s="26">
        <v>0.17509110861170299</v>
      </c>
      <c r="H222" s="24"/>
    </row>
    <row r="223" spans="2:8" x14ac:dyDescent="0.2">
      <c r="B223" s="24" t="s">
        <v>1253</v>
      </c>
      <c r="C223" s="24" t="s">
        <v>1254</v>
      </c>
      <c r="D223" s="24" t="s">
        <v>412</v>
      </c>
      <c r="E223" s="28">
        <v>8981</v>
      </c>
      <c r="F223" s="25">
        <v>38.9371255</v>
      </c>
      <c r="G223" s="26">
        <v>0.174761440844863</v>
      </c>
      <c r="H223" s="24"/>
    </row>
    <row r="224" spans="2:8" x14ac:dyDescent="0.2">
      <c r="B224" s="24" t="s">
        <v>1255</v>
      </c>
      <c r="C224" s="24" t="s">
        <v>1256</v>
      </c>
      <c r="D224" s="24" t="s">
        <v>357</v>
      </c>
      <c r="E224" s="28">
        <v>15555</v>
      </c>
      <c r="F224" s="25">
        <v>38.786392499999998</v>
      </c>
      <c r="G224" s="26">
        <v>0.17408490615144101</v>
      </c>
      <c r="H224" s="24"/>
    </row>
    <row r="225" spans="2:8" x14ac:dyDescent="0.2">
      <c r="B225" s="24" t="s">
        <v>1257</v>
      </c>
      <c r="C225" s="24" t="s">
        <v>1258</v>
      </c>
      <c r="D225" s="24" t="s">
        <v>850</v>
      </c>
      <c r="E225" s="28">
        <v>11310</v>
      </c>
      <c r="F225" s="25">
        <v>37.888500000000001</v>
      </c>
      <c r="G225" s="26">
        <v>0.17005489661661299</v>
      </c>
      <c r="H225" s="24"/>
    </row>
    <row r="226" spans="2:8" x14ac:dyDescent="0.2">
      <c r="B226" s="24" t="s">
        <v>1259</v>
      </c>
      <c r="C226" s="24" t="s">
        <v>1260</v>
      </c>
      <c r="D226" s="24" t="s">
        <v>655</v>
      </c>
      <c r="E226" s="28">
        <v>139050</v>
      </c>
      <c r="F226" s="25">
        <v>37.168064999999999</v>
      </c>
      <c r="G226" s="26">
        <v>0.16682136930769301</v>
      </c>
      <c r="H226" s="24"/>
    </row>
    <row r="227" spans="2:8" x14ac:dyDescent="0.2">
      <c r="B227" s="24" t="s">
        <v>1261</v>
      </c>
      <c r="C227" s="24" t="s">
        <v>1262</v>
      </c>
      <c r="D227" s="24" t="s">
        <v>686</v>
      </c>
      <c r="E227" s="28">
        <v>9519</v>
      </c>
      <c r="F227" s="25">
        <v>37.152656999999998</v>
      </c>
      <c r="G227" s="26">
        <v>0.16675221360485301</v>
      </c>
      <c r="H227" s="24"/>
    </row>
    <row r="228" spans="2:8" x14ac:dyDescent="0.2">
      <c r="B228" s="24" t="s">
        <v>1263</v>
      </c>
      <c r="C228" s="24" t="s">
        <v>1264</v>
      </c>
      <c r="D228" s="24" t="s">
        <v>277</v>
      </c>
      <c r="E228" s="28">
        <v>8023</v>
      </c>
      <c r="F228" s="25">
        <v>36.801501000000002</v>
      </c>
      <c r="G228" s="26">
        <v>0.165176120666988</v>
      </c>
      <c r="H228" s="24"/>
    </row>
    <row r="229" spans="2:8" x14ac:dyDescent="0.2">
      <c r="B229" s="24" t="s">
        <v>1265</v>
      </c>
      <c r="C229" s="24" t="s">
        <v>1266</v>
      </c>
      <c r="D229" s="24" t="s">
        <v>360</v>
      </c>
      <c r="E229" s="28">
        <v>1929</v>
      </c>
      <c r="F229" s="25">
        <v>36.440739000000001</v>
      </c>
      <c r="G229" s="26">
        <v>0.16355691313401099</v>
      </c>
      <c r="H229" s="24"/>
    </row>
    <row r="230" spans="2:8" x14ac:dyDescent="0.2">
      <c r="B230" s="24" t="s">
        <v>1267</v>
      </c>
      <c r="C230" s="24" t="s">
        <v>1268</v>
      </c>
      <c r="D230" s="24" t="s">
        <v>337</v>
      </c>
      <c r="E230" s="28">
        <v>659</v>
      </c>
      <c r="F230" s="25">
        <v>36.383389999999999</v>
      </c>
      <c r="G230" s="26">
        <v>0.16329951370500001</v>
      </c>
      <c r="H230" s="24"/>
    </row>
    <row r="231" spans="2:8" x14ac:dyDescent="0.2">
      <c r="B231" s="24" t="s">
        <v>1269</v>
      </c>
      <c r="C231" s="24" t="s">
        <v>1270</v>
      </c>
      <c r="D231" s="24" t="s">
        <v>280</v>
      </c>
      <c r="E231" s="28">
        <v>14912</v>
      </c>
      <c r="F231" s="25">
        <v>36.207827199999997</v>
      </c>
      <c r="G231" s="26">
        <v>0.16251153545820399</v>
      </c>
      <c r="H231" s="24"/>
    </row>
    <row r="232" spans="2:8" x14ac:dyDescent="0.2">
      <c r="B232" s="24" t="s">
        <v>1271</v>
      </c>
      <c r="C232" s="24" t="s">
        <v>1272</v>
      </c>
      <c r="D232" s="24" t="s">
        <v>274</v>
      </c>
      <c r="E232" s="28">
        <v>9727</v>
      </c>
      <c r="F232" s="25">
        <v>36.140668499999997</v>
      </c>
      <c r="G232" s="26">
        <v>0.162210107167683</v>
      </c>
      <c r="H232" s="24"/>
    </row>
    <row r="233" spans="2:8" x14ac:dyDescent="0.2">
      <c r="B233" s="24" t="s">
        <v>1273</v>
      </c>
      <c r="C233" s="24" t="s">
        <v>1274</v>
      </c>
      <c r="D233" s="24" t="s">
        <v>451</v>
      </c>
      <c r="E233" s="28">
        <v>11925</v>
      </c>
      <c r="F233" s="25">
        <v>34.016062499999997</v>
      </c>
      <c r="G233" s="26">
        <v>0.152674241306511</v>
      </c>
      <c r="H233" s="24"/>
    </row>
    <row r="234" spans="2:8" x14ac:dyDescent="0.2">
      <c r="B234" s="24" t="s">
        <v>1275</v>
      </c>
      <c r="C234" s="24" t="s">
        <v>1276</v>
      </c>
      <c r="D234" s="24" t="s">
        <v>311</v>
      </c>
      <c r="E234" s="28">
        <v>642</v>
      </c>
      <c r="F234" s="25">
        <v>33.611910000000002</v>
      </c>
      <c r="G234" s="26">
        <v>0.15086028425872999</v>
      </c>
      <c r="H234" s="24"/>
    </row>
    <row r="235" spans="2:8" x14ac:dyDescent="0.2">
      <c r="B235" s="24" t="s">
        <v>1277</v>
      </c>
      <c r="C235" s="24" t="s">
        <v>1278</v>
      </c>
      <c r="D235" s="24" t="s">
        <v>277</v>
      </c>
      <c r="E235" s="28">
        <v>1928</v>
      </c>
      <c r="F235" s="25">
        <v>33.300415999999998</v>
      </c>
      <c r="G235" s="26">
        <v>0.14946220621482001</v>
      </c>
      <c r="H235" s="24"/>
    </row>
    <row r="236" spans="2:8" x14ac:dyDescent="0.2">
      <c r="B236" s="24" t="s">
        <v>1279</v>
      </c>
      <c r="C236" s="24" t="s">
        <v>1280</v>
      </c>
      <c r="D236" s="24" t="s">
        <v>1244</v>
      </c>
      <c r="E236" s="28">
        <v>10701</v>
      </c>
      <c r="F236" s="25">
        <v>33.157048500000002</v>
      </c>
      <c r="G236" s="26">
        <v>0.14881873008378599</v>
      </c>
      <c r="H236" s="24"/>
    </row>
    <row r="237" spans="2:8" x14ac:dyDescent="0.2">
      <c r="B237" s="24" t="s">
        <v>1281</v>
      </c>
      <c r="C237" s="24" t="s">
        <v>1282</v>
      </c>
      <c r="D237" s="24" t="s">
        <v>323</v>
      </c>
      <c r="E237" s="28">
        <v>7455</v>
      </c>
      <c r="F237" s="25">
        <v>32.4478875</v>
      </c>
      <c r="G237" s="26">
        <v>0.14563580385182801</v>
      </c>
      <c r="H237" s="24"/>
    </row>
    <row r="238" spans="2:8" x14ac:dyDescent="0.2">
      <c r="B238" s="24" t="s">
        <v>1283</v>
      </c>
      <c r="C238" s="24" t="s">
        <v>1284</v>
      </c>
      <c r="D238" s="24" t="s">
        <v>412</v>
      </c>
      <c r="E238" s="28">
        <v>27247</v>
      </c>
      <c r="F238" s="25">
        <v>32.298593799999999</v>
      </c>
      <c r="G238" s="26">
        <v>0.144965729166395</v>
      </c>
      <c r="H238" s="24"/>
    </row>
    <row r="239" spans="2:8" x14ac:dyDescent="0.2">
      <c r="B239" s="24" t="s">
        <v>1285</v>
      </c>
      <c r="C239" s="24" t="s">
        <v>1286</v>
      </c>
      <c r="D239" s="24" t="s">
        <v>521</v>
      </c>
      <c r="E239" s="28">
        <v>6749</v>
      </c>
      <c r="F239" s="25">
        <v>30.981284500000001</v>
      </c>
      <c r="G239" s="26">
        <v>0.13905325184943601</v>
      </c>
      <c r="H239" s="24"/>
    </row>
    <row r="240" spans="2:8" x14ac:dyDescent="0.2">
      <c r="B240" s="24" t="s">
        <v>1287</v>
      </c>
      <c r="C240" s="24" t="s">
        <v>1288</v>
      </c>
      <c r="D240" s="24" t="s">
        <v>360</v>
      </c>
      <c r="E240" s="28">
        <v>5359</v>
      </c>
      <c r="F240" s="25">
        <v>30.610607999999999</v>
      </c>
      <c r="G240" s="26">
        <v>0.13738954508126899</v>
      </c>
      <c r="H240" s="24"/>
    </row>
    <row r="241" spans="2:8" x14ac:dyDescent="0.2">
      <c r="B241" s="24" t="s">
        <v>1289</v>
      </c>
      <c r="C241" s="24" t="s">
        <v>1290</v>
      </c>
      <c r="D241" s="24" t="s">
        <v>269</v>
      </c>
      <c r="E241" s="28">
        <v>19873</v>
      </c>
      <c r="F241" s="25">
        <v>30.212921900000001</v>
      </c>
      <c r="G241" s="26">
        <v>0.13560461116672101</v>
      </c>
      <c r="H241" s="24"/>
    </row>
    <row r="242" spans="2:8" x14ac:dyDescent="0.2">
      <c r="B242" s="24" t="s">
        <v>1291</v>
      </c>
      <c r="C242" s="24" t="s">
        <v>1292</v>
      </c>
      <c r="D242" s="24" t="s">
        <v>998</v>
      </c>
      <c r="E242" s="28">
        <v>8336</v>
      </c>
      <c r="F242" s="25">
        <v>29.259360000000001</v>
      </c>
      <c r="G242" s="26">
        <v>0.131324740748994</v>
      </c>
      <c r="H242" s="24"/>
    </row>
    <row r="243" spans="2:8" x14ac:dyDescent="0.2">
      <c r="B243" s="24" t="s">
        <v>1293</v>
      </c>
      <c r="C243" s="24" t="s">
        <v>1294</v>
      </c>
      <c r="D243" s="24" t="s">
        <v>521</v>
      </c>
      <c r="E243" s="28">
        <v>2506</v>
      </c>
      <c r="F243" s="25">
        <v>28.420546000000002</v>
      </c>
      <c r="G243" s="26">
        <v>0.12755989315538199</v>
      </c>
      <c r="H243" s="24"/>
    </row>
    <row r="244" spans="2:8" x14ac:dyDescent="0.2">
      <c r="B244" s="24" t="s">
        <v>1295</v>
      </c>
      <c r="C244" s="24" t="s">
        <v>1296</v>
      </c>
      <c r="D244" s="24" t="s">
        <v>427</v>
      </c>
      <c r="E244" s="28">
        <v>4488</v>
      </c>
      <c r="F244" s="25">
        <v>28.155467999999999</v>
      </c>
      <c r="G244" s="26">
        <v>0.12637014397329899</v>
      </c>
      <c r="H244" s="24"/>
    </row>
    <row r="245" spans="2:8" x14ac:dyDescent="0.2">
      <c r="B245" s="24" t="s">
        <v>1297</v>
      </c>
      <c r="C245" s="24" t="s">
        <v>1298</v>
      </c>
      <c r="D245" s="24" t="s">
        <v>323</v>
      </c>
      <c r="E245" s="28">
        <v>23617</v>
      </c>
      <c r="F245" s="25">
        <v>28.0711662</v>
      </c>
      <c r="G245" s="26">
        <v>0.125991772333261</v>
      </c>
      <c r="H245" s="24"/>
    </row>
    <row r="246" spans="2:8" x14ac:dyDescent="0.2">
      <c r="B246" s="24" t="s">
        <v>1299</v>
      </c>
      <c r="C246" s="24" t="s">
        <v>1300</v>
      </c>
      <c r="D246" s="24" t="s">
        <v>274</v>
      </c>
      <c r="E246" s="28">
        <v>55945</v>
      </c>
      <c r="F246" s="25">
        <v>27.7319365</v>
      </c>
      <c r="G246" s="26">
        <v>0.12446920818945</v>
      </c>
      <c r="H246" s="24"/>
    </row>
    <row r="247" spans="2:8" x14ac:dyDescent="0.2">
      <c r="B247" s="24" t="s">
        <v>1301</v>
      </c>
      <c r="C247" s="24" t="s">
        <v>1302</v>
      </c>
      <c r="D247" s="24" t="s">
        <v>314</v>
      </c>
      <c r="E247" s="28">
        <v>11217</v>
      </c>
      <c r="F247" s="25">
        <v>26.6392533</v>
      </c>
      <c r="G247" s="26">
        <v>0.119564919853656</v>
      </c>
      <c r="H247" s="24"/>
    </row>
    <row r="248" spans="2:8" x14ac:dyDescent="0.2">
      <c r="B248" s="24" t="s">
        <v>1303</v>
      </c>
      <c r="C248" s="24" t="s">
        <v>1304</v>
      </c>
      <c r="D248" s="24" t="s">
        <v>521</v>
      </c>
      <c r="E248" s="28">
        <v>4508</v>
      </c>
      <c r="F248" s="25">
        <v>25.305658000000001</v>
      </c>
      <c r="G248" s="26">
        <v>0.113579346107799</v>
      </c>
      <c r="H248" s="24"/>
    </row>
    <row r="249" spans="2:8" x14ac:dyDescent="0.2">
      <c r="B249" s="24" t="s">
        <v>1305</v>
      </c>
      <c r="C249" s="24" t="s">
        <v>1306</v>
      </c>
      <c r="D249" s="24" t="s">
        <v>311</v>
      </c>
      <c r="E249" s="28">
        <v>9502</v>
      </c>
      <c r="F249" s="25">
        <v>24.890488999999999</v>
      </c>
      <c r="G249" s="26">
        <v>0.111715943719913</v>
      </c>
      <c r="H249" s="24"/>
    </row>
    <row r="250" spans="2:8" x14ac:dyDescent="0.2">
      <c r="B250" s="24" t="s">
        <v>1307</v>
      </c>
      <c r="C250" s="24" t="s">
        <v>1308</v>
      </c>
      <c r="D250" s="24" t="s">
        <v>446</v>
      </c>
      <c r="E250" s="28">
        <v>1542</v>
      </c>
      <c r="F250" s="25">
        <v>24.611861999999999</v>
      </c>
      <c r="G250" s="26">
        <v>0.110465382581848</v>
      </c>
      <c r="H250" s="24"/>
    </row>
    <row r="251" spans="2:8" x14ac:dyDescent="0.2">
      <c r="B251" s="24" t="s">
        <v>1309</v>
      </c>
      <c r="C251" s="24" t="s">
        <v>1310</v>
      </c>
      <c r="D251" s="24" t="s">
        <v>553</v>
      </c>
      <c r="E251" s="28">
        <v>15371</v>
      </c>
      <c r="F251" s="25">
        <v>22.4785504</v>
      </c>
      <c r="G251" s="26">
        <v>0.10089044338950701</v>
      </c>
      <c r="H251" s="24"/>
    </row>
    <row r="252" spans="2:8" x14ac:dyDescent="0.2">
      <c r="B252" s="24" t="s">
        <v>1311</v>
      </c>
      <c r="C252" s="24" t="s">
        <v>1312</v>
      </c>
      <c r="D252" s="24" t="s">
        <v>655</v>
      </c>
      <c r="E252" s="28">
        <v>138194</v>
      </c>
      <c r="F252" s="25">
        <v>22.1524982</v>
      </c>
      <c r="G252" s="26">
        <v>9.9427023798796393E-2</v>
      </c>
      <c r="H252" s="24"/>
    </row>
    <row r="253" spans="2:8" x14ac:dyDescent="0.2">
      <c r="B253" s="24" t="s">
        <v>1313</v>
      </c>
      <c r="C253" s="24" t="s">
        <v>1314</v>
      </c>
      <c r="D253" s="24" t="s">
        <v>412</v>
      </c>
      <c r="E253" s="28">
        <v>2872</v>
      </c>
      <c r="F253" s="25">
        <v>21.910488000000001</v>
      </c>
      <c r="G253" s="26">
        <v>9.8340809788181993E-2</v>
      </c>
      <c r="H253" s="24"/>
    </row>
    <row r="254" spans="2:8" x14ac:dyDescent="0.2">
      <c r="B254" s="24" t="s">
        <v>1315</v>
      </c>
      <c r="C254" s="24" t="s">
        <v>1316</v>
      </c>
      <c r="D254" s="24" t="s">
        <v>306</v>
      </c>
      <c r="E254" s="28">
        <v>3909</v>
      </c>
      <c r="F254" s="25">
        <v>20.725518000000001</v>
      </c>
      <c r="G254" s="26">
        <v>9.3022310749059603E-2</v>
      </c>
      <c r="H254" s="24"/>
    </row>
    <row r="255" spans="2:8" x14ac:dyDescent="0.2">
      <c r="B255" s="24" t="s">
        <v>1317</v>
      </c>
      <c r="C255" s="24" t="s">
        <v>1318</v>
      </c>
      <c r="D255" s="24" t="s">
        <v>306</v>
      </c>
      <c r="E255" s="28">
        <v>3055</v>
      </c>
      <c r="F255" s="25">
        <v>13.851369999999999</v>
      </c>
      <c r="G255" s="26">
        <v>6.2169082791571302E-2</v>
      </c>
      <c r="H255" s="24"/>
    </row>
    <row r="256" spans="2:8" x14ac:dyDescent="0.2">
      <c r="B256" s="24" t="s">
        <v>1319</v>
      </c>
      <c r="C256" s="24" t="s">
        <v>1320</v>
      </c>
      <c r="D256" s="24" t="s">
        <v>850</v>
      </c>
      <c r="E256" s="28">
        <v>16846</v>
      </c>
      <c r="F256" s="25">
        <v>11.3255658</v>
      </c>
      <c r="G256" s="26">
        <v>5.0832519662790697E-2</v>
      </c>
      <c r="H256" s="24"/>
    </row>
    <row r="257" spans="2:9" x14ac:dyDescent="0.2">
      <c r="B257" s="23" t="s">
        <v>60</v>
      </c>
      <c r="C257" s="23"/>
      <c r="D257" s="23"/>
      <c r="E257" s="23"/>
      <c r="F257" s="30">
        <f>SUM(F7:F256)</f>
        <v>22362.699735100003</v>
      </c>
      <c r="G257" s="31">
        <f>SUM(G7:G256)</f>
        <v>100.37047102737722</v>
      </c>
      <c r="H257" s="23"/>
      <c r="I257" s="16"/>
    </row>
    <row r="258" spans="2:9" x14ac:dyDescent="0.2">
      <c r="B258" s="23" t="s">
        <v>389</v>
      </c>
      <c r="C258" s="23"/>
      <c r="D258" s="23"/>
      <c r="E258" s="23"/>
      <c r="F258" s="46" t="s">
        <v>390</v>
      </c>
      <c r="G258" s="47" t="s">
        <v>390</v>
      </c>
      <c r="H258" s="23"/>
      <c r="I258" s="16"/>
    </row>
    <row r="259" spans="2:9" x14ac:dyDescent="0.2">
      <c r="B259" s="23" t="s">
        <v>60</v>
      </c>
      <c r="C259" s="23"/>
      <c r="D259" s="23"/>
      <c r="E259" s="23"/>
      <c r="F259" s="48" t="s">
        <v>390</v>
      </c>
      <c r="G259" s="49" t="s">
        <v>390</v>
      </c>
      <c r="H259" s="23"/>
      <c r="I259" s="16"/>
    </row>
    <row r="260" spans="2:9" x14ac:dyDescent="0.2">
      <c r="B260" s="35" t="s">
        <v>99</v>
      </c>
      <c r="C260" s="35"/>
      <c r="D260" s="35"/>
      <c r="E260" s="35"/>
      <c r="F260" s="36">
        <f>F257</f>
        <v>22362.699735100003</v>
      </c>
      <c r="G260" s="37">
        <f>G257</f>
        <v>100.37047102737722</v>
      </c>
      <c r="H260" s="23"/>
      <c r="I260" s="16"/>
    </row>
    <row r="261" spans="2:9" x14ac:dyDescent="0.2">
      <c r="B261" s="23" t="s">
        <v>104</v>
      </c>
      <c r="C261" s="23"/>
      <c r="D261" s="23"/>
      <c r="E261" s="23"/>
      <c r="F261" s="30">
        <v>137.3775225</v>
      </c>
      <c r="G261" s="31">
        <v>0.61659132417973495</v>
      </c>
      <c r="H261" s="38">
        <v>5.3636339999999998E-2</v>
      </c>
      <c r="I261" s="17"/>
    </row>
    <row r="262" spans="2:9" x14ac:dyDescent="0.2">
      <c r="B262" s="24"/>
      <c r="C262" s="24"/>
      <c r="D262" s="24"/>
      <c r="E262" s="24"/>
      <c r="F262" s="25"/>
      <c r="G262" s="26"/>
      <c r="H262" s="24"/>
    </row>
    <row r="263" spans="2:9" x14ac:dyDescent="0.2">
      <c r="B263" s="43" t="s">
        <v>106</v>
      </c>
      <c r="C263" s="43"/>
      <c r="D263" s="43"/>
      <c r="E263" s="43"/>
      <c r="F263" s="30">
        <f>F264-(F257+F261)</f>
        <v>-219.91905350000161</v>
      </c>
      <c r="G263" s="31">
        <f>G264-(G257+G261)</f>
        <v>-0.98706235155695765</v>
      </c>
      <c r="H263" s="23"/>
      <c r="I263" s="16"/>
    </row>
    <row r="264" spans="2:9" x14ac:dyDescent="0.2">
      <c r="B264" s="39" t="s">
        <v>105</v>
      </c>
      <c r="C264" s="39"/>
      <c r="D264" s="39"/>
      <c r="E264" s="39"/>
      <c r="F264" s="40">
        <v>22280.1582041</v>
      </c>
      <c r="G264" s="41">
        <v>100</v>
      </c>
      <c r="H264" s="50"/>
      <c r="I264" s="16"/>
    </row>
    <row r="266" spans="2:9" x14ac:dyDescent="0.2">
      <c r="B266" s="16" t="s">
        <v>504</v>
      </c>
    </row>
    <row r="267" spans="2:9" x14ac:dyDescent="0.2">
      <c r="B267" s="16"/>
    </row>
    <row r="268" spans="2:9" x14ac:dyDescent="0.2">
      <c r="B268" s="16" t="s">
        <v>110</v>
      </c>
    </row>
    <row r="286" spans="2:2" x14ac:dyDescent="0.2">
      <c r="B286" s="60" t="s">
        <v>1436</v>
      </c>
    </row>
    <row r="287" spans="2:2" x14ac:dyDescent="0.2">
      <c r="B287" s="61" t="s">
        <v>1444</v>
      </c>
    </row>
  </sheetData>
  <mergeCells count="1">
    <mergeCell ref="B1:C1"/>
  </mergeCells>
  <conditionalFormatting sqref="G1:G3 G5:G304">
    <cfRule type="cellIs" dxfId="2" priority="2" stopIfTrue="1" operator="between">
      <formula>0.009</formula>
      <formula>-0.009</formula>
    </cfRule>
  </conditionalFormatting>
  <hyperlinks>
    <hyperlink ref="A2" location="Index!A1" display="-" xr:uid="{2E879FA5-D63F-4C34-8271-D3E7F2F0E094}"/>
  </hyperlinks>
  <pageMargins left="0.7" right="0.7" top="0.75" bottom="0.75" header="0.3" footer="0.3"/>
  <pageSetup paperSize="9" scale="37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50" min="1" max="7" man="1"/>
  </rowBreaks>
  <colBreaks count="1" manualBreakCount="1">
    <brk id="8" max="410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52E42-1020-4A07-AD58-8CCC1017AEC0}">
  <sheetPr codeName="Sheet10"/>
  <dimension ref="A1:I175"/>
  <sheetViews>
    <sheetView view="pageBreakPreview" zoomScaleNormal="100" zoomScaleSheetLayoutView="100" workbookViewId="0"/>
  </sheetViews>
  <sheetFormatPr defaultColWidth="9.140625" defaultRowHeight="11.25" x14ac:dyDescent="0.2"/>
  <cols>
    <col min="1" max="1" width="7.140625" style="6" customWidth="1"/>
    <col min="2" max="2" width="69.5703125" style="6" bestFit="1" customWidth="1"/>
    <col min="3" max="3" width="11" style="6" bestFit="1" customWidth="1"/>
    <col min="4" max="4" width="35.42578125" style="6" bestFit="1" customWidth="1"/>
    <col min="5" max="5" width="13.85546875" style="6" bestFit="1" customWidth="1"/>
    <col min="6" max="6" width="22.85546875" style="8" bestFit="1" customWidth="1"/>
    <col min="7" max="7" width="12.140625" style="14" bestFit="1" customWidth="1"/>
    <col min="8" max="8" width="14.42578125" style="6" bestFit="1" customWidth="1"/>
    <col min="9" max="16384" width="9.140625" style="6"/>
  </cols>
  <sheetData>
    <row r="1" spans="1:8" s="1" customFormat="1" ht="16.7" customHeight="1" x14ac:dyDescent="0.2">
      <c r="B1" s="106" t="s">
        <v>18</v>
      </c>
      <c r="C1" s="107"/>
      <c r="D1" s="10"/>
      <c r="F1" s="5"/>
      <c r="G1" s="14"/>
    </row>
    <row r="2" spans="1:8" s="1" customFormat="1" ht="15" x14ac:dyDescent="0.25">
      <c r="A2" s="59" t="s">
        <v>1466</v>
      </c>
      <c r="F2" s="5"/>
      <c r="G2" s="14"/>
    </row>
    <row r="3" spans="1:8" s="1" customFormat="1" ht="12" x14ac:dyDescent="0.2">
      <c r="B3" s="7" t="s">
        <v>9</v>
      </c>
      <c r="C3" s="2"/>
      <c r="D3" s="3"/>
      <c r="E3" s="3"/>
      <c r="F3" s="4"/>
      <c r="G3" s="14"/>
    </row>
    <row r="4" spans="1:8" s="1" customFormat="1" ht="25.5" customHeight="1" x14ac:dyDescent="0.2">
      <c r="B4" s="18" t="s">
        <v>7</v>
      </c>
      <c r="C4" s="18" t="s">
        <v>8</v>
      </c>
      <c r="D4" s="19" t="s">
        <v>391</v>
      </c>
      <c r="E4" s="19" t="s">
        <v>0</v>
      </c>
      <c r="F4" s="20" t="s">
        <v>4</v>
      </c>
      <c r="G4" s="21" t="s">
        <v>5</v>
      </c>
      <c r="H4" s="52" t="s">
        <v>6</v>
      </c>
    </row>
    <row r="5" spans="1:8" x14ac:dyDescent="0.2">
      <c r="B5" s="23" t="s">
        <v>262</v>
      </c>
      <c r="C5" s="24"/>
      <c r="D5" s="24"/>
      <c r="E5" s="24"/>
      <c r="F5" s="25"/>
      <c r="G5" s="26"/>
      <c r="H5" s="24"/>
    </row>
    <row r="6" spans="1:8" x14ac:dyDescent="0.2">
      <c r="B6" s="23" t="s">
        <v>263</v>
      </c>
      <c r="C6" s="24"/>
      <c r="D6" s="24"/>
      <c r="E6" s="24"/>
      <c r="F6" s="25"/>
      <c r="G6" s="26"/>
      <c r="H6" s="24"/>
    </row>
    <row r="7" spans="1:8" x14ac:dyDescent="0.2">
      <c r="B7" s="24" t="s">
        <v>264</v>
      </c>
      <c r="C7" s="24" t="s">
        <v>265</v>
      </c>
      <c r="D7" s="24" t="s">
        <v>266</v>
      </c>
      <c r="E7" s="28">
        <v>2253026</v>
      </c>
      <c r="F7" s="25">
        <v>22331.993712</v>
      </c>
      <c r="G7" s="26">
        <v>8.9464535108755392</v>
      </c>
      <c r="H7" s="24"/>
    </row>
    <row r="8" spans="1:8" x14ac:dyDescent="0.2">
      <c r="B8" s="24" t="s">
        <v>270</v>
      </c>
      <c r="C8" s="24" t="s">
        <v>271</v>
      </c>
      <c r="D8" s="24" t="s">
        <v>266</v>
      </c>
      <c r="E8" s="28">
        <v>1150436</v>
      </c>
      <c r="F8" s="25">
        <v>15449.205044</v>
      </c>
      <c r="G8" s="26">
        <v>6.1891292147310804</v>
      </c>
      <c r="H8" s="24"/>
    </row>
    <row r="9" spans="1:8" x14ac:dyDescent="0.2">
      <c r="B9" s="24" t="s">
        <v>272</v>
      </c>
      <c r="C9" s="24" t="s">
        <v>273</v>
      </c>
      <c r="D9" s="24" t="s">
        <v>274</v>
      </c>
      <c r="E9" s="28">
        <v>492512</v>
      </c>
      <c r="F9" s="25">
        <v>10370.332672</v>
      </c>
      <c r="G9" s="26">
        <v>4.1544745327645298</v>
      </c>
      <c r="H9" s="24"/>
    </row>
    <row r="10" spans="1:8" x14ac:dyDescent="0.2">
      <c r="B10" s="24" t="s">
        <v>267</v>
      </c>
      <c r="C10" s="24" t="s">
        <v>268</v>
      </c>
      <c r="D10" s="24" t="s">
        <v>269</v>
      </c>
      <c r="E10" s="28">
        <v>592643</v>
      </c>
      <c r="F10" s="25">
        <v>9306.8656719999999</v>
      </c>
      <c r="G10" s="26">
        <v>3.7284374221263601</v>
      </c>
      <c r="H10" s="24"/>
    </row>
    <row r="11" spans="1:8" x14ac:dyDescent="0.2">
      <c r="B11" s="24" t="s">
        <v>275</v>
      </c>
      <c r="C11" s="24" t="s">
        <v>276</v>
      </c>
      <c r="D11" s="24" t="s">
        <v>277</v>
      </c>
      <c r="E11" s="28">
        <v>570153</v>
      </c>
      <c r="F11" s="25">
        <v>9210.2515619999995</v>
      </c>
      <c r="G11" s="26">
        <v>3.6897326985465302</v>
      </c>
      <c r="H11" s="24"/>
    </row>
    <row r="12" spans="1:8" x14ac:dyDescent="0.2">
      <c r="B12" s="24" t="s">
        <v>281</v>
      </c>
      <c r="C12" s="24" t="s">
        <v>282</v>
      </c>
      <c r="D12" s="24" t="s">
        <v>266</v>
      </c>
      <c r="E12" s="28">
        <v>846698</v>
      </c>
      <c r="F12" s="25">
        <v>8316.2677559999993</v>
      </c>
      <c r="G12" s="26">
        <v>3.3315925045719599</v>
      </c>
      <c r="H12" s="24"/>
    </row>
    <row r="13" spans="1:8" x14ac:dyDescent="0.2">
      <c r="B13" s="24" t="s">
        <v>278</v>
      </c>
      <c r="C13" s="24" t="s">
        <v>279</v>
      </c>
      <c r="D13" s="24" t="s">
        <v>280</v>
      </c>
      <c r="E13" s="28">
        <v>158624</v>
      </c>
      <c r="F13" s="25">
        <v>6477.41104</v>
      </c>
      <c r="G13" s="26">
        <v>2.5949253563085501</v>
      </c>
      <c r="H13" s="24"/>
    </row>
    <row r="14" spans="1:8" x14ac:dyDescent="0.2">
      <c r="B14" s="24" t="s">
        <v>309</v>
      </c>
      <c r="C14" s="24" t="s">
        <v>310</v>
      </c>
      <c r="D14" s="24" t="s">
        <v>311</v>
      </c>
      <c r="E14" s="28">
        <v>140314</v>
      </c>
      <c r="F14" s="25">
        <v>5684.8217100000002</v>
      </c>
      <c r="G14" s="26">
        <v>2.2774049555101801</v>
      </c>
      <c r="H14" s="24"/>
    </row>
    <row r="15" spans="1:8" x14ac:dyDescent="0.2">
      <c r="B15" s="24" t="s">
        <v>307</v>
      </c>
      <c r="C15" s="24" t="s">
        <v>308</v>
      </c>
      <c r="D15" s="24" t="s">
        <v>277</v>
      </c>
      <c r="E15" s="28">
        <v>308962</v>
      </c>
      <c r="F15" s="25">
        <v>5015.3801460000004</v>
      </c>
      <c r="G15" s="26">
        <v>2.0092189660364501</v>
      </c>
      <c r="H15" s="24"/>
    </row>
    <row r="16" spans="1:8" x14ac:dyDescent="0.2">
      <c r="B16" s="24" t="s">
        <v>401</v>
      </c>
      <c r="C16" s="24" t="s">
        <v>402</v>
      </c>
      <c r="D16" s="24" t="s">
        <v>269</v>
      </c>
      <c r="E16" s="28">
        <v>1214936</v>
      </c>
      <c r="F16" s="25">
        <v>4665.3542399999997</v>
      </c>
      <c r="G16" s="26">
        <v>1.8689945626080899</v>
      </c>
      <c r="H16" s="24"/>
    </row>
    <row r="17" spans="2:8" x14ac:dyDescent="0.2">
      <c r="B17" s="24" t="s">
        <v>508</v>
      </c>
      <c r="C17" s="24" t="s">
        <v>509</v>
      </c>
      <c r="D17" s="24" t="s">
        <v>289</v>
      </c>
      <c r="E17" s="28">
        <v>80780</v>
      </c>
      <c r="F17" s="25">
        <v>4661.8137999999999</v>
      </c>
      <c r="G17" s="26">
        <v>1.8675762216271401</v>
      </c>
      <c r="H17" s="24"/>
    </row>
    <row r="18" spans="2:8" x14ac:dyDescent="0.2">
      <c r="B18" s="24" t="s">
        <v>519</v>
      </c>
      <c r="C18" s="24" t="s">
        <v>520</v>
      </c>
      <c r="D18" s="24" t="s">
        <v>521</v>
      </c>
      <c r="E18" s="28">
        <v>101311</v>
      </c>
      <c r="F18" s="25">
        <v>4492.5349839999999</v>
      </c>
      <c r="G18" s="26">
        <v>1.7997611811408001</v>
      </c>
      <c r="H18" s="24"/>
    </row>
    <row r="19" spans="2:8" x14ac:dyDescent="0.2">
      <c r="B19" s="24" t="s">
        <v>395</v>
      </c>
      <c r="C19" s="24" t="s">
        <v>396</v>
      </c>
      <c r="D19" s="24" t="s">
        <v>289</v>
      </c>
      <c r="E19" s="28">
        <v>119835</v>
      </c>
      <c r="F19" s="25">
        <v>4457.6223300000001</v>
      </c>
      <c r="G19" s="26">
        <v>1.7857747704342399</v>
      </c>
      <c r="H19" s="24"/>
    </row>
    <row r="20" spans="2:8" x14ac:dyDescent="0.2">
      <c r="B20" s="24" t="s">
        <v>405</v>
      </c>
      <c r="C20" s="24" t="s">
        <v>406</v>
      </c>
      <c r="D20" s="24" t="s">
        <v>360</v>
      </c>
      <c r="E20" s="28">
        <v>71610</v>
      </c>
      <c r="F20" s="25">
        <v>4318.7991000000002</v>
      </c>
      <c r="G20" s="26">
        <v>1.7301605879549899</v>
      </c>
      <c r="H20" s="24"/>
    </row>
    <row r="21" spans="2:8" x14ac:dyDescent="0.2">
      <c r="B21" s="24" t="s">
        <v>344</v>
      </c>
      <c r="C21" s="24" t="s">
        <v>345</v>
      </c>
      <c r="D21" s="24" t="s">
        <v>346</v>
      </c>
      <c r="E21" s="28">
        <v>278082</v>
      </c>
      <c r="F21" s="25">
        <v>4087.2492360000001</v>
      </c>
      <c r="G21" s="26">
        <v>1.6373990494895601</v>
      </c>
      <c r="H21" s="24"/>
    </row>
    <row r="22" spans="2:8" x14ac:dyDescent="0.2">
      <c r="B22" s="24" t="s">
        <v>820</v>
      </c>
      <c r="C22" s="24" t="s">
        <v>821</v>
      </c>
      <c r="D22" s="24" t="s">
        <v>409</v>
      </c>
      <c r="E22" s="28">
        <v>120351</v>
      </c>
      <c r="F22" s="25">
        <v>3969.6573840000001</v>
      </c>
      <c r="G22" s="26">
        <v>1.59029040120929</v>
      </c>
      <c r="H22" s="24"/>
    </row>
    <row r="23" spans="2:8" x14ac:dyDescent="0.2">
      <c r="B23" s="24" t="s">
        <v>335</v>
      </c>
      <c r="C23" s="24" t="s">
        <v>336</v>
      </c>
      <c r="D23" s="24" t="s">
        <v>337</v>
      </c>
      <c r="E23" s="28">
        <v>78357</v>
      </c>
      <c r="F23" s="25">
        <v>3964.4724150000002</v>
      </c>
      <c r="G23" s="26">
        <v>1.5882132429979801</v>
      </c>
      <c r="H23" s="24"/>
    </row>
    <row r="24" spans="2:8" x14ac:dyDescent="0.2">
      <c r="B24" s="24" t="s">
        <v>611</v>
      </c>
      <c r="C24" s="24" t="s">
        <v>612</v>
      </c>
      <c r="D24" s="24" t="s">
        <v>328</v>
      </c>
      <c r="E24" s="28">
        <v>1228840</v>
      </c>
      <c r="F24" s="25">
        <v>3862.2441199999998</v>
      </c>
      <c r="G24" s="26">
        <v>1.5472594123410199</v>
      </c>
      <c r="H24" s="24"/>
    </row>
    <row r="25" spans="2:8" x14ac:dyDescent="0.2">
      <c r="B25" s="24" t="s">
        <v>554</v>
      </c>
      <c r="C25" s="24" t="s">
        <v>555</v>
      </c>
      <c r="D25" s="24" t="s">
        <v>363</v>
      </c>
      <c r="E25" s="28">
        <v>225381</v>
      </c>
      <c r="F25" s="25">
        <v>3767.9195580000001</v>
      </c>
      <c r="G25" s="26">
        <v>1.509471908021</v>
      </c>
      <c r="H25" s="24"/>
    </row>
    <row r="26" spans="2:8" x14ac:dyDescent="0.2">
      <c r="B26" s="24" t="s">
        <v>290</v>
      </c>
      <c r="C26" s="24" t="s">
        <v>291</v>
      </c>
      <c r="D26" s="24" t="s">
        <v>277</v>
      </c>
      <c r="E26" s="28">
        <v>111552</v>
      </c>
      <c r="F26" s="25">
        <v>3576.5802239999998</v>
      </c>
      <c r="G26" s="26">
        <v>1.4328191703161299</v>
      </c>
      <c r="H26" s="24"/>
    </row>
    <row r="27" spans="2:8" x14ac:dyDescent="0.2">
      <c r="B27" s="24" t="s">
        <v>495</v>
      </c>
      <c r="C27" s="24" t="s">
        <v>496</v>
      </c>
      <c r="D27" s="24" t="s">
        <v>363</v>
      </c>
      <c r="E27" s="28">
        <v>412740</v>
      </c>
      <c r="F27" s="25">
        <v>3528.5142599999999</v>
      </c>
      <c r="G27" s="26">
        <v>1.4135633923534801</v>
      </c>
      <c r="H27" s="24"/>
    </row>
    <row r="28" spans="2:8" x14ac:dyDescent="0.2">
      <c r="B28" s="24" t="s">
        <v>315</v>
      </c>
      <c r="C28" s="24" t="s">
        <v>316</v>
      </c>
      <c r="D28" s="24" t="s">
        <v>317</v>
      </c>
      <c r="E28" s="28">
        <v>1857070</v>
      </c>
      <c r="F28" s="25">
        <v>3344.2116559999999</v>
      </c>
      <c r="G28" s="26">
        <v>1.33972964961276</v>
      </c>
      <c r="H28" s="24"/>
    </row>
    <row r="29" spans="2:8" x14ac:dyDescent="0.2">
      <c r="B29" s="24" t="s">
        <v>283</v>
      </c>
      <c r="C29" s="24" t="s">
        <v>284</v>
      </c>
      <c r="D29" s="24" t="s">
        <v>1460</v>
      </c>
      <c r="E29" s="28">
        <v>813932</v>
      </c>
      <c r="F29" s="25">
        <v>3280.1459599999998</v>
      </c>
      <c r="G29" s="26">
        <v>1.3140641950054599</v>
      </c>
      <c r="H29" s="24"/>
    </row>
    <row r="30" spans="2:8" x14ac:dyDescent="0.2">
      <c r="B30" s="24" t="s">
        <v>828</v>
      </c>
      <c r="C30" s="24" t="s">
        <v>829</v>
      </c>
      <c r="D30" s="24" t="s">
        <v>446</v>
      </c>
      <c r="E30" s="28">
        <v>55224</v>
      </c>
      <c r="F30" s="25">
        <v>3269.2608</v>
      </c>
      <c r="G30" s="26">
        <v>1.3097034747243099</v>
      </c>
      <c r="H30" s="24"/>
    </row>
    <row r="31" spans="2:8" x14ac:dyDescent="0.2">
      <c r="B31" s="24" t="s">
        <v>558</v>
      </c>
      <c r="C31" s="24" t="s">
        <v>559</v>
      </c>
      <c r="D31" s="24" t="s">
        <v>521</v>
      </c>
      <c r="E31" s="28">
        <v>42080</v>
      </c>
      <c r="F31" s="25">
        <v>3206.0752000000002</v>
      </c>
      <c r="G31" s="26">
        <v>1.2843905966961799</v>
      </c>
      <c r="H31" s="24"/>
    </row>
    <row r="32" spans="2:8" x14ac:dyDescent="0.2">
      <c r="B32" s="24" t="s">
        <v>428</v>
      </c>
      <c r="C32" s="24" t="s">
        <v>429</v>
      </c>
      <c r="D32" s="24" t="s">
        <v>266</v>
      </c>
      <c r="E32" s="28">
        <v>1943436</v>
      </c>
      <c r="F32" s="25">
        <v>3010.5767076000002</v>
      </c>
      <c r="G32" s="26">
        <v>1.20607165230372</v>
      </c>
      <c r="H32" s="24"/>
    </row>
    <row r="33" spans="2:8" x14ac:dyDescent="0.2">
      <c r="B33" s="24" t="s">
        <v>415</v>
      </c>
      <c r="C33" s="24" t="s">
        <v>416</v>
      </c>
      <c r="D33" s="24" t="s">
        <v>269</v>
      </c>
      <c r="E33" s="28">
        <v>1790402</v>
      </c>
      <c r="F33" s="25">
        <v>2980.3031692</v>
      </c>
      <c r="G33" s="26">
        <v>1.19394372465883</v>
      </c>
      <c r="H33" s="24"/>
    </row>
    <row r="34" spans="2:8" x14ac:dyDescent="0.2">
      <c r="B34" s="24" t="s">
        <v>541</v>
      </c>
      <c r="C34" s="24" t="s">
        <v>542</v>
      </c>
      <c r="D34" s="24" t="s">
        <v>306</v>
      </c>
      <c r="E34" s="28">
        <v>140815</v>
      </c>
      <c r="F34" s="25">
        <v>2970.4924249999999</v>
      </c>
      <c r="G34" s="26">
        <v>1.1900134277035099</v>
      </c>
      <c r="H34" s="24"/>
    </row>
    <row r="35" spans="2:8" x14ac:dyDescent="0.2">
      <c r="B35" s="24" t="s">
        <v>564</v>
      </c>
      <c r="C35" s="24" t="s">
        <v>565</v>
      </c>
      <c r="D35" s="24" t="s">
        <v>451</v>
      </c>
      <c r="E35" s="28">
        <v>85762</v>
      </c>
      <c r="F35" s="25">
        <v>2686.4946500000001</v>
      </c>
      <c r="G35" s="26">
        <v>1.0762406529125099</v>
      </c>
      <c r="H35" s="24"/>
    </row>
    <row r="36" spans="2:8" x14ac:dyDescent="0.2">
      <c r="B36" s="24" t="s">
        <v>392</v>
      </c>
      <c r="C36" s="24" t="s">
        <v>393</v>
      </c>
      <c r="D36" s="24" t="s">
        <v>394</v>
      </c>
      <c r="E36" s="28">
        <v>437515</v>
      </c>
      <c r="F36" s="25">
        <v>2644.3406599999998</v>
      </c>
      <c r="G36" s="26">
        <v>1.0593532797251199</v>
      </c>
      <c r="H36" s="24"/>
    </row>
    <row r="37" spans="2:8" x14ac:dyDescent="0.2">
      <c r="B37" s="24" t="s">
        <v>545</v>
      </c>
      <c r="C37" s="24" t="s">
        <v>546</v>
      </c>
      <c r="D37" s="24" t="s">
        <v>269</v>
      </c>
      <c r="E37" s="28">
        <v>498026</v>
      </c>
      <c r="F37" s="25">
        <v>2485.3987529999999</v>
      </c>
      <c r="G37" s="26">
        <v>0.99567932386414704</v>
      </c>
      <c r="H37" s="24"/>
    </row>
    <row r="38" spans="2:8" x14ac:dyDescent="0.2">
      <c r="B38" s="24" t="s">
        <v>397</v>
      </c>
      <c r="C38" s="24" t="s">
        <v>398</v>
      </c>
      <c r="D38" s="24" t="s">
        <v>320</v>
      </c>
      <c r="E38" s="28">
        <v>54850</v>
      </c>
      <c r="F38" s="25">
        <v>2407.2019500000001</v>
      </c>
      <c r="G38" s="26">
        <v>0.96435278527737101</v>
      </c>
      <c r="H38" s="24"/>
    </row>
    <row r="39" spans="2:8" x14ac:dyDescent="0.2">
      <c r="B39" s="24" t="s">
        <v>602</v>
      </c>
      <c r="C39" s="24" t="s">
        <v>603</v>
      </c>
      <c r="D39" s="24" t="s">
        <v>266</v>
      </c>
      <c r="E39" s="28">
        <v>270275</v>
      </c>
      <c r="F39" s="25">
        <v>2262.8774374999998</v>
      </c>
      <c r="G39" s="26">
        <v>0.90653472576093796</v>
      </c>
      <c r="H39" s="24"/>
    </row>
    <row r="40" spans="2:8" x14ac:dyDescent="0.2">
      <c r="B40" s="24" t="s">
        <v>649</v>
      </c>
      <c r="C40" s="24" t="s">
        <v>650</v>
      </c>
      <c r="D40" s="24" t="s">
        <v>323</v>
      </c>
      <c r="E40" s="28">
        <v>40771</v>
      </c>
      <c r="F40" s="25">
        <v>2255.0440100000001</v>
      </c>
      <c r="G40" s="26">
        <v>0.90339656461583995</v>
      </c>
      <c r="H40" s="24"/>
    </row>
    <row r="41" spans="2:8" x14ac:dyDescent="0.2">
      <c r="B41" s="24" t="s">
        <v>633</v>
      </c>
      <c r="C41" s="24" t="s">
        <v>634</v>
      </c>
      <c r="D41" s="24" t="s">
        <v>296</v>
      </c>
      <c r="E41" s="28">
        <v>672729</v>
      </c>
      <c r="F41" s="25">
        <v>2125.4872755000001</v>
      </c>
      <c r="G41" s="26">
        <v>0.85149464680353704</v>
      </c>
      <c r="H41" s="24"/>
    </row>
    <row r="42" spans="2:8" x14ac:dyDescent="0.2">
      <c r="B42" s="24" t="s">
        <v>338</v>
      </c>
      <c r="C42" s="24" t="s">
        <v>339</v>
      </c>
      <c r="D42" s="24" t="s">
        <v>317</v>
      </c>
      <c r="E42" s="28">
        <v>178144</v>
      </c>
      <c r="F42" s="25">
        <v>2075.0213119999999</v>
      </c>
      <c r="G42" s="26">
        <v>0.83127740143991902</v>
      </c>
      <c r="H42" s="24"/>
    </row>
    <row r="43" spans="2:8" x14ac:dyDescent="0.2">
      <c r="B43" s="24" t="s">
        <v>381</v>
      </c>
      <c r="C43" s="24" t="s">
        <v>382</v>
      </c>
      <c r="D43" s="24" t="s">
        <v>277</v>
      </c>
      <c r="E43" s="28">
        <v>786282</v>
      </c>
      <c r="F43" s="25">
        <v>2070.1232495999998</v>
      </c>
      <c r="G43" s="26">
        <v>0.82931518131214699</v>
      </c>
      <c r="H43" s="24"/>
    </row>
    <row r="44" spans="2:8" x14ac:dyDescent="0.2">
      <c r="B44" s="24" t="s">
        <v>287</v>
      </c>
      <c r="C44" s="24" t="s">
        <v>288</v>
      </c>
      <c r="D44" s="24" t="s">
        <v>289</v>
      </c>
      <c r="E44" s="28">
        <v>55126</v>
      </c>
      <c r="F44" s="25">
        <v>2044.733592</v>
      </c>
      <c r="G44" s="26">
        <v>0.81914379248297098</v>
      </c>
      <c r="H44" s="24"/>
    </row>
    <row r="45" spans="2:8" x14ac:dyDescent="0.2">
      <c r="B45" s="24" t="s">
        <v>467</v>
      </c>
      <c r="C45" s="24" t="s">
        <v>468</v>
      </c>
      <c r="D45" s="24" t="s">
        <v>323</v>
      </c>
      <c r="E45" s="28">
        <v>7684</v>
      </c>
      <c r="F45" s="25">
        <v>2042.0229999999999</v>
      </c>
      <c r="G45" s="26">
        <v>0.81805789815451602</v>
      </c>
      <c r="H45" s="24"/>
    </row>
    <row r="46" spans="2:8" x14ac:dyDescent="0.2">
      <c r="B46" s="24" t="s">
        <v>931</v>
      </c>
      <c r="C46" s="24" t="s">
        <v>932</v>
      </c>
      <c r="D46" s="24" t="s">
        <v>360</v>
      </c>
      <c r="E46" s="28">
        <v>193600</v>
      </c>
      <c r="F46" s="25">
        <v>2003.1792</v>
      </c>
      <c r="G46" s="26">
        <v>0.80249662515008202</v>
      </c>
      <c r="H46" s="24"/>
    </row>
    <row r="47" spans="2:8" x14ac:dyDescent="0.2">
      <c r="B47" s="24" t="s">
        <v>560</v>
      </c>
      <c r="C47" s="24" t="s">
        <v>561</v>
      </c>
      <c r="D47" s="24" t="s">
        <v>376</v>
      </c>
      <c r="E47" s="28">
        <v>263521</v>
      </c>
      <c r="F47" s="25">
        <v>1977.9886260000001</v>
      </c>
      <c r="G47" s="26">
        <v>0.79240499150063404</v>
      </c>
      <c r="H47" s="24"/>
    </row>
    <row r="48" spans="2:8" x14ac:dyDescent="0.2">
      <c r="B48" s="24" t="s">
        <v>461</v>
      </c>
      <c r="C48" s="24" t="s">
        <v>462</v>
      </c>
      <c r="D48" s="24" t="s">
        <v>317</v>
      </c>
      <c r="E48" s="28">
        <v>185480</v>
      </c>
      <c r="F48" s="25">
        <v>1954.58824</v>
      </c>
      <c r="G48" s="26">
        <v>0.78303052775210402</v>
      </c>
      <c r="H48" s="24"/>
    </row>
    <row r="49" spans="2:8" x14ac:dyDescent="0.2">
      <c r="B49" s="24" t="s">
        <v>818</v>
      </c>
      <c r="C49" s="24" t="s">
        <v>819</v>
      </c>
      <c r="D49" s="24" t="s">
        <v>306</v>
      </c>
      <c r="E49" s="28">
        <v>172304</v>
      </c>
      <c r="F49" s="25">
        <v>1909.12832</v>
      </c>
      <c r="G49" s="26">
        <v>0.76481876098675805</v>
      </c>
      <c r="H49" s="24"/>
    </row>
    <row r="50" spans="2:8" x14ac:dyDescent="0.2">
      <c r="B50" s="24" t="s">
        <v>604</v>
      </c>
      <c r="C50" s="24" t="s">
        <v>605</v>
      </c>
      <c r="D50" s="24" t="s">
        <v>303</v>
      </c>
      <c r="E50" s="28">
        <v>1383842</v>
      </c>
      <c r="F50" s="25">
        <v>1887.1453354</v>
      </c>
      <c r="G50" s="26">
        <v>0.75601212453994104</v>
      </c>
      <c r="H50" s="24"/>
    </row>
    <row r="51" spans="2:8" x14ac:dyDescent="0.2">
      <c r="B51" s="24" t="s">
        <v>816</v>
      </c>
      <c r="C51" s="24" t="s">
        <v>817</v>
      </c>
      <c r="D51" s="24" t="s">
        <v>507</v>
      </c>
      <c r="E51" s="28">
        <v>15971</v>
      </c>
      <c r="F51" s="25">
        <v>1778.5305599999999</v>
      </c>
      <c r="G51" s="26">
        <v>0.71249979638680605</v>
      </c>
      <c r="H51" s="24"/>
    </row>
    <row r="52" spans="2:8" x14ac:dyDescent="0.2">
      <c r="B52" s="24" t="s">
        <v>1090</v>
      </c>
      <c r="C52" s="24" t="s">
        <v>1091</v>
      </c>
      <c r="D52" s="24" t="s">
        <v>427</v>
      </c>
      <c r="E52" s="28">
        <v>309363</v>
      </c>
      <c r="F52" s="25">
        <v>1555.1678010000001</v>
      </c>
      <c r="G52" s="26">
        <v>0.62301810634044796</v>
      </c>
      <c r="H52" s="24"/>
    </row>
    <row r="53" spans="2:8" x14ac:dyDescent="0.2">
      <c r="B53" s="24" t="s">
        <v>347</v>
      </c>
      <c r="C53" s="24" t="s">
        <v>348</v>
      </c>
      <c r="D53" s="24" t="s">
        <v>277</v>
      </c>
      <c r="E53" s="28">
        <v>97077</v>
      </c>
      <c r="F53" s="25">
        <v>1544.397993</v>
      </c>
      <c r="G53" s="26">
        <v>0.61870359739710801</v>
      </c>
      <c r="H53" s="24"/>
    </row>
    <row r="54" spans="2:8" x14ac:dyDescent="0.2">
      <c r="B54" s="24" t="s">
        <v>530</v>
      </c>
      <c r="C54" s="24" t="s">
        <v>531</v>
      </c>
      <c r="D54" s="24" t="s">
        <v>507</v>
      </c>
      <c r="E54" s="28">
        <v>54966</v>
      </c>
      <c r="F54" s="25">
        <v>1468.8014519999999</v>
      </c>
      <c r="G54" s="26">
        <v>0.58841875367193297</v>
      </c>
      <c r="H54" s="24"/>
    </row>
    <row r="55" spans="2:8" x14ac:dyDescent="0.2">
      <c r="B55" s="24" t="s">
        <v>824</v>
      </c>
      <c r="C55" s="24" t="s">
        <v>825</v>
      </c>
      <c r="D55" s="24" t="s">
        <v>266</v>
      </c>
      <c r="E55" s="28">
        <v>546736</v>
      </c>
      <c r="F55" s="25">
        <v>1442.4535888</v>
      </c>
      <c r="G55" s="26">
        <v>0.57786349665952197</v>
      </c>
      <c r="H55" s="24"/>
    </row>
    <row r="56" spans="2:8" x14ac:dyDescent="0.2">
      <c r="B56" s="24" t="s">
        <v>543</v>
      </c>
      <c r="C56" s="24" t="s">
        <v>544</v>
      </c>
      <c r="D56" s="24" t="s">
        <v>311</v>
      </c>
      <c r="E56" s="28">
        <v>11586</v>
      </c>
      <c r="F56" s="25">
        <v>1402.1377199999999</v>
      </c>
      <c r="G56" s="26">
        <v>0.56171249596423101</v>
      </c>
      <c r="H56" s="24"/>
    </row>
    <row r="57" spans="2:8" x14ac:dyDescent="0.2">
      <c r="B57" s="24" t="s">
        <v>584</v>
      </c>
      <c r="C57" s="24" t="s">
        <v>585</v>
      </c>
      <c r="D57" s="24" t="s">
        <v>277</v>
      </c>
      <c r="E57" s="28">
        <v>48737</v>
      </c>
      <c r="F57" s="25">
        <v>1360.3471440000001</v>
      </c>
      <c r="G57" s="26">
        <v>0.54497071060469904</v>
      </c>
      <c r="H57" s="24"/>
    </row>
    <row r="58" spans="2:8" x14ac:dyDescent="0.2">
      <c r="B58" s="24" t="s">
        <v>919</v>
      </c>
      <c r="C58" s="24" t="s">
        <v>920</v>
      </c>
      <c r="D58" s="24" t="s">
        <v>289</v>
      </c>
      <c r="E58" s="28">
        <v>153202</v>
      </c>
      <c r="F58" s="25">
        <v>1156.292095</v>
      </c>
      <c r="G58" s="26">
        <v>0.46322391123331202</v>
      </c>
      <c r="H58" s="24"/>
    </row>
    <row r="59" spans="2:8" x14ac:dyDescent="0.2">
      <c r="B59" s="24" t="s">
        <v>1321</v>
      </c>
      <c r="C59" s="24" t="s">
        <v>1322</v>
      </c>
      <c r="D59" s="24" t="s">
        <v>553</v>
      </c>
      <c r="E59" s="28">
        <v>128668</v>
      </c>
      <c r="F59" s="25">
        <v>1123.400308</v>
      </c>
      <c r="G59" s="26">
        <v>0.45004708308800501</v>
      </c>
      <c r="H59" s="24"/>
    </row>
    <row r="60" spans="2:8" x14ac:dyDescent="0.2">
      <c r="B60" s="24" t="s">
        <v>899</v>
      </c>
      <c r="C60" s="24" t="s">
        <v>900</v>
      </c>
      <c r="D60" s="24" t="s">
        <v>373</v>
      </c>
      <c r="E60" s="28">
        <v>74638</v>
      </c>
      <c r="F60" s="25">
        <v>1106.5829879999999</v>
      </c>
      <c r="G60" s="26">
        <v>0.44330987128784799</v>
      </c>
      <c r="H60" s="24"/>
    </row>
    <row r="61" spans="2:8" x14ac:dyDescent="0.2">
      <c r="B61" s="24" t="s">
        <v>547</v>
      </c>
      <c r="C61" s="24" t="s">
        <v>548</v>
      </c>
      <c r="D61" s="24" t="s">
        <v>373</v>
      </c>
      <c r="E61" s="28">
        <v>125008</v>
      </c>
      <c r="F61" s="25">
        <v>1105.0707199999999</v>
      </c>
      <c r="G61" s="26">
        <v>0.44270403933515801</v>
      </c>
      <c r="H61" s="24"/>
    </row>
    <row r="62" spans="2:8" x14ac:dyDescent="0.2">
      <c r="B62" s="24" t="s">
        <v>1323</v>
      </c>
      <c r="C62" s="24" t="s">
        <v>1324</v>
      </c>
      <c r="D62" s="24" t="s">
        <v>314</v>
      </c>
      <c r="E62" s="28">
        <v>631977</v>
      </c>
      <c r="F62" s="25">
        <v>1019.8212849</v>
      </c>
      <c r="G62" s="26">
        <v>0.40855213522008899</v>
      </c>
      <c r="H62" s="24"/>
    </row>
    <row r="63" spans="2:8" x14ac:dyDescent="0.2">
      <c r="B63" s="24" t="s">
        <v>1325</v>
      </c>
      <c r="C63" s="24" t="s">
        <v>1326</v>
      </c>
      <c r="D63" s="24" t="s">
        <v>499</v>
      </c>
      <c r="E63" s="28">
        <v>85192</v>
      </c>
      <c r="F63" s="25">
        <v>940.94564000000003</v>
      </c>
      <c r="G63" s="26">
        <v>0.37695364476113002</v>
      </c>
      <c r="H63" s="24"/>
    </row>
    <row r="64" spans="2:8" x14ac:dyDescent="0.2">
      <c r="B64" s="24" t="s">
        <v>437</v>
      </c>
      <c r="C64" s="24" t="s">
        <v>438</v>
      </c>
      <c r="D64" s="24" t="s">
        <v>296</v>
      </c>
      <c r="E64" s="28">
        <v>7988</v>
      </c>
      <c r="F64" s="25">
        <v>904.88063999999997</v>
      </c>
      <c r="G64" s="26">
        <v>0.36250559099437801</v>
      </c>
      <c r="H64" s="24"/>
    </row>
    <row r="65" spans="2:8" x14ac:dyDescent="0.2">
      <c r="B65" s="24" t="s">
        <v>318</v>
      </c>
      <c r="C65" s="24" t="s">
        <v>319</v>
      </c>
      <c r="D65" s="24" t="s">
        <v>320</v>
      </c>
      <c r="E65" s="28">
        <v>214329</v>
      </c>
      <c r="F65" s="25">
        <v>856.45868399999995</v>
      </c>
      <c r="G65" s="26">
        <v>0.34310719854243699</v>
      </c>
      <c r="H65" s="24"/>
    </row>
    <row r="66" spans="2:8" x14ac:dyDescent="0.2">
      <c r="B66" s="24" t="s">
        <v>1029</v>
      </c>
      <c r="C66" s="24" t="s">
        <v>1030</v>
      </c>
      <c r="D66" s="24" t="s">
        <v>306</v>
      </c>
      <c r="E66" s="28">
        <v>16843</v>
      </c>
      <c r="F66" s="25">
        <v>840.07831099999999</v>
      </c>
      <c r="G66" s="26">
        <v>0.33654503273560399</v>
      </c>
      <c r="H66" s="24"/>
    </row>
    <row r="67" spans="2:8" x14ac:dyDescent="0.2">
      <c r="B67" s="24" t="s">
        <v>984</v>
      </c>
      <c r="C67" s="24" t="s">
        <v>985</v>
      </c>
      <c r="D67" s="24" t="s">
        <v>306</v>
      </c>
      <c r="E67" s="28">
        <v>77277</v>
      </c>
      <c r="F67" s="25">
        <v>829.414041</v>
      </c>
      <c r="G67" s="26">
        <v>0.332272803528806</v>
      </c>
      <c r="H67" s="24"/>
    </row>
    <row r="68" spans="2:8" x14ac:dyDescent="0.2">
      <c r="B68" s="24" t="s">
        <v>1327</v>
      </c>
      <c r="C68" s="24" t="s">
        <v>1328</v>
      </c>
      <c r="D68" s="24" t="s">
        <v>360</v>
      </c>
      <c r="E68" s="28">
        <v>98337</v>
      </c>
      <c r="F68" s="25">
        <v>818.11467149999999</v>
      </c>
      <c r="G68" s="26">
        <v>0.32774614615832598</v>
      </c>
      <c r="H68" s="24"/>
    </row>
    <row r="69" spans="2:8" x14ac:dyDescent="0.2">
      <c r="B69" s="24" t="s">
        <v>285</v>
      </c>
      <c r="C69" s="24" t="s">
        <v>286</v>
      </c>
      <c r="D69" s="24" t="s">
        <v>266</v>
      </c>
      <c r="E69" s="28">
        <v>64361</v>
      </c>
      <c r="F69" s="25">
        <v>816.99853399999995</v>
      </c>
      <c r="G69" s="26">
        <v>0.327299008639649</v>
      </c>
      <c r="H69" s="24"/>
    </row>
    <row r="70" spans="2:8" x14ac:dyDescent="0.2">
      <c r="B70" s="24" t="s">
        <v>1072</v>
      </c>
      <c r="C70" s="24" t="s">
        <v>1073</v>
      </c>
      <c r="D70" s="24" t="s">
        <v>443</v>
      </c>
      <c r="E70" s="28">
        <v>71399</v>
      </c>
      <c r="F70" s="25">
        <v>811.164039</v>
      </c>
      <c r="G70" s="26">
        <v>0.32496164284284201</v>
      </c>
      <c r="H70" s="24"/>
    </row>
    <row r="71" spans="2:8" x14ac:dyDescent="0.2">
      <c r="B71" s="24" t="s">
        <v>1329</v>
      </c>
      <c r="C71" s="24" t="s">
        <v>1330</v>
      </c>
      <c r="D71" s="24" t="s">
        <v>303</v>
      </c>
      <c r="E71" s="28">
        <v>112233</v>
      </c>
      <c r="F71" s="25">
        <v>802.80264899999997</v>
      </c>
      <c r="G71" s="26">
        <v>0.32161197384839402</v>
      </c>
      <c r="H71" s="24"/>
    </row>
    <row r="72" spans="2:8" x14ac:dyDescent="0.2">
      <c r="B72" s="24" t="s">
        <v>733</v>
      </c>
      <c r="C72" s="24" t="s">
        <v>734</v>
      </c>
      <c r="D72" s="24" t="s">
        <v>507</v>
      </c>
      <c r="E72" s="28">
        <v>87113</v>
      </c>
      <c r="F72" s="25">
        <v>745.46949749999999</v>
      </c>
      <c r="G72" s="26">
        <v>0.29864365399564702</v>
      </c>
      <c r="H72" s="24"/>
    </row>
    <row r="73" spans="2:8" x14ac:dyDescent="0.2">
      <c r="B73" s="24" t="s">
        <v>1005</v>
      </c>
      <c r="C73" s="24" t="s">
        <v>1006</v>
      </c>
      <c r="D73" s="24" t="s">
        <v>306</v>
      </c>
      <c r="E73" s="28">
        <v>77172</v>
      </c>
      <c r="F73" s="25">
        <v>696.901746</v>
      </c>
      <c r="G73" s="26">
        <v>0.27918685418967998</v>
      </c>
      <c r="H73" s="24"/>
    </row>
    <row r="74" spans="2:8" x14ac:dyDescent="0.2">
      <c r="B74" s="24" t="s">
        <v>1331</v>
      </c>
      <c r="C74" s="24" t="s">
        <v>1332</v>
      </c>
      <c r="D74" s="24" t="s">
        <v>373</v>
      </c>
      <c r="E74" s="28">
        <v>148615</v>
      </c>
      <c r="F74" s="25">
        <v>662.37705500000004</v>
      </c>
      <c r="G74" s="26">
        <v>0.26535586592270399</v>
      </c>
      <c r="H74" s="24"/>
    </row>
    <row r="75" spans="2:8" x14ac:dyDescent="0.2">
      <c r="B75" s="24" t="s">
        <v>830</v>
      </c>
      <c r="C75" s="24" t="s">
        <v>831</v>
      </c>
      <c r="D75" s="24" t="s">
        <v>266</v>
      </c>
      <c r="E75" s="28">
        <v>212177</v>
      </c>
      <c r="F75" s="25">
        <v>617.010716</v>
      </c>
      <c r="G75" s="26">
        <v>0.24718158878218999</v>
      </c>
      <c r="H75" s="24"/>
    </row>
    <row r="76" spans="2:8" x14ac:dyDescent="0.2">
      <c r="B76" s="24" t="s">
        <v>1333</v>
      </c>
      <c r="C76" s="24" t="s">
        <v>1334</v>
      </c>
      <c r="D76" s="24" t="s">
        <v>427</v>
      </c>
      <c r="E76" s="28">
        <v>26416</v>
      </c>
      <c r="F76" s="25">
        <v>597.10726399999999</v>
      </c>
      <c r="G76" s="26">
        <v>0.23920803701066701</v>
      </c>
      <c r="H76" s="24"/>
    </row>
    <row r="77" spans="2:8" x14ac:dyDescent="0.2">
      <c r="B77" s="24" t="s">
        <v>713</v>
      </c>
      <c r="C77" s="24" t="s">
        <v>714</v>
      </c>
      <c r="D77" s="24" t="s">
        <v>427</v>
      </c>
      <c r="E77" s="28">
        <v>15337</v>
      </c>
      <c r="F77" s="25">
        <v>594.92223000000001</v>
      </c>
      <c r="G77" s="26">
        <v>0.23833268726121001</v>
      </c>
      <c r="H77" s="24"/>
    </row>
    <row r="78" spans="2:8" x14ac:dyDescent="0.2">
      <c r="B78" s="24" t="s">
        <v>729</v>
      </c>
      <c r="C78" s="24" t="s">
        <v>730</v>
      </c>
      <c r="D78" s="24" t="s">
        <v>443</v>
      </c>
      <c r="E78" s="28">
        <v>305435</v>
      </c>
      <c r="F78" s="25">
        <v>594.28487949999999</v>
      </c>
      <c r="G78" s="26">
        <v>0.23807735732103899</v>
      </c>
      <c r="H78" s="24"/>
    </row>
    <row r="79" spans="2:8" x14ac:dyDescent="0.2">
      <c r="B79" s="24" t="s">
        <v>1335</v>
      </c>
      <c r="C79" s="24" t="s">
        <v>1336</v>
      </c>
      <c r="D79" s="24" t="s">
        <v>686</v>
      </c>
      <c r="E79" s="28">
        <v>149606</v>
      </c>
      <c r="F79" s="25">
        <v>590.19566999999995</v>
      </c>
      <c r="G79" s="26">
        <v>0.23643917296724701</v>
      </c>
      <c r="H79" s="24"/>
    </row>
    <row r="80" spans="2:8" x14ac:dyDescent="0.2">
      <c r="B80" s="24" t="s">
        <v>1104</v>
      </c>
      <c r="C80" s="24" t="s">
        <v>1105</v>
      </c>
      <c r="D80" s="24" t="s">
        <v>507</v>
      </c>
      <c r="E80" s="28">
        <v>72759</v>
      </c>
      <c r="F80" s="25">
        <v>585.89184750000004</v>
      </c>
      <c r="G80" s="26">
        <v>0.23471501217749099</v>
      </c>
      <c r="H80" s="24"/>
    </row>
    <row r="81" spans="2:8" x14ac:dyDescent="0.2">
      <c r="B81" s="24" t="s">
        <v>528</v>
      </c>
      <c r="C81" s="24" t="s">
        <v>529</v>
      </c>
      <c r="D81" s="24" t="s">
        <v>277</v>
      </c>
      <c r="E81" s="28">
        <v>35160</v>
      </c>
      <c r="F81" s="25">
        <v>584.71079999999995</v>
      </c>
      <c r="G81" s="26">
        <v>0.23424187096631399</v>
      </c>
      <c r="H81" s="24"/>
    </row>
    <row r="82" spans="2:8" x14ac:dyDescent="0.2">
      <c r="B82" s="24" t="s">
        <v>1037</v>
      </c>
      <c r="C82" s="24" t="s">
        <v>1038</v>
      </c>
      <c r="D82" s="24" t="s">
        <v>998</v>
      </c>
      <c r="E82" s="28">
        <v>55652</v>
      </c>
      <c r="F82" s="25">
        <v>564.97910400000001</v>
      </c>
      <c r="G82" s="26">
        <v>0.226337126623678</v>
      </c>
      <c r="H82" s="24"/>
    </row>
    <row r="83" spans="2:8" x14ac:dyDescent="0.2">
      <c r="B83" s="24" t="s">
        <v>505</v>
      </c>
      <c r="C83" s="24" t="s">
        <v>506</v>
      </c>
      <c r="D83" s="24" t="s">
        <v>507</v>
      </c>
      <c r="E83" s="28">
        <v>20965</v>
      </c>
      <c r="F83" s="25">
        <v>551.84073000000001</v>
      </c>
      <c r="G83" s="26">
        <v>0.22107374290096299</v>
      </c>
      <c r="H83" s="24"/>
    </row>
    <row r="84" spans="2:8" x14ac:dyDescent="0.2">
      <c r="B84" s="24" t="s">
        <v>477</v>
      </c>
      <c r="C84" s="24" t="s">
        <v>478</v>
      </c>
      <c r="D84" s="24" t="s">
        <v>454</v>
      </c>
      <c r="E84" s="28">
        <v>49721</v>
      </c>
      <c r="F84" s="25">
        <v>527.68897300000003</v>
      </c>
      <c r="G84" s="26">
        <v>0.21139827128866601</v>
      </c>
      <c r="H84" s="24"/>
    </row>
    <row r="85" spans="2:8" x14ac:dyDescent="0.2">
      <c r="B85" s="24" t="s">
        <v>1337</v>
      </c>
      <c r="C85" s="24" t="s">
        <v>1338</v>
      </c>
      <c r="D85" s="24" t="s">
        <v>427</v>
      </c>
      <c r="E85" s="28">
        <v>15790</v>
      </c>
      <c r="F85" s="25">
        <v>511.28019999999998</v>
      </c>
      <c r="G85" s="26">
        <v>0.20482472811521699</v>
      </c>
      <c r="H85" s="24"/>
    </row>
    <row r="86" spans="2:8" x14ac:dyDescent="0.2">
      <c r="B86" s="24" t="s">
        <v>625</v>
      </c>
      <c r="C86" s="24" t="s">
        <v>626</v>
      </c>
      <c r="D86" s="24" t="s">
        <v>553</v>
      </c>
      <c r="E86" s="28">
        <v>21143</v>
      </c>
      <c r="F86" s="25">
        <v>479.18495200000001</v>
      </c>
      <c r="G86" s="26">
        <v>0.19196700265393299</v>
      </c>
      <c r="H86" s="24"/>
    </row>
    <row r="87" spans="2:8" x14ac:dyDescent="0.2">
      <c r="B87" s="24" t="s">
        <v>1339</v>
      </c>
      <c r="C87" s="24" t="s">
        <v>1340</v>
      </c>
      <c r="D87" s="24" t="s">
        <v>1341</v>
      </c>
      <c r="E87" s="28">
        <v>36755</v>
      </c>
      <c r="F87" s="25">
        <v>479.02791500000001</v>
      </c>
      <c r="G87" s="26">
        <v>0.19190409182572399</v>
      </c>
      <c r="H87" s="24"/>
    </row>
    <row r="88" spans="2:8" x14ac:dyDescent="0.2">
      <c r="B88" s="24" t="s">
        <v>355</v>
      </c>
      <c r="C88" s="24" t="s">
        <v>356</v>
      </c>
      <c r="D88" s="24" t="s">
        <v>357</v>
      </c>
      <c r="E88" s="28">
        <v>199129</v>
      </c>
      <c r="F88" s="25">
        <v>478.66629019999999</v>
      </c>
      <c r="G88" s="26">
        <v>0.191759220771966</v>
      </c>
      <c r="H88" s="24"/>
    </row>
    <row r="89" spans="2:8" x14ac:dyDescent="0.2">
      <c r="B89" s="24" t="s">
        <v>329</v>
      </c>
      <c r="C89" s="24" t="s">
        <v>330</v>
      </c>
      <c r="D89" s="24" t="s">
        <v>311</v>
      </c>
      <c r="E89" s="28">
        <v>17006</v>
      </c>
      <c r="F89" s="25">
        <v>470.98117000000002</v>
      </c>
      <c r="G89" s="26">
        <v>0.18868047323686099</v>
      </c>
      <c r="H89" s="24"/>
    </row>
    <row r="90" spans="2:8" x14ac:dyDescent="0.2">
      <c r="B90" s="24" t="s">
        <v>814</v>
      </c>
      <c r="C90" s="24" t="s">
        <v>815</v>
      </c>
      <c r="D90" s="24" t="s">
        <v>266</v>
      </c>
      <c r="E90" s="28">
        <v>1592123</v>
      </c>
      <c r="F90" s="25">
        <v>468.8802235</v>
      </c>
      <c r="G90" s="26">
        <v>0.18783880990695501</v>
      </c>
      <c r="H90" s="24"/>
    </row>
    <row r="91" spans="2:8" x14ac:dyDescent="0.2">
      <c r="B91" s="24" t="s">
        <v>551</v>
      </c>
      <c r="C91" s="24" t="s">
        <v>552</v>
      </c>
      <c r="D91" s="24" t="s">
        <v>553</v>
      </c>
      <c r="E91" s="28">
        <v>56577</v>
      </c>
      <c r="F91" s="25">
        <v>449.87201549999997</v>
      </c>
      <c r="G91" s="26">
        <v>0.180223903177617</v>
      </c>
      <c r="H91" s="24"/>
    </row>
    <row r="92" spans="2:8" x14ac:dyDescent="0.2">
      <c r="B92" s="24" t="s">
        <v>999</v>
      </c>
      <c r="C92" s="24" t="s">
        <v>1000</v>
      </c>
      <c r="D92" s="24" t="s">
        <v>363</v>
      </c>
      <c r="E92" s="28">
        <v>130011</v>
      </c>
      <c r="F92" s="25">
        <v>448.01790599999998</v>
      </c>
      <c r="G92" s="26">
        <v>0.17948112558866799</v>
      </c>
      <c r="H92" s="24"/>
    </row>
    <row r="93" spans="2:8" x14ac:dyDescent="0.2">
      <c r="B93" s="24" t="s">
        <v>933</v>
      </c>
      <c r="C93" s="24" t="s">
        <v>934</v>
      </c>
      <c r="D93" s="24" t="s">
        <v>314</v>
      </c>
      <c r="E93" s="28">
        <v>265013</v>
      </c>
      <c r="F93" s="25">
        <v>444.05578279999997</v>
      </c>
      <c r="G93" s="26">
        <v>0.17789385346821601</v>
      </c>
      <c r="H93" s="24"/>
    </row>
    <row r="94" spans="2:8" x14ac:dyDescent="0.2">
      <c r="B94" s="24" t="s">
        <v>707</v>
      </c>
      <c r="C94" s="24" t="s">
        <v>708</v>
      </c>
      <c r="D94" s="24" t="s">
        <v>427</v>
      </c>
      <c r="E94" s="28">
        <v>87364</v>
      </c>
      <c r="F94" s="25">
        <v>436.82</v>
      </c>
      <c r="G94" s="26">
        <v>0.174995115663171</v>
      </c>
      <c r="H94" s="24"/>
    </row>
    <row r="95" spans="2:8" x14ac:dyDescent="0.2">
      <c r="B95" s="24" t="s">
        <v>1342</v>
      </c>
      <c r="C95" s="24" t="s">
        <v>1343</v>
      </c>
      <c r="D95" s="24" t="s">
        <v>280</v>
      </c>
      <c r="E95" s="28">
        <v>43859</v>
      </c>
      <c r="F95" s="25">
        <v>430.08135399999998</v>
      </c>
      <c r="G95" s="26">
        <v>0.17229553657754501</v>
      </c>
      <c r="H95" s="24"/>
    </row>
    <row r="96" spans="2:8" x14ac:dyDescent="0.2">
      <c r="B96" s="24" t="s">
        <v>479</v>
      </c>
      <c r="C96" s="24" t="s">
        <v>480</v>
      </c>
      <c r="D96" s="24" t="s">
        <v>446</v>
      </c>
      <c r="E96" s="28">
        <v>3437</v>
      </c>
      <c r="F96" s="25">
        <v>421.10124000000002</v>
      </c>
      <c r="G96" s="26">
        <v>0.168697999633041</v>
      </c>
      <c r="H96" s="24"/>
    </row>
    <row r="97" spans="2:8" x14ac:dyDescent="0.2">
      <c r="B97" s="24" t="s">
        <v>1106</v>
      </c>
      <c r="C97" s="24" t="s">
        <v>1107</v>
      </c>
      <c r="D97" s="24" t="s">
        <v>296</v>
      </c>
      <c r="E97" s="28">
        <v>276286</v>
      </c>
      <c r="F97" s="25">
        <v>414.705286</v>
      </c>
      <c r="G97" s="26">
        <v>0.16613570690375601</v>
      </c>
      <c r="H97" s="24"/>
    </row>
    <row r="98" spans="2:8" x14ac:dyDescent="0.2">
      <c r="B98" s="24" t="s">
        <v>465</v>
      </c>
      <c r="C98" s="24" t="s">
        <v>466</v>
      </c>
      <c r="D98" s="24" t="s">
        <v>314</v>
      </c>
      <c r="E98" s="28">
        <v>39968</v>
      </c>
      <c r="F98" s="25">
        <v>410.61124799999999</v>
      </c>
      <c r="G98" s="26">
        <v>0.16449558819733301</v>
      </c>
      <c r="H98" s="24"/>
    </row>
    <row r="99" spans="2:8" x14ac:dyDescent="0.2">
      <c r="B99" s="24" t="s">
        <v>721</v>
      </c>
      <c r="C99" s="24" t="s">
        <v>722</v>
      </c>
      <c r="D99" s="24" t="s">
        <v>306</v>
      </c>
      <c r="E99" s="28">
        <v>1393</v>
      </c>
      <c r="F99" s="25">
        <v>404.31824999999998</v>
      </c>
      <c r="G99" s="26">
        <v>0.16197454082569701</v>
      </c>
      <c r="H99" s="24"/>
    </row>
    <row r="100" spans="2:8" x14ac:dyDescent="0.2">
      <c r="B100" s="24" t="s">
        <v>1309</v>
      </c>
      <c r="C100" s="24" t="s">
        <v>1310</v>
      </c>
      <c r="D100" s="24" t="s">
        <v>553</v>
      </c>
      <c r="E100" s="28">
        <v>269184</v>
      </c>
      <c r="F100" s="25">
        <v>393.6546816</v>
      </c>
      <c r="G100" s="26">
        <v>0.15770259268792799</v>
      </c>
      <c r="H100" s="24"/>
    </row>
    <row r="101" spans="2:8" x14ac:dyDescent="0.2">
      <c r="B101" s="24" t="s">
        <v>1175</v>
      </c>
      <c r="C101" s="24" t="s">
        <v>1176</v>
      </c>
      <c r="D101" s="24" t="s">
        <v>507</v>
      </c>
      <c r="E101" s="28">
        <v>34827</v>
      </c>
      <c r="F101" s="25">
        <v>393.37096500000001</v>
      </c>
      <c r="G101" s="26">
        <v>0.157588932555076</v>
      </c>
      <c r="H101" s="24"/>
    </row>
    <row r="102" spans="2:8" x14ac:dyDescent="0.2">
      <c r="B102" s="24" t="s">
        <v>1202</v>
      </c>
      <c r="C102" s="24" t="s">
        <v>1203</v>
      </c>
      <c r="D102" s="24" t="s">
        <v>451</v>
      </c>
      <c r="E102" s="28">
        <v>75510</v>
      </c>
      <c r="F102" s="25">
        <v>363.54289499999999</v>
      </c>
      <c r="G102" s="26">
        <v>0.14563946467434899</v>
      </c>
      <c r="H102" s="24"/>
    </row>
    <row r="103" spans="2:8" x14ac:dyDescent="0.2">
      <c r="B103" s="24" t="s">
        <v>1344</v>
      </c>
      <c r="C103" s="24" t="s">
        <v>1345</v>
      </c>
      <c r="D103" s="24" t="s">
        <v>274</v>
      </c>
      <c r="E103" s="28">
        <v>51046</v>
      </c>
      <c r="F103" s="25">
        <v>358.24082800000002</v>
      </c>
      <c r="G103" s="26">
        <v>0.14351539565754801</v>
      </c>
      <c r="H103" s="24"/>
    </row>
    <row r="104" spans="2:8" x14ac:dyDescent="0.2">
      <c r="B104" s="24" t="s">
        <v>1009</v>
      </c>
      <c r="C104" s="24" t="s">
        <v>1010</v>
      </c>
      <c r="D104" s="24" t="s">
        <v>311</v>
      </c>
      <c r="E104" s="28">
        <v>33831</v>
      </c>
      <c r="F104" s="25">
        <v>327.653235</v>
      </c>
      <c r="G104" s="26">
        <v>0.13126165412810101</v>
      </c>
      <c r="H104" s="24"/>
    </row>
    <row r="105" spans="2:8" x14ac:dyDescent="0.2">
      <c r="B105" s="24" t="s">
        <v>1053</v>
      </c>
      <c r="C105" s="24" t="s">
        <v>1054</v>
      </c>
      <c r="D105" s="24" t="s">
        <v>303</v>
      </c>
      <c r="E105" s="28">
        <v>14703</v>
      </c>
      <c r="F105" s="25">
        <v>326.92120499999999</v>
      </c>
      <c r="G105" s="26">
        <v>0.13096839449136599</v>
      </c>
      <c r="H105" s="24"/>
    </row>
    <row r="106" spans="2:8" x14ac:dyDescent="0.2">
      <c r="B106" s="24" t="s">
        <v>419</v>
      </c>
      <c r="C106" s="24" t="s">
        <v>420</v>
      </c>
      <c r="D106" s="24" t="s">
        <v>277</v>
      </c>
      <c r="E106" s="28">
        <v>5273</v>
      </c>
      <c r="F106" s="25">
        <v>319.72835500000002</v>
      </c>
      <c r="G106" s="26">
        <v>0.12808685605975101</v>
      </c>
      <c r="H106" s="24"/>
    </row>
    <row r="107" spans="2:8" x14ac:dyDescent="0.2">
      <c r="B107" s="24" t="s">
        <v>1060</v>
      </c>
      <c r="C107" s="24" t="s">
        <v>1061</v>
      </c>
      <c r="D107" s="24" t="s">
        <v>376</v>
      </c>
      <c r="E107" s="28">
        <v>33156</v>
      </c>
      <c r="F107" s="25">
        <v>313.05895199999998</v>
      </c>
      <c r="G107" s="26">
        <v>0.125415016516257</v>
      </c>
      <c r="H107" s="24"/>
    </row>
    <row r="108" spans="2:8" x14ac:dyDescent="0.2">
      <c r="B108" s="24" t="s">
        <v>292</v>
      </c>
      <c r="C108" s="24" t="s">
        <v>293</v>
      </c>
      <c r="D108" s="24" t="s">
        <v>266</v>
      </c>
      <c r="E108" s="28">
        <v>13519</v>
      </c>
      <c r="F108" s="25">
        <v>297.566709</v>
      </c>
      <c r="G108" s="26">
        <v>0.119208645801392</v>
      </c>
      <c r="H108" s="24"/>
    </row>
    <row r="109" spans="2:8" x14ac:dyDescent="0.2">
      <c r="B109" s="24" t="s">
        <v>1218</v>
      </c>
      <c r="C109" s="24" t="s">
        <v>1219</v>
      </c>
      <c r="D109" s="24" t="s">
        <v>269</v>
      </c>
      <c r="E109" s="28">
        <v>35363</v>
      </c>
      <c r="F109" s="25">
        <v>295.70540599999998</v>
      </c>
      <c r="G109" s="26">
        <v>0.118462986413614</v>
      </c>
      <c r="H109" s="24"/>
    </row>
    <row r="110" spans="2:8" x14ac:dyDescent="0.2">
      <c r="B110" s="24" t="s">
        <v>869</v>
      </c>
      <c r="C110" s="24" t="s">
        <v>870</v>
      </c>
      <c r="D110" s="24" t="s">
        <v>280</v>
      </c>
      <c r="E110" s="28">
        <v>24338</v>
      </c>
      <c r="F110" s="25">
        <v>292.64011199999999</v>
      </c>
      <c r="G110" s="26">
        <v>0.11723499438469701</v>
      </c>
      <c r="H110" s="24"/>
    </row>
    <row r="111" spans="2:8" x14ac:dyDescent="0.2">
      <c r="B111" s="24" t="s">
        <v>493</v>
      </c>
      <c r="C111" s="24" t="s">
        <v>494</v>
      </c>
      <c r="D111" s="24" t="s">
        <v>296</v>
      </c>
      <c r="E111" s="28">
        <v>230857</v>
      </c>
      <c r="F111" s="25">
        <v>287.69399340000001</v>
      </c>
      <c r="G111" s="26">
        <v>0.11525352239053301</v>
      </c>
      <c r="H111" s="24"/>
    </row>
    <row r="112" spans="2:8" x14ac:dyDescent="0.2">
      <c r="B112" s="24" t="s">
        <v>1346</v>
      </c>
      <c r="C112" s="24" t="s">
        <v>1347</v>
      </c>
      <c r="D112" s="24" t="s">
        <v>303</v>
      </c>
      <c r="E112" s="28">
        <v>9927</v>
      </c>
      <c r="F112" s="25">
        <v>280.55687399999999</v>
      </c>
      <c r="G112" s="26">
        <v>0.11239431027820999</v>
      </c>
      <c r="H112" s="24"/>
    </row>
    <row r="113" spans="2:8" x14ac:dyDescent="0.2">
      <c r="B113" s="24" t="s">
        <v>491</v>
      </c>
      <c r="C113" s="24" t="s">
        <v>492</v>
      </c>
      <c r="D113" s="24" t="s">
        <v>451</v>
      </c>
      <c r="E113" s="28">
        <v>10681</v>
      </c>
      <c r="F113" s="25">
        <v>273.44428099999999</v>
      </c>
      <c r="G113" s="26">
        <v>0.109544923723794</v>
      </c>
      <c r="H113" s="24"/>
    </row>
    <row r="114" spans="2:8" x14ac:dyDescent="0.2">
      <c r="B114" s="24" t="s">
        <v>885</v>
      </c>
      <c r="C114" s="24" t="s">
        <v>886</v>
      </c>
      <c r="D114" s="24" t="s">
        <v>306</v>
      </c>
      <c r="E114" s="28">
        <v>29664</v>
      </c>
      <c r="F114" s="25">
        <v>269.46777600000001</v>
      </c>
      <c r="G114" s="26">
        <v>0.10795189008886399</v>
      </c>
      <c r="H114" s="24"/>
    </row>
    <row r="115" spans="2:8" x14ac:dyDescent="0.2">
      <c r="B115" s="24" t="s">
        <v>566</v>
      </c>
      <c r="C115" s="24" t="s">
        <v>567</v>
      </c>
      <c r="D115" s="24" t="s">
        <v>266</v>
      </c>
      <c r="E115" s="28">
        <v>1216858</v>
      </c>
      <c r="F115" s="25">
        <v>262.84132799999998</v>
      </c>
      <c r="G115" s="26">
        <v>0.10529725881237501</v>
      </c>
      <c r="H115" s="24"/>
    </row>
    <row r="116" spans="2:8" x14ac:dyDescent="0.2">
      <c r="B116" s="24" t="s">
        <v>969</v>
      </c>
      <c r="C116" s="24" t="s">
        <v>970</v>
      </c>
      <c r="D116" s="24" t="s">
        <v>269</v>
      </c>
      <c r="E116" s="28">
        <v>132466</v>
      </c>
      <c r="F116" s="25">
        <v>255.06328300000001</v>
      </c>
      <c r="G116" s="26">
        <v>0.10218128453370499</v>
      </c>
      <c r="H116" s="24"/>
    </row>
    <row r="117" spans="2:8" x14ac:dyDescent="0.2">
      <c r="B117" s="24" t="s">
        <v>739</v>
      </c>
      <c r="C117" s="24" t="s">
        <v>740</v>
      </c>
      <c r="D117" s="24" t="s">
        <v>540</v>
      </c>
      <c r="E117" s="28">
        <v>6579</v>
      </c>
      <c r="F117" s="25">
        <v>244.72564199999999</v>
      </c>
      <c r="G117" s="26">
        <v>9.80399066607157E-2</v>
      </c>
      <c r="H117" s="24"/>
    </row>
    <row r="118" spans="2:8" x14ac:dyDescent="0.2">
      <c r="B118" s="24" t="s">
        <v>1348</v>
      </c>
      <c r="C118" s="24" t="s">
        <v>1349</v>
      </c>
      <c r="D118" s="24" t="s">
        <v>280</v>
      </c>
      <c r="E118" s="28">
        <v>791867</v>
      </c>
      <c r="F118" s="25">
        <v>227.42420240000001</v>
      </c>
      <c r="G118" s="26">
        <v>9.1108750981164902E-2</v>
      </c>
      <c r="H118" s="24"/>
    </row>
    <row r="119" spans="2:8" x14ac:dyDescent="0.2">
      <c r="B119" s="24" t="s">
        <v>1459</v>
      </c>
      <c r="C119" s="24" t="s">
        <v>1350</v>
      </c>
      <c r="D119" s="24" t="s">
        <v>337</v>
      </c>
      <c r="E119" s="28">
        <v>884320</v>
      </c>
      <c r="F119" s="25">
        <v>205.78126399999999</v>
      </c>
      <c r="G119" s="26">
        <v>8.2438340952780506E-2</v>
      </c>
      <c r="H119" s="24"/>
    </row>
    <row r="120" spans="2:8" x14ac:dyDescent="0.2">
      <c r="B120" s="24" t="s">
        <v>1351</v>
      </c>
      <c r="C120" s="24" t="s">
        <v>1352</v>
      </c>
      <c r="D120" s="24" t="s">
        <v>306</v>
      </c>
      <c r="E120" s="28">
        <v>67881</v>
      </c>
      <c r="F120" s="25">
        <v>205.1703225</v>
      </c>
      <c r="G120" s="26">
        <v>8.2193590761727095E-2</v>
      </c>
      <c r="H120" s="24"/>
    </row>
    <row r="121" spans="2:8" x14ac:dyDescent="0.2">
      <c r="B121" s="24" t="s">
        <v>949</v>
      </c>
      <c r="C121" s="24" t="s">
        <v>950</v>
      </c>
      <c r="D121" s="24" t="s">
        <v>850</v>
      </c>
      <c r="E121" s="28">
        <v>4297</v>
      </c>
      <c r="F121" s="25">
        <v>201.75704099999999</v>
      </c>
      <c r="G121" s="26">
        <v>8.08261909382679E-2</v>
      </c>
      <c r="H121" s="24"/>
    </row>
    <row r="122" spans="2:8" x14ac:dyDescent="0.2">
      <c r="B122" s="24" t="s">
        <v>1013</v>
      </c>
      <c r="C122" s="24" t="s">
        <v>1014</v>
      </c>
      <c r="D122" s="24" t="s">
        <v>427</v>
      </c>
      <c r="E122" s="28">
        <v>5099</v>
      </c>
      <c r="F122" s="25">
        <v>194.40447399999999</v>
      </c>
      <c r="G122" s="26">
        <v>7.7880668039622597E-2</v>
      </c>
      <c r="H122" s="24"/>
    </row>
    <row r="123" spans="2:8" x14ac:dyDescent="0.2">
      <c r="B123" s="24" t="s">
        <v>1247</v>
      </c>
      <c r="C123" s="24" t="s">
        <v>1248</v>
      </c>
      <c r="D123" s="24" t="s">
        <v>323</v>
      </c>
      <c r="E123" s="28">
        <v>51988</v>
      </c>
      <c r="F123" s="25">
        <v>185.051286</v>
      </c>
      <c r="G123" s="26">
        <v>7.4133673360168004E-2</v>
      </c>
      <c r="H123" s="24"/>
    </row>
    <row r="124" spans="2:8" x14ac:dyDescent="0.2">
      <c r="B124" s="24" t="s">
        <v>1122</v>
      </c>
      <c r="C124" s="24" t="s">
        <v>1123</v>
      </c>
      <c r="D124" s="24" t="s">
        <v>499</v>
      </c>
      <c r="E124" s="28">
        <v>22831</v>
      </c>
      <c r="F124" s="25">
        <v>167.38547650000001</v>
      </c>
      <c r="G124" s="26">
        <v>6.7056546908228903E-2</v>
      </c>
      <c r="H124" s="24"/>
    </row>
    <row r="125" spans="2:8" x14ac:dyDescent="0.2">
      <c r="B125" s="24" t="s">
        <v>1047</v>
      </c>
      <c r="C125" s="24" t="s">
        <v>1048</v>
      </c>
      <c r="D125" s="24" t="s">
        <v>296</v>
      </c>
      <c r="E125" s="28">
        <v>89403</v>
      </c>
      <c r="F125" s="25">
        <v>163.4644452</v>
      </c>
      <c r="G125" s="26">
        <v>6.5485736675495898E-2</v>
      </c>
      <c r="H125" s="24"/>
    </row>
    <row r="126" spans="2:8" x14ac:dyDescent="0.2">
      <c r="B126" s="24" t="s">
        <v>1353</v>
      </c>
      <c r="C126" s="24" t="s">
        <v>1354</v>
      </c>
      <c r="D126" s="24" t="s">
        <v>337</v>
      </c>
      <c r="E126" s="28">
        <v>136204</v>
      </c>
      <c r="F126" s="25">
        <v>152.16710879999999</v>
      </c>
      <c r="G126" s="26">
        <v>6.0959893788256898E-2</v>
      </c>
      <c r="H126" s="24"/>
    </row>
    <row r="127" spans="2:8" x14ac:dyDescent="0.2">
      <c r="B127" s="24" t="s">
        <v>297</v>
      </c>
      <c r="C127" s="24" t="s">
        <v>298</v>
      </c>
      <c r="D127" s="24" t="s">
        <v>289</v>
      </c>
      <c r="E127" s="28">
        <v>882</v>
      </c>
      <c r="F127" s="25">
        <v>147.26754</v>
      </c>
      <c r="G127" s="26">
        <v>5.89970701793203E-2</v>
      </c>
      <c r="H127" s="24"/>
    </row>
    <row r="128" spans="2:8" x14ac:dyDescent="0.2">
      <c r="B128" s="24" t="s">
        <v>1287</v>
      </c>
      <c r="C128" s="24" t="s">
        <v>1288</v>
      </c>
      <c r="D128" s="24" t="s">
        <v>360</v>
      </c>
      <c r="E128" s="28">
        <v>25769</v>
      </c>
      <c r="F128" s="25">
        <v>147.19252800000001</v>
      </c>
      <c r="G128" s="26">
        <v>5.8967019509442303E-2</v>
      </c>
      <c r="H128" s="24"/>
    </row>
    <row r="129" spans="2:9" x14ac:dyDescent="0.2">
      <c r="B129" s="24" t="s">
        <v>1355</v>
      </c>
      <c r="C129" s="24" t="s">
        <v>1356</v>
      </c>
      <c r="D129" s="24" t="s">
        <v>360</v>
      </c>
      <c r="E129" s="28">
        <v>11640</v>
      </c>
      <c r="F129" s="25">
        <v>145.59312</v>
      </c>
      <c r="G129" s="26">
        <v>5.8326278270596499E-2</v>
      </c>
      <c r="H129" s="24"/>
    </row>
    <row r="130" spans="2:9" x14ac:dyDescent="0.2">
      <c r="B130" s="24" t="s">
        <v>812</v>
      </c>
      <c r="C130" s="24" t="s">
        <v>813</v>
      </c>
      <c r="D130" s="24" t="s">
        <v>363</v>
      </c>
      <c r="E130" s="28">
        <v>90913</v>
      </c>
      <c r="F130" s="25">
        <v>141.6606366</v>
      </c>
      <c r="G130" s="26">
        <v>5.6750880194898302E-2</v>
      </c>
      <c r="H130" s="24"/>
    </row>
    <row r="131" spans="2:9" x14ac:dyDescent="0.2">
      <c r="B131" s="24" t="s">
        <v>1076</v>
      </c>
      <c r="C131" s="24" t="s">
        <v>1077</v>
      </c>
      <c r="D131" s="24" t="s">
        <v>303</v>
      </c>
      <c r="E131" s="28">
        <v>47307</v>
      </c>
      <c r="F131" s="25">
        <v>135.723783</v>
      </c>
      <c r="G131" s="26">
        <v>5.4372508365752803E-2</v>
      </c>
      <c r="H131" s="24"/>
    </row>
    <row r="132" spans="2:9" x14ac:dyDescent="0.2">
      <c r="B132" s="24" t="s">
        <v>301</v>
      </c>
      <c r="C132" s="24" t="s">
        <v>302</v>
      </c>
      <c r="D132" s="24" t="s">
        <v>303</v>
      </c>
      <c r="E132" s="28">
        <v>42791</v>
      </c>
      <c r="F132" s="25">
        <v>118.98037549999999</v>
      </c>
      <c r="G132" s="26">
        <v>4.7664906763129102E-2</v>
      </c>
      <c r="H132" s="24"/>
    </row>
    <row r="133" spans="2:9" x14ac:dyDescent="0.2">
      <c r="B133" s="24" t="s">
        <v>1357</v>
      </c>
      <c r="C133" s="24" t="s">
        <v>1358</v>
      </c>
      <c r="D133" s="24" t="s">
        <v>553</v>
      </c>
      <c r="E133" s="28">
        <v>129727</v>
      </c>
      <c r="F133" s="25">
        <v>118.7131777</v>
      </c>
      <c r="G133" s="26">
        <v>4.7557864251531697E-2</v>
      </c>
      <c r="H133" s="24"/>
    </row>
    <row r="134" spans="2:9" x14ac:dyDescent="0.2">
      <c r="B134" s="24" t="s">
        <v>1359</v>
      </c>
      <c r="C134" s="24" t="s">
        <v>1360</v>
      </c>
      <c r="D134" s="24" t="s">
        <v>337</v>
      </c>
      <c r="E134" s="28">
        <v>884320</v>
      </c>
      <c r="F134" s="25">
        <v>89.670047999999994</v>
      </c>
      <c r="G134" s="26">
        <v>3.5922852482217202E-2</v>
      </c>
      <c r="H134" s="24"/>
    </row>
    <row r="135" spans="2:9" x14ac:dyDescent="0.2">
      <c r="B135" s="24" t="s">
        <v>1361</v>
      </c>
      <c r="C135" s="24" t="s">
        <v>1362</v>
      </c>
      <c r="D135" s="24" t="s">
        <v>269</v>
      </c>
      <c r="E135" s="28">
        <v>6301</v>
      </c>
      <c r="F135" s="25">
        <v>75.637203999999997</v>
      </c>
      <c r="G135" s="26">
        <v>3.0301133790620601E-2</v>
      </c>
      <c r="H135" s="24"/>
    </row>
    <row r="136" spans="2:9" x14ac:dyDescent="0.2">
      <c r="B136" s="24" t="s">
        <v>1190</v>
      </c>
      <c r="C136" s="24" t="s">
        <v>1191</v>
      </c>
      <c r="D136" s="24" t="s">
        <v>655</v>
      </c>
      <c r="E136" s="28">
        <v>15571</v>
      </c>
      <c r="F136" s="25">
        <v>68.130910499999999</v>
      </c>
      <c r="G136" s="26">
        <v>2.7294026288138502E-2</v>
      </c>
      <c r="H136" s="24"/>
    </row>
    <row r="137" spans="2:9" x14ac:dyDescent="0.2">
      <c r="B137" s="24" t="s">
        <v>1363</v>
      </c>
      <c r="C137" s="24" t="s">
        <v>1364</v>
      </c>
      <c r="D137" s="24" t="s">
        <v>427</v>
      </c>
      <c r="E137" s="28">
        <v>49446</v>
      </c>
      <c r="F137" s="25">
        <v>62.588746800000003</v>
      </c>
      <c r="G137" s="26">
        <v>2.5073771772077601E-2</v>
      </c>
      <c r="H137" s="24"/>
    </row>
    <row r="138" spans="2:9" x14ac:dyDescent="0.2">
      <c r="B138" s="24" t="s">
        <v>1224</v>
      </c>
      <c r="C138" s="24" t="s">
        <v>1225</v>
      </c>
      <c r="D138" s="24" t="s">
        <v>436</v>
      </c>
      <c r="E138" s="28">
        <v>21181</v>
      </c>
      <c r="F138" s="25">
        <v>60.630612499999998</v>
      </c>
      <c r="G138" s="26">
        <v>2.4289320651907899E-2</v>
      </c>
      <c r="H138" s="24"/>
    </row>
    <row r="139" spans="2:9" x14ac:dyDescent="0.2">
      <c r="B139" s="23" t="s">
        <v>60</v>
      </c>
      <c r="C139" s="23"/>
      <c r="D139" s="23"/>
      <c r="E139" s="23"/>
      <c r="F139" s="30">
        <f>SUM(F7:F138)</f>
        <v>245322.24852749999</v>
      </c>
      <c r="G139" s="31">
        <f>SUM(G7:G138)</f>
        <v>98.278914096925675</v>
      </c>
      <c r="H139" s="23"/>
      <c r="I139" s="16"/>
    </row>
    <row r="140" spans="2:9" x14ac:dyDescent="0.2">
      <c r="B140" s="23" t="s">
        <v>389</v>
      </c>
      <c r="C140" s="23"/>
      <c r="D140" s="23"/>
      <c r="E140" s="23"/>
      <c r="F140" s="46" t="s">
        <v>390</v>
      </c>
      <c r="G140" s="47" t="s">
        <v>390</v>
      </c>
      <c r="H140" s="23"/>
      <c r="I140" s="16"/>
    </row>
    <row r="141" spans="2:9" x14ac:dyDescent="0.2">
      <c r="B141" s="23" t="s">
        <v>60</v>
      </c>
      <c r="C141" s="23"/>
      <c r="D141" s="23"/>
      <c r="E141" s="23"/>
      <c r="F141" s="48" t="s">
        <v>390</v>
      </c>
      <c r="G141" s="49" t="s">
        <v>390</v>
      </c>
      <c r="H141" s="23"/>
      <c r="I141" s="16"/>
    </row>
    <row r="142" spans="2:9" x14ac:dyDescent="0.2">
      <c r="B142" s="35" t="s">
        <v>99</v>
      </c>
      <c r="C142" s="35"/>
      <c r="D142" s="35"/>
      <c r="E142" s="35"/>
      <c r="F142" s="36">
        <f>F139</f>
        <v>245322.24852749999</v>
      </c>
      <c r="G142" s="37">
        <f>G139</f>
        <v>98.278914096925675</v>
      </c>
      <c r="H142" s="23"/>
      <c r="I142" s="16"/>
    </row>
    <row r="143" spans="2:9" x14ac:dyDescent="0.2">
      <c r="B143" s="23" t="s">
        <v>104</v>
      </c>
      <c r="C143" s="23"/>
      <c r="D143" s="23"/>
      <c r="E143" s="23"/>
      <c r="F143" s="30">
        <v>4526.2587780000003</v>
      </c>
      <c r="G143" s="31">
        <v>1.81327132085883</v>
      </c>
      <c r="H143" s="38">
        <v>5.3636339999999998E-2</v>
      </c>
      <c r="I143" s="17"/>
    </row>
    <row r="144" spans="2:9" x14ac:dyDescent="0.2">
      <c r="B144" s="24"/>
      <c r="C144" s="24"/>
      <c r="D144" s="24"/>
      <c r="E144" s="24"/>
      <c r="F144" s="25"/>
      <c r="G144" s="26"/>
      <c r="H144" s="24"/>
    </row>
    <row r="145" spans="2:9" x14ac:dyDescent="0.2">
      <c r="B145" s="23" t="s">
        <v>1365</v>
      </c>
      <c r="C145" s="24"/>
      <c r="D145" s="24"/>
      <c r="E145" s="24"/>
      <c r="F145" s="104">
        <v>700</v>
      </c>
      <c r="G145" s="104">
        <f>F145/F147*100</f>
        <v>0.2804280503736547</v>
      </c>
      <c r="H145" s="24"/>
    </row>
    <row r="146" spans="2:9" x14ac:dyDescent="0.2">
      <c r="B146" s="43" t="s">
        <v>106</v>
      </c>
      <c r="C146" s="43"/>
      <c r="D146" s="43"/>
      <c r="E146" s="43"/>
      <c r="F146" s="30">
        <f>F147-(F139+F143+F145)</f>
        <v>-930.11176079997676</v>
      </c>
      <c r="G146" s="31">
        <f>G147-(G139+G143+G145)</f>
        <v>-0.3726134681581641</v>
      </c>
      <c r="H146" s="23"/>
      <c r="I146" s="16"/>
    </row>
    <row r="147" spans="2:9" x14ac:dyDescent="0.2">
      <c r="B147" s="39" t="s">
        <v>105</v>
      </c>
      <c r="C147" s="39"/>
      <c r="D147" s="39"/>
      <c r="E147" s="39"/>
      <c r="F147" s="40">
        <v>249618.3955447</v>
      </c>
      <c r="G147" s="41">
        <v>100</v>
      </c>
      <c r="H147" s="50"/>
      <c r="I147" s="16"/>
    </row>
    <row r="149" spans="2:9" x14ac:dyDescent="0.2">
      <c r="B149" s="16" t="s">
        <v>1366</v>
      </c>
    </row>
    <row r="151" spans="2:9" ht="22.5" x14ac:dyDescent="0.2">
      <c r="B151" s="74" t="s">
        <v>7</v>
      </c>
      <c r="C151" s="74" t="s">
        <v>1367</v>
      </c>
      <c r="D151" s="74" t="s">
        <v>391</v>
      </c>
      <c r="E151" s="75" t="s">
        <v>0</v>
      </c>
      <c r="F151" s="76" t="s">
        <v>1368</v>
      </c>
      <c r="G151" s="71" t="s">
        <v>1369</v>
      </c>
    </row>
    <row r="152" spans="2:9" x14ac:dyDescent="0.2">
      <c r="B152" s="56" t="s">
        <v>1370</v>
      </c>
      <c r="C152" s="56" t="s">
        <v>1371</v>
      </c>
      <c r="D152" s="56" t="s">
        <v>1463</v>
      </c>
      <c r="E152" s="28">
        <v>13520</v>
      </c>
      <c r="F152" s="57">
        <v>3555.2597599999999</v>
      </c>
      <c r="G152" s="58">
        <v>1.4242779472410101</v>
      </c>
    </row>
    <row r="153" spans="2:9" x14ac:dyDescent="0.2">
      <c r="B153" s="53"/>
      <c r="C153" s="53"/>
      <c r="D153" s="53"/>
      <c r="E153" s="53"/>
      <c r="F153" s="54">
        <f>SUM(F152:F152)</f>
        <v>3555.2597599999999</v>
      </c>
      <c r="G153" s="55">
        <f>SUM(G152:G152)</f>
        <v>1.4242779472410101</v>
      </c>
    </row>
    <row r="155" spans="2:9" x14ac:dyDescent="0.2">
      <c r="B155" s="16" t="s">
        <v>504</v>
      </c>
    </row>
    <row r="157" spans="2:9" x14ac:dyDescent="0.2">
      <c r="B157" s="16" t="s">
        <v>110</v>
      </c>
    </row>
    <row r="174" spans="2:2" x14ac:dyDescent="0.2">
      <c r="B174" s="60" t="s">
        <v>1436</v>
      </c>
    </row>
    <row r="175" spans="2:2" x14ac:dyDescent="0.2">
      <c r="B175" s="61" t="s">
        <v>1445</v>
      </c>
    </row>
  </sheetData>
  <mergeCells count="1">
    <mergeCell ref="B1:C1"/>
  </mergeCells>
  <conditionalFormatting sqref="G1:G3 G5:G192">
    <cfRule type="cellIs" dxfId="1" priority="2" stopIfTrue="1" operator="between">
      <formula>0.009</formula>
      <formula>-0.009</formula>
    </cfRule>
  </conditionalFormatting>
  <hyperlinks>
    <hyperlink ref="A2" location="Index!A1" display="-" xr:uid="{DE9E44EC-3FDB-48CD-A3CD-D0AC6F1D5273}"/>
  </hyperlinks>
  <pageMargins left="0.7" right="0.7" top="0.75" bottom="0.75" header="0.3" footer="0.3"/>
  <pageSetup paperSize="9" scale="35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303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A4B4D-B724-43A7-9D60-8D490F6C1037}">
  <sheetPr codeName="Sheet11"/>
  <dimension ref="A1:I151"/>
  <sheetViews>
    <sheetView view="pageBreakPreview" zoomScaleNormal="100" zoomScaleSheetLayoutView="100" workbookViewId="0"/>
  </sheetViews>
  <sheetFormatPr defaultColWidth="9.140625" defaultRowHeight="11.25" x14ac:dyDescent="0.2"/>
  <cols>
    <col min="1" max="1" width="7.140625" style="6" customWidth="1"/>
    <col min="2" max="2" width="69.5703125" style="6" bestFit="1" customWidth="1"/>
    <col min="3" max="3" width="16" style="6" bestFit="1" customWidth="1"/>
    <col min="4" max="4" width="24.28515625" style="6" bestFit="1" customWidth="1"/>
    <col min="5" max="5" width="13.85546875" style="6" bestFit="1" customWidth="1"/>
    <col min="6" max="6" width="22.85546875" style="8" bestFit="1" customWidth="1"/>
    <col min="7" max="7" width="14" style="14" bestFit="1" customWidth="1"/>
    <col min="8" max="8" width="14.42578125" style="6" bestFit="1" customWidth="1"/>
    <col min="9" max="16384" width="9.140625" style="6"/>
  </cols>
  <sheetData>
    <row r="1" spans="1:8" s="1" customFormat="1" ht="16.7" customHeight="1" x14ac:dyDescent="0.2">
      <c r="B1" s="106" t="s">
        <v>19</v>
      </c>
      <c r="C1" s="107"/>
      <c r="D1" s="10"/>
      <c r="F1" s="5"/>
      <c r="G1" s="14"/>
    </row>
    <row r="2" spans="1:8" s="1" customFormat="1" ht="15" x14ac:dyDescent="0.25">
      <c r="A2" s="59" t="s">
        <v>1466</v>
      </c>
      <c r="F2" s="5"/>
      <c r="G2" s="14"/>
    </row>
    <row r="3" spans="1:8" s="1" customFormat="1" ht="12" x14ac:dyDescent="0.2">
      <c r="B3" s="7" t="s">
        <v>9</v>
      </c>
      <c r="C3" s="2"/>
      <c r="D3" s="3"/>
      <c r="E3" s="3"/>
      <c r="F3" s="4"/>
      <c r="G3" s="14"/>
    </row>
    <row r="4" spans="1:8" s="1" customFormat="1" ht="25.5" customHeight="1" x14ac:dyDescent="0.2">
      <c r="B4" s="18" t="s">
        <v>7</v>
      </c>
      <c r="C4" s="18" t="s">
        <v>8</v>
      </c>
      <c r="D4" s="69" t="s">
        <v>1434</v>
      </c>
      <c r="E4" s="19" t="s">
        <v>0</v>
      </c>
      <c r="F4" s="20" t="s">
        <v>4</v>
      </c>
      <c r="G4" s="21" t="s">
        <v>5</v>
      </c>
      <c r="H4" s="52" t="s">
        <v>6</v>
      </c>
    </row>
    <row r="5" spans="1:8" x14ac:dyDescent="0.2">
      <c r="B5" s="23" t="s">
        <v>262</v>
      </c>
      <c r="C5" s="24"/>
      <c r="D5" s="24"/>
      <c r="E5" s="24"/>
      <c r="F5" s="25"/>
      <c r="G5" s="26"/>
      <c r="H5" s="24"/>
    </row>
    <row r="6" spans="1:8" x14ac:dyDescent="0.2">
      <c r="B6" s="23" t="s">
        <v>263</v>
      </c>
      <c r="C6" s="24"/>
      <c r="D6" s="24"/>
      <c r="E6" s="24"/>
      <c r="F6" s="25"/>
      <c r="G6" s="26"/>
      <c r="H6" s="24"/>
    </row>
    <row r="7" spans="1:8" x14ac:dyDescent="0.2">
      <c r="B7" s="24" t="s">
        <v>264</v>
      </c>
      <c r="C7" s="24" t="s">
        <v>265</v>
      </c>
      <c r="D7" s="24" t="s">
        <v>266</v>
      </c>
      <c r="E7" s="28">
        <v>164450</v>
      </c>
      <c r="F7" s="25">
        <v>1630.0283999999999</v>
      </c>
      <c r="G7" s="26">
        <v>7.0275267089960396</v>
      </c>
      <c r="H7" s="24"/>
    </row>
    <row r="8" spans="1:8" x14ac:dyDescent="0.2">
      <c r="B8" s="24" t="s">
        <v>816</v>
      </c>
      <c r="C8" s="24" t="s">
        <v>817</v>
      </c>
      <c r="D8" s="24" t="s">
        <v>507</v>
      </c>
      <c r="E8" s="28">
        <v>14250</v>
      </c>
      <c r="F8" s="25">
        <v>1586.88</v>
      </c>
      <c r="G8" s="26">
        <v>6.8415014020440603</v>
      </c>
      <c r="H8" s="24"/>
    </row>
    <row r="9" spans="1:8" x14ac:dyDescent="0.2">
      <c r="B9" s="24" t="s">
        <v>270</v>
      </c>
      <c r="C9" s="24" t="s">
        <v>271</v>
      </c>
      <c r="D9" s="24" t="s">
        <v>266</v>
      </c>
      <c r="E9" s="28">
        <v>98000</v>
      </c>
      <c r="F9" s="25">
        <v>1316.0419999999999</v>
      </c>
      <c r="G9" s="26">
        <v>5.6738399804325903</v>
      </c>
      <c r="H9" s="24"/>
    </row>
    <row r="10" spans="1:8" x14ac:dyDescent="0.2">
      <c r="B10" s="24" t="s">
        <v>292</v>
      </c>
      <c r="C10" s="24" t="s">
        <v>293</v>
      </c>
      <c r="D10" s="24" t="s">
        <v>266</v>
      </c>
      <c r="E10" s="28">
        <v>55600</v>
      </c>
      <c r="F10" s="25">
        <v>1223.8116</v>
      </c>
      <c r="G10" s="26">
        <v>5.2762078904755096</v>
      </c>
      <c r="H10" s="24"/>
    </row>
    <row r="11" spans="1:8" x14ac:dyDescent="0.2">
      <c r="B11" s="24" t="s">
        <v>379</v>
      </c>
      <c r="C11" s="24" t="s">
        <v>380</v>
      </c>
      <c r="D11" s="24" t="s">
        <v>289</v>
      </c>
      <c r="E11" s="28">
        <v>232800</v>
      </c>
      <c r="F11" s="25">
        <v>855.19079999999997</v>
      </c>
      <c r="G11" s="26">
        <v>3.6869763669686302</v>
      </c>
      <c r="H11" s="24"/>
    </row>
    <row r="12" spans="1:8" x14ac:dyDescent="0.2">
      <c r="B12" s="24" t="s">
        <v>285</v>
      </c>
      <c r="C12" s="24" t="s">
        <v>286</v>
      </c>
      <c r="D12" s="24" t="s">
        <v>266</v>
      </c>
      <c r="E12" s="28">
        <v>65000</v>
      </c>
      <c r="F12" s="25">
        <v>825.11</v>
      </c>
      <c r="G12" s="26">
        <v>3.5572892857938698</v>
      </c>
      <c r="H12" s="24"/>
    </row>
    <row r="13" spans="1:8" x14ac:dyDescent="0.2">
      <c r="B13" s="24" t="s">
        <v>278</v>
      </c>
      <c r="C13" s="24" t="s">
        <v>279</v>
      </c>
      <c r="D13" s="24" t="s">
        <v>280</v>
      </c>
      <c r="E13" s="28">
        <v>19600</v>
      </c>
      <c r="F13" s="25">
        <v>800.36599999999999</v>
      </c>
      <c r="G13" s="26">
        <v>3.4506107022260002</v>
      </c>
      <c r="H13" s="24"/>
    </row>
    <row r="14" spans="1:8" x14ac:dyDescent="0.2">
      <c r="B14" s="24" t="s">
        <v>281</v>
      </c>
      <c r="C14" s="24" t="s">
        <v>282</v>
      </c>
      <c r="D14" s="24" t="s">
        <v>266</v>
      </c>
      <c r="E14" s="28">
        <v>77250</v>
      </c>
      <c r="F14" s="25">
        <v>758.74950000000001</v>
      </c>
      <c r="G14" s="26">
        <v>3.2711898618989599</v>
      </c>
      <c r="H14" s="24"/>
    </row>
    <row r="15" spans="1:8" x14ac:dyDescent="0.2">
      <c r="B15" s="24" t="s">
        <v>283</v>
      </c>
      <c r="C15" s="24" t="s">
        <v>284</v>
      </c>
      <c r="D15" s="24" t="s">
        <v>1460</v>
      </c>
      <c r="E15" s="28">
        <v>185600</v>
      </c>
      <c r="F15" s="25">
        <v>747.96799999999996</v>
      </c>
      <c r="G15" s="26">
        <v>3.2247076783903599</v>
      </c>
      <c r="H15" s="24"/>
    </row>
    <row r="16" spans="1:8" x14ac:dyDescent="0.2">
      <c r="B16" s="24" t="s">
        <v>267</v>
      </c>
      <c r="C16" s="24" t="s">
        <v>268</v>
      </c>
      <c r="D16" s="24" t="s">
        <v>269</v>
      </c>
      <c r="E16" s="28">
        <v>45500</v>
      </c>
      <c r="F16" s="25">
        <v>714.53200000000004</v>
      </c>
      <c r="G16" s="26">
        <v>3.0805553537793302</v>
      </c>
      <c r="H16" s="24"/>
    </row>
    <row r="17" spans="2:8" x14ac:dyDescent="0.2">
      <c r="B17" s="24" t="s">
        <v>335</v>
      </c>
      <c r="C17" s="24" t="s">
        <v>336</v>
      </c>
      <c r="D17" s="24" t="s">
        <v>337</v>
      </c>
      <c r="E17" s="28">
        <v>10950</v>
      </c>
      <c r="F17" s="25">
        <v>554.01525000000004</v>
      </c>
      <c r="G17" s="26">
        <v>2.3885209402278602</v>
      </c>
      <c r="H17" s="24"/>
    </row>
    <row r="18" spans="2:8" x14ac:dyDescent="0.2">
      <c r="B18" s="24" t="s">
        <v>371</v>
      </c>
      <c r="C18" s="24" t="s">
        <v>372</v>
      </c>
      <c r="D18" s="24" t="s">
        <v>373</v>
      </c>
      <c r="E18" s="28">
        <v>47775</v>
      </c>
      <c r="F18" s="25">
        <v>499.29652499999997</v>
      </c>
      <c r="G18" s="26">
        <v>2.1526125956740398</v>
      </c>
      <c r="H18" s="24"/>
    </row>
    <row r="19" spans="2:8" x14ac:dyDescent="0.2">
      <c r="B19" s="24" t="s">
        <v>413</v>
      </c>
      <c r="C19" s="24" t="s">
        <v>414</v>
      </c>
      <c r="D19" s="24" t="s">
        <v>314</v>
      </c>
      <c r="E19" s="28">
        <v>124700</v>
      </c>
      <c r="F19" s="25">
        <v>473.3612</v>
      </c>
      <c r="G19" s="26">
        <v>2.04079786340067</v>
      </c>
      <c r="H19" s="24"/>
    </row>
    <row r="20" spans="2:8" x14ac:dyDescent="0.2">
      <c r="B20" s="24" t="s">
        <v>432</v>
      </c>
      <c r="C20" s="24" t="s">
        <v>433</v>
      </c>
      <c r="D20" s="24" t="s">
        <v>296</v>
      </c>
      <c r="E20" s="28">
        <v>119600</v>
      </c>
      <c r="F20" s="25">
        <v>425.05840000000001</v>
      </c>
      <c r="G20" s="26">
        <v>1.8325504383133</v>
      </c>
      <c r="H20" s="24"/>
    </row>
    <row r="21" spans="2:8" x14ac:dyDescent="0.2">
      <c r="B21" s="24" t="s">
        <v>566</v>
      </c>
      <c r="C21" s="24" t="s">
        <v>567</v>
      </c>
      <c r="D21" s="24" t="s">
        <v>266</v>
      </c>
      <c r="E21" s="28">
        <v>1959300</v>
      </c>
      <c r="F21" s="25">
        <v>423.2088</v>
      </c>
      <c r="G21" s="26">
        <v>1.8245762745496701</v>
      </c>
      <c r="H21" s="24"/>
    </row>
    <row r="22" spans="2:8" x14ac:dyDescent="0.2">
      <c r="B22" s="24" t="s">
        <v>598</v>
      </c>
      <c r="C22" s="24" t="s">
        <v>599</v>
      </c>
      <c r="D22" s="24" t="s">
        <v>274</v>
      </c>
      <c r="E22" s="28">
        <v>3931125</v>
      </c>
      <c r="F22" s="25">
        <v>422.98905000000002</v>
      </c>
      <c r="G22" s="26">
        <v>1.82362886836074</v>
      </c>
      <c r="H22" s="24"/>
    </row>
    <row r="23" spans="2:8" x14ac:dyDescent="0.2">
      <c r="B23" s="24" t="s">
        <v>423</v>
      </c>
      <c r="C23" s="24" t="s">
        <v>424</v>
      </c>
      <c r="D23" s="24" t="s">
        <v>266</v>
      </c>
      <c r="E23" s="28">
        <v>137475</v>
      </c>
      <c r="F23" s="25">
        <v>406.78852499999999</v>
      </c>
      <c r="G23" s="26">
        <v>1.75378369134587</v>
      </c>
      <c r="H23" s="24"/>
    </row>
    <row r="24" spans="2:8" x14ac:dyDescent="0.2">
      <c r="B24" s="24" t="s">
        <v>338</v>
      </c>
      <c r="C24" s="24" t="s">
        <v>339</v>
      </c>
      <c r="D24" s="24" t="s">
        <v>317</v>
      </c>
      <c r="E24" s="28">
        <v>34425</v>
      </c>
      <c r="F24" s="25">
        <v>400.98239999999998</v>
      </c>
      <c r="G24" s="26">
        <v>1.7287517971081601</v>
      </c>
      <c r="H24" s="24"/>
    </row>
    <row r="25" spans="2:8" x14ac:dyDescent="0.2">
      <c r="B25" s="24" t="s">
        <v>558</v>
      </c>
      <c r="C25" s="24" t="s">
        <v>559</v>
      </c>
      <c r="D25" s="24" t="s">
        <v>521</v>
      </c>
      <c r="E25" s="28">
        <v>5000</v>
      </c>
      <c r="F25" s="25">
        <v>380.95</v>
      </c>
      <c r="G25" s="26">
        <v>1.64238629203764</v>
      </c>
      <c r="H25" s="24"/>
    </row>
    <row r="26" spans="2:8" x14ac:dyDescent="0.2">
      <c r="B26" s="24" t="s">
        <v>705</v>
      </c>
      <c r="C26" s="24" t="s">
        <v>706</v>
      </c>
      <c r="D26" s="24" t="s">
        <v>296</v>
      </c>
      <c r="E26" s="28">
        <v>65000</v>
      </c>
      <c r="F26" s="25">
        <v>350.70749999999998</v>
      </c>
      <c r="G26" s="26">
        <v>1.51200207511429</v>
      </c>
      <c r="H26" s="24"/>
    </row>
    <row r="27" spans="2:8" x14ac:dyDescent="0.2">
      <c r="B27" s="24" t="s">
        <v>294</v>
      </c>
      <c r="C27" s="24" t="s">
        <v>295</v>
      </c>
      <c r="D27" s="24" t="s">
        <v>296</v>
      </c>
      <c r="E27" s="28">
        <v>34500</v>
      </c>
      <c r="F27" s="25">
        <v>340.44600000000003</v>
      </c>
      <c r="G27" s="26">
        <v>1.46776176290601</v>
      </c>
      <c r="H27" s="24"/>
    </row>
    <row r="28" spans="2:8" x14ac:dyDescent="0.2">
      <c r="B28" s="24" t="s">
        <v>321</v>
      </c>
      <c r="C28" s="24" t="s">
        <v>322</v>
      </c>
      <c r="D28" s="24" t="s">
        <v>323</v>
      </c>
      <c r="E28" s="28">
        <v>2600</v>
      </c>
      <c r="F28" s="25">
        <v>306.38400000000001</v>
      </c>
      <c r="G28" s="26">
        <v>1.32091057015267</v>
      </c>
      <c r="H28" s="24"/>
    </row>
    <row r="29" spans="2:8" x14ac:dyDescent="0.2">
      <c r="B29" s="24" t="s">
        <v>353</v>
      </c>
      <c r="C29" s="24" t="s">
        <v>354</v>
      </c>
      <c r="D29" s="24" t="s">
        <v>303</v>
      </c>
      <c r="E29" s="28">
        <v>6700</v>
      </c>
      <c r="F29" s="25">
        <v>286.69299999999998</v>
      </c>
      <c r="G29" s="26">
        <v>1.2360169398166301</v>
      </c>
      <c r="H29" s="24"/>
    </row>
    <row r="30" spans="2:8" x14ac:dyDescent="0.2">
      <c r="B30" s="24" t="s">
        <v>355</v>
      </c>
      <c r="C30" s="24" t="s">
        <v>356</v>
      </c>
      <c r="D30" s="24" t="s">
        <v>357</v>
      </c>
      <c r="E30" s="28">
        <v>117000</v>
      </c>
      <c r="F30" s="25">
        <v>281.24459999999999</v>
      </c>
      <c r="G30" s="26">
        <v>1.21252730213836</v>
      </c>
      <c r="H30" s="24"/>
    </row>
    <row r="31" spans="2:8" x14ac:dyDescent="0.2">
      <c r="B31" s="24" t="s">
        <v>818</v>
      </c>
      <c r="C31" s="24" t="s">
        <v>819</v>
      </c>
      <c r="D31" s="24" t="s">
        <v>306</v>
      </c>
      <c r="E31" s="28">
        <v>22950</v>
      </c>
      <c r="F31" s="25">
        <v>254.286</v>
      </c>
      <c r="G31" s="26">
        <v>1.0963009336056799</v>
      </c>
      <c r="H31" s="24"/>
    </row>
    <row r="32" spans="2:8" x14ac:dyDescent="0.2">
      <c r="B32" s="24" t="s">
        <v>530</v>
      </c>
      <c r="C32" s="24" t="s">
        <v>531</v>
      </c>
      <c r="D32" s="24" t="s">
        <v>507</v>
      </c>
      <c r="E32" s="28">
        <v>8400</v>
      </c>
      <c r="F32" s="25">
        <v>224.4648</v>
      </c>
      <c r="G32" s="26">
        <v>0.96773306356469202</v>
      </c>
      <c r="H32" s="24"/>
    </row>
    <row r="33" spans="2:9" x14ac:dyDescent="0.2">
      <c r="B33" s="24" t="s">
        <v>522</v>
      </c>
      <c r="C33" s="24" t="s">
        <v>523</v>
      </c>
      <c r="D33" s="24" t="s">
        <v>266</v>
      </c>
      <c r="E33" s="28">
        <v>25900</v>
      </c>
      <c r="F33" s="25">
        <v>223.8278</v>
      </c>
      <c r="G33" s="26">
        <v>0.964986771221791</v>
      </c>
      <c r="H33" s="24"/>
    </row>
    <row r="34" spans="2:9" x14ac:dyDescent="0.2">
      <c r="B34" s="24" t="s">
        <v>452</v>
      </c>
      <c r="C34" s="24" t="s">
        <v>453</v>
      </c>
      <c r="D34" s="24" t="s">
        <v>454</v>
      </c>
      <c r="E34" s="28">
        <v>24750</v>
      </c>
      <c r="F34" s="25">
        <v>170.13149999999999</v>
      </c>
      <c r="G34" s="26">
        <v>0.73348639832996698</v>
      </c>
      <c r="H34" s="24"/>
    </row>
    <row r="35" spans="2:9" x14ac:dyDescent="0.2">
      <c r="B35" s="24" t="s">
        <v>576</v>
      </c>
      <c r="C35" s="24" t="s">
        <v>577</v>
      </c>
      <c r="D35" s="24" t="s">
        <v>521</v>
      </c>
      <c r="E35" s="28">
        <v>7350</v>
      </c>
      <c r="F35" s="25">
        <v>140.679</v>
      </c>
      <c r="G35" s="26">
        <v>0.60650810126673405</v>
      </c>
      <c r="H35" s="24"/>
    </row>
    <row r="36" spans="2:9" x14ac:dyDescent="0.2">
      <c r="B36" s="24" t="s">
        <v>304</v>
      </c>
      <c r="C36" s="24" t="s">
        <v>305</v>
      </c>
      <c r="D36" s="24" t="s">
        <v>306</v>
      </c>
      <c r="E36" s="28">
        <v>8050</v>
      </c>
      <c r="F36" s="25">
        <v>138.43584999999999</v>
      </c>
      <c r="G36" s="26">
        <v>0.59683722894494895</v>
      </c>
      <c r="H36" s="24"/>
    </row>
    <row r="37" spans="2:9" x14ac:dyDescent="0.2">
      <c r="B37" s="24" t="s">
        <v>617</v>
      </c>
      <c r="C37" s="24" t="s">
        <v>618</v>
      </c>
      <c r="D37" s="24" t="s">
        <v>296</v>
      </c>
      <c r="E37" s="28">
        <v>31000</v>
      </c>
      <c r="F37" s="25">
        <v>110.887</v>
      </c>
      <c r="G37" s="26">
        <v>0.47806612092184603</v>
      </c>
      <c r="H37" s="24"/>
    </row>
    <row r="38" spans="2:9" x14ac:dyDescent="0.2">
      <c r="B38" s="24" t="s">
        <v>349</v>
      </c>
      <c r="C38" s="24" t="s">
        <v>350</v>
      </c>
      <c r="D38" s="24" t="s">
        <v>289</v>
      </c>
      <c r="E38" s="28">
        <v>1400</v>
      </c>
      <c r="F38" s="25">
        <v>102.375</v>
      </c>
      <c r="G38" s="26">
        <v>0.44136841225187801</v>
      </c>
      <c r="H38" s="24"/>
    </row>
    <row r="39" spans="2:9" x14ac:dyDescent="0.2">
      <c r="B39" s="24" t="s">
        <v>457</v>
      </c>
      <c r="C39" s="24" t="s">
        <v>458</v>
      </c>
      <c r="D39" s="24" t="s">
        <v>266</v>
      </c>
      <c r="E39" s="28">
        <v>72000</v>
      </c>
      <c r="F39" s="25">
        <v>88.977599999999995</v>
      </c>
      <c r="G39" s="26">
        <v>0.38360832271533801</v>
      </c>
      <c r="H39" s="24"/>
    </row>
    <row r="40" spans="2:9" x14ac:dyDescent="0.2">
      <c r="B40" s="24" t="s">
        <v>287</v>
      </c>
      <c r="C40" s="24" t="s">
        <v>288</v>
      </c>
      <c r="D40" s="24" t="s">
        <v>289</v>
      </c>
      <c r="E40" s="28">
        <v>2000</v>
      </c>
      <c r="F40" s="25">
        <v>74.183999999999997</v>
      </c>
      <c r="G40" s="26">
        <v>0.31982880873741898</v>
      </c>
      <c r="H40" s="24"/>
    </row>
    <row r="41" spans="2:9" x14ac:dyDescent="0.2">
      <c r="B41" s="24" t="s">
        <v>340</v>
      </c>
      <c r="C41" s="24" t="s">
        <v>341</v>
      </c>
      <c r="D41" s="24" t="s">
        <v>323</v>
      </c>
      <c r="E41" s="28">
        <v>2000</v>
      </c>
      <c r="F41" s="25">
        <v>56.58</v>
      </c>
      <c r="G41" s="26">
        <v>0.243932842639426</v>
      </c>
      <c r="H41" s="24"/>
    </row>
    <row r="42" spans="2:9" x14ac:dyDescent="0.2">
      <c r="B42" s="24" t="s">
        <v>299</v>
      </c>
      <c r="C42" s="24" t="s">
        <v>300</v>
      </c>
      <c r="D42" s="24" t="s">
        <v>1460</v>
      </c>
      <c r="E42" s="28">
        <v>2400</v>
      </c>
      <c r="F42" s="25">
        <v>55.581600000000002</v>
      </c>
      <c r="G42" s="26">
        <v>0.23962844974279801</v>
      </c>
      <c r="H42" s="24"/>
    </row>
    <row r="43" spans="2:9" x14ac:dyDescent="0.2">
      <c r="B43" s="24" t="s">
        <v>846</v>
      </c>
      <c r="C43" s="24" t="s">
        <v>847</v>
      </c>
      <c r="D43" s="24" t="s">
        <v>311</v>
      </c>
      <c r="E43" s="28">
        <v>21600</v>
      </c>
      <c r="F43" s="25">
        <v>54.485999999999997</v>
      </c>
      <c r="G43" s="26">
        <v>0.23490499936464801</v>
      </c>
      <c r="H43" s="24"/>
    </row>
    <row r="44" spans="2:9" x14ac:dyDescent="0.2">
      <c r="B44" s="24" t="s">
        <v>333</v>
      </c>
      <c r="C44" s="24" t="s">
        <v>334</v>
      </c>
      <c r="D44" s="24" t="s">
        <v>296</v>
      </c>
      <c r="E44" s="28">
        <v>1500</v>
      </c>
      <c r="F44" s="25">
        <v>30.598500000000001</v>
      </c>
      <c r="G44" s="26">
        <v>0.131919036505876</v>
      </c>
      <c r="H44" s="24"/>
    </row>
    <row r="45" spans="2:9" x14ac:dyDescent="0.2">
      <c r="B45" s="24" t="s">
        <v>441</v>
      </c>
      <c r="C45" s="24" t="s">
        <v>442</v>
      </c>
      <c r="D45" s="24" t="s">
        <v>443</v>
      </c>
      <c r="E45" s="28">
        <v>9450</v>
      </c>
      <c r="F45" s="25">
        <v>16.269120000000001</v>
      </c>
      <c r="G45" s="26">
        <v>7.0140910018415395E-2</v>
      </c>
      <c r="H45" s="24"/>
    </row>
    <row r="46" spans="2:9" x14ac:dyDescent="0.2">
      <c r="B46" s="24" t="s">
        <v>275</v>
      </c>
      <c r="C46" s="24" t="s">
        <v>276</v>
      </c>
      <c r="D46" s="24" t="s">
        <v>277</v>
      </c>
      <c r="E46" s="28">
        <v>800</v>
      </c>
      <c r="F46" s="25">
        <v>12.9232</v>
      </c>
      <c r="G46" s="26">
        <v>5.5715675362280503E-2</v>
      </c>
      <c r="H46" s="24"/>
    </row>
    <row r="47" spans="2:9" x14ac:dyDescent="0.2">
      <c r="B47" s="24" t="s">
        <v>326</v>
      </c>
      <c r="C47" s="24" t="s">
        <v>327</v>
      </c>
      <c r="D47" s="24" t="s">
        <v>328</v>
      </c>
      <c r="E47" s="28">
        <v>1400</v>
      </c>
      <c r="F47" s="25">
        <v>12.4138</v>
      </c>
      <c r="G47" s="26">
        <v>5.3519503746152497E-2</v>
      </c>
      <c r="H47" s="24"/>
    </row>
    <row r="48" spans="2:9" x14ac:dyDescent="0.2">
      <c r="B48" s="23" t="s">
        <v>60</v>
      </c>
      <c r="C48" s="23"/>
      <c r="D48" s="23"/>
      <c r="E48" s="23"/>
      <c r="F48" s="30">
        <f>SUM(F7:F47)</f>
        <v>17777.904320000005</v>
      </c>
      <c r="G48" s="31">
        <f>SUM(G7:G47)</f>
        <v>76.645718221091172</v>
      </c>
      <c r="H48" s="23"/>
      <c r="I48" s="16"/>
    </row>
    <row r="49" spans="2:9" x14ac:dyDescent="0.2">
      <c r="B49" s="23" t="s">
        <v>389</v>
      </c>
      <c r="C49" s="23"/>
      <c r="D49" s="23"/>
      <c r="E49" s="23"/>
      <c r="F49" s="46" t="s">
        <v>390</v>
      </c>
      <c r="G49" s="47" t="s">
        <v>390</v>
      </c>
      <c r="H49" s="23"/>
      <c r="I49" s="16"/>
    </row>
    <row r="50" spans="2:9" x14ac:dyDescent="0.2">
      <c r="B50" s="23" t="s">
        <v>60</v>
      </c>
      <c r="C50" s="23"/>
      <c r="D50" s="23"/>
      <c r="E50" s="23"/>
      <c r="F50" s="48" t="s">
        <v>390</v>
      </c>
      <c r="G50" s="49" t="s">
        <v>390</v>
      </c>
      <c r="H50" s="23"/>
      <c r="I50" s="16"/>
    </row>
    <row r="51" spans="2:9" x14ac:dyDescent="0.2">
      <c r="B51" s="35" t="s">
        <v>21</v>
      </c>
      <c r="C51" s="35"/>
      <c r="D51" s="35"/>
      <c r="E51" s="35"/>
      <c r="F51" s="36">
        <f>F48</f>
        <v>17777.904320000005</v>
      </c>
      <c r="G51" s="37">
        <f>G48</f>
        <v>76.645718221091172</v>
      </c>
      <c r="H51" s="23"/>
      <c r="I51" s="16"/>
    </row>
    <row r="52" spans="2:9" x14ac:dyDescent="0.2">
      <c r="B52" s="23" t="s">
        <v>22</v>
      </c>
      <c r="C52" s="24"/>
      <c r="D52" s="24"/>
      <c r="E52" s="24"/>
      <c r="F52" s="25"/>
      <c r="G52" s="26"/>
      <c r="H52" s="24"/>
    </row>
    <row r="53" spans="2:9" x14ac:dyDescent="0.2">
      <c r="B53" s="24" t="s">
        <v>26</v>
      </c>
      <c r="C53" s="24" t="s">
        <v>27</v>
      </c>
      <c r="D53" s="24" t="s">
        <v>25</v>
      </c>
      <c r="E53" s="28">
        <v>120</v>
      </c>
      <c r="F53" s="25">
        <v>592.13819999999998</v>
      </c>
      <c r="G53" s="26">
        <v>2.55288007001402</v>
      </c>
      <c r="H53" s="38">
        <v>5.9098999999999999E-2</v>
      </c>
    </row>
    <row r="54" spans="2:9" x14ac:dyDescent="0.2">
      <c r="B54" s="23" t="s">
        <v>60</v>
      </c>
      <c r="C54" s="23"/>
      <c r="D54" s="23"/>
      <c r="E54" s="23"/>
      <c r="F54" s="30">
        <f>SUM(F52:F53)</f>
        <v>592.13819999999998</v>
      </c>
      <c r="G54" s="31">
        <f>SUM(G52:G53)</f>
        <v>2.55288007001402</v>
      </c>
      <c r="H54" s="38"/>
      <c r="I54" s="16"/>
    </row>
    <row r="55" spans="2:9" x14ac:dyDescent="0.2">
      <c r="B55" s="23" t="s">
        <v>61</v>
      </c>
      <c r="C55" s="24"/>
      <c r="D55" s="24"/>
      <c r="E55" s="24"/>
      <c r="F55" s="25"/>
      <c r="G55" s="26"/>
      <c r="H55" s="38"/>
    </row>
    <row r="56" spans="2:9" x14ac:dyDescent="0.2">
      <c r="B56" s="24" t="s">
        <v>78</v>
      </c>
      <c r="C56" s="24" t="s">
        <v>79</v>
      </c>
      <c r="D56" s="24" t="s">
        <v>35</v>
      </c>
      <c r="E56" s="28">
        <v>100</v>
      </c>
      <c r="F56" s="25">
        <v>493.6755</v>
      </c>
      <c r="G56" s="26">
        <v>2.12837872139343</v>
      </c>
      <c r="H56" s="38">
        <v>5.9949000000000002E-2</v>
      </c>
    </row>
    <row r="57" spans="2:9" x14ac:dyDescent="0.2">
      <c r="B57" s="23" t="s">
        <v>60</v>
      </c>
      <c r="C57" s="23"/>
      <c r="D57" s="23"/>
      <c r="E57" s="23"/>
      <c r="F57" s="33">
        <f>SUM(F55:F56)</f>
        <v>493.6755</v>
      </c>
      <c r="G57" s="34">
        <f>SUM(G55:G56)</f>
        <v>2.12837872139343</v>
      </c>
      <c r="H57" s="23"/>
      <c r="I57" s="16"/>
    </row>
    <row r="58" spans="2:9" x14ac:dyDescent="0.2">
      <c r="B58" s="35" t="s">
        <v>99</v>
      </c>
      <c r="C58" s="35"/>
      <c r="D58" s="35"/>
      <c r="E58" s="35"/>
      <c r="F58" s="36">
        <f>+F54+F57</f>
        <v>1085.8136999999999</v>
      </c>
      <c r="G58" s="37">
        <f>+G54+G57</f>
        <v>4.6812587914074495</v>
      </c>
      <c r="H58" s="23"/>
      <c r="I58" s="16"/>
    </row>
    <row r="59" spans="2:9" x14ac:dyDescent="0.2">
      <c r="B59" s="23" t="s">
        <v>1428</v>
      </c>
      <c r="C59" s="24"/>
      <c r="D59" s="24"/>
      <c r="E59" s="24"/>
      <c r="F59" s="25"/>
      <c r="G59" s="26"/>
      <c r="H59" s="24"/>
    </row>
    <row r="60" spans="2:9" x14ac:dyDescent="0.2">
      <c r="B60" s="24" t="s">
        <v>1429</v>
      </c>
      <c r="C60" s="24" t="s">
        <v>1430</v>
      </c>
      <c r="D60" s="24"/>
      <c r="E60" s="28">
        <v>194865.951</v>
      </c>
      <c r="F60" s="25">
        <v>2006.0091440000001</v>
      </c>
      <c r="G60" s="26">
        <v>8.6484890925521807</v>
      </c>
      <c r="H60" s="24"/>
    </row>
    <row r="61" spans="2:9" x14ac:dyDescent="0.2">
      <c r="B61" s="24" t="s">
        <v>1431</v>
      </c>
      <c r="C61" s="24" t="s">
        <v>1432</v>
      </c>
      <c r="D61" s="24"/>
      <c r="E61" s="28">
        <v>146361.65100000001</v>
      </c>
      <c r="F61" s="25">
        <v>1506.3592346999999</v>
      </c>
      <c r="G61" s="26">
        <v>6.4943529543393703</v>
      </c>
      <c r="H61" s="24"/>
    </row>
    <row r="62" spans="2:9" x14ac:dyDescent="0.2">
      <c r="B62" s="39" t="s">
        <v>99</v>
      </c>
      <c r="C62" s="39"/>
      <c r="D62" s="39"/>
      <c r="E62" s="39"/>
      <c r="F62" s="30">
        <f>SUM(F60:F61)</f>
        <v>3512.3683787</v>
      </c>
      <c r="G62" s="31">
        <f>SUM(G60:G61)</f>
        <v>15.142842046891552</v>
      </c>
      <c r="H62" s="23"/>
      <c r="I62" s="16"/>
    </row>
    <row r="63" spans="2:9" x14ac:dyDescent="0.2">
      <c r="B63" s="23"/>
      <c r="C63" s="24"/>
      <c r="D63" s="24"/>
      <c r="E63" s="24"/>
      <c r="F63" s="25"/>
      <c r="G63" s="26"/>
      <c r="H63" s="24"/>
    </row>
    <row r="64" spans="2:9" x14ac:dyDescent="0.2">
      <c r="B64" s="23" t="s">
        <v>104</v>
      </c>
      <c r="C64" s="23"/>
      <c r="D64" s="23"/>
      <c r="E64" s="23"/>
      <c r="F64" s="30">
        <v>1045.257028</v>
      </c>
      <c r="G64" s="31">
        <v>4.50640717795826</v>
      </c>
      <c r="H64" s="38">
        <v>5.3636339999999998E-2</v>
      </c>
      <c r="I64" s="17"/>
    </row>
    <row r="65" spans="2:9" x14ac:dyDescent="0.2">
      <c r="B65" s="24"/>
      <c r="C65" s="24"/>
      <c r="D65" s="24"/>
      <c r="E65" s="24"/>
      <c r="F65" s="25"/>
      <c r="G65" s="26"/>
      <c r="H65" s="24"/>
    </row>
    <row r="66" spans="2:9" x14ac:dyDescent="0.2">
      <c r="B66" s="43" t="s">
        <v>106</v>
      </c>
      <c r="C66" s="43"/>
      <c r="D66" s="43"/>
      <c r="E66" s="43"/>
      <c r="F66" s="30">
        <f>F67-(F48+F54+F57+F62+F64)</f>
        <v>-226.43478390000746</v>
      </c>
      <c r="G66" s="31">
        <f>G67-(G48+G54+G57+G62+G64)</f>
        <v>-0.97622623734844183</v>
      </c>
      <c r="H66" s="23"/>
      <c r="I66" s="16"/>
    </row>
    <row r="67" spans="2:9" x14ac:dyDescent="0.2">
      <c r="B67" s="39" t="s">
        <v>105</v>
      </c>
      <c r="C67" s="39"/>
      <c r="D67" s="39"/>
      <c r="E67" s="39"/>
      <c r="F67" s="40">
        <v>23194.908642800001</v>
      </c>
      <c r="G67" s="41">
        <v>100</v>
      </c>
      <c r="H67" s="50"/>
      <c r="I67" s="16"/>
    </row>
    <row r="69" spans="2:9" x14ac:dyDescent="0.2">
      <c r="B69" s="16" t="s">
        <v>1366</v>
      </c>
    </row>
    <row r="71" spans="2:9" ht="22.5" x14ac:dyDescent="0.2">
      <c r="B71" s="53" t="s">
        <v>7</v>
      </c>
      <c r="C71" s="72" t="s">
        <v>1367</v>
      </c>
      <c r="D71" s="72" t="s">
        <v>391</v>
      </c>
      <c r="E71" s="72" t="s">
        <v>0</v>
      </c>
      <c r="F71" s="70" t="s">
        <v>1368</v>
      </c>
      <c r="G71" s="71" t="s">
        <v>1369</v>
      </c>
    </row>
    <row r="72" spans="2:9" x14ac:dyDescent="0.2">
      <c r="B72" s="56" t="s">
        <v>1372</v>
      </c>
      <c r="C72" s="56" t="s">
        <v>1433</v>
      </c>
      <c r="D72" s="56" t="s">
        <v>328</v>
      </c>
      <c r="E72" s="73">
        <v>-1400</v>
      </c>
      <c r="F72" s="57">
        <v>-12.529299999999999</v>
      </c>
      <c r="G72" s="58">
        <v>-5.4017457852282798E-2</v>
      </c>
    </row>
    <row r="73" spans="2:9" x14ac:dyDescent="0.2">
      <c r="B73" s="56" t="s">
        <v>1373</v>
      </c>
      <c r="C73" s="56" t="s">
        <v>1433</v>
      </c>
      <c r="D73" s="56" t="s">
        <v>277</v>
      </c>
      <c r="E73" s="73">
        <v>-800</v>
      </c>
      <c r="F73" s="57">
        <v>-13.0024</v>
      </c>
      <c r="G73" s="58">
        <v>-5.60571296064842E-2</v>
      </c>
    </row>
    <row r="74" spans="2:9" x14ac:dyDescent="0.2">
      <c r="B74" s="56" t="s">
        <v>1374</v>
      </c>
      <c r="C74" s="56" t="s">
        <v>1433</v>
      </c>
      <c r="D74" s="56" t="s">
        <v>443</v>
      </c>
      <c r="E74" s="73">
        <v>-9450</v>
      </c>
      <c r="F74" s="57">
        <v>-16.453395</v>
      </c>
      <c r="G74" s="58">
        <v>-7.0935373160468801E-2</v>
      </c>
    </row>
    <row r="75" spans="2:9" x14ac:dyDescent="0.2">
      <c r="B75" s="56" t="s">
        <v>1375</v>
      </c>
      <c r="C75" s="56" t="s">
        <v>1433</v>
      </c>
      <c r="D75" s="56" t="s">
        <v>266</v>
      </c>
      <c r="E75" s="73">
        <v>-24000</v>
      </c>
      <c r="F75" s="57">
        <v>-29.8584</v>
      </c>
      <c r="G75" s="58">
        <v>-0.12872825006477601</v>
      </c>
    </row>
    <row r="76" spans="2:9" x14ac:dyDescent="0.2">
      <c r="B76" s="56" t="s">
        <v>1376</v>
      </c>
      <c r="C76" s="56" t="s">
        <v>1433</v>
      </c>
      <c r="D76" s="56" t="s">
        <v>296</v>
      </c>
      <c r="E76" s="73">
        <v>-1500</v>
      </c>
      <c r="F76" s="57">
        <v>-30.883500000000002</v>
      </c>
      <c r="G76" s="58">
        <v>-0.133147754430094</v>
      </c>
    </row>
    <row r="77" spans="2:9" x14ac:dyDescent="0.2">
      <c r="B77" s="56" t="s">
        <v>1377</v>
      </c>
      <c r="C77" s="56" t="s">
        <v>1433</v>
      </c>
      <c r="D77" s="56" t="s">
        <v>266</v>
      </c>
      <c r="E77" s="73">
        <v>-4900</v>
      </c>
      <c r="F77" s="57">
        <v>-42.779449999999997</v>
      </c>
      <c r="G77" s="58">
        <v>-0.18443465615148799</v>
      </c>
    </row>
    <row r="78" spans="2:9" x14ac:dyDescent="0.2">
      <c r="B78" s="56" t="s">
        <v>1378</v>
      </c>
      <c r="C78" s="56" t="s">
        <v>1433</v>
      </c>
      <c r="D78" s="56" t="s">
        <v>323</v>
      </c>
      <c r="E78" s="73">
        <v>-450</v>
      </c>
      <c r="F78" s="57">
        <v>-53.671500000000002</v>
      </c>
      <c r="G78" s="58">
        <v>-0.231393452875963</v>
      </c>
    </row>
    <row r="79" spans="2:9" x14ac:dyDescent="0.2">
      <c r="B79" s="56" t="s">
        <v>1379</v>
      </c>
      <c r="C79" s="56" t="s">
        <v>1433</v>
      </c>
      <c r="D79" s="56" t="s">
        <v>311</v>
      </c>
      <c r="E79" s="73">
        <v>-21600</v>
      </c>
      <c r="F79" s="57">
        <v>-55.252800000000001</v>
      </c>
      <c r="G79" s="58">
        <v>-0.238210897274438</v>
      </c>
    </row>
    <row r="80" spans="2:9" x14ac:dyDescent="0.2">
      <c r="B80" s="56" t="s">
        <v>1380</v>
      </c>
      <c r="C80" s="56" t="s">
        <v>1433</v>
      </c>
      <c r="D80" s="56" t="s">
        <v>1460</v>
      </c>
      <c r="E80" s="73">
        <v>-2400</v>
      </c>
      <c r="F80" s="57">
        <v>-56.136000000000003</v>
      </c>
      <c r="G80" s="58">
        <v>-0.24201862945222399</v>
      </c>
    </row>
    <row r="81" spans="2:7" x14ac:dyDescent="0.2">
      <c r="B81" s="56" t="s">
        <v>1381</v>
      </c>
      <c r="C81" s="56" t="s">
        <v>1433</v>
      </c>
      <c r="D81" s="56" t="s">
        <v>323</v>
      </c>
      <c r="E81" s="73">
        <v>-2000</v>
      </c>
      <c r="F81" s="57">
        <v>-56.862000000000002</v>
      </c>
      <c r="G81" s="58">
        <v>-0.24514862669075699</v>
      </c>
    </row>
    <row r="82" spans="2:7" x14ac:dyDescent="0.2">
      <c r="B82" s="56" t="s">
        <v>1382</v>
      </c>
      <c r="C82" s="56" t="s">
        <v>1433</v>
      </c>
      <c r="D82" s="56" t="s">
        <v>266</v>
      </c>
      <c r="E82" s="73">
        <v>-48000</v>
      </c>
      <c r="F82" s="57">
        <v>-60.072000000000003</v>
      </c>
      <c r="G82" s="58">
        <v>-0.258987870679314</v>
      </c>
    </row>
    <row r="83" spans="2:7" x14ac:dyDescent="0.2">
      <c r="B83" s="56" t="s">
        <v>1383</v>
      </c>
      <c r="C83" s="56" t="s">
        <v>1433</v>
      </c>
      <c r="D83" s="56" t="s">
        <v>266</v>
      </c>
      <c r="E83" s="73">
        <v>-6750</v>
      </c>
      <c r="F83" s="57">
        <v>-66.578625000000002</v>
      </c>
      <c r="G83" s="58">
        <v>-0.28703982423602598</v>
      </c>
    </row>
    <row r="84" spans="2:7" x14ac:dyDescent="0.2">
      <c r="B84" s="56" t="s">
        <v>1384</v>
      </c>
      <c r="C84" s="56" t="s">
        <v>1433</v>
      </c>
      <c r="D84" s="56" t="s">
        <v>296</v>
      </c>
      <c r="E84" s="73">
        <v>-7500</v>
      </c>
      <c r="F84" s="57">
        <v>-74.902500000000003</v>
      </c>
      <c r="G84" s="58">
        <v>-0.32292647129373703</v>
      </c>
    </row>
    <row r="85" spans="2:7" x14ac:dyDescent="0.2">
      <c r="B85" s="56" t="s">
        <v>1385</v>
      </c>
      <c r="C85" s="56" t="s">
        <v>1433</v>
      </c>
      <c r="D85" s="56" t="s">
        <v>289</v>
      </c>
      <c r="E85" s="73">
        <v>-2000</v>
      </c>
      <c r="F85" s="57">
        <v>-75.117999999999995</v>
      </c>
      <c r="G85" s="58">
        <v>-0.323855554496084</v>
      </c>
    </row>
    <row r="86" spans="2:7" x14ac:dyDescent="0.2">
      <c r="B86" s="56" t="s">
        <v>1386</v>
      </c>
      <c r="C86" s="56" t="s">
        <v>1433</v>
      </c>
      <c r="D86" s="56" t="s">
        <v>289</v>
      </c>
      <c r="E86" s="73">
        <v>-1400</v>
      </c>
      <c r="F86" s="57">
        <v>-103.327</v>
      </c>
      <c r="G86" s="58">
        <v>-0.445472761247861</v>
      </c>
    </row>
    <row r="87" spans="2:7" x14ac:dyDescent="0.2">
      <c r="B87" s="56" t="s">
        <v>1387</v>
      </c>
      <c r="C87" s="56" t="s">
        <v>1433</v>
      </c>
      <c r="D87" s="56" t="s">
        <v>266</v>
      </c>
      <c r="E87" s="73">
        <v>-8125</v>
      </c>
      <c r="F87" s="57">
        <v>-104.05687500000001</v>
      </c>
      <c r="G87" s="58">
        <v>-0.44861946473887299</v>
      </c>
    </row>
    <row r="88" spans="2:7" x14ac:dyDescent="0.2">
      <c r="B88" s="56" t="s">
        <v>1388</v>
      </c>
      <c r="C88" s="56" t="s">
        <v>1433</v>
      </c>
      <c r="D88" s="56" t="s">
        <v>296</v>
      </c>
      <c r="E88" s="73">
        <v>-31000</v>
      </c>
      <c r="F88" s="57">
        <v>-112.1425</v>
      </c>
      <c r="G88" s="58">
        <v>-0.48347894672484698</v>
      </c>
    </row>
    <row r="89" spans="2:7" x14ac:dyDescent="0.2">
      <c r="B89" s="56" t="s">
        <v>1389</v>
      </c>
      <c r="C89" s="56" t="s">
        <v>1433</v>
      </c>
      <c r="D89" s="56" t="s">
        <v>337</v>
      </c>
      <c r="E89" s="73">
        <v>-2550</v>
      </c>
      <c r="F89" s="57">
        <v>-129.47624999999999</v>
      </c>
      <c r="G89" s="58">
        <v>-0.55820978644031505</v>
      </c>
    </row>
    <row r="90" spans="2:7" x14ac:dyDescent="0.2">
      <c r="B90" s="56" t="s">
        <v>1390</v>
      </c>
      <c r="C90" s="56" t="s">
        <v>1433</v>
      </c>
      <c r="D90" s="56" t="s">
        <v>306</v>
      </c>
      <c r="E90" s="73">
        <v>-8050</v>
      </c>
      <c r="F90" s="57">
        <v>-139.17644999999999</v>
      </c>
      <c r="G90" s="58">
        <v>-0.60003017103153</v>
      </c>
    </row>
    <row r="91" spans="2:7" x14ac:dyDescent="0.2">
      <c r="B91" s="56" t="s">
        <v>1391</v>
      </c>
      <c r="C91" s="56" t="s">
        <v>1433</v>
      </c>
      <c r="D91" s="56" t="s">
        <v>521</v>
      </c>
      <c r="E91" s="73">
        <v>-7350</v>
      </c>
      <c r="F91" s="57">
        <v>-142.47975</v>
      </c>
      <c r="G91" s="58">
        <v>-0.61427165846685705</v>
      </c>
    </row>
    <row r="92" spans="2:7" x14ac:dyDescent="0.2">
      <c r="B92" s="56" t="s">
        <v>1392</v>
      </c>
      <c r="C92" s="56" t="s">
        <v>1433</v>
      </c>
      <c r="D92" s="56" t="s">
        <v>266</v>
      </c>
      <c r="E92" s="73">
        <v>-49725</v>
      </c>
      <c r="F92" s="57">
        <v>-148.9761</v>
      </c>
      <c r="G92" s="58">
        <v>-0.64227931350893297</v>
      </c>
    </row>
    <row r="93" spans="2:7" x14ac:dyDescent="0.2">
      <c r="B93" s="56" t="s">
        <v>1393</v>
      </c>
      <c r="C93" s="56" t="s">
        <v>1433</v>
      </c>
      <c r="D93" s="56" t="s">
        <v>274</v>
      </c>
      <c r="E93" s="73">
        <v>-1429500</v>
      </c>
      <c r="F93" s="57">
        <v>-155.95845</v>
      </c>
      <c r="G93" s="58">
        <v>-0.672382255958622</v>
      </c>
    </row>
    <row r="94" spans="2:7" x14ac:dyDescent="0.2">
      <c r="B94" s="56" t="s">
        <v>1394</v>
      </c>
      <c r="C94" s="56" t="s">
        <v>1433</v>
      </c>
      <c r="D94" s="56" t="s">
        <v>454</v>
      </c>
      <c r="E94" s="73">
        <v>-24750</v>
      </c>
      <c r="F94" s="57">
        <v>-172.161</v>
      </c>
      <c r="G94" s="58">
        <v>-0.74223616333768605</v>
      </c>
    </row>
    <row r="95" spans="2:7" x14ac:dyDescent="0.2">
      <c r="B95" s="56" t="s">
        <v>1395</v>
      </c>
      <c r="C95" s="56" t="s">
        <v>1433</v>
      </c>
      <c r="D95" s="56" t="s">
        <v>266</v>
      </c>
      <c r="E95" s="73">
        <v>-21000</v>
      </c>
      <c r="F95" s="57">
        <v>-182.1645</v>
      </c>
      <c r="G95" s="58">
        <v>-0.785364162477726</v>
      </c>
    </row>
    <row r="96" spans="2:7" x14ac:dyDescent="0.2">
      <c r="B96" s="56" t="s">
        <v>1396</v>
      </c>
      <c r="C96" s="56" t="s">
        <v>1433</v>
      </c>
      <c r="D96" s="56" t="s">
        <v>314</v>
      </c>
      <c r="E96" s="73">
        <v>-47850</v>
      </c>
      <c r="F96" s="57">
        <v>-182.810925</v>
      </c>
      <c r="G96" s="58">
        <v>-0.78815108873794504</v>
      </c>
    </row>
    <row r="97" spans="2:7" x14ac:dyDescent="0.2">
      <c r="B97" s="56" t="s">
        <v>1397</v>
      </c>
      <c r="C97" s="56" t="s">
        <v>1433</v>
      </c>
      <c r="D97" s="56" t="s">
        <v>317</v>
      </c>
      <c r="E97" s="73">
        <v>-16200</v>
      </c>
      <c r="F97" s="57">
        <v>-190.9494</v>
      </c>
      <c r="G97" s="58">
        <v>-0.82323842245126999</v>
      </c>
    </row>
    <row r="98" spans="2:7" x14ac:dyDescent="0.2">
      <c r="B98" s="56" t="s">
        <v>1398</v>
      </c>
      <c r="C98" s="56" t="s">
        <v>1433</v>
      </c>
      <c r="D98" s="56" t="s">
        <v>317</v>
      </c>
      <c r="E98" s="73">
        <v>-18225</v>
      </c>
      <c r="F98" s="57">
        <v>-213.65167500000001</v>
      </c>
      <c r="G98" s="58">
        <v>-0.92111453547940703</v>
      </c>
    </row>
    <row r="99" spans="2:7" x14ac:dyDescent="0.2">
      <c r="B99" s="56" t="s">
        <v>1399</v>
      </c>
      <c r="C99" s="56" t="s">
        <v>1433</v>
      </c>
      <c r="D99" s="56" t="s">
        <v>507</v>
      </c>
      <c r="E99" s="73">
        <v>-8400</v>
      </c>
      <c r="F99" s="57">
        <v>-225.72479999999999</v>
      </c>
      <c r="G99" s="58">
        <v>-0.97316529017702302</v>
      </c>
    </row>
    <row r="100" spans="2:7" x14ac:dyDescent="0.2">
      <c r="B100" s="56" t="s">
        <v>1400</v>
      </c>
      <c r="C100" s="56" t="s">
        <v>1433</v>
      </c>
      <c r="D100" s="56" t="s">
        <v>323</v>
      </c>
      <c r="E100" s="73">
        <v>-2150</v>
      </c>
      <c r="F100" s="57">
        <v>-254.9255</v>
      </c>
      <c r="G100" s="58">
        <v>-1.0990580041759801</v>
      </c>
    </row>
    <row r="101" spans="2:7" x14ac:dyDescent="0.2">
      <c r="B101" s="56" t="s">
        <v>1401</v>
      </c>
      <c r="C101" s="56" t="s">
        <v>1433</v>
      </c>
      <c r="D101" s="56" t="s">
        <v>306</v>
      </c>
      <c r="E101" s="73">
        <v>-22950</v>
      </c>
      <c r="F101" s="57">
        <v>-257.5908</v>
      </c>
      <c r="G101" s="58">
        <v>-1.1105488879774501</v>
      </c>
    </row>
    <row r="102" spans="2:7" x14ac:dyDescent="0.2">
      <c r="B102" s="56" t="s">
        <v>1402</v>
      </c>
      <c r="C102" s="56" t="s">
        <v>1433</v>
      </c>
      <c r="D102" s="56" t="s">
        <v>266</v>
      </c>
      <c r="E102" s="73">
        <v>-87750</v>
      </c>
      <c r="F102" s="57">
        <v>-261.36337500000002</v>
      </c>
      <c r="G102" s="58">
        <v>-1.12681355647904</v>
      </c>
    </row>
    <row r="103" spans="2:7" x14ac:dyDescent="0.2">
      <c r="B103" s="56" t="s">
        <v>1403</v>
      </c>
      <c r="C103" s="56" t="s">
        <v>1433</v>
      </c>
      <c r="D103" s="56" t="s">
        <v>296</v>
      </c>
      <c r="E103" s="73">
        <v>-27000</v>
      </c>
      <c r="F103" s="57">
        <v>-268.137</v>
      </c>
      <c r="G103" s="58">
        <v>-1.15601662472266</v>
      </c>
    </row>
    <row r="104" spans="2:7" x14ac:dyDescent="0.2">
      <c r="B104" s="56" t="s">
        <v>1404</v>
      </c>
      <c r="C104" s="56" t="s">
        <v>1433</v>
      </c>
      <c r="D104" s="56" t="s">
        <v>274</v>
      </c>
      <c r="E104" s="73">
        <v>-2501625</v>
      </c>
      <c r="F104" s="57">
        <v>-270.92598750000002</v>
      </c>
      <c r="G104" s="58">
        <v>-1.1680407613249999</v>
      </c>
    </row>
    <row r="105" spans="2:7" x14ac:dyDescent="0.2">
      <c r="B105" s="56" t="s">
        <v>1405</v>
      </c>
      <c r="C105" s="56" t="s">
        <v>1433</v>
      </c>
      <c r="D105" s="56" t="s">
        <v>357</v>
      </c>
      <c r="E105" s="73">
        <v>-117000</v>
      </c>
      <c r="F105" s="57">
        <v>-283.23360000000002</v>
      </c>
      <c r="G105" s="58">
        <v>-1.2211024598621101</v>
      </c>
    </row>
    <row r="106" spans="2:7" x14ac:dyDescent="0.2">
      <c r="B106" s="56" t="s">
        <v>1406</v>
      </c>
      <c r="C106" s="56" t="s">
        <v>1433</v>
      </c>
      <c r="D106" s="56" t="s">
        <v>303</v>
      </c>
      <c r="E106" s="73">
        <v>-6700</v>
      </c>
      <c r="F106" s="57">
        <v>-287.72480000000002</v>
      </c>
      <c r="G106" s="58">
        <v>-1.2404653298313999</v>
      </c>
    </row>
    <row r="107" spans="2:7" x14ac:dyDescent="0.2">
      <c r="B107" s="56" t="s">
        <v>1407</v>
      </c>
      <c r="C107" s="56" t="s">
        <v>1433</v>
      </c>
      <c r="D107" s="56" t="s">
        <v>314</v>
      </c>
      <c r="E107" s="73">
        <v>-76850</v>
      </c>
      <c r="F107" s="57">
        <v>-295.41140000000001</v>
      </c>
      <c r="G107" s="58">
        <v>-1.2736044989411901</v>
      </c>
    </row>
    <row r="108" spans="2:7" x14ac:dyDescent="0.2">
      <c r="B108" s="56" t="s">
        <v>1408</v>
      </c>
      <c r="C108" s="56" t="s">
        <v>1433</v>
      </c>
      <c r="D108" s="56" t="s">
        <v>280</v>
      </c>
      <c r="E108" s="73">
        <v>-7700</v>
      </c>
      <c r="F108" s="57">
        <v>-318.05619999999999</v>
      </c>
      <c r="G108" s="58">
        <v>-1.37123282052128</v>
      </c>
    </row>
    <row r="109" spans="2:7" x14ac:dyDescent="0.2">
      <c r="B109" s="56" t="s">
        <v>1409</v>
      </c>
      <c r="C109" s="56" t="s">
        <v>1433</v>
      </c>
      <c r="D109" s="56" t="s">
        <v>296</v>
      </c>
      <c r="E109" s="73">
        <v>-65000</v>
      </c>
      <c r="F109" s="57">
        <v>-352.04</v>
      </c>
      <c r="G109" s="58">
        <v>-1.5177468703213799</v>
      </c>
    </row>
    <row r="110" spans="2:7" x14ac:dyDescent="0.2">
      <c r="B110" s="56" t="s">
        <v>1410</v>
      </c>
      <c r="C110" s="56" t="s">
        <v>1433</v>
      </c>
      <c r="D110" s="56" t="s">
        <v>521</v>
      </c>
      <c r="E110" s="73">
        <v>-5000</v>
      </c>
      <c r="F110" s="57">
        <v>-383.4</v>
      </c>
      <c r="G110" s="58">
        <v>-1.6529489548949501</v>
      </c>
    </row>
    <row r="111" spans="2:7" x14ac:dyDescent="0.2">
      <c r="B111" s="56" t="s">
        <v>1411</v>
      </c>
      <c r="C111" s="56" t="s">
        <v>1433</v>
      </c>
      <c r="D111" s="56" t="s">
        <v>296</v>
      </c>
      <c r="E111" s="73">
        <v>-119600</v>
      </c>
      <c r="F111" s="57">
        <v>-427.09160000000003</v>
      </c>
      <c r="G111" s="58">
        <v>-1.8413161550975701</v>
      </c>
    </row>
    <row r="112" spans="2:7" x14ac:dyDescent="0.2">
      <c r="B112" s="56" t="s">
        <v>1412</v>
      </c>
      <c r="C112" s="56" t="s">
        <v>1433</v>
      </c>
      <c r="D112" s="56" t="s">
        <v>266</v>
      </c>
      <c r="E112" s="73">
        <v>-1959300</v>
      </c>
      <c r="F112" s="57">
        <v>-428.10705000000002</v>
      </c>
      <c r="G112" s="58">
        <v>-1.84569405550511</v>
      </c>
    </row>
    <row r="113" spans="2:7" x14ac:dyDescent="0.2">
      <c r="B113" s="56" t="s">
        <v>1413</v>
      </c>
      <c r="C113" s="56" t="s">
        <v>1433</v>
      </c>
      <c r="D113" s="56" t="s">
        <v>337</v>
      </c>
      <c r="E113" s="73">
        <v>-8400</v>
      </c>
      <c r="F113" s="57">
        <v>-428.988</v>
      </c>
      <c r="G113" s="58">
        <v>-1.8494920872782299</v>
      </c>
    </row>
    <row r="114" spans="2:7" x14ac:dyDescent="0.2">
      <c r="B114" s="56" t="s">
        <v>1414</v>
      </c>
      <c r="C114" s="56" t="s">
        <v>1433</v>
      </c>
      <c r="D114" s="56" t="s">
        <v>266</v>
      </c>
      <c r="E114" s="73">
        <v>-32900</v>
      </c>
      <c r="F114" s="57">
        <v>-446.88069999999999</v>
      </c>
      <c r="G114" s="58">
        <v>-1.926632723077</v>
      </c>
    </row>
    <row r="115" spans="2:7" x14ac:dyDescent="0.2">
      <c r="B115" s="56" t="s">
        <v>1415</v>
      </c>
      <c r="C115" s="56" t="s">
        <v>1433</v>
      </c>
      <c r="D115" s="56" t="s">
        <v>280</v>
      </c>
      <c r="E115" s="73">
        <v>-11900</v>
      </c>
      <c r="F115" s="57">
        <v>-488.79250000000002</v>
      </c>
      <c r="G115" s="58">
        <v>-2.10732668762516</v>
      </c>
    </row>
    <row r="116" spans="2:7" x14ac:dyDescent="0.2">
      <c r="B116" s="56" t="s">
        <v>1416</v>
      </c>
      <c r="C116" s="56" t="s">
        <v>1433</v>
      </c>
      <c r="D116" s="56" t="s">
        <v>373</v>
      </c>
      <c r="E116" s="73">
        <v>-47775</v>
      </c>
      <c r="F116" s="57">
        <v>-501.971925</v>
      </c>
      <c r="G116" s="58">
        <v>-2.1641470235142299</v>
      </c>
    </row>
    <row r="117" spans="2:7" x14ac:dyDescent="0.2">
      <c r="B117" s="56" t="s">
        <v>1417</v>
      </c>
      <c r="C117" s="56" t="s">
        <v>1433</v>
      </c>
      <c r="D117" s="56" t="s">
        <v>266</v>
      </c>
      <c r="E117" s="73">
        <v>-24800</v>
      </c>
      <c r="F117" s="57">
        <v>-551.30399999999997</v>
      </c>
      <c r="G117" s="58">
        <v>-2.3768319526066799</v>
      </c>
    </row>
    <row r="118" spans="2:7" x14ac:dyDescent="0.2">
      <c r="B118" s="56" t="s">
        <v>1418</v>
      </c>
      <c r="C118" s="56" t="s">
        <v>1433</v>
      </c>
      <c r="D118" s="56" t="s">
        <v>266</v>
      </c>
      <c r="E118" s="73">
        <v>-30800</v>
      </c>
      <c r="F118" s="57">
        <v>-680.43359999999996</v>
      </c>
      <c r="G118" s="58">
        <v>-2.9335472300349599</v>
      </c>
    </row>
    <row r="119" spans="2:7" x14ac:dyDescent="0.2">
      <c r="B119" s="56" t="s">
        <v>1419</v>
      </c>
      <c r="C119" s="56" t="s">
        <v>1433</v>
      </c>
      <c r="D119" s="56" t="s">
        <v>266</v>
      </c>
      <c r="E119" s="73">
        <v>-70500</v>
      </c>
      <c r="F119" s="57">
        <v>-699.53625</v>
      </c>
      <c r="G119" s="58">
        <v>-3.0159043123334102</v>
      </c>
    </row>
    <row r="120" spans="2:7" x14ac:dyDescent="0.2">
      <c r="B120" s="56" t="s">
        <v>1420</v>
      </c>
      <c r="C120" s="56" t="s">
        <v>1433</v>
      </c>
      <c r="D120" s="56" t="s">
        <v>266</v>
      </c>
      <c r="E120" s="73">
        <v>-69850</v>
      </c>
      <c r="F120" s="57">
        <v>-700.94475</v>
      </c>
      <c r="G120" s="58">
        <v>-3.0219767656536201</v>
      </c>
    </row>
    <row r="121" spans="2:7" x14ac:dyDescent="0.2">
      <c r="B121" s="56" t="s">
        <v>1421</v>
      </c>
      <c r="C121" s="56" t="s">
        <v>1433</v>
      </c>
      <c r="D121" s="56" t="s">
        <v>269</v>
      </c>
      <c r="E121" s="73">
        <v>-45500</v>
      </c>
      <c r="F121" s="57">
        <v>-717.99</v>
      </c>
      <c r="G121" s="58">
        <v>-3.0954637979265001</v>
      </c>
    </row>
    <row r="122" spans="2:7" x14ac:dyDescent="0.2">
      <c r="B122" s="56" t="s">
        <v>1422</v>
      </c>
      <c r="C122" s="56" t="s">
        <v>1433</v>
      </c>
      <c r="D122" s="56" t="s">
        <v>266</v>
      </c>
      <c r="E122" s="73">
        <v>-56875</v>
      </c>
      <c r="F122" s="57">
        <v>-724.70124999999996</v>
      </c>
      <c r="G122" s="58">
        <v>-3.1243979493963501</v>
      </c>
    </row>
    <row r="123" spans="2:7" x14ac:dyDescent="0.2">
      <c r="B123" s="56" t="s">
        <v>1423</v>
      </c>
      <c r="C123" s="56" t="s">
        <v>1433</v>
      </c>
      <c r="D123" s="56" t="s">
        <v>1460</v>
      </c>
      <c r="E123" s="73">
        <v>-185600</v>
      </c>
      <c r="F123" s="57">
        <v>-752.42240000000004</v>
      </c>
      <c r="G123" s="58">
        <v>-3.2439118928522301</v>
      </c>
    </row>
    <row r="124" spans="2:7" x14ac:dyDescent="0.2">
      <c r="B124" s="56" t="s">
        <v>1424</v>
      </c>
      <c r="C124" s="56" t="s">
        <v>1433</v>
      </c>
      <c r="D124" s="56" t="s">
        <v>289</v>
      </c>
      <c r="E124" s="73">
        <v>-232800</v>
      </c>
      <c r="F124" s="57">
        <v>-865.55039999999997</v>
      </c>
      <c r="G124" s="58">
        <v>-3.7316396168203001</v>
      </c>
    </row>
    <row r="125" spans="2:7" x14ac:dyDescent="0.2">
      <c r="B125" s="56" t="s">
        <v>1425</v>
      </c>
      <c r="C125" s="56" t="s">
        <v>1433</v>
      </c>
      <c r="D125" s="56" t="s">
        <v>266</v>
      </c>
      <c r="E125" s="73">
        <v>-65100</v>
      </c>
      <c r="F125" s="57">
        <v>-879.24059999999997</v>
      </c>
      <c r="G125" s="58">
        <v>-3.7906620523505601</v>
      </c>
    </row>
    <row r="126" spans="2:7" x14ac:dyDescent="0.2">
      <c r="B126" s="56" t="s">
        <v>1426</v>
      </c>
      <c r="C126" s="56" t="s">
        <v>1433</v>
      </c>
      <c r="D126" s="56" t="s">
        <v>266</v>
      </c>
      <c r="E126" s="73">
        <v>-94600</v>
      </c>
      <c r="F126" s="57">
        <v>-943.54039999999998</v>
      </c>
      <c r="G126" s="58">
        <v>-4.0678771989597298</v>
      </c>
    </row>
    <row r="127" spans="2:7" x14ac:dyDescent="0.2">
      <c r="B127" s="56" t="s">
        <v>1427</v>
      </c>
      <c r="C127" s="56" t="s">
        <v>1433</v>
      </c>
      <c r="D127" s="56" t="s">
        <v>507</v>
      </c>
      <c r="E127" s="73">
        <v>-14250</v>
      </c>
      <c r="F127" s="57">
        <v>-1595.2874999999999</v>
      </c>
      <c r="G127" s="58">
        <v>-6.87774858080848</v>
      </c>
    </row>
    <row r="128" spans="2:7" x14ac:dyDescent="0.2">
      <c r="B128" s="53"/>
      <c r="C128" s="53"/>
      <c r="D128" s="53"/>
      <c r="E128" s="53"/>
      <c r="F128" s="54">
        <f>SUM(F72:F127)</f>
        <v>-17912.747132499997</v>
      </c>
      <c r="G128" s="55">
        <f>SUM(G72:G127)</f>
        <v>-77.227064819935606</v>
      </c>
    </row>
    <row r="130" spans="2:2" x14ac:dyDescent="0.2">
      <c r="B130" s="16" t="s">
        <v>504</v>
      </c>
    </row>
    <row r="132" spans="2:2" x14ac:dyDescent="0.2">
      <c r="B132" s="16" t="s">
        <v>110</v>
      </c>
    </row>
    <row r="150" spans="2:2" x14ac:dyDescent="0.2">
      <c r="B150" s="105" t="s">
        <v>1436</v>
      </c>
    </row>
    <row r="151" spans="2:2" x14ac:dyDescent="0.2">
      <c r="B151" s="77" t="s">
        <v>1464</v>
      </c>
    </row>
  </sheetData>
  <mergeCells count="1">
    <mergeCell ref="B1:C1"/>
  </mergeCells>
  <conditionalFormatting sqref="G1:G3 G5:G65337">
    <cfRule type="cellIs" dxfId="0" priority="1" stopIfTrue="1" operator="between">
      <formula>0.009</formula>
      <formula>-0.009</formula>
    </cfRule>
  </conditionalFormatting>
  <hyperlinks>
    <hyperlink ref="A2" location="Index!A1" display="-" xr:uid="{713E6322-FC08-46DD-9395-18357054D925}"/>
  </hyperlinks>
  <pageMargins left="0.7" right="0.7" top="0.75" bottom="0.75" header="0.3" footer="0.3"/>
  <pageSetup paperSize="9" scale="39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33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Index</vt:lpstr>
      <vt:lpstr>JBMMF</vt:lpstr>
      <vt:lpstr>JBOF</vt:lpstr>
      <vt:lpstr>JBLF</vt:lpstr>
      <vt:lpstr>JBN8-13</vt:lpstr>
      <vt:lpstr>JBN50</vt:lpstr>
      <vt:lpstr>JBNNX50</vt:lpstr>
      <vt:lpstr>JBNM150</vt:lpstr>
      <vt:lpstr>JBNS250</vt:lpstr>
      <vt:lpstr>JBFLEXI</vt:lpstr>
      <vt:lpstr>JBARB</vt:lpstr>
      <vt:lpstr>JBARB!Print_Area</vt:lpstr>
      <vt:lpstr>JBFLEXI!Print_Area</vt:lpstr>
      <vt:lpstr>JBLF!Print_Area</vt:lpstr>
      <vt:lpstr>JBMMF!Print_Area</vt:lpstr>
      <vt:lpstr>'JBN50'!Print_Area</vt:lpstr>
      <vt:lpstr>'JBN8-13'!Print_Area</vt:lpstr>
      <vt:lpstr>JBNM150!Print_Area</vt:lpstr>
      <vt:lpstr>JBNNX50!Print_Area</vt:lpstr>
      <vt:lpstr>JBNS250!Print_Area</vt:lpstr>
      <vt:lpstr>JBOF!Print_Area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2026-01-07T07:46:47Z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2026-01-06T14:31:01Z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504f6c76-ecc1-4462-b7d6-672f33471929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  <property fmtid="{D5CDD505-2E9C-101B-9397-08002B2CF9AE}" pid="12" name="MSIP_Label_defa4170-0d19-0005-0004-bc88714345d2_Enabled">
    <vt:lpwstr>true</vt:lpwstr>
  </property>
  <property fmtid="{D5CDD505-2E9C-101B-9397-08002B2CF9AE}" pid="13" name="MSIP_Label_defa4170-0d19-0005-0004-bc88714345d2_SetDate">
    <vt:lpwstr>2026-01-07T07:46:43Z</vt:lpwstr>
  </property>
  <property fmtid="{D5CDD505-2E9C-101B-9397-08002B2CF9AE}" pid="14" name="MSIP_Label_defa4170-0d19-0005-0004-bc88714345d2_Method">
    <vt:lpwstr>Standard</vt:lpwstr>
  </property>
  <property fmtid="{D5CDD505-2E9C-101B-9397-08002B2CF9AE}" pid="15" name="MSIP_Label_defa4170-0d19-0005-0004-bc88714345d2_Name">
    <vt:lpwstr>defa4170-0d19-0005-0004-bc88714345d2</vt:lpwstr>
  </property>
  <property fmtid="{D5CDD505-2E9C-101B-9397-08002B2CF9AE}" pid="16" name="MSIP_Label_defa4170-0d19-0005-0004-bc88714345d2_SiteId">
    <vt:lpwstr>c0116485-0978-4b0a-9f1f-fae6c3d6539a</vt:lpwstr>
  </property>
  <property fmtid="{D5CDD505-2E9C-101B-9397-08002B2CF9AE}" pid="17" name="MSIP_Label_defa4170-0d19-0005-0004-bc88714345d2_ActionId">
    <vt:lpwstr>1fbbb7ef-9ffd-4b73-96fb-ab1ab7480ed8</vt:lpwstr>
  </property>
  <property fmtid="{D5CDD505-2E9C-101B-9397-08002B2CF9AE}" pid="18" name="MSIP_Label_defa4170-0d19-0005-0004-bc88714345d2_ContentBits">
    <vt:lpwstr>0</vt:lpwstr>
  </property>
</Properties>
</file>