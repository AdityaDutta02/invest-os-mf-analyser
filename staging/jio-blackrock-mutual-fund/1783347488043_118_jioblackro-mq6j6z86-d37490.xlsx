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2BD77FE4-2C8C-4E6D-9568-38AFBA5B2D3C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ARB" sheetId="15" r:id="rId1"/>
  </sheets>
  <definedNames>
    <definedName name="_xlnm.Print_Area" localSheetId="0">JBARB!$B$1:$H$388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2" i="15" l="1"/>
  <c r="F192" i="15"/>
  <c r="G98" i="15"/>
  <c r="G94" i="15"/>
  <c r="F94" i="15"/>
  <c r="G89" i="15"/>
  <c r="F89" i="15"/>
  <c r="G81" i="15"/>
  <c r="G84" i="15" s="1"/>
  <c r="F81" i="15"/>
  <c r="F84" i="15" s="1"/>
  <c r="F99" i="15" l="1"/>
  <c r="G99" i="15"/>
  <c r="F90" i="15"/>
  <c r="G90" i="15"/>
</calcChain>
</file>

<file path=xl/sharedStrings.xml><?xml version="1.0" encoding="utf-8"?>
<sst xmlns="http://schemas.openxmlformats.org/spreadsheetml/2006/main" count="779" uniqueCount="358">
  <si>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</si>
  <si>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</si>
  <si>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</si>
  <si>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</si>
  <si>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</si>
  <si>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</si>
  <si>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</si>
  <si>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Arbitrage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</si>
  <si>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</si>
  <si>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</si>
  <si>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</si>
  <si>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</si>
  <si>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</si>
  <si>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</si>
  <si>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</si>
  <si>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</si>
  <si>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</si>
  <si>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</si>
  <si>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</si>
  <si>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</si>
  <si>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</si>
  <si>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Mahindra &amp; Mahindra Ltd</t>
  </si>
  <si>
    <t>INE101A01026</t>
  </si>
  <si>
    <t>Automobiles</t>
  </si>
  <si>
    <t>State Bank of India</t>
  </si>
  <si>
    <t>INE062A01020</t>
  </si>
  <si>
    <t>IT - Software</t>
  </si>
  <si>
    <t>Larsen &amp; Toubro Ltd</t>
  </si>
  <si>
    <t>INE018A01030</t>
  </si>
  <si>
    <t>Construction</t>
  </si>
  <si>
    <t>NTPC Ltd</t>
  </si>
  <si>
    <t>INE733E01010</t>
  </si>
  <si>
    <t>Power</t>
  </si>
  <si>
    <t>Indian Oil Corporation Ltd</t>
  </si>
  <si>
    <t>INE242A01010</t>
  </si>
  <si>
    <t>Tata Consultancy Services Ltd</t>
  </si>
  <si>
    <t>INE467B01029</t>
  </si>
  <si>
    <t>Ferrous Metals</t>
  </si>
  <si>
    <t>Auto Components</t>
  </si>
  <si>
    <t>ITC Ltd</t>
  </si>
  <si>
    <t>INE154A01025</t>
  </si>
  <si>
    <t>Diversified FMCG</t>
  </si>
  <si>
    <t>Ultratech Cement Ltd</t>
  </si>
  <si>
    <t>INE481G01011</t>
  </si>
  <si>
    <t>Cement &amp; Cement Products</t>
  </si>
  <si>
    <t>Axis Bank Ltd</t>
  </si>
  <si>
    <t>INE238A01034</t>
  </si>
  <si>
    <t>Capital Markets</t>
  </si>
  <si>
    <t>Sun Pharmaceutical Industries Ltd</t>
  </si>
  <si>
    <t>INE044A01036</t>
  </si>
  <si>
    <t>Pharmaceuticals &amp; Biotechnology</t>
  </si>
  <si>
    <t>Kotak Mahindra Bank Ltd</t>
  </si>
  <si>
    <t>INE237A01036</t>
  </si>
  <si>
    <t>JSW Steel Ltd</t>
  </si>
  <si>
    <t>INE019A01038</t>
  </si>
  <si>
    <t>Eternal Ltd</t>
  </si>
  <si>
    <t>INE758T01015</t>
  </si>
  <si>
    <t>Retailing</t>
  </si>
  <si>
    <t>Consumer Durables</t>
  </si>
  <si>
    <t>Oil &amp; Natural Gas Corporation Ltd</t>
  </si>
  <si>
    <t>INE213A01029</t>
  </si>
  <si>
    <t>Oil</t>
  </si>
  <si>
    <t>Insurance</t>
  </si>
  <si>
    <t>Steel Authority of India Ltd</t>
  </si>
  <si>
    <t>INE114A01011</t>
  </si>
  <si>
    <t>Yes Bank Ltd</t>
  </si>
  <si>
    <t>INE528G01035</t>
  </si>
  <si>
    <t>Max Financial Services Ltd</t>
  </si>
  <si>
    <t>INE180A01020</t>
  </si>
  <si>
    <t>Bajaj Finance Ltd</t>
  </si>
  <si>
    <t>INE296A01032</t>
  </si>
  <si>
    <t>Finance</t>
  </si>
  <si>
    <t>Bharat Petroleum Corporation Ltd</t>
  </si>
  <si>
    <t>INE029A01011</t>
  </si>
  <si>
    <t>Non - Ferrous Metals</t>
  </si>
  <si>
    <t>Power Grid Corporation of India Ltd</t>
  </si>
  <si>
    <t>INE752E01010</t>
  </si>
  <si>
    <t>Adani Enterprises Ltd</t>
  </si>
  <si>
    <t>INE423A01024</t>
  </si>
  <si>
    <t>Metals &amp; Minerals Trading</t>
  </si>
  <si>
    <t>Maruti Suzuki India Ltd</t>
  </si>
  <si>
    <t>INE585B01010</t>
  </si>
  <si>
    <t>Shriram Finance Ltd</t>
  </si>
  <si>
    <t>INE721A01047</t>
  </si>
  <si>
    <t>Laurus Labs Ltd</t>
  </si>
  <si>
    <t>INE947Q01028</t>
  </si>
  <si>
    <t>Eicher Motors Ltd</t>
  </si>
  <si>
    <t>INE066A01021</t>
  </si>
  <si>
    <t>Bharat Heavy Electricals Ltd</t>
  </si>
  <si>
    <t>INE257A01026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</si>
  <si>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</si>
  <si>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</si>
  <si>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</si>
  <si>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</si>
  <si>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</si>
  <si>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</si>
  <si>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</si>
  <si>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</si>
  <si>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</si>
  <si>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</si>
  <si>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</si>
  <si>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</si>
  <si>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</si>
  <si>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</si>
  <si>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Notes</t>
  </si>
  <si>
    <t xml:space="preserve">Scheme Risk-O-Meter </t>
  </si>
  <si>
    <t>Money Market Instruments</t>
  </si>
  <si>
    <t>Certificate of Deposit</t>
  </si>
  <si>
    <t>CRISIL A1+</t>
  </si>
  <si>
    <t>HDFC Bank Ltd (20-Aug-2026) **</t>
  </si>
  <si>
    <t>INE040A16JK6</t>
  </si>
  <si>
    <t>Nil</t>
  </si>
  <si>
    <t>Hindustan Unilever Ltd</t>
  </si>
  <si>
    <t>INE030A01027</t>
  </si>
  <si>
    <t>Hindalco Industries Ltd</t>
  </si>
  <si>
    <t>INE038A01020</t>
  </si>
  <si>
    <t>Bharat Electronics Ltd</t>
  </si>
  <si>
    <t>INE263A01024</t>
  </si>
  <si>
    <t>Aerospace &amp; Defense</t>
  </si>
  <si>
    <t>Adani Ports and Special Economic Zone Ltd</t>
  </si>
  <si>
    <t>INE742F01042</t>
  </si>
  <si>
    <t>Transport Infrastructure</t>
  </si>
  <si>
    <t>Grasim Industries Ltd</t>
  </si>
  <si>
    <t>INE047A01021</t>
  </si>
  <si>
    <t>Bajaj Finserv Ltd</t>
  </si>
  <si>
    <t>INE918I01026</t>
  </si>
  <si>
    <t>Apollo Hospitals Enterprise Ltd</t>
  </si>
  <si>
    <t>INE437A01024</t>
  </si>
  <si>
    <t>Healthcare Services</t>
  </si>
  <si>
    <t>Tata Motors Passenger Vehicles Ltd</t>
  </si>
  <si>
    <t>INE155A01022</t>
  </si>
  <si>
    <t>Cipla Ltd</t>
  </si>
  <si>
    <t>INE059A01026</t>
  </si>
  <si>
    <t>Jio Financial Services Ltd</t>
  </si>
  <si>
    <t>INE758E01017</t>
  </si>
  <si>
    <t>Max Healthcare Institute Ltd</t>
  </si>
  <si>
    <t>INE027H01010</t>
  </si>
  <si>
    <t>HDFC Life Insurance Co Ltd</t>
  </si>
  <si>
    <t>INE795G01014</t>
  </si>
  <si>
    <t>Hindustan Aeronautics Ltd</t>
  </si>
  <si>
    <t>INE066F01020</t>
  </si>
  <si>
    <t>TVS Motor Co Ltd</t>
  </si>
  <si>
    <t>INE494B01023</t>
  </si>
  <si>
    <t>Tata Power Co Ltd</t>
  </si>
  <si>
    <t>INE245A01021</t>
  </si>
  <si>
    <t>Indian Hotels Co Ltd</t>
  </si>
  <si>
    <t>INE053A01029</t>
  </si>
  <si>
    <t>Leisure Services</t>
  </si>
  <si>
    <t>HDFC Asset Management Co Ltd</t>
  </si>
  <si>
    <t>INE127D01025</t>
  </si>
  <si>
    <t>Bank of Baroda</t>
  </si>
  <si>
    <t>INE028A01039</t>
  </si>
  <si>
    <t>Pidilite Industries Ltd</t>
  </si>
  <si>
    <t>INE318A01026</t>
  </si>
  <si>
    <t>Chemicals &amp; Petrochemicals</t>
  </si>
  <si>
    <t>GAIL (India) Ltd</t>
  </si>
  <si>
    <t>INE129A01019</t>
  </si>
  <si>
    <t>Gas</t>
  </si>
  <si>
    <t>Canara Bank</t>
  </si>
  <si>
    <t>INE476A01022</t>
  </si>
  <si>
    <t>Godrej Consumer Products Ltd</t>
  </si>
  <si>
    <t>INE102D01028</t>
  </si>
  <si>
    <t>Personal Products</t>
  </si>
  <si>
    <t>DLF Ltd</t>
  </si>
  <si>
    <t>INE271C01023</t>
  </si>
  <si>
    <t>Realty</t>
  </si>
  <si>
    <t>Punjab National Bank</t>
  </si>
  <si>
    <t>INE160A01022</t>
  </si>
  <si>
    <t>Bosch Ltd</t>
  </si>
  <si>
    <t>INE323A01026</t>
  </si>
  <si>
    <t>Ambuja Cements Ltd</t>
  </si>
  <si>
    <t>INE079A01024</t>
  </si>
  <si>
    <t>Lodha Developers Ltd</t>
  </si>
  <si>
    <t>INE670K01029</t>
  </si>
  <si>
    <t>IndusInd Bank Ltd</t>
  </si>
  <si>
    <t>INE095A01012</t>
  </si>
  <si>
    <t>Financial Technology (Fintech)</t>
  </si>
  <si>
    <t>Indus Towers Ltd</t>
  </si>
  <si>
    <t>INE121J01017</t>
  </si>
  <si>
    <t>AU Small Finance Bank Ltd</t>
  </si>
  <si>
    <t>INE949L01017</t>
  </si>
  <si>
    <t>IDFC First Bank Ltd</t>
  </si>
  <si>
    <t>INE092T01019</t>
  </si>
  <si>
    <t>One 97 Communications Ltd</t>
  </si>
  <si>
    <t>INE982J01020</t>
  </si>
  <si>
    <t>Vodafone Idea Ltd</t>
  </si>
  <si>
    <t>INE669E01016</t>
  </si>
  <si>
    <t>Info Edge (India) Ltd</t>
  </si>
  <si>
    <t>INE663F01032</t>
  </si>
  <si>
    <t>UPL Ltd</t>
  </si>
  <si>
    <t>INE628A01036</t>
  </si>
  <si>
    <t>Fertilizers &amp; Agrochemicals</t>
  </si>
  <si>
    <t>Glenmark Pharmaceuticals Ltd</t>
  </si>
  <si>
    <t>INE935A01035</t>
  </si>
  <si>
    <t>Havells India Ltd</t>
  </si>
  <si>
    <t>INE176B01034</t>
  </si>
  <si>
    <t>Godrej Properties Ltd</t>
  </si>
  <si>
    <t>INE484J01027</t>
  </si>
  <si>
    <t>Prestige Estates Projects Ltd</t>
  </si>
  <si>
    <t>INE811K01011</t>
  </si>
  <si>
    <t>Bank of India</t>
  </si>
  <si>
    <t>INE084A01016</t>
  </si>
  <si>
    <t>LIC Housing Finance Ltd</t>
  </si>
  <si>
    <t>INE115A01026</t>
  </si>
  <si>
    <t>Crompton Greaves Consumer Electricals Ltd</t>
  </si>
  <si>
    <t>INE299U01018</t>
  </si>
  <si>
    <t>Manappuram Finance Ltd</t>
  </si>
  <si>
    <t>INE522D01027</t>
  </si>
  <si>
    <t>NBCC (India) Ltd</t>
  </si>
  <si>
    <t>INE095N01031</t>
  </si>
  <si>
    <t>Punjab National Bank (15-Sep-2026)</t>
  </si>
  <si>
    <t>INE160A16UT0</t>
  </si>
  <si>
    <t>Canara Bank (28-Jan-2027)</t>
  </si>
  <si>
    <t>INE476A16G28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</si>
  <si>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</si>
  <si>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</si>
  <si>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</si>
  <si>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</si>
  <si>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</si>
  <si>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MAX HEALTHCARE INSTITUTE FUT 30-JUN-26</t>
  </si>
  <si>
    <t>Short</t>
  </si>
  <si>
    <t>PGC LTD FUT 30-JUN-26</t>
  </si>
  <si>
    <t>HINDUSTAN AERONAUTICS LTD FUT 28-JUL-26</t>
  </si>
  <si>
    <t>GLENMARK PHARMA LTD FUT 30-JUN-26</t>
  </si>
  <si>
    <t>BOSCH LTD FUT 30-JUN-26</t>
  </si>
  <si>
    <t>MANAPPURAM FINANCE LTD FUT 30-JUN-26</t>
  </si>
  <si>
    <t>GODREJ CONSUMER PROD LTD FUT 30-JUN-26</t>
  </si>
  <si>
    <t>BHARAT PETROLEUM CORP LTD FUT 28-JUL-26</t>
  </si>
  <si>
    <t>ETERNAL LTD FUT 28-JUL-26</t>
  </si>
  <si>
    <t>GAIL INDIA LTD FUT 30-JUN-26</t>
  </si>
  <si>
    <t>INDUSIND BANK LTD FUT 30-JUN-26</t>
  </si>
  <si>
    <t>APOLLO HOSPITALS ENT LTD FUT 30-JUN-26</t>
  </si>
  <si>
    <t>EICHER MOTORS LTD FUT 30-JUN-26</t>
  </si>
  <si>
    <t>BANK OF INDIA FUT 30-JUN-26</t>
  </si>
  <si>
    <t>TVS MOTOR CO LTD FUT 30-JUN-26</t>
  </si>
  <si>
    <t>ONE 97 COMMUNICATIONS LTD FUT 30-JUN-26</t>
  </si>
  <si>
    <t>PIDILITE INDUSTRIES FUT 30-JUN-26</t>
  </si>
  <si>
    <t>INFO EDGE (INDIA) LTD FUT 30-JUN-26</t>
  </si>
  <si>
    <t>GRASIM INDUSTRIES LTD FUT 30-JUN-26</t>
  </si>
  <si>
    <t>BHARAT ELECTRONICS LTD FUT 30-JUN-26</t>
  </si>
  <si>
    <t>AMBUJA CEMENTS LTD FUT 30-JUN-26</t>
  </si>
  <si>
    <t>STATE BANK OF INDIA FUT 30-JUN-26</t>
  </si>
  <si>
    <t>HAVELLS INDIA LTD FUT 30-JUN-26</t>
  </si>
  <si>
    <t>LARSEN AND TOUBRO LTD FUT 30-JUN-26</t>
  </si>
  <si>
    <t>UPL LTD FUT 30-JUN-26</t>
  </si>
  <si>
    <t>MACROTECH DEVELOPERS LTD FUT 30-JUN-26</t>
  </si>
  <si>
    <t>ICICI BANK LTD FUT 28-JUL-26</t>
  </si>
  <si>
    <t>TATA POWER CO LTD FUT 30-JUN-26</t>
  </si>
  <si>
    <t>ADANI PORTS AND SP ECO FUT 28-JUL-26</t>
  </si>
  <si>
    <t>M&amp;M LTD FUT 30-JUN-26</t>
  </si>
  <si>
    <t>BAJAJ FINSERV LTD FUT 28-JUL-26</t>
  </si>
  <si>
    <t>BHARAT PETROLEUM CORP LTD FUT 30-JUN-26</t>
  </si>
  <si>
    <t>ONGC LTD FUT 30-JUN-26</t>
  </si>
  <si>
    <t>CROMPT GREA CON ELEC LTD FUT 30-JUN-26</t>
  </si>
  <si>
    <t>AU SMALL FINANCE BANK LTD FUT 28-JUL-26</t>
  </si>
  <si>
    <t>INDIAN HOTELS CO LTD FUT 30-JUN-26</t>
  </si>
  <si>
    <t>HDFC AMC LTD FUT 30-JUN-26</t>
  </si>
  <si>
    <t>BANK OF BARODA FUT 28-JUL-26</t>
  </si>
  <si>
    <t>HINDALCO INDUSTRIES LTD FUT 30-JUN-26</t>
  </si>
  <si>
    <t>ETERNAL LTD FUT 30-JUN-26</t>
  </si>
  <si>
    <t>MARUTI SUZUKI INDIA LTD FUT 30-JUN-26</t>
  </si>
  <si>
    <t>VODAFONE IDEA LTD FUT 30-JUN-26</t>
  </si>
  <si>
    <t>INDIAN OIL CORP LTD FUT 30-JUN-26</t>
  </si>
  <si>
    <t>JIO FINANC SERVICES LTD FUT 28-JUL-26</t>
  </si>
  <si>
    <t>SHRIRAM FINANCE LTD FUT 30-JUN-26</t>
  </si>
  <si>
    <t>HINDUSTAN UNILEVER LTD FUT 30-JUN-26</t>
  </si>
  <si>
    <t>LIC HOUSING FIN LTD FUT 30-JUN-26</t>
  </si>
  <si>
    <t>PUNJAB NATIONAL BANK FUT 28-JUL-26</t>
  </si>
  <si>
    <t>ULTRA TECH CEMENT LTD FUT 30-JUN-26</t>
  </si>
  <si>
    <t>DLF LTD FUT 30-JUN-26</t>
  </si>
  <si>
    <t>NBCC (INDIA) LTD FUT 30-JUN-26</t>
  </si>
  <si>
    <t>NTPC LTD FUT 30-JUN-26</t>
  </si>
  <si>
    <t>IDFC FIRST BANK LTD FUT 30-JUN-26</t>
  </si>
  <si>
    <t>SUN PHARMA IND LTD FUT 30-JUN-26</t>
  </si>
  <si>
    <t>GODREJ PROPERTIES LTD FUT 28-JUL-26</t>
  </si>
  <si>
    <t>ADANI PORTS AND SP ECO FUT 30-JUN-26</t>
  </si>
  <si>
    <t>TCS LTD FUT 30-JUN-26</t>
  </si>
  <si>
    <t>CIPLA LTD FUT 30-JUN-26</t>
  </si>
  <si>
    <t>AU SMALL FINANCE BANK LTD FUT 30-JUN-26</t>
  </si>
  <si>
    <t>BAJAJ FINANCE LTD FUT 30-JUN-26</t>
  </si>
  <si>
    <t>LAURUS LABS LTD FUT 30-JUN-26</t>
  </si>
  <si>
    <t>CANARA BANK FUT 28-JUL-26</t>
  </si>
  <si>
    <t>INDUS TOWERS LTD FUT 30-JUN-26</t>
  </si>
  <si>
    <t>MAX FINANCIAL SERVICES FUT 30-JUN-26</t>
  </si>
  <si>
    <t>VODAFONE IDEA LTD FUT 28-JUL-26</t>
  </si>
  <si>
    <t>TATA MOTORS PASS VEHICLES FUT 30-JUN-26</t>
  </si>
  <si>
    <t>BHARAT ELECTRONICS LTD FUT 28-JUL-26</t>
  </si>
  <si>
    <t>YES BANK LTD FUT 30-JUN-26</t>
  </si>
  <si>
    <t>JSW STEEL LTD FUT 30-JUN-26</t>
  </si>
  <si>
    <t>CANARA BANK FUT 30-JUN-26</t>
  </si>
  <si>
    <t>STATE BANK OF INDIA FUT 28-JUL-26</t>
  </si>
  <si>
    <t>BANK OF BARODA FUT 30-JUN-26</t>
  </si>
  <si>
    <t>RELIANCE INDUSTRIES LTD FUT 28-JUL-26</t>
  </si>
  <si>
    <t>STEEL AUTHOR OF IND LTD FUT 30-JUN-26</t>
  </si>
  <si>
    <t>BHARAT HEAVY ELECT LTD FUT 30-JUN-26</t>
  </si>
  <si>
    <t>HDFC LIFE INSURANCE COLTD FUT 30-JUN-26</t>
  </si>
  <si>
    <t>AXIS BANK LTD FUT 30-JUN-26</t>
  </si>
  <si>
    <t>KOTAK BANK LTD FUT 30-JUN-26</t>
  </si>
  <si>
    <t>YES BANK LTD FUT 28-JUL-26</t>
  </si>
  <si>
    <t>ITC LTD FUT 28-JUL-26</t>
  </si>
  <si>
    <t>PRESTIGE ESTATES PROJECTS FUT 30-JUN-26</t>
  </si>
  <si>
    <t>HDFC BANK LTD FUT 30-JUN-26</t>
  </si>
  <si>
    <t>HDFC BANK LTD FUT 28-JUL-26</t>
  </si>
  <si>
    <t>BHARTI AIRTEL LTD FUT 30-JUN-26</t>
  </si>
  <si>
    <t>RELIANCE INDUSTRIES LTD FUT 30-JUN-26</t>
  </si>
  <si>
    <t>ADANI ENTERPRISES LTD FUT 30-JUN-26</t>
  </si>
  <si>
    <t>ICICI BANK LTD FUT 30-JUN-26</t>
  </si>
  <si>
    <t>Industry Classification / Rating</t>
  </si>
  <si>
    <t>** Non- Traded Security</t>
  </si>
  <si>
    <t>Benchmark Risk-O-Meter</t>
  </si>
  <si>
    <t>Benchmark Name - Nifty 50 Arbitrage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</si>
  <si>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</si>
  <si>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</si>
  <si>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</si>
  <si>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</si>
  <si>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</si>
  <si>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</si>
  <si>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</si>
  <si>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Underlying</t>
  </si>
  <si>
    <t>Long/Short</t>
  </si>
  <si>
    <t>Futures Price When purchased</t>
  </si>
  <si>
    <t>Current price of the contract</t>
  </si>
  <si>
    <t>Margin maintained
in Rs. Lakhs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</si>
  <si>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</si>
  <si>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</si>
  <si>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</si>
  <si>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</si>
  <si>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</si>
  <si>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</si>
  <si>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</si>
  <si>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</si>
  <si>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</si>
  <si>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</si>
  <si>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</si>
  <si>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</si>
  <si>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</si>
  <si>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</si>
  <si>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</si>
  <si>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</si>
  <si>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</si>
  <si>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</si>
  <si>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Total exposure due to futures (non hedging positions) as a percentage of net assets: : Nil</t>
  </si>
  <si>
    <t>(5) Exposure to Derivative Instruments as on May 31, 2026:</t>
  </si>
  <si>
    <t>For the Month ended May 31, 2026 following were the hedging transactions through futures which have been squared off/expired:</t>
  </si>
  <si>
    <t>b) Other than Hedging Positions through Futures as on May 31, 2026 is :</t>
  </si>
  <si>
    <t>For the Month ended May 31, 2026 following were the non-hedging transactions through futures which have been squared off/expired:</t>
  </si>
  <si>
    <t>c) Hedging positions through Put options as on May 31, 2026</t>
  </si>
  <si>
    <t>For the Month ended May 31, 2026, following details specified for hedging transactions through Put options which have already been exercised/ expired:</t>
  </si>
  <si>
    <t>d) Other than hedging positions through options as on May 31, 2026</t>
  </si>
  <si>
    <t>For the period ended May 31, 2026, following details specified for non-hedging transactions through options which have already been exercised/ expired:</t>
  </si>
  <si>
    <t>e) Hedging positions through Swaps as on May 31, 2026  - Nil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</si>
  <si>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</si>
  <si>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</si>
  <si>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</si>
  <si>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(4) There was no distribution (of income and capital) during the Month ended May 31, 2026.</t>
  </si>
  <si>
    <t xml:space="preserve"> a) Hedging Positions through Futures as on May 31, 2026:</t>
  </si>
  <si>
    <t>(7) During the period, the portfolio turnover ratio is 5.31 times.</t>
  </si>
  <si>
    <t>Total percentage of existing assets hedged through futures: -74.82%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</si>
</sst>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%"/>
    <numFmt numFmtId="165" formatCode="#,##0;\(#,##0.\)"/>
    <numFmt numFmtId="169" formatCode="#,##0.0000_ ;\-#,##0.0000\ "/>
    <numFmt numFmtId="170" formatCode="_(* #,##0.000_);_(* \(#,##0.000\);_(* &quot;-&quot;??_);_(@_)"/>
    <numFmt numFmtId="171" formatCode="_ * #,##0.000_ ;_ * \-#,##0.0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125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3" fontId="6" fillId="2" borderId="6" xfId="0" applyNumberFormat="1" applyFont="1" applyFill="1" applyBorder="1"/>
    <xf numFmtId="164" fontId="6" fillId="2" borderId="6" xfId="0" applyNumberFormat="1" applyFont="1" applyFill="1" applyBorder="1"/>
    <xf numFmtId="0" fontId="5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0" fontId="5" fillId="2" borderId="9" xfId="0" applyNumberFormat="1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0" fontId="5" fillId="2" borderId="10" xfId="0" applyNumberFormat="1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5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39" fontId="5" fillId="2" borderId="8" xfId="0" applyNumberFormat="1" applyFont="1" applyFill="1" applyBorder="1"/>
    <xf numFmtId="39" fontId="5" fillId="3" borderId="8" xfId="0" applyNumberFormat="1" applyFont="1" applyFill="1" applyBorder="1"/>
    <xf numFmtId="0" fontId="10" fillId="2" borderId="5" xfId="0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/>
    </xf>
    <xf numFmtId="43" fontId="11" fillId="3" borderId="0" xfId="2" applyFont="1" applyFill="1" applyAlignment="1">
      <alignment horizontal="justify" vertical="center"/>
    </xf>
    <xf numFmtId="2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169" fontId="11" fillId="3" borderId="0" xfId="0" applyNumberFormat="1" applyFont="1" applyFill="1" applyAlignment="1">
      <alignment horizontal="center" vertical="top"/>
    </xf>
    <xf numFmtId="3" fontId="11" fillId="3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43" fontId="11" fillId="0" borderId="13" xfId="2" applyFont="1" applyBorder="1" applyAlignment="1">
      <alignment horizontal="center" vertical="center" wrapText="1"/>
    </xf>
    <xf numFmtId="43" fontId="11" fillId="0" borderId="11" xfId="2" applyFont="1" applyBorder="1" applyAlignment="1">
      <alignment horizontal="center" vertical="center" wrapText="1"/>
    </xf>
    <xf numFmtId="171" fontId="6" fillId="2" borderId="0" xfId="0" applyNumberFormat="1" applyFont="1" applyFill="1"/>
    <xf numFmtId="0" fontId="5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39" fontId="6" fillId="0" borderId="6" xfId="0" applyNumberFormat="1" applyFont="1" applyFill="1" applyBorder="1"/>
    <xf numFmtId="3" fontId="11" fillId="0" borderId="12" xfId="0" applyNumberFormat="1" applyFont="1" applyFill="1" applyBorder="1" applyAlignment="1">
      <alignment horizontal="center" vertical="center"/>
    </xf>
    <xf numFmtId="4" fontId="11" fillId="0" borderId="12" xfId="0" applyNumberFormat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43" fontId="11" fillId="0" borderId="11" xfId="2" applyFont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left" vertical="top"/>
    </xf>
    <xf numFmtId="43" fontId="11" fillId="0" borderId="11" xfId="2" applyFont="1" applyFill="1" applyBorder="1" applyAlignment="1">
      <alignment horizontal="center" vertical="center"/>
    </xf>
    <xf numFmtId="170" fontId="11" fillId="0" borderId="11" xfId="0" applyNumberFormat="1" applyFont="1" applyFill="1" applyBorder="1" applyAlignment="1">
      <alignment vertical="center"/>
    </xf>
    <xf numFmtId="0" fontId="11" fillId="0" borderId="12" xfId="0" applyFont="1" applyFill="1" applyBorder="1" applyAlignment="1">
      <alignment horizontal="left" vertical="center" wrapText="1"/>
    </xf>
    <xf numFmtId="43" fontId="11" fillId="0" borderId="11" xfId="2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11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11" fillId="3" borderId="10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43" fontId="11" fillId="0" borderId="8" xfId="2" applyFont="1" applyBorder="1" applyAlignment="1">
      <alignment horizontal="center" vertical="center" wrapText="1"/>
    </xf>
    <xf numFmtId="43" fontId="11" fillId="0" borderId="11" xfId="2" applyFont="1" applyBorder="1" applyAlignment="1">
      <alignment horizontal="center" vertical="center" wrapText="1"/>
    </xf>
    <xf numFmtId="3" fontId="11" fillId="3" borderId="3" xfId="0" applyNumberFormat="1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351</xdr:row>
      <xdr:rowOff>47625</xdr:rowOff>
    </xdr:from>
    <xdr:to>
      <xdr:col>3</xdr:col>
      <xdr:colOff>165100</xdr:colOff>
      <xdr:row>367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89ED1-F8E1-4F0F-9CDC-66C8F4B57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46167675"/>
          <a:ext cx="47244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370</xdr:row>
      <xdr:rowOff>85725</xdr:rowOff>
    </xdr:from>
    <xdr:to>
      <xdr:col>3</xdr:col>
      <xdr:colOff>228600</xdr:colOff>
      <xdr:row>387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0E492F-5471-4FA4-9741-6DCEBC4B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48631475"/>
          <a:ext cx="514032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D925-1A85-4312-AD69-3D10069118AA}">
  <dimension ref="A1:I388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8.36328125" style="8" customWidth="1"/>
    <col min="4" max="4" width="22.26953125" style="8" bestFit="1" customWidth="1"/>
    <col min="5" max="5" width="13.90625" style="9" bestFit="1" customWidth="1"/>
    <col min="6" max="6" width="22.81640625" style="11" bestFit="1" customWidth="1"/>
    <col min="7" max="7" width="12.1796875" style="13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109" t="s">
        <v>7</v>
      </c>
      <c r="C1" s="110"/>
      <c r="D1" s="12"/>
      <c r="E1" s="6"/>
      <c r="F1" s="7"/>
      <c r="G1" s="13"/>
    </row>
    <row r="2" spans="1:8" s="1" customFormat="1" ht="14.5" x14ac:dyDescent="0.35">
      <c r="A2" s="57" t="s">
        <v>311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307</v>
      </c>
      <c r="E4" s="18" t="s">
        <v>0</v>
      </c>
      <c r="F4" s="19" t="s">
        <v>1</v>
      </c>
      <c r="G4" s="20" t="s">
        <v>2</v>
      </c>
      <c r="H4" s="56" t="s">
        <v>3</v>
      </c>
    </row>
    <row r="5" spans="1:8" ht="10.5" x14ac:dyDescent="0.25">
      <c r="B5" s="21" t="s">
        <v>8</v>
      </c>
      <c r="C5" s="22"/>
      <c r="D5" s="22"/>
      <c r="E5" s="23"/>
      <c r="F5" s="24"/>
      <c r="G5" s="25"/>
      <c r="H5" s="22"/>
    </row>
    <row r="6" spans="1:8" ht="10.5" x14ac:dyDescent="0.25">
      <c r="B6" s="21" t="s">
        <v>9</v>
      </c>
      <c r="C6" s="22"/>
      <c r="D6" s="22"/>
      <c r="E6" s="23"/>
      <c r="F6" s="24"/>
      <c r="G6" s="25"/>
      <c r="H6" s="22"/>
    </row>
    <row r="7" spans="1:8" x14ac:dyDescent="0.2">
      <c r="B7" s="22" t="s">
        <v>10</v>
      </c>
      <c r="C7" s="22" t="s">
        <v>11</v>
      </c>
      <c r="D7" s="22" t="s">
        <v>12</v>
      </c>
      <c r="E7" s="26">
        <v>653700</v>
      </c>
      <c r="F7" s="24">
        <v>4867.1233499999998</v>
      </c>
      <c r="G7" s="25">
        <v>9.1913141300834091</v>
      </c>
      <c r="H7" s="27"/>
    </row>
    <row r="8" spans="1:8" x14ac:dyDescent="0.2">
      <c r="B8" s="22" t="s">
        <v>13</v>
      </c>
      <c r="C8" s="22" t="s">
        <v>14</v>
      </c>
      <c r="D8" s="22" t="s">
        <v>12</v>
      </c>
      <c r="E8" s="26">
        <v>382200</v>
      </c>
      <c r="F8" s="24">
        <v>4801.9607999999998</v>
      </c>
      <c r="G8" s="25">
        <v>9.0682579789449207</v>
      </c>
      <c r="H8" s="27"/>
    </row>
    <row r="9" spans="1:8" x14ac:dyDescent="0.2">
      <c r="B9" s="22" t="s">
        <v>18</v>
      </c>
      <c r="C9" s="22" t="s">
        <v>19</v>
      </c>
      <c r="D9" s="22" t="s">
        <v>20</v>
      </c>
      <c r="E9" s="26">
        <v>279000</v>
      </c>
      <c r="F9" s="24">
        <v>3686.1480000000001</v>
      </c>
      <c r="G9" s="25">
        <v>6.9611024339415399</v>
      </c>
      <c r="H9" s="27"/>
    </row>
    <row r="10" spans="1:8" x14ac:dyDescent="0.2">
      <c r="B10" s="22" t="s">
        <v>77</v>
      </c>
      <c r="C10" s="22" t="s">
        <v>78</v>
      </c>
      <c r="D10" s="22" t="s">
        <v>79</v>
      </c>
      <c r="E10" s="26">
        <v>123909</v>
      </c>
      <c r="F10" s="24">
        <v>3639.7029659999998</v>
      </c>
      <c r="G10" s="25">
        <v>6.8733933568176901</v>
      </c>
      <c r="H10" s="27"/>
    </row>
    <row r="11" spans="1:8" x14ac:dyDescent="0.2">
      <c r="B11" s="22" t="s">
        <v>15</v>
      </c>
      <c r="C11" s="22" t="s">
        <v>16</v>
      </c>
      <c r="D11" s="22" t="s">
        <v>17</v>
      </c>
      <c r="E11" s="26">
        <v>138700</v>
      </c>
      <c r="F11" s="24">
        <v>2536.8229999999999</v>
      </c>
      <c r="G11" s="25">
        <v>4.7906608090013902</v>
      </c>
      <c r="H11" s="27"/>
    </row>
    <row r="12" spans="1:8" x14ac:dyDescent="0.2">
      <c r="B12" s="22" t="s">
        <v>65</v>
      </c>
      <c r="C12" s="22" t="s">
        <v>66</v>
      </c>
      <c r="D12" s="22" t="s">
        <v>12</v>
      </c>
      <c r="E12" s="26">
        <v>6499900</v>
      </c>
      <c r="F12" s="24">
        <v>1504.72685</v>
      </c>
      <c r="G12" s="25">
        <v>2.8415998863724901</v>
      </c>
      <c r="H12" s="27"/>
    </row>
    <row r="13" spans="1:8" x14ac:dyDescent="0.2">
      <c r="B13" s="22" t="s">
        <v>198</v>
      </c>
      <c r="C13" s="22" t="s">
        <v>199</v>
      </c>
      <c r="D13" s="22" t="s">
        <v>165</v>
      </c>
      <c r="E13" s="26">
        <v>93600</v>
      </c>
      <c r="F13" s="24">
        <v>1281.5712000000001</v>
      </c>
      <c r="G13" s="25">
        <v>2.4201818265542698</v>
      </c>
      <c r="H13" s="27"/>
    </row>
    <row r="14" spans="1:8" x14ac:dyDescent="0.2">
      <c r="B14" s="22" t="s">
        <v>39</v>
      </c>
      <c r="C14" s="22" t="s">
        <v>40</v>
      </c>
      <c r="D14" s="22" t="s">
        <v>41</v>
      </c>
      <c r="E14" s="26">
        <v>381225</v>
      </c>
      <c r="F14" s="24">
        <v>1093.7345250000001</v>
      </c>
      <c r="G14" s="25">
        <v>2.0654618490802301</v>
      </c>
      <c r="H14" s="27"/>
    </row>
    <row r="15" spans="1:8" x14ac:dyDescent="0.2">
      <c r="B15" s="22" t="s">
        <v>51</v>
      </c>
      <c r="C15" s="22" t="s">
        <v>52</v>
      </c>
      <c r="D15" s="22" t="s">
        <v>12</v>
      </c>
      <c r="E15" s="26">
        <v>260000</v>
      </c>
      <c r="F15" s="24">
        <v>998.92</v>
      </c>
      <c r="G15" s="25">
        <v>1.88640945597216</v>
      </c>
      <c r="H15" s="27"/>
    </row>
    <row r="16" spans="1:8" x14ac:dyDescent="0.2">
      <c r="B16" s="22" t="s">
        <v>45</v>
      </c>
      <c r="C16" s="22" t="s">
        <v>46</v>
      </c>
      <c r="D16" s="22" t="s">
        <v>12</v>
      </c>
      <c r="E16" s="26">
        <v>70625</v>
      </c>
      <c r="F16" s="24">
        <v>908.66125</v>
      </c>
      <c r="G16" s="25">
        <v>1.7159604115199301</v>
      </c>
      <c r="H16" s="27"/>
    </row>
    <row r="17" spans="2:8" x14ac:dyDescent="0.2">
      <c r="B17" s="22" t="s">
        <v>158</v>
      </c>
      <c r="C17" s="22" t="s">
        <v>159</v>
      </c>
      <c r="D17" s="22" t="s">
        <v>12</v>
      </c>
      <c r="E17" s="26">
        <v>681750</v>
      </c>
      <c r="F17" s="24">
        <v>891.72900000000004</v>
      </c>
      <c r="G17" s="25">
        <v>1.6839847212635699</v>
      </c>
      <c r="H17" s="27"/>
    </row>
    <row r="18" spans="2:8" x14ac:dyDescent="0.2">
      <c r="B18" s="22" t="s">
        <v>137</v>
      </c>
      <c r="C18" s="22" t="s">
        <v>138</v>
      </c>
      <c r="D18" s="22" t="s">
        <v>62</v>
      </c>
      <c r="E18" s="26">
        <v>146300</v>
      </c>
      <c r="F18" s="24">
        <v>870.19240000000002</v>
      </c>
      <c r="G18" s="25">
        <v>1.64331395094213</v>
      </c>
      <c r="H18" s="27"/>
    </row>
    <row r="19" spans="2:8" x14ac:dyDescent="0.2">
      <c r="B19" s="22" t="s">
        <v>88</v>
      </c>
      <c r="C19" s="22" t="s">
        <v>89</v>
      </c>
      <c r="D19" s="22" t="s">
        <v>90</v>
      </c>
      <c r="E19" s="26">
        <v>196875</v>
      </c>
      <c r="F19" s="24">
        <v>820.4765625</v>
      </c>
      <c r="G19" s="25">
        <v>1.5494281282820801</v>
      </c>
      <c r="H19" s="27"/>
    </row>
    <row r="20" spans="2:8" x14ac:dyDescent="0.2">
      <c r="B20" s="22" t="s">
        <v>63</v>
      </c>
      <c r="C20" s="22" t="s">
        <v>64</v>
      </c>
      <c r="D20" s="22" t="s">
        <v>37</v>
      </c>
      <c r="E20" s="26">
        <v>380700</v>
      </c>
      <c r="F20" s="24">
        <v>778.03659000000005</v>
      </c>
      <c r="G20" s="25">
        <v>1.4692824054662399</v>
      </c>
      <c r="H20" s="27"/>
    </row>
    <row r="21" spans="2:8" x14ac:dyDescent="0.2">
      <c r="B21" s="22" t="s">
        <v>150</v>
      </c>
      <c r="C21" s="22" t="s">
        <v>151</v>
      </c>
      <c r="D21" s="22" t="s">
        <v>12</v>
      </c>
      <c r="E21" s="26">
        <v>280800</v>
      </c>
      <c r="F21" s="24">
        <v>753.94799999999998</v>
      </c>
      <c r="G21" s="25">
        <v>1.42379233223011</v>
      </c>
      <c r="H21" s="27"/>
    </row>
    <row r="22" spans="2:8" x14ac:dyDescent="0.2">
      <c r="B22" s="22" t="s">
        <v>24</v>
      </c>
      <c r="C22" s="22" t="s">
        <v>25</v>
      </c>
      <c r="D22" s="22" t="s">
        <v>12</v>
      </c>
      <c r="E22" s="26">
        <v>63000</v>
      </c>
      <c r="F22" s="24">
        <v>607.572</v>
      </c>
      <c r="G22" s="25">
        <v>1.14736872420606</v>
      </c>
      <c r="H22" s="27"/>
    </row>
    <row r="23" spans="2:8" x14ac:dyDescent="0.2">
      <c r="B23" s="22" t="s">
        <v>185</v>
      </c>
      <c r="C23" s="22" t="s">
        <v>186</v>
      </c>
      <c r="D23" s="22" t="s">
        <v>17</v>
      </c>
      <c r="E23" s="26">
        <v>3931125</v>
      </c>
      <c r="F23" s="24">
        <v>549.96438750000004</v>
      </c>
      <c r="G23" s="25">
        <v>1.0385796870899999</v>
      </c>
      <c r="H23" s="27"/>
    </row>
    <row r="24" spans="2:8" x14ac:dyDescent="0.2">
      <c r="B24" s="22" t="s">
        <v>116</v>
      </c>
      <c r="C24" s="22" t="s">
        <v>117</v>
      </c>
      <c r="D24" s="22" t="s">
        <v>118</v>
      </c>
      <c r="E24" s="26">
        <v>131100</v>
      </c>
      <c r="F24" s="24">
        <v>538.49324999999999</v>
      </c>
      <c r="G24" s="25">
        <v>1.01691702916868</v>
      </c>
      <c r="H24" s="27"/>
    </row>
    <row r="25" spans="2:8" x14ac:dyDescent="0.2">
      <c r="B25" s="22" t="s">
        <v>53</v>
      </c>
      <c r="C25" s="22" t="s">
        <v>54</v>
      </c>
      <c r="D25" s="22" t="s">
        <v>37</v>
      </c>
      <c r="E25" s="26">
        <v>40500</v>
      </c>
      <c r="F25" s="24">
        <v>517.59</v>
      </c>
      <c r="G25" s="25">
        <v>0.977442308009282</v>
      </c>
      <c r="H25" s="27"/>
    </row>
    <row r="26" spans="2:8" x14ac:dyDescent="0.2">
      <c r="B26" s="22" t="s">
        <v>129</v>
      </c>
      <c r="C26" s="22" t="s">
        <v>130</v>
      </c>
      <c r="D26" s="22" t="s">
        <v>23</v>
      </c>
      <c r="E26" s="26">
        <v>108000</v>
      </c>
      <c r="F26" s="24">
        <v>425.41199999999998</v>
      </c>
      <c r="G26" s="25">
        <v>0.80336885785050904</v>
      </c>
      <c r="H26" s="27"/>
    </row>
    <row r="27" spans="2:8" x14ac:dyDescent="0.2">
      <c r="B27" s="22" t="s">
        <v>179</v>
      </c>
      <c r="C27" s="22" t="s">
        <v>180</v>
      </c>
      <c r="D27" s="22" t="s">
        <v>12</v>
      </c>
      <c r="E27" s="26">
        <v>42000</v>
      </c>
      <c r="F27" s="24">
        <v>413.57400000000001</v>
      </c>
      <c r="G27" s="25">
        <v>0.78101339881495202</v>
      </c>
      <c r="H27" s="27"/>
    </row>
    <row r="28" spans="2:8" x14ac:dyDescent="0.2">
      <c r="B28" s="22" t="s">
        <v>67</v>
      </c>
      <c r="C28" s="22" t="s">
        <v>68</v>
      </c>
      <c r="D28" s="22" t="s">
        <v>62</v>
      </c>
      <c r="E28" s="26">
        <v>22400</v>
      </c>
      <c r="F28" s="24">
        <v>374.976</v>
      </c>
      <c r="G28" s="25">
        <v>0.70812304505127299</v>
      </c>
      <c r="H28" s="27"/>
    </row>
    <row r="29" spans="2:8" x14ac:dyDescent="0.2">
      <c r="B29" s="22" t="s">
        <v>177</v>
      </c>
      <c r="C29" s="22" t="s">
        <v>178</v>
      </c>
      <c r="D29" s="22" t="s">
        <v>17</v>
      </c>
      <c r="E29" s="26">
        <v>83300</v>
      </c>
      <c r="F29" s="24">
        <v>368.22764999999998</v>
      </c>
      <c r="G29" s="25">
        <v>0.69537913037120902</v>
      </c>
      <c r="H29" s="27"/>
    </row>
    <row r="30" spans="2:8" x14ac:dyDescent="0.2">
      <c r="B30" s="22" t="s">
        <v>119</v>
      </c>
      <c r="C30" s="22" t="s">
        <v>120</v>
      </c>
      <c r="D30" s="22" t="s">
        <v>121</v>
      </c>
      <c r="E30" s="26">
        <v>19950</v>
      </c>
      <c r="F30" s="24">
        <v>360.01769999999999</v>
      </c>
      <c r="G30" s="25">
        <v>0.67987505866070297</v>
      </c>
      <c r="H30" s="27"/>
    </row>
    <row r="31" spans="2:8" x14ac:dyDescent="0.2">
      <c r="B31" s="22" t="s">
        <v>84</v>
      </c>
      <c r="C31" s="22" t="s">
        <v>85</v>
      </c>
      <c r="D31" s="22" t="s">
        <v>50</v>
      </c>
      <c r="E31" s="26">
        <v>24650</v>
      </c>
      <c r="F31" s="24">
        <v>335.733</v>
      </c>
      <c r="G31" s="25">
        <v>0.63401464169493305</v>
      </c>
      <c r="H31" s="27"/>
    </row>
    <row r="32" spans="2:8" x14ac:dyDescent="0.2">
      <c r="B32" s="22" t="s">
        <v>69</v>
      </c>
      <c r="C32" s="22" t="s">
        <v>70</v>
      </c>
      <c r="D32" s="22" t="s">
        <v>71</v>
      </c>
      <c r="E32" s="26">
        <v>36000</v>
      </c>
      <c r="F32" s="24">
        <v>326.97000000000003</v>
      </c>
      <c r="G32" s="25">
        <v>0.61746616327555603</v>
      </c>
      <c r="H32" s="27"/>
    </row>
    <row r="33" spans="2:8" x14ac:dyDescent="0.2">
      <c r="B33" s="22" t="s">
        <v>131</v>
      </c>
      <c r="C33" s="22" t="s">
        <v>132</v>
      </c>
      <c r="D33" s="22" t="s">
        <v>50</v>
      </c>
      <c r="E33" s="26">
        <v>22125</v>
      </c>
      <c r="F33" s="24">
        <v>309.97125</v>
      </c>
      <c r="G33" s="25">
        <v>0.58536489116196699</v>
      </c>
      <c r="H33" s="27"/>
    </row>
    <row r="34" spans="2:8" x14ac:dyDescent="0.2">
      <c r="B34" s="22" t="s">
        <v>35</v>
      </c>
      <c r="C34" s="22" t="s">
        <v>36</v>
      </c>
      <c r="D34" s="22" t="s">
        <v>26</v>
      </c>
      <c r="E34" s="26">
        <v>12950</v>
      </c>
      <c r="F34" s="24">
        <v>292.52755000000002</v>
      </c>
      <c r="G34" s="25">
        <v>0.55242335367433804</v>
      </c>
      <c r="H34" s="27"/>
    </row>
    <row r="35" spans="2:8" x14ac:dyDescent="0.2">
      <c r="B35" s="22" t="s">
        <v>196</v>
      </c>
      <c r="C35" s="22" t="s">
        <v>197</v>
      </c>
      <c r="D35" s="22" t="s">
        <v>165</v>
      </c>
      <c r="E35" s="26">
        <v>15925</v>
      </c>
      <c r="F35" s="24">
        <v>280.70997499999999</v>
      </c>
      <c r="G35" s="25">
        <v>0.53010646620921598</v>
      </c>
      <c r="H35" s="27"/>
    </row>
    <row r="36" spans="2:8" x14ac:dyDescent="0.2">
      <c r="B36" s="22" t="s">
        <v>48</v>
      </c>
      <c r="C36" s="22" t="s">
        <v>49</v>
      </c>
      <c r="D36" s="22" t="s">
        <v>50</v>
      </c>
      <c r="E36" s="26">
        <v>15400</v>
      </c>
      <c r="F36" s="24">
        <v>277.07679999999999</v>
      </c>
      <c r="G36" s="25">
        <v>0.52324540058313795</v>
      </c>
      <c r="H36" s="27"/>
    </row>
    <row r="37" spans="2:8" x14ac:dyDescent="0.2">
      <c r="B37" s="22" t="s">
        <v>181</v>
      </c>
      <c r="C37" s="22" t="s">
        <v>182</v>
      </c>
      <c r="D37" s="22" t="s">
        <v>12</v>
      </c>
      <c r="E37" s="26">
        <v>371000</v>
      </c>
      <c r="F37" s="24">
        <v>264.59719999999999</v>
      </c>
      <c r="G37" s="25">
        <v>0.49967831268145402</v>
      </c>
      <c r="H37" s="27"/>
    </row>
    <row r="38" spans="2:8" x14ac:dyDescent="0.2">
      <c r="B38" s="22" t="s">
        <v>30</v>
      </c>
      <c r="C38" s="22" t="s">
        <v>31</v>
      </c>
      <c r="D38" s="22" t="s">
        <v>32</v>
      </c>
      <c r="E38" s="26">
        <v>64500</v>
      </c>
      <c r="F38" s="24">
        <v>249.5505</v>
      </c>
      <c r="G38" s="25">
        <v>0.47126338740097501</v>
      </c>
      <c r="H38" s="27"/>
    </row>
    <row r="39" spans="2:8" x14ac:dyDescent="0.2">
      <c r="B39" s="22" t="s">
        <v>208</v>
      </c>
      <c r="C39" s="22" t="s">
        <v>209</v>
      </c>
      <c r="D39" s="22" t="s">
        <v>29</v>
      </c>
      <c r="E39" s="26">
        <v>227500</v>
      </c>
      <c r="F39" s="24">
        <v>228.0915</v>
      </c>
      <c r="G39" s="25">
        <v>0.43073916072045298</v>
      </c>
      <c r="H39" s="27"/>
    </row>
    <row r="40" spans="2:8" x14ac:dyDescent="0.2">
      <c r="B40" s="22" t="s">
        <v>163</v>
      </c>
      <c r="C40" s="22" t="s">
        <v>164</v>
      </c>
      <c r="D40" s="22" t="s">
        <v>165</v>
      </c>
      <c r="E40" s="26">
        <v>35475</v>
      </c>
      <c r="F40" s="24">
        <v>209.51535000000001</v>
      </c>
      <c r="G40" s="25">
        <v>0.39565904918443701</v>
      </c>
      <c r="H40" s="27"/>
    </row>
    <row r="41" spans="2:8" x14ac:dyDescent="0.2">
      <c r="B41" s="22" t="s">
        <v>42</v>
      </c>
      <c r="C41" s="22" t="s">
        <v>43</v>
      </c>
      <c r="D41" s="22" t="s">
        <v>44</v>
      </c>
      <c r="E41" s="26">
        <v>1800</v>
      </c>
      <c r="F41" s="24">
        <v>206.67599999999999</v>
      </c>
      <c r="G41" s="25">
        <v>0.390297081570599</v>
      </c>
      <c r="H41" s="27"/>
    </row>
    <row r="42" spans="2:8" x14ac:dyDescent="0.2">
      <c r="B42" s="22" t="s">
        <v>166</v>
      </c>
      <c r="C42" s="22" t="s">
        <v>167</v>
      </c>
      <c r="D42" s="22" t="s">
        <v>12</v>
      </c>
      <c r="E42" s="26">
        <v>176000</v>
      </c>
      <c r="F42" s="24">
        <v>186.648</v>
      </c>
      <c r="G42" s="25">
        <v>0.352475225381705</v>
      </c>
      <c r="H42" s="27"/>
    </row>
    <row r="43" spans="2:8" x14ac:dyDescent="0.2">
      <c r="B43" s="22" t="s">
        <v>202</v>
      </c>
      <c r="C43" s="22" t="s">
        <v>203</v>
      </c>
      <c r="D43" s="22" t="s">
        <v>71</v>
      </c>
      <c r="E43" s="26">
        <v>34000</v>
      </c>
      <c r="F43" s="24">
        <v>181.27099999999999</v>
      </c>
      <c r="G43" s="25">
        <v>0.34232103521155899</v>
      </c>
      <c r="H43" s="27"/>
    </row>
    <row r="44" spans="2:8" x14ac:dyDescent="0.2">
      <c r="B44" s="22" t="s">
        <v>112</v>
      </c>
      <c r="C44" s="22" t="s">
        <v>113</v>
      </c>
      <c r="D44" s="22" t="s">
        <v>41</v>
      </c>
      <c r="E44" s="26">
        <v>8100</v>
      </c>
      <c r="F44" s="24">
        <v>174.43350000000001</v>
      </c>
      <c r="G44" s="25">
        <v>0.32940876530485003</v>
      </c>
      <c r="H44" s="27"/>
    </row>
    <row r="45" spans="2:8" x14ac:dyDescent="0.2">
      <c r="B45" s="22" t="s">
        <v>82</v>
      </c>
      <c r="C45" s="22" t="s">
        <v>83</v>
      </c>
      <c r="D45" s="22" t="s">
        <v>71</v>
      </c>
      <c r="E45" s="26">
        <v>18150</v>
      </c>
      <c r="F45" s="24">
        <v>171.907725</v>
      </c>
      <c r="G45" s="25">
        <v>0.32463896808018899</v>
      </c>
      <c r="H45" s="27"/>
    </row>
    <row r="46" spans="2:8" x14ac:dyDescent="0.2">
      <c r="B46" s="22" t="s">
        <v>133</v>
      </c>
      <c r="C46" s="22" t="s">
        <v>134</v>
      </c>
      <c r="D46" s="22" t="s">
        <v>71</v>
      </c>
      <c r="E46" s="26">
        <v>70500</v>
      </c>
      <c r="F46" s="24">
        <v>168.45975000000001</v>
      </c>
      <c r="G46" s="25">
        <v>0.31812764320536902</v>
      </c>
      <c r="H46" s="27"/>
    </row>
    <row r="47" spans="2:8" x14ac:dyDescent="0.2">
      <c r="B47" s="22" t="s">
        <v>33</v>
      </c>
      <c r="C47" s="22" t="s">
        <v>34</v>
      </c>
      <c r="D47" s="22" t="s">
        <v>20</v>
      </c>
      <c r="E47" s="26">
        <v>112125</v>
      </c>
      <c r="F47" s="24">
        <v>157.2441</v>
      </c>
      <c r="G47" s="25">
        <v>0.29694746039305697</v>
      </c>
      <c r="H47" s="27"/>
    </row>
    <row r="48" spans="2:8" x14ac:dyDescent="0.2">
      <c r="B48" s="22" t="s">
        <v>55</v>
      </c>
      <c r="C48" s="22" t="s">
        <v>56</v>
      </c>
      <c r="D48" s="22" t="s">
        <v>57</v>
      </c>
      <c r="E48" s="26">
        <v>53350</v>
      </c>
      <c r="F48" s="24">
        <v>133.68442999999999</v>
      </c>
      <c r="G48" s="25">
        <v>0.25245622559188802</v>
      </c>
      <c r="H48" s="27"/>
    </row>
    <row r="49" spans="2:8" x14ac:dyDescent="0.2">
      <c r="B49" s="22" t="s">
        <v>80</v>
      </c>
      <c r="C49" s="22" t="s">
        <v>81</v>
      </c>
      <c r="D49" s="22" t="s">
        <v>23</v>
      </c>
      <c r="E49" s="26">
        <v>1000</v>
      </c>
      <c r="F49" s="24">
        <v>131.27000000000001</v>
      </c>
      <c r="G49" s="25">
        <v>0.247896697719002</v>
      </c>
      <c r="H49" s="27"/>
    </row>
    <row r="50" spans="2:8" x14ac:dyDescent="0.2">
      <c r="B50" s="22" t="s">
        <v>114</v>
      </c>
      <c r="C50" s="22" t="s">
        <v>115</v>
      </c>
      <c r="D50" s="22" t="s">
        <v>74</v>
      </c>
      <c r="E50" s="26">
        <v>10500</v>
      </c>
      <c r="F50" s="24">
        <v>118.3035</v>
      </c>
      <c r="G50" s="25">
        <v>0.223410124008532</v>
      </c>
      <c r="H50" s="27"/>
    </row>
    <row r="51" spans="2:8" x14ac:dyDescent="0.2">
      <c r="B51" s="22" t="s">
        <v>148</v>
      </c>
      <c r="C51" s="22" t="s">
        <v>149</v>
      </c>
      <c r="D51" s="22" t="s">
        <v>47</v>
      </c>
      <c r="E51" s="26">
        <v>4200</v>
      </c>
      <c r="F51" s="24">
        <v>112.3206</v>
      </c>
      <c r="G51" s="25">
        <v>0.21211172260087599</v>
      </c>
      <c r="H51" s="27"/>
    </row>
    <row r="52" spans="2:8" x14ac:dyDescent="0.2">
      <c r="B52" s="22" t="s">
        <v>145</v>
      </c>
      <c r="C52" s="22" t="s">
        <v>146</v>
      </c>
      <c r="D52" s="22" t="s">
        <v>147</v>
      </c>
      <c r="E52" s="26">
        <v>16000</v>
      </c>
      <c r="F52" s="24">
        <v>104.68</v>
      </c>
      <c r="G52" s="25">
        <v>0.19768283931762901</v>
      </c>
      <c r="H52" s="27"/>
    </row>
    <row r="53" spans="2:8" x14ac:dyDescent="0.2">
      <c r="B53" s="22" t="s">
        <v>204</v>
      </c>
      <c r="C53" s="22" t="s">
        <v>205</v>
      </c>
      <c r="D53" s="22" t="s">
        <v>58</v>
      </c>
      <c r="E53" s="26">
        <v>34200</v>
      </c>
      <c r="F53" s="24">
        <v>96.153300000000002</v>
      </c>
      <c r="G53" s="25">
        <v>0.18158060139243201</v>
      </c>
      <c r="H53" s="27"/>
    </row>
    <row r="54" spans="2:8" x14ac:dyDescent="0.2">
      <c r="B54" s="22" t="s">
        <v>72</v>
      </c>
      <c r="C54" s="22" t="s">
        <v>73</v>
      </c>
      <c r="D54" s="22" t="s">
        <v>20</v>
      </c>
      <c r="E54" s="26">
        <v>31600</v>
      </c>
      <c r="F54" s="24">
        <v>94.199600000000004</v>
      </c>
      <c r="G54" s="25">
        <v>0.177891138618503</v>
      </c>
      <c r="H54" s="27"/>
    </row>
    <row r="55" spans="2:8" x14ac:dyDescent="0.2">
      <c r="B55" s="22" t="s">
        <v>59</v>
      </c>
      <c r="C55" s="22" t="s">
        <v>60</v>
      </c>
      <c r="D55" s="22" t="s">
        <v>61</v>
      </c>
      <c r="E55" s="26">
        <v>31500</v>
      </c>
      <c r="F55" s="24">
        <v>83.600999999999999</v>
      </c>
      <c r="G55" s="25">
        <v>0.15787622324983899</v>
      </c>
      <c r="H55" s="27"/>
    </row>
    <row r="56" spans="2:8" x14ac:dyDescent="0.2">
      <c r="B56" s="22" t="s">
        <v>124</v>
      </c>
      <c r="C56" s="22" t="s">
        <v>125</v>
      </c>
      <c r="D56" s="22" t="s">
        <v>71</v>
      </c>
      <c r="E56" s="26">
        <v>4500</v>
      </c>
      <c r="F56" s="24">
        <v>80.262</v>
      </c>
      <c r="G56" s="25">
        <v>0.15157069210270899</v>
      </c>
      <c r="H56" s="27"/>
    </row>
    <row r="57" spans="2:8" x14ac:dyDescent="0.2">
      <c r="B57" s="22" t="s">
        <v>21</v>
      </c>
      <c r="C57" s="22" t="s">
        <v>22</v>
      </c>
      <c r="D57" s="22" t="s">
        <v>23</v>
      </c>
      <c r="E57" s="26">
        <v>2600</v>
      </c>
      <c r="F57" s="24">
        <v>79.185599999999994</v>
      </c>
      <c r="G57" s="25">
        <v>0.14953796561969901</v>
      </c>
      <c r="H57" s="27"/>
    </row>
    <row r="58" spans="2:8" x14ac:dyDescent="0.2">
      <c r="B58" s="22" t="s">
        <v>143</v>
      </c>
      <c r="C58" s="22" t="s">
        <v>144</v>
      </c>
      <c r="D58" s="22" t="s">
        <v>32</v>
      </c>
      <c r="E58" s="26">
        <v>15950</v>
      </c>
      <c r="F58" s="24">
        <v>67.109624999999994</v>
      </c>
      <c r="G58" s="25">
        <v>0.12673310293791901</v>
      </c>
      <c r="H58" s="27"/>
    </row>
    <row r="59" spans="2:8" x14ac:dyDescent="0.2">
      <c r="B59" s="22" t="s">
        <v>172</v>
      </c>
      <c r="C59" s="22" t="s">
        <v>173</v>
      </c>
      <c r="D59" s="22" t="s">
        <v>165</v>
      </c>
      <c r="E59" s="26">
        <v>6300</v>
      </c>
      <c r="F59" s="24">
        <v>59.100299999999997</v>
      </c>
      <c r="G59" s="25">
        <v>0.11160790130419999</v>
      </c>
      <c r="H59" s="27"/>
    </row>
    <row r="60" spans="2:8" x14ac:dyDescent="0.2">
      <c r="B60" s="22" t="s">
        <v>189</v>
      </c>
      <c r="C60" s="22" t="s">
        <v>190</v>
      </c>
      <c r="D60" s="22" t="s">
        <v>191</v>
      </c>
      <c r="E60" s="26">
        <v>8130</v>
      </c>
      <c r="F60" s="24">
        <v>52.422240000000002</v>
      </c>
      <c r="G60" s="25">
        <v>9.8996725703001401E-2</v>
      </c>
      <c r="H60" s="27"/>
    </row>
    <row r="61" spans="2:8" x14ac:dyDescent="0.2">
      <c r="B61" s="22" t="s">
        <v>27</v>
      </c>
      <c r="C61" s="22" t="s">
        <v>28</v>
      </c>
      <c r="D61" s="22" t="s">
        <v>29</v>
      </c>
      <c r="E61" s="26">
        <v>1225</v>
      </c>
      <c r="F61" s="24">
        <v>49.937125000000002</v>
      </c>
      <c r="G61" s="25">
        <v>9.4303712813902998E-2</v>
      </c>
      <c r="H61" s="27"/>
    </row>
    <row r="62" spans="2:8" x14ac:dyDescent="0.2">
      <c r="B62" s="22" t="s">
        <v>194</v>
      </c>
      <c r="C62" s="22" t="s">
        <v>195</v>
      </c>
      <c r="D62" s="22" t="s">
        <v>58</v>
      </c>
      <c r="E62" s="26">
        <v>4000</v>
      </c>
      <c r="F62" s="24">
        <v>47.072000000000003</v>
      </c>
      <c r="G62" s="25">
        <v>8.8893070427583501E-2</v>
      </c>
      <c r="H62" s="27"/>
    </row>
    <row r="63" spans="2:8" x14ac:dyDescent="0.2">
      <c r="B63" s="22" t="s">
        <v>170</v>
      </c>
      <c r="C63" s="22" t="s">
        <v>171</v>
      </c>
      <c r="D63" s="22" t="s">
        <v>44</v>
      </c>
      <c r="E63" s="26">
        <v>9450</v>
      </c>
      <c r="F63" s="24">
        <v>42.321824999999997</v>
      </c>
      <c r="G63" s="25">
        <v>7.9922607289872202E-2</v>
      </c>
      <c r="H63" s="27"/>
    </row>
    <row r="64" spans="2:8" x14ac:dyDescent="0.2">
      <c r="B64" s="22" t="s">
        <v>122</v>
      </c>
      <c r="C64" s="22" t="s">
        <v>123</v>
      </c>
      <c r="D64" s="22" t="s">
        <v>44</v>
      </c>
      <c r="E64" s="26">
        <v>1250</v>
      </c>
      <c r="F64" s="24">
        <v>39.03</v>
      </c>
      <c r="G64" s="25">
        <v>7.3706163723414805E-2</v>
      </c>
      <c r="H64" s="27"/>
    </row>
    <row r="65" spans="2:8" x14ac:dyDescent="0.2">
      <c r="B65" s="22" t="s">
        <v>187</v>
      </c>
      <c r="C65" s="22" t="s">
        <v>188</v>
      </c>
      <c r="D65" s="22" t="s">
        <v>57</v>
      </c>
      <c r="E65" s="26">
        <v>3375</v>
      </c>
      <c r="F65" s="24">
        <v>33.581249999999997</v>
      </c>
      <c r="G65" s="25">
        <v>6.3416477338891206E-2</v>
      </c>
      <c r="H65" s="27"/>
    </row>
    <row r="66" spans="2:8" x14ac:dyDescent="0.2">
      <c r="B66" s="22" t="s">
        <v>152</v>
      </c>
      <c r="C66" s="22" t="s">
        <v>153</v>
      </c>
      <c r="D66" s="22" t="s">
        <v>154</v>
      </c>
      <c r="E66" s="26">
        <v>2000</v>
      </c>
      <c r="F66" s="24">
        <v>29.655999999999999</v>
      </c>
      <c r="G66" s="25">
        <v>5.60038429767254E-2</v>
      </c>
      <c r="H66" s="27"/>
    </row>
    <row r="67" spans="2:8" x14ac:dyDescent="0.2">
      <c r="B67" s="22" t="s">
        <v>183</v>
      </c>
      <c r="C67" s="22" t="s">
        <v>184</v>
      </c>
      <c r="D67" s="22" t="s">
        <v>176</v>
      </c>
      <c r="E67" s="26">
        <v>2175</v>
      </c>
      <c r="F67" s="24">
        <v>24.3339</v>
      </c>
      <c r="G67" s="25">
        <v>4.5953328655629101E-2</v>
      </c>
      <c r="H67" s="27"/>
    </row>
    <row r="68" spans="2:8" x14ac:dyDescent="0.2">
      <c r="B68" s="22" t="s">
        <v>141</v>
      </c>
      <c r="C68" s="22" t="s">
        <v>142</v>
      </c>
      <c r="D68" s="22" t="s">
        <v>23</v>
      </c>
      <c r="E68" s="26">
        <v>700</v>
      </c>
      <c r="F68" s="24">
        <v>23.489899999999999</v>
      </c>
      <c r="G68" s="25">
        <v>4.4359477715773601E-2</v>
      </c>
      <c r="H68" s="27"/>
    </row>
    <row r="69" spans="2:8" x14ac:dyDescent="0.2">
      <c r="B69" s="22" t="s">
        <v>200</v>
      </c>
      <c r="C69" s="22" t="s">
        <v>201</v>
      </c>
      <c r="D69" s="22" t="s">
        <v>12</v>
      </c>
      <c r="E69" s="26">
        <v>15600</v>
      </c>
      <c r="F69" s="24">
        <v>21.825959999999998</v>
      </c>
      <c r="G69" s="25">
        <v>4.1217211918542197E-2</v>
      </c>
      <c r="H69" s="27"/>
    </row>
    <row r="70" spans="2:8" x14ac:dyDescent="0.2">
      <c r="B70" s="22" t="s">
        <v>86</v>
      </c>
      <c r="C70" s="22" t="s">
        <v>87</v>
      </c>
      <c r="D70" s="22" t="s">
        <v>23</v>
      </c>
      <c r="E70" s="26">
        <v>300</v>
      </c>
      <c r="F70" s="24">
        <v>21.530999999999999</v>
      </c>
      <c r="G70" s="25">
        <v>4.0660195007144399E-2</v>
      </c>
      <c r="H70" s="27"/>
    </row>
    <row r="71" spans="2:8" x14ac:dyDescent="0.2">
      <c r="B71" s="22" t="s">
        <v>126</v>
      </c>
      <c r="C71" s="22" t="s">
        <v>127</v>
      </c>
      <c r="D71" s="22" t="s">
        <v>128</v>
      </c>
      <c r="E71" s="26">
        <v>250</v>
      </c>
      <c r="F71" s="24">
        <v>20.44125</v>
      </c>
      <c r="G71" s="25">
        <v>3.8602257730239703E-2</v>
      </c>
      <c r="H71" s="27"/>
    </row>
    <row r="72" spans="2:8" x14ac:dyDescent="0.2">
      <c r="B72" s="22" t="s">
        <v>174</v>
      </c>
      <c r="C72" s="22" t="s">
        <v>175</v>
      </c>
      <c r="D72" s="22" t="s">
        <v>12</v>
      </c>
      <c r="E72" s="26">
        <v>2100</v>
      </c>
      <c r="F72" s="24">
        <v>19.201350000000001</v>
      </c>
      <c r="G72" s="25">
        <v>3.62607698388571E-2</v>
      </c>
      <c r="H72" s="27"/>
    </row>
    <row r="73" spans="2:8" x14ac:dyDescent="0.2">
      <c r="B73" s="22" t="s">
        <v>155</v>
      </c>
      <c r="C73" s="22" t="s">
        <v>156</v>
      </c>
      <c r="D73" s="22" t="s">
        <v>157</v>
      </c>
      <c r="E73" s="26">
        <v>9450</v>
      </c>
      <c r="F73" s="24">
        <v>15.546195000000001</v>
      </c>
      <c r="G73" s="25">
        <v>2.9358196104179699E-2</v>
      </c>
      <c r="H73" s="27"/>
    </row>
    <row r="74" spans="2:8" x14ac:dyDescent="0.2">
      <c r="B74" s="22" t="s">
        <v>160</v>
      </c>
      <c r="C74" s="22" t="s">
        <v>161</v>
      </c>
      <c r="D74" s="22" t="s">
        <v>162</v>
      </c>
      <c r="E74" s="26">
        <v>1000</v>
      </c>
      <c r="F74" s="24">
        <v>10.292999999999999</v>
      </c>
      <c r="G74" s="25">
        <v>1.9437805360110399E-2</v>
      </c>
      <c r="H74" s="27"/>
    </row>
    <row r="75" spans="2:8" x14ac:dyDescent="0.2">
      <c r="B75" s="22" t="s">
        <v>206</v>
      </c>
      <c r="C75" s="22" t="s">
        <v>207</v>
      </c>
      <c r="D75" s="22" t="s">
        <v>71</v>
      </c>
      <c r="E75" s="26">
        <v>3000</v>
      </c>
      <c r="F75" s="24">
        <v>9.7620000000000005</v>
      </c>
      <c r="G75" s="25">
        <v>1.84350389512676E-2</v>
      </c>
      <c r="H75" s="27"/>
    </row>
    <row r="76" spans="2:8" x14ac:dyDescent="0.2">
      <c r="B76" s="22" t="s">
        <v>168</v>
      </c>
      <c r="C76" s="22" t="s">
        <v>169</v>
      </c>
      <c r="D76" s="22" t="s">
        <v>38</v>
      </c>
      <c r="E76" s="26">
        <v>25</v>
      </c>
      <c r="F76" s="24">
        <v>9.15625</v>
      </c>
      <c r="G76" s="25">
        <v>1.7291110981104699E-2</v>
      </c>
      <c r="H76" s="27"/>
    </row>
    <row r="77" spans="2:8" x14ac:dyDescent="0.2">
      <c r="B77" s="22" t="s">
        <v>192</v>
      </c>
      <c r="C77" s="22" t="s">
        <v>193</v>
      </c>
      <c r="D77" s="22" t="s">
        <v>50</v>
      </c>
      <c r="E77" s="26">
        <v>375</v>
      </c>
      <c r="F77" s="24">
        <v>8.530875</v>
      </c>
      <c r="G77" s="25">
        <v>1.6110122199692201E-2</v>
      </c>
      <c r="H77" s="27"/>
    </row>
    <row r="78" spans="2:8" x14ac:dyDescent="0.2">
      <c r="B78" s="22" t="s">
        <v>139</v>
      </c>
      <c r="C78" s="22" t="s">
        <v>140</v>
      </c>
      <c r="D78" s="22" t="s">
        <v>118</v>
      </c>
      <c r="E78" s="26">
        <v>150</v>
      </c>
      <c r="F78" s="24">
        <v>6.4557000000000002</v>
      </c>
      <c r="G78" s="25">
        <v>1.21912600858122E-2</v>
      </c>
      <c r="H78" s="27"/>
    </row>
    <row r="79" spans="2:8" x14ac:dyDescent="0.2">
      <c r="B79" s="22" t="s">
        <v>75</v>
      </c>
      <c r="C79" s="22" t="s">
        <v>76</v>
      </c>
      <c r="D79" s="22" t="s">
        <v>32</v>
      </c>
      <c r="E79" s="26">
        <v>1900</v>
      </c>
      <c r="F79" s="24">
        <v>5.5204500000000003</v>
      </c>
      <c r="G79" s="25">
        <v>1.04250881764521E-2</v>
      </c>
      <c r="H79" s="27"/>
    </row>
    <row r="80" spans="2:8" x14ac:dyDescent="0.2">
      <c r="B80" s="22" t="s">
        <v>135</v>
      </c>
      <c r="C80" s="22" t="s">
        <v>136</v>
      </c>
      <c r="D80" s="22" t="s">
        <v>128</v>
      </c>
      <c r="E80" s="26">
        <v>525</v>
      </c>
      <c r="F80" s="24">
        <v>5.0667749999999998</v>
      </c>
      <c r="G80" s="25">
        <v>9.56834608505522E-3</v>
      </c>
      <c r="H80" s="27"/>
    </row>
    <row r="81" spans="2:9" ht="10.5" x14ac:dyDescent="0.25">
      <c r="B81" s="21" t="s">
        <v>91</v>
      </c>
      <c r="C81" s="21"/>
      <c r="D81" s="21"/>
      <c r="E81" s="28"/>
      <c r="F81" s="29">
        <f>SUM(F7:F80)</f>
        <v>39266.009681000003</v>
      </c>
      <c r="G81" s="30">
        <f>SUM(G7:G80)</f>
        <v>74.151855964975098</v>
      </c>
      <c r="H81" s="21"/>
      <c r="I81" s="14"/>
    </row>
    <row r="82" spans="2:9" ht="10.5" x14ac:dyDescent="0.25">
      <c r="B82" s="21" t="s">
        <v>92</v>
      </c>
      <c r="C82" s="21"/>
      <c r="D82" s="21"/>
      <c r="E82" s="28"/>
      <c r="F82" s="31" t="s">
        <v>93</v>
      </c>
      <c r="G82" s="32" t="s">
        <v>93</v>
      </c>
      <c r="H82" s="21"/>
      <c r="I82" s="14"/>
    </row>
    <row r="83" spans="2:9" ht="10.5" x14ac:dyDescent="0.25">
      <c r="B83" s="21" t="s">
        <v>91</v>
      </c>
      <c r="C83" s="21"/>
      <c r="D83" s="21"/>
      <c r="E83" s="28"/>
      <c r="F83" s="33" t="s">
        <v>93</v>
      </c>
      <c r="G83" s="34" t="s">
        <v>93</v>
      </c>
      <c r="H83" s="21"/>
      <c r="I83" s="14"/>
    </row>
    <row r="84" spans="2:9" ht="10.5" x14ac:dyDescent="0.25">
      <c r="B84" s="35" t="s">
        <v>106</v>
      </c>
      <c r="C84" s="35"/>
      <c r="D84" s="35"/>
      <c r="E84" s="36"/>
      <c r="F84" s="37">
        <f>F81</f>
        <v>39266.009681000003</v>
      </c>
      <c r="G84" s="38">
        <f>G81</f>
        <v>74.151855964975098</v>
      </c>
      <c r="H84" s="21"/>
      <c r="I84" s="14"/>
    </row>
    <row r="85" spans="2:9" ht="10.5" x14ac:dyDescent="0.25">
      <c r="B85" s="21" t="s">
        <v>107</v>
      </c>
      <c r="C85" s="22"/>
      <c r="D85" s="22"/>
      <c r="E85" s="23"/>
      <c r="F85" s="24"/>
      <c r="G85" s="25"/>
      <c r="H85" s="22"/>
    </row>
    <row r="86" spans="2:9" x14ac:dyDescent="0.2">
      <c r="B86" s="22" t="s">
        <v>210</v>
      </c>
      <c r="C86" s="22" t="s">
        <v>211</v>
      </c>
      <c r="D86" s="22" t="s">
        <v>108</v>
      </c>
      <c r="E86" s="26">
        <v>500</v>
      </c>
      <c r="F86" s="24">
        <v>2446.8825000000002</v>
      </c>
      <c r="G86" s="25">
        <v>4.6208127634373204</v>
      </c>
      <c r="H86" s="27">
        <v>7.4749999999999997E-2</v>
      </c>
    </row>
    <row r="87" spans="2:9" x14ac:dyDescent="0.2">
      <c r="B87" s="22" t="s">
        <v>212</v>
      </c>
      <c r="C87" s="22" t="s">
        <v>213</v>
      </c>
      <c r="D87" s="22" t="s">
        <v>108</v>
      </c>
      <c r="E87" s="26">
        <v>500</v>
      </c>
      <c r="F87" s="24">
        <v>2378</v>
      </c>
      <c r="G87" s="25">
        <v>4.4907316765124401</v>
      </c>
      <c r="H87" s="27">
        <v>7.7700000000000005E-2</v>
      </c>
    </row>
    <row r="88" spans="2:9" x14ac:dyDescent="0.2">
      <c r="B88" s="22" t="s">
        <v>109</v>
      </c>
      <c r="C88" s="22" t="s">
        <v>110</v>
      </c>
      <c r="D88" s="22" t="s">
        <v>108</v>
      </c>
      <c r="E88" s="26">
        <v>400</v>
      </c>
      <c r="F88" s="24">
        <v>1968.7159999999999</v>
      </c>
      <c r="G88" s="25">
        <v>3.7178197238254298</v>
      </c>
      <c r="H88" s="27">
        <v>7.2500999999999996E-2</v>
      </c>
    </row>
    <row r="89" spans="2:9" ht="10.5" x14ac:dyDescent="0.25">
      <c r="B89" s="21" t="s">
        <v>91</v>
      </c>
      <c r="C89" s="21"/>
      <c r="D89" s="21"/>
      <c r="E89" s="28"/>
      <c r="F89" s="54">
        <f>SUM(F85:F88)</f>
        <v>6793.5985000000001</v>
      </c>
      <c r="G89" s="55">
        <f>SUM(G85:G88)</f>
        <v>12.829364163775191</v>
      </c>
      <c r="H89" s="21"/>
      <c r="I89" s="14"/>
    </row>
    <row r="90" spans="2:9" ht="10.5" x14ac:dyDescent="0.25">
      <c r="B90" s="35" t="s">
        <v>94</v>
      </c>
      <c r="C90" s="35"/>
      <c r="D90" s="35"/>
      <c r="E90" s="36"/>
      <c r="F90" s="37">
        <f>+F89</f>
        <v>6793.5985000000001</v>
      </c>
      <c r="G90" s="38">
        <f>+G89</f>
        <v>12.829364163775191</v>
      </c>
      <c r="H90" s="21"/>
      <c r="I90" s="14"/>
    </row>
    <row r="91" spans="2:9" ht="10.5" x14ac:dyDescent="0.25">
      <c r="B91" s="21" t="s">
        <v>214</v>
      </c>
      <c r="C91" s="22"/>
      <c r="D91" s="22"/>
      <c r="E91" s="23"/>
      <c r="F91" s="24"/>
      <c r="G91" s="25"/>
      <c r="H91" s="22"/>
    </row>
    <row r="92" spans="2:9" x14ac:dyDescent="0.2">
      <c r="B92" s="22" t="s">
        <v>215</v>
      </c>
      <c r="C92" s="22" t="s">
        <v>216</v>
      </c>
      <c r="D92" s="22"/>
      <c r="E92" s="26">
        <v>482233.40600000002</v>
      </c>
      <c r="F92" s="24">
        <v>5064.5353058999999</v>
      </c>
      <c r="G92" s="25">
        <v>9.5641165370146108</v>
      </c>
      <c r="H92" s="22"/>
    </row>
    <row r="93" spans="2:9" x14ac:dyDescent="0.2">
      <c r="B93" s="22" t="s">
        <v>217</v>
      </c>
      <c r="C93" s="22" t="s">
        <v>218</v>
      </c>
      <c r="D93" s="22"/>
      <c r="E93" s="26">
        <v>146361.65100000001</v>
      </c>
      <c r="F93" s="24">
        <v>1546.7208017999999</v>
      </c>
      <c r="G93" s="25">
        <v>2.92090332185197</v>
      </c>
      <c r="H93" s="22"/>
    </row>
    <row r="94" spans="2:9" ht="10.5" x14ac:dyDescent="0.25">
      <c r="B94" s="21" t="s">
        <v>91</v>
      </c>
      <c r="C94" s="21"/>
      <c r="D94" s="21"/>
      <c r="E94" s="28"/>
      <c r="F94" s="29">
        <f>SUM(F92:F93)</f>
        <v>6611.2561077</v>
      </c>
      <c r="G94" s="30">
        <f>SUM(G92:G93)</f>
        <v>12.485019858866581</v>
      </c>
      <c r="H94" s="21"/>
      <c r="I94" s="14"/>
    </row>
    <row r="95" spans="2:9" ht="10.5" x14ac:dyDescent="0.25">
      <c r="B95" s="21"/>
      <c r="C95" s="22"/>
      <c r="D95" s="22"/>
      <c r="E95" s="23"/>
      <c r="F95" s="24"/>
      <c r="G95" s="25"/>
      <c r="H95" s="22"/>
    </row>
    <row r="96" spans="2:9" ht="10.5" x14ac:dyDescent="0.25">
      <c r="B96" s="21" t="s">
        <v>95</v>
      </c>
      <c r="C96" s="21"/>
      <c r="D96" s="21"/>
      <c r="E96" s="28"/>
      <c r="F96" s="29">
        <v>1265.3773997999999</v>
      </c>
      <c r="G96" s="30">
        <v>2.3896006610701499</v>
      </c>
      <c r="H96" s="27">
        <v>5.3499999999999999E-2</v>
      </c>
      <c r="I96" s="15"/>
    </row>
    <row r="97" spans="2:9" x14ac:dyDescent="0.2">
      <c r="B97" s="22"/>
      <c r="C97" s="22"/>
      <c r="D97" s="22"/>
      <c r="E97" s="23"/>
      <c r="F97" s="24"/>
      <c r="G97" s="25"/>
      <c r="H97" s="22"/>
    </row>
    <row r="98" spans="2:9" ht="10.5" x14ac:dyDescent="0.25">
      <c r="B98" s="21" t="s">
        <v>97</v>
      </c>
      <c r="C98" s="22"/>
      <c r="D98" s="22"/>
      <c r="E98" s="23"/>
      <c r="F98" s="98">
        <v>0</v>
      </c>
      <c r="G98" s="98">
        <f>F98/F100*100</f>
        <v>0</v>
      </c>
      <c r="H98" s="22"/>
    </row>
    <row r="99" spans="2:9" ht="10.5" x14ac:dyDescent="0.25">
      <c r="B99" s="44" t="s">
        <v>98</v>
      </c>
      <c r="C99" s="44"/>
      <c r="D99" s="44"/>
      <c r="E99" s="45"/>
      <c r="F99" s="29">
        <f>F100-(F81+F89+F94+F96+F98)</f>
        <v>-982.73274390000734</v>
      </c>
      <c r="G99" s="30">
        <f>G100-(G81+G89+G94+G96+G98)</f>
        <v>-1.8558406486870211</v>
      </c>
      <c r="H99" s="21"/>
      <c r="I99" s="14"/>
    </row>
    <row r="100" spans="2:9" ht="10.5" x14ac:dyDescent="0.25">
      <c r="B100" s="39" t="s">
        <v>96</v>
      </c>
      <c r="C100" s="39"/>
      <c r="D100" s="39"/>
      <c r="E100" s="40"/>
      <c r="F100" s="41">
        <v>52953.508944599998</v>
      </c>
      <c r="G100" s="42">
        <v>100</v>
      </c>
      <c r="H100" s="43"/>
      <c r="I100" s="14"/>
    </row>
    <row r="102" spans="2:9" ht="10.5" x14ac:dyDescent="0.25">
      <c r="B102" s="14" t="s">
        <v>99</v>
      </c>
    </row>
    <row r="104" spans="2:9" ht="10.5" x14ac:dyDescent="0.25">
      <c r="B104" s="46" t="s">
        <v>4</v>
      </c>
      <c r="C104" s="46" t="s">
        <v>100</v>
      </c>
      <c r="D104" s="46" t="s">
        <v>101</v>
      </c>
      <c r="E104" s="47" t="s">
        <v>0</v>
      </c>
      <c r="F104" s="48" t="s">
        <v>102</v>
      </c>
      <c r="G104" s="49" t="s">
        <v>103</v>
      </c>
    </row>
    <row r="105" spans="2:9" x14ac:dyDescent="0.2">
      <c r="B105" s="50" t="s">
        <v>219</v>
      </c>
      <c r="C105" s="50" t="s">
        <v>220</v>
      </c>
      <c r="D105" s="50" t="s">
        <v>128</v>
      </c>
      <c r="E105" s="51">
        <v>-525</v>
      </c>
      <c r="F105" s="52">
        <v>-5.1258375000000003</v>
      </c>
      <c r="G105" s="53">
        <v>-9.6798826029879399E-3</v>
      </c>
    </row>
    <row r="106" spans="2:9" x14ac:dyDescent="0.2">
      <c r="B106" s="50" t="s">
        <v>221</v>
      </c>
      <c r="C106" s="50" t="s">
        <v>220</v>
      </c>
      <c r="D106" s="50" t="s">
        <v>32</v>
      </c>
      <c r="E106" s="51">
        <v>-1900</v>
      </c>
      <c r="F106" s="52">
        <v>-5.5841000000000003</v>
      </c>
      <c r="G106" s="53">
        <v>-1.05452879540846E-2</v>
      </c>
    </row>
    <row r="107" spans="2:9" x14ac:dyDescent="0.2">
      <c r="B107" s="50" t="s">
        <v>222</v>
      </c>
      <c r="C107" s="50" t="s">
        <v>220</v>
      </c>
      <c r="D107" s="50" t="s">
        <v>118</v>
      </c>
      <c r="E107" s="51">
        <v>-150</v>
      </c>
      <c r="F107" s="52">
        <v>-6.5583</v>
      </c>
      <c r="G107" s="53">
        <v>-1.23850149512496E-2</v>
      </c>
    </row>
    <row r="108" spans="2:9" x14ac:dyDescent="0.2">
      <c r="B108" s="50" t="s">
        <v>223</v>
      </c>
      <c r="C108" s="50" t="s">
        <v>220</v>
      </c>
      <c r="D108" s="50" t="s">
        <v>50</v>
      </c>
      <c r="E108" s="51">
        <v>-375</v>
      </c>
      <c r="F108" s="52">
        <v>-8.6445000000000007</v>
      </c>
      <c r="G108" s="53">
        <v>-1.6324697215143701E-2</v>
      </c>
    </row>
    <row r="109" spans="2:9" x14ac:dyDescent="0.2">
      <c r="B109" s="50" t="s">
        <v>224</v>
      </c>
      <c r="C109" s="50" t="s">
        <v>220</v>
      </c>
      <c r="D109" s="50" t="s">
        <v>38</v>
      </c>
      <c r="E109" s="51">
        <v>-25</v>
      </c>
      <c r="F109" s="52">
        <v>-9.2762499999999992</v>
      </c>
      <c r="G109" s="53">
        <v>-1.75177248588093E-2</v>
      </c>
    </row>
    <row r="110" spans="2:9" x14ac:dyDescent="0.2">
      <c r="B110" s="50" t="s">
        <v>225</v>
      </c>
      <c r="C110" s="50" t="s">
        <v>220</v>
      </c>
      <c r="D110" s="50" t="s">
        <v>71</v>
      </c>
      <c r="E110" s="51">
        <v>-3000</v>
      </c>
      <c r="F110" s="52">
        <v>-9.8445</v>
      </c>
      <c r="G110" s="53">
        <v>-1.8590835992189501E-2</v>
      </c>
    </row>
    <row r="111" spans="2:9" x14ac:dyDescent="0.2">
      <c r="B111" s="50" t="s">
        <v>226</v>
      </c>
      <c r="C111" s="50" t="s">
        <v>220</v>
      </c>
      <c r="D111" s="50" t="s">
        <v>162</v>
      </c>
      <c r="E111" s="51">
        <v>-1000</v>
      </c>
      <c r="F111" s="52">
        <v>-10.401</v>
      </c>
      <c r="G111" s="53">
        <v>-1.9641757850044499E-2</v>
      </c>
    </row>
    <row r="112" spans="2:9" x14ac:dyDescent="0.2">
      <c r="B112" s="50" t="s">
        <v>227</v>
      </c>
      <c r="C112" s="50" t="s">
        <v>220</v>
      </c>
      <c r="D112" s="50" t="s">
        <v>20</v>
      </c>
      <c r="E112" s="51">
        <v>-3950</v>
      </c>
      <c r="F112" s="52">
        <v>-11.986274999999999</v>
      </c>
      <c r="G112" s="53">
        <v>-2.26354688081956E-2</v>
      </c>
    </row>
    <row r="113" spans="2:7" x14ac:dyDescent="0.2">
      <c r="B113" s="50" t="s">
        <v>228</v>
      </c>
      <c r="C113" s="50" t="s">
        <v>220</v>
      </c>
      <c r="D113" s="50" t="s">
        <v>57</v>
      </c>
      <c r="E113" s="51">
        <v>-4850</v>
      </c>
      <c r="F113" s="52">
        <v>-12.359254999999999</v>
      </c>
      <c r="G113" s="53">
        <v>-2.33398225090811E-2</v>
      </c>
    </row>
    <row r="114" spans="2:7" x14ac:dyDescent="0.2">
      <c r="B114" s="50" t="s">
        <v>229</v>
      </c>
      <c r="C114" s="50" t="s">
        <v>220</v>
      </c>
      <c r="D114" s="50" t="s">
        <v>157</v>
      </c>
      <c r="E114" s="51">
        <v>-9450</v>
      </c>
      <c r="F114" s="52">
        <v>-15.720075</v>
      </c>
      <c r="G114" s="53">
        <v>-2.96865596129736E-2</v>
      </c>
    </row>
    <row r="115" spans="2:7" x14ac:dyDescent="0.2">
      <c r="B115" s="50" t="s">
        <v>230</v>
      </c>
      <c r="C115" s="50" t="s">
        <v>220</v>
      </c>
      <c r="D115" s="50" t="s">
        <v>12</v>
      </c>
      <c r="E115" s="51">
        <v>-2100</v>
      </c>
      <c r="F115" s="52">
        <v>-19.39875</v>
      </c>
      <c r="G115" s="53">
        <v>-3.6633549667681099E-2</v>
      </c>
    </row>
    <row r="116" spans="2:7" x14ac:dyDescent="0.2">
      <c r="B116" s="50" t="s">
        <v>231</v>
      </c>
      <c r="C116" s="50" t="s">
        <v>220</v>
      </c>
      <c r="D116" s="50" t="s">
        <v>128</v>
      </c>
      <c r="E116" s="51">
        <v>-250</v>
      </c>
      <c r="F116" s="52">
        <v>-20.681249999999999</v>
      </c>
      <c r="G116" s="53">
        <v>-3.90554854856488E-2</v>
      </c>
    </row>
    <row r="117" spans="2:7" x14ac:dyDescent="0.2">
      <c r="B117" s="50" t="s">
        <v>232</v>
      </c>
      <c r="C117" s="50" t="s">
        <v>220</v>
      </c>
      <c r="D117" s="50" t="s">
        <v>23</v>
      </c>
      <c r="E117" s="51">
        <v>-300</v>
      </c>
      <c r="F117" s="52">
        <v>-21.792000000000002</v>
      </c>
      <c r="G117" s="53">
        <v>-4.1153080191151797E-2</v>
      </c>
    </row>
    <row r="118" spans="2:7" x14ac:dyDescent="0.2">
      <c r="B118" s="50" t="s">
        <v>233</v>
      </c>
      <c r="C118" s="50" t="s">
        <v>220</v>
      </c>
      <c r="D118" s="50" t="s">
        <v>12</v>
      </c>
      <c r="E118" s="51">
        <v>-15600</v>
      </c>
      <c r="F118" s="52">
        <v>-22.053719999999998</v>
      </c>
      <c r="G118" s="53">
        <v>-4.1647325058425499E-2</v>
      </c>
    </row>
    <row r="119" spans="2:7" x14ac:dyDescent="0.2">
      <c r="B119" s="50" t="s">
        <v>234</v>
      </c>
      <c r="C119" s="50" t="s">
        <v>220</v>
      </c>
      <c r="D119" s="50" t="s">
        <v>23</v>
      </c>
      <c r="E119" s="51">
        <v>-700</v>
      </c>
      <c r="F119" s="52">
        <v>-23.774799999999999</v>
      </c>
      <c r="G119" s="53">
        <v>-4.4897496830423898E-2</v>
      </c>
    </row>
    <row r="120" spans="2:7" x14ac:dyDescent="0.2">
      <c r="B120" s="50" t="s">
        <v>235</v>
      </c>
      <c r="C120" s="50" t="s">
        <v>220</v>
      </c>
      <c r="D120" s="50" t="s">
        <v>176</v>
      </c>
      <c r="E120" s="51">
        <v>-2175</v>
      </c>
      <c r="F120" s="52">
        <v>-24.627524999999999</v>
      </c>
      <c r="G120" s="53">
        <v>-4.6507824487637503E-2</v>
      </c>
    </row>
    <row r="121" spans="2:7" x14ac:dyDescent="0.2">
      <c r="B121" s="50" t="s">
        <v>236</v>
      </c>
      <c r="C121" s="50" t="s">
        <v>220</v>
      </c>
      <c r="D121" s="50" t="s">
        <v>154</v>
      </c>
      <c r="E121" s="51">
        <v>-2000</v>
      </c>
      <c r="F121" s="52">
        <v>-29.873999999999999</v>
      </c>
      <c r="G121" s="53">
        <v>-5.6415524854555303E-2</v>
      </c>
    </row>
    <row r="122" spans="2:7" x14ac:dyDescent="0.2">
      <c r="B122" s="50" t="s">
        <v>237</v>
      </c>
      <c r="C122" s="50" t="s">
        <v>220</v>
      </c>
      <c r="D122" s="50" t="s">
        <v>57</v>
      </c>
      <c r="E122" s="51">
        <v>-3375</v>
      </c>
      <c r="F122" s="52">
        <v>-33.949125000000002</v>
      </c>
      <c r="G122" s="53">
        <v>-6.4111190507729302E-2</v>
      </c>
    </row>
    <row r="123" spans="2:7" x14ac:dyDescent="0.2">
      <c r="B123" s="50" t="s">
        <v>238</v>
      </c>
      <c r="C123" s="50" t="s">
        <v>220</v>
      </c>
      <c r="D123" s="50" t="s">
        <v>44</v>
      </c>
      <c r="E123" s="51">
        <v>-1250</v>
      </c>
      <c r="F123" s="52">
        <v>-39.467500000000001</v>
      </c>
      <c r="G123" s="53">
        <v>-7.4532360152546107E-2</v>
      </c>
    </row>
    <row r="124" spans="2:7" x14ac:dyDescent="0.2">
      <c r="B124" s="50" t="s">
        <v>239</v>
      </c>
      <c r="C124" s="50" t="s">
        <v>220</v>
      </c>
      <c r="D124" s="50" t="s">
        <v>118</v>
      </c>
      <c r="E124" s="51">
        <v>-9975</v>
      </c>
      <c r="F124" s="52">
        <v>-41.441137500000004</v>
      </c>
      <c r="G124" s="53">
        <v>-7.8259473878030894E-2</v>
      </c>
    </row>
    <row r="125" spans="2:7" x14ac:dyDescent="0.2">
      <c r="B125" s="50" t="s">
        <v>240</v>
      </c>
      <c r="C125" s="50" t="s">
        <v>220</v>
      </c>
      <c r="D125" s="50" t="s">
        <v>44</v>
      </c>
      <c r="E125" s="51">
        <v>-9450</v>
      </c>
      <c r="F125" s="52">
        <v>-42.53445</v>
      </c>
      <c r="G125" s="53">
        <v>-8.0324138754429994E-2</v>
      </c>
    </row>
    <row r="126" spans="2:7" x14ac:dyDescent="0.2">
      <c r="B126" s="50" t="s">
        <v>241</v>
      </c>
      <c r="C126" s="50" t="s">
        <v>220</v>
      </c>
      <c r="D126" s="50" t="s">
        <v>12</v>
      </c>
      <c r="E126" s="51">
        <v>-4500</v>
      </c>
      <c r="F126" s="52">
        <v>-43.798499999999997</v>
      </c>
      <c r="G126" s="53">
        <v>-8.2711232688700606E-2</v>
      </c>
    </row>
    <row r="127" spans="2:7" x14ac:dyDescent="0.2">
      <c r="B127" s="50" t="s">
        <v>242</v>
      </c>
      <c r="C127" s="50" t="s">
        <v>220</v>
      </c>
      <c r="D127" s="50" t="s">
        <v>58</v>
      </c>
      <c r="E127" s="51">
        <v>-4000</v>
      </c>
      <c r="F127" s="52">
        <v>-47.62</v>
      </c>
      <c r="G127" s="53">
        <v>-8.9927940469101103E-2</v>
      </c>
    </row>
    <row r="128" spans="2:7" x14ac:dyDescent="0.2">
      <c r="B128" s="50" t="s">
        <v>243</v>
      </c>
      <c r="C128" s="50" t="s">
        <v>220</v>
      </c>
      <c r="D128" s="50" t="s">
        <v>29</v>
      </c>
      <c r="E128" s="51">
        <v>-1225</v>
      </c>
      <c r="F128" s="52">
        <v>-50.369549999999997</v>
      </c>
      <c r="G128" s="53">
        <v>-9.5120325364456304E-2</v>
      </c>
    </row>
    <row r="129" spans="2:7" x14ac:dyDescent="0.2">
      <c r="B129" s="50" t="s">
        <v>244</v>
      </c>
      <c r="C129" s="50" t="s">
        <v>220</v>
      </c>
      <c r="D129" s="50" t="s">
        <v>191</v>
      </c>
      <c r="E129" s="51">
        <v>-8130</v>
      </c>
      <c r="F129" s="52">
        <v>-52.89378</v>
      </c>
      <c r="G129" s="53">
        <v>-9.9887204935441606E-2</v>
      </c>
    </row>
    <row r="130" spans="2:7" x14ac:dyDescent="0.2">
      <c r="B130" s="50" t="s">
        <v>245</v>
      </c>
      <c r="C130" s="50" t="s">
        <v>220</v>
      </c>
      <c r="D130" s="50" t="s">
        <v>165</v>
      </c>
      <c r="E130" s="51">
        <v>-6300</v>
      </c>
      <c r="F130" s="52">
        <v>-59.786999999999999</v>
      </c>
      <c r="G130" s="53">
        <v>-0.112904699219365</v>
      </c>
    </row>
    <row r="131" spans="2:7" x14ac:dyDescent="0.2">
      <c r="B131" s="50" t="s">
        <v>246</v>
      </c>
      <c r="C131" s="50" t="s">
        <v>220</v>
      </c>
      <c r="D131" s="50" t="s">
        <v>12</v>
      </c>
      <c r="E131" s="51">
        <v>-4900</v>
      </c>
      <c r="F131" s="52">
        <v>-62.626899999999999</v>
      </c>
      <c r="G131" s="53">
        <v>-0.118267705480142</v>
      </c>
    </row>
    <row r="132" spans="2:7" x14ac:dyDescent="0.2">
      <c r="B132" s="50" t="s">
        <v>247</v>
      </c>
      <c r="C132" s="50" t="s">
        <v>220</v>
      </c>
      <c r="D132" s="50" t="s">
        <v>32</v>
      </c>
      <c r="E132" s="51">
        <v>-15950</v>
      </c>
      <c r="F132" s="52">
        <v>-67.348875000000007</v>
      </c>
      <c r="G132" s="53">
        <v>-0.12718491435659199</v>
      </c>
    </row>
    <row r="133" spans="2:7" x14ac:dyDescent="0.2">
      <c r="B133" s="50" t="s">
        <v>248</v>
      </c>
      <c r="C133" s="50" t="s">
        <v>220</v>
      </c>
      <c r="D133" s="50" t="s">
        <v>121</v>
      </c>
      <c r="E133" s="51">
        <v>-4275</v>
      </c>
      <c r="F133" s="52">
        <v>-77.967449999999999</v>
      </c>
      <c r="G133" s="53">
        <v>-0.14723755149365</v>
      </c>
    </row>
    <row r="134" spans="2:7" x14ac:dyDescent="0.2">
      <c r="B134" s="50" t="s">
        <v>249</v>
      </c>
      <c r="C134" s="50" t="s">
        <v>220</v>
      </c>
      <c r="D134" s="50" t="s">
        <v>23</v>
      </c>
      <c r="E134" s="51">
        <v>-2600</v>
      </c>
      <c r="F134" s="52">
        <v>-80.061800000000005</v>
      </c>
      <c r="G134" s="53">
        <v>-0.15119262461673799</v>
      </c>
    </row>
    <row r="135" spans="2:7" x14ac:dyDescent="0.2">
      <c r="B135" s="50" t="s">
        <v>250</v>
      </c>
      <c r="C135" s="50" t="s">
        <v>220</v>
      </c>
      <c r="D135" s="50" t="s">
        <v>71</v>
      </c>
      <c r="E135" s="51">
        <v>-4500</v>
      </c>
      <c r="F135" s="52">
        <v>-81.584999999999994</v>
      </c>
      <c r="G135" s="53">
        <v>-0.154069110104402</v>
      </c>
    </row>
    <row r="136" spans="2:7" x14ac:dyDescent="0.2">
      <c r="B136" s="50" t="s">
        <v>251</v>
      </c>
      <c r="C136" s="50" t="s">
        <v>220</v>
      </c>
      <c r="D136" s="50" t="s">
        <v>20</v>
      </c>
      <c r="E136" s="51">
        <v>-27650</v>
      </c>
      <c r="F136" s="52">
        <v>-83.295625000000001</v>
      </c>
      <c r="G136" s="53">
        <v>-0.15729953814230499</v>
      </c>
    </row>
    <row r="137" spans="2:7" x14ac:dyDescent="0.2">
      <c r="B137" s="50" t="s">
        <v>252</v>
      </c>
      <c r="C137" s="50" t="s">
        <v>220</v>
      </c>
      <c r="D137" s="50" t="s">
        <v>61</v>
      </c>
      <c r="E137" s="51">
        <v>-31500</v>
      </c>
      <c r="F137" s="52">
        <v>-84.546000000000006</v>
      </c>
      <c r="G137" s="53">
        <v>-0.15966080753676201</v>
      </c>
    </row>
    <row r="138" spans="2:7" x14ac:dyDescent="0.2">
      <c r="B138" s="50" t="s">
        <v>253</v>
      </c>
      <c r="C138" s="50" t="s">
        <v>220</v>
      </c>
      <c r="D138" s="50" t="s">
        <v>58</v>
      </c>
      <c r="E138" s="51">
        <v>-34200</v>
      </c>
      <c r="F138" s="52">
        <v>-97.589699999999993</v>
      </c>
      <c r="G138" s="53">
        <v>-0.18429316950855601</v>
      </c>
    </row>
    <row r="139" spans="2:7" x14ac:dyDescent="0.2">
      <c r="B139" s="50" t="s">
        <v>254</v>
      </c>
      <c r="C139" s="50" t="s">
        <v>220</v>
      </c>
      <c r="D139" s="50" t="s">
        <v>12</v>
      </c>
      <c r="E139" s="51">
        <v>-10000</v>
      </c>
      <c r="F139" s="52">
        <v>-99.91</v>
      </c>
      <c r="G139" s="53">
        <v>-0.188674937678872</v>
      </c>
    </row>
    <row r="140" spans="2:7" x14ac:dyDescent="0.2">
      <c r="B140" s="50" t="s">
        <v>255</v>
      </c>
      <c r="C140" s="50" t="s">
        <v>220</v>
      </c>
      <c r="D140" s="50" t="s">
        <v>147</v>
      </c>
      <c r="E140" s="51">
        <v>-16000</v>
      </c>
      <c r="F140" s="52">
        <v>-105.464</v>
      </c>
      <c r="G140" s="53">
        <v>-0.19916338331863201</v>
      </c>
    </row>
    <row r="141" spans="2:7" x14ac:dyDescent="0.2">
      <c r="B141" s="50" t="s">
        <v>256</v>
      </c>
      <c r="C141" s="50" t="s">
        <v>220</v>
      </c>
      <c r="D141" s="50" t="s">
        <v>47</v>
      </c>
      <c r="E141" s="51">
        <v>-4200</v>
      </c>
      <c r="F141" s="52">
        <v>-113.6352</v>
      </c>
      <c r="G141" s="53">
        <v>-0.21459427763113001</v>
      </c>
    </row>
    <row r="142" spans="2:7" x14ac:dyDescent="0.2">
      <c r="B142" s="50" t="s">
        <v>257</v>
      </c>
      <c r="C142" s="50" t="s">
        <v>220</v>
      </c>
      <c r="D142" s="50" t="s">
        <v>12</v>
      </c>
      <c r="E142" s="51">
        <v>-43875</v>
      </c>
      <c r="F142" s="52">
        <v>-119.6251875</v>
      </c>
      <c r="G142" s="53">
        <v>-0.225906063420938</v>
      </c>
    </row>
    <row r="143" spans="2:7" x14ac:dyDescent="0.2">
      <c r="B143" s="50" t="s">
        <v>258</v>
      </c>
      <c r="C143" s="50" t="s">
        <v>220</v>
      </c>
      <c r="D143" s="50" t="s">
        <v>74</v>
      </c>
      <c r="E143" s="51">
        <v>-10500</v>
      </c>
      <c r="F143" s="52">
        <v>-119.7105</v>
      </c>
      <c r="G143" s="53">
        <v>-0.22606717172461799</v>
      </c>
    </row>
    <row r="144" spans="2:7" x14ac:dyDescent="0.2">
      <c r="B144" s="50" t="s">
        <v>259</v>
      </c>
      <c r="C144" s="50" t="s">
        <v>220</v>
      </c>
      <c r="D144" s="50" t="s">
        <v>57</v>
      </c>
      <c r="E144" s="51">
        <v>-48500</v>
      </c>
      <c r="F144" s="52">
        <v>-122.899</v>
      </c>
      <c r="G144" s="53">
        <v>-0.23208849130012699</v>
      </c>
    </row>
    <row r="145" spans="2:7" x14ac:dyDescent="0.2">
      <c r="B145" s="50" t="s">
        <v>260</v>
      </c>
      <c r="C145" s="50" t="s">
        <v>220</v>
      </c>
      <c r="D145" s="50" t="s">
        <v>23</v>
      </c>
      <c r="E145" s="51">
        <v>-1000</v>
      </c>
      <c r="F145" s="52">
        <v>-132.72999999999999</v>
      </c>
      <c r="G145" s="53">
        <v>-0.25065383323107499</v>
      </c>
    </row>
    <row r="146" spans="2:7" x14ac:dyDescent="0.2">
      <c r="B146" s="50" t="s">
        <v>261</v>
      </c>
      <c r="C146" s="50" t="s">
        <v>220</v>
      </c>
      <c r="D146" s="50" t="s">
        <v>17</v>
      </c>
      <c r="E146" s="51">
        <v>-1000650</v>
      </c>
      <c r="F146" s="52">
        <v>-141.49190999999999</v>
      </c>
      <c r="G146" s="53">
        <v>-0.267200253241063</v>
      </c>
    </row>
    <row r="147" spans="2:7" x14ac:dyDescent="0.2">
      <c r="B147" s="50" t="s">
        <v>262</v>
      </c>
      <c r="C147" s="50" t="s">
        <v>220</v>
      </c>
      <c r="D147" s="50" t="s">
        <v>20</v>
      </c>
      <c r="E147" s="51">
        <v>-112125</v>
      </c>
      <c r="F147" s="52">
        <v>-159.15022500000001</v>
      </c>
      <c r="G147" s="53">
        <v>-0.300547080206721</v>
      </c>
    </row>
    <row r="148" spans="2:7" x14ac:dyDescent="0.2">
      <c r="B148" s="50" t="s">
        <v>263</v>
      </c>
      <c r="C148" s="50" t="s">
        <v>220</v>
      </c>
      <c r="D148" s="50" t="s">
        <v>71</v>
      </c>
      <c r="E148" s="51">
        <v>-70500</v>
      </c>
      <c r="F148" s="52">
        <v>-170.79329999999999</v>
      </c>
      <c r="G148" s="53">
        <v>-0.32253443332468101</v>
      </c>
    </row>
    <row r="149" spans="2:7" x14ac:dyDescent="0.2">
      <c r="B149" s="50" t="s">
        <v>264</v>
      </c>
      <c r="C149" s="50" t="s">
        <v>220</v>
      </c>
      <c r="D149" s="50" t="s">
        <v>71</v>
      </c>
      <c r="E149" s="51">
        <v>-18150</v>
      </c>
      <c r="F149" s="52">
        <v>-173.56845000000001</v>
      </c>
      <c r="G149" s="53">
        <v>-0.327775162513947</v>
      </c>
    </row>
    <row r="150" spans="2:7" x14ac:dyDescent="0.2">
      <c r="B150" s="50" t="s">
        <v>265</v>
      </c>
      <c r="C150" s="50" t="s">
        <v>220</v>
      </c>
      <c r="D150" s="50" t="s">
        <v>41</v>
      </c>
      <c r="E150" s="51">
        <v>-8100</v>
      </c>
      <c r="F150" s="52">
        <v>-174.6765</v>
      </c>
      <c r="G150" s="53">
        <v>-0.329867658407201</v>
      </c>
    </row>
    <row r="151" spans="2:7" x14ac:dyDescent="0.2">
      <c r="B151" s="50" t="s">
        <v>266</v>
      </c>
      <c r="C151" s="50" t="s">
        <v>220</v>
      </c>
      <c r="D151" s="50" t="s">
        <v>71</v>
      </c>
      <c r="E151" s="51">
        <v>-34000</v>
      </c>
      <c r="F151" s="52">
        <v>-183.37899999999999</v>
      </c>
      <c r="G151" s="53">
        <v>-0.346301885663236</v>
      </c>
    </row>
    <row r="152" spans="2:7" x14ac:dyDescent="0.2">
      <c r="B152" s="50" t="s">
        <v>267</v>
      </c>
      <c r="C152" s="50" t="s">
        <v>220</v>
      </c>
      <c r="D152" s="50" t="s">
        <v>12</v>
      </c>
      <c r="E152" s="51">
        <v>-176000</v>
      </c>
      <c r="F152" s="52">
        <v>-189.376</v>
      </c>
      <c r="G152" s="53">
        <v>-0.35762691420152198</v>
      </c>
    </row>
    <row r="153" spans="2:7" x14ac:dyDescent="0.2">
      <c r="B153" s="50" t="s">
        <v>268</v>
      </c>
      <c r="C153" s="50" t="s">
        <v>220</v>
      </c>
      <c r="D153" s="50" t="s">
        <v>44</v>
      </c>
      <c r="E153" s="51">
        <v>-1800</v>
      </c>
      <c r="F153" s="52">
        <v>-209.07</v>
      </c>
      <c r="G153" s="53">
        <v>-0.39481802843080599</v>
      </c>
    </row>
    <row r="154" spans="2:7" x14ac:dyDescent="0.2">
      <c r="B154" s="50" t="s">
        <v>269</v>
      </c>
      <c r="C154" s="50" t="s">
        <v>220</v>
      </c>
      <c r="D154" s="50" t="s">
        <v>165</v>
      </c>
      <c r="E154" s="51">
        <v>-35475</v>
      </c>
      <c r="F154" s="52">
        <v>-211.6615875</v>
      </c>
      <c r="G154" s="53">
        <v>-0.39971210920402001</v>
      </c>
    </row>
    <row r="155" spans="2:7" x14ac:dyDescent="0.2">
      <c r="B155" s="50" t="s">
        <v>270</v>
      </c>
      <c r="C155" s="50" t="s">
        <v>220</v>
      </c>
      <c r="D155" s="50" t="s">
        <v>29</v>
      </c>
      <c r="E155" s="51">
        <v>-227500</v>
      </c>
      <c r="F155" s="52">
        <v>-231.41300000000001</v>
      </c>
      <c r="G155" s="53">
        <v>-0.43701164401041798</v>
      </c>
    </row>
    <row r="156" spans="2:7" x14ac:dyDescent="0.2">
      <c r="B156" s="50" t="s">
        <v>271</v>
      </c>
      <c r="C156" s="50" t="s">
        <v>220</v>
      </c>
      <c r="D156" s="50" t="s">
        <v>32</v>
      </c>
      <c r="E156" s="51">
        <v>-64500</v>
      </c>
      <c r="F156" s="52">
        <v>-252.38849999999999</v>
      </c>
      <c r="G156" s="53">
        <v>-0.47662280560868803</v>
      </c>
    </row>
    <row r="157" spans="2:7" x14ac:dyDescent="0.2">
      <c r="B157" s="50" t="s">
        <v>272</v>
      </c>
      <c r="C157" s="50" t="s">
        <v>220</v>
      </c>
      <c r="D157" s="50" t="s">
        <v>12</v>
      </c>
      <c r="E157" s="51">
        <v>-371000</v>
      </c>
      <c r="F157" s="52">
        <v>-266.78609999999998</v>
      </c>
      <c r="G157" s="53">
        <v>-0.50381193865568297</v>
      </c>
    </row>
    <row r="158" spans="2:7" x14ac:dyDescent="0.2">
      <c r="B158" s="50" t="s">
        <v>273</v>
      </c>
      <c r="C158" s="50" t="s">
        <v>220</v>
      </c>
      <c r="D158" s="50" t="s">
        <v>50</v>
      </c>
      <c r="E158" s="51">
        <v>-15400</v>
      </c>
      <c r="F158" s="52">
        <v>-280.17219999999998</v>
      </c>
      <c r="G158" s="53">
        <v>-0.529090905558527</v>
      </c>
    </row>
    <row r="159" spans="2:7" x14ac:dyDescent="0.2">
      <c r="B159" s="50" t="s">
        <v>274</v>
      </c>
      <c r="C159" s="50" t="s">
        <v>220</v>
      </c>
      <c r="D159" s="50" t="s">
        <v>165</v>
      </c>
      <c r="E159" s="51">
        <v>-15925</v>
      </c>
      <c r="F159" s="52">
        <v>-283.92682500000001</v>
      </c>
      <c r="G159" s="53">
        <v>-0.53618132331333201</v>
      </c>
    </row>
    <row r="160" spans="2:7" x14ac:dyDescent="0.2">
      <c r="B160" s="50" t="s">
        <v>275</v>
      </c>
      <c r="C160" s="50" t="s">
        <v>220</v>
      </c>
      <c r="D160" s="50" t="s">
        <v>121</v>
      </c>
      <c r="E160" s="51">
        <v>-15675</v>
      </c>
      <c r="F160" s="52">
        <v>-284.36017500000003</v>
      </c>
      <c r="G160" s="53">
        <v>-0.53699968267919296</v>
      </c>
    </row>
    <row r="161" spans="2:7" x14ac:dyDescent="0.2">
      <c r="B161" s="50" t="s">
        <v>276</v>
      </c>
      <c r="C161" s="50" t="s">
        <v>220</v>
      </c>
      <c r="D161" s="50" t="s">
        <v>26</v>
      </c>
      <c r="E161" s="51">
        <v>-12950</v>
      </c>
      <c r="F161" s="52">
        <v>-295.40244999999999</v>
      </c>
      <c r="G161" s="53">
        <v>-0.55785245564944597</v>
      </c>
    </row>
    <row r="162" spans="2:7" x14ac:dyDescent="0.2">
      <c r="B162" s="50" t="s">
        <v>277</v>
      </c>
      <c r="C162" s="50" t="s">
        <v>220</v>
      </c>
      <c r="D162" s="50" t="s">
        <v>50</v>
      </c>
      <c r="E162" s="51">
        <v>-22125</v>
      </c>
      <c r="F162" s="52">
        <v>-310.63499999999999</v>
      </c>
      <c r="G162" s="53">
        <v>-0.58661834917302003</v>
      </c>
    </row>
    <row r="163" spans="2:7" x14ac:dyDescent="0.2">
      <c r="B163" s="50" t="s">
        <v>278</v>
      </c>
      <c r="C163" s="50" t="s">
        <v>220</v>
      </c>
      <c r="D163" s="50" t="s">
        <v>12</v>
      </c>
      <c r="E163" s="51">
        <v>-32000</v>
      </c>
      <c r="F163" s="52">
        <v>-318.43200000000002</v>
      </c>
      <c r="G163" s="53">
        <v>-0.60134258587687495</v>
      </c>
    </row>
    <row r="164" spans="2:7" x14ac:dyDescent="0.2">
      <c r="B164" s="50" t="s">
        <v>279</v>
      </c>
      <c r="C164" s="50" t="s">
        <v>220</v>
      </c>
      <c r="D164" s="50" t="s">
        <v>71</v>
      </c>
      <c r="E164" s="51">
        <v>-36000</v>
      </c>
      <c r="F164" s="52">
        <v>-328.75200000000001</v>
      </c>
      <c r="G164" s="53">
        <v>-0.62083137935946897</v>
      </c>
    </row>
    <row r="165" spans="2:7" x14ac:dyDescent="0.2">
      <c r="B165" s="50" t="s">
        <v>280</v>
      </c>
      <c r="C165" s="50" t="s">
        <v>220</v>
      </c>
      <c r="D165" s="50" t="s">
        <v>50</v>
      </c>
      <c r="E165" s="51">
        <v>-24650</v>
      </c>
      <c r="F165" s="52">
        <v>-338.9375</v>
      </c>
      <c r="G165" s="53">
        <v>-0.64006617645413599</v>
      </c>
    </row>
    <row r="166" spans="2:7" x14ac:dyDescent="0.2">
      <c r="B166" s="50" t="s">
        <v>281</v>
      </c>
      <c r="C166" s="50" t="s">
        <v>220</v>
      </c>
      <c r="D166" s="50" t="s">
        <v>12</v>
      </c>
      <c r="E166" s="51">
        <v>-263250</v>
      </c>
      <c r="F166" s="52">
        <v>-350.88592499999999</v>
      </c>
      <c r="G166" s="53">
        <v>-0.66263016746840497</v>
      </c>
    </row>
    <row r="167" spans="2:7" x14ac:dyDescent="0.2">
      <c r="B167" s="50" t="s">
        <v>282</v>
      </c>
      <c r="C167" s="50" t="s">
        <v>220</v>
      </c>
      <c r="D167" s="50" t="s">
        <v>17</v>
      </c>
      <c r="E167" s="51">
        <v>-83300</v>
      </c>
      <c r="F167" s="52">
        <v>-371.7679</v>
      </c>
      <c r="G167" s="53">
        <v>-0.70206471187574004</v>
      </c>
    </row>
    <row r="168" spans="2:7" x14ac:dyDescent="0.2">
      <c r="B168" s="50" t="s">
        <v>283</v>
      </c>
      <c r="C168" s="50" t="s">
        <v>220</v>
      </c>
      <c r="D168" s="50" t="s">
        <v>62</v>
      </c>
      <c r="E168" s="51">
        <v>-22400</v>
      </c>
      <c r="F168" s="52">
        <v>-378.42559999999997</v>
      </c>
      <c r="G168" s="53">
        <v>-0.71463743865568796</v>
      </c>
    </row>
    <row r="169" spans="2:7" x14ac:dyDescent="0.2">
      <c r="B169" s="50" t="s">
        <v>284</v>
      </c>
      <c r="C169" s="50" t="s">
        <v>220</v>
      </c>
      <c r="D169" s="50" t="s">
        <v>17</v>
      </c>
      <c r="E169" s="51">
        <v>-2930475</v>
      </c>
      <c r="F169" s="52">
        <v>-416.42049750000001</v>
      </c>
      <c r="G169" s="53">
        <v>-0.78638886411788</v>
      </c>
    </row>
    <row r="170" spans="2:7" x14ac:dyDescent="0.2">
      <c r="B170" s="50" t="s">
        <v>285</v>
      </c>
      <c r="C170" s="50" t="s">
        <v>220</v>
      </c>
      <c r="D170" s="50" t="s">
        <v>23</v>
      </c>
      <c r="E170" s="51">
        <v>-108000</v>
      </c>
      <c r="F170" s="52">
        <v>-427.14</v>
      </c>
      <c r="G170" s="53">
        <v>-0.80663209768945499</v>
      </c>
    </row>
    <row r="171" spans="2:7" x14ac:dyDescent="0.2">
      <c r="B171" s="50" t="s">
        <v>286</v>
      </c>
      <c r="C171" s="50" t="s">
        <v>220</v>
      </c>
      <c r="D171" s="50" t="s">
        <v>118</v>
      </c>
      <c r="E171" s="51">
        <v>-121125</v>
      </c>
      <c r="F171" s="52">
        <v>-506.36306250000001</v>
      </c>
      <c r="G171" s="53">
        <v>-0.95624080932909905</v>
      </c>
    </row>
    <row r="172" spans="2:7" x14ac:dyDescent="0.2">
      <c r="B172" s="50" t="s">
        <v>287</v>
      </c>
      <c r="C172" s="50" t="s">
        <v>220</v>
      </c>
      <c r="D172" s="50" t="s">
        <v>12</v>
      </c>
      <c r="E172" s="51">
        <v>-2208100</v>
      </c>
      <c r="F172" s="52">
        <v>-518.02026000000001</v>
      </c>
      <c r="G172" s="53">
        <v>-0.97825483206779196</v>
      </c>
    </row>
    <row r="173" spans="2:7" x14ac:dyDescent="0.2">
      <c r="B173" s="50" t="s">
        <v>288</v>
      </c>
      <c r="C173" s="50" t="s">
        <v>220</v>
      </c>
      <c r="D173" s="50" t="s">
        <v>37</v>
      </c>
      <c r="E173" s="51">
        <v>-40500</v>
      </c>
      <c r="F173" s="52">
        <v>-523.62450000000001</v>
      </c>
      <c r="G173" s="53">
        <v>-0.98883815338435099</v>
      </c>
    </row>
    <row r="174" spans="2:7" x14ac:dyDescent="0.2">
      <c r="B174" s="50" t="s">
        <v>289</v>
      </c>
      <c r="C174" s="50" t="s">
        <v>220</v>
      </c>
      <c r="D174" s="50" t="s">
        <v>12</v>
      </c>
      <c r="E174" s="51">
        <v>-418500</v>
      </c>
      <c r="F174" s="52">
        <v>-554.26139999999998</v>
      </c>
      <c r="G174" s="53">
        <v>-1.04669437596641</v>
      </c>
    </row>
    <row r="175" spans="2:7" x14ac:dyDescent="0.2">
      <c r="B175" s="50" t="s">
        <v>290</v>
      </c>
      <c r="C175" s="50" t="s">
        <v>220</v>
      </c>
      <c r="D175" s="50" t="s">
        <v>12</v>
      </c>
      <c r="E175" s="51">
        <v>-58500</v>
      </c>
      <c r="F175" s="52">
        <v>-572.42250000000001</v>
      </c>
      <c r="G175" s="53">
        <v>-1.08099068675292</v>
      </c>
    </row>
    <row r="176" spans="2:7" x14ac:dyDescent="0.2">
      <c r="B176" s="50" t="s">
        <v>291</v>
      </c>
      <c r="C176" s="50" t="s">
        <v>220</v>
      </c>
      <c r="D176" s="50" t="s">
        <v>12</v>
      </c>
      <c r="E176" s="51">
        <v>-236925</v>
      </c>
      <c r="F176" s="52">
        <v>-642.06674999999996</v>
      </c>
      <c r="G176" s="53">
        <v>-1.2125102996889801</v>
      </c>
    </row>
    <row r="177" spans="2:7" x14ac:dyDescent="0.2">
      <c r="B177" s="50" t="s">
        <v>292</v>
      </c>
      <c r="C177" s="50" t="s">
        <v>220</v>
      </c>
      <c r="D177" s="50" t="s">
        <v>20</v>
      </c>
      <c r="E177" s="51">
        <v>-54000</v>
      </c>
      <c r="F177" s="52">
        <v>-722.52</v>
      </c>
      <c r="G177" s="53">
        <v>-1.36444215765928</v>
      </c>
    </row>
    <row r="178" spans="2:7" x14ac:dyDescent="0.2">
      <c r="B178" s="50" t="s">
        <v>293</v>
      </c>
      <c r="C178" s="50" t="s">
        <v>220</v>
      </c>
      <c r="D178" s="50" t="s">
        <v>37</v>
      </c>
      <c r="E178" s="51">
        <v>-380700</v>
      </c>
      <c r="F178" s="52">
        <v>-786.45006000000001</v>
      </c>
      <c r="G178" s="53">
        <v>-1.48517081431333</v>
      </c>
    </row>
    <row r="179" spans="2:7" x14ac:dyDescent="0.2">
      <c r="B179" s="50" t="s">
        <v>294</v>
      </c>
      <c r="C179" s="50" t="s">
        <v>220</v>
      </c>
      <c r="D179" s="50" t="s">
        <v>90</v>
      </c>
      <c r="E179" s="51">
        <v>-196875</v>
      </c>
      <c r="F179" s="52">
        <v>-827.56406249999998</v>
      </c>
      <c r="G179" s="53">
        <v>-1.56281251043401</v>
      </c>
    </row>
    <row r="180" spans="2:7" x14ac:dyDescent="0.2">
      <c r="B180" s="50" t="s">
        <v>295</v>
      </c>
      <c r="C180" s="50" t="s">
        <v>220</v>
      </c>
      <c r="D180" s="50" t="s">
        <v>62</v>
      </c>
      <c r="E180" s="51">
        <v>-146300</v>
      </c>
      <c r="F180" s="52">
        <v>-876.0444</v>
      </c>
      <c r="G180" s="53">
        <v>-1.6543651543781901</v>
      </c>
    </row>
    <row r="181" spans="2:7" x14ac:dyDescent="0.2">
      <c r="B181" s="50" t="s">
        <v>296</v>
      </c>
      <c r="C181" s="50" t="s">
        <v>220</v>
      </c>
      <c r="D181" s="50" t="s">
        <v>12</v>
      </c>
      <c r="E181" s="51">
        <v>-70625</v>
      </c>
      <c r="F181" s="52">
        <v>-918.26625000000001</v>
      </c>
      <c r="G181" s="53">
        <v>-1.7340989639811999</v>
      </c>
    </row>
    <row r="182" spans="2:7" x14ac:dyDescent="0.2">
      <c r="B182" s="50" t="s">
        <v>297</v>
      </c>
      <c r="C182" s="50" t="s">
        <v>220</v>
      </c>
      <c r="D182" s="50" t="s">
        <v>12</v>
      </c>
      <c r="E182" s="51">
        <v>-260000</v>
      </c>
      <c r="F182" s="52">
        <v>-1009.45</v>
      </c>
      <c r="G182" s="53">
        <v>-1.90629482374074</v>
      </c>
    </row>
    <row r="183" spans="2:7" x14ac:dyDescent="0.2">
      <c r="B183" s="50" t="s">
        <v>298</v>
      </c>
      <c r="C183" s="50" t="s">
        <v>220</v>
      </c>
      <c r="D183" s="50" t="s">
        <v>12</v>
      </c>
      <c r="E183" s="51">
        <v>-4291800</v>
      </c>
      <c r="F183" s="52">
        <v>-1011.14808</v>
      </c>
      <c r="G183" s="53">
        <v>-1.9095015611861801</v>
      </c>
    </row>
    <row r="184" spans="2:7" x14ac:dyDescent="0.2">
      <c r="B184" s="50" t="s">
        <v>299</v>
      </c>
      <c r="C184" s="50" t="s">
        <v>220</v>
      </c>
      <c r="D184" s="50" t="s">
        <v>41</v>
      </c>
      <c r="E184" s="51">
        <v>-381225</v>
      </c>
      <c r="F184" s="52">
        <v>-1111.8427125000001</v>
      </c>
      <c r="G184" s="53">
        <v>-2.0996582373100301</v>
      </c>
    </row>
    <row r="185" spans="2:7" x14ac:dyDescent="0.2">
      <c r="B185" s="50" t="s">
        <v>300</v>
      </c>
      <c r="C185" s="50" t="s">
        <v>220</v>
      </c>
      <c r="D185" s="50" t="s">
        <v>165</v>
      </c>
      <c r="E185" s="51">
        <v>-93600</v>
      </c>
      <c r="F185" s="52">
        <v>-1296.4536000000001</v>
      </c>
      <c r="G185" s="53">
        <v>-2.4482864796671899</v>
      </c>
    </row>
    <row r="186" spans="2:7" x14ac:dyDescent="0.2">
      <c r="B186" s="50" t="s">
        <v>301</v>
      </c>
      <c r="C186" s="50" t="s">
        <v>220</v>
      </c>
      <c r="D186" s="50" t="s">
        <v>12</v>
      </c>
      <c r="E186" s="51">
        <v>-322850</v>
      </c>
      <c r="F186" s="52">
        <v>-2392.3184999999999</v>
      </c>
      <c r="G186" s="53">
        <v>-4.5177714332450503</v>
      </c>
    </row>
    <row r="187" spans="2:7" x14ac:dyDescent="0.2">
      <c r="B187" s="50" t="s">
        <v>302</v>
      </c>
      <c r="C187" s="50" t="s">
        <v>220</v>
      </c>
      <c r="D187" s="50" t="s">
        <v>12</v>
      </c>
      <c r="E187" s="51">
        <v>-330850</v>
      </c>
      <c r="F187" s="52">
        <v>-2467.9755749999999</v>
      </c>
      <c r="G187" s="53">
        <v>-4.66064595942452</v>
      </c>
    </row>
    <row r="188" spans="2:7" x14ac:dyDescent="0.2">
      <c r="B188" s="50" t="s">
        <v>303</v>
      </c>
      <c r="C188" s="50" t="s">
        <v>220</v>
      </c>
      <c r="D188" s="50" t="s">
        <v>17</v>
      </c>
      <c r="E188" s="51">
        <v>-138700</v>
      </c>
      <c r="F188" s="52">
        <v>-2559.0149999999999</v>
      </c>
      <c r="G188" s="53">
        <v>-4.8325692687848996</v>
      </c>
    </row>
    <row r="189" spans="2:7" x14ac:dyDescent="0.2">
      <c r="B189" s="50" t="s">
        <v>304</v>
      </c>
      <c r="C189" s="50" t="s">
        <v>220</v>
      </c>
      <c r="D189" s="50" t="s">
        <v>20</v>
      </c>
      <c r="E189" s="51">
        <v>-225000</v>
      </c>
      <c r="F189" s="52">
        <v>-2992.2750000000001</v>
      </c>
      <c r="G189" s="53">
        <v>-5.65075867423728</v>
      </c>
    </row>
    <row r="190" spans="2:7" x14ac:dyDescent="0.2">
      <c r="B190" s="50" t="s">
        <v>305</v>
      </c>
      <c r="C190" s="50" t="s">
        <v>220</v>
      </c>
      <c r="D190" s="50" t="s">
        <v>79</v>
      </c>
      <c r="E190" s="51">
        <v>-123909</v>
      </c>
      <c r="F190" s="52">
        <v>-3674.5213950000002</v>
      </c>
      <c r="G190" s="53">
        <v>-6.9391461835782904</v>
      </c>
    </row>
    <row r="191" spans="2:7" x14ac:dyDescent="0.2">
      <c r="B191" s="50" t="s">
        <v>306</v>
      </c>
      <c r="C191" s="50" t="s">
        <v>220</v>
      </c>
      <c r="D191" s="50" t="s">
        <v>12</v>
      </c>
      <c r="E191" s="51">
        <v>-377300</v>
      </c>
      <c r="F191" s="52">
        <v>-4791.71</v>
      </c>
      <c r="G191" s="53">
        <v>-9.0488998661317996</v>
      </c>
    </row>
    <row r="192" spans="2:7" ht="10.5" x14ac:dyDescent="0.25">
      <c r="B192" s="46"/>
      <c r="C192" s="46"/>
      <c r="D192" s="46"/>
      <c r="E192" s="47"/>
      <c r="F192" s="48">
        <f>SUM(F105:F191)</f>
        <v>-39621.884170000005</v>
      </c>
      <c r="G192" s="49">
        <f>SUM(G105:G191)</f>
        <v>-74.823906781045324</v>
      </c>
    </row>
    <row r="194" spans="2:5" ht="10.5" x14ac:dyDescent="0.25">
      <c r="B194" s="14" t="s">
        <v>308</v>
      </c>
    </row>
    <row r="196" spans="2:5" ht="10.5" x14ac:dyDescent="0.2">
      <c r="B196" s="61" t="s">
        <v>104</v>
      </c>
      <c r="E196" s="8"/>
    </row>
    <row r="197" spans="2:5" ht="10.5" x14ac:dyDescent="0.2">
      <c r="B197" s="61"/>
      <c r="E197" s="8"/>
    </row>
    <row r="198" spans="2:5" x14ac:dyDescent="0.2">
      <c r="B198" s="62" t="s">
        <v>312</v>
      </c>
      <c r="E198" s="8"/>
    </row>
    <row r="199" spans="2:5" x14ac:dyDescent="0.2">
      <c r="B199" s="62" t="s">
        <v>316</v>
      </c>
      <c r="E199" s="8"/>
    </row>
    <row r="200" spans="2:5" x14ac:dyDescent="0.2">
      <c r="B200" s="62" t="s">
        <v>317</v>
      </c>
      <c r="E200" s="8"/>
    </row>
    <row r="201" spans="2:5" ht="10.5" x14ac:dyDescent="0.2">
      <c r="B201" s="61"/>
      <c r="E201" s="8"/>
    </row>
    <row r="202" spans="2:5" ht="10.5" x14ac:dyDescent="0.2">
      <c r="B202" s="66" t="s">
        <v>313</v>
      </c>
      <c r="C202" s="63" t="s">
        <v>314</v>
      </c>
      <c r="D202" s="96" t="s">
        <v>353</v>
      </c>
      <c r="E202" s="8"/>
    </row>
    <row r="203" spans="2:5" x14ac:dyDescent="0.2">
      <c r="B203" s="64" t="s">
        <v>315</v>
      </c>
      <c r="C203" s="67">
        <v>10.2623</v>
      </c>
      <c r="D203" s="97">
        <v>10.272600000000001</v>
      </c>
      <c r="E203" s="8"/>
    </row>
    <row r="204" spans="2:5" ht="10.5" x14ac:dyDescent="0.2">
      <c r="B204" s="61"/>
      <c r="E204" s="8"/>
    </row>
    <row r="205" spans="2:5" ht="10.5" x14ac:dyDescent="0.2">
      <c r="B205" s="61"/>
      <c r="E205" s="8"/>
    </row>
    <row r="206" spans="2:5" ht="10.5" x14ac:dyDescent="0.2">
      <c r="B206" s="61"/>
      <c r="E206" s="8"/>
    </row>
    <row r="207" spans="2:5" x14ac:dyDescent="0.2">
      <c r="B207" s="62" t="s">
        <v>354</v>
      </c>
      <c r="E207" s="8"/>
    </row>
    <row r="208" spans="2:5" x14ac:dyDescent="0.2">
      <c r="B208" s="62"/>
      <c r="E208" s="8"/>
    </row>
    <row r="209" spans="2:6" ht="10.5" x14ac:dyDescent="0.2">
      <c r="B209" s="69" t="s">
        <v>342</v>
      </c>
      <c r="E209" s="8"/>
    </row>
    <row r="210" spans="2:6" x14ac:dyDescent="0.2">
      <c r="B210" s="65"/>
      <c r="E210" s="8"/>
    </row>
    <row r="211" spans="2:6" x14ac:dyDescent="0.2">
      <c r="B211" s="74" t="s">
        <v>355</v>
      </c>
      <c r="C211" s="73"/>
      <c r="D211" s="73"/>
      <c r="E211" s="73"/>
      <c r="F211" s="73"/>
    </row>
    <row r="212" spans="2:6" x14ac:dyDescent="0.2">
      <c r="B212" s="74"/>
      <c r="C212" s="73"/>
      <c r="D212" s="73"/>
      <c r="E212" s="73"/>
      <c r="F212" s="73"/>
    </row>
    <row r="213" spans="2:6" ht="21" x14ac:dyDescent="0.2">
      <c r="B213" s="89" t="s">
        <v>318</v>
      </c>
      <c r="C213" s="90" t="s">
        <v>319</v>
      </c>
      <c r="D213" s="90" t="s">
        <v>320</v>
      </c>
      <c r="E213" s="90" t="s">
        <v>321</v>
      </c>
      <c r="F213" s="90" t="s">
        <v>322</v>
      </c>
    </row>
    <row r="214" spans="2:6" x14ac:dyDescent="0.2">
      <c r="B214" s="91" t="s">
        <v>287</v>
      </c>
      <c r="C214" s="92" t="s">
        <v>220</v>
      </c>
      <c r="D214" s="93">
        <v>21.842400000000001</v>
      </c>
      <c r="E214" s="94">
        <v>23.46</v>
      </c>
      <c r="F214" s="120">
        <v>315.02524190000003</v>
      </c>
    </row>
    <row r="215" spans="2:6" x14ac:dyDescent="0.2">
      <c r="B215" s="91" t="s">
        <v>298</v>
      </c>
      <c r="C215" s="92" t="s">
        <v>220</v>
      </c>
      <c r="D215" s="93">
        <v>22.042999999999999</v>
      </c>
      <c r="E215" s="108">
        <v>23.56</v>
      </c>
      <c r="F215" s="121"/>
    </row>
    <row r="216" spans="2:6" x14ac:dyDescent="0.2">
      <c r="B216" s="91" t="s">
        <v>244</v>
      </c>
      <c r="C216" s="92" t="s">
        <v>220</v>
      </c>
      <c r="D216" s="93">
        <v>632.48329999999999</v>
      </c>
      <c r="E216" s="108">
        <v>650.6</v>
      </c>
      <c r="F216" s="102">
        <v>11.478832300000001</v>
      </c>
    </row>
    <row r="217" spans="2:6" x14ac:dyDescent="0.2">
      <c r="B217" s="91" t="s">
        <v>268</v>
      </c>
      <c r="C217" s="92" t="s">
        <v>220</v>
      </c>
      <c r="D217" s="93">
        <v>11696.5</v>
      </c>
      <c r="E217" s="108">
        <v>11615</v>
      </c>
      <c r="F217" s="102">
        <v>36.752670000000002</v>
      </c>
    </row>
    <row r="218" spans="2:6" x14ac:dyDescent="0.2">
      <c r="B218" s="91" t="s">
        <v>234</v>
      </c>
      <c r="C218" s="92" t="s">
        <v>220</v>
      </c>
      <c r="D218" s="93">
        <v>3329.65</v>
      </c>
      <c r="E218" s="108">
        <v>3396.4</v>
      </c>
      <c r="F218" s="102">
        <v>4.3908480000000001</v>
      </c>
    </row>
    <row r="219" spans="2:6" x14ac:dyDescent="0.2">
      <c r="B219" s="91" t="s">
        <v>285</v>
      </c>
      <c r="C219" s="92" t="s">
        <v>220</v>
      </c>
      <c r="D219" s="93">
        <v>362.16809999999998</v>
      </c>
      <c r="E219" s="108">
        <v>395.5</v>
      </c>
      <c r="F219" s="102">
        <v>89.081100000000006</v>
      </c>
    </row>
    <row r="220" spans="2:6" x14ac:dyDescent="0.2">
      <c r="B220" s="91" t="s">
        <v>276</v>
      </c>
      <c r="C220" s="92" t="s">
        <v>220</v>
      </c>
      <c r="D220" s="93">
        <v>2302.4811</v>
      </c>
      <c r="E220" s="108">
        <v>2281.1</v>
      </c>
      <c r="F220" s="102">
        <v>52.001825750000002</v>
      </c>
    </row>
    <row r="221" spans="2:6" x14ac:dyDescent="0.2">
      <c r="B221" s="91" t="s">
        <v>247</v>
      </c>
      <c r="C221" s="92" t="s">
        <v>220</v>
      </c>
      <c r="D221" s="93">
        <v>417.24090000000001</v>
      </c>
      <c r="E221" s="108">
        <v>422.25</v>
      </c>
      <c r="F221" s="102">
        <v>11.914450625000001</v>
      </c>
    </row>
    <row r="222" spans="2:6" x14ac:dyDescent="0.2">
      <c r="B222" s="91" t="s">
        <v>273</v>
      </c>
      <c r="C222" s="92" t="s">
        <v>220</v>
      </c>
      <c r="D222" s="93">
        <v>1859.5908999999999</v>
      </c>
      <c r="E222" s="108">
        <v>1819.3</v>
      </c>
      <c r="F222" s="102">
        <v>49.268526999999999</v>
      </c>
    </row>
    <row r="223" spans="2:6" x14ac:dyDescent="0.2">
      <c r="B223" s="91" t="s">
        <v>264</v>
      </c>
      <c r="C223" s="92" t="s">
        <v>220</v>
      </c>
      <c r="D223" s="93">
        <v>963.45680000000004</v>
      </c>
      <c r="E223" s="108">
        <v>956.3</v>
      </c>
      <c r="F223" s="102">
        <v>40.06803575</v>
      </c>
    </row>
    <row r="224" spans="2:6" x14ac:dyDescent="0.2">
      <c r="B224" s="91" t="s">
        <v>241</v>
      </c>
      <c r="C224" s="92" t="s">
        <v>220</v>
      </c>
      <c r="D224" s="93">
        <v>946.7</v>
      </c>
      <c r="E224" s="108">
        <v>973.3</v>
      </c>
      <c r="F224" s="120">
        <v>108.519435</v>
      </c>
    </row>
    <row r="225" spans="2:6" x14ac:dyDescent="0.2">
      <c r="B225" s="91" t="s">
        <v>290</v>
      </c>
      <c r="C225" s="92" t="s">
        <v>220</v>
      </c>
      <c r="D225" s="93">
        <v>965.35900000000004</v>
      </c>
      <c r="E225" s="108">
        <v>978.5</v>
      </c>
      <c r="F225" s="121"/>
    </row>
    <row r="226" spans="2:6" x14ac:dyDescent="0.2">
      <c r="B226" s="91" t="s">
        <v>293</v>
      </c>
      <c r="C226" s="92" t="s">
        <v>220</v>
      </c>
      <c r="D226" s="93">
        <v>194.75800000000001</v>
      </c>
      <c r="E226" s="108">
        <v>206.58</v>
      </c>
      <c r="F226" s="102">
        <v>306.75778109999999</v>
      </c>
    </row>
    <row r="227" spans="2:6" x14ac:dyDescent="0.2">
      <c r="B227" s="91" t="s">
        <v>304</v>
      </c>
      <c r="C227" s="92" t="s">
        <v>220</v>
      </c>
      <c r="D227" s="93">
        <v>1362.5802000000001</v>
      </c>
      <c r="E227" s="108">
        <v>1329.9</v>
      </c>
      <c r="F227" s="120">
        <v>655.54132500000003</v>
      </c>
    </row>
    <row r="228" spans="2:6" x14ac:dyDescent="0.2">
      <c r="B228" s="91" t="s">
        <v>292</v>
      </c>
      <c r="C228" s="92" t="s">
        <v>220</v>
      </c>
      <c r="D228" s="93">
        <v>1399.0536999999999</v>
      </c>
      <c r="E228" s="108">
        <v>1338</v>
      </c>
      <c r="F228" s="121"/>
    </row>
    <row r="229" spans="2:6" x14ac:dyDescent="0.2">
      <c r="B229" s="91" t="s">
        <v>300</v>
      </c>
      <c r="C229" s="92" t="s">
        <v>220</v>
      </c>
      <c r="D229" s="93">
        <v>1409.7687000000001</v>
      </c>
      <c r="E229" s="108">
        <v>1385.1</v>
      </c>
      <c r="F229" s="102">
        <v>295.26915600000001</v>
      </c>
    </row>
    <row r="230" spans="2:6" x14ac:dyDescent="0.2">
      <c r="B230" s="91" t="s">
        <v>221</v>
      </c>
      <c r="C230" s="92" t="s">
        <v>220</v>
      </c>
      <c r="D230" s="93">
        <v>306.39999999999998</v>
      </c>
      <c r="E230" s="108">
        <v>293.89999999999998</v>
      </c>
      <c r="F230" s="102">
        <v>0.98166350000000002</v>
      </c>
    </row>
    <row r="231" spans="2:6" x14ac:dyDescent="0.2">
      <c r="B231" s="91" t="s">
        <v>267</v>
      </c>
      <c r="C231" s="92" t="s">
        <v>220</v>
      </c>
      <c r="D231" s="93">
        <v>107.37050000000001</v>
      </c>
      <c r="E231" s="108">
        <v>107.6</v>
      </c>
      <c r="F231" s="102">
        <v>37.692160000000001</v>
      </c>
    </row>
    <row r="232" spans="2:6" x14ac:dyDescent="0.2">
      <c r="B232" s="91" t="s">
        <v>236</v>
      </c>
      <c r="C232" s="92" t="s">
        <v>220</v>
      </c>
      <c r="D232" s="93">
        <v>1481.2750000000001</v>
      </c>
      <c r="E232" s="108">
        <v>1493.7</v>
      </c>
      <c r="F232" s="102">
        <v>5.26919</v>
      </c>
    </row>
    <row r="233" spans="2:6" x14ac:dyDescent="0.2">
      <c r="B233" s="107" t="s">
        <v>235</v>
      </c>
      <c r="C233" s="92" t="s">
        <v>220</v>
      </c>
      <c r="D233" s="93">
        <v>1133.1667</v>
      </c>
      <c r="E233" s="108">
        <v>1132.3</v>
      </c>
      <c r="F233" s="102">
        <v>6.4695533750000003</v>
      </c>
    </row>
    <row r="234" spans="2:6" x14ac:dyDescent="0.2">
      <c r="B234" s="91" t="s">
        <v>252</v>
      </c>
      <c r="C234" s="92" t="s">
        <v>220</v>
      </c>
      <c r="D234" s="93">
        <v>290.71069999999997</v>
      </c>
      <c r="E234" s="108">
        <v>268.39999999999998</v>
      </c>
      <c r="F234" s="102">
        <v>15.18741</v>
      </c>
    </row>
    <row r="235" spans="2:6" x14ac:dyDescent="0.2">
      <c r="B235" s="91" t="s">
        <v>271</v>
      </c>
      <c r="C235" s="92" t="s">
        <v>220</v>
      </c>
      <c r="D235" s="93">
        <v>392.18020000000001</v>
      </c>
      <c r="E235" s="108">
        <v>391.3</v>
      </c>
      <c r="F235" s="102">
        <v>44.3730975</v>
      </c>
    </row>
    <row r="236" spans="2:6" x14ac:dyDescent="0.2">
      <c r="B236" s="91" t="s">
        <v>270</v>
      </c>
      <c r="C236" s="92" t="s">
        <v>220</v>
      </c>
      <c r="D236" s="93">
        <v>97.858599999999996</v>
      </c>
      <c r="E236" s="108">
        <v>101.72</v>
      </c>
      <c r="F236" s="102">
        <v>94.203654999999998</v>
      </c>
    </row>
    <row r="237" spans="2:6" x14ac:dyDescent="0.2">
      <c r="B237" s="107" t="s">
        <v>237</v>
      </c>
      <c r="C237" s="92" t="s">
        <v>220</v>
      </c>
      <c r="D237" s="93">
        <v>936.9</v>
      </c>
      <c r="E237" s="108">
        <v>1005.9</v>
      </c>
      <c r="F237" s="102">
        <v>6.7043193749999999</v>
      </c>
    </row>
    <row r="238" spans="2:6" x14ac:dyDescent="0.2">
      <c r="B238" s="91" t="s">
        <v>283</v>
      </c>
      <c r="C238" s="92" t="s">
        <v>220</v>
      </c>
      <c r="D238" s="93">
        <v>1685.4036000000001</v>
      </c>
      <c r="E238" s="108">
        <v>1689.4</v>
      </c>
      <c r="F238" s="102">
        <v>67.233375999999993</v>
      </c>
    </row>
    <row r="239" spans="2:6" x14ac:dyDescent="0.2">
      <c r="B239" s="91" t="s">
        <v>219</v>
      </c>
      <c r="C239" s="92" t="s">
        <v>220</v>
      </c>
      <c r="D239" s="93">
        <v>1064.05</v>
      </c>
      <c r="E239" s="108">
        <v>976.35</v>
      </c>
      <c r="F239" s="102">
        <v>0.99425431200000003</v>
      </c>
    </row>
    <row r="240" spans="2:6" x14ac:dyDescent="0.2">
      <c r="B240" s="91" t="s">
        <v>260</v>
      </c>
      <c r="C240" s="92" t="s">
        <v>220</v>
      </c>
      <c r="D240" s="93">
        <v>13205.95</v>
      </c>
      <c r="E240" s="108">
        <v>13273</v>
      </c>
      <c r="F240" s="102">
        <v>23.341249999999999</v>
      </c>
    </row>
    <row r="241" spans="2:6" x14ac:dyDescent="0.2">
      <c r="B241" s="91" t="s">
        <v>225</v>
      </c>
      <c r="C241" s="92" t="s">
        <v>220</v>
      </c>
      <c r="D241" s="93">
        <v>323.60000000000002</v>
      </c>
      <c r="E241" s="108">
        <v>328.15</v>
      </c>
      <c r="F241" s="102">
        <v>3.6758324999999998</v>
      </c>
    </row>
    <row r="242" spans="2:6" x14ac:dyDescent="0.2">
      <c r="B242" s="91" t="s">
        <v>249</v>
      </c>
      <c r="C242" s="92" t="s">
        <v>220</v>
      </c>
      <c r="D242" s="93">
        <v>3130.7768999999998</v>
      </c>
      <c r="E242" s="108">
        <v>3079.3</v>
      </c>
      <c r="F242" s="102">
        <v>15.338063</v>
      </c>
    </row>
    <row r="243" spans="2:6" x14ac:dyDescent="0.2">
      <c r="B243" s="91" t="s">
        <v>243</v>
      </c>
      <c r="C243" s="92" t="s">
        <v>220</v>
      </c>
      <c r="D243" s="93">
        <v>3902.1428999999998</v>
      </c>
      <c r="E243" s="108">
        <v>4111.8</v>
      </c>
      <c r="F243" s="102">
        <v>9.04678425</v>
      </c>
    </row>
    <row r="244" spans="2:6" x14ac:dyDescent="0.2">
      <c r="B244" s="91" t="s">
        <v>245</v>
      </c>
      <c r="C244" s="92" t="s">
        <v>220</v>
      </c>
      <c r="D244" s="93">
        <v>865.80349999999999</v>
      </c>
      <c r="E244" s="108">
        <v>949</v>
      </c>
      <c r="F244" s="102">
        <v>14.677424999999999</v>
      </c>
    </row>
    <row r="245" spans="2:6" x14ac:dyDescent="0.2">
      <c r="B245" s="91" t="s">
        <v>266</v>
      </c>
      <c r="C245" s="92" t="s">
        <v>220</v>
      </c>
      <c r="D245" s="93">
        <v>548.29999999999995</v>
      </c>
      <c r="E245" s="108">
        <v>539.35</v>
      </c>
      <c r="F245" s="102">
        <v>61.825515000000003</v>
      </c>
    </row>
    <row r="246" spans="2:6" x14ac:dyDescent="0.2">
      <c r="B246" s="91" t="s">
        <v>280</v>
      </c>
      <c r="C246" s="92" t="s">
        <v>220</v>
      </c>
      <c r="D246" s="93">
        <v>1354.2</v>
      </c>
      <c r="E246" s="108">
        <v>1375</v>
      </c>
      <c r="F246" s="102">
        <v>70.187182500000006</v>
      </c>
    </row>
    <row r="247" spans="2:6" x14ac:dyDescent="0.2">
      <c r="B247" s="91" t="s">
        <v>297</v>
      </c>
      <c r="C247" s="92" t="s">
        <v>220</v>
      </c>
      <c r="D247" s="93">
        <v>383.45</v>
      </c>
      <c r="E247" s="108">
        <v>388.25</v>
      </c>
      <c r="F247" s="102">
        <v>177.60274999999999</v>
      </c>
    </row>
    <row r="248" spans="2:6" x14ac:dyDescent="0.2">
      <c r="B248" s="91" t="s">
        <v>288</v>
      </c>
      <c r="C248" s="92" t="s">
        <v>220</v>
      </c>
      <c r="D248" s="93">
        <v>1293.3134</v>
      </c>
      <c r="E248" s="108">
        <v>1292.9000000000001</v>
      </c>
      <c r="F248" s="102">
        <v>170.58458250000001</v>
      </c>
    </row>
    <row r="249" spans="2:6" x14ac:dyDescent="0.2">
      <c r="B249" s="91" t="s">
        <v>263</v>
      </c>
      <c r="C249" s="92" t="s">
        <v>220</v>
      </c>
      <c r="D249" s="93">
        <v>244.58869999999999</v>
      </c>
      <c r="E249" s="108">
        <v>242.26</v>
      </c>
      <c r="F249" s="102">
        <v>34.205965499999998</v>
      </c>
    </row>
    <row r="250" spans="2:6" x14ac:dyDescent="0.2">
      <c r="B250" s="91" t="s">
        <v>299</v>
      </c>
      <c r="C250" s="92" t="s">
        <v>220</v>
      </c>
      <c r="D250" s="93">
        <v>299.95310000000001</v>
      </c>
      <c r="E250" s="108">
        <v>291.64999999999998</v>
      </c>
      <c r="F250" s="102">
        <v>195.48360493700002</v>
      </c>
    </row>
    <row r="251" spans="2:6" x14ac:dyDescent="0.2">
      <c r="B251" s="91" t="s">
        <v>262</v>
      </c>
      <c r="C251" s="92" t="s">
        <v>220</v>
      </c>
      <c r="D251" s="93">
        <v>139.6317</v>
      </c>
      <c r="E251" s="108">
        <v>141.94</v>
      </c>
      <c r="F251" s="102">
        <v>29.979867875</v>
      </c>
    </row>
    <row r="252" spans="2:6" x14ac:dyDescent="0.2">
      <c r="B252" s="91" t="s">
        <v>282</v>
      </c>
      <c r="C252" s="92" t="s">
        <v>220</v>
      </c>
      <c r="D252" s="93">
        <v>434.26429999999999</v>
      </c>
      <c r="E252" s="108">
        <v>446.3</v>
      </c>
      <c r="F252" s="102">
        <v>73.271096499999999</v>
      </c>
    </row>
    <row r="253" spans="2:6" x14ac:dyDescent="0.2">
      <c r="B253" s="91" t="s">
        <v>230</v>
      </c>
      <c r="C253" s="92" t="s">
        <v>220</v>
      </c>
      <c r="D253" s="93">
        <v>899.03330000000005</v>
      </c>
      <c r="E253" s="108">
        <v>923.75</v>
      </c>
      <c r="F253" s="102">
        <v>4.3251862499999998</v>
      </c>
    </row>
    <row r="254" spans="2:6" x14ac:dyDescent="0.2">
      <c r="B254" s="91" t="s">
        <v>255</v>
      </c>
      <c r="C254" s="92" t="s">
        <v>220</v>
      </c>
      <c r="D254" s="93">
        <v>661.45939999999996</v>
      </c>
      <c r="E254" s="108">
        <v>659.15</v>
      </c>
      <c r="F254" s="102">
        <v>19.838439999999999</v>
      </c>
    </row>
    <row r="255" spans="2:6" x14ac:dyDescent="0.2">
      <c r="B255" s="91" t="s">
        <v>272</v>
      </c>
      <c r="C255" s="92" t="s">
        <v>220</v>
      </c>
      <c r="D255" s="93">
        <v>70.3018</v>
      </c>
      <c r="E255" s="108">
        <v>71.91</v>
      </c>
      <c r="F255" s="102">
        <v>57.011013499999997</v>
      </c>
    </row>
    <row r="256" spans="2:6" x14ac:dyDescent="0.2">
      <c r="B256" s="91" t="s">
        <v>261</v>
      </c>
      <c r="C256" s="92" t="s">
        <v>220</v>
      </c>
      <c r="D256" s="93">
        <v>11.6129</v>
      </c>
      <c r="E256" s="108">
        <v>14.14</v>
      </c>
      <c r="F256" s="120">
        <v>261.83111538700001</v>
      </c>
    </row>
    <row r="257" spans="2:6" x14ac:dyDescent="0.2">
      <c r="B257" s="91" t="s">
        <v>284</v>
      </c>
      <c r="C257" s="92" t="s">
        <v>220</v>
      </c>
      <c r="D257" s="93">
        <v>13.1646</v>
      </c>
      <c r="E257" s="108">
        <v>14.21</v>
      </c>
      <c r="F257" s="121"/>
    </row>
    <row r="258" spans="2:6" x14ac:dyDescent="0.2">
      <c r="B258" s="91" t="s">
        <v>306</v>
      </c>
      <c r="C258" s="92" t="s">
        <v>220</v>
      </c>
      <c r="D258" s="93">
        <v>1280.7483999999999</v>
      </c>
      <c r="E258" s="108">
        <v>1270</v>
      </c>
      <c r="F258" s="120">
        <v>853.85653150000007</v>
      </c>
    </row>
    <row r="259" spans="2:6" x14ac:dyDescent="0.2">
      <c r="B259" s="91" t="s">
        <v>246</v>
      </c>
      <c r="C259" s="92" t="s">
        <v>220</v>
      </c>
      <c r="D259" s="93">
        <v>1296.1713999999999</v>
      </c>
      <c r="E259" s="108">
        <v>1278.0999999999999</v>
      </c>
      <c r="F259" s="121"/>
    </row>
    <row r="260" spans="2:6" x14ac:dyDescent="0.2">
      <c r="B260" s="91" t="s">
        <v>265</v>
      </c>
      <c r="C260" s="92" t="s">
        <v>220</v>
      </c>
      <c r="D260" s="93">
        <v>2184.5518999999999</v>
      </c>
      <c r="E260" s="108">
        <v>2156.5</v>
      </c>
      <c r="F260" s="102">
        <v>30.955567500000001</v>
      </c>
    </row>
    <row r="261" spans="2:6" x14ac:dyDescent="0.2">
      <c r="B261" s="91" t="s">
        <v>258</v>
      </c>
      <c r="C261" s="92" t="s">
        <v>220</v>
      </c>
      <c r="D261" s="93">
        <v>1096.5467000000001</v>
      </c>
      <c r="E261" s="108">
        <v>1140.0999999999999</v>
      </c>
      <c r="F261" s="102">
        <v>23.436367499999999</v>
      </c>
    </row>
    <row r="262" spans="2:6" x14ac:dyDescent="0.2">
      <c r="B262" s="91" t="s">
        <v>295</v>
      </c>
      <c r="C262" s="92" t="s">
        <v>220</v>
      </c>
      <c r="D262" s="93">
        <v>619.76729999999998</v>
      </c>
      <c r="E262" s="108">
        <v>598.79999999999995</v>
      </c>
      <c r="F262" s="102">
        <v>154.59228400000001</v>
      </c>
    </row>
    <row r="263" spans="2:6" x14ac:dyDescent="0.2">
      <c r="B263" s="91" t="s">
        <v>301</v>
      </c>
      <c r="C263" s="92" t="s">
        <v>220</v>
      </c>
      <c r="D263" s="93">
        <v>758.51919999999996</v>
      </c>
      <c r="E263" s="108">
        <v>741</v>
      </c>
      <c r="F263" s="120">
        <v>865.14653262500008</v>
      </c>
    </row>
    <row r="264" spans="2:6" x14ac:dyDescent="0.2">
      <c r="B264" s="91" t="s">
        <v>302</v>
      </c>
      <c r="C264" s="92" t="s">
        <v>220</v>
      </c>
      <c r="D264" s="93">
        <v>765.46050000000002</v>
      </c>
      <c r="E264" s="108">
        <v>745.95</v>
      </c>
      <c r="F264" s="121"/>
    </row>
    <row r="265" spans="2:6" x14ac:dyDescent="0.2">
      <c r="B265" s="91" t="s">
        <v>256</v>
      </c>
      <c r="C265" s="92" t="s">
        <v>220</v>
      </c>
      <c r="D265" s="93">
        <v>2747.1356999999998</v>
      </c>
      <c r="E265" s="108">
        <v>2705.6</v>
      </c>
      <c r="F265" s="102">
        <v>23.257752000000004</v>
      </c>
    </row>
    <row r="266" spans="2:6" x14ac:dyDescent="0.2">
      <c r="B266" s="91" t="s">
        <v>242</v>
      </c>
      <c r="C266" s="92" t="s">
        <v>220</v>
      </c>
      <c r="D266" s="93">
        <v>1206.675</v>
      </c>
      <c r="E266" s="108">
        <v>1190.5</v>
      </c>
      <c r="F266" s="102">
        <v>8.3706999999999994</v>
      </c>
    </row>
    <row r="267" spans="2:6" x14ac:dyDescent="0.2">
      <c r="B267" s="91" t="s">
        <v>222</v>
      </c>
      <c r="C267" s="92" t="s">
        <v>220</v>
      </c>
      <c r="D267" s="93">
        <v>4476.2</v>
      </c>
      <c r="E267" s="108">
        <v>4372.2</v>
      </c>
      <c r="F267" s="102">
        <v>1.3514504999999999</v>
      </c>
    </row>
    <row r="268" spans="2:6" x14ac:dyDescent="0.2">
      <c r="B268" s="91" t="s">
        <v>238</v>
      </c>
      <c r="C268" s="92" t="s">
        <v>220</v>
      </c>
      <c r="D268" s="93">
        <v>3166.86</v>
      </c>
      <c r="E268" s="108">
        <v>3157.4</v>
      </c>
      <c r="F268" s="102">
        <v>6.9401124999999997</v>
      </c>
    </row>
    <row r="269" spans="2:6" x14ac:dyDescent="0.2">
      <c r="B269" s="91" t="s">
        <v>274</v>
      </c>
      <c r="C269" s="92" t="s">
        <v>220</v>
      </c>
      <c r="D269" s="93">
        <v>1768.9468999999999</v>
      </c>
      <c r="E269" s="108">
        <v>1782.9</v>
      </c>
      <c r="F269" s="102">
        <v>66.867718875000008</v>
      </c>
    </row>
    <row r="270" spans="2:6" x14ac:dyDescent="0.2">
      <c r="B270" s="91" t="s">
        <v>226</v>
      </c>
      <c r="C270" s="92" t="s">
        <v>220</v>
      </c>
      <c r="D270" s="93">
        <v>1027</v>
      </c>
      <c r="E270" s="108">
        <v>1040.0999999999999</v>
      </c>
      <c r="F270" s="102">
        <v>1.8299350000000001</v>
      </c>
    </row>
    <row r="271" spans="2:6" x14ac:dyDescent="0.2">
      <c r="B271" s="91" t="s">
        <v>223</v>
      </c>
      <c r="C271" s="92" t="s">
        <v>220</v>
      </c>
      <c r="D271" s="93">
        <v>2413.5</v>
      </c>
      <c r="E271" s="108">
        <v>2305.1999999999998</v>
      </c>
      <c r="F271" s="102">
        <v>3.0090425000000001</v>
      </c>
    </row>
    <row r="272" spans="2:6" x14ac:dyDescent="0.2">
      <c r="B272" s="91" t="s">
        <v>229</v>
      </c>
      <c r="C272" s="92" t="s">
        <v>220</v>
      </c>
      <c r="D272" s="93">
        <v>163.04</v>
      </c>
      <c r="E272" s="108">
        <v>166.35</v>
      </c>
      <c r="F272" s="102">
        <v>3.0053126250000002</v>
      </c>
    </row>
    <row r="273" spans="2:6" x14ac:dyDescent="0.2">
      <c r="B273" s="91" t="s">
        <v>259</v>
      </c>
      <c r="C273" s="92" t="s">
        <v>220</v>
      </c>
      <c r="D273" s="93">
        <v>245.428</v>
      </c>
      <c r="E273" s="108">
        <v>253.4</v>
      </c>
      <c r="F273" s="120">
        <v>31.629718925000002</v>
      </c>
    </row>
    <row r="274" spans="2:6" x14ac:dyDescent="0.2">
      <c r="B274" s="91" t="s">
        <v>228</v>
      </c>
      <c r="C274" s="92" t="s">
        <v>220</v>
      </c>
      <c r="D274" s="93">
        <v>242.41</v>
      </c>
      <c r="E274" s="108">
        <v>254.83</v>
      </c>
      <c r="F274" s="121"/>
    </row>
    <row r="275" spans="2:6" x14ac:dyDescent="0.2">
      <c r="B275" s="91" t="s">
        <v>232</v>
      </c>
      <c r="C275" s="92" t="s">
        <v>220</v>
      </c>
      <c r="D275" s="93">
        <v>7039</v>
      </c>
      <c r="E275" s="108">
        <v>7264</v>
      </c>
      <c r="F275" s="102">
        <v>4.0013699999999996</v>
      </c>
    </row>
    <row r="276" spans="2:6" x14ac:dyDescent="0.2">
      <c r="B276" s="91" t="s">
        <v>269</v>
      </c>
      <c r="C276" s="92" t="s">
        <v>220</v>
      </c>
      <c r="D276" s="93">
        <v>591.30110000000002</v>
      </c>
      <c r="E276" s="108">
        <v>596.65</v>
      </c>
      <c r="F276" s="102">
        <v>74.039963687000011</v>
      </c>
    </row>
    <row r="277" spans="2:6" x14ac:dyDescent="0.2">
      <c r="B277" s="91" t="s">
        <v>253</v>
      </c>
      <c r="C277" s="92" t="s">
        <v>220</v>
      </c>
      <c r="D277" s="93">
        <v>294.61579999999998</v>
      </c>
      <c r="E277" s="108">
        <v>285.35000000000002</v>
      </c>
      <c r="F277" s="102">
        <v>18.822739500000001</v>
      </c>
    </row>
    <row r="278" spans="2:6" x14ac:dyDescent="0.2">
      <c r="B278" s="91" t="s">
        <v>277</v>
      </c>
      <c r="C278" s="92" t="s">
        <v>220</v>
      </c>
      <c r="D278" s="93">
        <v>1407.7779</v>
      </c>
      <c r="E278" s="108">
        <v>1404</v>
      </c>
      <c r="F278" s="102">
        <v>55.018234999999997</v>
      </c>
    </row>
    <row r="279" spans="2:6" x14ac:dyDescent="0.2">
      <c r="B279" s="91" t="s">
        <v>289</v>
      </c>
      <c r="C279" s="92" t="s">
        <v>220</v>
      </c>
      <c r="D279" s="93">
        <v>134.46729999999999</v>
      </c>
      <c r="E279" s="108">
        <v>132.44</v>
      </c>
      <c r="F279" s="120">
        <v>185.22713637499999</v>
      </c>
    </row>
    <row r="280" spans="2:6" x14ac:dyDescent="0.2">
      <c r="B280" s="91" t="s">
        <v>281</v>
      </c>
      <c r="C280" s="92" t="s">
        <v>220</v>
      </c>
      <c r="D280" s="93">
        <v>132.2467</v>
      </c>
      <c r="E280" s="108">
        <v>133.29</v>
      </c>
      <c r="F280" s="121"/>
    </row>
    <row r="281" spans="2:6" x14ac:dyDescent="0.2">
      <c r="B281" s="91" t="s">
        <v>251</v>
      </c>
      <c r="C281" s="92" t="s">
        <v>220</v>
      </c>
      <c r="D281" s="93">
        <v>300.125</v>
      </c>
      <c r="E281" s="108">
        <v>301.25</v>
      </c>
      <c r="F281" s="120">
        <v>19.2620565</v>
      </c>
    </row>
    <row r="282" spans="2:6" x14ac:dyDescent="0.2">
      <c r="B282" s="91" t="s">
        <v>227</v>
      </c>
      <c r="C282" s="92" t="s">
        <v>220</v>
      </c>
      <c r="D282" s="93">
        <v>306.57499999999999</v>
      </c>
      <c r="E282" s="108">
        <v>303.45</v>
      </c>
      <c r="F282" s="121"/>
    </row>
    <row r="283" spans="2:6" x14ac:dyDescent="0.2">
      <c r="B283" s="91" t="s">
        <v>224</v>
      </c>
      <c r="C283" s="92" t="s">
        <v>220</v>
      </c>
      <c r="D283" s="93">
        <v>36090</v>
      </c>
      <c r="E283" s="108">
        <v>37105</v>
      </c>
      <c r="F283" s="102">
        <v>1.7501087500000001</v>
      </c>
    </row>
    <row r="284" spans="2:6" x14ac:dyDescent="0.2">
      <c r="B284" s="91" t="s">
        <v>294</v>
      </c>
      <c r="C284" s="92" t="s">
        <v>220</v>
      </c>
      <c r="D284" s="93">
        <v>415.42869999999999</v>
      </c>
      <c r="E284" s="108">
        <v>420.35</v>
      </c>
      <c r="F284" s="102">
        <v>326.82185156200001</v>
      </c>
    </row>
    <row r="285" spans="2:6" x14ac:dyDescent="0.2">
      <c r="B285" s="91" t="s">
        <v>303</v>
      </c>
      <c r="C285" s="92" t="s">
        <v>220</v>
      </c>
      <c r="D285" s="93">
        <v>1835.6726000000001</v>
      </c>
      <c r="E285" s="108">
        <v>1845</v>
      </c>
      <c r="F285" s="102">
        <v>450.86515500000002</v>
      </c>
    </row>
    <row r="286" spans="2:6" x14ac:dyDescent="0.2">
      <c r="B286" s="91" t="s">
        <v>239</v>
      </c>
      <c r="C286" s="92" t="s">
        <v>220</v>
      </c>
      <c r="D286" s="93">
        <v>423.55709999999999</v>
      </c>
      <c r="E286" s="108">
        <v>415.45</v>
      </c>
      <c r="F286" s="120">
        <v>105.873996999</v>
      </c>
    </row>
    <row r="287" spans="2:6" x14ac:dyDescent="0.2">
      <c r="B287" s="91" t="s">
        <v>286</v>
      </c>
      <c r="C287" s="92" t="s">
        <v>220</v>
      </c>
      <c r="D287" s="93">
        <v>425.5806</v>
      </c>
      <c r="E287" s="108">
        <v>418.05</v>
      </c>
      <c r="F287" s="121"/>
    </row>
    <row r="288" spans="2:6" x14ac:dyDescent="0.2">
      <c r="B288" s="91" t="s">
        <v>233</v>
      </c>
      <c r="C288" s="92" t="s">
        <v>220</v>
      </c>
      <c r="D288" s="93">
        <v>135.98670000000001</v>
      </c>
      <c r="E288" s="108">
        <v>141.37</v>
      </c>
      <c r="F288" s="102">
        <v>4.8731201999999998</v>
      </c>
    </row>
    <row r="289" spans="2:6" x14ac:dyDescent="0.2">
      <c r="B289" s="91" t="s">
        <v>291</v>
      </c>
      <c r="C289" s="92" t="s">
        <v>220</v>
      </c>
      <c r="D289" s="93">
        <v>269.6062</v>
      </c>
      <c r="E289" s="108">
        <v>271</v>
      </c>
      <c r="F289" s="120">
        <v>147.61644781199999</v>
      </c>
    </row>
    <row r="290" spans="2:6" x14ac:dyDescent="0.2">
      <c r="B290" s="91" t="s">
        <v>257</v>
      </c>
      <c r="C290" s="92" t="s">
        <v>220</v>
      </c>
      <c r="D290" s="93">
        <v>273.94670000000002</v>
      </c>
      <c r="E290" s="108">
        <v>272.64999999999998</v>
      </c>
      <c r="F290" s="121"/>
    </row>
    <row r="291" spans="2:6" x14ac:dyDescent="0.2">
      <c r="B291" s="91" t="s">
        <v>279</v>
      </c>
      <c r="C291" s="92" t="s">
        <v>220</v>
      </c>
      <c r="D291" s="93">
        <v>939.97190000000001</v>
      </c>
      <c r="E291" s="108">
        <v>913.2</v>
      </c>
      <c r="F291" s="102">
        <v>62.719920000000002</v>
      </c>
    </row>
    <row r="292" spans="2:6" x14ac:dyDescent="0.2">
      <c r="B292" s="91" t="s">
        <v>250</v>
      </c>
      <c r="C292" s="92" t="s">
        <v>220</v>
      </c>
      <c r="D292" s="93">
        <v>1789.1067</v>
      </c>
      <c r="E292" s="108">
        <v>1813</v>
      </c>
      <c r="F292" s="102">
        <v>14.346225</v>
      </c>
    </row>
    <row r="293" spans="2:6" x14ac:dyDescent="0.2">
      <c r="B293" s="91" t="s">
        <v>296</v>
      </c>
      <c r="C293" s="92" t="s">
        <v>220</v>
      </c>
      <c r="D293" s="93">
        <v>1284.2027</v>
      </c>
      <c r="E293" s="108">
        <v>1300.2</v>
      </c>
      <c r="F293" s="102">
        <v>161.55256875000001</v>
      </c>
    </row>
    <row r="294" spans="2:6" x14ac:dyDescent="0.2">
      <c r="B294" s="91" t="s">
        <v>278</v>
      </c>
      <c r="C294" s="92" t="s">
        <v>220</v>
      </c>
      <c r="D294" s="93">
        <v>999.88750000000005</v>
      </c>
      <c r="E294" s="108">
        <v>995.1</v>
      </c>
      <c r="F294" s="120">
        <v>83.544970000000006</v>
      </c>
    </row>
    <row r="295" spans="2:6" x14ac:dyDescent="0.2">
      <c r="B295" s="91" t="s">
        <v>254</v>
      </c>
      <c r="C295" s="92" t="s">
        <v>220</v>
      </c>
      <c r="D295" s="93">
        <v>1009.56</v>
      </c>
      <c r="E295" s="108">
        <v>999.1</v>
      </c>
      <c r="F295" s="121"/>
    </row>
    <row r="296" spans="2:6" x14ac:dyDescent="0.2">
      <c r="B296" s="50" t="s">
        <v>231</v>
      </c>
      <c r="C296" s="92" t="s">
        <v>220</v>
      </c>
      <c r="D296" s="93">
        <v>8122.5</v>
      </c>
      <c r="E296" s="108">
        <v>8272.5</v>
      </c>
      <c r="F296" s="102">
        <v>3.63512375</v>
      </c>
    </row>
    <row r="297" spans="2:6" x14ac:dyDescent="0.2">
      <c r="B297" s="91" t="s">
        <v>240</v>
      </c>
      <c r="C297" s="92" t="s">
        <v>220</v>
      </c>
      <c r="D297" s="93">
        <v>440.12779999999998</v>
      </c>
      <c r="E297" s="108">
        <v>450.1</v>
      </c>
      <c r="F297" s="102">
        <v>14.705003249999999</v>
      </c>
    </row>
    <row r="298" spans="2:6" x14ac:dyDescent="0.2">
      <c r="B298" s="91" t="s">
        <v>275</v>
      </c>
      <c r="C298" s="92" t="s">
        <v>220</v>
      </c>
      <c r="D298" s="93">
        <v>1813.1455000000001</v>
      </c>
      <c r="E298" s="108">
        <v>1814.1</v>
      </c>
      <c r="F298" s="120">
        <v>76.073736874999994</v>
      </c>
    </row>
    <row r="299" spans="2:6" x14ac:dyDescent="0.2">
      <c r="B299" s="91" t="s">
        <v>248</v>
      </c>
      <c r="C299" s="92" t="s">
        <v>220</v>
      </c>
      <c r="D299" s="93">
        <v>1711.1111000000001</v>
      </c>
      <c r="E299" s="108">
        <v>1823.8</v>
      </c>
      <c r="F299" s="121"/>
    </row>
    <row r="300" spans="2:6" x14ac:dyDescent="0.2">
      <c r="B300" s="91" t="s">
        <v>305</v>
      </c>
      <c r="C300" s="92" t="s">
        <v>220</v>
      </c>
      <c r="D300" s="93">
        <v>2816.8706000000002</v>
      </c>
      <c r="E300" s="108">
        <v>2965.5</v>
      </c>
      <c r="F300" s="102">
        <v>931.68725882499996</v>
      </c>
    </row>
    <row r="301" spans="2:6" x14ac:dyDescent="0.2">
      <c r="B301" s="74"/>
      <c r="C301" s="73"/>
      <c r="D301" s="73"/>
      <c r="E301" s="73"/>
      <c r="F301" s="73"/>
    </row>
    <row r="302" spans="2:6" ht="10.5" x14ac:dyDescent="0.2">
      <c r="B302" s="104" t="s">
        <v>357</v>
      </c>
      <c r="C302" s="75"/>
      <c r="D302" s="76"/>
      <c r="E302" s="77"/>
      <c r="F302" s="78"/>
    </row>
    <row r="303" spans="2:6" ht="10.5" x14ac:dyDescent="0.2">
      <c r="B303" s="73" t="s">
        <v>343</v>
      </c>
      <c r="C303" s="75"/>
      <c r="D303" s="76"/>
      <c r="E303" s="77"/>
      <c r="F303" s="78"/>
    </row>
    <row r="304" spans="2:6" ht="10.5" x14ac:dyDescent="0.2">
      <c r="B304" s="73" t="s">
        <v>328</v>
      </c>
      <c r="C304" s="75"/>
      <c r="D304" s="76"/>
      <c r="E304" s="77"/>
      <c r="F304" s="78"/>
    </row>
    <row r="305" spans="2:6" x14ac:dyDescent="0.2">
      <c r="B305" s="116" t="s">
        <v>323</v>
      </c>
      <c r="C305" s="116" t="s">
        <v>324</v>
      </c>
      <c r="D305" s="116" t="s">
        <v>325</v>
      </c>
      <c r="E305" s="116" t="s">
        <v>326</v>
      </c>
      <c r="F305" s="116" t="s">
        <v>327</v>
      </c>
    </row>
    <row r="306" spans="2:6" x14ac:dyDescent="0.2">
      <c r="B306" s="117"/>
      <c r="C306" s="117"/>
      <c r="D306" s="117"/>
      <c r="E306" s="117"/>
      <c r="F306" s="117"/>
    </row>
    <row r="307" spans="2:6" x14ac:dyDescent="0.2">
      <c r="B307" s="99">
        <v>4792</v>
      </c>
      <c r="C307" s="101">
        <v>570</v>
      </c>
      <c r="D307" s="100">
        <v>33253.550050799997</v>
      </c>
      <c r="E307" s="105">
        <v>3763.6435165000003</v>
      </c>
      <c r="F307" s="106">
        <v>-1150.2111857</v>
      </c>
    </row>
    <row r="308" spans="2:6" x14ac:dyDescent="0.2">
      <c r="B308" s="62"/>
      <c r="E308" s="95"/>
    </row>
    <row r="309" spans="2:6" ht="10.5" x14ac:dyDescent="0.25">
      <c r="B309" s="72" t="s">
        <v>344</v>
      </c>
      <c r="C309" s="73"/>
      <c r="D309" s="73"/>
      <c r="E309" s="73"/>
      <c r="F309" s="73"/>
    </row>
    <row r="310" spans="2:6" x14ac:dyDescent="0.2">
      <c r="B310" s="74"/>
      <c r="C310" s="73"/>
      <c r="D310" s="73"/>
      <c r="E310" s="73"/>
      <c r="F310" s="73"/>
    </row>
    <row r="311" spans="2:6" ht="21" x14ac:dyDescent="0.2">
      <c r="B311" s="70" t="s">
        <v>318</v>
      </c>
      <c r="C311" s="71" t="s">
        <v>319</v>
      </c>
      <c r="D311" s="71" t="s">
        <v>320</v>
      </c>
      <c r="E311" s="71" t="s">
        <v>321</v>
      </c>
      <c r="F311" s="71" t="s">
        <v>322</v>
      </c>
    </row>
    <row r="312" spans="2:6" x14ac:dyDescent="0.2">
      <c r="B312" s="111" t="s">
        <v>111</v>
      </c>
      <c r="C312" s="112"/>
      <c r="D312" s="112"/>
      <c r="E312" s="112"/>
      <c r="F312" s="113"/>
    </row>
    <row r="313" spans="2:6" x14ac:dyDescent="0.2">
      <c r="B313" s="74" t="s">
        <v>341</v>
      </c>
      <c r="C313" s="73"/>
      <c r="D313" s="73"/>
      <c r="E313" s="73"/>
      <c r="F313" s="73"/>
    </row>
    <row r="314" spans="2:6" ht="10.5" x14ac:dyDescent="0.2">
      <c r="B314" s="73" t="s">
        <v>345</v>
      </c>
      <c r="C314" s="75"/>
      <c r="D314" s="76"/>
      <c r="E314" s="77"/>
      <c r="F314" s="78"/>
    </row>
    <row r="315" spans="2:6" ht="10.5" x14ac:dyDescent="0.2">
      <c r="B315" s="73" t="s">
        <v>328</v>
      </c>
      <c r="C315" s="75"/>
      <c r="D315" s="76"/>
      <c r="E315" s="77"/>
      <c r="F315" s="78"/>
    </row>
    <row r="316" spans="2:6" x14ac:dyDescent="0.2">
      <c r="B316" s="114" t="s">
        <v>323</v>
      </c>
      <c r="C316" s="114" t="s">
        <v>324</v>
      </c>
      <c r="D316" s="114" t="s">
        <v>325</v>
      </c>
      <c r="E316" s="114" t="s">
        <v>326</v>
      </c>
      <c r="F316" s="114" t="s">
        <v>327</v>
      </c>
    </row>
    <row r="317" spans="2:6" x14ac:dyDescent="0.2">
      <c r="B317" s="115"/>
      <c r="C317" s="115"/>
      <c r="D317" s="115"/>
      <c r="E317" s="115"/>
      <c r="F317" s="115"/>
    </row>
    <row r="318" spans="2:6" x14ac:dyDescent="0.2">
      <c r="B318" s="122" t="s">
        <v>111</v>
      </c>
      <c r="C318" s="123"/>
      <c r="D318" s="123"/>
      <c r="E318" s="123"/>
      <c r="F318" s="124"/>
    </row>
    <row r="319" spans="2:6" x14ac:dyDescent="0.2">
      <c r="B319" s="68"/>
      <c r="C319" s="79"/>
      <c r="D319" s="79"/>
      <c r="E319" s="79"/>
      <c r="F319" s="58"/>
    </row>
    <row r="320" spans="2:6" ht="10.5" x14ac:dyDescent="0.2">
      <c r="B320" s="80" t="s">
        <v>346</v>
      </c>
      <c r="C320" s="81"/>
      <c r="D320" s="81"/>
      <c r="E320" s="82"/>
      <c r="F320" s="58"/>
    </row>
    <row r="321" spans="2:6" ht="10.5" x14ac:dyDescent="0.2">
      <c r="B321" s="83"/>
      <c r="C321" s="81"/>
      <c r="D321" s="81"/>
      <c r="E321" s="82"/>
      <c r="F321" s="58"/>
    </row>
    <row r="322" spans="2:6" ht="21" x14ac:dyDescent="0.2">
      <c r="B322" s="70" t="s">
        <v>318</v>
      </c>
      <c r="C322" s="71" t="s">
        <v>329</v>
      </c>
      <c r="D322" s="71" t="s">
        <v>330</v>
      </c>
      <c r="E322" s="71" t="s">
        <v>331</v>
      </c>
      <c r="F322" s="58"/>
    </row>
    <row r="323" spans="2:6" x14ac:dyDescent="0.2">
      <c r="B323" s="111" t="s">
        <v>111</v>
      </c>
      <c r="C323" s="112"/>
      <c r="D323" s="112"/>
      <c r="E323" s="113"/>
      <c r="F323" s="58"/>
    </row>
    <row r="324" spans="2:6" x14ac:dyDescent="0.2">
      <c r="B324" s="74" t="s">
        <v>332</v>
      </c>
      <c r="C324" s="73"/>
      <c r="D324" s="73"/>
      <c r="E324" s="73"/>
      <c r="F324" s="58"/>
    </row>
    <row r="325" spans="2:6" x14ac:dyDescent="0.2">
      <c r="B325" s="84"/>
      <c r="C325" s="85"/>
      <c r="D325" s="85"/>
      <c r="E325" s="84"/>
      <c r="F325" s="58"/>
    </row>
    <row r="326" spans="2:6" x14ac:dyDescent="0.2">
      <c r="B326" s="84" t="s">
        <v>347</v>
      </c>
      <c r="C326" s="85"/>
      <c r="D326" s="85"/>
      <c r="E326" s="84"/>
      <c r="F326" s="58"/>
    </row>
    <row r="327" spans="2:6" x14ac:dyDescent="0.2">
      <c r="B327" s="84"/>
      <c r="C327" s="85"/>
      <c r="D327" s="85"/>
      <c r="E327" s="84"/>
      <c r="F327" s="58"/>
    </row>
    <row r="328" spans="2:6" x14ac:dyDescent="0.2">
      <c r="B328" s="114" t="s">
        <v>333</v>
      </c>
      <c r="C328" s="114" t="s">
        <v>334</v>
      </c>
      <c r="D328" s="114" t="s">
        <v>335</v>
      </c>
      <c r="E328" s="84"/>
      <c r="F328" s="58"/>
    </row>
    <row r="329" spans="2:6" x14ac:dyDescent="0.2">
      <c r="B329" s="115"/>
      <c r="C329" s="115"/>
      <c r="D329" s="115"/>
      <c r="E329" s="84"/>
      <c r="F329" s="58"/>
    </row>
    <row r="330" spans="2:6" x14ac:dyDescent="0.2">
      <c r="B330" s="118" t="s">
        <v>111</v>
      </c>
      <c r="C330" s="118"/>
      <c r="D330" s="118"/>
      <c r="E330" s="79"/>
      <c r="F330" s="58"/>
    </row>
    <row r="331" spans="2:6" x14ac:dyDescent="0.2">
      <c r="B331" s="86"/>
      <c r="C331" s="86"/>
      <c r="D331" s="86"/>
      <c r="E331" s="79"/>
      <c r="F331" s="58"/>
    </row>
    <row r="332" spans="2:6" ht="10.5" x14ac:dyDescent="0.2">
      <c r="B332" s="80" t="s">
        <v>348</v>
      </c>
      <c r="C332" s="86"/>
      <c r="D332" s="86"/>
      <c r="E332" s="79"/>
      <c r="F332" s="58"/>
    </row>
    <row r="333" spans="2:6" x14ac:dyDescent="0.2">
      <c r="B333" s="86"/>
      <c r="C333" s="86"/>
      <c r="D333" s="86"/>
      <c r="E333" s="79"/>
      <c r="F333" s="58"/>
    </row>
    <row r="334" spans="2:6" ht="21" x14ac:dyDescent="0.2">
      <c r="B334" s="71" t="s">
        <v>318</v>
      </c>
      <c r="C334" s="71" t="s">
        <v>336</v>
      </c>
      <c r="D334" s="71" t="s">
        <v>337</v>
      </c>
      <c r="E334" s="71" t="s">
        <v>338</v>
      </c>
      <c r="F334" s="71" t="s">
        <v>339</v>
      </c>
    </row>
    <row r="335" spans="2:6" x14ac:dyDescent="0.2">
      <c r="B335" s="119" t="s">
        <v>111</v>
      </c>
      <c r="C335" s="119"/>
      <c r="D335" s="119"/>
      <c r="E335" s="119"/>
      <c r="F335" s="119"/>
    </row>
    <row r="336" spans="2:6" x14ac:dyDescent="0.2">
      <c r="B336" s="87" t="s">
        <v>340</v>
      </c>
      <c r="C336" s="86"/>
      <c r="D336" s="86"/>
      <c r="E336" s="79"/>
      <c r="F336" s="58"/>
    </row>
    <row r="337" spans="2:7" x14ac:dyDescent="0.2">
      <c r="B337" s="86"/>
      <c r="C337" s="86"/>
      <c r="D337" s="86"/>
      <c r="E337" s="79"/>
      <c r="F337" s="58"/>
    </row>
    <row r="338" spans="2:7" x14ac:dyDescent="0.2">
      <c r="B338" s="84" t="s">
        <v>349</v>
      </c>
      <c r="C338" s="85"/>
      <c r="D338" s="85"/>
      <c r="E338" s="79"/>
      <c r="F338" s="58"/>
    </row>
    <row r="339" spans="2:7" x14ac:dyDescent="0.2">
      <c r="B339" s="84"/>
      <c r="C339" s="85"/>
      <c r="D339" s="85"/>
      <c r="E339" s="79"/>
      <c r="F339" s="58"/>
    </row>
    <row r="340" spans="2:7" x14ac:dyDescent="0.2">
      <c r="B340" s="114" t="s">
        <v>333</v>
      </c>
      <c r="C340" s="114" t="s">
        <v>334</v>
      </c>
      <c r="D340" s="114" t="s">
        <v>335</v>
      </c>
      <c r="E340" s="79"/>
      <c r="F340" s="58"/>
    </row>
    <row r="341" spans="2:7" x14ac:dyDescent="0.2">
      <c r="B341" s="115"/>
      <c r="C341" s="115"/>
      <c r="D341" s="115"/>
      <c r="E341" s="79"/>
      <c r="F341" s="58"/>
    </row>
    <row r="342" spans="2:7" x14ac:dyDescent="0.2">
      <c r="B342" s="118" t="s">
        <v>111</v>
      </c>
      <c r="C342" s="118"/>
      <c r="D342" s="118"/>
      <c r="E342" s="79"/>
      <c r="F342" s="58"/>
    </row>
    <row r="343" spans="2:7" x14ac:dyDescent="0.2">
      <c r="B343" s="86"/>
      <c r="C343" s="86"/>
      <c r="D343" s="86"/>
      <c r="E343" s="79"/>
      <c r="F343" s="58"/>
    </row>
    <row r="344" spans="2:7" ht="10.5" x14ac:dyDescent="0.2">
      <c r="B344" s="88" t="s">
        <v>350</v>
      </c>
      <c r="C344" s="86"/>
      <c r="D344" s="86"/>
      <c r="E344" s="79"/>
      <c r="F344" s="58"/>
    </row>
    <row r="345" spans="2:7" x14ac:dyDescent="0.2">
      <c r="B345" s="62"/>
      <c r="E345" s="8"/>
    </row>
    <row r="346" spans="2:7" x14ac:dyDescent="0.2">
      <c r="B346" s="62"/>
      <c r="E346" s="8"/>
    </row>
    <row r="347" spans="2:7" x14ac:dyDescent="0.2">
      <c r="B347" s="62" t="s">
        <v>351</v>
      </c>
      <c r="E347" s="8"/>
    </row>
    <row r="348" spans="2:7" x14ac:dyDescent="0.2">
      <c r="B348" s="103" t="s">
        <v>356</v>
      </c>
      <c r="E348" s="8"/>
    </row>
    <row r="349" spans="2:7" x14ac:dyDescent="0.2">
      <c r="B349" s="62" t="s">
        <v>352</v>
      </c>
      <c r="E349" s="8"/>
    </row>
    <row r="351" spans="2:7" ht="10.5" x14ac:dyDescent="0.25">
      <c r="B351" s="14" t="s">
        <v>105</v>
      </c>
      <c r="E351" s="8"/>
      <c r="G351" s="58"/>
    </row>
    <row r="352" spans="2:7" x14ac:dyDescent="0.2">
      <c r="E352" s="8"/>
      <c r="G352" s="58"/>
    </row>
    <row r="353" spans="5:7" x14ac:dyDescent="0.2">
      <c r="E353" s="8"/>
      <c r="G353" s="58"/>
    </row>
    <row r="354" spans="5:7" x14ac:dyDescent="0.2">
      <c r="E354" s="8"/>
      <c r="G354" s="58"/>
    </row>
    <row r="355" spans="5:7" x14ac:dyDescent="0.2">
      <c r="E355" s="8"/>
      <c r="G355" s="58"/>
    </row>
    <row r="356" spans="5:7" x14ac:dyDescent="0.2">
      <c r="E356" s="8"/>
      <c r="G356" s="58"/>
    </row>
    <row r="357" spans="5:7" x14ac:dyDescent="0.2">
      <c r="E357" s="8"/>
      <c r="G357" s="58"/>
    </row>
    <row r="358" spans="5:7" x14ac:dyDescent="0.2">
      <c r="E358" s="8"/>
      <c r="G358" s="58"/>
    </row>
    <row r="359" spans="5:7" x14ac:dyDescent="0.2">
      <c r="E359" s="8"/>
      <c r="G359" s="58"/>
    </row>
    <row r="360" spans="5:7" x14ac:dyDescent="0.2">
      <c r="E360" s="8"/>
      <c r="G360" s="58"/>
    </row>
    <row r="361" spans="5:7" x14ac:dyDescent="0.2">
      <c r="E361" s="8"/>
      <c r="G361" s="58"/>
    </row>
    <row r="362" spans="5:7" x14ac:dyDescent="0.2">
      <c r="E362" s="8"/>
      <c r="G362" s="58"/>
    </row>
    <row r="363" spans="5:7" x14ac:dyDescent="0.2">
      <c r="E363" s="8"/>
      <c r="G363" s="58"/>
    </row>
    <row r="364" spans="5:7" x14ac:dyDescent="0.2">
      <c r="E364" s="8"/>
      <c r="G364" s="58"/>
    </row>
    <row r="365" spans="5:7" x14ac:dyDescent="0.2">
      <c r="E365" s="8"/>
      <c r="G365" s="58"/>
    </row>
    <row r="366" spans="5:7" x14ac:dyDescent="0.2">
      <c r="E366" s="8"/>
      <c r="G366" s="58"/>
    </row>
    <row r="367" spans="5:7" x14ac:dyDescent="0.2">
      <c r="E367" s="8"/>
      <c r="G367" s="58"/>
    </row>
    <row r="368" spans="5:7" x14ac:dyDescent="0.2">
      <c r="E368" s="8"/>
      <c r="G368" s="58"/>
    </row>
    <row r="369" spans="2:7" ht="10.5" x14ac:dyDescent="0.2">
      <c r="B369" s="59" t="s">
        <v>309</v>
      </c>
      <c r="E369" s="8"/>
      <c r="G369" s="58"/>
    </row>
    <row r="370" spans="2:7" ht="10.5" x14ac:dyDescent="0.25">
      <c r="B370" s="60" t="s">
        <v>310</v>
      </c>
      <c r="E370" s="8"/>
      <c r="G370" s="58"/>
    </row>
    <row r="371" spans="2:7" x14ac:dyDescent="0.2">
      <c r="E371" s="8"/>
      <c r="G371" s="58"/>
    </row>
    <row r="372" spans="2:7" x14ac:dyDescent="0.2">
      <c r="E372" s="8"/>
      <c r="G372" s="58"/>
    </row>
    <row r="373" spans="2:7" x14ac:dyDescent="0.2">
      <c r="E373" s="8"/>
      <c r="G373" s="58"/>
    </row>
    <row r="374" spans="2:7" x14ac:dyDescent="0.2">
      <c r="E374" s="8"/>
      <c r="G374" s="58"/>
    </row>
    <row r="375" spans="2:7" x14ac:dyDescent="0.2">
      <c r="E375" s="8"/>
      <c r="G375" s="58"/>
    </row>
    <row r="376" spans="2:7" x14ac:dyDescent="0.2">
      <c r="E376" s="8"/>
      <c r="G376" s="58"/>
    </row>
    <row r="377" spans="2:7" x14ac:dyDescent="0.2">
      <c r="E377" s="8"/>
      <c r="G377" s="58"/>
    </row>
    <row r="378" spans="2:7" x14ac:dyDescent="0.2">
      <c r="E378" s="8"/>
      <c r="G378" s="58"/>
    </row>
    <row r="379" spans="2:7" x14ac:dyDescent="0.2">
      <c r="E379" s="8"/>
      <c r="G379" s="58"/>
    </row>
    <row r="380" spans="2:7" x14ac:dyDescent="0.2">
      <c r="E380" s="8"/>
      <c r="G380" s="58"/>
    </row>
    <row r="381" spans="2:7" x14ac:dyDescent="0.2">
      <c r="E381" s="8"/>
      <c r="G381" s="58"/>
    </row>
    <row r="382" spans="2:7" x14ac:dyDescent="0.2">
      <c r="E382" s="8"/>
      <c r="G382" s="58"/>
    </row>
    <row r="383" spans="2:7" x14ac:dyDescent="0.2">
      <c r="E383" s="8"/>
      <c r="G383" s="58"/>
    </row>
    <row r="384" spans="2:7" x14ac:dyDescent="0.2">
      <c r="E384" s="8"/>
      <c r="G384" s="58"/>
    </row>
    <row r="385" spans="5:7" x14ac:dyDescent="0.2">
      <c r="E385" s="8"/>
      <c r="G385" s="58"/>
    </row>
    <row r="386" spans="5:7" x14ac:dyDescent="0.2">
      <c r="E386" s="8"/>
      <c r="G386" s="58"/>
    </row>
    <row r="387" spans="5:7" x14ac:dyDescent="0.2">
      <c r="E387" s="8"/>
      <c r="G387" s="58"/>
    </row>
    <row r="388" spans="5:7" x14ac:dyDescent="0.2">
      <c r="E388" s="8"/>
      <c r="G388" s="58"/>
    </row>
  </sheetData>
  <mergeCells count="36">
    <mergeCell ref="F294:F295"/>
    <mergeCell ref="F298:F299"/>
    <mergeCell ref="B342:D342"/>
    <mergeCell ref="B330:D330"/>
    <mergeCell ref="B335:F335"/>
    <mergeCell ref="B340:B341"/>
    <mergeCell ref="C340:C341"/>
    <mergeCell ref="D340:D341"/>
    <mergeCell ref="B318:F318"/>
    <mergeCell ref="B323:E323"/>
    <mergeCell ref="B328:B329"/>
    <mergeCell ref="C328:C329"/>
    <mergeCell ref="D328:D329"/>
    <mergeCell ref="B312:F312"/>
    <mergeCell ref="B316:B317"/>
    <mergeCell ref="C316:C317"/>
    <mergeCell ref="D316:D317"/>
    <mergeCell ref="E316:E317"/>
    <mergeCell ref="F316:F317"/>
    <mergeCell ref="B305:B306"/>
    <mergeCell ref="C305:C306"/>
    <mergeCell ref="D305:D306"/>
    <mergeCell ref="E305:E306"/>
    <mergeCell ref="F305:F306"/>
    <mergeCell ref="B1:C1"/>
    <mergeCell ref="F214:F215"/>
    <mergeCell ref="F281:F282"/>
    <mergeCell ref="F286:F287"/>
    <mergeCell ref="F289:F290"/>
    <mergeCell ref="F224:F225"/>
    <mergeCell ref="F227:F228"/>
    <mergeCell ref="F256:F257"/>
    <mergeCell ref="F258:F259"/>
    <mergeCell ref="F263:F264"/>
    <mergeCell ref="F273:F274"/>
    <mergeCell ref="F279:F280"/>
  </mergeCells>
  <conditionalFormatting sqref="G1:G3 G5:G388">
    <cfRule type="cellIs" dxfId="0" priority="2" stopIfTrue="1" operator="between">
      <formula>0.009</formula>
      <formula>-0.009</formula>
    </cfRule>
  </conditionalFormatting>
  <hyperlinks>
    <hyperlink ref="A2" location="Index!A1" display="-" xr:uid="{50DA8A65-8D15-449D-B269-FBC39AE4C87E}"/>
  </hyperlinks>
  <pageMargins left="0.7" right="0.7" top="0.75" bottom="0.75" header="0.3" footer="0.3"/>
  <pageSetup paperSize="9" scale="5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JBARB</vt:lpstr>
      <vt:lpstr>JBARB!Print_Area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