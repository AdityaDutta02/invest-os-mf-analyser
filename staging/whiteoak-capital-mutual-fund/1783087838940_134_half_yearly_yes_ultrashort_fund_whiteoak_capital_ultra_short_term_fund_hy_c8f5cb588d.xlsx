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Half Yearly Portfolio/Upload Files/"/>
    </mc:Choice>
  </mc:AlternateContent>
  <xr:revisionPtr revIDLastSave="0" documentId="13_ncr:1_{D36F72CC-026E-4A52-8247-AC559A7BB5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M002" sheetId="1" r:id="rId1"/>
  </sheets>
  <externalReferences>
    <externalReference r:id="rId2"/>
  </externalReferences>
  <definedNames>
    <definedName name="JR_PAGE_ANCHOR_0_1">[1]YM001!#REF!</definedName>
    <definedName name="JR_PAGE_ANCHOR_0_2">'YM002'!#REF!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47" i="1"/>
</calcChain>
</file>

<file path=xl/sharedStrings.xml><?xml version="1.0" encoding="utf-8"?>
<sst xmlns="http://schemas.openxmlformats.org/spreadsheetml/2006/main" count="178" uniqueCount="141">
  <si>
    <t>WhiteOak Capital Ultra Short Term Fund</t>
  </si>
  <si>
    <t>(An open ended ultra-short term debt scheme investing in debt and money market instruments such that the Macaulay duration of the portfolio is between 3 - 6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</si>
  <si>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</si>
  <si>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</si>
  <si>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</si>
  <si>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</si>
  <si>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</si>
  <si>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</si>
  <si>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</si>
  <si>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</si>
  <si>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</t>
  </si>
  <si>
    <t>Sub Total</t>
  </si>
  <si>
    <t>Total</t>
  </si>
  <si>
    <t>Net Receivables / (Payables)</t>
  </si>
  <si>
    <t>GRAND TOTAL</t>
  </si>
  <si>
    <t>Notes :</t>
  </si>
  <si>
    <t>(3)  Net Assets Value per unit (in Rupees) are as follows:</t>
  </si>
  <si>
    <t>Plan/Option</t>
  </si>
  <si>
    <t>Direct Plan Growth</t>
  </si>
  <si>
    <t>Regular Plan Growth</t>
  </si>
  <si>
    <t>Direct Plan Monthly IDCW</t>
  </si>
  <si>
    <t>Regular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</si>
  <si>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</si>
  <si>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</si>
  <si>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</si>
  <si>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</si>
  <si>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</si>
  <si>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>Regular Plan Fortnightly IDCW</t>
  </si>
  <si>
    <t/>
  </si>
  <si>
    <t>(Rs. per unit)</t>
  </si>
  <si>
    <t xml:space="preserve">     Option Name</t>
  </si>
  <si>
    <t>Individual &amp; HUF *</t>
  </si>
  <si>
    <t>Others *</t>
  </si>
  <si>
    <t>Certificate of Deposit</t>
  </si>
  <si>
    <t>UTIB1249</t>
  </si>
  <si>
    <t>HDFB807</t>
  </si>
  <si>
    <t>SIDB456</t>
  </si>
  <si>
    <t>EXIM720</t>
  </si>
  <si>
    <t>PUBA967</t>
  </si>
  <si>
    <t>Commercial Paper</t>
  </si>
  <si>
    <t>HDFC1191</t>
  </si>
  <si>
    <t>ICBR378</t>
  </si>
  <si>
    <t>BGFL1024</t>
  </si>
  <si>
    <t>TBIL2097</t>
  </si>
  <si>
    <t>Sovereign</t>
  </si>
  <si>
    <t>TBIL2103</t>
  </si>
  <si>
    <t>TBIL2088</t>
  </si>
  <si>
    <t>TBIL2106</t>
  </si>
  <si>
    <t>TBIL2057</t>
  </si>
  <si>
    <t>364 Days Tbill (MD 01/06/2023)</t>
  </si>
  <si>
    <t>IN002022Z093</t>
  </si>
  <si>
    <t>TRP_031022</t>
  </si>
  <si>
    <t>As on September 30, 2022</t>
  </si>
  <si>
    <t>**  Thinly Traded / Non Traded Security</t>
  </si>
  <si>
    <t>#  Unlisted Security</t>
  </si>
  <si>
    <t>* Dividends are declared on face value of Rs.1,000 per unit. After distribution of dividend, the NAV falls to the extent of dividend payout and statutory levy, if any.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</si>
  <si>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</si>
  <si>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</si>
  <si>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</si>
  <si>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</si>
  <si>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</si>
  <si>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</si>
  <si>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</si>
  <si>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</si>
  <si>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</si>
  <si>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 xml:space="preserve">Benchmark Risk-o-meter </t>
  </si>
  <si>
    <t>Scheme Risk-o-meter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</si>
  <si>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</si>
  <si>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</si>
  <si>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</si>
  <si>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</si>
  <si>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</si>
  <si>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</si>
  <si>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</si>
  <si>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</si>
  <si>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</si>
  <si>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</si>
  <si>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</si>
  <si>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</si>
  <si>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</si>
  <si>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Half Yearly Portfolio Statement as on March 31, 2023</t>
  </si>
  <si>
    <t>Debt Instruments</t>
  </si>
  <si>
    <t>(a) Listed / awaiting listing on Stock Exchange</t>
  </si>
  <si>
    <t>6.75% Power Finance Corporation Limited (22/05/2023) **</t>
  </si>
  <si>
    <t>INE134E08KS7</t>
  </si>
  <si>
    <t>CRISIL AAA</t>
  </si>
  <si>
    <t xml:space="preserve">6.4% National Bank For Agriculture and Rural Development (31/07/2023) </t>
  </si>
  <si>
    <t>INE261F08CA0</t>
  </si>
  <si>
    <t>ICRA AAA</t>
  </si>
  <si>
    <t>5.7% Cholamandalam Investment and Finance Company Ltd (11/05/2023) **</t>
  </si>
  <si>
    <t>INE121A07QA9</t>
  </si>
  <si>
    <t>ICRA AA+</t>
  </si>
  <si>
    <t>7.25% Larsen &amp; Toubro Limited (24/04/2023) **</t>
  </si>
  <si>
    <t>INE018A08AY9</t>
  </si>
  <si>
    <t>6.59% Indian Railway Finance Corporation Limited (14/04/2023) **</t>
  </si>
  <si>
    <t>INE053F07BZ2</t>
  </si>
  <si>
    <t>5.8% National Housing Bank (15/05/2023) **</t>
  </si>
  <si>
    <t>INE557F08FJ5</t>
  </si>
  <si>
    <t xml:space="preserve">5.32% National Housing Bank (01/09/2023) </t>
  </si>
  <si>
    <t>INE557F08FK3</t>
  </si>
  <si>
    <t xml:space="preserve">6.19% Indian Railway Finance Corporation Limited (28/04/2023) </t>
  </si>
  <si>
    <t>INE053F07CC9</t>
  </si>
  <si>
    <t>7.25% Larsen &amp; Toubro Limited (06/05/2024) **</t>
  </si>
  <si>
    <t>INE018A08BB5</t>
  </si>
  <si>
    <t>(b) Privately placed / Unlisted</t>
  </si>
  <si>
    <t>NIL</t>
  </si>
  <si>
    <t>Axis Bank Limited (15/05/2023)  #</t>
  </si>
  <si>
    <t>INE238AD6249</t>
  </si>
  <si>
    <t>CRISIL A1+</t>
  </si>
  <si>
    <t>ICICI Bank Limited (17/11/2023) ** #</t>
  </si>
  <si>
    <t>INE090A169Y6</t>
  </si>
  <si>
    <t>ICRA A1+</t>
  </si>
  <si>
    <t>Bank of Baroda (30/11/2023)  #</t>
  </si>
  <si>
    <t>INE028A16CZ4</t>
  </si>
  <si>
    <t>FITCH A1+</t>
  </si>
  <si>
    <t>HDFC Bank Limited (15/05/2023)  #</t>
  </si>
  <si>
    <t>INE040A16DF9</t>
  </si>
  <si>
    <t>CARE A1+</t>
  </si>
  <si>
    <t>IndusInd Bank Limited (31/05/2023) ** #</t>
  </si>
  <si>
    <t>INE095A16P93</t>
  </si>
  <si>
    <t>Canara Bank (10/04/2023) ** #</t>
  </si>
  <si>
    <t>INE476A16US2</t>
  </si>
  <si>
    <t>Housing Development Finance Corporation Limited (18/10/2023) **</t>
  </si>
  <si>
    <t>INE001A14ZQ6</t>
  </si>
  <si>
    <t>Aditya Birla Finance Limited (07/06/2023) **</t>
  </si>
  <si>
    <t>INE860H14Z40</t>
  </si>
  <si>
    <t>National Bank For Agriculture and Rural Development (28/04/2023) **</t>
  </si>
  <si>
    <t>INE261F14JM8</t>
  </si>
  <si>
    <t>364 Days Tbill (MD 08/02/2024)</t>
  </si>
  <si>
    <t>IN002022Z457</t>
  </si>
  <si>
    <t>Reverse Repo / TREPS</t>
  </si>
  <si>
    <t>Clearing Corporation of India Ltd</t>
  </si>
  <si>
    <t>As on March 31, 2023</t>
  </si>
  <si>
    <t>(1) The provision for below investment grade or default securities as of March 31, 2023 is Rs. Nil and its percentage to Net Asset Value is Nil.</t>
  </si>
  <si>
    <t>(2)  Deviation from the valuation prices given by valuation agencies during the half-year ended  March 31, 2023: Nil</t>
  </si>
  <si>
    <t>(4) Details of Dividend declared per unit (In Rupees) during the half year ending March 31, 2023:</t>
  </si>
  <si>
    <t>(5) No Bonus declared during the half-year ended March 31, 2023</t>
  </si>
  <si>
    <t>(9) Repo transactions in corporate debt securities as on March 31, 2023 is Rs. Nil.</t>
  </si>
  <si>
    <t>(8) Average maturity of the portfolio is 115 days</t>
  </si>
  <si>
    <t>(6) Total outstanding exposure in derivative instruments as on March 31,2023 is Nil</t>
  </si>
  <si>
    <t>(7) Total investments in Foreign Securities / Overseas ETFs as at March 31,2023 and its percentage to NAV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</si>
</sst>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.####"/>
    <numFmt numFmtId="168" formatCode="0.000000000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9" fontId="12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164" fontId="3" fillId="2" borderId="13" xfId="0" applyNumberFormat="1" applyFont="1" applyFill="1" applyBorder="1" applyAlignment="1">
      <alignment horizontal="right" vertical="top" wrapText="1"/>
    </xf>
    <xf numFmtId="166" fontId="3" fillId="2" borderId="14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16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left" vertical="top"/>
    </xf>
    <xf numFmtId="167" fontId="7" fillId="0" borderId="16" xfId="0" applyNumberFormat="1" applyFont="1" applyBorder="1" applyAlignment="1">
      <alignment horizontal="right" vertical="top"/>
    </xf>
    <xf numFmtId="0" fontId="6" fillId="0" borderId="16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16" xfId="1" applyFont="1" applyFill="1" applyBorder="1" applyAlignment="1">
      <alignment horizontal="center" vertical="top" wrapText="1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11" fillId="2" borderId="0" xfId="0" applyFont="1" applyFill="1" applyAlignment="1" applyProtection="1">
      <alignment wrapText="1"/>
      <protection locked="0"/>
    </xf>
    <xf numFmtId="0" fontId="13" fillId="0" borderId="0" xfId="1" applyNumberFormat="1" applyFont="1" applyFill="1" applyBorder="1" applyAlignment="1" applyProtection="1">
      <alignment horizontal="left" vertical="top" wrapText="1"/>
    </xf>
    <xf numFmtId="0" fontId="13" fillId="0" borderId="0" xfId="1" applyNumberFormat="1" applyFont="1" applyFill="1" applyBorder="1" applyAlignment="1"/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11" fillId="2" borderId="0" xfId="0" applyFont="1" applyFill="1"/>
    <xf numFmtId="0" fontId="13" fillId="2" borderId="0" xfId="0" applyFont="1" applyFill="1" applyAlignment="1">
      <alignment horizontal="left" vertical="top"/>
    </xf>
    <xf numFmtId="0" fontId="13" fillId="0" borderId="16" xfId="0" applyFont="1" applyBorder="1" applyAlignment="1">
      <alignment horizontal="right" vertical="top"/>
    </xf>
    <xf numFmtId="4" fontId="11" fillId="0" borderId="0" xfId="0" applyNumberFormat="1" applyFont="1"/>
    <xf numFmtId="0" fontId="13" fillId="0" borderId="0" xfId="0" applyFont="1"/>
    <xf numFmtId="4" fontId="13" fillId="2" borderId="0" xfId="0" applyNumberFormat="1" applyFont="1" applyFill="1" applyAlignment="1">
      <alignment horizontal="left" vertical="top"/>
    </xf>
    <xf numFmtId="0" fontId="13" fillId="2" borderId="0" xfId="0" applyFont="1" applyFill="1"/>
    <xf numFmtId="0" fontId="7" fillId="0" borderId="0" xfId="0" applyFont="1" applyAlignment="1">
      <alignment horizontal="left" vertical="top" wrapText="1"/>
    </xf>
    <xf numFmtId="168" fontId="11" fillId="0" borderId="0" xfId="0" applyNumberFormat="1" applyFont="1"/>
    <xf numFmtId="0" fontId="3" fillId="0" borderId="18" xfId="0" applyFont="1" applyBorder="1" applyAlignment="1">
      <alignment horizontal="center" wrapText="1" readingOrder="1"/>
    </xf>
    <xf numFmtId="0" fontId="3" fillId="0" borderId="18" xfId="0" applyFont="1" applyBorder="1" applyAlignment="1">
      <alignment horizontal="justify" wrapText="1" readingOrder="1"/>
    </xf>
    <xf numFmtId="0" fontId="4" fillId="0" borderId="18" xfId="0" applyFont="1" applyBorder="1" applyAlignment="1">
      <alignment horizontal="justify" wrapText="1" readingOrder="1"/>
    </xf>
    <xf numFmtId="0" fontId="3" fillId="0" borderId="18" xfId="0" applyFont="1" applyBorder="1" applyAlignment="1">
      <alignment horizontal="left" wrapText="1" readingOrder="1"/>
    </xf>
    <xf numFmtId="0" fontId="10" fillId="0" borderId="0" xfId="0" applyFont="1"/>
    <xf numFmtId="0" fontId="4" fillId="0" borderId="18" xfId="0" applyFont="1" applyBorder="1" applyAlignment="1">
      <alignment horizontal="center" wrapText="1" readingOrder="1"/>
    </xf>
    <xf numFmtId="0" fontId="3" fillId="0" borderId="18" xfId="0" applyFont="1" applyBorder="1" applyAlignment="1">
      <alignment horizontal="left" vertical="top" wrapText="1" readingOrder="1"/>
    </xf>
    <xf numFmtId="0" fontId="4" fillId="0" borderId="18" xfId="0" applyFont="1" applyBorder="1" applyAlignment="1">
      <alignment horizontal="left" wrapText="1" readingOrder="1"/>
    </xf>
    <xf numFmtId="0" fontId="3" fillId="3" borderId="18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4" fontId="10" fillId="0" borderId="0" xfId="2" applyNumberFormat="1" applyFont="1" applyFill="1"/>
    <xf numFmtId="4" fontId="11" fillId="0" borderId="0" xfId="2" applyNumberFormat="1" applyFont="1" applyFill="1"/>
    <xf numFmtId="0" fontId="1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justify" wrapText="1" readingOrder="1"/>
    </xf>
    <xf numFmtId="0" fontId="13" fillId="0" borderId="20" xfId="0" applyFont="1" applyBorder="1" applyAlignment="1">
      <alignment horizontal="justify" wrapText="1" readingOrder="1"/>
    </xf>
    <xf numFmtId="0" fontId="3" fillId="0" borderId="19" xfId="0" applyFont="1" applyBorder="1" applyAlignment="1">
      <alignment horizontal="left" wrapText="1" readingOrder="1"/>
    </xf>
    <xf numFmtId="0" fontId="3" fillId="0" borderId="20" xfId="0" applyFont="1" applyBorder="1" applyAlignment="1">
      <alignment horizontal="left" wrapText="1" readingOrder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87</xdr:row>
      <xdr:rowOff>76200</xdr:rowOff>
    </xdr:from>
    <xdr:to>
      <xdr:col>9</xdr:col>
      <xdr:colOff>1952626</xdr:colOff>
      <xdr:row>88</xdr:row>
      <xdr:rowOff>454026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E9551-E67C-4470-A6DF-1BE6EBFE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4300" y="15116175"/>
          <a:ext cx="1828801" cy="1419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107382</xdr:colOff>
      <xdr:row>87</xdr:row>
      <xdr:rowOff>142875</xdr:rowOff>
    </xdr:from>
    <xdr:ext cx="1959303" cy="1295399"/>
    <xdr:pic>
      <xdr:nvPicPr>
        <xdr:cNvPr id="3" name="Picture 2">
          <a:extLst>
            <a:ext uri="{FF2B5EF4-FFF2-40B4-BE49-F238E27FC236}">
              <a16:creationId xmlns:a16="http://schemas.microsoft.com/office/drawing/2014/main" id="{B4BAFA7A-E2DF-4B9F-B3C9-4059F0DF7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782" y="15182850"/>
          <a:ext cx="1959303" cy="1295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714375</xdr:colOff>
      <xdr:row>93</xdr:row>
      <xdr:rowOff>66675</xdr:rowOff>
    </xdr:from>
    <xdr:to>
      <xdr:col>6</xdr:col>
      <xdr:colOff>1066800</xdr:colOff>
      <xdr:row>94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EEFEE6F-F6E7-40C7-A6A7-89A92EAE6A95}"/>
            </a:ext>
          </a:extLst>
        </xdr:cNvPr>
        <xdr:cNvSpPr/>
      </xdr:nvSpPr>
      <xdr:spPr>
        <a:xfrm>
          <a:off x="8601075" y="89630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95</xdr:row>
      <xdr:rowOff>19050</xdr:rowOff>
    </xdr:from>
    <xdr:to>
      <xdr:col>6</xdr:col>
      <xdr:colOff>1238249</xdr:colOff>
      <xdr:row>95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375A054-0CB7-4E88-958A-8302936B8F59}"/>
            </a:ext>
          </a:extLst>
        </xdr:cNvPr>
        <xdr:cNvSpPr/>
      </xdr:nvSpPr>
      <xdr:spPr>
        <a:xfrm rot="5400000">
          <a:off x="8929686" y="92821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99"/>
  <sheetViews>
    <sheetView showGridLines="0" tabSelected="1" zoomScale="94" zoomScaleNormal="94" workbookViewId="0">
      <selection activeCell="B1" sqref="B1:H1"/>
    </sheetView>
  </sheetViews>
  <sheetFormatPr defaultColWidth="8.85546875" defaultRowHeight="15"/>
  <cols>
    <col min="1" max="1" width="3.42578125" style="1" customWidth="1"/>
    <col min="2" max="2" width="52.42578125" style="1" customWidth="1"/>
    <col min="3" max="4" width="13.42578125" style="1" customWidth="1"/>
    <col min="5" max="5" width="10.5703125" style="1" customWidth="1"/>
    <col min="6" max="6" width="30.140625" style="1" customWidth="1"/>
    <col min="7" max="7" width="39.7109375" style="1" customWidth="1"/>
    <col min="8" max="8" width="33.42578125" style="1" customWidth="1"/>
    <col min="9" max="9" width="31.85546875" style="1" customWidth="1"/>
    <col min="10" max="10" width="33.140625" style="1" customWidth="1"/>
    <col min="11" max="16384" width="8.85546875" style="1"/>
  </cols>
  <sheetData>
    <row r="1" spans="1:8" ht="15.75">
      <c r="B1" s="75" t="s">
        <v>0</v>
      </c>
      <c r="C1" s="75"/>
      <c r="D1" s="75"/>
      <c r="E1" s="75"/>
      <c r="F1" s="75"/>
      <c r="G1" s="75"/>
      <c r="H1" s="75"/>
    </row>
    <row r="2" spans="1:8" ht="33" customHeight="1">
      <c r="B2" s="75" t="s">
        <v>1</v>
      </c>
      <c r="C2" s="75"/>
      <c r="D2" s="75"/>
      <c r="E2" s="75"/>
      <c r="F2" s="75"/>
      <c r="G2" s="75"/>
      <c r="H2" s="75"/>
    </row>
    <row r="3" spans="1:8" ht="15.75">
      <c r="B3" s="75" t="s">
        <v>80</v>
      </c>
      <c r="C3" s="75"/>
      <c r="D3" s="75"/>
      <c r="E3" s="75"/>
      <c r="F3" s="75"/>
      <c r="G3" s="75"/>
      <c r="H3" s="75"/>
    </row>
    <row r="4" spans="1:8" ht="15.75" thickBot="1">
      <c r="B4" s="2"/>
      <c r="C4" s="2"/>
      <c r="D4" s="2"/>
      <c r="E4" s="2"/>
      <c r="F4" s="2"/>
      <c r="G4" s="2"/>
      <c r="H4" s="2"/>
    </row>
    <row r="5" spans="1:8">
      <c r="A5" s="3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6" t="s">
        <v>8</v>
      </c>
    </row>
    <row r="6" spans="1:8">
      <c r="A6" s="3"/>
      <c r="B6" s="58" t="s">
        <v>81</v>
      </c>
      <c r="C6" s="59"/>
      <c r="D6" s="59"/>
      <c r="E6" s="59"/>
      <c r="F6" s="59"/>
      <c r="G6" s="59"/>
      <c r="H6" s="60"/>
    </row>
    <row r="7" spans="1:8">
      <c r="A7" s="3"/>
      <c r="B7" s="58" t="s">
        <v>82</v>
      </c>
      <c r="C7" s="59"/>
      <c r="D7" s="59"/>
      <c r="E7" s="59"/>
      <c r="F7" s="28"/>
      <c r="G7" s="60"/>
      <c r="H7" s="60"/>
    </row>
    <row r="8" spans="1:8">
      <c r="A8" s="3"/>
      <c r="B8" s="61" t="s">
        <v>83</v>
      </c>
      <c r="C8" s="59" t="s">
        <v>84</v>
      </c>
      <c r="D8" s="59" t="s">
        <v>85</v>
      </c>
      <c r="E8" s="62">
        <v>100</v>
      </c>
      <c r="F8" s="63">
        <v>998.42</v>
      </c>
      <c r="G8" s="64">
        <v>7.4399999999999994E-2</v>
      </c>
      <c r="H8" s="65">
        <v>7.4601000000000001E-2</v>
      </c>
    </row>
    <row r="9" spans="1:8" ht="24">
      <c r="A9" s="3"/>
      <c r="B9" s="61" t="s">
        <v>86</v>
      </c>
      <c r="C9" s="59" t="s">
        <v>87</v>
      </c>
      <c r="D9" s="59" t="s">
        <v>88</v>
      </c>
      <c r="E9" s="62">
        <v>100</v>
      </c>
      <c r="F9" s="63">
        <v>995.71</v>
      </c>
      <c r="G9" s="64">
        <v>7.4200000000000002E-2</v>
      </c>
      <c r="H9" s="65">
        <v>7.4090000000000003E-2</v>
      </c>
    </row>
    <row r="10" spans="1:8" ht="24">
      <c r="A10" s="3"/>
      <c r="B10" s="61" t="s">
        <v>89</v>
      </c>
      <c r="C10" s="59" t="s">
        <v>90</v>
      </c>
      <c r="D10" s="59" t="s">
        <v>91</v>
      </c>
      <c r="E10" s="62">
        <v>65</v>
      </c>
      <c r="F10" s="63">
        <v>648.19000000000005</v>
      </c>
      <c r="G10" s="64">
        <v>4.8300000000000003E-2</v>
      </c>
      <c r="H10" s="65">
        <v>7.8649999999999998E-2</v>
      </c>
    </row>
    <row r="11" spans="1:8">
      <c r="A11" s="3"/>
      <c r="B11" s="61" t="s">
        <v>92</v>
      </c>
      <c r="C11" s="59" t="s">
        <v>93</v>
      </c>
      <c r="D11" s="59" t="s">
        <v>85</v>
      </c>
      <c r="E11" s="62">
        <v>50</v>
      </c>
      <c r="F11" s="63">
        <v>499.82</v>
      </c>
      <c r="G11" s="64">
        <v>3.7199999999999997E-2</v>
      </c>
      <c r="H11" s="65">
        <v>7.3202000000000003E-2</v>
      </c>
    </row>
    <row r="12" spans="1:8" ht="24">
      <c r="A12" s="3"/>
      <c r="B12" s="61" t="s">
        <v>94</v>
      </c>
      <c r="C12" s="59" t="s">
        <v>95</v>
      </c>
      <c r="D12" s="59" t="s">
        <v>85</v>
      </c>
      <c r="E12" s="62">
        <v>50</v>
      </c>
      <c r="F12" s="63">
        <v>499.81</v>
      </c>
      <c r="G12" s="64">
        <v>3.7199999999999997E-2</v>
      </c>
      <c r="H12" s="65">
        <v>7.4493000000000004E-2</v>
      </c>
    </row>
    <row r="13" spans="1:8">
      <c r="A13" s="3"/>
      <c r="B13" s="61" t="s">
        <v>96</v>
      </c>
      <c r="C13" s="59" t="s">
        <v>97</v>
      </c>
      <c r="D13" s="59" t="s">
        <v>85</v>
      </c>
      <c r="E13" s="62">
        <v>50</v>
      </c>
      <c r="F13" s="63">
        <v>498.75</v>
      </c>
      <c r="G13" s="64">
        <v>3.7199999999999997E-2</v>
      </c>
      <c r="H13" s="65">
        <v>7.5101000000000001E-2</v>
      </c>
    </row>
    <row r="14" spans="1:8">
      <c r="A14" s="3"/>
      <c r="B14" s="61" t="s">
        <v>98</v>
      </c>
      <c r="C14" s="59" t="s">
        <v>99</v>
      </c>
      <c r="D14" s="59" t="s">
        <v>85</v>
      </c>
      <c r="E14" s="62">
        <v>50</v>
      </c>
      <c r="F14" s="63">
        <v>495.87</v>
      </c>
      <c r="G14" s="64">
        <v>3.6999999999999998E-2</v>
      </c>
      <c r="H14" s="65">
        <v>7.4119000000000004E-2</v>
      </c>
    </row>
    <row r="15" spans="1:8" ht="24">
      <c r="A15" s="3"/>
      <c r="B15" s="61" t="s">
        <v>100</v>
      </c>
      <c r="C15" s="59" t="s">
        <v>101</v>
      </c>
      <c r="D15" s="59" t="s">
        <v>85</v>
      </c>
      <c r="E15" s="62">
        <v>30</v>
      </c>
      <c r="F15" s="63">
        <v>299.7</v>
      </c>
      <c r="G15" s="64">
        <v>2.23E-2</v>
      </c>
      <c r="H15" s="65">
        <v>7.5879000000000002E-2</v>
      </c>
    </row>
    <row r="16" spans="1:8">
      <c r="A16" s="3"/>
      <c r="B16" s="61" t="s">
        <v>102</v>
      </c>
      <c r="C16" s="59" t="s">
        <v>103</v>
      </c>
      <c r="D16" s="59" t="s">
        <v>85</v>
      </c>
      <c r="E16" s="62">
        <v>20</v>
      </c>
      <c r="F16" s="63">
        <v>198.87</v>
      </c>
      <c r="G16" s="64">
        <v>1.4800000000000001E-2</v>
      </c>
      <c r="H16" s="65">
        <v>7.7853000000000006E-2</v>
      </c>
    </row>
    <row r="17" spans="1:8">
      <c r="A17" s="3"/>
      <c r="B17" s="58" t="s">
        <v>11</v>
      </c>
      <c r="C17" s="59"/>
      <c r="D17" s="59"/>
      <c r="E17" s="59"/>
      <c r="F17" s="66">
        <v>5135.1400000000003</v>
      </c>
      <c r="G17" s="67">
        <v>0.3826</v>
      </c>
      <c r="H17" s="68"/>
    </row>
    <row r="18" spans="1:8">
      <c r="A18" s="3"/>
      <c r="B18" s="69" t="s">
        <v>104</v>
      </c>
      <c r="C18" s="70"/>
      <c r="D18" s="70"/>
      <c r="E18" s="70"/>
      <c r="F18" s="68" t="s">
        <v>105</v>
      </c>
      <c r="G18" s="68" t="s">
        <v>105</v>
      </c>
      <c r="H18" s="68"/>
    </row>
    <row r="19" spans="1:8">
      <c r="A19" s="3"/>
      <c r="B19" s="69" t="s">
        <v>11</v>
      </c>
      <c r="C19" s="70"/>
      <c r="D19" s="70"/>
      <c r="E19" s="70"/>
      <c r="F19" s="68" t="s">
        <v>105</v>
      </c>
      <c r="G19" s="68" t="s">
        <v>105</v>
      </c>
      <c r="H19" s="68"/>
    </row>
    <row r="20" spans="1:8">
      <c r="A20" s="3"/>
      <c r="B20" s="69" t="s">
        <v>12</v>
      </c>
      <c r="C20" s="71"/>
      <c r="D20" s="70"/>
      <c r="E20" s="71"/>
      <c r="F20" s="66">
        <v>5135.1400000000003</v>
      </c>
      <c r="G20" s="67">
        <v>0.3826</v>
      </c>
      <c r="H20" s="68"/>
    </row>
    <row r="21" spans="1:8">
      <c r="A21" s="3"/>
      <c r="B21" s="58" t="s">
        <v>9</v>
      </c>
      <c r="C21" s="59"/>
      <c r="D21" s="59"/>
      <c r="E21" s="59"/>
      <c r="F21" s="59"/>
      <c r="G21" s="59"/>
      <c r="H21" s="60"/>
    </row>
    <row r="22" spans="1:8">
      <c r="A22" s="3"/>
      <c r="B22" s="58" t="s">
        <v>33</v>
      </c>
      <c r="C22" s="59"/>
      <c r="D22" s="59"/>
      <c r="E22" s="59"/>
      <c r="F22" s="28"/>
      <c r="G22" s="60"/>
      <c r="H22" s="60"/>
    </row>
    <row r="23" spans="1:8">
      <c r="A23" s="17" t="s">
        <v>34</v>
      </c>
      <c r="B23" s="61" t="s">
        <v>106</v>
      </c>
      <c r="C23" s="59" t="s">
        <v>107</v>
      </c>
      <c r="D23" s="59" t="s">
        <v>108</v>
      </c>
      <c r="E23" s="62">
        <v>200</v>
      </c>
      <c r="F23" s="63">
        <v>991.48</v>
      </c>
      <c r="G23" s="64">
        <v>7.3899999999999993E-2</v>
      </c>
      <c r="H23" s="65">
        <v>7.1300000000000002E-2</v>
      </c>
    </row>
    <row r="24" spans="1:8">
      <c r="A24" s="17" t="s">
        <v>35</v>
      </c>
      <c r="B24" s="61" t="s">
        <v>109</v>
      </c>
      <c r="C24" s="59" t="s">
        <v>110</v>
      </c>
      <c r="D24" s="59" t="s">
        <v>111</v>
      </c>
      <c r="E24" s="62">
        <v>200</v>
      </c>
      <c r="F24" s="63">
        <v>955.22</v>
      </c>
      <c r="G24" s="64">
        <v>7.1199999999999999E-2</v>
      </c>
      <c r="H24" s="65">
        <v>7.4399999999999994E-2</v>
      </c>
    </row>
    <row r="25" spans="1:8">
      <c r="A25" s="17" t="s">
        <v>36</v>
      </c>
      <c r="B25" s="61" t="s">
        <v>112</v>
      </c>
      <c r="C25" s="59" t="s">
        <v>113</v>
      </c>
      <c r="D25" s="59" t="s">
        <v>114</v>
      </c>
      <c r="E25" s="62">
        <v>200</v>
      </c>
      <c r="F25" s="63">
        <v>952.81</v>
      </c>
      <c r="G25" s="64">
        <v>7.0999999999999994E-2</v>
      </c>
      <c r="H25" s="65">
        <v>7.4399999999999994E-2</v>
      </c>
    </row>
    <row r="26" spans="1:8">
      <c r="A26" s="17" t="s">
        <v>37</v>
      </c>
      <c r="B26" s="61" t="s">
        <v>115</v>
      </c>
      <c r="C26" s="59" t="s">
        <v>116</v>
      </c>
      <c r="D26" s="59" t="s">
        <v>117</v>
      </c>
      <c r="E26" s="62">
        <v>100</v>
      </c>
      <c r="F26" s="63">
        <v>495.79</v>
      </c>
      <c r="G26" s="64">
        <v>3.6900000000000002E-2</v>
      </c>
      <c r="H26" s="65">
        <v>7.0380999999999999E-2</v>
      </c>
    </row>
    <row r="27" spans="1:8">
      <c r="A27" s="17" t="s">
        <v>38</v>
      </c>
      <c r="B27" s="61" t="s">
        <v>118</v>
      </c>
      <c r="C27" s="59" t="s">
        <v>119</v>
      </c>
      <c r="D27" s="59" t="s">
        <v>108</v>
      </c>
      <c r="E27" s="62">
        <v>80</v>
      </c>
      <c r="F27" s="63">
        <v>395.39</v>
      </c>
      <c r="G27" s="64">
        <v>2.9499999999999998E-2</v>
      </c>
      <c r="H27" s="65">
        <v>7.0999999999999994E-2</v>
      </c>
    </row>
    <row r="28" spans="1:8">
      <c r="A28" s="17"/>
      <c r="B28" s="61" t="s">
        <v>120</v>
      </c>
      <c r="C28" s="59" t="s">
        <v>121</v>
      </c>
      <c r="D28" s="59" t="s">
        <v>108</v>
      </c>
      <c r="E28" s="62">
        <v>50</v>
      </c>
      <c r="F28" s="63">
        <v>249.56</v>
      </c>
      <c r="G28" s="64">
        <v>1.8599999999999998E-2</v>
      </c>
      <c r="H28" s="65">
        <v>7.2235999999999995E-2</v>
      </c>
    </row>
    <row r="29" spans="1:8">
      <c r="A29" s="17"/>
      <c r="B29" s="58" t="s">
        <v>11</v>
      </c>
      <c r="C29" s="59"/>
      <c r="D29" s="59"/>
      <c r="E29" s="59"/>
      <c r="F29" s="66">
        <v>4040.25</v>
      </c>
      <c r="G29" s="67">
        <v>0.30109999999999998</v>
      </c>
      <c r="H29" s="68"/>
    </row>
    <row r="30" spans="1:8">
      <c r="A30" s="17" t="s">
        <v>40</v>
      </c>
      <c r="B30" s="58" t="s">
        <v>39</v>
      </c>
      <c r="C30" s="59"/>
      <c r="D30" s="59"/>
      <c r="E30" s="59"/>
      <c r="F30" s="28"/>
      <c r="G30" s="60"/>
      <c r="H30" s="60"/>
    </row>
    <row r="31" spans="1:8" ht="24">
      <c r="A31" s="17" t="s">
        <v>41</v>
      </c>
      <c r="B31" s="61" t="s">
        <v>122</v>
      </c>
      <c r="C31" s="59" t="s">
        <v>123</v>
      </c>
      <c r="D31" s="59" t="s">
        <v>108</v>
      </c>
      <c r="E31" s="62">
        <v>200</v>
      </c>
      <c r="F31" s="63">
        <v>959.68</v>
      </c>
      <c r="G31" s="64">
        <v>7.1499999999999994E-2</v>
      </c>
      <c r="H31" s="65">
        <v>7.6674999999999993E-2</v>
      </c>
    </row>
    <row r="32" spans="1:8">
      <c r="A32" s="17" t="s">
        <v>42</v>
      </c>
      <c r="B32" s="61" t="s">
        <v>124</v>
      </c>
      <c r="C32" s="59" t="s">
        <v>125</v>
      </c>
      <c r="D32" s="59" t="s">
        <v>111</v>
      </c>
      <c r="E32" s="62">
        <v>180</v>
      </c>
      <c r="F32" s="63">
        <v>887.95</v>
      </c>
      <c r="G32" s="64">
        <v>6.6199999999999995E-2</v>
      </c>
      <c r="H32" s="65">
        <v>7.3952000000000004E-2</v>
      </c>
    </row>
    <row r="33" spans="1:8" ht="24">
      <c r="A33" s="17"/>
      <c r="B33" s="61" t="s">
        <v>126</v>
      </c>
      <c r="C33" s="59" t="s">
        <v>127</v>
      </c>
      <c r="D33" s="59" t="s">
        <v>108</v>
      </c>
      <c r="E33" s="62">
        <v>40</v>
      </c>
      <c r="F33" s="63">
        <v>198.93</v>
      </c>
      <c r="G33" s="64">
        <v>1.4800000000000001E-2</v>
      </c>
      <c r="H33" s="65">
        <v>7.2500499999999996E-2</v>
      </c>
    </row>
    <row r="34" spans="1:8">
      <c r="A34" s="3"/>
      <c r="B34" s="58" t="s">
        <v>11</v>
      </c>
      <c r="C34" s="59"/>
      <c r="D34" s="59"/>
      <c r="E34" s="59"/>
      <c r="F34" s="66">
        <v>2046.56</v>
      </c>
      <c r="G34" s="67">
        <v>0.1525</v>
      </c>
      <c r="H34" s="68"/>
    </row>
    <row r="35" spans="1:8">
      <c r="A35" s="17" t="s">
        <v>43</v>
      </c>
      <c r="B35" s="58" t="s">
        <v>10</v>
      </c>
      <c r="C35" s="59"/>
      <c r="D35" s="59"/>
      <c r="E35" s="59"/>
      <c r="F35" s="28"/>
      <c r="G35" s="60"/>
      <c r="H35" s="60"/>
    </row>
    <row r="36" spans="1:8">
      <c r="A36" s="17" t="s">
        <v>45</v>
      </c>
      <c r="B36" s="61" t="s">
        <v>128</v>
      </c>
      <c r="C36" s="59" t="s">
        <v>129</v>
      </c>
      <c r="D36" s="59" t="s">
        <v>44</v>
      </c>
      <c r="E36" s="62">
        <v>1000000</v>
      </c>
      <c r="F36" s="63">
        <v>941.99</v>
      </c>
      <c r="G36" s="64">
        <v>7.0199999999999999E-2</v>
      </c>
      <c r="H36" s="65">
        <v>7.1819999999999995E-2</v>
      </c>
    </row>
    <row r="37" spans="1:8">
      <c r="A37" s="17" t="s">
        <v>46</v>
      </c>
      <c r="B37" s="61" t="s">
        <v>49</v>
      </c>
      <c r="C37" s="59" t="s">
        <v>50</v>
      </c>
      <c r="D37" s="59" t="s">
        <v>44</v>
      </c>
      <c r="E37" s="62">
        <v>500000</v>
      </c>
      <c r="F37" s="63">
        <v>494.36</v>
      </c>
      <c r="G37" s="64">
        <v>3.6799999999999999E-2</v>
      </c>
      <c r="H37" s="65">
        <v>6.8250000000000005E-2</v>
      </c>
    </row>
    <row r="38" spans="1:8">
      <c r="A38" s="17" t="s">
        <v>47</v>
      </c>
      <c r="B38" s="58" t="s">
        <v>11</v>
      </c>
      <c r="C38" s="59"/>
      <c r="D38" s="59"/>
      <c r="E38" s="59"/>
      <c r="F38" s="66">
        <v>1436.35</v>
      </c>
      <c r="G38" s="67">
        <v>0.107</v>
      </c>
      <c r="H38" s="68"/>
    </row>
    <row r="39" spans="1:8">
      <c r="A39" s="17" t="s">
        <v>48</v>
      </c>
      <c r="B39" s="69" t="s">
        <v>12</v>
      </c>
      <c r="C39" s="71"/>
      <c r="D39" s="70"/>
      <c r="E39" s="71"/>
      <c r="F39" s="66">
        <v>7523.16</v>
      </c>
      <c r="G39" s="67">
        <v>0.56059999999999999</v>
      </c>
      <c r="H39" s="68"/>
    </row>
    <row r="40" spans="1:8">
      <c r="A40" s="3"/>
      <c r="B40" s="58" t="s">
        <v>130</v>
      </c>
      <c r="C40" s="59"/>
      <c r="D40" s="59"/>
      <c r="E40" s="59"/>
      <c r="F40" s="59"/>
      <c r="G40" s="59"/>
      <c r="H40" s="60"/>
    </row>
    <row r="41" spans="1:8">
      <c r="A41" s="3"/>
      <c r="B41" s="61" t="s">
        <v>131</v>
      </c>
      <c r="C41" s="59"/>
      <c r="D41" s="59"/>
      <c r="E41" s="62"/>
      <c r="F41" s="63">
        <v>1316.47</v>
      </c>
      <c r="G41" s="64">
        <v>9.8100000000000007E-2</v>
      </c>
      <c r="H41" s="65">
        <v>7.0627209794293544E-2</v>
      </c>
    </row>
    <row r="42" spans="1:8">
      <c r="A42" s="3"/>
      <c r="B42" s="58" t="s">
        <v>11</v>
      </c>
      <c r="C42" s="59"/>
      <c r="D42" s="59"/>
      <c r="E42" s="59"/>
      <c r="F42" s="66">
        <v>1316.47</v>
      </c>
      <c r="G42" s="67">
        <v>9.8100000000000007E-2</v>
      </c>
      <c r="H42" s="68"/>
    </row>
    <row r="43" spans="1:8">
      <c r="A43" s="17" t="s">
        <v>51</v>
      </c>
      <c r="B43" s="69" t="s">
        <v>104</v>
      </c>
      <c r="C43" s="70"/>
      <c r="D43" s="70"/>
      <c r="E43" s="70"/>
      <c r="F43" s="68" t="s">
        <v>105</v>
      </c>
      <c r="G43" s="68" t="s">
        <v>105</v>
      </c>
      <c r="H43" s="68"/>
    </row>
    <row r="44" spans="1:8">
      <c r="A44" s="3"/>
      <c r="B44" s="69" t="s">
        <v>11</v>
      </c>
      <c r="C44" s="70"/>
      <c r="D44" s="70"/>
      <c r="E44" s="70"/>
      <c r="F44" s="68" t="s">
        <v>105</v>
      </c>
      <c r="G44" s="68" t="s">
        <v>105</v>
      </c>
      <c r="H44" s="68"/>
    </row>
    <row r="45" spans="1:8">
      <c r="A45" s="3"/>
      <c r="B45" s="69" t="s">
        <v>12</v>
      </c>
      <c r="C45" s="71"/>
      <c r="D45" s="70"/>
      <c r="E45" s="71"/>
      <c r="F45" s="66">
        <v>1316.47</v>
      </c>
      <c r="G45" s="67">
        <v>9.8100000000000007E-2</v>
      </c>
      <c r="H45" s="68"/>
    </row>
    <row r="46" spans="1:8">
      <c r="A46" s="3"/>
      <c r="B46" s="69" t="s">
        <v>13</v>
      </c>
      <c r="C46" s="59"/>
      <c r="D46" s="70"/>
      <c r="E46" s="59"/>
      <c r="F46" s="72">
        <v>-556.66</v>
      </c>
      <c r="G46" s="67">
        <v>-4.1300000000000003E-2</v>
      </c>
      <c r="H46" s="68"/>
    </row>
    <row r="47" spans="1:8" ht="15.75" thickBot="1">
      <c r="A47" s="3"/>
      <c r="B47" s="7" t="s">
        <v>14</v>
      </c>
      <c r="C47" s="8"/>
      <c r="D47" s="8"/>
      <c r="E47" s="8"/>
      <c r="F47" s="9">
        <f>+F20+F39+F45+F46</f>
        <v>13418.109999999999</v>
      </c>
      <c r="G47" s="10">
        <f>+G20+G39+G45+G46</f>
        <v>1</v>
      </c>
      <c r="H47" s="11"/>
    </row>
    <row r="48" spans="1:8">
      <c r="A48" s="3"/>
      <c r="B48" s="31"/>
      <c r="C48" s="12"/>
      <c r="D48" s="12"/>
      <c r="E48" s="12"/>
      <c r="F48" s="32"/>
      <c r="G48" s="33"/>
      <c r="H48" s="34"/>
    </row>
    <row r="49" spans="1:8">
      <c r="A49" s="3"/>
      <c r="B49" s="31" t="s">
        <v>53</v>
      </c>
      <c r="C49" s="12"/>
      <c r="D49" s="12"/>
      <c r="E49" s="12"/>
      <c r="F49" s="32"/>
      <c r="G49" s="33"/>
      <c r="H49" s="34"/>
    </row>
    <row r="50" spans="1:8">
      <c r="A50" s="3"/>
      <c r="B50" s="31" t="s">
        <v>54</v>
      </c>
      <c r="C50" s="12"/>
      <c r="D50" s="12"/>
      <c r="E50" s="12"/>
      <c r="F50" s="32"/>
      <c r="G50" s="33"/>
      <c r="H50" s="34"/>
    </row>
    <row r="51" spans="1:8">
      <c r="A51" s="3"/>
      <c r="B51" s="12"/>
      <c r="C51" s="35"/>
      <c r="D51" s="35"/>
      <c r="E51" s="35"/>
      <c r="F51" s="35"/>
      <c r="G51" s="35"/>
      <c r="H51" s="35"/>
    </row>
    <row r="52" spans="1:8">
      <c r="A52" s="3"/>
      <c r="B52" s="76" t="s">
        <v>15</v>
      </c>
      <c r="C52" s="76"/>
      <c r="D52" s="76"/>
      <c r="E52" s="76"/>
      <c r="F52" s="35"/>
      <c r="G52" s="35"/>
      <c r="H52" s="35"/>
    </row>
    <row r="53" spans="1:8">
      <c r="A53" s="3"/>
      <c r="B53" s="77" t="s">
        <v>133</v>
      </c>
      <c r="C53" s="77"/>
      <c r="D53" s="77"/>
      <c r="E53" s="77"/>
      <c r="F53" s="77"/>
      <c r="G53" s="77"/>
      <c r="H53" s="77"/>
    </row>
    <row r="54" spans="1:8" s="14" customFormat="1" ht="12.75">
      <c r="A54" s="13"/>
      <c r="B54" s="29" t="s">
        <v>134</v>
      </c>
      <c r="C54" s="30"/>
      <c r="D54" s="36"/>
      <c r="E54" s="36"/>
      <c r="F54" s="36"/>
      <c r="G54" s="36"/>
      <c r="H54" s="37"/>
    </row>
    <row r="55" spans="1:8" customFormat="1">
      <c r="A55" s="28"/>
      <c r="B55" s="77" t="s">
        <v>16</v>
      </c>
      <c r="C55" s="78"/>
      <c r="D55" s="78"/>
      <c r="E55" s="78"/>
      <c r="F55" s="38"/>
      <c r="G55" s="38"/>
      <c r="H55" s="38"/>
    </row>
    <row r="56" spans="1:8" ht="36">
      <c r="B56" s="22" t="s">
        <v>17</v>
      </c>
      <c r="C56" s="19" t="s">
        <v>132</v>
      </c>
      <c r="D56" s="19" t="s">
        <v>52</v>
      </c>
      <c r="E56" s="39"/>
      <c r="F56" s="40"/>
      <c r="G56" s="23"/>
      <c r="H56" s="40"/>
    </row>
    <row r="57" spans="1:8">
      <c r="B57" s="20" t="s">
        <v>18</v>
      </c>
      <c r="C57" s="21">
        <v>1200.7798</v>
      </c>
      <c r="D57" s="21">
        <v>1161.9708000000001</v>
      </c>
      <c r="E57" s="39"/>
      <c r="F57" s="48"/>
      <c r="G57" s="39"/>
      <c r="H57" s="73"/>
    </row>
    <row r="58" spans="1:8">
      <c r="B58" s="20" t="s">
        <v>19</v>
      </c>
      <c r="C58" s="21">
        <v>1174.8905999999999</v>
      </c>
      <c r="D58" s="21">
        <v>1140.6071999999999</v>
      </c>
      <c r="E58" s="39"/>
      <c r="F58" s="48"/>
      <c r="G58" s="39"/>
      <c r="H58" s="73"/>
    </row>
    <row r="59" spans="1:8">
      <c r="B59" s="20" t="s">
        <v>20</v>
      </c>
      <c r="C59" s="21">
        <v>1005.1294</v>
      </c>
      <c r="D59" s="21">
        <v>1003.0376</v>
      </c>
      <c r="E59" s="39"/>
      <c r="F59" s="48"/>
      <c r="G59" s="39"/>
      <c r="H59" s="73"/>
    </row>
    <row r="60" spans="1:8">
      <c r="B60" s="20" t="s">
        <v>21</v>
      </c>
      <c r="C60" s="21">
        <v>1004.8043</v>
      </c>
      <c r="D60" s="21">
        <v>1002.7028</v>
      </c>
      <c r="E60" s="39"/>
      <c r="F60" s="48"/>
      <c r="G60" s="39"/>
      <c r="H60" s="73"/>
    </row>
    <row r="61" spans="1:8">
      <c r="B61" s="20" t="s">
        <v>22</v>
      </c>
      <c r="C61" s="21">
        <v>1002.98</v>
      </c>
      <c r="D61" s="21">
        <v>1002.3035</v>
      </c>
      <c r="E61" s="39"/>
      <c r="F61" s="48"/>
      <c r="G61" s="39"/>
      <c r="H61" s="73"/>
    </row>
    <row r="62" spans="1:8">
      <c r="B62" s="20" t="s">
        <v>23</v>
      </c>
      <c r="C62" s="21">
        <v>1003.5748</v>
      </c>
      <c r="D62" s="21">
        <v>1003.2164</v>
      </c>
      <c r="E62" s="39"/>
      <c r="F62" s="48"/>
      <c r="G62" s="39"/>
      <c r="H62" s="73"/>
    </row>
    <row r="63" spans="1:8">
      <c r="B63" s="20" t="s">
        <v>24</v>
      </c>
      <c r="C63" s="21">
        <v>1001.4704</v>
      </c>
      <c r="D63" s="21">
        <v>1001.4656</v>
      </c>
      <c r="E63" s="39"/>
      <c r="F63" s="48"/>
      <c r="G63" s="39"/>
      <c r="H63" s="73"/>
    </row>
    <row r="64" spans="1:8">
      <c r="B64" s="20" t="s">
        <v>25</v>
      </c>
      <c r="C64" s="21">
        <v>1001.4596</v>
      </c>
      <c r="D64" s="21">
        <v>1001.4574</v>
      </c>
      <c r="E64" s="39"/>
      <c r="F64" s="48"/>
      <c r="G64" s="39"/>
      <c r="H64" s="73"/>
    </row>
    <row r="65" spans="1:8">
      <c r="B65" s="20" t="s">
        <v>26</v>
      </c>
      <c r="C65" s="21">
        <v>1002.9506</v>
      </c>
      <c r="D65" s="21">
        <v>1002.6324</v>
      </c>
      <c r="E65" s="39"/>
      <c r="F65" s="48"/>
      <c r="G65" s="39"/>
      <c r="H65" s="73"/>
    </row>
    <row r="66" spans="1:8">
      <c r="B66" s="20" t="s">
        <v>27</v>
      </c>
      <c r="C66" s="21">
        <v>1002.8296</v>
      </c>
      <c r="D66" s="21">
        <v>1002.1837</v>
      </c>
      <c r="E66" s="39"/>
      <c r="F66" s="48"/>
      <c r="G66" s="39"/>
      <c r="H66" s="74"/>
    </row>
    <row r="67" spans="1:8">
      <c r="B67" s="15" t="s">
        <v>28</v>
      </c>
      <c r="C67" s="41"/>
      <c r="D67" s="41"/>
      <c r="E67" s="40"/>
      <c r="F67" s="40"/>
      <c r="G67" s="40"/>
      <c r="H67" s="40"/>
    </row>
    <row r="68" spans="1:8" customFormat="1">
      <c r="B68" s="77" t="s">
        <v>135</v>
      </c>
      <c r="C68" s="77"/>
      <c r="D68" s="77"/>
      <c r="E68" s="78"/>
      <c r="F68" s="78"/>
      <c r="G68" s="39"/>
      <c r="H68" s="39"/>
    </row>
    <row r="69" spans="1:8" customFormat="1">
      <c r="B69" s="18"/>
      <c r="C69" s="18"/>
      <c r="D69" s="26" t="s">
        <v>29</v>
      </c>
      <c r="E69" s="39"/>
      <c r="F69" s="39"/>
      <c r="G69" s="39"/>
      <c r="H69" s="39"/>
    </row>
    <row r="70" spans="1:8" customFormat="1" ht="24">
      <c r="B70" s="24" t="s">
        <v>30</v>
      </c>
      <c r="C70" s="25" t="s">
        <v>31</v>
      </c>
      <c r="D70" s="25" t="s">
        <v>32</v>
      </c>
      <c r="E70" s="39"/>
      <c r="F70" s="39"/>
      <c r="G70" s="39"/>
      <c r="H70" s="39"/>
    </row>
    <row r="71" spans="1:8" customFormat="1">
      <c r="B71" s="20" t="s">
        <v>24</v>
      </c>
      <c r="C71" s="42">
        <v>34.945856950000007</v>
      </c>
      <c r="D71" s="42">
        <v>34.945856950000007</v>
      </c>
      <c r="E71" s="43"/>
      <c r="F71" s="39"/>
      <c r="G71" s="39"/>
      <c r="H71" s="39"/>
    </row>
    <row r="72" spans="1:8" customFormat="1">
      <c r="B72" s="20" t="s">
        <v>26</v>
      </c>
      <c r="C72" s="42">
        <v>32.785642530000004</v>
      </c>
      <c r="D72" s="42">
        <v>32.785642530000004</v>
      </c>
      <c r="E72" s="43"/>
      <c r="F72" s="39"/>
      <c r="G72" s="39"/>
      <c r="H72" s="39"/>
    </row>
    <row r="73" spans="1:8" customFormat="1">
      <c r="B73" s="20" t="s">
        <v>20</v>
      </c>
      <c r="C73" s="42">
        <v>30.931350139999999</v>
      </c>
      <c r="D73" s="42">
        <v>30.931350139999999</v>
      </c>
      <c r="E73" s="43"/>
      <c r="F73" s="39"/>
      <c r="G73" s="39"/>
      <c r="H73" s="39"/>
    </row>
    <row r="74" spans="1:8" customFormat="1">
      <c r="B74" s="20" t="s">
        <v>23</v>
      </c>
      <c r="C74" s="42">
        <v>32.161228179999995</v>
      </c>
      <c r="D74" s="42">
        <v>32.161228179999995</v>
      </c>
      <c r="E74" s="43"/>
      <c r="F74" s="39"/>
      <c r="G74" s="39"/>
      <c r="H74" s="39"/>
    </row>
    <row r="75" spans="1:8" customFormat="1">
      <c r="B75" s="20" t="s">
        <v>25</v>
      </c>
      <c r="C75" s="42">
        <v>30.349602029999996</v>
      </c>
      <c r="D75" s="42">
        <v>30.349602029999996</v>
      </c>
      <c r="E75" s="43"/>
      <c r="F75" s="39"/>
      <c r="G75" s="39"/>
      <c r="H75" s="39"/>
    </row>
    <row r="76" spans="1:8" customFormat="1">
      <c r="B76" s="20" t="s">
        <v>27</v>
      </c>
      <c r="C76" s="42">
        <v>28.98865404</v>
      </c>
      <c r="D76" s="42">
        <v>28.98865404</v>
      </c>
      <c r="E76" s="43"/>
      <c r="F76" s="39"/>
      <c r="G76" s="39"/>
      <c r="H76" s="39"/>
    </row>
    <row r="77" spans="1:8" customFormat="1">
      <c r="B77" s="20" t="s">
        <v>21</v>
      </c>
      <c r="C77" s="42">
        <v>27.605164510000002</v>
      </c>
      <c r="D77" s="42">
        <v>27.605164510000002</v>
      </c>
      <c r="E77" s="43"/>
      <c r="F77" s="39"/>
      <c r="G77" s="39"/>
      <c r="H77" s="39"/>
    </row>
    <row r="78" spans="1:8" customFormat="1">
      <c r="B78" s="20" t="s">
        <v>22</v>
      </c>
      <c r="C78" s="42">
        <v>29.369103299999999</v>
      </c>
      <c r="D78" s="42">
        <v>29.369103299999999</v>
      </c>
      <c r="E78" s="43"/>
      <c r="F78" s="39"/>
      <c r="G78" s="39"/>
      <c r="H78" s="39"/>
    </row>
    <row r="79" spans="1:8" customFormat="1">
      <c r="A79" s="27"/>
      <c r="B79" s="44" t="s">
        <v>55</v>
      </c>
      <c r="C79" s="44"/>
      <c r="D79" s="44"/>
      <c r="E79" s="44"/>
      <c r="F79" s="44"/>
      <c r="G79" s="44"/>
      <c r="H79" s="39"/>
    </row>
    <row r="80" spans="1:8">
      <c r="B80" s="18" t="s">
        <v>136</v>
      </c>
      <c r="C80" s="41"/>
      <c r="D80" s="41"/>
      <c r="E80" s="40"/>
      <c r="F80" s="40"/>
      <c r="G80" s="40"/>
      <c r="H80" s="40"/>
    </row>
    <row r="81" spans="2:10">
      <c r="B81" s="18" t="s">
        <v>139</v>
      </c>
      <c r="C81" s="16"/>
      <c r="D81" s="41"/>
      <c r="E81" s="40"/>
      <c r="F81" s="40"/>
      <c r="G81" s="40"/>
      <c r="H81" s="40"/>
    </row>
    <row r="82" spans="2:10">
      <c r="B82" s="15" t="s">
        <v>140</v>
      </c>
      <c r="C82" s="16"/>
      <c r="D82" s="41"/>
      <c r="E82" s="40"/>
      <c r="F82" s="40"/>
      <c r="G82" s="40"/>
      <c r="H82" s="40"/>
    </row>
    <row r="83" spans="2:10" s="2" customFormat="1">
      <c r="B83" s="47" t="s">
        <v>138</v>
      </c>
      <c r="C83" s="45"/>
      <c r="D83" s="41"/>
      <c r="E83" s="46"/>
      <c r="F83" s="46"/>
      <c r="G83" s="46"/>
      <c r="H83" s="46"/>
    </row>
    <row r="84" spans="2:10" customFormat="1">
      <c r="B84" s="18" t="s">
        <v>137</v>
      </c>
      <c r="C84" s="39"/>
      <c r="D84" s="39"/>
      <c r="E84" s="39"/>
      <c r="F84" s="39"/>
      <c r="G84" s="39"/>
      <c r="H84" s="39"/>
    </row>
    <row r="85" spans="2:10" customFormat="1" ht="15.75" thickBot="1">
      <c r="B85" s="18"/>
      <c r="C85" s="39"/>
      <c r="D85" s="39"/>
      <c r="E85" s="39"/>
      <c r="F85" s="39"/>
      <c r="G85" s="79" t="s">
        <v>56</v>
      </c>
      <c r="H85" s="79"/>
      <c r="I85" s="79"/>
      <c r="J85" s="44"/>
    </row>
    <row r="86" spans="2:10" customFormat="1" ht="15.75" thickBot="1">
      <c r="B86" s="18"/>
      <c r="C86" s="39"/>
      <c r="D86" s="39"/>
      <c r="E86" s="39"/>
      <c r="F86" s="39"/>
      <c r="G86" s="49" t="s">
        <v>57</v>
      </c>
      <c r="H86" s="49" t="s">
        <v>58</v>
      </c>
      <c r="I86" s="49" t="s">
        <v>66</v>
      </c>
      <c r="J86" s="49" t="s">
        <v>65</v>
      </c>
    </row>
    <row r="87" spans="2:10" customFormat="1" ht="25.5" thickBot="1">
      <c r="B87" s="18"/>
      <c r="C87" s="39"/>
      <c r="D87" s="39"/>
      <c r="E87" s="39"/>
      <c r="F87" s="39"/>
      <c r="G87" s="50" t="s">
        <v>0</v>
      </c>
      <c r="H87" s="51" t="s">
        <v>59</v>
      </c>
      <c r="I87" s="51"/>
      <c r="J87" s="51"/>
    </row>
    <row r="88" spans="2:10" ht="73.5" thickBot="1">
      <c r="G88" s="51" t="s">
        <v>60</v>
      </c>
      <c r="H88" s="51" t="s">
        <v>61</v>
      </c>
      <c r="I88" s="80"/>
      <c r="J88" s="80"/>
    </row>
    <row r="89" spans="2:10" ht="49.5" thickBot="1">
      <c r="G89" s="51"/>
      <c r="H89" s="52" t="s">
        <v>62</v>
      </c>
      <c r="I89" s="81"/>
      <c r="J89" s="81"/>
    </row>
    <row r="90" spans="2:10" ht="16.5" customHeight="1" thickBot="1">
      <c r="G90" s="51"/>
      <c r="H90" s="51"/>
      <c r="I90" s="51"/>
      <c r="J90" s="50" t="s">
        <v>63</v>
      </c>
    </row>
    <row r="91" spans="2:10" ht="25.5" thickBot="1">
      <c r="G91" s="51"/>
      <c r="H91" s="51"/>
      <c r="I91" s="51"/>
      <c r="J91" s="51" t="s">
        <v>64</v>
      </c>
    </row>
    <row r="92" spans="2:10" ht="23.25" customHeight="1"/>
    <row r="93" spans="2:10" ht="15.75" thickBot="1">
      <c r="G93" s="53" t="s">
        <v>67</v>
      </c>
      <c r="H93" s="44"/>
      <c r="I93" s="44"/>
      <c r="J93" s="44"/>
    </row>
    <row r="94" spans="2:10" ht="15.75" thickBot="1">
      <c r="G94" s="82" t="s">
        <v>68</v>
      </c>
      <c r="H94" s="54" t="s">
        <v>69</v>
      </c>
      <c r="I94" s="54" t="s">
        <v>70</v>
      </c>
      <c r="J94" s="54" t="s">
        <v>71</v>
      </c>
    </row>
    <row r="95" spans="2:10" ht="15.75" thickBot="1">
      <c r="G95" s="83"/>
      <c r="H95" s="54" t="s">
        <v>72</v>
      </c>
      <c r="I95" s="54" t="s">
        <v>73</v>
      </c>
      <c r="J95" s="54" t="s">
        <v>74</v>
      </c>
    </row>
    <row r="96" spans="2:10" ht="15.75" thickBot="1">
      <c r="G96" s="55" t="s">
        <v>75</v>
      </c>
      <c r="H96" s="56"/>
      <c r="I96" s="56"/>
      <c r="J96" s="56"/>
    </row>
    <row r="97" spans="7:10" ht="15.75" thickBot="1">
      <c r="G97" s="56" t="s">
        <v>76</v>
      </c>
      <c r="H97" s="56"/>
      <c r="I97" s="57" t="s">
        <v>77</v>
      </c>
      <c r="J97" s="56"/>
    </row>
    <row r="98" spans="7:10" ht="15.75" thickBot="1">
      <c r="G98" s="56" t="s">
        <v>78</v>
      </c>
      <c r="H98" s="56"/>
      <c r="I98" s="56"/>
      <c r="J98" s="56"/>
    </row>
    <row r="99" spans="7:10" ht="15.75" thickBot="1">
      <c r="G99" s="56" t="s">
        <v>79</v>
      </c>
      <c r="H99" s="56"/>
      <c r="I99" s="56"/>
      <c r="J99" s="56"/>
    </row>
  </sheetData>
  <mergeCells count="11">
    <mergeCell ref="G85:I85"/>
    <mergeCell ref="I88:I89"/>
    <mergeCell ref="J88:J89"/>
    <mergeCell ref="G94:G95"/>
    <mergeCell ref="B68:F68"/>
    <mergeCell ref="B1:H1"/>
    <mergeCell ref="B2:H2"/>
    <mergeCell ref="B3:H3"/>
    <mergeCell ref="B52:E52"/>
    <mergeCell ref="B55:E55"/>
    <mergeCell ref="B53:H53"/>
  </mergeCells>
  <pageMargins left="0.23622047244094499" right="0.23622047244094499" top="0.74803149606299202" bottom="0.74803149606299202" header="0.31496062992126" footer="0.31496062992126"/>
  <pageSetup paperSize="8" scale="54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02CC933-E0E5-4804-98A1-000B3CB08D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A263F-AD2D-4848-90C3-463F10319F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3D70CF-98F6-4152-9532-F2CBE0522EA1}">
  <ds:schemaRefs>
    <ds:schemaRef ds:uri="1422913c-d92f-4d2c-b490-c8fd67f75f1c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2100dc5-b973-4d35-8fea-d2a4eb7a8f26"/>
    <ds:schemaRef ds:uri="http://schemas.microsoft.com/office/2006/metadata/properties"/>
    <ds:schemaRef ds:uri="http://www.w3.org/XML/1998/namespace"/>
    <ds:schemaRef ds:uri="http://purl.org/dc/dcmitype/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2022-10-06T16:39:30Z</cp:lastPrinted>
  <dcterms:created xsi:type="dcterms:W3CDTF">2022-04-08T12:19:28Z</dcterms:created>
  <dcterms:modified xsi:type="dcterms:W3CDTF">2023-04-07T15:04:09Z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  <property fmtid="{D5CDD505-2E9C-101B-9397-08002B2CF9AE}" pid="4" name="MSIP_Label_af1741f6-9e47-426e-a683-937c37d4ebc5_Enabled">
    <vt:lpwstr>true</vt:lpwstr>
  </property>
  <property fmtid="{D5CDD505-2E9C-101B-9397-08002B2CF9AE}" pid="5" name="MSIP_Label_af1741f6-9e47-426e-a683-937c37d4ebc5_SetDate">
    <vt:lpwstr>2023-04-07T07:03:03Z</vt:lpwstr>
  </property>
  <property fmtid="{D5CDD505-2E9C-101B-9397-08002B2CF9AE}" pid="6" name="MSIP_Label_af1741f6-9e47-426e-a683-937c37d4ebc5_Method">
    <vt:lpwstr>Privileged</vt:lpwstr>
  </property>
  <property fmtid="{D5CDD505-2E9C-101B-9397-08002B2CF9AE}" pid="7" name="MSIP_Label_af1741f6-9e47-426e-a683-937c37d4ebc5_Name">
    <vt:lpwstr>af1741f6-9e47-426e-a683-937c37d4ebc5</vt:lpwstr>
  </property>
  <property fmtid="{D5CDD505-2E9C-101B-9397-08002B2CF9AE}" pid="8" name="MSIP_Label_af1741f6-9e47-426e-a683-937c37d4ebc5_SiteId">
    <vt:lpwstr>1e9b61e8-e590-4abc-b1af-24125e330d2a</vt:lpwstr>
  </property>
  <property fmtid="{D5CDD505-2E9C-101B-9397-08002B2CF9AE}" pid="9" name="MSIP_Label_af1741f6-9e47-426e-a683-937c37d4ebc5_ActionId">
    <vt:lpwstr>710ce7b8-f81b-4383-b39f-13744b71851c</vt:lpwstr>
  </property>
  <property fmtid="{D5CDD505-2E9C-101B-9397-08002B2CF9AE}" pid="10" name="MSIP_Label_af1741f6-9e47-426e-a683-937c37d4ebc5_ContentBits">
    <vt:lpwstr>3</vt:lpwstr>
  </property>
  <property fmtid="{D5CDD505-2E9C-101B-9397-08002B2CF9AE}" pid="11" name="db.comClassification">
    <vt:lpwstr>For internal use only</vt:lpwstr>
  </property>
</Properties>
</file>