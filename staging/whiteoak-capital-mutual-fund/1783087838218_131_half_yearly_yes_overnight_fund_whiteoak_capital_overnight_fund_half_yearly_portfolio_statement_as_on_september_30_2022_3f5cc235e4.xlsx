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Half Yearly/30 Sep 2022/"/>
    </mc:Choice>
  </mc:AlternateContent>
  <xr:revisionPtr revIDLastSave="20" documentId="11_DCDF471B960C1584DCAEB926E66B1A926D7A3B8B" xr6:coauthVersionLast="47" xr6:coauthVersionMax="47" xr10:uidLastSave="{84C78AE4-3D16-454C-ABCA-BCC0633278C2}"/>
  <bookViews>
    <workbookView xWindow="-120" yWindow="-120" windowWidth="20730" windowHeight="11160" xr2:uid="{00000000-000D-0000-FFFF-FFFF00000000}"/>
  </bookViews>
  <sheets>
    <sheet name="YM003" sheetId="1" r:id="rId1"/>
  </sheets>
  <externalReferences>
    <externalReference r:id="rId2"/>
  </externalReferences>
  <definedNames>
    <definedName name="JR_PAGE_ANCHOR_0_1">[1]YM001!#REF!</definedName>
    <definedName name="JR_PAGE_ANCHOR_0_2">[1]YM002!#REF!</definedName>
    <definedName name="JR_PAGE_ANCHOR_0_3">'YM003'!#REF!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 s="1"/>
  <c r="G11" i="1" s="1"/>
  <c r="F8" i="1"/>
  <c r="F9" i="1" s="1"/>
  <c r="F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computer 2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computer 2:</t>
        </r>
        <r>
          <rPr>
            <sz val="9"/>
            <color indexed="81"/>
            <rFont val="Tahoma"/>
            <family val="2"/>
          </rPr>
          <t xml:space="preserve">
not in monthly
</t>
        </r>
      </text>
    </comment>
  </commentList>
</comments>
</file>

<file path=xl/sharedStrings.xml><?xml version="1.0" encoding="utf-8"?>
<sst xmlns="http://schemas.openxmlformats.org/spreadsheetml/2006/main" count="76" uniqueCount="70">
  <si>
    <t xml:space="preserve">WhiteOak Capital  Overnight Fund </t>
  </si>
  <si>
    <t>(An open ended debt scheme investing in overnight securities. A relatively Low Interest Rate Risk and relatively Low Credit Risk.)</t>
  </si>
  <si>
    <t>Name of the Instrument</t>
  </si>
  <si>
    <t>ISIN</t>
  </si>
  <si>
    <t>Industry / Rating</t>
  </si>
  <si>
    <t>Quantity</t>
  </si>
  <si>
    <t>Market/Fair Value (Rs. in Lakhs)</t>
  </si>
  <si>
    <t>% to Net Assets</t>
  </si>
  <si>
    <t>YTM</t>
  </si>
  <si>
    <t>TREPS / Reverse Repo</t>
  </si>
  <si>
    <t>TRP_040422</t>
  </si>
  <si>
    <t>Sub Total</t>
  </si>
  <si>
    <t>Total</t>
  </si>
  <si>
    <t>Net Receivables / (Payables)</t>
  </si>
  <si>
    <t>GRAND TOTAL</t>
  </si>
  <si>
    <t>Notes :</t>
  </si>
  <si>
    <t>(3)  Net Assets Value per unit (in Rupees) are as follows:</t>
  </si>
  <si>
    <t>Plan/Option</t>
  </si>
  <si>
    <t>As on March 31, 2022</t>
  </si>
  <si>
    <t>Direct Plan - Growth</t>
  </si>
  <si>
    <t>Regular Plan - Growth</t>
  </si>
  <si>
    <t>Direct Plan - Fortnightly IDCW</t>
  </si>
  <si>
    <t>Direct Plan - Monthly IDCW</t>
  </si>
  <si>
    <t>Direct Plan - Weekly IDCW</t>
  </si>
  <si>
    <t>NA</t>
  </si>
  <si>
    <t>Direct Plan - Daily IDCW</t>
  </si>
  <si>
    <t/>
  </si>
  <si>
    <t>(Rs. per unit)</t>
  </si>
  <si>
    <t xml:space="preserve">     Option Name</t>
  </si>
  <si>
    <t>Individual &amp; HUF *</t>
  </si>
  <si>
    <t>Others *</t>
  </si>
  <si>
    <t>Half Yearly Portfolio Statement as on September 30, 2022</t>
  </si>
  <si>
    <t>(1) The provision for below investment grade or default securities as of September 30, 2022 is Rs. Nil and its percentage to Net Asset Value is Nil.</t>
  </si>
  <si>
    <t>(2)  Deviation from the valuation prices given by valuation agencies during the half-year ended  September 30, 2022: Nil</t>
  </si>
  <si>
    <t>(4) Details of Dividend declared per unit (In Rupees) during the half year ending September 30, 2022:</t>
  </si>
  <si>
    <t>(5) No Bonus declared during the half-year ended September 30, 2022</t>
  </si>
  <si>
    <t>(6) Total outstanding exposure in derivative instruments as on September 30,2022 is Nil</t>
  </si>
  <si>
    <t>(7) Total investments in Foreign Securities / Overseas ETFs as at September 30,2022 and its percentage to NAV is Nil</t>
  </si>
  <si>
    <t>(9) Repo transactions in corporate debt securities as on September 30, 2022 is Rs. Nil.</t>
  </si>
  <si>
    <t>As on September 30, 2022</t>
  </si>
  <si>
    <t>Nil</t>
  </si>
  <si>
    <t>(8) Average maturity of the portfolio is 3 days</t>
  </si>
  <si>
    <t>TREPS</t>
  </si>
  <si>
    <t>* Dividends are declared on face value of Rs.1,000 per unit. After distribution of dividend, the NAV falls to the extent of dividend payout and statutory levy, if any.</t>
  </si>
  <si>
    <t>“NA” in the NAV per unit (Rs.) refers that there are no investor(s) in the options/ plans/schemes .</t>
  </si>
  <si>
    <t>Product Labelling &amp; Risk-0-Meter</t>
  </si>
  <si>
    <t>Scheme Name &amp; Type of the Scheme</t>
  </si>
  <si>
    <t>Product Labelling</t>
  </si>
  <si>
    <t>WhiteOak Capital Overnight Fund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</si>
  <si>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</si>
  <si>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</si>
  <si>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</si>
  <si>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</si>
  <si>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</si>
  <si>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Fund AI Index</t>
  </si>
  <si>
    <t>Scheme Risk-o-meter</t>
  </si>
  <si>
    <t xml:space="preserve">Benchmark Risk-o-meter 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</si>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</sst>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"/>
    <numFmt numFmtId="165" formatCode="#,##0.00%;\(#,##0.00\)%"/>
    <numFmt numFmtId="166" formatCode="#,##0.00%"/>
    <numFmt numFmtId="167" formatCode="#.####"/>
    <numFmt numFmtId="168" formatCode="#,##0.00000000"/>
    <numFmt numFmtId="169" formatCode="0.0000"/>
  </numFmts>
  <fonts count="18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sz val="9"/>
      <color indexed="72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8" fillId="0" borderId="0" applyNumberFormat="0" applyFont="0" applyFill="0" applyBorder="0" applyAlignment="0" applyProtection="0"/>
  </cellStyleXfs>
  <cellXfs count="87">
    <xf numFmtId="0" fontId="0" fillId="0" borderId="0" xfId="0"/>
    <xf numFmtId="0" fontId="0" fillId="2" borderId="0" xfId="0" applyFill="1"/>
    <xf numFmtId="0" fontId="0" fillId="2" borderId="0" xfId="0" applyFill="1" applyAlignment="1" applyProtection="1">
      <alignment wrapText="1"/>
      <protection locked="0"/>
    </xf>
    <xf numFmtId="0" fontId="3" fillId="2" borderId="5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2" fillId="2" borderId="10" xfId="0" applyFont="1" applyFill="1" applyBorder="1" applyAlignment="1">
      <alignment horizontal="right" vertical="top" wrapText="1"/>
    </xf>
    <xf numFmtId="0" fontId="3" fillId="2" borderId="9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6" fillId="0" borderId="0" xfId="1" applyNumberFormat="1" applyFont="1" applyFill="1" applyBorder="1" applyAlignment="1" applyProtection="1">
      <alignment horizontal="left" vertical="top" wrapText="1"/>
    </xf>
    <xf numFmtId="0" fontId="8" fillId="0" borderId="0" xfId="1" applyNumberFormat="1" applyFont="1" applyFill="1" applyBorder="1" applyAlignment="1"/>
    <xf numFmtId="0" fontId="7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right"/>
    </xf>
    <xf numFmtId="0" fontId="10" fillId="2" borderId="0" xfId="0" applyFont="1" applyFill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6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7" fillId="0" borderId="18" xfId="0" applyFont="1" applyBorder="1" applyAlignment="1">
      <alignment horizontal="left" vertical="top"/>
    </xf>
    <xf numFmtId="167" fontId="7" fillId="0" borderId="18" xfId="0" applyNumberFormat="1" applyFont="1" applyBorder="1" applyAlignment="1">
      <alignment horizontal="right" vertical="top"/>
    </xf>
    <xf numFmtId="0" fontId="5" fillId="0" borderId="18" xfId="0" applyFont="1" applyBorder="1" applyAlignment="1">
      <alignment horizontal="left" vertical="top"/>
    </xf>
    <xf numFmtId="0" fontId="9" fillId="0" borderId="18" xfId="0" applyFont="1" applyBorder="1" applyAlignment="1">
      <alignment horizontal="left" vertical="top"/>
    </xf>
    <xf numFmtId="0" fontId="9" fillId="0" borderId="18" xfId="1" applyFont="1" applyFill="1" applyBorder="1" applyAlignment="1">
      <alignment horizontal="center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7" fillId="0" borderId="0" xfId="1" applyNumberFormat="1" applyFont="1" applyFill="1" applyBorder="1" applyAlignment="1" applyProtection="1">
      <alignment horizontal="left" vertical="top"/>
    </xf>
    <xf numFmtId="0" fontId="7" fillId="0" borderId="0" xfId="1" applyNumberFormat="1" applyFont="1" applyFill="1" applyBorder="1" applyAlignment="1" applyProtection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169" fontId="7" fillId="0" borderId="18" xfId="0" applyNumberFormat="1" applyFont="1" applyBorder="1" applyAlignment="1">
      <alignment horizontal="right" vertical="top"/>
    </xf>
    <xf numFmtId="0" fontId="13" fillId="2" borderId="0" xfId="0" applyFont="1" applyFill="1"/>
    <xf numFmtId="0" fontId="13" fillId="0" borderId="0" xfId="0" applyFont="1" applyAlignment="1" applyProtection="1">
      <alignment wrapText="1"/>
      <protection locked="0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13" fillId="0" borderId="0" xfId="0" applyFont="1"/>
    <xf numFmtId="0" fontId="13" fillId="2" borderId="0" xfId="0" applyFont="1" applyFill="1" applyAlignment="1" applyProtection="1">
      <alignment wrapText="1"/>
      <protection locked="0"/>
    </xf>
    <xf numFmtId="0" fontId="14" fillId="2" borderId="0" xfId="0" applyFont="1" applyFill="1" applyAlignment="1">
      <alignment horizontal="left" vertical="top"/>
    </xf>
    <xf numFmtId="4" fontId="13" fillId="2" borderId="0" xfId="0" applyNumberFormat="1" applyFont="1" applyFill="1" applyAlignment="1" applyProtection="1">
      <alignment wrapText="1"/>
      <protection locked="0"/>
    </xf>
    <xf numFmtId="0" fontId="14" fillId="0" borderId="0" xfId="1" applyNumberFormat="1" applyFont="1" applyFill="1" applyBorder="1" applyAlignment="1" applyProtection="1">
      <alignment horizontal="left" vertical="top" wrapText="1"/>
    </xf>
    <xf numFmtId="0" fontId="14" fillId="0" borderId="0" xfId="1" applyNumberFormat="1" applyFont="1" applyFill="1" applyBorder="1" applyAlignment="1"/>
    <xf numFmtId="167" fontId="13" fillId="2" borderId="0" xfId="0" applyNumberFormat="1" applyFont="1" applyFill="1"/>
    <xf numFmtId="168" fontId="14" fillId="0" borderId="18" xfId="0" applyNumberFormat="1" applyFont="1" applyBorder="1" applyAlignment="1">
      <alignment horizontal="right" vertical="top"/>
    </xf>
    <xf numFmtId="168" fontId="13" fillId="2" borderId="0" xfId="0" applyNumberFormat="1" applyFont="1" applyFill="1"/>
    <xf numFmtId="168" fontId="13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4" fontId="14" fillId="2" borderId="0" xfId="0" applyNumberFormat="1" applyFont="1" applyFill="1" applyAlignment="1">
      <alignment horizontal="left" vertical="top"/>
    </xf>
    <xf numFmtId="0" fontId="14" fillId="2" borderId="0" xfId="0" applyFont="1" applyFill="1"/>
    <xf numFmtId="0" fontId="7" fillId="0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5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center" wrapText="1" readingOrder="1"/>
    </xf>
    <xf numFmtId="0" fontId="2" fillId="0" borderId="20" xfId="0" applyFont="1" applyBorder="1" applyAlignment="1">
      <alignment horizontal="justify" wrapText="1" readingOrder="1"/>
    </xf>
    <xf numFmtId="0" fontId="3" fillId="0" borderId="20" xfId="0" applyFont="1" applyBorder="1" applyAlignment="1">
      <alignment horizontal="justify" wrapText="1" readingOrder="1"/>
    </xf>
    <xf numFmtId="0" fontId="3" fillId="0" borderId="20" xfId="0" applyFont="1" applyBorder="1" applyAlignment="1">
      <alignment horizontal="left" wrapText="1" readingOrder="1"/>
    </xf>
    <xf numFmtId="0" fontId="3" fillId="0" borderId="21" xfId="0" applyFont="1" applyBorder="1" applyAlignment="1">
      <alignment horizontal="justify" wrapText="1" readingOrder="1"/>
    </xf>
    <xf numFmtId="0" fontId="14" fillId="0" borderId="22" xfId="0" applyFont="1" applyBorder="1" applyAlignment="1">
      <alignment horizontal="justify" wrapText="1" readingOrder="1"/>
    </xf>
    <xf numFmtId="0" fontId="9" fillId="0" borderId="0" xfId="0" applyFont="1"/>
    <xf numFmtId="0" fontId="2" fillId="0" borderId="21" xfId="0" applyFont="1" applyBorder="1" applyAlignment="1">
      <alignment horizontal="left" wrapText="1" readingOrder="1"/>
    </xf>
    <xf numFmtId="0" fontId="3" fillId="0" borderId="20" xfId="0" applyFont="1" applyBorder="1" applyAlignment="1">
      <alignment horizontal="center" wrapText="1" readingOrder="1"/>
    </xf>
    <xf numFmtId="0" fontId="2" fillId="0" borderId="22" xfId="0" applyFont="1" applyBorder="1" applyAlignment="1">
      <alignment horizontal="left" wrapText="1" readingOrder="1"/>
    </xf>
    <xf numFmtId="0" fontId="2" fillId="0" borderId="20" xfId="0" applyFont="1" applyBorder="1" applyAlignment="1">
      <alignment horizontal="left" vertical="top" wrapText="1" readingOrder="1"/>
    </xf>
    <xf numFmtId="0" fontId="2" fillId="3" borderId="20" xfId="0" applyFont="1" applyFill="1" applyBorder="1" applyAlignment="1">
      <alignment horizontal="center" wrapText="1" readingOrder="1"/>
    </xf>
    <xf numFmtId="0" fontId="14" fillId="0" borderId="20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85726</xdr:colOff>
      <xdr:row>43</xdr:row>
      <xdr:rowOff>142877</xdr:rowOff>
    </xdr:from>
    <xdr:to>
      <xdr:col>7</xdr:col>
      <xdr:colOff>1857375</xdr:colOff>
      <xdr:row>44</xdr:row>
      <xdr:rowOff>733425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4932D862-0867-419E-B75E-18241B657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1" y="9286877"/>
          <a:ext cx="1771649" cy="1219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133351</xdr:colOff>
      <xdr:row>43</xdr:row>
      <xdr:rowOff>200025</xdr:rowOff>
    </xdr:from>
    <xdr:to>
      <xdr:col>8</xdr:col>
      <xdr:colOff>1905789</xdr:colOff>
      <xdr:row>44</xdr:row>
      <xdr:rowOff>723900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401AC869-867D-48A5-A0A4-A41E1F59F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4101" y="9344025"/>
          <a:ext cx="1772438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49</xdr:row>
      <xdr:rowOff>257174</xdr:rowOff>
    </xdr:from>
    <xdr:to>
      <xdr:col>5</xdr:col>
      <xdr:colOff>1085850</xdr:colOff>
      <xdr:row>50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A1CDF744-4ED3-4E41-9A8C-CA268F90B597}"/>
            </a:ext>
          </a:extLst>
        </xdr:cNvPr>
        <xdr:cNvSpPr/>
      </xdr:nvSpPr>
      <xdr:spPr>
        <a:xfrm>
          <a:off x="7372350" y="596264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51</xdr:row>
      <xdr:rowOff>19054</xdr:rowOff>
    </xdr:from>
    <xdr:to>
      <xdr:col>5</xdr:col>
      <xdr:colOff>1238249</xdr:colOff>
      <xdr:row>51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65C9B91F-4A29-4E3E-9A22-DA0A5D62E754}"/>
            </a:ext>
          </a:extLst>
        </xdr:cNvPr>
        <xdr:cNvSpPr/>
      </xdr:nvSpPr>
      <xdr:spPr>
        <a:xfrm rot="5400000">
          <a:off x="7677149" y="6181730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55"/>
  <sheetViews>
    <sheetView tabSelected="1" topLeftCell="C44" workbookViewId="0">
      <selection activeCell="H7" sqref="H7"/>
    </sheetView>
  </sheetViews>
  <sheetFormatPr defaultColWidth="8.85546875" defaultRowHeight="15"/>
  <cols>
    <col min="1" max="1" width="3.42578125" style="1" customWidth="1"/>
    <col min="2" max="2" width="53.42578125" style="1" customWidth="1"/>
    <col min="3" max="3" width="18.5703125" style="1" bestFit="1" customWidth="1"/>
    <col min="4" max="4" width="22.42578125" style="1" customWidth="1"/>
    <col min="5" max="5" width="7.5703125" style="1" bestFit="1" customWidth="1"/>
    <col min="6" max="6" width="35.5703125" style="1" customWidth="1"/>
    <col min="7" max="7" width="33.42578125" style="1" customWidth="1"/>
    <col min="8" max="8" width="29.85546875" style="1" customWidth="1"/>
    <col min="9" max="9" width="30.7109375" style="1" customWidth="1"/>
    <col min="10" max="16384" width="8.85546875" style="1"/>
  </cols>
  <sheetData>
    <row r="1" spans="1:9" ht="15.75">
      <c r="B1" s="70" t="s">
        <v>0</v>
      </c>
      <c r="C1" s="70"/>
      <c r="D1" s="70"/>
      <c r="E1" s="70"/>
      <c r="F1" s="70"/>
      <c r="G1" s="70"/>
      <c r="H1" s="70"/>
    </row>
    <row r="2" spans="1:9" ht="15.75">
      <c r="B2" s="70" t="s">
        <v>1</v>
      </c>
      <c r="C2" s="70"/>
      <c r="D2" s="70"/>
      <c r="E2" s="70"/>
      <c r="F2" s="70"/>
      <c r="G2" s="70"/>
      <c r="H2" s="70"/>
    </row>
    <row r="3" spans="1:9" ht="15.75">
      <c r="B3" s="70" t="s">
        <v>31</v>
      </c>
      <c r="C3" s="70"/>
      <c r="D3" s="70"/>
      <c r="E3" s="70"/>
      <c r="F3" s="70"/>
      <c r="G3" s="70"/>
      <c r="H3" s="70"/>
    </row>
    <row r="4" spans="1:9" ht="15.75" thickBot="1">
      <c r="B4"/>
      <c r="C4"/>
      <c r="D4"/>
      <c r="E4"/>
      <c r="F4"/>
      <c r="G4"/>
      <c r="H4"/>
    </row>
    <row r="5" spans="1:9" ht="24">
      <c r="A5" s="2"/>
      <c r="B5" s="14" t="s">
        <v>2</v>
      </c>
      <c r="C5" s="15" t="s">
        <v>3</v>
      </c>
      <c r="D5" s="15" t="s">
        <v>4</v>
      </c>
      <c r="E5" s="15" t="s">
        <v>5</v>
      </c>
      <c r="F5" s="15" t="s">
        <v>6</v>
      </c>
      <c r="G5" s="15" t="s">
        <v>7</v>
      </c>
      <c r="H5" s="16" t="s">
        <v>8</v>
      </c>
      <c r="I5" s="49"/>
    </row>
    <row r="6" spans="1:9">
      <c r="A6" s="2"/>
      <c r="B6" s="17" t="s">
        <v>9</v>
      </c>
      <c r="C6" s="18"/>
      <c r="D6" s="18"/>
      <c r="E6" s="18"/>
      <c r="F6" s="50"/>
      <c r="G6" s="51"/>
      <c r="H6" s="52"/>
      <c r="I6" s="49"/>
    </row>
    <row r="7" spans="1:9" ht="18" customHeight="1">
      <c r="A7" s="4" t="s">
        <v>10</v>
      </c>
      <c r="B7" s="20" t="s">
        <v>42</v>
      </c>
      <c r="C7" s="18"/>
      <c r="D7" s="18"/>
      <c r="E7" s="21"/>
      <c r="F7" s="22">
        <v>1451.83</v>
      </c>
      <c r="G7" s="23">
        <v>1.0982000000000001</v>
      </c>
      <c r="H7" s="53">
        <v>6.0192192982634674E-2</v>
      </c>
      <c r="I7" s="49"/>
    </row>
    <row r="8" spans="1:9">
      <c r="A8" s="2"/>
      <c r="B8" s="17" t="s">
        <v>11</v>
      </c>
      <c r="C8" s="18"/>
      <c r="D8" s="18"/>
      <c r="E8" s="18"/>
      <c r="F8" s="24">
        <f>SUM(F7)</f>
        <v>1451.83</v>
      </c>
      <c r="G8" s="25">
        <f>SUM(G7)</f>
        <v>1.0982000000000001</v>
      </c>
      <c r="H8" s="26"/>
      <c r="I8" s="49"/>
    </row>
    <row r="9" spans="1:9">
      <c r="A9" s="2"/>
      <c r="B9" s="27" t="s">
        <v>12</v>
      </c>
      <c r="C9" s="28"/>
      <c r="D9" s="29"/>
      <c r="E9" s="28"/>
      <c r="F9" s="24">
        <f>SUM(F8)</f>
        <v>1451.83</v>
      </c>
      <c r="G9" s="25">
        <f>SUM(G8)</f>
        <v>1.0982000000000001</v>
      </c>
      <c r="H9" s="26"/>
      <c r="I9" s="49"/>
    </row>
    <row r="10" spans="1:9">
      <c r="A10" s="2"/>
      <c r="B10" s="27" t="s">
        <v>13</v>
      </c>
      <c r="C10" s="3"/>
      <c r="D10" s="6"/>
      <c r="E10" s="3"/>
      <c r="F10" s="43">
        <v>-129.82</v>
      </c>
      <c r="G10" s="25">
        <v>-9.8199999999999996E-2</v>
      </c>
      <c r="H10" s="5"/>
      <c r="I10" s="49"/>
    </row>
    <row r="11" spans="1:9" ht="15.75" thickBot="1">
      <c r="A11" s="2"/>
      <c r="B11" s="30" t="s">
        <v>14</v>
      </c>
      <c r="C11" s="31"/>
      <c r="D11" s="31"/>
      <c r="E11" s="31"/>
      <c r="F11" s="32">
        <f>F9+F10</f>
        <v>1322.01</v>
      </c>
      <c r="G11" s="33">
        <f>G9+G10</f>
        <v>1</v>
      </c>
      <c r="H11" s="34"/>
      <c r="I11" s="54"/>
    </row>
    <row r="12" spans="1:9">
      <c r="A12" s="2"/>
      <c r="B12" s="7"/>
      <c r="C12" s="55"/>
      <c r="D12" s="55"/>
      <c r="E12" s="55"/>
      <c r="F12" s="55"/>
      <c r="G12" s="55"/>
      <c r="H12" s="55"/>
      <c r="I12" s="49"/>
    </row>
    <row r="13" spans="1:9">
      <c r="A13" s="2"/>
      <c r="B13" s="8" t="s">
        <v>15</v>
      </c>
      <c r="C13" s="56"/>
      <c r="D13" s="56"/>
      <c r="E13" s="49"/>
      <c r="F13" s="57"/>
      <c r="G13" s="55"/>
      <c r="H13" s="55"/>
      <c r="I13" s="49"/>
    </row>
    <row r="14" spans="1:9" customFormat="1" ht="13.9" customHeight="1">
      <c r="A14" s="19"/>
      <c r="B14" s="71" t="s">
        <v>32</v>
      </c>
      <c r="C14" s="71"/>
      <c r="D14" s="71"/>
      <c r="E14" s="71"/>
      <c r="F14" s="71"/>
      <c r="G14" s="50"/>
      <c r="H14" s="50"/>
      <c r="I14" s="54"/>
    </row>
    <row r="15" spans="1:9" s="10" customFormat="1" ht="12.75">
      <c r="A15" s="9"/>
      <c r="B15" s="44" t="s">
        <v>33</v>
      </c>
      <c r="C15" s="45"/>
      <c r="D15" s="58"/>
      <c r="E15" s="58"/>
      <c r="F15" s="58"/>
      <c r="G15" s="58"/>
      <c r="H15" s="59"/>
      <c r="I15" s="59"/>
    </row>
    <row r="16" spans="1:9">
      <c r="A16" s="2"/>
      <c r="B16" s="71" t="s">
        <v>16</v>
      </c>
      <c r="C16" s="72"/>
      <c r="D16" s="72"/>
      <c r="E16" s="72"/>
      <c r="F16" s="55"/>
      <c r="G16" s="55"/>
      <c r="H16" s="55"/>
      <c r="I16" s="49"/>
    </row>
    <row r="17" spans="1:9" ht="24">
      <c r="B17" s="40" t="s">
        <v>17</v>
      </c>
      <c r="C17" s="36" t="s">
        <v>39</v>
      </c>
      <c r="D17" s="36" t="s">
        <v>18</v>
      </c>
      <c r="E17" s="49"/>
      <c r="F17" s="49"/>
      <c r="G17" s="37"/>
      <c r="H17" s="49"/>
      <c r="I17" s="49"/>
    </row>
    <row r="18" spans="1:9">
      <c r="B18" s="38" t="s">
        <v>19</v>
      </c>
      <c r="C18" s="39">
        <v>1116.6231</v>
      </c>
      <c r="D18" s="39">
        <v>1092.3159000000001</v>
      </c>
      <c r="E18" s="49"/>
      <c r="F18" s="60"/>
      <c r="G18" s="49"/>
      <c r="H18" s="49"/>
      <c r="I18" s="49"/>
    </row>
    <row r="19" spans="1:9">
      <c r="B19" s="38" t="s">
        <v>20</v>
      </c>
      <c r="C19" s="48">
        <v>1114.1199999999999</v>
      </c>
      <c r="D19" s="39">
        <v>1090.4395</v>
      </c>
      <c r="E19" s="49"/>
      <c r="F19" s="60"/>
      <c r="G19" s="49"/>
      <c r="H19" s="49"/>
      <c r="I19" s="49"/>
    </row>
    <row r="20" spans="1:9">
      <c r="B20" s="38" t="s">
        <v>21</v>
      </c>
      <c r="C20" s="48">
        <v>1007.165</v>
      </c>
      <c r="D20" s="39">
        <v>1004.2857</v>
      </c>
      <c r="E20" s="49"/>
      <c r="F20" s="60"/>
      <c r="G20" s="49"/>
      <c r="H20" s="49"/>
      <c r="I20" s="49"/>
    </row>
    <row r="21" spans="1:9">
      <c r="B21" s="38" t="s">
        <v>22</v>
      </c>
      <c r="C21" s="39">
        <v>1004.4066</v>
      </c>
      <c r="D21" s="39">
        <v>1003.4212</v>
      </c>
      <c r="E21" s="49"/>
      <c r="F21" s="60"/>
      <c r="G21" s="49"/>
      <c r="H21" s="49"/>
      <c r="I21" s="49"/>
    </row>
    <row r="22" spans="1:9">
      <c r="B22" s="38" t="s">
        <v>23</v>
      </c>
      <c r="C22" s="39" t="s">
        <v>24</v>
      </c>
      <c r="D22" s="39" t="s">
        <v>24</v>
      </c>
      <c r="E22" s="49"/>
      <c r="F22" s="60"/>
      <c r="G22" s="49"/>
      <c r="H22" s="49"/>
      <c r="I22" s="49"/>
    </row>
    <row r="23" spans="1:9">
      <c r="B23" s="38" t="s">
        <v>25</v>
      </c>
      <c r="C23" s="39">
        <v>1000.3946999999999</v>
      </c>
      <c r="D23" s="39">
        <v>1000.3881</v>
      </c>
      <c r="E23" s="49"/>
      <c r="F23" s="60"/>
      <c r="G23" s="49"/>
      <c r="H23" s="49"/>
      <c r="I23" s="49"/>
    </row>
    <row r="24" spans="1:9">
      <c r="B24" s="11" t="s">
        <v>26</v>
      </c>
      <c r="C24" s="56"/>
      <c r="D24" s="56"/>
      <c r="E24" s="49"/>
      <c r="F24" s="49"/>
      <c r="G24" s="49"/>
      <c r="H24" s="49"/>
      <c r="I24" s="49"/>
    </row>
    <row r="25" spans="1:9" customFormat="1">
      <c r="B25" s="71" t="s">
        <v>34</v>
      </c>
      <c r="C25" s="71"/>
      <c r="D25" s="71"/>
      <c r="E25" s="71"/>
      <c r="F25" s="54"/>
      <c r="G25" s="54"/>
      <c r="H25" s="54"/>
      <c r="I25" s="54"/>
    </row>
    <row r="26" spans="1:9">
      <c r="B26" s="11"/>
      <c r="C26" s="11"/>
      <c r="D26" s="12" t="s">
        <v>27</v>
      </c>
      <c r="E26" s="49"/>
      <c r="F26" s="49"/>
      <c r="G26" s="49"/>
      <c r="H26" s="49"/>
      <c r="I26" s="49"/>
    </row>
    <row r="27" spans="1:9">
      <c r="B27" s="41" t="s">
        <v>28</v>
      </c>
      <c r="C27" s="42" t="s">
        <v>29</v>
      </c>
      <c r="D27" s="42" t="s">
        <v>30</v>
      </c>
      <c r="E27" s="49"/>
      <c r="F27" s="49"/>
      <c r="G27" s="49"/>
      <c r="H27" s="49"/>
      <c r="I27" s="49"/>
    </row>
    <row r="28" spans="1:9">
      <c r="B28" s="38" t="s">
        <v>25</v>
      </c>
      <c r="C28" s="61">
        <v>22.122569360000007</v>
      </c>
      <c r="D28" s="61">
        <v>22.122569360000007</v>
      </c>
      <c r="E28" s="62"/>
      <c r="F28" s="49"/>
      <c r="G28" s="49"/>
      <c r="H28" s="49"/>
      <c r="I28" s="49"/>
    </row>
    <row r="29" spans="1:9">
      <c r="B29" s="38" t="s">
        <v>21</v>
      </c>
      <c r="C29" s="61">
        <v>19.642364259999997</v>
      </c>
      <c r="D29" s="61">
        <v>19.642364259999997</v>
      </c>
      <c r="E29" s="62"/>
      <c r="F29" s="49"/>
      <c r="G29" s="49"/>
      <c r="H29" s="49"/>
      <c r="I29" s="49"/>
    </row>
    <row r="30" spans="1:9">
      <c r="B30" s="38" t="s">
        <v>22</v>
      </c>
      <c r="C30" s="61">
        <v>21.10754124</v>
      </c>
      <c r="D30" s="61">
        <v>21.10754124</v>
      </c>
      <c r="E30" s="62"/>
      <c r="F30" s="49"/>
      <c r="G30" s="49"/>
      <c r="H30" s="49"/>
      <c r="I30" s="49"/>
    </row>
    <row r="31" spans="1:9" customFormat="1">
      <c r="B31" s="38" t="s">
        <v>23</v>
      </c>
      <c r="C31" s="61" t="s">
        <v>40</v>
      </c>
      <c r="D31" s="61" t="s">
        <v>40</v>
      </c>
      <c r="E31" s="63"/>
      <c r="F31" s="54"/>
      <c r="G31" s="54"/>
      <c r="H31" s="54"/>
      <c r="I31" s="54"/>
    </row>
    <row r="32" spans="1:9" customFormat="1">
      <c r="A32" s="46"/>
      <c r="B32" s="64" t="s">
        <v>43</v>
      </c>
      <c r="C32" s="47"/>
      <c r="D32" s="65"/>
      <c r="E32" s="65"/>
      <c r="F32" s="65"/>
      <c r="G32" s="65"/>
      <c r="H32" s="54"/>
      <c r="I32" s="54"/>
    </row>
    <row r="33" spans="2:9">
      <c r="B33" s="35" t="s">
        <v>35</v>
      </c>
      <c r="C33" s="56"/>
      <c r="D33" s="56"/>
      <c r="E33" s="49"/>
      <c r="F33" s="49"/>
      <c r="G33" s="49"/>
      <c r="H33" s="49"/>
      <c r="I33" s="49"/>
    </row>
    <row r="34" spans="2:9" customFormat="1">
      <c r="B34" s="35" t="s">
        <v>36</v>
      </c>
      <c r="C34" s="35"/>
      <c r="D34" s="66"/>
      <c r="E34" s="54"/>
      <c r="F34" s="54"/>
      <c r="G34" s="54"/>
      <c r="H34" s="54"/>
      <c r="I34" s="54"/>
    </row>
    <row r="35" spans="2:9">
      <c r="B35" s="35" t="s">
        <v>37</v>
      </c>
      <c r="C35" s="11"/>
      <c r="D35" s="56"/>
      <c r="E35" s="49"/>
      <c r="F35" s="49"/>
      <c r="G35" s="49"/>
      <c r="H35" s="49"/>
      <c r="I35" s="49"/>
    </row>
    <row r="36" spans="2:9" s="13" customFormat="1">
      <c r="B36" s="69" t="s">
        <v>41</v>
      </c>
      <c r="C36" s="67"/>
      <c r="D36" s="56"/>
      <c r="E36" s="68"/>
      <c r="F36" s="68"/>
      <c r="G36" s="68"/>
      <c r="H36" s="68"/>
      <c r="I36" s="68"/>
    </row>
    <row r="37" spans="2:9" customFormat="1">
      <c r="B37" s="35" t="s">
        <v>38</v>
      </c>
      <c r="C37" s="54"/>
      <c r="D37" s="54"/>
      <c r="E37" s="54"/>
      <c r="F37" s="54"/>
      <c r="G37" s="54"/>
      <c r="H37" s="54"/>
      <c r="I37" s="54"/>
    </row>
    <row r="38" spans="2:9">
      <c r="B38" s="54"/>
      <c r="C38" s="49"/>
      <c r="D38" s="49"/>
      <c r="E38" s="49"/>
      <c r="F38" s="49"/>
      <c r="G38" s="49"/>
      <c r="H38" s="49"/>
      <c r="I38" s="49"/>
    </row>
    <row r="39" spans="2:9">
      <c r="B39" s="49" t="s">
        <v>44</v>
      </c>
      <c r="C39" s="49"/>
      <c r="D39" s="49"/>
      <c r="E39" s="49"/>
      <c r="F39" s="49"/>
      <c r="G39" s="49"/>
      <c r="H39" s="49"/>
      <c r="I39" s="49"/>
    </row>
    <row r="41" spans="2:9" ht="15.75" thickBot="1">
      <c r="F41" s="73" t="s">
        <v>45</v>
      </c>
      <c r="G41" s="73"/>
      <c r="H41" s="73"/>
      <c r="I41" s="64"/>
    </row>
    <row r="42" spans="2:9" ht="15.75" thickBot="1">
      <c r="F42" s="74" t="s">
        <v>46</v>
      </c>
      <c r="G42" s="74" t="s">
        <v>47</v>
      </c>
      <c r="H42" s="74" t="s">
        <v>55</v>
      </c>
      <c r="I42" s="74" t="s">
        <v>56</v>
      </c>
    </row>
    <row r="43" spans="2:9" ht="15.75" thickBot="1">
      <c r="F43" s="75" t="s">
        <v>48</v>
      </c>
      <c r="G43" s="76"/>
      <c r="H43" s="76"/>
      <c r="I43" s="76"/>
    </row>
    <row r="44" spans="2:9" ht="49.5" thickBot="1">
      <c r="F44" s="77" t="s">
        <v>49</v>
      </c>
      <c r="G44" s="76" t="s">
        <v>50</v>
      </c>
      <c r="H44" s="78"/>
      <c r="I44" s="78"/>
    </row>
    <row r="45" spans="2:9" ht="73.5" thickBot="1">
      <c r="F45" s="76"/>
      <c r="G45" s="77" t="s">
        <v>51</v>
      </c>
      <c r="H45" s="79"/>
      <c r="I45" s="79"/>
    </row>
    <row r="46" spans="2:9" ht="42.75" customHeight="1" thickBot="1">
      <c r="F46" s="75"/>
      <c r="G46" s="75" t="s">
        <v>52</v>
      </c>
      <c r="H46" s="75"/>
      <c r="I46" s="75" t="s">
        <v>53</v>
      </c>
    </row>
    <row r="47" spans="2:9" ht="15.75" thickBot="1">
      <c r="F47" s="76"/>
      <c r="G47" s="76"/>
      <c r="H47" s="76"/>
      <c r="I47" s="76" t="s">
        <v>54</v>
      </c>
    </row>
    <row r="49" spans="6:9" ht="15.75" thickBot="1">
      <c r="F49" s="80" t="s">
        <v>57</v>
      </c>
      <c r="G49" s="64"/>
      <c r="H49" s="64"/>
      <c r="I49" s="64"/>
    </row>
    <row r="50" spans="6:9" ht="15.75" thickBot="1">
      <c r="F50" s="81" t="s">
        <v>58</v>
      </c>
      <c r="G50" s="82" t="s">
        <v>59</v>
      </c>
      <c r="H50" s="82" t="s">
        <v>60</v>
      </c>
      <c r="I50" s="82" t="s">
        <v>61</v>
      </c>
    </row>
    <row r="51" spans="6:9" ht="15.75" thickBot="1">
      <c r="F51" s="83"/>
      <c r="G51" s="82" t="s">
        <v>62</v>
      </c>
      <c r="H51" s="82" t="s">
        <v>63</v>
      </c>
      <c r="I51" s="82" t="s">
        <v>64</v>
      </c>
    </row>
    <row r="52" spans="6:9" ht="15.75" thickBot="1">
      <c r="F52" s="84" t="s">
        <v>65</v>
      </c>
      <c r="G52" s="77"/>
      <c r="H52" s="77"/>
      <c r="I52" s="77"/>
    </row>
    <row r="53" spans="6:9" ht="15.75" thickBot="1">
      <c r="F53" s="77" t="s">
        <v>66</v>
      </c>
      <c r="G53" s="85" t="s">
        <v>67</v>
      </c>
      <c r="H53" s="86"/>
      <c r="I53" s="77"/>
    </row>
    <row r="54" spans="6:9" ht="15.75" thickBot="1">
      <c r="F54" s="77" t="s">
        <v>68</v>
      </c>
      <c r="G54" s="77"/>
      <c r="H54" s="77"/>
      <c r="I54" s="77"/>
    </row>
    <row r="55" spans="6:9" ht="15.75" thickBot="1">
      <c r="F55" s="77" t="s">
        <v>69</v>
      </c>
      <c r="G55" s="77"/>
      <c r="H55" s="77"/>
      <c r="I55" s="77"/>
    </row>
  </sheetData>
  <mergeCells count="10">
    <mergeCell ref="F41:H41"/>
    <mergeCell ref="H44:H45"/>
    <mergeCell ref="I44:I45"/>
    <mergeCell ref="F50:F51"/>
    <mergeCell ref="B1:H1"/>
    <mergeCell ref="B2:H2"/>
    <mergeCell ref="B3:H3"/>
    <mergeCell ref="B16:E16"/>
    <mergeCell ref="B25:E25"/>
    <mergeCell ref="B14:F14"/>
  </mergeCells>
  <pageMargins left="0.2" right="0.2" top="0.75" bottom="0.75" header="0.3" footer="0.3"/>
  <pageSetup paperSize="8" scale="70" orientation="portrait" r:id="rId1"/>
  <headerFooter>
    <oddFooter>&amp;C&amp;1#&amp;"Calibri"&amp;10&amp;K000000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311AD-F303-4788-98C7-41A01D77B9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155DF0-4FC9-4F5C-A2DA-642E6C497B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cp:lastPrinted>2022-10-06T16:34:29Z</cp:lastPrinted>
  <dcterms:created xsi:type="dcterms:W3CDTF">2022-04-08T12:20:58Z</dcterms:created>
  <dcterms:modified xsi:type="dcterms:W3CDTF">2022-10-08T15:55:24Z</dcterms:modified>
</cp:coreProperties>
</file>