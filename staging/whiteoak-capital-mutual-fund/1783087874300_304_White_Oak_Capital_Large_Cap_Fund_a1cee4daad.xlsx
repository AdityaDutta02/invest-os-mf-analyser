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HY Portfolio/Upload Portfolio/"/>
    </mc:Choice>
  </mc:AlternateContent>
  <xr:revisionPtr revIDLastSave="9" documentId="13_ncr:1_{6C233DDA-2488-4E33-8758-7B3D87F6B7EE}" xr6:coauthVersionLast="47" xr6:coauthVersionMax="47" xr10:uidLastSave="{CE10F98A-BAF6-4B9F-888E-38A1B518B9EE}"/>
  <bookViews>
    <workbookView xWindow="-120" yWindow="-120" windowWidth="20730" windowHeight="11160" xr2:uid="{00000000-000D-0000-FFFF-FFFF00000000}"/>
  </bookViews>
  <sheets>
    <sheet name="WOLCF" sheetId="1" r:id="rId1"/>
  </sheets>
  <definedNames>
    <definedName name="JR_PAGE_ANCHOR_0_1">WOLCF!#REF!</definedName>
    <definedName name="JR_PAGE_ANCHOR_0_2">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" i="1" l="1"/>
  <c r="G84" i="1"/>
  <c r="H77" i="1"/>
  <c r="G77" i="1"/>
  <c r="H85" i="1" l="1"/>
  <c r="H80" i="1"/>
  <c r="G85" i="1"/>
  <c r="G80" i="1"/>
</calcChain>
</file>

<file path=xl/sharedStrings.xml><?xml version="1.0" encoding="utf-8"?>
<sst xmlns="http://schemas.openxmlformats.org/spreadsheetml/2006/main" count="448" uniqueCount="356">
  <si>
    <t>Name of the Instrument</t>
  </si>
  <si>
    <t>ISIN</t>
  </si>
  <si>
    <t>Quantity</t>
  </si>
  <si>
    <t>Sub Total</t>
  </si>
  <si>
    <t>Total</t>
  </si>
  <si>
    <t>Net Receivables / (Payables)</t>
  </si>
  <si>
    <t>GRAND TOTAL</t>
  </si>
  <si>
    <t>Equity &amp; Equity related</t>
  </si>
  <si>
    <t>(a) Listed / awaiting listing on Stock Exchanges</t>
  </si>
  <si>
    <t>IT - Software</t>
  </si>
  <si>
    <t>Chemicals &amp; Petrochemicals</t>
  </si>
  <si>
    <t>Retailing</t>
  </si>
  <si>
    <t>NITL01</t>
  </si>
  <si>
    <t>Coforge Limited</t>
  </si>
  <si>
    <t>INE591G01017</t>
  </si>
  <si>
    <t>Consumer Durables</t>
  </si>
  <si>
    <t>PHMI02</t>
  </si>
  <si>
    <t>The Phoenix Mills Limited</t>
  </si>
  <si>
    <t>INE211B01039</t>
  </si>
  <si>
    <t>Realty</t>
  </si>
  <si>
    <t>Banks</t>
  </si>
  <si>
    <t>CROM02</t>
  </si>
  <si>
    <t>CG Power and Industrial Solutions Limited</t>
  </si>
  <si>
    <t>INE067A01029</t>
  </si>
  <si>
    <t>Electrical Equipment</t>
  </si>
  <si>
    <t>Industrial Products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</si>
  <si>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</si>
  <si>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</si>
  <si>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</si>
  <si>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</si>
  <si>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</si>
  <si>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</si>
  <si>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</si>
  <si>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</si>
  <si>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</si>
  <si>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</si>
  <si>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Healthcare Services</t>
  </si>
  <si>
    <t>Pharmaceuticals &amp; Biotechnology</t>
  </si>
  <si>
    <t>LAKM02</t>
  </si>
  <si>
    <t>Trent Limited</t>
  </si>
  <si>
    <t>INE849A01020</t>
  </si>
  <si>
    <t>Auto Components</t>
  </si>
  <si>
    <t>SBAI02</t>
  </si>
  <si>
    <t>State Bank of India</t>
  </si>
  <si>
    <t>INE062A01020</t>
  </si>
  <si>
    <t>ABB India Limited</t>
  </si>
  <si>
    <t>INE117A01022</t>
  </si>
  <si>
    <t>ICICI Bank Limited</t>
  </si>
  <si>
    <t>INE090A01021</t>
  </si>
  <si>
    <t>Food Products</t>
  </si>
  <si>
    <t>Aerospace &amp; Defense</t>
  </si>
  <si>
    <t>Info Edge (India) Limited</t>
  </si>
  <si>
    <t>INE663F01024</t>
  </si>
  <si>
    <t>Hindalco Industries Limited</t>
  </si>
  <si>
    <t>INE038A01020</t>
  </si>
  <si>
    <t>Non - Ferrous Metals</t>
  </si>
  <si>
    <t>Construction</t>
  </si>
  <si>
    <t>HDFC Bank Limited</t>
  </si>
  <si>
    <t>INE040A01034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</si>
  <si>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</si>
  <si>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</si>
  <si>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</si>
  <si>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</si>
  <si>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</si>
  <si>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Direct Plan - IDCW</t>
  </si>
  <si>
    <t>Regular Plan - Growth</t>
  </si>
  <si>
    <t>Regular Plan - IDCW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</si>
  <si>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</si>
  <si>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</si>
  <si>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</si>
  <si>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</si>
  <si>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</si>
  <si>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</si>
  <si>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</si>
  <si>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</si>
  <si>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</si>
  <si>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</si>
  <si>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</si>
  <si>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</si>
  <si>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</si>
  <si>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</si>
  <si>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</si>
  <si>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</si>
  <si>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</si>
  <si>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</si>
  <si>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</si>
  <si>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</si>
  <si>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</si>
  <si>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</si>
  <si>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</si>
  <si>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</si>
  <si>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</si>
  <si>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</si>
  <si>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</si>
  <si>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</si>
  <si>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</si>
  <si>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</si>
  <si>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</si>
  <si>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</si>
  <si>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</si>
  <si>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</si>
  <si>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</si>
  <si>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</si>
  <si>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Total Exposure through options as a %age of net assets : Nil</t>
  </si>
  <si>
    <t>*  Industry Classification is as recommended by AMFI</t>
  </si>
  <si>
    <t>Total %age of existing assets hedged through futures : Nil</t>
  </si>
  <si>
    <t>Total %age of existing assets hedged through put options : Nil</t>
  </si>
  <si>
    <t>Call options written as %age to total market value of equity shares held in the scheme : Nil</t>
  </si>
  <si>
    <t>Varun Beverages Limited</t>
  </si>
  <si>
    <t>Cholamandalam Investment and Finance Company Ltd</t>
  </si>
  <si>
    <t>Beverages</t>
  </si>
  <si>
    <t>Sovereign</t>
  </si>
  <si>
    <t>NIL</t>
  </si>
  <si>
    <t>Reverse Repo / TREPS</t>
  </si>
  <si>
    <t>Clearing Corporation of India Ltd</t>
  </si>
  <si>
    <t>WhiteOak Capital Large Cap Fund</t>
  </si>
  <si>
    <t>(An open ended equity scheme predominantly investing in large cap stocks)</t>
  </si>
  <si>
    <t>Infosys Limited</t>
  </si>
  <si>
    <t>Nestle India Limited</t>
  </si>
  <si>
    <t>Reliance Industries Limited</t>
  </si>
  <si>
    <t>Titan Company Limited</t>
  </si>
  <si>
    <t>Maruti Suzuki India Limited</t>
  </si>
  <si>
    <t>Kotak Mahindra Bank Limited</t>
  </si>
  <si>
    <t>Larsen &amp; Toubro Limited</t>
  </si>
  <si>
    <t>Eicher Motors Limited</t>
  </si>
  <si>
    <t>Cipla Limited</t>
  </si>
  <si>
    <t>Axis Bank Limited</t>
  </si>
  <si>
    <t>Bharat Electronics Limited</t>
  </si>
  <si>
    <t>Bajaj Finance Limited</t>
  </si>
  <si>
    <t>Bajaj Finserv Limited</t>
  </si>
  <si>
    <t>Tata Consultancy Services Limited</t>
  </si>
  <si>
    <t>Power Grid Corporation of India Limited</t>
  </si>
  <si>
    <t>Tata Steel Limited</t>
  </si>
  <si>
    <t>Bharti Airtel Limited</t>
  </si>
  <si>
    <t>Tube Investments of India Limited</t>
  </si>
  <si>
    <t>ICICI Prudential Life Insurance Company Limited</t>
  </si>
  <si>
    <t>HDFC Life Insurance Company Limited</t>
  </si>
  <si>
    <t>INE009A01021</t>
  </si>
  <si>
    <t>INE002A01018</t>
  </si>
  <si>
    <t>Petroleum Products</t>
  </si>
  <si>
    <t>INE280A01028</t>
  </si>
  <si>
    <t>INE585B01010</t>
  </si>
  <si>
    <t>Automobiles</t>
  </si>
  <si>
    <t>INE237A01028</t>
  </si>
  <si>
    <t>INE018A01030</t>
  </si>
  <si>
    <t>INE066A01021</t>
  </si>
  <si>
    <t>INE059A01026</t>
  </si>
  <si>
    <t>INE238A01034</t>
  </si>
  <si>
    <t>INE263A01024</t>
  </si>
  <si>
    <t>INE296A01024</t>
  </si>
  <si>
    <t>INE918I01026</t>
  </si>
  <si>
    <t>INE467B01029</t>
  </si>
  <si>
    <t>INE752E01010</t>
  </si>
  <si>
    <t>Power</t>
  </si>
  <si>
    <t>INE081A01020</t>
  </si>
  <si>
    <t>Ferrous Metals</t>
  </si>
  <si>
    <t>INE397D01024</t>
  </si>
  <si>
    <t>Telecom - Services</t>
  </si>
  <si>
    <t>INE974X01010</t>
  </si>
  <si>
    <t>INE726G01019</t>
  </si>
  <si>
    <t>Insurance</t>
  </si>
  <si>
    <t>INE795G01014</t>
  </si>
  <si>
    <t>Market/Fair Value
 (Rs. in Lakhs)</t>
  </si>
  <si>
    <t>% to Net
 Assets</t>
  </si>
  <si>
    <t>YTM~</t>
  </si>
  <si>
    <t>IBCL05</t>
  </si>
  <si>
    <t>HDFB03</t>
  </si>
  <si>
    <t>TWAT02</t>
  </si>
  <si>
    <t>RIND01</t>
  </si>
  <si>
    <t>KOMA02</t>
  </si>
  <si>
    <t>INFS02</t>
  </si>
  <si>
    <t>TCSL01</t>
  </si>
  <si>
    <t>MAUD01</t>
  </si>
  <si>
    <t>LARS02</t>
  </si>
  <si>
    <t>MAHI02</t>
  </si>
  <si>
    <t>Mahindra &amp; Mahindra Limited</t>
  </si>
  <si>
    <t>INE101A01026</t>
  </si>
  <si>
    <t>IPLI01</t>
  </si>
  <si>
    <t>BAFL02</t>
  </si>
  <si>
    <t>BHEL02</t>
  </si>
  <si>
    <t>HINI02</t>
  </si>
  <si>
    <t>VNBL02</t>
  </si>
  <si>
    <t>INE200M01021</t>
  </si>
  <si>
    <t>GCPL02</t>
  </si>
  <si>
    <t>Godrej Consumer Products Limited</t>
  </si>
  <si>
    <t>INE102D01028</t>
  </si>
  <si>
    <t>Personal Products</t>
  </si>
  <si>
    <t>BFSL02</t>
  </si>
  <si>
    <t>TOPH02</t>
  </si>
  <si>
    <t>Torrent Pharmaceuticals Limited</t>
  </si>
  <si>
    <t>INE685A01028</t>
  </si>
  <si>
    <t>Persistent Systems Limited</t>
  </si>
  <si>
    <t>TISC03</t>
  </si>
  <si>
    <t>ASEA02</t>
  </si>
  <si>
    <t>HDLI01</t>
  </si>
  <si>
    <t>BTVL02</t>
  </si>
  <si>
    <t>UTIB02</t>
  </si>
  <si>
    <t>IEIN01</t>
  </si>
  <si>
    <t>GHPL01</t>
  </si>
  <si>
    <t>Global Health Limited</t>
  </si>
  <si>
    <t>INE474Q01031</t>
  </si>
  <si>
    <t>FSBF02</t>
  </si>
  <si>
    <t>Five Star Business Finance Limited</t>
  </si>
  <si>
    <t>INE128S01021</t>
  </si>
  <si>
    <t>ZMPL01</t>
  </si>
  <si>
    <t>Zomato Limited</t>
  </si>
  <si>
    <t>INE758T01015</t>
  </si>
  <si>
    <t>CIPL03</t>
  </si>
  <si>
    <t>RELC01</t>
  </si>
  <si>
    <t>REC Limited</t>
  </si>
  <si>
    <t>INE020B01018</t>
  </si>
  <si>
    <t>EIML02</t>
  </si>
  <si>
    <t>MKIP01</t>
  </si>
  <si>
    <t>Mankind Pharma Limited</t>
  </si>
  <si>
    <t>INE634S01028</t>
  </si>
  <si>
    <t>SHTR01</t>
  </si>
  <si>
    <t>Shriram Finance Limited</t>
  </si>
  <si>
    <t>INE721A01013</t>
  </si>
  <si>
    <t>KSPL01</t>
  </si>
  <si>
    <t>KSB Limited</t>
  </si>
  <si>
    <t>INE999A01015</t>
  </si>
  <si>
    <t>NTPC01</t>
  </si>
  <si>
    <t>NTPC Limited</t>
  </si>
  <si>
    <t>INE733E01010</t>
  </si>
  <si>
    <t>TLFH01</t>
  </si>
  <si>
    <t>JLLH01</t>
  </si>
  <si>
    <t>Jupiter Life Line Hospitals Limited</t>
  </si>
  <si>
    <t>INE682M01012</t>
  </si>
  <si>
    <t>PGCI01</t>
  </si>
  <si>
    <t>MUFL01</t>
  </si>
  <si>
    <t>Muthoot Finance Limited</t>
  </si>
  <si>
    <t>INE414G01012</t>
  </si>
  <si>
    <t>REIT Instruments</t>
  </si>
  <si>
    <t>BRFI01</t>
  </si>
  <si>
    <t>Brookfield India Real Estate Trust</t>
  </si>
  <si>
    <t>INE0FDU25010</t>
  </si>
  <si>
    <t>Money Market Instruments</t>
  </si>
  <si>
    <t>Treasury Bill</t>
  </si>
  <si>
    <t>As on September 29, 2023</t>
  </si>
  <si>
    <t>Industry</t>
  </si>
  <si>
    <t>NEST02</t>
  </si>
  <si>
    <t>INE239A01024</t>
  </si>
  <si>
    <t>PFCL01</t>
  </si>
  <si>
    <t>Power Finance Corporation Limited</t>
  </si>
  <si>
    <t>INE134E01011</t>
  </si>
  <si>
    <t>INAV01</t>
  </si>
  <si>
    <t>InterGlobe Aviation Limited</t>
  </si>
  <si>
    <t>INE646L01027</t>
  </si>
  <si>
    <t>Transport Services</t>
  </si>
  <si>
    <t>PIDI02</t>
  </si>
  <si>
    <t>Pidilite Industries Limited</t>
  </si>
  <si>
    <t>INE318A01026</t>
  </si>
  <si>
    <t>CAMS01</t>
  </si>
  <si>
    <t>Computer Age Management Services Limited</t>
  </si>
  <si>
    <t>INE596I01012</t>
  </si>
  <si>
    <t>Capital Markets</t>
  </si>
  <si>
    <t>IDAL01</t>
  </si>
  <si>
    <t>Intellect Design Arena Limited</t>
  </si>
  <si>
    <t>INE306R01017</t>
  </si>
  <si>
    <t>MAXI02</t>
  </si>
  <si>
    <t>Max Financial Services Limited</t>
  </si>
  <si>
    <t>INE180A01020</t>
  </si>
  <si>
    <t>MEAH02</t>
  </si>
  <si>
    <t>Medi Assist Healthcare Services Limited</t>
  </si>
  <si>
    <t>INE456Z01021</t>
  </si>
  <si>
    <t>ONGC02</t>
  </si>
  <si>
    <t>Oil &amp; Natural Gas Corporation Limited</t>
  </si>
  <si>
    <t>INE213A01029</t>
  </si>
  <si>
    <t>Oil</t>
  </si>
  <si>
    <t>SODL01</t>
  </si>
  <si>
    <t>Sobha Limited</t>
  </si>
  <si>
    <t>INE671H01015</t>
  </si>
  <si>
    <t>JSTA02</t>
  </si>
  <si>
    <t>Jindal Stainless Limited</t>
  </si>
  <si>
    <t>INE220G01021</t>
  </si>
  <si>
    <t>SPIL03</t>
  </si>
  <si>
    <t>Sun Pharmaceutical Industries Limited</t>
  </si>
  <si>
    <t>INE044A01036</t>
  </si>
  <si>
    <t>ICBR01</t>
  </si>
  <si>
    <t>ICICI Securities Limited</t>
  </si>
  <si>
    <t>INE763G01038</t>
  </si>
  <si>
    <t>JKBL02</t>
  </si>
  <si>
    <t>The Jammu &amp; Kashmir Bank Limited</t>
  </si>
  <si>
    <t>INE168A01041</t>
  </si>
  <si>
    <t>BHAR02</t>
  </si>
  <si>
    <t>Bharat Bijlee Limited</t>
  </si>
  <si>
    <t>INE464A01028</t>
  </si>
  <si>
    <t>IFEL01</t>
  </si>
  <si>
    <t>Oracle Financial Services Software Limited</t>
  </si>
  <si>
    <t>INE881D01027</t>
  </si>
  <si>
    <t>SOSO03</t>
  </si>
  <si>
    <t>Sonata Software Limited</t>
  </si>
  <si>
    <t>INE269A01021</t>
  </si>
  <si>
    <t>NSEL01</t>
  </si>
  <si>
    <t>Nucleus Software Exports Limited</t>
  </si>
  <si>
    <t>INE096B01018</t>
  </si>
  <si>
    <t>ISHF02</t>
  </si>
  <si>
    <t>India Shelter Finance Corporation Limited</t>
  </si>
  <si>
    <t>INE922K01024</t>
  </si>
  <si>
    <t>RCAM01</t>
  </si>
  <si>
    <t>Nippon Life India Asset Management Limited</t>
  </si>
  <si>
    <t>INE298J01013</t>
  </si>
  <si>
    <t>OIIL01</t>
  </si>
  <si>
    <t>Oil India Limited</t>
  </si>
  <si>
    <t>INE274J01014</t>
  </si>
  <si>
    <t>HONA01</t>
  </si>
  <si>
    <t>Honasa Consumer Limited</t>
  </si>
  <si>
    <t>INE0J5401028</t>
  </si>
  <si>
    <t>PSYL02</t>
  </si>
  <si>
    <t>INE262H01021</t>
  </si>
  <si>
    <t>NXST01</t>
  </si>
  <si>
    <t>Nexus Select Trust - REIT</t>
  </si>
  <si>
    <t>INE0NDH25011</t>
  </si>
  <si>
    <t>TBIL2286</t>
  </si>
  <si>
    <t>182 Days Tbill (MD 30/05/2024)</t>
  </si>
  <si>
    <t>IN002023Y367</t>
  </si>
  <si>
    <t>TBIL2206</t>
  </si>
  <si>
    <t>364 Days Tbill (MD 23/05/2024)</t>
  </si>
  <si>
    <t>IN002023Z091</t>
  </si>
  <si>
    <t>TBIL2281</t>
  </si>
  <si>
    <t>182 Days Tbill (MD 09/05/2024)</t>
  </si>
  <si>
    <t>IN002023Y334</t>
  </si>
  <si>
    <t>TBIL2303</t>
  </si>
  <si>
    <t>91 Days Tbill (MD 04/04/2024)</t>
  </si>
  <si>
    <t>IN002023X419</t>
  </si>
  <si>
    <t>TBIL2284</t>
  </si>
  <si>
    <t>182 Days Tbill (MD 23/05/2024)</t>
  </si>
  <si>
    <t>IN002023Y359</t>
  </si>
  <si>
    <t>TRP_020424</t>
  </si>
  <si>
    <t>Half Yearly Portfolio Statement as on March 31, 2024</t>
  </si>
  <si>
    <t>(1) The provision made for securities classified as below investment grade or default as of March 31, 2024 is Rs.Nil and its percentage to Net Asset Value is Nil.</t>
  </si>
  <si>
    <t>(2)  Aggregate value of illiquid securities of the scheme and their percentage to NAV as on March 31, 2024 is Nil.</t>
  </si>
  <si>
    <t>(4) The Scheme did not declare any Income Distribution cum Capital Withdrawal during the half year ended March 31, 2024.</t>
  </si>
  <si>
    <t>(5) The Scheme did not declare any bonus during the half year ended March 31, 2024.</t>
  </si>
  <si>
    <t>(7) Total investments in Foreign Securities / Overseas ETFs / ADRs / GDRs as on March 31, 2024 is Nil.</t>
  </si>
  <si>
    <t>(9) The scheme had no Repo transaction in Corporate Debt Securities during half year ended March 31, 2024.</t>
  </si>
  <si>
    <t>A .   Hedging Positions through Futures as on March 31, 2024</t>
  </si>
  <si>
    <t>For the period ended March 31, 2024 details of hedging transactions through futures which have been squared off/expired are as under.</t>
  </si>
  <si>
    <t>B.   Other than Hedging Positions through Futures as on March 31, 2024</t>
  </si>
  <si>
    <t>For the period ended March 31, 2024 details of non-hedging transactions through futures which have been squared off/expired are as under.</t>
  </si>
  <si>
    <t>C.  Hedging Positions through Put Options as on March 31, 2024</t>
  </si>
  <si>
    <t>For the period ended March 31, 2024, details of hedging transactions through options which have already been exercised/expired are as under.</t>
  </si>
  <si>
    <t>D.  Other than Hedging Positions through Options as on March 31, 2024</t>
  </si>
  <si>
    <t>For the period ended March 31, 2024 details of non-hedging transactions through options which have already been exercised/expired are as under.</t>
  </si>
  <si>
    <t>E.  Hedging Positions through swaps as on March 31, 2024 - Nil</t>
  </si>
  <si>
    <t>F.  Hedging Positions through writing of Covered Call Options as on March 31, 2024</t>
  </si>
  <si>
    <t>For the period ended March 31, 2024 details of covered call options written which have been exercised / expired are as under.</t>
  </si>
  <si>
    <t>As on March 31, 2024</t>
  </si>
  <si>
    <t>(8) Portfolio Turnover ratio is 0.63 times.</t>
  </si>
  <si>
    <t>(6) Total outstanding exposure in derivative instruments as on March 31, 2024 is Rs.1493.31 Lakhs.</t>
  </si>
  <si>
    <t>PERSISTENT</t>
  </si>
  <si>
    <t>Long</t>
  </si>
  <si>
    <t>NIFTY</t>
  </si>
  <si>
    <t>MUTHOOTFIN</t>
  </si>
  <si>
    <t>Total exposure due to futures (non hedging positions) as a %age of net assets : 3.38%</t>
  </si>
  <si>
    <t>~ YTM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</si>
</sst>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</cellStyleXfs>
  <cellXfs count="110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8" fillId="2" borderId="0" xfId="0" applyFont="1" applyFill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0" xfId="0" applyFont="1"/>
    <xf numFmtId="9" fontId="3" fillId="2" borderId="0" xfId="2" applyFont="1" applyFill="1" applyBorder="1" applyAlignment="1">
      <alignment horizontal="righ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6" xfId="0" applyFont="1" applyBorder="1" applyAlignment="1">
      <alignment vertical="top" wrapText="1"/>
    </xf>
    <xf numFmtId="0" fontId="13" fillId="0" borderId="6" xfId="0" applyFont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left" vertical="top" wrapText="1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3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wrapText="1"/>
    </xf>
    <xf numFmtId="0" fontId="9" fillId="0" borderId="0" xfId="3" applyFont="1" applyAlignment="1">
      <alignment vertical="top"/>
    </xf>
    <xf numFmtId="0" fontId="9" fillId="0" borderId="0" xfId="0" applyFont="1" applyAlignment="1">
      <alignment vertical="top"/>
    </xf>
    <xf numFmtId="168" fontId="9" fillId="2" borderId="6" xfId="0" applyNumberFormat="1" applyFont="1" applyFill="1" applyBorder="1" applyAlignment="1">
      <alignment horizontal="right" vertical="top" wrapText="1"/>
    </xf>
    <xf numFmtId="0" fontId="9" fillId="2" borderId="0" xfId="3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13" fillId="0" borderId="6" xfId="0" applyFont="1" applyBorder="1" applyAlignment="1">
      <alignment horizontal="center" vertical="top"/>
    </xf>
    <xf numFmtId="4" fontId="13" fillId="2" borderId="6" xfId="0" applyNumberFormat="1" applyFont="1" applyFill="1" applyBorder="1" applyAlignment="1">
      <alignment horizontal="center" vertical="top"/>
    </xf>
    <xf numFmtId="0" fontId="13" fillId="2" borderId="6" xfId="0" applyFont="1" applyFill="1" applyBorder="1" applyAlignment="1">
      <alignment horizontal="center" vertical="top" wrapText="1"/>
    </xf>
    <xf numFmtId="4" fontId="13" fillId="2" borderId="6" xfId="0" applyNumberFormat="1" applyFont="1" applyFill="1" applyBorder="1" applyAlignment="1">
      <alignment horizontal="center" vertical="top" wrapText="1"/>
    </xf>
    <xf numFmtId="0" fontId="0" fillId="2" borderId="20" xfId="0" applyFill="1" applyBorder="1"/>
    <xf numFmtId="0" fontId="0" fillId="0" borderId="20" xfId="0" applyBorder="1"/>
    <xf numFmtId="0" fontId="0" fillId="2" borderId="20" xfId="0" applyFill="1" applyBorder="1" applyAlignment="1">
      <alignment horizontal="center"/>
    </xf>
    <xf numFmtId="0" fontId="0" fillId="0" borderId="0" xfId="0" applyAlignment="1" applyProtection="1">
      <alignment wrapText="1"/>
      <protection locked="0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right" vertical="top" wrapText="1"/>
    </xf>
    <xf numFmtId="3" fontId="4" fillId="0" borderId="1" xfId="0" applyNumberFormat="1" applyFont="1" applyBorder="1" applyAlignment="1">
      <alignment horizontal="right" vertical="top" wrapText="1"/>
    </xf>
    <xf numFmtId="165" fontId="4" fillId="0" borderId="2" xfId="0" applyNumberFormat="1" applyFont="1" applyBorder="1" applyAlignment="1">
      <alignment horizontal="right" vertical="top" wrapText="1"/>
    </xf>
    <xf numFmtId="166" fontId="4" fillId="0" borderId="1" xfId="0" applyNumberFormat="1" applyFont="1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165" fontId="3" fillId="0" borderId="3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165" fontId="3" fillId="0" borderId="0" xfId="0" applyNumberFormat="1" applyFont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0" fontId="7" fillId="0" borderId="0" xfId="6" applyAlignment="1" applyProtection="1">
      <alignment wrapText="1"/>
      <protection locked="0"/>
    </xf>
    <xf numFmtId="0" fontId="4" fillId="0" borderId="1" xfId="6" applyFont="1" applyBorder="1" applyAlignment="1">
      <alignment horizontal="left" vertical="top" wrapText="1"/>
    </xf>
    <xf numFmtId="165" fontId="3" fillId="0" borderId="0" xfId="6" applyNumberFormat="1" applyFont="1" applyAlignment="1">
      <alignment horizontal="right" vertical="top" wrapText="1"/>
    </xf>
    <xf numFmtId="166" fontId="3" fillId="0" borderId="1" xfId="6" applyNumberFormat="1" applyFont="1" applyBorder="1" applyAlignment="1">
      <alignment horizontal="right" vertical="top" wrapText="1"/>
    </xf>
    <xf numFmtId="0" fontId="3" fillId="0" borderId="2" xfId="6" applyFont="1" applyBorder="1" applyAlignment="1">
      <alignment horizontal="right" vertical="top" wrapText="1"/>
    </xf>
    <xf numFmtId="0" fontId="4" fillId="0" borderId="15" xfId="6" applyFont="1" applyBorder="1" applyAlignment="1">
      <alignment horizontal="left" vertical="top" wrapText="1"/>
    </xf>
    <xf numFmtId="0" fontId="4" fillId="0" borderId="16" xfId="6" applyFont="1" applyBorder="1" applyAlignment="1">
      <alignment horizontal="left" vertical="top" wrapText="1"/>
    </xf>
    <xf numFmtId="165" fontId="3" fillId="0" borderId="9" xfId="6" applyNumberFormat="1" applyFont="1" applyBorder="1" applyAlignment="1">
      <alignment horizontal="right" vertical="top" wrapText="1"/>
    </xf>
    <xf numFmtId="166" fontId="3" fillId="0" borderId="16" xfId="6" applyNumberFormat="1" applyFont="1" applyBorder="1" applyAlignment="1">
      <alignment horizontal="right" vertical="top" wrapText="1"/>
    </xf>
    <xf numFmtId="0" fontId="3" fillId="0" borderId="15" xfId="6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4" fillId="0" borderId="18" xfId="0" applyFont="1" applyBorder="1" applyAlignment="1">
      <alignment horizontal="left" vertical="top" wrapText="1"/>
    </xf>
    <xf numFmtId="165" fontId="3" fillId="0" borderId="19" xfId="0" applyNumberFormat="1" applyFont="1" applyBorder="1" applyAlignment="1">
      <alignment horizontal="right" vertical="top" wrapText="1"/>
    </xf>
    <xf numFmtId="167" fontId="3" fillId="0" borderId="19" xfId="0" applyNumberFormat="1" applyFont="1" applyBorder="1" applyAlignment="1">
      <alignment horizontal="right" vertical="top" wrapText="1"/>
    </xf>
    <xf numFmtId="0" fontId="3" fillId="0" borderId="21" xfId="0" applyFont="1" applyBorder="1" applyAlignment="1">
      <alignment horizontal="right" vertical="top" wrapText="1"/>
    </xf>
    <xf numFmtId="0" fontId="3" fillId="2" borderId="0" xfId="0" applyFont="1" applyFill="1" applyAlignment="1">
      <alignment horizontal="left" vertical="top"/>
    </xf>
    <xf numFmtId="0" fontId="4" fillId="0" borderId="13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3" xfId="5" applyFont="1" applyBorder="1" applyAlignment="1">
      <alignment horizontal="left" vertical="top" wrapText="1"/>
    </xf>
    <xf numFmtId="0" fontId="3" fillId="0" borderId="13" xfId="6" applyFont="1" applyBorder="1" applyAlignment="1">
      <alignment horizontal="left" vertical="top" wrapText="1"/>
    </xf>
    <xf numFmtId="0" fontId="3" fillId="0" borderId="14" xfId="6" applyFont="1" applyBorder="1" applyAlignment="1">
      <alignment horizontal="left" vertical="top" wrapText="1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2" fillId="0" borderId="0" xfId="0" applyFont="1"/>
    <xf numFmtId="0" fontId="16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3" fillId="0" borderId="17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center" wrapText="1"/>
    </xf>
  </cellXfs>
  <cellStyles count="7">
    <cellStyle name="Comma 2" xfId="4" xr:uid="{00000000-0005-0000-0000-000001000000}"/>
    <cellStyle name="Normal" xfId="0" builtinId="0"/>
    <cellStyle name="Normal 2" xfId="1" xr:uid="{00000000-0005-0000-0000-000003000000}"/>
    <cellStyle name="Normal 3" xfId="3" xr:uid="{00000000-0005-0000-0000-000004000000}"/>
    <cellStyle name="Normal 4" xfId="5" xr:uid="{21169C43-0791-4C72-A2FA-C4D87D88916C}"/>
    <cellStyle name="Normal 5" xfId="6" xr:uid="{ADCC3018-6610-4ED4-825C-31EB1CC0473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523875</xdr:colOff>
      <xdr:row>6</xdr:row>
      <xdr:rowOff>152400</xdr:rowOff>
    </xdr:from>
    <xdr:to>
      <xdr:col>18</xdr:col>
      <xdr:colOff>79290</xdr:colOff>
      <xdr:row>19</xdr:row>
      <xdr:rowOff>160381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C4848401-E730-4084-B7F6-9F82A677D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514475"/>
          <a:ext cx="9404265" cy="24844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81"/>
  <sheetViews>
    <sheetView tabSelected="1" zoomScaleNormal="100" workbookViewId="0">
      <selection activeCell="B1" sqref="B1:H1"/>
    </sheetView>
  </sheetViews>
  <sheetFormatPr defaultColWidth="8.7109375" defaultRowHeight="15"/>
  <cols>
    <col min="1" max="1" width="4.42578125" style="1" customWidth="1"/>
    <col min="2" max="2" width="37.28515625" style="1" customWidth="1"/>
    <col min="3" max="3" width="18.28515625" style="1" customWidth="1"/>
    <col min="4" max="4" width="22" style="1" customWidth="1"/>
    <col min="5" max="5" width="26.5703125" style="1" customWidth="1"/>
    <col min="6" max="6" width="17" style="1" customWidth="1"/>
    <col min="7" max="7" width="18.28515625" style="1" customWidth="1"/>
    <col min="8" max="8" width="11.7109375" style="1" customWidth="1"/>
    <col min="9" max="9" width="8.85546875" style="54" customWidth="1"/>
    <col min="10" max="10" width="29" style="1" customWidth="1"/>
    <col min="11" max="11" width="28.7109375" style="1" customWidth="1"/>
    <col min="12" max="12" width="30.7109375" style="1" customWidth="1"/>
    <col min="13" max="13" width="15.7109375" style="1" customWidth="1"/>
    <col min="14" max="16384" width="8.7109375" style="1"/>
  </cols>
  <sheetData>
    <row r="1" spans="1:9" ht="15.75">
      <c r="B1" s="108" t="s">
        <v>115</v>
      </c>
      <c r="C1" s="108"/>
      <c r="D1" s="108"/>
      <c r="E1" s="108"/>
      <c r="F1" s="108"/>
      <c r="G1" s="108"/>
      <c r="H1" s="108"/>
    </row>
    <row r="2" spans="1:9" ht="15.75">
      <c r="B2" s="108" t="s">
        <v>116</v>
      </c>
      <c r="C2" s="108"/>
      <c r="D2" s="108"/>
      <c r="E2" s="108"/>
      <c r="F2" s="108"/>
      <c r="G2" s="108"/>
      <c r="H2" s="108"/>
    </row>
    <row r="3" spans="1:9" ht="15.75">
      <c r="B3" s="108" t="s">
        <v>329</v>
      </c>
      <c r="C3" s="108"/>
      <c r="D3" s="108"/>
      <c r="E3" s="108"/>
      <c r="F3" s="108"/>
      <c r="G3" s="108"/>
      <c r="H3" s="108"/>
    </row>
    <row r="4" spans="1:9" ht="15.75" thickBot="1">
      <c r="B4" s="9"/>
      <c r="C4" s="9"/>
      <c r="D4" s="9"/>
      <c r="E4" s="9"/>
      <c r="F4" s="9"/>
      <c r="G4" s="9"/>
      <c r="H4" s="9"/>
    </row>
    <row r="5" spans="1:9" ht="29.25" customHeight="1">
      <c r="A5" s="57"/>
      <c r="B5" s="109" t="s">
        <v>0</v>
      </c>
      <c r="C5" s="109"/>
      <c r="D5" s="58" t="s">
        <v>1</v>
      </c>
      <c r="E5" s="59" t="s">
        <v>239</v>
      </c>
      <c r="F5" s="59" t="s">
        <v>2</v>
      </c>
      <c r="G5" s="59" t="s">
        <v>162</v>
      </c>
      <c r="H5" s="59" t="s">
        <v>163</v>
      </c>
      <c r="I5" s="59" t="s">
        <v>164</v>
      </c>
    </row>
    <row r="6" spans="1:9">
      <c r="A6" s="57"/>
      <c r="B6" s="91" t="s">
        <v>7</v>
      </c>
      <c r="C6" s="91"/>
      <c r="D6" s="60"/>
      <c r="E6" s="60"/>
      <c r="F6" s="60"/>
      <c r="G6" s="60"/>
      <c r="H6" s="60"/>
      <c r="I6" s="61"/>
    </row>
    <row r="7" spans="1:9">
      <c r="A7" s="57"/>
      <c r="B7" s="91" t="s">
        <v>8</v>
      </c>
      <c r="C7" s="91"/>
      <c r="D7" s="60"/>
      <c r="E7" s="60"/>
      <c r="F7" s="60"/>
      <c r="G7" s="57"/>
      <c r="H7" s="61"/>
      <c r="I7" s="61"/>
    </row>
    <row r="8" spans="1:9" ht="15" customHeight="1">
      <c r="A8" s="7" t="s">
        <v>165</v>
      </c>
      <c r="B8" s="90" t="s">
        <v>47</v>
      </c>
      <c r="C8" s="90"/>
      <c r="D8" s="60" t="s">
        <v>48</v>
      </c>
      <c r="E8" s="60" t="s">
        <v>20</v>
      </c>
      <c r="F8" s="62">
        <v>371916</v>
      </c>
      <c r="G8" s="63">
        <v>4066.16</v>
      </c>
      <c r="H8" s="64">
        <v>9.2100000000000001E-2</v>
      </c>
      <c r="I8" s="65"/>
    </row>
    <row r="9" spans="1:9" ht="15" customHeight="1">
      <c r="A9" s="7" t="s">
        <v>166</v>
      </c>
      <c r="B9" s="90" t="s">
        <v>57</v>
      </c>
      <c r="C9" s="90"/>
      <c r="D9" s="60" t="s">
        <v>58</v>
      </c>
      <c r="E9" s="60" t="s">
        <v>20</v>
      </c>
      <c r="F9" s="62">
        <v>190117</v>
      </c>
      <c r="G9" s="63">
        <v>2752.7</v>
      </c>
      <c r="H9" s="64">
        <v>6.2399999999999997E-2</v>
      </c>
      <c r="I9" s="65"/>
    </row>
    <row r="10" spans="1:9" ht="15" customHeight="1">
      <c r="A10" s="7" t="s">
        <v>168</v>
      </c>
      <c r="B10" s="90" t="s">
        <v>119</v>
      </c>
      <c r="C10" s="90"/>
      <c r="D10" s="60" t="s">
        <v>138</v>
      </c>
      <c r="E10" s="60" t="s">
        <v>139</v>
      </c>
      <c r="F10" s="62">
        <v>70314</v>
      </c>
      <c r="G10" s="63">
        <v>2089.52</v>
      </c>
      <c r="H10" s="64">
        <v>4.7300000000000002E-2</v>
      </c>
      <c r="I10" s="65"/>
    </row>
    <row r="11" spans="1:9" ht="15" customHeight="1">
      <c r="A11" s="7" t="s">
        <v>240</v>
      </c>
      <c r="B11" s="90" t="s">
        <v>118</v>
      </c>
      <c r="C11" s="90"/>
      <c r="D11" s="60" t="s">
        <v>241</v>
      </c>
      <c r="E11" s="60" t="s">
        <v>49</v>
      </c>
      <c r="F11" s="62">
        <v>75109</v>
      </c>
      <c r="G11" s="63">
        <v>1969.62</v>
      </c>
      <c r="H11" s="64">
        <v>4.4600000000000001E-2</v>
      </c>
      <c r="I11" s="65"/>
    </row>
    <row r="12" spans="1:9" ht="15" customHeight="1">
      <c r="A12" s="7" t="s">
        <v>167</v>
      </c>
      <c r="B12" s="90" t="s">
        <v>120</v>
      </c>
      <c r="C12" s="90"/>
      <c r="D12" s="60" t="s">
        <v>140</v>
      </c>
      <c r="E12" s="60" t="s">
        <v>15</v>
      </c>
      <c r="F12" s="62">
        <v>47310</v>
      </c>
      <c r="G12" s="63">
        <v>1798.63</v>
      </c>
      <c r="H12" s="64">
        <v>4.0800000000000003E-2</v>
      </c>
      <c r="I12" s="65"/>
    </row>
    <row r="13" spans="1:9" ht="15" customHeight="1">
      <c r="A13" s="7" t="s">
        <v>173</v>
      </c>
      <c r="B13" s="90" t="s">
        <v>123</v>
      </c>
      <c r="C13" s="90"/>
      <c r="D13" s="60" t="s">
        <v>144</v>
      </c>
      <c r="E13" s="60" t="s">
        <v>56</v>
      </c>
      <c r="F13" s="62">
        <v>35615</v>
      </c>
      <c r="G13" s="63">
        <v>1340.51</v>
      </c>
      <c r="H13" s="64">
        <v>3.04E-2</v>
      </c>
      <c r="I13" s="65"/>
    </row>
    <row r="14" spans="1:9" ht="15" customHeight="1">
      <c r="A14" s="7" t="s">
        <v>171</v>
      </c>
      <c r="B14" s="90" t="s">
        <v>130</v>
      </c>
      <c r="C14" s="90"/>
      <c r="D14" s="60" t="s">
        <v>151</v>
      </c>
      <c r="E14" s="60" t="s">
        <v>9</v>
      </c>
      <c r="F14" s="62">
        <v>32471</v>
      </c>
      <c r="G14" s="63">
        <v>1258.67</v>
      </c>
      <c r="H14" s="64">
        <v>2.8500000000000001E-2</v>
      </c>
      <c r="I14" s="65"/>
    </row>
    <row r="15" spans="1:9" ht="15" customHeight="1">
      <c r="A15" s="7" t="s">
        <v>204</v>
      </c>
      <c r="B15" s="90" t="s">
        <v>205</v>
      </c>
      <c r="C15" s="90"/>
      <c r="D15" s="60" t="s">
        <v>206</v>
      </c>
      <c r="E15" s="60" t="s">
        <v>11</v>
      </c>
      <c r="F15" s="62">
        <v>595998</v>
      </c>
      <c r="G15" s="63">
        <v>1085.31</v>
      </c>
      <c r="H15" s="64">
        <v>2.46E-2</v>
      </c>
      <c r="I15" s="65"/>
    </row>
    <row r="16" spans="1:9" ht="15" customHeight="1">
      <c r="A16" s="7" t="s">
        <v>179</v>
      </c>
      <c r="B16" s="90" t="s">
        <v>127</v>
      </c>
      <c r="C16" s="90"/>
      <c r="D16" s="60" t="s">
        <v>148</v>
      </c>
      <c r="E16" s="60" t="s">
        <v>50</v>
      </c>
      <c r="F16" s="62">
        <v>529164</v>
      </c>
      <c r="G16" s="63">
        <v>1066.27</v>
      </c>
      <c r="H16" s="64">
        <v>2.4199999999999999E-2</v>
      </c>
      <c r="I16" s="65"/>
    </row>
    <row r="17" spans="1:9" ht="15" customHeight="1">
      <c r="A17" s="7" t="s">
        <v>193</v>
      </c>
      <c r="B17" s="90" t="s">
        <v>45</v>
      </c>
      <c r="C17" s="90"/>
      <c r="D17" s="60" t="s">
        <v>46</v>
      </c>
      <c r="E17" s="60" t="s">
        <v>24</v>
      </c>
      <c r="F17" s="62">
        <v>16575</v>
      </c>
      <c r="G17" s="63">
        <v>1054.31</v>
      </c>
      <c r="H17" s="64">
        <v>2.3900000000000001E-2</v>
      </c>
      <c r="I17" s="65"/>
    </row>
    <row r="18" spans="1:9" ht="15" customHeight="1">
      <c r="A18" s="7" t="s">
        <v>32</v>
      </c>
      <c r="B18" s="90" t="s">
        <v>33</v>
      </c>
      <c r="C18" s="90"/>
      <c r="D18" s="60" t="s">
        <v>34</v>
      </c>
      <c r="E18" s="60" t="s">
        <v>35</v>
      </c>
      <c r="F18" s="62">
        <v>166017</v>
      </c>
      <c r="G18" s="63">
        <v>1016.61</v>
      </c>
      <c r="H18" s="64">
        <v>2.3E-2</v>
      </c>
      <c r="I18" s="65"/>
    </row>
    <row r="19" spans="1:9" ht="15" customHeight="1">
      <c r="A19" s="7" t="s">
        <v>169</v>
      </c>
      <c r="B19" s="90" t="s">
        <v>122</v>
      </c>
      <c r="C19" s="90"/>
      <c r="D19" s="60" t="s">
        <v>143</v>
      </c>
      <c r="E19" s="60" t="s">
        <v>20</v>
      </c>
      <c r="F19" s="62">
        <v>55144</v>
      </c>
      <c r="G19" s="63">
        <v>984.6</v>
      </c>
      <c r="H19" s="64">
        <v>2.23E-2</v>
      </c>
      <c r="I19" s="65"/>
    </row>
    <row r="20" spans="1:9" ht="15" customHeight="1">
      <c r="A20" s="7" t="s">
        <v>174</v>
      </c>
      <c r="B20" s="90" t="s">
        <v>175</v>
      </c>
      <c r="C20" s="90"/>
      <c r="D20" s="60" t="s">
        <v>176</v>
      </c>
      <c r="E20" s="60" t="s">
        <v>142</v>
      </c>
      <c r="F20" s="62">
        <v>48892</v>
      </c>
      <c r="G20" s="63">
        <v>939.39</v>
      </c>
      <c r="H20" s="64">
        <v>2.1299999999999999E-2</v>
      </c>
      <c r="I20" s="65"/>
    </row>
    <row r="21" spans="1:9" ht="15" customHeight="1">
      <c r="A21" s="7" t="s">
        <v>42</v>
      </c>
      <c r="B21" s="90" t="s">
        <v>43</v>
      </c>
      <c r="C21" s="90"/>
      <c r="D21" s="60" t="s">
        <v>44</v>
      </c>
      <c r="E21" s="60" t="s">
        <v>20</v>
      </c>
      <c r="F21" s="62">
        <v>124783</v>
      </c>
      <c r="G21" s="63">
        <v>938.8</v>
      </c>
      <c r="H21" s="64">
        <v>2.1299999999999999E-2</v>
      </c>
      <c r="I21" s="65"/>
    </row>
    <row r="22" spans="1:9" ht="15" customHeight="1">
      <c r="A22" s="7" t="s">
        <v>38</v>
      </c>
      <c r="B22" s="90" t="s">
        <v>39</v>
      </c>
      <c r="C22" s="90"/>
      <c r="D22" s="60" t="s">
        <v>40</v>
      </c>
      <c r="E22" s="60" t="s">
        <v>11</v>
      </c>
      <c r="F22" s="62">
        <v>23564</v>
      </c>
      <c r="G22" s="63">
        <v>930.31</v>
      </c>
      <c r="H22" s="64">
        <v>2.1100000000000001E-2</v>
      </c>
      <c r="I22" s="65"/>
    </row>
    <row r="23" spans="1:9" ht="15" customHeight="1">
      <c r="A23" s="7" t="s">
        <v>170</v>
      </c>
      <c r="B23" s="90" t="s">
        <v>117</v>
      </c>
      <c r="C23" s="90"/>
      <c r="D23" s="60" t="s">
        <v>137</v>
      </c>
      <c r="E23" s="60" t="s">
        <v>9</v>
      </c>
      <c r="F23" s="62">
        <v>61418</v>
      </c>
      <c r="G23" s="63">
        <v>920.07</v>
      </c>
      <c r="H23" s="64">
        <v>2.0799999999999999E-2</v>
      </c>
      <c r="I23" s="65"/>
    </row>
    <row r="24" spans="1:9" ht="15" customHeight="1">
      <c r="A24" s="7" t="s">
        <v>183</v>
      </c>
      <c r="B24" s="90" t="s">
        <v>184</v>
      </c>
      <c r="C24" s="90"/>
      <c r="D24" s="60" t="s">
        <v>185</v>
      </c>
      <c r="E24" s="60" t="s">
        <v>186</v>
      </c>
      <c r="F24" s="62">
        <v>69528</v>
      </c>
      <c r="G24" s="63">
        <v>870.35</v>
      </c>
      <c r="H24" s="64">
        <v>1.9699999999999999E-2</v>
      </c>
      <c r="I24" s="65"/>
    </row>
    <row r="25" spans="1:9" ht="15" customHeight="1">
      <c r="A25" s="7" t="s">
        <v>181</v>
      </c>
      <c r="B25" s="90" t="s">
        <v>108</v>
      </c>
      <c r="C25" s="90"/>
      <c r="D25" s="60" t="s">
        <v>182</v>
      </c>
      <c r="E25" s="60" t="s">
        <v>110</v>
      </c>
      <c r="F25" s="62">
        <v>56242</v>
      </c>
      <c r="G25" s="63">
        <v>786.6</v>
      </c>
      <c r="H25" s="64">
        <v>1.78E-2</v>
      </c>
      <c r="I25" s="65"/>
    </row>
    <row r="26" spans="1:9" ht="15" customHeight="1">
      <c r="A26" s="7" t="s">
        <v>242</v>
      </c>
      <c r="B26" s="90" t="s">
        <v>243</v>
      </c>
      <c r="C26" s="90"/>
      <c r="D26" s="60" t="s">
        <v>244</v>
      </c>
      <c r="E26" s="60" t="s">
        <v>28</v>
      </c>
      <c r="F26" s="62">
        <v>194635</v>
      </c>
      <c r="G26" s="63">
        <v>759.56</v>
      </c>
      <c r="H26" s="64">
        <v>1.72E-2</v>
      </c>
      <c r="I26" s="65"/>
    </row>
    <row r="27" spans="1:9" ht="15" customHeight="1">
      <c r="A27" s="7" t="s">
        <v>172</v>
      </c>
      <c r="B27" s="90" t="s">
        <v>121</v>
      </c>
      <c r="C27" s="90"/>
      <c r="D27" s="60" t="s">
        <v>141</v>
      </c>
      <c r="E27" s="60" t="s">
        <v>142</v>
      </c>
      <c r="F27" s="62">
        <v>5953</v>
      </c>
      <c r="G27" s="63">
        <v>750.1</v>
      </c>
      <c r="H27" s="64">
        <v>1.7000000000000001E-2</v>
      </c>
      <c r="I27" s="65"/>
    </row>
    <row r="28" spans="1:9" ht="15" customHeight="1">
      <c r="A28" s="7" t="s">
        <v>178</v>
      </c>
      <c r="B28" s="90" t="s">
        <v>128</v>
      </c>
      <c r="C28" s="90"/>
      <c r="D28" s="60" t="s">
        <v>149</v>
      </c>
      <c r="E28" s="60" t="s">
        <v>28</v>
      </c>
      <c r="F28" s="62">
        <v>10235</v>
      </c>
      <c r="G28" s="63">
        <v>741.55</v>
      </c>
      <c r="H28" s="64">
        <v>1.6799999999999999E-2</v>
      </c>
      <c r="I28" s="65"/>
    </row>
    <row r="29" spans="1:9" ht="15" customHeight="1">
      <c r="A29" s="7" t="s">
        <v>245</v>
      </c>
      <c r="B29" s="90" t="s">
        <v>246</v>
      </c>
      <c r="C29" s="90"/>
      <c r="D29" s="60" t="s">
        <v>247</v>
      </c>
      <c r="E29" s="60" t="s">
        <v>248</v>
      </c>
      <c r="F29" s="62">
        <v>20876</v>
      </c>
      <c r="G29" s="63">
        <v>740.82</v>
      </c>
      <c r="H29" s="64">
        <v>1.6799999999999999E-2</v>
      </c>
      <c r="I29" s="65"/>
    </row>
    <row r="30" spans="1:9" ht="15" customHeight="1">
      <c r="A30" s="7" t="s">
        <v>26</v>
      </c>
      <c r="B30" s="90" t="s">
        <v>109</v>
      </c>
      <c r="C30" s="90"/>
      <c r="D30" s="60" t="s">
        <v>27</v>
      </c>
      <c r="E30" s="60" t="s">
        <v>28</v>
      </c>
      <c r="F30" s="62">
        <v>59989</v>
      </c>
      <c r="G30" s="63">
        <v>693.83</v>
      </c>
      <c r="H30" s="64">
        <v>1.5699999999999999E-2</v>
      </c>
      <c r="I30" s="65"/>
    </row>
    <row r="31" spans="1:9" ht="15" customHeight="1">
      <c r="A31" s="7" t="s">
        <v>207</v>
      </c>
      <c r="B31" s="90" t="s">
        <v>125</v>
      </c>
      <c r="C31" s="90"/>
      <c r="D31" s="60" t="s">
        <v>146</v>
      </c>
      <c r="E31" s="60" t="s">
        <v>37</v>
      </c>
      <c r="F31" s="62">
        <v>43103</v>
      </c>
      <c r="G31" s="63">
        <v>645.23</v>
      </c>
      <c r="H31" s="64">
        <v>1.46E-2</v>
      </c>
      <c r="I31" s="65"/>
    </row>
    <row r="32" spans="1:9" ht="15" customHeight="1">
      <c r="A32" s="7" t="s">
        <v>192</v>
      </c>
      <c r="B32" s="90" t="s">
        <v>132</v>
      </c>
      <c r="C32" s="90"/>
      <c r="D32" s="60" t="s">
        <v>154</v>
      </c>
      <c r="E32" s="60" t="s">
        <v>155</v>
      </c>
      <c r="F32" s="62">
        <v>385071</v>
      </c>
      <c r="G32" s="63">
        <v>600.13</v>
      </c>
      <c r="H32" s="64">
        <v>1.3599999999999999E-2</v>
      </c>
      <c r="I32" s="65"/>
    </row>
    <row r="33" spans="1:9" ht="15" customHeight="1">
      <c r="A33" s="7" t="s">
        <v>195</v>
      </c>
      <c r="B33" s="90" t="s">
        <v>133</v>
      </c>
      <c r="C33" s="90"/>
      <c r="D33" s="60" t="s">
        <v>156</v>
      </c>
      <c r="E33" s="60" t="s">
        <v>157</v>
      </c>
      <c r="F33" s="62">
        <v>46635</v>
      </c>
      <c r="G33" s="63">
        <v>572.96</v>
      </c>
      <c r="H33" s="64">
        <v>1.2999999999999999E-2</v>
      </c>
      <c r="I33" s="65"/>
    </row>
    <row r="34" spans="1:9" ht="15" customHeight="1">
      <c r="A34" s="7" t="s">
        <v>188</v>
      </c>
      <c r="B34" s="90" t="s">
        <v>189</v>
      </c>
      <c r="C34" s="90"/>
      <c r="D34" s="60" t="s">
        <v>190</v>
      </c>
      <c r="E34" s="60" t="s">
        <v>37</v>
      </c>
      <c r="F34" s="62">
        <v>18244</v>
      </c>
      <c r="G34" s="63">
        <v>474.45</v>
      </c>
      <c r="H34" s="64">
        <v>1.0800000000000001E-2</v>
      </c>
      <c r="I34" s="65"/>
    </row>
    <row r="35" spans="1:9" ht="15" customHeight="1">
      <c r="A35" s="7" t="s">
        <v>215</v>
      </c>
      <c r="B35" s="90" t="s">
        <v>216</v>
      </c>
      <c r="C35" s="90"/>
      <c r="D35" s="60" t="s">
        <v>217</v>
      </c>
      <c r="E35" s="60" t="s">
        <v>28</v>
      </c>
      <c r="F35" s="62">
        <v>18935</v>
      </c>
      <c r="G35" s="63">
        <v>446.83</v>
      </c>
      <c r="H35" s="64">
        <v>1.01E-2</v>
      </c>
      <c r="I35" s="65"/>
    </row>
    <row r="36" spans="1:9" ht="15" customHeight="1">
      <c r="A36" s="7" t="s">
        <v>187</v>
      </c>
      <c r="B36" s="90" t="s">
        <v>129</v>
      </c>
      <c r="C36" s="90"/>
      <c r="D36" s="60" t="s">
        <v>150</v>
      </c>
      <c r="E36" s="60" t="s">
        <v>28</v>
      </c>
      <c r="F36" s="62">
        <v>27179</v>
      </c>
      <c r="G36" s="63">
        <v>446.78</v>
      </c>
      <c r="H36" s="64">
        <v>1.01E-2</v>
      </c>
      <c r="I36" s="65"/>
    </row>
    <row r="37" spans="1:9" ht="15" customHeight="1">
      <c r="A37" s="7" t="s">
        <v>212</v>
      </c>
      <c r="B37" s="90" t="s">
        <v>213</v>
      </c>
      <c r="C37" s="90"/>
      <c r="D37" s="60" t="s">
        <v>214</v>
      </c>
      <c r="E37" s="60" t="s">
        <v>37</v>
      </c>
      <c r="F37" s="62">
        <v>18463</v>
      </c>
      <c r="G37" s="63">
        <v>424.79</v>
      </c>
      <c r="H37" s="64">
        <v>9.5999999999999992E-3</v>
      </c>
      <c r="I37" s="65"/>
    </row>
    <row r="38" spans="1:9" ht="15" customHeight="1">
      <c r="A38" s="7" t="s">
        <v>21</v>
      </c>
      <c r="B38" s="90" t="s">
        <v>22</v>
      </c>
      <c r="C38" s="90"/>
      <c r="D38" s="60" t="s">
        <v>23</v>
      </c>
      <c r="E38" s="60" t="s">
        <v>24</v>
      </c>
      <c r="F38" s="62">
        <v>78115</v>
      </c>
      <c r="G38" s="63">
        <v>422.52</v>
      </c>
      <c r="H38" s="64">
        <v>9.5999999999999992E-3</v>
      </c>
      <c r="I38" s="65"/>
    </row>
    <row r="39" spans="1:9" ht="15" customHeight="1">
      <c r="A39" s="7" t="s">
        <v>249</v>
      </c>
      <c r="B39" s="90" t="s">
        <v>250</v>
      </c>
      <c r="C39" s="90"/>
      <c r="D39" s="60" t="s">
        <v>251</v>
      </c>
      <c r="E39" s="60" t="s">
        <v>10</v>
      </c>
      <c r="F39" s="62">
        <v>13347</v>
      </c>
      <c r="G39" s="63">
        <v>402.37</v>
      </c>
      <c r="H39" s="64">
        <v>9.1000000000000004E-3</v>
      </c>
      <c r="I39" s="65"/>
    </row>
    <row r="40" spans="1:9" ht="15" customHeight="1">
      <c r="A40" s="7" t="s">
        <v>252</v>
      </c>
      <c r="B40" s="90" t="s">
        <v>253</v>
      </c>
      <c r="C40" s="90"/>
      <c r="D40" s="60" t="s">
        <v>254</v>
      </c>
      <c r="E40" s="60" t="s">
        <v>255</v>
      </c>
      <c r="F40" s="62">
        <v>12800</v>
      </c>
      <c r="G40" s="63">
        <v>373.2</v>
      </c>
      <c r="H40" s="64">
        <v>8.5000000000000006E-3</v>
      </c>
      <c r="I40" s="65"/>
    </row>
    <row r="41" spans="1:9" ht="15" customHeight="1">
      <c r="A41" s="7" t="s">
        <v>12</v>
      </c>
      <c r="B41" s="90" t="s">
        <v>13</v>
      </c>
      <c r="C41" s="90"/>
      <c r="D41" s="60" t="s">
        <v>14</v>
      </c>
      <c r="E41" s="60" t="s">
        <v>9</v>
      </c>
      <c r="F41" s="62">
        <v>6737</v>
      </c>
      <c r="G41" s="63">
        <v>370.7</v>
      </c>
      <c r="H41" s="64">
        <v>8.3999999999999995E-3</v>
      </c>
      <c r="I41" s="65"/>
    </row>
    <row r="42" spans="1:9" ht="15" customHeight="1">
      <c r="A42" s="7" t="s">
        <v>180</v>
      </c>
      <c r="B42" s="90" t="s">
        <v>53</v>
      </c>
      <c r="C42" s="90"/>
      <c r="D42" s="60" t="s">
        <v>54</v>
      </c>
      <c r="E42" s="60" t="s">
        <v>55</v>
      </c>
      <c r="F42" s="62">
        <v>65389</v>
      </c>
      <c r="G42" s="63">
        <v>366.34</v>
      </c>
      <c r="H42" s="64">
        <v>8.3000000000000001E-3</v>
      </c>
      <c r="I42" s="65"/>
    </row>
    <row r="43" spans="1:9" ht="15" customHeight="1">
      <c r="A43" s="7" t="s">
        <v>256</v>
      </c>
      <c r="B43" s="90" t="s">
        <v>257</v>
      </c>
      <c r="C43" s="90"/>
      <c r="D43" s="60" t="s">
        <v>258</v>
      </c>
      <c r="E43" s="60" t="s">
        <v>9</v>
      </c>
      <c r="F43" s="62">
        <v>32887</v>
      </c>
      <c r="G43" s="63">
        <v>360.7</v>
      </c>
      <c r="H43" s="64">
        <v>8.2000000000000007E-3</v>
      </c>
      <c r="I43" s="65"/>
    </row>
    <row r="44" spans="1:9" ht="15" customHeight="1">
      <c r="A44" s="7" t="s">
        <v>194</v>
      </c>
      <c r="B44" s="90" t="s">
        <v>136</v>
      </c>
      <c r="C44" s="90"/>
      <c r="D44" s="60" t="s">
        <v>161</v>
      </c>
      <c r="E44" s="60" t="s">
        <v>160</v>
      </c>
      <c r="F44" s="62">
        <v>52074</v>
      </c>
      <c r="G44" s="63">
        <v>329.81</v>
      </c>
      <c r="H44" s="64">
        <v>7.4999999999999997E-3</v>
      </c>
      <c r="I44" s="65"/>
    </row>
    <row r="45" spans="1:9" ht="15" customHeight="1">
      <c r="A45" s="7" t="s">
        <v>259</v>
      </c>
      <c r="B45" s="90" t="s">
        <v>260</v>
      </c>
      <c r="C45" s="90"/>
      <c r="D45" s="60" t="s">
        <v>261</v>
      </c>
      <c r="E45" s="60" t="s">
        <v>160</v>
      </c>
      <c r="F45" s="62">
        <v>30083</v>
      </c>
      <c r="G45" s="63">
        <v>301.49</v>
      </c>
      <c r="H45" s="64">
        <v>6.7999999999999996E-3</v>
      </c>
      <c r="I45" s="65"/>
    </row>
    <row r="46" spans="1:9" ht="15" customHeight="1">
      <c r="A46" s="7" t="s">
        <v>221</v>
      </c>
      <c r="B46" s="90" t="s">
        <v>222</v>
      </c>
      <c r="C46" s="90"/>
      <c r="D46" s="60" t="s">
        <v>223</v>
      </c>
      <c r="E46" s="60" t="s">
        <v>153</v>
      </c>
      <c r="F46" s="62">
        <v>88672</v>
      </c>
      <c r="G46" s="63">
        <v>297.76</v>
      </c>
      <c r="H46" s="64">
        <v>6.7000000000000002E-3</v>
      </c>
      <c r="I46" s="65"/>
    </row>
    <row r="47" spans="1:9" ht="15" customHeight="1">
      <c r="A47" s="7" t="s">
        <v>218</v>
      </c>
      <c r="B47" s="90" t="s">
        <v>219</v>
      </c>
      <c r="C47" s="90"/>
      <c r="D47" s="60" t="s">
        <v>220</v>
      </c>
      <c r="E47" s="60" t="s">
        <v>25</v>
      </c>
      <c r="F47" s="62">
        <v>7325</v>
      </c>
      <c r="G47" s="63">
        <v>282.44</v>
      </c>
      <c r="H47" s="64">
        <v>6.4000000000000003E-3</v>
      </c>
      <c r="I47" s="65"/>
    </row>
    <row r="48" spans="1:9" ht="15" customHeight="1">
      <c r="A48" s="7" t="s">
        <v>177</v>
      </c>
      <c r="B48" s="90" t="s">
        <v>135</v>
      </c>
      <c r="C48" s="90"/>
      <c r="D48" s="60" t="s">
        <v>159</v>
      </c>
      <c r="E48" s="60" t="s">
        <v>160</v>
      </c>
      <c r="F48" s="62">
        <v>44579</v>
      </c>
      <c r="G48" s="63">
        <v>271.33</v>
      </c>
      <c r="H48" s="64">
        <v>6.1000000000000004E-3</v>
      </c>
      <c r="I48" s="65"/>
    </row>
    <row r="49" spans="1:9" ht="15" customHeight="1">
      <c r="A49" s="7" t="s">
        <v>262</v>
      </c>
      <c r="B49" s="90" t="s">
        <v>263</v>
      </c>
      <c r="C49" s="90"/>
      <c r="D49" s="60" t="s">
        <v>264</v>
      </c>
      <c r="E49" s="60" t="s">
        <v>160</v>
      </c>
      <c r="F49" s="62">
        <v>49911</v>
      </c>
      <c r="G49" s="63">
        <v>252.37</v>
      </c>
      <c r="H49" s="64">
        <v>5.7000000000000002E-3</v>
      </c>
      <c r="I49" s="65"/>
    </row>
    <row r="50" spans="1:9" ht="15" customHeight="1">
      <c r="A50" s="7" t="s">
        <v>265</v>
      </c>
      <c r="B50" s="90" t="s">
        <v>266</v>
      </c>
      <c r="C50" s="90"/>
      <c r="D50" s="60" t="s">
        <v>267</v>
      </c>
      <c r="E50" s="60" t="s">
        <v>268</v>
      </c>
      <c r="F50" s="62">
        <v>94148</v>
      </c>
      <c r="G50" s="63">
        <v>252.36</v>
      </c>
      <c r="H50" s="64">
        <v>5.7000000000000002E-3</v>
      </c>
      <c r="I50" s="65"/>
    </row>
    <row r="51" spans="1:9" ht="15" customHeight="1">
      <c r="A51" s="7" t="s">
        <v>269</v>
      </c>
      <c r="B51" s="90" t="s">
        <v>270</v>
      </c>
      <c r="C51" s="90"/>
      <c r="D51" s="60" t="s">
        <v>271</v>
      </c>
      <c r="E51" s="60" t="s">
        <v>19</v>
      </c>
      <c r="F51" s="62">
        <v>17257</v>
      </c>
      <c r="G51" s="63">
        <v>250.01</v>
      </c>
      <c r="H51" s="64">
        <v>5.7000000000000002E-3</v>
      </c>
      <c r="I51" s="65"/>
    </row>
    <row r="52" spans="1:9" ht="15" customHeight="1">
      <c r="A52" s="7" t="s">
        <v>208</v>
      </c>
      <c r="B52" s="90" t="s">
        <v>209</v>
      </c>
      <c r="C52" s="90"/>
      <c r="D52" s="60" t="s">
        <v>210</v>
      </c>
      <c r="E52" s="60" t="s">
        <v>28</v>
      </c>
      <c r="F52" s="62">
        <v>53569</v>
      </c>
      <c r="G52" s="63">
        <v>241.6</v>
      </c>
      <c r="H52" s="64">
        <v>5.4999999999999997E-3</v>
      </c>
      <c r="I52" s="65"/>
    </row>
    <row r="53" spans="1:9" ht="15" customHeight="1">
      <c r="A53" s="7" t="s">
        <v>272</v>
      </c>
      <c r="B53" s="90" t="s">
        <v>273</v>
      </c>
      <c r="C53" s="90"/>
      <c r="D53" s="60" t="s">
        <v>274</v>
      </c>
      <c r="E53" s="60" t="s">
        <v>155</v>
      </c>
      <c r="F53" s="62">
        <v>33850</v>
      </c>
      <c r="G53" s="63">
        <v>235.07</v>
      </c>
      <c r="H53" s="64">
        <v>5.3E-3</v>
      </c>
      <c r="I53" s="65"/>
    </row>
    <row r="54" spans="1:9" ht="15" customHeight="1">
      <c r="A54" s="7" t="s">
        <v>198</v>
      </c>
      <c r="B54" s="90" t="s">
        <v>199</v>
      </c>
      <c r="C54" s="90"/>
      <c r="D54" s="60" t="s">
        <v>200</v>
      </c>
      <c r="E54" s="60" t="s">
        <v>36</v>
      </c>
      <c r="F54" s="62">
        <v>17261</v>
      </c>
      <c r="G54" s="63">
        <v>228.04</v>
      </c>
      <c r="H54" s="64">
        <v>5.1999999999999998E-3</v>
      </c>
      <c r="I54" s="65"/>
    </row>
    <row r="55" spans="1:9" ht="15" customHeight="1">
      <c r="A55" s="7" t="s">
        <v>228</v>
      </c>
      <c r="B55" s="90" t="s">
        <v>131</v>
      </c>
      <c r="C55" s="90"/>
      <c r="D55" s="60" t="s">
        <v>152</v>
      </c>
      <c r="E55" s="60" t="s">
        <v>153</v>
      </c>
      <c r="F55" s="62">
        <v>81394</v>
      </c>
      <c r="G55" s="63">
        <v>225.38</v>
      </c>
      <c r="H55" s="64">
        <v>5.1000000000000004E-3</v>
      </c>
      <c r="I55" s="65"/>
    </row>
    <row r="56" spans="1:9" ht="15" customHeight="1">
      <c r="A56" s="7" t="s">
        <v>275</v>
      </c>
      <c r="B56" s="90" t="s">
        <v>276</v>
      </c>
      <c r="C56" s="90"/>
      <c r="D56" s="60" t="s">
        <v>277</v>
      </c>
      <c r="E56" s="60" t="s">
        <v>37</v>
      </c>
      <c r="F56" s="62">
        <v>13410</v>
      </c>
      <c r="G56" s="63">
        <v>217.32</v>
      </c>
      <c r="H56" s="64">
        <v>4.8999999999999998E-3</v>
      </c>
      <c r="I56" s="65"/>
    </row>
    <row r="57" spans="1:9" ht="15" customHeight="1">
      <c r="A57" s="7" t="s">
        <v>278</v>
      </c>
      <c r="B57" s="90" t="s">
        <v>279</v>
      </c>
      <c r="C57" s="90"/>
      <c r="D57" s="60" t="s">
        <v>280</v>
      </c>
      <c r="E57" s="60" t="s">
        <v>255</v>
      </c>
      <c r="F57" s="62">
        <v>29161</v>
      </c>
      <c r="G57" s="63">
        <v>212.19</v>
      </c>
      <c r="H57" s="64">
        <v>4.7999999999999996E-3</v>
      </c>
      <c r="I57" s="65"/>
    </row>
    <row r="58" spans="1:9" ht="15" customHeight="1">
      <c r="A58" s="7" t="s">
        <v>211</v>
      </c>
      <c r="B58" s="90" t="s">
        <v>124</v>
      </c>
      <c r="C58" s="90"/>
      <c r="D58" s="60" t="s">
        <v>145</v>
      </c>
      <c r="E58" s="60" t="s">
        <v>142</v>
      </c>
      <c r="F58" s="62">
        <v>5114</v>
      </c>
      <c r="G58" s="63">
        <v>205.55</v>
      </c>
      <c r="H58" s="64">
        <v>4.7000000000000002E-3</v>
      </c>
      <c r="I58" s="65"/>
    </row>
    <row r="59" spans="1:9" ht="15" customHeight="1">
      <c r="A59" s="7" t="s">
        <v>196</v>
      </c>
      <c r="B59" s="90" t="s">
        <v>126</v>
      </c>
      <c r="C59" s="90"/>
      <c r="D59" s="60" t="s">
        <v>147</v>
      </c>
      <c r="E59" s="60" t="s">
        <v>20</v>
      </c>
      <c r="F59" s="62">
        <v>19545</v>
      </c>
      <c r="G59" s="63">
        <v>204.68</v>
      </c>
      <c r="H59" s="64">
        <v>4.5999999999999999E-3</v>
      </c>
      <c r="I59" s="65"/>
    </row>
    <row r="60" spans="1:9" ht="15" customHeight="1">
      <c r="A60" s="7" t="s">
        <v>281</v>
      </c>
      <c r="B60" s="90" t="s">
        <v>282</v>
      </c>
      <c r="C60" s="90"/>
      <c r="D60" s="60" t="s">
        <v>283</v>
      </c>
      <c r="E60" s="60" t="s">
        <v>20</v>
      </c>
      <c r="F60" s="62">
        <v>146500</v>
      </c>
      <c r="G60" s="63">
        <v>196.6</v>
      </c>
      <c r="H60" s="64">
        <v>4.4999999999999997E-3</v>
      </c>
      <c r="I60" s="65"/>
    </row>
    <row r="61" spans="1:9" ht="15" customHeight="1">
      <c r="A61" s="7" t="s">
        <v>284</v>
      </c>
      <c r="B61" s="90" t="s">
        <v>285</v>
      </c>
      <c r="C61" s="90"/>
      <c r="D61" s="60" t="s">
        <v>286</v>
      </c>
      <c r="E61" s="60" t="s">
        <v>24</v>
      </c>
      <c r="F61" s="62">
        <v>2897</v>
      </c>
      <c r="G61" s="63">
        <v>185.88</v>
      </c>
      <c r="H61" s="64">
        <v>4.1999999999999997E-3</v>
      </c>
      <c r="I61" s="65"/>
    </row>
    <row r="62" spans="1:9" ht="15" customHeight="1">
      <c r="A62" s="7" t="s">
        <v>16</v>
      </c>
      <c r="B62" s="90" t="s">
        <v>17</v>
      </c>
      <c r="C62" s="90"/>
      <c r="D62" s="60" t="s">
        <v>18</v>
      </c>
      <c r="E62" s="60" t="s">
        <v>19</v>
      </c>
      <c r="F62" s="62">
        <v>6637</v>
      </c>
      <c r="G62" s="63">
        <v>184.69</v>
      </c>
      <c r="H62" s="64">
        <v>4.1999999999999997E-3</v>
      </c>
      <c r="I62" s="65"/>
    </row>
    <row r="63" spans="1:9" ht="15" customHeight="1">
      <c r="A63" s="7" t="s">
        <v>29</v>
      </c>
      <c r="B63" s="90" t="s">
        <v>30</v>
      </c>
      <c r="C63" s="90"/>
      <c r="D63" s="60" t="s">
        <v>31</v>
      </c>
      <c r="E63" s="60" t="s">
        <v>25</v>
      </c>
      <c r="F63" s="62">
        <v>9076</v>
      </c>
      <c r="G63" s="63">
        <v>180.73</v>
      </c>
      <c r="H63" s="64">
        <v>4.1000000000000003E-3</v>
      </c>
      <c r="I63" s="65"/>
    </row>
    <row r="64" spans="1:9" ht="15" customHeight="1">
      <c r="A64" s="7" t="s">
        <v>287</v>
      </c>
      <c r="B64" s="90" t="s">
        <v>288</v>
      </c>
      <c r="C64" s="90"/>
      <c r="D64" s="60" t="s">
        <v>289</v>
      </c>
      <c r="E64" s="60" t="s">
        <v>9</v>
      </c>
      <c r="F64" s="62">
        <v>2054</v>
      </c>
      <c r="G64" s="63">
        <v>180.22</v>
      </c>
      <c r="H64" s="64">
        <v>4.1000000000000003E-3</v>
      </c>
      <c r="I64" s="65"/>
    </row>
    <row r="65" spans="1:9" ht="15" customHeight="1">
      <c r="A65" s="7" t="s">
        <v>290</v>
      </c>
      <c r="B65" s="90" t="s">
        <v>291</v>
      </c>
      <c r="C65" s="90"/>
      <c r="D65" s="60" t="s">
        <v>292</v>
      </c>
      <c r="E65" s="60" t="s">
        <v>9</v>
      </c>
      <c r="F65" s="62">
        <v>24343</v>
      </c>
      <c r="G65" s="63">
        <v>175.84</v>
      </c>
      <c r="H65" s="64">
        <v>4.0000000000000001E-3</v>
      </c>
      <c r="I65" s="65"/>
    </row>
    <row r="66" spans="1:9" ht="15" customHeight="1">
      <c r="A66" s="7" t="s">
        <v>201</v>
      </c>
      <c r="B66" s="90" t="s">
        <v>202</v>
      </c>
      <c r="C66" s="90"/>
      <c r="D66" s="60" t="s">
        <v>203</v>
      </c>
      <c r="E66" s="60" t="s">
        <v>28</v>
      </c>
      <c r="F66" s="62">
        <v>23408</v>
      </c>
      <c r="G66" s="63">
        <v>168.41</v>
      </c>
      <c r="H66" s="64">
        <v>3.8E-3</v>
      </c>
      <c r="I66" s="65"/>
    </row>
    <row r="67" spans="1:9" ht="15" customHeight="1">
      <c r="A67" s="7" t="s">
        <v>293</v>
      </c>
      <c r="B67" s="90" t="s">
        <v>294</v>
      </c>
      <c r="C67" s="90"/>
      <c r="D67" s="60" t="s">
        <v>295</v>
      </c>
      <c r="E67" s="60" t="s">
        <v>9</v>
      </c>
      <c r="F67" s="62">
        <v>13999</v>
      </c>
      <c r="G67" s="63">
        <v>165.87</v>
      </c>
      <c r="H67" s="64">
        <v>3.8E-3</v>
      </c>
      <c r="I67" s="65"/>
    </row>
    <row r="68" spans="1:9" ht="15" customHeight="1">
      <c r="A68" s="7" t="s">
        <v>296</v>
      </c>
      <c r="B68" s="90" t="s">
        <v>297</v>
      </c>
      <c r="C68" s="90"/>
      <c r="D68" s="60" t="s">
        <v>298</v>
      </c>
      <c r="E68" s="60" t="s">
        <v>28</v>
      </c>
      <c r="F68" s="62">
        <v>26520</v>
      </c>
      <c r="G68" s="63">
        <v>165.43</v>
      </c>
      <c r="H68" s="64">
        <v>3.7000000000000002E-3</v>
      </c>
      <c r="I68" s="65"/>
    </row>
    <row r="69" spans="1:9" ht="15" customHeight="1">
      <c r="A69" s="7" t="s">
        <v>299</v>
      </c>
      <c r="B69" s="90" t="s">
        <v>300</v>
      </c>
      <c r="C69" s="90"/>
      <c r="D69" s="60" t="s">
        <v>301</v>
      </c>
      <c r="E69" s="60" t="s">
        <v>255</v>
      </c>
      <c r="F69" s="62">
        <v>34191</v>
      </c>
      <c r="G69" s="63">
        <v>161.09</v>
      </c>
      <c r="H69" s="64">
        <v>3.7000000000000002E-3</v>
      </c>
      <c r="I69" s="65"/>
    </row>
    <row r="70" spans="1:9" ht="15" customHeight="1">
      <c r="A70" s="7" t="s">
        <v>197</v>
      </c>
      <c r="B70" s="90" t="s">
        <v>51</v>
      </c>
      <c r="C70" s="90"/>
      <c r="D70" s="60" t="s">
        <v>52</v>
      </c>
      <c r="E70" s="60" t="s">
        <v>11</v>
      </c>
      <c r="F70" s="62">
        <v>2789</v>
      </c>
      <c r="G70" s="63">
        <v>155.96</v>
      </c>
      <c r="H70" s="64">
        <v>3.5000000000000001E-3</v>
      </c>
      <c r="I70" s="65"/>
    </row>
    <row r="71" spans="1:9" ht="15" customHeight="1">
      <c r="A71" s="7" t="s">
        <v>225</v>
      </c>
      <c r="B71" s="90" t="s">
        <v>226</v>
      </c>
      <c r="C71" s="90"/>
      <c r="D71" s="60" t="s">
        <v>227</v>
      </c>
      <c r="E71" s="60" t="s">
        <v>36</v>
      </c>
      <c r="F71" s="62">
        <v>11820</v>
      </c>
      <c r="G71" s="63">
        <v>141.43</v>
      </c>
      <c r="H71" s="64">
        <v>3.2000000000000002E-3</v>
      </c>
      <c r="I71" s="65"/>
    </row>
    <row r="72" spans="1:9" ht="15" customHeight="1">
      <c r="A72" s="7" t="s">
        <v>302</v>
      </c>
      <c r="B72" s="90" t="s">
        <v>303</v>
      </c>
      <c r="C72" s="90"/>
      <c r="D72" s="60" t="s">
        <v>304</v>
      </c>
      <c r="E72" s="60" t="s">
        <v>268</v>
      </c>
      <c r="F72" s="62">
        <v>21016</v>
      </c>
      <c r="G72" s="63">
        <v>126.15</v>
      </c>
      <c r="H72" s="64">
        <v>2.8999999999999998E-3</v>
      </c>
      <c r="I72" s="65"/>
    </row>
    <row r="73" spans="1:9" ht="15" customHeight="1">
      <c r="A73" s="7" t="s">
        <v>224</v>
      </c>
      <c r="B73" s="90" t="s">
        <v>134</v>
      </c>
      <c r="C73" s="90"/>
      <c r="D73" s="60" t="s">
        <v>158</v>
      </c>
      <c r="E73" s="60" t="s">
        <v>41</v>
      </c>
      <c r="F73" s="62">
        <v>1909</v>
      </c>
      <c r="G73" s="63">
        <v>71.33</v>
      </c>
      <c r="H73" s="64">
        <v>1.6000000000000001E-3</v>
      </c>
      <c r="I73" s="65"/>
    </row>
    <row r="74" spans="1:9" ht="15" customHeight="1">
      <c r="A74" s="7" t="s">
        <v>305</v>
      </c>
      <c r="B74" s="90" t="s">
        <v>306</v>
      </c>
      <c r="C74" s="90"/>
      <c r="D74" s="60" t="s">
        <v>307</v>
      </c>
      <c r="E74" s="60" t="s">
        <v>186</v>
      </c>
      <c r="F74" s="62">
        <v>13156</v>
      </c>
      <c r="G74" s="63">
        <v>52.94</v>
      </c>
      <c r="H74" s="64">
        <v>1.1999999999999999E-3</v>
      </c>
      <c r="I74" s="65"/>
    </row>
    <row r="75" spans="1:9" ht="15" customHeight="1">
      <c r="A75" s="7" t="s">
        <v>308</v>
      </c>
      <c r="B75" s="90" t="s">
        <v>191</v>
      </c>
      <c r="C75" s="90"/>
      <c r="D75" s="60" t="s">
        <v>309</v>
      </c>
      <c r="E75" s="60" t="s">
        <v>9</v>
      </c>
      <c r="F75" s="62">
        <v>350</v>
      </c>
      <c r="G75" s="63">
        <v>13.95</v>
      </c>
      <c r="H75" s="64">
        <v>2.9999999999999997E-4</v>
      </c>
      <c r="I75" s="65"/>
    </row>
    <row r="76" spans="1:9" ht="15" customHeight="1">
      <c r="A76" s="7" t="s">
        <v>229</v>
      </c>
      <c r="B76" s="90" t="s">
        <v>230</v>
      </c>
      <c r="C76" s="90"/>
      <c r="D76" s="60" t="s">
        <v>231</v>
      </c>
      <c r="E76" s="60" t="s">
        <v>28</v>
      </c>
      <c r="F76" s="62">
        <v>550</v>
      </c>
      <c r="G76" s="63">
        <v>8.14</v>
      </c>
      <c r="H76" s="64">
        <v>2.0000000000000001E-4</v>
      </c>
      <c r="I76" s="65"/>
    </row>
    <row r="77" spans="1:9">
      <c r="A77" s="57"/>
      <c r="B77" s="91" t="s">
        <v>3</v>
      </c>
      <c r="C77" s="91"/>
      <c r="D77" s="60"/>
      <c r="E77" s="60"/>
      <c r="F77" s="60"/>
      <c r="G77" s="66">
        <f>+SUM(G8:G76)</f>
        <v>41803.35</v>
      </c>
      <c r="H77" s="67">
        <f>+SUM(H8:H76)</f>
        <v>0.94720000000000026</v>
      </c>
      <c r="I77" s="68"/>
    </row>
    <row r="78" spans="1:9">
      <c r="A78" s="57"/>
      <c r="B78" s="92" t="s">
        <v>59</v>
      </c>
      <c r="C78" s="92"/>
      <c r="D78" s="69"/>
      <c r="E78" s="69"/>
      <c r="F78" s="69"/>
      <c r="G78" s="68" t="s">
        <v>112</v>
      </c>
      <c r="H78" s="68" t="s">
        <v>112</v>
      </c>
      <c r="I78" s="68"/>
    </row>
    <row r="79" spans="1:9">
      <c r="A79" s="57"/>
      <c r="B79" s="92" t="s">
        <v>3</v>
      </c>
      <c r="C79" s="92"/>
      <c r="D79" s="69"/>
      <c r="E79" s="69"/>
      <c r="F79" s="69"/>
      <c r="G79" s="68" t="s">
        <v>112</v>
      </c>
      <c r="H79" s="68" t="s">
        <v>112</v>
      </c>
      <c r="I79" s="68"/>
    </row>
    <row r="80" spans="1:9">
      <c r="A80" s="57"/>
      <c r="B80" s="92" t="s">
        <v>4</v>
      </c>
      <c r="C80" s="92"/>
      <c r="D80" s="70"/>
      <c r="E80" s="69"/>
      <c r="F80" s="70"/>
      <c r="G80" s="66">
        <f>+G77</f>
        <v>41803.35</v>
      </c>
      <c r="H80" s="67">
        <f>+H77</f>
        <v>0.94720000000000026</v>
      </c>
      <c r="I80" s="68"/>
    </row>
    <row r="81" spans="1:9">
      <c r="A81" s="57"/>
      <c r="B81" s="93" t="s">
        <v>232</v>
      </c>
      <c r="C81" s="93"/>
      <c r="D81" s="60"/>
      <c r="E81" s="60"/>
      <c r="F81" s="60"/>
      <c r="G81" s="71"/>
      <c r="H81" s="72"/>
      <c r="I81" s="73"/>
    </row>
    <row r="82" spans="1:9" ht="15" customHeight="1">
      <c r="A82" s="7" t="s">
        <v>233</v>
      </c>
      <c r="B82" s="90" t="s">
        <v>234</v>
      </c>
      <c r="C82" s="90"/>
      <c r="D82" s="60" t="s">
        <v>235</v>
      </c>
      <c r="E82" s="60" t="s">
        <v>19</v>
      </c>
      <c r="F82" s="62">
        <v>75115</v>
      </c>
      <c r="G82" s="63">
        <v>191.32</v>
      </c>
      <c r="H82" s="64">
        <v>4.3E-3</v>
      </c>
      <c r="I82" s="65"/>
    </row>
    <row r="83" spans="1:9" ht="15" customHeight="1">
      <c r="A83" s="7" t="s">
        <v>310</v>
      </c>
      <c r="B83" s="90" t="s">
        <v>311</v>
      </c>
      <c r="C83" s="90"/>
      <c r="D83" s="60" t="s">
        <v>312</v>
      </c>
      <c r="E83" s="60" t="s">
        <v>19</v>
      </c>
      <c r="F83" s="62">
        <v>182420</v>
      </c>
      <c r="G83" s="63">
        <v>233.01</v>
      </c>
      <c r="H83" s="64">
        <v>5.3E-3</v>
      </c>
      <c r="I83" s="65"/>
    </row>
    <row r="84" spans="1:9">
      <c r="A84" s="74"/>
      <c r="B84" s="94" t="s">
        <v>3</v>
      </c>
      <c r="C84" s="94"/>
      <c r="D84" s="75"/>
      <c r="E84" s="75"/>
      <c r="F84" s="75"/>
      <c r="G84" s="76">
        <f>+G82+G83</f>
        <v>424.33</v>
      </c>
      <c r="H84" s="77">
        <f>+H82+H83</f>
        <v>9.6000000000000009E-3</v>
      </c>
      <c r="I84" s="78"/>
    </row>
    <row r="85" spans="1:9">
      <c r="A85" s="74"/>
      <c r="B85" s="95" t="s">
        <v>4</v>
      </c>
      <c r="C85" s="95"/>
      <c r="D85" s="79"/>
      <c r="E85" s="80"/>
      <c r="F85" s="80"/>
      <c r="G85" s="81">
        <f>+G77+G84</f>
        <v>42227.68</v>
      </c>
      <c r="H85" s="82">
        <f>+H77+H84</f>
        <v>0.95680000000000032</v>
      </c>
      <c r="I85" s="83"/>
    </row>
    <row r="86" spans="1:9">
      <c r="A86" s="57"/>
      <c r="B86" s="91" t="s">
        <v>236</v>
      </c>
      <c r="C86" s="91"/>
      <c r="D86" s="60"/>
      <c r="E86" s="60"/>
      <c r="F86" s="60"/>
      <c r="G86" s="60"/>
      <c r="H86" s="60"/>
      <c r="I86" s="61"/>
    </row>
    <row r="87" spans="1:9">
      <c r="A87" s="57"/>
      <c r="B87" s="91" t="s">
        <v>237</v>
      </c>
      <c r="C87" s="91"/>
      <c r="D87" s="60"/>
      <c r="E87" s="60"/>
      <c r="F87" s="60"/>
      <c r="G87" s="57"/>
      <c r="H87" s="61"/>
      <c r="I87" s="61"/>
    </row>
    <row r="88" spans="1:9" ht="15" customHeight="1">
      <c r="A88" s="7" t="s">
        <v>313</v>
      </c>
      <c r="B88" s="90" t="s">
        <v>314</v>
      </c>
      <c r="C88" s="90"/>
      <c r="D88" s="60" t="s">
        <v>315</v>
      </c>
      <c r="E88" s="60" t="s">
        <v>111</v>
      </c>
      <c r="F88" s="62">
        <v>500000</v>
      </c>
      <c r="G88" s="63">
        <v>494.62</v>
      </c>
      <c r="H88" s="64">
        <v>1.12E-2</v>
      </c>
      <c r="I88" s="65">
        <v>6.7250000000000004E-2</v>
      </c>
    </row>
    <row r="89" spans="1:9" ht="15" customHeight="1">
      <c r="A89" s="7" t="s">
        <v>316</v>
      </c>
      <c r="B89" s="90" t="s">
        <v>317</v>
      </c>
      <c r="C89" s="90"/>
      <c r="D89" s="60" t="s">
        <v>318</v>
      </c>
      <c r="E89" s="60" t="s">
        <v>111</v>
      </c>
      <c r="F89" s="62">
        <v>200000</v>
      </c>
      <c r="G89" s="63">
        <v>198.1</v>
      </c>
      <c r="H89" s="64">
        <v>4.4999999999999997E-3</v>
      </c>
      <c r="I89" s="65">
        <v>6.7250000000000004E-2</v>
      </c>
    </row>
    <row r="90" spans="1:9" ht="15" customHeight="1">
      <c r="A90" s="7" t="s">
        <v>319</v>
      </c>
      <c r="B90" s="90" t="s">
        <v>320</v>
      </c>
      <c r="C90" s="90"/>
      <c r="D90" s="60" t="s">
        <v>321</v>
      </c>
      <c r="E90" s="60" t="s">
        <v>111</v>
      </c>
      <c r="F90" s="62">
        <v>150000</v>
      </c>
      <c r="G90" s="63">
        <v>148.96</v>
      </c>
      <c r="H90" s="64">
        <v>3.3999999999999998E-3</v>
      </c>
      <c r="I90" s="65">
        <v>6.7000000000000004E-2</v>
      </c>
    </row>
    <row r="91" spans="1:9" ht="15" customHeight="1">
      <c r="A91" s="7" t="s">
        <v>322</v>
      </c>
      <c r="B91" s="90" t="s">
        <v>323</v>
      </c>
      <c r="C91" s="90"/>
      <c r="D91" s="60" t="s">
        <v>324</v>
      </c>
      <c r="E91" s="60" t="s">
        <v>111</v>
      </c>
      <c r="F91" s="62">
        <v>100000</v>
      </c>
      <c r="G91" s="63">
        <v>99.95</v>
      </c>
      <c r="H91" s="64">
        <v>2.3E-3</v>
      </c>
      <c r="I91" s="65">
        <v>6.6500000000000004E-2</v>
      </c>
    </row>
    <row r="92" spans="1:9" ht="15" customHeight="1">
      <c r="A92" s="7" t="s">
        <v>325</v>
      </c>
      <c r="B92" s="90" t="s">
        <v>326</v>
      </c>
      <c r="C92" s="90"/>
      <c r="D92" s="60" t="s">
        <v>327</v>
      </c>
      <c r="E92" s="60" t="s">
        <v>111</v>
      </c>
      <c r="F92" s="62">
        <v>30000</v>
      </c>
      <c r="G92" s="63">
        <v>29.72</v>
      </c>
      <c r="H92" s="64">
        <v>6.9999999999999999E-4</v>
      </c>
      <c r="I92" s="65">
        <v>6.7250000000000004E-2</v>
      </c>
    </row>
    <row r="93" spans="1:9">
      <c r="A93" s="57"/>
      <c r="B93" s="91" t="s">
        <v>3</v>
      </c>
      <c r="C93" s="91"/>
      <c r="D93" s="60"/>
      <c r="E93" s="60"/>
      <c r="F93" s="60"/>
      <c r="G93" s="66">
        <v>971.35</v>
      </c>
      <c r="H93" s="67">
        <v>2.2100000000000002E-2</v>
      </c>
      <c r="I93" s="68"/>
    </row>
    <row r="94" spans="1:9">
      <c r="A94" s="57"/>
      <c r="B94" s="92" t="s">
        <v>4</v>
      </c>
      <c r="C94" s="92"/>
      <c r="D94" s="70"/>
      <c r="E94" s="69"/>
      <c r="F94" s="70"/>
      <c r="G94" s="66">
        <v>971.35</v>
      </c>
      <c r="H94" s="67">
        <v>2.2100000000000002E-2</v>
      </c>
      <c r="I94" s="68"/>
    </row>
    <row r="95" spans="1:9">
      <c r="A95" s="57"/>
      <c r="B95" s="91" t="s">
        <v>113</v>
      </c>
      <c r="C95" s="91"/>
      <c r="D95" s="60"/>
      <c r="E95" s="60"/>
      <c r="F95" s="60"/>
      <c r="G95" s="60"/>
      <c r="H95" s="60"/>
      <c r="I95" s="61"/>
    </row>
    <row r="96" spans="1:9" ht="15" customHeight="1">
      <c r="A96" s="7" t="s">
        <v>328</v>
      </c>
      <c r="B96" s="90" t="s">
        <v>114</v>
      </c>
      <c r="C96" s="90"/>
      <c r="D96" s="60"/>
      <c r="E96" s="60"/>
      <c r="F96" s="62"/>
      <c r="G96" s="63">
        <v>935.58</v>
      </c>
      <c r="H96" s="64">
        <v>2.12E-2</v>
      </c>
      <c r="I96" s="65">
        <v>6.9181383818898212E-2</v>
      </c>
    </row>
    <row r="97" spans="1:9">
      <c r="A97" s="57"/>
      <c r="B97" s="91" t="s">
        <v>3</v>
      </c>
      <c r="C97" s="91"/>
      <c r="D97" s="60"/>
      <c r="E97" s="60"/>
      <c r="F97" s="60"/>
      <c r="G97" s="66">
        <v>935.58</v>
      </c>
      <c r="H97" s="67">
        <v>2.12E-2</v>
      </c>
      <c r="I97" s="68"/>
    </row>
    <row r="98" spans="1:9">
      <c r="A98" s="57"/>
      <c r="B98" s="92" t="s">
        <v>4</v>
      </c>
      <c r="C98" s="92"/>
      <c r="D98" s="70"/>
      <c r="E98" s="69"/>
      <c r="F98" s="70"/>
      <c r="G98" s="66">
        <v>935.58</v>
      </c>
      <c r="H98" s="67">
        <v>2.12E-2</v>
      </c>
      <c r="I98" s="68"/>
    </row>
    <row r="99" spans="1:9">
      <c r="A99" s="57"/>
      <c r="B99" s="92" t="s">
        <v>5</v>
      </c>
      <c r="C99" s="92"/>
      <c r="D99" s="60"/>
      <c r="E99" s="69"/>
      <c r="F99" s="60"/>
      <c r="G99" s="84">
        <v>-3.63</v>
      </c>
      <c r="H99" s="67">
        <v>-1E-4</v>
      </c>
      <c r="I99" s="68"/>
    </row>
    <row r="100" spans="1:9" ht="15.75" thickBot="1">
      <c r="A100" s="57"/>
      <c r="B100" s="106" t="s">
        <v>6</v>
      </c>
      <c r="C100" s="106"/>
      <c r="D100" s="85"/>
      <c r="E100" s="85"/>
      <c r="F100" s="85"/>
      <c r="G100" s="86">
        <v>44130.98</v>
      </c>
      <c r="H100" s="87">
        <v>1</v>
      </c>
      <c r="I100" s="88"/>
    </row>
    <row r="101" spans="1:9">
      <c r="A101" s="7"/>
      <c r="B101" s="2"/>
      <c r="C101" s="3"/>
      <c r="D101" s="3"/>
      <c r="E101" s="8"/>
      <c r="F101" s="4"/>
      <c r="G101" s="14"/>
      <c r="H101" s="6"/>
    </row>
    <row r="102" spans="1:9">
      <c r="A102" s="7"/>
      <c r="B102" s="2" t="s">
        <v>355</v>
      </c>
      <c r="C102" s="3"/>
      <c r="D102" s="3"/>
      <c r="E102" s="8"/>
      <c r="F102" s="4"/>
      <c r="G102" s="14"/>
      <c r="H102" s="6"/>
    </row>
    <row r="103" spans="1:9">
      <c r="A103" s="7"/>
      <c r="B103" s="89" t="s">
        <v>104</v>
      </c>
      <c r="C103" s="3"/>
      <c r="D103" s="3"/>
      <c r="E103" s="8"/>
      <c r="F103" s="4"/>
      <c r="G103" s="14"/>
      <c r="H103" s="6"/>
    </row>
    <row r="104" spans="1:9">
      <c r="A104" s="7"/>
      <c r="B104" s="2"/>
      <c r="C104" s="3"/>
      <c r="D104" s="3"/>
      <c r="E104" s="8"/>
      <c r="F104" s="4"/>
      <c r="G104" s="14"/>
      <c r="H104" s="6"/>
    </row>
    <row r="105" spans="1:9">
      <c r="A105" s="39"/>
      <c r="B105" s="10" t="s">
        <v>60</v>
      </c>
      <c r="C105" s="3"/>
      <c r="D105" s="3"/>
      <c r="E105" s="8"/>
      <c r="F105" s="4"/>
      <c r="G105" s="5"/>
      <c r="H105" s="6"/>
    </row>
    <row r="106" spans="1:9">
      <c r="A106" s="39"/>
      <c r="B106" s="2"/>
      <c r="C106" s="3"/>
      <c r="D106" s="3"/>
      <c r="E106" s="8"/>
      <c r="F106" s="4"/>
      <c r="G106" s="5"/>
      <c r="H106" s="6"/>
    </row>
    <row r="107" spans="1:9" customFormat="1" ht="15" customHeight="1">
      <c r="A107" s="40"/>
      <c r="B107" s="107" t="s">
        <v>330</v>
      </c>
      <c r="C107" s="107"/>
      <c r="D107" s="107"/>
      <c r="E107" s="107"/>
      <c r="F107" s="107"/>
      <c r="G107" s="107"/>
      <c r="H107" s="41"/>
      <c r="I107" s="55"/>
    </row>
    <row r="108" spans="1:9" customFormat="1" ht="15" customHeight="1">
      <c r="A108" s="40"/>
      <c r="B108" s="107" t="s">
        <v>331</v>
      </c>
      <c r="C108" s="107"/>
      <c r="D108" s="107"/>
      <c r="E108" s="107"/>
      <c r="F108" s="19"/>
      <c r="G108" s="20"/>
      <c r="H108" s="41"/>
      <c r="I108" s="55"/>
    </row>
    <row r="109" spans="1:9" ht="15" customHeight="1">
      <c r="A109" s="39"/>
      <c r="B109" s="107" t="s">
        <v>61</v>
      </c>
      <c r="C109" s="107"/>
      <c r="D109" s="107"/>
      <c r="E109" s="107"/>
      <c r="F109" s="19"/>
      <c r="G109" s="20"/>
      <c r="H109" s="6"/>
    </row>
    <row r="110" spans="1:9">
      <c r="A110" s="39"/>
      <c r="B110" s="38"/>
      <c r="C110" s="19"/>
      <c r="D110" s="19"/>
      <c r="E110" s="19"/>
      <c r="F110" s="19"/>
      <c r="G110" s="20"/>
      <c r="H110" s="6"/>
    </row>
    <row r="111" spans="1:9" ht="24">
      <c r="A111" s="39"/>
      <c r="B111" s="11" t="s">
        <v>62</v>
      </c>
      <c r="C111" s="12" t="s">
        <v>347</v>
      </c>
      <c r="D111" s="12" t="s">
        <v>238</v>
      </c>
      <c r="E111" s="38"/>
      <c r="F111" s="42"/>
      <c r="G111" s="20"/>
      <c r="H111" s="6"/>
    </row>
    <row r="112" spans="1:9">
      <c r="A112" s="39"/>
      <c r="B112" s="43" t="s">
        <v>63</v>
      </c>
      <c r="C112" s="47">
        <v>12.77</v>
      </c>
      <c r="D112" s="47">
        <v>10.686999999999999</v>
      </c>
      <c r="E112" s="21"/>
      <c r="F112" s="19"/>
      <c r="G112" s="22"/>
      <c r="H112" s="6"/>
    </row>
    <row r="113" spans="1:9">
      <c r="A113" s="39"/>
      <c r="B113" s="44" t="s">
        <v>64</v>
      </c>
      <c r="C113" s="47">
        <v>12.77</v>
      </c>
      <c r="D113" s="47">
        <v>10.686999999999999</v>
      </c>
      <c r="E113" s="38"/>
      <c r="F113" s="19"/>
      <c r="G113" s="22"/>
      <c r="H113" s="6"/>
    </row>
    <row r="114" spans="1:9">
      <c r="A114" s="39"/>
      <c r="B114" s="43" t="s">
        <v>65</v>
      </c>
      <c r="C114" s="47">
        <v>12.484</v>
      </c>
      <c r="D114" s="47">
        <v>10.537000000000001</v>
      </c>
      <c r="E114" s="38"/>
      <c r="F114" s="19"/>
      <c r="G114" s="19"/>
      <c r="H114" s="6"/>
    </row>
    <row r="115" spans="1:9">
      <c r="A115" s="39"/>
      <c r="B115" s="43" t="s">
        <v>66</v>
      </c>
      <c r="C115" s="47">
        <v>12.484</v>
      </c>
      <c r="D115" s="47">
        <v>10.537000000000001</v>
      </c>
      <c r="E115" s="21"/>
      <c r="F115" s="19"/>
      <c r="G115" s="19"/>
      <c r="H115" s="6"/>
    </row>
    <row r="116" spans="1:9">
      <c r="A116" s="39"/>
      <c r="B116" s="38"/>
      <c r="C116" s="19"/>
      <c r="D116" s="19"/>
      <c r="E116" s="19"/>
      <c r="F116" s="19"/>
      <c r="G116" s="20"/>
      <c r="H116" s="23"/>
    </row>
    <row r="117" spans="1:9" customFormat="1">
      <c r="B117" s="45" t="s">
        <v>332</v>
      </c>
      <c r="C117" s="19"/>
      <c r="D117" s="19"/>
      <c r="E117" s="19"/>
      <c r="F117" s="19"/>
      <c r="G117" s="20"/>
      <c r="H117" s="19"/>
      <c r="I117" s="55"/>
    </row>
    <row r="118" spans="1:9" ht="15" customHeight="1">
      <c r="B118" s="107" t="s">
        <v>333</v>
      </c>
      <c r="C118" s="107"/>
      <c r="D118" s="107"/>
      <c r="E118" s="38"/>
      <c r="F118" s="19"/>
      <c r="G118" s="20"/>
      <c r="H118" s="24"/>
    </row>
    <row r="119" spans="1:9" customFormat="1" ht="15" customHeight="1">
      <c r="B119" s="48" t="s">
        <v>349</v>
      </c>
      <c r="C119" s="48"/>
      <c r="D119" s="48"/>
      <c r="E119" s="38"/>
      <c r="F119" s="38"/>
      <c r="G119" s="38"/>
      <c r="H119" s="19"/>
      <c r="I119" s="55"/>
    </row>
    <row r="120" spans="1:9" ht="15" customHeight="1">
      <c r="B120" s="46" t="s">
        <v>334</v>
      </c>
      <c r="C120" s="46"/>
      <c r="D120" s="46"/>
      <c r="E120" s="38"/>
      <c r="F120" s="19"/>
      <c r="G120" s="20"/>
      <c r="H120" s="24"/>
    </row>
    <row r="121" spans="1:9">
      <c r="B121" s="49" t="s">
        <v>348</v>
      </c>
      <c r="C121" s="46"/>
      <c r="D121" s="46"/>
      <c r="E121" s="38"/>
      <c r="F121" s="19"/>
      <c r="G121" s="20"/>
      <c r="H121" s="24"/>
    </row>
    <row r="122" spans="1:9" ht="15" customHeight="1">
      <c r="B122" s="46" t="s">
        <v>335</v>
      </c>
      <c r="C122" s="46"/>
      <c r="D122" s="46"/>
      <c r="E122" s="38"/>
      <c r="F122" s="19"/>
      <c r="G122" s="20"/>
      <c r="H122" s="24"/>
    </row>
    <row r="123" spans="1:9">
      <c r="B123" s="19"/>
      <c r="C123" s="19"/>
      <c r="D123" s="19"/>
      <c r="E123" s="19"/>
      <c r="F123" s="19"/>
      <c r="G123" s="19"/>
      <c r="H123" s="24"/>
    </row>
    <row r="124" spans="1:9">
      <c r="B124" s="13" t="s">
        <v>67</v>
      </c>
      <c r="C124" s="19"/>
      <c r="D124" s="19"/>
      <c r="E124" s="19"/>
      <c r="F124" s="19"/>
      <c r="G124" s="19"/>
      <c r="H124" s="24"/>
    </row>
    <row r="125" spans="1:9">
      <c r="B125" s="13" t="s">
        <v>68</v>
      </c>
      <c r="C125" s="19"/>
      <c r="D125" s="19"/>
      <c r="E125" s="19"/>
      <c r="F125" s="19"/>
      <c r="G125" s="19"/>
      <c r="H125" s="24"/>
    </row>
    <row r="126" spans="1:9">
      <c r="B126" s="19"/>
      <c r="C126" s="19"/>
      <c r="D126" s="19"/>
      <c r="E126" s="19"/>
      <c r="F126" s="19"/>
      <c r="G126" s="19"/>
      <c r="H126" s="24"/>
    </row>
    <row r="127" spans="1:9">
      <c r="B127" s="103" t="s">
        <v>69</v>
      </c>
      <c r="C127" s="103"/>
      <c r="D127" s="103"/>
      <c r="E127" s="103"/>
      <c r="F127" s="103"/>
      <c r="G127" s="103"/>
      <c r="H127" s="24"/>
    </row>
    <row r="128" spans="1:9">
      <c r="B128" s="19"/>
      <c r="C128" s="19"/>
      <c r="D128" s="19"/>
      <c r="E128" s="19"/>
      <c r="F128" s="19"/>
      <c r="G128" s="19"/>
      <c r="H128" s="24"/>
    </row>
    <row r="129" spans="2:9">
      <c r="B129" s="15" t="s">
        <v>336</v>
      </c>
      <c r="C129" s="19"/>
      <c r="D129" s="19"/>
      <c r="E129" s="19"/>
      <c r="F129" s="19"/>
      <c r="G129" s="19"/>
      <c r="H129" s="24"/>
    </row>
    <row r="130" spans="2:9">
      <c r="B130" s="15"/>
      <c r="C130" s="19"/>
      <c r="D130" s="19"/>
      <c r="E130" s="19"/>
      <c r="F130" s="19"/>
      <c r="G130" s="19"/>
      <c r="H130" s="24"/>
    </row>
    <row r="131" spans="2:9" ht="36">
      <c r="B131" s="25" t="s">
        <v>70</v>
      </c>
      <c r="C131" s="25" t="s">
        <v>71</v>
      </c>
      <c r="D131" s="25" t="s">
        <v>72</v>
      </c>
      <c r="E131" s="25" t="s">
        <v>73</v>
      </c>
      <c r="F131" s="25" t="s">
        <v>74</v>
      </c>
      <c r="G131" s="25" t="s">
        <v>75</v>
      </c>
      <c r="H131" s="24"/>
    </row>
    <row r="132" spans="2:9">
      <c r="B132" s="99" t="s">
        <v>84</v>
      </c>
      <c r="C132" s="100"/>
      <c r="D132" s="100"/>
      <c r="E132" s="100"/>
      <c r="F132" s="100"/>
      <c r="G132" s="101"/>
      <c r="H132" s="24"/>
    </row>
    <row r="133" spans="2:9">
      <c r="B133" s="17" t="s">
        <v>105</v>
      </c>
      <c r="C133" s="16"/>
      <c r="D133" s="19"/>
      <c r="E133" s="19"/>
      <c r="F133" s="19"/>
      <c r="G133" s="19"/>
      <c r="H133" s="24"/>
    </row>
    <row r="134" spans="2:9">
      <c r="B134" s="17"/>
      <c r="C134" s="19"/>
      <c r="D134" s="19"/>
      <c r="E134" s="19"/>
      <c r="F134" s="19"/>
      <c r="G134" s="19"/>
      <c r="H134" s="24"/>
    </row>
    <row r="135" spans="2:9">
      <c r="B135" s="104" t="s">
        <v>337</v>
      </c>
      <c r="C135" s="104"/>
      <c r="D135" s="104"/>
      <c r="E135" s="104"/>
      <c r="F135" s="104"/>
      <c r="G135" s="104"/>
      <c r="H135" s="24"/>
    </row>
    <row r="136" spans="2:9" ht="48">
      <c r="B136" s="25" t="s">
        <v>70</v>
      </c>
      <c r="C136" s="25" t="s">
        <v>76</v>
      </c>
      <c r="D136" s="25" t="s">
        <v>77</v>
      </c>
      <c r="E136" s="25" t="s">
        <v>78</v>
      </c>
      <c r="F136" s="25" t="s">
        <v>79</v>
      </c>
      <c r="G136" s="25" t="s">
        <v>80</v>
      </c>
      <c r="H136" s="24"/>
    </row>
    <row r="137" spans="2:9">
      <c r="B137" s="99" t="s">
        <v>84</v>
      </c>
      <c r="C137" s="100"/>
      <c r="D137" s="100"/>
      <c r="E137" s="100"/>
      <c r="F137" s="100"/>
      <c r="G137" s="101"/>
      <c r="H137" s="24"/>
    </row>
    <row r="138" spans="2:9">
      <c r="B138" s="19"/>
      <c r="C138" s="19"/>
      <c r="D138" s="19"/>
      <c r="E138" s="19"/>
      <c r="F138" s="19"/>
      <c r="G138" s="19"/>
      <c r="H138" s="24"/>
    </row>
    <row r="139" spans="2:9">
      <c r="B139" s="105" t="s">
        <v>338</v>
      </c>
      <c r="C139" s="105"/>
      <c r="D139" s="105"/>
      <c r="E139" s="105"/>
      <c r="F139" s="105"/>
      <c r="G139" s="105"/>
      <c r="H139" s="24"/>
    </row>
    <row r="140" spans="2:9" ht="24">
      <c r="B140" s="25" t="s">
        <v>70</v>
      </c>
      <c r="C140" s="25" t="s">
        <v>71</v>
      </c>
      <c r="D140" s="25" t="s">
        <v>72</v>
      </c>
      <c r="E140" s="25" t="s">
        <v>81</v>
      </c>
      <c r="F140" s="25" t="s">
        <v>82</v>
      </c>
      <c r="G140" s="25" t="s">
        <v>83</v>
      </c>
      <c r="H140" s="24"/>
    </row>
    <row r="141" spans="2:9" s="36" customFormat="1">
      <c r="B141" s="50" t="s">
        <v>115</v>
      </c>
      <c r="C141" s="50" t="s">
        <v>350</v>
      </c>
      <c r="D141" s="50" t="s">
        <v>351</v>
      </c>
      <c r="E141" s="51">
        <v>4205.6391000000003</v>
      </c>
      <c r="F141" s="51">
        <v>4021.1</v>
      </c>
      <c r="G141" s="51">
        <v>99.65</v>
      </c>
      <c r="H141" s="37"/>
      <c r="I141" s="56"/>
    </row>
    <row r="142" spans="2:9" s="36" customFormat="1">
      <c r="B142" s="50" t="s">
        <v>115</v>
      </c>
      <c r="C142" s="50" t="s">
        <v>352</v>
      </c>
      <c r="D142" s="50" t="s">
        <v>351</v>
      </c>
      <c r="E142" s="51">
        <v>22292.2461</v>
      </c>
      <c r="F142" s="51">
        <v>22488.2</v>
      </c>
      <c r="G142" s="51">
        <v>78.930000000000007</v>
      </c>
      <c r="H142" s="37"/>
      <c r="I142" s="56"/>
    </row>
    <row r="143" spans="2:9" s="36" customFormat="1">
      <c r="B143" s="50" t="s">
        <v>115</v>
      </c>
      <c r="C143" s="50" t="s">
        <v>353</v>
      </c>
      <c r="D143" s="50" t="s">
        <v>351</v>
      </c>
      <c r="E143" s="51">
        <v>1367.5914</v>
      </c>
      <c r="F143" s="51">
        <v>1462.2</v>
      </c>
      <c r="G143" s="51">
        <v>53.61</v>
      </c>
      <c r="H143" s="37"/>
      <c r="I143" s="56"/>
    </row>
    <row r="144" spans="2:9" customFormat="1">
      <c r="B144" s="17" t="s">
        <v>354</v>
      </c>
      <c r="C144" s="19"/>
      <c r="D144" s="19"/>
      <c r="E144" s="19"/>
      <c r="F144" s="19"/>
      <c r="G144" s="19"/>
      <c r="H144" s="19"/>
      <c r="I144" s="55"/>
    </row>
    <row r="145" spans="2:9">
      <c r="B145" s="22"/>
      <c r="C145" s="22"/>
      <c r="D145" s="22"/>
      <c r="E145" s="22"/>
      <c r="F145" s="22"/>
      <c r="G145" s="22"/>
      <c r="H145" s="24"/>
    </row>
    <row r="146" spans="2:9">
      <c r="B146" s="104" t="s">
        <v>339</v>
      </c>
      <c r="C146" s="104"/>
      <c r="D146" s="104"/>
      <c r="E146" s="104"/>
      <c r="F146" s="104"/>
      <c r="G146" s="104"/>
      <c r="H146" s="24"/>
    </row>
    <row r="147" spans="2:9" ht="48">
      <c r="B147" s="25" t="s">
        <v>70</v>
      </c>
      <c r="C147" s="25" t="s">
        <v>85</v>
      </c>
      <c r="D147" s="25" t="s">
        <v>86</v>
      </c>
      <c r="E147" s="25" t="s">
        <v>78</v>
      </c>
      <c r="F147" s="25" t="s">
        <v>79</v>
      </c>
      <c r="G147" s="25" t="s">
        <v>87</v>
      </c>
      <c r="H147" s="24"/>
    </row>
    <row r="148" spans="2:9" s="36" customFormat="1">
      <c r="B148" s="35" t="s">
        <v>115</v>
      </c>
      <c r="C148" s="52">
        <v>1179</v>
      </c>
      <c r="D148" s="52">
        <v>1297</v>
      </c>
      <c r="E148" s="53">
        <v>1014277835</v>
      </c>
      <c r="F148" s="53">
        <v>1139212715</v>
      </c>
      <c r="G148" s="53">
        <v>18054459</v>
      </c>
      <c r="H148" s="37"/>
      <c r="I148" s="56"/>
    </row>
    <row r="149" spans="2:9">
      <c r="B149" s="26"/>
      <c r="C149" s="26"/>
      <c r="D149" s="26"/>
      <c r="E149" s="26"/>
      <c r="F149" s="26"/>
      <c r="G149" s="26"/>
      <c r="H149" s="24"/>
    </row>
    <row r="150" spans="2:9">
      <c r="B150" s="22"/>
      <c r="C150" s="22" t="s">
        <v>88</v>
      </c>
      <c r="D150" s="22"/>
      <c r="E150" s="22"/>
      <c r="F150" s="22"/>
      <c r="G150" s="22"/>
      <c r="H150" s="24"/>
    </row>
    <row r="151" spans="2:9">
      <c r="B151" s="15" t="s">
        <v>340</v>
      </c>
      <c r="C151" s="15"/>
      <c r="D151" s="15"/>
      <c r="E151" s="15"/>
      <c r="F151" s="22"/>
      <c r="G151" s="27"/>
      <c r="H151" s="24"/>
    </row>
    <row r="152" spans="2:9" ht="24">
      <c r="B152" s="28" t="s">
        <v>70</v>
      </c>
      <c r="C152" s="29" t="s">
        <v>71</v>
      </c>
      <c r="D152" s="29" t="s">
        <v>89</v>
      </c>
      <c r="E152" s="29" t="s">
        <v>90</v>
      </c>
      <c r="F152" s="29" t="s">
        <v>91</v>
      </c>
      <c r="G152" s="30"/>
      <c r="H152" s="24"/>
    </row>
    <row r="153" spans="2:9">
      <c r="B153" s="99" t="s">
        <v>84</v>
      </c>
      <c r="C153" s="100"/>
      <c r="D153" s="100"/>
      <c r="E153" s="100"/>
      <c r="F153" s="101"/>
      <c r="G153" s="22"/>
      <c r="H153" s="24"/>
    </row>
    <row r="154" spans="2:9">
      <c r="B154" s="17" t="s">
        <v>106</v>
      </c>
      <c r="C154" s="19"/>
      <c r="D154" s="19"/>
      <c r="E154" s="19"/>
      <c r="F154" s="19"/>
      <c r="G154" s="19"/>
      <c r="H154" s="24"/>
    </row>
    <row r="155" spans="2:9">
      <c r="B155" s="22"/>
      <c r="C155" s="22"/>
      <c r="D155" s="22"/>
      <c r="E155" s="22"/>
      <c r="F155" s="22"/>
      <c r="G155" s="22"/>
      <c r="H155" s="24"/>
    </row>
    <row r="156" spans="2:9">
      <c r="B156" s="102" t="s">
        <v>341</v>
      </c>
      <c r="C156" s="102"/>
      <c r="D156" s="102"/>
      <c r="E156" s="102"/>
      <c r="F156" s="102"/>
      <c r="G156" s="22"/>
      <c r="H156" s="24"/>
    </row>
    <row r="157" spans="2:9" ht="36">
      <c r="B157" s="29" t="s">
        <v>70</v>
      </c>
      <c r="C157" s="29" t="s">
        <v>92</v>
      </c>
      <c r="D157" s="29" t="s">
        <v>93</v>
      </c>
      <c r="E157" s="29" t="s">
        <v>94</v>
      </c>
      <c r="F157" s="31"/>
      <c r="G157" s="22"/>
      <c r="H157" s="24"/>
    </row>
    <row r="158" spans="2:9">
      <c r="B158" s="99" t="s">
        <v>84</v>
      </c>
      <c r="C158" s="100"/>
      <c r="D158" s="100"/>
      <c r="E158" s="101"/>
      <c r="F158" s="22"/>
      <c r="G158" s="22"/>
      <c r="H158" s="24"/>
    </row>
    <row r="159" spans="2:9">
      <c r="B159" s="22"/>
      <c r="C159" s="22"/>
      <c r="D159" s="22"/>
      <c r="E159" s="22"/>
      <c r="F159" s="22"/>
      <c r="G159" s="22"/>
      <c r="H159" s="24"/>
    </row>
    <row r="160" spans="2:9">
      <c r="B160" s="22"/>
      <c r="C160" s="22"/>
      <c r="D160" s="22"/>
      <c r="E160" s="22"/>
      <c r="F160" s="22"/>
      <c r="G160" s="22"/>
      <c r="H160" s="24"/>
    </row>
    <row r="161" spans="2:8">
      <c r="B161" s="15" t="s">
        <v>342</v>
      </c>
      <c r="C161" s="15"/>
      <c r="D161" s="15"/>
      <c r="E161" s="15"/>
      <c r="F161" s="15"/>
      <c r="G161" s="22"/>
      <c r="H161" s="24"/>
    </row>
    <row r="162" spans="2:8" ht="24">
      <c r="B162" s="28" t="s">
        <v>70</v>
      </c>
      <c r="C162" s="29" t="s">
        <v>71</v>
      </c>
      <c r="D162" s="29" t="s">
        <v>95</v>
      </c>
      <c r="E162" s="29" t="s">
        <v>96</v>
      </c>
      <c r="F162" s="29" t="s">
        <v>90</v>
      </c>
      <c r="G162" s="29" t="s">
        <v>97</v>
      </c>
      <c r="H162" s="24"/>
    </row>
    <row r="163" spans="2:8">
      <c r="B163" s="99" t="s">
        <v>84</v>
      </c>
      <c r="C163" s="100"/>
      <c r="D163" s="100"/>
      <c r="E163" s="100"/>
      <c r="F163" s="100"/>
      <c r="G163" s="101"/>
      <c r="H163" s="24"/>
    </row>
    <row r="164" spans="2:8">
      <c r="B164" s="22" t="s">
        <v>103</v>
      </c>
      <c r="C164" s="22"/>
      <c r="D164" s="22"/>
      <c r="E164" s="22"/>
      <c r="F164" s="22"/>
      <c r="G164" s="22"/>
      <c r="H164" s="24"/>
    </row>
    <row r="165" spans="2:8">
      <c r="B165" s="22"/>
      <c r="C165" s="22"/>
      <c r="D165" s="22"/>
      <c r="E165" s="22"/>
      <c r="F165" s="22"/>
      <c r="G165" s="22"/>
      <c r="H165" s="24"/>
    </row>
    <row r="166" spans="2:8">
      <c r="B166" s="102" t="s">
        <v>343</v>
      </c>
      <c r="C166" s="102"/>
      <c r="D166" s="102"/>
      <c r="E166" s="102"/>
      <c r="F166" s="102"/>
      <c r="G166" s="22"/>
      <c r="H166" s="24"/>
    </row>
    <row r="167" spans="2:8" ht="36.75">
      <c r="B167" s="32" t="s">
        <v>70</v>
      </c>
      <c r="C167" s="33" t="s">
        <v>92</v>
      </c>
      <c r="D167" s="33" t="s">
        <v>93</v>
      </c>
      <c r="E167" s="33" t="s">
        <v>94</v>
      </c>
      <c r="F167" s="22"/>
      <c r="G167" s="22"/>
      <c r="H167" s="24"/>
    </row>
    <row r="168" spans="2:8">
      <c r="B168" s="96" t="s">
        <v>84</v>
      </c>
      <c r="C168" s="97"/>
      <c r="D168" s="97"/>
      <c r="E168" s="98"/>
      <c r="F168" s="22"/>
      <c r="G168" s="22"/>
      <c r="H168" s="24"/>
    </row>
    <row r="169" spans="2:8">
      <c r="B169" s="22"/>
      <c r="C169" s="22"/>
      <c r="D169" s="22"/>
      <c r="E169" s="22"/>
      <c r="F169" s="22"/>
      <c r="G169" s="22"/>
      <c r="H169" s="24"/>
    </row>
    <row r="170" spans="2:8">
      <c r="B170" s="22"/>
      <c r="C170" s="22"/>
      <c r="D170" s="22"/>
      <c r="E170" s="22"/>
      <c r="F170" s="22"/>
      <c r="G170" s="22"/>
      <c r="H170" s="24"/>
    </row>
    <row r="171" spans="2:8">
      <c r="B171" s="15" t="s">
        <v>344</v>
      </c>
      <c r="C171" s="15"/>
      <c r="D171" s="15"/>
      <c r="E171" s="22"/>
      <c r="F171" s="22"/>
      <c r="G171" s="22"/>
      <c r="H171" s="24"/>
    </row>
    <row r="172" spans="2:8">
      <c r="B172" s="18"/>
      <c r="C172" s="18"/>
      <c r="D172" s="18"/>
      <c r="E172" s="19"/>
      <c r="F172" s="19"/>
      <c r="G172" s="19"/>
      <c r="H172" s="24"/>
    </row>
    <row r="173" spans="2:8">
      <c r="B173" s="15" t="s">
        <v>345</v>
      </c>
      <c r="C173" s="15"/>
      <c r="D173" s="15"/>
      <c r="E173" s="15"/>
      <c r="F173" s="22"/>
      <c r="G173" s="19"/>
      <c r="H173" s="24"/>
    </row>
    <row r="174" spans="2:8" ht="24">
      <c r="B174" s="34" t="s">
        <v>70</v>
      </c>
      <c r="C174" s="25" t="s">
        <v>71</v>
      </c>
      <c r="D174" s="25" t="s">
        <v>89</v>
      </c>
      <c r="E174" s="25" t="s">
        <v>98</v>
      </c>
      <c r="F174" s="25" t="s">
        <v>99</v>
      </c>
      <c r="G174" s="25" t="s">
        <v>100</v>
      </c>
      <c r="H174" s="24"/>
    </row>
    <row r="175" spans="2:8">
      <c r="B175" s="99" t="s">
        <v>84</v>
      </c>
      <c r="C175" s="100"/>
      <c r="D175" s="100"/>
      <c r="E175" s="100"/>
      <c r="F175" s="100"/>
      <c r="G175" s="101"/>
      <c r="H175" s="24"/>
    </row>
    <row r="176" spans="2:8">
      <c r="B176" s="17" t="s">
        <v>107</v>
      </c>
      <c r="C176" s="19"/>
      <c r="D176" s="19"/>
      <c r="E176" s="19"/>
      <c r="F176" s="19"/>
      <c r="G176" s="19"/>
      <c r="H176" s="24"/>
    </row>
    <row r="177" spans="2:8">
      <c r="B177" s="19"/>
      <c r="C177" s="19"/>
      <c r="D177" s="19"/>
      <c r="E177" s="19"/>
      <c r="F177" s="19"/>
      <c r="G177" s="19"/>
      <c r="H177" s="24"/>
    </row>
    <row r="178" spans="2:8">
      <c r="B178" s="102" t="s">
        <v>346</v>
      </c>
      <c r="C178" s="102"/>
      <c r="D178" s="102"/>
      <c r="E178" s="102"/>
      <c r="F178" s="102"/>
      <c r="G178" s="102"/>
      <c r="H178" s="24"/>
    </row>
    <row r="179" spans="2:8" ht="36">
      <c r="B179" s="34" t="s">
        <v>70</v>
      </c>
      <c r="C179" s="34" t="s">
        <v>101</v>
      </c>
      <c r="D179" s="34" t="s">
        <v>93</v>
      </c>
      <c r="E179" s="34" t="s">
        <v>102</v>
      </c>
      <c r="F179" s="19"/>
      <c r="G179" s="19"/>
      <c r="H179" s="24"/>
    </row>
    <row r="180" spans="2:8">
      <c r="B180" s="99" t="s">
        <v>84</v>
      </c>
      <c r="C180" s="100"/>
      <c r="D180" s="100"/>
      <c r="E180" s="101"/>
      <c r="F180" s="19"/>
      <c r="G180" s="19"/>
      <c r="H180" s="24"/>
    </row>
    <row r="181" spans="2:8">
      <c r="B181" s="19"/>
      <c r="C181" s="19"/>
      <c r="D181" s="19"/>
      <c r="E181" s="19"/>
      <c r="F181" s="19"/>
      <c r="G181" s="19"/>
      <c r="H181" s="24"/>
    </row>
  </sheetData>
  <mergeCells count="118">
    <mergeCell ref="B97:C97"/>
    <mergeCell ref="B98:C98"/>
    <mergeCell ref="B99:C99"/>
    <mergeCell ref="B100:C100"/>
    <mergeCell ref="B109:E109"/>
    <mergeCell ref="B118:D118"/>
    <mergeCell ref="B1:H1"/>
    <mergeCell ref="B2:H2"/>
    <mergeCell ref="B3:H3"/>
    <mergeCell ref="B107:G107"/>
    <mergeCell ref="B108:E108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1:C21"/>
    <mergeCell ref="B22:C22"/>
    <mergeCell ref="B23:C23"/>
    <mergeCell ref="B24:C24"/>
    <mergeCell ref="B25:C25"/>
    <mergeCell ref="B16:C16"/>
    <mergeCell ref="B168:E168"/>
    <mergeCell ref="B175:G175"/>
    <mergeCell ref="B178:G178"/>
    <mergeCell ref="B180:E180"/>
    <mergeCell ref="B127:G127"/>
    <mergeCell ref="B132:G132"/>
    <mergeCell ref="B135:G135"/>
    <mergeCell ref="B137:G137"/>
    <mergeCell ref="B139:G139"/>
    <mergeCell ref="B166:F166"/>
    <mergeCell ref="B146:G146"/>
    <mergeCell ref="B153:F153"/>
    <mergeCell ref="B156:F156"/>
    <mergeCell ref="B158:E158"/>
    <mergeCell ref="B163:G163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6:C96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FD7153-D683-4FED-A289-993D91E87E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WOLCF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2024-04-09T12:30:32Z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2024-04-08T17:44:31Z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1017f2b1-9300-47ea-8067-0349a2ac2e96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