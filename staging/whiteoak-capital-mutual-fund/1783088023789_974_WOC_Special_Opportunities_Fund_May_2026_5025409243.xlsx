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Open Knowledge Hub/Mutual Fund/Scheme Portfolio/Monthly/2026-27/May 2026/"/>
    </mc:Choice>
  </mc:AlternateContent>
  <xr:revisionPtr revIDLastSave="0" documentId="8_{73E5B8FF-E9BF-4B77-BE07-009BC44BF585}" xr6:coauthVersionLast="47" xr6:coauthVersionMax="47" xr10:uidLastSave="{00000000-0000-0000-0000-000000000000}"/>
  <bookViews>
    <workbookView xWindow="-120" yWindow="-120" windowWidth="20730" windowHeight="11040" xr2:uid="{9D66AB50-BA3B-4F04-BC37-60C2602A28B9}"/>
  </bookViews>
  <sheets>
    <sheet name="WOSOP" sheetId="1" r:id="rId1"/>
  </sheets>
  <externalReferences>
    <externalReference r:id="rId2"/>
  </externalReferences>
  <definedNames>
    <definedName name="JR_PAGE_ANCHOR_0_17">WOSOP!$A$1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87" i="1" l="1"/>
  <c r="G87" i="1"/>
</calcChain>
</file>

<file path=xl/sharedStrings.xml><?xml version="1.0" encoding="utf-8"?>
<sst xmlns="http://schemas.openxmlformats.org/spreadsheetml/2006/main" count="533" uniqueCount="402">
  <si>
    <t>WhiteOak Capital Special Opportunities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</si>
  <si>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</si>
  <si>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</si>
  <si>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</si>
  <si>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</si>
  <si>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</si>
  <si>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</si>
  <si>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</si>
  <si>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</si>
  <si>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</si>
  <si>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</si>
  <si>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</si>
  <si>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</si>
  <si>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</si>
  <si>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</si>
  <si>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</si>
  <si>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</si>
  <si>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</si>
  <si>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</si>
  <si>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</si>
  <si>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</si>
  <si>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</si>
  <si>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</si>
  <si>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</si>
  <si>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</si>
  <si>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</si>
  <si>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</si>
  <si>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NEST02</t>
  </si>
  <si>
    <t>Nestle India Limited</t>
  </si>
  <si>
    <t>INE239A01024</t>
  </si>
  <si>
    <t>Food Products</t>
  </si>
  <si>
    <t>NITL02</t>
  </si>
  <si>
    <t>Coforge Limited</t>
  </si>
  <si>
    <t>INE591G01025</t>
  </si>
  <si>
    <t>IT - Software</t>
  </si>
  <si>
    <t>IINF02</t>
  </si>
  <si>
    <t>IIFL Finance Limited</t>
  </si>
  <si>
    <t>INE530B01024</t>
  </si>
  <si>
    <t>Finance</t>
  </si>
  <si>
    <t>SBAI02</t>
  </si>
  <si>
    <t>State Bank of India</t>
  </si>
  <si>
    <t>INE062A01020</t>
  </si>
  <si>
    <t>TWAT02</t>
  </si>
  <si>
    <t>Titan Company Limited</t>
  </si>
  <si>
    <t>INE280A01028</t>
  </si>
  <si>
    <t>Consumer Durables</t>
  </si>
  <si>
    <t>MUND02</t>
  </si>
  <si>
    <t>Adani Ports and Special Economic Zone Limited</t>
  </si>
  <si>
    <t>INE742F01042</t>
  </si>
  <si>
    <t>Transport Infrastructure</t>
  </si>
  <si>
    <t>SOEL02</t>
  </si>
  <si>
    <t>Solar Industries India Limited</t>
  </si>
  <si>
    <t>INE343H01029</t>
  </si>
  <si>
    <t>Chemicals &amp; Petrochemicals</t>
  </si>
  <si>
    <t>BHEL02</t>
  </si>
  <si>
    <t>Bharat Electronics Limited</t>
  </si>
  <si>
    <t>INE263A01024</t>
  </si>
  <si>
    <t>Aerospace &amp; Defense</t>
  </si>
  <si>
    <t>CEES01</t>
  </si>
  <si>
    <t>Clean Max Enviro Energy Solutions Limited</t>
  </si>
  <si>
    <t>INE647U01026</t>
  </si>
  <si>
    <t>Power</t>
  </si>
  <si>
    <t>DEFE01</t>
  </si>
  <si>
    <t>Deepak Fertilizers and Petrochemicals Corporation Limited</t>
  </si>
  <si>
    <t>INE501A01019</t>
  </si>
  <si>
    <t>SJSE01</t>
  </si>
  <si>
    <t>S.J.S. Enterprises Limited</t>
  </si>
  <si>
    <t>INE284S01014</t>
  </si>
  <si>
    <t>Auto Components</t>
  </si>
  <si>
    <t>RIND01</t>
  </si>
  <si>
    <t>Reliance Industries Limited</t>
  </si>
  <si>
    <t>INE002A01018</t>
  </si>
  <si>
    <t>Petroleum Products</t>
  </si>
  <si>
    <t>PRRC03</t>
  </si>
  <si>
    <t>Navin Fluorine International Limited</t>
  </si>
  <si>
    <t>INE048G01026</t>
  </si>
  <si>
    <t>MAXI02</t>
  </si>
  <si>
    <t>Max Financial Services Limited</t>
  </si>
  <si>
    <t>INE180A01020</t>
  </si>
  <si>
    <t>Insurance</t>
  </si>
  <si>
    <t>KIMS02</t>
  </si>
  <si>
    <t>Krishna Institute Of Medical Sciences Limited</t>
  </si>
  <si>
    <t>INE967H01025</t>
  </si>
  <si>
    <t>Healthcare Services</t>
  </si>
  <si>
    <t>MTAR01</t>
  </si>
  <si>
    <t>MTAR Technologies Limited</t>
  </si>
  <si>
    <t>INE864I01014</t>
  </si>
  <si>
    <t>Electrical Equipment</t>
  </si>
  <si>
    <t>ALLI02</t>
  </si>
  <si>
    <t>GE Vernova T&amp;D India Limited</t>
  </si>
  <si>
    <t>INE200A01026</t>
  </si>
  <si>
    <t>ADTH01</t>
  </si>
  <si>
    <t>Aditya Infotech Limited</t>
  </si>
  <si>
    <t>INE819V01029</t>
  </si>
  <si>
    <t>Industrial Manufacturing</t>
  </si>
  <si>
    <t>TENN01</t>
  </si>
  <si>
    <t>Tenneco Clean Air India Limited</t>
  </si>
  <si>
    <t>INE19RI01016</t>
  </si>
  <si>
    <t>RAKH02</t>
  </si>
  <si>
    <t>Radico Khaitan Limited</t>
  </si>
  <si>
    <t>INE944F01028</t>
  </si>
  <si>
    <t>Beverages</t>
  </si>
  <si>
    <t>BHAH02</t>
  </si>
  <si>
    <t>Bharat Heavy Electricals Limited</t>
  </si>
  <si>
    <t>INE257A01026</t>
  </si>
  <si>
    <t>CUBI02</t>
  </si>
  <si>
    <t>City Union Bank Limited</t>
  </si>
  <si>
    <t>INE491A01021</t>
  </si>
  <si>
    <t>DPIL01</t>
  </si>
  <si>
    <t>Data Patterns (India) Limited</t>
  </si>
  <si>
    <t>INE0IX101010</t>
  </si>
  <si>
    <t>PHFP02</t>
  </si>
  <si>
    <t>PNB Housing Finance Limited</t>
  </si>
  <si>
    <t>INE572E01012</t>
  </si>
  <si>
    <t>KENI01</t>
  </si>
  <si>
    <t>Kirloskar Oil Engines Limited</t>
  </si>
  <si>
    <t>INE146L01010</t>
  </si>
  <si>
    <t>Industrial Products</t>
  </si>
  <si>
    <t>GAPA02</t>
  </si>
  <si>
    <t>Apar Industries Limited</t>
  </si>
  <si>
    <t>INE372A01015</t>
  </si>
  <si>
    <t>NELA01</t>
  </si>
  <si>
    <t>Neuland Laboratories Limited</t>
  </si>
  <si>
    <t>INE794A01010</t>
  </si>
  <si>
    <t>Pharmaceuticals &amp; Biotechnology</t>
  </si>
  <si>
    <t>ONEM01</t>
  </si>
  <si>
    <t>Onemi Technology Solutions Limited</t>
  </si>
  <si>
    <t>INE12F801023</t>
  </si>
  <si>
    <t>KRNH01</t>
  </si>
  <si>
    <t>KRN Heat Exchanger And Refrigeration Limited</t>
  </si>
  <si>
    <t>INE0Q3J01015</t>
  </si>
  <si>
    <t>CARL01</t>
  </si>
  <si>
    <t>CARE Ratings Limited</t>
  </si>
  <si>
    <t>INE752H01013</t>
  </si>
  <si>
    <t>Capital Markets</t>
  </si>
  <si>
    <t>EIDP03</t>
  </si>
  <si>
    <t>EID Parry India Limited</t>
  </si>
  <si>
    <t>INE126A01031</t>
  </si>
  <si>
    <t>SAEL02</t>
  </si>
  <si>
    <t>TVS Motor Company Limited</t>
  </si>
  <si>
    <t>INE494B01023</t>
  </si>
  <si>
    <t>CORE01</t>
  </si>
  <si>
    <t>Corona Remedies Limited</t>
  </si>
  <si>
    <t>INE02ZQ01018</t>
  </si>
  <si>
    <t>FSBF02</t>
  </si>
  <si>
    <t>Five Star Business Finance Limited</t>
  </si>
  <si>
    <t>INE128S01021</t>
  </si>
  <si>
    <t>NCCL01</t>
  </si>
  <si>
    <t>Nuvoco Vistas Corporation Limited</t>
  </si>
  <si>
    <t>INE118D01016</t>
  </si>
  <si>
    <t>Cement &amp; Cement Products</t>
  </si>
  <si>
    <t>SAMB01</t>
  </si>
  <si>
    <t>Sambhv Steel Tubes Ltd</t>
  </si>
  <si>
    <t>INE12NJ01018</t>
  </si>
  <si>
    <t>MCEX02</t>
  </si>
  <si>
    <t>Multi Commodity Exchange of India Limited</t>
  </si>
  <si>
    <t>INE745G01043</t>
  </si>
  <si>
    <t>AZAD01</t>
  </si>
  <si>
    <t>Azad Engineering Ltd</t>
  </si>
  <si>
    <t>INE02IJ01035</t>
  </si>
  <si>
    <t>AENP01</t>
  </si>
  <si>
    <t>Ather Energy Limited</t>
  </si>
  <si>
    <t>INE0LEZ01016</t>
  </si>
  <si>
    <t>TDPS02</t>
  </si>
  <si>
    <t>TD Power Systems Limited</t>
  </si>
  <si>
    <t>INE419M01027</t>
  </si>
  <si>
    <t>LENS01</t>
  </si>
  <si>
    <t>Lenskart Solutions Limited</t>
  </si>
  <si>
    <t>INE956O01016</t>
  </si>
  <si>
    <t>Retailing</t>
  </si>
  <si>
    <t>CROM02</t>
  </si>
  <si>
    <t>CG Power and Industrial Solutions Limited</t>
  </si>
  <si>
    <t>INE067A01029</t>
  </si>
  <si>
    <t>CPIL02</t>
  </si>
  <si>
    <t>CCL Products (India) Limited</t>
  </si>
  <si>
    <t>INE421D01022</t>
  </si>
  <si>
    <t>Agricultural Food &amp; other Products</t>
  </si>
  <si>
    <t>SHAD01</t>
  </si>
  <si>
    <t>Shadowfax Technologies Limited</t>
  </si>
  <si>
    <t>INE12UN01015</t>
  </si>
  <si>
    <t>Transport Services</t>
  </si>
  <si>
    <t>KMCH01</t>
  </si>
  <si>
    <t>Kovai Medical Center and Hospital Limited</t>
  </si>
  <si>
    <t>INE177F01017</t>
  </si>
  <si>
    <t>BAJC02</t>
  </si>
  <si>
    <t>Bajaj Consumer Care Limited</t>
  </si>
  <si>
    <t>INE933K01021</t>
  </si>
  <si>
    <t>Personal Products</t>
  </si>
  <si>
    <t>VAML01</t>
  </si>
  <si>
    <t>Vedanta Aluminium Metal Limited **</t>
  </si>
  <si>
    <t>INE1CDF01017</t>
  </si>
  <si>
    <t>Non - Ferrous Metals</t>
  </si>
  <si>
    <t>TAMB01</t>
  </si>
  <si>
    <t>Tamilnad Mercantile Bank Limited</t>
  </si>
  <si>
    <t>INE668A01016</t>
  </si>
  <si>
    <t>BBGV02</t>
  </si>
  <si>
    <t>Billionbrains Garage Ventures Ltd</t>
  </si>
  <si>
    <t>INE0HOQ01053</t>
  </si>
  <si>
    <t>AYEF01</t>
  </si>
  <si>
    <t>Aye Finance Limited</t>
  </si>
  <si>
    <t>INE501X01029</t>
  </si>
  <si>
    <t>SOBA02</t>
  </si>
  <si>
    <t>The South Indian Bank Limited</t>
  </si>
  <si>
    <t>INE683A01023</t>
  </si>
  <si>
    <t>RACO01</t>
  </si>
  <si>
    <t>Racl Geartech Limited</t>
  </si>
  <si>
    <t>INE704B01017</t>
  </si>
  <si>
    <t>ZOHE01</t>
  </si>
  <si>
    <t>Zota Health Care Limited</t>
  </si>
  <si>
    <t>INE358U01012</t>
  </si>
  <si>
    <t>LATL02</t>
  </si>
  <si>
    <t>Lumax Auto Technologies Limited</t>
  </si>
  <si>
    <t>INE872H01027</t>
  </si>
  <si>
    <t>SMCL03</t>
  </si>
  <si>
    <t>Shilpa Medicare Limited</t>
  </si>
  <si>
    <t>INE790G01031</t>
  </si>
  <si>
    <t>MALO01</t>
  </si>
  <si>
    <t>Mahindra Logistics Limited</t>
  </si>
  <si>
    <t>INE766P01016</t>
  </si>
  <si>
    <t>OIIL01</t>
  </si>
  <si>
    <t>Oil India Limited</t>
  </si>
  <si>
    <t>INE274J01014</t>
  </si>
  <si>
    <t>Oil</t>
  </si>
  <si>
    <t>TTEA02</t>
  </si>
  <si>
    <t>Tata Consumer Products Limited</t>
  </si>
  <si>
    <t>INE192A01025</t>
  </si>
  <si>
    <t>REHO01</t>
  </si>
  <si>
    <t>Repco Home Finance Limited</t>
  </si>
  <si>
    <t>INE612J01015</t>
  </si>
  <si>
    <t>KEYS01</t>
  </si>
  <si>
    <t>Keystone Realtors Limited</t>
  </si>
  <si>
    <t>INE263M01029</t>
  </si>
  <si>
    <t>Realty</t>
  </si>
  <si>
    <t>YANI01</t>
  </si>
  <si>
    <t>Yasho Industries Limited</t>
  </si>
  <si>
    <t>INE616Z01012</t>
  </si>
  <si>
    <t>DYTL01</t>
  </si>
  <si>
    <t>Dynamatic Technologies Limited</t>
  </si>
  <si>
    <t>INE221B01012</t>
  </si>
  <si>
    <t>IGLY02</t>
  </si>
  <si>
    <t>India Glycols Limited</t>
  </si>
  <si>
    <t>INE560A01023</t>
  </si>
  <si>
    <t>IIBL01</t>
  </si>
  <si>
    <t>IndusInd Bank Limited</t>
  </si>
  <si>
    <t>INE095A01012</t>
  </si>
  <si>
    <t>TCAL01</t>
  </si>
  <si>
    <t>Tata Capital Limited</t>
  </si>
  <si>
    <t>INE976I01016</t>
  </si>
  <si>
    <t>ARLF01</t>
  </si>
  <si>
    <t>Arman Financial Services Limited</t>
  </si>
  <si>
    <t>INE109C01017</t>
  </si>
  <si>
    <t>DCIL01</t>
  </si>
  <si>
    <t>Dredging Corporation of India Limited</t>
  </si>
  <si>
    <t>INE506A01018</t>
  </si>
  <si>
    <t>Engineering Services</t>
  </si>
  <si>
    <t>ACHI01</t>
  </si>
  <si>
    <t>Archean Chemical Industries Limited</t>
  </si>
  <si>
    <t>INE128X01021</t>
  </si>
  <si>
    <t>OMEL01</t>
  </si>
  <si>
    <t>Omnitech Engineering Limited</t>
  </si>
  <si>
    <t>INE0UH301010</t>
  </si>
  <si>
    <t>WKIP01</t>
  </si>
  <si>
    <t>Wakefit Innovations Limited</t>
  </si>
  <si>
    <t>INE0E7301029</t>
  </si>
  <si>
    <t>NACL03</t>
  </si>
  <si>
    <t>National Aluminium Company Limited</t>
  </si>
  <si>
    <t>INE139A01034</t>
  </si>
  <si>
    <t>BSEL02</t>
  </si>
  <si>
    <t>BSE Limited</t>
  </si>
  <si>
    <t>INE118H01025</t>
  </si>
  <si>
    <t>VEDA03</t>
  </si>
  <si>
    <t>Malco Energy Limited **</t>
  </si>
  <si>
    <t>INE704J01044</t>
  </si>
  <si>
    <t>TASP01</t>
  </si>
  <si>
    <t>Talwandi Sabo Power Limited **</t>
  </si>
  <si>
    <t>INE694L01019</t>
  </si>
  <si>
    <t>VISL01</t>
  </si>
  <si>
    <t>Vedanta Iron And Steel Limited **</t>
  </si>
  <si>
    <t>INE1CLE01013</t>
  </si>
  <si>
    <t>Ferrous Metals</t>
  </si>
  <si>
    <t>INFS02</t>
  </si>
  <si>
    <t>Infosys Limited</t>
  </si>
  <si>
    <t>INE009A01021</t>
  </si>
  <si>
    <t>Sub Total</t>
  </si>
  <si>
    <t>(b) Reits</t>
  </si>
  <si>
    <t>NXST01</t>
  </si>
  <si>
    <t>Nexus Select Trust - REIT</t>
  </si>
  <si>
    <t>INE0NDH25011</t>
  </si>
  <si>
    <t>(c) Unlisted</t>
  </si>
  <si>
    <t>NIL</t>
  </si>
  <si>
    <t>Total</t>
  </si>
  <si>
    <t>Money Market Instruments</t>
  </si>
  <si>
    <t>Treasury Bill</t>
  </si>
  <si>
    <t>TBIL2662</t>
  </si>
  <si>
    <t>182 Days Tbill (MD 06/08/2026)</t>
  </si>
  <si>
    <t>IN002025Y446</t>
  </si>
  <si>
    <t>Sovereign</t>
  </si>
  <si>
    <t>TBIL2660</t>
  </si>
  <si>
    <t>91 Days Tbill (MD 20/08/2026)</t>
  </si>
  <si>
    <t>IN002026X073</t>
  </si>
  <si>
    <t>TBIL2604</t>
  </si>
  <si>
    <t>182 Days Tbill (MD 18/06/2026)</t>
  </si>
  <si>
    <t>IN002025Y388</t>
  </si>
  <si>
    <t>TBIL2601</t>
  </si>
  <si>
    <t>182 Days Tbill (MD 11/06/2026)</t>
  </si>
  <si>
    <t>IN002025Y370</t>
  </si>
  <si>
    <t>TBIL2637</t>
  </si>
  <si>
    <t>91 Days Tbill (MD 11/06/2026)</t>
  </si>
  <si>
    <t>IN002025X497</t>
  </si>
  <si>
    <t>TBIL2632</t>
  </si>
  <si>
    <t>91 Days Tbill (MD 04/06/2026)</t>
  </si>
  <si>
    <t>IN002025X489</t>
  </si>
  <si>
    <t>TBIL2608</t>
  </si>
  <si>
    <t>182 Days Tbill (MD 09/07/2026)</t>
  </si>
  <si>
    <t>IN002025Y404</t>
  </si>
  <si>
    <t>TBIL2598</t>
  </si>
  <si>
    <t>182 Days Tbill (MD 04/06/2026)</t>
  </si>
  <si>
    <t>IN002025Y362</t>
  </si>
  <si>
    <t>Reverse Repo / TREPS</t>
  </si>
  <si>
    <t>TRP_010626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</si>
  <si>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</si>
  <si>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</si>
  <si>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</si>
  <si>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</si>
  <si>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</si>
  <si>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</si>
  <si>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</si>
  <si>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</si>
  <si>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</si>
  <si>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</si>
  <si>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</si>
  <si>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</si>
  <si>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</si>
  <si>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**  Thinly Traded / Non Traded Security</t>
  </si>
  <si>
    <t>~ YTM as on May 31, 2026</t>
  </si>
  <si>
    <t>Notes :</t>
  </si>
  <si>
    <t>(1) The provision made for securities classified as below investment grade or default as of May 31,2026 is Rs.Nil and its percentage to Net Asset Value is Nil.</t>
  </si>
  <si>
    <t>(2)  Aggregate value of illiquid securities of the scheme and their percentage to NAV as on May 31,2026 is Nil.</t>
  </si>
  <si>
    <t>(3)  Plan/Option wise Net Assets Value per unit (in Rupees) is as follows:</t>
  </si>
  <si>
    <t>Plan/Option</t>
  </si>
  <si>
    <t>As on May 29,2026</t>
  </si>
  <si>
    <t>As on April 30,2026</t>
  </si>
  <si>
    <t>Direct Plan - Growth</t>
  </si>
  <si>
    <t>Regular Plan - Growth</t>
  </si>
  <si>
    <t>(4) The Scheme did not declare any Income Distribution cum Capital Withdrawal during the monthly period ended May 31,2026.</t>
  </si>
  <si>
    <t>(5) The Scheme did not declare any bonus during the monthly period ended May 31,2026.</t>
  </si>
  <si>
    <t>(6) Total outstanding exposure in derivative instruments as on May 31,2026 is Rs.12729.70 Lakhs</t>
  </si>
  <si>
    <t>(7) Total investments in Foreign Securities / Overseas ETFs / ADRs / GDRs as on May 31,2026 is -Nil</t>
  </si>
  <si>
    <t>(8) Portfolio Turnover ratio is 2.92 Times</t>
  </si>
  <si>
    <t>(9) The scheme had no Repo transaction in Corporate Debt Securities during monthly period ended May 31,2026.</t>
  </si>
  <si>
    <t>Place : Mumbai</t>
  </si>
  <si>
    <t xml:space="preserve">Date :  </t>
  </si>
  <si>
    <t>Portfolio disclosure for derivative positions.</t>
  </si>
  <si>
    <t>A. Hedging positions through futures as on May 31,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</si>
  <si>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</si>
  <si>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</si>
  <si>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</si>
  <si>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</si>
  <si>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</si>
  <si>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</si>
  <si>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</si>
  <si>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May 31,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</si>
  <si>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</si>
  <si>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</si>
  <si>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 Nil</t>
  </si>
  <si>
    <t>Gross notional value of contracts where futures were sold: Rs.  Nil</t>
  </si>
  <si>
    <t>Net profit/ (loss) value on all contracts combined: Rs Nil</t>
  </si>
  <si>
    <t>B. Other than hedging positions through futures as on May 31, 2026</t>
  </si>
  <si>
    <t>HDFC Bank Limited June 2026 Futures</t>
  </si>
  <si>
    <t>Reliance Industries Limited June 2026 Futures</t>
  </si>
  <si>
    <t>State Bank of India June 2026 Futures</t>
  </si>
  <si>
    <t>BSE Limited June 2026 Futures</t>
  </si>
  <si>
    <t>Bharti Airtel Limited June 2026 Futures</t>
  </si>
  <si>
    <t>IndusInd Bank Limited June 2026 Futures</t>
  </si>
  <si>
    <t>Infosys Limited June 2026 Futures</t>
  </si>
  <si>
    <t>Mahindra &amp; Mahindra Limited June 2026 Futures</t>
  </si>
  <si>
    <t>National Aluminium Company Limited June 2026 Futures</t>
  </si>
  <si>
    <t>Oil India Limited June 2026 Futures</t>
  </si>
  <si>
    <t>Tata Consumer Products Limited June 2026 Futures</t>
  </si>
  <si>
    <t>NIFTY June 2026 Futures</t>
  </si>
  <si>
    <t>CG Power and Industrial Solutions Limited June 2026 Futures</t>
  </si>
  <si>
    <t>Total exposure due to futures (non hedging positions) as a percentage of net assets: -7.95%</t>
  </si>
  <si>
    <t>For the period ended May 31, 2026, following details specified for non-hedging transactions through futures which have been squared off/ expired:</t>
  </si>
  <si>
    <t>Total number of contracts where futures were bought: 354</t>
  </si>
  <si>
    <t>Total number of contracts where futures were sold: 1492</t>
  </si>
  <si>
    <t>Gross notional value of contracts where futures were bought: Rs.  3346.009 Lakhs</t>
  </si>
  <si>
    <t>Gross notional value of contracts where futures were sold: Rs.  11414.039 Lakhs</t>
  </si>
  <si>
    <t>Net profit/ (loss) value on all contracts combined: Rs -379.746 Lakhs</t>
  </si>
  <si>
    <t>C. Hedging positions through put options as on May 31, 2026</t>
  </si>
  <si>
    <t>Total percentage of existing assets hedged through put options: Nil</t>
  </si>
  <si>
    <t>For the period ended May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</si>
  <si>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</si>
  <si>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</si>
  <si>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</si>
  <si>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May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</si>
  <si>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</si>
  <si>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</si>
  <si>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</si>
  <si>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</si>
  <si>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</si>
  <si>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May 31, 2026, following details specified for non-hedging transactions through options which have already been exercised/ expired:</t>
  </si>
  <si>
    <t>E. Hedging positions through swaps as on May 31,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</si>
</sst>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"/>
    <numFmt numFmtId="168" formatCode="_(* #,##0_);_(* \(#,##0\);_(* &quot;-&quot;?_);_(@_)"/>
    <numFmt numFmtId="169" formatCode="_(* #,##0.00_);_(* \(#,##0.00\);_(* &quot;-&quot;?_);_(@_)"/>
    <numFmt numFmtId="170" formatCode="#,##0.0000_ ;\-#,##0.0000\ 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6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2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2" fillId="0" borderId="11" xfId="0" applyNumberFormat="1" applyFont="1" applyBorder="1" applyAlignment="1">
      <alignment horizontal="right" vertical="top" wrapText="1"/>
    </xf>
    <xf numFmtId="165" fontId="2" fillId="0" borderId="10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10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top" wrapText="1"/>
    </xf>
    <xf numFmtId="3" fontId="3" fillId="0" borderId="10" xfId="0" applyNumberFormat="1" applyFont="1" applyBorder="1" applyAlignment="1">
      <alignment horizontal="right" vertical="top" wrapText="1"/>
    </xf>
    <xf numFmtId="164" fontId="3" fillId="0" borderId="10" xfId="0" applyNumberFormat="1" applyFont="1" applyBorder="1" applyAlignment="1">
      <alignment horizontal="right" vertical="top" wrapText="1"/>
    </xf>
    <xf numFmtId="166" fontId="3" fillId="0" borderId="1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8" fillId="0" borderId="0" xfId="0" applyFont="1"/>
    <xf numFmtId="0" fontId="9" fillId="0" borderId="17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center" vertical="top" wrapText="1"/>
    </xf>
    <xf numFmtId="0" fontId="8" fillId="0" borderId="17" xfId="0" applyFont="1" applyBorder="1" applyAlignment="1">
      <alignment horizontal="left" vertical="top" wrapText="1"/>
    </xf>
    <xf numFmtId="167" fontId="3" fillId="0" borderId="10" xfId="0" applyNumberFormat="1" applyFont="1" applyBorder="1" applyAlignment="1">
      <alignment horizontal="right" vertical="top" wrapText="1"/>
    </xf>
    <xf numFmtId="0" fontId="10" fillId="0" borderId="0" xfId="0" applyFont="1" applyAlignment="1">
      <alignment horizontal="left" vertical="top"/>
    </xf>
    <xf numFmtId="0" fontId="8" fillId="0" borderId="0" xfId="1" applyFont="1" applyAlignment="1">
      <alignment horizontal="left" vertical="top"/>
    </xf>
    <xf numFmtId="0" fontId="8" fillId="0" borderId="0" xfId="0" applyFont="1" applyAlignment="1">
      <alignment vertical="top"/>
    </xf>
    <xf numFmtId="0" fontId="11" fillId="0" borderId="0" xfId="0" applyFont="1"/>
    <xf numFmtId="0" fontId="12" fillId="0" borderId="0" xfId="0" applyFont="1"/>
    <xf numFmtId="0" fontId="9" fillId="0" borderId="18" xfId="0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8" fillId="0" borderId="20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0" fontId="8" fillId="0" borderId="17" xfId="0" applyFont="1" applyBorder="1" applyAlignment="1">
      <alignment horizontal="right" vertical="top"/>
    </xf>
    <xf numFmtId="0" fontId="8" fillId="0" borderId="17" xfId="0" applyFont="1" applyBorder="1" applyAlignment="1">
      <alignment horizontal="right" vertical="top" wrapText="1"/>
    </xf>
    <xf numFmtId="0" fontId="8" fillId="0" borderId="21" xfId="0" applyFont="1" applyBorder="1" applyAlignment="1">
      <alignment vertical="top"/>
    </xf>
    <xf numFmtId="0" fontId="8" fillId="0" borderId="22" xfId="0" applyFont="1" applyBorder="1" applyAlignment="1">
      <alignment horizontal="center" vertical="top"/>
    </xf>
    <xf numFmtId="0" fontId="8" fillId="0" borderId="23" xfId="0" applyFont="1" applyBorder="1" applyAlignment="1">
      <alignment horizontal="center" vertical="top"/>
    </xf>
    <xf numFmtId="0" fontId="8" fillId="0" borderId="24" xfId="0" applyFont="1" applyBorder="1" applyAlignment="1">
      <alignment horizontal="center" vertical="top"/>
    </xf>
    <xf numFmtId="0" fontId="8" fillId="0" borderId="25" xfId="0" applyFont="1" applyBorder="1" applyAlignment="1">
      <alignment vertical="top"/>
    </xf>
    <xf numFmtId="10" fontId="8" fillId="0" borderId="25" xfId="2" applyNumberFormat="1" applyFont="1" applyFill="1" applyBorder="1" applyAlignment="1">
      <alignment vertical="top"/>
    </xf>
    <xf numFmtId="10" fontId="8" fillId="0" borderId="0" xfId="0" applyNumberFormat="1" applyFont="1" applyAlignment="1">
      <alignment vertical="top"/>
    </xf>
    <xf numFmtId="168" fontId="8" fillId="0" borderId="0" xfId="0" applyNumberFormat="1" applyFont="1" applyAlignment="1">
      <alignment vertical="top"/>
    </xf>
    <xf numFmtId="169" fontId="8" fillId="0" borderId="0" xfId="0" applyNumberFormat="1" applyFont="1" applyAlignment="1">
      <alignment vertical="top"/>
    </xf>
    <xf numFmtId="4" fontId="8" fillId="0" borderId="0" xfId="0" applyNumberFormat="1" applyFont="1" applyAlignment="1">
      <alignment vertical="top"/>
    </xf>
    <xf numFmtId="0" fontId="9" fillId="0" borderId="25" xfId="0" applyFont="1" applyBorder="1" applyAlignment="1">
      <alignment vertical="top"/>
    </xf>
    <xf numFmtId="169" fontId="8" fillId="0" borderId="17" xfId="0" applyNumberFormat="1" applyFont="1" applyBorder="1" applyAlignment="1">
      <alignment vertical="top"/>
    </xf>
    <xf numFmtId="170" fontId="10" fillId="0" borderId="0" xfId="0" applyNumberFormat="1" applyFont="1" applyAlignment="1">
      <alignment horizontal="center" vertical="top"/>
    </xf>
    <xf numFmtId="170" fontId="10" fillId="0" borderId="0" xfId="0" applyNumberFormat="1" applyFont="1" applyAlignment="1">
      <alignment vertical="top"/>
    </xf>
    <xf numFmtId="0" fontId="8" fillId="0" borderId="17" xfId="0" applyFont="1" applyBorder="1" applyAlignment="1">
      <alignment horizontal="center" vertical="top"/>
    </xf>
    <xf numFmtId="0" fontId="8" fillId="0" borderId="26" xfId="0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8" fillId="0" borderId="28" xfId="0" applyFont="1" applyBorder="1" applyAlignment="1">
      <alignment vertical="top"/>
    </xf>
  </cellXfs>
  <cellStyles count="3">
    <cellStyle name="Normal" xfId="0" builtinId="0"/>
    <cellStyle name="Normal 3" xfId="1" xr:uid="{CB74EAA0-D8A3-4A6F-9114-A87F202CBDEC}"/>
    <cellStyle name="Per cent 2" xfId="2" xr:uid="{D8D644BF-255C-48A8-8D10-4B7D6CC430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6915150" cy="1952625"/>
    <xdr:pic>
      <xdr:nvPicPr>
        <xdr:cNvPr id="2" name="Picture 1">
          <a:extLst>
            <a:ext uri="{FF2B5EF4-FFF2-40B4-BE49-F238E27FC236}">
              <a16:creationId xmlns:a16="http://schemas.microsoft.com/office/drawing/2014/main" id="{984CD0A2-E2A7-4761-A4C8-EB5DBA7C5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54450" y="523875"/>
          <a:ext cx="6915150" cy="195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Open%20Knowledge%20Hub/Mutual%20Fund/Scheme%20Portfolio/Monthly/2026-27/May%202026/Monthly%20Portfolio%20with%20Derivatives%20Disclosure%2031-05-2026_V2.xlsx" TargetMode="External"/><Relationship Id="rId1" Type="http://schemas.openxmlformats.org/officeDocument/2006/relationships/externalLinkPath" Target="Monthly%20Portfolio%20with%20Derivatives%20Disclosure%2031-05-2026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CNF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95A90-E4FA-4652-A8F0-2372529AA9B3}">
  <sheetPr codeName="Sheet17">
    <outlinePr summaryBelow="0"/>
  </sheetPr>
  <dimension ref="A1:I211"/>
  <sheetViews>
    <sheetView tabSelected="1" topLeftCell="G1" workbookViewId="0">
      <selection activeCell="K4" sqref="K4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</cols>
  <sheetData>
    <row r="1" spans="1:9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3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</row>
    <row r="5" spans="1:9" ht="12.95" customHeight="1">
      <c r="A5" s="1"/>
      <c r="B5" s="9" t="s">
        <v>10</v>
      </c>
      <c r="C5" s="9"/>
      <c r="D5" s="10"/>
      <c r="E5" s="10"/>
      <c r="F5" s="10"/>
      <c r="G5" s="10"/>
      <c r="H5" s="10"/>
      <c r="I5" s="11"/>
    </row>
    <row r="6" spans="1:9" ht="12.95" customHeight="1">
      <c r="A6" s="1"/>
      <c r="B6" s="9" t="s">
        <v>11</v>
      </c>
      <c r="C6" s="9"/>
      <c r="D6" s="10"/>
      <c r="E6" s="10"/>
      <c r="F6" s="10"/>
      <c r="G6" s="1"/>
      <c r="H6" s="11"/>
      <c r="I6" s="11"/>
    </row>
    <row r="7" spans="1:9" ht="12.95" customHeight="1">
      <c r="A7" s="12" t="s">
        <v>12</v>
      </c>
      <c r="B7" s="13" t="s">
        <v>13</v>
      </c>
      <c r="C7" s="14"/>
      <c r="D7" s="10" t="s">
        <v>14</v>
      </c>
      <c r="E7" s="10" t="s">
        <v>15</v>
      </c>
      <c r="F7" s="15">
        <v>994618</v>
      </c>
      <c r="G7" s="16">
        <v>7405.43</v>
      </c>
      <c r="H7" s="17">
        <v>4.6300000000000001E-2</v>
      </c>
      <c r="I7" s="18"/>
    </row>
    <row r="8" spans="1:9" ht="12.95" customHeight="1">
      <c r="A8" s="12" t="s">
        <v>16</v>
      </c>
      <c r="B8" s="13" t="s">
        <v>17</v>
      </c>
      <c r="C8" s="14"/>
      <c r="D8" s="10" t="s">
        <v>18</v>
      </c>
      <c r="E8" s="10" t="s">
        <v>15</v>
      </c>
      <c r="F8" s="15">
        <v>463032</v>
      </c>
      <c r="G8" s="16">
        <v>5817.53</v>
      </c>
      <c r="H8" s="17">
        <v>3.6299999999999999E-2</v>
      </c>
      <c r="I8" s="18"/>
    </row>
    <row r="9" spans="1:9" ht="12.95" customHeight="1">
      <c r="A9" s="12" t="s">
        <v>19</v>
      </c>
      <c r="B9" s="13" t="s">
        <v>20</v>
      </c>
      <c r="C9" s="14"/>
      <c r="D9" s="10" t="s">
        <v>21</v>
      </c>
      <c r="E9" s="10" t="s">
        <v>22</v>
      </c>
      <c r="F9" s="15">
        <v>287561</v>
      </c>
      <c r="G9" s="16">
        <v>5259.49</v>
      </c>
      <c r="H9" s="17">
        <v>3.2800000000000003E-2</v>
      </c>
      <c r="I9" s="18"/>
    </row>
    <row r="10" spans="1:9" ht="12.95" customHeight="1">
      <c r="A10" s="12" t="s">
        <v>23</v>
      </c>
      <c r="B10" s="13" t="s">
        <v>24</v>
      </c>
      <c r="C10" s="14"/>
      <c r="D10" s="10" t="s">
        <v>25</v>
      </c>
      <c r="E10" s="10" t="s">
        <v>26</v>
      </c>
      <c r="F10" s="15">
        <v>119948</v>
      </c>
      <c r="G10" s="16">
        <v>3653.14</v>
      </c>
      <c r="H10" s="17">
        <v>2.2800000000000001E-2</v>
      </c>
      <c r="I10" s="18"/>
    </row>
    <row r="11" spans="1:9" ht="12.95" customHeight="1">
      <c r="A11" s="12" t="s">
        <v>27</v>
      </c>
      <c r="B11" s="13" t="s">
        <v>28</v>
      </c>
      <c r="C11" s="14"/>
      <c r="D11" s="10" t="s">
        <v>29</v>
      </c>
      <c r="E11" s="10" t="s">
        <v>30</v>
      </c>
      <c r="F11" s="15">
        <v>235893</v>
      </c>
      <c r="G11" s="16">
        <v>3353.22</v>
      </c>
      <c r="H11" s="17">
        <v>2.0899999999999998E-2</v>
      </c>
      <c r="I11" s="18"/>
    </row>
    <row r="12" spans="1:9" ht="12.95" customHeight="1">
      <c r="A12" s="12" t="s">
        <v>31</v>
      </c>
      <c r="B12" s="13" t="s">
        <v>32</v>
      </c>
      <c r="C12" s="14"/>
      <c r="D12" s="10" t="s">
        <v>33</v>
      </c>
      <c r="E12" s="10" t="s">
        <v>34</v>
      </c>
      <c r="F12" s="15">
        <v>230423</v>
      </c>
      <c r="G12" s="16">
        <v>3276.15</v>
      </c>
      <c r="H12" s="17">
        <v>2.0500000000000001E-2</v>
      </c>
      <c r="I12" s="18"/>
    </row>
    <row r="13" spans="1:9" ht="12.95" customHeight="1">
      <c r="A13" s="12" t="s">
        <v>35</v>
      </c>
      <c r="B13" s="13" t="s">
        <v>36</v>
      </c>
      <c r="C13" s="14"/>
      <c r="D13" s="10" t="s">
        <v>37</v>
      </c>
      <c r="E13" s="10" t="s">
        <v>38</v>
      </c>
      <c r="F13" s="15">
        <v>694558</v>
      </c>
      <c r="G13" s="16">
        <v>3242.89</v>
      </c>
      <c r="H13" s="17">
        <v>2.0299999999999999E-2</v>
      </c>
      <c r="I13" s="18"/>
    </row>
    <row r="14" spans="1:9" ht="12.95" customHeight="1">
      <c r="A14" s="12" t="s">
        <v>39</v>
      </c>
      <c r="B14" s="13" t="s">
        <v>40</v>
      </c>
      <c r="C14" s="14"/>
      <c r="D14" s="10" t="s">
        <v>41</v>
      </c>
      <c r="E14" s="10" t="s">
        <v>15</v>
      </c>
      <c r="F14" s="15">
        <v>335484</v>
      </c>
      <c r="G14" s="16">
        <v>3235.41</v>
      </c>
      <c r="H14" s="17">
        <v>2.0199999999999999E-2</v>
      </c>
      <c r="I14" s="18"/>
    </row>
    <row r="15" spans="1:9" ht="12.95" customHeight="1">
      <c r="A15" s="12" t="s">
        <v>42</v>
      </c>
      <c r="B15" s="13" t="s">
        <v>43</v>
      </c>
      <c r="C15" s="14"/>
      <c r="D15" s="10" t="s">
        <v>44</v>
      </c>
      <c r="E15" s="10" t="s">
        <v>45</v>
      </c>
      <c r="F15" s="15">
        <v>79105</v>
      </c>
      <c r="G15" s="16">
        <v>3223.45</v>
      </c>
      <c r="H15" s="17">
        <v>2.01E-2</v>
      </c>
      <c r="I15" s="18"/>
    </row>
    <row r="16" spans="1:9" ht="12.95" customHeight="1">
      <c r="A16" s="12" t="s">
        <v>46</v>
      </c>
      <c r="B16" s="13" t="s">
        <v>47</v>
      </c>
      <c r="C16" s="14"/>
      <c r="D16" s="10" t="s">
        <v>48</v>
      </c>
      <c r="E16" s="10" t="s">
        <v>49</v>
      </c>
      <c r="F16" s="15">
        <v>172944</v>
      </c>
      <c r="G16" s="16">
        <v>3120.95</v>
      </c>
      <c r="H16" s="17">
        <v>1.95E-2</v>
      </c>
      <c r="I16" s="18"/>
    </row>
    <row r="17" spans="1:9" ht="12.95" customHeight="1">
      <c r="A17" s="12" t="s">
        <v>50</v>
      </c>
      <c r="B17" s="13" t="s">
        <v>51</v>
      </c>
      <c r="C17" s="14"/>
      <c r="D17" s="10" t="s">
        <v>52</v>
      </c>
      <c r="E17" s="10" t="s">
        <v>53</v>
      </c>
      <c r="F17" s="15">
        <v>16436</v>
      </c>
      <c r="G17" s="16">
        <v>2999.08</v>
      </c>
      <c r="H17" s="17">
        <v>1.8700000000000001E-2</v>
      </c>
      <c r="I17" s="18"/>
    </row>
    <row r="18" spans="1:9" ht="12.95" customHeight="1">
      <c r="A18" s="12" t="s">
        <v>54</v>
      </c>
      <c r="B18" s="13" t="s">
        <v>55</v>
      </c>
      <c r="C18" s="14"/>
      <c r="D18" s="10" t="s">
        <v>56</v>
      </c>
      <c r="E18" s="10" t="s">
        <v>57</v>
      </c>
      <c r="F18" s="15">
        <v>719426</v>
      </c>
      <c r="G18" s="16">
        <v>2955.04</v>
      </c>
      <c r="H18" s="17">
        <v>1.8499999999999999E-2</v>
      </c>
      <c r="I18" s="18"/>
    </row>
    <row r="19" spans="1:9" ht="12.95" customHeight="1">
      <c r="A19" s="12" t="s">
        <v>58</v>
      </c>
      <c r="B19" s="13" t="s">
        <v>59</v>
      </c>
      <c r="C19" s="14"/>
      <c r="D19" s="10" t="s">
        <v>60</v>
      </c>
      <c r="E19" s="10" t="s">
        <v>61</v>
      </c>
      <c r="F19" s="15">
        <v>231173</v>
      </c>
      <c r="G19" s="16">
        <v>2565.79</v>
      </c>
      <c r="H19" s="17">
        <v>1.6E-2</v>
      </c>
      <c r="I19" s="18"/>
    </row>
    <row r="20" spans="1:9" ht="12.95" customHeight="1">
      <c r="A20" s="12" t="s">
        <v>62</v>
      </c>
      <c r="B20" s="13" t="s">
        <v>63</v>
      </c>
      <c r="C20" s="14"/>
      <c r="D20" s="10" t="s">
        <v>64</v>
      </c>
      <c r="E20" s="10" t="s">
        <v>53</v>
      </c>
      <c r="F20" s="15">
        <v>177880</v>
      </c>
      <c r="G20" s="16">
        <v>2508.29</v>
      </c>
      <c r="H20" s="17">
        <v>1.5699999999999999E-2</v>
      </c>
      <c r="I20" s="18"/>
    </row>
    <row r="21" spans="1:9" ht="12.95" customHeight="1">
      <c r="A21" s="12" t="s">
        <v>65</v>
      </c>
      <c r="B21" s="13" t="s">
        <v>66</v>
      </c>
      <c r="C21" s="14"/>
      <c r="D21" s="10" t="s">
        <v>67</v>
      </c>
      <c r="E21" s="10" t="s">
        <v>68</v>
      </c>
      <c r="F21" s="15">
        <v>115302</v>
      </c>
      <c r="G21" s="16">
        <v>2427.34</v>
      </c>
      <c r="H21" s="17">
        <v>1.52E-2</v>
      </c>
      <c r="I21" s="18"/>
    </row>
    <row r="22" spans="1:9" ht="12.95" customHeight="1">
      <c r="A22" s="12" t="s">
        <v>69</v>
      </c>
      <c r="B22" s="13" t="s">
        <v>70</v>
      </c>
      <c r="C22" s="14"/>
      <c r="D22" s="10" t="s">
        <v>71</v>
      </c>
      <c r="E22" s="10" t="s">
        <v>72</v>
      </c>
      <c r="F22" s="15">
        <v>181788</v>
      </c>
      <c r="G22" s="16">
        <v>2401.7800000000002</v>
      </c>
      <c r="H22" s="17">
        <v>1.4999999999999999E-2</v>
      </c>
      <c r="I22" s="18"/>
    </row>
    <row r="23" spans="1:9" ht="12.95" customHeight="1">
      <c r="A23" s="12" t="s">
        <v>73</v>
      </c>
      <c r="B23" s="13" t="s">
        <v>74</v>
      </c>
      <c r="C23" s="14"/>
      <c r="D23" s="10" t="s">
        <v>75</v>
      </c>
      <c r="E23" s="10" t="s">
        <v>53</v>
      </c>
      <c r="F23" s="15">
        <v>33358</v>
      </c>
      <c r="G23" s="16">
        <v>2378.09</v>
      </c>
      <c r="H23" s="17">
        <v>1.49E-2</v>
      </c>
      <c r="I23" s="18"/>
    </row>
    <row r="24" spans="1:9" ht="12.95" customHeight="1">
      <c r="A24" s="12" t="s">
        <v>76</v>
      </c>
      <c r="B24" s="13" t="s">
        <v>77</v>
      </c>
      <c r="C24" s="14"/>
      <c r="D24" s="10" t="s">
        <v>78</v>
      </c>
      <c r="E24" s="10" t="s">
        <v>79</v>
      </c>
      <c r="F24" s="15">
        <v>138994</v>
      </c>
      <c r="G24" s="16">
        <v>2326.7600000000002</v>
      </c>
      <c r="H24" s="17">
        <v>1.4500000000000001E-2</v>
      </c>
      <c r="I24" s="18"/>
    </row>
    <row r="25" spans="1:9" ht="12.95" customHeight="1">
      <c r="A25" s="12" t="s">
        <v>80</v>
      </c>
      <c r="B25" s="13" t="s">
        <v>81</v>
      </c>
      <c r="C25" s="14"/>
      <c r="D25" s="10" t="s">
        <v>82</v>
      </c>
      <c r="E25" s="10" t="s">
        <v>83</v>
      </c>
      <c r="F25" s="15">
        <v>302297</v>
      </c>
      <c r="G25" s="16">
        <v>2293.98</v>
      </c>
      <c r="H25" s="17">
        <v>1.43E-2</v>
      </c>
      <c r="I25" s="18"/>
    </row>
    <row r="26" spans="1:9" ht="12.95" customHeight="1">
      <c r="A26" s="12" t="s">
        <v>84</v>
      </c>
      <c r="B26" s="13" t="s">
        <v>85</v>
      </c>
      <c r="C26" s="14"/>
      <c r="D26" s="10" t="s">
        <v>86</v>
      </c>
      <c r="E26" s="10" t="s">
        <v>87</v>
      </c>
      <c r="F26" s="15">
        <v>28389</v>
      </c>
      <c r="G26" s="16">
        <v>2236.91</v>
      </c>
      <c r="H26" s="17">
        <v>1.4E-2</v>
      </c>
      <c r="I26" s="18"/>
    </row>
    <row r="27" spans="1:9" ht="12.95" customHeight="1">
      <c r="A27" s="12" t="s">
        <v>88</v>
      </c>
      <c r="B27" s="13" t="s">
        <v>89</v>
      </c>
      <c r="C27" s="14"/>
      <c r="D27" s="10" t="s">
        <v>90</v>
      </c>
      <c r="E27" s="10" t="s">
        <v>87</v>
      </c>
      <c r="F27" s="15">
        <v>42273</v>
      </c>
      <c r="G27" s="16">
        <v>2176.4699999999998</v>
      </c>
      <c r="H27" s="17">
        <v>1.3599999999999999E-2</v>
      </c>
      <c r="I27" s="18"/>
    </row>
    <row r="28" spans="1:9" ht="12.95" customHeight="1">
      <c r="A28" s="12" t="s">
        <v>91</v>
      </c>
      <c r="B28" s="13" t="s">
        <v>92</v>
      </c>
      <c r="C28" s="14"/>
      <c r="D28" s="10" t="s">
        <v>93</v>
      </c>
      <c r="E28" s="10" t="s">
        <v>94</v>
      </c>
      <c r="F28" s="15">
        <v>74934</v>
      </c>
      <c r="G28" s="16">
        <v>2175.71</v>
      </c>
      <c r="H28" s="17">
        <v>1.3599999999999999E-2</v>
      </c>
      <c r="I28" s="18"/>
    </row>
    <row r="29" spans="1:9" ht="12.95" customHeight="1">
      <c r="A29" s="12" t="s">
        <v>95</v>
      </c>
      <c r="B29" s="13" t="s">
        <v>96</v>
      </c>
      <c r="C29" s="14"/>
      <c r="D29" s="10" t="s">
        <v>97</v>
      </c>
      <c r="E29" s="10" t="s">
        <v>68</v>
      </c>
      <c r="F29" s="15">
        <v>365495</v>
      </c>
      <c r="G29" s="16">
        <v>2150.21</v>
      </c>
      <c r="H29" s="17">
        <v>1.34E-2</v>
      </c>
      <c r="I29" s="18"/>
    </row>
    <row r="30" spans="1:9" ht="12.95" customHeight="1">
      <c r="A30" s="12" t="s">
        <v>98</v>
      </c>
      <c r="B30" s="13" t="s">
        <v>99</v>
      </c>
      <c r="C30" s="14"/>
      <c r="D30" s="10" t="s">
        <v>100</v>
      </c>
      <c r="E30" s="10" t="s">
        <v>101</v>
      </c>
      <c r="F30" s="15">
        <v>57719</v>
      </c>
      <c r="G30" s="16">
        <v>2030.9</v>
      </c>
      <c r="H30" s="17">
        <v>1.2699999999999999E-2</v>
      </c>
      <c r="I30" s="18"/>
    </row>
    <row r="31" spans="1:9" ht="12.95" customHeight="1">
      <c r="A31" s="12" t="s">
        <v>102</v>
      </c>
      <c r="B31" s="13" t="s">
        <v>103</v>
      </c>
      <c r="C31" s="14"/>
      <c r="D31" s="10" t="s">
        <v>104</v>
      </c>
      <c r="E31" s="10" t="s">
        <v>87</v>
      </c>
      <c r="F31" s="15">
        <v>482736</v>
      </c>
      <c r="G31" s="16">
        <v>2011.8</v>
      </c>
      <c r="H31" s="17">
        <v>1.26E-2</v>
      </c>
      <c r="I31" s="18"/>
    </row>
    <row r="32" spans="1:9" ht="12.95" customHeight="1">
      <c r="A32" s="12" t="s">
        <v>105</v>
      </c>
      <c r="B32" s="13" t="s">
        <v>106</v>
      </c>
      <c r="C32" s="14"/>
      <c r="D32" s="10" t="s">
        <v>107</v>
      </c>
      <c r="E32" s="10" t="s">
        <v>15</v>
      </c>
      <c r="F32" s="15">
        <v>776490</v>
      </c>
      <c r="G32" s="16">
        <v>1983.54</v>
      </c>
      <c r="H32" s="17">
        <v>1.24E-2</v>
      </c>
      <c r="I32" s="18"/>
    </row>
    <row r="33" spans="1:9" ht="12.95" customHeight="1">
      <c r="A33" s="12" t="s">
        <v>108</v>
      </c>
      <c r="B33" s="13" t="s">
        <v>109</v>
      </c>
      <c r="C33" s="14"/>
      <c r="D33" s="10" t="s">
        <v>110</v>
      </c>
      <c r="E33" s="10" t="s">
        <v>57</v>
      </c>
      <c r="F33" s="15">
        <v>48758</v>
      </c>
      <c r="G33" s="16">
        <v>1971.33</v>
      </c>
      <c r="H33" s="17">
        <v>1.23E-2</v>
      </c>
      <c r="I33" s="18"/>
    </row>
    <row r="34" spans="1:9" ht="12.95" customHeight="1">
      <c r="A34" s="12" t="s">
        <v>111</v>
      </c>
      <c r="B34" s="13" t="s">
        <v>112</v>
      </c>
      <c r="C34" s="14"/>
      <c r="D34" s="10" t="s">
        <v>113</v>
      </c>
      <c r="E34" s="10" t="s">
        <v>38</v>
      </c>
      <c r="F34" s="15">
        <v>189869</v>
      </c>
      <c r="G34" s="16">
        <v>1956.6</v>
      </c>
      <c r="H34" s="17">
        <v>1.2200000000000001E-2</v>
      </c>
      <c r="I34" s="18"/>
    </row>
    <row r="35" spans="1:9" ht="12.95" customHeight="1">
      <c r="A35" s="12" t="s">
        <v>114</v>
      </c>
      <c r="B35" s="13" t="s">
        <v>115</v>
      </c>
      <c r="C35" s="14"/>
      <c r="D35" s="10" t="s">
        <v>116</v>
      </c>
      <c r="E35" s="10" t="s">
        <v>117</v>
      </c>
      <c r="F35" s="15">
        <v>99011</v>
      </c>
      <c r="G35" s="16">
        <v>1908.93</v>
      </c>
      <c r="H35" s="17">
        <v>1.1900000000000001E-2</v>
      </c>
      <c r="I35" s="18"/>
    </row>
    <row r="36" spans="1:9" ht="12.95" customHeight="1">
      <c r="A36" s="12" t="s">
        <v>118</v>
      </c>
      <c r="B36" s="13" t="s">
        <v>119</v>
      </c>
      <c r="C36" s="14"/>
      <c r="D36" s="10" t="s">
        <v>120</v>
      </c>
      <c r="E36" s="10" t="s">
        <v>87</v>
      </c>
      <c r="F36" s="15">
        <v>14414</v>
      </c>
      <c r="G36" s="16">
        <v>1890.83</v>
      </c>
      <c r="H36" s="17">
        <v>1.18E-2</v>
      </c>
      <c r="I36" s="18"/>
    </row>
    <row r="37" spans="1:9" ht="12.95" customHeight="1">
      <c r="A37" s="12" t="s">
        <v>121</v>
      </c>
      <c r="B37" s="13" t="s">
        <v>122</v>
      </c>
      <c r="C37" s="14"/>
      <c r="D37" s="10" t="s">
        <v>123</v>
      </c>
      <c r="E37" s="10" t="s">
        <v>124</v>
      </c>
      <c r="F37" s="15">
        <v>10662</v>
      </c>
      <c r="G37" s="16">
        <v>1821.92</v>
      </c>
      <c r="H37" s="17">
        <v>1.14E-2</v>
      </c>
      <c r="I37" s="18"/>
    </row>
    <row r="38" spans="1:9" ht="12.95" customHeight="1">
      <c r="A38" s="12" t="s">
        <v>125</v>
      </c>
      <c r="B38" s="13" t="s">
        <v>126</v>
      </c>
      <c r="C38" s="14"/>
      <c r="D38" s="10" t="s">
        <v>127</v>
      </c>
      <c r="E38" s="10" t="s">
        <v>38</v>
      </c>
      <c r="F38" s="15">
        <v>664702</v>
      </c>
      <c r="G38" s="16">
        <v>1811.05</v>
      </c>
      <c r="H38" s="17">
        <v>1.1299999999999999E-2</v>
      </c>
      <c r="I38" s="18"/>
    </row>
    <row r="39" spans="1:9" ht="12.95" customHeight="1">
      <c r="A39" s="12" t="s">
        <v>128</v>
      </c>
      <c r="B39" s="13" t="s">
        <v>129</v>
      </c>
      <c r="C39" s="14"/>
      <c r="D39" s="10" t="s">
        <v>130</v>
      </c>
      <c r="E39" s="10" t="s">
        <v>117</v>
      </c>
      <c r="F39" s="15">
        <v>159535</v>
      </c>
      <c r="G39" s="16">
        <v>1766.53</v>
      </c>
      <c r="H39" s="17">
        <v>1.0999999999999999E-2</v>
      </c>
      <c r="I39" s="18"/>
    </row>
    <row r="40" spans="1:9" ht="12.95" customHeight="1">
      <c r="A40" s="12" t="s">
        <v>131</v>
      </c>
      <c r="B40" s="13" t="s">
        <v>132</v>
      </c>
      <c r="C40" s="14"/>
      <c r="D40" s="10" t="s">
        <v>133</v>
      </c>
      <c r="E40" s="10" t="s">
        <v>134</v>
      </c>
      <c r="F40" s="15">
        <v>108755</v>
      </c>
      <c r="G40" s="16">
        <v>1759.87</v>
      </c>
      <c r="H40" s="17">
        <v>1.0999999999999999E-2</v>
      </c>
      <c r="I40" s="18"/>
    </row>
    <row r="41" spans="1:9" ht="12.95" customHeight="1">
      <c r="A41" s="12" t="s">
        <v>135</v>
      </c>
      <c r="B41" s="13" t="s">
        <v>136</v>
      </c>
      <c r="C41" s="14"/>
      <c r="D41" s="10" t="s">
        <v>137</v>
      </c>
      <c r="E41" s="10" t="s">
        <v>30</v>
      </c>
      <c r="F41" s="15">
        <v>230097</v>
      </c>
      <c r="G41" s="16">
        <v>1738.15</v>
      </c>
      <c r="H41" s="17">
        <v>1.09E-2</v>
      </c>
      <c r="I41" s="18"/>
    </row>
    <row r="42" spans="1:9" ht="12.95" customHeight="1">
      <c r="A42" s="12" t="s">
        <v>138</v>
      </c>
      <c r="B42" s="13" t="s">
        <v>139</v>
      </c>
      <c r="C42" s="14"/>
      <c r="D42" s="10" t="s">
        <v>140</v>
      </c>
      <c r="E42" s="10" t="s">
        <v>26</v>
      </c>
      <c r="F42" s="15">
        <v>51663</v>
      </c>
      <c r="G42" s="16">
        <v>1733.66</v>
      </c>
      <c r="H42" s="17">
        <v>1.0800000000000001E-2</v>
      </c>
      <c r="I42" s="18"/>
    </row>
    <row r="43" spans="1:9" ht="12.95" customHeight="1">
      <c r="A43" s="12" t="s">
        <v>141</v>
      </c>
      <c r="B43" s="13" t="s">
        <v>142</v>
      </c>
      <c r="C43" s="14"/>
      <c r="D43" s="10" t="s">
        <v>143</v>
      </c>
      <c r="E43" s="10" t="s">
        <v>124</v>
      </c>
      <c r="F43" s="15">
        <v>101453</v>
      </c>
      <c r="G43" s="16">
        <v>1701.06</v>
      </c>
      <c r="H43" s="17">
        <v>1.06E-2</v>
      </c>
      <c r="I43" s="18"/>
    </row>
    <row r="44" spans="1:9" ht="12.95" customHeight="1">
      <c r="A44" s="12" t="s">
        <v>144</v>
      </c>
      <c r="B44" s="13" t="s">
        <v>145</v>
      </c>
      <c r="C44" s="14"/>
      <c r="D44" s="10" t="s">
        <v>146</v>
      </c>
      <c r="E44" s="10" t="s">
        <v>38</v>
      </c>
      <c r="F44" s="15">
        <v>382084</v>
      </c>
      <c r="G44" s="16">
        <v>1700.85</v>
      </c>
      <c r="H44" s="17">
        <v>1.06E-2</v>
      </c>
      <c r="I44" s="18"/>
    </row>
    <row r="45" spans="1:9" ht="12.95" customHeight="1">
      <c r="A45" s="12" t="s">
        <v>147</v>
      </c>
      <c r="B45" s="13" t="s">
        <v>148</v>
      </c>
      <c r="C45" s="14"/>
      <c r="D45" s="10" t="s">
        <v>149</v>
      </c>
      <c r="E45" s="10" t="s">
        <v>150</v>
      </c>
      <c r="F45" s="15">
        <v>466325</v>
      </c>
      <c r="G45" s="16">
        <v>1625.84</v>
      </c>
      <c r="H45" s="17">
        <v>1.0200000000000001E-2</v>
      </c>
      <c r="I45" s="18"/>
    </row>
    <row r="46" spans="1:9" ht="12.95" customHeight="1">
      <c r="A46" s="12" t="s">
        <v>151</v>
      </c>
      <c r="B46" s="13" t="s">
        <v>152</v>
      </c>
      <c r="C46" s="14"/>
      <c r="D46" s="10" t="s">
        <v>153</v>
      </c>
      <c r="E46" s="10" t="s">
        <v>117</v>
      </c>
      <c r="F46" s="15">
        <v>1537634</v>
      </c>
      <c r="G46" s="16">
        <v>1600.06</v>
      </c>
      <c r="H46" s="17">
        <v>0.01</v>
      </c>
      <c r="I46" s="18"/>
    </row>
    <row r="47" spans="1:9" ht="12.95" customHeight="1">
      <c r="A47" s="12" t="s">
        <v>154</v>
      </c>
      <c r="B47" s="13" t="s">
        <v>155</v>
      </c>
      <c r="C47" s="14"/>
      <c r="D47" s="10" t="s">
        <v>156</v>
      </c>
      <c r="E47" s="10" t="s">
        <v>134</v>
      </c>
      <c r="F47" s="15">
        <v>53096</v>
      </c>
      <c r="G47" s="16">
        <v>1568.72</v>
      </c>
      <c r="H47" s="17">
        <v>9.7999999999999997E-3</v>
      </c>
      <c r="I47" s="18"/>
    </row>
    <row r="48" spans="1:9" ht="12.95" customHeight="1">
      <c r="A48" s="12" t="s">
        <v>157</v>
      </c>
      <c r="B48" s="13" t="s">
        <v>158</v>
      </c>
      <c r="C48" s="14"/>
      <c r="D48" s="10" t="s">
        <v>159</v>
      </c>
      <c r="E48" s="10" t="s">
        <v>87</v>
      </c>
      <c r="F48" s="15">
        <v>77549</v>
      </c>
      <c r="G48" s="16">
        <v>1563.93</v>
      </c>
      <c r="H48" s="17">
        <v>9.7999999999999997E-3</v>
      </c>
      <c r="I48" s="18"/>
    </row>
    <row r="49" spans="1:9" ht="12.95" customHeight="1">
      <c r="A49" s="12" t="s">
        <v>160</v>
      </c>
      <c r="B49" s="13" t="s">
        <v>161</v>
      </c>
      <c r="C49" s="14"/>
      <c r="D49" s="10" t="s">
        <v>162</v>
      </c>
      <c r="E49" s="10" t="s">
        <v>26</v>
      </c>
      <c r="F49" s="15">
        <v>159486</v>
      </c>
      <c r="G49" s="16">
        <v>1537.6</v>
      </c>
      <c r="H49" s="17">
        <v>9.5999999999999992E-3</v>
      </c>
      <c r="I49" s="18"/>
    </row>
    <row r="50" spans="1:9" ht="12.95" customHeight="1">
      <c r="A50" s="12" t="s">
        <v>163</v>
      </c>
      <c r="B50" s="13" t="s">
        <v>164</v>
      </c>
      <c r="C50" s="14"/>
      <c r="D50" s="10" t="s">
        <v>165</v>
      </c>
      <c r="E50" s="10" t="s">
        <v>87</v>
      </c>
      <c r="F50" s="15">
        <v>115637</v>
      </c>
      <c r="G50" s="16">
        <v>1524.79</v>
      </c>
      <c r="H50" s="17">
        <v>9.4999999999999998E-3</v>
      </c>
      <c r="I50" s="18"/>
    </row>
    <row r="51" spans="1:9" ht="12.95" customHeight="1">
      <c r="A51" s="12" t="s">
        <v>166</v>
      </c>
      <c r="B51" s="13" t="s">
        <v>167</v>
      </c>
      <c r="C51" s="14"/>
      <c r="D51" s="10" t="s">
        <v>168</v>
      </c>
      <c r="E51" s="10" t="s">
        <v>169</v>
      </c>
      <c r="F51" s="15">
        <v>289974</v>
      </c>
      <c r="G51" s="16">
        <v>1519.03</v>
      </c>
      <c r="H51" s="17">
        <v>9.4999999999999998E-3</v>
      </c>
      <c r="I51" s="18"/>
    </row>
    <row r="52" spans="1:9" ht="12.95" customHeight="1">
      <c r="A52" s="12" t="s">
        <v>170</v>
      </c>
      <c r="B52" s="13" t="s">
        <v>171</v>
      </c>
      <c r="C52" s="14"/>
      <c r="D52" s="10" t="s">
        <v>172</v>
      </c>
      <c r="E52" s="10" t="s">
        <v>87</v>
      </c>
      <c r="F52" s="15">
        <v>165463</v>
      </c>
      <c r="G52" s="16">
        <v>1518.04</v>
      </c>
      <c r="H52" s="17">
        <v>9.4999999999999998E-3</v>
      </c>
      <c r="I52" s="18"/>
    </row>
    <row r="53" spans="1:9" ht="12.95" customHeight="1">
      <c r="A53" s="12" t="s">
        <v>173</v>
      </c>
      <c r="B53" s="13" t="s">
        <v>174</v>
      </c>
      <c r="C53" s="14"/>
      <c r="D53" s="10" t="s">
        <v>175</v>
      </c>
      <c r="E53" s="10" t="s">
        <v>176</v>
      </c>
      <c r="F53" s="15">
        <v>142232</v>
      </c>
      <c r="G53" s="16">
        <v>1498.84</v>
      </c>
      <c r="H53" s="17">
        <v>9.4000000000000004E-3</v>
      </c>
      <c r="I53" s="18"/>
    </row>
    <row r="54" spans="1:9" ht="12.95" customHeight="1">
      <c r="A54" s="12" t="s">
        <v>177</v>
      </c>
      <c r="B54" s="13" t="s">
        <v>178</v>
      </c>
      <c r="C54" s="14"/>
      <c r="D54" s="10" t="s">
        <v>179</v>
      </c>
      <c r="E54" s="10" t="s">
        <v>180</v>
      </c>
      <c r="F54" s="15">
        <v>771259</v>
      </c>
      <c r="G54" s="16">
        <v>1488.45</v>
      </c>
      <c r="H54" s="17">
        <v>9.2999999999999992E-3</v>
      </c>
      <c r="I54" s="18"/>
    </row>
    <row r="55" spans="1:9" ht="12.95" customHeight="1">
      <c r="A55" s="12" t="s">
        <v>181</v>
      </c>
      <c r="B55" s="13" t="s">
        <v>182</v>
      </c>
      <c r="C55" s="14"/>
      <c r="D55" s="10" t="s">
        <v>183</v>
      </c>
      <c r="E55" s="10" t="s">
        <v>83</v>
      </c>
      <c r="F55" s="15">
        <v>25925</v>
      </c>
      <c r="G55" s="16">
        <v>1389.71</v>
      </c>
      <c r="H55" s="17">
        <v>8.6999999999999994E-3</v>
      </c>
      <c r="I55" s="18"/>
    </row>
    <row r="56" spans="1:9" ht="12.95" customHeight="1">
      <c r="A56" s="12" t="s">
        <v>184</v>
      </c>
      <c r="B56" s="13" t="s">
        <v>185</v>
      </c>
      <c r="C56" s="14"/>
      <c r="D56" s="10" t="s">
        <v>186</v>
      </c>
      <c r="E56" s="10" t="s">
        <v>187</v>
      </c>
      <c r="F56" s="15">
        <v>244857</v>
      </c>
      <c r="G56" s="16">
        <v>1353.57</v>
      </c>
      <c r="H56" s="17">
        <v>8.5000000000000006E-3</v>
      </c>
      <c r="I56" s="18"/>
    </row>
    <row r="57" spans="1:9" ht="12.95" customHeight="1">
      <c r="A57" s="12" t="s">
        <v>188</v>
      </c>
      <c r="B57" s="13" t="s">
        <v>189</v>
      </c>
      <c r="C57" s="14"/>
      <c r="D57" s="10" t="s">
        <v>190</v>
      </c>
      <c r="E57" s="10" t="s">
        <v>191</v>
      </c>
      <c r="F57" s="15">
        <v>328175</v>
      </c>
      <c r="G57" s="16">
        <v>1301.02</v>
      </c>
      <c r="H57" s="17">
        <v>8.0999999999999996E-3</v>
      </c>
      <c r="I57" s="18"/>
    </row>
    <row r="58" spans="1:9" ht="12.95" customHeight="1">
      <c r="A58" s="12" t="s">
        <v>192</v>
      </c>
      <c r="B58" s="13" t="s">
        <v>193</v>
      </c>
      <c r="C58" s="14"/>
      <c r="D58" s="10" t="s">
        <v>194</v>
      </c>
      <c r="E58" s="10" t="s">
        <v>15</v>
      </c>
      <c r="F58" s="15">
        <v>175337</v>
      </c>
      <c r="G58" s="16">
        <v>1214.3</v>
      </c>
      <c r="H58" s="17">
        <v>7.6E-3</v>
      </c>
      <c r="I58" s="18"/>
    </row>
    <row r="59" spans="1:9" ht="12.95" customHeight="1">
      <c r="A59" s="12" t="s">
        <v>195</v>
      </c>
      <c r="B59" s="13" t="s">
        <v>196</v>
      </c>
      <c r="C59" s="14"/>
      <c r="D59" s="10" t="s">
        <v>197</v>
      </c>
      <c r="E59" s="10" t="s">
        <v>134</v>
      </c>
      <c r="F59" s="15">
        <v>646357</v>
      </c>
      <c r="G59" s="16">
        <v>1195.05</v>
      </c>
      <c r="H59" s="17">
        <v>7.4999999999999997E-3</v>
      </c>
      <c r="I59" s="18"/>
    </row>
    <row r="60" spans="1:9" ht="12.95" customHeight="1">
      <c r="A60" s="12" t="s">
        <v>198</v>
      </c>
      <c r="B60" s="13" t="s">
        <v>199</v>
      </c>
      <c r="C60" s="14"/>
      <c r="D60" s="10" t="s">
        <v>200</v>
      </c>
      <c r="E60" s="10" t="s">
        <v>38</v>
      </c>
      <c r="F60" s="15">
        <v>782849</v>
      </c>
      <c r="G60" s="16">
        <v>1134.82</v>
      </c>
      <c r="H60" s="17">
        <v>7.1000000000000004E-3</v>
      </c>
      <c r="I60" s="18"/>
    </row>
    <row r="61" spans="1:9" ht="12.95" customHeight="1">
      <c r="A61" s="12" t="s">
        <v>201</v>
      </c>
      <c r="B61" s="13" t="s">
        <v>202</v>
      </c>
      <c r="C61" s="14"/>
      <c r="D61" s="10" t="s">
        <v>203</v>
      </c>
      <c r="E61" s="10" t="s">
        <v>15</v>
      </c>
      <c r="F61" s="15">
        <v>2719123</v>
      </c>
      <c r="G61" s="16">
        <v>1126.26</v>
      </c>
      <c r="H61" s="17">
        <v>7.0000000000000001E-3</v>
      </c>
      <c r="I61" s="18"/>
    </row>
    <row r="62" spans="1:9" ht="12.95" customHeight="1">
      <c r="A62" s="12" t="s">
        <v>204</v>
      </c>
      <c r="B62" s="13" t="s">
        <v>205</v>
      </c>
      <c r="C62" s="14"/>
      <c r="D62" s="10" t="s">
        <v>206</v>
      </c>
      <c r="E62" s="10" t="s">
        <v>68</v>
      </c>
      <c r="F62" s="15">
        <v>84238</v>
      </c>
      <c r="G62" s="16">
        <v>1112.7</v>
      </c>
      <c r="H62" s="17">
        <v>6.8999999999999999E-3</v>
      </c>
      <c r="I62" s="18"/>
    </row>
    <row r="63" spans="1:9" ht="12.95" customHeight="1">
      <c r="A63" s="12" t="s">
        <v>207</v>
      </c>
      <c r="B63" s="13" t="s">
        <v>208</v>
      </c>
      <c r="C63" s="14"/>
      <c r="D63" s="10" t="s">
        <v>209</v>
      </c>
      <c r="E63" s="10" t="s">
        <v>124</v>
      </c>
      <c r="F63" s="15">
        <v>97721</v>
      </c>
      <c r="G63" s="16">
        <v>1099.56</v>
      </c>
      <c r="H63" s="17">
        <v>6.8999999999999999E-3</v>
      </c>
      <c r="I63" s="18"/>
    </row>
    <row r="64" spans="1:9" ht="12.95" customHeight="1">
      <c r="A64" s="12" t="s">
        <v>210</v>
      </c>
      <c r="B64" s="13" t="s">
        <v>211</v>
      </c>
      <c r="C64" s="14"/>
      <c r="D64" s="10" t="s">
        <v>212</v>
      </c>
      <c r="E64" s="10" t="s">
        <v>68</v>
      </c>
      <c r="F64" s="15">
        <v>62974</v>
      </c>
      <c r="G64" s="16">
        <v>1086.18</v>
      </c>
      <c r="H64" s="17">
        <v>6.7999999999999996E-3</v>
      </c>
      <c r="I64" s="18"/>
    </row>
    <row r="65" spans="1:9" ht="12.95" customHeight="1">
      <c r="A65" s="12" t="s">
        <v>213</v>
      </c>
      <c r="B65" s="13" t="s">
        <v>214</v>
      </c>
      <c r="C65" s="14"/>
      <c r="D65" s="10" t="s">
        <v>215</v>
      </c>
      <c r="E65" s="10" t="s">
        <v>124</v>
      </c>
      <c r="F65" s="15">
        <v>205542</v>
      </c>
      <c r="G65" s="16">
        <v>1025.55</v>
      </c>
      <c r="H65" s="17">
        <v>6.4000000000000003E-3</v>
      </c>
      <c r="I65" s="18"/>
    </row>
    <row r="66" spans="1:9" ht="12.95" customHeight="1">
      <c r="A66" s="12" t="s">
        <v>216</v>
      </c>
      <c r="B66" s="13" t="s">
        <v>217</v>
      </c>
      <c r="C66" s="14"/>
      <c r="D66" s="10" t="s">
        <v>218</v>
      </c>
      <c r="E66" s="10" t="s">
        <v>180</v>
      </c>
      <c r="F66" s="15">
        <v>293405</v>
      </c>
      <c r="G66" s="16">
        <v>1003.89</v>
      </c>
      <c r="H66" s="17">
        <v>6.3E-3</v>
      </c>
      <c r="I66" s="18"/>
    </row>
    <row r="67" spans="1:9" ht="12.95" customHeight="1">
      <c r="A67" s="12" t="s">
        <v>219</v>
      </c>
      <c r="B67" s="13" t="s">
        <v>220</v>
      </c>
      <c r="C67" s="14"/>
      <c r="D67" s="10" t="s">
        <v>221</v>
      </c>
      <c r="E67" s="10" t="s">
        <v>222</v>
      </c>
      <c r="F67" s="15">
        <v>210000</v>
      </c>
      <c r="G67" s="16">
        <v>999.92</v>
      </c>
      <c r="H67" s="17">
        <v>6.1999999999999998E-3</v>
      </c>
      <c r="I67" s="18"/>
    </row>
    <row r="68" spans="1:9" ht="12.95" customHeight="1">
      <c r="A68" s="12" t="s">
        <v>223</v>
      </c>
      <c r="B68" s="13" t="s">
        <v>224</v>
      </c>
      <c r="C68" s="14"/>
      <c r="D68" s="10" t="s">
        <v>225</v>
      </c>
      <c r="E68" s="10" t="s">
        <v>176</v>
      </c>
      <c r="F68" s="15">
        <v>84174</v>
      </c>
      <c r="G68" s="16">
        <v>991.91</v>
      </c>
      <c r="H68" s="17">
        <v>6.1999999999999998E-3</v>
      </c>
      <c r="I68" s="18"/>
    </row>
    <row r="69" spans="1:9" ht="12.95" customHeight="1">
      <c r="A69" s="12" t="s">
        <v>226</v>
      </c>
      <c r="B69" s="13" t="s">
        <v>227</v>
      </c>
      <c r="C69" s="14"/>
      <c r="D69" s="10" t="s">
        <v>228</v>
      </c>
      <c r="E69" s="10" t="s">
        <v>38</v>
      </c>
      <c r="F69" s="15">
        <v>244083</v>
      </c>
      <c r="G69" s="16">
        <v>937.28</v>
      </c>
      <c r="H69" s="17">
        <v>5.8999999999999999E-3</v>
      </c>
      <c r="I69" s="18"/>
    </row>
    <row r="70" spans="1:9" ht="12.95" customHeight="1">
      <c r="A70" s="12" t="s">
        <v>229</v>
      </c>
      <c r="B70" s="13" t="s">
        <v>230</v>
      </c>
      <c r="C70" s="14"/>
      <c r="D70" s="10" t="s">
        <v>231</v>
      </c>
      <c r="E70" s="10" t="s">
        <v>232</v>
      </c>
      <c r="F70" s="15">
        <v>231497</v>
      </c>
      <c r="G70" s="16">
        <v>921.24</v>
      </c>
      <c r="H70" s="17">
        <v>5.7999999999999996E-3</v>
      </c>
      <c r="I70" s="18"/>
    </row>
    <row r="71" spans="1:9" ht="12.95" customHeight="1">
      <c r="A71" s="12" t="s">
        <v>233</v>
      </c>
      <c r="B71" s="13" t="s">
        <v>234</v>
      </c>
      <c r="C71" s="14"/>
      <c r="D71" s="10" t="s">
        <v>235</v>
      </c>
      <c r="E71" s="10" t="s">
        <v>53</v>
      </c>
      <c r="F71" s="15">
        <v>42439</v>
      </c>
      <c r="G71" s="16">
        <v>879.68</v>
      </c>
      <c r="H71" s="17">
        <v>5.4999999999999997E-3</v>
      </c>
      <c r="I71" s="18"/>
    </row>
    <row r="72" spans="1:9" ht="12.95" customHeight="1">
      <c r="A72" s="12" t="s">
        <v>236</v>
      </c>
      <c r="B72" s="13" t="s">
        <v>237</v>
      </c>
      <c r="C72" s="14"/>
      <c r="D72" s="10" t="s">
        <v>238</v>
      </c>
      <c r="E72" s="10" t="s">
        <v>94</v>
      </c>
      <c r="F72" s="15">
        <v>7511</v>
      </c>
      <c r="G72" s="16">
        <v>835.37</v>
      </c>
      <c r="H72" s="17">
        <v>5.1999999999999998E-3</v>
      </c>
      <c r="I72" s="18"/>
    </row>
    <row r="73" spans="1:9" ht="12.95" customHeight="1">
      <c r="A73" s="12" t="s">
        <v>239</v>
      </c>
      <c r="B73" s="13" t="s">
        <v>240</v>
      </c>
      <c r="C73" s="14"/>
      <c r="D73" s="10" t="s">
        <v>241</v>
      </c>
      <c r="E73" s="10" t="s">
        <v>101</v>
      </c>
      <c r="F73" s="15">
        <v>83268</v>
      </c>
      <c r="G73" s="16">
        <v>811.86</v>
      </c>
      <c r="H73" s="17">
        <v>5.1000000000000004E-3</v>
      </c>
      <c r="I73" s="18"/>
    </row>
    <row r="74" spans="1:9" ht="12.95" customHeight="1">
      <c r="A74" s="12" t="s">
        <v>242</v>
      </c>
      <c r="B74" s="13" t="s">
        <v>243</v>
      </c>
      <c r="C74" s="14"/>
      <c r="D74" s="10" t="s">
        <v>244</v>
      </c>
      <c r="E74" s="10" t="s">
        <v>15</v>
      </c>
      <c r="F74" s="15">
        <v>87328</v>
      </c>
      <c r="G74" s="16">
        <v>798.48</v>
      </c>
      <c r="H74" s="17">
        <v>5.0000000000000001E-3</v>
      </c>
      <c r="I74" s="18"/>
    </row>
    <row r="75" spans="1:9" ht="12.95" customHeight="1">
      <c r="A75" s="12" t="s">
        <v>245</v>
      </c>
      <c r="B75" s="13" t="s">
        <v>246</v>
      </c>
      <c r="C75" s="14"/>
      <c r="D75" s="10" t="s">
        <v>247</v>
      </c>
      <c r="E75" s="10" t="s">
        <v>38</v>
      </c>
      <c r="F75" s="15">
        <v>218960</v>
      </c>
      <c r="G75" s="16">
        <v>669.8</v>
      </c>
      <c r="H75" s="17">
        <v>4.1999999999999997E-3</v>
      </c>
      <c r="I75" s="18"/>
    </row>
    <row r="76" spans="1:9" ht="12.95" customHeight="1">
      <c r="A76" s="12" t="s">
        <v>248</v>
      </c>
      <c r="B76" s="13" t="s">
        <v>249</v>
      </c>
      <c r="C76" s="14"/>
      <c r="D76" s="10" t="s">
        <v>250</v>
      </c>
      <c r="E76" s="10" t="s">
        <v>38</v>
      </c>
      <c r="F76" s="15">
        <v>35597</v>
      </c>
      <c r="G76" s="16">
        <v>600.20000000000005</v>
      </c>
      <c r="H76" s="17">
        <v>3.7000000000000002E-3</v>
      </c>
      <c r="I76" s="18"/>
    </row>
    <row r="77" spans="1:9" ht="12.95" customHeight="1">
      <c r="A77" s="12" t="s">
        <v>251</v>
      </c>
      <c r="B77" s="13" t="s">
        <v>252</v>
      </c>
      <c r="C77" s="14"/>
      <c r="D77" s="10" t="s">
        <v>253</v>
      </c>
      <c r="E77" s="10" t="s">
        <v>254</v>
      </c>
      <c r="F77" s="15">
        <v>50432</v>
      </c>
      <c r="G77" s="16">
        <v>585.54</v>
      </c>
      <c r="H77" s="17">
        <v>3.7000000000000002E-3</v>
      </c>
      <c r="I77" s="18"/>
    </row>
    <row r="78" spans="1:9" ht="12.95" customHeight="1">
      <c r="A78" s="12" t="s">
        <v>255</v>
      </c>
      <c r="B78" s="13" t="s">
        <v>256</v>
      </c>
      <c r="C78" s="14"/>
      <c r="D78" s="10" t="s">
        <v>257</v>
      </c>
      <c r="E78" s="10" t="s">
        <v>53</v>
      </c>
      <c r="F78" s="15">
        <v>109494</v>
      </c>
      <c r="G78" s="16">
        <v>575.12</v>
      </c>
      <c r="H78" s="17">
        <v>3.5999999999999999E-3</v>
      </c>
      <c r="I78" s="18"/>
    </row>
    <row r="79" spans="1:9" ht="12.95" customHeight="1">
      <c r="A79" s="12" t="s">
        <v>258</v>
      </c>
      <c r="B79" s="13" t="s">
        <v>259</v>
      </c>
      <c r="C79" s="14"/>
      <c r="D79" s="10" t="s">
        <v>260</v>
      </c>
      <c r="E79" s="10" t="s">
        <v>94</v>
      </c>
      <c r="F79" s="15">
        <v>105537</v>
      </c>
      <c r="G79" s="16">
        <v>525.20000000000005</v>
      </c>
      <c r="H79" s="17">
        <v>3.3E-3</v>
      </c>
      <c r="I79" s="18"/>
    </row>
    <row r="80" spans="1:9" ht="12.95" customHeight="1">
      <c r="A80" s="12" t="s">
        <v>261</v>
      </c>
      <c r="B80" s="13" t="s">
        <v>262</v>
      </c>
      <c r="C80" s="14"/>
      <c r="D80" s="10" t="s">
        <v>263</v>
      </c>
      <c r="E80" s="10" t="s">
        <v>45</v>
      </c>
      <c r="F80" s="15">
        <v>375053</v>
      </c>
      <c r="G80" s="16">
        <v>461.88</v>
      </c>
      <c r="H80" s="17">
        <v>2.8999999999999998E-3</v>
      </c>
      <c r="I80" s="18"/>
    </row>
    <row r="81" spans="1:9" ht="12.95" customHeight="1">
      <c r="A81" s="12" t="s">
        <v>264</v>
      </c>
      <c r="B81" s="13" t="s">
        <v>265</v>
      </c>
      <c r="C81" s="14"/>
      <c r="D81" s="10" t="s">
        <v>266</v>
      </c>
      <c r="E81" s="10" t="s">
        <v>191</v>
      </c>
      <c r="F81" s="15">
        <v>74917</v>
      </c>
      <c r="G81" s="16">
        <v>317.99</v>
      </c>
      <c r="H81" s="17">
        <v>2E-3</v>
      </c>
      <c r="I81" s="18"/>
    </row>
    <row r="82" spans="1:9" ht="12.95" customHeight="1">
      <c r="A82" s="12" t="s">
        <v>267</v>
      </c>
      <c r="B82" s="13" t="s">
        <v>268</v>
      </c>
      <c r="C82" s="14"/>
      <c r="D82" s="10" t="s">
        <v>269</v>
      </c>
      <c r="E82" s="10" t="s">
        <v>134</v>
      </c>
      <c r="F82" s="15">
        <v>6380</v>
      </c>
      <c r="G82" s="16">
        <v>264.52</v>
      </c>
      <c r="H82" s="17">
        <v>1.6999999999999999E-3</v>
      </c>
      <c r="I82" s="18"/>
    </row>
    <row r="83" spans="1:9" ht="12.95" customHeight="1">
      <c r="A83" s="12" t="s">
        <v>270</v>
      </c>
      <c r="B83" s="13" t="s">
        <v>271</v>
      </c>
      <c r="C83" s="14"/>
      <c r="D83" s="10" t="s">
        <v>272</v>
      </c>
      <c r="E83" s="10" t="s">
        <v>222</v>
      </c>
      <c r="F83" s="15">
        <v>328175</v>
      </c>
      <c r="G83" s="16">
        <v>209.21</v>
      </c>
      <c r="H83" s="17">
        <v>1.2999999999999999E-3</v>
      </c>
      <c r="I83" s="18"/>
    </row>
    <row r="84" spans="1:9" ht="12.95" customHeight="1">
      <c r="A84" s="12" t="s">
        <v>273</v>
      </c>
      <c r="B84" s="13" t="s">
        <v>274</v>
      </c>
      <c r="C84" s="14"/>
      <c r="D84" s="10" t="s">
        <v>275</v>
      </c>
      <c r="E84" s="10" t="s">
        <v>61</v>
      </c>
      <c r="F84" s="15">
        <v>328175</v>
      </c>
      <c r="G84" s="16">
        <v>42.5</v>
      </c>
      <c r="H84" s="17">
        <v>2.9999999999999997E-4</v>
      </c>
      <c r="I84" s="18"/>
    </row>
    <row r="85" spans="1:9" ht="12.95" customHeight="1">
      <c r="A85" s="12" t="s">
        <v>276</v>
      </c>
      <c r="B85" s="13" t="s">
        <v>277</v>
      </c>
      <c r="C85" s="14"/>
      <c r="D85" s="10" t="s">
        <v>278</v>
      </c>
      <c r="E85" s="10" t="s">
        <v>279</v>
      </c>
      <c r="F85" s="15">
        <v>328175</v>
      </c>
      <c r="G85" s="16">
        <v>35.97</v>
      </c>
      <c r="H85" s="17">
        <v>2.0000000000000001E-4</v>
      </c>
      <c r="I85" s="18"/>
    </row>
    <row r="86" spans="1:9" ht="12.95" customHeight="1">
      <c r="A86" s="12" t="s">
        <v>280</v>
      </c>
      <c r="B86" s="19" t="s">
        <v>281</v>
      </c>
      <c r="C86" s="20"/>
      <c r="D86" s="10" t="s">
        <v>282</v>
      </c>
      <c r="E86" s="10" t="s">
        <v>34</v>
      </c>
      <c r="F86" s="15">
        <v>738</v>
      </c>
      <c r="G86" s="16">
        <v>8.57</v>
      </c>
      <c r="H86" s="17">
        <v>1E-4</v>
      </c>
      <c r="I86" s="18"/>
    </row>
    <row r="87" spans="1:9" ht="12.95" customHeight="1">
      <c r="A87" s="1"/>
      <c r="B87" s="21" t="s">
        <v>283</v>
      </c>
      <c r="C87" s="21"/>
      <c r="D87" s="22"/>
      <c r="E87" s="22"/>
      <c r="F87" s="22"/>
      <c r="G87" s="23">
        <f>SUM(G7:G86)</f>
        <v>141930.27999999997</v>
      </c>
      <c r="H87" s="24">
        <f>SUM(H7:H86)</f>
        <v>0.88690000000000013</v>
      </c>
      <c r="I87" s="25"/>
    </row>
    <row r="88" spans="1:9" ht="12.95" customHeight="1">
      <c r="A88" s="1"/>
      <c r="B88" s="9" t="s">
        <v>284</v>
      </c>
      <c r="C88" s="9"/>
      <c r="D88" s="10"/>
      <c r="E88" s="10"/>
      <c r="F88" s="10"/>
      <c r="G88" s="1"/>
      <c r="H88" s="11"/>
      <c r="I88" s="11"/>
    </row>
    <row r="89" spans="1:9" ht="12.95" customHeight="1">
      <c r="A89" s="12" t="s">
        <v>285</v>
      </c>
      <c r="B89" s="26" t="s">
        <v>286</v>
      </c>
      <c r="C89" s="26"/>
      <c r="D89" s="10" t="s">
        <v>287</v>
      </c>
      <c r="E89" s="10" t="s">
        <v>232</v>
      </c>
      <c r="F89" s="15">
        <v>1749624</v>
      </c>
      <c r="G89" s="16">
        <v>2715.42</v>
      </c>
      <c r="H89" s="17">
        <v>1.7000000000000001E-2</v>
      </c>
      <c r="I89" s="18"/>
    </row>
    <row r="90" spans="1:9" ht="12.95" customHeight="1">
      <c r="A90" s="1"/>
      <c r="B90" s="21" t="s">
        <v>283</v>
      </c>
      <c r="C90" s="21"/>
      <c r="D90" s="22"/>
      <c r="E90" s="22"/>
      <c r="F90" s="22"/>
      <c r="G90" s="23">
        <v>2715.42</v>
      </c>
      <c r="H90" s="24">
        <v>1.7000000000000001E-2</v>
      </c>
      <c r="I90" s="25"/>
    </row>
    <row r="91" spans="1:9" ht="12.95" customHeight="1">
      <c r="A91" s="1"/>
      <c r="B91" s="21" t="s">
        <v>288</v>
      </c>
      <c r="C91" s="21"/>
      <c r="D91" s="22"/>
      <c r="E91" s="22"/>
      <c r="F91" s="22"/>
      <c r="G91" s="25" t="s">
        <v>289</v>
      </c>
      <c r="H91" s="25" t="s">
        <v>289</v>
      </c>
      <c r="I91" s="25"/>
    </row>
    <row r="92" spans="1:9" ht="12.95" customHeight="1">
      <c r="A92" s="1"/>
      <c r="B92" s="21" t="s">
        <v>283</v>
      </c>
      <c r="C92" s="21"/>
      <c r="D92" s="22"/>
      <c r="E92" s="22"/>
      <c r="F92" s="22"/>
      <c r="G92" s="25" t="s">
        <v>289</v>
      </c>
      <c r="H92" s="25" t="s">
        <v>289</v>
      </c>
      <c r="I92" s="25"/>
    </row>
    <row r="93" spans="1:9" ht="12.95" customHeight="1">
      <c r="A93" s="1"/>
      <c r="B93" s="21" t="s">
        <v>290</v>
      </c>
      <c r="C93" s="21"/>
      <c r="D93" s="27"/>
      <c r="E93" s="22"/>
      <c r="F93" s="27"/>
      <c r="G93" s="23">
        <v>144645.70000000001</v>
      </c>
      <c r="H93" s="24">
        <v>0.90390000000000004</v>
      </c>
      <c r="I93" s="25"/>
    </row>
    <row r="94" spans="1:9" ht="12.95" customHeight="1">
      <c r="A94" s="1"/>
      <c r="B94" s="9" t="s">
        <v>291</v>
      </c>
      <c r="C94" s="9"/>
      <c r="D94" s="10"/>
      <c r="E94" s="10"/>
      <c r="F94" s="10"/>
      <c r="G94" s="10"/>
      <c r="H94" s="10"/>
      <c r="I94" s="11"/>
    </row>
    <row r="95" spans="1:9" ht="12.95" customHeight="1">
      <c r="A95" s="1"/>
      <c r="B95" s="9" t="s">
        <v>292</v>
      </c>
      <c r="C95" s="9"/>
      <c r="D95" s="10"/>
      <c r="E95" s="10"/>
      <c r="F95" s="10"/>
      <c r="G95" s="1"/>
      <c r="H95" s="11"/>
      <c r="I95" s="11"/>
    </row>
    <row r="96" spans="1:9" ht="12.95" customHeight="1">
      <c r="A96" s="12" t="s">
        <v>293</v>
      </c>
      <c r="B96" s="26" t="s">
        <v>294</v>
      </c>
      <c r="C96" s="26"/>
      <c r="D96" s="10" t="s">
        <v>295</v>
      </c>
      <c r="E96" s="10" t="s">
        <v>296</v>
      </c>
      <c r="F96" s="15">
        <v>1500000</v>
      </c>
      <c r="G96" s="16">
        <v>1485.23</v>
      </c>
      <c r="H96" s="17">
        <v>9.2999999999999992E-3</v>
      </c>
      <c r="I96" s="28">
        <v>5.5E-2</v>
      </c>
    </row>
    <row r="97" spans="1:9" ht="12.95" customHeight="1">
      <c r="A97" s="12" t="s">
        <v>297</v>
      </c>
      <c r="B97" s="26" t="s">
        <v>298</v>
      </c>
      <c r="C97" s="26"/>
      <c r="D97" s="10" t="s">
        <v>299</v>
      </c>
      <c r="E97" s="10" t="s">
        <v>296</v>
      </c>
      <c r="F97" s="15">
        <v>1180000</v>
      </c>
      <c r="G97" s="16">
        <v>1165.8800000000001</v>
      </c>
      <c r="H97" s="17">
        <v>7.3000000000000001E-3</v>
      </c>
      <c r="I97" s="28">
        <v>5.5246000000000003E-2</v>
      </c>
    </row>
    <row r="98" spans="1:9" ht="12.95" customHeight="1">
      <c r="A98" s="12" t="s">
        <v>300</v>
      </c>
      <c r="B98" s="26" t="s">
        <v>301</v>
      </c>
      <c r="C98" s="26"/>
      <c r="D98" s="10" t="s">
        <v>302</v>
      </c>
      <c r="E98" s="10" t="s">
        <v>296</v>
      </c>
      <c r="F98" s="15">
        <v>1060000</v>
      </c>
      <c r="G98" s="16">
        <v>1057.43</v>
      </c>
      <c r="H98" s="17">
        <v>6.6E-3</v>
      </c>
      <c r="I98" s="28">
        <v>5.2169E-2</v>
      </c>
    </row>
    <row r="99" spans="1:9" ht="12.95" customHeight="1">
      <c r="A99" s="12" t="s">
        <v>303</v>
      </c>
      <c r="B99" s="26" t="s">
        <v>304</v>
      </c>
      <c r="C99" s="26"/>
      <c r="D99" s="10" t="s">
        <v>305</v>
      </c>
      <c r="E99" s="10" t="s">
        <v>296</v>
      </c>
      <c r="F99" s="15">
        <v>1000000</v>
      </c>
      <c r="G99" s="16">
        <v>998.55</v>
      </c>
      <c r="H99" s="17">
        <v>6.1999999999999998E-3</v>
      </c>
      <c r="I99" s="28">
        <v>5.2999999999999999E-2</v>
      </c>
    </row>
    <row r="100" spans="1:9" ht="12.95" customHeight="1">
      <c r="A100" s="12" t="s">
        <v>306</v>
      </c>
      <c r="B100" s="26" t="s">
        <v>307</v>
      </c>
      <c r="C100" s="26"/>
      <c r="D100" s="10" t="s">
        <v>308</v>
      </c>
      <c r="E100" s="10" t="s">
        <v>296</v>
      </c>
      <c r="F100" s="15">
        <v>600000</v>
      </c>
      <c r="G100" s="16">
        <v>599.13</v>
      </c>
      <c r="H100" s="17">
        <v>3.7000000000000002E-3</v>
      </c>
      <c r="I100" s="28">
        <v>5.2999999999999999E-2</v>
      </c>
    </row>
    <row r="101" spans="1:9" ht="12.95" customHeight="1">
      <c r="A101" s="12" t="s">
        <v>309</v>
      </c>
      <c r="B101" s="26" t="s">
        <v>310</v>
      </c>
      <c r="C101" s="26"/>
      <c r="D101" s="10" t="s">
        <v>311</v>
      </c>
      <c r="E101" s="10" t="s">
        <v>296</v>
      </c>
      <c r="F101" s="15">
        <v>500000</v>
      </c>
      <c r="G101" s="16">
        <v>499.79</v>
      </c>
      <c r="H101" s="17">
        <v>3.0999999999999999E-3</v>
      </c>
      <c r="I101" s="28">
        <v>5.1506999999999997E-2</v>
      </c>
    </row>
    <row r="102" spans="1:9" ht="12.95" customHeight="1">
      <c r="A102" s="12" t="s">
        <v>312</v>
      </c>
      <c r="B102" s="26" t="s">
        <v>313</v>
      </c>
      <c r="C102" s="26"/>
      <c r="D102" s="10" t="s">
        <v>314</v>
      </c>
      <c r="E102" s="10" t="s">
        <v>296</v>
      </c>
      <c r="F102" s="15">
        <v>500000</v>
      </c>
      <c r="G102" s="16">
        <v>497.21</v>
      </c>
      <c r="H102" s="17">
        <v>3.0999999999999999E-3</v>
      </c>
      <c r="I102" s="28">
        <v>5.3970999999999998E-2</v>
      </c>
    </row>
    <row r="103" spans="1:9" ht="12.95" customHeight="1">
      <c r="A103" s="12" t="s">
        <v>315</v>
      </c>
      <c r="B103" s="26" t="s">
        <v>316</v>
      </c>
      <c r="C103" s="26"/>
      <c r="D103" s="10" t="s">
        <v>317</v>
      </c>
      <c r="E103" s="10" t="s">
        <v>296</v>
      </c>
      <c r="F103" s="15">
        <v>180000</v>
      </c>
      <c r="G103" s="16">
        <v>179.92</v>
      </c>
      <c r="H103" s="17">
        <v>1.1000000000000001E-3</v>
      </c>
      <c r="I103" s="28">
        <v>5.1506999999999997E-2</v>
      </c>
    </row>
    <row r="104" spans="1:9" ht="12.95" customHeight="1">
      <c r="A104" s="1"/>
      <c r="B104" s="21" t="s">
        <v>283</v>
      </c>
      <c r="C104" s="21"/>
      <c r="D104" s="22"/>
      <c r="E104" s="22"/>
      <c r="F104" s="22"/>
      <c r="G104" s="23">
        <v>6483.14</v>
      </c>
      <c r="H104" s="24">
        <v>4.0399999999999998E-2</v>
      </c>
      <c r="I104" s="25"/>
    </row>
    <row r="105" spans="1:9" ht="12.95" customHeight="1">
      <c r="A105" s="1"/>
      <c r="B105" s="21" t="s">
        <v>290</v>
      </c>
      <c r="C105" s="21"/>
      <c r="D105" s="27"/>
      <c r="E105" s="22"/>
      <c r="F105" s="27"/>
      <c r="G105" s="23">
        <v>6483.14</v>
      </c>
      <c r="H105" s="24">
        <v>4.0399999999999998E-2</v>
      </c>
      <c r="I105" s="25"/>
    </row>
    <row r="106" spans="1:9" ht="12.95" customHeight="1">
      <c r="A106" s="1"/>
      <c r="B106" s="9" t="s">
        <v>318</v>
      </c>
      <c r="C106" s="9"/>
      <c r="D106" s="10"/>
      <c r="E106" s="10"/>
      <c r="F106" s="10"/>
      <c r="G106" s="10"/>
      <c r="H106" s="10"/>
      <c r="I106" s="11"/>
    </row>
    <row r="107" spans="1:9" ht="12.95" customHeight="1">
      <c r="A107" s="12" t="s">
        <v>319</v>
      </c>
      <c r="B107" s="26" t="s">
        <v>320</v>
      </c>
      <c r="C107" s="26"/>
      <c r="D107" s="10"/>
      <c r="E107" s="10" t="s">
        <v>321</v>
      </c>
      <c r="F107" s="15"/>
      <c r="G107" s="16">
        <v>8192.82</v>
      </c>
      <c r="H107" s="17">
        <v>5.1200000000000002E-2</v>
      </c>
      <c r="I107" s="28">
        <v>5.3477399409055132E-2</v>
      </c>
    </row>
    <row r="108" spans="1:9" ht="12.95" customHeight="1">
      <c r="A108" s="1"/>
      <c r="B108" s="21" t="s">
        <v>283</v>
      </c>
      <c r="C108" s="21"/>
      <c r="D108" s="22"/>
      <c r="E108" s="22"/>
      <c r="F108" s="22"/>
      <c r="G108" s="23">
        <v>8192.82</v>
      </c>
      <c r="H108" s="24">
        <v>5.1200000000000002E-2</v>
      </c>
      <c r="I108" s="25"/>
    </row>
    <row r="109" spans="1:9" ht="12.95" customHeight="1">
      <c r="A109" s="1"/>
      <c r="B109" s="21" t="s">
        <v>290</v>
      </c>
      <c r="C109" s="21"/>
      <c r="D109" s="27"/>
      <c r="E109" s="22"/>
      <c r="F109" s="27"/>
      <c r="G109" s="23">
        <v>8192.82</v>
      </c>
      <c r="H109" s="24">
        <v>5.1200000000000002E-2</v>
      </c>
      <c r="I109" s="25"/>
    </row>
    <row r="110" spans="1:9" ht="12.95" customHeight="1">
      <c r="A110" s="1"/>
      <c r="B110" s="21" t="s">
        <v>322</v>
      </c>
      <c r="C110" s="21"/>
      <c r="D110" s="10"/>
      <c r="E110" s="22"/>
      <c r="F110" s="10"/>
      <c r="G110" s="29">
        <v>792.61</v>
      </c>
      <c r="H110" s="24">
        <v>4.4999999999999997E-3</v>
      </c>
      <c r="I110" s="25"/>
    </row>
    <row r="111" spans="1:9" ht="12.95" customHeight="1" thickBot="1">
      <c r="A111" s="1"/>
      <c r="B111" s="30" t="s">
        <v>323</v>
      </c>
      <c r="C111" s="30"/>
      <c r="D111" s="31"/>
      <c r="E111" s="31"/>
      <c r="F111" s="31"/>
      <c r="G111" s="32">
        <v>160114.26999999999</v>
      </c>
      <c r="H111" s="33">
        <v>1</v>
      </c>
      <c r="I111" s="34"/>
    </row>
    <row r="112" spans="1:9" ht="12.95" customHeight="1">
      <c r="A112" s="1"/>
      <c r="B112" s="35"/>
      <c r="C112" s="35"/>
      <c r="D112" s="1"/>
      <c r="E112" s="1"/>
      <c r="F112" s="1"/>
      <c r="G112" s="1"/>
      <c r="H112" s="1"/>
      <c r="I112" s="1"/>
    </row>
    <row r="113" spans="1:9" ht="12.95" customHeight="1">
      <c r="A113" s="1"/>
      <c r="B113" s="36" t="s">
        <v>324</v>
      </c>
      <c r="C113" s="1"/>
      <c r="D113" s="1"/>
      <c r="E113" s="1"/>
      <c r="F113" s="1"/>
      <c r="G113" s="1"/>
      <c r="H113" s="1"/>
      <c r="I113" s="1"/>
    </row>
    <row r="114" spans="1:9" ht="39.950000000000003" customHeight="1">
      <c r="A114" s="1"/>
      <c r="B114" s="37" t="s">
        <v>325</v>
      </c>
      <c r="C114" s="37"/>
      <c r="D114" s="38" t="s">
        <v>3</v>
      </c>
      <c r="E114" s="38" t="s">
        <v>326</v>
      </c>
      <c r="F114" s="38" t="s">
        <v>327</v>
      </c>
      <c r="G114" s="38" t="s">
        <v>328</v>
      </c>
      <c r="H114" s="38" t="s">
        <v>329</v>
      </c>
      <c r="I114" s="1"/>
    </row>
    <row r="115" spans="1:9" ht="12.95" customHeight="1">
      <c r="A115" s="1"/>
      <c r="B115" s="39" t="s">
        <v>330</v>
      </c>
      <c r="C115" s="39"/>
      <c r="D115" s="22" t="s">
        <v>281</v>
      </c>
      <c r="E115" s="22" t="s">
        <v>34</v>
      </c>
      <c r="F115" s="40">
        <v>320800</v>
      </c>
      <c r="G115" s="41">
        <v>3756.5680000000002</v>
      </c>
      <c r="H115" s="42">
        <v>2.35E-2</v>
      </c>
      <c r="I115" s="1"/>
    </row>
    <row r="116" spans="1:9" ht="12.95" customHeight="1">
      <c r="A116" s="1"/>
      <c r="B116" s="39" t="s">
        <v>330</v>
      </c>
      <c r="C116" s="39"/>
      <c r="D116" s="22" t="s">
        <v>40</v>
      </c>
      <c r="E116" s="22" t="s">
        <v>15</v>
      </c>
      <c r="F116" s="40">
        <v>165000</v>
      </c>
      <c r="G116" s="41">
        <v>1605.9449999999999</v>
      </c>
      <c r="H116" s="42">
        <v>0.01</v>
      </c>
      <c r="I116" s="1"/>
    </row>
    <row r="117" spans="1:9" ht="12.95" customHeight="1">
      <c r="A117" s="1"/>
      <c r="B117" s="39" t="s">
        <v>330</v>
      </c>
      <c r="C117" s="39"/>
      <c r="D117" s="22" t="s">
        <v>268</v>
      </c>
      <c r="E117" s="22" t="s">
        <v>134</v>
      </c>
      <c r="F117" s="40">
        <v>33375</v>
      </c>
      <c r="G117" s="41">
        <v>1399.1467500000001</v>
      </c>
      <c r="H117" s="42">
        <v>8.6999999999999994E-3</v>
      </c>
      <c r="I117" s="1"/>
    </row>
    <row r="118" spans="1:9" ht="12.95" customHeight="1">
      <c r="A118" s="1"/>
      <c r="B118" s="39" t="s">
        <v>330</v>
      </c>
      <c r="C118" s="39"/>
      <c r="D118" s="22" t="s">
        <v>243</v>
      </c>
      <c r="E118" s="22" t="s">
        <v>15</v>
      </c>
      <c r="F118" s="40">
        <v>127400</v>
      </c>
      <c r="G118" s="41">
        <v>1176.8575000000001</v>
      </c>
      <c r="H118" s="42">
        <v>7.4000000000000003E-3</v>
      </c>
      <c r="I118" s="1"/>
    </row>
    <row r="119" spans="1:9" ht="12.95" customHeight="1">
      <c r="A119" s="1"/>
      <c r="B119" s="39" t="s">
        <v>330</v>
      </c>
      <c r="C119" s="39"/>
      <c r="D119" s="22" t="s">
        <v>265</v>
      </c>
      <c r="E119" s="22" t="s">
        <v>191</v>
      </c>
      <c r="F119" s="40">
        <v>266250</v>
      </c>
      <c r="G119" s="41">
        <v>1137.819375</v>
      </c>
      <c r="H119" s="42">
        <v>7.1000000000000004E-3</v>
      </c>
      <c r="I119" s="1"/>
    </row>
    <row r="120" spans="1:9" ht="12.95" customHeight="1">
      <c r="A120" s="1"/>
      <c r="B120" s="39" t="s">
        <v>330</v>
      </c>
      <c r="C120" s="39"/>
      <c r="D120" s="22" t="s">
        <v>224</v>
      </c>
      <c r="E120" s="22" t="s">
        <v>176</v>
      </c>
      <c r="F120" s="40">
        <v>91300</v>
      </c>
      <c r="G120" s="41">
        <v>1088.4785999999999</v>
      </c>
      <c r="H120" s="42">
        <v>6.7999999999999996E-3</v>
      </c>
      <c r="I120" s="1"/>
    </row>
    <row r="121" spans="1:9" ht="12.95" customHeight="1">
      <c r="A121" s="1"/>
      <c r="B121" s="39" t="s">
        <v>330</v>
      </c>
      <c r="C121" s="39"/>
      <c r="D121" s="22" t="s">
        <v>20</v>
      </c>
      <c r="E121" s="22" t="s">
        <v>22</v>
      </c>
      <c r="F121" s="40">
        <v>47025</v>
      </c>
      <c r="G121" s="41">
        <v>867.61125000000004</v>
      </c>
      <c r="H121" s="42">
        <v>5.4000000000000003E-3</v>
      </c>
      <c r="I121" s="1"/>
    </row>
    <row r="122" spans="1:9" ht="12.95" customHeight="1">
      <c r="A122" s="1"/>
      <c r="B122" s="39" t="s">
        <v>330</v>
      </c>
      <c r="C122" s="39"/>
      <c r="D122" s="22" t="s">
        <v>13</v>
      </c>
      <c r="E122" s="22" t="s">
        <v>15</v>
      </c>
      <c r="F122" s="40">
        <v>59950</v>
      </c>
      <c r="G122" s="41">
        <v>444.22949999999997</v>
      </c>
      <c r="H122" s="42">
        <v>2.8E-3</v>
      </c>
      <c r="I122" s="1"/>
    </row>
    <row r="123" spans="1:9" ht="12.95" customHeight="1">
      <c r="A123" s="1"/>
      <c r="B123" s="39" t="s">
        <v>330</v>
      </c>
      <c r="C123" s="39"/>
      <c r="D123" s="22" t="s">
        <v>220</v>
      </c>
      <c r="E123" s="22" t="s">
        <v>222</v>
      </c>
      <c r="F123" s="40">
        <v>88200</v>
      </c>
      <c r="G123" s="41">
        <v>424.68299999999999</v>
      </c>
      <c r="H123" s="42">
        <v>2.7000000000000001E-3</v>
      </c>
      <c r="I123" s="1"/>
    </row>
    <row r="124" spans="1:9" ht="12.95" customHeight="1">
      <c r="A124" s="1"/>
      <c r="B124" s="39" t="s">
        <v>330</v>
      </c>
      <c r="C124" s="39"/>
      <c r="D124" s="22" t="s">
        <v>70</v>
      </c>
      <c r="E124" s="22" t="s">
        <v>72</v>
      </c>
      <c r="F124" s="40">
        <v>22500</v>
      </c>
      <c r="G124" s="41">
        <v>299.22750000000002</v>
      </c>
      <c r="H124" s="42">
        <v>1.9E-3</v>
      </c>
      <c r="I124" s="1"/>
    </row>
    <row r="125" spans="1:9" ht="12.95" customHeight="1">
      <c r="A125" s="1"/>
      <c r="B125" s="39" t="s">
        <v>330</v>
      </c>
      <c r="C125" s="39"/>
      <c r="D125" s="22" t="s">
        <v>331</v>
      </c>
      <c r="E125" s="22" t="s">
        <v>332</v>
      </c>
      <c r="F125" s="40">
        <v>910</v>
      </c>
      <c r="G125" s="41">
        <v>216.11408</v>
      </c>
      <c r="H125" s="42">
        <v>1.2999999999999999E-3</v>
      </c>
      <c r="I125" s="1"/>
    </row>
    <row r="126" spans="1:9" ht="12.95" customHeight="1">
      <c r="A126" s="1"/>
      <c r="B126" s="39" t="s">
        <v>330</v>
      </c>
      <c r="C126" s="39"/>
      <c r="D126" s="22" t="s">
        <v>171</v>
      </c>
      <c r="E126" s="22" t="s">
        <v>87</v>
      </c>
      <c r="F126" s="40">
        <v>17850</v>
      </c>
      <c r="G126" s="41">
        <v>165.21067500000001</v>
      </c>
      <c r="H126" s="42">
        <v>1E-3</v>
      </c>
      <c r="I126" s="1"/>
    </row>
    <row r="127" spans="1:9" ht="12.95" customHeight="1">
      <c r="A127" s="1"/>
      <c r="B127" s="39" t="s">
        <v>330</v>
      </c>
      <c r="C127" s="39"/>
      <c r="D127" s="22" t="s">
        <v>24</v>
      </c>
      <c r="E127" s="22" t="s">
        <v>26</v>
      </c>
      <c r="F127" s="40">
        <v>4800</v>
      </c>
      <c r="G127" s="41">
        <v>147.8064</v>
      </c>
      <c r="H127" s="42">
        <v>8.9999999999999998E-4</v>
      </c>
      <c r="I127" s="1"/>
    </row>
    <row r="128" spans="1:9" ht="12.95" customHeight="1">
      <c r="A128" s="1"/>
      <c r="B128" s="2" t="s">
        <v>333</v>
      </c>
      <c r="C128" s="2"/>
      <c r="D128" s="1"/>
      <c r="E128" s="1"/>
      <c r="F128" s="1"/>
      <c r="G128" s="1"/>
      <c r="H128" s="1"/>
      <c r="I128" s="1"/>
    </row>
    <row r="129" spans="1:9" ht="12.95" customHeight="1">
      <c r="A129" s="1"/>
      <c r="B129" s="2" t="s">
        <v>334</v>
      </c>
      <c r="C129" s="2"/>
      <c r="D129" s="1"/>
      <c r="E129" s="1"/>
      <c r="F129" s="1"/>
      <c r="G129" s="1"/>
      <c r="H129" s="1"/>
      <c r="I129" s="1"/>
    </row>
    <row r="131" spans="1:9">
      <c r="B131" s="43" t="s">
        <v>335</v>
      </c>
    </row>
    <row r="133" spans="1:9">
      <c r="B133" s="44" t="s">
        <v>336</v>
      </c>
      <c r="C133" s="44"/>
      <c r="D133" s="44"/>
    </row>
    <row r="134" spans="1:9">
      <c r="B134" s="44" t="s">
        <v>337</v>
      </c>
      <c r="C134" s="44"/>
      <c r="D134" s="44"/>
    </row>
    <row r="135" spans="1:9">
      <c r="B135" s="44" t="s">
        <v>338</v>
      </c>
      <c r="C135" s="44"/>
      <c r="D135" s="44"/>
    </row>
    <row r="136" spans="1:9">
      <c r="B136" s="45"/>
      <c r="C136" s="46"/>
      <c r="D136" s="46"/>
    </row>
    <row r="137" spans="1:9">
      <c r="B137" s="47" t="s">
        <v>339</v>
      </c>
      <c r="C137" s="48" t="s">
        <v>340</v>
      </c>
      <c r="D137" s="48" t="s">
        <v>341</v>
      </c>
    </row>
    <row r="138" spans="1:9">
      <c r="B138" s="49" t="s">
        <v>342</v>
      </c>
      <c r="C138" s="50">
        <v>13.721</v>
      </c>
      <c r="D138" s="50">
        <v>13.512</v>
      </c>
    </row>
    <row r="139" spans="1:9" ht="24">
      <c r="B139" s="49" t="s">
        <v>343</v>
      </c>
      <c r="C139" s="50">
        <v>13.231999999999999</v>
      </c>
      <c r="D139" s="50">
        <v>13.047000000000001</v>
      </c>
    </row>
    <row r="140" spans="1:9">
      <c r="B140" s="51"/>
      <c r="C140" s="51"/>
      <c r="D140" s="51"/>
    </row>
    <row r="141" spans="1:9">
      <c r="B141" s="52" t="s">
        <v>344</v>
      </c>
      <c r="C141" s="46"/>
      <c r="D141" s="46"/>
    </row>
    <row r="142" spans="1:9">
      <c r="B142" s="44" t="s">
        <v>345</v>
      </c>
      <c r="C142" s="44"/>
      <c r="D142" s="44"/>
    </row>
    <row r="143" spans="1:9">
      <c r="B143" s="52" t="s">
        <v>346</v>
      </c>
      <c r="C143" s="52"/>
      <c r="D143" s="52"/>
    </row>
    <row r="144" spans="1:9">
      <c r="B144" s="44" t="s">
        <v>347</v>
      </c>
      <c r="C144" s="53"/>
      <c r="D144" s="53"/>
    </row>
    <row r="145" spans="2:9">
      <c r="B145" s="44" t="s">
        <v>348</v>
      </c>
      <c r="C145" s="53"/>
      <c r="D145" s="53"/>
    </row>
    <row r="146" spans="2:9">
      <c r="B146" s="44" t="s">
        <v>349</v>
      </c>
      <c r="C146" s="44"/>
      <c r="D146" s="44"/>
    </row>
    <row r="147" spans="2:9">
      <c r="B147" s="46"/>
      <c r="C147" s="46"/>
      <c r="D147" s="46"/>
    </row>
    <row r="148" spans="2:9" ht="18" customHeight="1">
      <c r="B148" s="54" t="s">
        <v>350</v>
      </c>
      <c r="C148" s="46"/>
      <c r="D148" s="46"/>
    </row>
    <row r="149" spans="2:9">
      <c r="B149" s="54" t="s">
        <v>351</v>
      </c>
      <c r="C149" s="46"/>
      <c r="D149" s="46"/>
    </row>
    <row r="151" spans="2:9">
      <c r="B151" s="55" t="s">
        <v>352</v>
      </c>
    </row>
    <row r="153" spans="2:9">
      <c r="B153" s="56" t="s">
        <v>353</v>
      </c>
      <c r="C153" s="57"/>
      <c r="D153" s="57"/>
      <c r="E153" s="57"/>
      <c r="F153" s="57"/>
      <c r="G153" s="57"/>
      <c r="H153" s="57"/>
      <c r="I153" s="58"/>
    </row>
    <row r="154" spans="2:9" ht="24">
      <c r="B154" s="59" t="s">
        <v>354</v>
      </c>
      <c r="C154" s="59" t="s">
        <v>355</v>
      </c>
      <c r="D154" s="60" t="s">
        <v>356</v>
      </c>
      <c r="E154" s="61" t="s">
        <v>357</v>
      </c>
      <c r="F154" s="61" t="s">
        <v>358</v>
      </c>
      <c r="G154" s="53"/>
      <c r="H154" s="53"/>
      <c r="I154" s="62"/>
    </row>
    <row r="155" spans="2:9">
      <c r="B155" s="63" t="s">
        <v>359</v>
      </c>
      <c r="C155" s="64"/>
      <c r="D155" s="64"/>
      <c r="E155" s="64"/>
      <c r="F155" s="65"/>
      <c r="G155" s="53"/>
      <c r="H155" s="53"/>
      <c r="I155" s="62"/>
    </row>
    <row r="156" spans="2:9">
      <c r="B156" s="66" t="s">
        <v>360</v>
      </c>
      <c r="C156" s="53"/>
      <c r="D156" s="53"/>
      <c r="E156" s="53"/>
      <c r="F156" s="53"/>
      <c r="G156" s="53"/>
      <c r="H156" s="53"/>
      <c r="I156" s="62"/>
    </row>
    <row r="157" spans="2:9">
      <c r="B157" s="67"/>
      <c r="C157" s="68"/>
      <c r="D157" s="53"/>
      <c r="E157" s="53"/>
      <c r="F157" s="53"/>
      <c r="G157" s="53"/>
      <c r="H157" s="53"/>
      <c r="I157" s="62"/>
    </row>
    <row r="158" spans="2:9">
      <c r="B158" s="66" t="s">
        <v>361</v>
      </c>
      <c r="C158" s="53"/>
      <c r="D158" s="53"/>
      <c r="E158" s="53"/>
      <c r="F158" s="53"/>
      <c r="G158" s="53"/>
      <c r="H158" s="53"/>
      <c r="I158" s="62"/>
    </row>
    <row r="159" spans="2:9">
      <c r="B159" s="66" t="s">
        <v>362</v>
      </c>
      <c r="C159" s="69"/>
      <c r="D159" s="53"/>
      <c r="E159" s="53"/>
      <c r="F159" s="53"/>
      <c r="G159" s="53"/>
      <c r="H159" s="53"/>
      <c r="I159" s="62"/>
    </row>
    <row r="160" spans="2:9">
      <c r="B160" s="66" t="s">
        <v>363</v>
      </c>
      <c r="C160" s="69"/>
      <c r="D160" s="53"/>
      <c r="E160" s="53"/>
      <c r="F160" s="53"/>
      <c r="G160" s="53"/>
      <c r="H160" s="53"/>
      <c r="I160" s="62"/>
    </row>
    <row r="161" spans="2:9">
      <c r="B161" s="66" t="s">
        <v>364</v>
      </c>
      <c r="C161" s="70"/>
      <c r="D161" s="53"/>
      <c r="E161" s="53"/>
      <c r="F161" s="53"/>
      <c r="G161" s="71"/>
      <c r="H161" s="53"/>
      <c r="I161" s="62"/>
    </row>
    <row r="162" spans="2:9">
      <c r="B162" s="66" t="s">
        <v>365</v>
      </c>
      <c r="C162" s="70"/>
      <c r="D162" s="53"/>
      <c r="E162" s="53"/>
      <c r="F162" s="53"/>
      <c r="G162" s="71"/>
      <c r="H162" s="53"/>
      <c r="I162" s="62"/>
    </row>
    <row r="163" spans="2:9">
      <c r="B163" s="66" t="s">
        <v>366</v>
      </c>
      <c r="C163" s="70"/>
      <c r="D163" s="53"/>
      <c r="E163" s="53"/>
      <c r="F163" s="53"/>
      <c r="G163" s="71"/>
      <c r="H163" s="53"/>
      <c r="I163" s="62"/>
    </row>
    <row r="164" spans="2:9">
      <c r="B164" s="66"/>
      <c r="C164" s="53"/>
      <c r="D164" s="53"/>
      <c r="E164" s="53"/>
      <c r="F164" s="53"/>
      <c r="G164" s="53"/>
      <c r="H164" s="53"/>
      <c r="I164" s="62"/>
    </row>
    <row r="165" spans="2:9">
      <c r="B165" s="72" t="s">
        <v>367</v>
      </c>
      <c r="C165" s="53"/>
      <c r="D165" s="53"/>
      <c r="E165" s="53"/>
      <c r="F165" s="53"/>
      <c r="G165" s="53"/>
      <c r="H165" s="53"/>
      <c r="I165" s="62"/>
    </row>
    <row r="166" spans="2:9" ht="24">
      <c r="B166" s="59" t="s">
        <v>354</v>
      </c>
      <c r="C166" s="59" t="s">
        <v>355</v>
      </c>
      <c r="D166" s="60" t="s">
        <v>356</v>
      </c>
      <c r="E166" s="61" t="s">
        <v>357</v>
      </c>
      <c r="F166" s="61" t="s">
        <v>358</v>
      </c>
      <c r="G166" s="53"/>
      <c r="H166" s="53"/>
      <c r="I166" s="62"/>
    </row>
    <row r="167" spans="2:9">
      <c r="B167" s="59" t="s">
        <v>368</v>
      </c>
      <c r="C167" s="59" t="s">
        <v>330</v>
      </c>
      <c r="D167" s="60">
        <v>763.17520000000002</v>
      </c>
      <c r="E167" s="61">
        <v>741</v>
      </c>
      <c r="F167" s="61">
        <v>80.7</v>
      </c>
      <c r="G167" s="53"/>
      <c r="H167" s="53"/>
      <c r="I167" s="62"/>
    </row>
    <row r="168" spans="2:9">
      <c r="B168" s="59" t="s">
        <v>369</v>
      </c>
      <c r="C168" s="59" t="s">
        <v>330</v>
      </c>
      <c r="D168" s="60">
        <v>1345.22</v>
      </c>
      <c r="E168" s="61">
        <v>1329.9</v>
      </c>
      <c r="F168" s="61">
        <v>53.98</v>
      </c>
      <c r="G168" s="53"/>
      <c r="H168" s="53"/>
      <c r="I168" s="62"/>
    </row>
    <row r="169" spans="2:9">
      <c r="B169" s="59" t="s">
        <v>370</v>
      </c>
      <c r="C169" s="59" t="s">
        <v>330</v>
      </c>
      <c r="D169" s="60">
        <v>969.38409999999999</v>
      </c>
      <c r="E169" s="61">
        <v>973.3</v>
      </c>
      <c r="F169" s="61">
        <v>284.94</v>
      </c>
      <c r="G169" s="53"/>
      <c r="H169" s="53"/>
      <c r="I169" s="62"/>
    </row>
    <row r="170" spans="2:9">
      <c r="B170" s="59" t="s">
        <v>371</v>
      </c>
      <c r="C170" s="59" t="s">
        <v>330</v>
      </c>
      <c r="D170" s="60">
        <v>4213.5431194007488</v>
      </c>
      <c r="E170" s="61">
        <v>4192.2</v>
      </c>
      <c r="F170" s="61">
        <v>409.96</v>
      </c>
      <c r="G170" s="53"/>
      <c r="H170" s="53"/>
      <c r="I170" s="62"/>
    </row>
    <row r="171" spans="2:9">
      <c r="B171" s="59" t="s">
        <v>372</v>
      </c>
      <c r="C171" s="59" t="s">
        <v>330</v>
      </c>
      <c r="D171" s="60">
        <v>1929.5758001063264</v>
      </c>
      <c r="E171" s="61">
        <v>1845</v>
      </c>
      <c r="F171" s="61">
        <v>154.96</v>
      </c>
      <c r="G171" s="53"/>
      <c r="H171" s="53"/>
      <c r="I171" s="62"/>
    </row>
    <row r="172" spans="2:9">
      <c r="B172" s="59" t="s">
        <v>373</v>
      </c>
      <c r="C172" s="59" t="s">
        <v>330</v>
      </c>
      <c r="D172" s="60">
        <v>933.10709999999995</v>
      </c>
      <c r="E172" s="61">
        <v>923.75</v>
      </c>
      <c r="F172" s="61">
        <v>267.88</v>
      </c>
      <c r="G172" s="53"/>
      <c r="H172" s="53"/>
      <c r="I172" s="62"/>
    </row>
    <row r="173" spans="2:9">
      <c r="B173" s="59" t="s">
        <v>374</v>
      </c>
      <c r="C173" s="59" t="s">
        <v>330</v>
      </c>
      <c r="D173" s="60">
        <v>1171.0976546134664</v>
      </c>
      <c r="E173" s="61">
        <v>1171</v>
      </c>
      <c r="F173" s="61">
        <v>673.94</v>
      </c>
      <c r="G173" s="53"/>
      <c r="H173" s="53"/>
      <c r="I173" s="62"/>
    </row>
    <row r="174" spans="2:9">
      <c r="B174" s="59" t="s">
        <v>375</v>
      </c>
      <c r="C174" s="59" t="s">
        <v>330</v>
      </c>
      <c r="D174" s="60">
        <v>3133.7624999999998</v>
      </c>
      <c r="E174" s="61">
        <v>3079.3</v>
      </c>
      <c r="F174" s="61">
        <v>28.98</v>
      </c>
      <c r="G174" s="53"/>
      <c r="H174" s="53"/>
      <c r="I174" s="62"/>
    </row>
    <row r="175" spans="2:9">
      <c r="B175" s="59" t="s">
        <v>376</v>
      </c>
      <c r="C175" s="59" t="s">
        <v>330</v>
      </c>
      <c r="D175" s="60">
        <v>409.84364646009391</v>
      </c>
      <c r="E175" s="61">
        <v>427.35</v>
      </c>
      <c r="F175" s="61">
        <v>303.3</v>
      </c>
      <c r="G175" s="53"/>
      <c r="H175" s="53"/>
      <c r="I175" s="62"/>
    </row>
    <row r="176" spans="2:9">
      <c r="B176" s="59" t="s">
        <v>377</v>
      </c>
      <c r="C176" s="59" t="s">
        <v>330</v>
      </c>
      <c r="D176" s="60">
        <v>520.72860000000003</v>
      </c>
      <c r="E176" s="61">
        <v>481.5</v>
      </c>
      <c r="F176" s="61">
        <v>96.38</v>
      </c>
      <c r="G176" s="53"/>
      <c r="H176" s="53"/>
      <c r="I176" s="62"/>
    </row>
    <row r="177" spans="2:9">
      <c r="B177" s="59" t="s">
        <v>378</v>
      </c>
      <c r="C177" s="59" t="s">
        <v>330</v>
      </c>
      <c r="D177" s="60">
        <v>1260.6777060240963</v>
      </c>
      <c r="E177" s="61">
        <v>1192.2</v>
      </c>
      <c r="F177" s="61">
        <v>195.61</v>
      </c>
      <c r="G177" s="53"/>
      <c r="H177" s="53"/>
      <c r="I177" s="62"/>
    </row>
    <row r="178" spans="2:9">
      <c r="B178" s="59" t="s">
        <v>379</v>
      </c>
      <c r="C178" s="59" t="s">
        <v>330</v>
      </c>
      <c r="D178" s="60">
        <v>24021.45</v>
      </c>
      <c r="E178" s="61">
        <v>23748.799999999999</v>
      </c>
      <c r="F178" s="61">
        <v>24.75</v>
      </c>
      <c r="G178" s="53"/>
      <c r="H178" s="53"/>
      <c r="I178" s="62"/>
    </row>
    <row r="179" spans="2:9">
      <c r="B179" s="59" t="s">
        <v>380</v>
      </c>
      <c r="C179" s="59" t="s">
        <v>330</v>
      </c>
      <c r="D179" s="73">
        <v>843.97379999999998</v>
      </c>
      <c r="E179" s="73">
        <v>925.55</v>
      </c>
      <c r="F179" s="73">
        <v>37.58</v>
      </c>
      <c r="G179" s="53"/>
      <c r="H179" s="53"/>
      <c r="I179" s="62"/>
    </row>
    <row r="180" spans="2:9">
      <c r="B180" s="59"/>
      <c r="C180" s="59"/>
      <c r="D180" s="73"/>
      <c r="E180" s="73"/>
      <c r="F180" s="73"/>
      <c r="G180" s="53"/>
      <c r="H180" s="53"/>
      <c r="I180" s="62"/>
    </row>
    <row r="181" spans="2:9">
      <c r="B181" s="72" t="s">
        <v>381</v>
      </c>
      <c r="C181" s="74"/>
      <c r="D181" s="74"/>
      <c r="E181" s="53"/>
      <c r="F181" s="53"/>
      <c r="G181" s="53"/>
      <c r="H181" s="53"/>
      <c r="I181" s="62"/>
    </row>
    <row r="182" spans="2:9">
      <c r="B182" s="66"/>
      <c r="C182" s="74"/>
      <c r="D182" s="74"/>
      <c r="E182" s="53"/>
      <c r="F182" s="53"/>
      <c r="G182" s="53"/>
      <c r="H182" s="53"/>
      <c r="I182" s="62"/>
    </row>
    <row r="183" spans="2:9">
      <c r="B183" s="66" t="s">
        <v>382</v>
      </c>
      <c r="C183" s="74"/>
      <c r="D183" s="74"/>
      <c r="E183" s="53"/>
      <c r="F183" s="53"/>
      <c r="G183" s="53"/>
      <c r="H183" s="53"/>
      <c r="I183" s="62"/>
    </row>
    <row r="184" spans="2:9">
      <c r="B184" s="66" t="s">
        <v>383</v>
      </c>
      <c r="C184" s="75"/>
      <c r="D184" s="74"/>
      <c r="E184" s="53"/>
      <c r="F184" s="53"/>
      <c r="G184" s="53"/>
      <c r="H184" s="53"/>
      <c r="I184" s="62"/>
    </row>
    <row r="185" spans="2:9">
      <c r="B185" s="66" t="s">
        <v>384</v>
      </c>
      <c r="C185" s="75"/>
      <c r="D185" s="74"/>
      <c r="E185" s="53"/>
      <c r="F185" s="53"/>
      <c r="G185" s="53"/>
      <c r="H185" s="53"/>
      <c r="I185" s="62"/>
    </row>
    <row r="186" spans="2:9">
      <c r="B186" s="66" t="s">
        <v>385</v>
      </c>
      <c r="C186" s="75"/>
      <c r="D186" s="74"/>
      <c r="E186" s="53"/>
      <c r="F186" s="53"/>
      <c r="G186" s="53"/>
      <c r="H186" s="53"/>
      <c r="I186" s="62"/>
    </row>
    <row r="187" spans="2:9">
      <c r="B187" s="66" t="s">
        <v>386</v>
      </c>
      <c r="C187" s="75"/>
      <c r="D187" s="74"/>
      <c r="E187" s="53"/>
      <c r="F187" s="53"/>
      <c r="G187" s="53"/>
      <c r="H187" s="53"/>
      <c r="I187" s="62"/>
    </row>
    <row r="188" spans="2:9">
      <c r="B188" s="66" t="s">
        <v>387</v>
      </c>
      <c r="C188" s="75"/>
      <c r="D188" s="74"/>
      <c r="E188" s="53"/>
      <c r="F188" s="53"/>
      <c r="G188" s="53"/>
      <c r="H188" s="53"/>
      <c r="I188" s="62"/>
    </row>
    <row r="189" spans="2:9">
      <c r="B189" s="66"/>
      <c r="C189" s="74"/>
      <c r="D189" s="74"/>
      <c r="E189" s="53"/>
      <c r="F189" s="53"/>
      <c r="G189" s="53"/>
      <c r="H189" s="53"/>
      <c r="I189" s="62"/>
    </row>
    <row r="190" spans="2:9">
      <c r="B190" s="72" t="s">
        <v>388</v>
      </c>
      <c r="C190" s="74"/>
      <c r="D190" s="74"/>
      <c r="E190" s="53"/>
      <c r="F190" s="53"/>
      <c r="G190" s="53"/>
      <c r="H190" s="53"/>
      <c r="I190" s="62"/>
    </row>
    <row r="191" spans="2:9">
      <c r="B191" s="59" t="s">
        <v>354</v>
      </c>
      <c r="C191" s="59" t="s">
        <v>355</v>
      </c>
      <c r="D191" s="60" t="s">
        <v>356</v>
      </c>
      <c r="E191" s="61" t="s">
        <v>357</v>
      </c>
      <c r="F191" s="53"/>
      <c r="G191" s="53"/>
      <c r="H191" s="53"/>
      <c r="I191" s="62"/>
    </row>
    <row r="192" spans="2:9">
      <c r="B192" s="76" t="s">
        <v>359</v>
      </c>
      <c r="C192" s="76"/>
      <c r="D192" s="76"/>
      <c r="E192" s="76"/>
      <c r="G192" s="53"/>
      <c r="H192" s="53"/>
      <c r="I192" s="62"/>
    </row>
    <row r="193" spans="2:9">
      <c r="B193" s="66" t="s">
        <v>389</v>
      </c>
      <c r="C193" s="74"/>
      <c r="D193" s="74"/>
      <c r="E193" s="53"/>
      <c r="F193" s="53"/>
      <c r="G193" s="53"/>
      <c r="H193" s="53"/>
      <c r="I193" s="62"/>
    </row>
    <row r="194" spans="2:9">
      <c r="B194" s="66"/>
      <c r="C194" s="74"/>
      <c r="D194" s="74"/>
      <c r="E194" s="53"/>
      <c r="F194" s="53"/>
      <c r="G194" s="53"/>
      <c r="H194" s="53"/>
      <c r="I194" s="62"/>
    </row>
    <row r="195" spans="2:9">
      <c r="B195" s="66" t="s">
        <v>390</v>
      </c>
      <c r="C195" s="74"/>
      <c r="D195" s="74"/>
      <c r="E195" s="53"/>
      <c r="F195" s="53"/>
      <c r="G195" s="53"/>
      <c r="H195" s="53"/>
      <c r="I195" s="62"/>
    </row>
    <row r="196" spans="2:9">
      <c r="B196" s="66" t="s">
        <v>391</v>
      </c>
      <c r="C196" s="74"/>
      <c r="D196" s="74"/>
      <c r="E196" s="53"/>
      <c r="F196" s="53"/>
      <c r="G196" s="53"/>
      <c r="H196" s="53"/>
      <c r="I196" s="62"/>
    </row>
    <row r="197" spans="2:9">
      <c r="B197" s="66" t="s">
        <v>392</v>
      </c>
      <c r="C197" s="74"/>
      <c r="D197" s="74"/>
      <c r="E197" s="53"/>
      <c r="F197" s="53"/>
      <c r="G197" s="53"/>
      <c r="H197" s="53"/>
      <c r="I197" s="62"/>
    </row>
    <row r="198" spans="2:9">
      <c r="B198" s="66" t="s">
        <v>393</v>
      </c>
      <c r="C198" s="74"/>
      <c r="D198" s="74"/>
      <c r="E198" s="53"/>
      <c r="F198" s="53"/>
      <c r="G198" s="53"/>
      <c r="H198" s="53"/>
      <c r="I198" s="62"/>
    </row>
    <row r="199" spans="2:9">
      <c r="B199" s="66"/>
      <c r="C199" s="74"/>
      <c r="D199" s="74"/>
      <c r="E199" s="53"/>
      <c r="F199" s="53"/>
      <c r="G199" s="53"/>
      <c r="H199" s="53"/>
      <c r="I199" s="62"/>
    </row>
    <row r="200" spans="2:9">
      <c r="B200" s="72" t="s">
        <v>394</v>
      </c>
      <c r="C200" s="74"/>
      <c r="D200" s="74"/>
      <c r="E200" s="53"/>
      <c r="F200" s="53"/>
      <c r="G200" s="53"/>
      <c r="H200" s="53"/>
      <c r="I200" s="62"/>
    </row>
    <row r="201" spans="2:9">
      <c r="B201" s="59" t="s">
        <v>354</v>
      </c>
      <c r="C201" s="59" t="s">
        <v>395</v>
      </c>
      <c r="D201" s="60" t="s">
        <v>396</v>
      </c>
      <c r="E201" s="61" t="s">
        <v>397</v>
      </c>
      <c r="F201" s="61" t="s">
        <v>398</v>
      </c>
      <c r="G201" s="53"/>
      <c r="H201" s="53"/>
      <c r="I201" s="62"/>
    </row>
    <row r="202" spans="2:9">
      <c r="B202" s="63" t="s">
        <v>359</v>
      </c>
      <c r="C202" s="64"/>
      <c r="D202" s="64"/>
      <c r="E202" s="64"/>
      <c r="F202" s="65"/>
      <c r="G202" s="53"/>
      <c r="H202" s="53"/>
      <c r="I202" s="62"/>
    </row>
    <row r="203" spans="2:9">
      <c r="B203" s="66" t="s">
        <v>399</v>
      </c>
      <c r="C203" s="74"/>
      <c r="D203" s="74"/>
      <c r="E203" s="53"/>
      <c r="F203" s="53"/>
      <c r="G203" s="53"/>
      <c r="H203" s="53"/>
      <c r="I203" s="62"/>
    </row>
    <row r="204" spans="2:9">
      <c r="B204" s="66"/>
      <c r="C204" s="74"/>
      <c r="D204" s="74"/>
      <c r="E204" s="53"/>
      <c r="F204" s="53"/>
      <c r="G204" s="53"/>
      <c r="H204" s="53"/>
      <c r="I204" s="62"/>
    </row>
    <row r="205" spans="2:9">
      <c r="B205" s="66" t="s">
        <v>400</v>
      </c>
      <c r="C205" s="74"/>
      <c r="D205" s="74"/>
      <c r="E205" s="53"/>
      <c r="F205" s="53"/>
      <c r="G205" s="53"/>
      <c r="H205" s="53"/>
      <c r="I205" s="62"/>
    </row>
    <row r="206" spans="2:9">
      <c r="B206" s="66" t="s">
        <v>391</v>
      </c>
      <c r="C206" s="74"/>
      <c r="D206" s="74"/>
      <c r="E206" s="53"/>
      <c r="F206" s="53"/>
      <c r="G206" s="53"/>
      <c r="H206" s="53"/>
      <c r="I206" s="62"/>
    </row>
    <row r="207" spans="2:9">
      <c r="B207" s="66" t="s">
        <v>392</v>
      </c>
      <c r="C207" s="74"/>
      <c r="D207" s="74"/>
      <c r="E207" s="53"/>
      <c r="F207" s="53"/>
      <c r="G207" s="53"/>
      <c r="H207" s="53"/>
      <c r="I207" s="62"/>
    </row>
    <row r="208" spans="2:9">
      <c r="B208" s="66" t="s">
        <v>393</v>
      </c>
      <c r="C208" s="74"/>
      <c r="D208" s="74"/>
      <c r="E208" s="53"/>
      <c r="F208" s="53"/>
      <c r="G208" s="53"/>
      <c r="H208" s="53"/>
      <c r="I208" s="62"/>
    </row>
    <row r="209" spans="2:9">
      <c r="B209" s="66"/>
      <c r="C209" s="74"/>
      <c r="D209" s="74"/>
      <c r="E209" s="53"/>
      <c r="F209" s="53"/>
      <c r="G209" s="53"/>
      <c r="H209" s="53"/>
      <c r="I209" s="62"/>
    </row>
    <row r="210" spans="2:9">
      <c r="B210" s="72" t="s">
        <v>401</v>
      </c>
      <c r="C210" s="74"/>
      <c r="D210" s="74"/>
      <c r="E210" s="53"/>
      <c r="F210" s="53"/>
      <c r="G210" s="53"/>
      <c r="H210" s="53"/>
      <c r="I210" s="62"/>
    </row>
    <row r="211" spans="2:9">
      <c r="B211" s="77"/>
      <c r="C211" s="78"/>
      <c r="D211" s="78"/>
      <c r="E211" s="78"/>
      <c r="F211" s="78"/>
      <c r="G211" s="78"/>
      <c r="H211" s="78"/>
      <c r="I211" s="79"/>
    </row>
  </sheetData>
  <mergeCells count="51">
    <mergeCell ref="B155:F155"/>
    <mergeCell ref="B192:E192"/>
    <mergeCell ref="B202:F202"/>
    <mergeCell ref="B124:C124"/>
    <mergeCell ref="B125:C125"/>
    <mergeCell ref="B126:C126"/>
    <mergeCell ref="B127:C127"/>
    <mergeCell ref="B128:C128"/>
    <mergeCell ref="B129:C129"/>
    <mergeCell ref="B118:C118"/>
    <mergeCell ref="B119:C119"/>
    <mergeCell ref="B120:C120"/>
    <mergeCell ref="B121:C121"/>
    <mergeCell ref="B122:C122"/>
    <mergeCell ref="B123:C123"/>
    <mergeCell ref="B111:C111"/>
    <mergeCell ref="B112:C112"/>
    <mergeCell ref="B114:C114"/>
    <mergeCell ref="B115:C115"/>
    <mergeCell ref="B116:C116"/>
    <mergeCell ref="B117:C117"/>
    <mergeCell ref="B105:C105"/>
    <mergeCell ref="B106:C106"/>
    <mergeCell ref="B107:C107"/>
    <mergeCell ref="B108:C108"/>
    <mergeCell ref="B109:C109"/>
    <mergeCell ref="B110:C110"/>
    <mergeCell ref="B99:C99"/>
    <mergeCell ref="B100:C100"/>
    <mergeCell ref="B101:C101"/>
    <mergeCell ref="B102:C102"/>
    <mergeCell ref="B103:C103"/>
    <mergeCell ref="B104:C104"/>
    <mergeCell ref="B93:C93"/>
    <mergeCell ref="B94:C94"/>
    <mergeCell ref="B95:C95"/>
    <mergeCell ref="B96:C96"/>
    <mergeCell ref="B97:C97"/>
    <mergeCell ref="B98:C98"/>
    <mergeCell ref="B87:C87"/>
    <mergeCell ref="B88:C88"/>
    <mergeCell ref="B89:C89"/>
    <mergeCell ref="B90:C90"/>
    <mergeCell ref="B91:C91"/>
    <mergeCell ref="B92:C9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964C926EE634F94080AFB32B7D72A" ma:contentTypeVersion="17" ma:contentTypeDescription="Create a new document." ma:contentTypeScope="" ma:versionID="351d0ea800a024e3795a0af1f16f9336">
  <xsd:schema xmlns:xsd="http://www.w3.org/2001/XMLSchema" xmlns:xs="http://www.w3.org/2001/XMLSchema" xmlns:p="http://schemas.microsoft.com/office/2006/metadata/properties" xmlns:ns2="458ab730-9737-4164-b31a-5b550e7ddb34" xmlns:ns3="50507d8e-f416-4fcd-bb38-657365fc4cb6" targetNamespace="http://schemas.microsoft.com/office/2006/metadata/properties" ma:root="true" ma:fieldsID="ecabf185bd0c32524be12c967b88497d" ns2:_="" ns3:_="">
    <xsd:import namespace="458ab730-9737-4164-b31a-5b550e7ddb34"/>
    <xsd:import namespace="50507d8e-f416-4fcd-bb38-657365fc4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b730-9737-4164-b31a-5b550e7dd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07d8e-f416-4fcd-bb38-657365fc4cb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e16616-dc96-4a12-925d-62ec653ac78a}" ma:internalName="TaxCatchAll" ma:showField="CatchAllData" ma:web="50507d8e-f416-4fcd-bb38-657365fc4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ab730-9737-4164-b31a-5b550e7ddb34">
      <Terms xmlns="http://schemas.microsoft.com/office/infopath/2007/PartnerControls"/>
    </lcf76f155ced4ddcb4097134ff3c332f>
    <TaxCatchAll xmlns="50507d8e-f416-4fcd-bb38-657365fc4cb6" xsi:nil="true"/>
  </documentManagement>
</p:properties>
</file>

<file path=customXml/itemProps1.xml><?xml version="1.0" encoding="utf-8"?>
<ds:datastoreItem xmlns:ds="http://schemas.openxmlformats.org/officeDocument/2006/customXml" ds:itemID="{CF21338C-4A5E-4941-ABEB-B13EB1D79954}"/>
</file>

<file path=customXml/itemProps2.xml><?xml version="1.0" encoding="utf-8"?>
<ds:datastoreItem xmlns:ds="http://schemas.openxmlformats.org/officeDocument/2006/customXml" ds:itemID="{1ADBEE88-C48E-4BCF-8AED-5166B54A8689}"/>
</file>

<file path=customXml/itemProps3.xml><?xml version="1.0" encoding="utf-8"?>
<ds:datastoreItem xmlns:ds="http://schemas.openxmlformats.org/officeDocument/2006/customXml" ds:itemID="{4D01DBF8-E2C8-47A4-9B8E-B0F2ED21D1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WOSOP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2026-06-08T12:30:07Z</dcterms:created>
  <dcterms:modified xsi:type="dcterms:W3CDTF">2026-06-08T12:30:07Z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0x010100F4C964C926EE634F94080AFB32B7D72A</vt:lpwstr>
  </property>
</Properties>
</file>