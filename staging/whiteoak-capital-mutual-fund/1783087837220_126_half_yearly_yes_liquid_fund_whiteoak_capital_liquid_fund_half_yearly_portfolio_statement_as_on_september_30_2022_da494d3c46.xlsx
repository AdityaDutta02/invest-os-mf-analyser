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Half Yearly/30 Sep 2022/"/>
    </mc:Choice>
  </mc:AlternateContent>
  <xr:revisionPtr revIDLastSave="37" documentId="11_2B5F2239099C42F0CDB03BEE431E4C9A7978E00D" xr6:coauthVersionLast="47" xr6:coauthVersionMax="47" xr10:uidLastSave="{FCB84181-C4FC-4E61-A2D0-AB3E9F180D19}"/>
  <bookViews>
    <workbookView xWindow="-120" yWindow="-120" windowWidth="20730" windowHeight="11160" xr2:uid="{00000000-000D-0000-FFFF-FFFF00000000}"/>
  </bookViews>
  <sheets>
    <sheet name="YM001" sheetId="1" r:id="rId1"/>
  </sheets>
  <externalReferences>
    <externalReference r:id="rId2"/>
  </externalReferences>
  <definedNames>
    <definedName name="JR_PAGE_ANCHOR_0_1">'YM001'!#REF!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F32" i="1"/>
  <c r="G28" i="1"/>
  <c r="F28" i="1"/>
  <c r="G23" i="1"/>
  <c r="F23" i="1"/>
  <c r="G18" i="1"/>
  <c r="F18" i="1"/>
  <c r="G9" i="1"/>
  <c r="F9" i="1"/>
  <c r="F12" i="1" l="1"/>
  <c r="F33" i="1"/>
  <c r="G12" i="1"/>
  <c r="G33" i="1"/>
  <c r="G29" i="1"/>
  <c r="F29" i="1"/>
  <c r="F35" i="1" l="1"/>
  <c r="G35" i="1"/>
</calcChain>
</file>

<file path=xl/sharedStrings.xml><?xml version="1.0" encoding="utf-8"?>
<sst xmlns="http://schemas.openxmlformats.org/spreadsheetml/2006/main" count="132" uniqueCount="111">
  <si>
    <t>WhiteOak Capital Liquid Fund</t>
  </si>
  <si>
    <t>(An Open Ended Liquid Scheme.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</si>
  <si>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</si>
  <si>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</si>
  <si>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</si>
  <si>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</si>
  <si>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</si>
  <si>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</si>
  <si>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</si>
  <si>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</si>
  <si>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</t>
  </si>
  <si>
    <t>Sub Total</t>
  </si>
  <si>
    <t>Total</t>
  </si>
  <si>
    <t>TREPS / Reverse Repo</t>
  </si>
  <si>
    <t>Net Receivables / (Payables)</t>
  </si>
  <si>
    <t>GRAND TOTAL</t>
  </si>
  <si>
    <t>Notes :</t>
  </si>
  <si>
    <t>(3)  Net Assets Value per unit (in Rupees) are as follows:</t>
  </si>
  <si>
    <t>Plan/Option</t>
  </si>
  <si>
    <t>As on March 31, 2022</t>
  </si>
  <si>
    <t>Direct Plan Growth</t>
  </si>
  <si>
    <t>Regular Plan Growth</t>
  </si>
  <si>
    <t>Regular Plan Fortnightly IDCW</t>
  </si>
  <si>
    <t>Regular Plan Monthly IDCW</t>
  </si>
  <si>
    <t>Direct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</si>
  <si>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</si>
  <si>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</si>
  <si>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</si>
  <si>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</si>
  <si>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</si>
  <si>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/>
  </si>
  <si>
    <t>(Rs. per unit)</t>
  </si>
  <si>
    <t xml:space="preserve">     Option Name</t>
  </si>
  <si>
    <t>Individual &amp; HUF *</t>
  </si>
  <si>
    <t>Others *</t>
  </si>
  <si>
    <t>Half Yearly Portfolio Statement as on September 30, 2022</t>
  </si>
  <si>
    <t>Debt Instruments</t>
  </si>
  <si>
    <t>(a) Listed / awaiting listing on Stock Exchange</t>
  </si>
  <si>
    <t>IOIC501</t>
  </si>
  <si>
    <t>5.05% Indian Oil Corporation Limited (25/11/2022) **</t>
  </si>
  <si>
    <t>INE242A08460</t>
  </si>
  <si>
    <t>(b) Privately placed / Unlisted</t>
  </si>
  <si>
    <t>NIL</t>
  </si>
  <si>
    <t>Certificate of Deposit</t>
  </si>
  <si>
    <t>HDFB800</t>
  </si>
  <si>
    <t>INE040A16CO3</t>
  </si>
  <si>
    <t>UTIB1249</t>
  </si>
  <si>
    <t>INE238AD6033</t>
  </si>
  <si>
    <t>PUBA967</t>
  </si>
  <si>
    <t>INE160A16MN0</t>
  </si>
  <si>
    <t>Commercial Paper</t>
  </si>
  <si>
    <t>HDFC1191</t>
  </si>
  <si>
    <t>INE001A14YZ0</t>
  </si>
  <si>
    <t>BGFL1024</t>
  </si>
  <si>
    <t>INE860H14Y41</t>
  </si>
  <si>
    <t>ICBR378</t>
  </si>
  <si>
    <t>INE763G14MX2</t>
  </si>
  <si>
    <t>TBIL2085</t>
  </si>
  <si>
    <t>91 Days Tbill (MD 17/11/2022)</t>
  </si>
  <si>
    <t>IN002022X205</t>
  </si>
  <si>
    <t>Sovereign</t>
  </si>
  <si>
    <t>TBIL2096</t>
  </si>
  <si>
    <t>91 Days Tbill (MD 08/12/2022)</t>
  </si>
  <si>
    <t>IN002022X239</t>
  </si>
  <si>
    <t>TBIL2070</t>
  </si>
  <si>
    <t>182 Days Tbill (MD 29/12/2022)</t>
  </si>
  <si>
    <t>IN002022Y138</t>
  </si>
  <si>
    <t>TRP_031022</t>
  </si>
  <si>
    <t>(1) The provision for below investment grade or default securities as of September 30, 2022 is Rs. Nil and its percentage to Net Asset Value is Nil.</t>
  </si>
  <si>
    <t>(2)  Deviation from the valuation prices given by valuation agencies during the half-year ended  September 30, 2022: Nil</t>
  </si>
  <si>
    <t>(4) Details of Dividend declared per unit (In Rupees) during the half year ending September 30, 2022:</t>
  </si>
  <si>
    <t>(5) No Bonus declared during the half-year ended September 30, 2022</t>
  </si>
  <si>
    <t>(6) Total outstanding exposure in derivative instruments as on September 30,2022 is Nil</t>
  </si>
  <si>
    <t>(7) Total investments in Foreign Securities / Overseas ETFs as at September 30,2022 and its percentage to NAV is Nil</t>
  </si>
  <si>
    <t>(9) Repo transactions in corporate debt securities as on September 30,2022 is Rs. Nil.</t>
  </si>
  <si>
    <t>As on September 30, 2022</t>
  </si>
  <si>
    <t>(8) Average maturity of the portfolio is 54 days</t>
  </si>
  <si>
    <t>**  Thinly Traded / Non Traded Security</t>
  </si>
  <si>
    <t>#  Unlisted Security</t>
  </si>
  <si>
    <t>* Dividends are declared on face value of Rs.1,000 per unit. After distribution of dividend, the NAV falls to the extent of dividend payout and statutory levy, if any.</t>
  </si>
  <si>
    <t>TREPS</t>
  </si>
  <si>
    <t>HDFC Bank Limited (13/12/2022)</t>
  </si>
  <si>
    <t>Axis Bank Limited (21/12/2022)</t>
  </si>
  <si>
    <t>Punjab National Bank (25/11/2022)</t>
  </si>
  <si>
    <t>Housing Development Finance Corporation Limited (29/11/2022)</t>
  </si>
  <si>
    <t>Aditya Birla Finance Limited (21/11/2022)</t>
  </si>
  <si>
    <t>ICICI Securities Limited (31/10/2022)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</si>
  <si>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</si>
  <si>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</si>
  <si>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</si>
  <si>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</si>
  <si>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</si>
  <si>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</si>
  <si>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</si>
  <si>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</si>
  <si>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Product Labelling &amp; Risk-o-Meter</t>
  </si>
  <si>
    <t>Scheme Risk-o-meter</t>
  </si>
  <si>
    <t>Benchmark Risk-o-meter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</si>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</sst>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67" formatCode="#.#######"/>
    <numFmt numFmtId="168" formatCode="0.0000"/>
    <numFmt numFmtId="169" formatCode="0.000000000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9" fontId="12" fillId="0" borderId="0" applyFont="0" applyFill="0" applyBorder="0" applyAlignment="0" applyProtection="0"/>
  </cellStyleXfs>
  <cellXfs count="131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1" xfId="0" applyFont="1" applyFill="1" applyBorder="1" applyAlignment="1">
      <alignment horizontal="left" vertical="top" wrapText="1"/>
    </xf>
    <xf numFmtId="164" fontId="4" fillId="2" borderId="2" xfId="0" applyNumberFormat="1" applyFont="1" applyFill="1" applyBorder="1" applyAlignment="1">
      <alignment horizontal="right" vertical="top" wrapText="1"/>
    </xf>
    <xf numFmtId="165" fontId="4" fillId="2" borderId="1" xfId="0" applyNumberFormat="1" applyFont="1" applyFill="1" applyBorder="1" applyAlignment="1">
      <alignment horizontal="right" vertical="top" wrapText="1"/>
    </xf>
    <xf numFmtId="164" fontId="3" fillId="2" borderId="3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8" fillId="0" borderId="0" xfId="1" applyNumberFormat="1" applyFont="1" applyFill="1" applyBorder="1" applyAlignment="1"/>
    <xf numFmtId="0" fontId="7" fillId="2" borderId="0" xfId="0" applyFont="1" applyFill="1" applyAlignment="1">
      <alignment horizontal="left" vertical="top"/>
    </xf>
    <xf numFmtId="0" fontId="0" fillId="2" borderId="0" xfId="0" applyFill="1" applyAlignment="1"/>
    <xf numFmtId="0" fontId="0" fillId="2" borderId="0" xfId="0" applyFill="1" applyAlignment="1">
      <alignment wrapText="1"/>
    </xf>
    <xf numFmtId="0" fontId="0" fillId="2" borderId="0" xfId="0" applyFill="1" applyAlignment="1" applyProtection="1">
      <protection locked="0"/>
    </xf>
    <xf numFmtId="0" fontId="9" fillId="0" borderId="0" xfId="1" applyNumberFormat="1" applyFont="1" applyFill="1" applyBorder="1" applyAlignment="1" applyProtection="1">
      <alignment horizontal="left" vertical="top"/>
    </xf>
    <xf numFmtId="0" fontId="2" fillId="2" borderId="0" xfId="0" applyFont="1" applyFill="1" applyAlignmen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165" fontId="4" fillId="0" borderId="1" xfId="0" applyNumberFormat="1" applyFont="1" applyFill="1" applyBorder="1" applyAlignment="1" applyProtection="1">
      <alignment horizontal="right" vertical="top" wrapText="1"/>
    </xf>
    <xf numFmtId="164" fontId="3" fillId="0" borderId="3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0" fontId="3" fillId="0" borderId="4" xfId="0" applyNumberFormat="1" applyFont="1" applyFill="1" applyBorder="1" applyAlignment="1" applyProtection="1">
      <alignment horizontal="righ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3" fontId="4" fillId="0" borderId="1" xfId="0" applyNumberFormat="1" applyFont="1" applyFill="1" applyBorder="1" applyAlignment="1" applyProtection="1">
      <alignment vertical="top" wrapText="1"/>
    </xf>
    <xf numFmtId="0" fontId="4" fillId="0" borderId="1" xfId="0" applyNumberFormat="1" applyFont="1" applyFill="1" applyBorder="1" applyAlignment="1" applyProtection="1">
      <alignment vertical="top" wrapText="1"/>
    </xf>
    <xf numFmtId="0" fontId="4" fillId="0" borderId="4" xfId="0" applyNumberFormat="1" applyFont="1" applyFill="1" applyBorder="1" applyAlignment="1" applyProtection="1">
      <alignment vertical="top" wrapText="1"/>
    </xf>
    <xf numFmtId="0" fontId="4" fillId="0" borderId="5" xfId="0" applyNumberFormat="1" applyFont="1" applyFill="1" applyBorder="1" applyAlignment="1" applyProtection="1">
      <alignment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2" fillId="0" borderId="0" xfId="0" applyFont="1" applyFill="1"/>
    <xf numFmtId="164" fontId="3" fillId="0" borderId="3" xfId="0" applyNumberFormat="1" applyFont="1" applyFill="1" applyBorder="1" applyAlignment="1">
      <alignment horizontal="right" vertical="top" wrapText="1"/>
    </xf>
    <xf numFmtId="165" fontId="3" fillId="0" borderId="4" xfId="0" applyNumberFormat="1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left" vertical="top"/>
    </xf>
    <xf numFmtId="0" fontId="0" fillId="0" borderId="0" xfId="0" applyFill="1" applyAlignment="1" applyProtection="1">
      <protection locked="0"/>
    </xf>
    <xf numFmtId="0" fontId="0" fillId="0" borderId="0" xfId="0" applyFill="1"/>
    <xf numFmtId="0" fontId="0" fillId="0" borderId="0" xfId="0" applyFill="1" applyAlignment="1"/>
    <xf numFmtId="0" fontId="6" fillId="0" borderId="6" xfId="0" applyFont="1" applyFill="1" applyBorder="1" applyAlignment="1">
      <alignment horizontal="left" vertical="top"/>
    </xf>
    <xf numFmtId="0" fontId="6" fillId="0" borderId="6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left" vertical="top"/>
    </xf>
    <xf numFmtId="167" fontId="7" fillId="0" borderId="6" xfId="0" applyNumberFormat="1" applyFont="1" applyFill="1" applyBorder="1" applyAlignment="1">
      <alignment horizontal="right" vertical="top"/>
    </xf>
    <xf numFmtId="0" fontId="10" fillId="0" borderId="6" xfId="0" applyFont="1" applyFill="1" applyBorder="1" applyAlignment="1">
      <alignment horizontal="left" vertical="top" wrapText="1"/>
    </xf>
    <xf numFmtId="0" fontId="10" fillId="0" borderId="6" xfId="1" applyFont="1" applyFill="1" applyBorder="1" applyAlignment="1">
      <alignment horizontal="center" vertical="top" wrapText="1"/>
    </xf>
    <xf numFmtId="0" fontId="10" fillId="0" borderId="0" xfId="0" applyFont="1" applyFill="1" applyAlignment="1">
      <alignment horizontal="right"/>
    </xf>
    <xf numFmtId="0" fontId="9" fillId="0" borderId="0" xfId="0" applyFont="1" applyFill="1" applyAlignment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 wrapText="1"/>
    </xf>
    <xf numFmtId="168" fontId="7" fillId="0" borderId="6" xfId="0" applyNumberFormat="1" applyFont="1" applyFill="1" applyBorder="1" applyAlignment="1">
      <alignment horizontal="right" vertical="top"/>
    </xf>
    <xf numFmtId="0" fontId="7" fillId="0" borderId="0" xfId="0" applyFont="1" applyFill="1" applyAlignment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11" fillId="0" borderId="0" xfId="0" applyNumberFormat="1" applyFont="1" applyFill="1" applyBorder="1" applyAlignment="1" applyProtection="1">
      <alignment wrapText="1"/>
      <protection locked="0"/>
    </xf>
    <xf numFmtId="0" fontId="11" fillId="2" borderId="0" xfId="0" applyFont="1" applyFill="1" applyAlignment="1" applyProtection="1">
      <alignment wrapText="1"/>
      <protection locked="0"/>
    </xf>
    <xf numFmtId="0" fontId="4" fillId="2" borderId="2" xfId="0" applyFont="1" applyFill="1" applyBorder="1" applyAlignment="1">
      <alignment horizontal="right" vertical="top" wrapText="1"/>
    </xf>
    <xf numFmtId="10" fontId="4" fillId="2" borderId="2" xfId="2" applyNumberFormat="1" applyFont="1" applyFill="1" applyBorder="1" applyAlignment="1">
      <alignment horizontal="right" vertical="top" wrapText="1"/>
    </xf>
    <xf numFmtId="10" fontId="3" fillId="2" borderId="2" xfId="2" applyNumberFormat="1" applyFont="1" applyFill="1" applyBorder="1" applyAlignment="1">
      <alignment horizontal="right" vertical="top" wrapText="1"/>
    </xf>
    <xf numFmtId="0" fontId="11" fillId="2" borderId="7" xfId="0" applyFont="1" applyFill="1" applyBorder="1" applyAlignment="1" applyProtection="1">
      <alignment wrapText="1"/>
      <protection locked="0"/>
    </xf>
    <xf numFmtId="10" fontId="4" fillId="2" borderId="1" xfId="2" applyNumberFormat="1" applyFont="1" applyFill="1" applyBorder="1" applyAlignment="1">
      <alignment horizontal="right" vertical="top" wrapText="1"/>
    </xf>
    <xf numFmtId="0" fontId="13" fillId="0" borderId="0" xfId="1" applyNumberFormat="1" applyFont="1" applyFill="1" applyBorder="1" applyAlignment="1" applyProtection="1">
      <alignment horizontal="left" vertical="top" wrapText="1"/>
    </xf>
    <xf numFmtId="0" fontId="13" fillId="0" borderId="0" xfId="1" applyNumberFormat="1" applyFont="1" applyFill="1" applyBorder="1" applyAlignment="1"/>
    <xf numFmtId="0" fontId="11" fillId="0" borderId="0" xfId="0" applyFont="1" applyFill="1" applyAlignment="1" applyProtection="1">
      <alignment wrapText="1"/>
      <protection locked="0"/>
    </xf>
    <xf numFmtId="0" fontId="11" fillId="0" borderId="0" xfId="0" applyFont="1" applyFill="1"/>
    <xf numFmtId="168" fontId="11" fillId="0" borderId="6" xfId="0" applyNumberFormat="1" applyFont="1" applyFill="1" applyBorder="1"/>
    <xf numFmtId="0" fontId="13" fillId="2" borderId="0" xfId="0" applyFont="1" applyFill="1" applyAlignment="1">
      <alignment horizontal="left" vertical="top"/>
    </xf>
    <xf numFmtId="0" fontId="11" fillId="2" borderId="0" xfId="0" applyFont="1" applyFill="1"/>
    <xf numFmtId="0" fontId="13" fillId="0" borderId="6" xfId="0" applyFont="1" applyFill="1" applyBorder="1" applyAlignment="1">
      <alignment horizontal="right" vertical="top"/>
    </xf>
    <xf numFmtId="4" fontId="11" fillId="0" borderId="0" xfId="0" applyNumberFormat="1" applyFont="1" applyFill="1"/>
    <xf numFmtId="0" fontId="13" fillId="0" borderId="0" xfId="0" applyFont="1" applyFill="1"/>
    <xf numFmtId="0" fontId="13" fillId="0" borderId="0" xfId="0" applyFont="1" applyFill="1" applyAlignment="1">
      <alignment horizontal="left" vertical="top" wrapText="1"/>
    </xf>
    <xf numFmtId="0" fontId="13" fillId="2" borderId="0" xfId="0" applyFont="1" applyFill="1"/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166" fontId="4" fillId="0" borderId="12" xfId="0" applyNumberFormat="1" applyFont="1" applyFill="1" applyBorder="1" applyAlignment="1" applyProtection="1">
      <alignment horizontal="right" vertical="top" wrapText="1"/>
    </xf>
    <xf numFmtId="0" fontId="3" fillId="0" borderId="13" xfId="0" applyNumberFormat="1" applyFont="1" applyFill="1" applyBorder="1" applyAlignment="1" applyProtection="1">
      <alignment horizontal="righ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11" fillId="2" borderId="0" xfId="0" applyFont="1" applyFill="1" applyBorder="1" applyAlignment="1" applyProtection="1">
      <alignment wrapText="1"/>
      <protection locked="0"/>
    </xf>
    <xf numFmtId="0" fontId="4" fillId="2" borderId="12" xfId="0" applyFont="1" applyFill="1" applyBorder="1" applyAlignment="1">
      <alignment horizontal="right" vertical="top" wrapText="1"/>
    </xf>
    <xf numFmtId="0" fontId="4" fillId="2" borderId="11" xfId="0" applyFont="1" applyFill="1" applyBorder="1" applyAlignment="1">
      <alignment horizontal="left" vertical="top" wrapText="1"/>
    </xf>
    <xf numFmtId="10" fontId="4" fillId="2" borderId="12" xfId="2" applyNumberFormat="1" applyFont="1" applyFill="1" applyBorder="1" applyAlignment="1">
      <alignment horizontal="right" vertical="top" wrapText="1"/>
    </xf>
    <xf numFmtId="0" fontId="10" fillId="2" borderId="0" xfId="0" applyFont="1" applyFill="1" applyBorder="1" applyAlignment="1" applyProtection="1">
      <alignment wrapText="1"/>
      <protection locked="0"/>
    </xf>
    <xf numFmtId="166" fontId="4" fillId="2" borderId="12" xfId="0" applyNumberFormat="1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vertical="top" wrapText="1"/>
    </xf>
    <xf numFmtId="164" fontId="3" fillId="2" borderId="17" xfId="0" applyNumberFormat="1" applyFont="1" applyFill="1" applyBorder="1" applyAlignment="1">
      <alignment horizontal="right" vertical="top" wrapText="1"/>
    </xf>
    <xf numFmtId="166" fontId="3" fillId="2" borderId="18" xfId="0" applyNumberFormat="1" applyFont="1" applyFill="1" applyBorder="1" applyAlignment="1">
      <alignment horizontal="right" vertical="top" wrapText="1"/>
    </xf>
    <xf numFmtId="0" fontId="3" fillId="2" borderId="19" xfId="0" applyFont="1" applyFill="1" applyBorder="1" applyAlignment="1">
      <alignment horizontal="right" vertical="top" wrapText="1"/>
    </xf>
    <xf numFmtId="169" fontId="11" fillId="0" borderId="0" xfId="0" applyNumberFormat="1" applyFont="1" applyFill="1"/>
    <xf numFmtId="10" fontId="10" fillId="0" borderId="0" xfId="0" applyNumberFormat="1" applyFont="1" applyFill="1"/>
    <xf numFmtId="0" fontId="7" fillId="0" borderId="0" xfId="0" applyFont="1" applyFill="1" applyAlignment="1">
      <alignment horizontal="left" vertical="top" wrapText="1"/>
    </xf>
    <xf numFmtId="10" fontId="11" fillId="0" borderId="0" xfId="0" applyNumberFormat="1" applyFont="1" applyFill="1"/>
    <xf numFmtId="0" fontId="3" fillId="0" borderId="20" xfId="0" applyFont="1" applyBorder="1" applyAlignment="1">
      <alignment horizontal="center" wrapText="1" readingOrder="1"/>
    </xf>
    <xf numFmtId="0" fontId="3" fillId="0" borderId="20" xfId="0" applyFont="1" applyBorder="1" applyAlignment="1">
      <alignment horizontal="justify" wrapText="1" readingOrder="1"/>
    </xf>
    <xf numFmtId="0" fontId="4" fillId="0" borderId="20" xfId="0" applyFont="1" applyBorder="1" applyAlignment="1">
      <alignment horizontal="justify" wrapText="1" readingOrder="1"/>
    </xf>
    <xf numFmtId="0" fontId="4" fillId="0" borderId="20" xfId="0" applyFont="1" applyBorder="1" applyAlignment="1">
      <alignment horizontal="left" wrapText="1" readingOrder="1"/>
    </xf>
    <xf numFmtId="0" fontId="3" fillId="0" borderId="20" xfId="0" applyFont="1" applyBorder="1" applyAlignment="1">
      <alignment horizontal="left" wrapText="1" readingOrder="1"/>
    </xf>
    <xf numFmtId="0" fontId="17" fillId="2" borderId="0" xfId="0" applyFont="1" applyFill="1"/>
    <xf numFmtId="0" fontId="13" fillId="0" borderId="0" xfId="0" applyFont="1"/>
    <xf numFmtId="0" fontId="4" fillId="0" borderId="20" xfId="0" applyFont="1" applyBorder="1" applyAlignment="1">
      <alignment horizontal="center" wrapText="1" readingOrder="1"/>
    </xf>
    <xf numFmtId="0" fontId="3" fillId="0" borderId="20" xfId="0" applyFont="1" applyBorder="1" applyAlignment="1">
      <alignment horizontal="left" vertical="top" wrapText="1" readingOrder="1"/>
    </xf>
    <xf numFmtId="0" fontId="10" fillId="0" borderId="0" xfId="0" applyFont="1"/>
    <xf numFmtId="0" fontId="3" fillId="3" borderId="20" xfId="0" applyFont="1" applyFill="1" applyBorder="1" applyAlignment="1">
      <alignment horizontal="center" vertical="center" wrapText="1" readingOrder="1"/>
    </xf>
    <xf numFmtId="0" fontId="3" fillId="0" borderId="21" xfId="0" applyFont="1" applyBorder="1" applyAlignment="1">
      <alignment horizontal="left" wrapText="1" readingOrder="1"/>
    </xf>
    <xf numFmtId="0" fontId="3" fillId="0" borderId="22" xfId="0" applyFont="1" applyBorder="1" applyAlignment="1">
      <alignment horizontal="left" wrapText="1" readingOrder="1"/>
    </xf>
    <xf numFmtId="0" fontId="16" fillId="0" borderId="23" xfId="0" applyFont="1" applyBorder="1" applyAlignment="1">
      <alignment horizontal="left" vertical="top" wrapText="1"/>
    </xf>
    <xf numFmtId="0" fontId="13" fillId="0" borderId="23" xfId="0" applyFont="1" applyBorder="1" applyAlignment="1">
      <alignment wrapText="1"/>
    </xf>
    <xf numFmtId="0" fontId="4" fillId="0" borderId="21" xfId="0" applyFont="1" applyBorder="1" applyAlignment="1">
      <alignment horizontal="justify" wrapText="1" readingOrder="1"/>
    </xf>
    <xf numFmtId="0" fontId="13" fillId="0" borderId="22" xfId="0" applyFont="1" applyBorder="1" applyAlignment="1">
      <alignment horizontal="justify" wrapText="1" readingOrder="1"/>
    </xf>
    <xf numFmtId="0" fontId="7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66674</xdr:colOff>
      <xdr:row>75</xdr:row>
      <xdr:rowOff>115018</xdr:rowOff>
    </xdr:from>
    <xdr:to>
      <xdr:col>9</xdr:col>
      <xdr:colOff>1877345</xdr:colOff>
      <xdr:row>76</xdr:row>
      <xdr:rowOff>757904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13EC8F-65A2-474C-AF4B-EB2B13C72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2319" y="16850341"/>
          <a:ext cx="1810671" cy="1257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214364</xdr:colOff>
      <xdr:row>75</xdr:row>
      <xdr:rowOff>68110</xdr:rowOff>
    </xdr:from>
    <xdr:to>
      <xdr:col>8</xdr:col>
      <xdr:colOff>2014589</xdr:colOff>
      <xdr:row>76</xdr:row>
      <xdr:rowOff>727177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A6BD5C-DB99-410D-94E6-8457550F9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8719" y="16803433"/>
          <a:ext cx="1800225" cy="1273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685800</xdr:colOff>
      <xdr:row>82</xdr:row>
      <xdr:rowOff>85725</xdr:rowOff>
    </xdr:from>
    <xdr:to>
      <xdr:col>6</xdr:col>
      <xdr:colOff>1038225</xdr:colOff>
      <xdr:row>83</xdr:row>
      <xdr:rowOff>111640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79E3B746-A95F-4267-B90A-E351B740242E}"/>
            </a:ext>
          </a:extLst>
        </xdr:cNvPr>
        <xdr:cNvSpPr/>
      </xdr:nvSpPr>
      <xdr:spPr>
        <a:xfrm>
          <a:off x="7153275" y="95059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1038227</xdr:colOff>
      <xdr:row>84</xdr:row>
      <xdr:rowOff>9524</xdr:rowOff>
    </xdr:from>
    <xdr:to>
      <xdr:col>6</xdr:col>
      <xdr:colOff>1266826</xdr:colOff>
      <xdr:row>84</xdr:row>
      <xdr:rowOff>323851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39D17533-FA11-465F-BCF6-0A597AE2B6FB}"/>
            </a:ext>
          </a:extLst>
        </xdr:cNvPr>
        <xdr:cNvSpPr/>
      </xdr:nvSpPr>
      <xdr:spPr>
        <a:xfrm rot="5400000">
          <a:off x="7472363" y="9863138"/>
          <a:ext cx="2952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J98"/>
  <sheetViews>
    <sheetView showGridLines="0" tabSelected="1" topLeftCell="C69" zoomScale="93" zoomScaleNormal="93" workbookViewId="0">
      <selection activeCell="G73" sqref="G73:J73"/>
    </sheetView>
  </sheetViews>
  <sheetFormatPr defaultColWidth="8.85546875" defaultRowHeight="15"/>
  <cols>
    <col min="1" max="1" width="3.42578125" style="18" customWidth="1"/>
    <col min="2" max="2" width="48.85546875" style="1" customWidth="1"/>
    <col min="3" max="3" width="12.85546875" style="1" customWidth="1"/>
    <col min="4" max="4" width="12.42578125" style="1" customWidth="1"/>
    <col min="5" max="5" width="9.140625" style="1" customWidth="1"/>
    <col min="6" max="6" width="27.42578125" style="1" customWidth="1"/>
    <col min="7" max="7" width="34" style="1" customWidth="1"/>
    <col min="8" max="8" width="30.7109375" style="1" customWidth="1"/>
    <col min="9" max="9" width="32.5703125" style="1" customWidth="1"/>
    <col min="10" max="10" width="29.28515625" style="1" customWidth="1"/>
    <col min="11" max="16384" width="8.85546875" style="1"/>
  </cols>
  <sheetData>
    <row r="1" spans="1:8" ht="15.75">
      <c r="B1" s="128" t="s">
        <v>0</v>
      </c>
      <c r="C1" s="128"/>
      <c r="D1" s="128"/>
      <c r="E1" s="128"/>
      <c r="F1" s="128"/>
      <c r="G1" s="128"/>
      <c r="H1" s="128"/>
    </row>
    <row r="2" spans="1:8" ht="15.75">
      <c r="B2" s="128" t="s">
        <v>1</v>
      </c>
      <c r="C2" s="128"/>
      <c r="D2" s="128"/>
      <c r="E2" s="128"/>
      <c r="F2" s="128"/>
      <c r="G2" s="128"/>
      <c r="H2" s="128"/>
    </row>
    <row r="3" spans="1:8" ht="15.75">
      <c r="B3" s="128" t="s">
        <v>35</v>
      </c>
      <c r="C3" s="128"/>
      <c r="D3" s="128"/>
      <c r="E3" s="128"/>
      <c r="F3" s="128"/>
      <c r="G3" s="128"/>
      <c r="H3" s="128"/>
    </row>
    <row r="4" spans="1:8" ht="15.75" thickBot="1">
      <c r="B4" s="42"/>
      <c r="C4" s="42"/>
      <c r="D4" s="42"/>
      <c r="E4" s="42"/>
      <c r="F4" s="42"/>
      <c r="G4" s="42"/>
      <c r="H4" s="42"/>
    </row>
    <row r="5" spans="1:8">
      <c r="A5" s="20"/>
      <c r="B5" s="82" t="s">
        <v>2</v>
      </c>
      <c r="C5" s="83" t="s">
        <v>3</v>
      </c>
      <c r="D5" s="83" t="s">
        <v>4</v>
      </c>
      <c r="E5" s="83" t="s">
        <v>5</v>
      </c>
      <c r="F5" s="83" t="s">
        <v>6</v>
      </c>
      <c r="G5" s="83" t="s">
        <v>7</v>
      </c>
      <c r="H5" s="84" t="s">
        <v>8</v>
      </c>
    </row>
    <row r="6" spans="1:8">
      <c r="A6" s="23"/>
      <c r="B6" s="85" t="s">
        <v>36</v>
      </c>
      <c r="C6" s="24"/>
      <c r="D6" s="24"/>
      <c r="E6" s="24"/>
      <c r="F6" s="24"/>
      <c r="G6" s="24"/>
      <c r="H6" s="86"/>
    </row>
    <row r="7" spans="1:8">
      <c r="A7" s="23"/>
      <c r="B7" s="85" t="s">
        <v>37</v>
      </c>
      <c r="C7" s="24"/>
      <c r="D7" s="24"/>
      <c r="E7" s="24"/>
      <c r="F7" s="63"/>
      <c r="G7" s="62"/>
      <c r="H7" s="86"/>
    </row>
    <row r="8" spans="1:8" ht="36">
      <c r="A8" s="25" t="s">
        <v>38</v>
      </c>
      <c r="B8" s="87" t="s">
        <v>39</v>
      </c>
      <c r="C8" s="24" t="s">
        <v>40</v>
      </c>
      <c r="D8" s="24"/>
      <c r="E8" s="33">
        <v>50</v>
      </c>
      <c r="F8" s="26">
        <v>499.02</v>
      </c>
      <c r="G8" s="27">
        <v>4.3499999999999997E-2</v>
      </c>
      <c r="H8" s="88">
        <v>6.25E-2</v>
      </c>
    </row>
    <row r="9" spans="1:8">
      <c r="A9" s="23"/>
      <c r="B9" s="85" t="s">
        <v>11</v>
      </c>
      <c r="C9" s="24"/>
      <c r="D9" s="24"/>
      <c r="E9" s="34"/>
      <c r="F9" s="28">
        <f>SUM(F8)</f>
        <v>499.02</v>
      </c>
      <c r="G9" s="29">
        <f>SUM(G8)</f>
        <v>4.3499999999999997E-2</v>
      </c>
      <c r="H9" s="89"/>
    </row>
    <row r="10" spans="1:8">
      <c r="A10" s="23"/>
      <c r="B10" s="90" t="s">
        <v>41</v>
      </c>
      <c r="C10" s="31"/>
      <c r="D10" s="31"/>
      <c r="E10" s="35"/>
      <c r="F10" s="30" t="s">
        <v>42</v>
      </c>
      <c r="G10" s="30" t="s">
        <v>42</v>
      </c>
      <c r="H10" s="89"/>
    </row>
    <row r="11" spans="1:8">
      <c r="A11" s="23"/>
      <c r="B11" s="90" t="s">
        <v>11</v>
      </c>
      <c r="C11" s="31"/>
      <c r="D11" s="31"/>
      <c r="E11" s="35"/>
      <c r="F11" s="30" t="s">
        <v>42</v>
      </c>
      <c r="G11" s="30" t="s">
        <v>42</v>
      </c>
      <c r="H11" s="89"/>
    </row>
    <row r="12" spans="1:8">
      <c r="A12" s="23"/>
      <c r="B12" s="90" t="s">
        <v>12</v>
      </c>
      <c r="C12" s="32"/>
      <c r="D12" s="31"/>
      <c r="E12" s="36"/>
      <c r="F12" s="28">
        <f>F9</f>
        <v>499.02</v>
      </c>
      <c r="G12" s="29">
        <f>G9</f>
        <v>4.3499999999999997E-2</v>
      </c>
      <c r="H12" s="89"/>
    </row>
    <row r="13" spans="1:8">
      <c r="A13" s="20"/>
      <c r="B13" s="91" t="s">
        <v>9</v>
      </c>
      <c r="C13" s="3"/>
      <c r="D13" s="3"/>
      <c r="E13" s="37"/>
      <c r="F13" s="92"/>
      <c r="G13" s="65"/>
      <c r="H13" s="93"/>
    </row>
    <row r="14" spans="1:8">
      <c r="A14" s="20"/>
      <c r="B14" s="91" t="s">
        <v>43</v>
      </c>
      <c r="C14" s="3"/>
      <c r="D14" s="3"/>
      <c r="E14" s="37"/>
      <c r="F14" s="92"/>
      <c r="G14" s="65"/>
      <c r="H14" s="93"/>
    </row>
    <row r="15" spans="1:8" ht="24">
      <c r="A15" s="41" t="s">
        <v>44</v>
      </c>
      <c r="B15" s="94" t="s">
        <v>81</v>
      </c>
      <c r="C15" s="3" t="s">
        <v>45</v>
      </c>
      <c r="D15" s="3"/>
      <c r="E15" s="37">
        <v>200</v>
      </c>
      <c r="F15" s="92">
        <v>987.56</v>
      </c>
      <c r="G15" s="66">
        <v>8.6099999999999996E-2</v>
      </c>
      <c r="H15" s="95">
        <v>6.3002000000000002E-2</v>
      </c>
    </row>
    <row r="16" spans="1:8" ht="24">
      <c r="A16" s="41" t="s">
        <v>46</v>
      </c>
      <c r="B16" s="94" t="s">
        <v>82</v>
      </c>
      <c r="C16" s="3" t="s">
        <v>47</v>
      </c>
      <c r="D16" s="3"/>
      <c r="E16" s="37">
        <v>200</v>
      </c>
      <c r="F16" s="92">
        <v>986.16</v>
      </c>
      <c r="G16" s="66">
        <v>8.5999999999999993E-2</v>
      </c>
      <c r="H16" s="95">
        <v>6.3247999999999999E-2</v>
      </c>
    </row>
    <row r="17" spans="1:8" ht="24">
      <c r="A17" s="41" t="s">
        <v>48</v>
      </c>
      <c r="B17" s="94" t="s">
        <v>83</v>
      </c>
      <c r="C17" s="3" t="s">
        <v>49</v>
      </c>
      <c r="D17" s="3"/>
      <c r="E17" s="37">
        <v>140</v>
      </c>
      <c r="F17" s="92">
        <v>693.42</v>
      </c>
      <c r="G17" s="66">
        <v>6.0499999999999998E-2</v>
      </c>
      <c r="H17" s="95">
        <v>6.3E-2</v>
      </c>
    </row>
    <row r="18" spans="1:8">
      <c r="A18" s="25"/>
      <c r="B18" s="91" t="s">
        <v>11</v>
      </c>
      <c r="C18" s="3"/>
      <c r="D18" s="3"/>
      <c r="E18" s="37"/>
      <c r="F18" s="96">
        <f>SUM(F15:F17)</f>
        <v>2667.14</v>
      </c>
      <c r="G18" s="67">
        <f>SUM(G15:G17)</f>
        <v>0.23259999999999997</v>
      </c>
      <c r="H18" s="93"/>
    </row>
    <row r="19" spans="1:8">
      <c r="A19" s="25"/>
      <c r="B19" s="91" t="s">
        <v>50</v>
      </c>
      <c r="C19" s="3"/>
      <c r="D19" s="3"/>
      <c r="E19" s="37"/>
      <c r="F19" s="92"/>
      <c r="G19" s="65"/>
      <c r="H19" s="93"/>
    </row>
    <row r="20" spans="1:8" ht="24">
      <c r="A20" s="41" t="s">
        <v>51</v>
      </c>
      <c r="B20" s="94" t="s">
        <v>84</v>
      </c>
      <c r="C20" s="3" t="s">
        <v>52</v>
      </c>
      <c r="D20" s="3"/>
      <c r="E20" s="37">
        <v>218</v>
      </c>
      <c r="F20" s="92">
        <v>1078.75</v>
      </c>
      <c r="G20" s="66">
        <v>9.4100000000000003E-2</v>
      </c>
      <c r="H20" s="95">
        <v>6.4500000000000002E-2</v>
      </c>
    </row>
    <row r="21" spans="1:8" ht="24">
      <c r="A21" s="41" t="s">
        <v>53</v>
      </c>
      <c r="B21" s="94" t="s">
        <v>85</v>
      </c>
      <c r="C21" s="3" t="s">
        <v>54</v>
      </c>
      <c r="D21" s="3"/>
      <c r="E21" s="37">
        <v>140</v>
      </c>
      <c r="F21" s="92">
        <v>693.61</v>
      </c>
      <c r="G21" s="66">
        <v>6.0499999999999998E-2</v>
      </c>
      <c r="H21" s="95">
        <v>6.5951999999999997E-2</v>
      </c>
    </row>
    <row r="22" spans="1:8" ht="24">
      <c r="A22" s="41" t="s">
        <v>55</v>
      </c>
      <c r="B22" s="94" t="s">
        <v>86</v>
      </c>
      <c r="C22" s="3" t="s">
        <v>56</v>
      </c>
      <c r="D22" s="3"/>
      <c r="E22" s="37">
        <v>130</v>
      </c>
      <c r="F22" s="92">
        <v>646.5</v>
      </c>
      <c r="G22" s="66">
        <v>5.6399999999999999E-2</v>
      </c>
      <c r="H22" s="95">
        <v>6.5951999999999997E-2</v>
      </c>
    </row>
    <row r="23" spans="1:8">
      <c r="A23" s="41"/>
      <c r="B23" s="91" t="s">
        <v>11</v>
      </c>
      <c r="C23" s="3"/>
      <c r="D23" s="3"/>
      <c r="E23" s="37"/>
      <c r="F23" s="96">
        <f>SUM(F20:F22)</f>
        <v>2418.86</v>
      </c>
      <c r="G23" s="67">
        <f>SUM(G20:G22)</f>
        <v>0.21100000000000002</v>
      </c>
      <c r="H23" s="93"/>
    </row>
    <row r="24" spans="1:8">
      <c r="A24" s="25"/>
      <c r="B24" s="91" t="s">
        <v>10</v>
      </c>
      <c r="C24" s="3"/>
      <c r="D24" s="3"/>
      <c r="E24" s="37"/>
      <c r="F24" s="92"/>
      <c r="G24" s="65"/>
      <c r="H24" s="93"/>
    </row>
    <row r="25" spans="1:8">
      <c r="A25" s="41" t="s">
        <v>57</v>
      </c>
      <c r="B25" s="94" t="s">
        <v>58</v>
      </c>
      <c r="C25" s="3" t="s">
        <v>59</v>
      </c>
      <c r="D25" s="3" t="s">
        <v>60</v>
      </c>
      <c r="E25" s="37">
        <v>2000000</v>
      </c>
      <c r="F25" s="68">
        <v>1984.87</v>
      </c>
      <c r="G25" s="69">
        <v>0.1731</v>
      </c>
      <c r="H25" s="95">
        <v>5.9200999999999997E-2</v>
      </c>
    </row>
    <row r="26" spans="1:8">
      <c r="A26" s="41" t="s">
        <v>61</v>
      </c>
      <c r="B26" s="94" t="s">
        <v>62</v>
      </c>
      <c r="C26" s="3" t="s">
        <v>63</v>
      </c>
      <c r="D26" s="3" t="s">
        <v>60</v>
      </c>
      <c r="E26" s="38">
        <v>2000000</v>
      </c>
      <c r="F26" s="4">
        <v>1977.89</v>
      </c>
      <c r="G26" s="5">
        <v>0.1724</v>
      </c>
      <c r="H26" s="97">
        <v>0.06</v>
      </c>
    </row>
    <row r="27" spans="1:8">
      <c r="A27" s="41" t="s">
        <v>64</v>
      </c>
      <c r="B27" s="94" t="s">
        <v>65</v>
      </c>
      <c r="C27" s="3" t="s">
        <v>66</v>
      </c>
      <c r="D27" s="3" t="s">
        <v>60</v>
      </c>
      <c r="E27" s="38">
        <v>500000</v>
      </c>
      <c r="F27" s="4">
        <v>492.77</v>
      </c>
      <c r="G27" s="5">
        <v>4.2999999999999997E-2</v>
      </c>
      <c r="H27" s="97">
        <v>6.0199999999999997E-2</v>
      </c>
    </row>
    <row r="28" spans="1:8">
      <c r="A28" s="25"/>
      <c r="B28" s="91" t="s">
        <v>11</v>
      </c>
      <c r="C28" s="3"/>
      <c r="D28" s="3"/>
      <c r="E28" s="37"/>
      <c r="F28" s="6">
        <f>SUM(F25:F27)</f>
        <v>4455.5300000000007</v>
      </c>
      <c r="G28" s="7">
        <f>SUM(G25:G27)</f>
        <v>0.38850000000000001</v>
      </c>
      <c r="H28" s="98"/>
    </row>
    <row r="29" spans="1:8">
      <c r="A29" s="25"/>
      <c r="B29" s="99" t="s">
        <v>12</v>
      </c>
      <c r="C29" s="8"/>
      <c r="D29" s="9"/>
      <c r="E29" s="39"/>
      <c r="F29" s="43">
        <f>F28+F23+F18</f>
        <v>9541.5300000000007</v>
      </c>
      <c r="G29" s="44">
        <f>G28+G23+G18</f>
        <v>0.83210000000000006</v>
      </c>
      <c r="H29" s="98"/>
    </row>
    <row r="30" spans="1:8">
      <c r="A30" s="25"/>
      <c r="B30" s="91" t="s">
        <v>13</v>
      </c>
      <c r="C30" s="3"/>
      <c r="D30" s="3"/>
      <c r="E30" s="37"/>
      <c r="F30" s="92"/>
      <c r="G30" s="65"/>
      <c r="H30" s="93"/>
    </row>
    <row r="31" spans="1:8" s="19" customFormat="1">
      <c r="A31" s="41" t="s">
        <v>67</v>
      </c>
      <c r="B31" s="94" t="s">
        <v>80</v>
      </c>
      <c r="C31" s="3"/>
      <c r="D31" s="3"/>
      <c r="E31" s="38"/>
      <c r="F31" s="4">
        <v>1792.4</v>
      </c>
      <c r="G31" s="5">
        <v>0.15629999999999999</v>
      </c>
      <c r="H31" s="97">
        <v>6.0192182025410421E-2</v>
      </c>
    </row>
    <row r="32" spans="1:8">
      <c r="A32" s="25"/>
      <c r="B32" s="91" t="s">
        <v>11</v>
      </c>
      <c r="C32" s="3"/>
      <c r="D32" s="3"/>
      <c r="E32" s="37"/>
      <c r="F32" s="6">
        <f>F31</f>
        <v>1792.4</v>
      </c>
      <c r="G32" s="7">
        <f>G31</f>
        <v>0.15629999999999999</v>
      </c>
      <c r="H32" s="98"/>
    </row>
    <row r="33" spans="1:8">
      <c r="A33" s="25"/>
      <c r="B33" s="99" t="s">
        <v>12</v>
      </c>
      <c r="C33" s="8"/>
      <c r="D33" s="9"/>
      <c r="E33" s="39"/>
      <c r="F33" s="6">
        <f>F32</f>
        <v>1792.4</v>
      </c>
      <c r="G33" s="7">
        <f>G32</f>
        <v>0.15629999999999999</v>
      </c>
      <c r="H33" s="98"/>
    </row>
    <row r="34" spans="1:8">
      <c r="A34" s="25"/>
      <c r="B34" s="99" t="s">
        <v>14</v>
      </c>
      <c r="C34" s="3"/>
      <c r="D34" s="9"/>
      <c r="E34" s="37"/>
      <c r="F34" s="10">
        <v>-363.29</v>
      </c>
      <c r="G34" s="7">
        <v>-3.1899999999999998E-2</v>
      </c>
      <c r="H34" s="98"/>
    </row>
    <row r="35" spans="1:8" ht="15.75" thickBot="1">
      <c r="A35" s="25"/>
      <c r="B35" s="100" t="s">
        <v>15</v>
      </c>
      <c r="C35" s="101"/>
      <c r="D35" s="101"/>
      <c r="E35" s="102"/>
      <c r="F35" s="103">
        <f>F29+F33+F34+F12</f>
        <v>11469.66</v>
      </c>
      <c r="G35" s="104">
        <f>G29+G33+G34+G12</f>
        <v>1</v>
      </c>
      <c r="H35" s="105"/>
    </row>
    <row r="36" spans="1:8">
      <c r="A36" s="20"/>
      <c r="B36" s="11"/>
      <c r="C36" s="12"/>
      <c r="D36" s="12"/>
      <c r="E36" s="40"/>
      <c r="F36" s="13"/>
      <c r="G36" s="14"/>
      <c r="H36" s="15"/>
    </row>
    <row r="37" spans="1:8">
      <c r="A37" s="20"/>
      <c r="B37" s="11" t="s">
        <v>77</v>
      </c>
      <c r="C37" s="12"/>
      <c r="D37" s="12"/>
      <c r="E37" s="40"/>
      <c r="F37" s="13"/>
      <c r="G37" s="14"/>
      <c r="H37" s="15"/>
    </row>
    <row r="38" spans="1:8">
      <c r="A38" s="20"/>
      <c r="B38" s="11" t="s">
        <v>78</v>
      </c>
      <c r="C38" s="12"/>
      <c r="D38" s="12"/>
      <c r="E38" s="40"/>
      <c r="F38" s="13"/>
      <c r="G38" s="14"/>
      <c r="H38" s="15"/>
    </row>
    <row r="39" spans="1:8">
      <c r="A39" s="20"/>
      <c r="B39" s="12"/>
      <c r="C39" s="64"/>
      <c r="D39" s="64"/>
      <c r="E39" s="64"/>
      <c r="F39" s="64"/>
      <c r="G39" s="64"/>
      <c r="H39" s="64"/>
    </row>
    <row r="40" spans="1:8">
      <c r="A40" s="20"/>
      <c r="B40" s="129" t="s">
        <v>16</v>
      </c>
      <c r="C40" s="129"/>
      <c r="D40" s="129"/>
      <c r="E40" s="129"/>
      <c r="F40" s="64"/>
      <c r="G40" s="64"/>
      <c r="H40" s="64"/>
    </row>
    <row r="41" spans="1:8" s="48" customFormat="1" ht="16.149999999999999" customHeight="1">
      <c r="A41" s="47"/>
      <c r="B41" s="127" t="s">
        <v>68</v>
      </c>
      <c r="C41" s="127"/>
      <c r="D41" s="127"/>
      <c r="E41" s="127"/>
      <c r="F41" s="127"/>
      <c r="G41" s="127"/>
      <c r="H41" s="127"/>
    </row>
    <row r="42" spans="1:8" s="16" customFormat="1" ht="12.75">
      <c r="A42" s="21"/>
      <c r="B42" s="58" t="s">
        <v>69</v>
      </c>
      <c r="C42" s="59"/>
      <c r="D42" s="70"/>
      <c r="E42" s="70"/>
      <c r="F42" s="70"/>
      <c r="G42" s="70"/>
      <c r="H42" s="71"/>
    </row>
    <row r="43" spans="1:8" s="48" customFormat="1">
      <c r="A43" s="47"/>
      <c r="B43" s="127" t="s">
        <v>17</v>
      </c>
      <c r="C43" s="130"/>
      <c r="D43" s="130"/>
      <c r="E43" s="130"/>
      <c r="F43" s="72"/>
      <c r="G43" s="72"/>
      <c r="H43" s="72"/>
    </row>
    <row r="44" spans="1:8" s="48" customFormat="1" ht="36">
      <c r="A44" s="49"/>
      <c r="B44" s="50" t="s">
        <v>18</v>
      </c>
      <c r="C44" s="51" t="s">
        <v>75</v>
      </c>
      <c r="D44" s="51" t="s">
        <v>19</v>
      </c>
      <c r="E44" s="73"/>
      <c r="F44" s="45"/>
      <c r="G44" s="73"/>
      <c r="H44" s="73"/>
    </row>
    <row r="45" spans="1:8" s="48" customFormat="1">
      <c r="A45" s="49"/>
      <c r="B45" s="52" t="s">
        <v>20</v>
      </c>
      <c r="C45" s="60">
        <v>1170.5540000000001</v>
      </c>
      <c r="D45" s="53">
        <v>1145.9956</v>
      </c>
      <c r="E45" s="73"/>
      <c r="F45" s="106"/>
      <c r="G45" s="73"/>
      <c r="H45" s="107"/>
    </row>
    <row r="46" spans="1:8" s="48" customFormat="1">
      <c r="A46" s="49"/>
      <c r="B46" s="52" t="s">
        <v>21</v>
      </c>
      <c r="C46" s="74">
        <v>1166.7959000000001</v>
      </c>
      <c r="D46" s="74">
        <v>1142.9831999999999</v>
      </c>
      <c r="E46" s="73"/>
      <c r="F46" s="106"/>
      <c r="G46" s="73"/>
      <c r="H46" s="109"/>
    </row>
    <row r="47" spans="1:8" s="48" customFormat="1">
      <c r="A47" s="49"/>
      <c r="B47" s="52" t="s">
        <v>22</v>
      </c>
      <c r="C47" s="60">
        <v>1003.412</v>
      </c>
      <c r="D47" s="53">
        <v>1002.9949</v>
      </c>
      <c r="E47" s="73"/>
      <c r="F47" s="106"/>
      <c r="G47" s="73"/>
      <c r="H47" s="109"/>
    </row>
    <row r="48" spans="1:8" s="48" customFormat="1">
      <c r="A48" s="49"/>
      <c r="B48" s="52" t="s">
        <v>23</v>
      </c>
      <c r="C48" s="53">
        <v>1003.2704</v>
      </c>
      <c r="D48" s="53">
        <v>1002.7521</v>
      </c>
      <c r="E48" s="73"/>
      <c r="F48" s="106"/>
      <c r="G48" s="73"/>
      <c r="H48" s="109"/>
    </row>
    <row r="49" spans="1:8" s="48" customFormat="1">
      <c r="A49" s="49"/>
      <c r="B49" s="52" t="s">
        <v>24</v>
      </c>
      <c r="C49" s="53">
        <v>1002.7972</v>
      </c>
      <c r="D49" s="53">
        <v>1002.2884</v>
      </c>
      <c r="E49" s="73"/>
      <c r="F49" s="106"/>
      <c r="G49" s="73"/>
      <c r="H49" s="107"/>
    </row>
    <row r="50" spans="1:8" s="48" customFormat="1">
      <c r="A50" s="49"/>
      <c r="B50" s="52" t="s">
        <v>25</v>
      </c>
      <c r="C50" s="53">
        <v>1001.9781</v>
      </c>
      <c r="D50" s="60">
        <v>1001.562</v>
      </c>
      <c r="E50" s="73"/>
      <c r="F50" s="106"/>
      <c r="G50" s="73"/>
      <c r="H50" s="109"/>
    </row>
    <row r="51" spans="1:8" s="48" customFormat="1">
      <c r="A51" s="49"/>
      <c r="B51" s="52" t="s">
        <v>26</v>
      </c>
      <c r="C51" s="53">
        <v>1002.0857</v>
      </c>
      <c r="D51" s="53">
        <v>1001.5587</v>
      </c>
      <c r="E51" s="73"/>
      <c r="F51" s="106"/>
      <c r="G51" s="73"/>
      <c r="H51" s="107"/>
    </row>
    <row r="52" spans="1:8" s="48" customFormat="1">
      <c r="A52" s="49"/>
      <c r="B52" s="52" t="s">
        <v>27</v>
      </c>
      <c r="C52" s="60">
        <v>1000.974</v>
      </c>
      <c r="D52" s="53">
        <v>1000.9629</v>
      </c>
      <c r="E52" s="73"/>
      <c r="F52" s="106"/>
      <c r="G52" s="73"/>
      <c r="H52" s="107"/>
    </row>
    <row r="53" spans="1:8" s="48" customFormat="1">
      <c r="A53" s="49"/>
      <c r="B53" s="52" t="s">
        <v>28</v>
      </c>
      <c r="C53" s="53">
        <v>1000.9512999999999</v>
      </c>
      <c r="D53" s="60">
        <v>1000.947</v>
      </c>
      <c r="E53" s="73"/>
      <c r="F53" s="106"/>
      <c r="G53" s="73"/>
      <c r="H53" s="109"/>
    </row>
    <row r="54" spans="1:8" s="48" customFormat="1">
      <c r="A54" s="49"/>
      <c r="B54" s="52" t="s">
        <v>29</v>
      </c>
      <c r="C54" s="53">
        <v>1001.4015000000001</v>
      </c>
      <c r="D54" s="53">
        <v>1000.9888</v>
      </c>
      <c r="E54" s="73"/>
      <c r="F54" s="106"/>
      <c r="G54" s="73"/>
      <c r="H54" s="107"/>
    </row>
    <row r="55" spans="1:8">
      <c r="B55" s="17" t="s">
        <v>30</v>
      </c>
      <c r="C55" s="75"/>
      <c r="D55" s="75"/>
      <c r="E55" s="76"/>
      <c r="F55" s="76"/>
      <c r="G55" s="76"/>
      <c r="H55" s="76"/>
    </row>
    <row r="56" spans="1:8" s="48" customFormat="1">
      <c r="A56" s="49"/>
      <c r="B56" s="127" t="s">
        <v>70</v>
      </c>
      <c r="C56" s="127"/>
      <c r="D56" s="127"/>
      <c r="E56" s="127"/>
      <c r="F56" s="73"/>
      <c r="G56" s="73"/>
      <c r="H56" s="73"/>
    </row>
    <row r="57" spans="1:8" s="48" customFormat="1">
      <c r="A57" s="49"/>
      <c r="B57" s="46"/>
      <c r="C57" s="46"/>
      <c r="D57" s="56" t="s">
        <v>31</v>
      </c>
      <c r="E57" s="73"/>
      <c r="F57" s="73"/>
      <c r="G57" s="73"/>
      <c r="H57" s="73"/>
    </row>
    <row r="58" spans="1:8" s="48" customFormat="1" ht="24">
      <c r="A58" s="49"/>
      <c r="B58" s="54" t="s">
        <v>32</v>
      </c>
      <c r="C58" s="55" t="s">
        <v>33</v>
      </c>
      <c r="D58" s="55" t="s">
        <v>34</v>
      </c>
      <c r="E58" s="73"/>
      <c r="F58" s="73"/>
      <c r="G58" s="73"/>
      <c r="H58" s="73"/>
    </row>
    <row r="59" spans="1:8" s="48" customFormat="1">
      <c r="A59" s="49"/>
      <c r="B59" s="52" t="s">
        <v>27</v>
      </c>
      <c r="C59" s="77">
        <v>24.031561009999997</v>
      </c>
      <c r="D59" s="77">
        <v>24.031561009999997</v>
      </c>
      <c r="E59" s="78"/>
      <c r="F59" s="73"/>
      <c r="G59" s="73"/>
      <c r="H59" s="73"/>
    </row>
    <row r="60" spans="1:8" s="48" customFormat="1">
      <c r="A60" s="49"/>
      <c r="B60" s="52" t="s">
        <v>29</v>
      </c>
      <c r="C60" s="77">
        <v>20.732739269999996</v>
      </c>
      <c r="D60" s="77">
        <v>20.732739269999996</v>
      </c>
      <c r="E60" s="78"/>
      <c r="F60" s="73"/>
      <c r="G60" s="73"/>
      <c r="H60" s="73"/>
    </row>
    <row r="61" spans="1:8" s="48" customFormat="1">
      <c r="A61" s="49"/>
      <c r="B61" s="52" t="s">
        <v>24</v>
      </c>
      <c r="C61" s="77">
        <v>20.76264759</v>
      </c>
      <c r="D61" s="77">
        <v>20.76264759</v>
      </c>
      <c r="E61" s="78"/>
      <c r="F61" s="73"/>
      <c r="G61" s="73"/>
      <c r="H61" s="73"/>
    </row>
    <row r="62" spans="1:8" s="48" customFormat="1">
      <c r="A62" s="49"/>
      <c r="B62" s="52" t="s">
        <v>26</v>
      </c>
      <c r="C62" s="77">
        <v>21.451110189999998</v>
      </c>
      <c r="D62" s="77">
        <v>21.451110189999998</v>
      </c>
      <c r="E62" s="78"/>
      <c r="F62" s="73"/>
      <c r="G62" s="73"/>
      <c r="H62" s="73"/>
    </row>
    <row r="63" spans="1:8" s="48" customFormat="1">
      <c r="A63" s="49"/>
      <c r="B63" s="52" t="s">
        <v>28</v>
      </c>
      <c r="C63" s="77">
        <v>20.761779110000003</v>
      </c>
      <c r="D63" s="77">
        <v>20.761779110000003</v>
      </c>
      <c r="E63" s="78"/>
      <c r="F63" s="73"/>
      <c r="G63" s="73"/>
      <c r="H63" s="73"/>
    </row>
    <row r="64" spans="1:8" s="48" customFormat="1">
      <c r="A64" s="49"/>
      <c r="B64" s="52" t="s">
        <v>22</v>
      </c>
      <c r="C64" s="77">
        <v>20.253954419999996</v>
      </c>
      <c r="D64" s="77">
        <v>20.253954419999996</v>
      </c>
      <c r="E64" s="78"/>
      <c r="F64" s="73"/>
      <c r="G64" s="73"/>
      <c r="H64" s="73"/>
    </row>
    <row r="65" spans="1:10" s="48" customFormat="1">
      <c r="A65" s="49"/>
      <c r="B65" s="52" t="s">
        <v>23</v>
      </c>
      <c r="C65" s="77">
        <v>20.176756470000001</v>
      </c>
      <c r="D65" s="77">
        <v>20.176756470000001</v>
      </c>
      <c r="E65" s="78"/>
      <c r="F65" s="73"/>
      <c r="G65" s="73"/>
      <c r="H65" s="73"/>
    </row>
    <row r="66" spans="1:10" s="48" customFormat="1">
      <c r="A66" s="49"/>
      <c r="B66" s="52" t="s">
        <v>25</v>
      </c>
      <c r="C66" s="77">
        <v>20.238195350000005</v>
      </c>
      <c r="D66" s="77">
        <v>20.238195350000005</v>
      </c>
      <c r="E66" s="78"/>
      <c r="F66" s="73"/>
      <c r="G66" s="73"/>
      <c r="H66" s="73"/>
    </row>
    <row r="67" spans="1:10" s="48" customFormat="1">
      <c r="A67" s="57"/>
      <c r="B67" s="79" t="s">
        <v>79</v>
      </c>
      <c r="C67" s="61"/>
      <c r="D67" s="80"/>
      <c r="E67" s="80"/>
      <c r="F67" s="80"/>
      <c r="G67" s="80"/>
      <c r="H67" s="73"/>
    </row>
    <row r="68" spans="1:10">
      <c r="B68" s="46" t="s">
        <v>71</v>
      </c>
      <c r="C68" s="75"/>
      <c r="D68" s="75"/>
      <c r="E68" s="76"/>
      <c r="F68" s="76"/>
      <c r="G68" s="76"/>
      <c r="H68" s="76"/>
    </row>
    <row r="69" spans="1:10">
      <c r="B69" s="46" t="s">
        <v>72</v>
      </c>
      <c r="C69" s="17"/>
      <c r="D69" s="75"/>
      <c r="E69" s="76"/>
      <c r="F69" s="76"/>
      <c r="G69" s="76"/>
      <c r="H69" s="76"/>
    </row>
    <row r="70" spans="1:10">
      <c r="B70" s="17" t="s">
        <v>73</v>
      </c>
      <c r="C70" s="17"/>
      <c r="D70" s="75"/>
      <c r="E70" s="76"/>
      <c r="F70" s="76"/>
      <c r="G70" s="76"/>
      <c r="H70" s="76"/>
    </row>
    <row r="71" spans="1:10" s="2" customFormat="1">
      <c r="A71" s="22"/>
      <c r="B71" s="108" t="s">
        <v>76</v>
      </c>
      <c r="C71" s="75"/>
      <c r="D71" s="75"/>
      <c r="E71" s="81"/>
      <c r="F71" s="81"/>
      <c r="G71" s="81"/>
      <c r="H71" s="81"/>
    </row>
    <row r="72" spans="1:10">
      <c r="B72" s="46" t="s">
        <v>74</v>
      </c>
      <c r="C72" s="76"/>
      <c r="D72" s="76"/>
      <c r="E72" s="76"/>
      <c r="F72" s="76"/>
      <c r="G72" s="76"/>
      <c r="H72" s="76"/>
    </row>
    <row r="73" spans="1:10" ht="15.75" thickBot="1">
      <c r="B73" s="76"/>
      <c r="C73" s="76"/>
      <c r="D73" s="76"/>
      <c r="E73" s="76"/>
      <c r="F73" s="76"/>
      <c r="G73" s="123" t="s">
        <v>95</v>
      </c>
      <c r="H73" s="124"/>
      <c r="I73" s="124"/>
      <c r="J73" s="124"/>
    </row>
    <row r="74" spans="1:10" ht="15.75" thickBot="1">
      <c r="G74" s="110" t="s">
        <v>87</v>
      </c>
      <c r="H74" s="110" t="s">
        <v>88</v>
      </c>
      <c r="I74" s="110" t="s">
        <v>96</v>
      </c>
      <c r="J74" s="110" t="s">
        <v>97</v>
      </c>
    </row>
    <row r="75" spans="1:10" ht="25.5" thickBot="1">
      <c r="G75" s="111" t="s">
        <v>0</v>
      </c>
      <c r="H75" s="112" t="s">
        <v>89</v>
      </c>
      <c r="I75" s="112"/>
      <c r="J75" s="112"/>
    </row>
    <row r="76" spans="1:10" ht="48" customHeight="1" thickBot="1">
      <c r="G76" s="113" t="s">
        <v>90</v>
      </c>
      <c r="H76" s="113" t="s">
        <v>91</v>
      </c>
      <c r="I76" s="125"/>
      <c r="J76" s="125"/>
    </row>
    <row r="77" spans="1:10" ht="80.25" customHeight="1" thickBot="1">
      <c r="G77" s="113"/>
      <c r="H77" s="114" t="s">
        <v>92</v>
      </c>
      <c r="I77" s="126"/>
      <c r="J77" s="126"/>
    </row>
    <row r="78" spans="1:10" ht="15.75" thickBot="1">
      <c r="G78" s="112"/>
      <c r="H78" s="112"/>
      <c r="I78" s="112"/>
      <c r="J78" s="111" t="s">
        <v>93</v>
      </c>
    </row>
    <row r="79" spans="1:10" ht="15.75" thickBot="1">
      <c r="G79" s="112"/>
      <c r="H79" s="112"/>
      <c r="I79" s="112"/>
      <c r="J79" s="112" t="s">
        <v>94</v>
      </c>
    </row>
    <row r="82" spans="7:10" ht="15.75" thickBot="1">
      <c r="G82" s="119" t="s">
        <v>98</v>
      </c>
      <c r="H82" s="116"/>
      <c r="I82" s="116"/>
      <c r="J82" s="116"/>
    </row>
    <row r="83" spans="7:10" ht="15.75" thickBot="1">
      <c r="G83" s="121" t="s">
        <v>99</v>
      </c>
      <c r="H83" s="117" t="s">
        <v>100</v>
      </c>
      <c r="I83" s="117" t="s">
        <v>101</v>
      </c>
      <c r="J83" s="117" t="s">
        <v>102</v>
      </c>
    </row>
    <row r="84" spans="7:10" ht="15.75" thickBot="1">
      <c r="G84" s="122"/>
      <c r="H84" s="117" t="s">
        <v>103</v>
      </c>
      <c r="I84" s="117" t="s">
        <v>104</v>
      </c>
      <c r="J84" s="117" t="s">
        <v>105</v>
      </c>
    </row>
    <row r="85" spans="7:10" ht="15.75" thickBot="1">
      <c r="G85" s="118" t="s">
        <v>106</v>
      </c>
      <c r="H85" s="113"/>
      <c r="I85" s="113"/>
      <c r="J85" s="113"/>
    </row>
    <row r="86" spans="7:10" ht="15.75" thickBot="1">
      <c r="G86" s="113" t="s">
        <v>107</v>
      </c>
      <c r="H86" s="113"/>
      <c r="I86" s="120" t="s">
        <v>108</v>
      </c>
      <c r="J86" s="113"/>
    </row>
    <row r="87" spans="7:10" ht="15.75" thickBot="1">
      <c r="G87" s="113" t="s">
        <v>109</v>
      </c>
      <c r="H87" s="113"/>
      <c r="I87" s="113"/>
      <c r="J87" s="113"/>
    </row>
    <row r="88" spans="7:10" ht="15.75" thickBot="1">
      <c r="G88" s="113" t="s">
        <v>110</v>
      </c>
      <c r="H88" s="113"/>
      <c r="I88" s="113"/>
      <c r="J88" s="113"/>
    </row>
    <row r="98" spans="9:9">
      <c r="I98" s="115"/>
    </row>
  </sheetData>
  <mergeCells count="11">
    <mergeCell ref="B1:H1"/>
    <mergeCell ref="B2:H2"/>
    <mergeCell ref="B3:H3"/>
    <mergeCell ref="B40:E40"/>
    <mergeCell ref="B43:E43"/>
    <mergeCell ref="B41:H41"/>
    <mergeCell ref="G83:G84"/>
    <mergeCell ref="G73:J73"/>
    <mergeCell ref="I76:I77"/>
    <mergeCell ref="J76:J77"/>
    <mergeCell ref="B56:E56"/>
  </mergeCells>
  <pageMargins left="0.25" right="0.25" top="0.75" bottom="0.75" header="0.3" footer="0.3"/>
  <pageSetup paperSize="8" scale="87"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C33B87-7781-440B-90C3-0F3817A74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063002-C4AF-4F6E-AE47-F0424EEE4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cp:lastPrinted>2022-10-06T16:47:39Z</cp:lastPrinted>
  <dcterms:created xsi:type="dcterms:W3CDTF">2022-04-08T12:18:39Z</dcterms:created>
  <dcterms:modified xsi:type="dcterms:W3CDTF">2022-10-08T15:47:57Z</dcterms:modified>
</cp:coreProperties>
</file>