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CommonFundADM7\Yes Mutual Fund\Reporting\Half Yearly\MAR 2023\WhiteOak MF- HY Portfolio Mar 2023\HY-Final\"/>
    </mc:Choice>
  </mc:AlternateContent>
  <xr:revisionPtr revIDLastSave="0" documentId="13_ncr:1_{33455C1B-9058-45E4-B227-E6394EEBAD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YM001" sheetId="1" r:id="rId1"/>
  </sheets>
  <externalReferences>
    <externalReference r:id="rId2"/>
  </externalReferences>
  <definedNames>
    <definedName name="JR_PAGE_ANCHOR_0_1">'YM001'!#REF!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F40" i="1"/>
</calcChain>
</file>

<file path=xl/sharedStrings.xml><?xml version="1.0" encoding="utf-8"?>
<sst xmlns="http://schemas.openxmlformats.org/spreadsheetml/2006/main" count="154" uniqueCount="122">
  <si>
    <t>WhiteOak Capital Liquid Fund</t>
  </si>
  <si>
    <t>(An Open Ended Liquid Scheme.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</si>
  <si>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</si>
  <si>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</si>
  <si>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</si>
  <si>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</si>
  <si>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</si>
  <si>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</si>
  <si>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</si>
  <si>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</si>
  <si>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</t>
  </si>
  <si>
    <t>Sub Total</t>
  </si>
  <si>
    <t>Total</t>
  </si>
  <si>
    <t>Net Receivables / (Payables)</t>
  </si>
  <si>
    <t>GRAND TOTAL</t>
  </si>
  <si>
    <t>Notes :</t>
  </si>
  <si>
    <t>(3)  Net Assets Value per unit (in Rupees) are as follows:</t>
  </si>
  <si>
    <t>Plan/Option</t>
  </si>
  <si>
    <t>Direct Plan Growth</t>
  </si>
  <si>
    <t>Regular Plan Growth</t>
  </si>
  <si>
    <t>Regular Plan Fortnightly IDCW</t>
  </si>
  <si>
    <t>Regular Plan Monthly IDCW</t>
  </si>
  <si>
    <t>Direct Plan Monthly IDCW</t>
  </si>
  <si>
    <t>Regular Plan Weekly IDCW</t>
  </si>
  <si>
    <t>Direct Plan Weekly IDCW</t>
  </si>
  <si>
    <t>Direct Plan Daily IDCW</t>
  </si>
  <si>
    <t>Regular Plan Daily IDCW</t>
  </si>
  <si>
    <t>Direct Plan Fortnightly IDCW</t>
  </si>
  <si>
    <t/>
  </si>
  <si>
    <t>(Rs. per unit)</t>
  </si>
  <si>
    <t xml:space="preserve">     Option Name</t>
  </si>
  <si>
    <t>Individual &amp; HUF *</t>
  </si>
  <si>
    <t>Others *</t>
  </si>
  <si>
    <t>Debt Instruments</t>
  </si>
  <si>
    <t>(a) Listed / awaiting listing on Stock Exchange</t>
  </si>
  <si>
    <t>IOIC501</t>
  </si>
  <si>
    <t>(b) Privately placed / Unlisted</t>
  </si>
  <si>
    <t>NIL</t>
  </si>
  <si>
    <t>Certificate of Deposit</t>
  </si>
  <si>
    <t>HDFB800</t>
  </si>
  <si>
    <t>UTIB1249</t>
  </si>
  <si>
    <t>PUBA967</t>
  </si>
  <si>
    <t>Commercial Paper</t>
  </si>
  <si>
    <t>HDFC1191</t>
  </si>
  <si>
    <t>BGFL1024</t>
  </si>
  <si>
    <t>ICBR378</t>
  </si>
  <si>
    <t>TBIL2085</t>
  </si>
  <si>
    <t>Sovereign</t>
  </si>
  <si>
    <t>TBIL2096</t>
  </si>
  <si>
    <t>TBIL2070</t>
  </si>
  <si>
    <t>TRP_031022</t>
  </si>
  <si>
    <t>As on September 30, 2022</t>
  </si>
  <si>
    <t>**  Thinly Traded / Non Traded Security</t>
  </si>
  <si>
    <t>#  Unlisted Security</t>
  </si>
  <si>
    <t>* Dividends are declared on face value of Rs.1,000 per unit. After distribution of dividend, the NAV falls to the extent of dividend payout and statutory levy, if any.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</si>
  <si>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</si>
  <si>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</si>
  <si>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</si>
  <si>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</si>
  <si>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</si>
  <si>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</si>
  <si>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</si>
  <si>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</si>
  <si>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Product Labelling &amp; Risk-o-Meter</t>
  </si>
  <si>
    <t>Scheme Risk-o-meter</t>
  </si>
  <si>
    <t>Benchmark Risk-o-meter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</si>
  <si>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</si>
  <si>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</si>
  <si>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</si>
  <si>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</si>
  <si>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</si>
  <si>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</si>
  <si>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</si>
  <si>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</si>
  <si>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</si>
  <si>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</si>
  <si>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</si>
  <si>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</si>
  <si>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</si>
  <si>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Half Yearly Portfolio Statement as on March 31, 2023</t>
  </si>
  <si>
    <t xml:space="preserve">6.19% Indian Railway Finance Corporation Limited (28/04/2023) </t>
  </si>
  <si>
    <t>5.7% Cholamandalam Investment and Finance Company Ltd (11/05/2023) **</t>
  </si>
  <si>
    <t>HDFC Bank Limited (15/05/2023)  #</t>
  </si>
  <si>
    <t>Canara Bank (10/04/2023) ** #</t>
  </si>
  <si>
    <t>IndusInd Bank Limited (31/05/2023) ** #</t>
  </si>
  <si>
    <t>Axis Bank Limited (09/06/2023) ** #</t>
  </si>
  <si>
    <t>Punjab National Bank (18/05/2023)  #</t>
  </si>
  <si>
    <t>National Bank For Agriculture and Rural Development (28/04/2023) **</t>
  </si>
  <si>
    <t>ICICI Securities Limited (16/05/2023) **</t>
  </si>
  <si>
    <t>Aditya Birla Finance Limited (07/06/2023) **</t>
  </si>
  <si>
    <t>91 Days Tbill (MD 01/06/2023)</t>
  </si>
  <si>
    <t>91 Days Tbill (MD 13/04/2023)</t>
  </si>
  <si>
    <t>91 Days Tbill (MD 11/05/2023)</t>
  </si>
  <si>
    <t>Reverse Repo / TREPS</t>
  </si>
  <si>
    <t>Clearing Corporation of India Ltd</t>
  </si>
  <si>
    <t>INE053F07CC9</t>
  </si>
  <si>
    <t>CRISIL AAA</t>
  </si>
  <si>
    <t>INE121A07QA9</t>
  </si>
  <si>
    <t>ICRA AA+</t>
  </si>
  <si>
    <t>INE040A16DF9</t>
  </si>
  <si>
    <t>CARE A1+</t>
  </si>
  <si>
    <t>INE476A16US2</t>
  </si>
  <si>
    <t>CRISIL A1+</t>
  </si>
  <si>
    <t>INE095A16P93</t>
  </si>
  <si>
    <t>INE238AD6371</t>
  </si>
  <si>
    <t>INE160A16MY7</t>
  </si>
  <si>
    <t>INE261F14JM8</t>
  </si>
  <si>
    <t>INE763G14OS8</t>
  </si>
  <si>
    <t>INE860H14Z40</t>
  </si>
  <si>
    <t>ICRA A1+</t>
  </si>
  <si>
    <t>IN002022X486</t>
  </si>
  <si>
    <t>IN002022X411</t>
  </si>
  <si>
    <t>IN002022X452</t>
  </si>
  <si>
    <t>As on March 31, 2023</t>
  </si>
  <si>
    <t>(1) The provision for below investment grade or default securities as of March 31, 2023 is Rs. Nil and its percentage to Net Asset Value is Nil.</t>
  </si>
  <si>
    <t>(2)  Deviation from the valuation prices given by valuation agencies during the half-year ended  March 31, 2023: Nil</t>
  </si>
  <si>
    <t>(4) Details of Dividend declared per unit (In Rupees) during the half year ending March 31, 2023:</t>
  </si>
  <si>
    <t>(5) No Bonus declared during the half-year ended March 31, 2023</t>
  </si>
  <si>
    <t>(8) Average maturity of the portfolio is 42 days</t>
  </si>
  <si>
    <t>(6) Total outstanding exposure in derivative instruments as on March 31,2023 is Nil</t>
  </si>
  <si>
    <t>(7) Total investments in Foreign Securities / Overseas ETFs as at March 31,2023 and its percentage to NAV is Nil</t>
  </si>
  <si>
    <t>(9) Repo transactions in corporate debt securities as on March 31,2023 is Rs.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</si>
</sst>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.#######"/>
    <numFmt numFmtId="168" formatCode="0.0000"/>
    <numFmt numFmtId="169" formatCode="0.0000000000000"/>
    <numFmt numFmtId="171" formatCode="#,##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0"/>
      <name val="SansSerif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100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 wrapText="1"/>
    </xf>
    <xf numFmtId="166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8" fillId="0" borderId="0" xfId="1" applyNumberFormat="1" applyFont="1" applyFill="1" applyBorder="1" applyAlignment="1"/>
    <xf numFmtId="0" fontId="7" fillId="2" borderId="0" xfId="0" applyFont="1" applyFill="1" applyAlignment="1">
      <alignment horizontal="left" vertical="top"/>
    </xf>
    <xf numFmtId="0" fontId="0" fillId="2" borderId="0" xfId="0" applyFill="1" applyAlignment="1"/>
    <xf numFmtId="0" fontId="0" fillId="2" borderId="0" xfId="0" applyFill="1" applyAlignment="1">
      <alignment wrapText="1"/>
    </xf>
    <xf numFmtId="0" fontId="0" fillId="2" borderId="0" xfId="0" applyFill="1" applyAlignment="1" applyProtection="1">
      <protection locked="0"/>
    </xf>
    <xf numFmtId="0" fontId="9" fillId="0" borderId="0" xfId="1" applyNumberFormat="1" applyFont="1" applyFill="1" applyBorder="1" applyAlignment="1" applyProtection="1">
      <alignment horizontal="left" vertical="top"/>
    </xf>
    <xf numFmtId="0" fontId="2" fillId="2" borderId="0" xfId="0" applyFont="1" applyFill="1" applyAlignmen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NumberFormat="1" applyFont="1" applyFill="1" applyBorder="1" applyAlignment="1" applyProtection="1">
      <alignment horizontal="left" vertical="top"/>
    </xf>
    <xf numFmtId="0" fontId="2" fillId="0" borderId="0" xfId="0" applyFont="1" applyFill="1"/>
    <xf numFmtId="0" fontId="6" fillId="0" borderId="0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left" vertical="top"/>
    </xf>
    <xf numFmtId="0" fontId="0" fillId="0" borderId="0" xfId="0" applyFill="1" applyAlignment="1" applyProtection="1">
      <protection locked="0"/>
    </xf>
    <xf numFmtId="0" fontId="0" fillId="0" borderId="0" xfId="0" applyFill="1"/>
    <xf numFmtId="0" fontId="0" fillId="0" borderId="0" xfId="0" applyFill="1" applyAlignment="1"/>
    <xf numFmtId="0" fontId="6" fillId="0" borderId="6" xfId="0" applyFont="1" applyFill="1" applyBorder="1" applyAlignment="1">
      <alignment horizontal="left" vertical="top"/>
    </xf>
    <xf numFmtId="0" fontId="6" fillId="0" borderId="6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left" vertical="top"/>
    </xf>
    <xf numFmtId="167" fontId="7" fillId="0" borderId="6" xfId="0" applyNumberFormat="1" applyFont="1" applyFill="1" applyBorder="1" applyAlignment="1">
      <alignment horizontal="right" vertical="top"/>
    </xf>
    <xf numFmtId="0" fontId="10" fillId="0" borderId="6" xfId="0" applyFont="1" applyFill="1" applyBorder="1" applyAlignment="1">
      <alignment horizontal="left" vertical="top" wrapText="1"/>
    </xf>
    <xf numFmtId="0" fontId="10" fillId="0" borderId="6" xfId="1" applyFont="1" applyFill="1" applyBorder="1" applyAlignment="1">
      <alignment horizontal="center" vertical="top" wrapText="1"/>
    </xf>
    <xf numFmtId="0" fontId="10" fillId="0" borderId="0" xfId="0" applyFont="1" applyFill="1" applyAlignment="1">
      <alignment horizontal="right"/>
    </xf>
    <xf numFmtId="0" fontId="9" fillId="0" borderId="0" xfId="0" applyFont="1" applyFill="1" applyAlignment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 wrapText="1"/>
    </xf>
    <xf numFmtId="168" fontId="7" fillId="0" borderId="6" xfId="0" applyNumberFormat="1" applyFont="1" applyFill="1" applyBorder="1" applyAlignment="1">
      <alignment horizontal="right" vertical="top"/>
    </xf>
    <xf numFmtId="0" fontId="7" fillId="0" borderId="0" xfId="0" applyFont="1" applyFill="1" applyAlignment="1">
      <alignment horizontal="left" vertical="top" wrapText="1"/>
    </xf>
    <xf numFmtId="0" fontId="11" fillId="2" borderId="0" xfId="0" applyFont="1" applyFill="1" applyAlignment="1" applyProtection="1">
      <alignment wrapText="1"/>
      <protection locked="0"/>
    </xf>
    <xf numFmtId="0" fontId="12" fillId="0" borderId="0" xfId="1" applyNumberFormat="1" applyFont="1" applyFill="1" applyBorder="1" applyAlignment="1" applyProtection="1">
      <alignment horizontal="left" vertical="top" wrapText="1"/>
    </xf>
    <xf numFmtId="0" fontId="12" fillId="0" borderId="0" xfId="1" applyNumberFormat="1" applyFont="1" applyFill="1" applyBorder="1" applyAlignment="1"/>
    <xf numFmtId="0" fontId="11" fillId="0" borderId="0" xfId="0" applyFont="1" applyFill="1" applyAlignment="1" applyProtection="1">
      <alignment wrapText="1"/>
      <protection locked="0"/>
    </xf>
    <xf numFmtId="0" fontId="11" fillId="0" borderId="0" xfId="0" applyFont="1" applyFill="1"/>
    <xf numFmtId="168" fontId="11" fillId="0" borderId="6" xfId="0" applyNumberFormat="1" applyFont="1" applyFill="1" applyBorder="1"/>
    <xf numFmtId="0" fontId="12" fillId="2" borderId="0" xfId="0" applyFont="1" applyFill="1" applyAlignment="1">
      <alignment horizontal="left" vertical="top"/>
    </xf>
    <xf numFmtId="0" fontId="11" fillId="2" borderId="0" xfId="0" applyFont="1" applyFill="1"/>
    <xf numFmtId="0" fontId="12" fillId="0" borderId="6" xfId="0" applyFont="1" applyFill="1" applyBorder="1" applyAlignment="1">
      <alignment horizontal="right" vertical="top"/>
    </xf>
    <xf numFmtId="4" fontId="11" fillId="0" borderId="0" xfId="0" applyNumberFormat="1" applyFont="1" applyFill="1"/>
    <xf numFmtId="0" fontId="12" fillId="0" borderId="0" xfId="0" applyFont="1" applyFill="1"/>
    <xf numFmtId="0" fontId="12" fillId="0" borderId="0" xfId="0" applyFont="1" applyFill="1" applyAlignment="1">
      <alignment horizontal="left" vertical="top" wrapText="1"/>
    </xf>
    <xf numFmtId="0" fontId="12" fillId="2" borderId="0" xfId="0" applyFont="1" applyFill="1"/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vertical="top" wrapText="1"/>
    </xf>
    <xf numFmtId="164" fontId="3" fillId="2" borderId="12" xfId="0" applyNumberFormat="1" applyFont="1" applyFill="1" applyBorder="1" applyAlignment="1">
      <alignment horizontal="right" vertical="top" wrapText="1"/>
    </xf>
    <xf numFmtId="166" fontId="3" fillId="2" borderId="13" xfId="0" applyNumberFormat="1" applyFont="1" applyFill="1" applyBorder="1" applyAlignment="1">
      <alignment horizontal="right" vertical="top" wrapText="1"/>
    </xf>
    <xf numFmtId="0" fontId="3" fillId="2" borderId="14" xfId="0" applyFont="1" applyFill="1" applyBorder="1" applyAlignment="1">
      <alignment horizontal="right" vertical="top" wrapText="1"/>
    </xf>
    <xf numFmtId="169" fontId="11" fillId="0" borderId="0" xfId="0" applyNumberFormat="1" applyFont="1" applyFill="1"/>
    <xf numFmtId="0" fontId="7" fillId="0" borderId="0" xfId="0" applyFont="1" applyFill="1" applyAlignment="1">
      <alignment horizontal="left" vertical="top" wrapText="1"/>
    </xf>
    <xf numFmtId="0" fontId="3" fillId="0" borderId="15" xfId="0" applyFont="1" applyBorder="1" applyAlignment="1">
      <alignment horizontal="center" wrapText="1" readingOrder="1"/>
    </xf>
    <xf numFmtId="0" fontId="3" fillId="0" borderId="15" xfId="0" applyFont="1" applyBorder="1" applyAlignment="1">
      <alignment horizontal="justify" wrapText="1" readingOrder="1"/>
    </xf>
    <xf numFmtId="0" fontId="4" fillId="0" borderId="15" xfId="0" applyFont="1" applyBorder="1" applyAlignment="1">
      <alignment horizontal="justify" wrapText="1" readingOrder="1"/>
    </xf>
    <xf numFmtId="0" fontId="4" fillId="0" borderId="15" xfId="0" applyFont="1" applyBorder="1" applyAlignment="1">
      <alignment horizontal="left" wrapText="1" readingOrder="1"/>
    </xf>
    <xf numFmtId="0" fontId="3" fillId="0" borderId="15" xfId="0" applyFont="1" applyBorder="1" applyAlignment="1">
      <alignment horizontal="left" wrapText="1" readingOrder="1"/>
    </xf>
    <xf numFmtId="0" fontId="16" fillId="2" borderId="0" xfId="0" applyFont="1" applyFill="1"/>
    <xf numFmtId="0" fontId="12" fillId="0" borderId="0" xfId="0" applyFont="1"/>
    <xf numFmtId="0" fontId="4" fillId="0" borderId="15" xfId="0" applyFont="1" applyBorder="1" applyAlignment="1">
      <alignment horizontal="center" wrapText="1" readingOrder="1"/>
    </xf>
    <xf numFmtId="0" fontId="3" fillId="0" borderId="15" xfId="0" applyFont="1" applyBorder="1" applyAlignment="1">
      <alignment horizontal="left" vertical="top" wrapText="1" readingOrder="1"/>
    </xf>
    <xf numFmtId="0" fontId="10" fillId="0" borderId="0" xfId="0" applyFont="1"/>
    <xf numFmtId="0" fontId="3" fillId="3" borderId="15" xfId="0" applyFont="1" applyFill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3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 wrapText="1"/>
    </xf>
    <xf numFmtId="164" fontId="4" fillId="0" borderId="2" xfId="0" applyNumberFormat="1" applyFont="1" applyBorder="1" applyAlignment="1">
      <alignment horizontal="right" vertical="top" wrapText="1"/>
    </xf>
    <xf numFmtId="165" fontId="4" fillId="0" borderId="1" xfId="0" applyNumberFormat="1" applyFont="1" applyBorder="1" applyAlignment="1">
      <alignment horizontal="right" vertical="top" wrapText="1"/>
    </xf>
    <xf numFmtId="166" fontId="4" fillId="0" borderId="2" xfId="0" applyNumberFormat="1" applyFont="1" applyBorder="1" applyAlignment="1">
      <alignment horizontal="right" vertical="top" wrapText="1"/>
    </xf>
    <xf numFmtId="164" fontId="3" fillId="0" borderId="3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left" wrapText="1" readingOrder="1"/>
    </xf>
    <xf numFmtId="0" fontId="3" fillId="0" borderId="17" xfId="0" applyFont="1" applyBorder="1" applyAlignment="1">
      <alignment horizontal="left" wrapText="1" readingOrder="1"/>
    </xf>
    <xf numFmtId="0" fontId="15" fillId="0" borderId="18" xfId="0" applyFont="1" applyBorder="1" applyAlignment="1">
      <alignment horizontal="left" vertical="top" wrapText="1"/>
    </xf>
    <xf numFmtId="0" fontId="12" fillId="0" borderId="18" xfId="0" applyFont="1" applyBorder="1" applyAlignment="1">
      <alignment wrapText="1"/>
    </xf>
    <xf numFmtId="0" fontId="4" fillId="0" borderId="16" xfId="0" applyFont="1" applyBorder="1" applyAlignment="1">
      <alignment horizontal="justify" wrapText="1" readingOrder="1"/>
    </xf>
    <xf numFmtId="0" fontId="12" fillId="0" borderId="17" xfId="0" applyFont="1" applyBorder="1" applyAlignment="1">
      <alignment horizontal="justify" wrapText="1" readingOrder="1"/>
    </xf>
    <xf numFmtId="0" fontId="7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11" fillId="0" borderId="0" xfId="0" applyFont="1" applyFill="1" applyAlignment="1">
      <alignment horizontal="left" vertical="top" wrapText="1"/>
    </xf>
    <xf numFmtId="171" fontId="11" fillId="0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66674</xdr:colOff>
      <xdr:row>80</xdr:row>
      <xdr:rowOff>115018</xdr:rowOff>
    </xdr:from>
    <xdr:to>
      <xdr:col>9</xdr:col>
      <xdr:colOff>1877345</xdr:colOff>
      <xdr:row>81</xdr:row>
      <xdr:rowOff>757904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13EC8F-65A2-474C-AF4B-EB2B13C72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2319" y="16850341"/>
          <a:ext cx="1810671" cy="1257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214364</xdr:colOff>
      <xdr:row>80</xdr:row>
      <xdr:rowOff>68110</xdr:rowOff>
    </xdr:from>
    <xdr:to>
      <xdr:col>8</xdr:col>
      <xdr:colOff>2014589</xdr:colOff>
      <xdr:row>81</xdr:row>
      <xdr:rowOff>727177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A6BD5C-DB99-410D-94E6-8457550F9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8719" y="16803433"/>
          <a:ext cx="1800225" cy="1273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685800</xdr:colOff>
      <xdr:row>87</xdr:row>
      <xdr:rowOff>85725</xdr:rowOff>
    </xdr:from>
    <xdr:to>
      <xdr:col>6</xdr:col>
      <xdr:colOff>1038225</xdr:colOff>
      <xdr:row>88</xdr:row>
      <xdr:rowOff>111640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79E3B746-A95F-4267-B90A-E351B740242E}"/>
            </a:ext>
          </a:extLst>
        </xdr:cNvPr>
        <xdr:cNvSpPr/>
      </xdr:nvSpPr>
      <xdr:spPr>
        <a:xfrm>
          <a:off x="7153275" y="95059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1038227</xdr:colOff>
      <xdr:row>89</xdr:row>
      <xdr:rowOff>9524</xdr:rowOff>
    </xdr:from>
    <xdr:to>
      <xdr:col>6</xdr:col>
      <xdr:colOff>1266826</xdr:colOff>
      <xdr:row>89</xdr:row>
      <xdr:rowOff>323851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39D17533-FA11-465F-BCF6-0A597AE2B6FB}"/>
            </a:ext>
          </a:extLst>
        </xdr:cNvPr>
        <xdr:cNvSpPr/>
      </xdr:nvSpPr>
      <xdr:spPr>
        <a:xfrm rot="5400000">
          <a:off x="7472363" y="9863138"/>
          <a:ext cx="2952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yesamc.sharepoint.com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J103"/>
  <sheetViews>
    <sheetView showGridLines="0" tabSelected="1" topLeftCell="A31" zoomScale="93" zoomScaleNormal="93" workbookViewId="0">
      <selection activeCell="B77" sqref="B77"/>
    </sheetView>
  </sheetViews>
  <sheetFormatPr defaultColWidth="8.81640625" defaultRowHeight="14.5"/>
  <cols>
    <col min="1" max="1" width="3.453125" style="10" customWidth="1"/>
    <col min="2" max="2" width="48.81640625" style="1" customWidth="1"/>
    <col min="3" max="3" width="12.81640625" style="1" customWidth="1"/>
    <col min="4" max="4" width="12.453125" style="1" customWidth="1"/>
    <col min="5" max="5" width="9.1796875" style="1" customWidth="1"/>
    <col min="6" max="6" width="26.1796875" style="1" bestFit="1" customWidth="1"/>
    <col min="7" max="7" width="33" style="1" bestFit="1" customWidth="1"/>
    <col min="8" max="8" width="30.36328125" style="1" bestFit="1" customWidth="1"/>
    <col min="9" max="9" width="32.54296875" style="1" customWidth="1"/>
    <col min="10" max="10" width="29.26953125" style="1" customWidth="1"/>
    <col min="11" max="16384" width="8.81640625" style="1"/>
  </cols>
  <sheetData>
    <row r="1" spans="1:8" ht="15.5">
      <c r="B1" s="96" t="s">
        <v>0</v>
      </c>
      <c r="C1" s="96"/>
      <c r="D1" s="96"/>
      <c r="E1" s="96"/>
      <c r="F1" s="96"/>
      <c r="G1" s="96"/>
      <c r="H1" s="96"/>
    </row>
    <row r="2" spans="1:8" ht="15.5">
      <c r="B2" s="96" t="s">
        <v>1</v>
      </c>
      <c r="C2" s="96"/>
      <c r="D2" s="96"/>
      <c r="E2" s="96"/>
      <c r="F2" s="96"/>
      <c r="G2" s="96"/>
      <c r="H2" s="96"/>
    </row>
    <row r="3" spans="1:8" ht="15.5">
      <c r="B3" s="96" t="s">
        <v>79</v>
      </c>
      <c r="C3" s="96"/>
      <c r="D3" s="96"/>
      <c r="E3" s="96"/>
      <c r="F3" s="96"/>
      <c r="G3" s="96"/>
      <c r="H3" s="96"/>
    </row>
    <row r="4" spans="1:8" ht="15" thickBot="1">
      <c r="B4" s="19"/>
      <c r="C4" s="19"/>
      <c r="D4" s="19"/>
      <c r="E4" s="19"/>
      <c r="F4" s="19"/>
      <c r="G4" s="19"/>
      <c r="H4" s="19"/>
    </row>
    <row r="5" spans="1:8">
      <c r="A5" s="12"/>
      <c r="B5" s="50" t="s">
        <v>2</v>
      </c>
      <c r="C5" s="51" t="s">
        <v>3</v>
      </c>
      <c r="D5" s="51" t="s">
        <v>4</v>
      </c>
      <c r="E5" s="51" t="s">
        <v>5</v>
      </c>
      <c r="F5" s="51" t="s">
        <v>6</v>
      </c>
      <c r="G5" s="51" t="s">
        <v>7</v>
      </c>
      <c r="H5" s="52" t="s">
        <v>8</v>
      </c>
    </row>
    <row r="6" spans="1:8">
      <c r="A6" s="15"/>
      <c r="B6" s="72" t="s">
        <v>33</v>
      </c>
      <c r="C6" s="75"/>
      <c r="D6" s="75"/>
      <c r="E6" s="75"/>
      <c r="F6" s="75"/>
      <c r="G6" s="75"/>
      <c r="H6" s="76"/>
    </row>
    <row r="7" spans="1:8">
      <c r="A7" s="15"/>
      <c r="B7" s="72" t="s">
        <v>34</v>
      </c>
      <c r="C7" s="75"/>
      <c r="D7" s="75"/>
      <c r="E7" s="75"/>
      <c r="F7" s="77"/>
      <c r="G7" s="76"/>
      <c r="H7" s="76"/>
    </row>
    <row r="8" spans="1:8">
      <c r="A8" s="15"/>
      <c r="B8" s="73" t="s">
        <v>80</v>
      </c>
      <c r="C8" s="75" t="s">
        <v>95</v>
      </c>
      <c r="D8" s="78" t="s">
        <v>96</v>
      </c>
      <c r="E8" s="79">
        <v>170</v>
      </c>
      <c r="F8" s="80">
        <v>1698.3</v>
      </c>
      <c r="G8" s="81">
        <v>0.1019</v>
      </c>
      <c r="H8" s="82">
        <v>7.5879000000000002E-2</v>
      </c>
    </row>
    <row r="9" spans="1:8" ht="23">
      <c r="A9" s="15"/>
      <c r="B9" s="73" t="s">
        <v>81</v>
      </c>
      <c r="C9" s="75" t="s">
        <v>97</v>
      </c>
      <c r="D9" s="78" t="s">
        <v>98</v>
      </c>
      <c r="E9" s="79">
        <v>85</v>
      </c>
      <c r="F9" s="80">
        <v>847.63</v>
      </c>
      <c r="G9" s="81">
        <v>5.0799999999999998E-2</v>
      </c>
      <c r="H9" s="82">
        <v>7.8649999999999998E-2</v>
      </c>
    </row>
    <row r="10" spans="1:8">
      <c r="A10" s="15"/>
      <c r="B10" s="72" t="s">
        <v>11</v>
      </c>
      <c r="C10" s="75"/>
      <c r="D10" s="75"/>
      <c r="E10" s="75"/>
      <c r="F10" s="83">
        <v>2545.9299999999998</v>
      </c>
      <c r="G10" s="84">
        <v>0.1527</v>
      </c>
      <c r="H10" s="85"/>
    </row>
    <row r="11" spans="1:8">
      <c r="A11" s="15"/>
      <c r="B11" s="74" t="s">
        <v>36</v>
      </c>
      <c r="C11" s="86"/>
      <c r="D11" s="86"/>
      <c r="E11" s="86"/>
      <c r="F11" s="85" t="s">
        <v>37</v>
      </c>
      <c r="G11" s="85" t="s">
        <v>37</v>
      </c>
      <c r="H11" s="85"/>
    </row>
    <row r="12" spans="1:8">
      <c r="A12" s="15"/>
      <c r="B12" s="74" t="s">
        <v>11</v>
      </c>
      <c r="C12" s="86"/>
      <c r="D12" s="86"/>
      <c r="E12" s="86"/>
      <c r="F12" s="85" t="s">
        <v>37</v>
      </c>
      <c r="G12" s="85" t="s">
        <v>37</v>
      </c>
      <c r="H12" s="85"/>
    </row>
    <row r="13" spans="1:8" ht="34.5">
      <c r="A13" s="16" t="s">
        <v>35</v>
      </c>
      <c r="B13" s="74" t="s">
        <v>12</v>
      </c>
      <c r="C13" s="87"/>
      <c r="D13" s="86"/>
      <c r="E13" s="87"/>
      <c r="F13" s="83">
        <v>2545.9299999999998</v>
      </c>
      <c r="G13" s="84">
        <v>0.1527</v>
      </c>
      <c r="H13" s="85"/>
    </row>
    <row r="14" spans="1:8">
      <c r="A14" s="15"/>
      <c r="B14" s="72" t="s">
        <v>9</v>
      </c>
      <c r="C14" s="75"/>
      <c r="D14" s="75"/>
      <c r="E14" s="75"/>
      <c r="F14" s="75"/>
      <c r="G14" s="75"/>
      <c r="H14" s="76"/>
    </row>
    <row r="15" spans="1:8">
      <c r="A15" s="15"/>
      <c r="B15" s="72" t="s">
        <v>38</v>
      </c>
      <c r="C15" s="75"/>
      <c r="D15" s="75"/>
      <c r="E15" s="75"/>
      <c r="F15" s="77"/>
      <c r="G15" s="76"/>
      <c r="H15" s="76"/>
    </row>
    <row r="16" spans="1:8">
      <c r="A16" s="15"/>
      <c r="B16" s="73" t="s">
        <v>82</v>
      </c>
      <c r="C16" s="75" t="s">
        <v>99</v>
      </c>
      <c r="D16" s="75" t="s">
        <v>100</v>
      </c>
      <c r="E16" s="79">
        <v>360</v>
      </c>
      <c r="F16" s="80">
        <v>1784.86</v>
      </c>
      <c r="G16" s="81">
        <v>0.1071</v>
      </c>
      <c r="H16" s="82">
        <v>7.0380999999999999E-2</v>
      </c>
    </row>
    <row r="17" spans="1:8">
      <c r="A17" s="15"/>
      <c r="B17" s="73" t="s">
        <v>83</v>
      </c>
      <c r="C17" s="75" t="s">
        <v>101</v>
      </c>
      <c r="D17" s="75" t="s">
        <v>102</v>
      </c>
      <c r="E17" s="79">
        <v>350</v>
      </c>
      <c r="F17" s="80">
        <v>1746.89</v>
      </c>
      <c r="G17" s="81">
        <v>0.1048</v>
      </c>
      <c r="H17" s="82">
        <v>7.2235999999999995E-2</v>
      </c>
    </row>
    <row r="18" spans="1:8">
      <c r="A18" s="12"/>
      <c r="B18" s="73" t="s">
        <v>84</v>
      </c>
      <c r="C18" s="75" t="s">
        <v>103</v>
      </c>
      <c r="D18" s="75" t="s">
        <v>102</v>
      </c>
      <c r="E18" s="79">
        <v>320</v>
      </c>
      <c r="F18" s="80">
        <v>1581.54</v>
      </c>
      <c r="G18" s="81">
        <v>9.4899999999999998E-2</v>
      </c>
      <c r="H18" s="82">
        <v>7.0999999999999994E-2</v>
      </c>
    </row>
    <row r="19" spans="1:8">
      <c r="A19" s="12"/>
      <c r="B19" s="73" t="s">
        <v>85</v>
      </c>
      <c r="C19" s="75" t="s">
        <v>104</v>
      </c>
      <c r="D19" s="75" t="s">
        <v>102</v>
      </c>
      <c r="E19" s="79">
        <v>300</v>
      </c>
      <c r="F19" s="80">
        <v>1480.4</v>
      </c>
      <c r="G19" s="81">
        <v>8.8800000000000004E-2</v>
      </c>
      <c r="H19" s="82">
        <v>7.0049E-2</v>
      </c>
    </row>
    <row r="20" spans="1:8">
      <c r="A20" s="18" t="s">
        <v>39</v>
      </c>
      <c r="B20" s="73" t="s">
        <v>86</v>
      </c>
      <c r="C20" s="75" t="s">
        <v>105</v>
      </c>
      <c r="D20" s="75" t="s">
        <v>100</v>
      </c>
      <c r="E20" s="79">
        <v>200</v>
      </c>
      <c r="F20" s="80">
        <v>990.8</v>
      </c>
      <c r="G20" s="81">
        <v>5.9400000000000001E-2</v>
      </c>
      <c r="H20" s="82">
        <v>7.2138999999999995E-2</v>
      </c>
    </row>
    <row r="21" spans="1:8">
      <c r="A21" s="18" t="s">
        <v>40</v>
      </c>
      <c r="B21" s="72" t="s">
        <v>11</v>
      </c>
      <c r="C21" s="75"/>
      <c r="D21" s="75"/>
      <c r="E21" s="75"/>
      <c r="F21" s="83">
        <v>7584.49</v>
      </c>
      <c r="G21" s="84">
        <v>0.45500000000000002</v>
      </c>
      <c r="H21" s="85"/>
    </row>
    <row r="22" spans="1:8">
      <c r="A22" s="18" t="s">
        <v>41</v>
      </c>
      <c r="B22" s="72" t="s">
        <v>42</v>
      </c>
      <c r="C22" s="75"/>
      <c r="D22" s="75"/>
      <c r="E22" s="75"/>
      <c r="F22" s="77"/>
      <c r="G22" s="76"/>
      <c r="H22" s="76"/>
    </row>
    <row r="23" spans="1:8" ht="23">
      <c r="A23" s="16"/>
      <c r="B23" s="73" t="s">
        <v>87</v>
      </c>
      <c r="C23" s="75" t="s">
        <v>106</v>
      </c>
      <c r="D23" s="75" t="s">
        <v>102</v>
      </c>
      <c r="E23" s="79">
        <v>360</v>
      </c>
      <c r="F23" s="80">
        <v>1790.4</v>
      </c>
      <c r="G23" s="81">
        <v>0.1074</v>
      </c>
      <c r="H23" s="82">
        <v>7.2500499999999996E-2</v>
      </c>
    </row>
    <row r="24" spans="1:8">
      <c r="A24" s="16"/>
      <c r="B24" s="73" t="s">
        <v>88</v>
      </c>
      <c r="C24" s="75" t="s">
        <v>107</v>
      </c>
      <c r="D24" s="75" t="s">
        <v>102</v>
      </c>
      <c r="E24" s="79">
        <v>300</v>
      </c>
      <c r="F24" s="80">
        <v>1486.31</v>
      </c>
      <c r="G24" s="81">
        <v>8.9200000000000002E-2</v>
      </c>
      <c r="H24" s="82">
        <v>7.4700000000000003E-2</v>
      </c>
    </row>
    <row r="25" spans="1:8">
      <c r="A25" s="18" t="s">
        <v>43</v>
      </c>
      <c r="B25" s="73" t="s">
        <v>89</v>
      </c>
      <c r="C25" s="75" t="s">
        <v>108</v>
      </c>
      <c r="D25" s="75" t="s">
        <v>109</v>
      </c>
      <c r="E25" s="79">
        <v>180</v>
      </c>
      <c r="F25" s="80">
        <v>887.95</v>
      </c>
      <c r="G25" s="81">
        <v>5.33E-2</v>
      </c>
      <c r="H25" s="82">
        <v>7.3952000000000004E-2</v>
      </c>
    </row>
    <row r="26" spans="1:8">
      <c r="A26" s="18" t="s">
        <v>44</v>
      </c>
      <c r="B26" s="72" t="s">
        <v>11</v>
      </c>
      <c r="C26" s="75"/>
      <c r="D26" s="75"/>
      <c r="E26" s="75"/>
      <c r="F26" s="83">
        <v>4164.66</v>
      </c>
      <c r="G26" s="84">
        <v>0.24990000000000001</v>
      </c>
      <c r="H26" s="85"/>
    </row>
    <row r="27" spans="1:8">
      <c r="A27" s="18" t="s">
        <v>45</v>
      </c>
      <c r="B27" s="72" t="s">
        <v>10</v>
      </c>
      <c r="C27" s="75"/>
      <c r="D27" s="75"/>
      <c r="E27" s="75"/>
      <c r="F27" s="77"/>
      <c r="G27" s="76"/>
      <c r="H27" s="76"/>
    </row>
    <row r="28" spans="1:8">
      <c r="A28" s="18"/>
      <c r="B28" s="73" t="s">
        <v>90</v>
      </c>
      <c r="C28" s="75" t="s">
        <v>110</v>
      </c>
      <c r="D28" s="75" t="s">
        <v>47</v>
      </c>
      <c r="E28" s="79">
        <v>1000000</v>
      </c>
      <c r="F28" s="80">
        <v>988.72</v>
      </c>
      <c r="G28" s="81">
        <v>5.9299999999999999E-2</v>
      </c>
      <c r="H28" s="82">
        <v>6.8250000000000005E-2</v>
      </c>
    </row>
    <row r="29" spans="1:8">
      <c r="A29" s="16"/>
      <c r="B29" s="73" t="s">
        <v>91</v>
      </c>
      <c r="C29" s="75" t="s">
        <v>111</v>
      </c>
      <c r="D29" s="75" t="s">
        <v>47</v>
      </c>
      <c r="E29" s="79">
        <v>500000</v>
      </c>
      <c r="F29" s="80">
        <v>498.91</v>
      </c>
      <c r="G29" s="81">
        <v>2.9899999999999999E-2</v>
      </c>
      <c r="H29" s="82">
        <v>6.6499000000000003E-2</v>
      </c>
    </row>
    <row r="30" spans="1:8">
      <c r="A30" s="18" t="s">
        <v>46</v>
      </c>
      <c r="B30" s="73" t="s">
        <v>92</v>
      </c>
      <c r="C30" s="75" t="s">
        <v>112</v>
      </c>
      <c r="D30" s="75" t="s">
        <v>47</v>
      </c>
      <c r="E30" s="79">
        <v>500000</v>
      </c>
      <c r="F30" s="80">
        <v>496.36</v>
      </c>
      <c r="G30" s="81">
        <v>2.98E-2</v>
      </c>
      <c r="H30" s="82">
        <v>6.7000000000000004E-2</v>
      </c>
    </row>
    <row r="31" spans="1:8">
      <c r="A31" s="18" t="s">
        <v>48</v>
      </c>
      <c r="B31" s="72" t="s">
        <v>11</v>
      </c>
      <c r="C31" s="75"/>
      <c r="D31" s="75"/>
      <c r="E31" s="75"/>
      <c r="F31" s="83">
        <v>1983.99</v>
      </c>
      <c r="G31" s="84">
        <v>0.11899999999999999</v>
      </c>
      <c r="H31" s="85"/>
    </row>
    <row r="32" spans="1:8">
      <c r="A32" s="18" t="s">
        <v>49</v>
      </c>
      <c r="B32" s="74" t="s">
        <v>12</v>
      </c>
      <c r="C32" s="87"/>
      <c r="D32" s="86"/>
      <c r="E32" s="87"/>
      <c r="F32" s="83">
        <v>13733.14</v>
      </c>
      <c r="G32" s="84">
        <v>0.82389999999999997</v>
      </c>
      <c r="H32" s="85"/>
    </row>
    <row r="33" spans="1:8">
      <c r="A33" s="16"/>
      <c r="B33" s="72" t="s">
        <v>93</v>
      </c>
      <c r="C33" s="75"/>
      <c r="D33" s="75"/>
      <c r="E33" s="75"/>
      <c r="F33" s="75"/>
      <c r="G33" s="75"/>
      <c r="H33" s="76"/>
    </row>
    <row r="34" spans="1:8">
      <c r="A34" s="16"/>
      <c r="B34" s="73" t="s">
        <v>94</v>
      </c>
      <c r="C34" s="75"/>
      <c r="D34" s="75"/>
      <c r="E34" s="79"/>
      <c r="F34" s="80">
        <v>233.73</v>
      </c>
      <c r="G34" s="81">
        <v>1.4E-2</v>
      </c>
      <c r="H34" s="82">
        <v>7.0627160481147491E-2</v>
      </c>
    </row>
    <row r="35" spans="1:8">
      <c r="A35" s="16"/>
      <c r="B35" s="72" t="s">
        <v>11</v>
      </c>
      <c r="C35" s="75"/>
      <c r="D35" s="75"/>
      <c r="E35" s="75"/>
      <c r="F35" s="83">
        <v>233.73</v>
      </c>
      <c r="G35" s="84">
        <v>1.4E-2</v>
      </c>
      <c r="H35" s="85"/>
    </row>
    <row r="36" spans="1:8" s="11" customFormat="1">
      <c r="A36" s="18" t="s">
        <v>50</v>
      </c>
      <c r="B36" s="74" t="s">
        <v>36</v>
      </c>
      <c r="C36" s="86"/>
      <c r="D36" s="86"/>
      <c r="E36" s="86"/>
      <c r="F36" s="85" t="s">
        <v>37</v>
      </c>
      <c r="G36" s="85" t="s">
        <v>37</v>
      </c>
      <c r="H36" s="85"/>
    </row>
    <row r="37" spans="1:8">
      <c r="A37" s="16"/>
      <c r="B37" s="74" t="s">
        <v>11</v>
      </c>
      <c r="C37" s="86"/>
      <c r="D37" s="86"/>
      <c r="E37" s="86"/>
      <c r="F37" s="85" t="s">
        <v>37</v>
      </c>
      <c r="G37" s="85" t="s">
        <v>37</v>
      </c>
      <c r="H37" s="85"/>
    </row>
    <row r="38" spans="1:8">
      <c r="A38" s="16"/>
      <c r="B38" s="74" t="s">
        <v>12</v>
      </c>
      <c r="C38" s="87"/>
      <c r="D38" s="86"/>
      <c r="E38" s="87"/>
      <c r="F38" s="83">
        <v>233.73</v>
      </c>
      <c r="G38" s="84">
        <v>1.4E-2</v>
      </c>
      <c r="H38" s="85"/>
    </row>
    <row r="39" spans="1:8">
      <c r="A39" s="16"/>
      <c r="B39" s="74" t="s">
        <v>13</v>
      </c>
      <c r="C39" s="75"/>
      <c r="D39" s="86"/>
      <c r="E39" s="75"/>
      <c r="F39" s="88">
        <v>158.38999999999999</v>
      </c>
      <c r="G39" s="84">
        <v>9.4000000000000004E-3</v>
      </c>
      <c r="H39" s="85"/>
    </row>
    <row r="40" spans="1:8" ht="15" thickBot="1">
      <c r="A40" s="16"/>
      <c r="B40" s="53" t="s">
        <v>14</v>
      </c>
      <c r="C40" s="54"/>
      <c r="D40" s="54"/>
      <c r="E40" s="55"/>
      <c r="F40" s="56">
        <f>+F13+F32+F38+F39</f>
        <v>16671.189999999999</v>
      </c>
      <c r="G40" s="57">
        <f>+G13+G32+G38+G39</f>
        <v>0.99999999999999989</v>
      </c>
      <c r="H40" s="58"/>
    </row>
    <row r="41" spans="1:8">
      <c r="A41" s="12"/>
      <c r="B41" s="3"/>
      <c r="C41" s="4"/>
      <c r="D41" s="4"/>
      <c r="E41" s="17"/>
      <c r="F41" s="5"/>
      <c r="G41" s="6"/>
      <c r="H41" s="7"/>
    </row>
    <row r="42" spans="1:8">
      <c r="A42" s="12"/>
      <c r="B42" s="3" t="s">
        <v>52</v>
      </c>
      <c r="C42" s="4"/>
      <c r="D42" s="4"/>
      <c r="E42" s="17"/>
      <c r="F42" s="5"/>
      <c r="G42" s="6"/>
      <c r="H42" s="7"/>
    </row>
    <row r="43" spans="1:8">
      <c r="A43" s="12"/>
      <c r="B43" s="3" t="s">
        <v>53</v>
      </c>
      <c r="C43" s="4"/>
      <c r="D43" s="4"/>
      <c r="E43" s="17"/>
      <c r="F43" s="5"/>
      <c r="G43" s="6"/>
      <c r="H43" s="7"/>
    </row>
    <row r="44" spans="1:8">
      <c r="A44" s="12"/>
      <c r="B44" s="4"/>
      <c r="C44" s="37"/>
      <c r="D44" s="37"/>
      <c r="E44" s="37"/>
      <c r="F44" s="37"/>
      <c r="G44" s="37"/>
      <c r="H44" s="37"/>
    </row>
    <row r="45" spans="1:8">
      <c r="A45" s="12"/>
      <c r="B45" s="97" t="s">
        <v>15</v>
      </c>
      <c r="C45" s="97"/>
      <c r="D45" s="97"/>
      <c r="E45" s="97"/>
      <c r="F45" s="37"/>
      <c r="G45" s="37"/>
      <c r="H45" s="37"/>
    </row>
    <row r="46" spans="1:8" s="23" customFormat="1" ht="16.149999999999999" customHeight="1">
      <c r="A46" s="22"/>
      <c r="B46" s="95" t="s">
        <v>114</v>
      </c>
      <c r="C46" s="95"/>
      <c r="D46" s="95"/>
      <c r="E46" s="95"/>
      <c r="F46" s="95"/>
      <c r="G46" s="95"/>
      <c r="H46" s="95"/>
    </row>
    <row r="47" spans="1:8" s="8" customFormat="1" ht="12.5">
      <c r="A47" s="13"/>
      <c r="B47" s="33" t="s">
        <v>115</v>
      </c>
      <c r="C47" s="34"/>
      <c r="D47" s="38"/>
      <c r="E47" s="38"/>
      <c r="F47" s="38"/>
      <c r="G47" s="38"/>
      <c r="H47" s="39"/>
    </row>
    <row r="48" spans="1:8" s="23" customFormat="1">
      <c r="A48" s="22"/>
      <c r="B48" s="95" t="s">
        <v>16</v>
      </c>
      <c r="C48" s="98"/>
      <c r="D48" s="98"/>
      <c r="E48" s="98"/>
      <c r="F48" s="40"/>
      <c r="G48" s="40"/>
      <c r="H48" s="40"/>
    </row>
    <row r="49" spans="1:8" s="23" customFormat="1" ht="34.5">
      <c r="A49" s="24"/>
      <c r="B49" s="25" t="s">
        <v>17</v>
      </c>
      <c r="C49" s="26" t="s">
        <v>113</v>
      </c>
      <c r="D49" s="26" t="s">
        <v>51</v>
      </c>
      <c r="E49" s="41"/>
      <c r="F49" s="20"/>
      <c r="G49" s="41"/>
      <c r="H49" s="41"/>
    </row>
    <row r="50" spans="1:8" s="23" customFormat="1">
      <c r="A50" s="24"/>
      <c r="B50" s="27" t="s">
        <v>18</v>
      </c>
      <c r="C50" s="35">
        <v>1208.7108000000001</v>
      </c>
      <c r="D50" s="35">
        <v>1170.5540000000001</v>
      </c>
      <c r="E50" s="41"/>
      <c r="F50" s="59"/>
      <c r="G50" s="41"/>
      <c r="H50" s="99"/>
    </row>
    <row r="51" spans="1:8" s="23" customFormat="1">
      <c r="A51" s="24"/>
      <c r="B51" s="27" t="s">
        <v>19</v>
      </c>
      <c r="C51" s="42">
        <v>1204.1532</v>
      </c>
      <c r="D51" s="42">
        <v>1166.7959000000001</v>
      </c>
      <c r="E51" s="41"/>
      <c r="F51" s="59"/>
      <c r="G51" s="41"/>
      <c r="H51" s="99"/>
    </row>
    <row r="52" spans="1:8" s="23" customFormat="1">
      <c r="A52" s="24"/>
      <c r="B52" s="27" t="s">
        <v>20</v>
      </c>
      <c r="C52" s="35">
        <v>1004.1541999999999</v>
      </c>
      <c r="D52" s="35">
        <v>1003.412</v>
      </c>
      <c r="E52" s="41"/>
      <c r="F52" s="59"/>
      <c r="G52" s="41"/>
      <c r="H52" s="99"/>
    </row>
    <row r="53" spans="1:8" s="23" customFormat="1">
      <c r="A53" s="24"/>
      <c r="B53" s="27" t="s">
        <v>21</v>
      </c>
      <c r="C53" s="28">
        <v>1004.6399</v>
      </c>
      <c r="D53" s="28">
        <v>1003.2704</v>
      </c>
      <c r="E53" s="41"/>
      <c r="F53" s="59"/>
      <c r="G53" s="41"/>
      <c r="H53" s="99"/>
    </row>
    <row r="54" spans="1:8" s="23" customFormat="1">
      <c r="A54" s="24"/>
      <c r="B54" s="27" t="s">
        <v>22</v>
      </c>
      <c r="C54" s="28">
        <v>1004.1651000000001</v>
      </c>
      <c r="D54" s="28">
        <v>1002.7972</v>
      </c>
      <c r="E54" s="41"/>
      <c r="F54" s="59"/>
      <c r="G54" s="41"/>
      <c r="H54" s="99"/>
    </row>
    <row r="55" spans="1:8" s="23" customFormat="1">
      <c r="A55" s="24"/>
      <c r="B55" s="27" t="s">
        <v>23</v>
      </c>
      <c r="C55" s="28">
        <v>1002.7175999999999</v>
      </c>
      <c r="D55" s="28">
        <v>1001.9781</v>
      </c>
      <c r="E55" s="41"/>
      <c r="F55" s="59"/>
      <c r="G55" s="41"/>
      <c r="H55" s="99"/>
    </row>
    <row r="56" spans="1:8" s="23" customFormat="1">
      <c r="A56" s="24"/>
      <c r="B56" s="27" t="s">
        <v>24</v>
      </c>
      <c r="C56" s="28">
        <v>1002.7485</v>
      </c>
      <c r="D56" s="28">
        <v>1002.0857</v>
      </c>
      <c r="E56" s="41"/>
      <c r="F56" s="59"/>
      <c r="G56" s="41"/>
      <c r="H56" s="99"/>
    </row>
    <row r="57" spans="1:8" s="23" customFormat="1">
      <c r="A57" s="24"/>
      <c r="B57" s="27" t="s">
        <v>25</v>
      </c>
      <c r="C57" s="35">
        <v>1000.9835</v>
      </c>
      <c r="D57" s="35">
        <v>1000.974</v>
      </c>
      <c r="E57" s="41"/>
      <c r="F57" s="59"/>
      <c r="G57" s="41"/>
      <c r="H57" s="99"/>
    </row>
    <row r="58" spans="1:8" s="23" customFormat="1">
      <c r="A58" s="24"/>
      <c r="B58" s="27" t="s">
        <v>26</v>
      </c>
      <c r="C58" s="28">
        <v>1000.9518</v>
      </c>
      <c r="D58" s="28">
        <v>1000.9512999999999</v>
      </c>
      <c r="E58" s="41"/>
      <c r="F58" s="59"/>
      <c r="G58" s="41"/>
      <c r="H58" s="99"/>
    </row>
    <row r="59" spans="1:8" s="23" customFormat="1">
      <c r="A59" s="24"/>
      <c r="B59" s="27" t="s">
        <v>27</v>
      </c>
      <c r="C59" s="28">
        <v>1002.3587</v>
      </c>
      <c r="D59" s="28">
        <v>1001.4015000000001</v>
      </c>
      <c r="E59" s="41"/>
      <c r="F59" s="59"/>
      <c r="G59" s="41"/>
      <c r="H59" s="99"/>
    </row>
    <row r="60" spans="1:8">
      <c r="B60" s="9" t="s">
        <v>28</v>
      </c>
      <c r="C60" s="43"/>
      <c r="D60" s="43"/>
      <c r="E60" s="44"/>
      <c r="F60" s="44"/>
      <c r="G60" s="44"/>
      <c r="H60" s="44"/>
    </row>
    <row r="61" spans="1:8" s="23" customFormat="1">
      <c r="A61" s="24"/>
      <c r="B61" s="95" t="s">
        <v>116</v>
      </c>
      <c r="C61" s="95"/>
      <c r="D61" s="95"/>
      <c r="E61" s="95"/>
      <c r="F61" s="41"/>
      <c r="G61" s="41"/>
      <c r="H61" s="41"/>
    </row>
    <row r="62" spans="1:8" s="23" customFormat="1">
      <c r="A62" s="24"/>
      <c r="B62" s="21"/>
      <c r="C62" s="21"/>
      <c r="D62" s="31" t="s">
        <v>29</v>
      </c>
      <c r="E62" s="41"/>
      <c r="F62" s="41"/>
      <c r="G62" s="41"/>
      <c r="H62" s="41"/>
    </row>
    <row r="63" spans="1:8" s="23" customFormat="1" ht="23">
      <c r="A63" s="24"/>
      <c r="B63" s="29" t="s">
        <v>30</v>
      </c>
      <c r="C63" s="30" t="s">
        <v>31</v>
      </c>
      <c r="D63" s="30" t="s">
        <v>32</v>
      </c>
      <c r="E63" s="41"/>
      <c r="F63" s="41"/>
      <c r="G63" s="41"/>
      <c r="H63" s="41"/>
    </row>
    <row r="64" spans="1:8" s="23" customFormat="1">
      <c r="A64" s="24"/>
      <c r="B64" s="27" t="s">
        <v>25</v>
      </c>
      <c r="C64" s="45">
        <v>35.157458420000005</v>
      </c>
      <c r="D64" s="45">
        <v>35.157458420000012</v>
      </c>
      <c r="E64" s="99"/>
      <c r="F64" s="41"/>
      <c r="G64" s="41"/>
      <c r="H64" s="41"/>
    </row>
    <row r="65" spans="1:10" s="23" customFormat="1">
      <c r="A65" s="24"/>
      <c r="B65" s="27" t="s">
        <v>27</v>
      </c>
      <c r="C65" s="45">
        <v>31.263331399999998</v>
      </c>
      <c r="D65" s="45">
        <v>31.263331399999998</v>
      </c>
      <c r="E65" s="46"/>
      <c r="F65" s="41"/>
      <c r="G65" s="41"/>
      <c r="H65" s="41"/>
    </row>
    <row r="66" spans="1:10" s="23" customFormat="1">
      <c r="A66" s="24"/>
      <c r="B66" s="27" t="s">
        <v>22</v>
      </c>
      <c r="C66" s="45">
        <v>30.764070199999999</v>
      </c>
      <c r="D66" s="45">
        <v>30.764070199999999</v>
      </c>
      <c r="E66" s="46"/>
      <c r="F66" s="41"/>
      <c r="G66" s="41"/>
      <c r="H66" s="41"/>
    </row>
    <row r="67" spans="1:10" s="23" customFormat="1">
      <c r="A67" s="24"/>
      <c r="B67" s="27" t="s">
        <v>24</v>
      </c>
      <c r="C67" s="45">
        <v>31.486888919999984</v>
      </c>
      <c r="D67" s="45">
        <v>31.486888919999984</v>
      </c>
      <c r="E67" s="46"/>
      <c r="F67" s="41"/>
      <c r="G67" s="41"/>
      <c r="H67" s="41"/>
    </row>
    <row r="68" spans="1:10" s="23" customFormat="1">
      <c r="A68" s="24"/>
      <c r="B68" s="27" t="s">
        <v>26</v>
      </c>
      <c r="C68" s="45">
        <v>31.429918859999997</v>
      </c>
      <c r="D68" s="45">
        <v>31.429918860000001</v>
      </c>
      <c r="E68" s="99"/>
      <c r="F68" s="41"/>
      <c r="G68" s="41"/>
      <c r="H68" s="41"/>
    </row>
    <row r="69" spans="1:10" s="23" customFormat="1">
      <c r="A69" s="24"/>
      <c r="B69" s="27" t="s">
        <v>20</v>
      </c>
      <c r="C69" s="45">
        <v>30.926313230000002</v>
      </c>
      <c r="D69" s="45">
        <v>30.926313230000002</v>
      </c>
      <c r="E69" s="46"/>
      <c r="F69" s="41"/>
      <c r="G69" s="41"/>
      <c r="H69" s="41"/>
    </row>
    <row r="70" spans="1:10" s="23" customFormat="1">
      <c r="A70" s="24"/>
      <c r="B70" s="27" t="s">
        <v>21</v>
      </c>
      <c r="C70" s="45">
        <v>30.371574629999998</v>
      </c>
      <c r="D70" s="45">
        <v>30.371574629999998</v>
      </c>
      <c r="E70" s="46"/>
      <c r="F70" s="41"/>
      <c r="G70" s="41"/>
      <c r="H70" s="41"/>
    </row>
    <row r="71" spans="1:10" s="23" customFormat="1">
      <c r="A71" s="24"/>
      <c r="B71" s="27" t="s">
        <v>23</v>
      </c>
      <c r="C71" s="45">
        <v>30.847668099999996</v>
      </c>
      <c r="D71" s="45">
        <v>30.847668099999996</v>
      </c>
      <c r="E71" s="46"/>
      <c r="F71" s="41"/>
      <c r="G71" s="41"/>
      <c r="H71" s="41"/>
    </row>
    <row r="72" spans="1:10" s="23" customFormat="1">
      <c r="A72" s="32"/>
      <c r="B72" s="47" t="s">
        <v>54</v>
      </c>
      <c r="C72" s="36"/>
      <c r="D72" s="48"/>
      <c r="E72" s="48"/>
      <c r="F72" s="48"/>
      <c r="G72" s="48"/>
      <c r="H72" s="41"/>
    </row>
    <row r="73" spans="1:10">
      <c r="B73" s="21" t="s">
        <v>117</v>
      </c>
      <c r="C73" s="43"/>
      <c r="D73" s="43"/>
      <c r="E73" s="44"/>
      <c r="F73" s="44"/>
      <c r="G73" s="44"/>
      <c r="H73" s="44"/>
    </row>
    <row r="74" spans="1:10">
      <c r="B74" s="21" t="s">
        <v>119</v>
      </c>
      <c r="C74" s="9"/>
      <c r="D74" s="43"/>
      <c r="E74" s="44"/>
      <c r="F74" s="44"/>
      <c r="G74" s="44"/>
      <c r="H74" s="44"/>
    </row>
    <row r="75" spans="1:10">
      <c r="B75" s="9" t="s">
        <v>120</v>
      </c>
      <c r="C75" s="9"/>
      <c r="D75" s="43"/>
      <c r="E75" s="44"/>
      <c r="F75" s="44"/>
      <c r="G75" s="44"/>
      <c r="H75" s="44"/>
    </row>
    <row r="76" spans="1:10" s="2" customFormat="1">
      <c r="A76" s="14"/>
      <c r="B76" s="60" t="s">
        <v>118</v>
      </c>
      <c r="C76" s="43"/>
      <c r="D76" s="43"/>
      <c r="E76" s="49"/>
      <c r="F76" s="49"/>
      <c r="G76" s="49"/>
      <c r="H76" s="49"/>
    </row>
    <row r="77" spans="1:10">
      <c r="B77" s="21" t="s">
        <v>121</v>
      </c>
      <c r="C77" s="44"/>
      <c r="D77" s="44"/>
      <c r="E77" s="44"/>
      <c r="F77" s="44"/>
      <c r="G77" s="44"/>
      <c r="H77" s="44"/>
    </row>
    <row r="78" spans="1:10" ht="15" thickBot="1">
      <c r="B78" s="44"/>
      <c r="C78" s="44"/>
      <c r="D78" s="44"/>
      <c r="E78" s="44"/>
      <c r="F78" s="44"/>
      <c r="G78" s="91" t="s">
        <v>63</v>
      </c>
      <c r="H78" s="92"/>
      <c r="I78" s="92"/>
      <c r="J78" s="92"/>
    </row>
    <row r="79" spans="1:10" ht="15" thickBot="1">
      <c r="G79" s="61" t="s">
        <v>55</v>
      </c>
      <c r="H79" s="61" t="s">
        <v>56</v>
      </c>
      <c r="I79" s="61" t="s">
        <v>64</v>
      </c>
      <c r="J79" s="61" t="s">
        <v>65</v>
      </c>
    </row>
    <row r="80" spans="1:10" ht="24.5" thickBot="1">
      <c r="G80" s="62" t="s">
        <v>0</v>
      </c>
      <c r="H80" s="63" t="s">
        <v>57</v>
      </c>
      <c r="I80" s="63"/>
      <c r="J80" s="63"/>
    </row>
    <row r="81" spans="7:10" ht="48" customHeight="1" thickBot="1">
      <c r="G81" s="64" t="s">
        <v>58</v>
      </c>
      <c r="H81" s="64" t="s">
        <v>59</v>
      </c>
      <c r="I81" s="93"/>
      <c r="J81" s="93"/>
    </row>
    <row r="82" spans="7:10" ht="80.25" customHeight="1" thickBot="1">
      <c r="G82" s="64"/>
      <c r="H82" s="65" t="s">
        <v>60</v>
      </c>
      <c r="I82" s="94"/>
      <c r="J82" s="94"/>
    </row>
    <row r="83" spans="7:10" ht="15" thickBot="1">
      <c r="G83" s="63"/>
      <c r="H83" s="63"/>
      <c r="I83" s="63"/>
      <c r="J83" s="62" t="s">
        <v>61</v>
      </c>
    </row>
    <row r="84" spans="7:10" ht="15" thickBot="1">
      <c r="G84" s="63"/>
      <c r="H84" s="63"/>
      <c r="I84" s="63"/>
      <c r="J84" s="63" t="s">
        <v>62</v>
      </c>
    </row>
    <row r="87" spans="7:10" ht="15" thickBot="1">
      <c r="G87" s="70" t="s">
        <v>66</v>
      </c>
      <c r="H87" s="67"/>
      <c r="I87" s="67"/>
      <c r="J87" s="67"/>
    </row>
    <row r="88" spans="7:10" ht="15" thickBot="1">
      <c r="G88" s="89" t="s">
        <v>67</v>
      </c>
      <c r="H88" s="68" t="s">
        <v>68</v>
      </c>
      <c r="I88" s="68" t="s">
        <v>69</v>
      </c>
      <c r="J88" s="68" t="s">
        <v>70</v>
      </c>
    </row>
    <row r="89" spans="7:10" ht="15" thickBot="1">
      <c r="G89" s="90"/>
      <c r="H89" s="68" t="s">
        <v>71</v>
      </c>
      <c r="I89" s="68" t="s">
        <v>72</v>
      </c>
      <c r="J89" s="68" t="s">
        <v>73</v>
      </c>
    </row>
    <row r="90" spans="7:10" ht="15" thickBot="1">
      <c r="G90" s="69" t="s">
        <v>74</v>
      </c>
      <c r="H90" s="64"/>
      <c r="I90" s="64"/>
      <c r="J90" s="64"/>
    </row>
    <row r="91" spans="7:10" ht="15" thickBot="1">
      <c r="G91" s="64" t="s">
        <v>75</v>
      </c>
      <c r="H91" s="64"/>
      <c r="I91" s="71" t="s">
        <v>76</v>
      </c>
      <c r="J91" s="64"/>
    </row>
    <row r="92" spans="7:10" ht="15" thickBot="1">
      <c r="G92" s="64" t="s">
        <v>77</v>
      </c>
      <c r="H92" s="64"/>
      <c r="I92" s="64"/>
      <c r="J92" s="64"/>
    </row>
    <row r="93" spans="7:10" ht="15" thickBot="1">
      <c r="G93" s="64" t="s">
        <v>78</v>
      </c>
      <c r="H93" s="64"/>
      <c r="I93" s="64"/>
      <c r="J93" s="64"/>
    </row>
    <row r="103" spans="9:9">
      <c r="I103" s="66"/>
    </row>
  </sheetData>
  <mergeCells count="11">
    <mergeCell ref="B1:H1"/>
    <mergeCell ref="B2:H2"/>
    <mergeCell ref="B3:H3"/>
    <mergeCell ref="B45:E45"/>
    <mergeCell ref="B48:E48"/>
    <mergeCell ref="B46:H46"/>
    <mergeCell ref="G88:G89"/>
    <mergeCell ref="G78:J78"/>
    <mergeCell ref="I81:I82"/>
    <mergeCell ref="J81:J82"/>
    <mergeCell ref="B61:E61"/>
  </mergeCells>
  <pageMargins left="0.25" right="0.25" top="0.75" bottom="0.75" header="0.3" footer="0.3"/>
  <pageSetup paperSize="8" scale="59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9546E6-E023-4A5D-9FAD-757473784A46}"/>
</file>

<file path=customXml/itemProps2.xml><?xml version="1.0" encoding="utf-8"?>
<ds:datastoreItem xmlns:ds="http://schemas.openxmlformats.org/officeDocument/2006/customXml" ds:itemID="{9D063002-C4AF-4F6E-AE47-F0424EEE4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Shrenik-A Jain</cp:lastModifiedBy>
  <cp:lastPrinted>2022-10-06T16:47:39Z</cp:lastPrinted>
  <dcterms:created xsi:type="dcterms:W3CDTF">2022-04-08T12:18:39Z</dcterms:created>
  <dcterms:modified xsi:type="dcterms:W3CDTF">2023-04-07T06:48:26Z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2023-04-07T06:48:26Z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d3002ed6-efc7-4575-817d-74a58c800515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