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EA1708001\Desktop\"/>
    </mc:Choice>
  </mc:AlternateContent>
  <xr:revisionPtr revIDLastSave="0" documentId="13_ncr:1_{28307D68-1916-4021-8C05-214CA59F1A48}" xr6:coauthVersionLast="47" xr6:coauthVersionMax="47" xr10:uidLastSave="{00000000-0000-0000-0000-000000000000}"/>
  <bookViews>
    <workbookView xWindow="-120" yWindow="-120" windowWidth="20730" windowHeight="11160" xr2:uid="{93F524FE-C4E2-4648-8643-3DAC1DF76227}"/>
  </bookViews>
  <sheets>
    <sheet name="YM002" sheetId="1" r:id="rId1"/>
  </sheets>
  <definedNames>
    <definedName name="JR_PAGE_ANCHOR_0_2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3" i="1"/>
  <c r="G12" i="1"/>
  <c r="G10" i="1"/>
  <c r="G9" i="1"/>
  <c r="G8" i="1"/>
  <c r="G7" i="1"/>
  <c r="F16" i="1"/>
  <c r="F14" i="1"/>
  <c r="F13" i="1"/>
  <c r="F10" i="1"/>
  <c r="F9" i="1"/>
</calcChain>
</file>

<file path=xl/sharedStrings.xml><?xml version="1.0" encoding="utf-8"?>
<sst xmlns="http://schemas.openxmlformats.org/spreadsheetml/2006/main" count="57" uniqueCount="46">
  <si>
    <t>WhiteOak Capital Ultra Short Term Fund ( formerly known as YES Ultra Short Term Fund)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</si>
  <si>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</si>
  <si>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</si>
  <si>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</si>
  <si>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</si>
  <si>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</si>
  <si>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</si>
  <si>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</si>
  <si>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</si>
  <si>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</si>
  <si>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TBIL1967</t>
  </si>
  <si>
    <t>182 Days Tbill (MD 19/05/2022)</t>
  </si>
  <si>
    <t>IN002021Y346</t>
  </si>
  <si>
    <t>SOVEREIGN</t>
  </si>
  <si>
    <t>TBIL1975</t>
  </si>
  <si>
    <t>182 Days Tbill (MD 09/06/2022)</t>
  </si>
  <si>
    <t>IN002021Y379</t>
  </si>
  <si>
    <t>Sub Total</t>
  </si>
  <si>
    <t>Total</t>
  </si>
  <si>
    <t>CBLO / Reverse Repo</t>
  </si>
  <si>
    <t>TRP_170122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</si>
  <si>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</si>
  <si>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</si>
  <si>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</si>
  <si>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</si>
  <si>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</si>
  <si>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</si>
  <si>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</si>
  <si>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</si>
  <si>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ultra-short term debt scheme investing in debt and money market instruments such that the Macaulay duration of the portfolio is between 3 - 6 months. A relatively low interest rate risk and moderate credit risk.
(Please refer to the page number 2 of the Scheme Information Document on which the concept of Macaulay’s Duration has been explained))</t>
  </si>
  <si>
    <t>Regular income over short term</t>
  </si>
  <si>
    <t>Investment in debt and money market instruments such that the Macaulay duration of the portfolio is between 3 - 6 months</t>
  </si>
  <si>
    <t>Scheme Benchmark</t>
  </si>
  <si>
    <t>CRISIL Ultra Short Term Fund</t>
  </si>
  <si>
    <t>Potential Risk Class Matrix (PRC) for WhiteOak Capital Ultra Short Term Fund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</si>
  <si>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</si>
  <si>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</si>
  <si>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</si>
  <si>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</si>
  <si>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</si>
  <si>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</si>
  <si>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-</t>
  </si>
  <si>
    <t>B-I</t>
  </si>
  <si>
    <t>Moderate  (Class II)</t>
  </si>
  <si>
    <t>Relatively High (Class III)</t>
  </si>
  <si>
    <t>Monthly Portfolio Statement as on January 31,2022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</si>
</sst>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9" fillId="0" borderId="18" xfId="1" applyFont="1" applyBorder="1"/>
    <xf numFmtId="0" fontId="10" fillId="0" borderId="18" xfId="1" applyFont="1" applyBorder="1"/>
    <xf numFmtId="0" fontId="7" fillId="0" borderId="18" xfId="1" applyFont="1" applyBorder="1"/>
    <xf numFmtId="0" fontId="11" fillId="0" borderId="19" xfId="0" applyFont="1" applyBorder="1" applyAlignment="1">
      <alignment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0" fillId="0" borderId="18" xfId="1" applyFont="1" applyBorder="1" applyAlignment="1">
      <alignment horizontal="center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D4FC1A7E-F200-486A-B8AC-E9EF47C72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2124075</xdr:colOff>
      <xdr:row>32</xdr:row>
      <xdr:rowOff>266700</xdr:rowOff>
    </xdr:from>
    <xdr:to>
      <xdr:col>1</xdr:col>
      <xdr:colOff>2409825</xdr:colOff>
      <xdr:row>32</xdr:row>
      <xdr:rowOff>285750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C9412EF7-B471-4475-9A2B-5EC697D7CF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10029825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2238375</xdr:colOff>
      <xdr:row>33</xdr:row>
      <xdr:rowOff>38100</xdr:rowOff>
    </xdr:from>
    <xdr:to>
      <xdr:col>1</xdr:col>
      <xdr:colOff>2333625</xdr:colOff>
      <xdr:row>35</xdr:row>
      <xdr:rowOff>57150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C3310095-44DB-4AD0-871B-8EC1FAC9F30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10067925"/>
          <a:ext cx="952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3205126</xdr:colOff>
      <xdr:row>25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24FAE49-CC72-44AB-8BBA-496065E77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34550" y="3590925"/>
          <a:ext cx="3205126" cy="24669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1</xdr:rowOff>
    </xdr:from>
    <xdr:to>
      <xdr:col>3</xdr:col>
      <xdr:colOff>2898058</xdr:colOff>
      <xdr:row>23</xdr:row>
      <xdr:rowOff>152401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FD3F0D-940C-4B0D-8ABE-F3970D2FE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10350" y="3590926"/>
          <a:ext cx="2898058" cy="205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780F-CE98-400B-B3D0-2343C6FD37B0}">
  <sheetPr>
    <outlinePr summaryBelow="0"/>
  </sheetPr>
  <dimension ref="A1:H43"/>
  <sheetViews>
    <sheetView tabSelected="1" workbookViewId="0">
      <selection activeCell="B1" sqref="B1"/>
    </sheetView>
  </sheetViews>
  <sheetFormatPr defaultRowHeight="15"/>
  <cols>
    <col min="1" max="1" width="3.42578125" customWidth="1"/>
    <col min="2" max="2" width="70" bestFit="1" customWidth="1"/>
    <col min="3" max="3" width="25.7109375" bestFit="1" customWidth="1"/>
    <col min="4" max="4" width="46.85546875" customWidth="1"/>
    <col min="5" max="5" width="51.85546875" customWidth="1"/>
    <col min="6" max="7" width="25" customWidth="1"/>
    <col min="8" max="8" width="16.5703125" customWidth="1"/>
  </cols>
  <sheetData>
    <row r="1" spans="1:8" ht="38.2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45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"/>
      <c r="G6" s="12"/>
      <c r="H6" s="13"/>
    </row>
    <row r="7" spans="1:8" ht="12.95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1000000</v>
      </c>
      <c r="F7" s="17">
        <v>989.09799999999996</v>
      </c>
      <c r="G7" s="18">
        <f>F7/F16</f>
        <v>0.37348680143836699</v>
      </c>
      <c r="H7" s="19">
        <v>3.7600000000000001E-2</v>
      </c>
    </row>
    <row r="8" spans="1:8" ht="12.95" customHeight="1">
      <c r="A8" s="14" t="s">
        <v>14</v>
      </c>
      <c r="B8" s="15" t="s">
        <v>15</v>
      </c>
      <c r="C8" s="11" t="s">
        <v>16</v>
      </c>
      <c r="D8" s="11" t="s">
        <v>13</v>
      </c>
      <c r="E8" s="16">
        <v>500000</v>
      </c>
      <c r="F8" s="17">
        <v>493.31299999999999</v>
      </c>
      <c r="G8" s="18">
        <f>F8/F16</f>
        <v>0.18627668287466473</v>
      </c>
      <c r="H8" s="19">
        <v>3.8650999999999998E-2</v>
      </c>
    </row>
    <row r="9" spans="1:8" ht="12.95" customHeight="1">
      <c r="A9" s="1"/>
      <c r="B9" s="10" t="s">
        <v>17</v>
      </c>
      <c r="C9" s="11"/>
      <c r="D9" s="11"/>
      <c r="E9" s="11"/>
      <c r="F9" s="20">
        <f>F7+F8</f>
        <v>1482.4110000000001</v>
      </c>
      <c r="G9" s="21">
        <f>G8+G7</f>
        <v>0.55976348431303169</v>
      </c>
      <c r="H9" s="22"/>
    </row>
    <row r="10" spans="1:8" ht="12.95" customHeight="1">
      <c r="A10" s="1"/>
      <c r="B10" s="23" t="s">
        <v>18</v>
      </c>
      <c r="C10" s="24"/>
      <c r="D10" s="25"/>
      <c r="E10" s="24"/>
      <c r="F10" s="20">
        <f>F9</f>
        <v>1482.4110000000001</v>
      </c>
      <c r="G10" s="21">
        <f>G9</f>
        <v>0.55976348431303169</v>
      </c>
      <c r="H10" s="22"/>
    </row>
    <row r="11" spans="1:8" ht="12.95" customHeight="1">
      <c r="A11" s="1"/>
      <c r="B11" s="10" t="s">
        <v>19</v>
      </c>
      <c r="C11" s="11"/>
      <c r="D11" s="11"/>
      <c r="E11" s="11"/>
      <c r="F11" s="1"/>
      <c r="G11" s="12"/>
      <c r="H11" s="13"/>
    </row>
    <row r="12" spans="1:8" ht="12.95" customHeight="1">
      <c r="A12" s="14" t="s">
        <v>20</v>
      </c>
      <c r="B12" s="15" t="s">
        <v>21</v>
      </c>
      <c r="C12" s="11"/>
      <c r="D12" s="11" t="s">
        <v>22</v>
      </c>
      <c r="E12" s="16"/>
      <c r="F12" s="17">
        <v>1171.08</v>
      </c>
      <c r="G12" s="18">
        <f>F12/F16</f>
        <v>0.44220382957850768</v>
      </c>
      <c r="H12" s="19">
        <v>3.1493322097922417E-2</v>
      </c>
    </row>
    <row r="13" spans="1:8" ht="12.95" customHeight="1">
      <c r="A13" s="1"/>
      <c r="B13" s="10" t="s">
        <v>17</v>
      </c>
      <c r="C13" s="11"/>
      <c r="D13" s="11"/>
      <c r="E13" s="11"/>
      <c r="F13" s="20">
        <f>F12</f>
        <v>1171.08</v>
      </c>
      <c r="G13" s="21">
        <f>G12</f>
        <v>0.44220382957850768</v>
      </c>
      <c r="H13" s="22"/>
    </row>
    <row r="14" spans="1:8" ht="12.95" customHeight="1">
      <c r="A14" s="1"/>
      <c r="B14" s="23" t="s">
        <v>18</v>
      </c>
      <c r="C14" s="24"/>
      <c r="D14" s="25"/>
      <c r="E14" s="24"/>
      <c r="F14" s="20">
        <f>F13</f>
        <v>1171.08</v>
      </c>
      <c r="G14" s="21">
        <f>G13</f>
        <v>0.44220382957850768</v>
      </c>
      <c r="H14" s="22"/>
    </row>
    <row r="15" spans="1:8" ht="12.95" customHeight="1">
      <c r="A15" s="1"/>
      <c r="B15" s="23" t="s">
        <v>23</v>
      </c>
      <c r="C15" s="11"/>
      <c r="D15" s="25"/>
      <c r="E15" s="11"/>
      <c r="F15" s="26">
        <v>-5.21</v>
      </c>
      <c r="G15" s="21">
        <f>F15/F16</f>
        <v>-1.9673138915394552E-3</v>
      </c>
      <c r="H15" s="22"/>
    </row>
    <row r="16" spans="1:8" ht="12.95" customHeight="1" thickBot="1">
      <c r="A16" s="1"/>
      <c r="B16" s="27" t="s">
        <v>24</v>
      </c>
      <c r="C16" s="28"/>
      <c r="D16" s="28"/>
      <c r="E16" s="28"/>
      <c r="F16" s="29">
        <f>F15+F14+F10</f>
        <v>2648.2809999999999</v>
      </c>
      <c r="G16" s="30">
        <v>1</v>
      </c>
      <c r="H16" s="31"/>
    </row>
    <row r="17" spans="1:8" ht="12.95" customHeight="1">
      <c r="A17" s="1"/>
      <c r="B17" s="4"/>
      <c r="C17" s="1"/>
      <c r="D17" s="1"/>
      <c r="E17" s="1"/>
      <c r="F17" s="1"/>
      <c r="G17" s="1"/>
      <c r="H17" s="1"/>
    </row>
    <row r="18" spans="1:8" ht="12.95" customHeight="1">
      <c r="A18" s="1"/>
      <c r="B18" s="2" t="s">
        <v>22</v>
      </c>
      <c r="C18" s="1"/>
      <c r="D18" s="1"/>
      <c r="E18" s="1"/>
      <c r="F18" s="1"/>
      <c r="G18" s="1"/>
      <c r="H18" s="1"/>
    </row>
    <row r="19" spans="1:8" ht="12.95" customHeight="1">
      <c r="A19" s="1"/>
      <c r="B19" s="32" t="s">
        <v>25</v>
      </c>
      <c r="C19" s="32" t="s">
        <v>26</v>
      </c>
      <c r="D19" s="33" t="s">
        <v>27</v>
      </c>
      <c r="E19" s="33" t="s">
        <v>28</v>
      </c>
      <c r="F19" s="1"/>
      <c r="G19" s="1"/>
      <c r="H19" s="1"/>
    </row>
    <row r="20" spans="1:8" ht="60">
      <c r="A20" s="1"/>
      <c r="B20" s="34" t="s">
        <v>29</v>
      </c>
      <c r="C20" s="35" t="s">
        <v>30</v>
      </c>
      <c r="D20" s="53"/>
      <c r="E20" s="53"/>
      <c r="F20" s="1"/>
      <c r="G20" s="1"/>
      <c r="H20" s="1"/>
    </row>
    <row r="21" spans="1:8" ht="60">
      <c r="B21" s="36"/>
      <c r="C21" s="35" t="s">
        <v>31</v>
      </c>
      <c r="D21" s="53"/>
      <c r="E21" s="53"/>
    </row>
    <row r="22" spans="1:8">
      <c r="B22" s="37"/>
      <c r="C22" s="37"/>
      <c r="D22" s="53"/>
      <c r="E22" s="53"/>
    </row>
    <row r="23" spans="1:8">
      <c r="B23" s="37"/>
      <c r="C23" s="37"/>
      <c r="D23" s="53"/>
      <c r="E23" s="53"/>
    </row>
    <row r="24" spans="1:8">
      <c r="B24" s="38" t="s">
        <v>32</v>
      </c>
      <c r="C24" s="37"/>
      <c r="D24" s="53"/>
      <c r="E24" s="53"/>
    </row>
    <row r="25" spans="1:8">
      <c r="B25" s="38" t="s">
        <v>33</v>
      </c>
      <c r="C25" s="37"/>
      <c r="D25" s="53"/>
      <c r="E25" s="53"/>
    </row>
    <row r="26" spans="1:8">
      <c r="B26" s="37"/>
      <c r="C26" s="37"/>
      <c r="D26" s="53"/>
      <c r="E26" s="53"/>
    </row>
    <row r="27" spans="1:8">
      <c r="B27" s="37"/>
      <c r="C27" s="37"/>
      <c r="D27" s="53"/>
      <c r="E27" s="53"/>
    </row>
    <row r="28" spans="1:8">
      <c r="B28" s="37"/>
      <c r="C28" s="37"/>
      <c r="D28" s="53"/>
      <c r="E28" s="53"/>
    </row>
    <row r="29" spans="1:8" ht="172.5" customHeight="1">
      <c r="B29" s="37"/>
      <c r="C29" s="37"/>
      <c r="D29" s="53"/>
      <c r="E29" s="53"/>
    </row>
    <row r="32" spans="1:8" ht="15.75" thickBot="1">
      <c r="B32" t="s">
        <v>34</v>
      </c>
    </row>
    <row r="33" spans="2:5" ht="15.75" thickBot="1">
      <c r="B33" s="39" t="s">
        <v>35</v>
      </c>
      <c r="C33" s="54" t="s">
        <v>36</v>
      </c>
      <c r="D33" s="54" t="s">
        <v>37</v>
      </c>
      <c r="E33" s="54" t="s">
        <v>38</v>
      </c>
    </row>
    <row r="34" spans="2:5">
      <c r="B34" s="50" t="s">
        <v>39</v>
      </c>
      <c r="C34" s="55"/>
      <c r="D34" s="55"/>
      <c r="E34" s="55"/>
    </row>
    <row r="35" spans="2:5">
      <c r="B35" s="51"/>
      <c r="C35" s="55"/>
      <c r="D35" s="55"/>
      <c r="E35" s="55"/>
    </row>
    <row r="36" spans="2:5" ht="15.75" thickBot="1">
      <c r="B36" s="52"/>
      <c r="C36" s="56"/>
      <c r="D36" s="56"/>
      <c r="E36" s="56"/>
    </row>
    <row r="37" spans="2:5">
      <c r="B37" s="40" t="s">
        <v>40</v>
      </c>
      <c r="C37" s="46" t="s">
        <v>41</v>
      </c>
      <c r="D37" s="48" t="s">
        <v>42</v>
      </c>
      <c r="E37" s="43" t="s">
        <v>41</v>
      </c>
    </row>
    <row r="38" spans="2:5" ht="15.75" thickBot="1">
      <c r="B38" s="42"/>
      <c r="C38" s="47"/>
      <c r="D38" s="49"/>
      <c r="E38" s="45"/>
    </row>
    <row r="39" spans="2:5">
      <c r="B39" s="40" t="s">
        <v>43</v>
      </c>
      <c r="C39" s="43" t="s">
        <v>41</v>
      </c>
      <c r="D39" s="43" t="s">
        <v>41</v>
      </c>
      <c r="E39" s="43" t="s">
        <v>41</v>
      </c>
    </row>
    <row r="40" spans="2:5" ht="15.75" thickBot="1">
      <c r="B40" s="42"/>
      <c r="C40" s="45"/>
      <c r="D40" s="45"/>
      <c r="E40" s="45"/>
    </row>
    <row r="41" spans="2:5">
      <c r="B41" s="40" t="s">
        <v>44</v>
      </c>
      <c r="C41" s="43" t="s">
        <v>41</v>
      </c>
      <c r="D41" s="43" t="s">
        <v>41</v>
      </c>
      <c r="E41" s="43" t="s">
        <v>41</v>
      </c>
    </row>
    <row r="42" spans="2:5">
      <c r="B42" s="41"/>
      <c r="C42" s="44"/>
      <c r="D42" s="44"/>
      <c r="E42" s="44"/>
    </row>
    <row r="43" spans="2:5" ht="15.75" thickBot="1">
      <c r="B43" s="42"/>
      <c r="C43" s="45"/>
      <c r="D43" s="45"/>
      <c r="E43" s="45"/>
    </row>
  </sheetData>
  <mergeCells count="18">
    <mergeCell ref="B34:B36"/>
    <mergeCell ref="D20:D29"/>
    <mergeCell ref="E20:E29"/>
    <mergeCell ref="C33:C36"/>
    <mergeCell ref="D33:D36"/>
    <mergeCell ref="E33:E36"/>
    <mergeCell ref="B41:B43"/>
    <mergeCell ref="C41:C43"/>
    <mergeCell ref="D41:D43"/>
    <mergeCell ref="E41:E43"/>
    <mergeCell ref="B37:B38"/>
    <mergeCell ref="C37:C38"/>
    <mergeCell ref="D37:D38"/>
    <mergeCell ref="E37:E38"/>
    <mergeCell ref="B39:B40"/>
    <mergeCell ref="C39:C40"/>
    <mergeCell ref="D39:D40"/>
    <mergeCell ref="E39:E4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75C461-5475-4B35-8EDA-8A7C6AD615C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E7AF9D8-996A-4632-AFAE-8E4E0B7E28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B4F8F1-6A9A-4975-8CD4-874EE7352C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Akshay Sawant</cp:lastModifiedBy>
  <dcterms:created xsi:type="dcterms:W3CDTF">2022-01-19T08:10:54Z</dcterms:created>
  <dcterms:modified xsi:type="dcterms:W3CDTF">2022-02-09T05:55:22Z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