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Nov 2023/"/>
    </mc:Choice>
  </mc:AlternateContent>
  <xr:revisionPtr revIDLastSave="2" documentId="13_ncr:1_{C6140A74-7EB1-456C-BE38-8DF897A6F000}" xr6:coauthVersionLast="47" xr6:coauthVersionMax="47" xr10:uidLastSave="{4558B6F1-152F-45D8-ADB9-EB9F0DD000E1}"/>
  <bookViews>
    <workbookView xWindow="-120" yWindow="-120" windowWidth="20730" windowHeight="11160" xr2:uid="{5D029A8C-B350-4372-8C4F-309505541DCB}"/>
  </bookViews>
  <sheets>
    <sheet name="YM001" sheetId="1" r:id="rId1"/>
  </sheets>
  <externalReferences>
    <externalReference r:id="rId2"/>
  </externalReferences>
  <definedNames>
    <definedName name="JR_PAGE_ANCHOR_0_1">#REF!</definedName>
    <definedName name="JR_PAGE_ANCHOR_0_12">#REF!</definedName>
    <definedName name="JR_PAGE_ANCHOR_0_9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3" i="1"/>
  <c r="D20" i="1"/>
  <c r="D19" i="1"/>
  <c r="D18" i="1"/>
  <c r="D17" i="1"/>
  <c r="D16" i="1"/>
  <c r="D15" i="1"/>
  <c r="D14" i="1"/>
  <c r="D7" i="1"/>
</calcChain>
</file>

<file path=xl/sharedStrings.xml><?xml version="1.0" encoding="utf-8"?>
<sst xmlns="http://schemas.openxmlformats.org/spreadsheetml/2006/main" count="92" uniqueCount="73">
  <si>
    <t>WhiteOak Capital Liquid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</si>
  <si>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</si>
  <si>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</si>
  <si>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</si>
  <si>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</si>
  <si>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</si>
  <si>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</si>
  <si>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</si>
  <si>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</si>
  <si>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</si>
  <si>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</si>
  <si>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SUFI709</t>
  </si>
  <si>
    <t>5.10% Sundaram Finance Limited (01/12/2023) **</t>
  </si>
  <si>
    <t>INE660A07QQ2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</si>
  <si>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</si>
  <si>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</si>
  <si>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</si>
  <si>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</si>
  <si>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</si>
  <si>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</si>
  <si>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CANB919</t>
  </si>
  <si>
    <t>Canara Bank (10/01/2024) ** #</t>
  </si>
  <si>
    <t>INE476A16VZ5</t>
  </si>
  <si>
    <t>BKBA386</t>
  </si>
  <si>
    <t>Bank of Baroda (29/01/2024)  #</t>
  </si>
  <si>
    <t>INE028A16EB1</t>
  </si>
  <si>
    <t>HDFB833</t>
  </si>
  <si>
    <t>HDFC Bank Limited (05/02/2024) ** #</t>
  </si>
  <si>
    <t>INE040A16DT0</t>
  </si>
  <si>
    <t>SIDB496</t>
  </si>
  <si>
    <t>Small Industries Dev Bank of India (31/01/2024) ** #</t>
  </si>
  <si>
    <t>INE556F16AF9</t>
  </si>
  <si>
    <t>UTIB1270</t>
  </si>
  <si>
    <t>Axis Bank Limited (11/01/2024)  #</t>
  </si>
  <si>
    <t>INE238AD6280</t>
  </si>
  <si>
    <t>KMBK808</t>
  </si>
  <si>
    <t>Kotak Mahindra Bank Limited (11/12/2023) ** #</t>
  </si>
  <si>
    <t>INE237A164R5</t>
  </si>
  <si>
    <t>UNBI352</t>
  </si>
  <si>
    <t>Union Bank of India (19/01/2024)  #</t>
  </si>
  <si>
    <t>INE692A16FU1</t>
  </si>
  <si>
    <t>Commercial Paper</t>
  </si>
  <si>
    <t>ICBR462</t>
  </si>
  <si>
    <t>ICICI Securities Limited (20/02/2024) **</t>
  </si>
  <si>
    <t>INE763G14RR3</t>
  </si>
  <si>
    <t>NBAR727</t>
  </si>
  <si>
    <t>National Bank For Agriculture and Rural Development (13/12/2023) **</t>
  </si>
  <si>
    <t>INE261F14KE3</t>
  </si>
  <si>
    <t>HDFS169</t>
  </si>
  <si>
    <t>HDFC Securities Limited (30/01/2024) **</t>
  </si>
  <si>
    <t>INE700G14HB0</t>
  </si>
  <si>
    <t>Treasury Bill</t>
  </si>
  <si>
    <t>TBIL2250</t>
  </si>
  <si>
    <t>91 Days Tbill (MD 07/12/2023)</t>
  </si>
  <si>
    <t>IN002023X245</t>
  </si>
  <si>
    <t>Sovereign</t>
  </si>
  <si>
    <t>TBIL2273</t>
  </si>
  <si>
    <t>91 Days Tbill (MD 01/02/2024)</t>
  </si>
  <si>
    <t>IN002023X328</t>
  </si>
  <si>
    <t>Others</t>
  </si>
  <si>
    <t>Corporate Debt Market Development Fund</t>
  </si>
  <si>
    <t>CDMD50ME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</si>
  <si>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</si>
  <si>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</si>
  <si>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</si>
  <si>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</si>
  <si>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</si>
  <si>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</si>
  <si>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**  Thinly Traded / Non Traded Security</t>
  </si>
  <si>
    <t>~ YTM as on November 30, 2023</t>
  </si>
  <si>
    <t xml:space="preserve"> # Unlisted security</t>
  </si>
  <si>
    <t>Fortnightly Portfolio Statement as on November 30, 2023</t>
  </si>
  <si>
    <t>Corporate Debt Market Development Fund Class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</si>
</sst>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270D6D1-C6BC-43E5-80AA-99CFA6CB0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26</xdr:col>
      <xdr:colOff>380020</xdr:colOff>
      <xdr:row>16</xdr:row>
      <xdr:rowOff>104775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FED3DA4D-39F0-487E-B87F-0822E113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876300"/>
          <a:ext cx="1074322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cal_kumapr27\Temp\Temp8646eb39-cc28-4305-9b30-4837d5ab5d25_IN_MF_CONSOLIDATED_HOLDING_REPORT_v2.xls.zip\IN_MF_CONSOLIDATED_HOLDING_REPORT_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Equity"/>
    </sheetNames>
    <sheetDataSet>
      <sheetData sheetId="0">
        <row r="3">
          <cell r="D3" t="str">
            <v>ISIN</v>
          </cell>
          <cell r="E3" t="str">
            <v>Security Name</v>
          </cell>
          <cell r="F3" t="str">
            <v>Security Type</v>
          </cell>
          <cell r="G3" t="str">
            <v>Security Type Name</v>
          </cell>
          <cell r="H3" t="str">
            <v>Quantity</v>
          </cell>
          <cell r="I3" t="str">
            <v>Face Value Per Unit (Rs.)</v>
          </cell>
          <cell r="J3" t="str">
            <v>Previous Market Price</v>
          </cell>
          <cell r="K3" t="str">
            <v>Current Market Price</v>
          </cell>
          <cell r="L3" t="str">
            <v>Price Variance between Previous &amp; Current (%)</v>
          </cell>
          <cell r="M3" t="str">
            <v>Quotation Currency</v>
          </cell>
          <cell r="N3" t="str">
            <v>Average Unit Cost (Rs.)</v>
          </cell>
          <cell r="O3" t="str">
            <v>Total Book Cost (Rs.)</v>
          </cell>
          <cell r="P3" t="str">
            <v>Ammortised Book Cost (Rs.)</v>
          </cell>
          <cell r="Q3" t="str">
            <v>Total Market Value (Rs.)</v>
          </cell>
          <cell r="R3" t="str">
            <v>Total Face Value (Rs.)</v>
          </cell>
          <cell r="S3" t="str">
            <v>Cummulative Unrealised Gain/(Loss) (Rs.)</v>
          </cell>
          <cell r="T3" t="str">
            <v>Unrealised Gain Loss for the Day (Rs.)</v>
          </cell>
          <cell r="U3" t="str">
            <v>Market Value as % of Net Asset</v>
          </cell>
          <cell r="V3" t="str">
            <v>Market Value as % of Total Investments</v>
          </cell>
          <cell r="W3" t="str">
            <v>Accrued Interest</v>
          </cell>
          <cell r="X3" t="str">
            <v>Accretion of Premium/Discount</v>
          </cell>
          <cell r="Y3" t="str">
            <v>Price Date</v>
          </cell>
          <cell r="Z3" t="str">
            <v>Rating</v>
          </cell>
        </row>
        <row r="4">
          <cell r="E4" t="str">
            <v>TRP_011223</v>
          </cell>
          <cell r="F4" t="str">
            <v>CBLO</v>
          </cell>
          <cell r="G4" t="str">
            <v>CBLO</v>
          </cell>
          <cell r="H4">
            <v>592410</v>
          </cell>
          <cell r="I4">
            <v>100</v>
          </cell>
          <cell r="J4">
            <v>0</v>
          </cell>
          <cell r="K4">
            <v>100</v>
          </cell>
          <cell r="L4">
            <v>1</v>
          </cell>
          <cell r="M4" t="str">
            <v>INR</v>
          </cell>
          <cell r="N4">
            <v>99.981485626508672</v>
          </cell>
          <cell r="O4">
            <v>59230031.899999999</v>
          </cell>
          <cell r="P4">
            <v>59241000</v>
          </cell>
          <cell r="Q4">
            <v>59241000</v>
          </cell>
          <cell r="R4">
            <v>59241000</v>
          </cell>
          <cell r="S4">
            <v>0</v>
          </cell>
          <cell r="T4">
            <v>0</v>
          </cell>
          <cell r="U4">
            <v>7.85E-2</v>
          </cell>
          <cell r="V4">
            <v>7.8200000000000006E-2</v>
          </cell>
          <cell r="W4">
            <v>0</v>
          </cell>
          <cell r="X4">
            <v>10968.1</v>
          </cell>
          <cell r="Y4">
            <v>45260</v>
          </cell>
          <cell r="Z4" t="str">
            <v xml:space="preserve"> </v>
          </cell>
        </row>
        <row r="5">
          <cell r="F5" t="str">
            <v>CBLO TOTAL</v>
          </cell>
          <cell r="O5">
            <v>59230031.899999999</v>
          </cell>
          <cell r="P5">
            <v>59241000</v>
          </cell>
          <cell r="Q5">
            <v>59241000</v>
          </cell>
          <cell r="S5">
            <v>0</v>
          </cell>
          <cell r="T5">
            <v>0</v>
          </cell>
          <cell r="U5">
            <v>7.85E-2</v>
          </cell>
          <cell r="V5">
            <v>7.8200000000000006E-2</v>
          </cell>
          <cell r="W5">
            <v>0</v>
          </cell>
          <cell r="X5">
            <v>10968.1</v>
          </cell>
        </row>
        <row r="6">
          <cell r="D6" t="str">
            <v>INE134E08GV9</v>
          </cell>
          <cell r="E6" t="str">
            <v>8.65% Power Fin Corp Ltd NCD (MD 28/12/2024)</v>
          </cell>
          <cell r="F6" t="str">
            <v>CORPORATE</v>
          </cell>
          <cell r="G6" t="str">
            <v>Corporate Bond</v>
          </cell>
          <cell r="H6">
            <v>500000</v>
          </cell>
          <cell r="I6">
            <v>100</v>
          </cell>
          <cell r="J6">
            <v>100.8814</v>
          </cell>
          <cell r="K6">
            <v>100.8623</v>
          </cell>
          <cell r="L6">
            <v>-1.8936708760359421E-4</v>
          </cell>
          <cell r="M6" t="str">
            <v>INR</v>
          </cell>
          <cell r="N6">
            <v>100.91930000000001</v>
          </cell>
          <cell r="O6">
            <v>50459650</v>
          </cell>
          <cell r="P6">
            <v>50459650</v>
          </cell>
          <cell r="Q6">
            <v>50431150</v>
          </cell>
          <cell r="R6">
            <v>50000000</v>
          </cell>
          <cell r="S6">
            <v>-28500</v>
          </cell>
          <cell r="T6">
            <v>-9550</v>
          </cell>
          <cell r="U6">
            <v>6.6799999999999998E-2</v>
          </cell>
          <cell r="V6">
            <v>6.6600000000000006E-2</v>
          </cell>
          <cell r="W6">
            <v>3993219.18</v>
          </cell>
          <cell r="X6">
            <v>0</v>
          </cell>
          <cell r="Y6">
            <v>45260</v>
          </cell>
          <cell r="Z6" t="str">
            <v>CRISIL AAA</v>
          </cell>
        </row>
        <row r="7">
          <cell r="D7" t="str">
            <v>INE020B08898</v>
          </cell>
          <cell r="E7" t="str">
            <v>8.23% REC Ltd NCD (MD 23/01/2025)</v>
          </cell>
          <cell r="F7" t="str">
            <v>CORPORATE</v>
          </cell>
          <cell r="G7" t="str">
            <v>Corporate Bond</v>
          </cell>
          <cell r="H7">
            <v>500000</v>
          </cell>
          <cell r="I7">
            <v>100</v>
          </cell>
          <cell r="J7">
            <v>100.46120000000001</v>
          </cell>
          <cell r="K7">
            <v>100.4495</v>
          </cell>
          <cell r="L7">
            <v>-1.1647643840934998E-4</v>
          </cell>
          <cell r="M7" t="str">
            <v>INR</v>
          </cell>
          <cell r="N7">
            <v>100.5783</v>
          </cell>
          <cell r="O7">
            <v>50289150</v>
          </cell>
          <cell r="P7">
            <v>50289150</v>
          </cell>
          <cell r="Q7">
            <v>50224750</v>
          </cell>
          <cell r="R7">
            <v>50000000</v>
          </cell>
          <cell r="S7">
            <v>-64400</v>
          </cell>
          <cell r="T7">
            <v>-5850</v>
          </cell>
          <cell r="U7">
            <v>6.6600000000000006E-2</v>
          </cell>
          <cell r="V7">
            <v>6.6299999999999998E-2</v>
          </cell>
          <cell r="W7">
            <v>2248633.88</v>
          </cell>
          <cell r="X7">
            <v>0</v>
          </cell>
          <cell r="Y7">
            <v>45260</v>
          </cell>
          <cell r="Z7" t="str">
            <v>CRISIL AAA</v>
          </cell>
        </row>
        <row r="8">
          <cell r="D8" t="str">
            <v>INE245A08133</v>
          </cell>
          <cell r="E8" t="str">
            <v>7.99% Tata Power Co. Ltd Ser V NCD (MD 15/11/2024)</v>
          </cell>
          <cell r="F8" t="str">
            <v>CORPORATE</v>
          </cell>
          <cell r="G8" t="str">
            <v>Corporate Bond</v>
          </cell>
          <cell r="H8">
            <v>450000</v>
          </cell>
          <cell r="I8">
            <v>100</v>
          </cell>
          <cell r="J8">
            <v>100.04089999999999</v>
          </cell>
          <cell r="K8">
            <v>100.0348</v>
          </cell>
          <cell r="L8">
            <v>-6.0978779384774097E-5</v>
          </cell>
          <cell r="M8" t="str">
            <v>INR</v>
          </cell>
          <cell r="N8">
            <v>100.0339</v>
          </cell>
          <cell r="O8">
            <v>45015255</v>
          </cell>
          <cell r="P8">
            <v>45015255</v>
          </cell>
          <cell r="Q8">
            <v>45015660</v>
          </cell>
          <cell r="R8">
            <v>45000000</v>
          </cell>
          <cell r="S8">
            <v>405</v>
          </cell>
          <cell r="T8">
            <v>-2745</v>
          </cell>
          <cell r="U8">
            <v>5.9700000000000003E-2</v>
          </cell>
          <cell r="V8">
            <v>5.9400000000000001E-2</v>
          </cell>
          <cell r="W8">
            <v>147356.56</v>
          </cell>
          <cell r="X8">
            <v>0</v>
          </cell>
          <cell r="Y8">
            <v>45260</v>
          </cell>
          <cell r="Z8" t="str">
            <v>CARE AA</v>
          </cell>
        </row>
        <row r="9">
          <cell r="F9" t="str">
            <v>CORPORATE TOTAL</v>
          </cell>
          <cell r="O9">
            <v>145764055</v>
          </cell>
          <cell r="P9">
            <v>145764055</v>
          </cell>
          <cell r="Q9">
            <v>145671560</v>
          </cell>
          <cell r="S9">
            <v>-92495</v>
          </cell>
          <cell r="T9">
            <v>-18145</v>
          </cell>
          <cell r="U9">
            <v>0.19309999999999999</v>
          </cell>
          <cell r="V9">
            <v>0.1923</v>
          </cell>
          <cell r="W9">
            <v>6389209.6200000001</v>
          </cell>
          <cell r="X9">
            <v>0</v>
          </cell>
        </row>
        <row r="10">
          <cell r="D10" t="str">
            <v>INE212H01026</v>
          </cell>
          <cell r="E10" t="str">
            <v>AIA Engineering Ltd</v>
          </cell>
          <cell r="F10" t="str">
            <v>EQUITY</v>
          </cell>
          <cell r="G10" t="str">
            <v>Equity</v>
          </cell>
          <cell r="H10">
            <v>457</v>
          </cell>
          <cell r="I10">
            <v>2</v>
          </cell>
          <cell r="J10">
            <v>3607.1</v>
          </cell>
          <cell r="K10">
            <v>3591.65</v>
          </cell>
          <cell r="L10">
            <v>-4.3016440911558757E-3</v>
          </cell>
          <cell r="M10" t="str">
            <v>INR</v>
          </cell>
          <cell r="N10">
            <v>3531.6310065645516</v>
          </cell>
          <cell r="O10">
            <v>1613955.37</v>
          </cell>
          <cell r="P10">
            <v>1613955.37</v>
          </cell>
          <cell r="Q10">
            <v>1641384.05</v>
          </cell>
          <cell r="R10">
            <v>914</v>
          </cell>
          <cell r="S10">
            <v>27428.68</v>
          </cell>
          <cell r="T10">
            <v>-7060.65</v>
          </cell>
          <cell r="U10">
            <v>2.2000000000000001E-3</v>
          </cell>
          <cell r="V10">
            <v>2.2000000000000001E-3</v>
          </cell>
          <cell r="W10">
            <v>0</v>
          </cell>
          <cell r="X10">
            <v>0</v>
          </cell>
          <cell r="Y10">
            <v>45260</v>
          </cell>
          <cell r="Z10" t="str">
            <v xml:space="preserve"> </v>
          </cell>
        </row>
        <row r="11">
          <cell r="D11" t="str">
            <v>INE031B01049</v>
          </cell>
          <cell r="E11" t="str">
            <v>Ajanta Pharma Ltd</v>
          </cell>
          <cell r="F11" t="str">
            <v>EQUITY</v>
          </cell>
          <cell r="G11" t="str">
            <v>Equity</v>
          </cell>
          <cell r="H11">
            <v>1267</v>
          </cell>
          <cell r="I11">
            <v>2</v>
          </cell>
          <cell r="J11">
            <v>1949.05</v>
          </cell>
          <cell r="K11">
            <v>1976.15</v>
          </cell>
          <cell r="L11">
            <v>1.3713533891658022E-2</v>
          </cell>
          <cell r="M11" t="str">
            <v>INR</v>
          </cell>
          <cell r="N11">
            <v>1756.3462036306234</v>
          </cell>
          <cell r="O11">
            <v>2225290.64</v>
          </cell>
          <cell r="P11">
            <v>2225290.64</v>
          </cell>
          <cell r="Q11">
            <v>2503782.0499999998</v>
          </cell>
          <cell r="R11">
            <v>2534</v>
          </cell>
          <cell r="S11">
            <v>278491.40999999997</v>
          </cell>
          <cell r="T11">
            <v>34335.699999999997</v>
          </cell>
          <cell r="U11">
            <v>3.3E-3</v>
          </cell>
          <cell r="V11">
            <v>3.3E-3</v>
          </cell>
          <cell r="W11">
            <v>0</v>
          </cell>
          <cell r="X11">
            <v>0</v>
          </cell>
          <cell r="Y11">
            <v>45260</v>
          </cell>
          <cell r="Z11" t="str">
            <v xml:space="preserve"> </v>
          </cell>
        </row>
        <row r="12">
          <cell r="D12" t="str">
            <v>INE955V01021</v>
          </cell>
          <cell r="E12" t="str">
            <v>Arvind Fashions Limited</v>
          </cell>
          <cell r="F12" t="str">
            <v>EQUITY</v>
          </cell>
          <cell r="G12" t="str">
            <v>Equity</v>
          </cell>
          <cell r="H12">
            <v>4908</v>
          </cell>
          <cell r="I12">
            <v>4</v>
          </cell>
          <cell r="J12">
            <v>430.85</v>
          </cell>
          <cell r="K12">
            <v>439.55</v>
          </cell>
          <cell r="L12">
            <v>1.9792970083039471E-2</v>
          </cell>
          <cell r="M12" t="str">
            <v>INR</v>
          </cell>
          <cell r="N12">
            <v>325.77499999999998</v>
          </cell>
          <cell r="O12">
            <v>1598903.7</v>
          </cell>
          <cell r="P12">
            <v>1598903.7</v>
          </cell>
          <cell r="Q12">
            <v>2157311.4</v>
          </cell>
          <cell r="R12">
            <v>19632</v>
          </cell>
          <cell r="S12">
            <v>558407.69999999995</v>
          </cell>
          <cell r="T12">
            <v>42699.6</v>
          </cell>
          <cell r="U12">
            <v>2.8999999999999998E-3</v>
          </cell>
          <cell r="V12">
            <v>2.8E-3</v>
          </cell>
          <cell r="W12">
            <v>0</v>
          </cell>
          <cell r="X12">
            <v>0</v>
          </cell>
          <cell r="Y12">
            <v>45260</v>
          </cell>
          <cell r="Z12" t="str">
            <v xml:space="preserve"> </v>
          </cell>
        </row>
        <row r="13">
          <cell r="D13" t="str">
            <v>INE117A01022</v>
          </cell>
          <cell r="E13" t="str">
            <v>ABB India Ltd</v>
          </cell>
          <cell r="F13" t="str">
            <v>EQUITY</v>
          </cell>
          <cell r="G13" t="str">
            <v>Equity</v>
          </cell>
          <cell r="H13">
            <v>1520</v>
          </cell>
          <cell r="I13">
            <v>2</v>
          </cell>
          <cell r="J13">
            <v>4244.05</v>
          </cell>
          <cell r="K13">
            <v>4419.75</v>
          </cell>
          <cell r="L13">
            <v>3.9753379716047289E-2</v>
          </cell>
          <cell r="M13" t="str">
            <v>INR</v>
          </cell>
          <cell r="N13">
            <v>4096.8399276315786</v>
          </cell>
          <cell r="O13">
            <v>6227196.6900000004</v>
          </cell>
          <cell r="P13">
            <v>6227196.6900000004</v>
          </cell>
          <cell r="Q13">
            <v>6718020</v>
          </cell>
          <cell r="R13">
            <v>3040</v>
          </cell>
          <cell r="S13">
            <v>490823.31</v>
          </cell>
          <cell r="T13">
            <v>267064</v>
          </cell>
          <cell r="U13">
            <v>8.8999999999999999E-3</v>
          </cell>
          <cell r="V13">
            <v>8.8999999999999999E-3</v>
          </cell>
          <cell r="W13">
            <v>0</v>
          </cell>
          <cell r="X13">
            <v>0</v>
          </cell>
          <cell r="Y13">
            <v>45260</v>
          </cell>
          <cell r="Z13" t="str">
            <v xml:space="preserve"> </v>
          </cell>
        </row>
        <row r="14">
          <cell r="D14" t="str">
            <v>INE006I01046</v>
          </cell>
          <cell r="E14" t="str">
            <v>Astral Limited</v>
          </cell>
          <cell r="F14" t="str">
            <v>EQUITY</v>
          </cell>
          <cell r="G14" t="str">
            <v>Equity</v>
          </cell>
          <cell r="H14">
            <v>1051</v>
          </cell>
          <cell r="I14">
            <v>1</v>
          </cell>
          <cell r="J14">
            <v>1945.75</v>
          </cell>
          <cell r="K14">
            <v>1949.7</v>
          </cell>
          <cell r="L14">
            <v>2.0259527106734369E-3</v>
          </cell>
          <cell r="M14" t="str">
            <v>INR</v>
          </cell>
          <cell r="N14">
            <v>1827.7037963843959</v>
          </cell>
          <cell r="O14">
            <v>1920916.69</v>
          </cell>
          <cell r="P14">
            <v>1920916.69</v>
          </cell>
          <cell r="Q14">
            <v>2049134.7</v>
          </cell>
          <cell r="R14">
            <v>1051</v>
          </cell>
          <cell r="S14">
            <v>128218.01</v>
          </cell>
          <cell r="T14">
            <v>4151.45</v>
          </cell>
          <cell r="U14">
            <v>2.7000000000000001E-3</v>
          </cell>
          <cell r="V14">
            <v>2.7000000000000001E-3</v>
          </cell>
          <cell r="W14">
            <v>0</v>
          </cell>
          <cell r="X14">
            <v>0</v>
          </cell>
          <cell r="Y14">
            <v>45260</v>
          </cell>
          <cell r="Z14" t="str">
            <v xml:space="preserve"> </v>
          </cell>
        </row>
        <row r="15">
          <cell r="D15" t="str">
            <v>INE0LCL01028</v>
          </cell>
          <cell r="E15" t="str">
            <v>Avalon Technologies Limited</v>
          </cell>
          <cell r="F15" t="str">
            <v>EQUITY</v>
          </cell>
          <cell r="G15" t="str">
            <v>Equity</v>
          </cell>
          <cell r="H15">
            <v>1906</v>
          </cell>
          <cell r="I15">
            <v>2</v>
          </cell>
          <cell r="J15">
            <v>505.6</v>
          </cell>
          <cell r="K15">
            <v>504.25</v>
          </cell>
          <cell r="L15">
            <v>-2.6772434308378781E-3</v>
          </cell>
          <cell r="M15" t="str">
            <v>INR</v>
          </cell>
          <cell r="N15">
            <v>503.80490031479536</v>
          </cell>
          <cell r="O15">
            <v>960252.14</v>
          </cell>
          <cell r="P15">
            <v>960252.14</v>
          </cell>
          <cell r="Q15">
            <v>961100.5</v>
          </cell>
          <cell r="R15">
            <v>3812</v>
          </cell>
          <cell r="S15">
            <v>848.36</v>
          </cell>
          <cell r="T15">
            <v>-2573.1</v>
          </cell>
          <cell r="U15">
            <v>1.2999999999999999E-3</v>
          </cell>
          <cell r="V15">
            <v>1.2999999999999999E-3</v>
          </cell>
          <cell r="W15">
            <v>0</v>
          </cell>
          <cell r="X15">
            <v>0</v>
          </cell>
          <cell r="Y15">
            <v>45260</v>
          </cell>
          <cell r="Z15" t="str">
            <v xml:space="preserve"> </v>
          </cell>
        </row>
        <row r="16">
          <cell r="D16" t="str">
            <v>INE296A01024</v>
          </cell>
          <cell r="E16" t="str">
            <v>Bajaj Finance Ltd</v>
          </cell>
          <cell r="F16" t="str">
            <v>EQUITY</v>
          </cell>
          <cell r="G16" t="str">
            <v>Equity</v>
          </cell>
          <cell r="H16">
            <v>742</v>
          </cell>
          <cell r="I16">
            <v>2</v>
          </cell>
          <cell r="J16">
            <v>7130.1</v>
          </cell>
          <cell r="K16">
            <v>7121.9</v>
          </cell>
          <cell r="L16">
            <v>-1.1513781434729497E-3</v>
          </cell>
          <cell r="M16" t="str">
            <v>INR</v>
          </cell>
          <cell r="N16">
            <v>7450.5348921832883</v>
          </cell>
          <cell r="O16">
            <v>5528296.8899999997</v>
          </cell>
          <cell r="P16">
            <v>5528296.8899999997</v>
          </cell>
          <cell r="Q16">
            <v>5284449.8</v>
          </cell>
          <cell r="R16">
            <v>1484</v>
          </cell>
          <cell r="S16">
            <v>-243847.09</v>
          </cell>
          <cell r="T16">
            <v>-2231.65</v>
          </cell>
          <cell r="U16">
            <v>7.0000000000000001E-3</v>
          </cell>
          <cell r="V16">
            <v>7.0000000000000001E-3</v>
          </cell>
          <cell r="W16">
            <v>0</v>
          </cell>
          <cell r="X16">
            <v>0</v>
          </cell>
          <cell r="Y16">
            <v>45260</v>
          </cell>
          <cell r="Z16" t="str">
            <v xml:space="preserve"> </v>
          </cell>
        </row>
        <row r="17">
          <cell r="D17" t="str">
            <v>INE918I01026</v>
          </cell>
          <cell r="E17" t="str">
            <v>Bajaj Finserv Ltd</v>
          </cell>
          <cell r="F17" t="str">
            <v>EQUITY</v>
          </cell>
          <cell r="G17" t="str">
            <v>Equity</v>
          </cell>
          <cell r="H17">
            <v>4939</v>
          </cell>
          <cell r="I17">
            <v>1</v>
          </cell>
          <cell r="J17">
            <v>1653.5</v>
          </cell>
          <cell r="K17">
            <v>1673.5</v>
          </cell>
          <cell r="L17">
            <v>1.1951000896325068E-2</v>
          </cell>
          <cell r="M17" t="str">
            <v>INR</v>
          </cell>
          <cell r="N17">
            <v>1568.0844988864142</v>
          </cell>
          <cell r="O17">
            <v>7744769.3399999999</v>
          </cell>
          <cell r="P17">
            <v>7744769.3399999999</v>
          </cell>
          <cell r="Q17">
            <v>8265416.5</v>
          </cell>
          <cell r="R17">
            <v>4939</v>
          </cell>
          <cell r="S17">
            <v>520647.16</v>
          </cell>
          <cell r="T17">
            <v>98780</v>
          </cell>
          <cell r="U17">
            <v>1.0999999999999999E-2</v>
          </cell>
          <cell r="V17">
            <v>1.09E-2</v>
          </cell>
          <cell r="W17">
            <v>0</v>
          </cell>
          <cell r="X17">
            <v>0</v>
          </cell>
          <cell r="Y17">
            <v>45260</v>
          </cell>
          <cell r="Z17" t="str">
            <v xml:space="preserve"> </v>
          </cell>
        </row>
        <row r="18">
          <cell r="D18" t="str">
            <v>INE263A01024</v>
          </cell>
          <cell r="E18" t="str">
            <v>Bharat Electronics Ltd</v>
          </cell>
          <cell r="F18" t="str">
            <v>EQUITY</v>
          </cell>
          <cell r="G18" t="str">
            <v>Equity</v>
          </cell>
          <cell r="H18">
            <v>36432</v>
          </cell>
          <cell r="I18">
            <v>1</v>
          </cell>
          <cell r="J18">
            <v>141</v>
          </cell>
          <cell r="K18">
            <v>145.9</v>
          </cell>
          <cell r="L18">
            <v>3.3584647018505824E-2</v>
          </cell>
          <cell r="M18" t="str">
            <v>INR</v>
          </cell>
          <cell r="N18">
            <v>132.21729990118578</v>
          </cell>
          <cell r="O18">
            <v>4816940.67</v>
          </cell>
          <cell r="P18">
            <v>4816940.67</v>
          </cell>
          <cell r="Q18">
            <v>5315428.8</v>
          </cell>
          <cell r="R18">
            <v>36432</v>
          </cell>
          <cell r="S18">
            <v>498488.13</v>
          </cell>
          <cell r="T18">
            <v>178516.8</v>
          </cell>
          <cell r="U18">
            <v>7.0000000000000001E-3</v>
          </cell>
          <cell r="V18">
            <v>7.0000000000000001E-3</v>
          </cell>
          <cell r="W18">
            <v>0</v>
          </cell>
          <cell r="X18">
            <v>0</v>
          </cell>
          <cell r="Y18">
            <v>45260</v>
          </cell>
          <cell r="Z18" t="str">
            <v xml:space="preserve"> </v>
          </cell>
        </row>
        <row r="19">
          <cell r="D19" t="str">
            <v>INE358A01014</v>
          </cell>
          <cell r="E19" t="str">
            <v>Abbott India Ltd</v>
          </cell>
          <cell r="F19" t="str">
            <v>EQUITY</v>
          </cell>
          <cell r="G19" t="str">
            <v>Equity</v>
          </cell>
          <cell r="H19">
            <v>84</v>
          </cell>
          <cell r="I19">
            <v>10</v>
          </cell>
          <cell r="J19">
            <v>23537.8</v>
          </cell>
          <cell r="K19">
            <v>23805.15</v>
          </cell>
          <cell r="L19">
            <v>1.123076309117985E-2</v>
          </cell>
          <cell r="M19" t="str">
            <v>INR</v>
          </cell>
          <cell r="N19">
            <v>22671.76011904762</v>
          </cell>
          <cell r="O19">
            <v>1904427.85</v>
          </cell>
          <cell r="P19">
            <v>1904427.85</v>
          </cell>
          <cell r="Q19">
            <v>1999632.6</v>
          </cell>
          <cell r="R19">
            <v>840</v>
          </cell>
          <cell r="S19">
            <v>95204.75</v>
          </cell>
          <cell r="T19">
            <v>22457.4</v>
          </cell>
          <cell r="U19">
            <v>2.7000000000000001E-3</v>
          </cell>
          <cell r="V19">
            <v>2.5999999999999999E-3</v>
          </cell>
          <cell r="W19">
            <v>0</v>
          </cell>
          <cell r="X19">
            <v>0</v>
          </cell>
          <cell r="Y19">
            <v>45260</v>
          </cell>
          <cell r="Z19" t="str">
            <v xml:space="preserve"> </v>
          </cell>
        </row>
        <row r="20">
          <cell r="D20" t="str">
            <v>INE397D01024</v>
          </cell>
          <cell r="E20" t="str">
            <v>Bharti Airtel Ltd</v>
          </cell>
          <cell r="F20" t="str">
            <v>EQUITY</v>
          </cell>
          <cell r="G20" t="str">
            <v>Equity</v>
          </cell>
          <cell r="H20">
            <v>3881</v>
          </cell>
          <cell r="I20">
            <v>5</v>
          </cell>
          <cell r="J20">
            <v>995.4</v>
          </cell>
          <cell r="K20">
            <v>1014.7</v>
          </cell>
          <cell r="L20">
            <v>1.9020400118261557E-2</v>
          </cell>
          <cell r="M20" t="str">
            <v>INR</v>
          </cell>
          <cell r="N20">
            <v>918.05602679721721</v>
          </cell>
          <cell r="O20">
            <v>3562975.44</v>
          </cell>
          <cell r="P20">
            <v>3562975.44</v>
          </cell>
          <cell r="Q20">
            <v>3938050.7</v>
          </cell>
          <cell r="R20">
            <v>19405</v>
          </cell>
          <cell r="S20">
            <v>375075.26</v>
          </cell>
          <cell r="T20">
            <v>74903.3</v>
          </cell>
          <cell r="U20">
            <v>5.1999999999999998E-3</v>
          </cell>
          <cell r="V20">
            <v>5.1999999999999998E-3</v>
          </cell>
          <cell r="W20">
            <v>0</v>
          </cell>
          <cell r="X20">
            <v>0</v>
          </cell>
          <cell r="Y20">
            <v>45260</v>
          </cell>
          <cell r="Z20" t="str">
            <v xml:space="preserve"> </v>
          </cell>
        </row>
        <row r="21">
          <cell r="D21" t="str">
            <v>INE0LMW01024</v>
          </cell>
          <cell r="E21" t="str">
            <v>Cello World Limited</v>
          </cell>
          <cell r="F21" t="str">
            <v>EQUITY</v>
          </cell>
          <cell r="G21" t="str">
            <v>Equity</v>
          </cell>
          <cell r="H21">
            <v>1588</v>
          </cell>
          <cell r="I21">
            <v>5</v>
          </cell>
          <cell r="J21">
            <v>818.95</v>
          </cell>
          <cell r="K21">
            <v>804.75</v>
          </cell>
          <cell r="L21">
            <v>-1.7645231438334887E-2</v>
          </cell>
          <cell r="M21" t="str">
            <v>INR</v>
          </cell>
          <cell r="N21">
            <v>648</v>
          </cell>
          <cell r="O21">
            <v>1029024</v>
          </cell>
          <cell r="P21">
            <v>1029024</v>
          </cell>
          <cell r="Q21">
            <v>1277943</v>
          </cell>
          <cell r="R21">
            <v>7940</v>
          </cell>
          <cell r="S21">
            <v>248919</v>
          </cell>
          <cell r="T21">
            <v>-22549.599999999999</v>
          </cell>
          <cell r="U21">
            <v>1.6999999999999999E-3</v>
          </cell>
          <cell r="V21">
            <v>1.6999999999999999E-3</v>
          </cell>
          <cell r="W21">
            <v>0</v>
          </cell>
          <cell r="X21">
            <v>0</v>
          </cell>
          <cell r="Y21">
            <v>45260</v>
          </cell>
          <cell r="Z21" t="str">
            <v xml:space="preserve"> </v>
          </cell>
        </row>
        <row r="22">
          <cell r="D22" t="str">
            <v>INE121A01024</v>
          </cell>
          <cell r="E22" t="str">
            <v>Cholamandalam Investment and Finance Company Ltd</v>
          </cell>
          <cell r="F22" t="str">
            <v>EQUITY</v>
          </cell>
          <cell r="G22" t="str">
            <v>Equity</v>
          </cell>
          <cell r="H22">
            <v>6854</v>
          </cell>
          <cell r="I22">
            <v>2</v>
          </cell>
          <cell r="J22">
            <v>1110.45</v>
          </cell>
          <cell r="K22">
            <v>1117.45</v>
          </cell>
          <cell r="L22">
            <v>6.2642623831043898E-3</v>
          </cell>
          <cell r="M22" t="str">
            <v>INR</v>
          </cell>
          <cell r="N22">
            <v>1167.8057003209803</v>
          </cell>
          <cell r="O22">
            <v>8004140.2699999996</v>
          </cell>
          <cell r="P22">
            <v>8004140.2699999996</v>
          </cell>
          <cell r="Q22">
            <v>7659002.2999999998</v>
          </cell>
          <cell r="R22">
            <v>13708</v>
          </cell>
          <cell r="S22">
            <v>-345137.97</v>
          </cell>
          <cell r="T22">
            <v>47978</v>
          </cell>
          <cell r="U22">
            <v>1.0200000000000001E-2</v>
          </cell>
          <cell r="V22">
            <v>1.01E-2</v>
          </cell>
          <cell r="W22">
            <v>0</v>
          </cell>
          <cell r="X22">
            <v>0</v>
          </cell>
          <cell r="Y22">
            <v>45260</v>
          </cell>
          <cell r="Z22" t="str">
            <v xml:space="preserve"> </v>
          </cell>
        </row>
        <row r="23">
          <cell r="D23" t="str">
            <v>INE059A01026</v>
          </cell>
          <cell r="E23" t="str">
            <v>Cipla Ltd</v>
          </cell>
          <cell r="F23" t="str">
            <v>EQUITY</v>
          </cell>
          <cell r="G23" t="str">
            <v>Equity</v>
          </cell>
          <cell r="H23">
            <v>1354</v>
          </cell>
          <cell r="I23">
            <v>2</v>
          </cell>
          <cell r="J23">
            <v>1201.55</v>
          </cell>
          <cell r="K23">
            <v>1212.3</v>
          </cell>
          <cell r="L23">
            <v>8.867442052297286E-3</v>
          </cell>
          <cell r="M23" t="str">
            <v>INR</v>
          </cell>
          <cell r="N23">
            <v>1174.6292023633678</v>
          </cell>
          <cell r="O23">
            <v>1590447.94</v>
          </cell>
          <cell r="P23">
            <v>1590447.94</v>
          </cell>
          <cell r="Q23">
            <v>1641454.2</v>
          </cell>
          <cell r="R23">
            <v>2708</v>
          </cell>
          <cell r="S23">
            <v>51006.26</v>
          </cell>
          <cell r="T23">
            <v>14555.5</v>
          </cell>
          <cell r="U23">
            <v>2.2000000000000001E-3</v>
          </cell>
          <cell r="V23">
            <v>2.2000000000000001E-3</v>
          </cell>
          <cell r="W23">
            <v>0</v>
          </cell>
          <cell r="X23">
            <v>0</v>
          </cell>
          <cell r="Y23">
            <v>45260</v>
          </cell>
          <cell r="Z23" t="str">
            <v xml:space="preserve"> </v>
          </cell>
        </row>
        <row r="24">
          <cell r="D24" t="str">
            <v>INE925R01014</v>
          </cell>
          <cell r="E24" t="str">
            <v>CMS Info System Limited</v>
          </cell>
          <cell r="F24" t="str">
            <v>EQUITY</v>
          </cell>
          <cell r="G24" t="str">
            <v>Equity</v>
          </cell>
          <cell r="H24">
            <v>9876</v>
          </cell>
          <cell r="I24">
            <v>10</v>
          </cell>
          <cell r="J24">
            <v>403.45</v>
          </cell>
          <cell r="K24">
            <v>404.95</v>
          </cell>
          <cell r="L24">
            <v>3.7041610075317939E-3</v>
          </cell>
          <cell r="M24" t="str">
            <v>INR</v>
          </cell>
          <cell r="N24">
            <v>370.27233394086676</v>
          </cell>
          <cell r="O24">
            <v>3656809.57</v>
          </cell>
          <cell r="P24">
            <v>3656809.57</v>
          </cell>
          <cell r="Q24">
            <v>3999286.2</v>
          </cell>
          <cell r="R24">
            <v>98760</v>
          </cell>
          <cell r="S24">
            <v>342476.63</v>
          </cell>
          <cell r="T24">
            <v>14814</v>
          </cell>
          <cell r="U24">
            <v>5.3E-3</v>
          </cell>
          <cell r="V24">
            <v>5.3E-3</v>
          </cell>
          <cell r="W24">
            <v>0</v>
          </cell>
          <cell r="X24">
            <v>0</v>
          </cell>
          <cell r="Y24">
            <v>45260</v>
          </cell>
          <cell r="Z24" t="str">
            <v xml:space="preserve"> </v>
          </cell>
        </row>
        <row r="25">
          <cell r="D25" t="str">
            <v>INE067A01029</v>
          </cell>
          <cell r="E25" t="str">
            <v>CG Power and Industrial Solutions Limited</v>
          </cell>
          <cell r="F25" t="str">
            <v>EQUITY</v>
          </cell>
          <cell r="G25" t="str">
            <v>Equity</v>
          </cell>
          <cell r="H25">
            <v>16857</v>
          </cell>
          <cell r="I25">
            <v>2</v>
          </cell>
          <cell r="J25">
            <v>439.25</v>
          </cell>
          <cell r="K25">
            <v>449.4</v>
          </cell>
          <cell r="L25">
            <v>2.2585669781931463E-2</v>
          </cell>
          <cell r="M25" t="str">
            <v>INR</v>
          </cell>
          <cell r="N25">
            <v>383.97905677166756</v>
          </cell>
          <cell r="O25">
            <v>6472734.96</v>
          </cell>
          <cell r="P25">
            <v>6472734.96</v>
          </cell>
          <cell r="Q25">
            <v>7575535.7999999998</v>
          </cell>
          <cell r="R25">
            <v>33714</v>
          </cell>
          <cell r="S25">
            <v>1102800.8400000001</v>
          </cell>
          <cell r="T25">
            <v>171098.55</v>
          </cell>
          <cell r="U25">
            <v>0.01</v>
          </cell>
          <cell r="V25">
            <v>0.01</v>
          </cell>
          <cell r="W25">
            <v>0</v>
          </cell>
          <cell r="X25">
            <v>0</v>
          </cell>
          <cell r="Y25">
            <v>45260</v>
          </cell>
          <cell r="Z25" t="str">
            <v xml:space="preserve"> </v>
          </cell>
        </row>
        <row r="26">
          <cell r="D26" t="str">
            <v>INE02YR01019</v>
          </cell>
          <cell r="E26" t="str">
            <v>Electronics Mart India Ltd</v>
          </cell>
          <cell r="F26" t="str">
            <v>EQUITY</v>
          </cell>
          <cell r="G26" t="str">
            <v>Equity</v>
          </cell>
          <cell r="H26">
            <v>11629</v>
          </cell>
          <cell r="I26">
            <v>10</v>
          </cell>
          <cell r="J26">
            <v>226.35</v>
          </cell>
          <cell r="K26">
            <v>225.2</v>
          </cell>
          <cell r="L26">
            <v>-5.1065719360568387E-3</v>
          </cell>
          <cell r="M26" t="str">
            <v>INR</v>
          </cell>
          <cell r="N26">
            <v>167.36073695072662</v>
          </cell>
          <cell r="O26">
            <v>1946238.01</v>
          </cell>
          <cell r="P26">
            <v>1946238.01</v>
          </cell>
          <cell r="Q26">
            <v>2618850.7999999998</v>
          </cell>
          <cell r="R26">
            <v>116290</v>
          </cell>
          <cell r="S26">
            <v>672612.79</v>
          </cell>
          <cell r="T26">
            <v>-13373.35</v>
          </cell>
          <cell r="U26">
            <v>3.5000000000000001E-3</v>
          </cell>
          <cell r="V26">
            <v>3.5000000000000001E-3</v>
          </cell>
          <cell r="W26">
            <v>0</v>
          </cell>
          <cell r="X26">
            <v>0</v>
          </cell>
          <cell r="Y26">
            <v>45260</v>
          </cell>
          <cell r="Z26" t="str">
            <v xml:space="preserve"> </v>
          </cell>
        </row>
        <row r="27">
          <cell r="D27" t="str">
            <v>INE128S01021</v>
          </cell>
          <cell r="E27" t="str">
            <v>Five Star Business Finance Ltd</v>
          </cell>
          <cell r="F27" t="str">
            <v>EQUITY</v>
          </cell>
          <cell r="G27" t="str">
            <v>Equity</v>
          </cell>
          <cell r="H27">
            <v>4565</v>
          </cell>
          <cell r="I27">
            <v>1</v>
          </cell>
          <cell r="J27">
            <v>743.25</v>
          </cell>
          <cell r="K27">
            <v>751.15</v>
          </cell>
          <cell r="L27">
            <v>1.0517206949344339E-2</v>
          </cell>
          <cell r="M27" t="str">
            <v>INR</v>
          </cell>
          <cell r="N27">
            <v>750.41573274917857</v>
          </cell>
          <cell r="O27">
            <v>3425647.82</v>
          </cell>
          <cell r="P27">
            <v>3425647.82</v>
          </cell>
          <cell r="Q27">
            <v>3428999.75</v>
          </cell>
          <cell r="R27">
            <v>4565</v>
          </cell>
          <cell r="S27">
            <v>3351.93</v>
          </cell>
          <cell r="T27">
            <v>36063.5</v>
          </cell>
          <cell r="U27">
            <v>4.4999999999999997E-3</v>
          </cell>
          <cell r="V27">
            <v>4.4999999999999997E-3</v>
          </cell>
          <cell r="W27">
            <v>0</v>
          </cell>
          <cell r="X27">
            <v>0</v>
          </cell>
          <cell r="Y27">
            <v>45260</v>
          </cell>
          <cell r="Z27" t="str">
            <v xml:space="preserve"> </v>
          </cell>
        </row>
        <row r="28">
          <cell r="D28" t="str">
            <v>INE036B01030</v>
          </cell>
          <cell r="E28" t="str">
            <v>Gujarat Ambuja Exports Ltd</v>
          </cell>
          <cell r="F28" t="str">
            <v>EQUITY</v>
          </cell>
          <cell r="G28" t="str">
            <v>Equity</v>
          </cell>
          <cell r="H28">
            <v>3799</v>
          </cell>
          <cell r="I28">
            <v>1</v>
          </cell>
          <cell r="J28">
            <v>364.15</v>
          </cell>
          <cell r="K28">
            <v>371.7</v>
          </cell>
          <cell r="L28">
            <v>2.0312079634113533E-2</v>
          </cell>
          <cell r="M28" t="str">
            <v>INR</v>
          </cell>
          <cell r="N28">
            <v>333.89160042116345</v>
          </cell>
          <cell r="O28">
            <v>1268454.19</v>
          </cell>
          <cell r="P28">
            <v>1268454.19</v>
          </cell>
          <cell r="Q28">
            <v>1412088.3</v>
          </cell>
          <cell r="R28">
            <v>3799</v>
          </cell>
          <cell r="S28">
            <v>143634.10999999999</v>
          </cell>
          <cell r="T28">
            <v>28682.45</v>
          </cell>
          <cell r="U28">
            <v>1.9E-3</v>
          </cell>
          <cell r="V28">
            <v>1.9E-3</v>
          </cell>
          <cell r="W28">
            <v>0</v>
          </cell>
          <cell r="X28">
            <v>0</v>
          </cell>
          <cell r="Y28">
            <v>45260</v>
          </cell>
          <cell r="Z28" t="str">
            <v xml:space="preserve"> </v>
          </cell>
        </row>
        <row r="29">
          <cell r="D29" t="str">
            <v>INE717W01049</v>
          </cell>
          <cell r="E29" t="str">
            <v>Gandhar Oil Refinery (India) Limited</v>
          </cell>
          <cell r="F29" t="str">
            <v>EQUITY</v>
          </cell>
          <cell r="G29" t="str">
            <v>Equity</v>
          </cell>
          <cell r="H29">
            <v>2215</v>
          </cell>
          <cell r="I29">
            <v>2</v>
          </cell>
          <cell r="J29">
            <v>169</v>
          </cell>
          <cell r="K29">
            <v>301.39999999999998</v>
          </cell>
          <cell r="L29">
            <v>0.43928334439283345</v>
          </cell>
          <cell r="M29" t="str">
            <v>INR</v>
          </cell>
          <cell r="N29">
            <v>169</v>
          </cell>
          <cell r="O29">
            <v>374335</v>
          </cell>
          <cell r="P29">
            <v>374335</v>
          </cell>
          <cell r="Q29">
            <v>667601</v>
          </cell>
          <cell r="R29">
            <v>4430</v>
          </cell>
          <cell r="S29">
            <v>293266</v>
          </cell>
          <cell r="T29">
            <v>293266</v>
          </cell>
          <cell r="U29">
            <v>8.9999999999999998E-4</v>
          </cell>
          <cell r="V29">
            <v>8.9999999999999998E-4</v>
          </cell>
          <cell r="W29">
            <v>0</v>
          </cell>
          <cell r="X29">
            <v>0</v>
          </cell>
          <cell r="Y29">
            <v>45260</v>
          </cell>
          <cell r="Z29" t="str">
            <v xml:space="preserve"> </v>
          </cell>
        </row>
        <row r="30">
          <cell r="D30" t="str">
            <v>INE102D01028</v>
          </cell>
          <cell r="E30" t="str">
            <v>Godrej Consumer Products Ltd</v>
          </cell>
          <cell r="F30" t="str">
            <v>EQUITY</v>
          </cell>
          <cell r="G30" t="str">
            <v>Equity</v>
          </cell>
          <cell r="H30">
            <v>5595</v>
          </cell>
          <cell r="I30">
            <v>1</v>
          </cell>
          <cell r="J30">
            <v>1001.1</v>
          </cell>
          <cell r="K30">
            <v>1008.2</v>
          </cell>
          <cell r="L30">
            <v>7.0422535211267607E-3</v>
          </cell>
          <cell r="M30" t="str">
            <v>INR</v>
          </cell>
          <cell r="N30">
            <v>989.8241876675603</v>
          </cell>
          <cell r="O30">
            <v>5538066.3300000001</v>
          </cell>
          <cell r="P30">
            <v>5538066.3300000001</v>
          </cell>
          <cell r="Q30">
            <v>5640879</v>
          </cell>
          <cell r="R30">
            <v>5595</v>
          </cell>
          <cell r="S30">
            <v>102812.67</v>
          </cell>
          <cell r="T30">
            <v>35028.5</v>
          </cell>
          <cell r="U30">
            <v>7.4999999999999997E-3</v>
          </cell>
          <cell r="V30">
            <v>7.4000000000000003E-3</v>
          </cell>
          <cell r="W30">
            <v>0</v>
          </cell>
          <cell r="X30">
            <v>0</v>
          </cell>
          <cell r="Y30">
            <v>45260</v>
          </cell>
          <cell r="Z30" t="str">
            <v xml:space="preserve"> </v>
          </cell>
        </row>
        <row r="31">
          <cell r="D31" t="str">
            <v>INE0BJS01011</v>
          </cell>
          <cell r="E31" t="str">
            <v>Go Fashion (India) Limited</v>
          </cell>
          <cell r="F31" t="str">
            <v>EQUITY</v>
          </cell>
          <cell r="G31" t="str">
            <v>Equity</v>
          </cell>
          <cell r="H31">
            <v>1019</v>
          </cell>
          <cell r="I31">
            <v>10</v>
          </cell>
          <cell r="J31">
            <v>1303.1500000000001</v>
          </cell>
          <cell r="K31">
            <v>1329.55</v>
          </cell>
          <cell r="L31">
            <v>1.9856342371479072E-2</v>
          </cell>
          <cell r="M31" t="str">
            <v>INR</v>
          </cell>
          <cell r="N31">
            <v>1258.4578017664378</v>
          </cell>
          <cell r="O31">
            <v>1282368.5</v>
          </cell>
          <cell r="P31">
            <v>1282368.5</v>
          </cell>
          <cell r="Q31">
            <v>1354811.45</v>
          </cell>
          <cell r="R31">
            <v>10190</v>
          </cell>
          <cell r="S31">
            <v>72442.95</v>
          </cell>
          <cell r="T31">
            <v>26901.599999999999</v>
          </cell>
          <cell r="U31">
            <v>1.8E-3</v>
          </cell>
          <cell r="V31">
            <v>1.8E-3</v>
          </cell>
          <cell r="W31">
            <v>0</v>
          </cell>
          <cell r="X31">
            <v>0</v>
          </cell>
          <cell r="Y31">
            <v>45260</v>
          </cell>
          <cell r="Z31" t="str">
            <v xml:space="preserve"> </v>
          </cell>
        </row>
        <row r="32">
          <cell r="D32" t="str">
            <v>INE474Q01031</v>
          </cell>
          <cell r="E32" t="str">
            <v>Global Health Limited</v>
          </cell>
          <cell r="F32" t="str">
            <v>EQUITY</v>
          </cell>
          <cell r="G32" t="str">
            <v>Equity</v>
          </cell>
          <cell r="H32">
            <v>3791</v>
          </cell>
          <cell r="I32">
            <v>2</v>
          </cell>
          <cell r="J32">
            <v>919.85</v>
          </cell>
          <cell r="K32">
            <v>957.35</v>
          </cell>
          <cell r="L32">
            <v>3.9170627252311067E-2</v>
          </cell>
          <cell r="M32" t="str">
            <v>INR</v>
          </cell>
          <cell r="N32">
            <v>757.47780005275649</v>
          </cell>
          <cell r="O32">
            <v>2871598.34</v>
          </cell>
          <cell r="P32">
            <v>2871598.34</v>
          </cell>
          <cell r="Q32">
            <v>3629313.85</v>
          </cell>
          <cell r="R32">
            <v>7582</v>
          </cell>
          <cell r="S32">
            <v>757715.51</v>
          </cell>
          <cell r="T32">
            <v>142162.5</v>
          </cell>
          <cell r="U32">
            <v>4.7999999999999996E-3</v>
          </cell>
          <cell r="V32">
            <v>4.7999999999999996E-3</v>
          </cell>
          <cell r="W32">
            <v>0</v>
          </cell>
          <cell r="X32">
            <v>0</v>
          </cell>
          <cell r="Y32">
            <v>45260</v>
          </cell>
          <cell r="Z32" t="str">
            <v xml:space="preserve"> </v>
          </cell>
        </row>
        <row r="33">
          <cell r="D33" t="str">
            <v>INE887G01027</v>
          </cell>
          <cell r="E33" t="str">
            <v>Gokaldas Exports Ltd</v>
          </cell>
          <cell r="F33" t="str">
            <v>EQUITY</v>
          </cell>
          <cell r="G33" t="str">
            <v>Equity</v>
          </cell>
          <cell r="H33">
            <v>1864</v>
          </cell>
          <cell r="I33">
            <v>5</v>
          </cell>
          <cell r="J33">
            <v>933.15</v>
          </cell>
          <cell r="K33">
            <v>980.4</v>
          </cell>
          <cell r="L33">
            <v>4.8194614443084455E-2</v>
          </cell>
          <cell r="M33" t="str">
            <v>INR</v>
          </cell>
          <cell r="N33">
            <v>855.42629828326176</v>
          </cell>
          <cell r="O33">
            <v>1594514.62</v>
          </cell>
          <cell r="P33">
            <v>1594514.62</v>
          </cell>
          <cell r="Q33">
            <v>1827465.6</v>
          </cell>
          <cell r="R33">
            <v>9320</v>
          </cell>
          <cell r="S33">
            <v>232950.98</v>
          </cell>
          <cell r="T33">
            <v>88074</v>
          </cell>
          <cell r="U33">
            <v>2.3999999999999998E-3</v>
          </cell>
          <cell r="V33">
            <v>2.3999999999999998E-3</v>
          </cell>
          <cell r="W33">
            <v>0</v>
          </cell>
          <cell r="X33">
            <v>0</v>
          </cell>
          <cell r="Y33">
            <v>45260</v>
          </cell>
          <cell r="Z33" t="str">
            <v xml:space="preserve"> </v>
          </cell>
        </row>
        <row r="34">
          <cell r="D34" t="str">
            <v>INE536A01023</v>
          </cell>
          <cell r="E34" t="str">
            <v>Grindwell Norton Ltd</v>
          </cell>
          <cell r="F34" t="str">
            <v>EQUITY</v>
          </cell>
          <cell r="G34" t="str">
            <v>Equity</v>
          </cell>
          <cell r="H34">
            <v>921</v>
          </cell>
          <cell r="I34">
            <v>5</v>
          </cell>
          <cell r="J34">
            <v>2078.9</v>
          </cell>
          <cell r="K34">
            <v>2094.35</v>
          </cell>
          <cell r="L34">
            <v>7.3769904743715238E-3</v>
          </cell>
          <cell r="M34" t="str">
            <v>INR</v>
          </cell>
          <cell r="N34">
            <v>2094.8223018458198</v>
          </cell>
          <cell r="O34">
            <v>1929331.34</v>
          </cell>
          <cell r="P34">
            <v>1929331.34</v>
          </cell>
          <cell r="Q34">
            <v>1928896.35</v>
          </cell>
          <cell r="R34">
            <v>4605</v>
          </cell>
          <cell r="S34">
            <v>-434.99</v>
          </cell>
          <cell r="T34">
            <v>14229.45</v>
          </cell>
          <cell r="U34">
            <v>2.5999999999999999E-3</v>
          </cell>
          <cell r="V34">
            <v>2.5000000000000001E-3</v>
          </cell>
          <cell r="W34">
            <v>0</v>
          </cell>
          <cell r="X34">
            <v>0</v>
          </cell>
          <cell r="Y34">
            <v>45260</v>
          </cell>
          <cell r="Z34" t="str">
            <v xml:space="preserve"> </v>
          </cell>
        </row>
        <row r="35">
          <cell r="D35" t="str">
            <v>INE079A01024</v>
          </cell>
          <cell r="E35" t="str">
            <v>Ambuja Cements Ltd</v>
          </cell>
          <cell r="F35" t="str">
            <v>EQUITY</v>
          </cell>
          <cell r="G35" t="str">
            <v>Equity</v>
          </cell>
          <cell r="H35">
            <v>7682</v>
          </cell>
          <cell r="I35">
            <v>2</v>
          </cell>
          <cell r="J35">
            <v>435.65</v>
          </cell>
          <cell r="K35">
            <v>439.25</v>
          </cell>
          <cell r="L35">
            <v>8.1957882754695507E-3</v>
          </cell>
          <cell r="M35" t="str">
            <v>INR</v>
          </cell>
          <cell r="N35">
            <v>417.80240041655821</v>
          </cell>
          <cell r="O35">
            <v>3209558.04</v>
          </cell>
          <cell r="P35">
            <v>3209558.04</v>
          </cell>
          <cell r="Q35">
            <v>3374318.5</v>
          </cell>
          <cell r="R35">
            <v>15364</v>
          </cell>
          <cell r="S35">
            <v>164760.46</v>
          </cell>
          <cell r="T35">
            <v>27655.200000000001</v>
          </cell>
          <cell r="U35">
            <v>4.4999999999999997E-3</v>
          </cell>
          <cell r="V35">
            <v>4.4999999999999997E-3</v>
          </cell>
          <cell r="W35">
            <v>0</v>
          </cell>
          <cell r="X35">
            <v>0</v>
          </cell>
          <cell r="Y35">
            <v>45260</v>
          </cell>
          <cell r="Z35" t="str">
            <v xml:space="preserve"> </v>
          </cell>
        </row>
        <row r="36">
          <cell r="D36" t="str">
            <v>INE040A01034</v>
          </cell>
          <cell r="E36" t="str">
            <v>HDFC Bank Ltd</v>
          </cell>
          <cell r="F36" t="str">
            <v>EQUITY</v>
          </cell>
          <cell r="G36" t="str">
            <v>Equity</v>
          </cell>
          <cell r="H36">
            <v>18861</v>
          </cell>
          <cell r="I36">
            <v>1</v>
          </cell>
          <cell r="J36">
            <v>1559.15</v>
          </cell>
          <cell r="K36">
            <v>1558.8</v>
          </cell>
          <cell r="L36">
            <v>-2.2453169104439313E-4</v>
          </cell>
          <cell r="M36" t="str">
            <v>INR</v>
          </cell>
          <cell r="N36">
            <v>1473.15806850114</v>
          </cell>
          <cell r="O36">
            <v>27785234.329999998</v>
          </cell>
          <cell r="P36">
            <v>27785234.329999998</v>
          </cell>
          <cell r="Q36">
            <v>29400526.800000001</v>
          </cell>
          <cell r="R36">
            <v>18861</v>
          </cell>
          <cell r="S36">
            <v>1615292.47</v>
          </cell>
          <cell r="T36">
            <v>-6601.35</v>
          </cell>
          <cell r="U36">
            <v>3.9E-2</v>
          </cell>
          <cell r="V36">
            <v>3.8800000000000001E-2</v>
          </cell>
          <cell r="W36">
            <v>0</v>
          </cell>
          <cell r="X36">
            <v>0</v>
          </cell>
          <cell r="Y36">
            <v>45260</v>
          </cell>
          <cell r="Z36" t="str">
            <v xml:space="preserve"> </v>
          </cell>
        </row>
        <row r="37">
          <cell r="D37" t="str">
            <v>INE795G01014</v>
          </cell>
          <cell r="E37" t="str">
            <v>HDFC Life Insurance Company Limited</v>
          </cell>
          <cell r="F37" t="str">
            <v>EQUITY</v>
          </cell>
          <cell r="G37" t="str">
            <v>Equity</v>
          </cell>
          <cell r="H37">
            <v>8441</v>
          </cell>
          <cell r="I37">
            <v>10</v>
          </cell>
          <cell r="J37">
            <v>675.65</v>
          </cell>
          <cell r="K37">
            <v>690.75</v>
          </cell>
          <cell r="L37">
            <v>2.1860296778863555E-2</v>
          </cell>
          <cell r="M37" t="str">
            <v>INR</v>
          </cell>
          <cell r="N37">
            <v>610.46731785333486</v>
          </cell>
          <cell r="O37">
            <v>5152954.63</v>
          </cell>
          <cell r="P37">
            <v>5152954.63</v>
          </cell>
          <cell r="Q37">
            <v>5830620.75</v>
          </cell>
          <cell r="R37">
            <v>84410</v>
          </cell>
          <cell r="S37">
            <v>677666.12</v>
          </cell>
          <cell r="T37">
            <v>127459.1</v>
          </cell>
          <cell r="U37">
            <v>7.7000000000000002E-3</v>
          </cell>
          <cell r="V37">
            <v>7.7000000000000002E-3</v>
          </cell>
          <cell r="W37">
            <v>0</v>
          </cell>
          <cell r="X37">
            <v>0</v>
          </cell>
          <cell r="Y37">
            <v>45260</v>
          </cell>
          <cell r="Z37" t="str">
            <v xml:space="preserve"> </v>
          </cell>
        </row>
        <row r="38">
          <cell r="D38" t="str">
            <v>INE038A01020</v>
          </cell>
          <cell r="E38" t="str">
            <v>Hindalco Industries Ltd</v>
          </cell>
          <cell r="F38" t="str">
            <v>EQUITY</v>
          </cell>
          <cell r="G38" t="str">
            <v>Equity</v>
          </cell>
          <cell r="H38">
            <v>7033</v>
          </cell>
          <cell r="I38">
            <v>1</v>
          </cell>
          <cell r="J38">
            <v>517.45000000000005</v>
          </cell>
          <cell r="K38">
            <v>515.65</v>
          </cell>
          <cell r="L38">
            <v>-3.490739842916707E-3</v>
          </cell>
          <cell r="M38" t="str">
            <v>INR</v>
          </cell>
          <cell r="N38">
            <v>456.26360017062422</v>
          </cell>
          <cell r="O38">
            <v>3208901.9</v>
          </cell>
          <cell r="P38">
            <v>3208901.9</v>
          </cell>
          <cell r="Q38">
            <v>3626566.45</v>
          </cell>
          <cell r="R38">
            <v>7033</v>
          </cell>
          <cell r="S38">
            <v>417664.55</v>
          </cell>
          <cell r="T38">
            <v>-12659.4</v>
          </cell>
          <cell r="U38">
            <v>4.7999999999999996E-3</v>
          </cell>
          <cell r="V38">
            <v>4.7999999999999996E-3</v>
          </cell>
          <cell r="W38">
            <v>0</v>
          </cell>
          <cell r="X38">
            <v>0</v>
          </cell>
          <cell r="Y38">
            <v>45260</v>
          </cell>
          <cell r="Z38" t="str">
            <v xml:space="preserve"> </v>
          </cell>
        </row>
        <row r="39">
          <cell r="D39" t="str">
            <v>INE030A01027</v>
          </cell>
          <cell r="E39" t="str">
            <v>Hindustan Unilever Ltd</v>
          </cell>
          <cell r="F39" t="str">
            <v>EQUITY</v>
          </cell>
          <cell r="G39" t="str">
            <v>Equity</v>
          </cell>
          <cell r="H39">
            <v>1028</v>
          </cell>
          <cell r="I39">
            <v>1</v>
          </cell>
          <cell r="J39">
            <v>2525.0500000000002</v>
          </cell>
          <cell r="K39">
            <v>2545.5500000000002</v>
          </cell>
          <cell r="L39">
            <v>8.0532694309677667E-3</v>
          </cell>
          <cell r="M39" t="str">
            <v>INR</v>
          </cell>
          <cell r="N39">
            <v>2482.0879961089495</v>
          </cell>
          <cell r="O39">
            <v>2551586.46</v>
          </cell>
          <cell r="P39">
            <v>2551586.46</v>
          </cell>
          <cell r="Q39">
            <v>2616825.4</v>
          </cell>
          <cell r="R39">
            <v>1028</v>
          </cell>
          <cell r="S39">
            <v>65238.94</v>
          </cell>
          <cell r="T39">
            <v>21074</v>
          </cell>
          <cell r="U39">
            <v>3.5000000000000001E-3</v>
          </cell>
          <cell r="V39">
            <v>3.5000000000000001E-3</v>
          </cell>
          <cell r="W39">
            <v>0</v>
          </cell>
          <cell r="X39">
            <v>0</v>
          </cell>
          <cell r="Y39">
            <v>45260</v>
          </cell>
          <cell r="Z39" t="str">
            <v xml:space="preserve"> </v>
          </cell>
        </row>
        <row r="40">
          <cell r="D40" t="str">
            <v>INE094A01015</v>
          </cell>
          <cell r="E40" t="str">
            <v>Hindustan Petroleum Corporation Ltd</v>
          </cell>
          <cell r="F40" t="str">
            <v>EQUITY</v>
          </cell>
          <cell r="G40" t="str">
            <v>Equity</v>
          </cell>
          <cell r="H40">
            <v>4555</v>
          </cell>
          <cell r="I40">
            <v>10</v>
          </cell>
          <cell r="J40">
            <v>342.45</v>
          </cell>
          <cell r="K40">
            <v>347.4</v>
          </cell>
          <cell r="L40">
            <v>1.4248704663212436E-2</v>
          </cell>
          <cell r="M40" t="str">
            <v>INR</v>
          </cell>
          <cell r="N40">
            <v>311.91479912184411</v>
          </cell>
          <cell r="O40">
            <v>1420771.91</v>
          </cell>
          <cell r="P40">
            <v>1420771.91</v>
          </cell>
          <cell r="Q40">
            <v>1582407</v>
          </cell>
          <cell r="R40">
            <v>45550</v>
          </cell>
          <cell r="S40">
            <v>161635.09</v>
          </cell>
          <cell r="T40">
            <v>22547.25</v>
          </cell>
          <cell r="U40">
            <v>2.0999999999999999E-3</v>
          </cell>
          <cell r="V40">
            <v>2.0999999999999999E-3</v>
          </cell>
          <cell r="W40">
            <v>0</v>
          </cell>
          <cell r="X40">
            <v>0</v>
          </cell>
          <cell r="Y40">
            <v>45260</v>
          </cell>
          <cell r="Z40" t="str">
            <v xml:space="preserve"> </v>
          </cell>
        </row>
        <row r="41">
          <cell r="D41" t="str">
            <v>INE090A01021</v>
          </cell>
          <cell r="E41" t="str">
            <v>ICICI Bank Ltd</v>
          </cell>
          <cell r="F41" t="str">
            <v>EQUITY</v>
          </cell>
          <cell r="G41" t="str">
            <v>Equity</v>
          </cell>
          <cell r="H41">
            <v>34175</v>
          </cell>
          <cell r="I41">
            <v>2</v>
          </cell>
          <cell r="J41">
            <v>939.6</v>
          </cell>
          <cell r="K41">
            <v>934.95</v>
          </cell>
          <cell r="L41">
            <v>-4.9735279961495267E-3</v>
          </cell>
          <cell r="M41" t="str">
            <v>INR</v>
          </cell>
          <cell r="N41">
            <v>914.37882077542065</v>
          </cell>
          <cell r="O41">
            <v>31248896.199999999</v>
          </cell>
          <cell r="P41">
            <v>31248896.199999999</v>
          </cell>
          <cell r="Q41">
            <v>31951916.25</v>
          </cell>
          <cell r="R41">
            <v>68350</v>
          </cell>
          <cell r="S41">
            <v>703020.05</v>
          </cell>
          <cell r="T41">
            <v>-158913.75</v>
          </cell>
          <cell r="U41">
            <v>4.2299999999999997E-2</v>
          </cell>
          <cell r="V41">
            <v>4.2200000000000001E-2</v>
          </cell>
          <cell r="W41">
            <v>0</v>
          </cell>
          <cell r="X41">
            <v>0</v>
          </cell>
          <cell r="Y41">
            <v>45260</v>
          </cell>
          <cell r="Z41" t="str">
            <v xml:space="preserve"> </v>
          </cell>
        </row>
        <row r="42">
          <cell r="D42" t="str">
            <v>INE306R01017</v>
          </cell>
          <cell r="E42" t="str">
            <v>Intellect Design Arena Ltd</v>
          </cell>
          <cell r="F42" t="str">
            <v>EQUITY</v>
          </cell>
          <cell r="G42" t="str">
            <v>Equity</v>
          </cell>
          <cell r="H42">
            <v>2484</v>
          </cell>
          <cell r="I42">
            <v>5</v>
          </cell>
          <cell r="J42">
            <v>697.85</v>
          </cell>
          <cell r="K42">
            <v>734.45</v>
          </cell>
          <cell r="L42">
            <v>4.9833208523384846E-2</v>
          </cell>
          <cell r="M42" t="str">
            <v>INR</v>
          </cell>
          <cell r="N42">
            <v>644.73849838969409</v>
          </cell>
          <cell r="O42">
            <v>1601530.43</v>
          </cell>
          <cell r="P42">
            <v>1601530.43</v>
          </cell>
          <cell r="Q42">
            <v>1824373.8</v>
          </cell>
          <cell r="R42">
            <v>12420</v>
          </cell>
          <cell r="S42">
            <v>222843.37</v>
          </cell>
          <cell r="T42">
            <v>90914.4</v>
          </cell>
          <cell r="U42">
            <v>2.3999999999999998E-3</v>
          </cell>
          <cell r="V42">
            <v>2.3999999999999998E-3</v>
          </cell>
          <cell r="W42">
            <v>0</v>
          </cell>
          <cell r="X42">
            <v>0</v>
          </cell>
          <cell r="Y42">
            <v>45260</v>
          </cell>
          <cell r="Z42" t="str">
            <v xml:space="preserve"> </v>
          </cell>
        </row>
        <row r="43">
          <cell r="D43" t="str">
            <v>INE092T01019</v>
          </cell>
          <cell r="E43" t="str">
            <v>IDFC First Bank Limited</v>
          </cell>
          <cell r="F43" t="str">
            <v>EQUITY</v>
          </cell>
          <cell r="G43" t="str">
            <v>Equity</v>
          </cell>
          <cell r="H43">
            <v>21539</v>
          </cell>
          <cell r="I43">
            <v>10</v>
          </cell>
          <cell r="J43">
            <v>84.9</v>
          </cell>
          <cell r="K43">
            <v>85.2</v>
          </cell>
          <cell r="L43">
            <v>3.5211267605633804E-3</v>
          </cell>
          <cell r="M43" t="str">
            <v>INR</v>
          </cell>
          <cell r="N43">
            <v>86.092899856075022</v>
          </cell>
          <cell r="O43">
            <v>1854354.97</v>
          </cell>
          <cell r="P43">
            <v>1854354.97</v>
          </cell>
          <cell r="Q43">
            <v>1835122.8</v>
          </cell>
          <cell r="R43">
            <v>215390</v>
          </cell>
          <cell r="S43">
            <v>-19232.169999999998</v>
          </cell>
          <cell r="T43">
            <v>6461.7</v>
          </cell>
          <cell r="U43">
            <v>2.3999999999999998E-3</v>
          </cell>
          <cell r="V43">
            <v>2.3999999999999998E-3</v>
          </cell>
          <cell r="W43">
            <v>0</v>
          </cell>
          <cell r="X43">
            <v>0</v>
          </cell>
          <cell r="Y43">
            <v>45260</v>
          </cell>
          <cell r="Z43" t="str">
            <v xml:space="preserve"> </v>
          </cell>
        </row>
        <row r="44">
          <cell r="D44" t="str">
            <v>INE663F01024</v>
          </cell>
          <cell r="E44" t="str">
            <v>Info Edge India Ltd</v>
          </cell>
          <cell r="F44" t="str">
            <v>EQUITY</v>
          </cell>
          <cell r="G44" t="str">
            <v>Equity</v>
          </cell>
          <cell r="H44">
            <v>468</v>
          </cell>
          <cell r="I44">
            <v>10</v>
          </cell>
          <cell r="J44">
            <v>4547.6499999999996</v>
          </cell>
          <cell r="K44">
            <v>4611</v>
          </cell>
          <cell r="L44">
            <v>1.373888527434396E-2</v>
          </cell>
          <cell r="M44" t="str">
            <v>INR</v>
          </cell>
          <cell r="N44">
            <v>4083.5742948717948</v>
          </cell>
          <cell r="O44">
            <v>1911112.77</v>
          </cell>
          <cell r="P44">
            <v>1911112.77</v>
          </cell>
          <cell r="Q44">
            <v>2157948</v>
          </cell>
          <cell r="R44">
            <v>4680</v>
          </cell>
          <cell r="S44">
            <v>246835.23</v>
          </cell>
          <cell r="T44">
            <v>29647.8</v>
          </cell>
          <cell r="U44">
            <v>2.8999999999999998E-3</v>
          </cell>
          <cell r="V44">
            <v>2.8E-3</v>
          </cell>
          <cell r="W44">
            <v>0</v>
          </cell>
          <cell r="X44">
            <v>0</v>
          </cell>
          <cell r="Y44">
            <v>45260</v>
          </cell>
          <cell r="Z44" t="str">
            <v xml:space="preserve"> </v>
          </cell>
        </row>
        <row r="45">
          <cell r="D45" t="str">
            <v>INE466L01038</v>
          </cell>
          <cell r="E45" t="str">
            <v>360 One WAM Limited</v>
          </cell>
          <cell r="F45" t="str">
            <v>EQUITY</v>
          </cell>
          <cell r="G45" t="str">
            <v>Equity</v>
          </cell>
          <cell r="H45">
            <v>3064</v>
          </cell>
          <cell r="I45">
            <v>1</v>
          </cell>
          <cell r="J45">
            <v>558.85</v>
          </cell>
          <cell r="K45">
            <v>572.25</v>
          </cell>
          <cell r="L45">
            <v>2.3416339012669287E-2</v>
          </cell>
          <cell r="M45" t="str">
            <v>INR</v>
          </cell>
          <cell r="N45">
            <v>524.02420039164485</v>
          </cell>
          <cell r="O45">
            <v>1605610.15</v>
          </cell>
          <cell r="P45">
            <v>1605610.15</v>
          </cell>
          <cell r="Q45">
            <v>1753374</v>
          </cell>
          <cell r="R45">
            <v>3064</v>
          </cell>
          <cell r="S45">
            <v>147763.85</v>
          </cell>
          <cell r="T45">
            <v>41057.599999999999</v>
          </cell>
          <cell r="U45">
            <v>2.3E-3</v>
          </cell>
          <cell r="V45">
            <v>2.3E-3</v>
          </cell>
          <cell r="W45">
            <v>0</v>
          </cell>
          <cell r="X45">
            <v>0</v>
          </cell>
          <cell r="Y45">
            <v>45260</v>
          </cell>
          <cell r="Z45" t="str">
            <v xml:space="preserve"> </v>
          </cell>
        </row>
        <row r="46">
          <cell r="D46" t="str">
            <v>INE530B01024</v>
          </cell>
          <cell r="E46" t="str">
            <v>IIFL Finance Limited</v>
          </cell>
          <cell r="F46" t="str">
            <v>EQUITY</v>
          </cell>
          <cell r="G46" t="str">
            <v>Equity</v>
          </cell>
          <cell r="H46">
            <v>4203</v>
          </cell>
          <cell r="I46">
            <v>2</v>
          </cell>
          <cell r="J46">
            <v>599.75</v>
          </cell>
          <cell r="K46">
            <v>608.5</v>
          </cell>
          <cell r="L46">
            <v>1.4379622021364009E-2</v>
          </cell>
          <cell r="M46" t="str">
            <v>INR</v>
          </cell>
          <cell r="N46">
            <v>606.71600047585059</v>
          </cell>
          <cell r="O46">
            <v>2550027.35</v>
          </cell>
          <cell r="P46">
            <v>2550027.35</v>
          </cell>
          <cell r="Q46">
            <v>2557525.5</v>
          </cell>
          <cell r="R46">
            <v>8406</v>
          </cell>
          <cell r="S46">
            <v>7498.15</v>
          </cell>
          <cell r="T46">
            <v>36776.25</v>
          </cell>
          <cell r="U46">
            <v>3.3999999999999998E-3</v>
          </cell>
          <cell r="V46">
            <v>3.3999999999999998E-3</v>
          </cell>
          <cell r="W46">
            <v>0</v>
          </cell>
          <cell r="X46">
            <v>0</v>
          </cell>
          <cell r="Y46">
            <v>45260</v>
          </cell>
          <cell r="Z46" t="str">
            <v xml:space="preserve"> </v>
          </cell>
        </row>
        <row r="47">
          <cell r="D47" t="str">
            <v>INE933S01016</v>
          </cell>
          <cell r="E47" t="str">
            <v>Indiamart Intermesh Limited</v>
          </cell>
          <cell r="F47" t="str">
            <v>EQUITY</v>
          </cell>
          <cell r="G47" t="str">
            <v>Equity</v>
          </cell>
          <cell r="H47">
            <v>698</v>
          </cell>
          <cell r="I47">
            <v>10</v>
          </cell>
          <cell r="J47">
            <v>2613.6999999999998</v>
          </cell>
          <cell r="K47">
            <v>2604.0500000000002</v>
          </cell>
          <cell r="L47">
            <v>-3.7057660183176205E-3</v>
          </cell>
          <cell r="M47" t="str">
            <v>INR</v>
          </cell>
          <cell r="N47">
            <v>2771.2212034383956</v>
          </cell>
          <cell r="O47">
            <v>1934312.4</v>
          </cell>
          <cell r="P47">
            <v>1934312.4</v>
          </cell>
          <cell r="Q47">
            <v>1817626.9</v>
          </cell>
          <cell r="R47">
            <v>6980</v>
          </cell>
          <cell r="S47">
            <v>-116685.5</v>
          </cell>
          <cell r="T47">
            <v>-6735.7</v>
          </cell>
          <cell r="U47">
            <v>2.3999999999999998E-3</v>
          </cell>
          <cell r="V47">
            <v>2.3999999999999998E-3</v>
          </cell>
          <cell r="W47">
            <v>0</v>
          </cell>
          <cell r="X47">
            <v>0</v>
          </cell>
          <cell r="Y47">
            <v>45260</v>
          </cell>
          <cell r="Z47" t="str">
            <v xml:space="preserve"> </v>
          </cell>
        </row>
        <row r="48">
          <cell r="D48" t="str">
            <v>INE009A01021</v>
          </cell>
          <cell r="E48" t="str">
            <v>Infosys Ltd</v>
          </cell>
          <cell r="F48" t="str">
            <v>EQUITY</v>
          </cell>
          <cell r="G48" t="str">
            <v>Equity</v>
          </cell>
          <cell r="H48">
            <v>3702</v>
          </cell>
          <cell r="I48">
            <v>5</v>
          </cell>
          <cell r="J48">
            <v>1459.6</v>
          </cell>
          <cell r="K48">
            <v>1455.15</v>
          </cell>
          <cell r="L48">
            <v>-3.0581039755351682E-3</v>
          </cell>
          <cell r="M48" t="str">
            <v>INR</v>
          </cell>
          <cell r="N48">
            <v>1380.3186007563479</v>
          </cell>
          <cell r="O48">
            <v>5109939.46</v>
          </cell>
          <cell r="P48">
            <v>5109939.46</v>
          </cell>
          <cell r="Q48">
            <v>5386965.2999999998</v>
          </cell>
          <cell r="R48">
            <v>18510</v>
          </cell>
          <cell r="S48">
            <v>277025.84000000003</v>
          </cell>
          <cell r="T48">
            <v>-16473.900000000001</v>
          </cell>
          <cell r="U48">
            <v>7.1000000000000004E-3</v>
          </cell>
          <cell r="V48">
            <v>7.1000000000000004E-3</v>
          </cell>
          <cell r="W48">
            <v>0</v>
          </cell>
          <cell r="X48">
            <v>0</v>
          </cell>
          <cell r="Y48">
            <v>45260</v>
          </cell>
          <cell r="Z48" t="str">
            <v xml:space="preserve"> </v>
          </cell>
        </row>
        <row r="49">
          <cell r="D49" t="str">
            <v>INE726G01019</v>
          </cell>
          <cell r="E49" t="str">
            <v>ICICI Prudential Life Insurance Company Limited</v>
          </cell>
          <cell r="F49" t="str">
            <v>EQUITY</v>
          </cell>
          <cell r="G49" t="str">
            <v>Equity</v>
          </cell>
          <cell r="H49">
            <v>4315</v>
          </cell>
          <cell r="I49">
            <v>10</v>
          </cell>
          <cell r="J49">
            <v>551.70000000000005</v>
          </cell>
          <cell r="K49">
            <v>562.6</v>
          </cell>
          <cell r="L49">
            <v>1.9374333451830785E-2</v>
          </cell>
          <cell r="M49" t="str">
            <v>INR</v>
          </cell>
          <cell r="N49">
            <v>518.46530011587481</v>
          </cell>
          <cell r="O49">
            <v>2237177.77</v>
          </cell>
          <cell r="P49">
            <v>2237177.77</v>
          </cell>
          <cell r="Q49">
            <v>2427619</v>
          </cell>
          <cell r="R49">
            <v>43150</v>
          </cell>
          <cell r="S49">
            <v>190441.23</v>
          </cell>
          <cell r="T49">
            <v>47033.5</v>
          </cell>
          <cell r="U49">
            <v>3.2000000000000002E-3</v>
          </cell>
          <cell r="V49">
            <v>3.2000000000000002E-3</v>
          </cell>
          <cell r="W49">
            <v>0</v>
          </cell>
          <cell r="X49">
            <v>0</v>
          </cell>
          <cell r="Y49">
            <v>45260</v>
          </cell>
          <cell r="Z49" t="str">
            <v xml:space="preserve"> </v>
          </cell>
        </row>
        <row r="50">
          <cell r="D50" t="str">
            <v>INE572A01036</v>
          </cell>
          <cell r="E50" t="str">
            <v>J B Chemicals and Pharma Ltd</v>
          </cell>
          <cell r="F50" t="str">
            <v>EQUITY</v>
          </cell>
          <cell r="G50" t="str">
            <v>Equity</v>
          </cell>
          <cell r="H50">
            <v>1180</v>
          </cell>
          <cell r="I50">
            <v>1</v>
          </cell>
          <cell r="J50">
            <v>1410.35</v>
          </cell>
          <cell r="K50">
            <v>1450.9</v>
          </cell>
          <cell r="L50">
            <v>2.7948170101316425E-2</v>
          </cell>
          <cell r="M50" t="str">
            <v>INR</v>
          </cell>
          <cell r="N50">
            <v>1361.1018983050847</v>
          </cell>
          <cell r="O50">
            <v>1606100.24</v>
          </cell>
          <cell r="P50">
            <v>1606100.24</v>
          </cell>
          <cell r="Q50">
            <v>1712062</v>
          </cell>
          <cell r="R50">
            <v>1180</v>
          </cell>
          <cell r="S50">
            <v>105961.76</v>
          </cell>
          <cell r="T50">
            <v>47849</v>
          </cell>
          <cell r="U50">
            <v>2.3E-3</v>
          </cell>
          <cell r="V50">
            <v>2.3E-3</v>
          </cell>
          <cell r="W50">
            <v>0</v>
          </cell>
          <cell r="X50">
            <v>0</v>
          </cell>
          <cell r="Y50">
            <v>45260</v>
          </cell>
          <cell r="Z50" t="str">
            <v xml:space="preserve"> </v>
          </cell>
        </row>
        <row r="51">
          <cell r="D51" t="str">
            <v>INE168A01041</v>
          </cell>
          <cell r="E51" t="str">
            <v>The Jammu and Kashmir Bank Ltd</v>
          </cell>
          <cell r="F51" t="str">
            <v>EQUITY</v>
          </cell>
          <cell r="G51" t="str">
            <v>Equity</v>
          </cell>
          <cell r="H51">
            <v>12325</v>
          </cell>
          <cell r="I51">
            <v>1</v>
          </cell>
          <cell r="J51">
            <v>110.2</v>
          </cell>
          <cell r="K51">
            <v>109.5</v>
          </cell>
          <cell r="L51">
            <v>-6.392694063926941E-3</v>
          </cell>
          <cell r="M51" t="str">
            <v>INR</v>
          </cell>
          <cell r="N51">
            <v>103.69449979716025</v>
          </cell>
          <cell r="O51">
            <v>1278034.71</v>
          </cell>
          <cell r="P51">
            <v>1278034.71</v>
          </cell>
          <cell r="Q51">
            <v>1349587.5</v>
          </cell>
          <cell r="R51">
            <v>12325</v>
          </cell>
          <cell r="S51">
            <v>71552.789999999994</v>
          </cell>
          <cell r="T51">
            <v>-8627.5</v>
          </cell>
          <cell r="U51">
            <v>1.8E-3</v>
          </cell>
          <cell r="V51">
            <v>1.8E-3</v>
          </cell>
          <cell r="W51">
            <v>0</v>
          </cell>
          <cell r="X51">
            <v>0</v>
          </cell>
          <cell r="Y51">
            <v>45260</v>
          </cell>
          <cell r="Z51" t="str">
            <v xml:space="preserve"> </v>
          </cell>
        </row>
        <row r="52">
          <cell r="D52" t="str">
            <v>INE918Z01012</v>
          </cell>
          <cell r="E52" t="str">
            <v>Kaynes Technology India Limited</v>
          </cell>
          <cell r="F52" t="str">
            <v>EQUITY</v>
          </cell>
          <cell r="G52" t="str">
            <v>Equity</v>
          </cell>
          <cell r="H52">
            <v>537</v>
          </cell>
          <cell r="I52">
            <v>10</v>
          </cell>
          <cell r="J52">
            <v>2426.35</v>
          </cell>
          <cell r="K52">
            <v>2466.6</v>
          </cell>
          <cell r="L52">
            <v>1.6318008594826888E-2</v>
          </cell>
          <cell r="M52" t="str">
            <v>INR</v>
          </cell>
          <cell r="N52">
            <v>2379.3284916201119</v>
          </cell>
          <cell r="O52">
            <v>1277699.3999999999</v>
          </cell>
          <cell r="P52">
            <v>1277699.3999999999</v>
          </cell>
          <cell r="Q52">
            <v>1324564.2</v>
          </cell>
          <cell r="R52">
            <v>5370</v>
          </cell>
          <cell r="S52">
            <v>46864.800000000003</v>
          </cell>
          <cell r="T52">
            <v>21614.25</v>
          </cell>
          <cell r="U52">
            <v>1.8E-3</v>
          </cell>
          <cell r="V52">
            <v>1.6999999999999999E-3</v>
          </cell>
          <cell r="W52">
            <v>0</v>
          </cell>
          <cell r="X52">
            <v>0</v>
          </cell>
          <cell r="Y52">
            <v>45260</v>
          </cell>
          <cell r="Z52" t="str">
            <v xml:space="preserve"> </v>
          </cell>
        </row>
        <row r="53">
          <cell r="D53" t="str">
            <v>INE967H01017</v>
          </cell>
          <cell r="E53" t="str">
            <v>Krishna Institute Of Medical Sciences Limited</v>
          </cell>
          <cell r="F53" t="str">
            <v>EQUITY</v>
          </cell>
          <cell r="G53" t="str">
            <v>Equity</v>
          </cell>
          <cell r="H53">
            <v>1191</v>
          </cell>
          <cell r="I53">
            <v>10</v>
          </cell>
          <cell r="J53">
            <v>1957.25</v>
          </cell>
          <cell r="K53">
            <v>1955.4</v>
          </cell>
          <cell r="L53">
            <v>-9.4609798506699392E-4</v>
          </cell>
          <cell r="M53" t="str">
            <v>INR</v>
          </cell>
          <cell r="N53">
            <v>1887.1318975650713</v>
          </cell>
          <cell r="O53">
            <v>2247574.09</v>
          </cell>
          <cell r="P53">
            <v>2247574.09</v>
          </cell>
          <cell r="Q53">
            <v>2328881.4</v>
          </cell>
          <cell r="R53">
            <v>11910</v>
          </cell>
          <cell r="S53">
            <v>81307.31</v>
          </cell>
          <cell r="T53">
            <v>-2203.35</v>
          </cell>
          <cell r="U53">
            <v>3.0999999999999999E-3</v>
          </cell>
          <cell r="V53">
            <v>3.0999999999999999E-3</v>
          </cell>
          <cell r="W53">
            <v>0</v>
          </cell>
          <cell r="X53">
            <v>0</v>
          </cell>
          <cell r="Y53">
            <v>45260</v>
          </cell>
          <cell r="Z53" t="str">
            <v xml:space="preserve"> </v>
          </cell>
        </row>
        <row r="54">
          <cell r="D54" t="str">
            <v>INE401H01017</v>
          </cell>
          <cell r="E54" t="str">
            <v>Kewal Kiran Clothing Limited</v>
          </cell>
          <cell r="F54" t="str">
            <v>EQUITY</v>
          </cell>
          <cell r="G54" t="str">
            <v>Equity</v>
          </cell>
          <cell r="H54">
            <v>2088</v>
          </cell>
          <cell r="I54">
            <v>10</v>
          </cell>
          <cell r="J54">
            <v>796.25</v>
          </cell>
          <cell r="K54">
            <v>798.45</v>
          </cell>
          <cell r="L54">
            <v>2.755338468282297E-3</v>
          </cell>
          <cell r="M54" t="str">
            <v>INR</v>
          </cell>
          <cell r="N54">
            <v>760.64540229885063</v>
          </cell>
          <cell r="O54">
            <v>1588227.6</v>
          </cell>
          <cell r="P54">
            <v>1588227.6</v>
          </cell>
          <cell r="Q54">
            <v>1667163.6</v>
          </cell>
          <cell r="R54">
            <v>20880</v>
          </cell>
          <cell r="S54">
            <v>78936</v>
          </cell>
          <cell r="T54">
            <v>4593.6000000000004</v>
          </cell>
          <cell r="U54">
            <v>2.2000000000000001E-3</v>
          </cell>
          <cell r="V54">
            <v>2.2000000000000001E-3</v>
          </cell>
          <cell r="W54">
            <v>0</v>
          </cell>
          <cell r="X54">
            <v>0</v>
          </cell>
          <cell r="Y54">
            <v>45260</v>
          </cell>
          <cell r="Z54" t="str">
            <v xml:space="preserve"> </v>
          </cell>
        </row>
        <row r="55">
          <cell r="D55" t="str">
            <v>INE237A01028</v>
          </cell>
          <cell r="E55" t="str">
            <v>Kotak Mahindra Bank Ltd</v>
          </cell>
          <cell r="F55" t="str">
            <v>EQUITY</v>
          </cell>
          <cell r="G55" t="str">
            <v>Equity</v>
          </cell>
          <cell r="H55">
            <v>5521</v>
          </cell>
          <cell r="I55">
            <v>5</v>
          </cell>
          <cell r="J55">
            <v>1753.45</v>
          </cell>
          <cell r="K55">
            <v>1755.45</v>
          </cell>
          <cell r="L55">
            <v>1.1393090090859894E-3</v>
          </cell>
          <cell r="M55" t="str">
            <v>INR</v>
          </cell>
          <cell r="N55">
            <v>1709.5089548994747</v>
          </cell>
          <cell r="O55">
            <v>9438198.9399999995</v>
          </cell>
          <cell r="P55">
            <v>9438198.9399999995</v>
          </cell>
          <cell r="Q55">
            <v>9691839.4499999993</v>
          </cell>
          <cell r="R55">
            <v>27605</v>
          </cell>
          <cell r="S55">
            <v>253640.51</v>
          </cell>
          <cell r="T55">
            <v>11508.18</v>
          </cell>
          <cell r="U55">
            <v>1.2800000000000001E-2</v>
          </cell>
          <cell r="V55">
            <v>1.2800000000000001E-2</v>
          </cell>
          <cell r="W55">
            <v>0</v>
          </cell>
          <cell r="X55">
            <v>0</v>
          </cell>
          <cell r="Y55">
            <v>45260</v>
          </cell>
          <cell r="Z55" t="str">
            <v xml:space="preserve"> </v>
          </cell>
        </row>
        <row r="56">
          <cell r="D56" t="str">
            <v>INE999A01015</v>
          </cell>
          <cell r="E56" t="str">
            <v>KSB Limited</v>
          </cell>
          <cell r="F56" t="str">
            <v>EQUITY</v>
          </cell>
          <cell r="G56" t="str">
            <v>Equity</v>
          </cell>
          <cell r="H56">
            <v>1098</v>
          </cell>
          <cell r="I56">
            <v>10</v>
          </cell>
          <cell r="J56">
            <v>3284.95</v>
          </cell>
          <cell r="K56">
            <v>3422.8</v>
          </cell>
          <cell r="L56">
            <v>4.0274044641813722E-2</v>
          </cell>
          <cell r="M56" t="str">
            <v>INR</v>
          </cell>
          <cell r="N56">
            <v>3003.8756739526411</v>
          </cell>
          <cell r="O56">
            <v>3298255.49</v>
          </cell>
          <cell r="P56">
            <v>3298255.49</v>
          </cell>
          <cell r="Q56">
            <v>3758234.4</v>
          </cell>
          <cell r="R56">
            <v>10980</v>
          </cell>
          <cell r="S56">
            <v>459978.91</v>
          </cell>
          <cell r="T56">
            <v>151359.29999999999</v>
          </cell>
          <cell r="U56">
            <v>5.0000000000000001E-3</v>
          </cell>
          <cell r="V56">
            <v>5.0000000000000001E-3</v>
          </cell>
          <cell r="W56">
            <v>0</v>
          </cell>
          <cell r="X56">
            <v>0</v>
          </cell>
          <cell r="Y56">
            <v>45260</v>
          </cell>
          <cell r="Z56" t="str">
            <v xml:space="preserve"> </v>
          </cell>
        </row>
        <row r="57">
          <cell r="D57" t="str">
            <v>INE849A01020</v>
          </cell>
          <cell r="E57" t="str">
            <v>Trent Ltd</v>
          </cell>
          <cell r="F57" t="str">
            <v>EQUITY</v>
          </cell>
          <cell r="G57" t="str">
            <v>Equity</v>
          </cell>
          <cell r="H57">
            <v>1500</v>
          </cell>
          <cell r="I57">
            <v>1</v>
          </cell>
          <cell r="J57">
            <v>2676.4</v>
          </cell>
          <cell r="K57">
            <v>2787</v>
          </cell>
          <cell r="L57">
            <v>3.9684248295658413E-2</v>
          </cell>
          <cell r="M57" t="str">
            <v>INR</v>
          </cell>
          <cell r="N57">
            <v>2122.8865999999998</v>
          </cell>
          <cell r="O57">
            <v>3184329.9</v>
          </cell>
          <cell r="P57">
            <v>3184329.9</v>
          </cell>
          <cell r="Q57">
            <v>4180500</v>
          </cell>
          <cell r="R57">
            <v>1500</v>
          </cell>
          <cell r="S57">
            <v>996170.1</v>
          </cell>
          <cell r="T57">
            <v>165900</v>
          </cell>
          <cell r="U57">
            <v>5.4999999999999997E-3</v>
          </cell>
          <cell r="V57">
            <v>5.4999999999999997E-3</v>
          </cell>
          <cell r="W57">
            <v>0</v>
          </cell>
          <cell r="X57">
            <v>0</v>
          </cell>
          <cell r="Y57">
            <v>45260</v>
          </cell>
          <cell r="Z57" t="str">
            <v xml:space="preserve"> </v>
          </cell>
        </row>
        <row r="58">
          <cell r="D58" t="str">
            <v>INE018A01030</v>
          </cell>
          <cell r="E58" t="str">
            <v>Larsen &amp; Toubro Ltd</v>
          </cell>
          <cell r="F58" t="str">
            <v>EQUITY</v>
          </cell>
          <cell r="G58" t="str">
            <v>Equity</v>
          </cell>
          <cell r="H58">
            <v>3623</v>
          </cell>
          <cell r="I58">
            <v>2</v>
          </cell>
          <cell r="J58">
            <v>3083.75</v>
          </cell>
          <cell r="K58">
            <v>3109.2</v>
          </cell>
          <cell r="L58">
            <v>8.1853853081178436E-3</v>
          </cell>
          <cell r="M58" t="str">
            <v>INR</v>
          </cell>
          <cell r="N58">
            <v>2920.7011979022909</v>
          </cell>
          <cell r="O58">
            <v>10581700.439999999</v>
          </cell>
          <cell r="P58">
            <v>10581700.439999999</v>
          </cell>
          <cell r="Q58">
            <v>11264631.6</v>
          </cell>
          <cell r="R58">
            <v>7246</v>
          </cell>
          <cell r="S58">
            <v>682931.16</v>
          </cell>
          <cell r="T58">
            <v>92205.35</v>
          </cell>
          <cell r="U58">
            <v>1.49E-2</v>
          </cell>
          <cell r="V58">
            <v>1.49E-2</v>
          </cell>
          <cell r="W58">
            <v>0</v>
          </cell>
          <cell r="X58">
            <v>0</v>
          </cell>
          <cell r="Y58">
            <v>45260</v>
          </cell>
          <cell r="Z58" t="str">
            <v xml:space="preserve"> </v>
          </cell>
        </row>
        <row r="59">
          <cell r="D59" t="str">
            <v>INE214T01019</v>
          </cell>
          <cell r="E59" t="str">
            <v>LTIMindtree Limited</v>
          </cell>
          <cell r="F59" t="str">
            <v>EQUITY</v>
          </cell>
          <cell r="G59" t="str">
            <v>Equity</v>
          </cell>
          <cell r="H59">
            <v>807</v>
          </cell>
          <cell r="I59">
            <v>1</v>
          </cell>
          <cell r="J59">
            <v>5588.5</v>
          </cell>
          <cell r="K59">
            <v>5536.7</v>
          </cell>
          <cell r="L59">
            <v>-9.3557534271316856E-3</v>
          </cell>
          <cell r="M59" t="str">
            <v>INR</v>
          </cell>
          <cell r="N59">
            <v>5202.7379553903347</v>
          </cell>
          <cell r="O59">
            <v>4198609.53</v>
          </cell>
          <cell r="P59">
            <v>4198609.53</v>
          </cell>
          <cell r="Q59">
            <v>4468116.9000000004</v>
          </cell>
          <cell r="R59">
            <v>807</v>
          </cell>
          <cell r="S59">
            <v>269507.37</v>
          </cell>
          <cell r="T59">
            <v>-41802.6</v>
          </cell>
          <cell r="U59">
            <v>5.8999999999999999E-3</v>
          </cell>
          <cell r="V59">
            <v>5.8999999999999999E-3</v>
          </cell>
          <cell r="W59">
            <v>0</v>
          </cell>
          <cell r="X59">
            <v>0</v>
          </cell>
          <cell r="Y59">
            <v>45260</v>
          </cell>
          <cell r="Z59" t="str">
            <v xml:space="preserve"> </v>
          </cell>
        </row>
        <row r="60">
          <cell r="D60" t="str">
            <v>INE101A01026</v>
          </cell>
          <cell r="E60" t="str">
            <v>Mahindra &amp; Mahindra Ltd</v>
          </cell>
          <cell r="F60" t="str">
            <v>EQUITY</v>
          </cell>
          <cell r="G60" t="str">
            <v>Equity</v>
          </cell>
          <cell r="H60">
            <v>3159</v>
          </cell>
          <cell r="I60">
            <v>5</v>
          </cell>
          <cell r="J60">
            <v>1619.1</v>
          </cell>
          <cell r="K60">
            <v>1647.75</v>
          </cell>
          <cell r="L60">
            <v>1.7387346381429223E-2</v>
          </cell>
          <cell r="M60" t="str">
            <v>INR</v>
          </cell>
          <cell r="N60">
            <v>1510.9489015511238</v>
          </cell>
          <cell r="O60">
            <v>4773087.58</v>
          </cell>
          <cell r="P60">
            <v>4773087.58</v>
          </cell>
          <cell r="Q60">
            <v>5205242.25</v>
          </cell>
          <cell r="R60">
            <v>15795</v>
          </cell>
          <cell r="S60">
            <v>432154.67</v>
          </cell>
          <cell r="T60">
            <v>90505.35</v>
          </cell>
          <cell r="U60">
            <v>6.8999999999999999E-3</v>
          </cell>
          <cell r="V60">
            <v>6.8999999999999999E-3</v>
          </cell>
          <cell r="W60">
            <v>0</v>
          </cell>
          <cell r="X60">
            <v>0</v>
          </cell>
          <cell r="Y60">
            <v>45260</v>
          </cell>
          <cell r="Z60" t="str">
            <v xml:space="preserve"> </v>
          </cell>
        </row>
        <row r="61">
          <cell r="D61" t="str">
            <v>INE585B01010</v>
          </cell>
          <cell r="E61" t="str">
            <v>Maruti Suzuki India Ltd</v>
          </cell>
          <cell r="F61" t="str">
            <v>EQUITY</v>
          </cell>
          <cell r="G61" t="str">
            <v>Equity</v>
          </cell>
          <cell r="H61">
            <v>1050</v>
          </cell>
          <cell r="I61">
            <v>5</v>
          </cell>
          <cell r="J61">
            <v>10599.25</v>
          </cell>
          <cell r="K61">
            <v>10608.7</v>
          </cell>
          <cell r="L61">
            <v>8.9077832345150674E-4</v>
          </cell>
          <cell r="M61" t="str">
            <v>INR</v>
          </cell>
          <cell r="N61">
            <v>10532.611133333334</v>
          </cell>
          <cell r="O61">
            <v>11059241.689999999</v>
          </cell>
          <cell r="P61">
            <v>11059241.689999999</v>
          </cell>
          <cell r="Q61">
            <v>11139135</v>
          </cell>
          <cell r="R61">
            <v>5250</v>
          </cell>
          <cell r="S61">
            <v>79893.31</v>
          </cell>
          <cell r="T61">
            <v>9922.5</v>
          </cell>
          <cell r="U61">
            <v>1.4800000000000001E-2</v>
          </cell>
          <cell r="V61">
            <v>1.47E-2</v>
          </cell>
          <cell r="W61">
            <v>0</v>
          </cell>
          <cell r="X61">
            <v>0</v>
          </cell>
          <cell r="Y61">
            <v>45260</v>
          </cell>
          <cell r="Z61" t="str">
            <v xml:space="preserve"> </v>
          </cell>
        </row>
        <row r="62">
          <cell r="D62" t="str">
            <v>INE634S01028</v>
          </cell>
          <cell r="E62" t="str">
            <v>Mankind Pharma Limited</v>
          </cell>
          <cell r="F62" t="str">
            <v>EQUITY</v>
          </cell>
          <cell r="G62" t="str">
            <v>Equity</v>
          </cell>
          <cell r="H62">
            <v>1480</v>
          </cell>
          <cell r="I62">
            <v>1</v>
          </cell>
          <cell r="J62">
            <v>1898.6</v>
          </cell>
          <cell r="K62">
            <v>1897.6</v>
          </cell>
          <cell r="L62">
            <v>-5.2698145025295107E-4</v>
          </cell>
          <cell r="M62" t="str">
            <v>INR</v>
          </cell>
          <cell r="N62">
            <v>1775.3501959459459</v>
          </cell>
          <cell r="O62">
            <v>2627518.29</v>
          </cell>
          <cell r="P62">
            <v>2627518.29</v>
          </cell>
          <cell r="Q62">
            <v>2808448</v>
          </cell>
          <cell r="R62">
            <v>1480</v>
          </cell>
          <cell r="S62">
            <v>180929.71</v>
          </cell>
          <cell r="T62">
            <v>-1480</v>
          </cell>
          <cell r="U62">
            <v>3.7000000000000002E-3</v>
          </cell>
          <cell r="V62">
            <v>3.7000000000000002E-3</v>
          </cell>
          <cell r="W62">
            <v>0</v>
          </cell>
          <cell r="X62">
            <v>0</v>
          </cell>
          <cell r="Y62">
            <v>45260</v>
          </cell>
          <cell r="Z62" t="str">
            <v xml:space="preserve"> </v>
          </cell>
        </row>
        <row r="63">
          <cell r="D63" t="str">
            <v>INE414G01012</v>
          </cell>
          <cell r="E63" t="str">
            <v>Muthoot Finance Ltd</v>
          </cell>
          <cell r="F63" t="str">
            <v>EQUITY</v>
          </cell>
          <cell r="G63" t="str">
            <v>Equity</v>
          </cell>
          <cell r="H63">
            <v>1754</v>
          </cell>
          <cell r="I63">
            <v>10</v>
          </cell>
          <cell r="J63">
            <v>1415.85</v>
          </cell>
          <cell r="K63">
            <v>1481.9</v>
          </cell>
          <cell r="L63">
            <v>4.4571158647682033E-2</v>
          </cell>
          <cell r="M63" t="str">
            <v>INR</v>
          </cell>
          <cell r="N63">
            <v>1300.7921094640822</v>
          </cell>
          <cell r="O63">
            <v>2281589.36</v>
          </cell>
          <cell r="P63">
            <v>2281589.36</v>
          </cell>
          <cell r="Q63">
            <v>2599252.6</v>
          </cell>
          <cell r="R63">
            <v>17540</v>
          </cell>
          <cell r="S63">
            <v>317663.24</v>
          </cell>
          <cell r="T63">
            <v>115851.7</v>
          </cell>
          <cell r="U63">
            <v>3.3999999999999998E-3</v>
          </cell>
          <cell r="V63">
            <v>3.3999999999999998E-3</v>
          </cell>
          <cell r="W63">
            <v>0</v>
          </cell>
          <cell r="X63">
            <v>0</v>
          </cell>
          <cell r="Y63">
            <v>45260</v>
          </cell>
          <cell r="Z63" t="str">
            <v xml:space="preserve"> </v>
          </cell>
        </row>
        <row r="64">
          <cell r="D64" t="str">
            <v>INE794A01010</v>
          </cell>
          <cell r="E64" t="str">
            <v>Neuland Laboratories Ltd</v>
          </cell>
          <cell r="F64" t="str">
            <v>EQUITY</v>
          </cell>
          <cell r="G64" t="str">
            <v>Equity</v>
          </cell>
          <cell r="H64">
            <v>762</v>
          </cell>
          <cell r="I64">
            <v>10</v>
          </cell>
          <cell r="J64">
            <v>5171.6000000000004</v>
          </cell>
          <cell r="K64">
            <v>5466.95</v>
          </cell>
          <cell r="L64">
            <v>5.4024638966882817E-2</v>
          </cell>
          <cell r="M64" t="str">
            <v>INR</v>
          </cell>
          <cell r="N64">
            <v>5267.8499737532811</v>
          </cell>
          <cell r="O64">
            <v>4014101.68</v>
          </cell>
          <cell r="P64">
            <v>4014101.68</v>
          </cell>
          <cell r="Q64">
            <v>4165815.9</v>
          </cell>
          <cell r="R64">
            <v>7620</v>
          </cell>
          <cell r="S64">
            <v>151714.22</v>
          </cell>
          <cell r="T64">
            <v>191410.92</v>
          </cell>
          <cell r="U64">
            <v>5.4999999999999997E-3</v>
          </cell>
          <cell r="V64">
            <v>5.4999999999999997E-3</v>
          </cell>
          <cell r="W64">
            <v>0</v>
          </cell>
          <cell r="X64">
            <v>0</v>
          </cell>
          <cell r="Y64">
            <v>45260</v>
          </cell>
          <cell r="Z64" t="str">
            <v xml:space="preserve"> </v>
          </cell>
        </row>
        <row r="65">
          <cell r="D65" t="str">
            <v>INE239A01016</v>
          </cell>
          <cell r="E65" t="str">
            <v>Nestle India Ltd</v>
          </cell>
          <cell r="F65" t="str">
            <v>EQUITY</v>
          </cell>
          <cell r="G65" t="str">
            <v>Equity</v>
          </cell>
          <cell r="H65">
            <v>787</v>
          </cell>
          <cell r="I65">
            <v>10</v>
          </cell>
          <cell r="J65">
            <v>24067.5</v>
          </cell>
          <cell r="K65">
            <v>24236.15</v>
          </cell>
          <cell r="L65">
            <v>6.9586134761502961E-3</v>
          </cell>
          <cell r="M65" t="str">
            <v>INR</v>
          </cell>
          <cell r="N65">
            <v>24068.07621346887</v>
          </cell>
          <cell r="O65">
            <v>18941575.98</v>
          </cell>
          <cell r="P65">
            <v>18941575.98</v>
          </cell>
          <cell r="Q65">
            <v>19073850.050000001</v>
          </cell>
          <cell r="R65">
            <v>7870</v>
          </cell>
          <cell r="S65">
            <v>132274.07</v>
          </cell>
          <cell r="T65">
            <v>133220.65</v>
          </cell>
          <cell r="U65">
            <v>2.53E-2</v>
          </cell>
          <cell r="V65">
            <v>2.52E-2</v>
          </cell>
          <cell r="W65">
            <v>0</v>
          </cell>
          <cell r="X65">
            <v>0</v>
          </cell>
          <cell r="Y65">
            <v>45260</v>
          </cell>
          <cell r="Z65" t="str">
            <v xml:space="preserve"> </v>
          </cell>
        </row>
        <row r="66">
          <cell r="D66" t="str">
            <v>INE591G01017</v>
          </cell>
          <cell r="E66" t="str">
            <v>Coforge Limited</v>
          </cell>
          <cell r="F66" t="str">
            <v>EQUITY</v>
          </cell>
          <cell r="G66" t="str">
            <v>Equity</v>
          </cell>
          <cell r="H66">
            <v>1085</v>
          </cell>
          <cell r="I66">
            <v>10</v>
          </cell>
          <cell r="J66">
            <v>5694.75</v>
          </cell>
          <cell r="K66">
            <v>5760.85</v>
          </cell>
          <cell r="L66">
            <v>1.1474001232457016E-2</v>
          </cell>
          <cell r="M66" t="str">
            <v>INR</v>
          </cell>
          <cell r="N66">
            <v>5007.79</v>
          </cell>
          <cell r="O66">
            <v>5433452.1500000004</v>
          </cell>
          <cell r="P66">
            <v>5433452.1500000004</v>
          </cell>
          <cell r="Q66">
            <v>6250522.25</v>
          </cell>
          <cell r="R66">
            <v>10850</v>
          </cell>
          <cell r="S66">
            <v>817070.1</v>
          </cell>
          <cell r="T66">
            <v>71718.5</v>
          </cell>
          <cell r="U66">
            <v>8.3000000000000001E-3</v>
          </cell>
          <cell r="V66">
            <v>8.2000000000000007E-3</v>
          </cell>
          <cell r="W66">
            <v>0</v>
          </cell>
          <cell r="X66">
            <v>0</v>
          </cell>
          <cell r="Y66">
            <v>45260</v>
          </cell>
          <cell r="Z66" t="str">
            <v xml:space="preserve"> </v>
          </cell>
        </row>
        <row r="67">
          <cell r="D67" t="str">
            <v>INE096B01018</v>
          </cell>
          <cell r="E67" t="str">
            <v>Nucleus Software Exports Ltd</v>
          </cell>
          <cell r="F67" t="str">
            <v>EQUITY</v>
          </cell>
          <cell r="G67" t="str">
            <v>Equity</v>
          </cell>
          <cell r="H67">
            <v>1557</v>
          </cell>
          <cell r="I67">
            <v>10</v>
          </cell>
          <cell r="J67">
            <v>1457.8</v>
          </cell>
          <cell r="K67">
            <v>1469.65</v>
          </cell>
          <cell r="L67">
            <v>8.0631442860545025E-3</v>
          </cell>
          <cell r="M67" t="str">
            <v>INR</v>
          </cell>
          <cell r="N67">
            <v>1519.0457225433527</v>
          </cell>
          <cell r="O67">
            <v>2365154.19</v>
          </cell>
          <cell r="P67">
            <v>2365154.19</v>
          </cell>
          <cell r="Q67">
            <v>2288245.0499999998</v>
          </cell>
          <cell r="R67">
            <v>15570</v>
          </cell>
          <cell r="S67">
            <v>-76909.14</v>
          </cell>
          <cell r="T67">
            <v>18450.45</v>
          </cell>
          <cell r="U67">
            <v>3.0000000000000001E-3</v>
          </cell>
          <cell r="V67">
            <v>3.0000000000000001E-3</v>
          </cell>
          <cell r="W67">
            <v>0</v>
          </cell>
          <cell r="X67">
            <v>0</v>
          </cell>
          <cell r="Y67">
            <v>45260</v>
          </cell>
          <cell r="Z67" t="str">
            <v xml:space="preserve"> </v>
          </cell>
        </row>
        <row r="68">
          <cell r="D68" t="str">
            <v>INE619B01017</v>
          </cell>
          <cell r="E68" t="str">
            <v>Newgen Software Technologies Limited</v>
          </cell>
          <cell r="F68" t="str">
            <v>EQUITY</v>
          </cell>
          <cell r="G68" t="str">
            <v>Equity</v>
          </cell>
          <cell r="H68">
            <v>1343</v>
          </cell>
          <cell r="I68">
            <v>10</v>
          </cell>
          <cell r="J68">
            <v>1387.9</v>
          </cell>
          <cell r="K68">
            <v>1455.65</v>
          </cell>
          <cell r="L68">
            <v>4.6542781575241304E-2</v>
          </cell>
          <cell r="M68" t="str">
            <v>INR</v>
          </cell>
          <cell r="N68">
            <v>1237.5321742367832</v>
          </cell>
          <cell r="O68">
            <v>1662005.71</v>
          </cell>
          <cell r="P68">
            <v>1662005.71</v>
          </cell>
          <cell r="Q68">
            <v>1954937.95</v>
          </cell>
          <cell r="R68">
            <v>13430</v>
          </cell>
          <cell r="S68">
            <v>292932.24</v>
          </cell>
          <cell r="T68">
            <v>90988.25</v>
          </cell>
          <cell r="U68">
            <v>2.5999999999999999E-3</v>
          </cell>
          <cell r="V68">
            <v>2.5999999999999999E-3</v>
          </cell>
          <cell r="W68">
            <v>0</v>
          </cell>
          <cell r="X68">
            <v>0</v>
          </cell>
          <cell r="Y68">
            <v>45260</v>
          </cell>
          <cell r="Z68" t="str">
            <v xml:space="preserve"> </v>
          </cell>
        </row>
        <row r="69">
          <cell r="D69" t="str">
            <v>INE733E01010</v>
          </cell>
          <cell r="E69" t="str">
            <v>NTPC Ltd</v>
          </cell>
          <cell r="F69" t="str">
            <v>EQUITY</v>
          </cell>
          <cell r="G69" t="str">
            <v>Equity</v>
          </cell>
          <cell r="H69">
            <v>12231</v>
          </cell>
          <cell r="I69">
            <v>10</v>
          </cell>
          <cell r="J69">
            <v>258.39999999999998</v>
          </cell>
          <cell r="K69">
            <v>261.3</v>
          </cell>
          <cell r="L69">
            <v>1.1098354381936472E-2</v>
          </cell>
          <cell r="M69" t="str">
            <v>INR</v>
          </cell>
          <cell r="N69">
            <v>236.58369961573052</v>
          </cell>
          <cell r="O69">
            <v>2893655.23</v>
          </cell>
          <cell r="P69">
            <v>2893655.23</v>
          </cell>
          <cell r="Q69">
            <v>3195960.3</v>
          </cell>
          <cell r="R69">
            <v>122310</v>
          </cell>
          <cell r="S69">
            <v>302305.07</v>
          </cell>
          <cell r="T69">
            <v>35469.9</v>
          </cell>
          <cell r="U69">
            <v>4.1999999999999997E-3</v>
          </cell>
          <cell r="V69">
            <v>4.1999999999999997E-3</v>
          </cell>
          <cell r="W69">
            <v>0</v>
          </cell>
          <cell r="X69">
            <v>0</v>
          </cell>
          <cell r="Y69">
            <v>45260</v>
          </cell>
          <cell r="Z69" t="str">
            <v xml:space="preserve"> </v>
          </cell>
        </row>
        <row r="70">
          <cell r="D70" t="str">
            <v>INE213A01029</v>
          </cell>
          <cell r="E70" t="str">
            <v>Oil &amp; Natural Gas Corporation Ltd</v>
          </cell>
          <cell r="F70" t="str">
            <v>EQUITY</v>
          </cell>
          <cell r="G70" t="str">
            <v>Equity</v>
          </cell>
          <cell r="H70">
            <v>8712</v>
          </cell>
          <cell r="I70">
            <v>5</v>
          </cell>
          <cell r="J70">
            <v>192</v>
          </cell>
          <cell r="K70">
            <v>194.95</v>
          </cell>
          <cell r="L70">
            <v>1.5132085150038471E-2</v>
          </cell>
          <cell r="M70" t="str">
            <v>INR</v>
          </cell>
          <cell r="N70">
            <v>184.74460055096418</v>
          </cell>
          <cell r="O70">
            <v>1609494.96</v>
          </cell>
          <cell r="P70">
            <v>1609494.96</v>
          </cell>
          <cell r="Q70">
            <v>1698404.4</v>
          </cell>
          <cell r="R70">
            <v>43560</v>
          </cell>
          <cell r="S70">
            <v>88909.440000000002</v>
          </cell>
          <cell r="T70">
            <v>25700.400000000001</v>
          </cell>
          <cell r="U70">
            <v>2.3E-3</v>
          </cell>
          <cell r="V70">
            <v>2.2000000000000001E-3</v>
          </cell>
          <cell r="W70">
            <v>0</v>
          </cell>
          <cell r="X70">
            <v>0</v>
          </cell>
          <cell r="Y70">
            <v>45260</v>
          </cell>
          <cell r="Z70" t="str">
            <v xml:space="preserve"> </v>
          </cell>
        </row>
        <row r="71">
          <cell r="D71" t="str">
            <v>INE743M01012</v>
          </cell>
          <cell r="E71" t="str">
            <v>RHI Magnesita India Limited</v>
          </cell>
          <cell r="F71" t="str">
            <v>EQUITY</v>
          </cell>
          <cell r="G71" t="str">
            <v>Equity</v>
          </cell>
          <cell r="H71">
            <v>1415</v>
          </cell>
          <cell r="I71">
            <v>1</v>
          </cell>
          <cell r="J71">
            <v>730.45</v>
          </cell>
          <cell r="K71">
            <v>765.5</v>
          </cell>
          <cell r="L71">
            <v>4.5787067276290006E-2</v>
          </cell>
          <cell r="M71" t="str">
            <v>INR</v>
          </cell>
          <cell r="N71">
            <v>681.5013003533569</v>
          </cell>
          <cell r="O71">
            <v>964324.34</v>
          </cell>
          <cell r="P71">
            <v>964324.34</v>
          </cell>
          <cell r="Q71">
            <v>1083182.5</v>
          </cell>
          <cell r="R71">
            <v>1415</v>
          </cell>
          <cell r="S71">
            <v>118858.16</v>
          </cell>
          <cell r="T71">
            <v>49595.75</v>
          </cell>
          <cell r="U71">
            <v>1.4E-3</v>
          </cell>
          <cell r="V71">
            <v>1.4E-3</v>
          </cell>
          <cell r="W71">
            <v>0</v>
          </cell>
          <cell r="X71">
            <v>0</v>
          </cell>
          <cell r="Y71">
            <v>45260</v>
          </cell>
          <cell r="Z71" t="str">
            <v xml:space="preserve"> </v>
          </cell>
        </row>
        <row r="72">
          <cell r="D72" t="str">
            <v>INE134E01011</v>
          </cell>
          <cell r="E72" t="str">
            <v>Power Finance Corporation Ltd</v>
          </cell>
          <cell r="F72" t="str">
            <v>EQUITY</v>
          </cell>
          <cell r="G72" t="str">
            <v>Equity</v>
          </cell>
          <cell r="H72">
            <v>11690</v>
          </cell>
          <cell r="I72">
            <v>10</v>
          </cell>
          <cell r="J72">
            <v>328.1</v>
          </cell>
          <cell r="K72">
            <v>334.9</v>
          </cell>
          <cell r="L72">
            <v>2.030456852791878E-2</v>
          </cell>
          <cell r="M72" t="str">
            <v>INR</v>
          </cell>
          <cell r="N72">
            <v>303.40612745936699</v>
          </cell>
          <cell r="O72">
            <v>3546817.63</v>
          </cell>
          <cell r="P72">
            <v>3546817.63</v>
          </cell>
          <cell r="Q72">
            <v>3914981</v>
          </cell>
          <cell r="R72">
            <v>116900</v>
          </cell>
          <cell r="S72">
            <v>368163.37</v>
          </cell>
          <cell r="T72">
            <v>79492</v>
          </cell>
          <cell r="U72">
            <v>5.1999999999999998E-3</v>
          </cell>
          <cell r="V72">
            <v>5.1999999999999998E-3</v>
          </cell>
          <cell r="W72">
            <v>0</v>
          </cell>
          <cell r="X72">
            <v>0</v>
          </cell>
          <cell r="Y72">
            <v>45260</v>
          </cell>
          <cell r="Z72" t="str">
            <v xml:space="preserve"> </v>
          </cell>
        </row>
        <row r="73">
          <cell r="D73" t="str">
            <v>INE211B01039</v>
          </cell>
          <cell r="E73" t="str">
            <v>The Phoenix Mills Limited</v>
          </cell>
          <cell r="F73" t="str">
            <v>EQUITY</v>
          </cell>
          <cell r="G73" t="str">
            <v>Equity</v>
          </cell>
          <cell r="H73">
            <v>878</v>
          </cell>
          <cell r="I73">
            <v>2</v>
          </cell>
          <cell r="J73">
            <v>2319.9499999999998</v>
          </cell>
          <cell r="K73">
            <v>2371.0500000000002</v>
          </cell>
          <cell r="L73">
            <v>2.1551633242656208E-2</v>
          </cell>
          <cell r="M73" t="str">
            <v>INR</v>
          </cell>
          <cell r="N73">
            <v>1807.5796013667425</v>
          </cell>
          <cell r="O73">
            <v>1587054.89</v>
          </cell>
          <cell r="P73">
            <v>1587054.89</v>
          </cell>
          <cell r="Q73">
            <v>2081781.9</v>
          </cell>
          <cell r="R73">
            <v>1756</v>
          </cell>
          <cell r="S73">
            <v>494727.01</v>
          </cell>
          <cell r="T73">
            <v>44865.8</v>
          </cell>
          <cell r="U73">
            <v>2.8E-3</v>
          </cell>
          <cell r="V73">
            <v>2.7000000000000001E-3</v>
          </cell>
          <cell r="W73">
            <v>0</v>
          </cell>
          <cell r="X73">
            <v>0</v>
          </cell>
          <cell r="Y73">
            <v>45260</v>
          </cell>
          <cell r="Z73" t="str">
            <v xml:space="preserve"> </v>
          </cell>
        </row>
        <row r="74">
          <cell r="D74" t="str">
            <v>INE205C01021</v>
          </cell>
          <cell r="E74" t="str">
            <v>Poly Medicure Limited</v>
          </cell>
          <cell r="F74" t="str">
            <v>EQUITY</v>
          </cell>
          <cell r="G74" t="str">
            <v>Equity</v>
          </cell>
          <cell r="H74">
            <v>1512</v>
          </cell>
          <cell r="I74">
            <v>5</v>
          </cell>
          <cell r="J74">
            <v>1514.15</v>
          </cell>
          <cell r="K74">
            <v>1525.65</v>
          </cell>
          <cell r="L74">
            <v>7.5377707862222662E-3</v>
          </cell>
          <cell r="M74" t="str">
            <v>INR</v>
          </cell>
          <cell r="N74">
            <v>1408.2276322751322</v>
          </cell>
          <cell r="O74">
            <v>2129240.1800000002</v>
          </cell>
          <cell r="P74">
            <v>2129240.1800000002</v>
          </cell>
          <cell r="Q74">
            <v>2306782.7999999998</v>
          </cell>
          <cell r="R74">
            <v>7560</v>
          </cell>
          <cell r="S74">
            <v>177542.62</v>
          </cell>
          <cell r="T74">
            <v>17388</v>
          </cell>
          <cell r="U74">
            <v>3.0999999999999999E-3</v>
          </cell>
          <cell r="V74">
            <v>3.0000000000000001E-3</v>
          </cell>
          <cell r="W74">
            <v>0</v>
          </cell>
          <cell r="X74">
            <v>0</v>
          </cell>
          <cell r="Y74">
            <v>45260</v>
          </cell>
          <cell r="Z74" t="str">
            <v xml:space="preserve"> </v>
          </cell>
        </row>
        <row r="75">
          <cell r="D75" t="str">
            <v>INE048G01026</v>
          </cell>
          <cell r="E75" t="str">
            <v>Navin Fluorine International Ltd</v>
          </cell>
          <cell r="F75" t="str">
            <v>EQUITY</v>
          </cell>
          <cell r="G75" t="str">
            <v>Equity</v>
          </cell>
          <cell r="H75">
            <v>561</v>
          </cell>
          <cell r="I75">
            <v>2</v>
          </cell>
          <cell r="J75">
            <v>3703.75</v>
          </cell>
          <cell r="K75">
            <v>3701.1</v>
          </cell>
          <cell r="L75">
            <v>-7.1600335035529978E-4</v>
          </cell>
          <cell r="M75" t="str">
            <v>INR</v>
          </cell>
          <cell r="N75">
            <v>3431.6929946524065</v>
          </cell>
          <cell r="O75">
            <v>1925179.77</v>
          </cell>
          <cell r="P75">
            <v>1925179.77</v>
          </cell>
          <cell r="Q75">
            <v>2076317.1</v>
          </cell>
          <cell r="R75">
            <v>1122</v>
          </cell>
          <cell r="S75">
            <v>151137.32999999999</v>
          </cell>
          <cell r="T75">
            <v>-1486.65</v>
          </cell>
          <cell r="U75">
            <v>2.8E-3</v>
          </cell>
          <cell r="V75">
            <v>2.7000000000000001E-3</v>
          </cell>
          <cell r="W75">
            <v>0</v>
          </cell>
          <cell r="X75">
            <v>0</v>
          </cell>
          <cell r="Y75">
            <v>45260</v>
          </cell>
          <cell r="Z75" t="str">
            <v xml:space="preserve"> </v>
          </cell>
        </row>
        <row r="76">
          <cell r="D76" t="str">
            <v>INE262H01013</v>
          </cell>
          <cell r="E76" t="str">
            <v>Persistent Systems Ltd</v>
          </cell>
          <cell r="F76" t="str">
            <v>EQUITY</v>
          </cell>
          <cell r="G76" t="str">
            <v>Equity</v>
          </cell>
          <cell r="H76">
            <v>788</v>
          </cell>
          <cell r="I76">
            <v>10</v>
          </cell>
          <cell r="J76">
            <v>6442.7</v>
          </cell>
          <cell r="K76">
            <v>6399.95</v>
          </cell>
          <cell r="L76">
            <v>-6.6797396854662927E-3</v>
          </cell>
          <cell r="M76" t="str">
            <v>INR</v>
          </cell>
          <cell r="N76">
            <v>6087.554796954315</v>
          </cell>
          <cell r="O76">
            <v>4796993.18</v>
          </cell>
          <cell r="P76">
            <v>4796993.18</v>
          </cell>
          <cell r="Q76">
            <v>5043160.5999999996</v>
          </cell>
          <cell r="R76">
            <v>7880</v>
          </cell>
          <cell r="S76">
            <v>246167.42</v>
          </cell>
          <cell r="T76">
            <v>-33687</v>
          </cell>
          <cell r="U76">
            <v>6.7000000000000002E-3</v>
          </cell>
          <cell r="V76">
            <v>6.7000000000000002E-3</v>
          </cell>
          <cell r="W76">
            <v>0</v>
          </cell>
          <cell r="X76">
            <v>0</v>
          </cell>
          <cell r="Y76">
            <v>45260</v>
          </cell>
          <cell r="Z76" t="str">
            <v xml:space="preserve"> </v>
          </cell>
        </row>
        <row r="77">
          <cell r="D77" t="str">
            <v>INE961O01016</v>
          </cell>
          <cell r="E77" t="str">
            <v>Rainbow Childrens Medicare Limited</v>
          </cell>
          <cell r="F77" t="str">
            <v>EQUITY</v>
          </cell>
          <cell r="G77" t="str">
            <v>Equity</v>
          </cell>
          <cell r="H77">
            <v>1984</v>
          </cell>
          <cell r="I77">
            <v>10</v>
          </cell>
          <cell r="J77">
            <v>1074.3</v>
          </cell>
          <cell r="K77">
            <v>1073.3</v>
          </cell>
          <cell r="L77">
            <v>-9.3170595360104352E-4</v>
          </cell>
          <cell r="M77" t="str">
            <v>INR</v>
          </cell>
          <cell r="N77">
            <v>1131.5463004032258</v>
          </cell>
          <cell r="O77">
            <v>2244987.86</v>
          </cell>
          <cell r="P77">
            <v>2244987.86</v>
          </cell>
          <cell r="Q77">
            <v>2129427.2000000002</v>
          </cell>
          <cell r="R77">
            <v>19840</v>
          </cell>
          <cell r="S77">
            <v>-115560.66</v>
          </cell>
          <cell r="T77">
            <v>-1984</v>
          </cell>
          <cell r="U77">
            <v>2.8E-3</v>
          </cell>
          <cell r="V77">
            <v>2.8E-3</v>
          </cell>
          <cell r="W77">
            <v>0</v>
          </cell>
          <cell r="X77">
            <v>0</v>
          </cell>
          <cell r="Y77">
            <v>45260</v>
          </cell>
          <cell r="Z77" t="str">
            <v xml:space="preserve"> </v>
          </cell>
        </row>
        <row r="78">
          <cell r="D78" t="str">
            <v>INE855R01021</v>
          </cell>
          <cell r="E78" t="str">
            <v>Radiant Cash Management Services Limited</v>
          </cell>
          <cell r="F78" t="str">
            <v>EQUITY</v>
          </cell>
          <cell r="G78" t="str">
            <v>Equity</v>
          </cell>
          <cell r="H78">
            <v>13733</v>
          </cell>
          <cell r="I78">
            <v>1</v>
          </cell>
          <cell r="J78">
            <v>88.75</v>
          </cell>
          <cell r="K78">
            <v>88.15</v>
          </cell>
          <cell r="L78">
            <v>-6.8065796937039139E-3</v>
          </cell>
          <cell r="M78" t="str">
            <v>INR</v>
          </cell>
          <cell r="N78">
            <v>93.529000218451898</v>
          </cell>
          <cell r="O78">
            <v>1284433.76</v>
          </cell>
          <cell r="P78">
            <v>1284433.76</v>
          </cell>
          <cell r="Q78">
            <v>1210563.95</v>
          </cell>
          <cell r="R78">
            <v>13733</v>
          </cell>
          <cell r="S78">
            <v>-73869.81</v>
          </cell>
          <cell r="T78">
            <v>-8239.7999999999993</v>
          </cell>
          <cell r="U78">
            <v>1.6000000000000001E-3</v>
          </cell>
          <cell r="V78">
            <v>1.6000000000000001E-3</v>
          </cell>
          <cell r="W78">
            <v>0</v>
          </cell>
          <cell r="X78">
            <v>0</v>
          </cell>
          <cell r="Y78">
            <v>45260</v>
          </cell>
          <cell r="Z78" t="str">
            <v xml:space="preserve"> </v>
          </cell>
        </row>
        <row r="79">
          <cell r="D79" t="str">
            <v>INE020B01018</v>
          </cell>
          <cell r="E79" t="str">
            <v>REC Limited</v>
          </cell>
          <cell r="F79" t="str">
            <v>EQUITY</v>
          </cell>
          <cell r="G79" t="str">
            <v>Equity</v>
          </cell>
          <cell r="H79">
            <v>15232</v>
          </cell>
          <cell r="I79">
            <v>10</v>
          </cell>
          <cell r="J79">
            <v>342.9</v>
          </cell>
          <cell r="K79">
            <v>348.7</v>
          </cell>
          <cell r="L79">
            <v>1.6633209062231143E-2</v>
          </cell>
          <cell r="M79" t="str">
            <v>INR</v>
          </cell>
          <cell r="N79">
            <v>275.16284073004203</v>
          </cell>
          <cell r="O79">
            <v>4191280.39</v>
          </cell>
          <cell r="P79">
            <v>4191280.39</v>
          </cell>
          <cell r="Q79">
            <v>5311398.4000000004</v>
          </cell>
          <cell r="R79">
            <v>152320</v>
          </cell>
          <cell r="S79">
            <v>1120118.01</v>
          </cell>
          <cell r="T79">
            <v>88345.600000000006</v>
          </cell>
          <cell r="U79">
            <v>7.0000000000000001E-3</v>
          </cell>
          <cell r="V79">
            <v>7.0000000000000001E-3</v>
          </cell>
          <cell r="W79">
            <v>0</v>
          </cell>
          <cell r="X79">
            <v>0</v>
          </cell>
          <cell r="Y79">
            <v>45260</v>
          </cell>
          <cell r="Z79" t="str">
            <v xml:space="preserve"> </v>
          </cell>
        </row>
        <row r="80">
          <cell r="D80" t="str">
            <v>INE758E01017</v>
          </cell>
          <cell r="E80" t="str">
            <v>Jio Financial Services Limited</v>
          </cell>
          <cell r="F80" t="str">
            <v>EQUITY</v>
          </cell>
          <cell r="G80" t="str">
            <v>Equity</v>
          </cell>
          <cell r="H80">
            <v>23778</v>
          </cell>
          <cell r="I80">
            <v>10</v>
          </cell>
          <cell r="J80">
            <v>226.05</v>
          </cell>
          <cell r="K80">
            <v>229.4</v>
          </cell>
          <cell r="L80">
            <v>1.4603312990409765E-2</v>
          </cell>
          <cell r="M80" t="str">
            <v>INR</v>
          </cell>
          <cell r="N80">
            <v>220.35969131129616</v>
          </cell>
          <cell r="O80">
            <v>5239712.74</v>
          </cell>
          <cell r="P80">
            <v>5239712.74</v>
          </cell>
          <cell r="Q80">
            <v>5454673.2000000002</v>
          </cell>
          <cell r="R80">
            <v>237780</v>
          </cell>
          <cell r="S80">
            <v>214960.46</v>
          </cell>
          <cell r="T80">
            <v>79656.3</v>
          </cell>
          <cell r="U80">
            <v>7.1999999999999998E-3</v>
          </cell>
          <cell r="V80">
            <v>7.1999999999999998E-3</v>
          </cell>
          <cell r="W80">
            <v>0</v>
          </cell>
          <cell r="X80">
            <v>0</v>
          </cell>
          <cell r="Y80">
            <v>45260</v>
          </cell>
          <cell r="Z80" t="str">
            <v xml:space="preserve"> </v>
          </cell>
        </row>
        <row r="81">
          <cell r="D81" t="str">
            <v>INE002A01018</v>
          </cell>
          <cell r="E81" t="str">
            <v>Reliance Industries Ltd</v>
          </cell>
          <cell r="F81" t="str">
            <v>EQUITY</v>
          </cell>
          <cell r="G81" t="str">
            <v>Equity</v>
          </cell>
          <cell r="H81">
            <v>4144</v>
          </cell>
          <cell r="I81">
            <v>10</v>
          </cell>
          <cell r="J81">
            <v>2400.6999999999998</v>
          </cell>
          <cell r="K81">
            <v>2377.4499999999998</v>
          </cell>
          <cell r="L81">
            <v>-9.7793854760352475E-3</v>
          </cell>
          <cell r="M81" t="str">
            <v>INR</v>
          </cell>
          <cell r="N81">
            <v>2284.9915009652509</v>
          </cell>
          <cell r="O81">
            <v>9469004.7799999993</v>
          </cell>
          <cell r="P81">
            <v>9469004.7799999993</v>
          </cell>
          <cell r="Q81">
            <v>9852152.8000000007</v>
          </cell>
          <cell r="R81">
            <v>41440</v>
          </cell>
          <cell r="S81">
            <v>383148.02</v>
          </cell>
          <cell r="T81">
            <v>-91578.94</v>
          </cell>
          <cell r="U81">
            <v>1.3100000000000001E-2</v>
          </cell>
          <cell r="V81">
            <v>1.2999999999999999E-2</v>
          </cell>
          <cell r="W81">
            <v>0</v>
          </cell>
          <cell r="X81">
            <v>0</v>
          </cell>
          <cell r="Y81">
            <v>45260</v>
          </cell>
          <cell r="Z81" t="str">
            <v xml:space="preserve"> </v>
          </cell>
        </row>
        <row r="82">
          <cell r="D82" t="str">
            <v>INE429E01023</v>
          </cell>
          <cell r="E82" t="str">
            <v>Safari Industries (India) Limited</v>
          </cell>
          <cell r="F82" t="str">
            <v>EQUITY</v>
          </cell>
          <cell r="G82" t="str">
            <v>Equity</v>
          </cell>
          <cell r="H82">
            <v>384</v>
          </cell>
          <cell r="I82">
            <v>2</v>
          </cell>
          <cell r="J82">
            <v>4390.45</v>
          </cell>
          <cell r="K82">
            <v>4427.8500000000004</v>
          </cell>
          <cell r="L82">
            <v>8.4465372584888836E-3</v>
          </cell>
          <cell r="M82" t="str">
            <v>INR</v>
          </cell>
          <cell r="N82">
            <v>4261.370807291667</v>
          </cell>
          <cell r="O82">
            <v>1636366.39</v>
          </cell>
          <cell r="P82">
            <v>1636366.39</v>
          </cell>
          <cell r="Q82">
            <v>1700294.4</v>
          </cell>
          <cell r="R82">
            <v>768</v>
          </cell>
          <cell r="S82">
            <v>63928.01</v>
          </cell>
          <cell r="T82">
            <v>14361.6</v>
          </cell>
          <cell r="U82">
            <v>2.3E-3</v>
          </cell>
          <cell r="V82">
            <v>2.2000000000000001E-3</v>
          </cell>
          <cell r="W82">
            <v>0</v>
          </cell>
          <cell r="X82">
            <v>0</v>
          </cell>
          <cell r="Y82">
            <v>45260</v>
          </cell>
          <cell r="Z82" t="str">
            <v xml:space="preserve"> </v>
          </cell>
        </row>
        <row r="83">
          <cell r="D83" t="str">
            <v>INE062A01020</v>
          </cell>
          <cell r="E83" t="str">
            <v>State Bank of India</v>
          </cell>
          <cell r="F83" t="str">
            <v>EQUITY</v>
          </cell>
          <cell r="G83" t="str">
            <v>Equity</v>
          </cell>
          <cell r="H83">
            <v>6291</v>
          </cell>
          <cell r="I83">
            <v>1</v>
          </cell>
          <cell r="J83">
            <v>568.6</v>
          </cell>
          <cell r="K83">
            <v>564.75</v>
          </cell>
          <cell r="L83">
            <v>-6.8171757414785305E-3</v>
          </cell>
          <cell r="M83" t="str">
            <v>INR</v>
          </cell>
          <cell r="N83">
            <v>561.16099984104278</v>
          </cell>
          <cell r="O83">
            <v>3530263.85</v>
          </cell>
          <cell r="P83">
            <v>3530263.85</v>
          </cell>
          <cell r="Q83">
            <v>3552842.25</v>
          </cell>
          <cell r="R83">
            <v>6291</v>
          </cell>
          <cell r="S83">
            <v>22578.400000000001</v>
          </cell>
          <cell r="T83">
            <v>-24220.35</v>
          </cell>
          <cell r="U83">
            <v>4.7000000000000002E-3</v>
          </cell>
          <cell r="V83">
            <v>4.7000000000000002E-3</v>
          </cell>
          <cell r="W83">
            <v>0</v>
          </cell>
          <cell r="X83">
            <v>0</v>
          </cell>
          <cell r="Y83">
            <v>45260</v>
          </cell>
          <cell r="Z83" t="str">
            <v xml:space="preserve"> </v>
          </cell>
        </row>
        <row r="84">
          <cell r="D84" t="str">
            <v>INE386D01027</v>
          </cell>
          <cell r="E84" t="str">
            <v>SHIVALIK BIMETAL CONTROLS LIMITED</v>
          </cell>
          <cell r="F84" t="str">
            <v>EQUITY</v>
          </cell>
          <cell r="G84" t="str">
            <v>Equity</v>
          </cell>
          <cell r="H84">
            <v>2439</v>
          </cell>
          <cell r="I84">
            <v>2</v>
          </cell>
          <cell r="J84">
            <v>540.25</v>
          </cell>
          <cell r="K84">
            <v>551.95000000000005</v>
          </cell>
          <cell r="L84">
            <v>2.1197572243862668E-2</v>
          </cell>
          <cell r="M84" t="str">
            <v>INR</v>
          </cell>
          <cell r="N84">
            <v>524.23719967199668</v>
          </cell>
          <cell r="O84">
            <v>1278614.53</v>
          </cell>
          <cell r="P84">
            <v>1278614.53</v>
          </cell>
          <cell r="Q84">
            <v>1346206.05</v>
          </cell>
          <cell r="R84">
            <v>4878</v>
          </cell>
          <cell r="S84">
            <v>67591.520000000004</v>
          </cell>
          <cell r="T84">
            <v>28536.3</v>
          </cell>
          <cell r="U84">
            <v>1.8E-3</v>
          </cell>
          <cell r="V84">
            <v>1.8E-3</v>
          </cell>
          <cell r="W84">
            <v>0</v>
          </cell>
          <cell r="X84">
            <v>0</v>
          </cell>
          <cell r="Y84">
            <v>45260</v>
          </cell>
          <cell r="Z84" t="str">
            <v xml:space="preserve"> </v>
          </cell>
        </row>
        <row r="85">
          <cell r="D85" t="str">
            <v>INE269A01021</v>
          </cell>
          <cell r="E85" t="str">
            <v>Sonata Software Ltd</v>
          </cell>
          <cell r="F85" t="str">
            <v>EQUITY</v>
          </cell>
          <cell r="G85" t="str">
            <v>Equity</v>
          </cell>
          <cell r="H85">
            <v>1636</v>
          </cell>
          <cell r="I85">
            <v>1</v>
          </cell>
          <cell r="J85">
            <v>1269.75</v>
          </cell>
          <cell r="K85">
            <v>1359.15</v>
          </cell>
          <cell r="L85">
            <v>6.5776404370378544E-2</v>
          </cell>
          <cell r="M85" t="str">
            <v>INR</v>
          </cell>
          <cell r="N85">
            <v>1210.4074205378972</v>
          </cell>
          <cell r="O85">
            <v>1980226.54</v>
          </cell>
          <cell r="P85">
            <v>1980226.54</v>
          </cell>
          <cell r="Q85">
            <v>2223569.4</v>
          </cell>
          <cell r="R85">
            <v>1636</v>
          </cell>
          <cell r="S85">
            <v>243342.86</v>
          </cell>
          <cell r="T85">
            <v>146258.4</v>
          </cell>
          <cell r="U85">
            <v>2.8999999999999998E-3</v>
          </cell>
          <cell r="V85">
            <v>2.8999999999999998E-3</v>
          </cell>
          <cell r="W85">
            <v>0</v>
          </cell>
          <cell r="X85">
            <v>0</v>
          </cell>
          <cell r="Y85">
            <v>45260</v>
          </cell>
          <cell r="Z85" t="str">
            <v xml:space="preserve"> </v>
          </cell>
        </row>
        <row r="86">
          <cell r="D86" t="str">
            <v>INE398R01022</v>
          </cell>
          <cell r="E86" t="str">
            <v>Syngene International Ltd</v>
          </cell>
          <cell r="F86" t="str">
            <v>EQUITY</v>
          </cell>
          <cell r="G86" t="str">
            <v>Equity</v>
          </cell>
          <cell r="H86">
            <v>2352</v>
          </cell>
          <cell r="I86">
            <v>10</v>
          </cell>
          <cell r="J86">
            <v>747.9</v>
          </cell>
          <cell r="K86">
            <v>752.2</v>
          </cell>
          <cell r="L86">
            <v>5.716564743419303E-3</v>
          </cell>
          <cell r="M86" t="str">
            <v>INR</v>
          </cell>
          <cell r="N86">
            <v>682.41269982993197</v>
          </cell>
          <cell r="O86">
            <v>1605034.67</v>
          </cell>
          <cell r="P86">
            <v>1605034.67</v>
          </cell>
          <cell r="Q86">
            <v>1769174.4</v>
          </cell>
          <cell r="R86">
            <v>23520</v>
          </cell>
          <cell r="S86">
            <v>164139.73000000001</v>
          </cell>
          <cell r="T86">
            <v>10113.6</v>
          </cell>
          <cell r="U86">
            <v>2.3E-3</v>
          </cell>
          <cell r="V86">
            <v>2.3E-3</v>
          </cell>
          <cell r="W86">
            <v>0</v>
          </cell>
          <cell r="X86">
            <v>0</v>
          </cell>
          <cell r="Y86">
            <v>45260</v>
          </cell>
          <cell r="Z86" t="str">
            <v xml:space="preserve"> </v>
          </cell>
        </row>
        <row r="87">
          <cell r="D87" t="str">
            <v>INE467B01029</v>
          </cell>
          <cell r="E87" t="str">
            <v>Tata Consultancy Services Ltd</v>
          </cell>
          <cell r="F87" t="str">
            <v>EQUITY</v>
          </cell>
          <cell r="G87" t="str">
            <v>Equity</v>
          </cell>
          <cell r="H87">
            <v>1676</v>
          </cell>
          <cell r="I87">
            <v>1</v>
          </cell>
          <cell r="J87">
            <v>3513.75</v>
          </cell>
          <cell r="K87">
            <v>3487.6</v>
          </cell>
          <cell r="L87">
            <v>-7.4979928890927857E-3</v>
          </cell>
          <cell r="M87" t="str">
            <v>INR</v>
          </cell>
          <cell r="N87">
            <v>3351.2027983293556</v>
          </cell>
          <cell r="O87">
            <v>5616615.8899999997</v>
          </cell>
          <cell r="P87">
            <v>5616615.8899999997</v>
          </cell>
          <cell r="Q87">
            <v>5845217.5999999996</v>
          </cell>
          <cell r="R87">
            <v>1676</v>
          </cell>
          <cell r="S87">
            <v>228601.71</v>
          </cell>
          <cell r="T87">
            <v>-43827.4</v>
          </cell>
          <cell r="U87">
            <v>7.7000000000000002E-3</v>
          </cell>
          <cell r="V87">
            <v>7.7000000000000002E-3</v>
          </cell>
          <cell r="W87">
            <v>0</v>
          </cell>
          <cell r="X87">
            <v>0</v>
          </cell>
          <cell r="Y87">
            <v>45260</v>
          </cell>
          <cell r="Z87" t="str">
            <v xml:space="preserve"> </v>
          </cell>
        </row>
        <row r="88">
          <cell r="D88" t="str">
            <v>INE081A01020</v>
          </cell>
          <cell r="E88" t="str">
            <v>Tata Steel Ltd</v>
          </cell>
          <cell r="F88" t="str">
            <v>EQUITY</v>
          </cell>
          <cell r="G88" t="str">
            <v>Equity</v>
          </cell>
          <cell r="H88">
            <v>29419</v>
          </cell>
          <cell r="I88">
            <v>1</v>
          </cell>
          <cell r="J88">
            <v>127.75</v>
          </cell>
          <cell r="K88">
            <v>127.9</v>
          </cell>
          <cell r="L88">
            <v>1.1727912431587178E-3</v>
          </cell>
          <cell r="M88" t="str">
            <v>INR</v>
          </cell>
          <cell r="N88">
            <v>119.94210000339916</v>
          </cell>
          <cell r="O88">
            <v>3528576.64</v>
          </cell>
          <cell r="P88">
            <v>3528576.64</v>
          </cell>
          <cell r="Q88">
            <v>3762690.1</v>
          </cell>
          <cell r="R88">
            <v>29419</v>
          </cell>
          <cell r="S88">
            <v>234113.46</v>
          </cell>
          <cell r="T88">
            <v>4412.8500000000004</v>
          </cell>
          <cell r="U88">
            <v>5.0000000000000001E-3</v>
          </cell>
          <cell r="V88">
            <v>5.0000000000000001E-3</v>
          </cell>
          <cell r="W88">
            <v>0</v>
          </cell>
          <cell r="X88">
            <v>0</v>
          </cell>
          <cell r="Y88">
            <v>45260</v>
          </cell>
          <cell r="Z88" t="str">
            <v xml:space="preserve"> </v>
          </cell>
        </row>
        <row r="89">
          <cell r="D89" t="str">
            <v>INE685A01028</v>
          </cell>
          <cell r="E89" t="str">
            <v>Torrent Pharmaceuticals Ltd</v>
          </cell>
          <cell r="F89" t="str">
            <v>EQUITY</v>
          </cell>
          <cell r="G89" t="str">
            <v>Equity</v>
          </cell>
          <cell r="H89">
            <v>3679</v>
          </cell>
          <cell r="I89">
            <v>5</v>
          </cell>
          <cell r="J89">
            <v>2091.85</v>
          </cell>
          <cell r="K89">
            <v>2126.5500000000002</v>
          </cell>
          <cell r="L89">
            <v>1.6317509581246621E-2</v>
          </cell>
          <cell r="M89" t="str">
            <v>INR</v>
          </cell>
          <cell r="N89">
            <v>1941.6466268007612</v>
          </cell>
          <cell r="O89">
            <v>7143317.9400000004</v>
          </cell>
          <cell r="P89">
            <v>7143317.9400000004</v>
          </cell>
          <cell r="Q89">
            <v>7823577.4500000002</v>
          </cell>
          <cell r="R89">
            <v>18395</v>
          </cell>
          <cell r="S89">
            <v>680259.51</v>
          </cell>
          <cell r="T89">
            <v>127661.3</v>
          </cell>
          <cell r="U89">
            <v>1.04E-2</v>
          </cell>
          <cell r="V89">
            <v>1.03E-2</v>
          </cell>
          <cell r="W89">
            <v>0</v>
          </cell>
          <cell r="X89">
            <v>0</v>
          </cell>
          <cell r="Y89">
            <v>45260</v>
          </cell>
          <cell r="Z89" t="str">
            <v xml:space="preserve"> </v>
          </cell>
        </row>
        <row r="90">
          <cell r="D90" t="str">
            <v>INE280A01028</v>
          </cell>
          <cell r="E90" t="str">
            <v>Titan Company Limited</v>
          </cell>
          <cell r="F90" t="str">
            <v>EQUITY</v>
          </cell>
          <cell r="G90" t="str">
            <v>Equity</v>
          </cell>
          <cell r="H90">
            <v>4585</v>
          </cell>
          <cell r="I90">
            <v>1</v>
          </cell>
          <cell r="J90">
            <v>3429.3</v>
          </cell>
          <cell r="K90">
            <v>3490.6</v>
          </cell>
          <cell r="L90">
            <v>1.756145075345213E-2</v>
          </cell>
          <cell r="M90" t="str">
            <v>INR</v>
          </cell>
          <cell r="N90">
            <v>3127.7216117775356</v>
          </cell>
          <cell r="O90">
            <v>14340603.59</v>
          </cell>
          <cell r="P90">
            <v>14340603.59</v>
          </cell>
          <cell r="Q90">
            <v>16004401</v>
          </cell>
          <cell r="R90">
            <v>4585</v>
          </cell>
          <cell r="S90">
            <v>1663797.41</v>
          </cell>
          <cell r="T90">
            <v>281060.5</v>
          </cell>
          <cell r="U90">
            <v>2.12E-2</v>
          </cell>
          <cell r="V90">
            <v>2.1100000000000001E-2</v>
          </cell>
          <cell r="W90">
            <v>0</v>
          </cell>
          <cell r="X90">
            <v>0</v>
          </cell>
          <cell r="Y90">
            <v>45260</v>
          </cell>
          <cell r="Z90" t="str">
            <v xml:space="preserve"> </v>
          </cell>
        </row>
        <row r="91">
          <cell r="D91" t="str">
            <v>INE238A01034</v>
          </cell>
          <cell r="E91" t="str">
            <v>Axis Bank Ltd</v>
          </cell>
          <cell r="F91" t="str">
            <v>EQUITY</v>
          </cell>
          <cell r="G91" t="str">
            <v>Equity</v>
          </cell>
          <cell r="H91">
            <v>2591</v>
          </cell>
          <cell r="I91">
            <v>2</v>
          </cell>
          <cell r="J91">
            <v>1060.1500000000001</v>
          </cell>
          <cell r="K91">
            <v>1074.25</v>
          </cell>
          <cell r="L91">
            <v>1.3125436350942519E-2</v>
          </cell>
          <cell r="M91" t="str">
            <v>INR</v>
          </cell>
          <cell r="N91">
            <v>1002.0461018911617</v>
          </cell>
          <cell r="O91">
            <v>2596301.4500000002</v>
          </cell>
          <cell r="P91">
            <v>2596301.4500000002</v>
          </cell>
          <cell r="Q91">
            <v>2783381.75</v>
          </cell>
          <cell r="R91">
            <v>5182</v>
          </cell>
          <cell r="S91">
            <v>187080.3</v>
          </cell>
          <cell r="T91">
            <v>36533.1</v>
          </cell>
          <cell r="U91">
            <v>3.7000000000000002E-3</v>
          </cell>
          <cell r="V91">
            <v>3.7000000000000002E-3</v>
          </cell>
          <cell r="W91">
            <v>0</v>
          </cell>
          <cell r="X91">
            <v>0</v>
          </cell>
          <cell r="Y91">
            <v>45260</v>
          </cell>
          <cell r="Z91" t="str">
            <v xml:space="preserve"> </v>
          </cell>
        </row>
        <row r="92">
          <cell r="D92" t="str">
            <v>INE825V01034</v>
          </cell>
          <cell r="E92" t="str">
            <v>Vedant Fashions Limited</v>
          </cell>
          <cell r="F92" t="str">
            <v>EQUITY</v>
          </cell>
          <cell r="G92" t="str">
            <v>Equity</v>
          </cell>
          <cell r="H92">
            <v>999</v>
          </cell>
          <cell r="I92">
            <v>1</v>
          </cell>
          <cell r="J92">
            <v>1394.95</v>
          </cell>
          <cell r="K92">
            <v>1370.45</v>
          </cell>
          <cell r="L92">
            <v>-1.787733955999854E-2</v>
          </cell>
          <cell r="M92" t="str">
            <v>INR</v>
          </cell>
          <cell r="N92">
            <v>1283.2146046046046</v>
          </cell>
          <cell r="O92">
            <v>1281931.3899999999</v>
          </cell>
          <cell r="P92">
            <v>1281931.3899999999</v>
          </cell>
          <cell r="Q92">
            <v>1369079.55</v>
          </cell>
          <cell r="R92">
            <v>999</v>
          </cell>
          <cell r="S92">
            <v>87148.160000000003</v>
          </cell>
          <cell r="T92">
            <v>-24475.5</v>
          </cell>
          <cell r="U92">
            <v>1.8E-3</v>
          </cell>
          <cell r="V92">
            <v>1.8E-3</v>
          </cell>
          <cell r="W92">
            <v>0</v>
          </cell>
          <cell r="X92">
            <v>0</v>
          </cell>
          <cell r="Y92">
            <v>45260</v>
          </cell>
          <cell r="Z92" t="str">
            <v xml:space="preserve"> </v>
          </cell>
        </row>
        <row r="93">
          <cell r="D93" t="str">
            <v>INE043W01024</v>
          </cell>
          <cell r="E93" t="str">
            <v>Vijaya Diagnostic Centre Limited</v>
          </cell>
          <cell r="F93" t="str">
            <v>EQUITY</v>
          </cell>
          <cell r="G93" t="str">
            <v>Equity</v>
          </cell>
          <cell r="H93">
            <v>2271</v>
          </cell>
          <cell r="I93">
            <v>1</v>
          </cell>
          <cell r="J93">
            <v>630.70000000000005</v>
          </cell>
          <cell r="K93">
            <v>638.79999999999995</v>
          </cell>
          <cell r="L93">
            <v>1.2680025046963056E-2</v>
          </cell>
          <cell r="M93" t="str">
            <v>INR</v>
          </cell>
          <cell r="N93">
            <v>564.31339938353153</v>
          </cell>
          <cell r="O93">
            <v>1281555.73</v>
          </cell>
          <cell r="P93">
            <v>1281555.73</v>
          </cell>
          <cell r="Q93">
            <v>1450714.8</v>
          </cell>
          <cell r="R93">
            <v>2271</v>
          </cell>
          <cell r="S93">
            <v>169159.07</v>
          </cell>
          <cell r="T93">
            <v>18395.099999999999</v>
          </cell>
          <cell r="U93">
            <v>1.9E-3</v>
          </cell>
          <cell r="V93">
            <v>1.9E-3</v>
          </cell>
          <cell r="W93">
            <v>0</v>
          </cell>
          <cell r="X93">
            <v>0</v>
          </cell>
          <cell r="Y93">
            <v>45260</v>
          </cell>
          <cell r="Z93" t="str">
            <v xml:space="preserve"> </v>
          </cell>
        </row>
        <row r="94">
          <cell r="D94" t="str">
            <v>INE200M01021</v>
          </cell>
          <cell r="E94" t="str">
            <v>Varun Beverages Ltd</v>
          </cell>
          <cell r="F94" t="str">
            <v>EQUITY</v>
          </cell>
          <cell r="G94" t="str">
            <v>Equity</v>
          </cell>
          <cell r="H94">
            <v>2428</v>
          </cell>
          <cell r="I94">
            <v>5</v>
          </cell>
          <cell r="J94">
            <v>1060.8499999999999</v>
          </cell>
          <cell r="K94">
            <v>1105</v>
          </cell>
          <cell r="L94">
            <v>3.9954751131221718E-2</v>
          </cell>
          <cell r="M94" t="str">
            <v>INR</v>
          </cell>
          <cell r="N94">
            <v>921.55619851729818</v>
          </cell>
          <cell r="O94">
            <v>2237538.4500000002</v>
          </cell>
          <cell r="P94">
            <v>2237538.4500000002</v>
          </cell>
          <cell r="Q94">
            <v>2682940</v>
          </cell>
          <cell r="R94">
            <v>12140</v>
          </cell>
          <cell r="S94">
            <v>445401.55</v>
          </cell>
          <cell r="T94">
            <v>107196.2</v>
          </cell>
          <cell r="U94">
            <v>3.5999999999999999E-3</v>
          </cell>
          <cell r="V94">
            <v>3.5000000000000001E-3</v>
          </cell>
          <cell r="W94">
            <v>0</v>
          </cell>
          <cell r="X94">
            <v>0</v>
          </cell>
          <cell r="Y94">
            <v>45260</v>
          </cell>
          <cell r="Z94" t="str">
            <v xml:space="preserve"> </v>
          </cell>
        </row>
        <row r="95">
          <cell r="D95" t="str">
            <v>INE758T01015</v>
          </cell>
          <cell r="E95" t="str">
            <v>Zomato Limited</v>
          </cell>
          <cell r="F95" t="str">
            <v>EQUITY</v>
          </cell>
          <cell r="G95" t="str">
            <v>Equity</v>
          </cell>
          <cell r="H95">
            <v>41090</v>
          </cell>
          <cell r="I95">
            <v>1</v>
          </cell>
          <cell r="J95">
            <v>116.6</v>
          </cell>
          <cell r="K95">
            <v>118.55</v>
          </cell>
          <cell r="L95">
            <v>1.6448755799240825E-2</v>
          </cell>
          <cell r="M95" t="str">
            <v>INR</v>
          </cell>
          <cell r="N95">
            <v>110.66342394743246</v>
          </cell>
          <cell r="O95">
            <v>4547160.09</v>
          </cell>
          <cell r="P95">
            <v>4547160.09</v>
          </cell>
          <cell r="Q95">
            <v>4871219.5</v>
          </cell>
          <cell r="R95">
            <v>41090</v>
          </cell>
          <cell r="S95">
            <v>324059.40999999997</v>
          </cell>
          <cell r="T95">
            <v>80125.5</v>
          </cell>
          <cell r="U95">
            <v>6.4999999999999997E-3</v>
          </cell>
          <cell r="V95">
            <v>6.4000000000000003E-3</v>
          </cell>
          <cell r="W95">
            <v>0</v>
          </cell>
          <cell r="X95">
            <v>0</v>
          </cell>
          <cell r="Y95">
            <v>45260</v>
          </cell>
          <cell r="Z95" t="str">
            <v xml:space="preserve"> </v>
          </cell>
        </row>
        <row r="96">
          <cell r="F96" t="str">
            <v>EQUITY TOTAL</v>
          </cell>
          <cell r="O96">
            <v>358812348.91000003</v>
          </cell>
          <cell r="P96">
            <v>358812348.91000003</v>
          </cell>
          <cell r="Q96">
            <v>383414699.64999998</v>
          </cell>
          <cell r="S96">
            <v>24602350.739999998</v>
          </cell>
          <cell r="T96">
            <v>4045869.76</v>
          </cell>
          <cell r="U96">
            <v>0.50829999999999997</v>
          </cell>
          <cell r="V96">
            <v>0.50590000000000002</v>
          </cell>
          <cell r="W96">
            <v>0</v>
          </cell>
          <cell r="X96">
            <v>0</v>
          </cell>
        </row>
        <row r="97">
          <cell r="E97" t="str">
            <v>NIFTY_28/12/2023</v>
          </cell>
          <cell r="F97" t="str">
            <v>FUTURE EQ</v>
          </cell>
          <cell r="G97" t="str">
            <v>Equity Futures</v>
          </cell>
          <cell r="H97">
            <v>350</v>
          </cell>
          <cell r="I97">
            <v>1</v>
          </cell>
          <cell r="J97">
            <v>20252.599999999999</v>
          </cell>
          <cell r="K97">
            <v>20270.599999999999</v>
          </cell>
          <cell r="L97">
            <v>8.8798555543496494E-4</v>
          </cell>
          <cell r="M97" t="str">
            <v>INR</v>
          </cell>
          <cell r="N97">
            <v>20211.392857142859</v>
          </cell>
          <cell r="O97">
            <v>7073987.5</v>
          </cell>
          <cell r="P97">
            <v>7073987.5</v>
          </cell>
          <cell r="Q97">
            <v>7094710</v>
          </cell>
          <cell r="R97">
            <v>350</v>
          </cell>
          <cell r="S97">
            <v>20722.5</v>
          </cell>
          <cell r="T97">
            <v>6300</v>
          </cell>
          <cell r="U97">
            <v>9.4000000000000004E-3</v>
          </cell>
          <cell r="V97">
            <v>9.4000000000000004E-3</v>
          </cell>
          <cell r="W97">
            <v>0</v>
          </cell>
          <cell r="X97">
            <v>0</v>
          </cell>
          <cell r="Y97">
            <v>45260</v>
          </cell>
          <cell r="Z97" t="str">
            <v xml:space="preserve"> </v>
          </cell>
        </row>
        <row r="98">
          <cell r="F98" t="str">
            <v>FUTURE EQ TOTAL</v>
          </cell>
          <cell r="O98">
            <v>7073987.5</v>
          </cell>
          <cell r="P98">
            <v>7073987.5</v>
          </cell>
          <cell r="Q98">
            <v>7094710</v>
          </cell>
          <cell r="S98">
            <v>20722.5</v>
          </cell>
          <cell r="T98">
            <v>6300</v>
          </cell>
          <cell r="U98">
            <v>9.4000000000000004E-3</v>
          </cell>
          <cell r="V98">
            <v>9.4000000000000004E-3</v>
          </cell>
          <cell r="W98">
            <v>0</v>
          </cell>
          <cell r="X98">
            <v>0</v>
          </cell>
        </row>
        <row r="99">
          <cell r="D99" t="str">
            <v>IN0020230085</v>
          </cell>
          <cell r="E99" t="str">
            <v>7.18% GOI (MD 14/08/2033)</v>
          </cell>
          <cell r="F99" t="str">
            <v>GOVERNMENT</v>
          </cell>
          <cell r="G99" t="str">
            <v>Government Bond</v>
          </cell>
          <cell r="H99">
            <v>250000</v>
          </cell>
          <cell r="I99">
            <v>100</v>
          </cell>
          <cell r="J99">
            <v>99.491</v>
          </cell>
          <cell r="K99">
            <v>99.303399999999996</v>
          </cell>
          <cell r="L99">
            <v>-1.8891598877782633E-3</v>
          </cell>
          <cell r="M99" t="str">
            <v>INR</v>
          </cell>
          <cell r="N99">
            <v>99.385000000000005</v>
          </cell>
          <cell r="O99">
            <v>24846250</v>
          </cell>
          <cell r="P99">
            <v>24846250</v>
          </cell>
          <cell r="Q99">
            <v>24825850</v>
          </cell>
          <cell r="R99">
            <v>25000000</v>
          </cell>
          <cell r="S99">
            <v>-20400</v>
          </cell>
          <cell r="T99">
            <v>-46900</v>
          </cell>
          <cell r="U99">
            <v>3.2899999999999999E-2</v>
          </cell>
          <cell r="V99">
            <v>3.2800000000000003E-2</v>
          </cell>
          <cell r="W99">
            <v>533513.89</v>
          </cell>
          <cell r="X99">
            <v>0</v>
          </cell>
          <cell r="Y99">
            <v>45260</v>
          </cell>
          <cell r="Z99" t="str">
            <v>SOV</v>
          </cell>
        </row>
        <row r="100">
          <cell r="D100" t="str">
            <v>IN0020230101</v>
          </cell>
          <cell r="E100" t="str">
            <v>7.37% GOI (MD 23/10/2028)</v>
          </cell>
          <cell r="F100" t="str">
            <v>GOVERNMENT</v>
          </cell>
          <cell r="G100" t="str">
            <v>Government Bond</v>
          </cell>
          <cell r="H100">
            <v>1250000</v>
          </cell>
          <cell r="I100">
            <v>100</v>
          </cell>
          <cell r="J100">
            <v>100.5484</v>
          </cell>
          <cell r="K100">
            <v>100.4644</v>
          </cell>
          <cell r="L100">
            <v>-8.3611707231616374E-4</v>
          </cell>
          <cell r="M100" t="str">
            <v>INR</v>
          </cell>
          <cell r="N100">
            <v>100.0916</v>
          </cell>
          <cell r="O100">
            <v>125114500</v>
          </cell>
          <cell r="P100">
            <v>125114500</v>
          </cell>
          <cell r="Q100">
            <v>125580500</v>
          </cell>
          <cell r="R100">
            <v>125000000</v>
          </cell>
          <cell r="S100">
            <v>466000</v>
          </cell>
          <cell r="T100">
            <v>-105000</v>
          </cell>
          <cell r="U100">
            <v>0.16639999999999999</v>
          </cell>
          <cell r="V100">
            <v>0.16569999999999999</v>
          </cell>
          <cell r="W100">
            <v>972430.56</v>
          </cell>
          <cell r="X100">
            <v>0</v>
          </cell>
          <cell r="Y100">
            <v>45260</v>
          </cell>
          <cell r="Z100" t="str">
            <v>SOV</v>
          </cell>
        </row>
        <row r="101">
          <cell r="F101" t="str">
            <v>GOVERNMENT TOTAL</v>
          </cell>
          <cell r="O101">
            <v>149960750</v>
          </cell>
          <cell r="P101">
            <v>149960750</v>
          </cell>
          <cell r="Q101">
            <v>150406350</v>
          </cell>
          <cell r="S101">
            <v>445600</v>
          </cell>
          <cell r="T101">
            <v>-151900</v>
          </cell>
          <cell r="U101">
            <v>0.1993</v>
          </cell>
          <cell r="V101">
            <v>0.19850000000000001</v>
          </cell>
          <cell r="W101">
            <v>1505944.45</v>
          </cell>
          <cell r="X101">
            <v>0</v>
          </cell>
        </row>
        <row r="102">
          <cell r="D102" t="str">
            <v>IN002023X328</v>
          </cell>
          <cell r="E102" t="str">
            <v>91 Days Tbill (MD 01/02/2024)</v>
          </cell>
          <cell r="F102" t="str">
            <v>TBILL</v>
          </cell>
          <cell r="G102" t="str">
            <v>Treasury Bill</v>
          </cell>
          <cell r="H102">
            <v>85000</v>
          </cell>
          <cell r="I102">
            <v>100</v>
          </cell>
          <cell r="J102">
            <v>98.809600000000003</v>
          </cell>
          <cell r="K102">
            <v>98.841499999999996</v>
          </cell>
          <cell r="L102">
            <v>3.2273893050995786E-4</v>
          </cell>
          <cell r="M102" t="str">
            <v>INR</v>
          </cell>
          <cell r="N102">
            <v>98.404799999999994</v>
          </cell>
          <cell r="O102">
            <v>8364408</v>
          </cell>
          <cell r="P102">
            <v>8402247.5999999996</v>
          </cell>
          <cell r="Q102">
            <v>8401527.5</v>
          </cell>
          <cell r="R102">
            <v>8500000</v>
          </cell>
          <cell r="S102">
            <v>-720.1</v>
          </cell>
          <cell r="T102">
            <v>1134.8499999999999</v>
          </cell>
          <cell r="U102">
            <v>1.11E-2</v>
          </cell>
          <cell r="V102">
            <v>1.11E-2</v>
          </cell>
          <cell r="W102">
            <v>0</v>
          </cell>
          <cell r="X102">
            <v>37839.599999999999</v>
          </cell>
          <cell r="Y102">
            <v>45260</v>
          </cell>
          <cell r="Z102" t="str">
            <v>SOV</v>
          </cell>
        </row>
        <row r="103">
          <cell r="D103" t="str">
            <v>IN002023X344</v>
          </cell>
          <cell r="E103" t="str">
            <v>91 Days Tbill (MD 15/02/2024)</v>
          </cell>
          <cell r="F103" t="str">
            <v>TBILL</v>
          </cell>
          <cell r="G103" t="str">
            <v>Treasury Bill</v>
          </cell>
          <cell r="H103">
            <v>35000</v>
          </cell>
          <cell r="I103">
            <v>100</v>
          </cell>
          <cell r="J103">
            <v>98.548900000000003</v>
          </cell>
          <cell r="K103">
            <v>98.583600000000004</v>
          </cell>
          <cell r="L103">
            <v>3.519855229470216E-4</v>
          </cell>
          <cell r="M103" t="str">
            <v>INR</v>
          </cell>
          <cell r="N103">
            <v>98.379599999999996</v>
          </cell>
          <cell r="O103">
            <v>3443286</v>
          </cell>
          <cell r="P103">
            <v>3450456.74</v>
          </cell>
          <cell r="Q103">
            <v>3450426</v>
          </cell>
          <cell r="R103">
            <v>3500000</v>
          </cell>
          <cell r="S103">
            <v>-30.74</v>
          </cell>
          <cell r="T103">
            <v>562.62</v>
          </cell>
          <cell r="U103">
            <v>4.5999999999999999E-3</v>
          </cell>
          <cell r="V103">
            <v>4.5999999999999999E-3</v>
          </cell>
          <cell r="W103">
            <v>0</v>
          </cell>
          <cell r="X103">
            <v>7170.74</v>
          </cell>
          <cell r="Y103">
            <v>45260</v>
          </cell>
          <cell r="Z103" t="str">
            <v>SOV</v>
          </cell>
        </row>
        <row r="104">
          <cell r="F104" t="str">
            <v>TBILL TOTAL</v>
          </cell>
          <cell r="O104">
            <v>11807694</v>
          </cell>
          <cell r="P104">
            <v>11852704.34</v>
          </cell>
          <cell r="Q104">
            <v>11851953.5</v>
          </cell>
          <cell r="S104">
            <v>-750.84</v>
          </cell>
          <cell r="T104">
            <v>1697.47</v>
          </cell>
          <cell r="U104">
            <v>1.5699999999999999E-2</v>
          </cell>
          <cell r="V104">
            <v>1.5699999999999999E-2</v>
          </cell>
          <cell r="W104">
            <v>0</v>
          </cell>
          <cell r="X104">
            <v>45010.34</v>
          </cell>
        </row>
        <row r="105">
          <cell r="E105" t="str">
            <v>Cash &amp; Cash Equivalent:</v>
          </cell>
          <cell r="Q105">
            <v>-3137914.319999957</v>
          </cell>
          <cell r="U105">
            <v>-4.3E-3</v>
          </cell>
        </row>
        <row r="106">
          <cell r="E106" t="str">
            <v>Net Asset:</v>
          </cell>
          <cell r="Q106">
            <v>754542358.83000004</v>
          </cell>
          <cell r="U106">
            <v>1</v>
          </cell>
        </row>
        <row r="108">
          <cell r="E108" t="str">
            <v>TRP_011223</v>
          </cell>
          <cell r="F108" t="str">
            <v>CBLO</v>
          </cell>
          <cell r="G108" t="str">
            <v>CBLO</v>
          </cell>
          <cell r="H108">
            <v>2041300</v>
          </cell>
          <cell r="I108">
            <v>100</v>
          </cell>
          <cell r="J108">
            <v>0</v>
          </cell>
          <cell r="K108">
            <v>100</v>
          </cell>
          <cell r="L108">
            <v>1</v>
          </cell>
          <cell r="M108" t="str">
            <v>INR</v>
          </cell>
          <cell r="N108">
            <v>99.981485631705283</v>
          </cell>
          <cell r="O108">
            <v>204092206.62</v>
          </cell>
          <cell r="P108">
            <v>204130000</v>
          </cell>
          <cell r="Q108">
            <v>204130000</v>
          </cell>
          <cell r="R108">
            <v>204130000</v>
          </cell>
          <cell r="S108">
            <v>0</v>
          </cell>
          <cell r="T108">
            <v>0</v>
          </cell>
          <cell r="U108">
            <v>8.4000000000000005E-2</v>
          </cell>
          <cell r="V108">
            <v>9.1499999999999998E-2</v>
          </cell>
          <cell r="W108">
            <v>0</v>
          </cell>
          <cell r="X108">
            <v>37793.379999999997</v>
          </cell>
          <cell r="Y108">
            <v>45260</v>
          </cell>
          <cell r="Z108" t="str">
            <v xml:space="preserve"> </v>
          </cell>
        </row>
        <row r="109">
          <cell r="F109" t="str">
            <v>CBLO TOTAL</v>
          </cell>
          <cell r="O109">
            <v>204092206.62</v>
          </cell>
          <cell r="P109">
            <v>204130000</v>
          </cell>
          <cell r="Q109">
            <v>204130000</v>
          </cell>
          <cell r="S109">
            <v>0</v>
          </cell>
          <cell r="T109">
            <v>0</v>
          </cell>
          <cell r="U109">
            <v>8.4000000000000005E-2</v>
          </cell>
          <cell r="V109">
            <v>9.1499999999999998E-2</v>
          </cell>
          <cell r="W109">
            <v>0</v>
          </cell>
          <cell r="X109">
            <v>37793.379999999997</v>
          </cell>
        </row>
        <row r="110">
          <cell r="D110" t="str">
            <v>INE121A07PN4</v>
          </cell>
          <cell r="E110" t="str">
            <v>7.38% Cholamandalam Inv&amp;Fin Sr590 NCD (MD31/07/24)</v>
          </cell>
          <cell r="F110" t="str">
            <v>CORPORATE</v>
          </cell>
          <cell r="G110" t="str">
            <v>Corporate Bond</v>
          </cell>
          <cell r="H110">
            <v>300000</v>
          </cell>
          <cell r="I110">
            <v>100</v>
          </cell>
          <cell r="J110">
            <v>99.175899999999999</v>
          </cell>
          <cell r="K110">
            <v>99.243499999999997</v>
          </cell>
          <cell r="L110">
            <v>6.8115292185382415E-4</v>
          </cell>
          <cell r="M110" t="str">
            <v>INR</v>
          </cell>
          <cell r="N110">
            <v>99.3262</v>
          </cell>
          <cell r="O110">
            <v>29797860</v>
          </cell>
          <cell r="P110">
            <v>29797860</v>
          </cell>
          <cell r="Q110">
            <v>29773050</v>
          </cell>
          <cell r="R110">
            <v>30000000</v>
          </cell>
          <cell r="S110">
            <v>-24810</v>
          </cell>
          <cell r="T110">
            <v>20280</v>
          </cell>
          <cell r="U110">
            <v>1.2200000000000001E-2</v>
          </cell>
          <cell r="V110">
            <v>1.34E-2</v>
          </cell>
          <cell r="W110">
            <v>744049.18</v>
          </cell>
          <cell r="X110">
            <v>0</v>
          </cell>
          <cell r="Y110">
            <v>45260</v>
          </cell>
          <cell r="Z110" t="str">
            <v>ICRA AA+</v>
          </cell>
        </row>
        <row r="111">
          <cell r="D111" t="str">
            <v>INE115A07OS8</v>
          </cell>
          <cell r="E111" t="str">
            <v>7.33% LIC Hsg Fin Ltd Sr 398 Op1 NCD(MD12/02/2025)</v>
          </cell>
          <cell r="F111" t="str">
            <v>CORPORATE</v>
          </cell>
          <cell r="G111" t="str">
            <v>Corporate Bond</v>
          </cell>
          <cell r="H111">
            <v>500000</v>
          </cell>
          <cell r="I111">
            <v>100</v>
          </cell>
          <cell r="J111">
            <v>99.279899999999998</v>
          </cell>
          <cell r="K111">
            <v>99.276300000000006</v>
          </cell>
          <cell r="L111">
            <v>-3.6262431214700787E-5</v>
          </cell>
          <cell r="M111" t="str">
            <v>INR</v>
          </cell>
          <cell r="N111">
            <v>99.316100000000006</v>
          </cell>
          <cell r="O111">
            <v>49658050</v>
          </cell>
          <cell r="P111">
            <v>49658050</v>
          </cell>
          <cell r="Q111">
            <v>49638150</v>
          </cell>
          <cell r="R111">
            <v>50000000</v>
          </cell>
          <cell r="S111">
            <v>-19900</v>
          </cell>
          <cell r="T111">
            <v>-1800</v>
          </cell>
          <cell r="U111">
            <v>2.0400000000000001E-2</v>
          </cell>
          <cell r="V111">
            <v>2.23E-2</v>
          </cell>
          <cell r="W111">
            <v>2932000</v>
          </cell>
          <cell r="X111">
            <v>0</v>
          </cell>
          <cell r="Y111">
            <v>45260</v>
          </cell>
          <cell r="Z111" t="str">
            <v>CRISIL AAA</v>
          </cell>
        </row>
        <row r="112">
          <cell r="D112" t="str">
            <v>INE134E08GV9</v>
          </cell>
          <cell r="E112" t="str">
            <v>8.65% Power Fin Corp Ltd NCD (MD 28/12/2024)</v>
          </cell>
          <cell r="F112" t="str">
            <v>CORPORATE</v>
          </cell>
          <cell r="G112" t="str">
            <v>Corporate Bond</v>
          </cell>
          <cell r="H112">
            <v>700000</v>
          </cell>
          <cell r="I112">
            <v>100</v>
          </cell>
          <cell r="J112">
            <v>100.8814</v>
          </cell>
          <cell r="K112">
            <v>100.8623</v>
          </cell>
          <cell r="L112">
            <v>-1.8936708760359421E-4</v>
          </cell>
          <cell r="M112" t="str">
            <v>INR</v>
          </cell>
          <cell r="N112">
            <v>101.63292857142856</v>
          </cell>
          <cell r="O112">
            <v>71143050</v>
          </cell>
          <cell r="P112">
            <v>71143050</v>
          </cell>
          <cell r="Q112">
            <v>70603610</v>
          </cell>
          <cell r="R112">
            <v>70000000</v>
          </cell>
          <cell r="S112">
            <v>-539440</v>
          </cell>
          <cell r="T112">
            <v>-13370</v>
          </cell>
          <cell r="U112">
            <v>2.9000000000000001E-2</v>
          </cell>
          <cell r="V112">
            <v>3.1699999999999999E-2</v>
          </cell>
          <cell r="W112">
            <v>5590506.8499999996</v>
          </cell>
          <cell r="X112">
            <v>0</v>
          </cell>
          <cell r="Y112">
            <v>45260</v>
          </cell>
          <cell r="Z112" t="str">
            <v>CRISIL AAA</v>
          </cell>
        </row>
        <row r="113">
          <cell r="D113" t="str">
            <v>INE020B08DR1</v>
          </cell>
          <cell r="E113" t="str">
            <v>5.74% REC Ltd Sr 210 (MD 20/06/2024)</v>
          </cell>
          <cell r="F113" t="str">
            <v>CORPORATE</v>
          </cell>
          <cell r="G113" t="str">
            <v>Corporate Bond</v>
          </cell>
          <cell r="H113">
            <v>500000</v>
          </cell>
          <cell r="I113">
            <v>100</v>
          </cell>
          <cell r="J113">
            <v>98.887799999999999</v>
          </cell>
          <cell r="K113">
            <v>98.892499999999998</v>
          </cell>
          <cell r="L113">
            <v>4.7526354374699804E-5</v>
          </cell>
          <cell r="M113" t="str">
            <v>INR</v>
          </cell>
          <cell r="N113">
            <v>98.703900000000004</v>
          </cell>
          <cell r="O113">
            <v>49351950</v>
          </cell>
          <cell r="P113">
            <v>49351950</v>
          </cell>
          <cell r="Q113">
            <v>49446250</v>
          </cell>
          <cell r="R113">
            <v>50000000</v>
          </cell>
          <cell r="S113">
            <v>94300</v>
          </cell>
          <cell r="T113">
            <v>2350</v>
          </cell>
          <cell r="U113">
            <v>2.0299999999999999E-2</v>
          </cell>
          <cell r="V113">
            <v>2.2200000000000001E-2</v>
          </cell>
          <cell r="W113">
            <v>1286010.93</v>
          </cell>
          <cell r="X113">
            <v>0</v>
          </cell>
          <cell r="Y113">
            <v>45260</v>
          </cell>
          <cell r="Z113" t="str">
            <v>CRISIL AAA</v>
          </cell>
        </row>
        <row r="114">
          <cell r="D114" t="str">
            <v>INE556F08KA6</v>
          </cell>
          <cell r="E114" t="str">
            <v>7.25% SIDBI NCD Ser III (MD 31/07/2025)</v>
          </cell>
          <cell r="F114" t="str">
            <v>CORPORATE</v>
          </cell>
          <cell r="G114" t="str">
            <v>Corporate Bond</v>
          </cell>
          <cell r="H114">
            <v>400000</v>
          </cell>
          <cell r="I114">
            <v>100</v>
          </cell>
          <cell r="J114">
            <v>99.0321</v>
          </cell>
          <cell r="K114">
            <v>99.003200000000007</v>
          </cell>
          <cell r="L114">
            <v>-2.9190975645231667E-4</v>
          </cell>
          <cell r="M114" t="str">
            <v>INR</v>
          </cell>
          <cell r="N114">
            <v>99.323099999999997</v>
          </cell>
          <cell r="O114">
            <v>39729240</v>
          </cell>
          <cell r="P114">
            <v>39729240</v>
          </cell>
          <cell r="Q114">
            <v>39601280</v>
          </cell>
          <cell r="R114">
            <v>40000000</v>
          </cell>
          <cell r="S114">
            <v>-127960</v>
          </cell>
          <cell r="T114">
            <v>-11560</v>
          </cell>
          <cell r="U114">
            <v>1.6299999999999999E-2</v>
          </cell>
          <cell r="V114">
            <v>1.78E-2</v>
          </cell>
          <cell r="W114">
            <v>998360.66</v>
          </cell>
          <cell r="X114">
            <v>0</v>
          </cell>
          <cell r="Y114">
            <v>45260</v>
          </cell>
          <cell r="Z114" t="str">
            <v>ICRA AAA</v>
          </cell>
        </row>
        <row r="115">
          <cell r="D115" t="str">
            <v>INE245A08133</v>
          </cell>
          <cell r="E115" t="str">
            <v>7.99% Tata Power Co. Ltd Ser V NCD (MD 15/11/2024)</v>
          </cell>
          <cell r="F115" t="str">
            <v>CORPORATE</v>
          </cell>
          <cell r="G115" t="str">
            <v>Corporate Bond</v>
          </cell>
          <cell r="H115">
            <v>550000</v>
          </cell>
          <cell r="I115">
            <v>100</v>
          </cell>
          <cell r="J115">
            <v>100.04089999999999</v>
          </cell>
          <cell r="K115">
            <v>100.0348</v>
          </cell>
          <cell r="L115">
            <v>-6.0978779384774097E-5</v>
          </cell>
          <cell r="M115" t="str">
            <v>INR</v>
          </cell>
          <cell r="N115">
            <v>100.0339</v>
          </cell>
          <cell r="O115">
            <v>55018645</v>
          </cell>
          <cell r="P115">
            <v>55018645</v>
          </cell>
          <cell r="Q115">
            <v>55019140</v>
          </cell>
          <cell r="R115">
            <v>55000000</v>
          </cell>
          <cell r="S115">
            <v>495</v>
          </cell>
          <cell r="T115">
            <v>-3355</v>
          </cell>
          <cell r="U115">
            <v>2.2599999999999999E-2</v>
          </cell>
          <cell r="V115">
            <v>2.47E-2</v>
          </cell>
          <cell r="W115">
            <v>180102.46</v>
          </cell>
          <cell r="X115">
            <v>0</v>
          </cell>
          <cell r="Y115">
            <v>45260</v>
          </cell>
          <cell r="Z115" t="str">
            <v>CARE AA</v>
          </cell>
        </row>
        <row r="116">
          <cell r="F116" t="str">
            <v>CORPORATE TOTAL</v>
          </cell>
          <cell r="O116">
            <v>294698795</v>
          </cell>
          <cell r="P116">
            <v>294698795</v>
          </cell>
          <cell r="Q116">
            <v>294081480</v>
          </cell>
          <cell r="S116">
            <v>-617315</v>
          </cell>
          <cell r="T116">
            <v>-7455</v>
          </cell>
          <cell r="U116">
            <v>0.1208</v>
          </cell>
          <cell r="V116">
            <v>0.1321</v>
          </cell>
          <cell r="W116">
            <v>11731030.08</v>
          </cell>
          <cell r="X116">
            <v>0</v>
          </cell>
        </row>
        <row r="117">
          <cell r="D117" t="str">
            <v>INE212H01026</v>
          </cell>
          <cell r="E117" t="str">
            <v>AIA Engineering Ltd</v>
          </cell>
          <cell r="F117" t="str">
            <v>EQUITY</v>
          </cell>
          <cell r="G117" t="str">
            <v>Equity</v>
          </cell>
          <cell r="H117">
            <v>972</v>
          </cell>
          <cell r="I117">
            <v>2</v>
          </cell>
          <cell r="J117">
            <v>3607.1</v>
          </cell>
          <cell r="K117">
            <v>3591.65</v>
          </cell>
          <cell r="L117">
            <v>-4.3016440911558757E-3</v>
          </cell>
          <cell r="M117" t="str">
            <v>INR</v>
          </cell>
          <cell r="N117">
            <v>3288.3218724279836</v>
          </cell>
          <cell r="O117">
            <v>3196248.86</v>
          </cell>
          <cell r="P117">
            <v>3196248.86</v>
          </cell>
          <cell r="Q117">
            <v>3491083.8</v>
          </cell>
          <cell r="R117">
            <v>1944</v>
          </cell>
          <cell r="S117">
            <v>294834.94</v>
          </cell>
          <cell r="T117">
            <v>-15017.4</v>
          </cell>
          <cell r="U117">
            <v>1.4E-3</v>
          </cell>
          <cell r="V117">
            <v>1.6000000000000001E-3</v>
          </cell>
          <cell r="W117">
            <v>0</v>
          </cell>
          <cell r="X117">
            <v>0</v>
          </cell>
          <cell r="Y117">
            <v>45260</v>
          </cell>
          <cell r="Z117" t="str">
            <v xml:space="preserve"> </v>
          </cell>
        </row>
        <row r="118">
          <cell r="D118" t="str">
            <v>INE031B01049</v>
          </cell>
          <cell r="E118" t="str">
            <v>Ajanta Pharma Ltd</v>
          </cell>
          <cell r="F118" t="str">
            <v>EQUITY</v>
          </cell>
          <cell r="G118" t="str">
            <v>Equity</v>
          </cell>
          <cell r="H118">
            <v>1987</v>
          </cell>
          <cell r="I118">
            <v>2</v>
          </cell>
          <cell r="J118">
            <v>1949.05</v>
          </cell>
          <cell r="K118">
            <v>1976.15</v>
          </cell>
          <cell r="L118">
            <v>1.3713533891658022E-2</v>
          </cell>
          <cell r="M118" t="str">
            <v>INR</v>
          </cell>
          <cell r="N118">
            <v>1384.3333266230497</v>
          </cell>
          <cell r="O118">
            <v>2750670.32</v>
          </cell>
          <cell r="P118">
            <v>2750670.32</v>
          </cell>
          <cell r="Q118">
            <v>3926610.05</v>
          </cell>
          <cell r="R118">
            <v>3974</v>
          </cell>
          <cell r="S118">
            <v>1175939.73</v>
          </cell>
          <cell r="T118">
            <v>53847.7</v>
          </cell>
          <cell r="U118">
            <v>1.6000000000000001E-3</v>
          </cell>
          <cell r="V118">
            <v>1.8E-3</v>
          </cell>
          <cell r="W118">
            <v>0</v>
          </cell>
          <cell r="X118">
            <v>0</v>
          </cell>
          <cell r="Y118">
            <v>45260</v>
          </cell>
          <cell r="Z118" t="str">
            <v xml:space="preserve"> </v>
          </cell>
        </row>
        <row r="119">
          <cell r="D119" t="str">
            <v>INE955V01021</v>
          </cell>
          <cell r="E119" t="str">
            <v>Arvind Fashions Limited</v>
          </cell>
          <cell r="F119" t="str">
            <v>EQUITY</v>
          </cell>
          <cell r="G119" t="str">
            <v>Equity</v>
          </cell>
          <cell r="H119">
            <v>11397</v>
          </cell>
          <cell r="I119">
            <v>4</v>
          </cell>
          <cell r="J119">
            <v>430.85</v>
          </cell>
          <cell r="K119">
            <v>439.55</v>
          </cell>
          <cell r="L119">
            <v>1.9792970083039471E-2</v>
          </cell>
          <cell r="M119" t="str">
            <v>INR</v>
          </cell>
          <cell r="N119">
            <v>338.07525225936649</v>
          </cell>
          <cell r="O119">
            <v>3853043.65</v>
          </cell>
          <cell r="P119">
            <v>3853043.65</v>
          </cell>
          <cell r="Q119">
            <v>5009551.3499999996</v>
          </cell>
          <cell r="R119">
            <v>45588</v>
          </cell>
          <cell r="S119">
            <v>1156507.7</v>
          </cell>
          <cell r="T119">
            <v>99153.9</v>
          </cell>
          <cell r="U119">
            <v>2.0999999999999999E-3</v>
          </cell>
          <cell r="V119">
            <v>2.2000000000000001E-3</v>
          </cell>
          <cell r="W119">
            <v>0</v>
          </cell>
          <cell r="X119">
            <v>0</v>
          </cell>
          <cell r="Y119">
            <v>45260</v>
          </cell>
          <cell r="Z119" t="str">
            <v xml:space="preserve"> </v>
          </cell>
        </row>
        <row r="120">
          <cell r="D120" t="str">
            <v>INE117A01022</v>
          </cell>
          <cell r="E120" t="str">
            <v>ABB India Ltd</v>
          </cell>
          <cell r="F120" t="str">
            <v>EQUITY</v>
          </cell>
          <cell r="G120" t="str">
            <v>Equity</v>
          </cell>
          <cell r="H120">
            <v>3431</v>
          </cell>
          <cell r="I120">
            <v>2</v>
          </cell>
          <cell r="J120">
            <v>4244.05</v>
          </cell>
          <cell r="K120">
            <v>4419.75</v>
          </cell>
          <cell r="L120">
            <v>3.9753379716047289E-2</v>
          </cell>
          <cell r="M120" t="str">
            <v>INR</v>
          </cell>
          <cell r="N120">
            <v>4151.1240425531914</v>
          </cell>
          <cell r="O120">
            <v>14242506.59</v>
          </cell>
          <cell r="P120">
            <v>14242506.59</v>
          </cell>
          <cell r="Q120">
            <v>15164162.25</v>
          </cell>
          <cell r="R120">
            <v>6862</v>
          </cell>
          <cell r="S120">
            <v>921655.66</v>
          </cell>
          <cell r="T120">
            <v>602826.69999999995</v>
          </cell>
          <cell r="U120">
            <v>6.1999999999999998E-3</v>
          </cell>
          <cell r="V120">
            <v>6.7999999999999996E-3</v>
          </cell>
          <cell r="W120">
            <v>0</v>
          </cell>
          <cell r="X120">
            <v>0</v>
          </cell>
          <cell r="Y120">
            <v>45260</v>
          </cell>
          <cell r="Z120" t="str">
            <v xml:space="preserve"> </v>
          </cell>
        </row>
        <row r="121">
          <cell r="D121" t="str">
            <v>INE021A01026</v>
          </cell>
          <cell r="E121" t="str">
            <v>Asian Paints Ltd</v>
          </cell>
          <cell r="F121" t="str">
            <v>EQUITY</v>
          </cell>
          <cell r="G121" t="str">
            <v>Equity</v>
          </cell>
          <cell r="H121">
            <v>919</v>
          </cell>
          <cell r="I121">
            <v>1</v>
          </cell>
          <cell r="J121">
            <v>3148.35</v>
          </cell>
          <cell r="K121">
            <v>3119.9</v>
          </cell>
          <cell r="L121">
            <v>-9.1188820154492131E-3</v>
          </cell>
          <cell r="M121" t="str">
            <v>INR</v>
          </cell>
          <cell r="N121">
            <v>3133.7263656147989</v>
          </cell>
          <cell r="O121">
            <v>2879894.53</v>
          </cell>
          <cell r="P121">
            <v>2879894.53</v>
          </cell>
          <cell r="Q121">
            <v>2867188.1</v>
          </cell>
          <cell r="R121">
            <v>919</v>
          </cell>
          <cell r="S121">
            <v>-12706.43</v>
          </cell>
          <cell r="T121">
            <v>-26145.55</v>
          </cell>
          <cell r="U121">
            <v>1.1999999999999999E-3</v>
          </cell>
          <cell r="V121">
            <v>1.2999999999999999E-3</v>
          </cell>
          <cell r="W121">
            <v>0</v>
          </cell>
          <cell r="X121">
            <v>0</v>
          </cell>
          <cell r="Y121">
            <v>45260</v>
          </cell>
          <cell r="Z121" t="str">
            <v xml:space="preserve"> </v>
          </cell>
        </row>
        <row r="122">
          <cell r="D122" t="str">
            <v>INE006I01046</v>
          </cell>
          <cell r="E122" t="str">
            <v>Astral Limited</v>
          </cell>
          <cell r="F122" t="str">
            <v>EQUITY</v>
          </cell>
          <cell r="G122" t="str">
            <v>Equity</v>
          </cell>
          <cell r="H122">
            <v>2174</v>
          </cell>
          <cell r="I122">
            <v>1</v>
          </cell>
          <cell r="J122">
            <v>1945.75</v>
          </cell>
          <cell r="K122">
            <v>1949.7</v>
          </cell>
          <cell r="L122">
            <v>2.0259527106734369E-3</v>
          </cell>
          <cell r="M122" t="str">
            <v>INR</v>
          </cell>
          <cell r="N122">
            <v>1736.4527184912604</v>
          </cell>
          <cell r="O122">
            <v>3775048.21</v>
          </cell>
          <cell r="P122">
            <v>3775048.21</v>
          </cell>
          <cell r="Q122">
            <v>4238647.8</v>
          </cell>
          <cell r="R122">
            <v>2174</v>
          </cell>
          <cell r="S122">
            <v>463599.59</v>
          </cell>
          <cell r="T122">
            <v>8587.2999999999993</v>
          </cell>
          <cell r="U122">
            <v>1.6999999999999999E-3</v>
          </cell>
          <cell r="V122">
            <v>1.9E-3</v>
          </cell>
          <cell r="W122">
            <v>0</v>
          </cell>
          <cell r="X122">
            <v>0</v>
          </cell>
          <cell r="Y122">
            <v>45260</v>
          </cell>
          <cell r="Z122" t="str">
            <v xml:space="preserve"> </v>
          </cell>
        </row>
        <row r="123">
          <cell r="D123" t="str">
            <v>INE0LCL01028</v>
          </cell>
          <cell r="E123" t="str">
            <v>Avalon Technologies Limited</v>
          </cell>
          <cell r="F123" t="str">
            <v>EQUITY</v>
          </cell>
          <cell r="G123" t="str">
            <v>Equity</v>
          </cell>
          <cell r="H123">
            <v>2508</v>
          </cell>
          <cell r="I123">
            <v>2</v>
          </cell>
          <cell r="J123">
            <v>505.6</v>
          </cell>
          <cell r="K123">
            <v>504.25</v>
          </cell>
          <cell r="L123">
            <v>-2.6772434308378781E-3</v>
          </cell>
          <cell r="M123" t="str">
            <v>INR</v>
          </cell>
          <cell r="N123">
            <v>414.65368022328551</v>
          </cell>
          <cell r="O123">
            <v>1039951.43</v>
          </cell>
          <cell r="P123">
            <v>1039951.43</v>
          </cell>
          <cell r="Q123">
            <v>1264659</v>
          </cell>
          <cell r="R123">
            <v>5016</v>
          </cell>
          <cell r="S123">
            <v>224707.57</v>
          </cell>
          <cell r="T123">
            <v>-3385.8</v>
          </cell>
          <cell r="U123">
            <v>5.0000000000000001E-4</v>
          </cell>
          <cell r="V123">
            <v>5.9999999999999995E-4</v>
          </cell>
          <cell r="W123">
            <v>0</v>
          </cell>
          <cell r="X123">
            <v>0</v>
          </cell>
          <cell r="Y123">
            <v>45260</v>
          </cell>
          <cell r="Z123" t="str">
            <v xml:space="preserve"> </v>
          </cell>
        </row>
        <row r="124">
          <cell r="D124" t="str">
            <v>INE296A01024</v>
          </cell>
          <cell r="E124" t="str">
            <v>Bajaj Finance Ltd</v>
          </cell>
          <cell r="F124" t="str">
            <v>EQUITY</v>
          </cell>
          <cell r="G124" t="str">
            <v>Equity</v>
          </cell>
          <cell r="H124">
            <v>4275</v>
          </cell>
          <cell r="I124">
            <v>2</v>
          </cell>
          <cell r="J124">
            <v>7130.1</v>
          </cell>
          <cell r="K124">
            <v>7121.9</v>
          </cell>
          <cell r="L124">
            <v>-1.1513781434729497E-3</v>
          </cell>
          <cell r="M124" t="str">
            <v>INR</v>
          </cell>
          <cell r="N124">
            <v>7271.3215111111112</v>
          </cell>
          <cell r="O124">
            <v>31084899.460000001</v>
          </cell>
          <cell r="P124">
            <v>31084899.460000001</v>
          </cell>
          <cell r="Q124">
            <v>30446122.5</v>
          </cell>
          <cell r="R124">
            <v>8550</v>
          </cell>
          <cell r="S124">
            <v>-638776.96</v>
          </cell>
          <cell r="T124">
            <v>-35055</v>
          </cell>
          <cell r="U124">
            <v>1.2500000000000001E-2</v>
          </cell>
          <cell r="V124">
            <v>1.37E-2</v>
          </cell>
          <cell r="W124">
            <v>0</v>
          </cell>
          <cell r="X124">
            <v>0</v>
          </cell>
          <cell r="Y124">
            <v>45260</v>
          </cell>
          <cell r="Z124" t="str">
            <v xml:space="preserve"> </v>
          </cell>
        </row>
        <row r="125">
          <cell r="D125" t="str">
            <v>INE787D01026</v>
          </cell>
          <cell r="E125" t="str">
            <v>Balkrishna Industries Ltd</v>
          </cell>
          <cell r="F125" t="str">
            <v>EQUITY</v>
          </cell>
          <cell r="G125" t="str">
            <v>Equity</v>
          </cell>
          <cell r="H125">
            <v>1131</v>
          </cell>
          <cell r="I125">
            <v>2</v>
          </cell>
          <cell r="J125">
            <v>2582.5500000000002</v>
          </cell>
          <cell r="K125">
            <v>2576.4</v>
          </cell>
          <cell r="L125">
            <v>-2.3870517000465765E-3</v>
          </cell>
          <cell r="M125" t="str">
            <v>INR</v>
          </cell>
          <cell r="N125">
            <v>2334.4647568523433</v>
          </cell>
          <cell r="O125">
            <v>2640279.64</v>
          </cell>
          <cell r="P125">
            <v>2640279.64</v>
          </cell>
          <cell r="Q125">
            <v>2913908.4</v>
          </cell>
          <cell r="R125">
            <v>2262</v>
          </cell>
          <cell r="S125">
            <v>273628.76</v>
          </cell>
          <cell r="T125">
            <v>-6955.65</v>
          </cell>
          <cell r="U125">
            <v>1.1999999999999999E-3</v>
          </cell>
          <cell r="V125">
            <v>1.2999999999999999E-3</v>
          </cell>
          <cell r="W125">
            <v>0</v>
          </cell>
          <cell r="X125">
            <v>0</v>
          </cell>
          <cell r="Y125">
            <v>45260</v>
          </cell>
          <cell r="Z125" t="str">
            <v xml:space="preserve"> </v>
          </cell>
        </row>
        <row r="126">
          <cell r="D126" t="str">
            <v>INE918I01026</v>
          </cell>
          <cell r="E126" t="str">
            <v>Bajaj Finserv Ltd</v>
          </cell>
          <cell r="F126" t="str">
            <v>EQUITY</v>
          </cell>
          <cell r="G126" t="str">
            <v>Equity</v>
          </cell>
          <cell r="H126">
            <v>4623</v>
          </cell>
          <cell r="I126">
            <v>1</v>
          </cell>
          <cell r="J126">
            <v>1653.5</v>
          </cell>
          <cell r="K126">
            <v>1673.5</v>
          </cell>
          <cell r="L126">
            <v>1.1951000896325068E-2</v>
          </cell>
          <cell r="M126" t="str">
            <v>INR</v>
          </cell>
          <cell r="N126">
            <v>1518.0114773956304</v>
          </cell>
          <cell r="O126">
            <v>7017767.0599999996</v>
          </cell>
          <cell r="P126">
            <v>7017767.0599999996</v>
          </cell>
          <cell r="Q126">
            <v>7736590.5</v>
          </cell>
          <cell r="R126">
            <v>4623</v>
          </cell>
          <cell r="S126">
            <v>718823.44</v>
          </cell>
          <cell r="T126">
            <v>92460</v>
          </cell>
          <cell r="U126">
            <v>3.2000000000000002E-3</v>
          </cell>
          <cell r="V126">
            <v>3.5000000000000001E-3</v>
          </cell>
          <cell r="W126">
            <v>0</v>
          </cell>
          <cell r="X126">
            <v>0</v>
          </cell>
          <cell r="Y126">
            <v>45260</v>
          </cell>
          <cell r="Z126" t="str">
            <v xml:space="preserve"> </v>
          </cell>
        </row>
        <row r="127">
          <cell r="D127" t="str">
            <v>INE263A01024</v>
          </cell>
          <cell r="E127" t="str">
            <v>Bharat Electronics Ltd</v>
          </cell>
          <cell r="F127" t="str">
            <v>EQUITY</v>
          </cell>
          <cell r="G127" t="str">
            <v>Equity</v>
          </cell>
          <cell r="H127">
            <v>80693</v>
          </cell>
          <cell r="I127">
            <v>1</v>
          </cell>
          <cell r="J127">
            <v>141</v>
          </cell>
          <cell r="K127">
            <v>145.9</v>
          </cell>
          <cell r="L127">
            <v>3.3584647018505824E-2</v>
          </cell>
          <cell r="M127" t="str">
            <v>INR</v>
          </cell>
          <cell r="N127">
            <v>125.6569572329694</v>
          </cell>
          <cell r="O127">
            <v>10139636.85</v>
          </cell>
          <cell r="P127">
            <v>10139636.85</v>
          </cell>
          <cell r="Q127">
            <v>11773108.699999999</v>
          </cell>
          <cell r="R127">
            <v>80693</v>
          </cell>
          <cell r="S127">
            <v>1633471.85</v>
          </cell>
          <cell r="T127">
            <v>395395.7</v>
          </cell>
          <cell r="U127">
            <v>4.7999999999999996E-3</v>
          </cell>
          <cell r="V127">
            <v>5.3E-3</v>
          </cell>
          <cell r="W127">
            <v>0</v>
          </cell>
          <cell r="X127">
            <v>0</v>
          </cell>
          <cell r="Y127">
            <v>45260</v>
          </cell>
          <cell r="Z127" t="str">
            <v xml:space="preserve"> </v>
          </cell>
        </row>
        <row r="128">
          <cell r="D128" t="str">
            <v>INE358A01014</v>
          </cell>
          <cell r="E128" t="str">
            <v>Abbott India Ltd</v>
          </cell>
          <cell r="F128" t="str">
            <v>EQUITY</v>
          </cell>
          <cell r="G128" t="str">
            <v>Equity</v>
          </cell>
          <cell r="H128">
            <v>146</v>
          </cell>
          <cell r="I128">
            <v>10</v>
          </cell>
          <cell r="J128">
            <v>23537.8</v>
          </cell>
          <cell r="K128">
            <v>23805.15</v>
          </cell>
          <cell r="L128">
            <v>1.123076309117985E-2</v>
          </cell>
          <cell r="M128" t="str">
            <v>INR</v>
          </cell>
          <cell r="N128">
            <v>22158.301712328768</v>
          </cell>
          <cell r="O128">
            <v>3235112.05</v>
          </cell>
          <cell r="P128">
            <v>3235112.05</v>
          </cell>
          <cell r="Q128">
            <v>3475551.9</v>
          </cell>
          <cell r="R128">
            <v>1460</v>
          </cell>
          <cell r="S128">
            <v>240439.85</v>
          </cell>
          <cell r="T128">
            <v>39033.1</v>
          </cell>
          <cell r="U128">
            <v>1.4E-3</v>
          </cell>
          <cell r="V128">
            <v>1.6000000000000001E-3</v>
          </cell>
          <cell r="W128">
            <v>0</v>
          </cell>
          <cell r="X128">
            <v>0</v>
          </cell>
          <cell r="Y128">
            <v>45260</v>
          </cell>
          <cell r="Z128" t="str">
            <v xml:space="preserve"> </v>
          </cell>
        </row>
        <row r="129">
          <cell r="D129" t="str">
            <v>INE397D01024</v>
          </cell>
          <cell r="E129" t="str">
            <v>Bharti Airtel Ltd</v>
          </cell>
          <cell r="F129" t="str">
            <v>EQUITY</v>
          </cell>
          <cell r="G129" t="str">
            <v>Equity</v>
          </cell>
          <cell r="H129">
            <v>6266</v>
          </cell>
          <cell r="I129">
            <v>5</v>
          </cell>
          <cell r="J129">
            <v>995.4</v>
          </cell>
          <cell r="K129">
            <v>1014.7</v>
          </cell>
          <cell r="L129">
            <v>1.9020400118261557E-2</v>
          </cell>
          <cell r="M129" t="str">
            <v>INR</v>
          </cell>
          <cell r="N129">
            <v>923.21961538461539</v>
          </cell>
          <cell r="O129">
            <v>5784894.1100000003</v>
          </cell>
          <cell r="P129">
            <v>5784894.1100000003</v>
          </cell>
          <cell r="Q129">
            <v>6358110.2000000002</v>
          </cell>
          <cell r="R129">
            <v>31330</v>
          </cell>
          <cell r="S129">
            <v>573216.09</v>
          </cell>
          <cell r="T129">
            <v>120933.8</v>
          </cell>
          <cell r="U129">
            <v>2.5999999999999999E-3</v>
          </cell>
          <cell r="V129">
            <v>2.8999999999999998E-3</v>
          </cell>
          <cell r="W129">
            <v>0</v>
          </cell>
          <cell r="X129">
            <v>0</v>
          </cell>
          <cell r="Y129">
            <v>45260</v>
          </cell>
          <cell r="Z129" t="str">
            <v xml:space="preserve"> </v>
          </cell>
        </row>
        <row r="130">
          <cell r="D130" t="str">
            <v>INE0LMW01024</v>
          </cell>
          <cell r="E130" t="str">
            <v>Cello World Limited</v>
          </cell>
          <cell r="F130" t="str">
            <v>EQUITY</v>
          </cell>
          <cell r="G130" t="str">
            <v>Equity</v>
          </cell>
          <cell r="H130">
            <v>4202</v>
          </cell>
          <cell r="I130">
            <v>5</v>
          </cell>
          <cell r="J130">
            <v>818.95</v>
          </cell>
          <cell r="K130">
            <v>804.75</v>
          </cell>
          <cell r="L130">
            <v>-1.7645231438334887E-2</v>
          </cell>
          <cell r="M130" t="str">
            <v>INR</v>
          </cell>
          <cell r="N130">
            <v>648</v>
          </cell>
          <cell r="O130">
            <v>2722896</v>
          </cell>
          <cell r="P130">
            <v>2722896</v>
          </cell>
          <cell r="Q130">
            <v>3381559.5</v>
          </cell>
          <cell r="R130">
            <v>21010</v>
          </cell>
          <cell r="S130">
            <v>658663.5</v>
          </cell>
          <cell r="T130">
            <v>-59668.4</v>
          </cell>
          <cell r="U130">
            <v>1.4E-3</v>
          </cell>
          <cell r="V130">
            <v>1.5E-3</v>
          </cell>
          <cell r="W130">
            <v>0</v>
          </cell>
          <cell r="X130">
            <v>0</v>
          </cell>
          <cell r="Y130">
            <v>45260</v>
          </cell>
          <cell r="Z130" t="str">
            <v xml:space="preserve"> </v>
          </cell>
        </row>
        <row r="131">
          <cell r="D131" t="str">
            <v>INE121A01024</v>
          </cell>
          <cell r="E131" t="str">
            <v>Cholamandalam Investment and Finance Company Ltd</v>
          </cell>
          <cell r="F131" t="str">
            <v>EQUITY</v>
          </cell>
          <cell r="G131" t="str">
            <v>Equity</v>
          </cell>
          <cell r="H131">
            <v>13878</v>
          </cell>
          <cell r="I131">
            <v>2</v>
          </cell>
          <cell r="J131">
            <v>1110.45</v>
          </cell>
          <cell r="K131">
            <v>1117.45</v>
          </cell>
          <cell r="L131">
            <v>6.2642623831043898E-3</v>
          </cell>
          <cell r="M131" t="str">
            <v>INR</v>
          </cell>
          <cell r="N131">
            <v>1113.7995662199164</v>
          </cell>
          <cell r="O131">
            <v>15457310.380000001</v>
          </cell>
          <cell r="P131">
            <v>15457310.380000001</v>
          </cell>
          <cell r="Q131">
            <v>15507971.1</v>
          </cell>
          <cell r="R131">
            <v>27756</v>
          </cell>
          <cell r="S131">
            <v>50660.72</v>
          </cell>
          <cell r="T131">
            <v>97146</v>
          </cell>
          <cell r="U131">
            <v>6.4000000000000003E-3</v>
          </cell>
          <cell r="V131">
            <v>7.0000000000000001E-3</v>
          </cell>
          <cell r="W131">
            <v>0</v>
          </cell>
          <cell r="X131">
            <v>0</v>
          </cell>
          <cell r="Y131">
            <v>45260</v>
          </cell>
          <cell r="Z131" t="str">
            <v xml:space="preserve"> </v>
          </cell>
        </row>
        <row r="132">
          <cell r="D132" t="str">
            <v>INE925R01014</v>
          </cell>
          <cell r="E132" t="str">
            <v>CMS Info System Limited</v>
          </cell>
          <cell r="F132" t="str">
            <v>EQUITY</v>
          </cell>
          <cell r="G132" t="str">
            <v>Equity</v>
          </cell>
          <cell r="H132">
            <v>15303</v>
          </cell>
          <cell r="I132">
            <v>10</v>
          </cell>
          <cell r="J132">
            <v>403.45</v>
          </cell>
          <cell r="K132">
            <v>404.95</v>
          </cell>
          <cell r="L132">
            <v>3.7041610075317939E-3</v>
          </cell>
          <cell r="M132" t="str">
            <v>INR</v>
          </cell>
          <cell r="N132">
            <v>368.3063464680128</v>
          </cell>
          <cell r="O132">
            <v>5636192.0199999996</v>
          </cell>
          <cell r="P132">
            <v>5636192.0199999996</v>
          </cell>
          <cell r="Q132">
            <v>6196949.8499999996</v>
          </cell>
          <cell r="R132">
            <v>153030</v>
          </cell>
          <cell r="S132">
            <v>560757.82999999996</v>
          </cell>
          <cell r="T132">
            <v>22954.5</v>
          </cell>
          <cell r="U132">
            <v>2.5000000000000001E-3</v>
          </cell>
          <cell r="V132">
            <v>2.8E-3</v>
          </cell>
          <cell r="W132">
            <v>0</v>
          </cell>
          <cell r="X132">
            <v>0</v>
          </cell>
          <cell r="Y132">
            <v>45260</v>
          </cell>
          <cell r="Z132" t="str">
            <v xml:space="preserve"> </v>
          </cell>
        </row>
        <row r="133">
          <cell r="D133" t="str">
            <v>INE067A01029</v>
          </cell>
          <cell r="E133" t="str">
            <v>CG Power and Industrial Solutions Limited</v>
          </cell>
          <cell r="F133" t="str">
            <v>EQUITY</v>
          </cell>
          <cell r="G133" t="str">
            <v>Equity</v>
          </cell>
          <cell r="H133">
            <v>25149</v>
          </cell>
          <cell r="I133">
            <v>2</v>
          </cell>
          <cell r="J133">
            <v>439.25</v>
          </cell>
          <cell r="K133">
            <v>449.4</v>
          </cell>
          <cell r="L133">
            <v>2.2585669781931463E-2</v>
          </cell>
          <cell r="M133" t="str">
            <v>INR</v>
          </cell>
          <cell r="N133">
            <v>380.5636120720506</v>
          </cell>
          <cell r="O133">
            <v>9570794.2799999993</v>
          </cell>
          <cell r="P133">
            <v>9570794.2799999993</v>
          </cell>
          <cell r="Q133">
            <v>11301960.6</v>
          </cell>
          <cell r="R133">
            <v>50298</v>
          </cell>
          <cell r="S133">
            <v>1731166.32</v>
          </cell>
          <cell r="T133">
            <v>255262.35</v>
          </cell>
          <cell r="U133">
            <v>4.5999999999999999E-3</v>
          </cell>
          <cell r="V133">
            <v>5.1000000000000004E-3</v>
          </cell>
          <cell r="W133">
            <v>0</v>
          </cell>
          <cell r="X133">
            <v>0</v>
          </cell>
          <cell r="Y133">
            <v>45260</v>
          </cell>
          <cell r="Z133" t="str">
            <v xml:space="preserve"> </v>
          </cell>
        </row>
        <row r="134">
          <cell r="D134" t="str">
            <v>INE0PSC01024</v>
          </cell>
          <cell r="E134" t="str">
            <v>Digidrive Distributors Limited</v>
          </cell>
          <cell r="F134" t="str">
            <v>EQUITY</v>
          </cell>
          <cell r="G134" t="str">
            <v>Equity</v>
          </cell>
          <cell r="H134">
            <v>959</v>
          </cell>
          <cell r="I134">
            <v>10</v>
          </cell>
          <cell r="J134">
            <v>121.27</v>
          </cell>
          <cell r="K134">
            <v>121.27</v>
          </cell>
          <cell r="L134">
            <v>0</v>
          </cell>
          <cell r="M134" t="str">
            <v>INR</v>
          </cell>
          <cell r="N134">
            <v>104.65599582898852</v>
          </cell>
          <cell r="O134">
            <v>100365.1</v>
          </cell>
          <cell r="P134">
            <v>100365.1</v>
          </cell>
          <cell r="Q134">
            <v>116297.93</v>
          </cell>
          <cell r="R134">
            <v>9590</v>
          </cell>
          <cell r="S134">
            <v>15932.83</v>
          </cell>
          <cell r="T134">
            <v>0</v>
          </cell>
          <cell r="U134">
            <v>0</v>
          </cell>
          <cell r="V134">
            <v>1E-4</v>
          </cell>
          <cell r="W134">
            <v>0</v>
          </cell>
          <cell r="X134">
            <v>0</v>
          </cell>
          <cell r="Y134">
            <v>45258</v>
          </cell>
          <cell r="Z134" t="str">
            <v xml:space="preserve"> </v>
          </cell>
        </row>
        <row r="135">
          <cell r="D135" t="str">
            <v>INE066A01021</v>
          </cell>
          <cell r="E135" t="str">
            <v>Eicher Motors Limited</v>
          </cell>
          <cell r="F135" t="str">
            <v>EQUITY</v>
          </cell>
          <cell r="G135" t="str">
            <v>Equity</v>
          </cell>
          <cell r="H135">
            <v>618</v>
          </cell>
          <cell r="I135">
            <v>1</v>
          </cell>
          <cell r="J135">
            <v>3812.25</v>
          </cell>
          <cell r="K135">
            <v>3896.9</v>
          </cell>
          <cell r="L135">
            <v>2.1722394724011395E-2</v>
          </cell>
          <cell r="M135" t="str">
            <v>INR</v>
          </cell>
          <cell r="N135">
            <v>3579.4039320388351</v>
          </cell>
          <cell r="O135">
            <v>2212071.63</v>
          </cell>
          <cell r="P135">
            <v>2212071.63</v>
          </cell>
          <cell r="Q135">
            <v>2408284.2000000002</v>
          </cell>
          <cell r="R135">
            <v>618</v>
          </cell>
          <cell r="S135">
            <v>196212.57</v>
          </cell>
          <cell r="T135">
            <v>52313.7</v>
          </cell>
          <cell r="U135">
            <v>1E-3</v>
          </cell>
          <cell r="V135">
            <v>1.1000000000000001E-3</v>
          </cell>
          <cell r="W135">
            <v>0</v>
          </cell>
          <cell r="X135">
            <v>0</v>
          </cell>
          <cell r="Y135">
            <v>45260</v>
          </cell>
          <cell r="Z135" t="str">
            <v xml:space="preserve"> </v>
          </cell>
        </row>
        <row r="136">
          <cell r="D136" t="str">
            <v>INE02YR01019</v>
          </cell>
          <cell r="E136" t="str">
            <v>Electronics Mart India Ltd</v>
          </cell>
          <cell r="F136" t="str">
            <v>EQUITY</v>
          </cell>
          <cell r="G136" t="str">
            <v>Equity</v>
          </cell>
          <cell r="H136">
            <v>24587</v>
          </cell>
          <cell r="I136">
            <v>10</v>
          </cell>
          <cell r="J136">
            <v>226.35</v>
          </cell>
          <cell r="K136">
            <v>225.2</v>
          </cell>
          <cell r="L136">
            <v>-5.1065719360568387E-3</v>
          </cell>
          <cell r="M136" t="str">
            <v>INR</v>
          </cell>
          <cell r="N136">
            <v>115.55275674136739</v>
          </cell>
          <cell r="O136">
            <v>2841095.63</v>
          </cell>
          <cell r="P136">
            <v>2841095.63</v>
          </cell>
          <cell r="Q136">
            <v>5536992.4000000004</v>
          </cell>
          <cell r="R136">
            <v>245870</v>
          </cell>
          <cell r="S136">
            <v>2695896.77</v>
          </cell>
          <cell r="T136">
            <v>-28275.05</v>
          </cell>
          <cell r="U136">
            <v>2.3E-3</v>
          </cell>
          <cell r="V136">
            <v>2.5000000000000001E-3</v>
          </cell>
          <cell r="W136">
            <v>0</v>
          </cell>
          <cell r="X136">
            <v>0</v>
          </cell>
          <cell r="Y136">
            <v>45260</v>
          </cell>
          <cell r="Z136" t="str">
            <v xml:space="preserve"> </v>
          </cell>
        </row>
        <row r="137">
          <cell r="D137" t="str">
            <v>INE128S01021</v>
          </cell>
          <cell r="E137" t="str">
            <v>Five Star Business Finance Ltd</v>
          </cell>
          <cell r="F137" t="str">
            <v>EQUITY</v>
          </cell>
          <cell r="G137" t="str">
            <v>Equity</v>
          </cell>
          <cell r="H137">
            <v>5892</v>
          </cell>
          <cell r="I137">
            <v>1</v>
          </cell>
          <cell r="J137">
            <v>743.25</v>
          </cell>
          <cell r="K137">
            <v>751.15</v>
          </cell>
          <cell r="L137">
            <v>1.0517206949344339E-2</v>
          </cell>
          <cell r="M137" t="str">
            <v>INR</v>
          </cell>
          <cell r="N137">
            <v>681.20359470468429</v>
          </cell>
          <cell r="O137">
            <v>4013651.58</v>
          </cell>
          <cell r="P137">
            <v>4013651.58</v>
          </cell>
          <cell r="Q137">
            <v>4425775.8</v>
          </cell>
          <cell r="R137">
            <v>5892</v>
          </cell>
          <cell r="S137">
            <v>412124.22</v>
          </cell>
          <cell r="T137">
            <v>46546.8</v>
          </cell>
          <cell r="U137">
            <v>1.8E-3</v>
          </cell>
          <cell r="V137">
            <v>2E-3</v>
          </cell>
          <cell r="W137">
            <v>0</v>
          </cell>
          <cell r="X137">
            <v>0</v>
          </cell>
          <cell r="Y137">
            <v>45260</v>
          </cell>
          <cell r="Z137" t="str">
            <v xml:space="preserve"> </v>
          </cell>
        </row>
        <row r="138">
          <cell r="D138" t="str">
            <v>INE717W01049</v>
          </cell>
          <cell r="E138" t="str">
            <v>Gandhar Oil Refinery (India) Limited</v>
          </cell>
          <cell r="F138" t="str">
            <v>EQUITY</v>
          </cell>
          <cell r="G138" t="str">
            <v>Equity</v>
          </cell>
          <cell r="H138">
            <v>7083</v>
          </cell>
          <cell r="I138">
            <v>2</v>
          </cell>
          <cell r="J138">
            <v>169</v>
          </cell>
          <cell r="K138">
            <v>301.39999999999998</v>
          </cell>
          <cell r="L138">
            <v>0.43928334439283345</v>
          </cell>
          <cell r="M138" t="str">
            <v>INR</v>
          </cell>
          <cell r="N138">
            <v>169</v>
          </cell>
          <cell r="O138">
            <v>1197027</v>
          </cell>
          <cell r="P138">
            <v>1197027</v>
          </cell>
          <cell r="Q138">
            <v>2134816.2000000002</v>
          </cell>
          <cell r="R138">
            <v>14166</v>
          </cell>
          <cell r="S138">
            <v>937789.2</v>
          </cell>
          <cell r="T138">
            <v>937789.2</v>
          </cell>
          <cell r="U138">
            <v>8.9999999999999998E-4</v>
          </cell>
          <cell r="V138">
            <v>1E-3</v>
          </cell>
          <cell r="W138">
            <v>0</v>
          </cell>
          <cell r="X138">
            <v>0</v>
          </cell>
          <cell r="Y138">
            <v>45260</v>
          </cell>
          <cell r="Z138" t="str">
            <v xml:space="preserve"> </v>
          </cell>
        </row>
        <row r="139">
          <cell r="D139" t="str">
            <v>INE276A01018</v>
          </cell>
          <cell r="E139" t="str">
            <v>Garware Technical Fibres Limited</v>
          </cell>
          <cell r="F139" t="str">
            <v>EQUITY</v>
          </cell>
          <cell r="G139" t="str">
            <v>Equity</v>
          </cell>
          <cell r="H139">
            <v>455</v>
          </cell>
          <cell r="I139">
            <v>10</v>
          </cell>
          <cell r="J139">
            <v>3363.85</v>
          </cell>
          <cell r="K139">
            <v>3398.15</v>
          </cell>
          <cell r="L139">
            <v>1.0093727469358327E-2</v>
          </cell>
          <cell r="M139" t="str">
            <v>INR</v>
          </cell>
          <cell r="N139">
            <v>3008.1437142857144</v>
          </cell>
          <cell r="O139">
            <v>1368705.39</v>
          </cell>
          <cell r="P139">
            <v>1368705.39</v>
          </cell>
          <cell r="Q139">
            <v>1546158.25</v>
          </cell>
          <cell r="R139">
            <v>4550</v>
          </cell>
          <cell r="S139">
            <v>177452.86</v>
          </cell>
          <cell r="T139">
            <v>15606.5</v>
          </cell>
          <cell r="U139">
            <v>5.9999999999999995E-4</v>
          </cell>
          <cell r="V139">
            <v>6.9999999999999999E-4</v>
          </cell>
          <cell r="W139">
            <v>0</v>
          </cell>
          <cell r="X139">
            <v>0</v>
          </cell>
          <cell r="Y139">
            <v>45260</v>
          </cell>
          <cell r="Z139" t="str">
            <v xml:space="preserve"> </v>
          </cell>
        </row>
        <row r="140">
          <cell r="D140" t="str">
            <v>INE102D01028</v>
          </cell>
          <cell r="E140" t="str">
            <v>Godrej Consumer Products Ltd</v>
          </cell>
          <cell r="F140" t="str">
            <v>EQUITY</v>
          </cell>
          <cell r="G140" t="str">
            <v>Equity</v>
          </cell>
          <cell r="H140">
            <v>10194</v>
          </cell>
          <cell r="I140">
            <v>1</v>
          </cell>
          <cell r="J140">
            <v>1001.1</v>
          </cell>
          <cell r="K140">
            <v>1008.2</v>
          </cell>
          <cell r="L140">
            <v>7.0422535211267607E-3</v>
          </cell>
          <cell r="M140" t="str">
            <v>INR</v>
          </cell>
          <cell r="N140">
            <v>1030.6513684520305</v>
          </cell>
          <cell r="O140">
            <v>10506460.050000001</v>
          </cell>
          <cell r="P140">
            <v>10506460.050000001</v>
          </cell>
          <cell r="Q140">
            <v>10277590.800000001</v>
          </cell>
          <cell r="R140">
            <v>10194</v>
          </cell>
          <cell r="S140">
            <v>-228869.25</v>
          </cell>
          <cell r="T140">
            <v>72377.399999999994</v>
          </cell>
          <cell r="U140">
            <v>4.1999999999999997E-3</v>
          </cell>
          <cell r="V140">
            <v>4.5999999999999999E-3</v>
          </cell>
          <cell r="W140">
            <v>0</v>
          </cell>
          <cell r="X140">
            <v>0</v>
          </cell>
          <cell r="Y140">
            <v>45260</v>
          </cell>
          <cell r="Z140" t="str">
            <v xml:space="preserve"> </v>
          </cell>
        </row>
        <row r="141">
          <cell r="D141" t="str">
            <v>INE0BJS01011</v>
          </cell>
          <cell r="E141" t="str">
            <v>Go Fashion (India) Limited</v>
          </cell>
          <cell r="F141" t="str">
            <v>EQUITY</v>
          </cell>
          <cell r="G141" t="str">
            <v>Equity</v>
          </cell>
          <cell r="H141">
            <v>2323</v>
          </cell>
          <cell r="I141">
            <v>10</v>
          </cell>
          <cell r="J141">
            <v>1303.1500000000001</v>
          </cell>
          <cell r="K141">
            <v>1329.55</v>
          </cell>
          <cell r="L141">
            <v>1.9856342371479072E-2</v>
          </cell>
          <cell r="M141" t="str">
            <v>INR</v>
          </cell>
          <cell r="N141">
            <v>1263.6026990959965</v>
          </cell>
          <cell r="O141">
            <v>2935349.07</v>
          </cell>
          <cell r="P141">
            <v>2935349.07</v>
          </cell>
          <cell r="Q141">
            <v>3088544.65</v>
          </cell>
          <cell r="R141">
            <v>23230</v>
          </cell>
          <cell r="S141">
            <v>153195.57999999999</v>
          </cell>
          <cell r="T141">
            <v>61327.199999999997</v>
          </cell>
          <cell r="U141">
            <v>1.2999999999999999E-3</v>
          </cell>
          <cell r="V141">
            <v>1.4E-3</v>
          </cell>
          <cell r="W141">
            <v>0</v>
          </cell>
          <cell r="X141">
            <v>0</v>
          </cell>
          <cell r="Y141">
            <v>45260</v>
          </cell>
          <cell r="Z141" t="str">
            <v xml:space="preserve"> </v>
          </cell>
        </row>
        <row r="142">
          <cell r="D142" t="str">
            <v>INE474Q01031</v>
          </cell>
          <cell r="E142" t="str">
            <v>Global Health Limited</v>
          </cell>
          <cell r="F142" t="str">
            <v>EQUITY</v>
          </cell>
          <cell r="G142" t="str">
            <v>Equity</v>
          </cell>
          <cell r="H142">
            <v>7680</v>
          </cell>
          <cell r="I142">
            <v>2</v>
          </cell>
          <cell r="J142">
            <v>919.85</v>
          </cell>
          <cell r="K142">
            <v>957.35</v>
          </cell>
          <cell r="L142">
            <v>3.9170627252311067E-2</v>
          </cell>
          <cell r="M142" t="str">
            <v>INR</v>
          </cell>
          <cell r="N142">
            <v>669.47166536458337</v>
          </cell>
          <cell r="O142">
            <v>5141542.3899999997</v>
          </cell>
          <cell r="P142">
            <v>5141542.3899999997</v>
          </cell>
          <cell r="Q142">
            <v>7352448</v>
          </cell>
          <cell r="R142">
            <v>15360</v>
          </cell>
          <cell r="S142">
            <v>2210905.61</v>
          </cell>
          <cell r="T142">
            <v>288000</v>
          </cell>
          <cell r="U142">
            <v>3.0000000000000001E-3</v>
          </cell>
          <cell r="V142">
            <v>3.3E-3</v>
          </cell>
          <cell r="W142">
            <v>0</v>
          </cell>
          <cell r="X142">
            <v>0</v>
          </cell>
          <cell r="Y142">
            <v>45260</v>
          </cell>
          <cell r="Z142" t="str">
            <v xml:space="preserve"> </v>
          </cell>
        </row>
        <row r="143">
          <cell r="D143" t="str">
            <v>INE979A01025</v>
          </cell>
          <cell r="E143" t="str">
            <v>Saregama India Ltd</v>
          </cell>
          <cell r="F143" t="str">
            <v>EQUITY</v>
          </cell>
          <cell r="G143" t="str">
            <v>Equity</v>
          </cell>
          <cell r="H143">
            <v>3195</v>
          </cell>
          <cell r="I143">
            <v>1</v>
          </cell>
          <cell r="J143">
            <v>373.85</v>
          </cell>
          <cell r="K143">
            <v>371.75</v>
          </cell>
          <cell r="L143">
            <v>-5.6489576328177535E-3</v>
          </cell>
          <cell r="M143" t="str">
            <v>INR</v>
          </cell>
          <cell r="N143">
            <v>308.08133959311425</v>
          </cell>
          <cell r="O143">
            <v>984319.88</v>
          </cell>
          <cell r="P143">
            <v>984319.88</v>
          </cell>
          <cell r="Q143">
            <v>1187741.25</v>
          </cell>
          <cell r="R143">
            <v>3195</v>
          </cell>
          <cell r="S143">
            <v>203421.37</v>
          </cell>
          <cell r="T143">
            <v>-6709.5</v>
          </cell>
          <cell r="U143">
            <v>5.0000000000000001E-4</v>
          </cell>
          <cell r="V143">
            <v>5.0000000000000001E-4</v>
          </cell>
          <cell r="W143">
            <v>0</v>
          </cell>
          <cell r="X143">
            <v>0</v>
          </cell>
          <cell r="Y143">
            <v>45260</v>
          </cell>
          <cell r="Z143" t="str">
            <v xml:space="preserve"> </v>
          </cell>
        </row>
        <row r="144">
          <cell r="D144" t="str">
            <v>INE536A01023</v>
          </cell>
          <cell r="E144" t="str">
            <v>Grindwell Norton Ltd</v>
          </cell>
          <cell r="F144" t="str">
            <v>EQUITY</v>
          </cell>
          <cell r="G144" t="str">
            <v>Equity</v>
          </cell>
          <cell r="H144">
            <v>1463</v>
          </cell>
          <cell r="I144">
            <v>5</v>
          </cell>
          <cell r="J144">
            <v>2078.9</v>
          </cell>
          <cell r="K144">
            <v>2094.35</v>
          </cell>
          <cell r="L144">
            <v>7.3769904743715238E-3</v>
          </cell>
          <cell r="M144" t="str">
            <v>INR</v>
          </cell>
          <cell r="N144">
            <v>2081.0099179767599</v>
          </cell>
          <cell r="O144">
            <v>3044517.51</v>
          </cell>
          <cell r="P144">
            <v>3044517.51</v>
          </cell>
          <cell r="Q144">
            <v>3064034.05</v>
          </cell>
          <cell r="R144">
            <v>7315</v>
          </cell>
          <cell r="S144">
            <v>19516.54</v>
          </cell>
          <cell r="T144">
            <v>22603.35</v>
          </cell>
          <cell r="U144">
            <v>1.2999999999999999E-3</v>
          </cell>
          <cell r="V144">
            <v>1.4E-3</v>
          </cell>
          <cell r="W144">
            <v>0</v>
          </cell>
          <cell r="X144">
            <v>0</v>
          </cell>
          <cell r="Y144">
            <v>45260</v>
          </cell>
          <cell r="Z144" t="str">
            <v xml:space="preserve"> </v>
          </cell>
        </row>
        <row r="145">
          <cell r="D145" t="str">
            <v>INE079A01024</v>
          </cell>
          <cell r="E145" t="str">
            <v>Ambuja Cements Ltd</v>
          </cell>
          <cell r="F145" t="str">
            <v>EQUITY</v>
          </cell>
          <cell r="G145" t="str">
            <v>Equity</v>
          </cell>
          <cell r="H145">
            <v>11671</v>
          </cell>
          <cell r="I145">
            <v>2</v>
          </cell>
          <cell r="J145">
            <v>435.65</v>
          </cell>
          <cell r="K145">
            <v>439.25</v>
          </cell>
          <cell r="L145">
            <v>8.1957882754695507E-3</v>
          </cell>
          <cell r="M145" t="str">
            <v>INR</v>
          </cell>
          <cell r="N145">
            <v>442.73960414703112</v>
          </cell>
          <cell r="O145">
            <v>5167213.92</v>
          </cell>
          <cell r="P145">
            <v>5167213.92</v>
          </cell>
          <cell r="Q145">
            <v>5126486.75</v>
          </cell>
          <cell r="R145">
            <v>23342</v>
          </cell>
          <cell r="S145">
            <v>-40727.17</v>
          </cell>
          <cell r="T145">
            <v>42015.6</v>
          </cell>
          <cell r="U145">
            <v>2.0999999999999999E-3</v>
          </cell>
          <cell r="V145">
            <v>2.3E-3</v>
          </cell>
          <cell r="W145">
            <v>0</v>
          </cell>
          <cell r="X145">
            <v>0</v>
          </cell>
          <cell r="Y145">
            <v>45260</v>
          </cell>
          <cell r="Z145" t="str">
            <v xml:space="preserve"> </v>
          </cell>
        </row>
        <row r="146">
          <cell r="D146" t="str">
            <v>INE040A01034</v>
          </cell>
          <cell r="E146" t="str">
            <v>HDFC Bank Ltd</v>
          </cell>
          <cell r="F146" t="str">
            <v>EQUITY</v>
          </cell>
          <cell r="G146" t="str">
            <v>Equity</v>
          </cell>
          <cell r="H146">
            <v>38718</v>
          </cell>
          <cell r="I146">
            <v>1</v>
          </cell>
          <cell r="J146">
            <v>1559.15</v>
          </cell>
          <cell r="K146">
            <v>1558.8</v>
          </cell>
          <cell r="L146">
            <v>-2.2453169104439313E-4</v>
          </cell>
          <cell r="M146" t="str">
            <v>INR</v>
          </cell>
          <cell r="N146">
            <v>1600.3093362260447</v>
          </cell>
          <cell r="O146">
            <v>61960776.880000003</v>
          </cell>
          <cell r="P146">
            <v>61960776.880000003</v>
          </cell>
          <cell r="Q146">
            <v>60353618.399999999</v>
          </cell>
          <cell r="R146">
            <v>38718</v>
          </cell>
          <cell r="S146">
            <v>-1607158.48</v>
          </cell>
          <cell r="T146">
            <v>-13551.3</v>
          </cell>
          <cell r="U146">
            <v>2.4799999999999999E-2</v>
          </cell>
          <cell r="V146">
            <v>2.7099999999999999E-2</v>
          </cell>
          <cell r="W146">
            <v>0</v>
          </cell>
          <cell r="X146">
            <v>0</v>
          </cell>
          <cell r="Y146">
            <v>45260</v>
          </cell>
          <cell r="Z146" t="str">
            <v xml:space="preserve"> </v>
          </cell>
        </row>
        <row r="147">
          <cell r="D147" t="str">
            <v>INE795G01014</v>
          </cell>
          <cell r="E147" t="str">
            <v>HDFC Life Insurance Company Limited</v>
          </cell>
          <cell r="F147" t="str">
            <v>EQUITY</v>
          </cell>
          <cell r="G147" t="str">
            <v>Equity</v>
          </cell>
          <cell r="H147">
            <v>15088</v>
          </cell>
          <cell r="I147">
            <v>10</v>
          </cell>
          <cell r="J147">
            <v>675.65</v>
          </cell>
          <cell r="K147">
            <v>690.75</v>
          </cell>
          <cell r="L147">
            <v>2.1860296778863555E-2</v>
          </cell>
          <cell r="M147" t="str">
            <v>INR</v>
          </cell>
          <cell r="N147">
            <v>648.05257025450692</v>
          </cell>
          <cell r="O147">
            <v>9777817.1799999997</v>
          </cell>
          <cell r="P147">
            <v>9777817.1799999997</v>
          </cell>
          <cell r="Q147">
            <v>10422036</v>
          </cell>
          <cell r="R147">
            <v>150880</v>
          </cell>
          <cell r="S147">
            <v>644218.81999999995</v>
          </cell>
          <cell r="T147">
            <v>227828.8</v>
          </cell>
          <cell r="U147">
            <v>4.3E-3</v>
          </cell>
          <cell r="V147">
            <v>4.7000000000000002E-3</v>
          </cell>
          <cell r="W147">
            <v>0</v>
          </cell>
          <cell r="X147">
            <v>0</v>
          </cell>
          <cell r="Y147">
            <v>45260</v>
          </cell>
          <cell r="Z147" t="str">
            <v xml:space="preserve"> </v>
          </cell>
        </row>
        <row r="148">
          <cell r="D148" t="str">
            <v>INE038A01020</v>
          </cell>
          <cell r="E148" t="str">
            <v>Hindalco Industries Ltd</v>
          </cell>
          <cell r="F148" t="str">
            <v>EQUITY</v>
          </cell>
          <cell r="G148" t="str">
            <v>Equity</v>
          </cell>
          <cell r="H148">
            <v>15333</v>
          </cell>
          <cell r="I148">
            <v>1</v>
          </cell>
          <cell r="J148">
            <v>517.45000000000005</v>
          </cell>
          <cell r="K148">
            <v>515.65</v>
          </cell>
          <cell r="L148">
            <v>-3.490739842916707E-3</v>
          </cell>
          <cell r="M148" t="str">
            <v>INR</v>
          </cell>
          <cell r="N148">
            <v>447.68493641166111</v>
          </cell>
          <cell r="O148">
            <v>6864353.1299999999</v>
          </cell>
          <cell r="P148">
            <v>6864353.1299999999</v>
          </cell>
          <cell r="Q148">
            <v>7906461.4500000002</v>
          </cell>
          <cell r="R148">
            <v>15333</v>
          </cell>
          <cell r="S148">
            <v>1042108.32</v>
          </cell>
          <cell r="T148">
            <v>-27599.4</v>
          </cell>
          <cell r="U148">
            <v>3.3E-3</v>
          </cell>
          <cell r="V148">
            <v>3.5000000000000001E-3</v>
          </cell>
          <cell r="W148">
            <v>0</v>
          </cell>
          <cell r="X148">
            <v>0</v>
          </cell>
          <cell r="Y148">
            <v>45260</v>
          </cell>
          <cell r="Z148" t="str">
            <v xml:space="preserve"> </v>
          </cell>
        </row>
        <row r="149">
          <cell r="D149" t="str">
            <v>INE030A01027</v>
          </cell>
          <cell r="E149" t="str">
            <v>Hindustan Unilever Ltd</v>
          </cell>
          <cell r="F149" t="str">
            <v>EQUITY</v>
          </cell>
          <cell r="G149" t="str">
            <v>Equity</v>
          </cell>
          <cell r="H149">
            <v>10936</v>
          </cell>
          <cell r="I149">
            <v>1</v>
          </cell>
          <cell r="J149">
            <v>2525.0500000000002</v>
          </cell>
          <cell r="K149">
            <v>2545.5500000000002</v>
          </cell>
          <cell r="L149">
            <v>8.0532694309677667E-3</v>
          </cell>
          <cell r="M149" t="str">
            <v>INR</v>
          </cell>
          <cell r="N149">
            <v>2654.4629946964155</v>
          </cell>
          <cell r="O149">
            <v>29029207.309999999</v>
          </cell>
          <cell r="P149">
            <v>29029207.309999999</v>
          </cell>
          <cell r="Q149">
            <v>27838134.800000001</v>
          </cell>
          <cell r="R149">
            <v>10936</v>
          </cell>
          <cell r="S149">
            <v>-1191072.51</v>
          </cell>
          <cell r="T149">
            <v>224188</v>
          </cell>
          <cell r="U149">
            <v>1.14E-2</v>
          </cell>
          <cell r="V149">
            <v>1.2500000000000001E-2</v>
          </cell>
          <cell r="W149">
            <v>0</v>
          </cell>
          <cell r="X149">
            <v>0</v>
          </cell>
          <cell r="Y149">
            <v>45260</v>
          </cell>
          <cell r="Z149" t="str">
            <v xml:space="preserve"> </v>
          </cell>
        </row>
        <row r="150">
          <cell r="D150" t="str">
            <v>INE094A01015</v>
          </cell>
          <cell r="E150" t="str">
            <v>Hindustan Petroleum Corporation Ltd</v>
          </cell>
          <cell r="F150" t="str">
            <v>EQUITY</v>
          </cell>
          <cell r="G150" t="str">
            <v>Equity</v>
          </cell>
          <cell r="H150">
            <v>9604</v>
          </cell>
          <cell r="I150">
            <v>10</v>
          </cell>
          <cell r="J150">
            <v>342.45</v>
          </cell>
          <cell r="K150">
            <v>347.4</v>
          </cell>
          <cell r="L150">
            <v>1.4248704663212436E-2</v>
          </cell>
          <cell r="M150" t="str">
            <v>INR</v>
          </cell>
          <cell r="N150">
            <v>284.56236359850061</v>
          </cell>
          <cell r="O150">
            <v>2732936.94</v>
          </cell>
          <cell r="P150">
            <v>2732936.94</v>
          </cell>
          <cell r="Q150">
            <v>3336429.6</v>
          </cell>
          <cell r="R150">
            <v>96040</v>
          </cell>
          <cell r="S150">
            <v>603492.66</v>
          </cell>
          <cell r="T150">
            <v>47539.8</v>
          </cell>
          <cell r="U150">
            <v>1.4E-3</v>
          </cell>
          <cell r="V150">
            <v>1.5E-3</v>
          </cell>
          <cell r="W150">
            <v>0</v>
          </cell>
          <cell r="X150">
            <v>0</v>
          </cell>
          <cell r="Y150">
            <v>45260</v>
          </cell>
          <cell r="Z150" t="str">
            <v xml:space="preserve"> </v>
          </cell>
        </row>
        <row r="151">
          <cell r="D151" t="str">
            <v>INE090A01021</v>
          </cell>
          <cell r="E151" t="str">
            <v>ICICI Bank Ltd</v>
          </cell>
          <cell r="F151" t="str">
            <v>EQUITY</v>
          </cell>
          <cell r="G151" t="str">
            <v>Equity</v>
          </cell>
          <cell r="H151">
            <v>67523</v>
          </cell>
          <cell r="I151">
            <v>2</v>
          </cell>
          <cell r="J151">
            <v>939.6</v>
          </cell>
          <cell r="K151">
            <v>934.95</v>
          </cell>
          <cell r="L151">
            <v>-4.9735279961495267E-3</v>
          </cell>
          <cell r="M151" t="str">
            <v>INR</v>
          </cell>
          <cell r="N151">
            <v>955.35115205189345</v>
          </cell>
          <cell r="O151">
            <v>64508175.840000004</v>
          </cell>
          <cell r="P151">
            <v>64508175.840000004</v>
          </cell>
          <cell r="Q151">
            <v>63130628.850000001</v>
          </cell>
          <cell r="R151">
            <v>135046</v>
          </cell>
          <cell r="S151">
            <v>-1377546.99</v>
          </cell>
          <cell r="T151">
            <v>-313981.95</v>
          </cell>
          <cell r="U151">
            <v>2.5999999999999999E-2</v>
          </cell>
          <cell r="V151">
            <v>2.8299999999999999E-2</v>
          </cell>
          <cell r="W151">
            <v>0</v>
          </cell>
          <cell r="X151">
            <v>0</v>
          </cell>
          <cell r="Y151">
            <v>45260</v>
          </cell>
          <cell r="Z151" t="str">
            <v xml:space="preserve"> </v>
          </cell>
        </row>
        <row r="152">
          <cell r="D152" t="str">
            <v>INE306R01017</v>
          </cell>
          <cell r="E152" t="str">
            <v>Intellect Design Arena Ltd</v>
          </cell>
          <cell r="F152" t="str">
            <v>EQUITY</v>
          </cell>
          <cell r="G152" t="str">
            <v>Equity</v>
          </cell>
          <cell r="H152">
            <v>3564</v>
          </cell>
          <cell r="I152">
            <v>5</v>
          </cell>
          <cell r="J152">
            <v>697.85</v>
          </cell>
          <cell r="K152">
            <v>734.45</v>
          </cell>
          <cell r="L152">
            <v>4.9833208523384846E-2</v>
          </cell>
          <cell r="M152" t="str">
            <v>INR</v>
          </cell>
          <cell r="N152">
            <v>698.28540123456787</v>
          </cell>
          <cell r="O152">
            <v>2488689.17</v>
          </cell>
          <cell r="P152">
            <v>2488689.17</v>
          </cell>
          <cell r="Q152">
            <v>2617579.7999999998</v>
          </cell>
          <cell r="R152">
            <v>17820</v>
          </cell>
          <cell r="S152">
            <v>128890.63</v>
          </cell>
          <cell r="T152">
            <v>130442.4</v>
          </cell>
          <cell r="U152">
            <v>1.1000000000000001E-3</v>
          </cell>
          <cell r="V152">
            <v>1.1999999999999999E-3</v>
          </cell>
          <cell r="W152">
            <v>0</v>
          </cell>
          <cell r="X152">
            <v>0</v>
          </cell>
          <cell r="Y152">
            <v>45260</v>
          </cell>
          <cell r="Z152" t="str">
            <v xml:space="preserve"> </v>
          </cell>
        </row>
        <row r="153">
          <cell r="D153" t="str">
            <v>INE092T01019</v>
          </cell>
          <cell r="E153" t="str">
            <v>IDFC First Bank Limited</v>
          </cell>
          <cell r="F153" t="str">
            <v>EQUITY</v>
          </cell>
          <cell r="G153" t="str">
            <v>Equity</v>
          </cell>
          <cell r="H153">
            <v>51462</v>
          </cell>
          <cell r="I153">
            <v>10</v>
          </cell>
          <cell r="J153">
            <v>84.9</v>
          </cell>
          <cell r="K153">
            <v>85.2</v>
          </cell>
          <cell r="L153">
            <v>3.5211267605633804E-3</v>
          </cell>
          <cell r="M153" t="str">
            <v>INR</v>
          </cell>
          <cell r="N153">
            <v>83.146647623489173</v>
          </cell>
          <cell r="O153">
            <v>4278892.78</v>
          </cell>
          <cell r="P153">
            <v>4278892.78</v>
          </cell>
          <cell r="Q153">
            <v>4384562.4000000004</v>
          </cell>
          <cell r="R153">
            <v>514620</v>
          </cell>
          <cell r="S153">
            <v>105669.62</v>
          </cell>
          <cell r="T153">
            <v>15438.6</v>
          </cell>
          <cell r="U153">
            <v>1.8E-3</v>
          </cell>
          <cell r="V153">
            <v>2E-3</v>
          </cell>
          <cell r="W153">
            <v>0</v>
          </cell>
          <cell r="X153">
            <v>0</v>
          </cell>
          <cell r="Y153">
            <v>45260</v>
          </cell>
          <cell r="Z153" t="str">
            <v xml:space="preserve"> </v>
          </cell>
        </row>
        <row r="154">
          <cell r="D154" t="str">
            <v>INE663F01024</v>
          </cell>
          <cell r="E154" t="str">
            <v>Info Edge India Ltd</v>
          </cell>
          <cell r="F154" t="str">
            <v>EQUITY</v>
          </cell>
          <cell r="G154" t="str">
            <v>Equity</v>
          </cell>
          <cell r="H154">
            <v>1199</v>
          </cell>
          <cell r="I154">
            <v>10</v>
          </cell>
          <cell r="J154">
            <v>4547.6499999999996</v>
          </cell>
          <cell r="K154">
            <v>4611</v>
          </cell>
          <cell r="L154">
            <v>1.373888527434396E-2</v>
          </cell>
          <cell r="M154" t="str">
            <v>INR</v>
          </cell>
          <cell r="N154">
            <v>4383.4518682235193</v>
          </cell>
          <cell r="O154">
            <v>5255758.79</v>
          </cell>
          <cell r="P154">
            <v>5255758.79</v>
          </cell>
          <cell r="Q154">
            <v>5528589</v>
          </cell>
          <cell r="R154">
            <v>11990</v>
          </cell>
          <cell r="S154">
            <v>272830.21000000002</v>
          </cell>
          <cell r="T154">
            <v>75956.649999999994</v>
          </cell>
          <cell r="U154">
            <v>2.3E-3</v>
          </cell>
          <cell r="V154">
            <v>2.5000000000000001E-3</v>
          </cell>
          <cell r="W154">
            <v>0</v>
          </cell>
          <cell r="X154">
            <v>0</v>
          </cell>
          <cell r="Y154">
            <v>45260</v>
          </cell>
          <cell r="Z154" t="str">
            <v xml:space="preserve"> </v>
          </cell>
        </row>
        <row r="155">
          <cell r="D155" t="str">
            <v>INE466L01038</v>
          </cell>
          <cell r="E155" t="str">
            <v>360 One WAM Limited</v>
          </cell>
          <cell r="F155" t="str">
            <v>EQUITY</v>
          </cell>
          <cell r="G155" t="str">
            <v>Equity</v>
          </cell>
          <cell r="H155">
            <v>5390</v>
          </cell>
          <cell r="I155">
            <v>1</v>
          </cell>
          <cell r="J155">
            <v>558.85</v>
          </cell>
          <cell r="K155">
            <v>572.25</v>
          </cell>
          <cell r="L155">
            <v>2.3416339012669287E-2</v>
          </cell>
          <cell r="M155" t="str">
            <v>INR</v>
          </cell>
          <cell r="N155">
            <v>446.48007421150277</v>
          </cell>
          <cell r="O155">
            <v>2406527.6</v>
          </cell>
          <cell r="P155">
            <v>2406527.6</v>
          </cell>
          <cell r="Q155">
            <v>3084427.5</v>
          </cell>
          <cell r="R155">
            <v>5390</v>
          </cell>
          <cell r="S155">
            <v>677899.9</v>
          </cell>
          <cell r="T155">
            <v>72226</v>
          </cell>
          <cell r="U155">
            <v>1.2999999999999999E-3</v>
          </cell>
          <cell r="V155">
            <v>1.4E-3</v>
          </cell>
          <cell r="W155">
            <v>0</v>
          </cell>
          <cell r="X155">
            <v>0</v>
          </cell>
          <cell r="Y155">
            <v>45260</v>
          </cell>
          <cell r="Z155" t="str">
            <v xml:space="preserve"> </v>
          </cell>
        </row>
        <row r="156">
          <cell r="D156" t="str">
            <v>INE530B01024</v>
          </cell>
          <cell r="E156" t="str">
            <v>IIFL Finance Limited</v>
          </cell>
          <cell r="F156" t="str">
            <v>EQUITY</v>
          </cell>
          <cell r="G156" t="str">
            <v>Equity</v>
          </cell>
          <cell r="H156">
            <v>6558</v>
          </cell>
          <cell r="I156">
            <v>2</v>
          </cell>
          <cell r="J156">
            <v>599.75</v>
          </cell>
          <cell r="K156">
            <v>608.5</v>
          </cell>
          <cell r="L156">
            <v>1.4379622021364009E-2</v>
          </cell>
          <cell r="M156" t="str">
            <v>INR</v>
          </cell>
          <cell r="N156">
            <v>495.74203110704485</v>
          </cell>
          <cell r="O156">
            <v>3251076.24</v>
          </cell>
          <cell r="P156">
            <v>3251076.24</v>
          </cell>
          <cell r="Q156">
            <v>3990543</v>
          </cell>
          <cell r="R156">
            <v>13116</v>
          </cell>
          <cell r="S156">
            <v>739466.76</v>
          </cell>
          <cell r="T156">
            <v>57382.5</v>
          </cell>
          <cell r="U156">
            <v>1.6000000000000001E-3</v>
          </cell>
          <cell r="V156">
            <v>1.8E-3</v>
          </cell>
          <cell r="W156">
            <v>0</v>
          </cell>
          <cell r="X156">
            <v>0</v>
          </cell>
          <cell r="Y156">
            <v>45260</v>
          </cell>
          <cell r="Z156" t="str">
            <v xml:space="preserve"> </v>
          </cell>
        </row>
        <row r="157">
          <cell r="D157" t="str">
            <v>INE933S01016</v>
          </cell>
          <cell r="E157" t="str">
            <v>Indiamart Intermesh Limited</v>
          </cell>
          <cell r="F157" t="str">
            <v>EQUITY</v>
          </cell>
          <cell r="G157" t="str">
            <v>Equity</v>
          </cell>
          <cell r="H157">
            <v>1197</v>
          </cell>
          <cell r="I157">
            <v>10</v>
          </cell>
          <cell r="J157">
            <v>2613.6999999999998</v>
          </cell>
          <cell r="K157">
            <v>2604.0500000000002</v>
          </cell>
          <cell r="L157">
            <v>-3.7057660183176205E-3</v>
          </cell>
          <cell r="M157" t="str">
            <v>INR</v>
          </cell>
          <cell r="N157">
            <v>2858.8310025062656</v>
          </cell>
          <cell r="O157">
            <v>3422020.71</v>
          </cell>
          <cell r="P157">
            <v>3422020.71</v>
          </cell>
          <cell r="Q157">
            <v>3117047.85</v>
          </cell>
          <cell r="R157">
            <v>11970</v>
          </cell>
          <cell r="S157">
            <v>-304972.86</v>
          </cell>
          <cell r="T157">
            <v>-11551.05</v>
          </cell>
          <cell r="U157">
            <v>1.2999999999999999E-3</v>
          </cell>
          <cell r="V157">
            <v>1.4E-3</v>
          </cell>
          <cell r="W157">
            <v>0</v>
          </cell>
          <cell r="X157">
            <v>0</v>
          </cell>
          <cell r="Y157">
            <v>45260</v>
          </cell>
          <cell r="Z157" t="str">
            <v xml:space="preserve"> </v>
          </cell>
        </row>
        <row r="158">
          <cell r="D158" t="str">
            <v>INE009A01021</v>
          </cell>
          <cell r="E158" t="str">
            <v>Infosys Ltd</v>
          </cell>
          <cell r="F158" t="str">
            <v>EQUITY</v>
          </cell>
          <cell r="G158" t="str">
            <v>Equity</v>
          </cell>
          <cell r="H158">
            <v>9157</v>
          </cell>
          <cell r="I158">
            <v>5</v>
          </cell>
          <cell r="J158">
            <v>1459.6</v>
          </cell>
          <cell r="K158">
            <v>1455.15</v>
          </cell>
          <cell r="L158">
            <v>-3.0581039755351682E-3</v>
          </cell>
          <cell r="M158" t="str">
            <v>INR</v>
          </cell>
          <cell r="N158">
            <v>1388.5387048159878</v>
          </cell>
          <cell r="O158">
            <v>12714848.92</v>
          </cell>
          <cell r="P158">
            <v>12714848.92</v>
          </cell>
          <cell r="Q158">
            <v>13324808.550000001</v>
          </cell>
          <cell r="R158">
            <v>45785</v>
          </cell>
          <cell r="S158">
            <v>609959.63</v>
          </cell>
          <cell r="T158">
            <v>-40748.65</v>
          </cell>
          <cell r="U158">
            <v>5.4999999999999997E-3</v>
          </cell>
          <cell r="V158">
            <v>6.0000000000000001E-3</v>
          </cell>
          <cell r="W158">
            <v>0</v>
          </cell>
          <cell r="X158">
            <v>0</v>
          </cell>
          <cell r="Y158">
            <v>45260</v>
          </cell>
          <cell r="Z158" t="str">
            <v xml:space="preserve"> </v>
          </cell>
        </row>
        <row r="159">
          <cell r="D159" t="str">
            <v>INE726G01019</v>
          </cell>
          <cell r="E159" t="str">
            <v>ICICI Prudential Life Insurance Company Limited</v>
          </cell>
          <cell r="F159" t="str">
            <v>EQUITY</v>
          </cell>
          <cell r="G159" t="str">
            <v>Equity</v>
          </cell>
          <cell r="H159">
            <v>5817</v>
          </cell>
          <cell r="I159">
            <v>10</v>
          </cell>
          <cell r="J159">
            <v>551.70000000000005</v>
          </cell>
          <cell r="K159">
            <v>562.6</v>
          </cell>
          <cell r="L159">
            <v>1.9374333451830785E-2</v>
          </cell>
          <cell r="M159" t="str">
            <v>INR</v>
          </cell>
          <cell r="N159">
            <v>549.30474471376999</v>
          </cell>
          <cell r="O159">
            <v>3195305.7</v>
          </cell>
          <cell r="P159">
            <v>3195305.7</v>
          </cell>
          <cell r="Q159">
            <v>3272644.2</v>
          </cell>
          <cell r="R159">
            <v>58170</v>
          </cell>
          <cell r="S159">
            <v>77338.5</v>
          </cell>
          <cell r="T159">
            <v>63405.3</v>
          </cell>
          <cell r="U159">
            <v>1.2999999999999999E-3</v>
          </cell>
          <cell r="V159">
            <v>1.5E-3</v>
          </cell>
          <cell r="W159">
            <v>0</v>
          </cell>
          <cell r="X159">
            <v>0</v>
          </cell>
          <cell r="Y159">
            <v>45260</v>
          </cell>
          <cell r="Z159" t="str">
            <v xml:space="preserve"> </v>
          </cell>
        </row>
        <row r="160">
          <cell r="D160" t="str">
            <v>INE572A01036</v>
          </cell>
          <cell r="E160" t="str">
            <v>J B Chemicals and Pharma Ltd</v>
          </cell>
          <cell r="F160" t="str">
            <v>EQUITY</v>
          </cell>
          <cell r="G160" t="str">
            <v>Equity</v>
          </cell>
          <cell r="H160">
            <v>2046</v>
          </cell>
          <cell r="I160">
            <v>1</v>
          </cell>
          <cell r="J160">
            <v>1410.35</v>
          </cell>
          <cell r="K160">
            <v>1450.9</v>
          </cell>
          <cell r="L160">
            <v>2.7948170101316425E-2</v>
          </cell>
          <cell r="M160" t="str">
            <v>INR</v>
          </cell>
          <cell r="N160">
            <v>1094.4554349951125</v>
          </cell>
          <cell r="O160">
            <v>2239255.8199999998</v>
          </cell>
          <cell r="P160">
            <v>2239255.8199999998</v>
          </cell>
          <cell r="Q160">
            <v>2968541.4</v>
          </cell>
          <cell r="R160">
            <v>2046</v>
          </cell>
          <cell r="S160">
            <v>729285.58</v>
          </cell>
          <cell r="T160">
            <v>82965.3</v>
          </cell>
          <cell r="U160">
            <v>1.1999999999999999E-3</v>
          </cell>
          <cell r="V160">
            <v>1.2999999999999999E-3</v>
          </cell>
          <cell r="W160">
            <v>0</v>
          </cell>
          <cell r="X160">
            <v>0</v>
          </cell>
          <cell r="Y160">
            <v>45260</v>
          </cell>
          <cell r="Z160" t="str">
            <v xml:space="preserve"> </v>
          </cell>
        </row>
        <row r="161">
          <cell r="D161" t="str">
            <v>INE168A01041</v>
          </cell>
          <cell r="E161" t="str">
            <v>The Jammu and Kashmir Bank Ltd</v>
          </cell>
          <cell r="F161" t="str">
            <v>EQUITY</v>
          </cell>
          <cell r="G161" t="str">
            <v>Equity</v>
          </cell>
          <cell r="H161">
            <v>28063</v>
          </cell>
          <cell r="I161">
            <v>1</v>
          </cell>
          <cell r="J161">
            <v>110.2</v>
          </cell>
          <cell r="K161">
            <v>109.5</v>
          </cell>
          <cell r="L161">
            <v>-6.392694063926941E-3</v>
          </cell>
          <cell r="M161" t="str">
            <v>INR</v>
          </cell>
          <cell r="N161">
            <v>99.89809998930977</v>
          </cell>
          <cell r="O161">
            <v>2803440.38</v>
          </cell>
          <cell r="P161">
            <v>2803440.38</v>
          </cell>
          <cell r="Q161">
            <v>3072898.5</v>
          </cell>
          <cell r="R161">
            <v>28063</v>
          </cell>
          <cell r="S161">
            <v>269458.12</v>
          </cell>
          <cell r="T161">
            <v>-19644.099999999999</v>
          </cell>
          <cell r="U161">
            <v>1.2999999999999999E-3</v>
          </cell>
          <cell r="V161">
            <v>1.4E-3</v>
          </cell>
          <cell r="W161">
            <v>0</v>
          </cell>
          <cell r="X161">
            <v>0</v>
          </cell>
          <cell r="Y161">
            <v>45260</v>
          </cell>
          <cell r="Z161" t="str">
            <v xml:space="preserve"> </v>
          </cell>
        </row>
        <row r="162">
          <cell r="D162" t="str">
            <v>INE682M01012</v>
          </cell>
          <cell r="E162" t="str">
            <v>Jupiter Life Line Hospitals Limited</v>
          </cell>
          <cell r="F162" t="str">
            <v>EQUITY</v>
          </cell>
          <cell r="G162" t="str">
            <v>Equity</v>
          </cell>
          <cell r="H162">
            <v>856</v>
          </cell>
          <cell r="I162">
            <v>10</v>
          </cell>
          <cell r="J162">
            <v>1104.2</v>
          </cell>
          <cell r="K162">
            <v>1112.45</v>
          </cell>
          <cell r="L162">
            <v>7.4160636433098113E-3</v>
          </cell>
          <cell r="M162" t="str">
            <v>INR</v>
          </cell>
          <cell r="N162">
            <v>735</v>
          </cell>
          <cell r="O162">
            <v>629160</v>
          </cell>
          <cell r="P162">
            <v>629160</v>
          </cell>
          <cell r="Q162">
            <v>952257.2</v>
          </cell>
          <cell r="R162">
            <v>8560</v>
          </cell>
          <cell r="S162">
            <v>323097.2</v>
          </cell>
          <cell r="T162">
            <v>7062</v>
          </cell>
          <cell r="U162">
            <v>4.0000000000000002E-4</v>
          </cell>
          <cell r="V162">
            <v>4.0000000000000002E-4</v>
          </cell>
          <cell r="W162">
            <v>0</v>
          </cell>
          <cell r="X162">
            <v>0</v>
          </cell>
          <cell r="Y162">
            <v>45260</v>
          </cell>
          <cell r="Z162" t="str">
            <v xml:space="preserve"> </v>
          </cell>
        </row>
        <row r="163">
          <cell r="D163" t="str">
            <v>INE918Z01012</v>
          </cell>
          <cell r="E163" t="str">
            <v>Kaynes Technology India Limited</v>
          </cell>
          <cell r="F163" t="str">
            <v>EQUITY</v>
          </cell>
          <cell r="G163" t="str">
            <v>Equity</v>
          </cell>
          <cell r="H163">
            <v>789</v>
          </cell>
          <cell r="I163">
            <v>10</v>
          </cell>
          <cell r="J163">
            <v>2426.35</v>
          </cell>
          <cell r="K163">
            <v>2466.6</v>
          </cell>
          <cell r="L163">
            <v>1.6318008594826888E-2</v>
          </cell>
          <cell r="M163" t="str">
            <v>INR</v>
          </cell>
          <cell r="N163">
            <v>1227.7837389100127</v>
          </cell>
          <cell r="O163">
            <v>968721.37</v>
          </cell>
          <cell r="P163">
            <v>968721.37</v>
          </cell>
          <cell r="Q163">
            <v>1946147.4</v>
          </cell>
          <cell r="R163">
            <v>7890</v>
          </cell>
          <cell r="S163">
            <v>977426.03</v>
          </cell>
          <cell r="T163">
            <v>31757.25</v>
          </cell>
          <cell r="U163">
            <v>8.0000000000000004E-4</v>
          </cell>
          <cell r="V163">
            <v>8.9999999999999998E-4</v>
          </cell>
          <cell r="W163">
            <v>0</v>
          </cell>
          <cell r="X163">
            <v>0</v>
          </cell>
          <cell r="Y163">
            <v>45260</v>
          </cell>
          <cell r="Z163" t="str">
            <v xml:space="preserve"> </v>
          </cell>
        </row>
        <row r="164">
          <cell r="D164" t="str">
            <v>INE967H01017</v>
          </cell>
          <cell r="E164" t="str">
            <v>Krishna Institute Of Medical Sciences Limited</v>
          </cell>
          <cell r="F164" t="str">
            <v>EQUITY</v>
          </cell>
          <cell r="G164" t="str">
            <v>Equity</v>
          </cell>
          <cell r="H164">
            <v>2223</v>
          </cell>
          <cell r="I164">
            <v>10</v>
          </cell>
          <cell r="J164">
            <v>1957.25</v>
          </cell>
          <cell r="K164">
            <v>1955.4</v>
          </cell>
          <cell r="L164">
            <v>-9.4609798506699392E-4</v>
          </cell>
          <cell r="M164" t="str">
            <v>INR</v>
          </cell>
          <cell r="N164">
            <v>1890.5860593792172</v>
          </cell>
          <cell r="O164">
            <v>4202772.8099999996</v>
          </cell>
          <cell r="P164">
            <v>4202772.8099999996</v>
          </cell>
          <cell r="Q164">
            <v>4346854.2</v>
          </cell>
          <cell r="R164">
            <v>22230</v>
          </cell>
          <cell r="S164">
            <v>144081.39000000001</v>
          </cell>
          <cell r="T164">
            <v>-4112.55</v>
          </cell>
          <cell r="U164">
            <v>1.8E-3</v>
          </cell>
          <cell r="V164">
            <v>1.9E-3</v>
          </cell>
          <cell r="W164">
            <v>0</v>
          </cell>
          <cell r="X164">
            <v>0</v>
          </cell>
          <cell r="Y164">
            <v>45260</v>
          </cell>
          <cell r="Z164" t="str">
            <v xml:space="preserve"> </v>
          </cell>
        </row>
        <row r="165">
          <cell r="D165" t="str">
            <v>INE401H01017</v>
          </cell>
          <cell r="E165" t="str">
            <v>Kewal Kiran Clothing Limited</v>
          </cell>
          <cell r="F165" t="str">
            <v>EQUITY</v>
          </cell>
          <cell r="G165" t="str">
            <v>Equity</v>
          </cell>
          <cell r="H165">
            <v>5026</v>
          </cell>
          <cell r="I165">
            <v>10</v>
          </cell>
          <cell r="J165">
            <v>796.25</v>
          </cell>
          <cell r="K165">
            <v>798.45</v>
          </cell>
          <cell r="L165">
            <v>2.755338468282297E-3</v>
          </cell>
          <cell r="M165" t="str">
            <v>INR</v>
          </cell>
          <cell r="N165">
            <v>715.34218066056508</v>
          </cell>
          <cell r="O165">
            <v>3595309.8</v>
          </cell>
          <cell r="P165">
            <v>3595309.8</v>
          </cell>
          <cell r="Q165">
            <v>4013009.7</v>
          </cell>
          <cell r="R165">
            <v>50260</v>
          </cell>
          <cell r="S165">
            <v>417699.9</v>
          </cell>
          <cell r="T165">
            <v>11057.2</v>
          </cell>
          <cell r="U165">
            <v>1.6999999999999999E-3</v>
          </cell>
          <cell r="V165">
            <v>1.8E-3</v>
          </cell>
          <cell r="W165">
            <v>0</v>
          </cell>
          <cell r="X165">
            <v>0</v>
          </cell>
          <cell r="Y165">
            <v>45260</v>
          </cell>
          <cell r="Z165" t="str">
            <v xml:space="preserve"> </v>
          </cell>
        </row>
        <row r="166">
          <cell r="D166" t="str">
            <v>INE237A01028</v>
          </cell>
          <cell r="E166" t="str">
            <v>Kotak Mahindra Bank Ltd</v>
          </cell>
          <cell r="F166" t="str">
            <v>EQUITY</v>
          </cell>
          <cell r="G166" t="str">
            <v>Equity</v>
          </cell>
          <cell r="H166">
            <v>29486</v>
          </cell>
          <cell r="I166">
            <v>5</v>
          </cell>
          <cell r="J166">
            <v>1753.45</v>
          </cell>
          <cell r="K166">
            <v>1755.45</v>
          </cell>
          <cell r="L166">
            <v>1.1393090090859894E-3</v>
          </cell>
          <cell r="M166" t="str">
            <v>INR</v>
          </cell>
          <cell r="N166">
            <v>1822.7553411788645</v>
          </cell>
          <cell r="O166">
            <v>53745763.990000002</v>
          </cell>
          <cell r="P166">
            <v>53745763.990000002</v>
          </cell>
          <cell r="Q166">
            <v>51761198.700000003</v>
          </cell>
          <cell r="R166">
            <v>147430</v>
          </cell>
          <cell r="S166">
            <v>-1984565.29</v>
          </cell>
          <cell r="T166">
            <v>58972</v>
          </cell>
          <cell r="U166">
            <v>2.1299999999999999E-2</v>
          </cell>
          <cell r="V166">
            <v>2.3199999999999998E-2</v>
          </cell>
          <cell r="W166">
            <v>0</v>
          </cell>
          <cell r="X166">
            <v>0</v>
          </cell>
          <cell r="Y166">
            <v>45260</v>
          </cell>
          <cell r="Z166" t="str">
            <v xml:space="preserve"> </v>
          </cell>
        </row>
        <row r="167">
          <cell r="D167" t="str">
            <v>INE999A01015</v>
          </cell>
          <cell r="E167" t="str">
            <v>KSB Limited</v>
          </cell>
          <cell r="F167" t="str">
            <v>EQUITY</v>
          </cell>
          <cell r="G167" t="str">
            <v>Equity</v>
          </cell>
          <cell r="H167">
            <v>1988</v>
          </cell>
          <cell r="I167">
            <v>10</v>
          </cell>
          <cell r="J167">
            <v>3284.95</v>
          </cell>
          <cell r="K167">
            <v>3422.8</v>
          </cell>
          <cell r="L167">
            <v>4.0274044641813722E-2</v>
          </cell>
          <cell r="M167" t="str">
            <v>INR</v>
          </cell>
          <cell r="N167">
            <v>2973.2729979879277</v>
          </cell>
          <cell r="O167">
            <v>5910866.7199999997</v>
          </cell>
          <cell r="P167">
            <v>5910866.7199999997</v>
          </cell>
          <cell r="Q167">
            <v>6804526.4000000004</v>
          </cell>
          <cell r="R167">
            <v>19880</v>
          </cell>
          <cell r="S167">
            <v>893659.68</v>
          </cell>
          <cell r="T167">
            <v>274045.8</v>
          </cell>
          <cell r="U167">
            <v>2.8E-3</v>
          </cell>
          <cell r="V167">
            <v>3.0999999999999999E-3</v>
          </cell>
          <cell r="W167">
            <v>0</v>
          </cell>
          <cell r="X167">
            <v>0</v>
          </cell>
          <cell r="Y167">
            <v>45260</v>
          </cell>
          <cell r="Z167" t="str">
            <v xml:space="preserve"> </v>
          </cell>
        </row>
        <row r="168">
          <cell r="D168" t="str">
            <v>INE849A01020</v>
          </cell>
          <cell r="E168" t="str">
            <v>Trent Ltd</v>
          </cell>
          <cell r="F168" t="str">
            <v>EQUITY</v>
          </cell>
          <cell r="G168" t="str">
            <v>Equity</v>
          </cell>
          <cell r="H168">
            <v>2447</v>
          </cell>
          <cell r="I168">
            <v>1</v>
          </cell>
          <cell r="J168">
            <v>2676.4</v>
          </cell>
          <cell r="K168">
            <v>2787</v>
          </cell>
          <cell r="L168">
            <v>3.9684248295658413E-2</v>
          </cell>
          <cell r="M168" t="str">
            <v>INR</v>
          </cell>
          <cell r="N168">
            <v>1621.797511238251</v>
          </cell>
          <cell r="O168">
            <v>3968538.51</v>
          </cell>
          <cell r="P168">
            <v>3968538.51</v>
          </cell>
          <cell r="Q168">
            <v>6819789</v>
          </cell>
          <cell r="R168">
            <v>2447</v>
          </cell>
          <cell r="S168">
            <v>2851250.49</v>
          </cell>
          <cell r="T168">
            <v>270638.2</v>
          </cell>
          <cell r="U168">
            <v>2.8E-3</v>
          </cell>
          <cell r="V168">
            <v>3.0999999999999999E-3</v>
          </cell>
          <cell r="W168">
            <v>0</v>
          </cell>
          <cell r="X168">
            <v>0</v>
          </cell>
          <cell r="Y168">
            <v>45260</v>
          </cell>
          <cell r="Z168" t="str">
            <v xml:space="preserve"> </v>
          </cell>
        </row>
        <row r="169">
          <cell r="D169" t="str">
            <v>INE018A01030</v>
          </cell>
          <cell r="E169" t="str">
            <v>Larsen &amp; Toubro Ltd</v>
          </cell>
          <cell r="F169" t="str">
            <v>EQUITY</v>
          </cell>
          <cell r="G169" t="str">
            <v>Equity</v>
          </cell>
          <cell r="H169">
            <v>6835</v>
          </cell>
          <cell r="I169">
            <v>2</v>
          </cell>
          <cell r="J169">
            <v>3083.75</v>
          </cell>
          <cell r="K169">
            <v>3109.2</v>
          </cell>
          <cell r="L169">
            <v>8.1853853081178436E-3</v>
          </cell>
          <cell r="M169" t="str">
            <v>INR</v>
          </cell>
          <cell r="N169">
            <v>2665.4998712509146</v>
          </cell>
          <cell r="O169">
            <v>18218691.620000001</v>
          </cell>
          <cell r="P169">
            <v>18218691.620000001</v>
          </cell>
          <cell r="Q169">
            <v>21251382</v>
          </cell>
          <cell r="R169">
            <v>13670</v>
          </cell>
          <cell r="S169">
            <v>3032690.38</v>
          </cell>
          <cell r="T169">
            <v>173950.75</v>
          </cell>
          <cell r="U169">
            <v>8.6999999999999994E-3</v>
          </cell>
          <cell r="V169">
            <v>9.4999999999999998E-3</v>
          </cell>
          <cell r="W169">
            <v>0</v>
          </cell>
          <cell r="X169">
            <v>0</v>
          </cell>
          <cell r="Y169">
            <v>45260</v>
          </cell>
          <cell r="Z169" t="str">
            <v xml:space="preserve"> </v>
          </cell>
        </row>
        <row r="170">
          <cell r="D170" t="str">
            <v>INE214T01019</v>
          </cell>
          <cell r="E170" t="str">
            <v>LTIMindtree Limited</v>
          </cell>
          <cell r="F170" t="str">
            <v>EQUITY</v>
          </cell>
          <cell r="G170" t="str">
            <v>Equity</v>
          </cell>
          <cell r="H170">
            <v>1648</v>
          </cell>
          <cell r="I170">
            <v>1</v>
          </cell>
          <cell r="J170">
            <v>5588.5</v>
          </cell>
          <cell r="K170">
            <v>5536.7</v>
          </cell>
          <cell r="L170">
            <v>-9.3557534271316856E-3</v>
          </cell>
          <cell r="M170" t="str">
            <v>INR</v>
          </cell>
          <cell r="N170">
            <v>5024.3335983009711</v>
          </cell>
          <cell r="O170">
            <v>8280101.7699999996</v>
          </cell>
          <cell r="P170">
            <v>8280101.7699999996</v>
          </cell>
          <cell r="Q170">
            <v>9124481.5999999996</v>
          </cell>
          <cell r="R170">
            <v>1648</v>
          </cell>
          <cell r="S170">
            <v>844379.83</v>
          </cell>
          <cell r="T170">
            <v>-85366.399999999994</v>
          </cell>
          <cell r="U170">
            <v>3.8E-3</v>
          </cell>
          <cell r="V170">
            <v>4.1000000000000003E-3</v>
          </cell>
          <cell r="W170">
            <v>0</v>
          </cell>
          <cell r="X170">
            <v>0</v>
          </cell>
          <cell r="Y170">
            <v>45260</v>
          </cell>
          <cell r="Z170" t="str">
            <v xml:space="preserve"> </v>
          </cell>
        </row>
        <row r="171">
          <cell r="D171" t="str">
            <v>INE101A01026</v>
          </cell>
          <cell r="E171" t="str">
            <v>Mahindra &amp; Mahindra Ltd</v>
          </cell>
          <cell r="F171" t="str">
            <v>EQUITY</v>
          </cell>
          <cell r="G171" t="str">
            <v>Equity</v>
          </cell>
          <cell r="H171">
            <v>6298</v>
          </cell>
          <cell r="I171">
            <v>5</v>
          </cell>
          <cell r="J171">
            <v>1619.1</v>
          </cell>
          <cell r="K171">
            <v>1647.75</v>
          </cell>
          <cell r="L171">
            <v>1.7387346381429223E-2</v>
          </cell>
          <cell r="M171" t="str">
            <v>INR</v>
          </cell>
          <cell r="N171">
            <v>1503.3223134328359</v>
          </cell>
          <cell r="O171">
            <v>9467923.9299999997</v>
          </cell>
          <cell r="P171">
            <v>9467923.9299999997</v>
          </cell>
          <cell r="Q171">
            <v>10377529.5</v>
          </cell>
          <cell r="R171">
            <v>31490</v>
          </cell>
          <cell r="S171">
            <v>909605.57</v>
          </cell>
          <cell r="T171">
            <v>180437.7</v>
          </cell>
          <cell r="U171">
            <v>4.3E-3</v>
          </cell>
          <cell r="V171">
            <v>4.7000000000000002E-3</v>
          </cell>
          <cell r="W171">
            <v>0</v>
          </cell>
          <cell r="X171">
            <v>0</v>
          </cell>
          <cell r="Y171">
            <v>45260</v>
          </cell>
          <cell r="Z171" t="str">
            <v xml:space="preserve"> </v>
          </cell>
        </row>
        <row r="172">
          <cell r="D172" t="str">
            <v>INE585B01010</v>
          </cell>
          <cell r="E172" t="str">
            <v>Maruti Suzuki India Ltd</v>
          </cell>
          <cell r="F172" t="str">
            <v>EQUITY</v>
          </cell>
          <cell r="G172" t="str">
            <v>Equity</v>
          </cell>
          <cell r="H172">
            <v>4871</v>
          </cell>
          <cell r="I172">
            <v>5</v>
          </cell>
          <cell r="J172">
            <v>10599.25</v>
          </cell>
          <cell r="K172">
            <v>10608.7</v>
          </cell>
          <cell r="L172">
            <v>8.9077832345150674E-4</v>
          </cell>
          <cell r="M172" t="str">
            <v>INR</v>
          </cell>
          <cell r="N172">
            <v>10246.034491890781</v>
          </cell>
          <cell r="O172">
            <v>49908434.009999998</v>
          </cell>
          <cell r="P172">
            <v>49908434.009999998</v>
          </cell>
          <cell r="Q172">
            <v>51674977.700000003</v>
          </cell>
          <cell r="R172">
            <v>24355</v>
          </cell>
          <cell r="S172">
            <v>1766543.69</v>
          </cell>
          <cell r="T172">
            <v>46030.95</v>
          </cell>
          <cell r="U172">
            <v>2.1299999999999999E-2</v>
          </cell>
          <cell r="V172">
            <v>2.3199999999999998E-2</v>
          </cell>
          <cell r="W172">
            <v>0</v>
          </cell>
          <cell r="X172">
            <v>0</v>
          </cell>
          <cell r="Y172">
            <v>45260</v>
          </cell>
          <cell r="Z172" t="str">
            <v xml:space="preserve"> </v>
          </cell>
        </row>
        <row r="173">
          <cell r="D173" t="str">
            <v>INE634S01028</v>
          </cell>
          <cell r="E173" t="str">
            <v>Mankind Pharma Limited</v>
          </cell>
          <cell r="F173" t="str">
            <v>EQUITY</v>
          </cell>
          <cell r="G173" t="str">
            <v>Equity</v>
          </cell>
          <cell r="H173">
            <v>2223</v>
          </cell>
          <cell r="I173">
            <v>1</v>
          </cell>
          <cell r="J173">
            <v>1898.6</v>
          </cell>
          <cell r="K173">
            <v>1897.6</v>
          </cell>
          <cell r="L173">
            <v>-5.2698145025295107E-4</v>
          </cell>
          <cell r="M173" t="str">
            <v>INR</v>
          </cell>
          <cell r="N173">
            <v>1580.2609761583446</v>
          </cell>
          <cell r="O173">
            <v>3512920.15</v>
          </cell>
          <cell r="P173">
            <v>3512920.15</v>
          </cell>
          <cell r="Q173">
            <v>4218364.8</v>
          </cell>
          <cell r="R173">
            <v>2223</v>
          </cell>
          <cell r="S173">
            <v>705444.65</v>
          </cell>
          <cell r="T173">
            <v>-2223</v>
          </cell>
          <cell r="U173">
            <v>1.6999999999999999E-3</v>
          </cell>
          <cell r="V173">
            <v>1.9E-3</v>
          </cell>
          <cell r="W173">
            <v>0</v>
          </cell>
          <cell r="X173">
            <v>0</v>
          </cell>
          <cell r="Y173">
            <v>45260</v>
          </cell>
          <cell r="Z173" t="str">
            <v xml:space="preserve"> </v>
          </cell>
        </row>
        <row r="174">
          <cell r="D174" t="str">
            <v>INE414G01012</v>
          </cell>
          <cell r="E174" t="str">
            <v>Muthoot Finance Ltd</v>
          </cell>
          <cell r="F174" t="str">
            <v>EQUITY</v>
          </cell>
          <cell r="G174" t="str">
            <v>Equity</v>
          </cell>
          <cell r="H174">
            <v>2304</v>
          </cell>
          <cell r="I174">
            <v>10</v>
          </cell>
          <cell r="J174">
            <v>1415.85</v>
          </cell>
          <cell r="K174">
            <v>1481.9</v>
          </cell>
          <cell r="L174">
            <v>4.4571158647682033E-2</v>
          </cell>
          <cell r="M174" t="str">
            <v>INR</v>
          </cell>
          <cell r="N174">
            <v>1182.9208810763889</v>
          </cell>
          <cell r="O174">
            <v>2725449.71</v>
          </cell>
          <cell r="P174">
            <v>2725449.71</v>
          </cell>
          <cell r="Q174">
            <v>3414297.6</v>
          </cell>
          <cell r="R174">
            <v>23040</v>
          </cell>
          <cell r="S174">
            <v>688847.89</v>
          </cell>
          <cell r="T174">
            <v>152179.20000000001</v>
          </cell>
          <cell r="U174">
            <v>1.4E-3</v>
          </cell>
          <cell r="V174">
            <v>1.5E-3</v>
          </cell>
          <cell r="W174">
            <v>0</v>
          </cell>
          <cell r="X174">
            <v>0</v>
          </cell>
          <cell r="Y174">
            <v>45260</v>
          </cell>
          <cell r="Z174" t="str">
            <v xml:space="preserve"> </v>
          </cell>
        </row>
        <row r="175">
          <cell r="D175" t="str">
            <v>INE794A01010</v>
          </cell>
          <cell r="E175" t="str">
            <v>Neuland Laboratories Ltd</v>
          </cell>
          <cell r="F175" t="str">
            <v>EQUITY</v>
          </cell>
          <cell r="G175" t="str">
            <v>Equity</v>
          </cell>
          <cell r="H175">
            <v>1882</v>
          </cell>
          <cell r="I175">
            <v>10</v>
          </cell>
          <cell r="J175">
            <v>5171.6000000000004</v>
          </cell>
          <cell r="K175">
            <v>5466.95</v>
          </cell>
          <cell r="L175">
            <v>5.4024638966882817E-2</v>
          </cell>
          <cell r="M175" t="str">
            <v>INR</v>
          </cell>
          <cell r="N175">
            <v>5265.979803400638</v>
          </cell>
          <cell r="O175">
            <v>9910573.9900000002</v>
          </cell>
          <cell r="P175">
            <v>9910573.9900000002</v>
          </cell>
          <cell r="Q175">
            <v>10288799.9</v>
          </cell>
          <cell r="R175">
            <v>18820</v>
          </cell>
          <cell r="S175">
            <v>378225.91</v>
          </cell>
          <cell r="T175">
            <v>447928.26</v>
          </cell>
          <cell r="U175">
            <v>4.1999999999999997E-3</v>
          </cell>
          <cell r="V175">
            <v>4.5999999999999999E-3</v>
          </cell>
          <cell r="W175">
            <v>0</v>
          </cell>
          <cell r="X175">
            <v>0</v>
          </cell>
          <cell r="Y175">
            <v>45260</v>
          </cell>
          <cell r="Z175" t="str">
            <v xml:space="preserve"> </v>
          </cell>
        </row>
        <row r="176">
          <cell r="D176" t="str">
            <v>INE239A01016</v>
          </cell>
          <cell r="E176" t="str">
            <v>Nestle India Ltd</v>
          </cell>
          <cell r="F176" t="str">
            <v>EQUITY</v>
          </cell>
          <cell r="G176" t="str">
            <v>Equity</v>
          </cell>
          <cell r="H176">
            <v>1400</v>
          </cell>
          <cell r="I176">
            <v>10</v>
          </cell>
          <cell r="J176">
            <v>24067.5</v>
          </cell>
          <cell r="K176">
            <v>24236.15</v>
          </cell>
          <cell r="L176">
            <v>6.9586134761502961E-3</v>
          </cell>
          <cell r="M176" t="str">
            <v>INR</v>
          </cell>
          <cell r="N176">
            <v>22319.07292857143</v>
          </cell>
          <cell r="O176">
            <v>31246702.100000001</v>
          </cell>
          <cell r="P176">
            <v>31246702.100000001</v>
          </cell>
          <cell r="Q176">
            <v>33930610</v>
          </cell>
          <cell r="R176">
            <v>14000</v>
          </cell>
          <cell r="S176">
            <v>2683907.9</v>
          </cell>
          <cell r="T176">
            <v>236110</v>
          </cell>
          <cell r="U176">
            <v>1.4E-2</v>
          </cell>
          <cell r="V176">
            <v>1.52E-2</v>
          </cell>
          <cell r="W176">
            <v>0</v>
          </cell>
          <cell r="X176">
            <v>0</v>
          </cell>
          <cell r="Y176">
            <v>45260</v>
          </cell>
          <cell r="Z176" t="str">
            <v xml:space="preserve"> </v>
          </cell>
        </row>
        <row r="177">
          <cell r="D177" t="str">
            <v>INE591G01017</v>
          </cell>
          <cell r="E177" t="str">
            <v>Coforge Limited</v>
          </cell>
          <cell r="F177" t="str">
            <v>EQUITY</v>
          </cell>
          <cell r="G177" t="str">
            <v>Equity</v>
          </cell>
          <cell r="H177">
            <v>2174</v>
          </cell>
          <cell r="I177">
            <v>10</v>
          </cell>
          <cell r="J177">
            <v>5694.75</v>
          </cell>
          <cell r="K177">
            <v>5760.85</v>
          </cell>
          <cell r="L177">
            <v>1.1474001232457016E-2</v>
          </cell>
          <cell r="M177" t="str">
            <v>INR</v>
          </cell>
          <cell r="N177">
            <v>4790.6713247470097</v>
          </cell>
          <cell r="O177">
            <v>10414919.460000001</v>
          </cell>
          <cell r="P177">
            <v>10414919.460000001</v>
          </cell>
          <cell r="Q177">
            <v>12524087.9</v>
          </cell>
          <cell r="R177">
            <v>21740</v>
          </cell>
          <cell r="S177">
            <v>2109168.44</v>
          </cell>
          <cell r="T177">
            <v>143701.4</v>
          </cell>
          <cell r="U177">
            <v>5.1999999999999998E-3</v>
          </cell>
          <cell r="V177">
            <v>5.5999999999999999E-3</v>
          </cell>
          <cell r="W177">
            <v>0</v>
          </cell>
          <cell r="X177">
            <v>0</v>
          </cell>
          <cell r="Y177">
            <v>45260</v>
          </cell>
          <cell r="Z177" t="str">
            <v xml:space="preserve"> </v>
          </cell>
        </row>
        <row r="178">
          <cell r="D178" t="str">
            <v>INE096B01018</v>
          </cell>
          <cell r="E178" t="str">
            <v>Nucleus Software Exports Ltd</v>
          </cell>
          <cell r="F178" t="str">
            <v>EQUITY</v>
          </cell>
          <cell r="G178" t="str">
            <v>Equity</v>
          </cell>
          <cell r="H178">
            <v>1716</v>
          </cell>
          <cell r="I178">
            <v>10</v>
          </cell>
          <cell r="J178">
            <v>1457.8</v>
          </cell>
          <cell r="K178">
            <v>1469.65</v>
          </cell>
          <cell r="L178">
            <v>8.0631442860545025E-3</v>
          </cell>
          <cell r="M178" t="str">
            <v>INR</v>
          </cell>
          <cell r="N178">
            <v>1611.3288403263402</v>
          </cell>
          <cell r="O178">
            <v>2765040.29</v>
          </cell>
          <cell r="P178">
            <v>2765040.29</v>
          </cell>
          <cell r="Q178">
            <v>2521919.4</v>
          </cell>
          <cell r="R178">
            <v>17160</v>
          </cell>
          <cell r="S178">
            <v>-243120.89</v>
          </cell>
          <cell r="T178">
            <v>20334.599999999999</v>
          </cell>
          <cell r="U178">
            <v>1E-3</v>
          </cell>
          <cell r="V178">
            <v>1.1000000000000001E-3</v>
          </cell>
          <cell r="W178">
            <v>0</v>
          </cell>
          <cell r="X178">
            <v>0</v>
          </cell>
          <cell r="Y178">
            <v>45260</v>
          </cell>
          <cell r="Z178" t="str">
            <v xml:space="preserve"> </v>
          </cell>
        </row>
        <row r="179">
          <cell r="D179" t="str">
            <v>INE733E01010</v>
          </cell>
          <cell r="E179" t="str">
            <v>NTPC Ltd</v>
          </cell>
          <cell r="F179" t="str">
            <v>EQUITY</v>
          </cell>
          <cell r="G179" t="str">
            <v>Equity</v>
          </cell>
          <cell r="H179">
            <v>18551</v>
          </cell>
          <cell r="I179">
            <v>10</v>
          </cell>
          <cell r="J179">
            <v>258.39999999999998</v>
          </cell>
          <cell r="K179">
            <v>261.3</v>
          </cell>
          <cell r="L179">
            <v>1.1098354381936472E-2</v>
          </cell>
          <cell r="M179" t="str">
            <v>INR</v>
          </cell>
          <cell r="N179">
            <v>240.60652902808474</v>
          </cell>
          <cell r="O179">
            <v>4463491.72</v>
          </cell>
          <cell r="P179">
            <v>4463491.72</v>
          </cell>
          <cell r="Q179">
            <v>4847376.3</v>
          </cell>
          <cell r="R179">
            <v>185510</v>
          </cell>
          <cell r="S179">
            <v>383884.58</v>
          </cell>
          <cell r="T179">
            <v>53797.9</v>
          </cell>
          <cell r="U179">
            <v>2E-3</v>
          </cell>
          <cell r="V179">
            <v>2.2000000000000001E-3</v>
          </cell>
          <cell r="W179">
            <v>0</v>
          </cell>
          <cell r="X179">
            <v>0</v>
          </cell>
          <cell r="Y179">
            <v>45260</v>
          </cell>
          <cell r="Z179" t="str">
            <v xml:space="preserve"> </v>
          </cell>
        </row>
        <row r="180">
          <cell r="D180" t="str">
            <v>INE213A01029</v>
          </cell>
          <cell r="E180" t="str">
            <v>Oil &amp; Natural Gas Corporation Ltd</v>
          </cell>
          <cell r="F180" t="str">
            <v>EQUITY</v>
          </cell>
          <cell r="G180" t="str">
            <v>Equity</v>
          </cell>
          <cell r="H180">
            <v>136908</v>
          </cell>
          <cell r="I180">
            <v>5</v>
          </cell>
          <cell r="J180">
            <v>192</v>
          </cell>
          <cell r="K180">
            <v>194.95</v>
          </cell>
          <cell r="L180">
            <v>1.5132085150038471E-2</v>
          </cell>
          <cell r="M180" t="str">
            <v>INR</v>
          </cell>
          <cell r="N180">
            <v>180.13110395301953</v>
          </cell>
          <cell r="O180">
            <v>24661389.18</v>
          </cell>
          <cell r="P180">
            <v>24661389.18</v>
          </cell>
          <cell r="Q180">
            <v>26690214.600000001</v>
          </cell>
          <cell r="R180">
            <v>684540</v>
          </cell>
          <cell r="S180">
            <v>2028825.42</v>
          </cell>
          <cell r="T180">
            <v>403878.6</v>
          </cell>
          <cell r="U180">
            <v>1.0999999999999999E-2</v>
          </cell>
          <cell r="V180">
            <v>1.2E-2</v>
          </cell>
          <cell r="W180">
            <v>0</v>
          </cell>
          <cell r="X180">
            <v>0</v>
          </cell>
          <cell r="Y180">
            <v>45260</v>
          </cell>
          <cell r="Z180" t="str">
            <v xml:space="preserve"> </v>
          </cell>
        </row>
        <row r="181">
          <cell r="D181" t="str">
            <v>INE743M01012</v>
          </cell>
          <cell r="E181" t="str">
            <v>RHI Magnesita India Limited</v>
          </cell>
          <cell r="F181" t="str">
            <v>EQUITY</v>
          </cell>
          <cell r="G181" t="str">
            <v>Equity</v>
          </cell>
          <cell r="H181">
            <v>1049</v>
          </cell>
          <cell r="I181">
            <v>1</v>
          </cell>
          <cell r="J181">
            <v>730.45</v>
          </cell>
          <cell r="K181">
            <v>765.5</v>
          </cell>
          <cell r="L181">
            <v>4.5787067276290006E-2</v>
          </cell>
          <cell r="M181" t="str">
            <v>INR</v>
          </cell>
          <cell r="N181">
            <v>669.96309818875125</v>
          </cell>
          <cell r="O181">
            <v>702791.29</v>
          </cell>
          <cell r="P181">
            <v>702791.29</v>
          </cell>
          <cell r="Q181">
            <v>803009.5</v>
          </cell>
          <cell r="R181">
            <v>1049</v>
          </cell>
          <cell r="S181">
            <v>100218.21</v>
          </cell>
          <cell r="T181">
            <v>36767.449999999997</v>
          </cell>
          <cell r="U181">
            <v>2.9999999999999997E-4</v>
          </cell>
          <cell r="V181">
            <v>4.0000000000000002E-4</v>
          </cell>
          <cell r="W181">
            <v>0</v>
          </cell>
          <cell r="X181">
            <v>0</v>
          </cell>
          <cell r="Y181">
            <v>45260</v>
          </cell>
          <cell r="Z181" t="str">
            <v xml:space="preserve"> </v>
          </cell>
        </row>
        <row r="182">
          <cell r="D182" t="str">
            <v>INE752E01010</v>
          </cell>
          <cell r="E182" t="str">
            <v>Power Grid Corporation of India Ltd</v>
          </cell>
          <cell r="F182" t="str">
            <v>EQUITY</v>
          </cell>
          <cell r="G182" t="str">
            <v>Equity</v>
          </cell>
          <cell r="H182">
            <v>18949</v>
          </cell>
          <cell r="I182">
            <v>10</v>
          </cell>
          <cell r="J182">
            <v>211.05</v>
          </cell>
          <cell r="K182">
            <v>208.95</v>
          </cell>
          <cell r="L182">
            <v>-1.0050251256281407E-2</v>
          </cell>
          <cell r="M182" t="str">
            <v>INR</v>
          </cell>
          <cell r="N182">
            <v>178.71048023642408</v>
          </cell>
          <cell r="O182">
            <v>3386384.89</v>
          </cell>
          <cell r="P182">
            <v>3386384.89</v>
          </cell>
          <cell r="Q182">
            <v>3959393.55</v>
          </cell>
          <cell r="R182">
            <v>189490</v>
          </cell>
          <cell r="S182">
            <v>573008.66</v>
          </cell>
          <cell r="T182">
            <v>-39792.9</v>
          </cell>
          <cell r="U182">
            <v>1.6000000000000001E-3</v>
          </cell>
          <cell r="V182">
            <v>1.8E-3</v>
          </cell>
          <cell r="W182">
            <v>0</v>
          </cell>
          <cell r="X182">
            <v>0</v>
          </cell>
          <cell r="Y182">
            <v>45260</v>
          </cell>
          <cell r="Z182" t="str">
            <v xml:space="preserve"> </v>
          </cell>
        </row>
        <row r="183">
          <cell r="D183" t="str">
            <v>INE211B01039</v>
          </cell>
          <cell r="E183" t="str">
            <v>The Phoenix Mills Limited</v>
          </cell>
          <cell r="F183" t="str">
            <v>EQUITY</v>
          </cell>
          <cell r="G183" t="str">
            <v>Equity</v>
          </cell>
          <cell r="H183">
            <v>1492</v>
          </cell>
          <cell r="I183">
            <v>2</v>
          </cell>
          <cell r="J183">
            <v>2319.9499999999998</v>
          </cell>
          <cell r="K183">
            <v>2371.0500000000002</v>
          </cell>
          <cell r="L183">
            <v>2.1551633242656208E-2</v>
          </cell>
          <cell r="M183" t="str">
            <v>INR</v>
          </cell>
          <cell r="N183">
            <v>1815.5460991957104</v>
          </cell>
          <cell r="O183">
            <v>2708794.78</v>
          </cell>
          <cell r="P183">
            <v>2708794.78</v>
          </cell>
          <cell r="Q183">
            <v>3537606.6</v>
          </cell>
          <cell r="R183">
            <v>2984</v>
          </cell>
          <cell r="S183">
            <v>828811.82</v>
          </cell>
          <cell r="T183">
            <v>76241.2</v>
          </cell>
          <cell r="U183">
            <v>1.5E-3</v>
          </cell>
          <cell r="V183">
            <v>1.6000000000000001E-3</v>
          </cell>
          <cell r="W183">
            <v>0</v>
          </cell>
          <cell r="X183">
            <v>0</v>
          </cell>
          <cell r="Y183">
            <v>45260</v>
          </cell>
          <cell r="Z183" t="str">
            <v xml:space="preserve"> </v>
          </cell>
        </row>
        <row r="184">
          <cell r="D184" t="str">
            <v>INE205C01021</v>
          </cell>
          <cell r="E184" t="str">
            <v>Poly Medicure Limited</v>
          </cell>
          <cell r="F184" t="str">
            <v>EQUITY</v>
          </cell>
          <cell r="G184" t="str">
            <v>Equity</v>
          </cell>
          <cell r="H184">
            <v>3033</v>
          </cell>
          <cell r="I184">
            <v>5</v>
          </cell>
          <cell r="J184">
            <v>1514.15</v>
          </cell>
          <cell r="K184">
            <v>1525.65</v>
          </cell>
          <cell r="L184">
            <v>7.5377707862222662E-3</v>
          </cell>
          <cell r="M184" t="str">
            <v>INR</v>
          </cell>
          <cell r="N184">
            <v>1139.5304516979888</v>
          </cell>
          <cell r="O184">
            <v>3456195.86</v>
          </cell>
          <cell r="P184">
            <v>3456195.86</v>
          </cell>
          <cell r="Q184">
            <v>4627296.45</v>
          </cell>
          <cell r="R184">
            <v>15165</v>
          </cell>
          <cell r="S184">
            <v>1171100.5900000001</v>
          </cell>
          <cell r="T184">
            <v>34879.5</v>
          </cell>
          <cell r="U184">
            <v>1.9E-3</v>
          </cell>
          <cell r="V184">
            <v>2.0999999999999999E-3</v>
          </cell>
          <cell r="W184">
            <v>0</v>
          </cell>
          <cell r="X184">
            <v>0</v>
          </cell>
          <cell r="Y184">
            <v>45260</v>
          </cell>
          <cell r="Z184" t="str">
            <v xml:space="preserve"> </v>
          </cell>
        </row>
        <row r="185">
          <cell r="D185" t="str">
            <v>INE048G01026</v>
          </cell>
          <cell r="E185" t="str">
            <v>Navin Fluorine International Ltd</v>
          </cell>
          <cell r="F185" t="str">
            <v>EQUITY</v>
          </cell>
          <cell r="G185" t="str">
            <v>Equity</v>
          </cell>
          <cell r="H185">
            <v>1051</v>
          </cell>
          <cell r="I185">
            <v>2</v>
          </cell>
          <cell r="J185">
            <v>3703.75</v>
          </cell>
          <cell r="K185">
            <v>3701.1</v>
          </cell>
          <cell r="L185">
            <v>-7.1600335035529978E-4</v>
          </cell>
          <cell r="M185" t="str">
            <v>INR</v>
          </cell>
          <cell r="N185">
            <v>4526.0145480494766</v>
          </cell>
          <cell r="O185">
            <v>4756841.29</v>
          </cell>
          <cell r="P185">
            <v>4756841.29</v>
          </cell>
          <cell r="Q185">
            <v>3889856.1</v>
          </cell>
          <cell r="R185">
            <v>2102</v>
          </cell>
          <cell r="S185">
            <v>-866985.19</v>
          </cell>
          <cell r="T185">
            <v>-2785.15</v>
          </cell>
          <cell r="U185">
            <v>1.6000000000000001E-3</v>
          </cell>
          <cell r="V185">
            <v>1.6999999999999999E-3</v>
          </cell>
          <cell r="W185">
            <v>0</v>
          </cell>
          <cell r="X185">
            <v>0</v>
          </cell>
          <cell r="Y185">
            <v>45260</v>
          </cell>
          <cell r="Z185" t="str">
            <v xml:space="preserve"> </v>
          </cell>
        </row>
        <row r="186">
          <cell r="D186" t="str">
            <v>INE262H01013</v>
          </cell>
          <cell r="E186" t="str">
            <v>Persistent Systems Ltd</v>
          </cell>
          <cell r="F186" t="str">
            <v>EQUITY</v>
          </cell>
          <cell r="G186" t="str">
            <v>Equity</v>
          </cell>
          <cell r="H186">
            <v>232</v>
          </cell>
          <cell r="I186">
            <v>10</v>
          </cell>
          <cell r="J186">
            <v>6442.7</v>
          </cell>
          <cell r="K186">
            <v>6399.95</v>
          </cell>
          <cell r="L186">
            <v>-6.6797396854662927E-3</v>
          </cell>
          <cell r="M186" t="str">
            <v>INR</v>
          </cell>
          <cell r="N186">
            <v>5011.9550431034486</v>
          </cell>
          <cell r="O186">
            <v>1162773.57</v>
          </cell>
          <cell r="P186">
            <v>1162773.57</v>
          </cell>
          <cell r="Q186">
            <v>1484788.4</v>
          </cell>
          <cell r="R186">
            <v>2320</v>
          </cell>
          <cell r="S186">
            <v>322014.83</v>
          </cell>
          <cell r="T186">
            <v>-9918</v>
          </cell>
          <cell r="U186">
            <v>5.9999999999999995E-4</v>
          </cell>
          <cell r="V186">
            <v>6.9999999999999999E-4</v>
          </cell>
          <cell r="W186">
            <v>0</v>
          </cell>
          <cell r="X186">
            <v>0</v>
          </cell>
          <cell r="Y186">
            <v>45260</v>
          </cell>
          <cell r="Z186" t="str">
            <v xml:space="preserve"> </v>
          </cell>
        </row>
        <row r="187">
          <cell r="D187" t="str">
            <v>INE961O01016</v>
          </cell>
          <cell r="E187" t="str">
            <v>Rainbow Childrens Medicare Limited</v>
          </cell>
          <cell r="F187" t="str">
            <v>EQUITY</v>
          </cell>
          <cell r="G187" t="str">
            <v>Equity</v>
          </cell>
          <cell r="H187">
            <v>4264</v>
          </cell>
          <cell r="I187">
            <v>10</v>
          </cell>
          <cell r="J187">
            <v>1074.3</v>
          </cell>
          <cell r="K187">
            <v>1073.3</v>
          </cell>
          <cell r="L187">
            <v>-9.3170595360104352E-4</v>
          </cell>
          <cell r="M187" t="str">
            <v>INR</v>
          </cell>
          <cell r="N187">
            <v>956.10719512195124</v>
          </cell>
          <cell r="O187">
            <v>4076841.08</v>
          </cell>
          <cell r="P187">
            <v>4076841.08</v>
          </cell>
          <cell r="Q187">
            <v>4576551.2</v>
          </cell>
          <cell r="R187">
            <v>42640</v>
          </cell>
          <cell r="S187">
            <v>499710.12</v>
          </cell>
          <cell r="T187">
            <v>-4264</v>
          </cell>
          <cell r="U187">
            <v>1.9E-3</v>
          </cell>
          <cell r="V187">
            <v>2.0999999999999999E-3</v>
          </cell>
          <cell r="W187">
            <v>0</v>
          </cell>
          <cell r="X187">
            <v>0</v>
          </cell>
          <cell r="Y187">
            <v>45260</v>
          </cell>
          <cell r="Z187" t="str">
            <v xml:space="preserve"> </v>
          </cell>
        </row>
        <row r="188">
          <cell r="D188" t="str">
            <v>INE855R01021</v>
          </cell>
          <cell r="E188" t="str">
            <v>Radiant Cash Management Services Limited</v>
          </cell>
          <cell r="F188" t="str">
            <v>EQUITY</v>
          </cell>
          <cell r="G188" t="str">
            <v>Equity</v>
          </cell>
          <cell r="H188">
            <v>26488</v>
          </cell>
          <cell r="I188">
            <v>1</v>
          </cell>
          <cell r="J188">
            <v>88.75</v>
          </cell>
          <cell r="K188">
            <v>88.15</v>
          </cell>
          <cell r="L188">
            <v>-6.8065796937039139E-3</v>
          </cell>
          <cell r="M188" t="str">
            <v>INR</v>
          </cell>
          <cell r="N188">
            <v>97.463112730292963</v>
          </cell>
          <cell r="O188">
            <v>2581602.9300000002</v>
          </cell>
          <cell r="P188">
            <v>2581602.9300000002</v>
          </cell>
          <cell r="Q188">
            <v>2334917.2000000002</v>
          </cell>
          <cell r="R188">
            <v>26488</v>
          </cell>
          <cell r="S188">
            <v>-246685.73</v>
          </cell>
          <cell r="T188">
            <v>-15892.8</v>
          </cell>
          <cell r="U188">
            <v>1E-3</v>
          </cell>
          <cell r="V188">
            <v>1E-3</v>
          </cell>
          <cell r="W188">
            <v>0</v>
          </cell>
          <cell r="X188">
            <v>0</v>
          </cell>
          <cell r="Y188">
            <v>45260</v>
          </cell>
          <cell r="Z188" t="str">
            <v xml:space="preserve"> </v>
          </cell>
        </row>
        <row r="189">
          <cell r="D189" t="str">
            <v>INE020B01018</v>
          </cell>
          <cell r="E189" t="str">
            <v>REC Limited</v>
          </cell>
          <cell r="F189" t="str">
            <v>EQUITY</v>
          </cell>
          <cell r="G189" t="str">
            <v>Equity</v>
          </cell>
          <cell r="H189">
            <v>32769</v>
          </cell>
          <cell r="I189">
            <v>10</v>
          </cell>
          <cell r="J189">
            <v>342.9</v>
          </cell>
          <cell r="K189">
            <v>348.7</v>
          </cell>
          <cell r="L189">
            <v>1.6633209062231143E-2</v>
          </cell>
          <cell r="M189" t="str">
            <v>INR</v>
          </cell>
          <cell r="N189">
            <v>257.34307699349995</v>
          </cell>
          <cell r="O189">
            <v>8432875.2899999991</v>
          </cell>
          <cell r="P189">
            <v>8432875.2899999991</v>
          </cell>
          <cell r="Q189">
            <v>11426550.300000001</v>
          </cell>
          <cell r="R189">
            <v>327690</v>
          </cell>
          <cell r="S189">
            <v>2993675.01</v>
          </cell>
          <cell r="T189">
            <v>190060.2</v>
          </cell>
          <cell r="U189">
            <v>4.7000000000000002E-3</v>
          </cell>
          <cell r="V189">
            <v>5.1000000000000004E-3</v>
          </cell>
          <cell r="W189">
            <v>0</v>
          </cell>
          <cell r="X189">
            <v>0</v>
          </cell>
          <cell r="Y189">
            <v>45260</v>
          </cell>
          <cell r="Z189" t="str">
            <v xml:space="preserve"> </v>
          </cell>
        </row>
        <row r="190">
          <cell r="D190" t="str">
            <v>INE758E01017</v>
          </cell>
          <cell r="E190" t="str">
            <v>Jio Financial Services Limited</v>
          </cell>
          <cell r="F190" t="str">
            <v>EQUITY</v>
          </cell>
          <cell r="G190" t="str">
            <v>Equity</v>
          </cell>
          <cell r="H190">
            <v>31853</v>
          </cell>
          <cell r="I190">
            <v>10</v>
          </cell>
          <cell r="J190">
            <v>226.05</v>
          </cell>
          <cell r="K190">
            <v>229.4</v>
          </cell>
          <cell r="L190">
            <v>1.4603312990409765E-2</v>
          </cell>
          <cell r="M190" t="str">
            <v>INR</v>
          </cell>
          <cell r="N190">
            <v>213.15366904216242</v>
          </cell>
          <cell r="O190">
            <v>6789583.8200000003</v>
          </cell>
          <cell r="P190">
            <v>6789583.8200000003</v>
          </cell>
          <cell r="Q190">
            <v>7307078.2000000002</v>
          </cell>
          <cell r="R190">
            <v>318530</v>
          </cell>
          <cell r="S190">
            <v>517494.38</v>
          </cell>
          <cell r="T190">
            <v>106707.55</v>
          </cell>
          <cell r="U190">
            <v>3.0000000000000001E-3</v>
          </cell>
          <cell r="V190">
            <v>3.3E-3</v>
          </cell>
          <cell r="W190">
            <v>0</v>
          </cell>
          <cell r="X190">
            <v>0</v>
          </cell>
          <cell r="Y190">
            <v>45260</v>
          </cell>
          <cell r="Z190" t="str">
            <v xml:space="preserve"> </v>
          </cell>
        </row>
        <row r="191">
          <cell r="D191" t="str">
            <v>INE002A01018</v>
          </cell>
          <cell r="E191" t="str">
            <v>Reliance Industries Ltd</v>
          </cell>
          <cell r="F191" t="str">
            <v>EQUITY</v>
          </cell>
          <cell r="G191" t="str">
            <v>Equity</v>
          </cell>
          <cell r="H191">
            <v>15595</v>
          </cell>
          <cell r="I191">
            <v>10</v>
          </cell>
          <cell r="J191">
            <v>2400.6999999999998</v>
          </cell>
          <cell r="K191">
            <v>2377.4499999999998</v>
          </cell>
          <cell r="L191">
            <v>-9.7793854760352475E-3</v>
          </cell>
          <cell r="M191" t="str">
            <v>INR</v>
          </cell>
          <cell r="N191">
            <v>2375.5832689964732</v>
          </cell>
          <cell r="O191">
            <v>37047221.079999998</v>
          </cell>
          <cell r="P191">
            <v>37047221.079999998</v>
          </cell>
          <cell r="Q191">
            <v>37076332.75</v>
          </cell>
          <cell r="R191">
            <v>155950</v>
          </cell>
          <cell r="S191">
            <v>29111.67</v>
          </cell>
          <cell r="T191">
            <v>-250615.5</v>
          </cell>
          <cell r="U191">
            <v>1.52E-2</v>
          </cell>
          <cell r="V191">
            <v>1.66E-2</v>
          </cell>
          <cell r="W191">
            <v>0</v>
          </cell>
          <cell r="X191">
            <v>0</v>
          </cell>
          <cell r="Y191">
            <v>45260</v>
          </cell>
          <cell r="Z191" t="str">
            <v xml:space="preserve"> </v>
          </cell>
        </row>
        <row r="192">
          <cell r="D192" t="str">
            <v>INE429E01023</v>
          </cell>
          <cell r="E192" t="str">
            <v>Safari Industries (India) Limited</v>
          </cell>
          <cell r="F192" t="str">
            <v>EQUITY</v>
          </cell>
          <cell r="G192" t="str">
            <v>Equity</v>
          </cell>
          <cell r="H192">
            <v>517</v>
          </cell>
          <cell r="I192">
            <v>2</v>
          </cell>
          <cell r="J192">
            <v>4390.45</v>
          </cell>
          <cell r="K192">
            <v>4427.8500000000004</v>
          </cell>
          <cell r="L192">
            <v>8.4465372584888836E-3</v>
          </cell>
          <cell r="M192" t="str">
            <v>INR</v>
          </cell>
          <cell r="N192">
            <v>2842.186576402321</v>
          </cell>
          <cell r="O192">
            <v>1469410.46</v>
          </cell>
          <cell r="P192">
            <v>1469410.46</v>
          </cell>
          <cell r="Q192">
            <v>2289198.4500000002</v>
          </cell>
          <cell r="R192">
            <v>1034</v>
          </cell>
          <cell r="S192">
            <v>819787.99</v>
          </cell>
          <cell r="T192">
            <v>19335.8</v>
          </cell>
          <cell r="U192">
            <v>8.9999999999999998E-4</v>
          </cell>
          <cell r="V192">
            <v>1E-3</v>
          </cell>
          <cell r="W192">
            <v>0</v>
          </cell>
          <cell r="X192">
            <v>0</v>
          </cell>
          <cell r="Y192">
            <v>45260</v>
          </cell>
          <cell r="Z192" t="str">
            <v xml:space="preserve"> </v>
          </cell>
        </row>
        <row r="193">
          <cell r="D193" t="str">
            <v>INE062A01020</v>
          </cell>
          <cell r="E193" t="str">
            <v>State Bank of India</v>
          </cell>
          <cell r="F193" t="str">
            <v>EQUITY</v>
          </cell>
          <cell r="G193" t="str">
            <v>Equity</v>
          </cell>
          <cell r="H193">
            <v>11948</v>
          </cell>
          <cell r="I193">
            <v>1</v>
          </cell>
          <cell r="J193">
            <v>568.6</v>
          </cell>
          <cell r="K193">
            <v>564.75</v>
          </cell>
          <cell r="L193">
            <v>-6.8171757414785305E-3</v>
          </cell>
          <cell r="M193" t="str">
            <v>INR</v>
          </cell>
          <cell r="N193">
            <v>584.88877050552389</v>
          </cell>
          <cell r="O193">
            <v>6988251.0300000003</v>
          </cell>
          <cell r="P193">
            <v>6988251.0300000003</v>
          </cell>
          <cell r="Q193">
            <v>6747633</v>
          </cell>
          <cell r="R193">
            <v>11948</v>
          </cell>
          <cell r="S193">
            <v>-240618.03</v>
          </cell>
          <cell r="T193">
            <v>-45999.8</v>
          </cell>
          <cell r="U193">
            <v>2.8E-3</v>
          </cell>
          <cell r="V193">
            <v>3.0000000000000001E-3</v>
          </cell>
          <cell r="W193">
            <v>0</v>
          </cell>
          <cell r="X193">
            <v>0</v>
          </cell>
          <cell r="Y193">
            <v>45260</v>
          </cell>
          <cell r="Z193" t="str">
            <v xml:space="preserve"> </v>
          </cell>
        </row>
        <row r="194">
          <cell r="D194" t="str">
            <v>INE386D01027</v>
          </cell>
          <cell r="E194" t="str">
            <v>SHIVALIK BIMETAL CONTROLS LIMITED</v>
          </cell>
          <cell r="F194" t="str">
            <v>EQUITY</v>
          </cell>
          <cell r="G194" t="str">
            <v>Equity</v>
          </cell>
          <cell r="H194">
            <v>5055</v>
          </cell>
          <cell r="I194">
            <v>2</v>
          </cell>
          <cell r="J194">
            <v>540.25</v>
          </cell>
          <cell r="K194">
            <v>551.95000000000005</v>
          </cell>
          <cell r="L194">
            <v>2.1197572243862668E-2</v>
          </cell>
          <cell r="M194" t="str">
            <v>INR</v>
          </cell>
          <cell r="N194">
            <v>542.37857171117707</v>
          </cell>
          <cell r="O194">
            <v>2741723.68</v>
          </cell>
          <cell r="P194">
            <v>2741723.68</v>
          </cell>
          <cell r="Q194">
            <v>2790107.25</v>
          </cell>
          <cell r="R194">
            <v>10110</v>
          </cell>
          <cell r="S194">
            <v>48383.57</v>
          </cell>
          <cell r="T194">
            <v>59143.5</v>
          </cell>
          <cell r="U194">
            <v>1.1000000000000001E-3</v>
          </cell>
          <cell r="V194">
            <v>1.2999999999999999E-3</v>
          </cell>
          <cell r="W194">
            <v>0</v>
          </cell>
          <cell r="X194">
            <v>0</v>
          </cell>
          <cell r="Y194">
            <v>45260</v>
          </cell>
          <cell r="Z194" t="str">
            <v xml:space="preserve"> </v>
          </cell>
        </row>
        <row r="195">
          <cell r="D195" t="str">
            <v>INE269A01021</v>
          </cell>
          <cell r="E195" t="str">
            <v>Sonata Software Ltd</v>
          </cell>
          <cell r="F195" t="str">
            <v>EQUITY</v>
          </cell>
          <cell r="G195" t="str">
            <v>Equity</v>
          </cell>
          <cell r="H195">
            <v>2809</v>
          </cell>
          <cell r="I195">
            <v>1</v>
          </cell>
          <cell r="J195">
            <v>1269.75</v>
          </cell>
          <cell r="K195">
            <v>1359.15</v>
          </cell>
          <cell r="L195">
            <v>6.5776404370378544E-2</v>
          </cell>
          <cell r="M195" t="str">
            <v>INR</v>
          </cell>
          <cell r="N195">
            <v>1167.6453008187966</v>
          </cell>
          <cell r="O195">
            <v>3279915.65</v>
          </cell>
          <cell r="P195">
            <v>3279915.65</v>
          </cell>
          <cell r="Q195">
            <v>3817852.35</v>
          </cell>
          <cell r="R195">
            <v>2809</v>
          </cell>
          <cell r="S195">
            <v>537936.69999999995</v>
          </cell>
          <cell r="T195">
            <v>251124.6</v>
          </cell>
          <cell r="U195">
            <v>1.6000000000000001E-3</v>
          </cell>
          <cell r="V195">
            <v>1.6999999999999999E-3</v>
          </cell>
          <cell r="W195">
            <v>0</v>
          </cell>
          <cell r="X195">
            <v>0</v>
          </cell>
          <cell r="Y195">
            <v>45260</v>
          </cell>
          <cell r="Z195" t="str">
            <v xml:space="preserve"> </v>
          </cell>
        </row>
        <row r="196">
          <cell r="D196" t="str">
            <v>INE398R01022</v>
          </cell>
          <cell r="E196" t="str">
            <v>Syngene International Ltd</v>
          </cell>
          <cell r="F196" t="str">
            <v>EQUITY</v>
          </cell>
          <cell r="G196" t="str">
            <v>Equity</v>
          </cell>
          <cell r="H196">
            <v>4714</v>
          </cell>
          <cell r="I196">
            <v>10</v>
          </cell>
          <cell r="J196">
            <v>747.9</v>
          </cell>
          <cell r="K196">
            <v>752.2</v>
          </cell>
          <cell r="L196">
            <v>5.716564743419303E-3</v>
          </cell>
          <cell r="M196" t="str">
            <v>INR</v>
          </cell>
          <cell r="N196">
            <v>733.94527789563006</v>
          </cell>
          <cell r="O196">
            <v>3459818.04</v>
          </cell>
          <cell r="P196">
            <v>3459818.04</v>
          </cell>
          <cell r="Q196">
            <v>3545870.8</v>
          </cell>
          <cell r="R196">
            <v>47140</v>
          </cell>
          <cell r="S196">
            <v>86052.76</v>
          </cell>
          <cell r="T196">
            <v>20270.2</v>
          </cell>
          <cell r="U196">
            <v>1.5E-3</v>
          </cell>
          <cell r="V196">
            <v>1.6000000000000001E-3</v>
          </cell>
          <cell r="W196">
            <v>0</v>
          </cell>
          <cell r="X196">
            <v>0</v>
          </cell>
          <cell r="Y196">
            <v>45260</v>
          </cell>
          <cell r="Z196" t="str">
            <v xml:space="preserve"> </v>
          </cell>
        </row>
        <row r="197">
          <cell r="D197" t="str">
            <v>INE467B01029</v>
          </cell>
          <cell r="E197" t="str">
            <v>Tata Consultancy Services Ltd</v>
          </cell>
          <cell r="F197" t="str">
            <v>EQUITY</v>
          </cell>
          <cell r="G197" t="str">
            <v>Equity</v>
          </cell>
          <cell r="H197">
            <v>6498</v>
          </cell>
          <cell r="I197">
            <v>1</v>
          </cell>
          <cell r="J197">
            <v>3513.75</v>
          </cell>
          <cell r="K197">
            <v>3487.6</v>
          </cell>
          <cell r="L197">
            <v>-7.4979928890927857E-3</v>
          </cell>
          <cell r="M197" t="str">
            <v>INR</v>
          </cell>
          <cell r="N197">
            <v>3313.2622591566637</v>
          </cell>
          <cell r="O197">
            <v>21529578.16</v>
          </cell>
          <cell r="P197">
            <v>21529578.16</v>
          </cell>
          <cell r="Q197">
            <v>22662424.800000001</v>
          </cell>
          <cell r="R197">
            <v>6498</v>
          </cell>
          <cell r="S197">
            <v>1132846.6399999999</v>
          </cell>
          <cell r="T197">
            <v>-169922.7</v>
          </cell>
          <cell r="U197">
            <v>9.2999999999999992E-3</v>
          </cell>
          <cell r="V197">
            <v>1.0200000000000001E-2</v>
          </cell>
          <cell r="W197">
            <v>0</v>
          </cell>
          <cell r="X197">
            <v>0</v>
          </cell>
          <cell r="Y197">
            <v>45260</v>
          </cell>
          <cell r="Z197" t="str">
            <v xml:space="preserve"> </v>
          </cell>
        </row>
        <row r="198">
          <cell r="D198" t="str">
            <v>INE081A01020</v>
          </cell>
          <cell r="E198" t="str">
            <v>Tata Steel Ltd</v>
          </cell>
          <cell r="F198" t="str">
            <v>EQUITY</v>
          </cell>
          <cell r="G198" t="str">
            <v>Equity</v>
          </cell>
          <cell r="H198">
            <v>46298</v>
          </cell>
          <cell r="I198">
            <v>1</v>
          </cell>
          <cell r="J198">
            <v>127.75</v>
          </cell>
          <cell r="K198">
            <v>127.9</v>
          </cell>
          <cell r="L198">
            <v>1.1727912431587178E-3</v>
          </cell>
          <cell r="M198" t="str">
            <v>INR</v>
          </cell>
          <cell r="N198">
            <v>117.03177199879045</v>
          </cell>
          <cell r="O198">
            <v>5418336.9800000004</v>
          </cell>
          <cell r="P198">
            <v>5418336.9800000004</v>
          </cell>
          <cell r="Q198">
            <v>5921514.2000000002</v>
          </cell>
          <cell r="R198">
            <v>46298</v>
          </cell>
          <cell r="S198">
            <v>503177.22</v>
          </cell>
          <cell r="T198">
            <v>6944.7</v>
          </cell>
          <cell r="U198">
            <v>2.3999999999999998E-3</v>
          </cell>
          <cell r="V198">
            <v>2.7000000000000001E-3</v>
          </cell>
          <cell r="W198">
            <v>0</v>
          </cell>
          <cell r="X198">
            <v>0</v>
          </cell>
          <cell r="Y198">
            <v>45260</v>
          </cell>
          <cell r="Z198" t="str">
            <v xml:space="preserve"> </v>
          </cell>
        </row>
        <row r="199">
          <cell r="D199" t="str">
            <v>INE685A01028</v>
          </cell>
          <cell r="E199" t="str">
            <v>Torrent Pharmaceuticals Ltd</v>
          </cell>
          <cell r="F199" t="str">
            <v>EQUITY</v>
          </cell>
          <cell r="G199" t="str">
            <v>Equity</v>
          </cell>
          <cell r="H199">
            <v>6448</v>
          </cell>
          <cell r="I199">
            <v>5</v>
          </cell>
          <cell r="J199">
            <v>2091.85</v>
          </cell>
          <cell r="K199">
            <v>2126.5500000000002</v>
          </cell>
          <cell r="L199">
            <v>1.6317509581246621E-2</v>
          </cell>
          <cell r="M199" t="str">
            <v>INR</v>
          </cell>
          <cell r="N199">
            <v>1867.7901612903227</v>
          </cell>
          <cell r="O199">
            <v>12043510.960000001</v>
          </cell>
          <cell r="P199">
            <v>12043510.960000001</v>
          </cell>
          <cell r="Q199">
            <v>13711994.4</v>
          </cell>
          <cell r="R199">
            <v>32240</v>
          </cell>
          <cell r="S199">
            <v>1668483.44</v>
          </cell>
          <cell r="T199">
            <v>223745.6</v>
          </cell>
          <cell r="U199">
            <v>5.5999999999999999E-3</v>
          </cell>
          <cell r="V199">
            <v>6.1000000000000004E-3</v>
          </cell>
          <cell r="W199">
            <v>0</v>
          </cell>
          <cell r="X199">
            <v>0</v>
          </cell>
          <cell r="Y199">
            <v>45260</v>
          </cell>
          <cell r="Z199" t="str">
            <v xml:space="preserve"> </v>
          </cell>
        </row>
        <row r="200">
          <cell r="D200" t="str">
            <v>INE280A01028</v>
          </cell>
          <cell r="E200" t="str">
            <v>Titan Company Limited</v>
          </cell>
          <cell r="F200" t="str">
            <v>EQUITY</v>
          </cell>
          <cell r="G200" t="str">
            <v>Equity</v>
          </cell>
          <cell r="H200">
            <v>8451</v>
          </cell>
          <cell r="I200">
            <v>1</v>
          </cell>
          <cell r="J200">
            <v>3429.3</v>
          </cell>
          <cell r="K200">
            <v>3490.6</v>
          </cell>
          <cell r="L200">
            <v>1.756145075345213E-2</v>
          </cell>
          <cell r="M200" t="str">
            <v>INR</v>
          </cell>
          <cell r="N200">
            <v>2931.7961720506451</v>
          </cell>
          <cell r="O200">
            <v>24776609.449999999</v>
          </cell>
          <cell r="P200">
            <v>24776609.449999999</v>
          </cell>
          <cell r="Q200">
            <v>29499060.600000001</v>
          </cell>
          <cell r="R200">
            <v>8451</v>
          </cell>
          <cell r="S200">
            <v>4722451.1500000004</v>
          </cell>
          <cell r="T200">
            <v>518046.3</v>
          </cell>
          <cell r="U200">
            <v>1.21E-2</v>
          </cell>
          <cell r="V200">
            <v>1.32E-2</v>
          </cell>
          <cell r="W200">
            <v>0</v>
          </cell>
          <cell r="X200">
            <v>0</v>
          </cell>
          <cell r="Y200">
            <v>45260</v>
          </cell>
          <cell r="Z200" t="str">
            <v xml:space="preserve"> </v>
          </cell>
        </row>
        <row r="201">
          <cell r="D201" t="str">
            <v>INE238A01034</v>
          </cell>
          <cell r="E201" t="str">
            <v>Axis Bank Ltd</v>
          </cell>
          <cell r="F201" t="str">
            <v>EQUITY</v>
          </cell>
          <cell r="G201" t="str">
            <v>Equity</v>
          </cell>
          <cell r="H201">
            <v>23983</v>
          </cell>
          <cell r="I201">
            <v>2</v>
          </cell>
          <cell r="J201">
            <v>1060.1500000000001</v>
          </cell>
          <cell r="K201">
            <v>1074.25</v>
          </cell>
          <cell r="L201">
            <v>1.3125436350942519E-2</v>
          </cell>
          <cell r="M201" t="str">
            <v>INR</v>
          </cell>
          <cell r="N201">
            <v>953.99077596630946</v>
          </cell>
          <cell r="O201">
            <v>22879560.780000001</v>
          </cell>
          <cell r="P201">
            <v>22879560.780000001</v>
          </cell>
          <cell r="Q201">
            <v>25763737.75</v>
          </cell>
          <cell r="R201">
            <v>47966</v>
          </cell>
          <cell r="S201">
            <v>2884176.97</v>
          </cell>
          <cell r="T201">
            <v>338160.3</v>
          </cell>
          <cell r="U201">
            <v>1.06E-2</v>
          </cell>
          <cell r="V201">
            <v>1.1599999999999999E-2</v>
          </cell>
          <cell r="W201">
            <v>0</v>
          </cell>
          <cell r="X201">
            <v>0</v>
          </cell>
          <cell r="Y201">
            <v>45260</v>
          </cell>
          <cell r="Z201" t="str">
            <v xml:space="preserve"> </v>
          </cell>
        </row>
        <row r="202">
          <cell r="D202" t="str">
            <v>INE043W01024</v>
          </cell>
          <cell r="E202" t="str">
            <v>Vijaya Diagnostic Centre Limited</v>
          </cell>
          <cell r="F202" t="str">
            <v>EQUITY</v>
          </cell>
          <cell r="G202" t="str">
            <v>Equity</v>
          </cell>
          <cell r="H202">
            <v>5528</v>
          </cell>
          <cell r="I202">
            <v>1</v>
          </cell>
          <cell r="J202">
            <v>630.70000000000005</v>
          </cell>
          <cell r="K202">
            <v>638.79999999999995</v>
          </cell>
          <cell r="L202">
            <v>1.2680025046963056E-2</v>
          </cell>
          <cell r="M202" t="str">
            <v>INR</v>
          </cell>
          <cell r="N202">
            <v>576.86566389290886</v>
          </cell>
          <cell r="O202">
            <v>3188913.39</v>
          </cell>
          <cell r="P202">
            <v>3188913.39</v>
          </cell>
          <cell r="Q202">
            <v>3531286.4</v>
          </cell>
          <cell r="R202">
            <v>5528</v>
          </cell>
          <cell r="S202">
            <v>342373.01</v>
          </cell>
          <cell r="T202">
            <v>44776.800000000003</v>
          </cell>
          <cell r="U202">
            <v>1.5E-3</v>
          </cell>
          <cell r="V202">
            <v>1.6000000000000001E-3</v>
          </cell>
          <cell r="W202">
            <v>0</v>
          </cell>
          <cell r="X202">
            <v>0</v>
          </cell>
          <cell r="Y202">
            <v>45260</v>
          </cell>
          <cell r="Z202" t="str">
            <v xml:space="preserve"> </v>
          </cell>
        </row>
        <row r="203">
          <cell r="D203" t="str">
            <v>INE200M01021</v>
          </cell>
          <cell r="E203" t="str">
            <v>Varun Beverages Ltd</v>
          </cell>
          <cell r="F203" t="str">
            <v>EQUITY</v>
          </cell>
          <cell r="G203" t="str">
            <v>Equity</v>
          </cell>
          <cell r="H203">
            <v>5354</v>
          </cell>
          <cell r="I203">
            <v>5</v>
          </cell>
          <cell r="J203">
            <v>1060.8499999999999</v>
          </cell>
          <cell r="K203">
            <v>1105</v>
          </cell>
          <cell r="L203">
            <v>3.9954751131221718E-2</v>
          </cell>
          <cell r="M203" t="str">
            <v>INR</v>
          </cell>
          <cell r="N203">
            <v>824.3833638401195</v>
          </cell>
          <cell r="O203">
            <v>4413748.53</v>
          </cell>
          <cell r="P203">
            <v>4413748.53</v>
          </cell>
          <cell r="Q203">
            <v>5916170</v>
          </cell>
          <cell r="R203">
            <v>26770</v>
          </cell>
          <cell r="S203">
            <v>1502421.47</v>
          </cell>
          <cell r="T203">
            <v>236379.1</v>
          </cell>
          <cell r="U203">
            <v>2.3999999999999998E-3</v>
          </cell>
          <cell r="V203">
            <v>2.7000000000000001E-3</v>
          </cell>
          <cell r="W203">
            <v>0</v>
          </cell>
          <cell r="X203">
            <v>0</v>
          </cell>
          <cell r="Y203">
            <v>45260</v>
          </cell>
          <cell r="Z203" t="str">
            <v xml:space="preserve"> </v>
          </cell>
        </row>
        <row r="204">
          <cell r="D204" t="str">
            <v>INE758T01015</v>
          </cell>
          <cell r="E204" t="str">
            <v>Zomato Limited</v>
          </cell>
          <cell r="F204" t="str">
            <v>EQUITY</v>
          </cell>
          <cell r="G204" t="str">
            <v>Equity</v>
          </cell>
          <cell r="H204">
            <v>76586</v>
          </cell>
          <cell r="I204">
            <v>1</v>
          </cell>
          <cell r="J204">
            <v>116.6</v>
          </cell>
          <cell r="K204">
            <v>118.55</v>
          </cell>
          <cell r="L204">
            <v>1.6448755799240825E-2</v>
          </cell>
          <cell r="M204" t="str">
            <v>INR</v>
          </cell>
          <cell r="N204">
            <v>104.80874598490585</v>
          </cell>
          <cell r="O204">
            <v>8026882.6200000001</v>
          </cell>
          <cell r="P204">
            <v>8026882.6200000001</v>
          </cell>
          <cell r="Q204">
            <v>9079270.3000000007</v>
          </cell>
          <cell r="R204">
            <v>76586</v>
          </cell>
          <cell r="S204">
            <v>1052387.68</v>
          </cell>
          <cell r="T204">
            <v>149342.70000000001</v>
          </cell>
          <cell r="U204">
            <v>3.7000000000000002E-3</v>
          </cell>
          <cell r="V204">
            <v>4.1000000000000003E-3</v>
          </cell>
          <cell r="W204">
            <v>0</v>
          </cell>
          <cell r="X204">
            <v>0</v>
          </cell>
          <cell r="Y204">
            <v>45260</v>
          </cell>
          <cell r="Z204" t="str">
            <v xml:space="preserve"> </v>
          </cell>
        </row>
        <row r="205">
          <cell r="F205" t="str">
            <v>EQUITY TOTAL</v>
          </cell>
          <cell r="O205">
            <v>825383484.72000003</v>
          </cell>
          <cell r="P205">
            <v>825383484.72000003</v>
          </cell>
          <cell r="Q205">
            <v>883475181.63</v>
          </cell>
          <cell r="S205">
            <v>58091696.909999996</v>
          </cell>
          <cell r="T205">
            <v>7908179.8600000003</v>
          </cell>
          <cell r="U205">
            <v>0.36320000000000002</v>
          </cell>
          <cell r="V205">
            <v>0.39710000000000001</v>
          </cell>
          <cell r="W205">
            <v>0</v>
          </cell>
          <cell r="X205">
            <v>0</v>
          </cell>
        </row>
        <row r="206">
          <cell r="D206" t="str">
            <v>INF179KC1981</v>
          </cell>
          <cell r="E206" t="str">
            <v>HDFC Gold Exchange Traded Fund</v>
          </cell>
          <cell r="F206" t="str">
            <v>ETF</v>
          </cell>
          <cell r="G206" t="str">
            <v>Exchange Traded Funds</v>
          </cell>
          <cell r="H206">
            <v>4222235</v>
          </cell>
          <cell r="I206">
            <v>100</v>
          </cell>
          <cell r="J206">
            <v>54.56</v>
          </cell>
          <cell r="K206">
            <v>54.63</v>
          </cell>
          <cell r="L206">
            <v>1.281347245103423E-3</v>
          </cell>
          <cell r="M206" t="str">
            <v>INR</v>
          </cell>
          <cell r="N206">
            <v>52.149855105175341</v>
          </cell>
          <cell r="O206">
            <v>220188943.47</v>
          </cell>
          <cell r="P206">
            <v>220188943.47</v>
          </cell>
          <cell r="Q206">
            <v>230660698.05000001</v>
          </cell>
          <cell r="R206">
            <v>422223500</v>
          </cell>
          <cell r="S206">
            <v>10471754.58</v>
          </cell>
          <cell r="T206">
            <v>295556.45</v>
          </cell>
          <cell r="U206">
            <v>9.4899999999999998E-2</v>
          </cell>
          <cell r="V206">
            <v>0.10340000000000001</v>
          </cell>
          <cell r="W206">
            <v>0</v>
          </cell>
          <cell r="X206">
            <v>0</v>
          </cell>
          <cell r="Y206">
            <v>45260</v>
          </cell>
          <cell r="Z206" t="str">
            <v xml:space="preserve"> </v>
          </cell>
        </row>
        <row r="207">
          <cell r="D207" t="str">
            <v>INF109KC1NT3</v>
          </cell>
          <cell r="E207" t="str">
            <v>ICICI Prudential Gold ETF</v>
          </cell>
          <cell r="F207" t="str">
            <v>ETF</v>
          </cell>
          <cell r="G207" t="str">
            <v>Exchange Traded Funds</v>
          </cell>
          <cell r="H207">
            <v>5302847</v>
          </cell>
          <cell r="I207">
            <v>1</v>
          </cell>
          <cell r="J207">
            <v>54.55</v>
          </cell>
          <cell r="K207">
            <v>54.7</v>
          </cell>
          <cell r="L207">
            <v>2.7422303473491772E-3</v>
          </cell>
          <cell r="M207" t="str">
            <v>INR</v>
          </cell>
          <cell r="N207">
            <v>52.130441168677883</v>
          </cell>
          <cell r="O207">
            <v>276439753.56</v>
          </cell>
          <cell r="P207">
            <v>276439753.56</v>
          </cell>
          <cell r="Q207">
            <v>290065730.89999998</v>
          </cell>
          <cell r="R207">
            <v>5302847</v>
          </cell>
          <cell r="S207">
            <v>13625977.34</v>
          </cell>
          <cell r="T207">
            <v>795427.05</v>
          </cell>
          <cell r="U207">
            <v>0.1193</v>
          </cell>
          <cell r="V207">
            <v>0.13009999999999999</v>
          </cell>
          <cell r="W207">
            <v>0</v>
          </cell>
          <cell r="X207">
            <v>0</v>
          </cell>
          <cell r="Y207">
            <v>45260</v>
          </cell>
          <cell r="Z207" t="str">
            <v xml:space="preserve"> </v>
          </cell>
        </row>
        <row r="208">
          <cell r="D208" t="str">
            <v>INF247L01AP3</v>
          </cell>
          <cell r="E208" t="str">
            <v>Motilal Oswal NASDAQ 100 ETF</v>
          </cell>
          <cell r="F208" t="str">
            <v>ETF</v>
          </cell>
          <cell r="G208" t="str">
            <v>Exchange Traded Funds</v>
          </cell>
          <cell r="H208">
            <v>176666</v>
          </cell>
          <cell r="I208">
            <v>1</v>
          </cell>
          <cell r="J208">
            <v>130.16999999999999</v>
          </cell>
          <cell r="K208">
            <v>129.85</v>
          </cell>
          <cell r="L208">
            <v>-2.4643819792067772E-3</v>
          </cell>
          <cell r="M208" t="str">
            <v>INR</v>
          </cell>
          <cell r="N208">
            <v>120.68737578255012</v>
          </cell>
          <cell r="O208">
            <v>21321355.93</v>
          </cell>
          <cell r="P208">
            <v>21321355.93</v>
          </cell>
          <cell r="Q208">
            <v>22940080.100000001</v>
          </cell>
          <cell r="R208">
            <v>176666</v>
          </cell>
          <cell r="S208">
            <v>1618724.17</v>
          </cell>
          <cell r="T208">
            <v>-56533.120000000003</v>
          </cell>
          <cell r="U208">
            <v>9.4000000000000004E-3</v>
          </cell>
          <cell r="V208">
            <v>1.03E-2</v>
          </cell>
          <cell r="W208">
            <v>0</v>
          </cell>
          <cell r="X208">
            <v>0</v>
          </cell>
          <cell r="Y208">
            <v>45260</v>
          </cell>
          <cell r="Z208" t="str">
            <v xml:space="preserve"> </v>
          </cell>
        </row>
        <row r="209">
          <cell r="D209" t="str">
            <v>INF769K01HP3</v>
          </cell>
          <cell r="E209" t="str">
            <v>Mirae Asset S&amp;P 500 Top 50 ETF</v>
          </cell>
          <cell r="F209" t="str">
            <v>ETF</v>
          </cell>
          <cell r="G209" t="str">
            <v>Exchange Traded Funds</v>
          </cell>
          <cell r="H209">
            <v>526958</v>
          </cell>
          <cell r="I209">
            <v>20</v>
          </cell>
          <cell r="J209">
            <v>34.15</v>
          </cell>
          <cell r="K209">
            <v>34.020000000000003</v>
          </cell>
          <cell r="L209">
            <v>-3.8212815990593769E-3</v>
          </cell>
          <cell r="M209" t="str">
            <v>INR</v>
          </cell>
          <cell r="N209">
            <v>30.716081471388613</v>
          </cell>
          <cell r="O209">
            <v>16186084.859999999</v>
          </cell>
          <cell r="P209">
            <v>16186084.859999999</v>
          </cell>
          <cell r="Q209">
            <v>17927111.16</v>
          </cell>
          <cell r="R209">
            <v>10539160</v>
          </cell>
          <cell r="S209">
            <v>1741026.3</v>
          </cell>
          <cell r="T209">
            <v>-68504.539999999994</v>
          </cell>
          <cell r="U209">
            <v>7.4000000000000003E-3</v>
          </cell>
          <cell r="V209">
            <v>8.0000000000000002E-3</v>
          </cell>
          <cell r="W209">
            <v>0</v>
          </cell>
          <cell r="X209">
            <v>0</v>
          </cell>
          <cell r="Y209">
            <v>45260</v>
          </cell>
          <cell r="Z209" t="str">
            <v xml:space="preserve"> </v>
          </cell>
        </row>
        <row r="210">
          <cell r="F210" t="str">
            <v>ETF TOTAL</v>
          </cell>
          <cell r="O210">
            <v>534136137.81999999</v>
          </cell>
          <cell r="P210">
            <v>534136137.81999999</v>
          </cell>
          <cell r="Q210">
            <v>561593620.21000004</v>
          </cell>
          <cell r="S210">
            <v>27457482.390000001</v>
          </cell>
          <cell r="T210">
            <v>965945.84</v>
          </cell>
          <cell r="U210">
            <v>0.23100000000000001</v>
          </cell>
          <cell r="V210">
            <v>0.25180000000000002</v>
          </cell>
          <cell r="W210">
            <v>0</v>
          </cell>
          <cell r="X210">
            <v>0</v>
          </cell>
        </row>
        <row r="211">
          <cell r="E211" t="str">
            <v>BAJFINANCE_28/12/2023</v>
          </cell>
          <cell r="F211" t="str">
            <v>FUTURE EQ</v>
          </cell>
          <cell r="G211" t="str">
            <v>Equity Futures</v>
          </cell>
          <cell r="H211">
            <v>-2625</v>
          </cell>
          <cell r="I211">
            <v>1</v>
          </cell>
          <cell r="J211">
            <v>7185.45</v>
          </cell>
          <cell r="K211">
            <v>7177.6</v>
          </cell>
          <cell r="L211">
            <v>-1.0936803388319216E-3</v>
          </cell>
          <cell r="M211" t="str">
            <v>INR</v>
          </cell>
          <cell r="N211">
            <v>7184.6476000000002</v>
          </cell>
          <cell r="O211">
            <v>-18859699.949999999</v>
          </cell>
          <cell r="P211">
            <v>-18859699.949999999</v>
          </cell>
          <cell r="Q211">
            <v>-18841200</v>
          </cell>
          <cell r="R211">
            <v>-2625</v>
          </cell>
          <cell r="S211">
            <v>18499.95</v>
          </cell>
          <cell r="T211">
            <v>20606.25</v>
          </cell>
          <cell r="U211">
            <v>-7.7000000000000002E-3</v>
          </cell>
          <cell r="V211">
            <v>-8.3999999999999995E-3</v>
          </cell>
          <cell r="W211">
            <v>0</v>
          </cell>
          <cell r="X211">
            <v>0</v>
          </cell>
          <cell r="Y211">
            <v>45260</v>
          </cell>
          <cell r="Z211" t="str">
            <v xml:space="preserve"> </v>
          </cell>
        </row>
        <row r="212">
          <cell r="E212" t="str">
            <v>HDFCBANK_28/12/2023</v>
          </cell>
          <cell r="F212" t="str">
            <v>FUTURE EQ</v>
          </cell>
          <cell r="G212" t="str">
            <v>Equity Futures</v>
          </cell>
          <cell r="H212">
            <v>-3300</v>
          </cell>
          <cell r="I212">
            <v>1</v>
          </cell>
          <cell r="J212">
            <v>1568.35</v>
          </cell>
          <cell r="K212">
            <v>1565.35</v>
          </cell>
          <cell r="L212">
            <v>-1.9165042961637971E-3</v>
          </cell>
          <cell r="M212" t="str">
            <v>INR</v>
          </cell>
          <cell r="N212">
            <v>1550.3583000000001</v>
          </cell>
          <cell r="O212">
            <v>-5116182.3899999997</v>
          </cell>
          <cell r="P212">
            <v>-5116182.3899999997</v>
          </cell>
          <cell r="Q212">
            <v>-5165655</v>
          </cell>
          <cell r="R212">
            <v>-3300</v>
          </cell>
          <cell r="S212">
            <v>-49472.61</v>
          </cell>
          <cell r="T212">
            <v>9900</v>
          </cell>
          <cell r="U212">
            <v>-2.0999999999999999E-3</v>
          </cell>
          <cell r="V212">
            <v>-2.3E-3</v>
          </cell>
          <cell r="W212">
            <v>0</v>
          </cell>
          <cell r="X212">
            <v>0</v>
          </cell>
          <cell r="Y212">
            <v>45260</v>
          </cell>
          <cell r="Z212" t="str">
            <v xml:space="preserve"> </v>
          </cell>
        </row>
        <row r="213">
          <cell r="E213" t="str">
            <v>HINDUNILVR_28/12/2023</v>
          </cell>
          <cell r="F213" t="str">
            <v>FUTURE EQ</v>
          </cell>
          <cell r="G213" t="str">
            <v>Equity Futures</v>
          </cell>
          <cell r="H213">
            <v>-8400</v>
          </cell>
          <cell r="I213">
            <v>1</v>
          </cell>
          <cell r="J213">
            <v>2542.1</v>
          </cell>
          <cell r="K213">
            <v>2560.4499999999998</v>
          </cell>
          <cell r="L213">
            <v>7.1667089769376479E-3</v>
          </cell>
          <cell r="M213" t="str">
            <v>INR</v>
          </cell>
          <cell r="N213">
            <v>2534.6464000000001</v>
          </cell>
          <cell r="O213">
            <v>-21291029.760000002</v>
          </cell>
          <cell r="P213">
            <v>-21291029.760000002</v>
          </cell>
          <cell r="Q213">
            <v>-21507780</v>
          </cell>
          <cell r="R213">
            <v>-8400</v>
          </cell>
          <cell r="S213">
            <v>-216750.24</v>
          </cell>
          <cell r="T213">
            <v>-154140</v>
          </cell>
          <cell r="U213">
            <v>-8.8000000000000005E-3</v>
          </cell>
          <cell r="V213">
            <v>-9.5999999999999992E-3</v>
          </cell>
          <cell r="W213">
            <v>0</v>
          </cell>
          <cell r="X213">
            <v>0</v>
          </cell>
          <cell r="Y213">
            <v>45260</v>
          </cell>
          <cell r="Z213" t="str">
            <v xml:space="preserve"> </v>
          </cell>
        </row>
        <row r="214">
          <cell r="E214" t="str">
            <v>ICICIBANK_28/12/2023</v>
          </cell>
          <cell r="F214" t="str">
            <v>FUTURE EQ</v>
          </cell>
          <cell r="G214" t="str">
            <v>Equity Futures</v>
          </cell>
          <cell r="H214">
            <v>-9800</v>
          </cell>
          <cell r="I214">
            <v>1</v>
          </cell>
          <cell r="J214">
            <v>946.3</v>
          </cell>
          <cell r="K214">
            <v>938.95</v>
          </cell>
          <cell r="L214">
            <v>-7.8278928590446769E-3</v>
          </cell>
          <cell r="M214" t="str">
            <v>INR</v>
          </cell>
          <cell r="N214">
            <v>933.82860000000005</v>
          </cell>
          <cell r="O214">
            <v>-9151520.2799999993</v>
          </cell>
          <cell r="P214">
            <v>-9151520.2799999993</v>
          </cell>
          <cell r="Q214">
            <v>-9201710</v>
          </cell>
          <cell r="R214">
            <v>-9800</v>
          </cell>
          <cell r="S214">
            <v>-50189.72</v>
          </cell>
          <cell r="T214">
            <v>72030</v>
          </cell>
          <cell r="U214">
            <v>-3.8E-3</v>
          </cell>
          <cell r="V214">
            <v>-4.1000000000000003E-3</v>
          </cell>
          <cell r="W214">
            <v>0</v>
          </cell>
          <cell r="X214">
            <v>0</v>
          </cell>
          <cell r="Y214">
            <v>45260</v>
          </cell>
          <cell r="Z214" t="str">
            <v xml:space="preserve"> </v>
          </cell>
        </row>
        <row r="215">
          <cell r="E215" t="str">
            <v>KOTAKBANK_28/12/2023</v>
          </cell>
          <cell r="F215" t="str">
            <v>FUTURE EQ</v>
          </cell>
          <cell r="G215" t="str">
            <v>Equity Futures</v>
          </cell>
          <cell r="H215">
            <v>-19200</v>
          </cell>
          <cell r="I215">
            <v>1</v>
          </cell>
          <cell r="J215">
            <v>1768.85</v>
          </cell>
          <cell r="K215">
            <v>1763.7</v>
          </cell>
          <cell r="L215">
            <v>-2.9199977320405967E-3</v>
          </cell>
          <cell r="M215" t="str">
            <v>INR</v>
          </cell>
          <cell r="N215">
            <v>1756.2750000000001</v>
          </cell>
          <cell r="O215">
            <v>-33720480</v>
          </cell>
          <cell r="P215">
            <v>-33720480</v>
          </cell>
          <cell r="Q215">
            <v>-33863040</v>
          </cell>
          <cell r="R215">
            <v>-19200</v>
          </cell>
          <cell r="S215">
            <v>-142560</v>
          </cell>
          <cell r="T215">
            <v>98880</v>
          </cell>
          <cell r="U215">
            <v>-1.3899999999999999E-2</v>
          </cell>
          <cell r="V215">
            <v>-1.52E-2</v>
          </cell>
          <cell r="W215">
            <v>0</v>
          </cell>
          <cell r="X215">
            <v>0</v>
          </cell>
          <cell r="Y215">
            <v>45260</v>
          </cell>
          <cell r="Z215" t="str">
            <v xml:space="preserve"> </v>
          </cell>
        </row>
        <row r="216">
          <cell r="E216" t="str">
            <v>MARUTI_28/12/2023</v>
          </cell>
          <cell r="F216" t="str">
            <v>FUTURE EQ</v>
          </cell>
          <cell r="G216" t="str">
            <v>Equity Futures</v>
          </cell>
          <cell r="H216">
            <v>-3000</v>
          </cell>
          <cell r="I216">
            <v>1</v>
          </cell>
          <cell r="J216">
            <v>10652.85</v>
          </cell>
          <cell r="K216">
            <v>10649.2</v>
          </cell>
          <cell r="L216">
            <v>-3.427487510798933E-4</v>
          </cell>
          <cell r="M216" t="str">
            <v>INR</v>
          </cell>
          <cell r="N216">
            <v>10610.11</v>
          </cell>
          <cell r="O216">
            <v>-31830330</v>
          </cell>
          <cell r="P216">
            <v>-31830330</v>
          </cell>
          <cell r="Q216">
            <v>-31947600</v>
          </cell>
          <cell r="R216">
            <v>-3000</v>
          </cell>
          <cell r="S216">
            <v>-117270</v>
          </cell>
          <cell r="T216">
            <v>10950</v>
          </cell>
          <cell r="U216">
            <v>-1.3100000000000001E-2</v>
          </cell>
          <cell r="V216">
            <v>-1.43E-2</v>
          </cell>
          <cell r="W216">
            <v>0</v>
          </cell>
          <cell r="X216">
            <v>0</v>
          </cell>
          <cell r="Y216">
            <v>45260</v>
          </cell>
          <cell r="Z216" t="str">
            <v xml:space="preserve"> </v>
          </cell>
        </row>
        <row r="217">
          <cell r="E217" t="str">
            <v>ONGC_28/12/2023</v>
          </cell>
          <cell r="F217" t="str">
            <v>FUTURE EQ</v>
          </cell>
          <cell r="G217" t="str">
            <v>Equity Futures</v>
          </cell>
          <cell r="H217">
            <v>-115500</v>
          </cell>
          <cell r="I217">
            <v>1</v>
          </cell>
          <cell r="J217">
            <v>193.6</v>
          </cell>
          <cell r="K217">
            <v>196.05</v>
          </cell>
          <cell r="L217">
            <v>1.2496812037745473E-2</v>
          </cell>
          <cell r="M217" t="str">
            <v>INR</v>
          </cell>
          <cell r="N217">
            <v>194.5967</v>
          </cell>
          <cell r="O217">
            <v>-22475918.850000001</v>
          </cell>
          <cell r="P217">
            <v>-22475918.850000001</v>
          </cell>
          <cell r="Q217">
            <v>-22643775</v>
          </cell>
          <cell r="R217">
            <v>-115500</v>
          </cell>
          <cell r="S217">
            <v>-167856.15</v>
          </cell>
          <cell r="T217">
            <v>-282975</v>
          </cell>
          <cell r="U217">
            <v>-9.2999999999999992E-3</v>
          </cell>
          <cell r="V217">
            <v>-1.0200000000000001E-2</v>
          </cell>
          <cell r="W217">
            <v>0</v>
          </cell>
          <cell r="X217">
            <v>0</v>
          </cell>
          <cell r="Y217">
            <v>45260</v>
          </cell>
          <cell r="Z217" t="str">
            <v xml:space="preserve"> </v>
          </cell>
        </row>
        <row r="218">
          <cell r="E218" t="str">
            <v>PERSISTENT_28/12/2023</v>
          </cell>
          <cell r="F218" t="str">
            <v>FUTURE EQ</v>
          </cell>
          <cell r="G218" t="str">
            <v>Equity Futures</v>
          </cell>
          <cell r="H218">
            <v>1400</v>
          </cell>
          <cell r="I218">
            <v>1</v>
          </cell>
          <cell r="J218">
            <v>6345.65</v>
          </cell>
          <cell r="K218">
            <v>6326.6</v>
          </cell>
          <cell r="L218">
            <v>-3.0110960073341129E-3</v>
          </cell>
          <cell r="M218" t="str">
            <v>INR</v>
          </cell>
          <cell r="N218">
            <v>6460.8562000000002</v>
          </cell>
          <cell r="O218">
            <v>9045198.6799999997</v>
          </cell>
          <cell r="P218">
            <v>9045198.6799999997</v>
          </cell>
          <cell r="Q218">
            <v>8857240</v>
          </cell>
          <cell r="R218">
            <v>1400</v>
          </cell>
          <cell r="S218">
            <v>-187958.68</v>
          </cell>
          <cell r="T218">
            <v>-26670</v>
          </cell>
          <cell r="U218">
            <v>3.5999999999999999E-3</v>
          </cell>
          <cell r="V218">
            <v>4.0000000000000001E-3</v>
          </cell>
          <cell r="W218">
            <v>0</v>
          </cell>
          <cell r="X218">
            <v>0</v>
          </cell>
          <cell r="Y218">
            <v>45260</v>
          </cell>
          <cell r="Z218" t="str">
            <v xml:space="preserve"> </v>
          </cell>
        </row>
        <row r="219">
          <cell r="E219" t="str">
            <v>RELIANCE_28/12/2023</v>
          </cell>
          <cell r="F219" t="str">
            <v>FUTURE EQ</v>
          </cell>
          <cell r="G219" t="str">
            <v>Equity Futures</v>
          </cell>
          <cell r="H219">
            <v>-7500</v>
          </cell>
          <cell r="I219">
            <v>1</v>
          </cell>
          <cell r="J219">
            <v>2420.65</v>
          </cell>
          <cell r="K219">
            <v>2396.5</v>
          </cell>
          <cell r="L219">
            <v>-1.0077195910703109E-2</v>
          </cell>
          <cell r="M219" t="str">
            <v>INR</v>
          </cell>
          <cell r="N219">
            <v>2401.9450000000002</v>
          </cell>
          <cell r="O219">
            <v>-18014587.5</v>
          </cell>
          <cell r="P219">
            <v>-18014587.5</v>
          </cell>
          <cell r="Q219">
            <v>-17973750</v>
          </cell>
          <cell r="R219">
            <v>-7500</v>
          </cell>
          <cell r="S219">
            <v>40837.5</v>
          </cell>
          <cell r="T219">
            <v>40837.5</v>
          </cell>
          <cell r="U219">
            <v>-7.4000000000000003E-3</v>
          </cell>
          <cell r="V219">
            <v>-8.0999999999999996E-3</v>
          </cell>
          <cell r="W219">
            <v>0</v>
          </cell>
          <cell r="X219">
            <v>0</v>
          </cell>
          <cell r="Y219">
            <v>45260</v>
          </cell>
          <cell r="Z219" t="str">
            <v xml:space="preserve"> </v>
          </cell>
        </row>
        <row r="220">
          <cell r="E220" t="str">
            <v>TCS_28/12/2023</v>
          </cell>
          <cell r="F220" t="str">
            <v>FUTURE EQ</v>
          </cell>
          <cell r="G220" t="str">
            <v>Equity Futures</v>
          </cell>
          <cell r="H220">
            <v>-2450</v>
          </cell>
          <cell r="I220">
            <v>1</v>
          </cell>
          <cell r="J220">
            <v>3532.2</v>
          </cell>
          <cell r="K220">
            <v>3514.25</v>
          </cell>
          <cell r="L220">
            <v>-5.1077754855232268E-3</v>
          </cell>
          <cell r="M220" t="str">
            <v>INR</v>
          </cell>
          <cell r="N220">
            <v>3522.8929020408164</v>
          </cell>
          <cell r="O220">
            <v>-8631087.6099999994</v>
          </cell>
          <cell r="P220">
            <v>-8631087.6099999994</v>
          </cell>
          <cell r="Q220">
            <v>-8609912.5</v>
          </cell>
          <cell r="R220">
            <v>-2450</v>
          </cell>
          <cell r="S220">
            <v>21175.11</v>
          </cell>
          <cell r="T220">
            <v>43977.5</v>
          </cell>
          <cell r="U220">
            <v>-3.5000000000000001E-3</v>
          </cell>
          <cell r="V220">
            <v>-3.8999999999999998E-3</v>
          </cell>
          <cell r="W220">
            <v>0</v>
          </cell>
          <cell r="X220">
            <v>0</v>
          </cell>
          <cell r="Y220">
            <v>45260</v>
          </cell>
          <cell r="Z220" t="str">
            <v xml:space="preserve"> </v>
          </cell>
        </row>
        <row r="221">
          <cell r="E221" t="str">
            <v>AXISBANK_28/12/2023</v>
          </cell>
          <cell r="F221" t="str">
            <v>FUTURE EQ</v>
          </cell>
          <cell r="G221" t="str">
            <v>Equity Futures</v>
          </cell>
          <cell r="H221">
            <v>-18750</v>
          </cell>
          <cell r="I221">
            <v>1</v>
          </cell>
          <cell r="J221">
            <v>1065.55</v>
          </cell>
          <cell r="K221">
            <v>1078.25</v>
          </cell>
          <cell r="L221">
            <v>1.1778344539763506E-2</v>
          </cell>
          <cell r="M221" t="str">
            <v>INR</v>
          </cell>
          <cell r="N221">
            <v>1037.03</v>
          </cell>
          <cell r="O221">
            <v>-19444312.5</v>
          </cell>
          <cell r="P221">
            <v>-19444312.5</v>
          </cell>
          <cell r="Q221">
            <v>-20217187.5</v>
          </cell>
          <cell r="R221">
            <v>-18750</v>
          </cell>
          <cell r="S221">
            <v>-772875</v>
          </cell>
          <cell r="T221">
            <v>-238125</v>
          </cell>
          <cell r="U221">
            <v>-8.3000000000000001E-3</v>
          </cell>
          <cell r="V221">
            <v>-9.1000000000000004E-3</v>
          </cell>
          <cell r="W221">
            <v>0</v>
          </cell>
          <cell r="X221">
            <v>0</v>
          </cell>
          <cell r="Y221">
            <v>45260</v>
          </cell>
          <cell r="Z221" t="str">
            <v xml:space="preserve"> </v>
          </cell>
        </row>
        <row r="222">
          <cell r="F222" t="str">
            <v>FUTURE EQ TOTAL</v>
          </cell>
          <cell r="O222">
            <v>-179489950.16</v>
          </cell>
          <cell r="P222">
            <v>-179489950.16</v>
          </cell>
          <cell r="Q222">
            <v>-181114370</v>
          </cell>
          <cell r="S222">
            <v>-1624419.84</v>
          </cell>
          <cell r="T222">
            <v>-404728.75</v>
          </cell>
          <cell r="U222">
            <v>-7.4300000000000005E-2</v>
          </cell>
          <cell r="V222">
            <v>-8.1199999999999994E-2</v>
          </cell>
          <cell r="W222">
            <v>0</v>
          </cell>
          <cell r="X222">
            <v>0</v>
          </cell>
        </row>
        <row r="223">
          <cell r="D223" t="str">
            <v>IN0020220037</v>
          </cell>
          <cell r="E223" t="str">
            <v>7.38% GOI (MD 20/06/2027)</v>
          </cell>
          <cell r="F223" t="str">
            <v>GOVERNMENT</v>
          </cell>
          <cell r="G223" t="str">
            <v>Government Bond</v>
          </cell>
          <cell r="H223">
            <v>900000</v>
          </cell>
          <cell r="I223">
            <v>100</v>
          </cell>
          <cell r="J223">
            <v>100.407</v>
          </cell>
          <cell r="K223">
            <v>100.3501</v>
          </cell>
          <cell r="L223">
            <v>-5.6701488090196218E-4</v>
          </cell>
          <cell r="M223" t="str">
            <v>INR</v>
          </cell>
          <cell r="N223">
            <v>100.81166666666667</v>
          </cell>
          <cell r="O223">
            <v>90730500</v>
          </cell>
          <cell r="P223">
            <v>90730500</v>
          </cell>
          <cell r="Q223">
            <v>90315090</v>
          </cell>
          <cell r="R223">
            <v>90000000</v>
          </cell>
          <cell r="S223">
            <v>-415410</v>
          </cell>
          <cell r="T223">
            <v>-51210</v>
          </cell>
          <cell r="U223">
            <v>3.7100000000000001E-2</v>
          </cell>
          <cell r="V223">
            <v>4.0500000000000001E-2</v>
          </cell>
          <cell r="W223">
            <v>2970450</v>
          </cell>
          <cell r="X223">
            <v>0</v>
          </cell>
          <cell r="Y223">
            <v>45260</v>
          </cell>
          <cell r="Z223" t="str">
            <v>SOV</v>
          </cell>
        </row>
        <row r="224">
          <cell r="D224" t="str">
            <v>IN0020230010</v>
          </cell>
          <cell r="E224" t="str">
            <v>7.06% GOI (MD 10/04/2028)</v>
          </cell>
          <cell r="F224" t="str">
            <v>GOVERNMENT</v>
          </cell>
          <cell r="G224" t="str">
            <v>Government Bond</v>
          </cell>
          <cell r="H224">
            <v>1000000</v>
          </cell>
          <cell r="I224">
            <v>100</v>
          </cell>
          <cell r="J224">
            <v>99.310100000000006</v>
          </cell>
          <cell r="K224">
            <v>99.250600000000006</v>
          </cell>
          <cell r="L224">
            <v>-5.9949259752585873E-4</v>
          </cell>
          <cell r="M224" t="str">
            <v>INR</v>
          </cell>
          <cell r="N224">
            <v>99.304500000000004</v>
          </cell>
          <cell r="O224">
            <v>99304500</v>
          </cell>
          <cell r="P224">
            <v>99304500</v>
          </cell>
          <cell r="Q224">
            <v>99250600</v>
          </cell>
          <cell r="R224">
            <v>100000000</v>
          </cell>
          <cell r="S224">
            <v>-53900</v>
          </cell>
          <cell r="T224">
            <v>-59500</v>
          </cell>
          <cell r="U224">
            <v>4.0800000000000003E-2</v>
          </cell>
          <cell r="V224">
            <v>4.4499999999999998E-2</v>
          </cell>
          <cell r="W224">
            <v>1000166.67</v>
          </cell>
          <cell r="X224">
            <v>0</v>
          </cell>
          <cell r="Y224">
            <v>45260</v>
          </cell>
          <cell r="Z224" t="str">
            <v>SOV</v>
          </cell>
        </row>
        <row r="225">
          <cell r="D225" t="str">
            <v>IN0020230085</v>
          </cell>
          <cell r="E225" t="str">
            <v>7.18% GOI (MD 14/08/2033)</v>
          </cell>
          <cell r="F225" t="str">
            <v>GOVERNMENT</v>
          </cell>
          <cell r="G225" t="str">
            <v>Government Bond</v>
          </cell>
          <cell r="H225">
            <v>550000</v>
          </cell>
          <cell r="I225">
            <v>100</v>
          </cell>
          <cell r="J225">
            <v>99.491</v>
          </cell>
          <cell r="K225">
            <v>99.303399999999996</v>
          </cell>
          <cell r="L225">
            <v>-1.8891598877782633E-3</v>
          </cell>
          <cell r="M225" t="str">
            <v>INR</v>
          </cell>
          <cell r="N225">
            <v>99.179272727272732</v>
          </cell>
          <cell r="O225">
            <v>54548600</v>
          </cell>
          <cell r="P225">
            <v>54548600</v>
          </cell>
          <cell r="Q225">
            <v>54616870</v>
          </cell>
          <cell r="R225">
            <v>55000000</v>
          </cell>
          <cell r="S225">
            <v>68270</v>
          </cell>
          <cell r="T225">
            <v>-103180</v>
          </cell>
          <cell r="U225">
            <v>2.2499999999999999E-2</v>
          </cell>
          <cell r="V225">
            <v>2.4500000000000001E-2</v>
          </cell>
          <cell r="W225">
            <v>1173730.56</v>
          </cell>
          <cell r="X225">
            <v>0</v>
          </cell>
          <cell r="Y225">
            <v>45260</v>
          </cell>
          <cell r="Z225" t="str">
            <v>SOV</v>
          </cell>
        </row>
        <row r="226">
          <cell r="D226" t="str">
            <v>IN0020230101</v>
          </cell>
          <cell r="E226" t="str">
            <v>7.37% GOI (MD 23/10/2028)</v>
          </cell>
          <cell r="F226" t="str">
            <v>GOVERNMENT</v>
          </cell>
          <cell r="G226" t="str">
            <v>Government Bond</v>
          </cell>
          <cell r="H226">
            <v>450000</v>
          </cell>
          <cell r="I226">
            <v>100</v>
          </cell>
          <cell r="J226">
            <v>100.5484</v>
          </cell>
          <cell r="K226">
            <v>100.4644</v>
          </cell>
          <cell r="L226">
            <v>-8.3611707231616374E-4</v>
          </cell>
          <cell r="M226" t="str">
            <v>INR</v>
          </cell>
          <cell r="N226">
            <v>100.22333333333333</v>
          </cell>
          <cell r="O226">
            <v>45100500</v>
          </cell>
          <cell r="P226">
            <v>45100500</v>
          </cell>
          <cell r="Q226">
            <v>45208980</v>
          </cell>
          <cell r="R226">
            <v>45000000</v>
          </cell>
          <cell r="S226">
            <v>108480</v>
          </cell>
          <cell r="T226">
            <v>-37800</v>
          </cell>
          <cell r="U226">
            <v>1.8599999999999998E-2</v>
          </cell>
          <cell r="V226">
            <v>2.0299999999999999E-2</v>
          </cell>
          <cell r="W226">
            <v>350075</v>
          </cell>
          <cell r="X226">
            <v>0</v>
          </cell>
          <cell r="Y226">
            <v>45260</v>
          </cell>
          <cell r="Z226" t="str">
            <v>SOV</v>
          </cell>
        </row>
        <row r="227">
          <cell r="F227" t="str">
            <v>GOVERNMENT TOTAL</v>
          </cell>
          <cell r="O227">
            <v>289684100</v>
          </cell>
          <cell r="P227">
            <v>289684100</v>
          </cell>
          <cell r="Q227">
            <v>289391540</v>
          </cell>
          <cell r="S227">
            <v>-292560</v>
          </cell>
          <cell r="T227">
            <v>-251690</v>
          </cell>
          <cell r="U227">
            <v>0.11899999999999999</v>
          </cell>
          <cell r="V227">
            <v>0.1298</v>
          </cell>
          <cell r="W227">
            <v>5494422.2300000004</v>
          </cell>
          <cell r="X227">
            <v>0</v>
          </cell>
        </row>
        <row r="228">
          <cell r="D228" t="str">
            <v>US9229083632</v>
          </cell>
          <cell r="E228" t="str">
            <v>Vanguard S&amp;P 500 ETF</v>
          </cell>
          <cell r="F228" t="str">
            <v>I1_ETF</v>
          </cell>
          <cell r="G228" t="str">
            <v>International Exchange Traded Funds</v>
          </cell>
          <cell r="H228">
            <v>3241</v>
          </cell>
          <cell r="I228">
            <v>1</v>
          </cell>
          <cell r="J228">
            <v>417.78</v>
          </cell>
          <cell r="K228">
            <v>417.78</v>
          </cell>
          <cell r="L228">
            <v>0</v>
          </cell>
          <cell r="M228" t="str">
            <v>USD</v>
          </cell>
          <cell r="N228">
            <v>32917.348883060782</v>
          </cell>
          <cell r="O228">
            <v>106685127.73</v>
          </cell>
          <cell r="P228">
            <v>106685127.73</v>
          </cell>
          <cell r="Q228">
            <v>112852565.98</v>
          </cell>
          <cell r="R228">
            <v>3241</v>
          </cell>
          <cell r="S228">
            <v>6167438.25</v>
          </cell>
          <cell r="T228">
            <v>51723.75</v>
          </cell>
          <cell r="U228">
            <v>4.6399999999999997E-2</v>
          </cell>
          <cell r="V228">
            <v>5.0599999999999999E-2</v>
          </cell>
          <cell r="W228">
            <v>0</v>
          </cell>
          <cell r="X228">
            <v>0</v>
          </cell>
          <cell r="Y228">
            <v>45260</v>
          </cell>
          <cell r="Z228" t="str">
            <v xml:space="preserve"> </v>
          </cell>
        </row>
        <row r="229">
          <cell r="F229" t="str">
            <v>I1_ETF TOTAL</v>
          </cell>
          <cell r="O229">
            <v>106685127.73</v>
          </cell>
          <cell r="P229">
            <v>106685127.73</v>
          </cell>
          <cell r="Q229">
            <v>112852565.98</v>
          </cell>
          <cell r="S229">
            <v>6167438.25</v>
          </cell>
          <cell r="T229">
            <v>51723.75</v>
          </cell>
          <cell r="U229">
            <v>4.6399999999999997E-2</v>
          </cell>
          <cell r="V229">
            <v>5.0599999999999999E-2</v>
          </cell>
          <cell r="W229">
            <v>0</v>
          </cell>
          <cell r="X229">
            <v>0</v>
          </cell>
        </row>
        <row r="230">
          <cell r="D230" t="str">
            <v>INE0FDU25010</v>
          </cell>
          <cell r="E230" t="str">
            <v>Brookfield India Real Estate Trust</v>
          </cell>
          <cell r="F230" t="str">
            <v>REIT</v>
          </cell>
          <cell r="G230" t="str">
            <v>REIT</v>
          </cell>
          <cell r="H230">
            <v>122429</v>
          </cell>
          <cell r="I230">
            <v>10</v>
          </cell>
          <cell r="J230">
            <v>239.61</v>
          </cell>
          <cell r="K230">
            <v>239.42</v>
          </cell>
          <cell r="L230">
            <v>-7.9358449586500711E-4</v>
          </cell>
          <cell r="M230" t="str">
            <v>INR</v>
          </cell>
          <cell r="N230">
            <v>246.31083272754003</v>
          </cell>
          <cell r="O230">
            <v>30155588.940000001</v>
          </cell>
          <cell r="P230">
            <v>30155588.940000001</v>
          </cell>
          <cell r="Q230">
            <v>29311951.18</v>
          </cell>
          <cell r="R230">
            <v>1224290</v>
          </cell>
          <cell r="S230">
            <v>-843637.76000000001</v>
          </cell>
          <cell r="T230">
            <v>-23261.51</v>
          </cell>
          <cell r="U230">
            <v>1.21E-2</v>
          </cell>
          <cell r="V230">
            <v>1.3100000000000001E-2</v>
          </cell>
          <cell r="W230">
            <v>0</v>
          </cell>
          <cell r="X230">
            <v>0</v>
          </cell>
          <cell r="Y230">
            <v>45260</v>
          </cell>
          <cell r="Z230" t="str">
            <v xml:space="preserve"> </v>
          </cell>
        </row>
        <row r="231">
          <cell r="D231" t="str">
            <v>INE0NDH25011</v>
          </cell>
          <cell r="E231" t="str">
            <v>Nexus Select Trust - REIT</v>
          </cell>
          <cell r="F231" t="str">
            <v>REIT</v>
          </cell>
          <cell r="G231" t="str">
            <v>REIT</v>
          </cell>
          <cell r="H231">
            <v>274730</v>
          </cell>
          <cell r="I231">
            <v>1</v>
          </cell>
          <cell r="J231">
            <v>130.97</v>
          </cell>
          <cell r="K231">
            <v>131.44999999999999</v>
          </cell>
          <cell r="L231">
            <v>3.6515785469760365E-3</v>
          </cell>
          <cell r="M231" t="str">
            <v>INR</v>
          </cell>
          <cell r="N231">
            <v>121.51794853128526</v>
          </cell>
          <cell r="O231">
            <v>33384626</v>
          </cell>
          <cell r="P231">
            <v>33384626</v>
          </cell>
          <cell r="Q231">
            <v>36113258.5</v>
          </cell>
          <cell r="R231">
            <v>274730</v>
          </cell>
          <cell r="S231">
            <v>2728632.5</v>
          </cell>
          <cell r="T231">
            <v>131870.39999999999</v>
          </cell>
          <cell r="U231">
            <v>1.49E-2</v>
          </cell>
          <cell r="V231">
            <v>1.6199999999999999E-2</v>
          </cell>
          <cell r="W231">
            <v>0</v>
          </cell>
          <cell r="X231">
            <v>0</v>
          </cell>
          <cell r="Y231">
            <v>45260</v>
          </cell>
          <cell r="Z231" t="str">
            <v xml:space="preserve"> </v>
          </cell>
        </row>
        <row r="232">
          <cell r="F232" t="str">
            <v>REIT TOTAL</v>
          </cell>
          <cell r="O232">
            <v>63540214.939999998</v>
          </cell>
          <cell r="P232">
            <v>63540214.939999998</v>
          </cell>
          <cell r="Q232">
            <v>65425209.68</v>
          </cell>
          <cell r="S232">
            <v>1884994.74</v>
          </cell>
          <cell r="T232">
            <v>108608.89</v>
          </cell>
          <cell r="U232">
            <v>2.7E-2</v>
          </cell>
          <cell r="V232">
            <v>2.93E-2</v>
          </cell>
          <cell r="W232">
            <v>0</v>
          </cell>
          <cell r="X232">
            <v>0</v>
          </cell>
        </row>
        <row r="233">
          <cell r="E233" t="str">
            <v>Cash &amp; Cash Equivalent:</v>
          </cell>
          <cell r="Q233">
            <v>201576087.90999985</v>
          </cell>
          <cell r="U233">
            <v>8.2900000000000001E-2</v>
          </cell>
        </row>
        <row r="234">
          <cell r="E234" t="str">
            <v>Net Asset:</v>
          </cell>
          <cell r="Q234">
            <v>2431411315.4099998</v>
          </cell>
          <cell r="U234">
            <v>1</v>
          </cell>
        </row>
        <row r="236">
          <cell r="E236" t="str">
            <v>TRP_011223</v>
          </cell>
          <cell r="F236" t="str">
            <v>CBLO</v>
          </cell>
          <cell r="G236" t="str">
            <v>CBLO</v>
          </cell>
          <cell r="H236">
            <v>1677290</v>
          </cell>
          <cell r="I236">
            <v>100</v>
          </cell>
          <cell r="J236">
            <v>0</v>
          </cell>
          <cell r="K236">
            <v>100</v>
          </cell>
          <cell r="L236">
            <v>1</v>
          </cell>
          <cell r="M236" t="str">
            <v>INR</v>
          </cell>
          <cell r="N236">
            <v>99.981485628603281</v>
          </cell>
          <cell r="O236">
            <v>167697946.03</v>
          </cell>
          <cell r="P236">
            <v>167729000</v>
          </cell>
          <cell r="Q236">
            <v>167729000</v>
          </cell>
          <cell r="R236">
            <v>167729000</v>
          </cell>
          <cell r="S236">
            <v>0</v>
          </cell>
          <cell r="T236">
            <v>0</v>
          </cell>
          <cell r="U236">
            <v>7.1999999999999995E-2</v>
          </cell>
          <cell r="V236">
            <v>7.2300000000000003E-2</v>
          </cell>
          <cell r="W236">
            <v>0</v>
          </cell>
          <cell r="X236">
            <v>31053.97</v>
          </cell>
          <cell r="Y236">
            <v>45260</v>
          </cell>
          <cell r="Z236" t="str">
            <v xml:space="preserve"> </v>
          </cell>
        </row>
        <row r="237">
          <cell r="F237" t="str">
            <v>CBLO TOTAL</v>
          </cell>
          <cell r="O237">
            <v>167697946.03</v>
          </cell>
          <cell r="P237">
            <v>167729000</v>
          </cell>
          <cell r="Q237">
            <v>167729000</v>
          </cell>
          <cell r="S237">
            <v>0</v>
          </cell>
          <cell r="T237">
            <v>0</v>
          </cell>
          <cell r="U237">
            <v>7.1999999999999995E-2</v>
          </cell>
          <cell r="V237">
            <v>7.2300000000000003E-2</v>
          </cell>
          <cell r="W237">
            <v>0</v>
          </cell>
          <cell r="X237">
            <v>31053.97</v>
          </cell>
        </row>
        <row r="238">
          <cell r="D238" t="str">
            <v>INE028A16EB1</v>
          </cell>
          <cell r="E238" t="str">
            <v>Bank of Baroda CD (MD 29/01/2024)</v>
          </cell>
          <cell r="F238" t="str">
            <v>CD</v>
          </cell>
          <cell r="G238" t="str">
            <v>Certificate of Deposit</v>
          </cell>
          <cell r="H238">
            <v>2100000</v>
          </cell>
          <cell r="I238">
            <v>100</v>
          </cell>
          <cell r="J238">
            <v>98.8142</v>
          </cell>
          <cell r="K238">
            <v>98.830600000000004</v>
          </cell>
          <cell r="L238">
            <v>1.6594050830410825E-4</v>
          </cell>
          <cell r="M238" t="str">
            <v>INR</v>
          </cell>
          <cell r="N238">
            <v>98.811000000000007</v>
          </cell>
          <cell r="O238">
            <v>207503100</v>
          </cell>
          <cell r="P238">
            <v>207544715</v>
          </cell>
          <cell r="Q238">
            <v>207544260</v>
          </cell>
          <cell r="R238">
            <v>210000000</v>
          </cell>
          <cell r="S238">
            <v>-455</v>
          </cell>
          <cell r="T238">
            <v>-455</v>
          </cell>
          <cell r="U238">
            <v>8.9099999999999999E-2</v>
          </cell>
          <cell r="V238">
            <v>8.9499999999999996E-2</v>
          </cell>
          <cell r="W238">
            <v>0</v>
          </cell>
          <cell r="X238">
            <v>41615</v>
          </cell>
          <cell r="Y238">
            <v>45260</v>
          </cell>
          <cell r="Z238" t="str">
            <v>FITCH A1+</v>
          </cell>
        </row>
        <row r="239">
          <cell r="D239" t="str">
            <v>INE476A16VZ5</v>
          </cell>
          <cell r="E239" t="str">
            <v>Canara Bank CD (MD 10/01/2024)</v>
          </cell>
          <cell r="F239" t="str">
            <v>CD</v>
          </cell>
          <cell r="G239" t="str">
            <v>Certificate of Deposit</v>
          </cell>
          <cell r="H239">
            <v>2100000</v>
          </cell>
          <cell r="I239">
            <v>100</v>
          </cell>
          <cell r="J239">
            <v>99.19</v>
          </cell>
          <cell r="K239">
            <v>99.205100000000002</v>
          </cell>
          <cell r="L239">
            <v>1.5220991662727017E-4</v>
          </cell>
          <cell r="M239" t="str">
            <v>INR</v>
          </cell>
          <cell r="N239">
            <v>98.778499999999994</v>
          </cell>
          <cell r="O239">
            <v>207434850</v>
          </cell>
          <cell r="P239">
            <v>208345064.58000001</v>
          </cell>
          <cell r="Q239">
            <v>208330710</v>
          </cell>
          <cell r="R239">
            <v>210000000</v>
          </cell>
          <cell r="S239">
            <v>-14354.58</v>
          </cell>
          <cell r="T239">
            <v>-9663.39</v>
          </cell>
          <cell r="U239">
            <v>8.9499999999999996E-2</v>
          </cell>
          <cell r="V239">
            <v>8.9800000000000005E-2</v>
          </cell>
          <cell r="W239">
            <v>0</v>
          </cell>
          <cell r="X239">
            <v>910214.58</v>
          </cell>
          <cell r="Y239">
            <v>45260</v>
          </cell>
          <cell r="Z239" t="str">
            <v>CRISIL A1+</v>
          </cell>
        </row>
        <row r="240">
          <cell r="D240" t="str">
            <v>INE040A16DT0</v>
          </cell>
          <cell r="E240" t="str">
            <v>HDFC Bank Limited CD (MD 05/02/2024)</v>
          </cell>
          <cell r="F240" t="str">
            <v>CD</v>
          </cell>
          <cell r="G240" t="str">
            <v>Certificate of Deposit</v>
          </cell>
          <cell r="H240">
            <v>2100000</v>
          </cell>
          <cell r="I240">
            <v>100</v>
          </cell>
          <cell r="J240">
            <v>98.668800000000005</v>
          </cell>
          <cell r="K240">
            <v>98.689300000000003</v>
          </cell>
          <cell r="L240">
            <v>2.0772262038539133E-4</v>
          </cell>
          <cell r="M240" t="str">
            <v>INR</v>
          </cell>
          <cell r="N240">
            <v>98.303600000000003</v>
          </cell>
          <cell r="O240">
            <v>206437560</v>
          </cell>
          <cell r="P240">
            <v>207297459.38999999</v>
          </cell>
          <cell r="Q240">
            <v>207247530</v>
          </cell>
          <cell r="R240">
            <v>210000000</v>
          </cell>
          <cell r="S240">
            <v>-49929.39</v>
          </cell>
          <cell r="T240">
            <v>2102.41</v>
          </cell>
          <cell r="U240">
            <v>8.8999999999999996E-2</v>
          </cell>
          <cell r="V240">
            <v>8.9399999999999993E-2</v>
          </cell>
          <cell r="W240">
            <v>0</v>
          </cell>
          <cell r="X240">
            <v>859899.39</v>
          </cell>
          <cell r="Y240">
            <v>45260</v>
          </cell>
          <cell r="Z240" t="str">
            <v>FITCH A1+</v>
          </cell>
        </row>
        <row r="241">
          <cell r="D241" t="str">
            <v>INE237A164R5</v>
          </cell>
          <cell r="E241" t="str">
            <v>Kotak Mahindra Bank Limited CD (MD 11/12/2023)</v>
          </cell>
          <cell r="F241" t="str">
            <v>CD</v>
          </cell>
          <cell r="G241" t="str">
            <v>Certificate of Deposit</v>
          </cell>
          <cell r="H241">
            <v>1500000</v>
          </cell>
          <cell r="I241">
            <v>100</v>
          </cell>
          <cell r="J241">
            <v>99.789500000000004</v>
          </cell>
          <cell r="K241">
            <v>99.808199999999999</v>
          </cell>
          <cell r="L241">
            <v>1.8735935524335676E-4</v>
          </cell>
          <cell r="M241" t="str">
            <v>INR</v>
          </cell>
          <cell r="N241">
            <v>98.293700000000001</v>
          </cell>
          <cell r="O241">
            <v>147440550</v>
          </cell>
          <cell r="P241">
            <v>149715616.65000001</v>
          </cell>
          <cell r="Q241">
            <v>149712300</v>
          </cell>
          <cell r="R241">
            <v>150000000</v>
          </cell>
          <cell r="S241">
            <v>-3316.65</v>
          </cell>
          <cell r="T241">
            <v>-388.33</v>
          </cell>
          <cell r="U241">
            <v>6.4299999999999996E-2</v>
          </cell>
          <cell r="V241">
            <v>6.4600000000000005E-2</v>
          </cell>
          <cell r="W241">
            <v>0</v>
          </cell>
          <cell r="X241">
            <v>2275066.65</v>
          </cell>
          <cell r="Y241">
            <v>45260</v>
          </cell>
          <cell r="Z241" t="str">
            <v>CRISIL A1+</v>
          </cell>
        </row>
        <row r="242">
          <cell r="D242" t="str">
            <v>INE556F16AF9</v>
          </cell>
          <cell r="E242" t="str">
            <v>Small Ind Dev Bk of India CD (MD 31/01/2024)</v>
          </cell>
          <cell r="F242" t="str">
            <v>CD</v>
          </cell>
          <cell r="G242" t="str">
            <v>Certificate of Deposit</v>
          </cell>
          <cell r="H242">
            <v>1800000</v>
          </cell>
          <cell r="I242">
            <v>100</v>
          </cell>
          <cell r="J242">
            <v>98.767799999999994</v>
          </cell>
          <cell r="K242">
            <v>98.785700000000006</v>
          </cell>
          <cell r="L242">
            <v>1.8120031543026975E-4</v>
          </cell>
          <cell r="M242" t="str">
            <v>INR</v>
          </cell>
          <cell r="N242">
            <v>98.241699999999994</v>
          </cell>
          <cell r="O242">
            <v>176835060</v>
          </cell>
          <cell r="P242">
            <v>177830771.38</v>
          </cell>
          <cell r="Q242">
            <v>177814260</v>
          </cell>
          <cell r="R242">
            <v>180000000</v>
          </cell>
          <cell r="S242">
            <v>-16511.38</v>
          </cell>
          <cell r="T242">
            <v>-3341.13</v>
          </cell>
          <cell r="U242">
            <v>7.6300000000000007E-2</v>
          </cell>
          <cell r="V242">
            <v>7.6700000000000004E-2</v>
          </cell>
          <cell r="W242">
            <v>0</v>
          </cell>
          <cell r="X242">
            <v>995711.38</v>
          </cell>
          <cell r="Y242">
            <v>45260</v>
          </cell>
          <cell r="Z242" t="str">
            <v>CARE A1+</v>
          </cell>
        </row>
        <row r="243">
          <cell r="D243" t="str">
            <v>INE692A16FU1</v>
          </cell>
          <cell r="E243" t="str">
            <v>Union Bank of India CD (MD 19/01/2024)</v>
          </cell>
          <cell r="F243" t="str">
            <v>CD</v>
          </cell>
          <cell r="G243" t="str">
            <v>Certificate of Deposit</v>
          </cell>
          <cell r="H243">
            <v>1200000</v>
          </cell>
          <cell r="I243">
            <v>100</v>
          </cell>
          <cell r="J243">
            <v>99.003900000000002</v>
          </cell>
          <cell r="K243">
            <v>99.019000000000005</v>
          </cell>
          <cell r="L243">
            <v>1.5249598561892163E-4</v>
          </cell>
          <cell r="M243" t="str">
            <v>INR</v>
          </cell>
          <cell r="N243">
            <v>98.860600000000005</v>
          </cell>
          <cell r="O243">
            <v>118632720</v>
          </cell>
          <cell r="P243">
            <v>118824618.95999999</v>
          </cell>
          <cell r="Q243">
            <v>118822800</v>
          </cell>
          <cell r="R243">
            <v>120000000</v>
          </cell>
          <cell r="S243">
            <v>-1818.96</v>
          </cell>
          <cell r="T243">
            <v>-5867.37</v>
          </cell>
          <cell r="U243">
            <v>5.0999999999999997E-2</v>
          </cell>
          <cell r="V243">
            <v>5.1200000000000002E-2</v>
          </cell>
          <cell r="W243">
            <v>0</v>
          </cell>
          <cell r="X243">
            <v>191898.96</v>
          </cell>
          <cell r="Y243">
            <v>45260</v>
          </cell>
          <cell r="Z243" t="str">
            <v>FITCH A1+</v>
          </cell>
        </row>
        <row r="244">
          <cell r="D244" t="str">
            <v>INE238AD6280</v>
          </cell>
          <cell r="E244" t="str">
            <v>Axis Bank Limited CD (MD 11/01/2024)</v>
          </cell>
          <cell r="F244" t="str">
            <v>CD</v>
          </cell>
          <cell r="G244" t="str">
            <v>Certificate of Deposit</v>
          </cell>
          <cell r="H244">
            <v>1700000</v>
          </cell>
          <cell r="I244">
            <v>100</v>
          </cell>
          <cell r="J244">
            <v>99.162499999999994</v>
          </cell>
          <cell r="K244">
            <v>99.181100000000001</v>
          </cell>
          <cell r="L244">
            <v>1.8753573009373762E-4</v>
          </cell>
          <cell r="M244" t="str">
            <v>INR</v>
          </cell>
          <cell r="N244">
            <v>98.493600000000001</v>
          </cell>
          <cell r="O244">
            <v>167439120</v>
          </cell>
          <cell r="P244">
            <v>168636414.47999999</v>
          </cell>
          <cell r="Q244">
            <v>168607870</v>
          </cell>
          <cell r="R244">
            <v>170000000</v>
          </cell>
          <cell r="S244">
            <v>-28544.48</v>
          </cell>
          <cell r="T244">
            <v>-1638.18</v>
          </cell>
          <cell r="U244">
            <v>7.2400000000000006E-2</v>
          </cell>
          <cell r="V244">
            <v>7.2700000000000001E-2</v>
          </cell>
          <cell r="W244">
            <v>0</v>
          </cell>
          <cell r="X244">
            <v>1197294.48</v>
          </cell>
          <cell r="Y244">
            <v>45260</v>
          </cell>
          <cell r="Z244" t="str">
            <v>CRISIL A1+</v>
          </cell>
        </row>
        <row r="245">
          <cell r="F245" t="str">
            <v>CD TOTAL</v>
          </cell>
          <cell r="O245">
            <v>1231722960</v>
          </cell>
          <cell r="P245">
            <v>1238194660.4400001</v>
          </cell>
          <cell r="Q245">
            <v>1238079730</v>
          </cell>
          <cell r="S245">
            <v>-114930.44</v>
          </cell>
          <cell r="T245">
            <v>-19250.990000000002</v>
          </cell>
          <cell r="U245">
            <v>0.53159999999999996</v>
          </cell>
          <cell r="V245">
            <v>0.53390000000000004</v>
          </cell>
          <cell r="W245">
            <v>0</v>
          </cell>
          <cell r="X245">
            <v>6471700.4400000004</v>
          </cell>
        </row>
        <row r="246">
          <cell r="D246" t="str">
            <v>INF0RQ622028</v>
          </cell>
          <cell r="E246" t="str">
            <v>Corporate Debt Market Development Fund Class A2</v>
          </cell>
          <cell r="F246" t="str">
            <v>CDMDF</v>
          </cell>
          <cell r="G246" t="str">
            <v>Corporate Debt Market Development Fund</v>
          </cell>
          <cell r="H246">
            <v>503.27499999999998</v>
          </cell>
          <cell r="I246">
            <v>10000</v>
          </cell>
          <cell r="J246">
            <v>10040.9025</v>
          </cell>
          <cell r="K246">
            <v>10041.7611</v>
          </cell>
          <cell r="L246">
            <v>8.5502930357504722E-5</v>
          </cell>
          <cell r="M246" t="str">
            <v>INR</v>
          </cell>
          <cell r="N246">
            <v>10000</v>
          </cell>
          <cell r="O246">
            <v>5032750</v>
          </cell>
          <cell r="P246">
            <v>5032750</v>
          </cell>
          <cell r="Q246">
            <v>5053767.32</v>
          </cell>
          <cell r="R246">
            <v>5032750</v>
          </cell>
          <cell r="S246">
            <v>21017.32</v>
          </cell>
          <cell r="T246">
            <v>432.11</v>
          </cell>
          <cell r="U246">
            <v>2.2000000000000001E-3</v>
          </cell>
          <cell r="V246">
            <v>2.2000000000000001E-3</v>
          </cell>
          <cell r="W246">
            <v>0</v>
          </cell>
          <cell r="X246">
            <v>0</v>
          </cell>
          <cell r="Y246">
            <v>45260</v>
          </cell>
          <cell r="Z246" t="str">
            <v xml:space="preserve"> </v>
          </cell>
        </row>
        <row r="247">
          <cell r="F247" t="str">
            <v>CDMDF TOTAL</v>
          </cell>
          <cell r="O247">
            <v>5032750</v>
          </cell>
          <cell r="P247">
            <v>5032750</v>
          </cell>
          <cell r="Q247">
            <v>5053767.32</v>
          </cell>
          <cell r="S247">
            <v>21017.32</v>
          </cell>
          <cell r="T247">
            <v>432.11</v>
          </cell>
          <cell r="U247">
            <v>2.2000000000000001E-3</v>
          </cell>
          <cell r="V247">
            <v>2.2000000000000001E-3</v>
          </cell>
          <cell r="W247">
            <v>0</v>
          </cell>
          <cell r="X247">
            <v>0</v>
          </cell>
        </row>
        <row r="248">
          <cell r="D248" t="str">
            <v>INE660A07QQ2</v>
          </cell>
          <cell r="E248" t="str">
            <v>5.10% Sundaram Fin Ltd Sr U11 NCD (MD 01/12/2023)</v>
          </cell>
          <cell r="F248" t="str">
            <v>CORPORATE</v>
          </cell>
          <cell r="G248" t="str">
            <v>Corporate Bond</v>
          </cell>
          <cell r="H248">
            <v>950000</v>
          </cell>
          <cell r="I248">
            <v>100</v>
          </cell>
          <cell r="J248">
            <v>99.992099999999994</v>
          </cell>
          <cell r="K248">
            <v>100</v>
          </cell>
          <cell r="L248">
            <v>7.8999999999999996E-5</v>
          </cell>
          <cell r="M248" t="str">
            <v>INR</v>
          </cell>
          <cell r="N248">
            <v>99.615700000000004</v>
          </cell>
          <cell r="O248">
            <v>94634915</v>
          </cell>
          <cell r="P248">
            <v>94634915</v>
          </cell>
          <cell r="Q248">
            <v>95000000</v>
          </cell>
          <cell r="R248">
            <v>95000000</v>
          </cell>
          <cell r="S248">
            <v>365085</v>
          </cell>
          <cell r="T248">
            <v>7505</v>
          </cell>
          <cell r="U248">
            <v>4.0800000000000003E-2</v>
          </cell>
          <cell r="V248">
            <v>4.1000000000000002E-2</v>
          </cell>
          <cell r="W248">
            <v>4818452.05</v>
          </cell>
          <cell r="X248">
            <v>0</v>
          </cell>
          <cell r="Y248">
            <v>45260</v>
          </cell>
          <cell r="Z248" t="str">
            <v>CRISIL AAA</v>
          </cell>
        </row>
        <row r="249">
          <cell r="F249" t="str">
            <v>CORPORATE TOTAL</v>
          </cell>
          <cell r="O249">
            <v>94634915</v>
          </cell>
          <cell r="P249">
            <v>94634915</v>
          </cell>
          <cell r="Q249">
            <v>95000000</v>
          </cell>
          <cell r="S249">
            <v>365085</v>
          </cell>
          <cell r="T249">
            <v>7505</v>
          </cell>
          <cell r="U249">
            <v>4.0800000000000003E-2</v>
          </cell>
          <cell r="V249">
            <v>4.1000000000000002E-2</v>
          </cell>
          <cell r="W249">
            <v>4818452.05</v>
          </cell>
          <cell r="X249">
            <v>0</v>
          </cell>
        </row>
        <row r="250">
          <cell r="D250" t="str">
            <v>INE700G14HB0</v>
          </cell>
          <cell r="E250" t="str">
            <v>HDFC Securities Limited CP (MD 30/01/2024)</v>
          </cell>
          <cell r="F250" t="str">
            <v>CP</v>
          </cell>
          <cell r="G250" t="str">
            <v>Commercial Paper</v>
          </cell>
          <cell r="H250">
            <v>1000000</v>
          </cell>
          <cell r="I250">
            <v>100</v>
          </cell>
          <cell r="J250">
            <v>98.691199999999995</v>
          </cell>
          <cell r="K250">
            <v>98.700400000000002</v>
          </cell>
          <cell r="L250">
            <v>9.3211375029888437E-5</v>
          </cell>
          <cell r="M250" t="str">
            <v>INR</v>
          </cell>
          <cell r="N250">
            <v>98.0852</v>
          </cell>
          <cell r="O250">
            <v>98085200</v>
          </cell>
          <cell r="P250">
            <v>98737494.560000002</v>
          </cell>
          <cell r="Q250">
            <v>98700400</v>
          </cell>
          <cell r="R250">
            <v>100000000</v>
          </cell>
          <cell r="S250">
            <v>-37094.559999999998</v>
          </cell>
          <cell r="T250">
            <v>-11841.76</v>
          </cell>
          <cell r="U250">
            <v>4.24E-2</v>
          </cell>
          <cell r="V250">
            <v>4.2599999999999999E-2</v>
          </cell>
          <cell r="W250">
            <v>0</v>
          </cell>
          <cell r="X250">
            <v>652294.56000000006</v>
          </cell>
          <cell r="Y250">
            <v>45260</v>
          </cell>
          <cell r="Z250" t="str">
            <v>ICRA A1+</v>
          </cell>
        </row>
        <row r="251">
          <cell r="D251" t="str">
            <v>INE763G14RR3</v>
          </cell>
          <cell r="E251" t="str">
            <v>ICICI Securities Limited CP (MD 20/02/2024)</v>
          </cell>
          <cell r="F251" t="str">
            <v>CP</v>
          </cell>
          <cell r="G251" t="str">
            <v>Commercial Paper</v>
          </cell>
          <cell r="H251">
            <v>2000000</v>
          </cell>
          <cell r="I251">
            <v>100</v>
          </cell>
          <cell r="J251">
            <v>98.254000000000005</v>
          </cell>
          <cell r="K251">
            <v>98.271699999999996</v>
          </cell>
          <cell r="L251">
            <v>1.8011289109682644E-4</v>
          </cell>
          <cell r="M251" t="str">
            <v>INR</v>
          </cell>
          <cell r="N251">
            <v>98.087599999999995</v>
          </cell>
          <cell r="O251">
            <v>196175200</v>
          </cell>
          <cell r="P251">
            <v>196595507.69999999</v>
          </cell>
          <cell r="Q251">
            <v>196543400</v>
          </cell>
          <cell r="R251">
            <v>200000000</v>
          </cell>
          <cell r="S251">
            <v>-52107.7</v>
          </cell>
          <cell r="T251">
            <v>-6630.77</v>
          </cell>
          <cell r="U251">
            <v>8.4400000000000003E-2</v>
          </cell>
          <cell r="V251">
            <v>8.4699999999999998E-2</v>
          </cell>
          <cell r="W251">
            <v>0</v>
          </cell>
          <cell r="X251">
            <v>420307.7</v>
          </cell>
          <cell r="Y251">
            <v>45260</v>
          </cell>
          <cell r="Z251" t="str">
            <v>CRISIL A1+</v>
          </cell>
        </row>
        <row r="252">
          <cell r="D252" t="str">
            <v>INE261F14KE3</v>
          </cell>
          <cell r="E252" t="str">
            <v>National Bank For Agri &amp; Rural CP(MD 13/12/2023)</v>
          </cell>
          <cell r="F252" t="str">
            <v>CP</v>
          </cell>
          <cell r="G252" t="str">
            <v>Commercial Paper</v>
          </cell>
          <cell r="H252">
            <v>1700000</v>
          </cell>
          <cell r="I252">
            <v>100</v>
          </cell>
          <cell r="J252">
            <v>99.746099999999998</v>
          </cell>
          <cell r="K252">
            <v>99.765500000000003</v>
          </cell>
          <cell r="L252">
            <v>1.9445599931840166E-4</v>
          </cell>
          <cell r="M252" t="str">
            <v>INR</v>
          </cell>
          <cell r="N252">
            <v>98.293700000000001</v>
          </cell>
          <cell r="O252">
            <v>167099290</v>
          </cell>
          <cell r="P252">
            <v>169613238.62</v>
          </cell>
          <cell r="Q252">
            <v>169601350</v>
          </cell>
          <cell r="R252">
            <v>170000000</v>
          </cell>
          <cell r="S252">
            <v>-11888.62</v>
          </cell>
          <cell r="T252">
            <v>749.88</v>
          </cell>
          <cell r="U252">
            <v>7.2800000000000004E-2</v>
          </cell>
          <cell r="V252">
            <v>7.3099999999999998E-2</v>
          </cell>
          <cell r="W252">
            <v>0</v>
          </cell>
          <cell r="X252">
            <v>2513948.62</v>
          </cell>
          <cell r="Y252">
            <v>45260</v>
          </cell>
          <cell r="Z252" t="str">
            <v>CRISIL A1+</v>
          </cell>
        </row>
        <row r="253">
          <cell r="F253" t="str">
            <v>CP TOTAL</v>
          </cell>
          <cell r="O253">
            <v>461359690</v>
          </cell>
          <cell r="P253">
            <v>464946240.88</v>
          </cell>
          <cell r="Q253">
            <v>464845150</v>
          </cell>
          <cell r="S253">
            <v>-101090.88</v>
          </cell>
          <cell r="T253">
            <v>-17722.650000000001</v>
          </cell>
          <cell r="U253">
            <v>0.1996</v>
          </cell>
          <cell r="V253">
            <v>0.20039999999999999</v>
          </cell>
          <cell r="W253">
            <v>0</v>
          </cell>
          <cell r="X253">
            <v>3586550.88</v>
          </cell>
        </row>
        <row r="254">
          <cell r="D254" t="str">
            <v>IN002023X245</v>
          </cell>
          <cell r="E254" t="str">
            <v>91 Days Tbill (MD 07/12/2023)</v>
          </cell>
          <cell r="F254" t="str">
            <v>TBILL</v>
          </cell>
          <cell r="G254" t="str">
            <v>Treasury Bill</v>
          </cell>
          <cell r="H254">
            <v>2500000</v>
          </cell>
          <cell r="I254">
            <v>100</v>
          </cell>
          <cell r="J254">
            <v>99.868799999999993</v>
          </cell>
          <cell r="K254">
            <v>99.887500000000003</v>
          </cell>
          <cell r="L254">
            <v>1.8721061193843075E-4</v>
          </cell>
          <cell r="M254" t="str">
            <v>INR</v>
          </cell>
          <cell r="N254">
            <v>98.371539999999996</v>
          </cell>
          <cell r="O254">
            <v>245928850</v>
          </cell>
          <cell r="P254">
            <v>249725518.87</v>
          </cell>
          <cell r="Q254">
            <v>249718750</v>
          </cell>
          <cell r="R254">
            <v>250000000</v>
          </cell>
          <cell r="S254">
            <v>-6768.87</v>
          </cell>
          <cell r="T254">
            <v>1003.15</v>
          </cell>
          <cell r="U254">
            <v>0.1072</v>
          </cell>
          <cell r="V254">
            <v>0.1077</v>
          </cell>
          <cell r="W254">
            <v>0</v>
          </cell>
          <cell r="X254">
            <v>3796668.87</v>
          </cell>
          <cell r="Y254">
            <v>45260</v>
          </cell>
          <cell r="Z254" t="str">
            <v>SOV</v>
          </cell>
        </row>
        <row r="255">
          <cell r="D255" t="str">
            <v>IN002023X328</v>
          </cell>
          <cell r="E255" t="str">
            <v>91 Days Tbill (MD 01/02/2024)</v>
          </cell>
          <cell r="F255" t="str">
            <v>TBILL</v>
          </cell>
          <cell r="G255" t="str">
            <v>Treasury Bill</v>
          </cell>
          <cell r="H255">
            <v>1000000</v>
          </cell>
          <cell r="I255">
            <v>100</v>
          </cell>
          <cell r="J255">
            <v>98.809600000000003</v>
          </cell>
          <cell r="K255">
            <v>98.841499999999996</v>
          </cell>
          <cell r="L255">
            <v>3.2273893050995786E-4</v>
          </cell>
          <cell r="M255" t="str">
            <v>INR</v>
          </cell>
          <cell r="N255">
            <v>98.304900000000004</v>
          </cell>
          <cell r="O255">
            <v>98304900</v>
          </cell>
          <cell r="P255">
            <v>98845096.629999995</v>
          </cell>
          <cell r="Q255">
            <v>98841500</v>
          </cell>
          <cell r="R255">
            <v>100000000</v>
          </cell>
          <cell r="S255">
            <v>-3596.63</v>
          </cell>
          <cell r="T255">
            <v>13272.53</v>
          </cell>
          <cell r="U255">
            <v>4.24E-2</v>
          </cell>
          <cell r="V255">
            <v>4.2599999999999999E-2</v>
          </cell>
          <cell r="W255">
            <v>0</v>
          </cell>
          <cell r="X255">
            <v>540196.63</v>
          </cell>
          <cell r="Y255">
            <v>45260</v>
          </cell>
          <cell r="Z255" t="str">
            <v>SOV</v>
          </cell>
        </row>
        <row r="256">
          <cell r="F256" t="str">
            <v>TBILL TOTAL</v>
          </cell>
          <cell r="O256">
            <v>344233750</v>
          </cell>
          <cell r="P256">
            <v>348570615.5</v>
          </cell>
          <cell r="Q256">
            <v>348560250</v>
          </cell>
          <cell r="S256">
            <v>-10365.5</v>
          </cell>
          <cell r="T256">
            <v>14275.68</v>
          </cell>
          <cell r="U256">
            <v>0.14960000000000001</v>
          </cell>
          <cell r="V256">
            <v>0.15029999999999999</v>
          </cell>
          <cell r="W256">
            <v>0</v>
          </cell>
          <cell r="X256">
            <v>4336865.5</v>
          </cell>
        </row>
        <row r="257">
          <cell r="E257" t="str">
            <v>Cash &amp; Cash Equivalent:</v>
          </cell>
          <cell r="Q257">
            <v>9693920.2700001523</v>
          </cell>
          <cell r="U257">
            <v>4.1999999999999997E-3</v>
          </cell>
        </row>
        <row r="258">
          <cell r="E258" t="str">
            <v>Net Asset:</v>
          </cell>
          <cell r="Q258">
            <v>2328961817.5900002</v>
          </cell>
          <cell r="U258">
            <v>1</v>
          </cell>
        </row>
        <row r="260">
          <cell r="E260" t="str">
            <v>TRP_011223</v>
          </cell>
          <cell r="F260" t="str">
            <v>CBLO</v>
          </cell>
          <cell r="G260" t="str">
            <v>CBLO</v>
          </cell>
          <cell r="H260">
            <v>2374980</v>
          </cell>
          <cell r="I260">
            <v>100</v>
          </cell>
          <cell r="J260">
            <v>0</v>
          </cell>
          <cell r="K260">
            <v>100</v>
          </cell>
          <cell r="L260">
            <v>1</v>
          </cell>
          <cell r="M260" t="str">
            <v>INR</v>
          </cell>
          <cell r="N260">
            <v>99.981485629352662</v>
          </cell>
          <cell r="O260">
            <v>237454028.74000001</v>
          </cell>
          <cell r="P260">
            <v>237498000</v>
          </cell>
          <cell r="Q260">
            <v>237498000</v>
          </cell>
          <cell r="R260">
            <v>237498000</v>
          </cell>
          <cell r="S260">
            <v>0</v>
          </cell>
          <cell r="T260">
            <v>0</v>
          </cell>
          <cell r="U260">
            <v>7.9699999999999993E-2</v>
          </cell>
          <cell r="V260">
            <v>7.9000000000000001E-2</v>
          </cell>
          <cell r="W260">
            <v>0</v>
          </cell>
          <cell r="X260">
            <v>43971.26</v>
          </cell>
          <cell r="Y260">
            <v>45260</v>
          </cell>
          <cell r="Z260" t="str">
            <v xml:space="preserve"> </v>
          </cell>
        </row>
        <row r="261">
          <cell r="F261" t="str">
            <v>CBLO TOTAL</v>
          </cell>
          <cell r="O261">
            <v>237454028.74000001</v>
          </cell>
          <cell r="P261">
            <v>237498000</v>
          </cell>
          <cell r="Q261">
            <v>237498000</v>
          </cell>
          <cell r="S261">
            <v>0</v>
          </cell>
          <cell r="T261">
            <v>0</v>
          </cell>
          <cell r="U261">
            <v>7.9699999999999993E-2</v>
          </cell>
          <cell r="V261">
            <v>7.9000000000000001E-2</v>
          </cell>
          <cell r="W261">
            <v>0</v>
          </cell>
          <cell r="X261">
            <v>43971.26</v>
          </cell>
        </row>
        <row r="262">
          <cell r="D262" t="str">
            <v>INE476A16VZ5</v>
          </cell>
          <cell r="E262" t="str">
            <v>Canara Bank CD (MD 10/01/2024)</v>
          </cell>
          <cell r="F262" t="str">
            <v>CD</v>
          </cell>
          <cell r="G262" t="str">
            <v>Certificate of Deposit</v>
          </cell>
          <cell r="H262">
            <v>400000</v>
          </cell>
          <cell r="I262">
            <v>100</v>
          </cell>
          <cell r="J262">
            <v>99.19</v>
          </cell>
          <cell r="K262">
            <v>99.205100000000002</v>
          </cell>
          <cell r="L262">
            <v>1.5220991662727017E-4</v>
          </cell>
          <cell r="M262" t="str">
            <v>INR</v>
          </cell>
          <cell r="N262">
            <v>98.778499999999994</v>
          </cell>
          <cell r="O262">
            <v>39511400</v>
          </cell>
          <cell r="P262">
            <v>39684774.200000003</v>
          </cell>
          <cell r="Q262">
            <v>39682040</v>
          </cell>
          <cell r="R262">
            <v>40000000</v>
          </cell>
          <cell r="S262">
            <v>-2734.2</v>
          </cell>
          <cell r="T262">
            <v>-1840.64</v>
          </cell>
          <cell r="U262">
            <v>1.3299999999999999E-2</v>
          </cell>
          <cell r="V262">
            <v>1.32E-2</v>
          </cell>
          <cell r="W262">
            <v>0</v>
          </cell>
          <cell r="X262">
            <v>173374.2</v>
          </cell>
          <cell r="Y262">
            <v>45260</v>
          </cell>
          <cell r="Z262" t="str">
            <v>CRISIL A1+</v>
          </cell>
        </row>
        <row r="263">
          <cell r="D263" t="str">
            <v>INE040A16DT0</v>
          </cell>
          <cell r="E263" t="str">
            <v>HDFC Bank Limited CD (MD 05/02/2024)</v>
          </cell>
          <cell r="F263" t="str">
            <v>CD</v>
          </cell>
          <cell r="G263" t="str">
            <v>Certificate of Deposit</v>
          </cell>
          <cell r="H263">
            <v>200000</v>
          </cell>
          <cell r="I263">
            <v>100</v>
          </cell>
          <cell r="J263">
            <v>98.668800000000005</v>
          </cell>
          <cell r="K263">
            <v>98.689300000000003</v>
          </cell>
          <cell r="L263">
            <v>2.0772262038539133E-4</v>
          </cell>
          <cell r="M263" t="str">
            <v>INR</v>
          </cell>
          <cell r="N263">
            <v>98.303600000000003</v>
          </cell>
          <cell r="O263">
            <v>19660720</v>
          </cell>
          <cell r="P263">
            <v>19742615.170000002</v>
          </cell>
          <cell r="Q263">
            <v>19737860</v>
          </cell>
          <cell r="R263">
            <v>20000000</v>
          </cell>
          <cell r="S263">
            <v>-4755.17</v>
          </cell>
          <cell r="T263">
            <v>200.23</v>
          </cell>
          <cell r="U263">
            <v>6.6E-3</v>
          </cell>
          <cell r="V263">
            <v>6.6E-3</v>
          </cell>
          <cell r="W263">
            <v>0</v>
          </cell>
          <cell r="X263">
            <v>81895.17</v>
          </cell>
          <cell r="Y263">
            <v>45260</v>
          </cell>
          <cell r="Z263" t="str">
            <v>FITCH A1+</v>
          </cell>
        </row>
        <row r="264">
          <cell r="D264" t="str">
            <v>INE040A16DZ7</v>
          </cell>
          <cell r="E264" t="str">
            <v>HDFC Bank Limited CD (MD 14/06/2024)</v>
          </cell>
          <cell r="F264" t="str">
            <v>CD</v>
          </cell>
          <cell r="G264" t="str">
            <v>Certificate of Deposit</v>
          </cell>
          <cell r="H264">
            <v>2500000</v>
          </cell>
          <cell r="I264">
            <v>100</v>
          </cell>
          <cell r="J264">
            <v>96.047300000000007</v>
          </cell>
          <cell r="K264">
            <v>96.066599999999994</v>
          </cell>
          <cell r="L264">
            <v>2.0090229070249182E-4</v>
          </cell>
          <cell r="M264" t="str">
            <v>INR</v>
          </cell>
          <cell r="N264">
            <v>95.600800000000007</v>
          </cell>
          <cell r="O264">
            <v>239002000</v>
          </cell>
          <cell r="P264">
            <v>240246117.75</v>
          </cell>
          <cell r="Q264">
            <v>240166500</v>
          </cell>
          <cell r="R264">
            <v>250000000</v>
          </cell>
          <cell r="S264">
            <v>-79617.75</v>
          </cell>
          <cell r="T264">
            <v>-1514.71</v>
          </cell>
          <cell r="U264">
            <v>8.0600000000000005E-2</v>
          </cell>
          <cell r="V264">
            <v>7.9799999999999996E-2</v>
          </cell>
          <cell r="W264">
            <v>0</v>
          </cell>
          <cell r="X264">
            <v>1244117.75</v>
          </cell>
          <cell r="Y264">
            <v>45260</v>
          </cell>
          <cell r="Z264" t="str">
            <v>CARE A1+</v>
          </cell>
        </row>
        <row r="265">
          <cell r="D265" t="str">
            <v>INE090AD6055</v>
          </cell>
          <cell r="E265" t="str">
            <v>ICICI Bank Limited CD (MD 18/09/2024)</v>
          </cell>
          <cell r="F265" t="str">
            <v>CD</v>
          </cell>
          <cell r="G265" t="str">
            <v>Certificate of Deposit</v>
          </cell>
          <cell r="H265">
            <v>2000000</v>
          </cell>
          <cell r="I265">
            <v>100</v>
          </cell>
          <cell r="J265">
            <v>94.2179</v>
          </cell>
          <cell r="K265">
            <v>94.236500000000007</v>
          </cell>
          <cell r="L265">
            <v>1.9737575143389239E-4</v>
          </cell>
          <cell r="M265" t="str">
            <v>INR</v>
          </cell>
          <cell r="N265">
            <v>93.536500000000004</v>
          </cell>
          <cell r="O265">
            <v>187073000</v>
          </cell>
          <cell r="P265">
            <v>188596120.81999999</v>
          </cell>
          <cell r="Q265">
            <v>188473000</v>
          </cell>
          <cell r="R265">
            <v>200000000</v>
          </cell>
          <cell r="S265">
            <v>-123120.82</v>
          </cell>
          <cell r="T265">
            <v>-1854.38</v>
          </cell>
          <cell r="U265">
            <v>6.3200000000000006E-2</v>
          </cell>
          <cell r="V265">
            <v>6.2700000000000006E-2</v>
          </cell>
          <cell r="W265">
            <v>0</v>
          </cell>
          <cell r="X265">
            <v>1523120.82</v>
          </cell>
          <cell r="Y265">
            <v>45260</v>
          </cell>
          <cell r="Z265" t="str">
            <v>ICRA A1+</v>
          </cell>
        </row>
        <row r="266">
          <cell r="D266" t="str">
            <v>INE237A167U2</v>
          </cell>
          <cell r="E266" t="str">
            <v>Kotak Mahindra Bank Limited CD (MD 14/06/2024)</v>
          </cell>
          <cell r="F266" t="str">
            <v>CD</v>
          </cell>
          <cell r="G266" t="str">
            <v>Certificate of Deposit</v>
          </cell>
          <cell r="H266">
            <v>2500000</v>
          </cell>
          <cell r="I266">
            <v>100</v>
          </cell>
          <cell r="J266">
            <v>96.079700000000003</v>
          </cell>
          <cell r="K266">
            <v>96.098799999999997</v>
          </cell>
          <cell r="L266">
            <v>1.9875378256544306E-4</v>
          </cell>
          <cell r="M266" t="str">
            <v>INR</v>
          </cell>
          <cell r="N266">
            <v>95.965100000000007</v>
          </cell>
          <cell r="O266">
            <v>239912750</v>
          </cell>
          <cell r="P266">
            <v>240260586.22999999</v>
          </cell>
          <cell r="Q266">
            <v>240247000</v>
          </cell>
          <cell r="R266">
            <v>250000000</v>
          </cell>
          <cell r="S266">
            <v>-13586.23</v>
          </cell>
          <cell r="T266">
            <v>-1940.89</v>
          </cell>
          <cell r="U266">
            <v>8.0600000000000005E-2</v>
          </cell>
          <cell r="V266">
            <v>7.9899999999999999E-2</v>
          </cell>
          <cell r="W266">
            <v>0</v>
          </cell>
          <cell r="X266">
            <v>347836.23</v>
          </cell>
          <cell r="Y266">
            <v>45260</v>
          </cell>
          <cell r="Z266" t="str">
            <v>CRISIL A1+</v>
          </cell>
        </row>
        <row r="267">
          <cell r="D267" t="str">
            <v>INE556F16AF9</v>
          </cell>
          <cell r="E267" t="str">
            <v>Small Ind Dev Bk of India CD (MD 31/01/2024)</v>
          </cell>
          <cell r="F267" t="str">
            <v>CD</v>
          </cell>
          <cell r="G267" t="str">
            <v>Certificate of Deposit</v>
          </cell>
          <cell r="H267">
            <v>700000</v>
          </cell>
          <cell r="I267">
            <v>100</v>
          </cell>
          <cell r="J267">
            <v>98.767799999999994</v>
          </cell>
          <cell r="K267">
            <v>98.785700000000006</v>
          </cell>
          <cell r="L267">
            <v>1.8120031543026975E-4</v>
          </cell>
          <cell r="M267" t="str">
            <v>INR</v>
          </cell>
          <cell r="N267">
            <v>98.241699999999994</v>
          </cell>
          <cell r="O267">
            <v>68769190</v>
          </cell>
          <cell r="P267">
            <v>69156411.180000007</v>
          </cell>
          <cell r="Q267">
            <v>69149990</v>
          </cell>
          <cell r="R267">
            <v>70000000</v>
          </cell>
          <cell r="S267">
            <v>-6421.18</v>
          </cell>
          <cell r="T267">
            <v>-1299.33</v>
          </cell>
          <cell r="U267">
            <v>2.3199999999999998E-2</v>
          </cell>
          <cell r="V267">
            <v>2.3E-2</v>
          </cell>
          <cell r="W267">
            <v>0</v>
          </cell>
          <cell r="X267">
            <v>387221.18</v>
          </cell>
          <cell r="Y267">
            <v>45260</v>
          </cell>
          <cell r="Z267" t="str">
            <v>CARE A1+</v>
          </cell>
        </row>
        <row r="268">
          <cell r="D268" t="str">
            <v>INE556F16AK9</v>
          </cell>
          <cell r="E268" t="str">
            <v>Small Ind Dev Bk of India CD (MD 06/06/2024)</v>
          </cell>
          <cell r="F268" t="str">
            <v>CD</v>
          </cell>
          <cell r="G268" t="str">
            <v>Certificate of Deposit</v>
          </cell>
          <cell r="H268">
            <v>1000000</v>
          </cell>
          <cell r="I268">
            <v>100</v>
          </cell>
          <cell r="J268">
            <v>96.180099999999996</v>
          </cell>
          <cell r="K268">
            <v>96.199600000000004</v>
          </cell>
          <cell r="L268">
            <v>2.0270354554488792E-4</v>
          </cell>
          <cell r="M268" t="str">
            <v>INR</v>
          </cell>
          <cell r="N268">
            <v>93.992199999999997</v>
          </cell>
          <cell r="O268">
            <v>93992200</v>
          </cell>
          <cell r="P268">
            <v>96402973.120000005</v>
          </cell>
          <cell r="Q268">
            <v>96199600</v>
          </cell>
          <cell r="R268">
            <v>100000000</v>
          </cell>
          <cell r="S268">
            <v>-203373.12</v>
          </cell>
          <cell r="T268">
            <v>366.88</v>
          </cell>
          <cell r="U268">
            <v>3.2300000000000002E-2</v>
          </cell>
          <cell r="V268">
            <v>3.2000000000000001E-2</v>
          </cell>
          <cell r="W268">
            <v>0</v>
          </cell>
          <cell r="X268">
            <v>2410773.12</v>
          </cell>
          <cell r="Y268">
            <v>45260</v>
          </cell>
          <cell r="Z268" t="str">
            <v>CARE A1+</v>
          </cell>
        </row>
        <row r="269">
          <cell r="D269" t="str">
            <v>INE692A16FU1</v>
          </cell>
          <cell r="E269" t="str">
            <v>Union Bank of India CD (MD 19/01/2024)</v>
          </cell>
          <cell r="F269" t="str">
            <v>CD</v>
          </cell>
          <cell r="G269" t="str">
            <v>Certificate of Deposit</v>
          </cell>
          <cell r="H269">
            <v>1300000</v>
          </cell>
          <cell r="I269">
            <v>100</v>
          </cell>
          <cell r="J269">
            <v>99.003900000000002</v>
          </cell>
          <cell r="K269">
            <v>99.019000000000005</v>
          </cell>
          <cell r="L269">
            <v>1.5249598561892163E-4</v>
          </cell>
          <cell r="M269" t="str">
            <v>INR</v>
          </cell>
          <cell r="N269">
            <v>98.860600000000005</v>
          </cell>
          <cell r="O269">
            <v>128518780</v>
          </cell>
          <cell r="P269">
            <v>128726670.56</v>
          </cell>
          <cell r="Q269">
            <v>128724700</v>
          </cell>
          <cell r="R269">
            <v>130000000</v>
          </cell>
          <cell r="S269">
            <v>-1970.56</v>
          </cell>
          <cell r="T269">
            <v>-6356.32</v>
          </cell>
          <cell r="U269">
            <v>4.3200000000000002E-2</v>
          </cell>
          <cell r="V269">
            <v>4.2799999999999998E-2</v>
          </cell>
          <cell r="W269">
            <v>0</v>
          </cell>
          <cell r="X269">
            <v>207890.56</v>
          </cell>
          <cell r="Y269">
            <v>45260</v>
          </cell>
          <cell r="Z269" t="str">
            <v>FITCH A1+</v>
          </cell>
        </row>
        <row r="270">
          <cell r="D270" t="str">
            <v>INE238AD6280</v>
          </cell>
          <cell r="E270" t="str">
            <v>Axis Bank Limited CD (MD 11/01/2024)</v>
          </cell>
          <cell r="F270" t="str">
            <v>CD</v>
          </cell>
          <cell r="G270" t="str">
            <v>Certificate of Deposit</v>
          </cell>
          <cell r="H270">
            <v>800000</v>
          </cell>
          <cell r="I270">
            <v>100</v>
          </cell>
          <cell r="J270">
            <v>99.162499999999994</v>
          </cell>
          <cell r="K270">
            <v>99.181100000000001</v>
          </cell>
          <cell r="L270">
            <v>1.8753573009373762E-4</v>
          </cell>
          <cell r="M270" t="str">
            <v>INR</v>
          </cell>
          <cell r="N270">
            <v>98.493600000000001</v>
          </cell>
          <cell r="O270">
            <v>78794880</v>
          </cell>
          <cell r="P270">
            <v>79358312.760000005</v>
          </cell>
          <cell r="Q270">
            <v>79344880</v>
          </cell>
          <cell r="R270">
            <v>80000000</v>
          </cell>
          <cell r="S270">
            <v>-13432.76</v>
          </cell>
          <cell r="T270">
            <v>-770.91</v>
          </cell>
          <cell r="U270">
            <v>2.6599999999999999E-2</v>
          </cell>
          <cell r="V270">
            <v>2.64E-2</v>
          </cell>
          <cell r="W270">
            <v>0</v>
          </cell>
          <cell r="X270">
            <v>563432.76</v>
          </cell>
          <cell r="Y270">
            <v>45260</v>
          </cell>
          <cell r="Z270" t="str">
            <v>CRISIL A1+</v>
          </cell>
        </row>
        <row r="271">
          <cell r="D271" t="str">
            <v>INE238AD6454</v>
          </cell>
          <cell r="E271" t="str">
            <v>Axis Bank Limited CD (MD 19/06/2024)</v>
          </cell>
          <cell r="F271" t="str">
            <v>CD</v>
          </cell>
          <cell r="G271" t="str">
            <v>Certificate of Deposit</v>
          </cell>
          <cell r="H271">
            <v>1500000</v>
          </cell>
          <cell r="I271">
            <v>100</v>
          </cell>
          <cell r="J271">
            <v>95.943399999999997</v>
          </cell>
          <cell r="K271">
            <v>95.962699999999998</v>
          </cell>
          <cell r="L271">
            <v>2.0111981009287983E-4</v>
          </cell>
          <cell r="M271" t="str">
            <v>INR</v>
          </cell>
          <cell r="N271">
            <v>93.944000000000003</v>
          </cell>
          <cell r="O271">
            <v>140916000</v>
          </cell>
          <cell r="P271">
            <v>144311887.94</v>
          </cell>
          <cell r="Q271">
            <v>143944050</v>
          </cell>
          <cell r="R271">
            <v>150000000</v>
          </cell>
          <cell r="S271">
            <v>-367837.94</v>
          </cell>
          <cell r="T271">
            <v>650.92999999999995</v>
          </cell>
          <cell r="U271">
            <v>4.8300000000000003E-2</v>
          </cell>
          <cell r="V271">
            <v>4.7899999999999998E-2</v>
          </cell>
          <cell r="W271">
            <v>0</v>
          </cell>
          <cell r="X271">
            <v>3395887.94</v>
          </cell>
          <cell r="Y271">
            <v>45260</v>
          </cell>
          <cell r="Z271" t="str">
            <v>CRISIL A1+</v>
          </cell>
        </row>
        <row r="272">
          <cell r="F272" t="str">
            <v>CD TOTAL</v>
          </cell>
          <cell r="O272">
            <v>1236150920</v>
          </cell>
          <cell r="P272">
            <v>1246486469.73</v>
          </cell>
          <cell r="Q272">
            <v>1245669620</v>
          </cell>
          <cell r="S272">
            <v>-816849.73</v>
          </cell>
          <cell r="T272">
            <v>-14359.14</v>
          </cell>
          <cell r="U272">
            <v>0.41789999999999999</v>
          </cell>
          <cell r="V272">
            <v>0.4143</v>
          </cell>
          <cell r="W272">
            <v>0</v>
          </cell>
          <cell r="X272">
            <v>10335549.73</v>
          </cell>
        </row>
        <row r="273">
          <cell r="D273" t="str">
            <v>INF0RQ622028</v>
          </cell>
          <cell r="E273" t="str">
            <v>Corporate Debt Market Development Fund Class A2</v>
          </cell>
          <cell r="F273" t="str">
            <v>CDMDF</v>
          </cell>
          <cell r="G273" t="str">
            <v>Corporate Debt Market Development Fund</v>
          </cell>
          <cell r="H273">
            <v>356.28199999999998</v>
          </cell>
          <cell r="I273">
            <v>10000</v>
          </cell>
          <cell r="J273">
            <v>10040.9025</v>
          </cell>
          <cell r="K273">
            <v>10041.7611</v>
          </cell>
          <cell r="L273">
            <v>8.5502930357504722E-5</v>
          </cell>
          <cell r="M273" t="str">
            <v>INR</v>
          </cell>
          <cell r="N273">
            <v>10000</v>
          </cell>
          <cell r="O273">
            <v>3562820</v>
          </cell>
          <cell r="P273">
            <v>3562820</v>
          </cell>
          <cell r="Q273">
            <v>3577698.73</v>
          </cell>
          <cell r="R273">
            <v>3562820</v>
          </cell>
          <cell r="S273">
            <v>14878.73</v>
          </cell>
          <cell r="T273">
            <v>305.91000000000003</v>
          </cell>
          <cell r="U273">
            <v>1.1999999999999999E-3</v>
          </cell>
          <cell r="V273">
            <v>1.1999999999999999E-3</v>
          </cell>
          <cell r="W273">
            <v>0</v>
          </cell>
          <cell r="X273">
            <v>0</v>
          </cell>
          <cell r="Y273">
            <v>45260</v>
          </cell>
          <cell r="Z273" t="str">
            <v xml:space="preserve"> </v>
          </cell>
        </row>
        <row r="274">
          <cell r="F274" t="str">
            <v>CDMDF TOTAL</v>
          </cell>
          <cell r="O274">
            <v>3562820</v>
          </cell>
          <cell r="P274">
            <v>3562820</v>
          </cell>
          <cell r="Q274">
            <v>3577698.73</v>
          </cell>
          <cell r="S274">
            <v>14878.73</v>
          </cell>
          <cell r="T274">
            <v>305.91000000000003</v>
          </cell>
          <cell r="U274">
            <v>1.1999999999999999E-3</v>
          </cell>
          <cell r="V274">
            <v>1.1999999999999999E-3</v>
          </cell>
          <cell r="W274">
            <v>0</v>
          </cell>
          <cell r="X274">
            <v>0</v>
          </cell>
        </row>
        <row r="275">
          <cell r="D275" t="str">
            <v>INE121A07PN4</v>
          </cell>
          <cell r="E275" t="str">
            <v>7.38% Cholamandalam Inv&amp;Fin Sr590 NCD (MD31/07/24)</v>
          </cell>
          <cell r="F275" t="str">
            <v>CORPORATE</v>
          </cell>
          <cell r="G275" t="str">
            <v>Corporate Bond</v>
          </cell>
          <cell r="H275">
            <v>1400000</v>
          </cell>
          <cell r="I275">
            <v>100</v>
          </cell>
          <cell r="J275">
            <v>99.175899999999999</v>
          </cell>
          <cell r="K275">
            <v>99.243499999999997</v>
          </cell>
          <cell r="L275">
            <v>6.8115292185382415E-4</v>
          </cell>
          <cell r="M275" t="str">
            <v>INR</v>
          </cell>
          <cell r="N275">
            <v>99.3262</v>
          </cell>
          <cell r="O275">
            <v>139056680</v>
          </cell>
          <cell r="P275">
            <v>139056680</v>
          </cell>
          <cell r="Q275">
            <v>138940900</v>
          </cell>
          <cell r="R275">
            <v>140000000</v>
          </cell>
          <cell r="S275">
            <v>-115780</v>
          </cell>
          <cell r="T275">
            <v>94640</v>
          </cell>
          <cell r="U275">
            <v>4.6600000000000003E-2</v>
          </cell>
          <cell r="V275">
            <v>4.6199999999999998E-2</v>
          </cell>
          <cell r="W275">
            <v>3472229.51</v>
          </cell>
          <cell r="X275">
            <v>0</v>
          </cell>
          <cell r="Y275">
            <v>45260</v>
          </cell>
          <cell r="Z275" t="str">
            <v>ICRA AA+</v>
          </cell>
        </row>
        <row r="276">
          <cell r="D276" t="str">
            <v>INE018A08BB5</v>
          </cell>
          <cell r="E276" t="str">
            <v>7.25% Larsen &amp; Toubro Ltd NCD (MD 06/05/2024)</v>
          </cell>
          <cell r="F276" t="str">
            <v>CORPORATE</v>
          </cell>
          <cell r="G276" t="str">
            <v>Corporate Bond</v>
          </cell>
          <cell r="H276">
            <v>200000</v>
          </cell>
          <cell r="I276">
            <v>100</v>
          </cell>
          <cell r="J276">
            <v>99.708399999999997</v>
          </cell>
          <cell r="K276">
            <v>99.713200000000001</v>
          </cell>
          <cell r="L276">
            <v>4.8138059955953673E-5</v>
          </cell>
          <cell r="M276" t="str">
            <v>INR</v>
          </cell>
          <cell r="N276">
            <v>99.412499999999994</v>
          </cell>
          <cell r="O276">
            <v>19882500</v>
          </cell>
          <cell r="P276">
            <v>19882500</v>
          </cell>
          <cell r="Q276">
            <v>19942640</v>
          </cell>
          <cell r="R276">
            <v>20000000</v>
          </cell>
          <cell r="S276">
            <v>60140</v>
          </cell>
          <cell r="T276">
            <v>960</v>
          </cell>
          <cell r="U276">
            <v>6.7000000000000002E-3</v>
          </cell>
          <cell r="V276">
            <v>6.6E-3</v>
          </cell>
          <cell r="W276">
            <v>828005.46</v>
          </cell>
          <cell r="X276">
            <v>0</v>
          </cell>
          <cell r="Y276">
            <v>45260</v>
          </cell>
          <cell r="Z276" t="str">
            <v>CRISIL AAA</v>
          </cell>
        </row>
        <row r="277">
          <cell r="D277" t="str">
            <v>INE115A07PB1</v>
          </cell>
          <cell r="E277" t="str">
            <v>5.72% LIC Hsg Fin Ltd Tr 406 NCD(MD 22/02/2024)</v>
          </cell>
          <cell r="F277" t="str">
            <v>CORPORATE</v>
          </cell>
          <cell r="G277" t="str">
            <v>Corporate Bond</v>
          </cell>
          <cell r="H277">
            <v>1000000</v>
          </cell>
          <cell r="I277">
            <v>100</v>
          </cell>
          <cell r="J277">
            <v>99.539000000000001</v>
          </cell>
          <cell r="K277">
            <v>99.544200000000004</v>
          </cell>
          <cell r="L277">
            <v>5.2238101265568458E-5</v>
          </cell>
          <cell r="M277" t="str">
            <v>INR</v>
          </cell>
          <cell r="N277">
            <v>98.4358</v>
          </cell>
          <cell r="O277">
            <v>98435800</v>
          </cell>
          <cell r="P277">
            <v>98435800</v>
          </cell>
          <cell r="Q277">
            <v>99544200</v>
          </cell>
          <cell r="R277">
            <v>100000000</v>
          </cell>
          <cell r="S277">
            <v>1108400</v>
          </cell>
          <cell r="T277">
            <v>5200</v>
          </cell>
          <cell r="U277">
            <v>3.3399999999999999E-2</v>
          </cell>
          <cell r="V277">
            <v>3.3099999999999997E-2</v>
          </cell>
          <cell r="W277">
            <v>4419287.67</v>
          </cell>
          <cell r="X277">
            <v>0</v>
          </cell>
          <cell r="Y277">
            <v>45260</v>
          </cell>
          <cell r="Z277" t="str">
            <v>CRISIL AAA</v>
          </cell>
        </row>
        <row r="278">
          <cell r="D278" t="str">
            <v>INE557F08FL1</v>
          </cell>
          <cell r="E278" t="str">
            <v>5.35% NHBA NCD (MD 12/02/2024)</v>
          </cell>
          <cell r="F278" t="str">
            <v>CORPORATE</v>
          </cell>
          <cell r="G278" t="str">
            <v>Corporate Bond</v>
          </cell>
          <cell r="H278">
            <v>1000000</v>
          </cell>
          <cell r="I278">
            <v>100</v>
          </cell>
          <cell r="J278">
            <v>99.544399999999996</v>
          </cell>
          <cell r="K278">
            <v>99.552300000000002</v>
          </cell>
          <cell r="L278">
            <v>7.9355273559726902E-5</v>
          </cell>
          <cell r="M278" t="str">
            <v>INR</v>
          </cell>
          <cell r="N278">
            <v>98.966650000000001</v>
          </cell>
          <cell r="O278">
            <v>98966650</v>
          </cell>
          <cell r="P278">
            <v>98966650</v>
          </cell>
          <cell r="Q278">
            <v>99552300</v>
          </cell>
          <cell r="R278">
            <v>100000000</v>
          </cell>
          <cell r="S278">
            <v>585650</v>
          </cell>
          <cell r="T278">
            <v>7900</v>
          </cell>
          <cell r="U278">
            <v>3.3399999999999999E-2</v>
          </cell>
          <cell r="V278">
            <v>3.3099999999999997E-2</v>
          </cell>
          <cell r="W278">
            <v>4294657.51</v>
          </cell>
          <cell r="X278">
            <v>0</v>
          </cell>
          <cell r="Y278">
            <v>45260</v>
          </cell>
          <cell r="Z278" t="str">
            <v>CRISIL AAA</v>
          </cell>
        </row>
        <row r="279">
          <cell r="D279" t="str">
            <v>INE134E08CV8</v>
          </cell>
          <cell r="E279" t="str">
            <v>8.95% Power Finance Corp Ltd NCD (MD 30/03/2025)</v>
          </cell>
          <cell r="F279" t="str">
            <v>CORPORATE</v>
          </cell>
          <cell r="G279" t="str">
            <v>Corporate Bond</v>
          </cell>
          <cell r="H279">
            <v>1000000</v>
          </cell>
          <cell r="I279">
            <v>100</v>
          </cell>
          <cell r="J279">
            <v>101.3586</v>
          </cell>
          <cell r="K279">
            <v>101.34990000000001</v>
          </cell>
          <cell r="L279">
            <v>-8.5841229246402806E-5</v>
          </cell>
          <cell r="M279" t="str">
            <v>INR</v>
          </cell>
          <cell r="N279">
            <v>101.82250000000001</v>
          </cell>
          <cell r="O279">
            <v>101822500</v>
          </cell>
          <cell r="P279">
            <v>101822500</v>
          </cell>
          <cell r="Q279">
            <v>101349900</v>
          </cell>
          <cell r="R279">
            <v>100000000</v>
          </cell>
          <cell r="S279">
            <v>-472600</v>
          </cell>
          <cell r="T279">
            <v>-8700</v>
          </cell>
          <cell r="U279">
            <v>3.4000000000000002E-2</v>
          </cell>
          <cell r="V279">
            <v>3.3700000000000001E-2</v>
          </cell>
          <cell r="W279">
            <v>6015573.7699999996</v>
          </cell>
          <cell r="X279">
            <v>0</v>
          </cell>
          <cell r="Y279">
            <v>45260</v>
          </cell>
          <cell r="Z279" t="str">
            <v>CRISIL AAA</v>
          </cell>
        </row>
        <row r="280">
          <cell r="D280" t="str">
            <v>INE134E08GV9</v>
          </cell>
          <cell r="E280" t="str">
            <v>8.65% Power Fin Corp Ltd NCD (MD 28/12/2024)</v>
          </cell>
          <cell r="F280" t="str">
            <v>CORPORATE</v>
          </cell>
          <cell r="G280" t="str">
            <v>Corporate Bond</v>
          </cell>
          <cell r="H280">
            <v>600000</v>
          </cell>
          <cell r="I280">
            <v>100</v>
          </cell>
          <cell r="J280">
            <v>100.8814</v>
          </cell>
          <cell r="K280">
            <v>100.8623</v>
          </cell>
          <cell r="L280">
            <v>-1.8936708760359421E-4</v>
          </cell>
          <cell r="M280" t="str">
            <v>INR</v>
          </cell>
          <cell r="N280">
            <v>101.63720908333333</v>
          </cell>
          <cell r="O280">
            <v>60982325.450000003</v>
          </cell>
          <cell r="P280">
            <v>60982325.450000003</v>
          </cell>
          <cell r="Q280">
            <v>60517380</v>
          </cell>
          <cell r="R280">
            <v>60000000</v>
          </cell>
          <cell r="S280">
            <v>-464945.45</v>
          </cell>
          <cell r="T280">
            <v>-11460</v>
          </cell>
          <cell r="U280">
            <v>2.0299999999999999E-2</v>
          </cell>
          <cell r="V280">
            <v>2.01E-2</v>
          </cell>
          <cell r="W280">
            <v>4791863.01</v>
          </cell>
          <cell r="X280">
            <v>0</v>
          </cell>
          <cell r="Y280">
            <v>45260</v>
          </cell>
          <cell r="Z280" t="str">
            <v>CRISIL AAA</v>
          </cell>
        </row>
        <row r="281">
          <cell r="D281" t="str">
            <v>INE020B08DR1</v>
          </cell>
          <cell r="E281" t="str">
            <v>5.74% REC Ltd Sr 210 (MD 20/06/2024)</v>
          </cell>
          <cell r="F281" t="str">
            <v>CORPORATE</v>
          </cell>
          <cell r="G281" t="str">
            <v>Corporate Bond</v>
          </cell>
          <cell r="H281">
            <v>1800000</v>
          </cell>
          <cell r="I281">
            <v>100</v>
          </cell>
          <cell r="J281">
            <v>98.887799999999999</v>
          </cell>
          <cell r="K281">
            <v>98.892499999999998</v>
          </cell>
          <cell r="L281">
            <v>4.7526354374699804E-5</v>
          </cell>
          <cell r="M281" t="str">
            <v>INR</v>
          </cell>
          <cell r="N281">
            <v>98.703900000000004</v>
          </cell>
          <cell r="O281">
            <v>177667020</v>
          </cell>
          <cell r="P281">
            <v>177667020</v>
          </cell>
          <cell r="Q281">
            <v>178006500</v>
          </cell>
          <cell r="R281">
            <v>180000000</v>
          </cell>
          <cell r="S281">
            <v>339480</v>
          </cell>
          <cell r="T281">
            <v>8460</v>
          </cell>
          <cell r="U281">
            <v>5.9700000000000003E-2</v>
          </cell>
          <cell r="V281">
            <v>5.9200000000000003E-2</v>
          </cell>
          <cell r="W281">
            <v>4629639.34</v>
          </cell>
          <cell r="X281">
            <v>0</v>
          </cell>
          <cell r="Y281">
            <v>45260</v>
          </cell>
          <cell r="Z281" t="str">
            <v>CRISIL AAA</v>
          </cell>
        </row>
        <row r="282">
          <cell r="D282" t="str">
            <v>INE556F08JS0</v>
          </cell>
          <cell r="E282" t="str">
            <v>5.24% SIDBI NCD Ser III (MD 26/03/2024)</v>
          </cell>
          <cell r="F282" t="str">
            <v>CORPORATE</v>
          </cell>
          <cell r="G282" t="str">
            <v>Corporate Bond</v>
          </cell>
          <cell r="H282">
            <v>500000</v>
          </cell>
          <cell r="I282">
            <v>100</v>
          </cell>
          <cell r="J282">
            <v>99.206199999999995</v>
          </cell>
          <cell r="K282">
            <v>99.215699999999998</v>
          </cell>
          <cell r="L282">
            <v>9.5750974896110193E-5</v>
          </cell>
          <cell r="M282" t="str">
            <v>INR</v>
          </cell>
          <cell r="N282">
            <v>98.843599999999995</v>
          </cell>
          <cell r="O282">
            <v>49421800</v>
          </cell>
          <cell r="P282">
            <v>49421800</v>
          </cell>
          <cell r="Q282">
            <v>49607850</v>
          </cell>
          <cell r="R282">
            <v>50000000</v>
          </cell>
          <cell r="S282">
            <v>186050</v>
          </cell>
          <cell r="T282">
            <v>4750</v>
          </cell>
          <cell r="U282">
            <v>1.66E-2</v>
          </cell>
          <cell r="V282">
            <v>1.6500000000000001E-2</v>
          </cell>
          <cell r="W282">
            <v>1789617.49</v>
          </cell>
          <cell r="X282">
            <v>0</v>
          </cell>
          <cell r="Y282">
            <v>45260</v>
          </cell>
          <cell r="Z282" t="str">
            <v>CARE AAA</v>
          </cell>
        </row>
        <row r="283">
          <cell r="D283" t="str">
            <v>INE660A07QQ2</v>
          </cell>
          <cell r="E283" t="str">
            <v>5.10% Sundaram Fin Ltd Sr U11 NCD (MD 01/12/2023)</v>
          </cell>
          <cell r="F283" t="str">
            <v>CORPORATE</v>
          </cell>
          <cell r="G283" t="str">
            <v>Corporate Bond</v>
          </cell>
          <cell r="H283">
            <v>50000</v>
          </cell>
          <cell r="I283">
            <v>100</v>
          </cell>
          <cell r="J283">
            <v>99.992099999999994</v>
          </cell>
          <cell r="K283">
            <v>100</v>
          </cell>
          <cell r="L283">
            <v>7.8999999999999996E-5</v>
          </cell>
          <cell r="M283" t="str">
            <v>INR</v>
          </cell>
          <cell r="N283">
            <v>99.615700000000004</v>
          </cell>
          <cell r="O283">
            <v>4980785</v>
          </cell>
          <cell r="P283">
            <v>4980785</v>
          </cell>
          <cell r="Q283">
            <v>5000000</v>
          </cell>
          <cell r="R283">
            <v>5000000</v>
          </cell>
          <cell r="S283">
            <v>19215</v>
          </cell>
          <cell r="T283">
            <v>395</v>
          </cell>
          <cell r="U283">
            <v>1.6999999999999999E-3</v>
          </cell>
          <cell r="V283">
            <v>1.6999999999999999E-3</v>
          </cell>
          <cell r="W283">
            <v>253602.74</v>
          </cell>
          <cell r="X283">
            <v>0</v>
          </cell>
          <cell r="Y283">
            <v>45260</v>
          </cell>
          <cell r="Z283" t="str">
            <v>CRISIL AAA</v>
          </cell>
        </row>
        <row r="284">
          <cell r="F284" t="str">
            <v>CORPORATE TOTAL</v>
          </cell>
          <cell r="O284">
            <v>751216060.45000005</v>
          </cell>
          <cell r="P284">
            <v>751216060.45000005</v>
          </cell>
          <cell r="Q284">
            <v>752461670</v>
          </cell>
          <cell r="S284">
            <v>1245609.55</v>
          </cell>
          <cell r="T284">
            <v>102145</v>
          </cell>
          <cell r="U284">
            <v>0.25240000000000001</v>
          </cell>
          <cell r="V284">
            <v>0.25019999999999998</v>
          </cell>
          <cell r="W284">
            <v>30494476.5</v>
          </cell>
          <cell r="X284">
            <v>0</v>
          </cell>
        </row>
        <row r="285">
          <cell r="D285" t="str">
            <v>INE514E14QW7</v>
          </cell>
          <cell r="E285" t="str">
            <v>Export Import Bank of India CP (MD 15/03/2024)</v>
          </cell>
          <cell r="F285" t="str">
            <v>CP</v>
          </cell>
          <cell r="G285" t="str">
            <v>Commercial Paper</v>
          </cell>
          <cell r="H285">
            <v>1500000</v>
          </cell>
          <cell r="I285">
            <v>100</v>
          </cell>
          <cell r="J285">
            <v>97.915700000000001</v>
          </cell>
          <cell r="K285">
            <v>97.936300000000003</v>
          </cell>
          <cell r="L285">
            <v>2.1034080315470363E-4</v>
          </cell>
          <cell r="M285" t="str">
            <v>INR</v>
          </cell>
          <cell r="N285">
            <v>95.305800000000005</v>
          </cell>
          <cell r="O285">
            <v>142958700</v>
          </cell>
          <cell r="P285">
            <v>147030776.93000001</v>
          </cell>
          <cell r="Q285">
            <v>146904450</v>
          </cell>
          <cell r="R285">
            <v>150000000</v>
          </cell>
          <cell r="S285">
            <v>-126326.93</v>
          </cell>
          <cell r="T285">
            <v>2621.68</v>
          </cell>
          <cell r="U285">
            <v>4.9299999999999997E-2</v>
          </cell>
          <cell r="V285">
            <v>4.8800000000000003E-2</v>
          </cell>
          <cell r="W285">
            <v>0</v>
          </cell>
          <cell r="X285">
            <v>4072076.93</v>
          </cell>
          <cell r="Y285">
            <v>45260</v>
          </cell>
          <cell r="Z285" t="str">
            <v>CRISIL A1+</v>
          </cell>
        </row>
        <row r="286">
          <cell r="D286" t="str">
            <v>INE700G14HB0</v>
          </cell>
          <cell r="E286" t="str">
            <v>HDFC Securities Limited CP (MD 30/01/2024)</v>
          </cell>
          <cell r="F286" t="str">
            <v>CP</v>
          </cell>
          <cell r="G286" t="str">
            <v>Commercial Paper</v>
          </cell>
          <cell r="H286">
            <v>2000000</v>
          </cell>
          <cell r="I286">
            <v>100</v>
          </cell>
          <cell r="J286">
            <v>98.691199999999995</v>
          </cell>
          <cell r="K286">
            <v>98.700400000000002</v>
          </cell>
          <cell r="L286">
            <v>9.3211375029888437E-5</v>
          </cell>
          <cell r="M286" t="str">
            <v>INR</v>
          </cell>
          <cell r="N286">
            <v>98.0852</v>
          </cell>
          <cell r="O286">
            <v>196170400</v>
          </cell>
          <cell r="P286">
            <v>197474989.09999999</v>
          </cell>
          <cell r="Q286">
            <v>197400800</v>
          </cell>
          <cell r="R286">
            <v>200000000</v>
          </cell>
          <cell r="S286">
            <v>-74189.100000000006</v>
          </cell>
          <cell r="T286">
            <v>-23683.51</v>
          </cell>
          <cell r="U286">
            <v>6.6199999999999995E-2</v>
          </cell>
          <cell r="V286">
            <v>6.5600000000000006E-2</v>
          </cell>
          <cell r="W286">
            <v>0</v>
          </cell>
          <cell r="X286">
            <v>1304589.1000000001</v>
          </cell>
          <cell r="Y286">
            <v>45260</v>
          </cell>
          <cell r="Z286" t="str">
            <v>ICRA A1+</v>
          </cell>
        </row>
        <row r="287">
          <cell r="D287" t="str">
            <v>INE763G14OI9</v>
          </cell>
          <cell r="E287" t="str">
            <v>ICICI Securities Limited CP (MD 18/01/2024)</v>
          </cell>
          <cell r="F287" t="str">
            <v>CP</v>
          </cell>
          <cell r="G287" t="str">
            <v>Commercial Paper</v>
          </cell>
          <cell r="H287">
            <v>1500000</v>
          </cell>
          <cell r="I287">
            <v>100</v>
          </cell>
          <cell r="J287">
            <v>98.949299999999994</v>
          </cell>
          <cell r="K287">
            <v>98.9589</v>
          </cell>
          <cell r="L287">
            <v>9.7009970806061915E-5</v>
          </cell>
          <cell r="M287" t="str">
            <v>INR</v>
          </cell>
          <cell r="N287">
            <v>97.029300000000006</v>
          </cell>
          <cell r="O287">
            <v>145543950</v>
          </cell>
          <cell r="P287">
            <v>148564494</v>
          </cell>
          <cell r="Q287">
            <v>148438350</v>
          </cell>
          <cell r="R287">
            <v>150000000</v>
          </cell>
          <cell r="S287">
            <v>-126144</v>
          </cell>
          <cell r="T287">
            <v>-15506.37</v>
          </cell>
          <cell r="U287">
            <v>4.9799999999999997E-2</v>
          </cell>
          <cell r="V287">
            <v>4.9299999999999997E-2</v>
          </cell>
          <cell r="W287">
            <v>0</v>
          </cell>
          <cell r="X287">
            <v>3020544</v>
          </cell>
          <cell r="Y287">
            <v>45260</v>
          </cell>
          <cell r="Z287" t="str">
            <v>CRISIL A1+</v>
          </cell>
        </row>
        <row r="288">
          <cell r="D288" t="str">
            <v>INE261F14KE3</v>
          </cell>
          <cell r="E288" t="str">
            <v>National Bank For Agri &amp; Rural CP(MD 13/12/2023)</v>
          </cell>
          <cell r="F288" t="str">
            <v>CP</v>
          </cell>
          <cell r="G288" t="str">
            <v>Commercial Paper</v>
          </cell>
          <cell r="H288">
            <v>800000</v>
          </cell>
          <cell r="I288">
            <v>100</v>
          </cell>
          <cell r="J288">
            <v>99.746099999999998</v>
          </cell>
          <cell r="K288">
            <v>99.765500000000003</v>
          </cell>
          <cell r="L288">
            <v>1.9445599931840166E-4</v>
          </cell>
          <cell r="M288" t="str">
            <v>INR</v>
          </cell>
          <cell r="N288">
            <v>98.293700000000001</v>
          </cell>
          <cell r="O288">
            <v>78634960</v>
          </cell>
          <cell r="P288">
            <v>79817994.620000005</v>
          </cell>
          <cell r="Q288">
            <v>79812400</v>
          </cell>
          <cell r="R288">
            <v>80000000</v>
          </cell>
          <cell r="S288">
            <v>-5594.62</v>
          </cell>
          <cell r="T288">
            <v>352.88</v>
          </cell>
          <cell r="U288">
            <v>2.6800000000000001E-2</v>
          </cell>
          <cell r="V288">
            <v>2.6499999999999999E-2</v>
          </cell>
          <cell r="W288">
            <v>0</v>
          </cell>
          <cell r="X288">
            <v>1183034.6200000001</v>
          </cell>
          <cell r="Y288">
            <v>45260</v>
          </cell>
          <cell r="Z288" t="str">
            <v>CRISIL A1+</v>
          </cell>
        </row>
        <row r="289">
          <cell r="F289" t="str">
            <v>CP TOTAL</v>
          </cell>
          <cell r="O289">
            <v>563308010</v>
          </cell>
          <cell r="P289">
            <v>572888254.64999998</v>
          </cell>
          <cell r="Q289">
            <v>572556000</v>
          </cell>
          <cell r="S289">
            <v>-332254.65000000002</v>
          </cell>
          <cell r="T289">
            <v>-36215.32</v>
          </cell>
          <cell r="U289">
            <v>0.19209999999999999</v>
          </cell>
          <cell r="V289">
            <v>0.19020000000000001</v>
          </cell>
          <cell r="W289">
            <v>0</v>
          </cell>
          <cell r="X289">
            <v>9580244.6500000004</v>
          </cell>
        </row>
        <row r="290">
          <cell r="D290" t="str">
            <v>IN002022Z457</v>
          </cell>
          <cell r="E290" t="str">
            <v>364 Days Tbill (MD 08/02/2024)</v>
          </cell>
          <cell r="F290" t="str">
            <v>TBILL</v>
          </cell>
          <cell r="G290" t="str">
            <v>Treasury Bill</v>
          </cell>
          <cell r="H290">
            <v>1000000</v>
          </cell>
          <cell r="I290">
            <v>100</v>
          </cell>
          <cell r="J290">
            <v>98.6828</v>
          </cell>
          <cell r="K290">
            <v>98.712400000000002</v>
          </cell>
          <cell r="L290">
            <v>2.9986101036951791E-4</v>
          </cell>
          <cell r="M290" t="str">
            <v>INR</v>
          </cell>
          <cell r="N290">
            <v>94.350477639999994</v>
          </cell>
          <cell r="O290">
            <v>94350477.640000001</v>
          </cell>
          <cell r="P290">
            <v>98754577.939999998</v>
          </cell>
          <cell r="Q290">
            <v>98712400</v>
          </cell>
          <cell r="R290">
            <v>100000000</v>
          </cell>
          <cell r="S290">
            <v>-42177.94</v>
          </cell>
          <cell r="T290">
            <v>11550.41</v>
          </cell>
          <cell r="U290">
            <v>3.3099999999999997E-2</v>
          </cell>
          <cell r="V290">
            <v>3.2800000000000003E-2</v>
          </cell>
          <cell r="W290">
            <v>0</v>
          </cell>
          <cell r="X290">
            <v>4404100.3</v>
          </cell>
          <cell r="Y290">
            <v>45260</v>
          </cell>
          <cell r="Z290" t="str">
            <v>SOV</v>
          </cell>
        </row>
        <row r="291">
          <cell r="D291" t="str">
            <v>IN002023Y292</v>
          </cell>
          <cell r="E291" t="str">
            <v>182 Days Tbill (MD 11/04/2024)</v>
          </cell>
          <cell r="F291" t="str">
            <v>TBILL</v>
          </cell>
          <cell r="G291" t="str">
            <v>Treasury Bill</v>
          </cell>
          <cell r="H291">
            <v>1000000</v>
          </cell>
          <cell r="I291">
            <v>100</v>
          </cell>
          <cell r="J291">
            <v>97.478099999999998</v>
          </cell>
          <cell r="K291">
            <v>97.496600000000001</v>
          </cell>
          <cell r="L291">
            <v>1.8975020667387377E-4</v>
          </cell>
          <cell r="M291" t="str">
            <v>INR</v>
          </cell>
          <cell r="N291">
            <v>96.582599999999999</v>
          </cell>
          <cell r="O291">
            <v>96582600</v>
          </cell>
          <cell r="P291">
            <v>97521446</v>
          </cell>
          <cell r="Q291">
            <v>97496600</v>
          </cell>
          <cell r="R291">
            <v>100000000</v>
          </cell>
          <cell r="S291">
            <v>-24846</v>
          </cell>
          <cell r="T291">
            <v>-276.92</v>
          </cell>
          <cell r="U291">
            <v>3.27E-2</v>
          </cell>
          <cell r="V291">
            <v>3.2399999999999998E-2</v>
          </cell>
          <cell r="W291">
            <v>0</v>
          </cell>
          <cell r="X291">
            <v>938846</v>
          </cell>
          <cell r="Y291">
            <v>45260</v>
          </cell>
          <cell r="Z291" t="str">
            <v>SOV</v>
          </cell>
        </row>
        <row r="292">
          <cell r="F292" t="str">
            <v>TBILL TOTAL</v>
          </cell>
          <cell r="O292">
            <v>190933077.63999999</v>
          </cell>
          <cell r="P292">
            <v>196276023.94</v>
          </cell>
          <cell r="Q292">
            <v>196209000</v>
          </cell>
          <cell r="S292">
            <v>-67023.94</v>
          </cell>
          <cell r="T292">
            <v>11273.49</v>
          </cell>
          <cell r="U292">
            <v>6.5799999999999997E-2</v>
          </cell>
          <cell r="V292">
            <v>6.5199999999999994E-2</v>
          </cell>
          <cell r="W292">
            <v>0</v>
          </cell>
          <cell r="X292">
            <v>5342946.3</v>
          </cell>
        </row>
        <row r="293">
          <cell r="E293" t="str">
            <v>Cash &amp; Cash Equivalent:</v>
          </cell>
          <cell r="Q293">
            <v>-26992683.219999772</v>
          </cell>
          <cell r="U293">
            <v>-9.1000000000000004E-3</v>
          </cell>
        </row>
        <row r="294">
          <cell r="E294" t="str">
            <v>Net Asset:</v>
          </cell>
          <cell r="Q294">
            <v>2980979305.5100002</v>
          </cell>
          <cell r="U294">
            <v>1</v>
          </cell>
        </row>
        <row r="296">
          <cell r="E296" t="str">
            <v>TRP_011223</v>
          </cell>
          <cell r="F296" t="str">
            <v>CBLO</v>
          </cell>
          <cell r="G296" t="str">
            <v>CBLO</v>
          </cell>
          <cell r="H296">
            <v>39960</v>
          </cell>
          <cell r="I296">
            <v>100</v>
          </cell>
          <cell r="J296">
            <v>0</v>
          </cell>
          <cell r="K296">
            <v>100</v>
          </cell>
          <cell r="L296">
            <v>1</v>
          </cell>
          <cell r="M296" t="str">
            <v>INR</v>
          </cell>
          <cell r="N296">
            <v>99.981485735735731</v>
          </cell>
          <cell r="O296">
            <v>3995260.17</v>
          </cell>
          <cell r="P296">
            <v>3996000</v>
          </cell>
          <cell r="Q296">
            <v>3996000</v>
          </cell>
          <cell r="R296">
            <v>3996000</v>
          </cell>
          <cell r="S296">
            <v>0</v>
          </cell>
          <cell r="T296">
            <v>0</v>
          </cell>
          <cell r="U296">
            <v>0</v>
          </cell>
          <cell r="V296">
            <v>1</v>
          </cell>
          <cell r="W296">
            <v>0</v>
          </cell>
          <cell r="X296">
            <v>739.83</v>
          </cell>
          <cell r="Y296">
            <v>45260</v>
          </cell>
          <cell r="Z296" t="str">
            <v xml:space="preserve"> </v>
          </cell>
        </row>
        <row r="297">
          <cell r="F297" t="str">
            <v>CBLO TOTAL</v>
          </cell>
          <cell r="O297">
            <v>3995260.17</v>
          </cell>
          <cell r="P297">
            <v>3996000</v>
          </cell>
          <cell r="Q297">
            <v>3996000</v>
          </cell>
          <cell r="S297">
            <v>0</v>
          </cell>
          <cell r="T297">
            <v>0</v>
          </cell>
          <cell r="U297">
            <v>0</v>
          </cell>
          <cell r="V297">
            <v>1</v>
          </cell>
          <cell r="W297">
            <v>0</v>
          </cell>
          <cell r="X297">
            <v>739.83</v>
          </cell>
        </row>
        <row r="298">
          <cell r="E298" t="str">
            <v>Cash &amp; Cash Equivalent:</v>
          </cell>
          <cell r="Q298">
            <v>-3996000</v>
          </cell>
          <cell r="U298">
            <v>1</v>
          </cell>
        </row>
        <row r="299">
          <cell r="E299" t="str">
            <v>Net Asset:</v>
          </cell>
          <cell r="Q299">
            <v>0</v>
          </cell>
          <cell r="U299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A083-2E75-446F-922E-4242D0F71068}">
  <sheetPr>
    <outlinePr summaryBelow="0"/>
  </sheetPr>
  <dimension ref="A1:H51"/>
  <sheetViews>
    <sheetView tabSelected="1" topLeftCell="C1" workbookViewId="0">
      <selection activeCell="P18" sqref="P18"/>
    </sheetView>
  </sheetViews>
  <sheetFormatPr defaultRowHeight="15"/>
  <cols>
    <col min="1" max="1" width="3.28515625" customWidth="1"/>
    <col min="2" max="2" width="52.28515625" customWidth="1"/>
    <col min="3" max="3" width="16.7109375" customWidth="1"/>
    <col min="4" max="4" width="15.5703125" customWidth="1"/>
    <col min="5" max="5" width="10.5703125" customWidth="1"/>
    <col min="6" max="6" width="14" customWidth="1"/>
    <col min="7" max="7" width="11.42578125" customWidth="1"/>
    <col min="8" max="8" width="12.4257812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4" width="16.71093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0" width="16.71093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6" width="16.71093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2" width="16.71093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8" width="16.71093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4" width="16.71093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0" width="16.71093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6" width="16.71093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2" width="16.71093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8" width="16.71093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4" width="16.71093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0" width="16.71093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6" width="16.71093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2" width="16.71093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8" width="16.71093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4" width="16.71093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0" width="16.71093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6" width="16.71093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2" width="16.71093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8" width="16.71093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4" width="16.71093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0" width="16.71093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6" width="16.71093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2" width="16.71093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8" width="16.71093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4" width="16.71093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0" width="16.71093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6" width="16.71093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2" width="16.71093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8" width="16.71093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4" width="16.71093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0" width="16.71093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6" width="16.71093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2" width="16.71093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8" width="16.71093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4" width="16.71093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0" width="16.71093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6" width="16.71093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2" width="16.71093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8" width="16.71093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4" width="16.71093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0" width="16.71093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6" width="16.71093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2" width="16.71093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8" width="16.71093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4" width="16.71093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0" width="16.71093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6" width="16.71093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2" width="16.71093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8" width="16.71093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4" width="16.71093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0" width="16.71093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6" width="16.71093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2" width="16.71093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8" width="16.71093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4" width="16.71093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0" width="16.71093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6" width="16.71093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2" width="16.71093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8" width="16.71093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4" width="16.71093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0" width="16.71093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6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71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2.95" customHeight="1">
      <c r="A7" s="12" t="s">
        <v>11</v>
      </c>
      <c r="B7" s="13" t="s">
        <v>12</v>
      </c>
      <c r="C7" s="10" t="s">
        <v>13</v>
      </c>
      <c r="D7" s="10" t="str">
        <f>+VLOOKUP(C7,[1]Debt!$D$1:$Z$65536,23,0)</f>
        <v>CRISIL AAA</v>
      </c>
      <c r="E7" s="14">
        <v>95</v>
      </c>
      <c r="F7" s="15">
        <v>950</v>
      </c>
      <c r="G7" s="16">
        <v>4.0800000000000003E-2</v>
      </c>
      <c r="H7" s="17">
        <v>7.6550000000000007E-2</v>
      </c>
    </row>
    <row r="8" spans="1:8" ht="12.95" customHeight="1">
      <c r="A8" s="1"/>
      <c r="B8" s="9" t="s">
        <v>14</v>
      </c>
      <c r="C8" s="10"/>
      <c r="D8" s="10"/>
      <c r="E8" s="10"/>
      <c r="F8" s="18">
        <v>950</v>
      </c>
      <c r="G8" s="19">
        <v>4.0800000000000003E-2</v>
      </c>
      <c r="H8" s="20"/>
    </row>
    <row r="9" spans="1:8" ht="12.95" customHeight="1">
      <c r="A9" s="1"/>
      <c r="B9" s="21" t="s">
        <v>15</v>
      </c>
      <c r="C9" s="22"/>
      <c r="D9" s="22"/>
      <c r="E9" s="22"/>
      <c r="F9" s="20" t="s">
        <v>16</v>
      </c>
      <c r="G9" s="20" t="s">
        <v>16</v>
      </c>
      <c r="H9" s="20"/>
    </row>
    <row r="10" spans="1:8" ht="12.95" customHeight="1">
      <c r="A10" s="1"/>
      <c r="B10" s="21" t="s">
        <v>14</v>
      </c>
      <c r="C10" s="22"/>
      <c r="D10" s="22"/>
      <c r="E10" s="22"/>
      <c r="F10" s="20" t="s">
        <v>16</v>
      </c>
      <c r="G10" s="20" t="s">
        <v>16</v>
      </c>
      <c r="H10" s="20"/>
    </row>
    <row r="11" spans="1:8" ht="12.95" customHeight="1">
      <c r="A11" s="1"/>
      <c r="B11" s="21" t="s">
        <v>17</v>
      </c>
      <c r="C11" s="23"/>
      <c r="D11" s="22"/>
      <c r="E11" s="23"/>
      <c r="F11" s="18">
        <v>950</v>
      </c>
      <c r="G11" s="19">
        <v>4.0800000000000003E-2</v>
      </c>
      <c r="H11" s="20"/>
    </row>
    <row r="12" spans="1:8" ht="12.95" customHeight="1">
      <c r="A12" s="1"/>
      <c r="B12" s="9" t="s">
        <v>18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19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20</v>
      </c>
      <c r="B14" s="13" t="s">
        <v>21</v>
      </c>
      <c r="C14" s="10" t="s">
        <v>22</v>
      </c>
      <c r="D14" s="10" t="str">
        <f>+VLOOKUP(C14,[1]Debt!$D$1:$Z$65536,23,0)</f>
        <v>CRISIL A1+</v>
      </c>
      <c r="E14" s="14">
        <v>420</v>
      </c>
      <c r="F14" s="15">
        <v>2083.31</v>
      </c>
      <c r="G14" s="16">
        <v>8.9499999999999996E-2</v>
      </c>
      <c r="H14" s="17">
        <v>7.3116E-2</v>
      </c>
    </row>
    <row r="15" spans="1:8" ht="12.95" customHeight="1">
      <c r="A15" s="12" t="s">
        <v>23</v>
      </c>
      <c r="B15" s="13" t="s">
        <v>24</v>
      </c>
      <c r="C15" s="10" t="s">
        <v>25</v>
      </c>
      <c r="D15" s="10" t="str">
        <f>+VLOOKUP(C15,[1]Debt!$D$1:$Z$65536,23,0)</f>
        <v>FITCH A1+</v>
      </c>
      <c r="E15" s="14">
        <v>420</v>
      </c>
      <c r="F15" s="15">
        <v>2075.44</v>
      </c>
      <c r="G15" s="16">
        <v>8.9099999999999999E-2</v>
      </c>
      <c r="H15" s="17">
        <v>7.3201000000000002E-2</v>
      </c>
    </row>
    <row r="16" spans="1:8" ht="12.95" customHeight="1">
      <c r="A16" s="12" t="s">
        <v>26</v>
      </c>
      <c r="B16" s="13" t="s">
        <v>27</v>
      </c>
      <c r="C16" s="10" t="s">
        <v>28</v>
      </c>
      <c r="D16" s="10" t="str">
        <f>+VLOOKUP(C16,[1]Debt!$D$1:$Z$65536,23,0)</f>
        <v>FITCH A1+</v>
      </c>
      <c r="E16" s="14">
        <v>420</v>
      </c>
      <c r="F16" s="15">
        <v>2072.48</v>
      </c>
      <c r="G16" s="16">
        <v>8.8999999999999996E-2</v>
      </c>
      <c r="H16" s="17">
        <v>7.3447999999999999E-2</v>
      </c>
    </row>
    <row r="17" spans="1:8" ht="12.95" customHeight="1">
      <c r="A17" s="12" t="s">
        <v>29</v>
      </c>
      <c r="B17" s="13" t="s">
        <v>30</v>
      </c>
      <c r="C17" s="10" t="s">
        <v>31</v>
      </c>
      <c r="D17" s="10" t="str">
        <f>+VLOOKUP(C17,[1]Debt!$D$1:$Z$65536,23,0)</f>
        <v>CARE A1+</v>
      </c>
      <c r="E17" s="14">
        <v>360</v>
      </c>
      <c r="F17" s="15">
        <v>1778.14</v>
      </c>
      <c r="G17" s="16">
        <v>7.6300000000000007E-2</v>
      </c>
      <c r="H17" s="17">
        <v>7.3552000000000006E-2</v>
      </c>
    </row>
    <row r="18" spans="1:8" ht="12.95" customHeight="1">
      <c r="A18" s="12" t="s">
        <v>32</v>
      </c>
      <c r="B18" s="13" t="s">
        <v>33</v>
      </c>
      <c r="C18" s="10" t="s">
        <v>34</v>
      </c>
      <c r="D18" s="10" t="str">
        <f>+VLOOKUP(C18,[1]Debt!$D$1:$Z$65536,23,0)</f>
        <v>CRISIL A1+</v>
      </c>
      <c r="E18" s="14">
        <v>340</v>
      </c>
      <c r="F18" s="15">
        <v>1686.08</v>
      </c>
      <c r="G18" s="16">
        <v>7.2400000000000006E-2</v>
      </c>
      <c r="H18" s="17">
        <v>7.3502999999999999E-2</v>
      </c>
    </row>
    <row r="19" spans="1:8" ht="12.95" customHeight="1">
      <c r="A19" s="12" t="s">
        <v>35</v>
      </c>
      <c r="B19" s="13" t="s">
        <v>36</v>
      </c>
      <c r="C19" s="10" t="s">
        <v>37</v>
      </c>
      <c r="D19" s="10" t="str">
        <f>+VLOOKUP(C19,[1]Debt!$D$1:$Z$65536,23,0)</f>
        <v>CRISIL A1+</v>
      </c>
      <c r="E19" s="14">
        <v>300</v>
      </c>
      <c r="F19" s="15">
        <v>1497.12</v>
      </c>
      <c r="G19" s="16">
        <v>6.4299999999999996E-2</v>
      </c>
      <c r="H19" s="17">
        <v>7.0141999999999996E-2</v>
      </c>
    </row>
    <row r="20" spans="1:8" ht="12.95" customHeight="1">
      <c r="A20" s="12" t="s">
        <v>38</v>
      </c>
      <c r="B20" s="13" t="s">
        <v>39</v>
      </c>
      <c r="C20" s="10" t="s">
        <v>40</v>
      </c>
      <c r="D20" s="10" t="str">
        <f>+VLOOKUP(C20,[1]Debt!$D$1:$Z$65536,23,0)</f>
        <v>FITCH A1+</v>
      </c>
      <c r="E20" s="14">
        <v>240</v>
      </c>
      <c r="F20" s="15">
        <v>1188.23</v>
      </c>
      <c r="G20" s="16">
        <v>5.0999999999999997E-2</v>
      </c>
      <c r="H20" s="17">
        <v>7.3798000000000002E-2</v>
      </c>
    </row>
    <row r="21" spans="1:8" ht="12.95" customHeight="1">
      <c r="A21" s="1"/>
      <c r="B21" s="9" t="s">
        <v>14</v>
      </c>
      <c r="C21" s="10"/>
      <c r="D21" s="10"/>
      <c r="E21" s="10"/>
      <c r="F21" s="18">
        <v>12380.8</v>
      </c>
      <c r="G21" s="19">
        <v>0.53159999999999996</v>
      </c>
      <c r="H21" s="20"/>
    </row>
    <row r="22" spans="1:8" ht="12.95" customHeight="1">
      <c r="A22" s="1"/>
      <c r="B22" s="9" t="s">
        <v>41</v>
      </c>
      <c r="C22" s="10"/>
      <c r="D22" s="10"/>
      <c r="E22" s="10"/>
      <c r="F22" s="1"/>
      <c r="G22" s="11"/>
      <c r="H22" s="11"/>
    </row>
    <row r="23" spans="1:8" ht="12.95" customHeight="1">
      <c r="A23" s="12" t="s">
        <v>42</v>
      </c>
      <c r="B23" s="13" t="s">
        <v>43</v>
      </c>
      <c r="C23" s="10" t="s">
        <v>44</v>
      </c>
      <c r="D23" s="10" t="str">
        <f>+VLOOKUP(C23,[1]Debt!$D$1:$Z$65536,23,0)</f>
        <v>CRISIL A1+</v>
      </c>
      <c r="E23" s="14">
        <v>400</v>
      </c>
      <c r="F23" s="15">
        <v>1965.43</v>
      </c>
      <c r="G23" s="16">
        <v>8.4400000000000003E-2</v>
      </c>
      <c r="H23" s="17">
        <v>7.9250000000000001E-2</v>
      </c>
    </row>
    <row r="24" spans="1:8" ht="12.95" customHeight="1">
      <c r="A24" s="12" t="s">
        <v>45</v>
      </c>
      <c r="B24" s="13" t="s">
        <v>46</v>
      </c>
      <c r="C24" s="10" t="s">
        <v>47</v>
      </c>
      <c r="D24" s="10" t="str">
        <f>+VLOOKUP(C24,[1]Debt!$D$1:$Z$65536,23,0)</f>
        <v>CRISIL A1+</v>
      </c>
      <c r="E24" s="14">
        <v>340</v>
      </c>
      <c r="F24" s="15">
        <v>1696.01</v>
      </c>
      <c r="G24" s="16">
        <v>7.2800000000000004E-2</v>
      </c>
      <c r="H24" s="17">
        <v>7.1495000000000003E-2</v>
      </c>
    </row>
    <row r="25" spans="1:8" ht="12.95" customHeight="1">
      <c r="A25" s="12" t="s">
        <v>48</v>
      </c>
      <c r="B25" s="13" t="s">
        <v>49</v>
      </c>
      <c r="C25" s="10" t="s">
        <v>50</v>
      </c>
      <c r="D25" s="10" t="str">
        <f>+VLOOKUP(C25,[1]Debt!$D$1:$Z$65536,23,0)</f>
        <v>ICRA A1+</v>
      </c>
      <c r="E25" s="14">
        <v>200</v>
      </c>
      <c r="F25" s="15">
        <v>987</v>
      </c>
      <c r="G25" s="16">
        <v>4.24E-2</v>
      </c>
      <c r="H25" s="17">
        <v>8.0100000000000005E-2</v>
      </c>
    </row>
    <row r="26" spans="1:8" ht="12.95" customHeight="1">
      <c r="A26" s="1"/>
      <c r="B26" s="9" t="s">
        <v>14</v>
      </c>
      <c r="C26" s="10"/>
      <c r="D26" s="10"/>
      <c r="E26" s="10"/>
      <c r="F26" s="18">
        <v>4648.4399999999996</v>
      </c>
      <c r="G26" s="19">
        <v>0.1996</v>
      </c>
      <c r="H26" s="20"/>
    </row>
    <row r="27" spans="1:8" ht="12.95" customHeight="1">
      <c r="A27" s="1"/>
      <c r="B27" s="9" t="s">
        <v>51</v>
      </c>
      <c r="C27" s="10"/>
      <c r="D27" s="10"/>
      <c r="E27" s="10"/>
      <c r="F27" s="1"/>
      <c r="G27" s="11"/>
      <c r="H27" s="11"/>
    </row>
    <row r="28" spans="1:8" ht="12.95" customHeight="1">
      <c r="A28" s="12" t="s">
        <v>52</v>
      </c>
      <c r="B28" s="13" t="s">
        <v>53</v>
      </c>
      <c r="C28" s="10" t="s">
        <v>54</v>
      </c>
      <c r="D28" s="10" t="s">
        <v>55</v>
      </c>
      <c r="E28" s="14">
        <v>2500000</v>
      </c>
      <c r="F28" s="15">
        <v>2497.19</v>
      </c>
      <c r="G28" s="16">
        <v>0.1072</v>
      </c>
      <c r="H28" s="17">
        <v>6.8500000000000005E-2</v>
      </c>
    </row>
    <row r="29" spans="1:8" ht="12.95" customHeight="1">
      <c r="A29" s="12" t="s">
        <v>56</v>
      </c>
      <c r="B29" s="13" t="s">
        <v>57</v>
      </c>
      <c r="C29" s="10" t="s">
        <v>58</v>
      </c>
      <c r="D29" s="10" t="s">
        <v>55</v>
      </c>
      <c r="E29" s="14">
        <v>1000000</v>
      </c>
      <c r="F29" s="15">
        <v>988.42</v>
      </c>
      <c r="G29" s="16">
        <v>4.24E-2</v>
      </c>
      <c r="H29" s="17">
        <v>6.9000000000000006E-2</v>
      </c>
    </row>
    <row r="30" spans="1:8" ht="12.95" customHeight="1">
      <c r="A30" s="1"/>
      <c r="B30" s="9" t="s">
        <v>14</v>
      </c>
      <c r="C30" s="10"/>
      <c r="D30" s="10"/>
      <c r="E30" s="10"/>
      <c r="F30" s="18">
        <v>3485.61</v>
      </c>
      <c r="G30" s="19">
        <v>0.14960000000000001</v>
      </c>
      <c r="H30" s="20"/>
    </row>
    <row r="31" spans="1:8" ht="12.95" customHeight="1">
      <c r="A31" s="1"/>
      <c r="B31" s="21" t="s">
        <v>17</v>
      </c>
      <c r="C31" s="23"/>
      <c r="D31" s="22"/>
      <c r="E31" s="23"/>
      <c r="F31" s="18">
        <v>20514.849999999999</v>
      </c>
      <c r="G31" s="19">
        <v>0.88080000000000003</v>
      </c>
      <c r="H31" s="20"/>
    </row>
    <row r="32" spans="1:8" ht="12.95" customHeight="1">
      <c r="A32" s="1"/>
      <c r="B32" s="9" t="s">
        <v>59</v>
      </c>
      <c r="C32" s="10"/>
      <c r="D32" s="10"/>
      <c r="E32" s="10"/>
      <c r="F32" s="10"/>
      <c r="G32" s="10"/>
      <c r="H32" s="11"/>
    </row>
    <row r="33" spans="1:8" ht="12.95" customHeight="1">
      <c r="A33" s="1"/>
      <c r="B33" s="9" t="s">
        <v>60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61</v>
      </c>
      <c r="B34" s="13" t="s">
        <v>72</v>
      </c>
      <c r="C34" s="10" t="s">
        <v>62</v>
      </c>
      <c r="D34" s="10"/>
      <c r="E34" s="14">
        <v>503.27499999999998</v>
      </c>
      <c r="F34" s="15">
        <v>50.54</v>
      </c>
      <c r="G34" s="16">
        <v>2.2000000000000001E-3</v>
      </c>
      <c r="H34" s="17"/>
    </row>
    <row r="35" spans="1:8" ht="12.95" customHeight="1">
      <c r="A35" s="1"/>
      <c r="B35" s="9" t="s">
        <v>14</v>
      </c>
      <c r="C35" s="10"/>
      <c r="D35" s="10"/>
      <c r="E35" s="10"/>
      <c r="F35" s="18">
        <v>50.54</v>
      </c>
      <c r="G35" s="19">
        <v>2.2000000000000001E-3</v>
      </c>
      <c r="H35" s="20"/>
    </row>
    <row r="36" spans="1:8" ht="12.95" customHeight="1">
      <c r="A36" s="1"/>
      <c r="B36" s="21" t="s">
        <v>17</v>
      </c>
      <c r="C36" s="23"/>
      <c r="D36" s="22"/>
      <c r="E36" s="23"/>
      <c r="F36" s="18">
        <v>50.54</v>
      </c>
      <c r="G36" s="19">
        <v>2.2000000000000001E-3</v>
      </c>
      <c r="H36" s="20"/>
    </row>
    <row r="37" spans="1:8" ht="12.95" customHeight="1">
      <c r="A37" s="1"/>
      <c r="B37" s="9" t="s">
        <v>63</v>
      </c>
      <c r="C37" s="10"/>
      <c r="D37" s="10"/>
      <c r="E37" s="10"/>
      <c r="F37" s="10"/>
      <c r="G37" s="10"/>
      <c r="H37" s="11"/>
    </row>
    <row r="38" spans="1:8" ht="12.95" customHeight="1">
      <c r="A38" s="12" t="s">
        <v>64</v>
      </c>
      <c r="B38" s="13" t="s">
        <v>65</v>
      </c>
      <c r="C38" s="10"/>
      <c r="D38" s="10"/>
      <c r="E38" s="14"/>
      <c r="F38" s="15">
        <v>1677.29</v>
      </c>
      <c r="G38" s="16">
        <v>7.1999999999999995E-2</v>
      </c>
      <c r="H38" s="17">
        <v>6.7589969455990245E-2</v>
      </c>
    </row>
    <row r="39" spans="1:8" ht="12.95" customHeight="1">
      <c r="A39" s="1"/>
      <c r="B39" s="9" t="s">
        <v>14</v>
      </c>
      <c r="C39" s="10"/>
      <c r="D39" s="10"/>
      <c r="E39" s="10"/>
      <c r="F39" s="18">
        <v>1677.29</v>
      </c>
      <c r="G39" s="19">
        <v>7.1999999999999995E-2</v>
      </c>
      <c r="H39" s="20"/>
    </row>
    <row r="40" spans="1:8" ht="12.95" customHeight="1">
      <c r="A40" s="1"/>
      <c r="B40" s="21" t="s">
        <v>15</v>
      </c>
      <c r="C40" s="22"/>
      <c r="D40" s="22"/>
      <c r="E40" s="22"/>
      <c r="F40" s="20" t="s">
        <v>16</v>
      </c>
      <c r="G40" s="20" t="s">
        <v>16</v>
      </c>
      <c r="H40" s="20"/>
    </row>
    <row r="41" spans="1:8" ht="12.95" customHeight="1">
      <c r="A41" s="1"/>
      <c r="B41" s="21" t="s">
        <v>14</v>
      </c>
      <c r="C41" s="22"/>
      <c r="D41" s="22"/>
      <c r="E41" s="22"/>
      <c r="F41" s="20" t="s">
        <v>16</v>
      </c>
      <c r="G41" s="20" t="s">
        <v>16</v>
      </c>
      <c r="H41" s="20"/>
    </row>
    <row r="42" spans="1:8" ht="12.95" customHeight="1">
      <c r="A42" s="1"/>
      <c r="B42" s="21" t="s">
        <v>17</v>
      </c>
      <c r="C42" s="23"/>
      <c r="D42" s="22"/>
      <c r="E42" s="23"/>
      <c r="F42" s="18">
        <v>1677.29</v>
      </c>
      <c r="G42" s="19">
        <v>7.1999999999999995E-2</v>
      </c>
      <c r="H42" s="20"/>
    </row>
    <row r="43" spans="1:8" ht="12.95" customHeight="1">
      <c r="A43" s="1"/>
      <c r="B43" s="21" t="s">
        <v>66</v>
      </c>
      <c r="C43" s="10"/>
      <c r="D43" s="22"/>
      <c r="E43" s="10"/>
      <c r="F43" s="24">
        <v>96.94</v>
      </c>
      <c r="G43" s="19">
        <v>4.1999999999999997E-3</v>
      </c>
      <c r="H43" s="20"/>
    </row>
    <row r="44" spans="1:8" ht="12.95" customHeight="1" thickBot="1">
      <c r="A44" s="1"/>
      <c r="B44" s="25" t="s">
        <v>67</v>
      </c>
      <c r="C44" s="26"/>
      <c r="D44" s="26"/>
      <c r="E44" s="26"/>
      <c r="F44" s="27">
        <v>23289.62</v>
      </c>
      <c r="G44" s="28">
        <v>1</v>
      </c>
      <c r="H44" s="29"/>
    </row>
    <row r="45" spans="1:8" ht="12.95" customHeight="1">
      <c r="A45" s="1"/>
      <c r="B45" s="4"/>
      <c r="C45" s="1"/>
      <c r="D45" s="1"/>
      <c r="E45" s="1"/>
      <c r="F45" s="1"/>
      <c r="G45" s="1"/>
      <c r="H45" s="1"/>
    </row>
    <row r="46" spans="1:8">
      <c r="B46" s="30" t="s">
        <v>68</v>
      </c>
    </row>
    <row r="47" spans="1:8">
      <c r="B47" s="30" t="s">
        <v>69</v>
      </c>
    </row>
    <row r="48" spans="1:8">
      <c r="B48" s="30" t="s">
        <v>70</v>
      </c>
    </row>
    <row r="49" customFormat="1"/>
    <row r="50" customFormat="1"/>
    <row r="51" customFormat="1"/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5FAE79-B67C-4F05-A8DC-297497C335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96DA15-4754-4906-A8EA-7FD4F5828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2023-12-02T13:32:38Z</dcterms:created>
  <dcterms:modified xsi:type="dcterms:W3CDTF">2023-12-04T07:02:48Z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2023-12-03T17:42:36Z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0caf7b6d-3830-46d6-8797-dd50214a184f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