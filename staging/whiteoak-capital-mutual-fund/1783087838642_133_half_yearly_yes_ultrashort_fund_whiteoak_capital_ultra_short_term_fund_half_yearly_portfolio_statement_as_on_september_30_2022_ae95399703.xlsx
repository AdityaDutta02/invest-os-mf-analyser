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Half Yearly/30 Sep 2022/"/>
    </mc:Choice>
  </mc:AlternateContent>
  <xr:revisionPtr revIDLastSave="31" documentId="11_9ADBBCE7137F7429843331CEB211EEF45446705E" xr6:coauthVersionLast="47" xr6:coauthVersionMax="47" xr10:uidLastSave="{5C3369D3-B119-4AA2-BA33-1C5C653E0471}"/>
  <bookViews>
    <workbookView xWindow="-120" yWindow="-120" windowWidth="20730" windowHeight="11160" xr2:uid="{00000000-000D-0000-FFFF-FFFF00000000}"/>
  </bookViews>
  <sheets>
    <sheet name="YM002" sheetId="1" r:id="rId1"/>
  </sheets>
  <externalReferences>
    <externalReference r:id="rId2"/>
  </externalReferences>
  <definedNames>
    <definedName name="JR_PAGE_ANCHOR_0_1">[1]YM001!#REF!</definedName>
    <definedName name="JR_PAGE_ANCHOR_0_2">'YM002'!#REF!</definedName>
    <definedName name="JR_PAGE_ANCHOR_0_3">[1]YM003!#REF!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  <c r="G30" i="1" s="1"/>
  <c r="F29" i="1"/>
  <c r="F30" i="1" s="1"/>
  <c r="G25" i="1"/>
  <c r="F25" i="1"/>
  <c r="G18" i="1"/>
  <c r="F18" i="1"/>
  <c r="G13" i="1"/>
  <c r="F13" i="1"/>
  <c r="F26" i="1" l="1"/>
  <c r="G26" i="1"/>
  <c r="F32" i="1"/>
  <c r="G32" i="1"/>
</calcChain>
</file>

<file path=xl/sharedStrings.xml><?xml version="1.0" encoding="utf-8"?>
<sst xmlns="http://schemas.openxmlformats.org/spreadsheetml/2006/main" count="133" uniqueCount="116">
  <si>
    <t>WhiteOak Capital Ultra Short Term Fund</t>
  </si>
  <si>
    <t>(An open ended ultra-short term debt scheme investing in debt and money market instruments such that the Macaulay duration of the portfolio is between 3 - 6 months.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</si>
  <si>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</si>
  <si>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</si>
  <si>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</si>
  <si>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</si>
  <si>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</si>
  <si>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</si>
  <si>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</si>
  <si>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</si>
  <si>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</t>
  </si>
  <si>
    <t>Sub Total</t>
  </si>
  <si>
    <t>Total</t>
  </si>
  <si>
    <t>TREPS / Reverse Repo</t>
  </si>
  <si>
    <t>Net Receivables / (Payables)</t>
  </si>
  <si>
    <t>GRAND TOTAL</t>
  </si>
  <si>
    <t>Notes :</t>
  </si>
  <si>
    <t>(3)  Net Assets Value per unit (in Rupees) are as follows:</t>
  </si>
  <si>
    <t>Plan/Option</t>
  </si>
  <si>
    <t>As on March 31, 2022</t>
  </si>
  <si>
    <t>Direct Plan Growth</t>
  </si>
  <si>
    <t>Regular Plan Growth</t>
  </si>
  <si>
    <t>Direct Plan Monthly IDCW</t>
  </si>
  <si>
    <t>Regular Plan Monthly IDCW</t>
  </si>
  <si>
    <t>Regular Plan Weekly IDCW</t>
  </si>
  <si>
    <t>Direct Plan Weekly IDCW</t>
  </si>
  <si>
    <t>Direct Plan Daily IDCW</t>
  </si>
  <si>
    <t>Regular Plan Daily IDCW</t>
  </si>
  <si>
    <t>Direct Plan Fortnightly IDCW</t>
  </si>
  <si>
    <t>Regular Plan Fortnightly IDCW</t>
  </si>
  <si>
    <t/>
  </si>
  <si>
    <t>(Rs. per unit)</t>
  </si>
  <si>
    <t xml:space="preserve">     Option Name</t>
  </si>
  <si>
    <t>Individual &amp; HUF *</t>
  </si>
  <si>
    <t>Others *</t>
  </si>
  <si>
    <t>Certificate of Deposit</t>
  </si>
  <si>
    <t>UTIB1249</t>
  </si>
  <si>
    <t>INE238AD6033</t>
  </si>
  <si>
    <t>HDFB807</t>
  </si>
  <si>
    <t>INE040A16CV8</t>
  </si>
  <si>
    <t>SIDB456</t>
  </si>
  <si>
    <t>INE556F16937</t>
  </si>
  <si>
    <t>EXIM720</t>
  </si>
  <si>
    <t>INE514E16BY0</t>
  </si>
  <si>
    <t>PUBA967</t>
  </si>
  <si>
    <t>INE160A16MN0</t>
  </si>
  <si>
    <t>Commercial Paper</t>
  </si>
  <si>
    <t>HDFC1191</t>
  </si>
  <si>
    <t>INE001A14YZ0</t>
  </si>
  <si>
    <t>ICBR378</t>
  </si>
  <si>
    <t>INE763G14MX2</t>
  </si>
  <si>
    <t>BGFL1024</t>
  </si>
  <si>
    <t>INE860H14Y41</t>
  </si>
  <si>
    <t>TBIL2097</t>
  </si>
  <si>
    <t>182 Days Tbill (MD 09/03/2023)</t>
  </si>
  <si>
    <t>IN002022Y245</t>
  </si>
  <si>
    <t>Sovereign</t>
  </si>
  <si>
    <t>TBIL2103</t>
  </si>
  <si>
    <t>182 Days Tbill (MD 23/03/2023)</t>
  </si>
  <si>
    <t>IN002022Y260</t>
  </si>
  <si>
    <t>TBIL2088</t>
  </si>
  <si>
    <t>182 Days Tbill (MD 16/02/2023)</t>
  </si>
  <si>
    <t>IN002022Y203</t>
  </si>
  <si>
    <t>TBIL2106</t>
  </si>
  <si>
    <t>182 Days Tbill (MD 30/03/2023)</t>
  </si>
  <si>
    <t>IN002022Y278</t>
  </si>
  <si>
    <t>TBIL2057</t>
  </si>
  <si>
    <t>364 Days Tbill (MD 01/06/2023)</t>
  </si>
  <si>
    <t>IN002022Z093</t>
  </si>
  <si>
    <t>TRP_031022</t>
  </si>
  <si>
    <t>(1) The provision for below investment grade or default securities as of September 30, 2022 is Rs. Nil and its percentage to Net Asset Value is Nil.</t>
  </si>
  <si>
    <t>(2)  Deviation from the valuation prices given by valuation agencies during the half-year ended  September 30, 2022: Nil</t>
  </si>
  <si>
    <t>(4) Details of Dividend declared per unit (In Rupees) during the half year ending September 30, 2022:</t>
  </si>
  <si>
    <t>(5) No Bonus declared during the half-year ended September 30, 2022</t>
  </si>
  <si>
    <t>(6) Total outstanding exposure in derivative instruments as on September 30,2022 is Nil</t>
  </si>
  <si>
    <t>(7) Total investments in Foreign Securities / Overseas ETFs as at September 30,2022 and its percentage to NAV is Nil</t>
  </si>
  <si>
    <t>(9) Repo transactions in corporate debt securities as on September 30, 2022 is Rs. Nil.</t>
  </si>
  <si>
    <t>As on September 30, 2022</t>
  </si>
  <si>
    <t>Half Yearly Portfolio Statement as on September 30, 2022</t>
  </si>
  <si>
    <t>(8) Average maturity of the portfolio is 128 days</t>
  </si>
  <si>
    <t>**  Thinly Traded / Non Traded Security</t>
  </si>
  <si>
    <t>#  Unlisted Security</t>
  </si>
  <si>
    <t>* Dividends are declared on face value of Rs.1,000 per unit. After distribution of dividend, the NAV falls to the extent of dividend payout and statutory levy, if any.</t>
  </si>
  <si>
    <t>TREPS</t>
  </si>
  <si>
    <t>Axis Bank Limited (21/12/2022)</t>
  </si>
  <si>
    <t>HDFC Bank Limited (10/02/2023)</t>
  </si>
  <si>
    <t>Small Industries Dev Bank of India (22/02/2023)</t>
  </si>
  <si>
    <t>Export Import Bank of India (17/03/2023)</t>
  </si>
  <si>
    <t>Punjab National Bank (25/11/2022)</t>
  </si>
  <si>
    <t>Housing Development Finance Corporation Limited (29/11/2022)</t>
  </si>
  <si>
    <t>ICICI Securities Limited (31/10/2022)</t>
  </si>
  <si>
    <t>Aditya Birla Finance Limited (21/11/2022)</t>
  </si>
  <si>
    <t>Product Labelling &amp; Risk-o-Meter</t>
  </si>
  <si>
    <t>Scheme Name &amp; Type of the Scheme</t>
  </si>
  <si>
    <t>Product Labelling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</si>
  <si>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</si>
  <si>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ultra-short term debt scheme investing in debt and money market instruments such that the Macaulay duration of the portfolio is between 3-6 months. A relatively Low Interest Rate Risk and Moderate Credit Risk</t>
  </si>
  <si>
    <t xml:space="preserve">◦Regular income over short term
◦Investments in debt and money market instruments such that the Macaulay duration of the portfolio is between 3-6 months
</t>
  </si>
  <si>
    <t>* Investors should consult their financial advisers if in doubt about whether the product is suitable for them</t>
  </si>
  <si>
    <t xml:space="preserve">Scheme Benchmark </t>
  </si>
  <si>
    <t>CRISIL Ultra Short Duration Fund BI Index</t>
  </si>
  <si>
    <t xml:space="preserve">Benchmark Risk-o-meter </t>
  </si>
  <si>
    <t>Scheme Risk-o-meter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</si>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</sst>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\(#,##0.00\)"/>
    <numFmt numFmtId="165" formatCode="#,##0.00%;\(#,##0.00\)%"/>
    <numFmt numFmtId="166" formatCode="#,##0.00%"/>
    <numFmt numFmtId="167" formatCode="#.####"/>
    <numFmt numFmtId="168" formatCode="0.0000000000000"/>
  </numFmts>
  <fonts count="17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10"/>
      <name val="Arial"/>
      <family val="2"/>
    </font>
    <font>
      <sz val="10"/>
      <name val="SansSerif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3">
    <xf numFmtId="0" fontId="0" fillId="0" borderId="0"/>
    <xf numFmtId="0" fontId="8" fillId="0" borderId="0" applyNumberFormat="0" applyFont="0" applyFill="0" applyBorder="0" applyAlignment="0" applyProtection="0"/>
    <xf numFmtId="9" fontId="12" fillId="0" borderId="0" applyFont="0" applyFill="0" applyBorder="0" applyAlignment="0" applyProtection="0"/>
  </cellStyleXfs>
  <cellXfs count="95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2" borderId="0" xfId="0" applyFill="1" applyAlignment="1" applyProtection="1">
      <alignment wrapText="1"/>
      <protection locked="0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3" fontId="4" fillId="2" borderId="5" xfId="0" applyNumberFormat="1" applyFont="1" applyFill="1" applyBorder="1" applyAlignment="1">
      <alignment horizontal="right" vertical="top" wrapText="1"/>
    </xf>
    <xf numFmtId="164" fontId="4" fillId="2" borderId="6" xfId="0" applyNumberFormat="1" applyFont="1" applyFill="1" applyBorder="1" applyAlignment="1">
      <alignment horizontal="right" vertical="top" wrapText="1"/>
    </xf>
    <xf numFmtId="165" fontId="4" fillId="2" borderId="5" xfId="0" applyNumberFormat="1" applyFont="1" applyFill="1" applyBorder="1" applyAlignment="1">
      <alignment horizontal="right" vertical="top" wrapText="1"/>
    </xf>
    <xf numFmtId="164" fontId="3" fillId="2" borderId="8" xfId="0" applyNumberFormat="1" applyFont="1" applyFill="1" applyBorder="1" applyAlignment="1">
      <alignment horizontal="right" vertical="top" wrapText="1"/>
    </xf>
    <xf numFmtId="165" fontId="3" fillId="2" borderId="9" xfId="0" applyNumberFormat="1" applyFont="1" applyFill="1" applyBorder="1" applyAlignment="1">
      <alignment horizontal="right" vertical="top" wrapText="1"/>
    </xf>
    <xf numFmtId="0" fontId="3" fillId="2" borderId="10" xfId="0" applyFont="1" applyFill="1" applyBorder="1" applyAlignment="1">
      <alignment horizontal="right" vertical="top" wrapText="1"/>
    </xf>
    <xf numFmtId="0" fontId="3" fillId="2" borderId="11" xfId="0" applyFont="1" applyFill="1" applyBorder="1" applyAlignment="1">
      <alignment horizontal="left" vertical="top" wrapText="1"/>
    </xf>
    <xf numFmtId="0" fontId="4" fillId="2" borderId="12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horizontal="left" vertical="top" wrapText="1"/>
    </xf>
    <xf numFmtId="164" fontId="3" fillId="2" borderId="9" xfId="0" applyNumberFormat="1" applyFont="1" applyFill="1" applyBorder="1" applyAlignment="1">
      <alignment horizontal="right" vertical="top" wrapText="1"/>
    </xf>
    <xf numFmtId="0" fontId="3" fillId="2" borderId="13" xfId="0" applyFont="1" applyFill="1" applyBorder="1" applyAlignment="1">
      <alignment horizontal="left" vertical="top" wrapText="1"/>
    </xf>
    <xf numFmtId="0" fontId="4" fillId="2" borderId="14" xfId="0" applyFont="1" applyFill="1" applyBorder="1" applyAlignment="1">
      <alignment horizontal="left" vertical="top" wrapText="1"/>
    </xf>
    <xf numFmtId="164" fontId="3" fillId="2" borderId="15" xfId="0" applyNumberFormat="1" applyFont="1" applyFill="1" applyBorder="1" applyAlignment="1">
      <alignment horizontal="right" vertical="top" wrapText="1"/>
    </xf>
    <xf numFmtId="166" fontId="3" fillId="2" borderId="16" xfId="0" applyNumberFormat="1" applyFont="1" applyFill="1" applyBorder="1" applyAlignment="1">
      <alignment horizontal="right" vertical="top" wrapText="1"/>
    </xf>
    <xf numFmtId="0" fontId="3" fillId="2" borderId="17" xfId="0" applyFont="1" applyFill="1" applyBorder="1" applyAlignment="1">
      <alignment horizontal="right" vertical="top" wrapText="1"/>
    </xf>
    <xf numFmtId="0" fontId="4" fillId="2" borderId="0" xfId="0" applyFont="1" applyFill="1" applyAlignment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8" fillId="0" borderId="0" xfId="1" applyNumberFormat="1" applyFont="1" applyFill="1" applyBorder="1" applyAlignment="1"/>
    <xf numFmtId="0" fontId="7" fillId="2" borderId="0" xfId="0" applyFont="1" applyFill="1" applyAlignment="1">
      <alignment horizontal="left" vertical="top"/>
    </xf>
    <xf numFmtId="0" fontId="7" fillId="2" borderId="0" xfId="0" applyFont="1" applyFill="1" applyAlignment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/>
    </xf>
    <xf numFmtId="0" fontId="4" fillId="2" borderId="5" xfId="0" applyFont="1" applyFill="1" applyBorder="1" applyAlignment="1">
      <alignment horizontal="right" vertical="top" wrapText="1"/>
    </xf>
    <xf numFmtId="0" fontId="7" fillId="0" borderId="0" xfId="0" applyFont="1" applyFill="1" applyAlignment="1">
      <alignment horizontal="left" vertical="top"/>
    </xf>
    <xf numFmtId="0" fontId="0" fillId="0" borderId="0" xfId="0" applyFill="1"/>
    <xf numFmtId="0" fontId="6" fillId="0" borderId="18" xfId="0" applyFont="1" applyFill="1" applyBorder="1" applyAlignment="1">
      <alignment horizontal="center" vertical="top" wrapText="1"/>
    </xf>
    <xf numFmtId="0" fontId="7" fillId="0" borderId="18" xfId="0" applyFont="1" applyFill="1" applyBorder="1" applyAlignment="1">
      <alignment horizontal="left" vertical="top"/>
    </xf>
    <xf numFmtId="167" fontId="7" fillId="0" borderId="18" xfId="0" applyNumberFormat="1" applyFont="1" applyFill="1" applyBorder="1" applyAlignment="1">
      <alignment horizontal="right" vertical="top"/>
    </xf>
    <xf numFmtId="0" fontId="6" fillId="0" borderId="18" xfId="0" applyFont="1" applyFill="1" applyBorder="1" applyAlignment="1">
      <alignment horizontal="left" vertical="top"/>
    </xf>
    <xf numFmtId="0" fontId="6" fillId="0" borderId="0" xfId="0" applyFont="1" applyFill="1" applyBorder="1" applyAlignment="1">
      <alignment horizontal="center" vertical="top" wrapText="1"/>
    </xf>
    <xf numFmtId="0" fontId="10" fillId="0" borderId="18" xfId="0" applyFont="1" applyFill="1" applyBorder="1" applyAlignment="1">
      <alignment horizontal="left" vertical="top" wrapText="1"/>
    </xf>
    <xf numFmtId="0" fontId="10" fillId="0" borderId="18" xfId="1" applyFont="1" applyFill="1" applyBorder="1" applyAlignment="1">
      <alignment horizontal="center" vertical="top" wrapText="1"/>
    </xf>
    <xf numFmtId="0" fontId="10" fillId="0" borderId="0" xfId="0" applyFont="1" applyFill="1" applyAlignment="1">
      <alignment horizontal="right"/>
    </xf>
    <xf numFmtId="0" fontId="9" fillId="0" borderId="0" xfId="0" applyFont="1" applyFill="1" applyAlignment="1">
      <alignment horizontal="left" vertical="top" wrapText="1"/>
    </xf>
    <xf numFmtId="0" fontId="0" fillId="0" borderId="0" xfId="0" applyFill="1" applyAlignment="1" applyProtection="1">
      <alignment wrapText="1"/>
      <protection locked="0"/>
    </xf>
    <xf numFmtId="0" fontId="7" fillId="0" borderId="0" xfId="1" applyNumberFormat="1" applyFont="1" applyFill="1" applyBorder="1" applyAlignment="1" applyProtection="1">
      <alignment horizontal="left" vertical="top"/>
    </xf>
    <xf numFmtId="0" fontId="7" fillId="0" borderId="0" xfId="1" applyNumberFormat="1" applyFont="1" applyFill="1" applyBorder="1" applyAlignment="1" applyProtection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vertical="top" wrapText="1"/>
    </xf>
    <xf numFmtId="164" fontId="3" fillId="2" borderId="0" xfId="0" applyNumberFormat="1" applyFont="1" applyFill="1" applyBorder="1" applyAlignment="1">
      <alignment horizontal="right" vertical="top" wrapText="1"/>
    </xf>
    <xf numFmtId="166" fontId="3" fillId="2" borderId="0" xfId="0" applyNumberFormat="1" applyFont="1" applyFill="1" applyBorder="1" applyAlignment="1">
      <alignment horizontal="right" vertical="top" wrapText="1"/>
    </xf>
    <xf numFmtId="0" fontId="3" fillId="2" borderId="0" xfId="0" applyFont="1" applyFill="1" applyBorder="1" applyAlignment="1">
      <alignment horizontal="right" vertical="top" wrapText="1"/>
    </xf>
    <xf numFmtId="0" fontId="11" fillId="2" borderId="0" xfId="0" applyFont="1" applyFill="1" applyAlignment="1" applyProtection="1">
      <alignment wrapText="1"/>
      <protection locked="0"/>
    </xf>
    <xf numFmtId="0" fontId="4" fillId="2" borderId="6" xfId="0" applyFont="1" applyFill="1" applyBorder="1" applyAlignment="1">
      <alignment horizontal="right" vertical="top" wrapText="1"/>
    </xf>
    <xf numFmtId="0" fontId="4" fillId="2" borderId="7" xfId="0" applyFont="1" applyFill="1" applyBorder="1" applyAlignment="1">
      <alignment horizontal="right" vertical="top" wrapText="1"/>
    </xf>
    <xf numFmtId="10" fontId="4" fillId="2" borderId="6" xfId="2" applyNumberFormat="1" applyFont="1" applyFill="1" applyBorder="1" applyAlignment="1">
      <alignment horizontal="right" vertical="top" wrapText="1"/>
    </xf>
    <xf numFmtId="10" fontId="4" fillId="2" borderId="7" xfId="2" applyNumberFormat="1" applyFont="1" applyFill="1" applyBorder="1" applyAlignment="1">
      <alignment horizontal="right" vertical="top" wrapText="1"/>
    </xf>
    <xf numFmtId="0" fontId="10" fillId="2" borderId="0" xfId="0" applyFont="1" applyFill="1" applyAlignment="1" applyProtection="1">
      <alignment wrapText="1"/>
      <protection locked="0"/>
    </xf>
    <xf numFmtId="10" fontId="3" fillId="2" borderId="6" xfId="2" applyNumberFormat="1" applyFont="1" applyFill="1" applyBorder="1" applyAlignment="1">
      <alignment horizontal="right" vertical="top" wrapText="1"/>
    </xf>
    <xf numFmtId="166" fontId="4" fillId="2" borderId="7" xfId="0" applyNumberFormat="1" applyFont="1" applyFill="1" applyBorder="1" applyAlignment="1">
      <alignment horizontal="right" vertical="top" wrapText="1"/>
    </xf>
    <xf numFmtId="0" fontId="13" fillId="0" borderId="0" xfId="1" applyNumberFormat="1" applyFont="1" applyFill="1" applyBorder="1" applyAlignment="1" applyProtection="1">
      <alignment horizontal="left" vertical="top" wrapText="1"/>
    </xf>
    <xf numFmtId="0" fontId="13" fillId="0" borderId="0" xfId="1" applyNumberFormat="1" applyFont="1" applyFill="1" applyBorder="1" applyAlignment="1"/>
    <xf numFmtId="0" fontId="11" fillId="0" borderId="0" xfId="0" applyFont="1" applyFill="1" applyAlignment="1" applyProtection="1">
      <alignment wrapText="1"/>
      <protection locked="0"/>
    </xf>
    <xf numFmtId="0" fontId="11" fillId="0" borderId="0" xfId="0" applyFont="1" applyFill="1" applyBorder="1" applyAlignment="1" applyProtection="1">
      <alignment wrapText="1"/>
      <protection locked="0"/>
    </xf>
    <xf numFmtId="0" fontId="11" fillId="0" borderId="0" xfId="0" applyFont="1" applyFill="1"/>
    <xf numFmtId="0" fontId="11" fillId="2" borderId="0" xfId="0" applyFont="1" applyFill="1"/>
    <xf numFmtId="0" fontId="13" fillId="2" borderId="0" xfId="0" applyFont="1" applyFill="1" applyAlignment="1">
      <alignment horizontal="left" vertical="top"/>
    </xf>
    <xf numFmtId="0" fontId="13" fillId="0" borderId="18" xfId="0" applyFont="1" applyFill="1" applyBorder="1" applyAlignment="1">
      <alignment horizontal="right" vertical="top"/>
    </xf>
    <xf numFmtId="4" fontId="11" fillId="0" borderId="0" xfId="0" applyNumberFormat="1" applyFont="1" applyFill="1"/>
    <xf numFmtId="0" fontId="13" fillId="0" borderId="0" xfId="0" applyFont="1" applyFill="1" applyAlignment="1"/>
    <xf numFmtId="4" fontId="13" fillId="2" borderId="0" xfId="0" applyNumberFormat="1" applyFont="1" applyFill="1" applyAlignment="1">
      <alignment horizontal="left" vertical="top"/>
    </xf>
    <xf numFmtId="0" fontId="13" fillId="2" borderId="0" xfId="0" applyFont="1" applyFill="1"/>
    <xf numFmtId="0" fontId="7" fillId="0" borderId="0" xfId="0" applyFont="1" applyFill="1" applyAlignment="1">
      <alignment horizontal="left" vertical="top" wrapText="1"/>
    </xf>
    <xf numFmtId="168" fontId="11" fillId="0" borderId="0" xfId="0" applyNumberFormat="1" applyFont="1" applyFill="1"/>
    <xf numFmtId="0" fontId="11" fillId="0" borderId="0" xfId="0" applyFont="1" applyFill="1" applyBorder="1"/>
    <xf numFmtId="10" fontId="10" fillId="0" borderId="0" xfId="2" applyNumberFormat="1" applyFont="1" applyFill="1"/>
    <xf numFmtId="10" fontId="11" fillId="0" borderId="0" xfId="2" applyNumberFormat="1" applyFont="1" applyFill="1"/>
    <xf numFmtId="0" fontId="7" fillId="0" borderId="0" xfId="0" applyFont="1" applyFill="1" applyAlignment="1">
      <alignment horizontal="left" vertical="top" wrapText="1"/>
    </xf>
    <xf numFmtId="0" fontId="11" fillId="0" borderId="0" xfId="0" applyFont="1" applyFill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14" fillId="0" borderId="19" xfId="0" applyFont="1" applyBorder="1" applyAlignment="1">
      <alignment horizontal="left" vertical="top" wrapText="1"/>
    </xf>
    <xf numFmtId="0" fontId="13" fillId="0" borderId="0" xfId="0" applyFont="1"/>
    <xf numFmtId="0" fontId="3" fillId="0" borderId="20" xfId="0" applyFont="1" applyBorder="1" applyAlignment="1">
      <alignment horizontal="center" wrapText="1" readingOrder="1"/>
    </xf>
    <xf numFmtId="0" fontId="3" fillId="0" borderId="20" xfId="0" applyFont="1" applyBorder="1" applyAlignment="1">
      <alignment horizontal="justify" wrapText="1" readingOrder="1"/>
    </xf>
    <xf numFmtId="0" fontId="4" fillId="0" borderId="20" xfId="0" applyFont="1" applyBorder="1" applyAlignment="1">
      <alignment horizontal="justify" wrapText="1" readingOrder="1"/>
    </xf>
    <xf numFmtId="0" fontId="4" fillId="0" borderId="21" xfId="0" applyFont="1" applyBorder="1" applyAlignment="1">
      <alignment horizontal="justify" wrapText="1" readingOrder="1"/>
    </xf>
    <xf numFmtId="0" fontId="3" fillId="0" borderId="20" xfId="0" applyFont="1" applyBorder="1" applyAlignment="1">
      <alignment horizontal="left" wrapText="1" readingOrder="1"/>
    </xf>
    <xf numFmtId="0" fontId="13" fillId="0" borderId="22" xfId="0" applyFont="1" applyBorder="1" applyAlignment="1">
      <alignment horizontal="justify" wrapText="1" readingOrder="1"/>
    </xf>
    <xf numFmtId="0" fontId="10" fillId="0" borderId="0" xfId="0" applyFont="1"/>
    <xf numFmtId="0" fontId="3" fillId="0" borderId="21" xfId="0" applyFont="1" applyBorder="1" applyAlignment="1">
      <alignment horizontal="left" wrapText="1" readingOrder="1"/>
    </xf>
    <xf numFmtId="0" fontId="4" fillId="0" borderId="20" xfId="0" applyFont="1" applyBorder="1" applyAlignment="1">
      <alignment horizontal="center" wrapText="1" readingOrder="1"/>
    </xf>
    <xf numFmtId="0" fontId="3" fillId="0" borderId="22" xfId="0" applyFont="1" applyBorder="1" applyAlignment="1">
      <alignment horizontal="left" wrapText="1" readingOrder="1"/>
    </xf>
    <xf numFmtId="0" fontId="3" fillId="0" borderId="20" xfId="0" applyFont="1" applyBorder="1" applyAlignment="1">
      <alignment horizontal="left" vertical="top" wrapText="1" readingOrder="1"/>
    </xf>
    <xf numFmtId="0" fontId="4" fillId="0" borderId="20" xfId="0" applyFont="1" applyBorder="1" applyAlignment="1">
      <alignment horizontal="left" wrapText="1" readingOrder="1"/>
    </xf>
    <xf numFmtId="0" fontId="3" fillId="3" borderId="20" xfId="0" applyFont="1" applyFill="1" applyBorder="1" applyAlignment="1">
      <alignment horizontal="center" vertical="center" wrapText="1" readingOrder="1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123825</xdr:colOff>
      <xdr:row>72</xdr:row>
      <xdr:rowOff>76200</xdr:rowOff>
    </xdr:from>
    <xdr:to>
      <xdr:col>9</xdr:col>
      <xdr:colOff>1952626</xdr:colOff>
      <xdr:row>73</xdr:row>
      <xdr:rowOff>561976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7E9551-E67C-4470-A6DF-1BE6EBFEE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54300" y="15116175"/>
          <a:ext cx="1828801" cy="14192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107382</xdr:colOff>
      <xdr:row>72</xdr:row>
      <xdr:rowOff>142875</xdr:rowOff>
    </xdr:from>
    <xdr:ext cx="1959303" cy="1295399"/>
    <xdr:pic>
      <xdr:nvPicPr>
        <xdr:cNvPr id="3" name="Picture 2">
          <a:extLst>
            <a:ext uri="{FF2B5EF4-FFF2-40B4-BE49-F238E27FC236}">
              <a16:creationId xmlns:a16="http://schemas.microsoft.com/office/drawing/2014/main" id="{B4BAFA7A-E2DF-4B9F-B3C9-4059F0DF7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3782" y="15182850"/>
          <a:ext cx="1959303" cy="1295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714375</xdr:colOff>
      <xdr:row>78</xdr:row>
      <xdr:rowOff>66675</xdr:rowOff>
    </xdr:from>
    <xdr:to>
      <xdr:col>6</xdr:col>
      <xdr:colOff>1066800</xdr:colOff>
      <xdr:row>79</xdr:row>
      <xdr:rowOff>102115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BEEFEE6F-F6E7-40C7-A6A7-89A92EAE6A95}"/>
            </a:ext>
          </a:extLst>
        </xdr:cNvPr>
        <xdr:cNvSpPr/>
      </xdr:nvSpPr>
      <xdr:spPr>
        <a:xfrm>
          <a:off x="8601075" y="8963025"/>
          <a:ext cx="352425" cy="23546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6</xdr:col>
      <xdr:colOff>1009650</xdr:colOff>
      <xdr:row>80</xdr:row>
      <xdr:rowOff>19050</xdr:rowOff>
    </xdr:from>
    <xdr:to>
      <xdr:col>6</xdr:col>
      <xdr:colOff>1238249</xdr:colOff>
      <xdr:row>80</xdr:row>
      <xdr:rowOff>180977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2375A054-0CB7-4E88-958A-8302936B8F59}"/>
            </a:ext>
          </a:extLst>
        </xdr:cNvPr>
        <xdr:cNvSpPr/>
      </xdr:nvSpPr>
      <xdr:spPr>
        <a:xfrm rot="5400000">
          <a:off x="8929686" y="9282114"/>
          <a:ext cx="161927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roducts/Shared%20Documents/Product/Scheme%20Portfolio/Half%20Yearly/WOCMF_HALF%20YEARLY_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YM001"/>
      <sheetName val="YM002"/>
      <sheetName val="YM003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J84"/>
  <sheetViews>
    <sheetView showGridLines="0" tabSelected="1" topLeftCell="B1" zoomScaleNormal="100" workbookViewId="0">
      <selection activeCell="B3" sqref="B3:H3"/>
    </sheetView>
  </sheetViews>
  <sheetFormatPr defaultColWidth="8.85546875" defaultRowHeight="15"/>
  <cols>
    <col min="1" max="1" width="3.42578125" style="1" customWidth="1"/>
    <col min="2" max="2" width="52.42578125" style="1" customWidth="1"/>
    <col min="3" max="4" width="13.42578125" style="1" customWidth="1"/>
    <col min="5" max="5" width="10.5703125" style="1" customWidth="1"/>
    <col min="6" max="6" width="30.140625" style="1" customWidth="1"/>
    <col min="7" max="7" width="39.7109375" style="1" customWidth="1"/>
    <col min="8" max="8" width="33.42578125" style="1" customWidth="1"/>
    <col min="9" max="9" width="31.85546875" style="1" customWidth="1"/>
    <col min="10" max="10" width="33.140625" style="1" customWidth="1"/>
    <col min="11" max="16384" width="8.85546875" style="1"/>
  </cols>
  <sheetData>
    <row r="1" spans="1:8" ht="15.75">
      <c r="B1" s="78" t="s">
        <v>0</v>
      </c>
      <c r="C1" s="78"/>
      <c r="D1" s="78"/>
      <c r="E1" s="78"/>
      <c r="F1" s="78"/>
      <c r="G1" s="78"/>
      <c r="H1" s="78"/>
    </row>
    <row r="2" spans="1:8" ht="15.75">
      <c r="B2" s="78" t="s">
        <v>1</v>
      </c>
      <c r="C2" s="78"/>
      <c r="D2" s="78"/>
      <c r="E2" s="78"/>
      <c r="F2" s="78"/>
      <c r="G2" s="78"/>
      <c r="H2" s="78"/>
    </row>
    <row r="3" spans="1:8" ht="15.75">
      <c r="B3" s="78" t="s">
        <v>78</v>
      </c>
      <c r="C3" s="78"/>
      <c r="D3" s="78"/>
      <c r="E3" s="78"/>
      <c r="F3" s="78"/>
      <c r="G3" s="78"/>
      <c r="H3" s="78"/>
    </row>
    <row r="4" spans="1:8" ht="15.75" thickBot="1">
      <c r="B4" s="2"/>
      <c r="C4" s="2"/>
      <c r="D4" s="2"/>
      <c r="E4" s="2"/>
      <c r="F4" s="2"/>
      <c r="G4" s="2"/>
      <c r="H4" s="2"/>
    </row>
    <row r="5" spans="1:8">
      <c r="A5" s="3"/>
      <c r="B5" s="4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6" t="s">
        <v>8</v>
      </c>
    </row>
    <row r="6" spans="1:8">
      <c r="A6" s="3"/>
      <c r="B6" s="7" t="s">
        <v>9</v>
      </c>
      <c r="C6" s="8"/>
      <c r="D6" s="8"/>
      <c r="E6" s="8"/>
      <c r="F6" s="51"/>
      <c r="G6" s="52"/>
      <c r="H6" s="53"/>
    </row>
    <row r="7" spans="1:8">
      <c r="A7" s="3"/>
      <c r="B7" s="7" t="s">
        <v>35</v>
      </c>
      <c r="C7" s="8"/>
      <c r="D7" s="8"/>
      <c r="E7" s="8"/>
      <c r="F7" s="51"/>
      <c r="G7" s="52"/>
      <c r="H7" s="53"/>
    </row>
    <row r="8" spans="1:8">
      <c r="A8" s="30" t="s">
        <v>36</v>
      </c>
      <c r="B8" s="9" t="s">
        <v>84</v>
      </c>
      <c r="C8" s="8" t="s">
        <v>37</v>
      </c>
      <c r="D8" s="8"/>
      <c r="E8" s="31">
        <v>100</v>
      </c>
      <c r="F8" s="51">
        <v>493.08</v>
      </c>
      <c r="G8" s="54">
        <v>6.8500000000000005E-2</v>
      </c>
      <c r="H8" s="55">
        <v>6.3247999999999999E-2</v>
      </c>
    </row>
    <row r="9" spans="1:8">
      <c r="A9" s="30" t="s">
        <v>38</v>
      </c>
      <c r="B9" s="9" t="s">
        <v>85</v>
      </c>
      <c r="C9" s="8" t="s">
        <v>39</v>
      </c>
      <c r="D9" s="8"/>
      <c r="E9" s="31">
        <v>100</v>
      </c>
      <c r="F9" s="51">
        <v>488.08</v>
      </c>
      <c r="G9" s="54">
        <v>6.7799999999999999E-2</v>
      </c>
      <c r="H9" s="55">
        <v>6.7548999999999998E-2</v>
      </c>
    </row>
    <row r="10" spans="1:8">
      <c r="A10" s="30" t="s">
        <v>40</v>
      </c>
      <c r="B10" s="9" t="s">
        <v>86</v>
      </c>
      <c r="C10" s="8" t="s">
        <v>41</v>
      </c>
      <c r="D10" s="8"/>
      <c r="E10" s="31">
        <v>100</v>
      </c>
      <c r="F10" s="51">
        <v>487.1</v>
      </c>
      <c r="G10" s="54">
        <v>6.7699999999999996E-2</v>
      </c>
      <c r="H10" s="55">
        <v>6.7149E-2</v>
      </c>
    </row>
    <row r="11" spans="1:8">
      <c r="A11" s="30" t="s">
        <v>42</v>
      </c>
      <c r="B11" s="9" t="s">
        <v>87</v>
      </c>
      <c r="C11" s="8" t="s">
        <v>43</v>
      </c>
      <c r="D11" s="8"/>
      <c r="E11" s="31">
        <v>100</v>
      </c>
      <c r="F11" s="51">
        <v>485.03</v>
      </c>
      <c r="G11" s="54">
        <v>6.7400000000000002E-2</v>
      </c>
      <c r="H11" s="55">
        <v>6.7449999999999996E-2</v>
      </c>
    </row>
    <row r="12" spans="1:8" ht="24">
      <c r="A12" s="30" t="s">
        <v>44</v>
      </c>
      <c r="B12" s="9" t="s">
        <v>88</v>
      </c>
      <c r="C12" s="8" t="s">
        <v>45</v>
      </c>
      <c r="D12" s="8"/>
      <c r="E12" s="31">
        <v>60</v>
      </c>
      <c r="F12" s="51">
        <v>297.18</v>
      </c>
      <c r="G12" s="54">
        <v>4.1300000000000003E-2</v>
      </c>
      <c r="H12" s="55">
        <v>6.3E-2</v>
      </c>
    </row>
    <row r="13" spans="1:8">
      <c r="A13" s="30"/>
      <c r="B13" s="7" t="s">
        <v>11</v>
      </c>
      <c r="C13" s="8"/>
      <c r="D13" s="8"/>
      <c r="E13" s="31"/>
      <c r="F13" s="56">
        <f>SUM(F8:F12)</f>
        <v>2250.4699999999998</v>
      </c>
      <c r="G13" s="57">
        <f>SUM(G8:G12)</f>
        <v>0.31270000000000003</v>
      </c>
      <c r="H13" s="53"/>
    </row>
    <row r="14" spans="1:8">
      <c r="A14" s="30"/>
      <c r="B14" s="7" t="s">
        <v>46</v>
      </c>
      <c r="C14" s="8"/>
      <c r="D14" s="8"/>
      <c r="E14" s="31"/>
      <c r="F14" s="51"/>
      <c r="G14" s="52"/>
      <c r="H14" s="53"/>
    </row>
    <row r="15" spans="1:8" ht="24">
      <c r="A15" s="30" t="s">
        <v>47</v>
      </c>
      <c r="B15" s="9" t="s">
        <v>89</v>
      </c>
      <c r="C15" s="8" t="s">
        <v>48</v>
      </c>
      <c r="D15" s="8"/>
      <c r="E15" s="31">
        <v>82</v>
      </c>
      <c r="F15" s="51">
        <v>405.77</v>
      </c>
      <c r="G15" s="54">
        <v>5.6399999999999999E-2</v>
      </c>
      <c r="H15" s="55">
        <v>6.4500000000000002E-2</v>
      </c>
    </row>
    <row r="16" spans="1:8" ht="24">
      <c r="A16" s="30" t="s">
        <v>49</v>
      </c>
      <c r="B16" s="9" t="s">
        <v>90</v>
      </c>
      <c r="C16" s="8" t="s">
        <v>50</v>
      </c>
      <c r="D16" s="8"/>
      <c r="E16" s="31">
        <v>70</v>
      </c>
      <c r="F16" s="51">
        <v>348.11</v>
      </c>
      <c r="G16" s="54">
        <v>4.8399999999999999E-2</v>
      </c>
      <c r="H16" s="55">
        <v>6.5951999999999997E-2</v>
      </c>
    </row>
    <row r="17" spans="1:8">
      <c r="A17" s="30" t="s">
        <v>51</v>
      </c>
      <c r="B17" s="9" t="s">
        <v>91</v>
      </c>
      <c r="C17" s="8" t="s">
        <v>52</v>
      </c>
      <c r="D17" s="8"/>
      <c r="E17" s="31">
        <v>60</v>
      </c>
      <c r="F17" s="51">
        <v>297.26</v>
      </c>
      <c r="G17" s="54">
        <v>4.1300000000000003E-2</v>
      </c>
      <c r="H17" s="55">
        <v>6.5951999999999997E-2</v>
      </c>
    </row>
    <row r="18" spans="1:8">
      <c r="A18" s="30"/>
      <c r="B18" s="7" t="s">
        <v>11</v>
      </c>
      <c r="C18" s="8"/>
      <c r="D18" s="8"/>
      <c r="E18" s="31"/>
      <c r="F18" s="56">
        <f>SUM(F15:F17)</f>
        <v>1051.1399999999999</v>
      </c>
      <c r="G18" s="57">
        <f>SUM(G15:G17)</f>
        <v>0.14610000000000001</v>
      </c>
      <c r="H18" s="55"/>
    </row>
    <row r="19" spans="1:8">
      <c r="A19" s="3"/>
      <c r="B19" s="7" t="s">
        <v>10</v>
      </c>
      <c r="C19" s="8"/>
      <c r="D19" s="8"/>
      <c r="E19" s="31"/>
      <c r="F19" s="51"/>
      <c r="G19" s="52"/>
      <c r="H19" s="53"/>
    </row>
    <row r="20" spans="1:8">
      <c r="A20" s="30" t="s">
        <v>53</v>
      </c>
      <c r="B20" s="9" t="s">
        <v>54</v>
      </c>
      <c r="C20" s="8" t="s">
        <v>55</v>
      </c>
      <c r="D20" s="8" t="s">
        <v>56</v>
      </c>
      <c r="E20" s="10">
        <v>1000000</v>
      </c>
      <c r="F20" s="11">
        <v>972.65</v>
      </c>
      <c r="G20" s="12">
        <v>0.13519999999999999</v>
      </c>
      <c r="H20" s="58">
        <v>6.4545000000000005E-2</v>
      </c>
    </row>
    <row r="21" spans="1:8">
      <c r="A21" s="30" t="s">
        <v>57</v>
      </c>
      <c r="B21" s="9" t="s">
        <v>58</v>
      </c>
      <c r="C21" s="8" t="s">
        <v>59</v>
      </c>
      <c r="D21" s="8" t="s">
        <v>56</v>
      </c>
      <c r="E21" s="10">
        <v>1000000</v>
      </c>
      <c r="F21" s="11">
        <v>970.13</v>
      </c>
      <c r="G21" s="12">
        <v>0.13489999999999999</v>
      </c>
      <c r="H21" s="58">
        <v>6.4960000000000004E-2</v>
      </c>
    </row>
    <row r="22" spans="1:8">
      <c r="A22" s="30" t="s">
        <v>60</v>
      </c>
      <c r="B22" s="9" t="s">
        <v>61</v>
      </c>
      <c r="C22" s="8" t="s">
        <v>62</v>
      </c>
      <c r="D22" s="8" t="s">
        <v>56</v>
      </c>
      <c r="E22" s="10">
        <v>500000</v>
      </c>
      <c r="F22" s="11">
        <v>488.39</v>
      </c>
      <c r="G22" s="12">
        <v>6.7900000000000002E-2</v>
      </c>
      <c r="H22" s="58">
        <v>6.2899999999999998E-2</v>
      </c>
    </row>
    <row r="23" spans="1:8">
      <c r="A23" s="30" t="s">
        <v>63</v>
      </c>
      <c r="B23" s="9" t="s">
        <v>64</v>
      </c>
      <c r="C23" s="8" t="s">
        <v>65</v>
      </c>
      <c r="D23" s="8" t="s">
        <v>56</v>
      </c>
      <c r="E23" s="10">
        <v>500000</v>
      </c>
      <c r="F23" s="11">
        <v>484.56</v>
      </c>
      <c r="G23" s="12">
        <v>6.7400000000000002E-2</v>
      </c>
      <c r="H23" s="58">
        <v>6.4616000000000007E-2</v>
      </c>
    </row>
    <row r="24" spans="1:8">
      <c r="A24" s="30" t="s">
        <v>66</v>
      </c>
      <c r="B24" s="9" t="s">
        <v>67</v>
      </c>
      <c r="C24" s="8" t="s">
        <v>68</v>
      </c>
      <c r="D24" s="8" t="s">
        <v>56</v>
      </c>
      <c r="E24" s="10">
        <v>500000</v>
      </c>
      <c r="F24" s="11">
        <v>478.92</v>
      </c>
      <c r="G24" s="12">
        <v>6.6600000000000006E-2</v>
      </c>
      <c r="H24" s="58">
        <v>6.6099000000000005E-2</v>
      </c>
    </row>
    <row r="25" spans="1:8">
      <c r="A25" s="3"/>
      <c r="B25" s="7" t="s">
        <v>11</v>
      </c>
      <c r="C25" s="8"/>
      <c r="D25" s="8"/>
      <c r="E25" s="31"/>
      <c r="F25" s="13">
        <f>SUM(F20:F24)</f>
        <v>3394.65</v>
      </c>
      <c r="G25" s="14">
        <f>SUM(G20:G24)</f>
        <v>0.47200000000000003</v>
      </c>
      <c r="H25" s="15"/>
    </row>
    <row r="26" spans="1:8">
      <c r="A26" s="3"/>
      <c r="B26" s="16" t="s">
        <v>12</v>
      </c>
      <c r="C26" s="17"/>
      <c r="D26" s="18"/>
      <c r="E26" s="17"/>
      <c r="F26" s="13">
        <f>F25+F18+F13</f>
        <v>6696.26</v>
      </c>
      <c r="G26" s="14">
        <f>G25+G18+G13</f>
        <v>0.93080000000000007</v>
      </c>
      <c r="H26" s="15"/>
    </row>
    <row r="27" spans="1:8">
      <c r="A27" s="3"/>
      <c r="B27" s="7" t="s">
        <v>13</v>
      </c>
      <c r="C27" s="8"/>
      <c r="D27" s="8"/>
      <c r="E27" s="8"/>
      <c r="F27" s="51"/>
      <c r="G27" s="52"/>
      <c r="H27" s="53"/>
    </row>
    <row r="28" spans="1:8">
      <c r="A28" s="30" t="s">
        <v>69</v>
      </c>
      <c r="B28" s="9" t="s">
        <v>83</v>
      </c>
      <c r="C28" s="8"/>
      <c r="D28" s="8"/>
      <c r="E28" s="10"/>
      <c r="F28" s="11">
        <v>318.12</v>
      </c>
      <c r="G28" s="12">
        <v>4.4200000000000003E-2</v>
      </c>
      <c r="H28" s="58">
        <v>6.01921984612468E-2</v>
      </c>
    </row>
    <row r="29" spans="1:8">
      <c r="A29" s="3"/>
      <c r="B29" s="7" t="s">
        <v>11</v>
      </c>
      <c r="C29" s="8"/>
      <c r="D29" s="8"/>
      <c r="E29" s="8"/>
      <c r="F29" s="13">
        <f>F28</f>
        <v>318.12</v>
      </c>
      <c r="G29" s="14">
        <f>G28</f>
        <v>4.4200000000000003E-2</v>
      </c>
      <c r="H29" s="15"/>
    </row>
    <row r="30" spans="1:8">
      <c r="A30" s="3"/>
      <c r="B30" s="16" t="s">
        <v>12</v>
      </c>
      <c r="C30" s="17"/>
      <c r="D30" s="18"/>
      <c r="E30" s="17"/>
      <c r="F30" s="13">
        <f>F29</f>
        <v>318.12</v>
      </c>
      <c r="G30" s="14">
        <f>G29</f>
        <v>4.4200000000000003E-2</v>
      </c>
      <c r="H30" s="15"/>
    </row>
    <row r="31" spans="1:8">
      <c r="A31" s="3"/>
      <c r="B31" s="16" t="s">
        <v>14</v>
      </c>
      <c r="C31" s="8"/>
      <c r="D31" s="18"/>
      <c r="E31" s="8"/>
      <c r="F31" s="19">
        <v>179.65</v>
      </c>
      <c r="G31" s="14">
        <v>2.5000000000000001E-2</v>
      </c>
      <c r="H31" s="15"/>
    </row>
    <row r="32" spans="1:8" ht="15.75" thickBot="1">
      <c r="A32" s="3"/>
      <c r="B32" s="20" t="s">
        <v>15</v>
      </c>
      <c r="C32" s="21"/>
      <c r="D32" s="21"/>
      <c r="E32" s="21"/>
      <c r="F32" s="22">
        <f>F31+F30+F26</f>
        <v>7194.0300000000007</v>
      </c>
      <c r="G32" s="23">
        <f>G31+G30+G26</f>
        <v>1</v>
      </c>
      <c r="H32" s="24"/>
    </row>
    <row r="33" spans="1:8">
      <c r="A33" s="3"/>
      <c r="B33" s="46"/>
      <c r="C33" s="47"/>
      <c r="D33" s="47"/>
      <c r="E33" s="47"/>
      <c r="F33" s="48"/>
      <c r="G33" s="49"/>
      <c r="H33" s="50"/>
    </row>
    <row r="34" spans="1:8">
      <c r="A34" s="3"/>
      <c r="B34" s="46" t="s">
        <v>80</v>
      </c>
      <c r="C34" s="47"/>
      <c r="D34" s="47"/>
      <c r="E34" s="47"/>
      <c r="F34" s="48"/>
      <c r="G34" s="49"/>
      <c r="H34" s="50"/>
    </row>
    <row r="35" spans="1:8">
      <c r="A35" s="3"/>
      <c r="B35" s="46" t="s">
        <v>81</v>
      </c>
      <c r="C35" s="47"/>
      <c r="D35" s="47"/>
      <c r="E35" s="47"/>
      <c r="F35" s="48"/>
      <c r="G35" s="49"/>
      <c r="H35" s="50"/>
    </row>
    <row r="36" spans="1:8">
      <c r="A36" s="3"/>
      <c r="B36" s="25"/>
      <c r="C36" s="51"/>
      <c r="D36" s="51"/>
      <c r="E36" s="51"/>
      <c r="F36" s="51"/>
      <c r="G36" s="51"/>
      <c r="H36" s="51"/>
    </row>
    <row r="37" spans="1:8">
      <c r="A37" s="3"/>
      <c r="B37" s="79" t="s">
        <v>16</v>
      </c>
      <c r="C37" s="79"/>
      <c r="D37" s="79"/>
      <c r="E37" s="79"/>
      <c r="F37" s="51"/>
      <c r="G37" s="51"/>
      <c r="H37" s="51"/>
    </row>
    <row r="38" spans="1:8">
      <c r="A38" s="3"/>
      <c r="B38" s="76" t="s">
        <v>70</v>
      </c>
      <c r="C38" s="76"/>
      <c r="D38" s="76"/>
      <c r="E38" s="76"/>
      <c r="F38" s="76"/>
      <c r="G38" s="76"/>
      <c r="H38" s="76"/>
    </row>
    <row r="39" spans="1:8" s="27" customFormat="1" ht="12.75">
      <c r="A39" s="26"/>
      <c r="B39" s="44" t="s">
        <v>71</v>
      </c>
      <c r="C39" s="45"/>
      <c r="D39" s="59"/>
      <c r="E39" s="59"/>
      <c r="F39" s="59"/>
      <c r="G39" s="59"/>
      <c r="H39" s="60"/>
    </row>
    <row r="40" spans="1:8" s="33" customFormat="1">
      <c r="A40" s="43"/>
      <c r="B40" s="76" t="s">
        <v>17</v>
      </c>
      <c r="C40" s="77"/>
      <c r="D40" s="77"/>
      <c r="E40" s="77"/>
      <c r="F40" s="61"/>
      <c r="G40" s="62"/>
      <c r="H40" s="61"/>
    </row>
    <row r="41" spans="1:8" ht="36">
      <c r="B41" s="37" t="s">
        <v>18</v>
      </c>
      <c r="C41" s="34" t="s">
        <v>77</v>
      </c>
      <c r="D41" s="34" t="s">
        <v>19</v>
      </c>
      <c r="E41" s="63"/>
      <c r="F41" s="64"/>
      <c r="G41" s="38"/>
      <c r="H41" s="64"/>
    </row>
    <row r="42" spans="1:8">
      <c r="B42" s="35" t="s">
        <v>20</v>
      </c>
      <c r="C42" s="36">
        <v>1161.9708000000001</v>
      </c>
      <c r="D42" s="36">
        <v>1138.5428999999999</v>
      </c>
      <c r="E42" s="63"/>
      <c r="F42" s="72"/>
      <c r="G42" s="73"/>
      <c r="H42" s="74"/>
    </row>
    <row r="43" spans="1:8">
      <c r="B43" s="35" t="s">
        <v>21</v>
      </c>
      <c r="C43" s="36">
        <v>1140.6071999999999</v>
      </c>
      <c r="D43" s="36">
        <v>1121.5441000000001</v>
      </c>
      <c r="E43" s="63"/>
      <c r="F43" s="72"/>
      <c r="G43" s="73"/>
      <c r="H43" s="74"/>
    </row>
    <row r="44" spans="1:8">
      <c r="B44" s="35" t="s">
        <v>22</v>
      </c>
      <c r="C44" s="36">
        <v>1003.0376</v>
      </c>
      <c r="D44" s="36">
        <v>1003.0856</v>
      </c>
      <c r="E44" s="63"/>
      <c r="F44" s="72"/>
      <c r="G44" s="63"/>
      <c r="H44" s="74"/>
    </row>
    <row r="45" spans="1:8">
      <c r="B45" s="35" t="s">
        <v>23</v>
      </c>
      <c r="C45" s="36">
        <v>1002.7028</v>
      </c>
      <c r="D45" s="36">
        <v>1002.7494</v>
      </c>
      <c r="E45" s="63"/>
      <c r="F45" s="72"/>
      <c r="G45" s="63"/>
      <c r="H45" s="74"/>
    </row>
    <row r="46" spans="1:8">
      <c r="B46" s="35" t="s">
        <v>24</v>
      </c>
      <c r="C46" s="36">
        <v>1002.3035</v>
      </c>
      <c r="D46" s="36">
        <v>1001.7074</v>
      </c>
      <c r="E46" s="63"/>
      <c r="F46" s="72"/>
      <c r="G46" s="63"/>
      <c r="H46" s="74"/>
    </row>
    <row r="47" spans="1:8">
      <c r="B47" s="35" t="s">
        <v>25</v>
      </c>
      <c r="C47" s="36">
        <v>1003.2164</v>
      </c>
      <c r="D47" s="36">
        <v>1001.7949</v>
      </c>
      <c r="E47" s="63"/>
      <c r="F47" s="72"/>
      <c r="G47" s="63"/>
      <c r="H47" s="74"/>
    </row>
    <row r="48" spans="1:8">
      <c r="B48" s="35" t="s">
        <v>26</v>
      </c>
      <c r="C48" s="36">
        <v>1001.4656</v>
      </c>
      <c r="D48" s="36">
        <v>1001.4607</v>
      </c>
      <c r="E48" s="63"/>
      <c r="F48" s="72"/>
      <c r="G48" s="63"/>
      <c r="H48" s="74"/>
    </row>
    <row r="49" spans="1:8">
      <c r="B49" s="35" t="s">
        <v>27</v>
      </c>
      <c r="C49" s="36">
        <v>1001.4574</v>
      </c>
      <c r="D49" s="36">
        <v>1001.4547</v>
      </c>
      <c r="E49" s="63"/>
      <c r="F49" s="72"/>
      <c r="G49" s="63"/>
      <c r="H49" s="74"/>
    </row>
    <row r="50" spans="1:8">
      <c r="B50" s="35" t="s">
        <v>28</v>
      </c>
      <c r="C50" s="36">
        <v>1002.6324</v>
      </c>
      <c r="D50" s="36">
        <v>1001.6636</v>
      </c>
      <c r="E50" s="63"/>
      <c r="F50" s="72"/>
      <c r="G50" s="63"/>
      <c r="H50" s="74"/>
    </row>
    <row r="51" spans="1:8">
      <c r="B51" s="35" t="s">
        <v>29</v>
      </c>
      <c r="C51" s="36">
        <v>1002.1837</v>
      </c>
      <c r="D51" s="36">
        <v>1001.6361000000001</v>
      </c>
      <c r="E51" s="63"/>
      <c r="F51" s="72"/>
      <c r="G51" s="63"/>
      <c r="H51" s="75"/>
    </row>
    <row r="52" spans="1:8">
      <c r="B52" s="28" t="s">
        <v>30</v>
      </c>
      <c r="C52" s="65"/>
      <c r="D52" s="65"/>
      <c r="E52" s="64"/>
      <c r="F52" s="64"/>
      <c r="G52" s="64"/>
      <c r="H52" s="64"/>
    </row>
    <row r="53" spans="1:8" s="33" customFormat="1">
      <c r="B53" s="76" t="s">
        <v>72</v>
      </c>
      <c r="C53" s="76"/>
      <c r="D53" s="76"/>
      <c r="E53" s="77"/>
      <c r="F53" s="77"/>
      <c r="G53" s="63"/>
      <c r="H53" s="63"/>
    </row>
    <row r="54" spans="1:8" s="33" customFormat="1">
      <c r="B54" s="32"/>
      <c r="C54" s="32"/>
      <c r="D54" s="41" t="s">
        <v>31</v>
      </c>
      <c r="E54" s="63"/>
      <c r="F54" s="63"/>
      <c r="G54" s="63"/>
      <c r="H54" s="63"/>
    </row>
    <row r="55" spans="1:8" s="33" customFormat="1" ht="24">
      <c r="B55" s="39" t="s">
        <v>32</v>
      </c>
      <c r="C55" s="40" t="s">
        <v>33</v>
      </c>
      <c r="D55" s="40" t="s">
        <v>34</v>
      </c>
      <c r="E55" s="63"/>
      <c r="F55" s="63"/>
      <c r="G55" s="63"/>
      <c r="H55" s="63"/>
    </row>
    <row r="56" spans="1:8" s="33" customFormat="1">
      <c r="B56" s="35" t="s">
        <v>26</v>
      </c>
      <c r="C56" s="66">
        <v>21.73244841</v>
      </c>
      <c r="D56" s="66">
        <v>21.73244841</v>
      </c>
      <c r="E56" s="67"/>
      <c r="F56" s="63"/>
      <c r="G56" s="63"/>
      <c r="H56" s="63"/>
    </row>
    <row r="57" spans="1:8" s="33" customFormat="1">
      <c r="B57" s="35" t="s">
        <v>28</v>
      </c>
      <c r="C57" s="66">
        <v>20.295613880000001</v>
      </c>
      <c r="D57" s="66">
        <v>20.295613880000001</v>
      </c>
      <c r="E57" s="67"/>
      <c r="F57" s="63"/>
      <c r="G57" s="63"/>
      <c r="H57" s="63"/>
    </row>
    <row r="58" spans="1:8" s="33" customFormat="1">
      <c r="B58" s="35" t="s">
        <v>22</v>
      </c>
      <c r="C58" s="66">
        <v>20.523563049999996</v>
      </c>
      <c r="D58" s="66">
        <v>20.523563049999996</v>
      </c>
      <c r="E58" s="67"/>
      <c r="F58" s="63"/>
      <c r="G58" s="63"/>
      <c r="H58" s="63"/>
    </row>
    <row r="59" spans="1:8" s="33" customFormat="1">
      <c r="B59" s="35" t="s">
        <v>25</v>
      </c>
      <c r="C59" s="66">
        <v>19.926474030000001</v>
      </c>
      <c r="D59" s="66">
        <v>19.926474030000001</v>
      </c>
      <c r="E59" s="67"/>
      <c r="F59" s="63"/>
      <c r="G59" s="63"/>
      <c r="H59" s="63"/>
    </row>
    <row r="60" spans="1:8" s="33" customFormat="1">
      <c r="B60" s="35" t="s">
        <v>27</v>
      </c>
      <c r="C60" s="66">
        <v>17.056071540000001</v>
      </c>
      <c r="D60" s="66">
        <v>17.056071540000001</v>
      </c>
      <c r="E60" s="67"/>
      <c r="F60" s="63"/>
      <c r="G60" s="63"/>
      <c r="H60" s="63"/>
    </row>
    <row r="61" spans="1:8" s="33" customFormat="1">
      <c r="B61" s="35" t="s">
        <v>29</v>
      </c>
      <c r="C61" s="66">
        <v>21.18233558</v>
      </c>
      <c r="D61" s="66">
        <v>21.18233558</v>
      </c>
      <c r="E61" s="67"/>
      <c r="F61" s="63"/>
      <c r="G61" s="63"/>
      <c r="H61" s="63"/>
    </row>
    <row r="62" spans="1:8" s="33" customFormat="1">
      <c r="B62" s="35" t="s">
        <v>23</v>
      </c>
      <c r="C62" s="66">
        <v>16.970596780000001</v>
      </c>
      <c r="D62" s="66">
        <v>16.970596780000001</v>
      </c>
      <c r="E62" s="67"/>
      <c r="F62" s="63"/>
      <c r="G62" s="63"/>
      <c r="H62" s="63"/>
    </row>
    <row r="63" spans="1:8" s="33" customFormat="1">
      <c r="B63" s="35" t="s">
        <v>24</v>
      </c>
      <c r="C63" s="66">
        <v>16.262102090000003</v>
      </c>
      <c r="D63" s="66">
        <v>16.262102090000003</v>
      </c>
      <c r="E63" s="67"/>
      <c r="F63" s="63"/>
      <c r="G63" s="63"/>
      <c r="H63" s="63"/>
    </row>
    <row r="64" spans="1:8" s="33" customFormat="1">
      <c r="A64" s="42"/>
      <c r="B64" s="68" t="s">
        <v>82</v>
      </c>
      <c r="C64" s="68"/>
      <c r="D64" s="68"/>
      <c r="E64" s="68"/>
      <c r="F64" s="68"/>
      <c r="G64" s="68"/>
      <c r="H64" s="63"/>
    </row>
    <row r="65" spans="2:10">
      <c r="B65" s="32" t="s">
        <v>73</v>
      </c>
      <c r="C65" s="65"/>
      <c r="D65" s="65"/>
      <c r="E65" s="64"/>
      <c r="F65" s="64"/>
      <c r="G65" s="64"/>
      <c r="H65" s="64"/>
    </row>
    <row r="66" spans="2:10">
      <c r="B66" s="32" t="s">
        <v>74</v>
      </c>
      <c r="C66" s="29"/>
      <c r="D66" s="65"/>
      <c r="E66" s="64"/>
      <c r="F66" s="64"/>
      <c r="G66" s="64"/>
      <c r="H66" s="64"/>
    </row>
    <row r="67" spans="2:10">
      <c r="B67" s="28" t="s">
        <v>75</v>
      </c>
      <c r="C67" s="29"/>
      <c r="D67" s="65"/>
      <c r="E67" s="64"/>
      <c r="F67" s="64"/>
      <c r="G67" s="64"/>
      <c r="H67" s="64"/>
    </row>
    <row r="68" spans="2:10" s="2" customFormat="1">
      <c r="B68" s="71" t="s">
        <v>79</v>
      </c>
      <c r="C68" s="69"/>
      <c r="D68" s="65"/>
      <c r="E68" s="70"/>
      <c r="F68" s="70"/>
      <c r="G68" s="70"/>
      <c r="H68" s="70"/>
    </row>
    <row r="69" spans="2:10" s="33" customFormat="1">
      <c r="B69" s="32" t="s">
        <v>76</v>
      </c>
      <c r="C69" s="63"/>
      <c r="D69" s="63"/>
      <c r="E69" s="63"/>
      <c r="F69" s="63"/>
      <c r="G69" s="63"/>
      <c r="H69" s="63"/>
    </row>
    <row r="70" spans="2:10" s="33" customFormat="1" ht="15.75" thickBot="1">
      <c r="B70" s="32"/>
      <c r="C70" s="63"/>
      <c r="D70" s="63"/>
      <c r="E70" s="63"/>
      <c r="F70" s="63"/>
      <c r="G70" s="80" t="s">
        <v>92</v>
      </c>
      <c r="H70" s="80"/>
      <c r="I70" s="80"/>
      <c r="J70" s="81"/>
    </row>
    <row r="71" spans="2:10" s="33" customFormat="1" ht="15.75" thickBot="1">
      <c r="B71" s="32"/>
      <c r="C71" s="63"/>
      <c r="D71" s="63"/>
      <c r="E71" s="63"/>
      <c r="F71" s="63"/>
      <c r="G71" s="82" t="s">
        <v>93</v>
      </c>
      <c r="H71" s="82" t="s">
        <v>94</v>
      </c>
      <c r="I71" s="82" t="s">
        <v>102</v>
      </c>
      <c r="J71" s="82" t="s">
        <v>101</v>
      </c>
    </row>
    <row r="72" spans="2:10" s="33" customFormat="1" ht="25.5" thickBot="1">
      <c r="B72" s="32"/>
      <c r="C72" s="63"/>
      <c r="D72" s="63"/>
      <c r="E72" s="63"/>
      <c r="F72" s="63"/>
      <c r="G72" s="83" t="s">
        <v>0</v>
      </c>
      <c r="H72" s="84" t="s">
        <v>95</v>
      </c>
      <c r="I72" s="84"/>
      <c r="J72" s="84"/>
    </row>
    <row r="73" spans="2:10" ht="73.5" thickBot="1">
      <c r="G73" s="84" t="s">
        <v>96</v>
      </c>
      <c r="H73" s="84" t="s">
        <v>97</v>
      </c>
      <c r="I73" s="85"/>
      <c r="J73" s="85"/>
    </row>
    <row r="74" spans="2:10" ht="49.5" thickBot="1">
      <c r="G74" s="84"/>
      <c r="H74" s="86" t="s">
        <v>98</v>
      </c>
      <c r="I74" s="87"/>
      <c r="J74" s="87"/>
    </row>
    <row r="75" spans="2:10" ht="16.5" customHeight="1" thickBot="1">
      <c r="G75" s="84"/>
      <c r="H75" s="84"/>
      <c r="I75" s="84"/>
      <c r="J75" s="83" t="s">
        <v>99</v>
      </c>
    </row>
    <row r="76" spans="2:10" ht="25.5" thickBot="1">
      <c r="G76" s="84"/>
      <c r="H76" s="84"/>
      <c r="I76" s="84"/>
      <c r="J76" s="84" t="s">
        <v>100</v>
      </c>
    </row>
    <row r="77" spans="2:10" ht="23.25" customHeight="1"/>
    <row r="78" spans="2:10" ht="15.75" thickBot="1">
      <c r="G78" s="88" t="s">
        <v>103</v>
      </c>
      <c r="H78" s="81"/>
      <c r="I78" s="81"/>
      <c r="J78" s="81"/>
    </row>
    <row r="79" spans="2:10" ht="15.75" thickBot="1">
      <c r="G79" s="89" t="s">
        <v>104</v>
      </c>
      <c r="H79" s="90" t="s">
        <v>105</v>
      </c>
      <c r="I79" s="90" t="s">
        <v>106</v>
      </c>
      <c r="J79" s="90" t="s">
        <v>107</v>
      </c>
    </row>
    <row r="80" spans="2:10" ht="15.75" thickBot="1">
      <c r="G80" s="91"/>
      <c r="H80" s="90" t="s">
        <v>108</v>
      </c>
      <c r="I80" s="90" t="s">
        <v>109</v>
      </c>
      <c r="J80" s="90" t="s">
        <v>110</v>
      </c>
    </row>
    <row r="81" spans="7:10" ht="15.75" thickBot="1">
      <c r="G81" s="92" t="s">
        <v>111</v>
      </c>
      <c r="H81" s="93"/>
      <c r="I81" s="93"/>
      <c r="J81" s="93"/>
    </row>
    <row r="82" spans="7:10" ht="15.75" thickBot="1">
      <c r="G82" s="93" t="s">
        <v>112</v>
      </c>
      <c r="H82" s="93"/>
      <c r="I82" s="94" t="s">
        <v>113</v>
      </c>
      <c r="J82" s="93"/>
    </row>
    <row r="83" spans="7:10" ht="15.75" thickBot="1">
      <c r="G83" s="93" t="s">
        <v>114</v>
      </c>
      <c r="H83" s="93"/>
      <c r="I83" s="93"/>
      <c r="J83" s="93"/>
    </row>
    <row r="84" spans="7:10" ht="15.75" thickBot="1">
      <c r="G84" s="93" t="s">
        <v>115</v>
      </c>
      <c r="H84" s="93"/>
      <c r="I84" s="93"/>
      <c r="J84" s="93"/>
    </row>
  </sheetData>
  <mergeCells count="11">
    <mergeCell ref="G70:I70"/>
    <mergeCell ref="I73:I74"/>
    <mergeCell ref="J73:J74"/>
    <mergeCell ref="G79:G80"/>
    <mergeCell ref="B53:F53"/>
    <mergeCell ref="B1:H1"/>
    <mergeCell ref="B2:H2"/>
    <mergeCell ref="B3:H3"/>
    <mergeCell ref="B37:E37"/>
    <mergeCell ref="B40:E40"/>
    <mergeCell ref="B38:H38"/>
  </mergeCells>
  <pageMargins left="0.23622047244094499" right="0.23622047244094499" top="0.74803149606299202" bottom="0.74803149606299202" header="0.31496062992126" footer="0.31496062992126"/>
  <pageSetup paperSize="8" scale="81" orientation="portrait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4" ma:contentTypeDescription="Create a new document." ma:contentTypeScope="" ma:versionID="c08acb58b119a1bb9d21bfb9827dcab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992fd59b9db3ec3bdeb2262b84dbb19b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Props1.xml><?xml version="1.0" encoding="utf-8"?>
<ds:datastoreItem xmlns:ds="http://schemas.openxmlformats.org/officeDocument/2006/customXml" ds:itemID="{002CC933-E0E5-4804-98A1-000B3CB08D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22DFA0-F06D-4B41-B04A-C2158BE235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3D70CF-98F6-4152-9532-F2CBE0522EA1}">
  <ds:schemaRefs>
    <ds:schemaRef ds:uri="1422913c-d92f-4d2c-b490-c8fd67f75f1c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42100dc5-b973-4d35-8fea-d2a4eb7a8f26"/>
    <ds:schemaRef ds:uri="http://schemas.microsoft.com/office/2006/metadata/properties"/>
    <ds:schemaRef ds:uri="http://www.w3.org/XML/1998/namespace"/>
    <ds:schemaRef ds:uri="http://purl.org/dc/dcmitype/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YM002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cp:lastPrinted>2022-10-06T16:39:30Z</cp:lastPrinted>
  <dcterms:created xsi:type="dcterms:W3CDTF">2022-04-08T12:19:28Z</dcterms:created>
  <dcterms:modified xsi:type="dcterms:W3CDTF">2022-10-08T15:57:40Z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0x0101006E08D74F9BEFB540864FDCD3FDED8F2D</vt:lpwstr>
  </property>
  <property fmtid="{D5CDD505-2E9C-101B-9397-08002B2CF9AE}" pid="3" name="MediaServiceImageTags">
    <vt:lpwstr/>
  </property>
</Properties>
</file>