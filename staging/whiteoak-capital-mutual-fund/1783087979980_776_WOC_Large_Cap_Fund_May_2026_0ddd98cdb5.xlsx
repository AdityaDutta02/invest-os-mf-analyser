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Open Knowledge Hub/Mutual Fund/Scheme Portfolio/Monthly/2026-27/May 2026/"/>
    </mc:Choice>
  </mc:AlternateContent>
  <xr:revisionPtr revIDLastSave="0" documentId="8_{1115AEAC-A59D-4059-9CAF-6090B8CF162D}" xr6:coauthVersionLast="47" xr6:coauthVersionMax="47" xr10:uidLastSave="{00000000-0000-0000-0000-000000000000}"/>
  <bookViews>
    <workbookView xWindow="-120" yWindow="-120" windowWidth="20730" windowHeight="11040" xr2:uid="{FA78E19C-4F7C-45B3-B9AD-8E46821109AA}"/>
  </bookViews>
  <sheets>
    <sheet name="WOLCF" sheetId="1" r:id="rId1"/>
  </sheets>
  <definedNames>
    <definedName name="_xlnm._FilterDatabase" localSheetId="0" hidden="1">WOLCF!$A$7:$I$208</definedName>
    <definedName name="JR_PAGE_ANCHOR_0_10">WOLCF!$A$1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5" i="1" l="1"/>
  <c r="G65" i="1"/>
</calcChain>
</file>

<file path=xl/sharedStrings.xml><?xml version="1.0" encoding="utf-8"?>
<sst xmlns="http://schemas.openxmlformats.org/spreadsheetml/2006/main" count="458" uniqueCount="353">
  <si>
    <t>WhiteOak Capital Large 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</si>
  <si>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</si>
  <si>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</si>
  <si>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</si>
  <si>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</si>
  <si>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</si>
  <si>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</si>
  <si>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</si>
  <si>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</si>
  <si>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</si>
  <si>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</si>
  <si>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</si>
  <si>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</si>
  <si>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</si>
  <si>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</si>
  <si>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</si>
  <si>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</si>
  <si>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</si>
  <si>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</si>
  <si>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</si>
  <si>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</si>
  <si>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</si>
  <si>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</si>
  <si>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</si>
  <si>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</si>
  <si>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</si>
  <si>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</si>
  <si>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</si>
  <si>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</si>
  <si>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</si>
  <si>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</si>
  <si>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</si>
  <si>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</si>
  <si>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</si>
  <si>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</si>
  <si>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</si>
  <si>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</si>
  <si>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</si>
  <si>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</si>
  <si>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</si>
  <si>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</si>
  <si>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</si>
  <si>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</si>
  <si>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</si>
  <si>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</si>
  <si>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</si>
  <si>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</si>
  <si>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</si>
  <si>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</si>
  <si>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</si>
  <si>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</si>
  <si>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</si>
  <si>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</si>
  <si>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</si>
  <si>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</si>
  <si>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</si>
  <si>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HINI02</t>
  </si>
  <si>
    <t>Hindalco Industries Limited</t>
  </si>
  <si>
    <t>INE038A01020</t>
  </si>
  <si>
    <t>Non - Ferrous Metals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</si>
  <si>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</si>
  <si>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</si>
  <si>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</si>
  <si>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</si>
  <si>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</si>
  <si>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</si>
  <si>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</si>
  <si>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</si>
  <si>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ONGC02</t>
  </si>
  <si>
    <t>Oil &amp; Natural Gas Corporation Limited</t>
  </si>
  <si>
    <t>INE213A01029</t>
  </si>
  <si>
    <t>Oil</t>
  </si>
  <si>
    <t>MUFL01</t>
  </si>
  <si>
    <t>Muthoot Finance Limited</t>
  </si>
  <si>
    <t>INE414G01012</t>
  </si>
  <si>
    <t>Finance</t>
  </si>
  <si>
    <t>KCUL02</t>
  </si>
  <si>
    <t>Cummins India Limited</t>
  </si>
  <si>
    <t>INE298A01020</t>
  </si>
  <si>
    <t>Industrial Products</t>
  </si>
  <si>
    <t>PFCL01</t>
  </si>
  <si>
    <t>Power Finance Corporation Limited</t>
  </si>
  <si>
    <t>INE134E01011</t>
  </si>
  <si>
    <t>PIDI02</t>
  </si>
  <si>
    <t>Pidilite Industries Limited</t>
  </si>
  <si>
    <t>INE318A01026</t>
  </si>
  <si>
    <t>Chemicals &amp; Petrochemicals</t>
  </si>
  <si>
    <t>BHAH02</t>
  </si>
  <si>
    <t>Bharat Heavy Electricals Limited</t>
  </si>
  <si>
    <t>INE257A01026</t>
  </si>
  <si>
    <t>Electrical Equipment</t>
  </si>
  <si>
    <t>CROM02</t>
  </si>
  <si>
    <t>CG Power and Industrial Solutions Limited</t>
  </si>
  <si>
    <t>INE067A01029</t>
  </si>
  <si>
    <t>BFSL02</t>
  </si>
  <si>
    <t>Bajaj Finserv Limited</t>
  </si>
  <si>
    <t>INE918I01026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</si>
  <si>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</si>
  <si>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</si>
  <si>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</si>
  <si>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</si>
  <si>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</si>
  <si>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</si>
  <si>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</si>
  <si>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</si>
  <si>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SOEL02</t>
  </si>
  <si>
    <t>Solar Industries India Limited</t>
  </si>
  <si>
    <t>INE343H01029</t>
  </si>
  <si>
    <t>UTIB02</t>
  </si>
  <si>
    <t>Axis Bank Limited</t>
  </si>
  <si>
    <t>INE238A01034</t>
  </si>
  <si>
    <t>ASPA02</t>
  </si>
  <si>
    <t>Asian Paints Limited</t>
  </si>
  <si>
    <t>INE021A01026</t>
  </si>
  <si>
    <t>TTEA02</t>
  </si>
  <si>
    <t>Tata Consumer Products Limited</t>
  </si>
  <si>
    <t>INE192A01025</t>
  </si>
  <si>
    <t>Agricultural Food &amp; other Products</t>
  </si>
  <si>
    <t>MAXI02</t>
  </si>
  <si>
    <t>Max Financial Services Limited</t>
  </si>
  <si>
    <t>INE180A01020</t>
  </si>
  <si>
    <t>Insurance</t>
  </si>
  <si>
    <t>TCAL01</t>
  </si>
  <si>
    <t>Tata Capital Limited</t>
  </si>
  <si>
    <t>INE976I01016</t>
  </si>
  <si>
    <t>BAFL03</t>
  </si>
  <si>
    <t>Bajaj Finance Limited</t>
  </si>
  <si>
    <t>INE296A01032</t>
  </si>
  <si>
    <t>LENS01</t>
  </si>
  <si>
    <t>Lenskart Solutions Limited</t>
  </si>
  <si>
    <t>INE956O01016</t>
  </si>
  <si>
    <t>BBGV02</t>
  </si>
  <si>
    <t>Billionbrains Garage Ventures Ltd</t>
  </si>
  <si>
    <t>INE0HOQ01053</t>
  </si>
  <si>
    <t>Capital Markets</t>
  </si>
  <si>
    <t>PRRC03</t>
  </si>
  <si>
    <t>Navin Fluorine International Limited</t>
  </si>
  <si>
    <t>INE048G01026</t>
  </si>
  <si>
    <t>AAHF01</t>
  </si>
  <si>
    <t>Aadhar Housing Finance Limited</t>
  </si>
  <si>
    <t>INE883F01010</t>
  </si>
  <si>
    <t>CHOL02</t>
  </si>
  <si>
    <t>Cholamandalam Investment and Finance Company Ltd</t>
  </si>
  <si>
    <t>INE121A01024</t>
  </si>
  <si>
    <t>NITL02</t>
  </si>
  <si>
    <t>Coforge Limited</t>
  </si>
  <si>
    <t>INE591G01025</t>
  </si>
  <si>
    <t>IT - Software</t>
  </si>
  <si>
    <t>VNBL03</t>
  </si>
  <si>
    <t>Varun Beverages Limited</t>
  </si>
  <si>
    <t>INE200M01039</t>
  </si>
  <si>
    <t>Beverages</t>
  </si>
  <si>
    <t>GUAM02</t>
  </si>
  <si>
    <t>Ambuja Cements Limited</t>
  </si>
  <si>
    <t>INE079A01024</t>
  </si>
  <si>
    <t>Cement &amp; Cement Products</t>
  </si>
  <si>
    <t>MAHE01</t>
  </si>
  <si>
    <t>Max Healthcare Institute Limited</t>
  </si>
  <si>
    <t>INE027H01010</t>
  </si>
  <si>
    <t>Healthcare Services</t>
  </si>
  <si>
    <t>IPAM01</t>
  </si>
  <si>
    <t>ICICI Prudential Asset Management Company Limited</t>
  </si>
  <si>
    <t>INE346A01027</t>
  </si>
  <si>
    <t>TBOT01</t>
  </si>
  <si>
    <t>TBO Tek Limited</t>
  </si>
  <si>
    <t>INE673O01025</t>
  </si>
  <si>
    <t>Leisure Services</t>
  </si>
  <si>
    <t>POME02</t>
  </si>
  <si>
    <t>Poly Medicure Limited</t>
  </si>
  <si>
    <t>INE205C01021</t>
  </si>
  <si>
    <t>Healthcare Equipment &amp; Supplies</t>
  </si>
  <si>
    <t>PSYL02</t>
  </si>
  <si>
    <t>Persistent Systems Limited</t>
  </si>
  <si>
    <t>INE262H01021</t>
  </si>
  <si>
    <t>EIML02</t>
  </si>
  <si>
    <t>Eicher Motors Limited</t>
  </si>
  <si>
    <t>INE066A01021</t>
  </si>
  <si>
    <t>VAML01</t>
  </si>
  <si>
    <t>Vedanta Aluminium Metal Limited **</t>
  </si>
  <si>
    <t>INE1CDF01017</t>
  </si>
  <si>
    <t>CIPL03</t>
  </si>
  <si>
    <t>Cipla Limited</t>
  </si>
  <si>
    <t>INE059A01026</t>
  </si>
  <si>
    <t>IEIN02</t>
  </si>
  <si>
    <t>Info Edge (India) Limited</t>
  </si>
  <si>
    <t>INE663F01032</t>
  </si>
  <si>
    <t>TCSL01</t>
  </si>
  <si>
    <t>Tata Consultancy Services Limited</t>
  </si>
  <si>
    <t>INE467B01029</t>
  </si>
  <si>
    <t>VEDA03</t>
  </si>
  <si>
    <t>Malco Energy Limited **</t>
  </si>
  <si>
    <t>INE704J01044</t>
  </si>
  <si>
    <t>TOPH02</t>
  </si>
  <si>
    <t>Torrent Pharmaceuticals Limited</t>
  </si>
  <si>
    <t>INE685A01028</t>
  </si>
  <si>
    <t>INFS02</t>
  </si>
  <si>
    <t>Infosys Limited</t>
  </si>
  <si>
    <t>INE009A01021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</si>
  <si>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</si>
  <si>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</si>
  <si>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</si>
  <si>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</si>
  <si>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</si>
  <si>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</si>
  <si>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LTIL01</t>
  </si>
  <si>
    <t>LTM Limited</t>
  </si>
  <si>
    <t>INE214T01019</t>
  </si>
  <si>
    <t>TEMA02</t>
  </si>
  <si>
    <t>Tech Mahindra Limited</t>
  </si>
  <si>
    <t>INE669C01036</t>
  </si>
  <si>
    <t>LAKM02</t>
  </si>
  <si>
    <t>Trent Limited</t>
  </si>
  <si>
    <t>INE849A01020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</si>
  <si>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</si>
  <si>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</si>
  <si>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</si>
  <si>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</si>
  <si>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</si>
  <si>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</si>
  <si>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</si>
  <si>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</si>
  <si>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</si>
  <si>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BAPR01</t>
  </si>
  <si>
    <t>Bagmane Prime Office REIT</t>
  </si>
  <si>
    <t>INE2OVN25015</t>
  </si>
  <si>
    <t>(c) Invits</t>
  </si>
  <si>
    <t>RIIT01</t>
  </si>
  <si>
    <t>Raajmarg Infra Investment Trust</t>
  </si>
  <si>
    <t>INE2PB023011</t>
  </si>
  <si>
    <t>Transport Infrastructure</t>
  </si>
  <si>
    <t>CITU01</t>
  </si>
  <si>
    <t>Citius Transnet Investment Trust</t>
  </si>
  <si>
    <t>INE2Q7823014</t>
  </si>
  <si>
    <t>NHIT01</t>
  </si>
  <si>
    <t>National Highways Infra Trust</t>
  </si>
  <si>
    <t>INE0H7R23014</t>
  </si>
  <si>
    <t>ANHI01</t>
  </si>
  <si>
    <t>Anantam Highways Trust</t>
  </si>
  <si>
    <t>INE1UA823019</t>
  </si>
  <si>
    <t>(d)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</si>
  <si>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</si>
  <si>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</si>
  <si>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</si>
  <si>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</si>
  <si>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</si>
  <si>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</si>
  <si>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</si>
  <si>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</si>
  <si>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TBIL2662</t>
  </si>
  <si>
    <t>182 Days Tbill (MD 06/08/2026)</t>
  </si>
  <si>
    <t>IN002025Y446</t>
  </si>
  <si>
    <t>TBIL2660</t>
  </si>
  <si>
    <t>91 Days Tbill (MD 20/08/2026)</t>
  </si>
  <si>
    <t>IN002026X073</t>
  </si>
  <si>
    <t>TBIL2601</t>
  </si>
  <si>
    <t>182 Days Tbill (MD 11/06/2026)</t>
  </si>
  <si>
    <t>IN002025Y370</t>
  </si>
  <si>
    <t>TBIL2606</t>
  </si>
  <si>
    <t>182 Days Tbill (MD 26/06/2026)</t>
  </si>
  <si>
    <t>IN002025Y396</t>
  </si>
  <si>
    <t>TBIL2653</t>
  </si>
  <si>
    <t>91 Days Tbill (MD 06/08/2026)</t>
  </si>
  <si>
    <t>IN002026X057</t>
  </si>
  <si>
    <t>TBIL2637</t>
  </si>
  <si>
    <t>91 Days Tbill (MD 11/06/2026)</t>
  </si>
  <si>
    <t>IN002025X497</t>
  </si>
  <si>
    <t>TBIL2598</t>
  </si>
  <si>
    <t>182 Days Tbill (MD 04/06/2026)</t>
  </si>
  <si>
    <t>IN002025Y362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</si>
  <si>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</si>
  <si>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</si>
  <si>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</si>
  <si>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</si>
  <si>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</si>
  <si>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</si>
  <si>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</si>
  <si>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</si>
  <si>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</si>
  <si>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</si>
  <si>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</si>
  <si>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</si>
  <si>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</si>
  <si>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</si>
  <si>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</si>
  <si>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</si>
  <si>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**  Thinly Traded / Non Traded Security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</si>
  <si>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</si>
  <si>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</si>
  <si>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</si>
  <si>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</si>
  <si>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</si>
  <si>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</si>
  <si>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</si>
  <si>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</si>
  <si>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</si>
  <si>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</si>
  <si>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</si>
  <si>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</si>
  <si>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</si>
  <si>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</si>
  <si>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 12456.98 Lakhs</t>
  </si>
  <si>
    <t>(7) Total investments in Foreign Securities / Overseas ETFs / ADRs / GDRs as on May 31,2026 is -Nil</t>
  </si>
  <si>
    <t>(8) Portfolio Turnover ratio is 2.03 Times</t>
  </si>
  <si>
    <t>(9) The scheme had no Repo transaction in Corporate Debt Securities during monthly period ended May 31,2026.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</si>
  <si>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</si>
  <si>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</si>
  <si>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</si>
  <si>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</si>
  <si>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</si>
  <si>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</si>
  <si>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</si>
  <si>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</si>
  <si>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</si>
  <si>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</si>
  <si>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</si>
  <si>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</si>
  <si>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</si>
  <si>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</si>
  <si>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</si>
  <si>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</si>
  <si>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</si>
  <si>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</si>
  <si>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Infosys Limited June 2026 Futures</t>
  </si>
  <si>
    <t>LTM Limited June 2026 Futures</t>
  </si>
  <si>
    <t>Coforge Limited June 2026 Futures</t>
  </si>
  <si>
    <t>Persistent Systems Limited June 2026 Futures</t>
  </si>
  <si>
    <t>Tata Consultancy Services Limited June 2026 Futures</t>
  </si>
  <si>
    <t>NIFTY June 2026 Futures</t>
  </si>
  <si>
    <t>Tech Mahindra Limited June 2026 Futures</t>
  </si>
  <si>
    <t>Bank Nifty Index June 2026 Futures</t>
  </si>
  <si>
    <t>Trent Limited June 2026 Futures</t>
  </si>
  <si>
    <t>Torrent Pharmaceuticals Limited June 2026 Futures</t>
  </si>
  <si>
    <t>Total exposure due to futures (non hedging positions) as a percentage of net assets: -10.64%</t>
  </si>
  <si>
    <t>For the period ended May 31, 2026, following details specified for non-hedging transactions through futures which have been squared off/ expired:</t>
  </si>
  <si>
    <t>Total number of contracts where futures were bought: 86</t>
  </si>
  <si>
    <t>Total number of contracts where futures were sold: 1480</t>
  </si>
  <si>
    <t>Gross notional value of contracts where futures were bought: Rs.  1036.815 Lakhs</t>
  </si>
  <si>
    <t>Gross notional value of contracts where futures were sold: Rs.  9853.589 Lakhs</t>
  </si>
  <si>
    <t>Net profit/ (loss) value on all contracts combined: Rs -261.598 Lakhs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</si>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</sst>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6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10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10" xfId="0" applyFont="1" applyBorder="1" applyAlignment="1">
      <alignment horizontal="left" vertical="center" wrapText="1"/>
    </xf>
    <xf numFmtId="3" fontId="3" fillId="0" borderId="10" xfId="0" applyNumberFormat="1" applyFont="1" applyBorder="1" applyAlignment="1">
      <alignment horizontal="right" vertical="top" wrapText="1"/>
    </xf>
    <xf numFmtId="164" fontId="3" fillId="0" borderId="10" xfId="0" applyNumberFormat="1" applyFont="1" applyBorder="1" applyAlignment="1">
      <alignment horizontal="righ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left" vertical="top" wrapText="1"/>
    </xf>
    <xf numFmtId="167" fontId="3" fillId="0" borderId="10" xfId="0" applyNumberFormat="1" applyFont="1" applyBorder="1" applyAlignment="1">
      <alignment horizontal="right" vertical="top" wrapText="1"/>
    </xf>
    <xf numFmtId="0" fontId="8" fillId="0" borderId="17" xfId="0" applyFont="1" applyBorder="1" applyAlignment="1">
      <alignment horizontal="left" wrapText="1"/>
    </xf>
    <xf numFmtId="0" fontId="8" fillId="0" borderId="0" xfId="1" applyFont="1" applyAlignment="1">
      <alignment horizontal="left" vertical="top"/>
    </xf>
    <xf numFmtId="0" fontId="8" fillId="2" borderId="0" xfId="1" applyFont="1" applyFill="1" applyAlignment="1">
      <alignment horizontal="left" vertical="top"/>
    </xf>
    <xf numFmtId="0" fontId="8" fillId="2" borderId="0" xfId="1" applyFont="1" applyFill="1" applyAlignment="1">
      <alignment vertical="top"/>
    </xf>
    <xf numFmtId="0" fontId="8" fillId="0" borderId="0" xfId="0" applyFont="1" applyAlignment="1">
      <alignment vertical="top"/>
    </xf>
    <xf numFmtId="0" fontId="8" fillId="2" borderId="0" xfId="0" applyFont="1" applyFill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9" fillId="0" borderId="18" xfId="0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8" fillId="0" borderId="20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7" xfId="0" applyFont="1" applyBorder="1" applyAlignment="1">
      <alignment horizontal="right" vertical="top"/>
    </xf>
    <xf numFmtId="0" fontId="8" fillId="0" borderId="17" xfId="0" applyFont="1" applyBorder="1" applyAlignment="1">
      <alignment horizontal="right" vertical="top" wrapText="1"/>
    </xf>
    <xf numFmtId="0" fontId="8" fillId="0" borderId="21" xfId="0" applyFont="1" applyBorder="1" applyAlignment="1">
      <alignment vertical="top"/>
    </xf>
    <xf numFmtId="0" fontId="8" fillId="0" borderId="25" xfId="0" applyFont="1" applyBorder="1" applyAlignment="1">
      <alignment vertical="top"/>
    </xf>
    <xf numFmtId="10" fontId="8" fillId="0" borderId="25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5" xfId="0" applyFont="1" applyBorder="1" applyAlignment="1">
      <alignment vertical="top"/>
    </xf>
    <xf numFmtId="169" fontId="8" fillId="0" borderId="17" xfId="0" applyNumberFormat="1" applyFont="1" applyBorder="1" applyAlignment="1">
      <alignment vertical="top"/>
    </xf>
    <xf numFmtId="170" fontId="12" fillId="0" borderId="0" xfId="0" applyNumberFormat="1" applyFont="1" applyAlignment="1">
      <alignment horizontal="center" vertical="top"/>
    </xf>
    <xf numFmtId="170" fontId="12" fillId="0" borderId="0" xfId="0" applyNumberFormat="1" applyFont="1" applyAlignment="1">
      <alignment vertical="top"/>
    </xf>
    <xf numFmtId="0" fontId="8" fillId="0" borderId="26" xfId="0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8" fillId="0" borderId="28" xfId="0" applyFont="1" applyBorder="1" applyAlignment="1">
      <alignment vertical="top"/>
    </xf>
    <xf numFmtId="0" fontId="8" fillId="0" borderId="17" xfId="0" applyFont="1" applyBorder="1" applyAlignment="1">
      <alignment horizontal="center" vertical="top"/>
    </xf>
    <xf numFmtId="0" fontId="8" fillId="0" borderId="22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3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FAA9B86E-3BAA-4628-8422-F0F742C11993}"/>
    <cellStyle name="Per cent 2" xfId="2" xr:uid="{C814F9F1-78A0-433A-93AA-4583670D17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161924</xdr:rowOff>
    </xdr:from>
    <xdr:ext cx="7581900" cy="1990725"/>
    <xdr:pic>
      <xdr:nvPicPr>
        <xdr:cNvPr id="2" name="Picture 2">
          <a:extLst>
            <a:ext uri="{FF2B5EF4-FFF2-40B4-BE49-F238E27FC236}">
              <a16:creationId xmlns:a16="http://schemas.microsoft.com/office/drawing/2014/main" id="{24272F97-D106-4E7D-A5AD-EBC40E139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523874"/>
          <a:ext cx="75819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1689-B854-41F3-B27E-D7BD2A945880}">
  <sheetPr codeName="Sheet10">
    <outlinePr summaryBelow="0"/>
  </sheetPr>
  <dimension ref="A1:I194"/>
  <sheetViews>
    <sheetView tabSelected="1" topLeftCell="H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</cols>
  <sheetData>
    <row r="1" spans="1:9" ht="15.95" customHeight="1">
      <c r="A1" s="1"/>
      <c r="B1" s="75" t="s">
        <v>0</v>
      </c>
      <c r="C1" s="75"/>
      <c r="D1" s="1"/>
      <c r="E1" s="1"/>
      <c r="F1" s="1"/>
      <c r="G1" s="1"/>
      <c r="H1" s="1"/>
      <c r="I1" s="1"/>
    </row>
    <row r="2" spans="1:9" ht="12.95" customHeight="1">
      <c r="A2" s="1"/>
      <c r="B2" s="82"/>
      <c r="C2" s="82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83" t="s">
        <v>2</v>
      </c>
      <c r="C3" s="83"/>
      <c r="D3" s="1"/>
      <c r="E3" s="1"/>
      <c r="F3" s="1"/>
      <c r="G3" s="1"/>
      <c r="H3" s="1"/>
      <c r="I3" s="1"/>
    </row>
    <row r="4" spans="1:9" ht="27.95" customHeight="1">
      <c r="A4" s="1"/>
      <c r="B4" s="84" t="s">
        <v>3</v>
      </c>
      <c r="C4" s="8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81" t="s">
        <v>10</v>
      </c>
      <c r="C5" s="81"/>
      <c r="D5" s="5"/>
      <c r="E5" s="5"/>
      <c r="F5" s="5"/>
      <c r="G5" s="5"/>
      <c r="H5" s="5"/>
      <c r="I5" s="6"/>
    </row>
    <row r="6" spans="1:9" ht="12.95" customHeight="1">
      <c r="A6" s="1"/>
      <c r="B6" s="81" t="s">
        <v>11</v>
      </c>
      <c r="C6" s="81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8" t="s">
        <v>13</v>
      </c>
      <c r="C7" s="9"/>
      <c r="D7" s="5" t="s">
        <v>14</v>
      </c>
      <c r="E7" s="5" t="s">
        <v>15</v>
      </c>
      <c r="F7" s="10">
        <v>899063</v>
      </c>
      <c r="G7" s="11">
        <v>11295.83</v>
      </c>
      <c r="H7" s="12">
        <v>9.6500000000000002E-2</v>
      </c>
      <c r="I7" s="13"/>
    </row>
    <row r="8" spans="1:9" ht="12.95" customHeight="1">
      <c r="A8" s="7" t="s">
        <v>16</v>
      </c>
      <c r="B8" s="8" t="s">
        <v>17</v>
      </c>
      <c r="C8" s="9"/>
      <c r="D8" s="5" t="s">
        <v>18</v>
      </c>
      <c r="E8" s="5" t="s">
        <v>15</v>
      </c>
      <c r="F8" s="10">
        <v>1443162</v>
      </c>
      <c r="G8" s="11">
        <v>10745.06</v>
      </c>
      <c r="H8" s="12">
        <v>9.1800000000000007E-2</v>
      </c>
      <c r="I8" s="13"/>
    </row>
    <row r="9" spans="1:9" ht="12.95" customHeight="1">
      <c r="A9" s="7" t="s">
        <v>19</v>
      </c>
      <c r="B9" s="8" t="s">
        <v>20</v>
      </c>
      <c r="C9" s="9"/>
      <c r="D9" s="5" t="s">
        <v>21</v>
      </c>
      <c r="E9" s="5" t="s">
        <v>22</v>
      </c>
      <c r="F9" s="10">
        <v>337035</v>
      </c>
      <c r="G9" s="11">
        <v>6164.37</v>
      </c>
      <c r="H9" s="12">
        <v>5.2699999999999997E-2</v>
      </c>
      <c r="I9" s="13"/>
    </row>
    <row r="10" spans="1:9" ht="12.95" customHeight="1">
      <c r="A10" s="7" t="s">
        <v>23</v>
      </c>
      <c r="B10" s="8" t="s">
        <v>24</v>
      </c>
      <c r="C10" s="9"/>
      <c r="D10" s="5" t="s">
        <v>25</v>
      </c>
      <c r="E10" s="5" t="s">
        <v>26</v>
      </c>
      <c r="F10" s="10">
        <v>348773</v>
      </c>
      <c r="G10" s="11">
        <v>4957.8100000000004</v>
      </c>
      <c r="H10" s="12">
        <v>4.24E-2</v>
      </c>
      <c r="I10" s="13"/>
    </row>
    <row r="11" spans="1:9" ht="12.95" customHeight="1">
      <c r="A11" s="7" t="s">
        <v>27</v>
      </c>
      <c r="B11" s="8" t="s">
        <v>28</v>
      </c>
      <c r="C11" s="9"/>
      <c r="D11" s="5" t="s">
        <v>29</v>
      </c>
      <c r="E11" s="5" t="s">
        <v>30</v>
      </c>
      <c r="F11" s="10">
        <v>133842</v>
      </c>
      <c r="G11" s="11">
        <v>4076.29</v>
      </c>
      <c r="H11" s="12">
        <v>3.4799999999999998E-2</v>
      </c>
      <c r="I11" s="13"/>
    </row>
    <row r="12" spans="1:9" ht="12.95" customHeight="1">
      <c r="A12" s="7" t="s">
        <v>31</v>
      </c>
      <c r="B12" s="8" t="s">
        <v>32</v>
      </c>
      <c r="C12" s="9"/>
      <c r="D12" s="5" t="s">
        <v>33</v>
      </c>
      <c r="E12" s="5" t="s">
        <v>15</v>
      </c>
      <c r="F12" s="10">
        <v>986860</v>
      </c>
      <c r="G12" s="11">
        <v>3791.52</v>
      </c>
      <c r="H12" s="12">
        <v>3.2399999999999998E-2</v>
      </c>
      <c r="I12" s="13"/>
    </row>
    <row r="13" spans="1:9" ht="12.95" customHeight="1">
      <c r="A13" s="7" t="s">
        <v>34</v>
      </c>
      <c r="B13" s="8" t="s">
        <v>35</v>
      </c>
      <c r="C13" s="9"/>
      <c r="D13" s="5" t="s">
        <v>36</v>
      </c>
      <c r="E13" s="5" t="s">
        <v>37</v>
      </c>
      <c r="F13" s="10">
        <v>277832</v>
      </c>
      <c r="G13" s="11">
        <v>3670.72</v>
      </c>
      <c r="H13" s="12">
        <v>3.1399999999999997E-2</v>
      </c>
      <c r="I13" s="13"/>
    </row>
    <row r="14" spans="1:9" ht="12.95" customHeight="1">
      <c r="A14" s="7" t="s">
        <v>38</v>
      </c>
      <c r="B14" s="8" t="s">
        <v>39</v>
      </c>
      <c r="C14" s="9"/>
      <c r="D14" s="5" t="s">
        <v>40</v>
      </c>
      <c r="E14" s="5" t="s">
        <v>41</v>
      </c>
      <c r="F14" s="10">
        <v>840503</v>
      </c>
      <c r="G14" s="11">
        <v>3452.37</v>
      </c>
      <c r="H14" s="12">
        <v>2.9499999999999998E-2</v>
      </c>
      <c r="I14" s="13"/>
    </row>
    <row r="15" spans="1:9" ht="12.95" customHeight="1">
      <c r="A15" s="7" t="s">
        <v>42</v>
      </c>
      <c r="B15" s="8" t="s">
        <v>43</v>
      </c>
      <c r="C15" s="9"/>
      <c r="D15" s="5" t="s">
        <v>44</v>
      </c>
      <c r="E15" s="5" t="s">
        <v>45</v>
      </c>
      <c r="F15" s="10">
        <v>1370868</v>
      </c>
      <c r="G15" s="11">
        <v>3435.12</v>
      </c>
      <c r="H15" s="12">
        <v>2.93E-2</v>
      </c>
      <c r="I15" s="13"/>
    </row>
    <row r="16" spans="1:9" ht="12.95" customHeight="1">
      <c r="A16" s="7" t="s">
        <v>46</v>
      </c>
      <c r="B16" s="8" t="s">
        <v>47</v>
      </c>
      <c r="C16" s="9"/>
      <c r="D16" s="5" t="s">
        <v>48</v>
      </c>
      <c r="E16" s="5" t="s">
        <v>30</v>
      </c>
      <c r="F16" s="10">
        <v>21987</v>
      </c>
      <c r="G16" s="11">
        <v>2886.23</v>
      </c>
      <c r="H16" s="12">
        <v>2.47E-2</v>
      </c>
      <c r="I16" s="13"/>
    </row>
    <row r="17" spans="1:9" ht="12.95" customHeight="1">
      <c r="A17" s="7" t="s">
        <v>49</v>
      </c>
      <c r="B17" s="8" t="s">
        <v>50</v>
      </c>
      <c r="C17" s="9"/>
      <c r="D17" s="5" t="s">
        <v>51</v>
      </c>
      <c r="E17" s="5" t="s">
        <v>52</v>
      </c>
      <c r="F17" s="10">
        <v>64366</v>
      </c>
      <c r="G17" s="11">
        <v>2622.85</v>
      </c>
      <c r="H17" s="12">
        <v>2.24E-2</v>
      </c>
      <c r="I17" s="13"/>
    </row>
    <row r="18" spans="1:9" ht="12.95" customHeight="1">
      <c r="A18" s="7" t="s">
        <v>53</v>
      </c>
      <c r="B18" s="8" t="s">
        <v>54</v>
      </c>
      <c r="C18" s="9"/>
      <c r="D18" s="5" t="s">
        <v>55</v>
      </c>
      <c r="E18" s="5" t="s">
        <v>15</v>
      </c>
      <c r="F18" s="10">
        <v>262684</v>
      </c>
      <c r="G18" s="11">
        <v>2533.3200000000002</v>
      </c>
      <c r="H18" s="12">
        <v>2.1600000000000001E-2</v>
      </c>
      <c r="I18" s="13"/>
    </row>
    <row r="19" spans="1:9" ht="12.95" customHeight="1">
      <c r="A19" s="7" t="s">
        <v>56</v>
      </c>
      <c r="B19" s="8" t="s">
        <v>57</v>
      </c>
      <c r="C19" s="9"/>
      <c r="D19" s="5" t="s">
        <v>58</v>
      </c>
      <c r="E19" s="5" t="s">
        <v>59</v>
      </c>
      <c r="F19" s="10">
        <v>215477</v>
      </c>
      <c r="G19" s="11">
        <v>2427.7800000000002</v>
      </c>
      <c r="H19" s="12">
        <v>2.07E-2</v>
      </c>
      <c r="I19" s="13"/>
    </row>
    <row r="20" spans="1:9" ht="12.95" customHeight="1">
      <c r="A20" s="7" t="s">
        <v>60</v>
      </c>
      <c r="B20" s="8" t="s">
        <v>61</v>
      </c>
      <c r="C20" s="9"/>
      <c r="D20" s="5" t="s">
        <v>62</v>
      </c>
      <c r="E20" s="5" t="s">
        <v>63</v>
      </c>
      <c r="F20" s="10">
        <v>45809</v>
      </c>
      <c r="G20" s="11">
        <v>1867.4</v>
      </c>
      <c r="H20" s="12">
        <v>1.6E-2</v>
      </c>
      <c r="I20" s="13"/>
    </row>
    <row r="21" spans="1:9" ht="12.95" customHeight="1">
      <c r="A21" s="7" t="s">
        <v>64</v>
      </c>
      <c r="B21" s="8" t="s">
        <v>65</v>
      </c>
      <c r="C21" s="9"/>
      <c r="D21" s="5" t="s">
        <v>66</v>
      </c>
      <c r="E21" s="5" t="s">
        <v>67</v>
      </c>
      <c r="F21" s="10">
        <v>101686</v>
      </c>
      <c r="G21" s="11">
        <v>1829.53</v>
      </c>
      <c r="H21" s="12">
        <v>1.5599999999999999E-2</v>
      </c>
      <c r="I21" s="13"/>
    </row>
    <row r="22" spans="1:9" ht="12.95" customHeight="1">
      <c r="A22" s="7" t="s">
        <v>68</v>
      </c>
      <c r="B22" s="8" t="s">
        <v>69</v>
      </c>
      <c r="C22" s="9"/>
      <c r="D22" s="5" t="s">
        <v>70</v>
      </c>
      <c r="E22" s="5" t="s">
        <v>71</v>
      </c>
      <c r="F22" s="10">
        <v>637533</v>
      </c>
      <c r="G22" s="11">
        <v>1692.01</v>
      </c>
      <c r="H22" s="12">
        <v>1.4500000000000001E-2</v>
      </c>
      <c r="I22" s="13"/>
    </row>
    <row r="23" spans="1:9" ht="12.95" customHeight="1">
      <c r="A23" s="7" t="s">
        <v>72</v>
      </c>
      <c r="B23" s="8" t="s">
        <v>73</v>
      </c>
      <c r="C23" s="9"/>
      <c r="D23" s="5" t="s">
        <v>74</v>
      </c>
      <c r="E23" s="5" t="s">
        <v>75</v>
      </c>
      <c r="F23" s="10">
        <v>48314</v>
      </c>
      <c r="G23" s="11">
        <v>1615.09</v>
      </c>
      <c r="H23" s="12">
        <v>1.38E-2</v>
      </c>
      <c r="I23" s="13"/>
    </row>
    <row r="24" spans="1:9" ht="12.95" customHeight="1">
      <c r="A24" s="7" t="s">
        <v>76</v>
      </c>
      <c r="B24" s="8" t="s">
        <v>77</v>
      </c>
      <c r="C24" s="9"/>
      <c r="D24" s="5" t="s">
        <v>78</v>
      </c>
      <c r="E24" s="5" t="s">
        <v>79</v>
      </c>
      <c r="F24" s="10">
        <v>27381</v>
      </c>
      <c r="G24" s="11">
        <v>1610.28</v>
      </c>
      <c r="H24" s="12">
        <v>1.38E-2</v>
      </c>
      <c r="I24" s="13"/>
    </row>
    <row r="25" spans="1:9" ht="12.95" customHeight="1">
      <c r="A25" s="7" t="s">
        <v>80</v>
      </c>
      <c r="B25" s="8" t="s">
        <v>81</v>
      </c>
      <c r="C25" s="9"/>
      <c r="D25" s="5" t="s">
        <v>82</v>
      </c>
      <c r="E25" s="5" t="s">
        <v>75</v>
      </c>
      <c r="F25" s="10">
        <v>333927</v>
      </c>
      <c r="G25" s="11">
        <v>1431.21</v>
      </c>
      <c r="H25" s="12">
        <v>1.2200000000000001E-2</v>
      </c>
      <c r="I25" s="13"/>
    </row>
    <row r="26" spans="1:9" ht="12.95" customHeight="1">
      <c r="A26" s="7" t="s">
        <v>83</v>
      </c>
      <c r="B26" s="8" t="s">
        <v>84</v>
      </c>
      <c r="C26" s="9"/>
      <c r="D26" s="5" t="s">
        <v>85</v>
      </c>
      <c r="E26" s="5" t="s">
        <v>86</v>
      </c>
      <c r="F26" s="10">
        <v>95782</v>
      </c>
      <c r="G26" s="11">
        <v>1420.26</v>
      </c>
      <c r="H26" s="12">
        <v>1.21E-2</v>
      </c>
      <c r="I26" s="13"/>
    </row>
    <row r="27" spans="1:9" ht="12.95" customHeight="1">
      <c r="A27" s="7" t="s">
        <v>87</v>
      </c>
      <c r="B27" s="8" t="s">
        <v>88</v>
      </c>
      <c r="C27" s="9"/>
      <c r="D27" s="5" t="s">
        <v>89</v>
      </c>
      <c r="E27" s="5" t="s">
        <v>90</v>
      </c>
      <c r="F27" s="10">
        <v>337874</v>
      </c>
      <c r="G27" s="11">
        <v>1408.09</v>
      </c>
      <c r="H27" s="12">
        <v>1.2E-2</v>
      </c>
      <c r="I27" s="13"/>
    </row>
    <row r="28" spans="1:9" ht="12.95" customHeight="1">
      <c r="A28" s="7" t="s">
        <v>91</v>
      </c>
      <c r="B28" s="8" t="s">
        <v>92</v>
      </c>
      <c r="C28" s="9"/>
      <c r="D28" s="5" t="s">
        <v>93</v>
      </c>
      <c r="E28" s="5" t="s">
        <v>90</v>
      </c>
      <c r="F28" s="10">
        <v>151398</v>
      </c>
      <c r="G28" s="11">
        <v>1389</v>
      </c>
      <c r="H28" s="12">
        <v>1.1900000000000001E-2</v>
      </c>
      <c r="I28" s="13"/>
    </row>
    <row r="29" spans="1:9" ht="12.95" customHeight="1">
      <c r="A29" s="7" t="s">
        <v>94</v>
      </c>
      <c r="B29" s="8" t="s">
        <v>95</v>
      </c>
      <c r="C29" s="9"/>
      <c r="D29" s="5" t="s">
        <v>96</v>
      </c>
      <c r="E29" s="5" t="s">
        <v>75</v>
      </c>
      <c r="F29" s="10">
        <v>76769</v>
      </c>
      <c r="G29" s="11">
        <v>1369.25</v>
      </c>
      <c r="H29" s="12">
        <v>1.17E-2</v>
      </c>
      <c r="I29" s="13"/>
    </row>
    <row r="30" spans="1:9" ht="12.95" customHeight="1">
      <c r="A30" s="7" t="s">
        <v>97</v>
      </c>
      <c r="B30" s="8" t="s">
        <v>98</v>
      </c>
      <c r="C30" s="9"/>
      <c r="D30" s="5" t="s">
        <v>99</v>
      </c>
      <c r="E30" s="5" t="s">
        <v>100</v>
      </c>
      <c r="F30" s="10">
        <v>352475</v>
      </c>
      <c r="G30" s="11">
        <v>1363.73</v>
      </c>
      <c r="H30" s="12">
        <v>1.1599999999999999E-2</v>
      </c>
      <c r="I30" s="13"/>
    </row>
    <row r="31" spans="1:9" ht="12.95" customHeight="1">
      <c r="A31" s="7" t="s">
        <v>101</v>
      </c>
      <c r="B31" s="8" t="s">
        <v>102</v>
      </c>
      <c r="C31" s="9"/>
      <c r="D31" s="5" t="s">
        <v>103</v>
      </c>
      <c r="E31" s="5" t="s">
        <v>104</v>
      </c>
      <c r="F31" s="10">
        <v>648895</v>
      </c>
      <c r="G31" s="11">
        <v>1349.83</v>
      </c>
      <c r="H31" s="12">
        <v>1.15E-2</v>
      </c>
      <c r="I31" s="13"/>
    </row>
    <row r="32" spans="1:9" ht="12.95" customHeight="1">
      <c r="A32" s="7" t="s">
        <v>105</v>
      </c>
      <c r="B32" s="8" t="s">
        <v>106</v>
      </c>
      <c r="C32" s="9"/>
      <c r="D32" s="5" t="s">
        <v>107</v>
      </c>
      <c r="E32" s="5" t="s">
        <v>86</v>
      </c>
      <c r="F32" s="10">
        <v>7154</v>
      </c>
      <c r="G32" s="11">
        <v>1305.3900000000001</v>
      </c>
      <c r="H32" s="12">
        <v>1.12E-2</v>
      </c>
      <c r="I32" s="13"/>
    </row>
    <row r="33" spans="1:9" ht="12.95" customHeight="1">
      <c r="A33" s="7" t="s">
        <v>108</v>
      </c>
      <c r="B33" s="8" t="s">
        <v>109</v>
      </c>
      <c r="C33" s="9"/>
      <c r="D33" s="5" t="s">
        <v>110</v>
      </c>
      <c r="E33" s="5" t="s">
        <v>15</v>
      </c>
      <c r="F33" s="10">
        <v>100957</v>
      </c>
      <c r="G33" s="11">
        <v>1298.9100000000001</v>
      </c>
      <c r="H33" s="12">
        <v>1.11E-2</v>
      </c>
      <c r="I33" s="13"/>
    </row>
    <row r="34" spans="1:9" ht="12.95" customHeight="1">
      <c r="A34" s="7" t="s">
        <v>111</v>
      </c>
      <c r="B34" s="8" t="s">
        <v>112</v>
      </c>
      <c r="C34" s="9"/>
      <c r="D34" s="5" t="s">
        <v>113</v>
      </c>
      <c r="E34" s="5" t="s">
        <v>52</v>
      </c>
      <c r="F34" s="10">
        <v>48345</v>
      </c>
      <c r="G34" s="11">
        <v>1291.5899999999999</v>
      </c>
      <c r="H34" s="12">
        <v>1.0999999999999999E-2</v>
      </c>
      <c r="I34" s="13"/>
    </row>
    <row r="35" spans="1:9" ht="12.95" customHeight="1">
      <c r="A35" s="7" t="s">
        <v>114</v>
      </c>
      <c r="B35" s="8" t="s">
        <v>115</v>
      </c>
      <c r="C35" s="9"/>
      <c r="D35" s="5" t="s">
        <v>116</v>
      </c>
      <c r="E35" s="5" t="s">
        <v>117</v>
      </c>
      <c r="F35" s="10">
        <v>94185</v>
      </c>
      <c r="G35" s="11">
        <v>1109.8800000000001</v>
      </c>
      <c r="H35" s="12">
        <v>9.4999999999999998E-3</v>
      </c>
      <c r="I35" s="13"/>
    </row>
    <row r="36" spans="1:9" ht="12.95" customHeight="1">
      <c r="A36" s="7" t="s">
        <v>118</v>
      </c>
      <c r="B36" s="8" t="s">
        <v>119</v>
      </c>
      <c r="C36" s="9"/>
      <c r="D36" s="5" t="s">
        <v>120</v>
      </c>
      <c r="E36" s="5" t="s">
        <v>121</v>
      </c>
      <c r="F36" s="10">
        <v>60135</v>
      </c>
      <c r="G36" s="11">
        <v>1006.66</v>
      </c>
      <c r="H36" s="12">
        <v>8.6E-3</v>
      </c>
      <c r="I36" s="13"/>
    </row>
    <row r="37" spans="1:9" ht="12.95" customHeight="1">
      <c r="A37" s="7" t="s">
        <v>122</v>
      </c>
      <c r="B37" s="8" t="s">
        <v>123</v>
      </c>
      <c r="C37" s="9"/>
      <c r="D37" s="5" t="s">
        <v>124</v>
      </c>
      <c r="E37" s="5" t="s">
        <v>75</v>
      </c>
      <c r="F37" s="10">
        <v>306728</v>
      </c>
      <c r="G37" s="11">
        <v>938.28</v>
      </c>
      <c r="H37" s="12">
        <v>8.0000000000000002E-3</v>
      </c>
      <c r="I37" s="13"/>
    </row>
    <row r="38" spans="1:9" ht="12.95" customHeight="1">
      <c r="A38" s="7" t="s">
        <v>125</v>
      </c>
      <c r="B38" s="8" t="s">
        <v>126</v>
      </c>
      <c r="C38" s="9"/>
      <c r="D38" s="5" t="s">
        <v>127</v>
      </c>
      <c r="E38" s="5" t="s">
        <v>75</v>
      </c>
      <c r="F38" s="10">
        <v>90667</v>
      </c>
      <c r="G38" s="11">
        <v>823.48</v>
      </c>
      <c r="H38" s="12">
        <v>7.0000000000000001E-3</v>
      </c>
      <c r="I38" s="13"/>
    </row>
    <row r="39" spans="1:9" ht="12.95" customHeight="1">
      <c r="A39" s="7" t="s">
        <v>128</v>
      </c>
      <c r="B39" s="8" t="s">
        <v>129</v>
      </c>
      <c r="C39" s="9"/>
      <c r="D39" s="5" t="s">
        <v>130</v>
      </c>
      <c r="E39" s="5" t="s">
        <v>45</v>
      </c>
      <c r="F39" s="10">
        <v>150488</v>
      </c>
      <c r="G39" s="11">
        <v>788.33</v>
      </c>
      <c r="H39" s="12">
        <v>6.7000000000000002E-3</v>
      </c>
      <c r="I39" s="13"/>
    </row>
    <row r="40" spans="1:9" ht="12.95" customHeight="1">
      <c r="A40" s="7" t="s">
        <v>131</v>
      </c>
      <c r="B40" s="8" t="s">
        <v>132</v>
      </c>
      <c r="C40" s="9"/>
      <c r="D40" s="5" t="s">
        <v>133</v>
      </c>
      <c r="E40" s="5" t="s">
        <v>134</v>
      </c>
      <c r="F40" s="10">
        <v>421790</v>
      </c>
      <c r="G40" s="11">
        <v>779.85</v>
      </c>
      <c r="H40" s="12">
        <v>6.7000000000000002E-3</v>
      </c>
      <c r="I40" s="13"/>
    </row>
    <row r="41" spans="1:9" ht="12.95" customHeight="1">
      <c r="A41" s="7" t="s">
        <v>135</v>
      </c>
      <c r="B41" s="8" t="s">
        <v>136</v>
      </c>
      <c r="C41" s="9"/>
      <c r="D41" s="5" t="s">
        <v>137</v>
      </c>
      <c r="E41" s="5" t="s">
        <v>86</v>
      </c>
      <c r="F41" s="10">
        <v>10363</v>
      </c>
      <c r="G41" s="11">
        <v>738.78</v>
      </c>
      <c r="H41" s="12">
        <v>6.3E-3</v>
      </c>
      <c r="I41" s="13"/>
    </row>
    <row r="42" spans="1:9" ht="12.95" customHeight="1">
      <c r="A42" s="7" t="s">
        <v>138</v>
      </c>
      <c r="B42" s="8" t="s">
        <v>139</v>
      </c>
      <c r="C42" s="9"/>
      <c r="D42" s="5" t="s">
        <v>140</v>
      </c>
      <c r="E42" s="5" t="s">
        <v>75</v>
      </c>
      <c r="F42" s="10">
        <v>141725</v>
      </c>
      <c r="G42" s="11">
        <v>676.31</v>
      </c>
      <c r="H42" s="12">
        <v>5.7999999999999996E-3</v>
      </c>
      <c r="I42" s="13"/>
    </row>
    <row r="43" spans="1:9" ht="12.95" customHeight="1">
      <c r="A43" s="7" t="s">
        <v>141</v>
      </c>
      <c r="B43" s="8" t="s">
        <v>142</v>
      </c>
      <c r="C43" s="9"/>
      <c r="D43" s="5" t="s">
        <v>143</v>
      </c>
      <c r="E43" s="5" t="s">
        <v>75</v>
      </c>
      <c r="F43" s="10">
        <v>41698</v>
      </c>
      <c r="G43" s="11">
        <v>641.19000000000005</v>
      </c>
      <c r="H43" s="12">
        <v>5.4999999999999997E-3</v>
      </c>
      <c r="I43" s="13"/>
    </row>
    <row r="44" spans="1:9" ht="12.95" customHeight="1">
      <c r="A44" s="7" t="s">
        <v>144</v>
      </c>
      <c r="B44" s="8" t="s">
        <v>145</v>
      </c>
      <c r="C44" s="9"/>
      <c r="D44" s="5" t="s">
        <v>146</v>
      </c>
      <c r="E44" s="5" t="s">
        <v>147</v>
      </c>
      <c r="F44" s="10">
        <v>45089</v>
      </c>
      <c r="G44" s="11">
        <v>641.08000000000004</v>
      </c>
      <c r="H44" s="12">
        <v>5.4999999999999997E-3</v>
      </c>
      <c r="I44" s="13"/>
    </row>
    <row r="45" spans="1:9" ht="12.95" customHeight="1">
      <c r="A45" s="7" t="s">
        <v>148</v>
      </c>
      <c r="B45" s="8" t="s">
        <v>149</v>
      </c>
      <c r="C45" s="9"/>
      <c r="D45" s="5" t="s">
        <v>150</v>
      </c>
      <c r="E45" s="5" t="s">
        <v>151</v>
      </c>
      <c r="F45" s="10">
        <v>114750</v>
      </c>
      <c r="G45" s="11">
        <v>605.88</v>
      </c>
      <c r="H45" s="12">
        <v>5.1999999999999998E-3</v>
      </c>
      <c r="I45" s="13"/>
    </row>
    <row r="46" spans="1:9" ht="12.95" customHeight="1">
      <c r="A46" s="7" t="s">
        <v>152</v>
      </c>
      <c r="B46" s="8" t="s">
        <v>153</v>
      </c>
      <c r="C46" s="9"/>
      <c r="D46" s="5" t="s">
        <v>154</v>
      </c>
      <c r="E46" s="5" t="s">
        <v>155</v>
      </c>
      <c r="F46" s="10">
        <v>134881</v>
      </c>
      <c r="G46" s="11">
        <v>604.05999999999995</v>
      </c>
      <c r="H46" s="12">
        <v>5.1999999999999998E-3</v>
      </c>
      <c r="I46" s="13"/>
    </row>
    <row r="47" spans="1:9" ht="12.95" customHeight="1">
      <c r="A47" s="7" t="s">
        <v>156</v>
      </c>
      <c r="B47" s="8" t="s">
        <v>157</v>
      </c>
      <c r="C47" s="9"/>
      <c r="D47" s="5" t="s">
        <v>158</v>
      </c>
      <c r="E47" s="5" t="s">
        <v>159</v>
      </c>
      <c r="F47" s="10">
        <v>55033</v>
      </c>
      <c r="G47" s="11">
        <v>531.12</v>
      </c>
      <c r="H47" s="12">
        <v>4.4999999999999997E-3</v>
      </c>
      <c r="I47" s="13"/>
    </row>
    <row r="48" spans="1:9" ht="12.95" customHeight="1">
      <c r="A48" s="7" t="s">
        <v>160</v>
      </c>
      <c r="B48" s="8" t="s">
        <v>161</v>
      </c>
      <c r="C48" s="9"/>
      <c r="D48" s="5" t="s">
        <v>162</v>
      </c>
      <c r="E48" s="5" t="s">
        <v>134</v>
      </c>
      <c r="F48" s="10">
        <v>12355</v>
      </c>
      <c r="G48" s="11">
        <v>437.18</v>
      </c>
      <c r="H48" s="12">
        <v>3.7000000000000002E-3</v>
      </c>
      <c r="I48" s="13"/>
    </row>
    <row r="49" spans="1:9" ht="12.95" customHeight="1">
      <c r="A49" s="7" t="s">
        <v>163</v>
      </c>
      <c r="B49" s="8" t="s">
        <v>164</v>
      </c>
      <c r="C49" s="9"/>
      <c r="D49" s="5" t="s">
        <v>165</v>
      </c>
      <c r="E49" s="5" t="s">
        <v>166</v>
      </c>
      <c r="F49" s="10">
        <v>31759</v>
      </c>
      <c r="G49" s="11">
        <v>390.45</v>
      </c>
      <c r="H49" s="12">
        <v>3.3E-3</v>
      </c>
      <c r="I49" s="13"/>
    </row>
    <row r="50" spans="1:9" ht="12.95" customHeight="1">
      <c r="A50" s="7" t="s">
        <v>167</v>
      </c>
      <c r="B50" s="8" t="s">
        <v>168</v>
      </c>
      <c r="C50" s="9"/>
      <c r="D50" s="5" t="s">
        <v>169</v>
      </c>
      <c r="E50" s="5" t="s">
        <v>170</v>
      </c>
      <c r="F50" s="10">
        <v>28390</v>
      </c>
      <c r="G50" s="11">
        <v>383.18</v>
      </c>
      <c r="H50" s="12">
        <v>3.3E-3</v>
      </c>
      <c r="I50" s="13"/>
    </row>
    <row r="51" spans="1:9" ht="12.95" customHeight="1">
      <c r="A51" s="7" t="s">
        <v>171</v>
      </c>
      <c r="B51" s="8" t="s">
        <v>172</v>
      </c>
      <c r="C51" s="9"/>
      <c r="D51" s="5" t="s">
        <v>173</v>
      </c>
      <c r="E51" s="5" t="s">
        <v>147</v>
      </c>
      <c r="F51" s="10">
        <v>7241</v>
      </c>
      <c r="G51" s="11">
        <v>376.12</v>
      </c>
      <c r="H51" s="12">
        <v>3.2000000000000002E-3</v>
      </c>
      <c r="I51" s="13"/>
    </row>
    <row r="52" spans="1:9" ht="12.95" customHeight="1">
      <c r="A52" s="7" t="s">
        <v>174</v>
      </c>
      <c r="B52" s="8" t="s">
        <v>175</v>
      </c>
      <c r="C52" s="9"/>
      <c r="D52" s="5" t="s">
        <v>176</v>
      </c>
      <c r="E52" s="5" t="s">
        <v>30</v>
      </c>
      <c r="F52" s="10">
        <v>5114</v>
      </c>
      <c r="G52" s="11">
        <v>367.03</v>
      </c>
      <c r="H52" s="12">
        <v>3.0999999999999999E-3</v>
      </c>
      <c r="I52" s="13"/>
    </row>
    <row r="53" spans="1:9" ht="12.95" customHeight="1">
      <c r="A53" s="7" t="s">
        <v>177</v>
      </c>
      <c r="B53" s="8" t="s">
        <v>178</v>
      </c>
      <c r="C53" s="9"/>
      <c r="D53" s="5" t="s">
        <v>179</v>
      </c>
      <c r="E53" s="5" t="s">
        <v>59</v>
      </c>
      <c r="F53" s="10">
        <v>90614</v>
      </c>
      <c r="G53" s="11">
        <v>359.23</v>
      </c>
      <c r="H53" s="12">
        <v>3.0999999999999999E-3</v>
      </c>
      <c r="I53" s="13"/>
    </row>
    <row r="54" spans="1:9" ht="12.95" customHeight="1">
      <c r="A54" s="7" t="s">
        <v>180</v>
      </c>
      <c r="B54" s="8" t="s">
        <v>181</v>
      </c>
      <c r="C54" s="9"/>
      <c r="D54" s="5" t="s">
        <v>182</v>
      </c>
      <c r="E54" s="5" t="s">
        <v>67</v>
      </c>
      <c r="F54" s="10">
        <v>24772</v>
      </c>
      <c r="G54" s="11">
        <v>347.06</v>
      </c>
      <c r="H54" s="12">
        <v>3.0000000000000001E-3</v>
      </c>
      <c r="I54" s="13"/>
    </row>
    <row r="55" spans="1:9" ht="12.95" customHeight="1">
      <c r="A55" s="7" t="s">
        <v>183</v>
      </c>
      <c r="B55" s="8" t="s">
        <v>184</v>
      </c>
      <c r="C55" s="9"/>
      <c r="D55" s="5" t="s">
        <v>185</v>
      </c>
      <c r="E55" s="5" t="s">
        <v>45</v>
      </c>
      <c r="F55" s="10">
        <v>24775</v>
      </c>
      <c r="G55" s="11">
        <v>246.51</v>
      </c>
      <c r="H55" s="12">
        <v>2.0999999999999999E-3</v>
      </c>
      <c r="I55" s="13"/>
    </row>
    <row r="56" spans="1:9" ht="12.95" customHeight="1">
      <c r="A56" s="7" t="s">
        <v>186</v>
      </c>
      <c r="B56" s="8" t="s">
        <v>187</v>
      </c>
      <c r="C56" s="9"/>
      <c r="D56" s="5" t="s">
        <v>188</v>
      </c>
      <c r="E56" s="5" t="s">
        <v>147</v>
      </c>
      <c r="F56" s="10">
        <v>4966</v>
      </c>
      <c r="G56" s="11">
        <v>112.18</v>
      </c>
      <c r="H56" s="12">
        <v>1E-3</v>
      </c>
      <c r="I56" s="13"/>
    </row>
    <row r="57" spans="1:9" ht="12.95" customHeight="1">
      <c r="A57" s="7" t="s">
        <v>189</v>
      </c>
      <c r="B57" s="8" t="s">
        <v>190</v>
      </c>
      <c r="C57" s="9"/>
      <c r="D57" s="5" t="s">
        <v>191</v>
      </c>
      <c r="E57" s="5" t="s">
        <v>71</v>
      </c>
      <c r="F57" s="10">
        <v>90614</v>
      </c>
      <c r="G57" s="11">
        <v>57.77</v>
      </c>
      <c r="H57" s="12">
        <v>5.0000000000000001E-4</v>
      </c>
      <c r="I57" s="13"/>
    </row>
    <row r="58" spans="1:9" ht="12.95" customHeight="1">
      <c r="A58" s="7" t="s">
        <v>192</v>
      </c>
      <c r="B58" s="8" t="s">
        <v>193</v>
      </c>
      <c r="C58" s="9"/>
      <c r="D58" s="5" t="s">
        <v>194</v>
      </c>
      <c r="E58" s="5" t="s">
        <v>67</v>
      </c>
      <c r="F58" s="10">
        <v>670</v>
      </c>
      <c r="G58" s="11">
        <v>29.55</v>
      </c>
      <c r="H58" s="12">
        <v>2.9999999999999997E-4</v>
      </c>
      <c r="I58" s="13"/>
    </row>
    <row r="59" spans="1:9" ht="12.95" customHeight="1">
      <c r="A59" s="7" t="s">
        <v>195</v>
      </c>
      <c r="B59" s="8" t="s">
        <v>196</v>
      </c>
      <c r="C59" s="9"/>
      <c r="D59" s="5" t="s">
        <v>197</v>
      </c>
      <c r="E59" s="5" t="s">
        <v>147</v>
      </c>
      <c r="F59" s="10">
        <v>1521</v>
      </c>
      <c r="G59" s="11">
        <v>17.66</v>
      </c>
      <c r="H59" s="12">
        <v>2.0000000000000001E-4</v>
      </c>
      <c r="I59" s="13"/>
    </row>
    <row r="60" spans="1:9" ht="12.95" customHeight="1">
      <c r="A60" s="7" t="s">
        <v>198</v>
      </c>
      <c r="B60" s="8" t="s">
        <v>199</v>
      </c>
      <c r="C60" s="9"/>
      <c r="D60" s="5" t="s">
        <v>200</v>
      </c>
      <c r="E60" s="5" t="s">
        <v>100</v>
      </c>
      <c r="F60" s="10">
        <v>90614</v>
      </c>
      <c r="G60" s="11">
        <v>11.73</v>
      </c>
      <c r="H60" s="12">
        <v>1E-4</v>
      </c>
      <c r="I60" s="13"/>
    </row>
    <row r="61" spans="1:9" ht="12.95" customHeight="1">
      <c r="A61" s="7" t="s">
        <v>201</v>
      </c>
      <c r="B61" s="8" t="s">
        <v>202</v>
      </c>
      <c r="C61" s="9"/>
      <c r="D61" s="5" t="s">
        <v>203</v>
      </c>
      <c r="E61" s="5" t="s">
        <v>104</v>
      </c>
      <c r="F61" s="10">
        <v>90614</v>
      </c>
      <c r="G61" s="11">
        <v>9.93</v>
      </c>
      <c r="H61" s="12">
        <v>1E-4</v>
      </c>
      <c r="I61" s="13"/>
    </row>
    <row r="62" spans="1:9" ht="12.95" customHeight="1">
      <c r="A62" s="7" t="s">
        <v>204</v>
      </c>
      <c r="B62" s="8" t="s">
        <v>205</v>
      </c>
      <c r="C62" s="9"/>
      <c r="D62" s="5" t="s">
        <v>206</v>
      </c>
      <c r="E62" s="5" t="s">
        <v>147</v>
      </c>
      <c r="F62" s="10">
        <v>166</v>
      </c>
      <c r="G62" s="11">
        <v>6.74</v>
      </c>
      <c r="H62" s="12">
        <v>1E-4</v>
      </c>
      <c r="I62" s="13"/>
    </row>
    <row r="63" spans="1:9" ht="12.95" customHeight="1">
      <c r="A63" s="7" t="s">
        <v>207</v>
      </c>
      <c r="B63" s="8" t="s">
        <v>208</v>
      </c>
      <c r="C63" s="9"/>
      <c r="D63" s="5" t="s">
        <v>209</v>
      </c>
      <c r="E63" s="5" t="s">
        <v>147</v>
      </c>
      <c r="F63" s="10">
        <v>319</v>
      </c>
      <c r="G63" s="11">
        <v>4.7300000000000004</v>
      </c>
      <c r="H63" s="12">
        <v>0</v>
      </c>
      <c r="I63" s="13"/>
    </row>
    <row r="64" spans="1:9" ht="12.95" customHeight="1">
      <c r="A64" s="7" t="s">
        <v>210</v>
      </c>
      <c r="B64" s="14" t="s">
        <v>211</v>
      </c>
      <c r="C64" s="15"/>
      <c r="D64" s="5" t="s">
        <v>212</v>
      </c>
      <c r="E64" s="5" t="s">
        <v>45</v>
      </c>
      <c r="F64" s="10">
        <v>35</v>
      </c>
      <c r="G64" s="11">
        <v>1.48</v>
      </c>
      <c r="H64" s="12">
        <v>0</v>
      </c>
      <c r="I64" s="13"/>
    </row>
    <row r="65" spans="1:9" ht="12.95" customHeight="1">
      <c r="A65" s="1"/>
      <c r="B65" s="76" t="s">
        <v>213</v>
      </c>
      <c r="C65" s="76"/>
      <c r="D65" s="16"/>
      <c r="E65" s="16"/>
      <c r="F65" s="16"/>
      <c r="G65" s="17">
        <f>SUM(G7:G64)</f>
        <v>97344.26999999996</v>
      </c>
      <c r="H65" s="18">
        <f>SUM(H7:H64)</f>
        <v>0.83179999999999965</v>
      </c>
      <c r="I65" s="19"/>
    </row>
    <row r="66" spans="1:9" ht="12.95" customHeight="1">
      <c r="A66" s="1"/>
      <c r="B66" s="81" t="s">
        <v>214</v>
      </c>
      <c r="C66" s="81"/>
      <c r="D66" s="5"/>
      <c r="E66" s="5"/>
      <c r="F66" s="5"/>
      <c r="G66" s="1"/>
      <c r="H66" s="6"/>
      <c r="I66" s="6"/>
    </row>
    <row r="67" spans="1:9" ht="12.95" customHeight="1">
      <c r="A67" s="7" t="s">
        <v>215</v>
      </c>
      <c r="B67" s="80" t="s">
        <v>216</v>
      </c>
      <c r="C67" s="80"/>
      <c r="D67" s="5" t="s">
        <v>217</v>
      </c>
      <c r="E67" s="5" t="s">
        <v>218</v>
      </c>
      <c r="F67" s="10">
        <v>931294</v>
      </c>
      <c r="G67" s="11">
        <v>1445.37</v>
      </c>
      <c r="H67" s="12">
        <v>1.23E-2</v>
      </c>
      <c r="I67" s="13"/>
    </row>
    <row r="68" spans="1:9" ht="12.95" customHeight="1">
      <c r="A68" s="7" t="s">
        <v>219</v>
      </c>
      <c r="B68" s="80" t="s">
        <v>220</v>
      </c>
      <c r="C68" s="80"/>
      <c r="D68" s="5" t="s">
        <v>221</v>
      </c>
      <c r="E68" s="5" t="s">
        <v>218</v>
      </c>
      <c r="F68" s="10">
        <v>309932</v>
      </c>
      <c r="G68" s="11">
        <v>1323.94</v>
      </c>
      <c r="H68" s="12">
        <v>1.1299999999999999E-2</v>
      </c>
      <c r="I68" s="13"/>
    </row>
    <row r="69" spans="1:9" ht="12.95" customHeight="1">
      <c r="A69" s="7" t="s">
        <v>222</v>
      </c>
      <c r="B69" s="80" t="s">
        <v>223</v>
      </c>
      <c r="C69" s="80"/>
      <c r="D69" s="5" t="s">
        <v>224</v>
      </c>
      <c r="E69" s="5" t="s">
        <v>218</v>
      </c>
      <c r="F69" s="10">
        <v>800100</v>
      </c>
      <c r="G69" s="11">
        <v>827.22</v>
      </c>
      <c r="H69" s="12">
        <v>7.1000000000000004E-3</v>
      </c>
      <c r="I69" s="13"/>
    </row>
    <row r="70" spans="1:9" ht="12.95" customHeight="1">
      <c r="A70" s="1"/>
      <c r="B70" s="76" t="s">
        <v>213</v>
      </c>
      <c r="C70" s="76"/>
      <c r="D70" s="16"/>
      <c r="E70" s="16"/>
      <c r="F70" s="16"/>
      <c r="G70" s="17">
        <v>3596.53</v>
      </c>
      <c r="H70" s="18">
        <v>3.0700000000000002E-2</v>
      </c>
      <c r="I70" s="19"/>
    </row>
    <row r="71" spans="1:9" ht="12.95" customHeight="1">
      <c r="A71" s="1"/>
      <c r="B71" s="81" t="s">
        <v>225</v>
      </c>
      <c r="C71" s="81"/>
      <c r="D71" s="5"/>
      <c r="E71" s="5"/>
      <c r="F71" s="5"/>
      <c r="G71" s="1"/>
      <c r="H71" s="6"/>
      <c r="I71" s="6"/>
    </row>
    <row r="72" spans="1:9" ht="12.95" customHeight="1">
      <c r="A72" s="7" t="s">
        <v>226</v>
      </c>
      <c r="B72" s="80" t="s">
        <v>227</v>
      </c>
      <c r="C72" s="80"/>
      <c r="D72" s="5" t="s">
        <v>228</v>
      </c>
      <c r="E72" s="5" t="s">
        <v>229</v>
      </c>
      <c r="F72" s="10">
        <v>1300000</v>
      </c>
      <c r="G72" s="11">
        <v>1442.74</v>
      </c>
      <c r="H72" s="12">
        <v>1.23E-2</v>
      </c>
      <c r="I72" s="13"/>
    </row>
    <row r="73" spans="1:9" ht="12.95" customHeight="1">
      <c r="A73" s="7" t="s">
        <v>230</v>
      </c>
      <c r="B73" s="80" t="s">
        <v>231</v>
      </c>
      <c r="C73" s="80"/>
      <c r="D73" s="5" t="s">
        <v>232</v>
      </c>
      <c r="E73" s="5" t="s">
        <v>229</v>
      </c>
      <c r="F73" s="10">
        <v>825609</v>
      </c>
      <c r="G73" s="11">
        <v>875.72</v>
      </c>
      <c r="H73" s="12">
        <v>7.4999999999999997E-3</v>
      </c>
      <c r="I73" s="13"/>
    </row>
    <row r="74" spans="1:9" ht="12.95" customHeight="1">
      <c r="A74" s="7" t="s">
        <v>233</v>
      </c>
      <c r="B74" s="80" t="s">
        <v>234</v>
      </c>
      <c r="C74" s="80"/>
      <c r="D74" s="5" t="s">
        <v>235</v>
      </c>
      <c r="E74" s="5" t="s">
        <v>229</v>
      </c>
      <c r="F74" s="10">
        <v>225000</v>
      </c>
      <c r="G74" s="11">
        <v>378</v>
      </c>
      <c r="H74" s="12">
        <v>3.2000000000000002E-3</v>
      </c>
      <c r="I74" s="13"/>
    </row>
    <row r="75" spans="1:9" ht="12.95" customHeight="1">
      <c r="A75" s="7" t="s">
        <v>236</v>
      </c>
      <c r="B75" s="80" t="s">
        <v>237</v>
      </c>
      <c r="C75" s="80"/>
      <c r="D75" s="5" t="s">
        <v>238</v>
      </c>
      <c r="E75" s="5" t="s">
        <v>63</v>
      </c>
      <c r="F75" s="10">
        <v>217569</v>
      </c>
      <c r="G75" s="11">
        <v>228.21</v>
      </c>
      <c r="H75" s="12">
        <v>1.9E-3</v>
      </c>
      <c r="I75" s="13"/>
    </row>
    <row r="76" spans="1:9" ht="12.95" customHeight="1">
      <c r="A76" s="1"/>
      <c r="B76" s="76" t="s">
        <v>213</v>
      </c>
      <c r="C76" s="76"/>
      <c r="D76" s="16"/>
      <c r="E76" s="16"/>
      <c r="F76" s="16"/>
      <c r="G76" s="17">
        <v>2924.67</v>
      </c>
      <c r="H76" s="18">
        <v>2.4899999999999999E-2</v>
      </c>
      <c r="I76" s="19"/>
    </row>
    <row r="77" spans="1:9" ht="12.95" customHeight="1">
      <c r="A77" s="1"/>
      <c r="B77" s="76" t="s">
        <v>239</v>
      </c>
      <c r="C77" s="76"/>
      <c r="D77" s="16"/>
      <c r="E77" s="16"/>
      <c r="F77" s="16"/>
      <c r="G77" s="19" t="s">
        <v>240</v>
      </c>
      <c r="H77" s="19" t="s">
        <v>240</v>
      </c>
      <c r="I77" s="19"/>
    </row>
    <row r="78" spans="1:9" ht="12.95" customHeight="1">
      <c r="A78" s="1"/>
      <c r="B78" s="76" t="s">
        <v>213</v>
      </c>
      <c r="C78" s="76"/>
      <c r="D78" s="16"/>
      <c r="E78" s="16"/>
      <c r="F78" s="16"/>
      <c r="G78" s="19" t="s">
        <v>240</v>
      </c>
      <c r="H78" s="19" t="s">
        <v>240</v>
      </c>
      <c r="I78" s="19"/>
    </row>
    <row r="79" spans="1:9" ht="12.95" customHeight="1">
      <c r="A79" s="1"/>
      <c r="B79" s="76" t="s">
        <v>241</v>
      </c>
      <c r="C79" s="76"/>
      <c r="D79" s="20"/>
      <c r="E79" s="16"/>
      <c r="F79" s="20"/>
      <c r="G79" s="17">
        <v>103865.47</v>
      </c>
      <c r="H79" s="18">
        <v>0.88739999999999997</v>
      </c>
      <c r="I79" s="19"/>
    </row>
    <row r="80" spans="1:9" ht="12.95" customHeight="1">
      <c r="A80" s="1"/>
      <c r="B80" s="81" t="s">
        <v>242</v>
      </c>
      <c r="C80" s="81"/>
      <c r="D80" s="5"/>
      <c r="E80" s="5"/>
      <c r="F80" s="5"/>
      <c r="G80" s="5"/>
      <c r="H80" s="5"/>
      <c r="I80" s="6"/>
    </row>
    <row r="81" spans="1:9" ht="12.95" customHeight="1">
      <c r="A81" s="1"/>
      <c r="B81" s="81" t="s">
        <v>243</v>
      </c>
      <c r="C81" s="81"/>
      <c r="D81" s="5"/>
      <c r="E81" s="5"/>
      <c r="F81" s="5"/>
      <c r="G81" s="1"/>
      <c r="H81" s="6"/>
      <c r="I81" s="6"/>
    </row>
    <row r="82" spans="1:9" ht="12.95" customHeight="1">
      <c r="A82" s="7" t="s">
        <v>244</v>
      </c>
      <c r="B82" s="80" t="s">
        <v>245</v>
      </c>
      <c r="C82" s="80"/>
      <c r="D82" s="5" t="s">
        <v>246</v>
      </c>
      <c r="E82" s="5" t="s">
        <v>247</v>
      </c>
      <c r="F82" s="10">
        <v>1700000</v>
      </c>
      <c r="G82" s="11">
        <v>1695.88</v>
      </c>
      <c r="H82" s="12">
        <v>1.4500000000000001E-2</v>
      </c>
      <c r="I82" s="21">
        <v>5.2169E-2</v>
      </c>
    </row>
    <row r="83" spans="1:9" ht="12.95" customHeight="1">
      <c r="A83" s="7" t="s">
        <v>248</v>
      </c>
      <c r="B83" s="80" t="s">
        <v>249</v>
      </c>
      <c r="C83" s="80"/>
      <c r="D83" s="5" t="s">
        <v>250</v>
      </c>
      <c r="E83" s="5" t="s">
        <v>247</v>
      </c>
      <c r="F83" s="10">
        <v>1000000</v>
      </c>
      <c r="G83" s="11">
        <v>990.15</v>
      </c>
      <c r="H83" s="12">
        <v>8.5000000000000006E-3</v>
      </c>
      <c r="I83" s="21">
        <v>5.5E-2</v>
      </c>
    </row>
    <row r="84" spans="1:9" ht="12.95" customHeight="1">
      <c r="A84" s="7" t="s">
        <v>251</v>
      </c>
      <c r="B84" s="80" t="s">
        <v>252</v>
      </c>
      <c r="C84" s="80"/>
      <c r="D84" s="5" t="s">
        <v>253</v>
      </c>
      <c r="E84" s="5" t="s">
        <v>247</v>
      </c>
      <c r="F84" s="10">
        <v>590000</v>
      </c>
      <c r="G84" s="11">
        <v>582.94000000000005</v>
      </c>
      <c r="H84" s="12">
        <v>5.0000000000000001E-3</v>
      </c>
      <c r="I84" s="21">
        <v>5.5246000000000003E-2</v>
      </c>
    </row>
    <row r="85" spans="1:9" ht="12.95" customHeight="1">
      <c r="A85" s="7" t="s">
        <v>254</v>
      </c>
      <c r="B85" s="80" t="s">
        <v>255</v>
      </c>
      <c r="C85" s="80"/>
      <c r="D85" s="5" t="s">
        <v>256</v>
      </c>
      <c r="E85" s="5" t="s">
        <v>247</v>
      </c>
      <c r="F85" s="10">
        <v>500000</v>
      </c>
      <c r="G85" s="11">
        <v>499.28</v>
      </c>
      <c r="H85" s="12">
        <v>4.3E-3</v>
      </c>
      <c r="I85" s="21">
        <v>5.2999999999999999E-2</v>
      </c>
    </row>
    <row r="86" spans="1:9" ht="12.95" customHeight="1">
      <c r="A86" s="7" t="s">
        <v>257</v>
      </c>
      <c r="B86" s="80" t="s">
        <v>258</v>
      </c>
      <c r="C86" s="80"/>
      <c r="D86" s="5" t="s">
        <v>259</v>
      </c>
      <c r="E86" s="5" t="s">
        <v>247</v>
      </c>
      <c r="F86" s="10">
        <v>500000</v>
      </c>
      <c r="G86" s="11">
        <v>498.25</v>
      </c>
      <c r="H86" s="12">
        <v>4.3E-3</v>
      </c>
      <c r="I86" s="21">
        <v>5.1411999999999999E-2</v>
      </c>
    </row>
    <row r="87" spans="1:9" ht="12.95" customHeight="1">
      <c r="A87" s="7" t="s">
        <v>260</v>
      </c>
      <c r="B87" s="80" t="s">
        <v>261</v>
      </c>
      <c r="C87" s="80"/>
      <c r="D87" s="5" t="s">
        <v>262</v>
      </c>
      <c r="E87" s="5" t="s">
        <v>247</v>
      </c>
      <c r="F87" s="10">
        <v>500000</v>
      </c>
      <c r="G87" s="11">
        <v>495.08</v>
      </c>
      <c r="H87" s="12">
        <v>4.1999999999999997E-3</v>
      </c>
      <c r="I87" s="21">
        <v>5.5E-2</v>
      </c>
    </row>
    <row r="88" spans="1:9" ht="12.95" customHeight="1">
      <c r="A88" s="7" t="s">
        <v>263</v>
      </c>
      <c r="B88" s="80" t="s">
        <v>264</v>
      </c>
      <c r="C88" s="80"/>
      <c r="D88" s="5" t="s">
        <v>265</v>
      </c>
      <c r="E88" s="5" t="s">
        <v>247</v>
      </c>
      <c r="F88" s="10">
        <v>200000</v>
      </c>
      <c r="G88" s="11">
        <v>199.71</v>
      </c>
      <c r="H88" s="12">
        <v>1.6999999999999999E-3</v>
      </c>
      <c r="I88" s="21">
        <v>5.2999999999999999E-2</v>
      </c>
    </row>
    <row r="89" spans="1:9" ht="12.95" customHeight="1">
      <c r="A89" s="7" t="s">
        <v>266</v>
      </c>
      <c r="B89" s="80" t="s">
        <v>267</v>
      </c>
      <c r="C89" s="80"/>
      <c r="D89" s="5" t="s">
        <v>268</v>
      </c>
      <c r="E89" s="5" t="s">
        <v>247</v>
      </c>
      <c r="F89" s="10">
        <v>90000</v>
      </c>
      <c r="G89" s="11">
        <v>89.96</v>
      </c>
      <c r="H89" s="12">
        <v>8.0000000000000004E-4</v>
      </c>
      <c r="I89" s="21">
        <v>5.1506999999999997E-2</v>
      </c>
    </row>
    <row r="90" spans="1:9" ht="12.95" customHeight="1">
      <c r="A90" s="1"/>
      <c r="B90" s="76" t="s">
        <v>213</v>
      </c>
      <c r="C90" s="76"/>
      <c r="D90" s="16"/>
      <c r="E90" s="16"/>
      <c r="F90" s="16"/>
      <c r="G90" s="17">
        <v>5051.25</v>
      </c>
      <c r="H90" s="18">
        <v>4.3299999999999998E-2</v>
      </c>
      <c r="I90" s="19"/>
    </row>
    <row r="91" spans="1:9" ht="12.95" customHeight="1">
      <c r="A91" s="1"/>
      <c r="B91" s="76" t="s">
        <v>241</v>
      </c>
      <c r="C91" s="76"/>
      <c r="D91" s="20"/>
      <c r="E91" s="16"/>
      <c r="F91" s="20"/>
      <c r="G91" s="17">
        <v>5051.25</v>
      </c>
      <c r="H91" s="18">
        <v>4.3299999999999998E-2</v>
      </c>
      <c r="I91" s="19"/>
    </row>
    <row r="92" spans="1:9" ht="12.95" customHeight="1">
      <c r="A92" s="1"/>
      <c r="B92" s="81" t="s">
        <v>269</v>
      </c>
      <c r="C92" s="81"/>
      <c r="D92" s="5"/>
      <c r="E92" s="5"/>
      <c r="F92" s="5"/>
      <c r="G92" s="5"/>
      <c r="H92" s="5"/>
      <c r="I92" s="6"/>
    </row>
    <row r="93" spans="1:9" ht="12.95" customHeight="1">
      <c r="A93" s="7" t="s">
        <v>270</v>
      </c>
      <c r="B93" s="80" t="s">
        <v>271</v>
      </c>
      <c r="C93" s="80"/>
      <c r="D93" s="5"/>
      <c r="E93" s="5" t="s">
        <v>272</v>
      </c>
      <c r="F93" s="10"/>
      <c r="G93" s="11">
        <v>8078.41</v>
      </c>
      <c r="H93" s="12">
        <v>6.9000000000000006E-2</v>
      </c>
      <c r="I93" s="21">
        <v>5.3477399409055132E-2</v>
      </c>
    </row>
    <row r="94" spans="1:9" ht="12.95" customHeight="1">
      <c r="A94" s="1"/>
      <c r="B94" s="76" t="s">
        <v>213</v>
      </c>
      <c r="C94" s="76"/>
      <c r="D94" s="16"/>
      <c r="E94" s="16"/>
      <c r="F94" s="16"/>
      <c r="G94" s="17">
        <v>8078.41</v>
      </c>
      <c r="H94" s="18">
        <v>6.9000000000000006E-2</v>
      </c>
      <c r="I94" s="19"/>
    </row>
    <row r="95" spans="1:9" ht="12.95" customHeight="1">
      <c r="A95" s="1"/>
      <c r="B95" s="76" t="s">
        <v>241</v>
      </c>
      <c r="C95" s="76"/>
      <c r="D95" s="20"/>
      <c r="E95" s="16"/>
      <c r="F95" s="20"/>
      <c r="G95" s="17">
        <v>8078.41</v>
      </c>
      <c r="H95" s="18">
        <v>6.9000000000000006E-2</v>
      </c>
      <c r="I95" s="19"/>
    </row>
    <row r="96" spans="1:9" ht="12.95" customHeight="1">
      <c r="A96" s="1"/>
      <c r="B96" s="76" t="s">
        <v>273</v>
      </c>
      <c r="C96" s="76"/>
      <c r="D96" s="5"/>
      <c r="E96" s="16"/>
      <c r="F96" s="5"/>
      <c r="G96" s="22">
        <v>67.8</v>
      </c>
      <c r="H96" s="18">
        <v>2.9999999999999997E-4</v>
      </c>
      <c r="I96" s="19"/>
    </row>
    <row r="97" spans="1:9" ht="12.95" customHeight="1" thickBot="1">
      <c r="A97" s="1"/>
      <c r="B97" s="77" t="s">
        <v>274</v>
      </c>
      <c r="C97" s="77"/>
      <c r="D97" s="23"/>
      <c r="E97" s="23"/>
      <c r="F97" s="23"/>
      <c r="G97" s="24">
        <v>117062.93</v>
      </c>
      <c r="H97" s="25">
        <v>1</v>
      </c>
      <c r="I97" s="26"/>
    </row>
    <row r="98" spans="1:9" ht="12.95" customHeight="1">
      <c r="A98" s="1"/>
      <c r="B98" s="78"/>
      <c r="C98" s="78"/>
      <c r="D98" s="1"/>
      <c r="E98" s="1"/>
      <c r="F98" s="1"/>
      <c r="G98" s="1"/>
      <c r="H98" s="1"/>
      <c r="I98" s="1"/>
    </row>
    <row r="99" spans="1:9" ht="12.95" customHeight="1">
      <c r="A99" s="1"/>
      <c r="B99" s="27" t="s">
        <v>275</v>
      </c>
      <c r="C99" s="1"/>
      <c r="D99" s="1"/>
      <c r="E99" s="1"/>
      <c r="F99" s="1"/>
      <c r="G99" s="1"/>
      <c r="H99" s="1"/>
      <c r="I99" s="1"/>
    </row>
    <row r="100" spans="1:9" ht="39.950000000000003" customHeight="1">
      <c r="A100" s="1"/>
      <c r="B100" s="79" t="s">
        <v>276</v>
      </c>
      <c r="C100" s="79"/>
      <c r="D100" s="28" t="s">
        <v>3</v>
      </c>
      <c r="E100" s="28" t="s">
        <v>277</v>
      </c>
      <c r="F100" s="28" t="s">
        <v>278</v>
      </c>
      <c r="G100" s="28" t="s">
        <v>279</v>
      </c>
      <c r="H100" s="28" t="s">
        <v>280</v>
      </c>
      <c r="I100" s="1"/>
    </row>
    <row r="101" spans="1:9" ht="12.95" customHeight="1">
      <c r="A101" s="1"/>
      <c r="B101" s="74" t="s">
        <v>281</v>
      </c>
      <c r="C101" s="74"/>
      <c r="D101" s="16" t="s">
        <v>193</v>
      </c>
      <c r="E101" s="16" t="s">
        <v>67</v>
      </c>
      <c r="F101" s="29">
        <v>78125</v>
      </c>
      <c r="G101" s="30">
        <v>3485.46875</v>
      </c>
      <c r="H101" s="31">
        <v>2.98E-2</v>
      </c>
      <c r="I101" s="1"/>
    </row>
    <row r="102" spans="1:9" ht="12.95" customHeight="1">
      <c r="A102" s="1"/>
      <c r="B102" s="74" t="s">
        <v>281</v>
      </c>
      <c r="C102" s="74"/>
      <c r="D102" s="16" t="s">
        <v>208</v>
      </c>
      <c r="E102" s="16" t="s">
        <v>147</v>
      </c>
      <c r="F102" s="29">
        <v>124800</v>
      </c>
      <c r="G102" s="30">
        <v>1851.1584</v>
      </c>
      <c r="H102" s="31">
        <v>1.5800000000000002E-2</v>
      </c>
      <c r="I102" s="1"/>
    </row>
    <row r="103" spans="1:9" ht="12.95" customHeight="1">
      <c r="A103" s="1"/>
      <c r="B103" s="74" t="s">
        <v>281</v>
      </c>
      <c r="C103" s="74"/>
      <c r="D103" s="16" t="s">
        <v>282</v>
      </c>
      <c r="E103" s="16" t="s">
        <v>283</v>
      </c>
      <c r="F103" s="29">
        <v>2940</v>
      </c>
      <c r="G103" s="30">
        <v>1609.944</v>
      </c>
      <c r="H103" s="31">
        <v>1.38E-2</v>
      </c>
      <c r="I103" s="1"/>
    </row>
    <row r="104" spans="1:9" ht="12.95" customHeight="1">
      <c r="A104" s="1"/>
      <c r="B104" s="74" t="s">
        <v>281</v>
      </c>
      <c r="C104" s="74"/>
      <c r="D104" s="16" t="s">
        <v>196</v>
      </c>
      <c r="E104" s="16" t="s">
        <v>147</v>
      </c>
      <c r="F104" s="29">
        <v>129600</v>
      </c>
      <c r="G104" s="30">
        <v>1517.616</v>
      </c>
      <c r="H104" s="31">
        <v>1.2999999999999999E-2</v>
      </c>
      <c r="I104" s="1"/>
    </row>
    <row r="105" spans="1:9" ht="12.95" customHeight="1">
      <c r="A105" s="1"/>
      <c r="B105" s="74" t="s">
        <v>281</v>
      </c>
      <c r="C105" s="74"/>
      <c r="D105" s="16" t="s">
        <v>205</v>
      </c>
      <c r="E105" s="16" t="s">
        <v>147</v>
      </c>
      <c r="F105" s="29">
        <v>25500</v>
      </c>
      <c r="G105" s="30">
        <v>1043.5364999999999</v>
      </c>
      <c r="H105" s="31">
        <v>8.8999999999999999E-3</v>
      </c>
      <c r="I105" s="1"/>
    </row>
    <row r="106" spans="1:9" ht="12.95" customHeight="1">
      <c r="A106" s="1"/>
      <c r="B106" s="74" t="s">
        <v>281</v>
      </c>
      <c r="C106" s="74"/>
      <c r="D106" s="16" t="s">
        <v>187</v>
      </c>
      <c r="E106" s="16" t="s">
        <v>147</v>
      </c>
      <c r="F106" s="29">
        <v>42875</v>
      </c>
      <c r="G106" s="30">
        <v>978.02162499999997</v>
      </c>
      <c r="H106" s="31">
        <v>8.3999999999999995E-3</v>
      </c>
      <c r="I106" s="1"/>
    </row>
    <row r="107" spans="1:9" ht="12.95" customHeight="1">
      <c r="A107" s="1"/>
      <c r="B107" s="74" t="s">
        <v>281</v>
      </c>
      <c r="C107" s="74"/>
      <c r="D107" s="16" t="s">
        <v>145</v>
      </c>
      <c r="E107" s="16" t="s">
        <v>147</v>
      </c>
      <c r="F107" s="29">
        <v>56250</v>
      </c>
      <c r="G107" s="30">
        <v>807.24374999999998</v>
      </c>
      <c r="H107" s="31">
        <v>6.8999999999999999E-3</v>
      </c>
      <c r="I107" s="1"/>
    </row>
    <row r="108" spans="1:9" ht="12.95" customHeight="1">
      <c r="A108" s="1"/>
      <c r="B108" s="74" t="s">
        <v>281</v>
      </c>
      <c r="C108" s="74"/>
      <c r="D108" s="16" t="s">
        <v>172</v>
      </c>
      <c r="E108" s="16" t="s">
        <v>147</v>
      </c>
      <c r="F108" s="29">
        <v>14200</v>
      </c>
      <c r="G108" s="30">
        <v>737.07939999999996</v>
      </c>
      <c r="H108" s="31">
        <v>6.3E-3</v>
      </c>
      <c r="I108" s="1"/>
    </row>
    <row r="109" spans="1:9" ht="12.95" customHeight="1">
      <c r="A109" s="1"/>
      <c r="B109" s="74" t="s">
        <v>281</v>
      </c>
      <c r="C109" s="74"/>
      <c r="D109" s="16" t="s">
        <v>211</v>
      </c>
      <c r="E109" s="16" t="s">
        <v>45</v>
      </c>
      <c r="F109" s="29">
        <v>8200</v>
      </c>
      <c r="G109" s="30">
        <v>349.73</v>
      </c>
      <c r="H109" s="31">
        <v>3.0000000000000001E-3</v>
      </c>
      <c r="I109" s="1"/>
    </row>
    <row r="110" spans="1:9" ht="12.95" customHeight="1">
      <c r="A110" s="1"/>
      <c r="B110" s="74" t="s">
        <v>281</v>
      </c>
      <c r="C110" s="74"/>
      <c r="D110" s="16" t="s">
        <v>284</v>
      </c>
      <c r="E110" s="16" t="s">
        <v>283</v>
      </c>
      <c r="F110" s="29">
        <v>325</v>
      </c>
      <c r="G110" s="30">
        <v>77.183599999999998</v>
      </c>
      <c r="H110" s="31">
        <v>6.9999999999999999E-4</v>
      </c>
      <c r="I110" s="1"/>
    </row>
    <row r="111" spans="1:9" ht="12.95" customHeight="1">
      <c r="A111" s="1"/>
      <c r="B111" s="75" t="s">
        <v>285</v>
      </c>
      <c r="C111" s="75"/>
      <c r="D111" s="1"/>
      <c r="E111" s="1"/>
      <c r="F111" s="1"/>
      <c r="G111" s="1"/>
      <c r="H111" s="1"/>
      <c r="I111" s="1"/>
    </row>
    <row r="112" spans="1:9" ht="12.95" customHeight="1">
      <c r="A112" s="1"/>
      <c r="B112" s="75" t="s">
        <v>286</v>
      </c>
      <c r="C112" s="75"/>
      <c r="D112" s="1"/>
      <c r="E112" s="1"/>
      <c r="F112" s="1"/>
      <c r="G112" s="1"/>
      <c r="H112" s="1"/>
      <c r="I112" s="1"/>
    </row>
    <row r="114" spans="2:4">
      <c r="B114" s="32" t="s">
        <v>287</v>
      </c>
      <c r="C114" s="33"/>
      <c r="D114" s="33"/>
    </row>
    <row r="115" spans="2:4">
      <c r="B115" s="34"/>
      <c r="C115" s="33"/>
      <c r="D115" s="33"/>
    </row>
    <row r="116" spans="2:4">
      <c r="B116" s="35" t="s">
        <v>288</v>
      </c>
      <c r="C116" s="35"/>
      <c r="D116" s="35"/>
    </row>
    <row r="117" spans="2:4">
      <c r="B117" s="35" t="s">
        <v>289</v>
      </c>
      <c r="C117" s="35"/>
      <c r="D117" s="35"/>
    </row>
    <row r="118" spans="2:4">
      <c r="B118" s="35" t="s">
        <v>290</v>
      </c>
      <c r="C118" s="35"/>
      <c r="D118" s="35"/>
    </row>
    <row r="119" spans="2:4">
      <c r="B119" s="36"/>
      <c r="C119" s="37"/>
      <c r="D119" s="37"/>
    </row>
    <row r="120" spans="2:4">
      <c r="B120" s="38" t="s">
        <v>291</v>
      </c>
      <c r="C120" s="39" t="s">
        <v>292</v>
      </c>
      <c r="D120" s="39" t="s">
        <v>293</v>
      </c>
    </row>
    <row r="121" spans="2:4">
      <c r="B121" s="40" t="s">
        <v>294</v>
      </c>
      <c r="C121" s="41">
        <v>15.156000000000001</v>
      </c>
      <c r="D121" s="41">
        <v>15.228</v>
      </c>
    </row>
    <row r="122" spans="2:4">
      <c r="B122" s="42" t="s">
        <v>295</v>
      </c>
      <c r="C122" s="41">
        <v>15.156000000000001</v>
      </c>
      <c r="D122" s="41">
        <v>15.228</v>
      </c>
    </row>
    <row r="123" spans="2:4" ht="24">
      <c r="B123" s="40" t="s">
        <v>296</v>
      </c>
      <c r="C123" s="41">
        <v>14.303000000000001</v>
      </c>
      <c r="D123" s="41">
        <v>14.388999999999999</v>
      </c>
    </row>
    <row r="124" spans="2:4" ht="24">
      <c r="B124" s="40" t="s">
        <v>297</v>
      </c>
      <c r="C124" s="41">
        <v>14.303000000000001</v>
      </c>
      <c r="D124" s="41">
        <v>14.388999999999999</v>
      </c>
    </row>
    <row r="125" spans="2:4">
      <c r="B125" s="36"/>
      <c r="C125" s="37"/>
      <c r="D125" s="37"/>
    </row>
    <row r="126" spans="2:4">
      <c r="B126" s="43" t="s">
        <v>298</v>
      </c>
      <c r="C126" s="37"/>
      <c r="D126" s="37"/>
    </row>
    <row r="127" spans="2:4">
      <c r="B127" s="35" t="s">
        <v>299</v>
      </c>
      <c r="C127" s="35"/>
      <c r="D127" s="35"/>
    </row>
    <row r="128" spans="2:4">
      <c r="B128" s="44" t="s">
        <v>300</v>
      </c>
      <c r="C128" s="45"/>
      <c r="D128" s="45"/>
    </row>
    <row r="129" spans="2:9">
      <c r="B129" s="35" t="s">
        <v>301</v>
      </c>
      <c r="C129" s="46"/>
      <c r="D129" s="46"/>
    </row>
    <row r="130" spans="2:9">
      <c r="B130" s="47" t="s">
        <v>302</v>
      </c>
      <c r="C130" s="46"/>
      <c r="D130" s="46"/>
    </row>
    <row r="131" spans="2:9">
      <c r="B131" s="35" t="s">
        <v>303</v>
      </c>
      <c r="C131" s="46"/>
      <c r="D131" s="46"/>
    </row>
    <row r="132" spans="2:9">
      <c r="B132" s="37"/>
      <c r="C132" s="37"/>
      <c r="D132" s="37"/>
    </row>
    <row r="133" spans="2:9">
      <c r="B133" s="48" t="s">
        <v>304</v>
      </c>
      <c r="C133" s="37"/>
      <c r="D133" s="37"/>
    </row>
    <row r="134" spans="2:9">
      <c r="B134" s="48" t="s">
        <v>305</v>
      </c>
      <c r="C134" s="37"/>
      <c r="D134" s="37"/>
    </row>
    <row r="137" spans="2:9">
      <c r="B137" s="49" t="s">
        <v>306</v>
      </c>
    </row>
    <row r="139" spans="2:9">
      <c r="B139" s="50" t="s">
        <v>307</v>
      </c>
      <c r="C139" s="51"/>
      <c r="D139" s="51"/>
      <c r="E139" s="51"/>
      <c r="F139" s="51"/>
      <c r="G139" s="51"/>
      <c r="H139" s="51"/>
      <c r="I139" s="52"/>
    </row>
    <row r="140" spans="2:9" ht="24">
      <c r="B140" s="53" t="s">
        <v>308</v>
      </c>
      <c r="C140" s="53" t="s">
        <v>309</v>
      </c>
      <c r="D140" s="54" t="s">
        <v>310</v>
      </c>
      <c r="E140" s="55" t="s">
        <v>311</v>
      </c>
      <c r="F140" s="55" t="s">
        <v>312</v>
      </c>
      <c r="G140" s="46"/>
      <c r="H140" s="46"/>
      <c r="I140" s="56"/>
    </row>
    <row r="141" spans="2:9">
      <c r="B141" s="71" t="s">
        <v>313</v>
      </c>
      <c r="C141" s="72"/>
      <c r="D141" s="72"/>
      <c r="E141" s="72"/>
      <c r="F141" s="73"/>
      <c r="G141" s="46"/>
      <c r="H141" s="46"/>
      <c r="I141" s="56"/>
    </row>
    <row r="142" spans="2:9">
      <c r="B142" s="57" t="s">
        <v>314</v>
      </c>
      <c r="C142" s="46"/>
      <c r="D142" s="46"/>
      <c r="E142" s="46"/>
      <c r="F142" s="46"/>
      <c r="G142" s="46"/>
      <c r="H142" s="46"/>
      <c r="I142" s="56"/>
    </row>
    <row r="143" spans="2:9">
      <c r="B143" s="58"/>
      <c r="C143" s="59"/>
      <c r="D143" s="46"/>
      <c r="E143" s="46"/>
      <c r="F143" s="46"/>
      <c r="G143" s="46"/>
      <c r="H143" s="46"/>
      <c r="I143" s="56"/>
    </row>
    <row r="144" spans="2:9">
      <c r="B144" s="57" t="s">
        <v>315</v>
      </c>
      <c r="C144" s="46"/>
      <c r="D144" s="46"/>
      <c r="E144" s="46"/>
      <c r="F144" s="46"/>
      <c r="G144" s="46"/>
      <c r="H144" s="46"/>
      <c r="I144" s="56"/>
    </row>
    <row r="145" spans="2:9">
      <c r="B145" s="57" t="s">
        <v>316</v>
      </c>
      <c r="C145" s="60"/>
      <c r="D145" s="46"/>
      <c r="E145" s="46"/>
      <c r="F145" s="46"/>
      <c r="G145" s="46"/>
      <c r="H145" s="46"/>
      <c r="I145" s="56"/>
    </row>
    <row r="146" spans="2:9">
      <c r="B146" s="57" t="s">
        <v>317</v>
      </c>
      <c r="C146" s="60"/>
      <c r="D146" s="46"/>
      <c r="E146" s="46"/>
      <c r="F146" s="46"/>
      <c r="G146" s="46"/>
      <c r="H146" s="46"/>
      <c r="I146" s="56"/>
    </row>
    <row r="147" spans="2:9">
      <c r="B147" s="57" t="s">
        <v>318</v>
      </c>
      <c r="C147" s="61"/>
      <c r="D147" s="46"/>
      <c r="E147" s="46"/>
      <c r="F147" s="46"/>
      <c r="G147" s="62"/>
      <c r="H147" s="46"/>
      <c r="I147" s="56"/>
    </row>
    <row r="148" spans="2:9">
      <c r="B148" s="57" t="s">
        <v>319</v>
      </c>
      <c r="C148" s="61"/>
      <c r="D148" s="46"/>
      <c r="E148" s="46"/>
      <c r="F148" s="46"/>
      <c r="G148" s="62"/>
      <c r="H148" s="46"/>
      <c r="I148" s="56"/>
    </row>
    <row r="149" spans="2:9">
      <c r="B149" s="57" t="s">
        <v>320</v>
      </c>
      <c r="C149" s="61"/>
      <c r="D149" s="46"/>
      <c r="E149" s="46"/>
      <c r="F149" s="46"/>
      <c r="G149" s="62"/>
      <c r="H149" s="46"/>
      <c r="I149" s="56"/>
    </row>
    <row r="150" spans="2:9">
      <c r="B150" s="57"/>
      <c r="C150" s="46"/>
      <c r="D150" s="46"/>
      <c r="E150" s="46"/>
      <c r="F150" s="46"/>
      <c r="G150" s="46"/>
      <c r="H150" s="46"/>
      <c r="I150" s="56"/>
    </row>
    <row r="151" spans="2:9">
      <c r="B151" s="63" t="s">
        <v>321</v>
      </c>
      <c r="C151" s="46"/>
      <c r="D151" s="46"/>
      <c r="E151" s="46"/>
      <c r="F151" s="46"/>
      <c r="G151" s="46"/>
      <c r="H151" s="46"/>
      <c r="I151" s="56"/>
    </row>
    <row r="152" spans="2:9" ht="24">
      <c r="B152" s="53" t="s">
        <v>308</v>
      </c>
      <c r="C152" s="53" t="s">
        <v>309</v>
      </c>
      <c r="D152" s="54" t="s">
        <v>310</v>
      </c>
      <c r="E152" s="55" t="s">
        <v>311</v>
      </c>
      <c r="F152" s="55" t="s">
        <v>312</v>
      </c>
      <c r="G152" s="46"/>
      <c r="H152" s="46"/>
      <c r="I152" s="56"/>
    </row>
    <row r="153" spans="2:9">
      <c r="B153" s="53" t="s">
        <v>322</v>
      </c>
      <c r="C153" s="53" t="s">
        <v>281</v>
      </c>
      <c r="D153" s="54">
        <v>1177.0718999999999</v>
      </c>
      <c r="E153" s="55">
        <v>1171</v>
      </c>
      <c r="F153" s="55">
        <v>272.26</v>
      </c>
      <c r="G153" s="46"/>
      <c r="H153" s="46"/>
      <c r="I153" s="56"/>
    </row>
    <row r="154" spans="2:9">
      <c r="B154" s="53" t="s">
        <v>323</v>
      </c>
      <c r="C154" s="53" t="s">
        <v>281</v>
      </c>
      <c r="D154" s="54">
        <v>4078.62</v>
      </c>
      <c r="E154" s="55">
        <v>4092.3</v>
      </c>
      <c r="F154" s="55">
        <v>206.41</v>
      </c>
      <c r="G154" s="46"/>
      <c r="H154" s="46"/>
      <c r="I154" s="56"/>
    </row>
    <row r="155" spans="2:9">
      <c r="B155" s="53" t="s">
        <v>324</v>
      </c>
      <c r="C155" s="53" t="s">
        <v>281</v>
      </c>
      <c r="D155" s="54">
        <v>1417.2767000888889</v>
      </c>
      <c r="E155" s="55">
        <v>1435.1</v>
      </c>
      <c r="F155" s="55">
        <v>190.17</v>
      </c>
      <c r="G155" s="46"/>
      <c r="H155" s="46"/>
      <c r="I155" s="56"/>
    </row>
    <row r="156" spans="2:9">
      <c r="B156" s="53" t="s">
        <v>325</v>
      </c>
      <c r="C156" s="53" t="s">
        <v>281</v>
      </c>
      <c r="D156" s="54">
        <v>4977.5830999999998</v>
      </c>
      <c r="E156" s="55">
        <v>5190.7</v>
      </c>
      <c r="F156" s="55">
        <v>160.18</v>
      </c>
      <c r="G156" s="46"/>
      <c r="H156" s="46"/>
      <c r="I156" s="56"/>
    </row>
    <row r="157" spans="2:9">
      <c r="B157" s="53" t="s">
        <v>326</v>
      </c>
      <c r="C157" s="53" t="s">
        <v>281</v>
      </c>
      <c r="D157" s="54">
        <v>2310.8000000000002</v>
      </c>
      <c r="E157" s="55">
        <v>2281.1</v>
      </c>
      <c r="F157" s="55">
        <v>174.47</v>
      </c>
      <c r="G157" s="46"/>
      <c r="H157" s="46"/>
      <c r="I157" s="56"/>
    </row>
    <row r="158" spans="2:9">
      <c r="B158" s="53" t="s">
        <v>327</v>
      </c>
      <c r="C158" s="53" t="s">
        <v>281</v>
      </c>
      <c r="D158" s="54">
        <v>24031.94</v>
      </c>
      <c r="E158" s="55">
        <v>23748.799999999999</v>
      </c>
      <c r="F158" s="55">
        <v>8.84</v>
      </c>
      <c r="G158" s="46"/>
      <c r="H158" s="46"/>
      <c r="I158" s="56"/>
    </row>
    <row r="159" spans="2:9">
      <c r="B159" s="53" t="s">
        <v>328</v>
      </c>
      <c r="C159" s="53" t="s">
        <v>281</v>
      </c>
      <c r="D159" s="54">
        <v>1434.3875</v>
      </c>
      <c r="E159" s="55">
        <v>1483.3</v>
      </c>
      <c r="F159" s="55">
        <v>331.3</v>
      </c>
      <c r="G159" s="46"/>
      <c r="H159" s="46"/>
      <c r="I159" s="56"/>
    </row>
    <row r="160" spans="2:9">
      <c r="B160" s="53" t="s">
        <v>329</v>
      </c>
      <c r="C160" s="53" t="s">
        <v>281</v>
      </c>
      <c r="D160" s="64">
        <v>55373.599999999999</v>
      </c>
      <c r="E160" s="64">
        <v>54760</v>
      </c>
      <c r="F160" s="64">
        <v>186.03</v>
      </c>
      <c r="G160" s="46"/>
      <c r="H160" s="46"/>
      <c r="I160" s="56"/>
    </row>
    <row r="161" spans="2:9">
      <c r="B161" s="53" t="s">
        <v>330</v>
      </c>
      <c r="C161" s="53" t="s">
        <v>281</v>
      </c>
      <c r="D161" s="64">
        <v>4060.8</v>
      </c>
      <c r="E161" s="64">
        <v>4265</v>
      </c>
      <c r="F161" s="64">
        <v>79.790000000000006</v>
      </c>
      <c r="G161" s="46"/>
      <c r="H161" s="46"/>
      <c r="I161" s="56"/>
    </row>
    <row r="162" spans="2:9">
      <c r="B162" s="53" t="s">
        <v>331</v>
      </c>
      <c r="C162" s="53" t="s">
        <v>281</v>
      </c>
      <c r="D162" s="64">
        <v>4535.8553866239999</v>
      </c>
      <c r="E162" s="64">
        <v>4461.3999999999996</v>
      </c>
      <c r="F162" s="64">
        <v>629.09</v>
      </c>
      <c r="G162" s="46"/>
      <c r="H162" s="46"/>
      <c r="I162" s="56"/>
    </row>
    <row r="163" spans="2:9">
      <c r="B163" s="53"/>
      <c r="C163" s="53"/>
      <c r="D163" s="64"/>
      <c r="E163" s="64"/>
      <c r="F163" s="64"/>
      <c r="G163" s="46"/>
      <c r="H163" s="46"/>
      <c r="I163" s="56"/>
    </row>
    <row r="164" spans="2:9">
      <c r="B164" s="63" t="s">
        <v>332</v>
      </c>
      <c r="C164" s="65"/>
      <c r="D164" s="65"/>
      <c r="E164" s="46"/>
      <c r="F164" s="46"/>
      <c r="G164" s="46"/>
      <c r="H164" s="46"/>
      <c r="I164" s="56"/>
    </row>
    <row r="165" spans="2:9">
      <c r="B165" s="57"/>
      <c r="C165" s="65"/>
      <c r="D165" s="65"/>
      <c r="E165" s="46"/>
      <c r="F165" s="46"/>
      <c r="G165" s="46"/>
      <c r="H165" s="46"/>
      <c r="I165" s="56"/>
    </row>
    <row r="166" spans="2:9">
      <c r="B166" s="57" t="s">
        <v>333</v>
      </c>
      <c r="C166" s="65"/>
      <c r="D166" s="65"/>
      <c r="E166" s="46"/>
      <c r="F166" s="46"/>
      <c r="G166" s="46"/>
      <c r="H166" s="46"/>
      <c r="I166" s="56"/>
    </row>
    <row r="167" spans="2:9">
      <c r="B167" s="57" t="s">
        <v>334</v>
      </c>
      <c r="C167" s="66"/>
      <c r="D167" s="65"/>
      <c r="E167" s="46"/>
      <c r="F167" s="46"/>
      <c r="G167" s="46"/>
      <c r="H167" s="46"/>
      <c r="I167" s="56"/>
    </row>
    <row r="168" spans="2:9">
      <c r="B168" s="57" t="s">
        <v>335</v>
      </c>
      <c r="C168" s="66"/>
      <c r="D168" s="65"/>
      <c r="E168" s="46"/>
      <c r="F168" s="46"/>
      <c r="G168" s="46"/>
      <c r="H168" s="46"/>
      <c r="I168" s="56"/>
    </row>
    <row r="169" spans="2:9">
      <c r="B169" s="57" t="s">
        <v>336</v>
      </c>
      <c r="C169" s="66"/>
      <c r="D169" s="65"/>
      <c r="E169" s="46"/>
      <c r="F169" s="46"/>
      <c r="G169" s="46"/>
      <c r="H169" s="46"/>
      <c r="I169" s="56"/>
    </row>
    <row r="170" spans="2:9">
      <c r="B170" s="57" t="s">
        <v>337</v>
      </c>
      <c r="C170" s="66"/>
      <c r="D170" s="65"/>
      <c r="E170" s="46"/>
      <c r="F170" s="46"/>
      <c r="G170" s="46"/>
      <c r="H170" s="46"/>
      <c r="I170" s="56"/>
    </row>
    <row r="171" spans="2:9">
      <c r="B171" s="57" t="s">
        <v>338</v>
      </c>
      <c r="C171" s="66"/>
      <c r="D171" s="65"/>
      <c r="E171" s="46"/>
      <c r="F171" s="46"/>
      <c r="G171" s="46"/>
      <c r="H171" s="46"/>
      <c r="I171" s="56"/>
    </row>
    <row r="172" spans="2:9">
      <c r="B172" s="57"/>
      <c r="C172" s="65"/>
      <c r="D172" s="65"/>
      <c r="E172" s="46"/>
      <c r="F172" s="46"/>
      <c r="G172" s="46"/>
      <c r="H172" s="46"/>
      <c r="I172" s="56"/>
    </row>
    <row r="173" spans="2:9">
      <c r="B173" s="63" t="s">
        <v>339</v>
      </c>
      <c r="C173" s="65"/>
      <c r="D173" s="65"/>
      <c r="E173" s="46"/>
      <c r="F173" s="46"/>
      <c r="G173" s="46"/>
      <c r="H173" s="46"/>
      <c r="I173" s="56"/>
    </row>
    <row r="174" spans="2:9">
      <c r="B174" s="53" t="s">
        <v>308</v>
      </c>
      <c r="C174" s="53" t="s">
        <v>309</v>
      </c>
      <c r="D174" s="54" t="s">
        <v>310</v>
      </c>
      <c r="E174" s="55" t="s">
        <v>311</v>
      </c>
      <c r="F174" s="46"/>
      <c r="G174" s="46"/>
      <c r="H174" s="46"/>
      <c r="I174" s="56"/>
    </row>
    <row r="175" spans="2:9">
      <c r="B175" s="70" t="s">
        <v>313</v>
      </c>
      <c r="C175" s="70"/>
      <c r="D175" s="70"/>
      <c r="E175" s="70"/>
      <c r="G175" s="46"/>
      <c r="H175" s="46"/>
      <c r="I175" s="56"/>
    </row>
    <row r="176" spans="2:9">
      <c r="B176" s="57" t="s">
        <v>340</v>
      </c>
      <c r="C176" s="65"/>
      <c r="D176" s="65"/>
      <c r="E176" s="46"/>
      <c r="F176" s="46"/>
      <c r="G176" s="46"/>
      <c r="H176" s="46"/>
      <c r="I176" s="56"/>
    </row>
    <row r="177" spans="2:9">
      <c r="B177" s="57"/>
      <c r="C177" s="65"/>
      <c r="D177" s="65"/>
      <c r="E177" s="46"/>
      <c r="F177" s="46"/>
      <c r="G177" s="46"/>
      <c r="H177" s="46"/>
      <c r="I177" s="56"/>
    </row>
    <row r="178" spans="2:9">
      <c r="B178" s="57" t="s">
        <v>341</v>
      </c>
      <c r="C178" s="65"/>
      <c r="D178" s="65"/>
      <c r="E178" s="46"/>
      <c r="F178" s="46"/>
      <c r="G178" s="46"/>
      <c r="H178" s="46"/>
      <c r="I178" s="56"/>
    </row>
    <row r="179" spans="2:9">
      <c r="B179" s="57" t="s">
        <v>342</v>
      </c>
      <c r="C179" s="65"/>
      <c r="D179" s="65"/>
      <c r="E179" s="46"/>
      <c r="F179" s="46"/>
      <c r="G179" s="46"/>
      <c r="H179" s="46"/>
      <c r="I179" s="56"/>
    </row>
    <row r="180" spans="2:9">
      <c r="B180" s="57" t="s">
        <v>343</v>
      </c>
      <c r="C180" s="65"/>
      <c r="D180" s="65"/>
      <c r="E180" s="46"/>
      <c r="F180" s="46"/>
      <c r="G180" s="46"/>
      <c r="H180" s="46"/>
      <c r="I180" s="56"/>
    </row>
    <row r="181" spans="2:9">
      <c r="B181" s="57" t="s">
        <v>344</v>
      </c>
      <c r="C181" s="65"/>
      <c r="D181" s="65"/>
      <c r="E181" s="46"/>
      <c r="F181" s="46"/>
      <c r="G181" s="46"/>
      <c r="H181" s="46"/>
      <c r="I181" s="56"/>
    </row>
    <row r="182" spans="2:9">
      <c r="B182" s="57"/>
      <c r="C182" s="65"/>
      <c r="D182" s="65"/>
      <c r="E182" s="46"/>
      <c r="F182" s="46"/>
      <c r="G182" s="46"/>
      <c r="H182" s="46"/>
      <c r="I182" s="56"/>
    </row>
    <row r="183" spans="2:9">
      <c r="B183" s="63" t="s">
        <v>345</v>
      </c>
      <c r="C183" s="65"/>
      <c r="D183" s="65"/>
      <c r="E183" s="46"/>
      <c r="F183" s="46"/>
      <c r="G183" s="46"/>
      <c r="H183" s="46"/>
      <c r="I183" s="56"/>
    </row>
    <row r="184" spans="2:9">
      <c r="B184" s="53" t="s">
        <v>308</v>
      </c>
      <c r="C184" s="53" t="s">
        <v>346</v>
      </c>
      <c r="D184" s="54" t="s">
        <v>347</v>
      </c>
      <c r="E184" s="55" t="s">
        <v>348</v>
      </c>
      <c r="F184" s="55" t="s">
        <v>349</v>
      </c>
      <c r="G184" s="46"/>
      <c r="H184" s="46"/>
      <c r="I184" s="56"/>
    </row>
    <row r="185" spans="2:9">
      <c r="B185" s="71" t="s">
        <v>313</v>
      </c>
      <c r="C185" s="72"/>
      <c r="D185" s="72"/>
      <c r="E185" s="72"/>
      <c r="F185" s="73"/>
      <c r="G185" s="46"/>
      <c r="H185" s="46"/>
      <c r="I185" s="56"/>
    </row>
    <row r="186" spans="2:9">
      <c r="B186" s="57" t="s">
        <v>350</v>
      </c>
      <c r="C186" s="65"/>
      <c r="D186" s="65"/>
      <c r="E186" s="46"/>
      <c r="F186" s="46"/>
      <c r="G186" s="46"/>
      <c r="H186" s="46"/>
      <c r="I186" s="56"/>
    </row>
    <row r="187" spans="2:9">
      <c r="B187" s="57"/>
      <c r="C187" s="65"/>
      <c r="D187" s="65"/>
      <c r="E187" s="46"/>
      <c r="F187" s="46"/>
      <c r="G187" s="46"/>
      <c r="H187" s="46"/>
      <c r="I187" s="56"/>
    </row>
    <row r="188" spans="2:9">
      <c r="B188" s="57" t="s">
        <v>351</v>
      </c>
      <c r="C188" s="65"/>
      <c r="D188" s="65"/>
      <c r="E188" s="46"/>
      <c r="F188" s="46"/>
      <c r="G188" s="46"/>
      <c r="H188" s="46"/>
      <c r="I188" s="56"/>
    </row>
    <row r="189" spans="2:9">
      <c r="B189" s="57" t="s">
        <v>342</v>
      </c>
      <c r="C189" s="65"/>
      <c r="D189" s="65"/>
      <c r="E189" s="46"/>
      <c r="F189" s="46"/>
      <c r="G189" s="46"/>
      <c r="H189" s="46"/>
      <c r="I189" s="56"/>
    </row>
    <row r="190" spans="2:9">
      <c r="B190" s="57" t="s">
        <v>343</v>
      </c>
      <c r="C190" s="65"/>
      <c r="D190" s="65"/>
      <c r="E190" s="46"/>
      <c r="F190" s="46"/>
      <c r="G190" s="46"/>
      <c r="H190" s="46"/>
      <c r="I190" s="56"/>
    </row>
    <row r="191" spans="2:9">
      <c r="B191" s="57" t="s">
        <v>344</v>
      </c>
      <c r="C191" s="65"/>
      <c r="D191" s="65"/>
      <c r="E191" s="46"/>
      <c r="F191" s="46"/>
      <c r="G191" s="46"/>
      <c r="H191" s="46"/>
      <c r="I191" s="56"/>
    </row>
    <row r="192" spans="2:9">
      <c r="B192" s="57"/>
      <c r="C192" s="65"/>
      <c r="D192" s="65"/>
      <c r="E192" s="46"/>
      <c r="F192" s="46"/>
      <c r="G192" s="46"/>
      <c r="H192" s="46"/>
      <c r="I192" s="56"/>
    </row>
    <row r="193" spans="2:9">
      <c r="B193" s="63" t="s">
        <v>352</v>
      </c>
      <c r="C193" s="65"/>
      <c r="D193" s="65"/>
      <c r="E193" s="46"/>
      <c r="F193" s="46"/>
      <c r="G193" s="46"/>
      <c r="H193" s="46"/>
      <c r="I193" s="56"/>
    </row>
    <row r="194" spans="2:9">
      <c r="B194" s="67"/>
      <c r="C194" s="68"/>
      <c r="D194" s="68"/>
      <c r="E194" s="68"/>
      <c r="F194" s="68"/>
      <c r="G194" s="68"/>
      <c r="H194" s="68"/>
      <c r="I194" s="69"/>
    </row>
  </sheetData>
  <mergeCells count="56">
    <mergeCell ref="B70:C70"/>
    <mergeCell ref="B1:C1"/>
    <mergeCell ref="B2:C2"/>
    <mergeCell ref="B3:C3"/>
    <mergeCell ref="B4:C4"/>
    <mergeCell ref="B5:C5"/>
    <mergeCell ref="B6:C6"/>
    <mergeCell ref="B65:C65"/>
    <mergeCell ref="B66:C66"/>
    <mergeCell ref="B67:C67"/>
    <mergeCell ref="B68:C68"/>
    <mergeCell ref="B69:C69"/>
    <mergeCell ref="B82:C82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94:C94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107:C107"/>
    <mergeCell ref="B95:C95"/>
    <mergeCell ref="B96:C96"/>
    <mergeCell ref="B97:C97"/>
    <mergeCell ref="B98:C98"/>
    <mergeCell ref="B100:C100"/>
    <mergeCell ref="B101:C101"/>
    <mergeCell ref="B102:C102"/>
    <mergeCell ref="B103:C103"/>
    <mergeCell ref="B104:C104"/>
    <mergeCell ref="B105:C105"/>
    <mergeCell ref="B106:C106"/>
    <mergeCell ref="B175:E175"/>
    <mergeCell ref="B185:F185"/>
    <mergeCell ref="B108:C108"/>
    <mergeCell ref="B109:C109"/>
    <mergeCell ref="B110:C110"/>
    <mergeCell ref="B111:C111"/>
    <mergeCell ref="B112:C112"/>
    <mergeCell ref="B141:F14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946516-863E-44D8-B6BD-515A53BBBDAF}"/>
</file>

<file path=customXml/itemProps2.xml><?xml version="1.0" encoding="utf-8"?>
<ds:datastoreItem xmlns:ds="http://schemas.openxmlformats.org/officeDocument/2006/customXml" ds:itemID="{CE0BB37F-2C99-40F8-9055-A9090122034E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6D069DAF-D06C-427C-8240-72C4D15A99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Hitashi Kishnani</cp:lastModifiedBy>
  <dcterms:created xsi:type="dcterms:W3CDTF">2026-06-08T12:29:44Z</dcterms:created>
  <dcterms:modified xsi:type="dcterms:W3CDTF">2026-06-08T12:44:14Z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