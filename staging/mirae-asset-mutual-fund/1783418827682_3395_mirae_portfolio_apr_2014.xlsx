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14940" windowHeight="909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G38" i="4" l="1"/>
  <c r="F38" i="4"/>
  <c r="G44" i="6"/>
  <c r="F44" i="6"/>
  <c r="G18" i="6"/>
  <c r="F18" i="6"/>
  <c r="G53" i="4"/>
  <c r="F53" i="4"/>
</calcChain>
</file>

<file path=xl/sharedStrings.xml><?xml version="1.0" encoding="utf-8"?>
<sst xmlns="http://schemas.openxmlformats.org/spreadsheetml/2006/main" count="1446" uniqueCount="380">
  <si>
    <t>Mirae Asset Cash Management Fund</t>
  </si>
  <si>
    <t/>
  </si>
  <si>
    <t>Monthly Portfolio Statement as on April 30,2014</t>
  </si>
  <si>
    <t>Name of the Instrument</t>
  </si>
  <si>
    <t>ISIN</t>
  </si>
  <si>
    <t>Rating</t>
  </si>
  <si>
    <t>Quantity</t>
  </si>
  <si>
    <t>Market/Fair Value
 (Rs. in Lacs)</t>
  </si>
  <si>
    <t>% to Net
 Assets</t>
  </si>
  <si>
    <t>Rounded, % to Net Assets</t>
  </si>
  <si>
    <t>Money Market Instruments</t>
  </si>
  <si>
    <t>Certificate of Deposit</t>
  </si>
  <si>
    <t>Indian Bank (09/05/2014) ** #</t>
  </si>
  <si>
    <t>INE562A16FE0</t>
  </si>
  <si>
    <t>FITCH A1+</t>
  </si>
  <si>
    <t>Union Bank of India (20/05/2014) ** #</t>
  </si>
  <si>
    <t>INE692A16CA0</t>
  </si>
  <si>
    <t>CRISIL A1+</t>
  </si>
  <si>
    <t>Corporation Bank (22/05/2014) ** #</t>
  </si>
  <si>
    <t>INE112A16EZ2</t>
  </si>
  <si>
    <t>INE652A16JG6</t>
  </si>
  <si>
    <t>State Bank of Patiala (06/05/2014) ** #</t>
  </si>
  <si>
    <t>INE652A16IY1</t>
  </si>
  <si>
    <t>ICRA A1+</t>
  </si>
  <si>
    <t>Oriental Bank of Commerce (13/05/2014) ** #</t>
  </si>
  <si>
    <t>INE141A16OE5</t>
  </si>
  <si>
    <t>Oriental Bank of Commerce (02/07/2014) ** #</t>
  </si>
  <si>
    <t>INE141A16PV6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</si>
  <si>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</si>
  <si>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</si>
  <si>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</si>
  <si>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</si>
  <si>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</si>
  <si>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</si>
  <si>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</si>
  <si>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</si>
  <si>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</si>
  <si>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</si>
  <si>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</si>
  <si>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</si>
  <si>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</si>
  <si>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</si>
  <si>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</si>
  <si>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</si>
  <si>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Divi's Laboratories Ltd</t>
  </si>
  <si>
    <t>INE361B01024</t>
  </si>
  <si>
    <t>Pharmaceuticals</t>
  </si>
  <si>
    <t>The Federal Bank  Ltd</t>
  </si>
  <si>
    <t>INE171A01029</t>
  </si>
  <si>
    <t>Banks</t>
  </si>
  <si>
    <t>Sundaram Finance Ltd</t>
  </si>
  <si>
    <t>INE660A01013</t>
  </si>
  <si>
    <t>Finance</t>
  </si>
  <si>
    <t>ICICI Bank Ltd</t>
  </si>
  <si>
    <t>INE090A01013</t>
  </si>
  <si>
    <t>IPCA Laboratories Ltd</t>
  </si>
  <si>
    <t>INE571A01020</t>
  </si>
  <si>
    <t>Motherson Sumi Systems Ltd</t>
  </si>
  <si>
    <t>INE775A01035</t>
  </si>
  <si>
    <t>Auto Ancillaries</t>
  </si>
  <si>
    <t>Amara Raja Batteries Ltd</t>
  </si>
  <si>
    <t>INE885A01032</t>
  </si>
  <si>
    <t>Hindustan Petroleum Corporation Ltd</t>
  </si>
  <si>
    <t>INE094A01015</t>
  </si>
  <si>
    <t>Petroleum Products</t>
  </si>
  <si>
    <t>Godfrey Phillips India Ltd</t>
  </si>
  <si>
    <t>INE260B01010</t>
  </si>
  <si>
    <t>Consumer Non Durables</t>
  </si>
  <si>
    <t>Gateway Distriparks Ltd</t>
  </si>
  <si>
    <t>INE852F01015</t>
  </si>
  <si>
    <t>Transportation</t>
  </si>
  <si>
    <t>Prism CEMENT Ltd</t>
  </si>
  <si>
    <t>INE010A01011</t>
  </si>
  <si>
    <t>Cement</t>
  </si>
  <si>
    <t>Vinati Organics Ltd</t>
  </si>
  <si>
    <t>INE410B01029</t>
  </si>
  <si>
    <t>Chemicals</t>
  </si>
  <si>
    <t>FAG Bearings India Ltd</t>
  </si>
  <si>
    <t>INE513A01014</t>
  </si>
  <si>
    <t>Industrial Products</t>
  </si>
  <si>
    <t>CESC Ltd</t>
  </si>
  <si>
    <t>INE486A01013</t>
  </si>
  <si>
    <t>Power</t>
  </si>
  <si>
    <t>Eicher Motors Ltd</t>
  </si>
  <si>
    <t>INE066A01013</t>
  </si>
  <si>
    <t>Auto</t>
  </si>
  <si>
    <t>Gulf Oil Corporation Ltd</t>
  </si>
  <si>
    <t>INE077F01027</t>
  </si>
  <si>
    <t>Cadila Healthcare Ltd</t>
  </si>
  <si>
    <t>INE010B01019</t>
  </si>
  <si>
    <t>Transport Corporation Of India Ltd</t>
  </si>
  <si>
    <t>INE688A01022</t>
  </si>
  <si>
    <t>HT Media Ltd</t>
  </si>
  <si>
    <t>INE501G01024</t>
  </si>
  <si>
    <t>Media &amp; Entertainment</t>
  </si>
  <si>
    <t>Carborundum Universal Ltd</t>
  </si>
  <si>
    <t>INE120A01034</t>
  </si>
  <si>
    <t>VST Tillers Tractors Ltd</t>
  </si>
  <si>
    <t>INE764D01017</t>
  </si>
  <si>
    <t>Aurobindo Pharma Ltd</t>
  </si>
  <si>
    <t>INE406A01037</t>
  </si>
  <si>
    <t>Tata Chemicals Ltd</t>
  </si>
  <si>
    <t>INE092A01019</t>
  </si>
  <si>
    <t>Info Edge (India) Ltd</t>
  </si>
  <si>
    <t>INE663F01024</t>
  </si>
  <si>
    <t>Yes Bank Ltd</t>
  </si>
  <si>
    <t>INE528G01019</t>
  </si>
  <si>
    <t>The Jammu &amp; Kashmir Bank Ltd</t>
  </si>
  <si>
    <t>INE168A01017</t>
  </si>
  <si>
    <t>Glenmark Pharmaceuticals Ltd</t>
  </si>
  <si>
    <t>INE935A01035</t>
  </si>
  <si>
    <t>Britannia Industries Ltd</t>
  </si>
  <si>
    <t>INE216A01022</t>
  </si>
  <si>
    <t>Crompton  Greaves Ltd</t>
  </si>
  <si>
    <t>INE067A01029</t>
  </si>
  <si>
    <t>Industrial Capital Goods</t>
  </si>
  <si>
    <t>Exide Industries Ltd</t>
  </si>
  <si>
    <t>INE302A01020</t>
  </si>
  <si>
    <t>Oil India Ltd</t>
  </si>
  <si>
    <t>INE274J01014</t>
  </si>
  <si>
    <t>Oil</t>
  </si>
  <si>
    <t>Gujarat Mineral Development Corporation Ltd</t>
  </si>
  <si>
    <t>INE131A01031</t>
  </si>
  <si>
    <t>Minerals/Mining</t>
  </si>
  <si>
    <t>VIP Industries Ltd</t>
  </si>
  <si>
    <t>INE054A01027</t>
  </si>
  <si>
    <t>Consumer Durables</t>
  </si>
  <si>
    <t>Eclerx Services Ltd</t>
  </si>
  <si>
    <t>INE738I01010</t>
  </si>
  <si>
    <t>Titan Company Limited</t>
  </si>
  <si>
    <t>INE280A01028</t>
  </si>
  <si>
    <t>PTC India Financial Services Ltd</t>
  </si>
  <si>
    <t>INE560K01014</t>
  </si>
  <si>
    <t>Akzo Nobel India Ltd</t>
  </si>
  <si>
    <t>INE133A01011</t>
  </si>
  <si>
    <t>NIIT Technologies Ltd</t>
  </si>
  <si>
    <t>INE591G01017</t>
  </si>
  <si>
    <t>Torrent Pharmaceuticals Ltd</t>
  </si>
  <si>
    <t>INE685A01028</t>
  </si>
  <si>
    <t>ING Vysya Bank Ltd</t>
  </si>
  <si>
    <t>INE166A01011</t>
  </si>
  <si>
    <t>Petronet LNG Ltd</t>
  </si>
  <si>
    <t>INE347G01014</t>
  </si>
  <si>
    <t>Gas</t>
  </si>
  <si>
    <t>Zee Entertainment Enterprises Ltd</t>
  </si>
  <si>
    <t>INE256A01028</t>
  </si>
  <si>
    <t>Aditya Birla Nuvo Ltd</t>
  </si>
  <si>
    <t>INE069A01017</t>
  </si>
  <si>
    <t>Services</t>
  </si>
  <si>
    <t>Himatsingka Seide Ltd</t>
  </si>
  <si>
    <t>INE049A01027</t>
  </si>
  <si>
    <t>Textile Products</t>
  </si>
  <si>
    <t>JK Cement Ltd</t>
  </si>
  <si>
    <t>INE823G01014</t>
  </si>
  <si>
    <t>Bank of Baroda</t>
  </si>
  <si>
    <t>INE028A01013</t>
  </si>
  <si>
    <t>Colgate Palmolive (India) Ltd</t>
  </si>
  <si>
    <t>INE259A01022</t>
  </si>
  <si>
    <t>Gujarat State Petronet Ltd</t>
  </si>
  <si>
    <t>INE246F01010</t>
  </si>
  <si>
    <t>ICRA Ltd</t>
  </si>
  <si>
    <t>INE725G01011</t>
  </si>
  <si>
    <t>LIC Housing Finance Ltd</t>
  </si>
  <si>
    <t>INE115A01026</t>
  </si>
  <si>
    <t>Tamil Nadu Newsprint &amp; Papers Ltd</t>
  </si>
  <si>
    <t>INE107A01015</t>
  </si>
  <si>
    <t>Paper</t>
  </si>
  <si>
    <t>Tata Global Beverages Ltd</t>
  </si>
  <si>
    <t>INE192A01025</t>
  </si>
  <si>
    <t>Oracle Financial Services Software Ltd</t>
  </si>
  <si>
    <t>INE881D01027</t>
  </si>
  <si>
    <t>Adani Ports and Special Economic Zone Ltd</t>
  </si>
  <si>
    <t>INE742F01042</t>
  </si>
  <si>
    <t>Indian Bank</t>
  </si>
  <si>
    <t>INE562A01011</t>
  </si>
  <si>
    <t>Zee Entertainment Enterprises Ltd (Preference Share)</t>
  </si>
  <si>
    <t>INE256A04014</t>
  </si>
  <si>
    <t>CMC Ltd</t>
  </si>
  <si>
    <t>INE314A01017</t>
  </si>
  <si>
    <t>(b) Unlisted</t>
  </si>
  <si>
    <t>NIL</t>
  </si>
  <si>
    <t>Axis Bank Ltd (23/02/2015) ** #</t>
  </si>
  <si>
    <t>INE238A16VV8</t>
  </si>
  <si>
    <t>Indusind Bank Ltd (23/02/2015) ** #</t>
  </si>
  <si>
    <t>INE095A16MG2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</si>
  <si>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</si>
  <si>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</si>
  <si>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</si>
  <si>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</si>
  <si>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</si>
  <si>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</si>
  <si>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</si>
  <si>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</si>
  <si>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</si>
  <si>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</si>
  <si>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ITC Ltd</t>
  </si>
  <si>
    <t>INE154A01025</t>
  </si>
  <si>
    <t>Tata Motors Ltd</t>
  </si>
  <si>
    <t>IN9155A01020</t>
  </si>
  <si>
    <t>Housing Development Finance Corporation Ltd</t>
  </si>
  <si>
    <t>INE001A01036</t>
  </si>
  <si>
    <t>Bharti Airtel Ltd</t>
  </si>
  <si>
    <t>INE397D01024</t>
  </si>
  <si>
    <t>Telecom - Services</t>
  </si>
  <si>
    <t>Maruti Suzuki India Ltd</t>
  </si>
  <si>
    <t>INE585B01010</t>
  </si>
  <si>
    <t>China Mobile</t>
  </si>
  <si>
    <t>HK0941009539</t>
  </si>
  <si>
    <t>Wireless Telecommunication Services</t>
  </si>
  <si>
    <t>Sun Art Retail Group Ltd</t>
  </si>
  <si>
    <t>HK0000083920</t>
  </si>
  <si>
    <t>Hypermarkets and Supercenters</t>
  </si>
  <si>
    <t>Galaxy Entertainment Group Ltd</t>
  </si>
  <si>
    <t>HK0027032686</t>
  </si>
  <si>
    <t>Casinos &amp; Gaming</t>
  </si>
  <si>
    <t>Tencent Holdings</t>
  </si>
  <si>
    <t>KYG875721485</t>
  </si>
  <si>
    <t>Internet Software &amp; Services</t>
  </si>
  <si>
    <t>Prada Spa</t>
  </si>
  <si>
    <t>IT0003874101</t>
  </si>
  <si>
    <t>Apparel, Accessories and Luxury Goods</t>
  </si>
  <si>
    <t>Samsonite  International  S A</t>
  </si>
  <si>
    <t>LU0633102719</t>
  </si>
  <si>
    <t>United Spirits Ltd</t>
  </si>
  <si>
    <t>INE854D01016</t>
  </si>
  <si>
    <t>Hengan International Group Co Ltd</t>
  </si>
  <si>
    <t>KYG4402L1510</t>
  </si>
  <si>
    <t>Personal Products</t>
  </si>
  <si>
    <t>Brilliance China Automotive Holdings Ltd</t>
  </si>
  <si>
    <t>BMG1368B1028</t>
  </si>
  <si>
    <t>Automobile Manufacturers</t>
  </si>
  <si>
    <t>Ping An Ins Grp-H</t>
  </si>
  <si>
    <t>CNE1000003X6</t>
  </si>
  <si>
    <t>Life &amp; Health Insurance</t>
  </si>
  <si>
    <t>Nestle India Ltd</t>
  </si>
  <si>
    <t>INE239A01016</t>
  </si>
  <si>
    <t>Ind &amp; Comm Bk - H</t>
  </si>
  <si>
    <t>CNE1000003G1</t>
  </si>
  <si>
    <t>Diversified Banks</t>
  </si>
  <si>
    <t>Shandong Weigao Gr Medical Polymerco Ltd</t>
  </si>
  <si>
    <t>CNE100000171</t>
  </si>
  <si>
    <t>Health Care Supplies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</si>
  <si>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</si>
  <si>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</si>
  <si>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</si>
  <si>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</si>
  <si>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</si>
  <si>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</si>
  <si>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</si>
  <si>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</si>
  <si>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</si>
  <si>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Reliance Industries Ltd</t>
  </si>
  <si>
    <t>INE002A01018</t>
  </si>
  <si>
    <t>Oil &amp; Natural Gas Corporation Ltd</t>
  </si>
  <si>
    <t>INE213A01029</t>
  </si>
  <si>
    <t>Cnooc Ltd</t>
  </si>
  <si>
    <t>HK0883013259</t>
  </si>
  <si>
    <t>Oil &amp; Gas Exploration &amp; Production</t>
  </si>
  <si>
    <t>Petrochina Company Ltd</t>
  </si>
  <si>
    <t>CNE1000003W8</t>
  </si>
  <si>
    <t>Integrated Oil &amp; Gas</t>
  </si>
  <si>
    <t>China Petroleum -H-</t>
  </si>
  <si>
    <t>CNE1000002Q2</t>
  </si>
  <si>
    <t>Rio Tinto Ltd</t>
  </si>
  <si>
    <t>AU000000RIO1</t>
  </si>
  <si>
    <t>Woodside Petroleum Ltd</t>
  </si>
  <si>
    <t>AU000000WPL2</t>
  </si>
  <si>
    <t>Origin Energy Ltd</t>
  </si>
  <si>
    <t>AU000000ORG5</t>
  </si>
  <si>
    <t>Santos Ltd-AUD</t>
  </si>
  <si>
    <t>AU000000STO6</t>
  </si>
  <si>
    <t>Sesa Sterlite Ltd</t>
  </si>
  <si>
    <t>INE205A01025</t>
  </si>
  <si>
    <t>POSCO (Pohang Iron &amp; Steel Co Ltd )</t>
  </si>
  <si>
    <t>KR7005490008</t>
  </si>
  <si>
    <t>Steel</t>
  </si>
  <si>
    <t>Coal India Ltd</t>
  </si>
  <si>
    <t>INE522F01014</t>
  </si>
  <si>
    <t>SK Innovation Co Ltd</t>
  </si>
  <si>
    <t>KR7096770003</t>
  </si>
  <si>
    <t>Oil &amp; Gas Refining &amp; Marketing</t>
  </si>
  <si>
    <t>LG Chemicals Ltd</t>
  </si>
  <si>
    <t>KR7051910008</t>
  </si>
  <si>
    <t>Commodity Chemicals</t>
  </si>
  <si>
    <t>Tata Steel Ltd</t>
  </si>
  <si>
    <t>INE081A01012</t>
  </si>
  <si>
    <t>Ferrous Metals</t>
  </si>
  <si>
    <t>Hindalco Industries Ltd</t>
  </si>
  <si>
    <t>INE038A01020</t>
  </si>
  <si>
    <t>Non - Ferrous Metals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</si>
  <si>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</si>
  <si>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</si>
  <si>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</si>
  <si>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</si>
  <si>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</si>
  <si>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</si>
  <si>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Oil Search Ltd</t>
  </si>
  <si>
    <t>PG0008579883</t>
  </si>
  <si>
    <t>Kunlun Energy Company Ltd</t>
  </si>
  <si>
    <t>BMG5320C1082</t>
  </si>
  <si>
    <t>FORTESCUE METALS GROUP LTD</t>
  </si>
  <si>
    <t>AU000000FMG4</t>
  </si>
  <si>
    <t>Orica Ltd</t>
  </si>
  <si>
    <t>AU000000ORI1</t>
  </si>
  <si>
    <t>Cairn India Ltd</t>
  </si>
  <si>
    <t>INE910H01017</t>
  </si>
  <si>
    <t>Anhui Conch -H-</t>
  </si>
  <si>
    <t>CNE1000001W2</t>
  </si>
  <si>
    <t>Construction Materials</t>
  </si>
  <si>
    <t>Bharat Petroleum Corporation Ltd</t>
  </si>
  <si>
    <t>INE029A01011</t>
  </si>
  <si>
    <t>Jiangxi Copper Company Ltd</t>
  </si>
  <si>
    <t>CNE1000003K3</t>
  </si>
  <si>
    <t>PT Semen Gresik ( Persero) TBK</t>
  </si>
  <si>
    <t>ID1000106800</t>
  </si>
  <si>
    <t>China National Building Materia Ltd</t>
  </si>
  <si>
    <t>CNE1000002N9</t>
  </si>
  <si>
    <t>Orora Ltd</t>
  </si>
  <si>
    <t>AU000000ORA8</t>
  </si>
  <si>
    <t>Mirae Asset India Opportunities Fund</t>
  </si>
  <si>
    <t>Infosys Ltd</t>
  </si>
  <si>
    <t>INE009A01021</t>
  </si>
  <si>
    <t>HDFC Bank Ltd</t>
  </si>
  <si>
    <t>INE040A01026</t>
  </si>
  <si>
    <t>Tata Consultancy Services Ltd</t>
  </si>
  <si>
    <t>INE467B01029</t>
  </si>
  <si>
    <t>Larsen &amp; Toubro Ltd</t>
  </si>
  <si>
    <t>INE018A01030</t>
  </si>
  <si>
    <t>Construction Project</t>
  </si>
  <si>
    <t>Sun Pharmaceuticals Industries Ltd</t>
  </si>
  <si>
    <t>INE044A01036</t>
  </si>
  <si>
    <t>State Bank of India</t>
  </si>
  <si>
    <t>INE062A01012</t>
  </si>
  <si>
    <t>Axis Bank Ltd</t>
  </si>
  <si>
    <t>INE238A01026</t>
  </si>
  <si>
    <t>Lupin Ltd</t>
  </si>
  <si>
    <t>INE326A01037</t>
  </si>
  <si>
    <t>Dr. Reddy's Laboratories Ltd</t>
  </si>
  <si>
    <t>INE089A01023</t>
  </si>
  <si>
    <t>INE155A01022</t>
  </si>
  <si>
    <t>Cipla Ltd</t>
  </si>
  <si>
    <t>INE059A01026</t>
  </si>
  <si>
    <t>MIRAE ASSET FIXED MAT PLAN Sr I 368 day Dir Growth</t>
  </si>
  <si>
    <t>INF769K01CV2</t>
  </si>
  <si>
    <t>Mirae Asset Ultra Short Term Bond Fund</t>
  </si>
  <si>
    <t>State Bank of Patiala (08/09/2014) ** #</t>
  </si>
  <si>
    <t>INE652A16HP1</t>
  </si>
  <si>
    <t>Corporation Bank (25/08/2014) ** #</t>
  </si>
  <si>
    <t>INE112A16DY7</t>
  </si>
  <si>
    <t>Indian Bank (25/03/2015) ** #</t>
  </si>
  <si>
    <t>INE562A16FR2</t>
  </si>
  <si>
    <t>Mirae Asset Short Term Bond Fund</t>
  </si>
  <si>
    <t>Oriental Bank of Commerce (03/03/2015) ** #</t>
  </si>
  <si>
    <t>INE141A16OQ9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</si>
  <si>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</si>
  <si>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</si>
  <si>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</si>
  <si>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</si>
  <si>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</si>
  <si>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</si>
  <si>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</si>
  <si>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</si>
  <si>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</si>
  <si>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</si>
  <si>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</si>
  <si>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</si>
  <si>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t>State Bank of Patiala (02/07/2014)  #</t>
  </si>
  <si>
    <t>State Bank of Patiala (02/07/2014) #</t>
  </si>
  <si>
    <r>
      <t>Industry</t>
    </r>
    <r>
      <rPr>
        <sz val="9"/>
        <rFont val="Tahoma"/>
        <family val="2"/>
      </rPr>
      <t>*</t>
    </r>
  </si>
  <si>
    <t>(An Open - Ended Equity Oriented Scheme)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</si>
  <si>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</si>
  <si>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</si>
  <si>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</si>
  <si>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</si>
  <si>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</si>
  <si>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</si>
  <si>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(An Open - Ended Debt Scheme)</t>
  </si>
  <si>
    <t xml:space="preserve"> (An Open - Ended Debt Scheme)</t>
  </si>
  <si>
    <t xml:space="preserve"> (An Closed - Ended Debt Scheme)</t>
  </si>
  <si>
    <t>Mirae Asset Fixed Maturity Plan - Series I - 368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</si>
</sst>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9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Tahoma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sz val="9"/>
      <name val="Tahoma"/>
      <family val="2"/>
    </font>
    <font>
      <sz val="9"/>
      <color indexed="9"/>
      <name val="Tahoma"/>
      <family val="2"/>
    </font>
    <font>
      <b/>
      <sz val="15"/>
      <name val="Tahoma"/>
      <family val="2"/>
    </font>
    <font>
      <b/>
      <sz val="9"/>
      <color theme="1"/>
      <name val="Tahoma"/>
      <family val="2"/>
    </font>
    <font>
      <b/>
      <sz val="9"/>
      <name val="Tahoma"/>
      <family val="2"/>
    </font>
    <font>
      <sz val="9"/>
      <color theme="1"/>
      <name val="Tahoma"/>
      <family val="2"/>
    </font>
    <font>
      <b/>
      <sz val="14"/>
      <name val="Tahoma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</cellStyleXfs>
  <cellXfs count="12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/>
    <xf numFmtId="10" fontId="1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4" fontId="8" fillId="0" borderId="0" xfId="0" applyNumberFormat="1" applyFont="1" applyFill="1" applyBorder="1" applyAlignment="1" applyProtection="1">
      <alignment horizontal="left" vertical="top" wrapText="1"/>
    </xf>
    <xf numFmtId="10" fontId="8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0" fontId="9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 applyProtection="1">
      <alignment horizontal="left" vertical="top" wrapText="1"/>
    </xf>
    <xf numFmtId="4" fontId="8" fillId="0" borderId="0" xfId="0" applyNumberFormat="1" applyFont="1" applyFill="1" applyBorder="1" applyAlignment="1"/>
    <xf numFmtId="10" fontId="8" fillId="0" borderId="0" xfId="0" applyNumberFormat="1" applyFont="1" applyFill="1" applyBorder="1" applyAlignment="1"/>
    <xf numFmtId="0" fontId="15" fillId="0" borderId="4" xfId="0" applyFont="1" applyBorder="1"/>
    <xf numFmtId="0" fontId="9" fillId="0" borderId="5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4" fontId="9" fillId="0" borderId="5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12" fillId="0" borderId="4" xfId="0" applyFont="1" applyBorder="1"/>
    <xf numFmtId="0" fontId="9" fillId="0" borderId="4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left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4" fontId="9" fillId="0" borderId="5" xfId="0" applyNumberFormat="1" applyFont="1" applyFill="1" applyBorder="1" applyAlignment="1" applyProtection="1">
      <alignment horizontal="center" vertical="center" wrapText="1"/>
    </xf>
    <xf numFmtId="4" fontId="10" fillId="0" borderId="5" xfId="0" applyNumberFormat="1" applyFont="1" applyFill="1" applyBorder="1" applyAlignment="1" applyProtection="1">
      <alignment horizontal="left" vertical="top" wrapText="1"/>
    </xf>
    <xf numFmtId="3" fontId="10" fillId="0" borderId="5" xfId="0" applyNumberFormat="1" applyFont="1" applyFill="1" applyBorder="1" applyAlignment="1" applyProtection="1">
      <alignment horizontal="right" vertical="top" wrapText="1"/>
    </xf>
    <xf numFmtId="4" fontId="10" fillId="0" borderId="5" xfId="0" applyNumberFormat="1" applyFont="1" applyFill="1" applyBorder="1" applyAlignment="1" applyProtection="1">
      <alignment horizontal="right" vertical="top" wrapText="1"/>
    </xf>
    <xf numFmtId="0" fontId="15" fillId="0" borderId="5" xfId="0" applyFont="1" applyBorder="1"/>
    <xf numFmtId="0" fontId="12" fillId="0" borderId="5" xfId="0" applyFont="1" applyBorder="1"/>
    <xf numFmtId="10" fontId="10" fillId="0" borderId="6" xfId="0" applyNumberFormat="1" applyFont="1" applyFill="1" applyBorder="1" applyAlignment="1" applyProtection="1">
      <alignment horizontal="lef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4" fontId="9" fillId="0" borderId="6" xfId="0" applyNumberFormat="1" applyFont="1" applyFill="1" applyBorder="1" applyAlignment="1" applyProtection="1">
      <alignment horizontal="right" vertical="top" wrapText="1"/>
    </xf>
    <xf numFmtId="0" fontId="9" fillId="0" borderId="14" xfId="0" applyNumberFormat="1" applyFont="1" applyFill="1" applyBorder="1" applyAlignment="1" applyProtection="1">
      <alignment horizontal="left" vertical="top" wrapText="1"/>
    </xf>
    <xf numFmtId="0" fontId="10" fillId="0" borderId="15" xfId="0" applyNumberFormat="1" applyFont="1" applyFill="1" applyBorder="1" applyAlignment="1" applyProtection="1">
      <alignment horizontal="left" vertical="top" wrapText="1"/>
    </xf>
    <xf numFmtId="4" fontId="10" fillId="0" borderId="15" xfId="0" applyNumberFormat="1" applyFont="1" applyFill="1" applyBorder="1" applyAlignment="1" applyProtection="1">
      <alignment horizontal="left" vertical="top" wrapText="1"/>
    </xf>
    <xf numFmtId="10" fontId="10" fillId="0" borderId="16" xfId="0" applyNumberFormat="1" applyFont="1" applyFill="1" applyBorder="1" applyAlignment="1" applyProtection="1">
      <alignment horizontal="left" vertical="top" wrapText="1"/>
    </xf>
    <xf numFmtId="0" fontId="9" fillId="0" borderId="17" xfId="0" applyNumberFormat="1" applyFont="1" applyFill="1" applyBorder="1" applyAlignment="1" applyProtection="1">
      <alignment horizontal="left" vertical="center" wrapText="1"/>
    </xf>
    <xf numFmtId="0" fontId="9" fillId="0" borderId="18" xfId="0" applyNumberFormat="1" applyFont="1" applyFill="1" applyBorder="1" applyAlignment="1" applyProtection="1">
      <alignment horizontal="left" vertical="center" wrapText="1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4" fontId="9" fillId="0" borderId="18" xfId="0" applyNumberFormat="1" applyFont="1" applyFill="1" applyBorder="1" applyAlignment="1" applyProtection="1">
      <alignment horizontal="center" vertical="center" wrapText="1"/>
    </xf>
    <xf numFmtId="10" fontId="9" fillId="0" borderId="19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left" vertical="top" wrapText="1"/>
    </xf>
    <xf numFmtId="0" fontId="10" fillId="0" borderId="21" xfId="0" applyNumberFormat="1" applyFont="1" applyFill="1" applyBorder="1" applyAlignment="1" applyProtection="1">
      <alignment horizontal="left" vertical="top" wrapText="1"/>
    </xf>
    <xf numFmtId="4" fontId="9" fillId="0" borderId="21" xfId="0" applyNumberFormat="1" applyFont="1" applyFill="1" applyBorder="1" applyAlignment="1" applyProtection="1">
      <alignment horizontal="right" vertical="top" wrapText="1"/>
    </xf>
    <xf numFmtId="10" fontId="9" fillId="0" borderId="22" xfId="0" applyNumberFormat="1" applyFont="1" applyFill="1" applyBorder="1" applyAlignment="1" applyProtection="1">
      <alignment horizontal="right" vertical="top" wrapText="1"/>
    </xf>
    <xf numFmtId="0" fontId="9" fillId="0" borderId="23" xfId="0" applyNumberFormat="1" applyFont="1" applyFill="1" applyBorder="1" applyAlignment="1" applyProtection="1">
      <alignment horizontal="lef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4" fontId="9" fillId="0" borderId="24" xfId="0" applyNumberFormat="1" applyFont="1" applyFill="1" applyBorder="1" applyAlignment="1" applyProtection="1">
      <alignment horizontal="right" vertical="top" wrapText="1"/>
    </xf>
    <xf numFmtId="10" fontId="9" fillId="0" borderId="25" xfId="0" applyNumberFormat="1" applyFont="1" applyFill="1" applyBorder="1" applyAlignment="1" applyProtection="1">
      <alignment horizontal="right" vertical="top" wrapText="1"/>
    </xf>
    <xf numFmtId="0" fontId="9" fillId="0" borderId="26" xfId="0" applyNumberFormat="1" applyFont="1" applyFill="1" applyBorder="1" applyAlignment="1" applyProtection="1">
      <alignment horizontal="left" vertical="top" wrapText="1"/>
    </xf>
    <xf numFmtId="2" fontId="9" fillId="0" borderId="13" xfId="0" applyNumberFormat="1" applyFont="1" applyFill="1" applyBorder="1" applyAlignment="1" applyProtection="1">
      <alignment horizontal="center" vertical="top" wrapText="1"/>
    </xf>
    <xf numFmtId="0" fontId="8" fillId="0" borderId="4" xfId="0" applyFont="1" applyBorder="1"/>
    <xf numFmtId="0" fontId="9" fillId="0" borderId="4" xfId="1" applyNumberFormat="1" applyFont="1" applyFill="1" applyBorder="1" applyAlignment="1" applyProtection="1">
      <alignment horizontal="left" vertical="top" wrapText="1"/>
    </xf>
    <xf numFmtId="0" fontId="16" fillId="0" borderId="26" xfId="0" applyNumberFormat="1" applyFont="1" applyFill="1" applyBorder="1" applyAlignment="1" applyProtection="1">
      <alignment horizontal="left" vertical="top" wrapText="1"/>
    </xf>
    <xf numFmtId="2" fontId="16" fillId="0" borderId="13" xfId="0" applyNumberFormat="1" applyFont="1" applyFill="1" applyBorder="1" applyAlignment="1" applyProtection="1">
      <alignment horizontal="center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4" fontId="12" fillId="0" borderId="0" xfId="0" applyNumberFormat="1" applyFont="1" applyFill="1" applyBorder="1" applyAlignment="1" applyProtection="1">
      <alignment horizontal="left" vertical="top" wrapText="1"/>
    </xf>
    <xf numFmtId="10" fontId="12" fillId="0" borderId="0" xfId="0" applyNumberFormat="1" applyFont="1" applyFill="1" applyBorder="1" applyAlignment="1" applyProtection="1">
      <alignment horizontal="left" vertical="top" wrapText="1"/>
    </xf>
    <xf numFmtId="0" fontId="12" fillId="0" borderId="0" xfId="0" applyNumberFormat="1" applyFont="1" applyFill="1" applyBorder="1" applyAlignment="1"/>
    <xf numFmtId="0" fontId="16" fillId="0" borderId="0" xfId="0" applyNumberFormat="1" applyFont="1" applyFill="1" applyBorder="1" applyAlignment="1"/>
    <xf numFmtId="4" fontId="12" fillId="0" borderId="0" xfId="0" applyNumberFormat="1" applyFont="1" applyFill="1" applyBorder="1" applyAlignment="1"/>
    <xf numFmtId="10" fontId="12" fillId="0" borderId="0" xfId="0" applyNumberFormat="1" applyFont="1" applyFill="1" applyBorder="1" applyAlignment="1"/>
    <xf numFmtId="0" fontId="16" fillId="0" borderId="4" xfId="0" applyNumberFormat="1" applyFont="1" applyFill="1" applyBorder="1" applyAlignment="1" applyProtection="1">
      <alignment horizontal="left" vertical="top" wrapText="1"/>
    </xf>
    <xf numFmtId="0" fontId="16" fillId="0" borderId="4" xfId="0" applyFont="1" applyBorder="1"/>
    <xf numFmtId="0" fontId="16" fillId="0" borderId="5" xfId="0" applyNumberFormat="1" applyFont="1" applyFill="1" applyBorder="1" applyAlignment="1" applyProtection="1">
      <alignment horizontal="left" vertical="top" wrapText="1"/>
    </xf>
    <xf numFmtId="4" fontId="16" fillId="0" borderId="5" xfId="0" applyNumberFormat="1" applyFont="1" applyFill="1" applyBorder="1" applyAlignment="1" applyProtection="1">
      <alignment horizontal="right" vertical="top" wrapText="1"/>
    </xf>
    <xf numFmtId="2" fontId="9" fillId="0" borderId="5" xfId="0" applyNumberFormat="1" applyFont="1" applyFill="1" applyBorder="1" applyAlignment="1" applyProtection="1">
      <alignment horizontal="right" vertical="top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10" fontId="16" fillId="0" borderId="6" xfId="0" applyNumberFormat="1" applyFont="1" applyFill="1" applyBorder="1" applyAlignment="1" applyProtection="1">
      <alignment horizontal="right" vertical="top" wrapText="1"/>
    </xf>
    <xf numFmtId="0" fontId="16" fillId="0" borderId="6" xfId="0" applyNumberFormat="1" applyFont="1" applyFill="1" applyBorder="1" applyAlignment="1" applyProtection="1">
      <alignment horizontal="left" vertical="top" wrapText="1"/>
    </xf>
    <xf numFmtId="10" fontId="12" fillId="0" borderId="6" xfId="0" applyNumberFormat="1" applyFont="1" applyFill="1" applyBorder="1" applyAlignment="1" applyProtection="1">
      <alignment horizontal="right" vertical="top" wrapText="1"/>
    </xf>
    <xf numFmtId="0" fontId="9" fillId="0" borderId="14" xfId="0" applyNumberFormat="1" applyFont="1" applyFill="1" applyBorder="1" applyAlignment="1" applyProtection="1">
      <alignment horizontal="left" vertical="center" wrapText="1"/>
    </xf>
    <xf numFmtId="0" fontId="9" fillId="0" borderId="15" xfId="0" applyNumberFormat="1" applyFont="1" applyFill="1" applyBorder="1" applyAlignment="1" applyProtection="1">
      <alignment horizontal="left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9" fillId="0" borderId="16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Border="1"/>
    <xf numFmtId="0" fontId="15" fillId="0" borderId="5" xfId="0" applyNumberFormat="1" applyFont="1" applyFill="1" applyBorder="1" applyAlignment="1" applyProtection="1">
      <alignment horizontal="right" vertical="center" wrapText="1"/>
    </xf>
    <xf numFmtId="0" fontId="15" fillId="0" borderId="6" xfId="0" applyNumberFormat="1" applyFont="1" applyFill="1" applyBorder="1" applyAlignment="1" applyProtection="1">
      <alignment horizontal="right" vertical="center" wrapText="1"/>
    </xf>
    <xf numFmtId="0" fontId="17" fillId="0" borderId="4" xfId="0" applyFont="1" applyBorder="1"/>
    <xf numFmtId="10" fontId="9" fillId="0" borderId="6" xfId="0" applyNumberFormat="1" applyFont="1" applyFill="1" applyBorder="1" applyAlignment="1" applyProtection="1">
      <alignment horizontal="center" vertical="center" wrapText="1"/>
    </xf>
    <xf numFmtId="164" fontId="12" fillId="0" borderId="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10" fontId="12" fillId="0" borderId="6" xfId="0" applyNumberFormat="1" applyFont="1" applyFill="1" applyBorder="1" applyAlignment="1" applyProtection="1">
      <alignment horizontal="center" vertical="center" wrapText="1"/>
    </xf>
    <xf numFmtId="0" fontId="15" fillId="0" borderId="15" xfId="0" applyFont="1" applyBorder="1"/>
    <xf numFmtId="4" fontId="9" fillId="0" borderId="15" xfId="0" applyNumberFormat="1" applyFont="1" applyFill="1" applyBorder="1" applyAlignment="1" applyProtection="1">
      <alignment horizontal="center" vertical="center" wrapText="1"/>
    </xf>
    <xf numFmtId="10" fontId="9" fillId="0" borderId="16" xfId="0" applyNumberFormat="1" applyFont="1" applyFill="1" applyBorder="1" applyAlignment="1" applyProtection="1">
      <alignment horizontal="center" vertical="center" wrapText="1"/>
    </xf>
    <xf numFmtId="0" fontId="16" fillId="0" borderId="5" xfId="0" applyNumberFormat="1" applyFont="1" applyFill="1" applyBorder="1" applyAlignment="1" applyProtection="1">
      <alignment horizontal="center" vertical="center" wrapText="1"/>
    </xf>
    <xf numFmtId="0" fontId="15" fillId="0" borderId="13" xfId="1" applyNumberFormat="1" applyFont="1" applyFill="1" applyBorder="1" applyAlignment="1" applyProtection="1">
      <alignment horizontal="center" wrapText="1"/>
    </xf>
    <xf numFmtId="2" fontId="9" fillId="0" borderId="27" xfId="1" applyNumberFormat="1" applyFont="1" applyFill="1" applyBorder="1" applyAlignment="1" applyProtection="1">
      <alignment horizontal="center" vertical="top" wrapText="1"/>
    </xf>
    <xf numFmtId="4" fontId="12" fillId="0" borderId="5" xfId="0" applyNumberFormat="1" applyFont="1" applyFill="1" applyBorder="1" applyAlignment="1" applyProtection="1">
      <alignment horizontal="center" vertical="center" wrapText="1"/>
    </xf>
    <xf numFmtId="0" fontId="15" fillId="0" borderId="13" xfId="0" applyNumberFormat="1" applyFont="1" applyFill="1" applyBorder="1" applyAlignment="1" applyProtection="1">
      <alignment horizontal="center" wrapText="1"/>
    </xf>
    <xf numFmtId="2" fontId="9" fillId="0" borderId="27" xfId="0" applyNumberFormat="1" applyFont="1" applyFill="1" applyBorder="1" applyAlignment="1" applyProtection="1">
      <alignment horizontal="center" vertical="top" wrapText="1"/>
    </xf>
    <xf numFmtId="0" fontId="16" fillId="0" borderId="6" xfId="0" applyNumberFormat="1" applyFont="1" applyFill="1" applyBorder="1" applyAlignment="1" applyProtection="1">
      <alignment horizontal="center" vertical="center" wrapText="1"/>
    </xf>
    <xf numFmtId="0" fontId="2" fillId="0" borderId="28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165" fontId="2" fillId="0" borderId="29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6" fontId="2" fillId="0" borderId="30" xfId="0" applyNumberFormat="1" applyFont="1" applyFill="1" applyBorder="1" applyAlignment="1" applyProtection="1">
      <alignment horizontal="right" vertical="top" wrapText="1"/>
    </xf>
    <xf numFmtId="0" fontId="14" fillId="0" borderId="7" xfId="0" applyNumberFormat="1" applyFont="1" applyFill="1" applyBorder="1" applyAlignment="1" applyProtection="1">
      <alignment horizontal="center" vertical="top" wrapText="1"/>
    </xf>
    <xf numFmtId="0" fontId="14" fillId="0" borderId="8" xfId="0" applyNumberFormat="1" applyFont="1" applyFill="1" applyBorder="1" applyAlignment="1" applyProtection="1">
      <alignment horizontal="center" vertical="top" wrapText="1"/>
    </xf>
    <xf numFmtId="0" fontId="14" fillId="0" borderId="9" xfId="0" applyNumberFormat="1" applyFont="1" applyFill="1" applyBorder="1" applyAlignment="1" applyProtection="1">
      <alignment horizontal="center" vertical="top" wrapText="1"/>
    </xf>
    <xf numFmtId="0" fontId="9" fillId="0" borderId="10" xfId="0" applyNumberFormat="1" applyFont="1" applyFill="1" applyBorder="1" applyAlignment="1" applyProtection="1">
      <alignment horizontal="center" vertical="top" wrapText="1"/>
    </xf>
    <xf numFmtId="0" fontId="9" fillId="0" borderId="11" xfId="0" applyNumberFormat="1" applyFont="1" applyFill="1" applyBorder="1" applyAlignment="1" applyProtection="1">
      <alignment horizontal="center" vertical="top" wrapText="1"/>
    </xf>
    <xf numFmtId="0" fontId="9" fillId="0" borderId="12" xfId="0" applyNumberFormat="1" applyFont="1" applyFill="1" applyBorder="1" applyAlignment="1" applyProtection="1">
      <alignment horizontal="center" vertical="top" wrapText="1"/>
    </xf>
    <xf numFmtId="0" fontId="14" fillId="0" borderId="7" xfId="1" applyNumberFormat="1" applyFont="1" applyFill="1" applyBorder="1" applyAlignment="1" applyProtection="1">
      <alignment horizontal="center" vertical="top" wrapText="1"/>
    </xf>
    <xf numFmtId="0" fontId="14" fillId="0" borderId="8" xfId="1" applyNumberFormat="1" applyFont="1" applyFill="1" applyBorder="1" applyAlignment="1" applyProtection="1">
      <alignment horizontal="center" vertical="top" wrapText="1"/>
    </xf>
    <xf numFmtId="0" fontId="14" fillId="0" borderId="9" xfId="1" applyNumberFormat="1" applyFont="1" applyFill="1" applyBorder="1" applyAlignment="1" applyProtection="1">
      <alignment horizontal="center" vertical="top" wrapText="1"/>
    </xf>
    <xf numFmtId="0" fontId="9" fillId="0" borderId="10" xfId="1" applyNumberFormat="1" applyFont="1" applyFill="1" applyBorder="1" applyAlignment="1" applyProtection="1">
      <alignment horizontal="center" vertical="top" wrapText="1"/>
    </xf>
    <xf numFmtId="0" fontId="9" fillId="0" borderId="11" xfId="1" applyNumberFormat="1" applyFont="1" applyFill="1" applyBorder="1" applyAlignment="1" applyProtection="1">
      <alignment horizontal="center" vertical="top" wrapText="1"/>
    </xf>
    <xf numFmtId="0" fontId="9" fillId="0" borderId="12" xfId="1" applyNumberFormat="1" applyFont="1" applyFill="1" applyBorder="1" applyAlignment="1" applyProtection="1">
      <alignment horizontal="center" vertical="top" wrapText="1"/>
    </xf>
    <xf numFmtId="0" fontId="18" fillId="0" borderId="7" xfId="0" applyNumberFormat="1" applyFont="1" applyFill="1" applyBorder="1" applyAlignment="1" applyProtection="1">
      <alignment horizontal="center" vertical="top" wrapText="1"/>
    </xf>
    <xf numFmtId="0" fontId="18" fillId="0" borderId="8" xfId="0" applyNumberFormat="1" applyFont="1" applyFill="1" applyBorder="1" applyAlignment="1" applyProtection="1">
      <alignment horizontal="center" vertical="top" wrapText="1"/>
    </xf>
    <xf numFmtId="0" fontId="18" fillId="0" borderId="9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zoomScaleNormal="100" workbookViewId="0">
      <selection activeCell="C93" sqref="C93"/>
    </sheetView>
  </sheetViews>
  <sheetFormatPr defaultRowHeight="12.75"/>
  <cols>
    <col min="1" max="1" width="11.42578125" style="18" bestFit="1" customWidth="1"/>
    <col min="2" max="2" width="47.85546875" style="18" customWidth="1"/>
    <col min="3" max="5" width="20.5703125" style="18" customWidth="1"/>
    <col min="6" max="6" width="20.5703125" style="23" customWidth="1"/>
    <col min="7" max="7" width="20.5703125" style="24" customWidth="1"/>
    <col min="8" max="16384" width="9.140625" style="18"/>
  </cols>
  <sheetData>
    <row r="1" spans="1:7" ht="18.75">
      <c r="A1" s="14"/>
      <c r="B1" s="112" t="s">
        <v>319</v>
      </c>
      <c r="C1" s="113"/>
      <c r="D1" s="113"/>
      <c r="E1" s="113"/>
      <c r="F1" s="113"/>
      <c r="G1" s="114"/>
    </row>
    <row r="2" spans="1:7" ht="13.5" thickBot="1">
      <c r="A2" s="14"/>
      <c r="B2" s="115" t="s">
        <v>369</v>
      </c>
      <c r="C2" s="116"/>
      <c r="D2" s="116"/>
      <c r="E2" s="116"/>
      <c r="F2" s="116"/>
      <c r="G2" s="117"/>
    </row>
    <row r="3" spans="1:7">
      <c r="A3" s="14"/>
      <c r="B3" s="19" t="s">
        <v>1</v>
      </c>
      <c r="C3" s="14"/>
      <c r="D3" s="14"/>
      <c r="E3" s="14"/>
      <c r="F3" s="16"/>
      <c r="G3" s="17"/>
    </row>
    <row r="4" spans="1:7" ht="13.5" thickBot="1">
      <c r="A4" s="20"/>
      <c r="B4" s="21" t="s">
        <v>2</v>
      </c>
      <c r="C4" s="14"/>
      <c r="D4" s="14"/>
      <c r="E4" s="14"/>
      <c r="F4" s="16"/>
      <c r="G4" s="17"/>
    </row>
    <row r="5" spans="1:7" ht="23.25" thickBot="1">
      <c r="A5" s="14"/>
      <c r="B5" s="48" t="s">
        <v>3</v>
      </c>
      <c r="C5" s="49" t="s">
        <v>4</v>
      </c>
      <c r="D5" s="50" t="s">
        <v>368</v>
      </c>
      <c r="E5" s="50" t="s">
        <v>6</v>
      </c>
      <c r="F5" s="51" t="s">
        <v>7</v>
      </c>
      <c r="G5" s="52" t="s">
        <v>8</v>
      </c>
    </row>
    <row r="6" spans="1:7">
      <c r="A6" s="14"/>
      <c r="B6" s="44" t="s">
        <v>39</v>
      </c>
      <c r="C6" s="45" t="s">
        <v>1</v>
      </c>
      <c r="D6" s="45" t="s">
        <v>1</v>
      </c>
      <c r="E6" s="45" t="s">
        <v>1</v>
      </c>
      <c r="F6" s="46" t="s">
        <v>1</v>
      </c>
      <c r="G6" s="47" t="s">
        <v>1</v>
      </c>
    </row>
    <row r="7" spans="1:7">
      <c r="A7" s="14"/>
      <c r="B7" s="31" t="s">
        <v>40</v>
      </c>
      <c r="C7" s="27" t="s">
        <v>1</v>
      </c>
      <c r="D7" s="27" t="s">
        <v>1</v>
      </c>
      <c r="E7" s="27" t="s">
        <v>1</v>
      </c>
      <c r="F7" s="35" t="s">
        <v>1</v>
      </c>
      <c r="G7" s="40" t="s">
        <v>1</v>
      </c>
    </row>
    <row r="8" spans="1:7">
      <c r="A8" s="22"/>
      <c r="B8" s="41" t="s">
        <v>53</v>
      </c>
      <c r="C8" s="27" t="s">
        <v>54</v>
      </c>
      <c r="D8" s="27" t="s">
        <v>49</v>
      </c>
      <c r="E8" s="36">
        <v>249800</v>
      </c>
      <c r="F8" s="37">
        <v>3106.0131999999999</v>
      </c>
      <c r="G8" s="42">
        <v>7.0590969438278306E-2</v>
      </c>
    </row>
    <row r="9" spans="1:7">
      <c r="A9" s="22"/>
      <c r="B9" s="41" t="s">
        <v>320</v>
      </c>
      <c r="C9" s="27" t="s">
        <v>321</v>
      </c>
      <c r="D9" s="27" t="s">
        <v>43</v>
      </c>
      <c r="E9" s="36">
        <v>87453</v>
      </c>
      <c r="F9" s="37">
        <v>2781.7050239999999</v>
      </c>
      <c r="G9" s="42">
        <v>6.3220354097493603E-2</v>
      </c>
    </row>
    <row r="10" spans="1:7">
      <c r="A10" s="22"/>
      <c r="B10" s="41" t="s">
        <v>322</v>
      </c>
      <c r="C10" s="27" t="s">
        <v>323</v>
      </c>
      <c r="D10" s="27" t="s">
        <v>49</v>
      </c>
      <c r="E10" s="36">
        <v>277000</v>
      </c>
      <c r="F10" s="37">
        <v>1998.001</v>
      </c>
      <c r="G10" s="42">
        <v>4.5408959475333042E-2</v>
      </c>
    </row>
    <row r="11" spans="1:7">
      <c r="A11" s="22"/>
      <c r="B11" s="41" t="s">
        <v>195</v>
      </c>
      <c r="C11" s="27" t="s">
        <v>196</v>
      </c>
      <c r="D11" s="27" t="s">
        <v>67</v>
      </c>
      <c r="E11" s="36">
        <v>546000</v>
      </c>
      <c r="F11" s="37">
        <v>1860.4949999999999</v>
      </c>
      <c r="G11" s="42">
        <v>4.2283833721334346E-2</v>
      </c>
    </row>
    <row r="12" spans="1:7">
      <c r="A12" s="22"/>
      <c r="B12" s="41" t="s">
        <v>199</v>
      </c>
      <c r="C12" s="27" t="s">
        <v>200</v>
      </c>
      <c r="D12" s="27" t="s">
        <v>52</v>
      </c>
      <c r="E12" s="36">
        <v>201275</v>
      </c>
      <c r="F12" s="37">
        <v>1807.3488625</v>
      </c>
      <c r="G12" s="42">
        <v>4.1075971060600958E-2</v>
      </c>
    </row>
    <row r="13" spans="1:7">
      <c r="A13" s="22"/>
      <c r="B13" s="41" t="s">
        <v>324</v>
      </c>
      <c r="C13" s="27" t="s">
        <v>325</v>
      </c>
      <c r="D13" s="27" t="s">
        <v>43</v>
      </c>
      <c r="E13" s="36">
        <v>71900</v>
      </c>
      <c r="F13" s="37">
        <v>1574.0347999999999</v>
      </c>
      <c r="G13" s="42">
        <v>3.5773396733016626E-2</v>
      </c>
    </row>
    <row r="14" spans="1:7">
      <c r="A14" s="22"/>
      <c r="B14" s="41" t="s">
        <v>251</v>
      </c>
      <c r="C14" s="27" t="s">
        <v>252</v>
      </c>
      <c r="D14" s="27" t="s">
        <v>64</v>
      </c>
      <c r="E14" s="36">
        <v>158900</v>
      </c>
      <c r="F14" s="37">
        <v>1486.9862000000001</v>
      </c>
      <c r="G14" s="42">
        <v>3.3795026176753402E-2</v>
      </c>
    </row>
    <row r="15" spans="1:7">
      <c r="A15" s="22"/>
      <c r="B15" s="41" t="s">
        <v>326</v>
      </c>
      <c r="C15" s="27" t="s">
        <v>327</v>
      </c>
      <c r="D15" s="27" t="s">
        <v>328</v>
      </c>
      <c r="E15" s="36">
        <v>98250</v>
      </c>
      <c r="F15" s="37">
        <v>1271.45325</v>
      </c>
      <c r="G15" s="42">
        <v>2.8896566670402312E-2</v>
      </c>
    </row>
    <row r="16" spans="1:7">
      <c r="A16" s="22"/>
      <c r="B16" s="41" t="s">
        <v>44</v>
      </c>
      <c r="C16" s="27" t="s">
        <v>45</v>
      </c>
      <c r="D16" s="27" t="s">
        <v>46</v>
      </c>
      <c r="E16" s="36">
        <v>82106</v>
      </c>
      <c r="F16" s="37">
        <v>1134.089125</v>
      </c>
      <c r="G16" s="42">
        <v>2.5774665337275061E-2</v>
      </c>
    </row>
    <row r="17" spans="1:7">
      <c r="A17" s="22"/>
      <c r="B17" s="41" t="s">
        <v>201</v>
      </c>
      <c r="C17" s="27" t="s">
        <v>202</v>
      </c>
      <c r="D17" s="27" t="s">
        <v>203</v>
      </c>
      <c r="E17" s="36">
        <v>342291</v>
      </c>
      <c r="F17" s="37">
        <v>1122.8856255000001</v>
      </c>
      <c r="G17" s="42">
        <v>2.5520041213074215E-2</v>
      </c>
    </row>
    <row r="18" spans="1:7">
      <c r="A18" s="22"/>
      <c r="B18" s="41" t="s">
        <v>197</v>
      </c>
      <c r="C18" s="27" t="s">
        <v>198</v>
      </c>
      <c r="D18" s="27" t="s">
        <v>85</v>
      </c>
      <c r="E18" s="36">
        <v>477550</v>
      </c>
      <c r="F18" s="37">
        <v>1080.9344249999999</v>
      </c>
      <c r="G18" s="42">
        <v>2.4566608074929604E-2</v>
      </c>
    </row>
    <row r="19" spans="1:7">
      <c r="A19" s="22"/>
      <c r="B19" s="41" t="s">
        <v>329</v>
      </c>
      <c r="C19" s="27" t="s">
        <v>330</v>
      </c>
      <c r="D19" s="27" t="s">
        <v>46</v>
      </c>
      <c r="E19" s="36">
        <v>170700</v>
      </c>
      <c r="F19" s="37">
        <v>1080.1895999999999</v>
      </c>
      <c r="G19" s="42">
        <v>2.4549680291489448E-2</v>
      </c>
    </row>
    <row r="20" spans="1:7">
      <c r="A20" s="22"/>
      <c r="B20" s="41" t="s">
        <v>60</v>
      </c>
      <c r="C20" s="27" t="s">
        <v>61</v>
      </c>
      <c r="D20" s="27" t="s">
        <v>59</v>
      </c>
      <c r="E20" s="36">
        <v>248429</v>
      </c>
      <c r="F20" s="37">
        <v>1016.4472535</v>
      </c>
      <c r="G20" s="42">
        <v>2.3100995516516294E-2</v>
      </c>
    </row>
    <row r="21" spans="1:7">
      <c r="A21" s="22"/>
      <c r="B21" s="41" t="s">
        <v>57</v>
      </c>
      <c r="C21" s="27" t="s">
        <v>58</v>
      </c>
      <c r="D21" s="27" t="s">
        <v>59</v>
      </c>
      <c r="E21" s="36">
        <v>391365</v>
      </c>
      <c r="F21" s="37">
        <v>993.08868749999999</v>
      </c>
      <c r="G21" s="42">
        <v>2.2570120818807989E-2</v>
      </c>
    </row>
    <row r="22" spans="1:7">
      <c r="A22" s="22"/>
      <c r="B22" s="41" t="s">
        <v>331</v>
      </c>
      <c r="C22" s="27" t="s">
        <v>332</v>
      </c>
      <c r="D22" s="27" t="s">
        <v>49</v>
      </c>
      <c r="E22" s="36">
        <v>46300</v>
      </c>
      <c r="F22" s="37">
        <v>962.39179999999999</v>
      </c>
      <c r="G22" s="42">
        <v>2.1872466653216301E-2</v>
      </c>
    </row>
    <row r="23" spans="1:7">
      <c r="A23" s="22"/>
      <c r="B23" s="41" t="s">
        <v>41</v>
      </c>
      <c r="C23" s="27" t="s">
        <v>42</v>
      </c>
      <c r="D23" s="27" t="s">
        <v>43</v>
      </c>
      <c r="E23" s="36">
        <v>49100</v>
      </c>
      <c r="F23" s="37">
        <v>899.58564999999999</v>
      </c>
      <c r="G23" s="42">
        <v>2.0445058999190257E-2</v>
      </c>
    </row>
    <row r="24" spans="1:7">
      <c r="A24" s="22"/>
      <c r="B24" s="41" t="s">
        <v>62</v>
      </c>
      <c r="C24" s="27" t="s">
        <v>63</v>
      </c>
      <c r="D24" s="27" t="s">
        <v>64</v>
      </c>
      <c r="E24" s="36">
        <v>279500</v>
      </c>
      <c r="F24" s="37">
        <v>899.57074999999998</v>
      </c>
      <c r="G24" s="42">
        <v>2.0444720363976269E-2</v>
      </c>
    </row>
    <row r="25" spans="1:7">
      <c r="A25" s="22"/>
      <c r="B25" s="41" t="s">
        <v>204</v>
      </c>
      <c r="C25" s="27" t="s">
        <v>205</v>
      </c>
      <c r="D25" s="27" t="s">
        <v>85</v>
      </c>
      <c r="E25" s="36">
        <v>43950</v>
      </c>
      <c r="F25" s="37">
        <v>845.1585</v>
      </c>
      <c r="G25" s="42">
        <v>1.9208082516842213E-2</v>
      </c>
    </row>
    <row r="26" spans="1:7">
      <c r="A26" s="22"/>
      <c r="B26" s="41" t="s">
        <v>253</v>
      </c>
      <c r="C26" s="27" t="s">
        <v>254</v>
      </c>
      <c r="D26" s="27" t="s">
        <v>120</v>
      </c>
      <c r="E26" s="36">
        <v>238096</v>
      </c>
      <c r="F26" s="37">
        <v>774.05009600000005</v>
      </c>
      <c r="G26" s="42">
        <v>1.7591987912489358E-2</v>
      </c>
    </row>
    <row r="27" spans="1:7">
      <c r="A27" s="22"/>
      <c r="B27" s="41" t="s">
        <v>68</v>
      </c>
      <c r="C27" s="27" t="s">
        <v>69</v>
      </c>
      <c r="D27" s="27" t="s">
        <v>70</v>
      </c>
      <c r="E27" s="36">
        <v>426289</v>
      </c>
      <c r="F27" s="37">
        <v>755.81039699999997</v>
      </c>
      <c r="G27" s="42">
        <v>1.7177450706185021E-2</v>
      </c>
    </row>
    <row r="28" spans="1:7">
      <c r="A28" s="22"/>
      <c r="B28" s="41" t="s">
        <v>333</v>
      </c>
      <c r="C28" s="27" t="s">
        <v>334</v>
      </c>
      <c r="D28" s="27" t="s">
        <v>49</v>
      </c>
      <c r="E28" s="36">
        <v>49500</v>
      </c>
      <c r="F28" s="37">
        <v>751.01400000000001</v>
      </c>
      <c r="G28" s="42">
        <v>1.7068442053536394E-2</v>
      </c>
    </row>
    <row r="29" spans="1:7">
      <c r="A29" s="22"/>
      <c r="B29" s="41" t="s">
        <v>47</v>
      </c>
      <c r="C29" s="27" t="s">
        <v>48</v>
      </c>
      <c r="D29" s="27" t="s">
        <v>49</v>
      </c>
      <c r="E29" s="36">
        <v>810800</v>
      </c>
      <c r="F29" s="37">
        <v>733.36860000000001</v>
      </c>
      <c r="G29" s="42">
        <v>1.6667411596831896E-2</v>
      </c>
    </row>
    <row r="30" spans="1:7">
      <c r="A30" s="22"/>
      <c r="B30" s="41" t="s">
        <v>71</v>
      </c>
      <c r="C30" s="27" t="s">
        <v>72</v>
      </c>
      <c r="D30" s="27" t="s">
        <v>73</v>
      </c>
      <c r="E30" s="36">
        <v>1483451</v>
      </c>
      <c r="F30" s="37">
        <v>688.32126400000004</v>
      </c>
      <c r="G30" s="42">
        <v>1.5643611981668686E-2</v>
      </c>
    </row>
    <row r="31" spans="1:7">
      <c r="A31" s="22"/>
      <c r="B31" s="41" t="s">
        <v>88</v>
      </c>
      <c r="C31" s="27" t="s">
        <v>89</v>
      </c>
      <c r="D31" s="27" t="s">
        <v>46</v>
      </c>
      <c r="E31" s="36">
        <v>67555</v>
      </c>
      <c r="F31" s="37">
        <v>660.82300999999995</v>
      </c>
      <c r="G31" s="42">
        <v>1.5018653785187096E-2</v>
      </c>
    </row>
    <row r="32" spans="1:7">
      <c r="A32" s="22"/>
      <c r="B32" s="41" t="s">
        <v>80</v>
      </c>
      <c r="C32" s="27" t="s">
        <v>81</v>
      </c>
      <c r="D32" s="27" t="s">
        <v>82</v>
      </c>
      <c r="E32" s="36">
        <v>142850</v>
      </c>
      <c r="F32" s="37">
        <v>649.82465000000002</v>
      </c>
      <c r="G32" s="42">
        <v>1.4768691906521808E-2</v>
      </c>
    </row>
    <row r="33" spans="1:7">
      <c r="A33" s="22"/>
      <c r="B33" s="41" t="s">
        <v>144</v>
      </c>
      <c r="C33" s="27" t="s">
        <v>145</v>
      </c>
      <c r="D33" s="27" t="s">
        <v>94</v>
      </c>
      <c r="E33" s="36">
        <v>230230</v>
      </c>
      <c r="F33" s="37">
        <v>604.58398</v>
      </c>
      <c r="G33" s="42">
        <v>1.3740498351730336E-2</v>
      </c>
    </row>
    <row r="34" spans="1:7">
      <c r="A34" s="22"/>
      <c r="B34" s="41" t="s">
        <v>284</v>
      </c>
      <c r="C34" s="27" t="s">
        <v>285</v>
      </c>
      <c r="D34" s="27" t="s">
        <v>286</v>
      </c>
      <c r="E34" s="36">
        <v>146400</v>
      </c>
      <c r="F34" s="37">
        <v>586.55160000000001</v>
      </c>
      <c r="G34" s="42">
        <v>1.3330672924884299E-2</v>
      </c>
    </row>
    <row r="35" spans="1:7">
      <c r="A35" s="22"/>
      <c r="B35" s="41" t="s">
        <v>335</v>
      </c>
      <c r="C35" s="27" t="s">
        <v>336</v>
      </c>
      <c r="D35" s="27" t="s">
        <v>46</v>
      </c>
      <c r="E35" s="36">
        <v>59220</v>
      </c>
      <c r="F35" s="37">
        <v>586.04111999999998</v>
      </c>
      <c r="G35" s="42">
        <v>1.3319071146089911E-2</v>
      </c>
    </row>
    <row r="36" spans="1:7">
      <c r="A36" s="22"/>
      <c r="B36" s="41" t="s">
        <v>154</v>
      </c>
      <c r="C36" s="27" t="s">
        <v>155</v>
      </c>
      <c r="D36" s="27" t="s">
        <v>49</v>
      </c>
      <c r="E36" s="36">
        <v>71700</v>
      </c>
      <c r="F36" s="37">
        <v>585.75315000000001</v>
      </c>
      <c r="G36" s="42">
        <v>1.3312526395581722E-2</v>
      </c>
    </row>
    <row r="37" spans="1:7">
      <c r="A37" s="22"/>
      <c r="B37" s="41" t="s">
        <v>116</v>
      </c>
      <c r="C37" s="27" t="s">
        <v>117</v>
      </c>
      <c r="D37" s="27" t="s">
        <v>59</v>
      </c>
      <c r="E37" s="36">
        <v>425500</v>
      </c>
      <c r="F37" s="37">
        <v>509.53625</v>
      </c>
      <c r="G37" s="42">
        <v>1.1580330003570151E-2</v>
      </c>
    </row>
    <row r="38" spans="1:7">
      <c r="A38" s="22"/>
      <c r="B38" s="41" t="s">
        <v>99</v>
      </c>
      <c r="C38" s="27" t="s">
        <v>100</v>
      </c>
      <c r="D38" s="27" t="s">
        <v>46</v>
      </c>
      <c r="E38" s="36">
        <v>87500</v>
      </c>
      <c r="F38" s="37">
        <v>501.46249999999998</v>
      </c>
      <c r="G38" s="42">
        <v>1.1396836308339783E-2</v>
      </c>
    </row>
    <row r="39" spans="1:7">
      <c r="A39" s="22"/>
      <c r="B39" s="41" t="s">
        <v>113</v>
      </c>
      <c r="C39" s="27" t="s">
        <v>114</v>
      </c>
      <c r="D39" s="27" t="s">
        <v>115</v>
      </c>
      <c r="E39" s="36">
        <v>303500</v>
      </c>
      <c r="F39" s="37">
        <v>499.56099999999998</v>
      </c>
      <c r="G39" s="42">
        <v>1.1353620545964116E-2</v>
      </c>
    </row>
    <row r="40" spans="1:7">
      <c r="A40" s="22"/>
      <c r="B40" s="41" t="s">
        <v>50</v>
      </c>
      <c r="C40" s="27" t="s">
        <v>51</v>
      </c>
      <c r="D40" s="27" t="s">
        <v>52</v>
      </c>
      <c r="E40" s="36">
        <v>69289</v>
      </c>
      <c r="F40" s="37">
        <v>499.33117850000002</v>
      </c>
      <c r="G40" s="42">
        <v>1.1348397347787509E-2</v>
      </c>
    </row>
    <row r="41" spans="1:7">
      <c r="A41" s="22"/>
      <c r="B41" s="41" t="s">
        <v>65</v>
      </c>
      <c r="C41" s="27" t="s">
        <v>66</v>
      </c>
      <c r="D41" s="27" t="s">
        <v>67</v>
      </c>
      <c r="E41" s="36">
        <v>14534</v>
      </c>
      <c r="F41" s="37">
        <v>476.67886499999997</v>
      </c>
      <c r="G41" s="42">
        <v>1.0833573788768249E-2</v>
      </c>
    </row>
    <row r="42" spans="1:7">
      <c r="A42" s="22"/>
      <c r="B42" s="41" t="s">
        <v>276</v>
      </c>
      <c r="C42" s="27" t="s">
        <v>277</v>
      </c>
      <c r="D42" s="27" t="s">
        <v>123</v>
      </c>
      <c r="E42" s="36">
        <v>160000</v>
      </c>
      <c r="F42" s="37">
        <v>466.96</v>
      </c>
      <c r="G42" s="42">
        <v>1.0612691243198335E-2</v>
      </c>
    </row>
    <row r="43" spans="1:7">
      <c r="A43" s="22"/>
      <c r="B43" s="41" t="s">
        <v>74</v>
      </c>
      <c r="C43" s="27" t="s">
        <v>75</v>
      </c>
      <c r="D43" s="27" t="s">
        <v>76</v>
      </c>
      <c r="E43" s="36">
        <v>173699</v>
      </c>
      <c r="F43" s="37">
        <v>462.73413599999998</v>
      </c>
      <c r="G43" s="42">
        <v>1.0516649205619641E-2</v>
      </c>
    </row>
    <row r="44" spans="1:7">
      <c r="A44" s="22"/>
      <c r="B44" s="41" t="s">
        <v>92</v>
      </c>
      <c r="C44" s="27" t="s">
        <v>93</v>
      </c>
      <c r="D44" s="27" t="s">
        <v>94</v>
      </c>
      <c r="E44" s="36">
        <v>492809</v>
      </c>
      <c r="F44" s="37">
        <v>451.16663949999997</v>
      </c>
      <c r="G44" s="42">
        <v>1.0253752450413033E-2</v>
      </c>
    </row>
    <row r="45" spans="1:7">
      <c r="A45" s="22"/>
      <c r="B45" s="41" t="s">
        <v>90</v>
      </c>
      <c r="C45" s="27" t="s">
        <v>91</v>
      </c>
      <c r="D45" s="27" t="s">
        <v>70</v>
      </c>
      <c r="E45" s="36">
        <v>339138</v>
      </c>
      <c r="F45" s="37">
        <v>436.30103700000001</v>
      </c>
      <c r="G45" s="42">
        <v>9.9158989951350276E-3</v>
      </c>
    </row>
    <row r="46" spans="1:7">
      <c r="A46" s="22"/>
      <c r="B46" s="41" t="s">
        <v>55</v>
      </c>
      <c r="C46" s="27" t="s">
        <v>56</v>
      </c>
      <c r="D46" s="27" t="s">
        <v>46</v>
      </c>
      <c r="E46" s="36">
        <v>51500</v>
      </c>
      <c r="F46" s="37">
        <v>430.54</v>
      </c>
      <c r="G46" s="42">
        <v>9.7849667805521064E-3</v>
      </c>
    </row>
    <row r="47" spans="1:7">
      <c r="A47" s="22"/>
      <c r="B47" s="41" t="s">
        <v>223</v>
      </c>
      <c r="C47" s="27" t="s">
        <v>224</v>
      </c>
      <c r="D47" s="27" t="s">
        <v>67</v>
      </c>
      <c r="E47" s="36">
        <v>15400</v>
      </c>
      <c r="F47" s="37">
        <v>426.34899999999999</v>
      </c>
      <c r="G47" s="42">
        <v>9.6897171039197517E-3</v>
      </c>
    </row>
    <row r="48" spans="1:7">
      <c r="A48" s="22"/>
      <c r="B48" s="41" t="s">
        <v>156</v>
      </c>
      <c r="C48" s="27" t="s">
        <v>157</v>
      </c>
      <c r="D48" s="27" t="s">
        <v>67</v>
      </c>
      <c r="E48" s="36">
        <v>28280</v>
      </c>
      <c r="F48" s="37">
        <v>405.73316</v>
      </c>
      <c r="G48" s="42">
        <v>9.2211768764073783E-3</v>
      </c>
    </row>
    <row r="49" spans="1:7">
      <c r="A49" s="22"/>
      <c r="B49" s="41" t="s">
        <v>304</v>
      </c>
      <c r="C49" s="27" t="s">
        <v>305</v>
      </c>
      <c r="D49" s="27" t="s">
        <v>120</v>
      </c>
      <c r="E49" s="36">
        <v>118000</v>
      </c>
      <c r="F49" s="37">
        <v>395.47699999999998</v>
      </c>
      <c r="G49" s="42">
        <v>8.9880831222938756E-3</v>
      </c>
    </row>
    <row r="50" spans="1:7">
      <c r="A50" s="22"/>
      <c r="B50" s="41" t="s">
        <v>129</v>
      </c>
      <c r="C50" s="27" t="s">
        <v>130</v>
      </c>
      <c r="D50" s="27" t="s">
        <v>126</v>
      </c>
      <c r="E50" s="36">
        <v>149700</v>
      </c>
      <c r="F50" s="37">
        <v>381.51044999999999</v>
      </c>
      <c r="G50" s="42">
        <v>8.670662609010742E-3</v>
      </c>
    </row>
    <row r="51" spans="1:7">
      <c r="A51" s="22"/>
      <c r="B51" s="41" t="s">
        <v>149</v>
      </c>
      <c r="C51" s="27" t="s">
        <v>150</v>
      </c>
      <c r="D51" s="27" t="s">
        <v>151</v>
      </c>
      <c r="E51" s="36">
        <v>621959</v>
      </c>
      <c r="F51" s="37">
        <v>369.443646</v>
      </c>
      <c r="G51" s="42">
        <v>8.3964179946022476E-3</v>
      </c>
    </row>
    <row r="52" spans="1:7">
      <c r="A52" s="22"/>
      <c r="B52" s="41" t="s">
        <v>152</v>
      </c>
      <c r="C52" s="27" t="s">
        <v>153</v>
      </c>
      <c r="D52" s="27" t="s">
        <v>73</v>
      </c>
      <c r="E52" s="36">
        <v>158582</v>
      </c>
      <c r="F52" s="37">
        <v>360.06043099999999</v>
      </c>
      <c r="G52" s="42">
        <v>8.1831638322252837E-3</v>
      </c>
    </row>
    <row r="53" spans="1:7">
      <c r="A53" s="22"/>
      <c r="B53" s="41" t="s">
        <v>101</v>
      </c>
      <c r="C53" s="27" t="s">
        <v>102</v>
      </c>
      <c r="D53" s="27" t="s">
        <v>76</v>
      </c>
      <c r="E53" s="36">
        <v>126000</v>
      </c>
      <c r="F53" s="37">
        <v>358.28100000000001</v>
      </c>
      <c r="G53" s="42">
        <v>8.1427223558856072E-3</v>
      </c>
    </row>
    <row r="54" spans="1:7">
      <c r="A54" s="22"/>
      <c r="B54" s="41" t="s">
        <v>95</v>
      </c>
      <c r="C54" s="27" t="s">
        <v>96</v>
      </c>
      <c r="D54" s="27" t="s">
        <v>79</v>
      </c>
      <c r="E54" s="36">
        <v>239294</v>
      </c>
      <c r="F54" s="37">
        <v>334.17407100000003</v>
      </c>
      <c r="G54" s="42">
        <v>7.5948394659192198E-3</v>
      </c>
    </row>
    <row r="55" spans="1:7">
      <c r="A55" s="22"/>
      <c r="B55" s="41" t="s">
        <v>146</v>
      </c>
      <c r="C55" s="27" t="s">
        <v>147</v>
      </c>
      <c r="D55" s="27" t="s">
        <v>148</v>
      </c>
      <c r="E55" s="36">
        <v>28253</v>
      </c>
      <c r="F55" s="37">
        <v>312.77483649999999</v>
      </c>
      <c r="G55" s="42">
        <v>7.1084948783971666E-3</v>
      </c>
    </row>
    <row r="56" spans="1:7">
      <c r="A56" s="22"/>
      <c r="B56" s="41" t="s">
        <v>337</v>
      </c>
      <c r="C56" s="27" t="s">
        <v>338</v>
      </c>
      <c r="D56" s="27" t="s">
        <v>46</v>
      </c>
      <c r="E56" s="36">
        <v>9139</v>
      </c>
      <c r="F56" s="37">
        <v>247.31504849999999</v>
      </c>
      <c r="G56" s="42">
        <v>5.6207774745741E-3</v>
      </c>
    </row>
    <row r="57" spans="1:7">
      <c r="A57" s="22"/>
      <c r="B57" s="41" t="s">
        <v>171</v>
      </c>
      <c r="C57" s="27" t="s">
        <v>172</v>
      </c>
      <c r="D57" s="27" t="s">
        <v>70</v>
      </c>
      <c r="E57" s="36">
        <v>111000</v>
      </c>
      <c r="F57" s="37">
        <v>208.90199999999999</v>
      </c>
      <c r="G57" s="42">
        <v>4.7477566088885955E-3</v>
      </c>
    </row>
    <row r="58" spans="1:7">
      <c r="A58" s="22"/>
      <c r="B58" s="41" t="s">
        <v>131</v>
      </c>
      <c r="C58" s="27" t="s">
        <v>132</v>
      </c>
      <c r="D58" s="27" t="s">
        <v>52</v>
      </c>
      <c r="E58" s="36">
        <v>1068899</v>
      </c>
      <c r="F58" s="37">
        <v>182.24727949999999</v>
      </c>
      <c r="G58" s="42">
        <v>4.1419695632310466E-3</v>
      </c>
    </row>
    <row r="59" spans="1:7">
      <c r="A59" s="22"/>
      <c r="B59" s="41" t="s">
        <v>173</v>
      </c>
      <c r="C59" s="27" t="s">
        <v>174</v>
      </c>
      <c r="D59" s="27" t="s">
        <v>49</v>
      </c>
      <c r="E59" s="36">
        <v>85578</v>
      </c>
      <c r="F59" s="37">
        <v>110.652354</v>
      </c>
      <c r="G59" s="42">
        <v>2.5148176895988571E-3</v>
      </c>
    </row>
    <row r="60" spans="1:7">
      <c r="A60" s="22"/>
      <c r="B60" s="41" t="s">
        <v>197</v>
      </c>
      <c r="C60" s="27" t="s">
        <v>339</v>
      </c>
      <c r="D60" s="27" t="s">
        <v>85</v>
      </c>
      <c r="E60" s="36">
        <v>26000</v>
      </c>
      <c r="F60" s="37">
        <v>107.83499999999999</v>
      </c>
      <c r="G60" s="42">
        <v>2.450787134251954E-3</v>
      </c>
    </row>
    <row r="61" spans="1:7">
      <c r="A61" s="22"/>
      <c r="B61" s="41" t="s">
        <v>175</v>
      </c>
      <c r="C61" s="27" t="s">
        <v>176</v>
      </c>
      <c r="D61" s="27" t="s">
        <v>94</v>
      </c>
      <c r="E61" s="36">
        <v>6378330</v>
      </c>
      <c r="F61" s="37">
        <v>51.02664</v>
      </c>
      <c r="G61" s="42">
        <v>1.1596924265415323E-3</v>
      </c>
    </row>
    <row r="62" spans="1:7">
      <c r="A62" s="22"/>
      <c r="B62" s="41" t="s">
        <v>177</v>
      </c>
      <c r="C62" s="27" t="s">
        <v>178</v>
      </c>
      <c r="D62" s="27" t="s">
        <v>43</v>
      </c>
      <c r="E62" s="36">
        <v>3539</v>
      </c>
      <c r="F62" s="37">
        <v>50.717409000000004</v>
      </c>
      <c r="G62" s="42">
        <v>1.1526644731283374E-3</v>
      </c>
    </row>
    <row r="63" spans="1:7">
      <c r="A63" s="22"/>
      <c r="B63" s="41" t="s">
        <v>340</v>
      </c>
      <c r="C63" s="27" t="s">
        <v>341</v>
      </c>
      <c r="D63" s="27" t="s">
        <v>46</v>
      </c>
      <c r="E63" s="36">
        <v>1500</v>
      </c>
      <c r="F63" s="37">
        <v>5.9617500000000003</v>
      </c>
      <c r="G63" s="42">
        <v>1.3549385818729159E-4</v>
      </c>
    </row>
    <row r="64" spans="1:7">
      <c r="A64" s="14"/>
      <c r="B64" s="31" t="s">
        <v>28</v>
      </c>
      <c r="C64" s="27" t="s">
        <v>1</v>
      </c>
      <c r="D64" s="27" t="s">
        <v>1</v>
      </c>
      <c r="E64" s="27" t="s">
        <v>1</v>
      </c>
      <c r="F64" s="28">
        <v>42339.253301500001</v>
      </c>
      <c r="G64" s="29">
        <v>0.96225249005564772</v>
      </c>
    </row>
    <row r="65" spans="1:7">
      <c r="A65" s="14"/>
      <c r="B65" s="31"/>
      <c r="C65" s="27"/>
      <c r="D65" s="27"/>
      <c r="E65" s="27"/>
      <c r="F65" s="28"/>
      <c r="G65" s="29"/>
    </row>
    <row r="66" spans="1:7">
      <c r="A66" s="14"/>
      <c r="B66" s="31" t="s">
        <v>179</v>
      </c>
      <c r="C66" s="27" t="s">
        <v>1</v>
      </c>
      <c r="D66" s="27" t="s">
        <v>1</v>
      </c>
      <c r="E66" s="28" t="s">
        <v>180</v>
      </c>
      <c r="F66" s="28" t="s">
        <v>180</v>
      </c>
      <c r="G66" s="28" t="s">
        <v>180</v>
      </c>
    </row>
    <row r="67" spans="1:7">
      <c r="A67" s="14"/>
      <c r="B67" s="31" t="s">
        <v>28</v>
      </c>
      <c r="C67" s="27" t="s">
        <v>1</v>
      </c>
      <c r="D67" s="27" t="s">
        <v>1</v>
      </c>
      <c r="E67" s="28" t="s">
        <v>180</v>
      </c>
      <c r="F67" s="28" t="s">
        <v>180</v>
      </c>
      <c r="G67" s="28" t="s">
        <v>180</v>
      </c>
    </row>
    <row r="68" spans="1:7">
      <c r="A68" s="14"/>
      <c r="B68" s="31" t="s">
        <v>29</v>
      </c>
      <c r="C68" s="27" t="s">
        <v>1</v>
      </c>
      <c r="D68" s="27" t="s">
        <v>1</v>
      </c>
      <c r="E68" s="27" t="s">
        <v>1</v>
      </c>
      <c r="F68" s="28">
        <v>42339.253301500001</v>
      </c>
      <c r="G68" s="29">
        <v>0.96225249005564772</v>
      </c>
    </row>
    <row r="69" spans="1:7">
      <c r="A69" s="14"/>
      <c r="B69" s="31"/>
      <c r="C69" s="27"/>
      <c r="D69" s="27"/>
      <c r="E69" s="27"/>
      <c r="F69" s="28"/>
      <c r="G69" s="29"/>
    </row>
    <row r="70" spans="1:7">
      <c r="A70" s="14"/>
      <c r="B70" s="31" t="s">
        <v>191</v>
      </c>
      <c r="C70" s="27" t="s">
        <v>1</v>
      </c>
      <c r="D70" s="27" t="s">
        <v>1</v>
      </c>
      <c r="E70" s="27" t="s">
        <v>1</v>
      </c>
      <c r="F70" s="35" t="s">
        <v>1</v>
      </c>
      <c r="G70" s="40" t="s">
        <v>1</v>
      </c>
    </row>
    <row r="71" spans="1:7">
      <c r="A71" s="22"/>
      <c r="B71" s="41" t="s">
        <v>342</v>
      </c>
      <c r="C71" s="27" t="s">
        <v>343</v>
      </c>
      <c r="D71" s="27" t="s">
        <v>1</v>
      </c>
      <c r="E71" s="36">
        <v>2500440</v>
      </c>
      <c r="F71" s="37">
        <v>255.129895</v>
      </c>
      <c r="G71" s="42">
        <v>5.7983870193263039E-3</v>
      </c>
    </row>
    <row r="72" spans="1:7">
      <c r="A72" s="14"/>
      <c r="B72" s="31" t="s">
        <v>28</v>
      </c>
      <c r="C72" s="27" t="s">
        <v>1</v>
      </c>
      <c r="D72" s="27" t="s">
        <v>1</v>
      </c>
      <c r="E72" s="27" t="s">
        <v>1</v>
      </c>
      <c r="F72" s="28">
        <v>255.129895</v>
      </c>
      <c r="G72" s="29">
        <v>5.7983870193263039E-3</v>
      </c>
    </row>
    <row r="73" spans="1:7">
      <c r="A73" s="14"/>
      <c r="B73" s="31" t="s">
        <v>29</v>
      </c>
      <c r="C73" s="27" t="s">
        <v>1</v>
      </c>
      <c r="D73" s="27" t="s">
        <v>1</v>
      </c>
      <c r="E73" s="27" t="s">
        <v>1</v>
      </c>
      <c r="F73" s="28">
        <v>255.129895</v>
      </c>
      <c r="G73" s="29">
        <v>5.7983870193263039E-3</v>
      </c>
    </row>
    <row r="74" spans="1:7">
      <c r="A74" s="14"/>
      <c r="B74" s="31"/>
      <c r="C74" s="27"/>
      <c r="D74" s="27"/>
      <c r="E74" s="27"/>
      <c r="F74" s="28"/>
      <c r="G74" s="29"/>
    </row>
    <row r="75" spans="1:7">
      <c r="A75" s="14"/>
      <c r="B75" s="25" t="s">
        <v>356</v>
      </c>
      <c r="C75" s="26"/>
      <c r="D75" s="27"/>
      <c r="E75" s="27"/>
      <c r="F75" s="28"/>
      <c r="G75" s="29"/>
    </row>
    <row r="76" spans="1:7">
      <c r="A76" s="14"/>
      <c r="B76" s="30" t="s">
        <v>360</v>
      </c>
      <c r="C76" s="26"/>
      <c r="D76" s="27"/>
      <c r="E76" s="28" t="s">
        <v>180</v>
      </c>
      <c r="F76" s="28" t="s">
        <v>180</v>
      </c>
      <c r="G76" s="43" t="s">
        <v>180</v>
      </c>
    </row>
    <row r="77" spans="1:7">
      <c r="A77" s="14"/>
      <c r="B77" s="30" t="s">
        <v>358</v>
      </c>
      <c r="C77" s="26"/>
      <c r="D77" s="27"/>
      <c r="E77" s="28" t="s">
        <v>180</v>
      </c>
      <c r="F77" s="28" t="s">
        <v>180</v>
      </c>
      <c r="G77" s="43" t="s">
        <v>180</v>
      </c>
    </row>
    <row r="78" spans="1:7">
      <c r="A78" s="14"/>
      <c r="B78" s="30" t="s">
        <v>359</v>
      </c>
      <c r="C78" s="26"/>
      <c r="D78" s="27"/>
      <c r="E78" s="28" t="s">
        <v>180</v>
      </c>
      <c r="F78" s="28" t="s">
        <v>180</v>
      </c>
      <c r="G78" s="43" t="s">
        <v>180</v>
      </c>
    </row>
    <row r="79" spans="1:7">
      <c r="A79" s="14"/>
      <c r="B79" s="31"/>
      <c r="C79" s="27"/>
      <c r="D79" s="27"/>
      <c r="E79" s="27"/>
      <c r="F79" s="28"/>
      <c r="G79" s="29"/>
    </row>
    <row r="80" spans="1:7">
      <c r="A80" s="14"/>
      <c r="B80" s="31" t="s">
        <v>10</v>
      </c>
      <c r="C80" s="27"/>
      <c r="D80" s="27"/>
      <c r="E80" s="27"/>
      <c r="F80" s="28"/>
      <c r="G80" s="29"/>
    </row>
    <row r="81" spans="1:7">
      <c r="A81" s="14"/>
      <c r="B81" s="31" t="s">
        <v>30</v>
      </c>
      <c r="C81" s="27" t="s">
        <v>1</v>
      </c>
      <c r="D81" s="27" t="s">
        <v>1</v>
      </c>
      <c r="E81" s="27" t="s">
        <v>1</v>
      </c>
      <c r="F81" s="35" t="s">
        <v>1</v>
      </c>
      <c r="G81" s="40" t="s">
        <v>1</v>
      </c>
    </row>
    <row r="82" spans="1:7">
      <c r="A82" s="22"/>
      <c r="B82" s="41" t="s">
        <v>31</v>
      </c>
      <c r="C82" s="27" t="s">
        <v>1</v>
      </c>
      <c r="D82" s="27" t="s">
        <v>32</v>
      </c>
      <c r="E82" s="36"/>
      <c r="F82" s="37">
        <v>1617.4096575000001</v>
      </c>
      <c r="G82" s="42">
        <v>3.6759185602224319E-2</v>
      </c>
    </row>
    <row r="83" spans="1:7">
      <c r="A83" s="14"/>
      <c r="B83" s="31" t="s">
        <v>28</v>
      </c>
      <c r="C83" s="27" t="s">
        <v>1</v>
      </c>
      <c r="D83" s="27" t="s">
        <v>1</v>
      </c>
      <c r="E83" s="27" t="s">
        <v>1</v>
      </c>
      <c r="F83" s="28">
        <v>1617.4096575000001</v>
      </c>
      <c r="G83" s="29">
        <v>3.6759185602224319E-2</v>
      </c>
    </row>
    <row r="84" spans="1:7">
      <c r="A84" s="14"/>
      <c r="B84" s="31" t="s">
        <v>29</v>
      </c>
      <c r="C84" s="27" t="s">
        <v>1</v>
      </c>
      <c r="D84" s="27" t="s">
        <v>1</v>
      </c>
      <c r="E84" s="27" t="s">
        <v>1</v>
      </c>
      <c r="F84" s="28">
        <v>1617.4096575000001</v>
      </c>
      <c r="G84" s="29">
        <v>3.6759185602224319E-2</v>
      </c>
    </row>
    <row r="85" spans="1:7">
      <c r="A85" s="14"/>
      <c r="B85" s="31"/>
      <c r="C85" s="27"/>
      <c r="D85" s="27"/>
      <c r="E85" s="27"/>
      <c r="F85" s="28"/>
      <c r="G85" s="29"/>
    </row>
    <row r="86" spans="1:7">
      <c r="A86" s="14"/>
      <c r="B86" s="31" t="s">
        <v>190</v>
      </c>
      <c r="C86" s="27"/>
      <c r="D86" s="27"/>
      <c r="E86" s="27"/>
      <c r="F86" s="28"/>
      <c r="G86" s="29"/>
    </row>
    <row r="87" spans="1:7" ht="13.5" thickBot="1">
      <c r="A87" s="14"/>
      <c r="B87" s="57" t="s">
        <v>33</v>
      </c>
      <c r="C87" s="58" t="s">
        <v>1</v>
      </c>
      <c r="D87" s="58" t="s">
        <v>1</v>
      </c>
      <c r="E87" s="58" t="s">
        <v>1</v>
      </c>
      <c r="F87" s="59">
        <v>-211.6434763128</v>
      </c>
      <c r="G87" s="60">
        <v>-4.8100626771983368E-3</v>
      </c>
    </row>
    <row r="88" spans="1:7" ht="14.25" thickTop="1" thickBot="1">
      <c r="A88" s="14"/>
      <c r="B88" s="53" t="s">
        <v>34</v>
      </c>
      <c r="C88" s="54" t="s">
        <v>1</v>
      </c>
      <c r="D88" s="54" t="s">
        <v>1</v>
      </c>
      <c r="E88" s="54" t="s">
        <v>1</v>
      </c>
      <c r="F88" s="55">
        <v>44000.149377687201</v>
      </c>
      <c r="G88" s="56">
        <v>1</v>
      </c>
    </row>
    <row r="89" spans="1:7">
      <c r="A89" s="14"/>
      <c r="B89" s="20" t="s">
        <v>1</v>
      </c>
      <c r="C89" s="14"/>
      <c r="D89" s="14"/>
      <c r="E89" s="14"/>
      <c r="F89" s="16"/>
      <c r="G89" s="17"/>
    </row>
    <row r="90" spans="1:7">
      <c r="A90" s="14"/>
      <c r="B90" s="15" t="s">
        <v>32</v>
      </c>
      <c r="C90" s="14"/>
      <c r="D90" s="14"/>
      <c r="E90" s="14"/>
      <c r="F90" s="16"/>
      <c r="G90" s="17"/>
    </row>
    <row r="91" spans="1:7">
      <c r="A91" s="14"/>
      <c r="B91" s="15" t="s">
        <v>364</v>
      </c>
      <c r="C91" s="14"/>
      <c r="D91" s="14"/>
      <c r="E91" s="14"/>
      <c r="F91" s="16"/>
      <c r="G91" s="17"/>
    </row>
    <row r="92" spans="1:7" ht="13.5" thickBot="1">
      <c r="A92" s="14"/>
      <c r="B92" s="15" t="s">
        <v>1</v>
      </c>
      <c r="C92" s="14"/>
      <c r="D92" s="14"/>
      <c r="E92" s="14"/>
      <c r="F92" s="16"/>
      <c r="G92" s="17"/>
    </row>
    <row r="93" spans="1:7" ht="13.5" thickBot="1">
      <c r="B93" s="61" t="s">
        <v>370</v>
      </c>
      <c r="C93" s="62">
        <v>0.37609999999999999</v>
      </c>
    </row>
    <row r="94" spans="1:7">
      <c r="B94" s="20" t="s">
        <v>371</v>
      </c>
      <c r="C94" s="20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zoomScaleNormal="100" workbookViewId="0">
      <selection activeCell="C90" sqref="C90"/>
    </sheetView>
  </sheetViews>
  <sheetFormatPr defaultRowHeight="12.75"/>
  <cols>
    <col min="1" max="1" width="11.42578125" style="18" bestFit="1" customWidth="1"/>
    <col min="2" max="2" width="48.85546875" style="18" customWidth="1"/>
    <col min="3" max="5" width="20.140625" style="18" customWidth="1"/>
    <col min="6" max="6" width="20.140625" style="23" customWidth="1"/>
    <col min="7" max="7" width="20.140625" style="24" customWidth="1"/>
    <col min="8" max="16384" width="9.140625" style="18"/>
  </cols>
  <sheetData>
    <row r="1" spans="1:7" ht="18.75">
      <c r="A1" s="14"/>
      <c r="B1" s="112" t="s">
        <v>37</v>
      </c>
      <c r="C1" s="113"/>
      <c r="D1" s="113"/>
      <c r="E1" s="113"/>
      <c r="F1" s="113"/>
      <c r="G1" s="114"/>
    </row>
    <row r="2" spans="1:7" ht="13.5" thickBot="1">
      <c r="A2" s="14"/>
      <c r="B2" s="115" t="s">
        <v>372</v>
      </c>
      <c r="C2" s="116"/>
      <c r="D2" s="116"/>
      <c r="E2" s="116"/>
      <c r="F2" s="116"/>
      <c r="G2" s="117"/>
    </row>
    <row r="3" spans="1:7">
      <c r="A3" s="14"/>
      <c r="B3" s="19" t="s">
        <v>1</v>
      </c>
      <c r="C3" s="14"/>
      <c r="D3" s="14"/>
      <c r="E3" s="14"/>
      <c r="F3" s="16"/>
      <c r="G3" s="17"/>
    </row>
    <row r="4" spans="1:7" ht="13.5" thickBot="1">
      <c r="A4" s="20"/>
      <c r="B4" s="21" t="s">
        <v>2</v>
      </c>
      <c r="C4" s="14"/>
      <c r="D4" s="14"/>
      <c r="E4" s="14"/>
      <c r="F4" s="16"/>
      <c r="G4" s="17"/>
    </row>
    <row r="5" spans="1:7" ht="23.25" thickBot="1">
      <c r="A5" s="14"/>
      <c r="B5" s="48" t="s">
        <v>3</v>
      </c>
      <c r="C5" s="49" t="s">
        <v>4</v>
      </c>
      <c r="D5" s="50" t="s">
        <v>368</v>
      </c>
      <c r="E5" s="50" t="s">
        <v>6</v>
      </c>
      <c r="F5" s="51" t="s">
        <v>7</v>
      </c>
      <c r="G5" s="52" t="s">
        <v>8</v>
      </c>
    </row>
    <row r="6" spans="1:7">
      <c r="A6" s="14"/>
      <c r="B6" s="44" t="s">
        <v>39</v>
      </c>
      <c r="C6" s="45" t="s">
        <v>1</v>
      </c>
      <c r="D6" s="45" t="s">
        <v>1</v>
      </c>
      <c r="E6" s="45" t="s">
        <v>1</v>
      </c>
      <c r="F6" s="46" t="s">
        <v>1</v>
      </c>
      <c r="G6" s="47" t="s">
        <v>1</v>
      </c>
    </row>
    <row r="7" spans="1:7">
      <c r="A7" s="14"/>
      <c r="B7" s="31" t="s">
        <v>40</v>
      </c>
      <c r="C7" s="27" t="s">
        <v>1</v>
      </c>
      <c r="D7" s="27" t="s">
        <v>1</v>
      </c>
      <c r="E7" s="27" t="s">
        <v>1</v>
      </c>
      <c r="F7" s="35" t="s">
        <v>1</v>
      </c>
      <c r="G7" s="40" t="s">
        <v>1</v>
      </c>
    </row>
    <row r="8" spans="1:7">
      <c r="A8" s="22"/>
      <c r="B8" s="41" t="s">
        <v>41</v>
      </c>
      <c r="C8" s="27" t="s">
        <v>42</v>
      </c>
      <c r="D8" s="27" t="s">
        <v>43</v>
      </c>
      <c r="E8" s="36">
        <v>51300</v>
      </c>
      <c r="F8" s="37">
        <v>939.89295000000004</v>
      </c>
      <c r="G8" s="42">
        <v>3.7263247177740343E-2</v>
      </c>
    </row>
    <row r="9" spans="1:7">
      <c r="A9" s="22"/>
      <c r="B9" s="41" t="s">
        <v>44</v>
      </c>
      <c r="C9" s="27" t="s">
        <v>45</v>
      </c>
      <c r="D9" s="27" t="s">
        <v>46</v>
      </c>
      <c r="E9" s="36">
        <v>64967</v>
      </c>
      <c r="F9" s="37">
        <v>897.35668750000002</v>
      </c>
      <c r="G9" s="42">
        <v>3.557684314252043E-2</v>
      </c>
    </row>
    <row r="10" spans="1:7">
      <c r="A10" s="22"/>
      <c r="B10" s="41" t="s">
        <v>47</v>
      </c>
      <c r="C10" s="27" t="s">
        <v>48</v>
      </c>
      <c r="D10" s="27" t="s">
        <v>49</v>
      </c>
      <c r="E10" s="36">
        <v>989595</v>
      </c>
      <c r="F10" s="37">
        <v>895.08867750000002</v>
      </c>
      <c r="G10" s="42">
        <v>3.5486925011703946E-2</v>
      </c>
    </row>
    <row r="11" spans="1:7">
      <c r="A11" s="22"/>
      <c r="B11" s="41" t="s">
        <v>50</v>
      </c>
      <c r="C11" s="27" t="s">
        <v>51</v>
      </c>
      <c r="D11" s="27" t="s">
        <v>52</v>
      </c>
      <c r="E11" s="36">
        <v>117006</v>
      </c>
      <c r="F11" s="37">
        <v>843.20373900000004</v>
      </c>
      <c r="G11" s="42">
        <v>3.3429880868402997E-2</v>
      </c>
    </row>
    <row r="12" spans="1:7">
      <c r="A12" s="22"/>
      <c r="B12" s="41" t="s">
        <v>53</v>
      </c>
      <c r="C12" s="27" t="s">
        <v>54</v>
      </c>
      <c r="D12" s="27" t="s">
        <v>49</v>
      </c>
      <c r="E12" s="36">
        <v>67100</v>
      </c>
      <c r="F12" s="37">
        <v>834.32140000000004</v>
      </c>
      <c r="G12" s="42">
        <v>3.3077729281699976E-2</v>
      </c>
    </row>
    <row r="13" spans="1:7">
      <c r="A13" s="22"/>
      <c r="B13" s="41" t="s">
        <v>55</v>
      </c>
      <c r="C13" s="27" t="s">
        <v>56</v>
      </c>
      <c r="D13" s="27" t="s">
        <v>46</v>
      </c>
      <c r="E13" s="36">
        <v>92304</v>
      </c>
      <c r="F13" s="37">
        <v>771.66143999999997</v>
      </c>
      <c r="G13" s="42">
        <v>3.0593495755288989E-2</v>
      </c>
    </row>
    <row r="14" spans="1:7">
      <c r="A14" s="22"/>
      <c r="B14" s="41" t="s">
        <v>57</v>
      </c>
      <c r="C14" s="27" t="s">
        <v>58</v>
      </c>
      <c r="D14" s="27" t="s">
        <v>59</v>
      </c>
      <c r="E14" s="36">
        <v>300684</v>
      </c>
      <c r="F14" s="37">
        <v>762.98564999999996</v>
      </c>
      <c r="G14" s="42">
        <v>3.0249533065461208E-2</v>
      </c>
    </row>
    <row r="15" spans="1:7">
      <c r="A15" s="22"/>
      <c r="B15" s="41" t="s">
        <v>60</v>
      </c>
      <c r="C15" s="27" t="s">
        <v>61</v>
      </c>
      <c r="D15" s="27" t="s">
        <v>59</v>
      </c>
      <c r="E15" s="36">
        <v>183178</v>
      </c>
      <c r="F15" s="37">
        <v>749.47278700000004</v>
      </c>
      <c r="G15" s="42">
        <v>2.9713798486275419E-2</v>
      </c>
    </row>
    <row r="16" spans="1:7">
      <c r="A16" s="22"/>
      <c r="B16" s="41" t="s">
        <v>62</v>
      </c>
      <c r="C16" s="27" t="s">
        <v>63</v>
      </c>
      <c r="D16" s="27" t="s">
        <v>64</v>
      </c>
      <c r="E16" s="36">
        <v>217838</v>
      </c>
      <c r="F16" s="37">
        <v>701.11160299999995</v>
      </c>
      <c r="G16" s="42">
        <v>2.7796458055963456E-2</v>
      </c>
    </row>
    <row r="17" spans="1:7">
      <c r="A17" s="22"/>
      <c r="B17" s="41" t="s">
        <v>65</v>
      </c>
      <c r="C17" s="27" t="s">
        <v>66</v>
      </c>
      <c r="D17" s="27" t="s">
        <v>67</v>
      </c>
      <c r="E17" s="36">
        <v>20162</v>
      </c>
      <c r="F17" s="37">
        <v>661.263195</v>
      </c>
      <c r="G17" s="42">
        <v>2.6216617418853189E-2</v>
      </c>
    </row>
    <row r="18" spans="1:7">
      <c r="A18" s="22"/>
      <c r="B18" s="41" t="s">
        <v>68</v>
      </c>
      <c r="C18" s="27" t="s">
        <v>69</v>
      </c>
      <c r="D18" s="27" t="s">
        <v>70</v>
      </c>
      <c r="E18" s="36">
        <v>360309</v>
      </c>
      <c r="F18" s="37">
        <v>638.82785699999999</v>
      </c>
      <c r="G18" s="42">
        <v>2.5327140010377946E-2</v>
      </c>
    </row>
    <row r="19" spans="1:7">
      <c r="A19" s="22"/>
      <c r="B19" s="41" t="s">
        <v>71</v>
      </c>
      <c r="C19" s="27" t="s">
        <v>72</v>
      </c>
      <c r="D19" s="27" t="s">
        <v>73</v>
      </c>
      <c r="E19" s="36">
        <v>1321959</v>
      </c>
      <c r="F19" s="37">
        <v>613.38897599999996</v>
      </c>
      <c r="G19" s="42">
        <v>2.431858333312218E-2</v>
      </c>
    </row>
    <row r="20" spans="1:7">
      <c r="A20" s="22"/>
      <c r="B20" s="41" t="s">
        <v>74</v>
      </c>
      <c r="C20" s="27" t="s">
        <v>75</v>
      </c>
      <c r="D20" s="27" t="s">
        <v>76</v>
      </c>
      <c r="E20" s="36">
        <v>224134</v>
      </c>
      <c r="F20" s="37">
        <v>597.09297600000002</v>
      </c>
      <c r="G20" s="42">
        <v>2.3672507760357796E-2</v>
      </c>
    </row>
    <row r="21" spans="1:7">
      <c r="A21" s="22"/>
      <c r="B21" s="41" t="s">
        <v>77</v>
      </c>
      <c r="C21" s="27" t="s">
        <v>78</v>
      </c>
      <c r="D21" s="27" t="s">
        <v>79</v>
      </c>
      <c r="E21" s="36">
        <v>27467</v>
      </c>
      <c r="F21" s="37">
        <v>582.58880350000004</v>
      </c>
      <c r="G21" s="42">
        <v>2.309747145970666E-2</v>
      </c>
    </row>
    <row r="22" spans="1:7">
      <c r="A22" s="22"/>
      <c r="B22" s="41" t="s">
        <v>80</v>
      </c>
      <c r="C22" s="27" t="s">
        <v>81</v>
      </c>
      <c r="D22" s="27" t="s">
        <v>82</v>
      </c>
      <c r="E22" s="36">
        <v>126524</v>
      </c>
      <c r="F22" s="37">
        <v>575.55767600000001</v>
      </c>
      <c r="G22" s="42">
        <v>2.28187134990573E-2</v>
      </c>
    </row>
    <row r="23" spans="1:7">
      <c r="A23" s="22"/>
      <c r="B23" s="41" t="s">
        <v>83</v>
      </c>
      <c r="C23" s="27" t="s">
        <v>84</v>
      </c>
      <c r="D23" s="27" t="s">
        <v>85</v>
      </c>
      <c r="E23" s="36">
        <v>8808</v>
      </c>
      <c r="F23" s="37">
        <v>546.20609999999999</v>
      </c>
      <c r="G23" s="42">
        <v>2.1655033069765614E-2</v>
      </c>
    </row>
    <row r="24" spans="1:7">
      <c r="A24" s="22"/>
      <c r="B24" s="41" t="s">
        <v>86</v>
      </c>
      <c r="C24" s="27" t="s">
        <v>87</v>
      </c>
      <c r="D24" s="27" t="s">
        <v>64</v>
      </c>
      <c r="E24" s="36">
        <v>430685</v>
      </c>
      <c r="F24" s="37">
        <v>523.49761750000005</v>
      </c>
      <c r="G24" s="42">
        <v>2.0754726501417707E-2</v>
      </c>
    </row>
    <row r="25" spans="1:7">
      <c r="A25" s="22"/>
      <c r="B25" s="41" t="s">
        <v>88</v>
      </c>
      <c r="C25" s="27" t="s">
        <v>89</v>
      </c>
      <c r="D25" s="27" t="s">
        <v>46</v>
      </c>
      <c r="E25" s="36">
        <v>49422</v>
      </c>
      <c r="F25" s="37">
        <v>483.44600400000002</v>
      </c>
      <c r="G25" s="42">
        <v>1.9166829524727091E-2</v>
      </c>
    </row>
    <row r="26" spans="1:7">
      <c r="A26" s="22"/>
      <c r="B26" s="41" t="s">
        <v>90</v>
      </c>
      <c r="C26" s="27" t="s">
        <v>91</v>
      </c>
      <c r="D26" s="27" t="s">
        <v>70</v>
      </c>
      <c r="E26" s="36">
        <v>348009</v>
      </c>
      <c r="F26" s="37">
        <v>447.71357849999998</v>
      </c>
      <c r="G26" s="42">
        <v>1.775017223022702E-2</v>
      </c>
    </row>
    <row r="27" spans="1:7">
      <c r="A27" s="22"/>
      <c r="B27" s="41" t="s">
        <v>92</v>
      </c>
      <c r="C27" s="27" t="s">
        <v>93</v>
      </c>
      <c r="D27" s="27" t="s">
        <v>94</v>
      </c>
      <c r="E27" s="36">
        <v>483236</v>
      </c>
      <c r="F27" s="37">
        <v>442.402558</v>
      </c>
      <c r="G27" s="42">
        <v>1.7539610091573309E-2</v>
      </c>
    </row>
    <row r="28" spans="1:7">
      <c r="A28" s="22"/>
      <c r="B28" s="41" t="s">
        <v>95</v>
      </c>
      <c r="C28" s="27" t="s">
        <v>96</v>
      </c>
      <c r="D28" s="27" t="s">
        <v>79</v>
      </c>
      <c r="E28" s="36">
        <v>299652</v>
      </c>
      <c r="F28" s="37">
        <v>418.46401800000001</v>
      </c>
      <c r="G28" s="42">
        <v>1.6590536334722357E-2</v>
      </c>
    </row>
    <row r="29" spans="1:7">
      <c r="A29" s="22"/>
      <c r="B29" s="41" t="s">
        <v>97</v>
      </c>
      <c r="C29" s="27" t="s">
        <v>98</v>
      </c>
      <c r="D29" s="27" t="s">
        <v>85</v>
      </c>
      <c r="E29" s="36">
        <v>38619</v>
      </c>
      <c r="F29" s="37">
        <v>407.584926</v>
      </c>
      <c r="G29" s="42">
        <v>1.6159220944745895E-2</v>
      </c>
    </row>
    <row r="30" spans="1:7">
      <c r="A30" s="22"/>
      <c r="B30" s="41" t="s">
        <v>99</v>
      </c>
      <c r="C30" s="27" t="s">
        <v>100</v>
      </c>
      <c r="D30" s="27" t="s">
        <v>46</v>
      </c>
      <c r="E30" s="36">
        <v>68500</v>
      </c>
      <c r="F30" s="37">
        <v>392.57350000000002</v>
      </c>
      <c r="G30" s="42">
        <v>1.5564073936218639E-2</v>
      </c>
    </row>
    <row r="31" spans="1:7">
      <c r="A31" s="22"/>
      <c r="B31" s="41" t="s">
        <v>101</v>
      </c>
      <c r="C31" s="27" t="s">
        <v>102</v>
      </c>
      <c r="D31" s="27" t="s">
        <v>76</v>
      </c>
      <c r="E31" s="36">
        <v>138000</v>
      </c>
      <c r="F31" s="37">
        <v>392.40300000000002</v>
      </c>
      <c r="G31" s="42">
        <v>1.5557314247635162E-2</v>
      </c>
    </row>
    <row r="32" spans="1:7">
      <c r="A32" s="22"/>
      <c r="B32" s="41" t="s">
        <v>103</v>
      </c>
      <c r="C32" s="27" t="s">
        <v>104</v>
      </c>
      <c r="D32" s="27" t="s">
        <v>43</v>
      </c>
      <c r="E32" s="36">
        <v>66278</v>
      </c>
      <c r="F32" s="37">
        <v>387.69316099999998</v>
      </c>
      <c r="G32" s="42">
        <v>1.5370586711457386E-2</v>
      </c>
    </row>
    <row r="33" spans="1:7">
      <c r="A33" s="22"/>
      <c r="B33" s="41" t="s">
        <v>105</v>
      </c>
      <c r="C33" s="27" t="s">
        <v>106</v>
      </c>
      <c r="D33" s="27" t="s">
        <v>49</v>
      </c>
      <c r="E33" s="36">
        <v>85000</v>
      </c>
      <c r="F33" s="37">
        <v>374.63749999999999</v>
      </c>
      <c r="G33" s="42">
        <v>1.4852978484997358E-2</v>
      </c>
    </row>
    <row r="34" spans="1:7">
      <c r="A34" s="22"/>
      <c r="B34" s="41" t="s">
        <v>107</v>
      </c>
      <c r="C34" s="27" t="s">
        <v>108</v>
      </c>
      <c r="D34" s="27" t="s">
        <v>49</v>
      </c>
      <c r="E34" s="36">
        <v>22217</v>
      </c>
      <c r="F34" s="37">
        <v>372.14585849999997</v>
      </c>
      <c r="G34" s="42">
        <v>1.4754194199943602E-2</v>
      </c>
    </row>
    <row r="35" spans="1:7">
      <c r="A35" s="22"/>
      <c r="B35" s="41" t="s">
        <v>109</v>
      </c>
      <c r="C35" s="27" t="s">
        <v>110</v>
      </c>
      <c r="D35" s="27" t="s">
        <v>46</v>
      </c>
      <c r="E35" s="36">
        <v>60475</v>
      </c>
      <c r="F35" s="37">
        <v>365.60161249999999</v>
      </c>
      <c r="G35" s="42">
        <v>1.4494739273411874E-2</v>
      </c>
    </row>
    <row r="36" spans="1:7">
      <c r="A36" s="22"/>
      <c r="B36" s="41" t="s">
        <v>111</v>
      </c>
      <c r="C36" s="27" t="s">
        <v>112</v>
      </c>
      <c r="D36" s="27" t="s">
        <v>67</v>
      </c>
      <c r="E36" s="36">
        <v>41790</v>
      </c>
      <c r="F36" s="37">
        <v>361.08649500000001</v>
      </c>
      <c r="G36" s="42">
        <v>1.4315731717882235E-2</v>
      </c>
    </row>
    <row r="37" spans="1:7">
      <c r="A37" s="22"/>
      <c r="B37" s="41" t="s">
        <v>113</v>
      </c>
      <c r="C37" s="27" t="s">
        <v>114</v>
      </c>
      <c r="D37" s="27" t="s">
        <v>115</v>
      </c>
      <c r="E37" s="36">
        <v>205527</v>
      </c>
      <c r="F37" s="37">
        <v>338.29744199999999</v>
      </c>
      <c r="G37" s="42">
        <v>1.3412230829950663E-2</v>
      </c>
    </row>
    <row r="38" spans="1:7">
      <c r="A38" s="22"/>
      <c r="B38" s="41" t="s">
        <v>116</v>
      </c>
      <c r="C38" s="27" t="s">
        <v>117</v>
      </c>
      <c r="D38" s="27" t="s">
        <v>59</v>
      </c>
      <c r="E38" s="36">
        <v>281533</v>
      </c>
      <c r="F38" s="37">
        <v>337.13576749999999</v>
      </c>
      <c r="G38" s="42">
        <v>1.3366174772147934E-2</v>
      </c>
    </row>
    <row r="39" spans="1:7">
      <c r="A39" s="22"/>
      <c r="B39" s="41" t="s">
        <v>118</v>
      </c>
      <c r="C39" s="27" t="s">
        <v>119</v>
      </c>
      <c r="D39" s="27" t="s">
        <v>120</v>
      </c>
      <c r="E39" s="36">
        <v>69000</v>
      </c>
      <c r="F39" s="37">
        <v>329.30250000000001</v>
      </c>
      <c r="G39" s="42">
        <v>1.3055614954605031E-2</v>
      </c>
    </row>
    <row r="40" spans="1:7">
      <c r="A40" s="22"/>
      <c r="B40" s="41" t="s">
        <v>121</v>
      </c>
      <c r="C40" s="27" t="s">
        <v>122</v>
      </c>
      <c r="D40" s="27" t="s">
        <v>123</v>
      </c>
      <c r="E40" s="36">
        <v>232265</v>
      </c>
      <c r="F40" s="37">
        <v>306.58980000000003</v>
      </c>
      <c r="G40" s="42">
        <v>1.2155141178124568E-2</v>
      </c>
    </row>
    <row r="41" spans="1:7">
      <c r="A41" s="22"/>
      <c r="B41" s="41" t="s">
        <v>124</v>
      </c>
      <c r="C41" s="27" t="s">
        <v>125</v>
      </c>
      <c r="D41" s="27" t="s">
        <v>126</v>
      </c>
      <c r="E41" s="36">
        <v>336395</v>
      </c>
      <c r="F41" s="37">
        <v>305.61485750000003</v>
      </c>
      <c r="G41" s="42">
        <v>1.2116488347116969E-2</v>
      </c>
    </row>
    <row r="42" spans="1:7">
      <c r="A42" s="22"/>
      <c r="B42" s="41" t="s">
        <v>127</v>
      </c>
      <c r="C42" s="27" t="s">
        <v>128</v>
      </c>
      <c r="D42" s="27" t="s">
        <v>43</v>
      </c>
      <c r="E42" s="36">
        <v>24999</v>
      </c>
      <c r="F42" s="37">
        <v>303.26286900000002</v>
      </c>
      <c r="G42" s="42">
        <v>1.2023240782237689E-2</v>
      </c>
    </row>
    <row r="43" spans="1:7">
      <c r="A43" s="22"/>
      <c r="B43" s="41" t="s">
        <v>129</v>
      </c>
      <c r="C43" s="27" t="s">
        <v>130</v>
      </c>
      <c r="D43" s="27" t="s">
        <v>126</v>
      </c>
      <c r="E43" s="36">
        <v>118650</v>
      </c>
      <c r="F43" s="37">
        <v>302.379525</v>
      </c>
      <c r="G43" s="42">
        <v>1.198821948985011E-2</v>
      </c>
    </row>
    <row r="44" spans="1:7">
      <c r="A44" s="22"/>
      <c r="B44" s="41" t="s">
        <v>131</v>
      </c>
      <c r="C44" s="27" t="s">
        <v>132</v>
      </c>
      <c r="D44" s="27" t="s">
        <v>52</v>
      </c>
      <c r="E44" s="36">
        <v>1765781</v>
      </c>
      <c r="F44" s="37">
        <v>301.06566049999998</v>
      </c>
      <c r="G44" s="42">
        <v>1.1936129666619114E-2</v>
      </c>
    </row>
    <row r="45" spans="1:7">
      <c r="A45" s="22"/>
      <c r="B45" s="41" t="s">
        <v>133</v>
      </c>
      <c r="C45" s="27" t="s">
        <v>134</v>
      </c>
      <c r="D45" s="27" t="s">
        <v>67</v>
      </c>
      <c r="E45" s="36">
        <v>33136</v>
      </c>
      <c r="F45" s="37">
        <v>286.82521600000001</v>
      </c>
      <c r="G45" s="42">
        <v>1.1371549196764124E-2</v>
      </c>
    </row>
    <row r="46" spans="1:7">
      <c r="A46" s="22"/>
      <c r="B46" s="41" t="s">
        <v>135</v>
      </c>
      <c r="C46" s="27" t="s">
        <v>136</v>
      </c>
      <c r="D46" s="27" t="s">
        <v>43</v>
      </c>
      <c r="E46" s="36">
        <v>70000</v>
      </c>
      <c r="F46" s="37">
        <v>284.06</v>
      </c>
      <c r="G46" s="42">
        <v>1.1261918703942744E-2</v>
      </c>
    </row>
    <row r="47" spans="1:7">
      <c r="A47" s="22"/>
      <c r="B47" s="41" t="s">
        <v>137</v>
      </c>
      <c r="C47" s="27" t="s">
        <v>138</v>
      </c>
      <c r="D47" s="27" t="s">
        <v>46</v>
      </c>
      <c r="E47" s="36">
        <v>49019</v>
      </c>
      <c r="F47" s="37">
        <v>283.32981999999998</v>
      </c>
      <c r="G47" s="42">
        <v>1.123296979244783E-2</v>
      </c>
    </row>
    <row r="48" spans="1:7">
      <c r="A48" s="22"/>
      <c r="B48" s="41" t="s">
        <v>139</v>
      </c>
      <c r="C48" s="27" t="s">
        <v>140</v>
      </c>
      <c r="D48" s="27" t="s">
        <v>49</v>
      </c>
      <c r="E48" s="36">
        <v>46877</v>
      </c>
      <c r="F48" s="37">
        <v>265.464451</v>
      </c>
      <c r="G48" s="42">
        <v>1.0524674596735872E-2</v>
      </c>
    </row>
    <row r="49" spans="1:7">
      <c r="A49" s="22"/>
      <c r="B49" s="41" t="s">
        <v>141</v>
      </c>
      <c r="C49" s="27" t="s">
        <v>142</v>
      </c>
      <c r="D49" s="27" t="s">
        <v>143</v>
      </c>
      <c r="E49" s="36">
        <v>180000</v>
      </c>
      <c r="F49" s="37">
        <v>260.64</v>
      </c>
      <c r="G49" s="42">
        <v>1.0333403122564375E-2</v>
      </c>
    </row>
    <row r="50" spans="1:7">
      <c r="A50" s="22"/>
      <c r="B50" s="41" t="s">
        <v>144</v>
      </c>
      <c r="C50" s="27" t="s">
        <v>145</v>
      </c>
      <c r="D50" s="27" t="s">
        <v>94</v>
      </c>
      <c r="E50" s="36">
        <v>97589</v>
      </c>
      <c r="F50" s="37">
        <v>256.26871399999999</v>
      </c>
      <c r="G50" s="42">
        <v>1.0160097949137342E-2</v>
      </c>
    </row>
    <row r="51" spans="1:7">
      <c r="A51" s="22"/>
      <c r="B51" s="41" t="s">
        <v>146</v>
      </c>
      <c r="C51" s="27" t="s">
        <v>147</v>
      </c>
      <c r="D51" s="27" t="s">
        <v>148</v>
      </c>
      <c r="E51" s="36">
        <v>23100</v>
      </c>
      <c r="F51" s="37">
        <v>255.72855000000001</v>
      </c>
      <c r="G51" s="42">
        <v>1.0138682462779543E-2</v>
      </c>
    </row>
    <row r="52" spans="1:7">
      <c r="A52" s="22"/>
      <c r="B52" s="41" t="s">
        <v>149</v>
      </c>
      <c r="C52" s="27" t="s">
        <v>150</v>
      </c>
      <c r="D52" s="27" t="s">
        <v>151</v>
      </c>
      <c r="E52" s="36">
        <v>417580</v>
      </c>
      <c r="F52" s="37">
        <v>248.04252</v>
      </c>
      <c r="G52" s="42">
        <v>9.8339600625258466E-3</v>
      </c>
    </row>
    <row r="53" spans="1:7">
      <c r="A53" s="22"/>
      <c r="B53" s="41" t="s">
        <v>152</v>
      </c>
      <c r="C53" s="27" t="s">
        <v>153</v>
      </c>
      <c r="D53" s="27" t="s">
        <v>73</v>
      </c>
      <c r="E53" s="36">
        <v>107321</v>
      </c>
      <c r="F53" s="37">
        <v>243.67233049999999</v>
      </c>
      <c r="G53" s="42">
        <v>9.6606983612309641E-3</v>
      </c>
    </row>
    <row r="54" spans="1:7">
      <c r="A54" s="22"/>
      <c r="B54" s="41" t="s">
        <v>154</v>
      </c>
      <c r="C54" s="27" t="s">
        <v>155</v>
      </c>
      <c r="D54" s="27" t="s">
        <v>49</v>
      </c>
      <c r="E54" s="36">
        <v>28300</v>
      </c>
      <c r="F54" s="37">
        <v>231.19685000000001</v>
      </c>
      <c r="G54" s="42">
        <v>9.1660921259862169E-3</v>
      </c>
    </row>
    <row r="55" spans="1:7">
      <c r="A55" s="22"/>
      <c r="B55" s="41" t="s">
        <v>156</v>
      </c>
      <c r="C55" s="27" t="s">
        <v>157</v>
      </c>
      <c r="D55" s="27" t="s">
        <v>67</v>
      </c>
      <c r="E55" s="36">
        <v>15925</v>
      </c>
      <c r="F55" s="37">
        <v>228.47597500000001</v>
      </c>
      <c r="G55" s="42">
        <v>9.05821958830548E-3</v>
      </c>
    </row>
    <row r="56" spans="1:7">
      <c r="A56" s="22"/>
      <c r="B56" s="41" t="s">
        <v>158</v>
      </c>
      <c r="C56" s="27" t="s">
        <v>159</v>
      </c>
      <c r="D56" s="27" t="s">
        <v>143</v>
      </c>
      <c r="E56" s="36">
        <v>293305</v>
      </c>
      <c r="F56" s="37">
        <v>213.52603999999999</v>
      </c>
      <c r="G56" s="42">
        <v>8.4655104684039501E-3</v>
      </c>
    </row>
    <row r="57" spans="1:7">
      <c r="A57" s="22"/>
      <c r="B57" s="41" t="s">
        <v>160</v>
      </c>
      <c r="C57" s="27" t="s">
        <v>161</v>
      </c>
      <c r="D57" s="27" t="s">
        <v>52</v>
      </c>
      <c r="E57" s="36">
        <v>10416</v>
      </c>
      <c r="F57" s="37">
        <v>195.023976</v>
      </c>
      <c r="G57" s="42">
        <v>7.7319726925004599E-3</v>
      </c>
    </row>
    <row r="58" spans="1:7">
      <c r="A58" s="22"/>
      <c r="B58" s="41" t="s">
        <v>162</v>
      </c>
      <c r="C58" s="27" t="s">
        <v>163</v>
      </c>
      <c r="D58" s="27" t="s">
        <v>52</v>
      </c>
      <c r="E58" s="36">
        <v>69803</v>
      </c>
      <c r="F58" s="37">
        <v>183.163072</v>
      </c>
      <c r="G58" s="42">
        <v>7.2617321214828254E-3</v>
      </c>
    </row>
    <row r="59" spans="1:7">
      <c r="A59" s="22"/>
      <c r="B59" s="41" t="s">
        <v>164</v>
      </c>
      <c r="C59" s="27" t="s">
        <v>165</v>
      </c>
      <c r="D59" s="27" t="s">
        <v>166</v>
      </c>
      <c r="E59" s="36">
        <v>124452</v>
      </c>
      <c r="F59" s="37">
        <v>160.79198400000001</v>
      </c>
      <c r="G59" s="42">
        <v>6.3748019856849332E-3</v>
      </c>
    </row>
    <row r="60" spans="1:7">
      <c r="A60" s="22"/>
      <c r="B60" s="41" t="s">
        <v>167</v>
      </c>
      <c r="C60" s="27" t="s">
        <v>168</v>
      </c>
      <c r="D60" s="27" t="s">
        <v>67</v>
      </c>
      <c r="E60" s="36">
        <v>92000</v>
      </c>
      <c r="F60" s="37">
        <v>137.494</v>
      </c>
      <c r="G60" s="42">
        <v>5.4511238832637594E-3</v>
      </c>
    </row>
    <row r="61" spans="1:7">
      <c r="A61" s="22"/>
      <c r="B61" s="41" t="s">
        <v>169</v>
      </c>
      <c r="C61" s="27" t="s">
        <v>170</v>
      </c>
      <c r="D61" s="27" t="s">
        <v>43</v>
      </c>
      <c r="E61" s="36">
        <v>3548</v>
      </c>
      <c r="F61" s="37">
        <v>106.45419200000001</v>
      </c>
      <c r="G61" s="42">
        <v>4.2205113567482643E-3</v>
      </c>
    </row>
    <row r="62" spans="1:7">
      <c r="A62" s="22"/>
      <c r="B62" s="41" t="s">
        <v>171</v>
      </c>
      <c r="C62" s="27" t="s">
        <v>172</v>
      </c>
      <c r="D62" s="27" t="s">
        <v>70</v>
      </c>
      <c r="E62" s="36">
        <v>54000</v>
      </c>
      <c r="F62" s="37">
        <v>101.628</v>
      </c>
      <c r="G62" s="42">
        <v>4.0291708584253086E-3</v>
      </c>
    </row>
    <row r="63" spans="1:7">
      <c r="A63" s="22"/>
      <c r="B63" s="41" t="s">
        <v>173</v>
      </c>
      <c r="C63" s="27" t="s">
        <v>174</v>
      </c>
      <c r="D63" s="27" t="s">
        <v>49</v>
      </c>
      <c r="E63" s="36">
        <v>76577</v>
      </c>
      <c r="F63" s="37">
        <v>99.014060999999998</v>
      </c>
      <c r="G63" s="42">
        <v>3.9255379339900994E-3</v>
      </c>
    </row>
    <row r="64" spans="1:7">
      <c r="A64" s="22"/>
      <c r="B64" s="41" t="s">
        <v>175</v>
      </c>
      <c r="C64" s="27" t="s">
        <v>176</v>
      </c>
      <c r="D64" s="27" t="s">
        <v>94</v>
      </c>
      <c r="E64" s="36">
        <v>3771369</v>
      </c>
      <c r="F64" s="37">
        <v>30.170952</v>
      </c>
      <c r="G64" s="42">
        <v>1.196165629249309E-3</v>
      </c>
    </row>
    <row r="65" spans="1:7">
      <c r="A65" s="22"/>
      <c r="B65" s="41" t="s">
        <v>177</v>
      </c>
      <c r="C65" s="27" t="s">
        <v>178</v>
      </c>
      <c r="D65" s="27" t="s">
        <v>43</v>
      </c>
      <c r="E65" s="36">
        <v>140</v>
      </c>
      <c r="F65" s="37">
        <v>2.0063399999999998</v>
      </c>
      <c r="G65" s="42">
        <v>7.9543892038542853E-5</v>
      </c>
    </row>
    <row r="66" spans="1:7">
      <c r="A66" s="14"/>
      <c r="B66" s="31" t="s">
        <v>28</v>
      </c>
      <c r="C66" s="27" t="s">
        <v>1</v>
      </c>
      <c r="D66" s="27" t="s">
        <v>1</v>
      </c>
      <c r="E66" s="27" t="s">
        <v>1</v>
      </c>
      <c r="F66" s="28">
        <v>23575.895811499999</v>
      </c>
      <c r="G66" s="29">
        <v>0.93469626840011699</v>
      </c>
    </row>
    <row r="67" spans="1:7">
      <c r="A67" s="14"/>
      <c r="B67" s="31"/>
      <c r="C67" s="27"/>
      <c r="D67" s="27"/>
      <c r="E67" s="27"/>
      <c r="F67" s="28"/>
      <c r="G67" s="29"/>
    </row>
    <row r="68" spans="1:7">
      <c r="A68" s="14"/>
      <c r="B68" s="31" t="s">
        <v>179</v>
      </c>
      <c r="C68" s="27" t="s">
        <v>1</v>
      </c>
      <c r="D68" s="27" t="s">
        <v>1</v>
      </c>
      <c r="E68" s="28" t="s">
        <v>180</v>
      </c>
      <c r="F68" s="28" t="s">
        <v>180</v>
      </c>
      <c r="G68" s="29" t="s">
        <v>180</v>
      </c>
    </row>
    <row r="69" spans="1:7">
      <c r="A69" s="14"/>
      <c r="B69" s="31" t="s">
        <v>28</v>
      </c>
      <c r="C69" s="27" t="s">
        <v>1</v>
      </c>
      <c r="D69" s="27" t="s">
        <v>1</v>
      </c>
      <c r="E69" s="28" t="s">
        <v>180</v>
      </c>
      <c r="F69" s="28" t="s">
        <v>180</v>
      </c>
      <c r="G69" s="29" t="s">
        <v>180</v>
      </c>
    </row>
    <row r="70" spans="1:7">
      <c r="A70" s="14"/>
      <c r="B70" s="31" t="s">
        <v>29</v>
      </c>
      <c r="C70" s="27" t="s">
        <v>1</v>
      </c>
      <c r="D70" s="27" t="s">
        <v>1</v>
      </c>
      <c r="E70" s="27" t="s">
        <v>1</v>
      </c>
      <c r="F70" s="28">
        <v>23575.895811499999</v>
      </c>
      <c r="G70" s="29">
        <v>0.93469626840011699</v>
      </c>
    </row>
    <row r="71" spans="1:7">
      <c r="A71" s="14"/>
      <c r="B71" s="31"/>
      <c r="C71" s="27"/>
      <c r="D71" s="27"/>
      <c r="E71" s="27"/>
      <c r="F71" s="28"/>
      <c r="G71" s="29"/>
    </row>
    <row r="72" spans="1:7">
      <c r="A72" s="14"/>
      <c r="B72" s="25" t="s">
        <v>356</v>
      </c>
      <c r="C72" s="26"/>
      <c r="D72" s="27"/>
      <c r="E72" s="27"/>
      <c r="F72" s="28"/>
      <c r="G72" s="29"/>
    </row>
    <row r="73" spans="1:7">
      <c r="A73" s="22"/>
      <c r="B73" s="63" t="s">
        <v>360</v>
      </c>
      <c r="C73" s="26"/>
      <c r="D73" s="27"/>
      <c r="E73" s="28" t="s">
        <v>180</v>
      </c>
      <c r="F73" s="28" t="s">
        <v>180</v>
      </c>
      <c r="G73" s="43" t="s">
        <v>180</v>
      </c>
    </row>
    <row r="74" spans="1:7">
      <c r="A74" s="14"/>
      <c r="B74" s="63" t="s">
        <v>358</v>
      </c>
      <c r="C74" s="26"/>
      <c r="D74" s="27"/>
      <c r="E74" s="28" t="s">
        <v>180</v>
      </c>
      <c r="F74" s="28" t="s">
        <v>180</v>
      </c>
      <c r="G74" s="43" t="s">
        <v>180</v>
      </c>
    </row>
    <row r="75" spans="1:7">
      <c r="A75" s="14"/>
      <c r="B75" s="63" t="s">
        <v>359</v>
      </c>
      <c r="C75" s="26"/>
      <c r="D75" s="27"/>
      <c r="E75" s="28" t="s">
        <v>180</v>
      </c>
      <c r="F75" s="28" t="s">
        <v>180</v>
      </c>
      <c r="G75" s="43" t="s">
        <v>180</v>
      </c>
    </row>
    <row r="76" spans="1:7">
      <c r="A76" s="14"/>
      <c r="B76" s="31"/>
      <c r="C76" s="26"/>
      <c r="D76" s="27"/>
      <c r="E76" s="27"/>
      <c r="F76" s="28"/>
      <c r="G76" s="29"/>
    </row>
    <row r="77" spans="1:7">
      <c r="A77" s="14"/>
      <c r="B77" s="31" t="s">
        <v>10</v>
      </c>
      <c r="C77" s="26"/>
      <c r="D77" s="27"/>
      <c r="E77" s="27"/>
      <c r="F77" s="28"/>
      <c r="G77" s="29"/>
    </row>
    <row r="78" spans="1:7">
      <c r="A78" s="14"/>
      <c r="B78" s="31" t="s">
        <v>30</v>
      </c>
      <c r="C78" s="27" t="s">
        <v>1</v>
      </c>
      <c r="D78" s="27" t="s">
        <v>1</v>
      </c>
      <c r="E78" s="27" t="s">
        <v>1</v>
      </c>
      <c r="F78" s="35" t="s">
        <v>1</v>
      </c>
      <c r="G78" s="40" t="s">
        <v>1</v>
      </c>
    </row>
    <row r="79" spans="1:7">
      <c r="A79" s="22"/>
      <c r="B79" s="41" t="s">
        <v>31</v>
      </c>
      <c r="C79" s="27" t="s">
        <v>1</v>
      </c>
      <c r="D79" s="27" t="s">
        <v>32</v>
      </c>
      <c r="E79" s="36"/>
      <c r="F79" s="37">
        <v>1324.3649545000001</v>
      </c>
      <c r="G79" s="42">
        <v>5.2506127057416849E-2</v>
      </c>
    </row>
    <row r="80" spans="1:7">
      <c r="A80" s="14"/>
      <c r="B80" s="31" t="s">
        <v>28</v>
      </c>
      <c r="C80" s="27" t="s">
        <v>1</v>
      </c>
      <c r="D80" s="27" t="s">
        <v>1</v>
      </c>
      <c r="E80" s="27" t="s">
        <v>1</v>
      </c>
      <c r="F80" s="28">
        <v>1324.3649545000001</v>
      </c>
      <c r="G80" s="29">
        <v>5.2506127057416849E-2</v>
      </c>
    </row>
    <row r="81" spans="1:7">
      <c r="A81" s="14"/>
      <c r="B81" s="31" t="s">
        <v>29</v>
      </c>
      <c r="C81" s="27" t="s">
        <v>1</v>
      </c>
      <c r="D81" s="27" t="s">
        <v>1</v>
      </c>
      <c r="E81" s="27" t="s">
        <v>1</v>
      </c>
      <c r="F81" s="28">
        <v>1324.3649545000001</v>
      </c>
      <c r="G81" s="29">
        <v>5.2506127057416849E-2</v>
      </c>
    </row>
    <row r="82" spans="1:7">
      <c r="A82" s="14"/>
      <c r="B82" s="31"/>
      <c r="C82" s="27"/>
      <c r="D82" s="27"/>
      <c r="E82" s="27"/>
      <c r="F82" s="28"/>
      <c r="G82" s="29"/>
    </row>
    <row r="83" spans="1:7">
      <c r="A83" s="14"/>
      <c r="B83" s="64" t="s">
        <v>190</v>
      </c>
      <c r="C83" s="27"/>
      <c r="D83" s="27"/>
      <c r="E83" s="27"/>
      <c r="F83" s="28"/>
      <c r="G83" s="29"/>
    </row>
    <row r="84" spans="1:7" ht="13.5" thickBot="1">
      <c r="A84" s="14"/>
      <c r="B84" s="57" t="s">
        <v>33</v>
      </c>
      <c r="C84" s="58" t="s">
        <v>1</v>
      </c>
      <c r="D84" s="58" t="s">
        <v>1</v>
      </c>
      <c r="E84" s="58" t="s">
        <v>1</v>
      </c>
      <c r="F84" s="59">
        <v>322.79468906659997</v>
      </c>
      <c r="G84" s="60">
        <v>1.2797604542466213E-2</v>
      </c>
    </row>
    <row r="85" spans="1:7" ht="14.25" thickTop="1" thickBot="1">
      <c r="A85" s="14"/>
      <c r="B85" s="53" t="s">
        <v>34</v>
      </c>
      <c r="C85" s="54" t="s">
        <v>1</v>
      </c>
      <c r="D85" s="54" t="s">
        <v>1</v>
      </c>
      <c r="E85" s="54" t="s">
        <v>1</v>
      </c>
      <c r="F85" s="55">
        <v>25223.055455066598</v>
      </c>
      <c r="G85" s="56">
        <v>1</v>
      </c>
    </row>
    <row r="86" spans="1:7">
      <c r="A86" s="14"/>
      <c r="B86" s="20" t="s">
        <v>1</v>
      </c>
      <c r="C86" s="14"/>
      <c r="D86" s="14"/>
      <c r="E86" s="14"/>
      <c r="F86" s="16"/>
      <c r="G86" s="17"/>
    </row>
    <row r="87" spans="1:7">
      <c r="A87" s="14"/>
      <c r="B87" s="15" t="s">
        <v>32</v>
      </c>
      <c r="C87" s="14"/>
      <c r="D87" s="14"/>
      <c r="E87" s="14"/>
      <c r="F87" s="16"/>
      <c r="G87" s="17"/>
    </row>
    <row r="88" spans="1:7">
      <c r="A88" s="14"/>
      <c r="B88" s="15" t="s">
        <v>364</v>
      </c>
      <c r="C88" s="14"/>
      <c r="D88" s="14"/>
      <c r="E88" s="14"/>
      <c r="F88" s="16"/>
      <c r="G88" s="17"/>
    </row>
    <row r="89" spans="1:7" ht="13.5" thickBot="1">
      <c r="A89" s="14"/>
      <c r="B89" s="15" t="s">
        <v>1</v>
      </c>
      <c r="C89" s="14"/>
      <c r="D89" s="14"/>
      <c r="E89" s="14"/>
      <c r="F89" s="16"/>
      <c r="G89" s="17"/>
    </row>
    <row r="90" spans="1:7" ht="13.5" thickBot="1">
      <c r="B90" s="65" t="s">
        <v>370</v>
      </c>
      <c r="C90" s="66">
        <v>0.74719999999999998</v>
      </c>
    </row>
    <row r="91" spans="1:7">
      <c r="B91" s="67" t="s">
        <v>371</v>
      </c>
      <c r="C91" s="67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showGridLines="0" zoomScaleNormal="100" workbookViewId="0">
      <selection activeCell="C78" sqref="C78"/>
    </sheetView>
  </sheetViews>
  <sheetFormatPr defaultRowHeight="11.25"/>
  <cols>
    <col min="1" max="1" width="12.42578125" style="70" bestFit="1" customWidth="1"/>
    <col min="2" max="2" width="49.5703125" style="70" customWidth="1"/>
    <col min="3" max="3" width="14.140625" style="70" bestFit="1" customWidth="1"/>
    <col min="4" max="4" width="32.85546875" style="70" bestFit="1" customWidth="1"/>
    <col min="5" max="5" width="16" style="70" customWidth="1"/>
    <col min="6" max="6" width="16.7109375" style="72" customWidth="1"/>
    <col min="7" max="7" width="16" style="73" customWidth="1"/>
    <col min="8" max="16384" width="9.140625" style="70"/>
  </cols>
  <sheetData>
    <row r="1" spans="1:7" ht="18.75">
      <c r="A1" s="67"/>
      <c r="B1" s="112" t="s">
        <v>194</v>
      </c>
      <c r="C1" s="113"/>
      <c r="D1" s="113"/>
      <c r="E1" s="113"/>
      <c r="F1" s="113"/>
      <c r="G1" s="114"/>
    </row>
    <row r="2" spans="1:7" ht="12" thickBot="1">
      <c r="A2" s="67"/>
      <c r="B2" s="115" t="s">
        <v>369</v>
      </c>
      <c r="C2" s="116"/>
      <c r="D2" s="116"/>
      <c r="E2" s="116"/>
      <c r="F2" s="116"/>
      <c r="G2" s="117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12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38</v>
      </c>
      <c r="E5" s="50" t="s">
        <v>6</v>
      </c>
      <c r="F5" s="51" t="s">
        <v>7</v>
      </c>
      <c r="G5" s="52" t="s">
        <v>8</v>
      </c>
    </row>
    <row r="6" spans="1:7">
      <c r="A6" s="67"/>
      <c r="B6" s="84" t="s">
        <v>39</v>
      </c>
      <c r="C6" s="85"/>
      <c r="D6" s="86"/>
      <c r="E6" s="86"/>
      <c r="F6" s="86"/>
      <c r="G6" s="87"/>
    </row>
    <row r="7" spans="1:7">
      <c r="A7" s="67"/>
      <c r="B7" s="79" t="s">
        <v>40</v>
      </c>
      <c r="C7" s="32"/>
      <c r="D7" s="33"/>
      <c r="E7" s="33"/>
      <c r="F7" s="33"/>
      <c r="G7" s="80"/>
    </row>
    <row r="8" spans="1:7">
      <c r="A8" s="67"/>
      <c r="B8" s="79" t="s">
        <v>361</v>
      </c>
      <c r="C8" s="32"/>
      <c r="D8" s="33"/>
      <c r="E8" s="33"/>
      <c r="F8" s="33"/>
      <c r="G8" s="80"/>
    </row>
    <row r="9" spans="1:7">
      <c r="A9" s="22"/>
      <c r="B9" s="41" t="s">
        <v>53</v>
      </c>
      <c r="C9" s="27" t="s">
        <v>54</v>
      </c>
      <c r="D9" s="27" t="s">
        <v>49</v>
      </c>
      <c r="E9" s="36">
        <v>14550</v>
      </c>
      <c r="F9" s="37">
        <v>180.91470000000001</v>
      </c>
      <c r="G9" s="42">
        <v>9.0367975350147789E-2</v>
      </c>
    </row>
    <row r="10" spans="1:7">
      <c r="A10" s="22"/>
      <c r="B10" s="41" t="s">
        <v>195</v>
      </c>
      <c r="C10" s="27" t="s">
        <v>196</v>
      </c>
      <c r="D10" s="27" t="s">
        <v>67</v>
      </c>
      <c r="E10" s="36">
        <v>37000</v>
      </c>
      <c r="F10" s="37">
        <v>126.0775</v>
      </c>
      <c r="G10" s="42">
        <v>6.2976465772036527E-2</v>
      </c>
    </row>
    <row r="11" spans="1:7">
      <c r="A11" s="22"/>
      <c r="B11" s="41" t="s">
        <v>197</v>
      </c>
      <c r="C11" s="27" t="s">
        <v>198</v>
      </c>
      <c r="D11" s="27" t="s">
        <v>85</v>
      </c>
      <c r="E11" s="36">
        <v>41550</v>
      </c>
      <c r="F11" s="37">
        <v>94.048424999999995</v>
      </c>
      <c r="G11" s="42">
        <v>4.697775112868232E-2</v>
      </c>
    </row>
    <row r="12" spans="1:7">
      <c r="A12" s="22"/>
      <c r="B12" s="41" t="s">
        <v>199</v>
      </c>
      <c r="C12" s="27" t="s">
        <v>200</v>
      </c>
      <c r="D12" s="27" t="s">
        <v>52</v>
      </c>
      <c r="E12" s="36">
        <v>10000</v>
      </c>
      <c r="F12" s="37">
        <v>89.795000000000002</v>
      </c>
      <c r="G12" s="42">
        <v>4.4853139886181281E-2</v>
      </c>
    </row>
    <row r="13" spans="1:7">
      <c r="A13" s="22"/>
      <c r="B13" s="41" t="s">
        <v>201</v>
      </c>
      <c r="C13" s="27" t="s">
        <v>202</v>
      </c>
      <c r="D13" s="27" t="s">
        <v>203</v>
      </c>
      <c r="E13" s="36">
        <v>23078</v>
      </c>
      <c r="F13" s="37">
        <v>75.707379000000003</v>
      </c>
      <c r="G13" s="42">
        <v>3.7816288888057721E-2</v>
      </c>
    </row>
    <row r="14" spans="1:7">
      <c r="A14" s="22"/>
      <c r="B14" s="41" t="s">
        <v>60</v>
      </c>
      <c r="C14" s="27" t="s">
        <v>61</v>
      </c>
      <c r="D14" s="27" t="s">
        <v>59</v>
      </c>
      <c r="E14" s="36">
        <v>18185</v>
      </c>
      <c r="F14" s="37">
        <v>74.403927499999995</v>
      </c>
      <c r="G14" s="42">
        <v>3.7165207063186038E-2</v>
      </c>
    </row>
    <row r="15" spans="1:7">
      <c r="A15" s="22"/>
      <c r="B15" s="41" t="s">
        <v>62</v>
      </c>
      <c r="C15" s="27" t="s">
        <v>63</v>
      </c>
      <c r="D15" s="27" t="s">
        <v>64</v>
      </c>
      <c r="E15" s="36">
        <v>22100</v>
      </c>
      <c r="F15" s="37">
        <v>71.12885</v>
      </c>
      <c r="G15" s="42">
        <v>3.5529286251942821E-2</v>
      </c>
    </row>
    <row r="16" spans="1:7">
      <c r="A16" s="22"/>
      <c r="B16" s="41" t="s">
        <v>68</v>
      </c>
      <c r="C16" s="27" t="s">
        <v>69</v>
      </c>
      <c r="D16" s="27" t="s">
        <v>70</v>
      </c>
      <c r="E16" s="36">
        <v>37479</v>
      </c>
      <c r="F16" s="37">
        <v>66.450266999999997</v>
      </c>
      <c r="G16" s="42">
        <v>3.3192306044045834E-2</v>
      </c>
    </row>
    <row r="17" spans="1:7">
      <c r="A17" s="22"/>
      <c r="B17" s="41" t="s">
        <v>204</v>
      </c>
      <c r="C17" s="27" t="s">
        <v>205</v>
      </c>
      <c r="D17" s="27" t="s">
        <v>85</v>
      </c>
      <c r="E17" s="36">
        <v>3450</v>
      </c>
      <c r="F17" s="37">
        <v>66.343500000000006</v>
      </c>
      <c r="G17" s="42">
        <v>3.3138975288589209E-2</v>
      </c>
    </row>
    <row r="18" spans="1:7">
      <c r="A18" s="22"/>
      <c r="B18" s="41" t="s">
        <v>47</v>
      </c>
      <c r="C18" s="27" t="s">
        <v>48</v>
      </c>
      <c r="D18" s="27" t="s">
        <v>49</v>
      </c>
      <c r="E18" s="36">
        <v>63000</v>
      </c>
      <c r="F18" s="37">
        <v>56.983499999999999</v>
      </c>
      <c r="G18" s="42">
        <v>2.8463599272834914E-2</v>
      </c>
    </row>
    <row r="19" spans="1:7">
      <c r="A19" s="22"/>
      <c r="B19" s="41" t="s">
        <v>65</v>
      </c>
      <c r="C19" s="27" t="s">
        <v>66</v>
      </c>
      <c r="D19" s="27" t="s">
        <v>67</v>
      </c>
      <c r="E19" s="36">
        <v>1439</v>
      </c>
      <c r="F19" s="37">
        <v>47.1956025</v>
      </c>
      <c r="G19" s="42">
        <v>2.3574485895039892E-2</v>
      </c>
    </row>
    <row r="20" spans="1:7">
      <c r="A20" s="22"/>
      <c r="B20" s="41" t="s">
        <v>156</v>
      </c>
      <c r="C20" s="27" t="s">
        <v>157</v>
      </c>
      <c r="D20" s="27" t="s">
        <v>67</v>
      </c>
      <c r="E20" s="36">
        <v>3000</v>
      </c>
      <c r="F20" s="37">
        <v>43.040999999999997</v>
      </c>
      <c r="G20" s="42">
        <v>2.1499237082700913E-2</v>
      </c>
    </row>
    <row r="21" spans="1:7">
      <c r="A21" s="22"/>
      <c r="B21" s="41" t="s">
        <v>103</v>
      </c>
      <c r="C21" s="27" t="s">
        <v>104</v>
      </c>
      <c r="D21" s="27" t="s">
        <v>43</v>
      </c>
      <c r="E21" s="36">
        <v>7250</v>
      </c>
      <c r="F21" s="37">
        <v>42.408875000000002</v>
      </c>
      <c r="G21" s="42">
        <v>2.1183486862192506E-2</v>
      </c>
    </row>
    <row r="22" spans="1:7">
      <c r="A22" s="22"/>
      <c r="B22" s="41" t="s">
        <v>144</v>
      </c>
      <c r="C22" s="27" t="s">
        <v>145</v>
      </c>
      <c r="D22" s="27" t="s">
        <v>94</v>
      </c>
      <c r="E22" s="36">
        <v>15898</v>
      </c>
      <c r="F22" s="37">
        <v>41.748148</v>
      </c>
      <c r="G22" s="42">
        <v>2.0853449771512881E-2</v>
      </c>
    </row>
    <row r="23" spans="1:7">
      <c r="A23" s="22"/>
      <c r="B23" s="41" t="s">
        <v>223</v>
      </c>
      <c r="C23" s="27" t="s">
        <v>224</v>
      </c>
      <c r="D23" s="27" t="s">
        <v>67</v>
      </c>
      <c r="E23" s="36">
        <v>1500</v>
      </c>
      <c r="F23" s="37">
        <v>41.527500000000003</v>
      </c>
      <c r="G23" s="42">
        <v>2.0743234775025259E-2</v>
      </c>
    </row>
    <row r="24" spans="1:7">
      <c r="A24" s="22"/>
      <c r="B24" s="41" t="s">
        <v>88</v>
      </c>
      <c r="C24" s="27" t="s">
        <v>89</v>
      </c>
      <c r="D24" s="27" t="s">
        <v>46</v>
      </c>
      <c r="E24" s="36">
        <v>3799</v>
      </c>
      <c r="F24" s="37">
        <v>37.161817999999997</v>
      </c>
      <c r="G24" s="42">
        <v>1.8562550489212199E-2</v>
      </c>
    </row>
    <row r="25" spans="1:7">
      <c r="A25" s="22"/>
      <c r="B25" s="41" t="s">
        <v>111</v>
      </c>
      <c r="C25" s="27" t="s">
        <v>112</v>
      </c>
      <c r="D25" s="27" t="s">
        <v>67</v>
      </c>
      <c r="E25" s="36">
        <v>4296</v>
      </c>
      <c r="F25" s="37">
        <v>37.119588</v>
      </c>
      <c r="G25" s="42">
        <v>1.8541456351483E-2</v>
      </c>
    </row>
    <row r="26" spans="1:7">
      <c r="A26" s="22"/>
      <c r="B26" s="41" t="s">
        <v>55</v>
      </c>
      <c r="C26" s="27" t="s">
        <v>56</v>
      </c>
      <c r="D26" s="27" t="s">
        <v>46</v>
      </c>
      <c r="E26" s="36">
        <v>4150</v>
      </c>
      <c r="F26" s="37">
        <v>34.694000000000003</v>
      </c>
      <c r="G26" s="42">
        <v>1.7329860629335413E-2</v>
      </c>
    </row>
    <row r="27" spans="1:7">
      <c r="A27" s="22"/>
      <c r="B27" s="41" t="s">
        <v>86</v>
      </c>
      <c r="C27" s="27" t="s">
        <v>87</v>
      </c>
      <c r="D27" s="27" t="s">
        <v>64</v>
      </c>
      <c r="E27" s="36">
        <v>27000</v>
      </c>
      <c r="F27" s="37">
        <v>32.8185</v>
      </c>
      <c r="G27" s="42">
        <v>1.6393037155238491E-2</v>
      </c>
    </row>
    <row r="28" spans="1:7">
      <c r="A28" s="22"/>
      <c r="B28" s="41" t="s">
        <v>149</v>
      </c>
      <c r="C28" s="27" t="s">
        <v>150</v>
      </c>
      <c r="D28" s="27" t="s">
        <v>151</v>
      </c>
      <c r="E28" s="36">
        <v>49000</v>
      </c>
      <c r="F28" s="37">
        <v>29.106000000000002</v>
      </c>
      <c r="G28" s="42">
        <v>1.4538621187451332E-2</v>
      </c>
    </row>
    <row r="29" spans="1:7">
      <c r="A29" s="22"/>
      <c r="B29" s="41" t="s">
        <v>124</v>
      </c>
      <c r="C29" s="27" t="s">
        <v>125</v>
      </c>
      <c r="D29" s="27" t="s">
        <v>126</v>
      </c>
      <c r="E29" s="36">
        <v>31542</v>
      </c>
      <c r="F29" s="37">
        <v>28.655906999999999</v>
      </c>
      <c r="G29" s="42">
        <v>1.4313797040329654E-2</v>
      </c>
    </row>
    <row r="30" spans="1:7">
      <c r="A30" s="22"/>
      <c r="B30" s="41" t="s">
        <v>92</v>
      </c>
      <c r="C30" s="27" t="s">
        <v>93</v>
      </c>
      <c r="D30" s="27" t="s">
        <v>94</v>
      </c>
      <c r="E30" s="36">
        <v>31087</v>
      </c>
      <c r="F30" s="37">
        <v>28.460148499999999</v>
      </c>
      <c r="G30" s="42">
        <v>1.4216014498045463E-2</v>
      </c>
    </row>
    <row r="31" spans="1:7">
      <c r="A31" s="22"/>
      <c r="B31" s="41" t="s">
        <v>71</v>
      </c>
      <c r="C31" s="27" t="s">
        <v>72</v>
      </c>
      <c r="D31" s="27" t="s">
        <v>73</v>
      </c>
      <c r="E31" s="36">
        <v>56624</v>
      </c>
      <c r="F31" s="37">
        <v>26.273536</v>
      </c>
      <c r="G31" s="42">
        <v>1.3123788468318055E-2</v>
      </c>
    </row>
    <row r="32" spans="1:7">
      <c r="A32" s="22"/>
      <c r="B32" s="41" t="s">
        <v>129</v>
      </c>
      <c r="C32" s="27" t="s">
        <v>130</v>
      </c>
      <c r="D32" s="27" t="s">
        <v>126</v>
      </c>
      <c r="E32" s="36">
        <v>10150</v>
      </c>
      <c r="F32" s="37">
        <v>25.867274999999999</v>
      </c>
      <c r="G32" s="42">
        <v>1.2920858667512889E-2</v>
      </c>
    </row>
    <row r="33" spans="1:7">
      <c r="A33" s="22"/>
      <c r="B33" s="41" t="s">
        <v>234</v>
      </c>
      <c r="C33" s="27" t="s">
        <v>235</v>
      </c>
      <c r="D33" s="27" t="s">
        <v>67</v>
      </c>
      <c r="E33" s="36">
        <v>525</v>
      </c>
      <c r="F33" s="37">
        <v>25.036200000000001</v>
      </c>
      <c r="G33" s="42">
        <v>1.2505731731370475E-2</v>
      </c>
    </row>
    <row r="34" spans="1:7">
      <c r="A34" s="22"/>
      <c r="B34" s="41" t="s">
        <v>133</v>
      </c>
      <c r="C34" s="27" t="s">
        <v>134</v>
      </c>
      <c r="D34" s="27" t="s">
        <v>67</v>
      </c>
      <c r="E34" s="36">
        <v>2601</v>
      </c>
      <c r="F34" s="37">
        <v>22.514256</v>
      </c>
      <c r="G34" s="42">
        <v>1.1246005610571815E-2</v>
      </c>
    </row>
    <row r="35" spans="1:7">
      <c r="A35" s="22"/>
      <c r="B35" s="41" t="s">
        <v>146</v>
      </c>
      <c r="C35" s="27" t="s">
        <v>147</v>
      </c>
      <c r="D35" s="27" t="s">
        <v>148</v>
      </c>
      <c r="E35" s="36">
        <v>2000</v>
      </c>
      <c r="F35" s="37">
        <v>22.140999999999998</v>
      </c>
      <c r="G35" s="42">
        <v>1.1059562004788014E-2</v>
      </c>
    </row>
    <row r="36" spans="1:7">
      <c r="A36" s="22"/>
      <c r="B36" s="41" t="s">
        <v>152</v>
      </c>
      <c r="C36" s="27" t="s">
        <v>153</v>
      </c>
      <c r="D36" s="27" t="s">
        <v>73</v>
      </c>
      <c r="E36" s="36">
        <v>8850</v>
      </c>
      <c r="F36" s="37">
        <v>20.093924999999999</v>
      </c>
      <c r="G36" s="42">
        <v>1.0037035791385212E-2</v>
      </c>
    </row>
    <row r="37" spans="1:7">
      <c r="A37" s="22"/>
      <c r="B37" s="41" t="s">
        <v>175</v>
      </c>
      <c r="C37" s="27" t="s">
        <v>176</v>
      </c>
      <c r="D37" s="27" t="s">
        <v>94</v>
      </c>
      <c r="E37" s="36">
        <v>428358</v>
      </c>
      <c r="F37" s="37">
        <v>3.4268640000000001</v>
      </c>
      <c r="G37" s="42">
        <v>1.7117390763730579E-3</v>
      </c>
    </row>
    <row r="38" spans="1:7">
      <c r="A38" s="22"/>
      <c r="B38" s="74" t="s">
        <v>28</v>
      </c>
      <c r="C38" s="27"/>
      <c r="D38" s="27"/>
      <c r="E38" s="36"/>
      <c r="F38" s="77">
        <f>SUM(F9:F37)</f>
        <v>1491.1431915000001</v>
      </c>
      <c r="G38" s="81">
        <f>SUM(G9:G37)</f>
        <v>0.74483494803359096</v>
      </c>
    </row>
    <row r="39" spans="1:7">
      <c r="A39" s="22"/>
      <c r="B39" s="41"/>
      <c r="C39" s="27"/>
      <c r="D39" s="27"/>
      <c r="E39" s="36"/>
      <c r="F39" s="37"/>
      <c r="G39" s="42"/>
    </row>
    <row r="40" spans="1:7">
      <c r="A40" s="22"/>
      <c r="B40" s="74" t="s">
        <v>362</v>
      </c>
      <c r="C40" s="27"/>
      <c r="D40" s="27"/>
      <c r="E40" s="36"/>
      <c r="F40" s="37"/>
      <c r="G40" s="42"/>
    </row>
    <row r="41" spans="1:7">
      <c r="A41" s="22"/>
      <c r="B41" s="74" t="s">
        <v>363</v>
      </c>
      <c r="C41" s="27"/>
      <c r="D41" s="27"/>
      <c r="E41" s="36"/>
      <c r="F41" s="37"/>
      <c r="G41" s="42"/>
    </row>
    <row r="42" spans="1:7">
      <c r="A42" s="22"/>
      <c r="B42" s="41" t="s">
        <v>206</v>
      </c>
      <c r="C42" s="27" t="s">
        <v>207</v>
      </c>
      <c r="D42" s="27" t="s">
        <v>208</v>
      </c>
      <c r="E42" s="36">
        <v>11000</v>
      </c>
      <c r="F42" s="37">
        <v>63.091106099999998</v>
      </c>
      <c r="G42" s="42">
        <v>3.1514385071298015E-2</v>
      </c>
    </row>
    <row r="43" spans="1:7">
      <c r="A43" s="22"/>
      <c r="B43" s="41" t="s">
        <v>209</v>
      </c>
      <c r="C43" s="27" t="s">
        <v>210</v>
      </c>
      <c r="D43" s="27" t="s">
        <v>211</v>
      </c>
      <c r="E43" s="36">
        <v>80000</v>
      </c>
      <c r="F43" s="37">
        <v>62.880983999999998</v>
      </c>
      <c r="G43" s="42">
        <v>3.1409427824853578E-2</v>
      </c>
    </row>
    <row r="44" spans="1:7">
      <c r="A44" s="22"/>
      <c r="B44" s="41" t="s">
        <v>212</v>
      </c>
      <c r="C44" s="27" t="s">
        <v>213</v>
      </c>
      <c r="D44" s="27" t="s">
        <v>214</v>
      </c>
      <c r="E44" s="36">
        <v>13000</v>
      </c>
      <c r="F44" s="37">
        <v>61.561884200000001</v>
      </c>
      <c r="G44" s="42">
        <v>3.0750529580483247E-2</v>
      </c>
    </row>
    <row r="45" spans="1:7">
      <c r="A45" s="22"/>
      <c r="B45" s="41" t="s">
        <v>215</v>
      </c>
      <c r="C45" s="27" t="s">
        <v>216</v>
      </c>
      <c r="D45" s="27" t="s">
        <v>217</v>
      </c>
      <c r="E45" s="36">
        <v>1500</v>
      </c>
      <c r="F45" s="37">
        <v>56.406110400000003</v>
      </c>
      <c r="G45" s="42">
        <v>2.8175189712195386E-2</v>
      </c>
    </row>
    <row r="46" spans="1:7">
      <c r="A46" s="22"/>
      <c r="B46" s="41" t="s">
        <v>218</v>
      </c>
      <c r="C46" s="27" t="s">
        <v>219</v>
      </c>
      <c r="D46" s="27" t="s">
        <v>220</v>
      </c>
      <c r="E46" s="36">
        <v>11000</v>
      </c>
      <c r="F46" s="37">
        <v>52.989680700000001</v>
      </c>
      <c r="G46" s="42">
        <v>2.6468662631117329E-2</v>
      </c>
    </row>
    <row r="47" spans="1:7">
      <c r="A47" s="22"/>
      <c r="B47" s="41" t="s">
        <v>221</v>
      </c>
      <c r="C47" s="27" t="s">
        <v>222</v>
      </c>
      <c r="D47" s="27" t="s">
        <v>220</v>
      </c>
      <c r="E47" s="36">
        <v>27300</v>
      </c>
      <c r="F47" s="37">
        <v>52.264370300000003</v>
      </c>
      <c r="G47" s="42">
        <v>2.610636574563259E-2</v>
      </c>
    </row>
    <row r="48" spans="1:7">
      <c r="A48" s="22"/>
      <c r="B48" s="41" t="s">
        <v>225</v>
      </c>
      <c r="C48" s="27" t="s">
        <v>226</v>
      </c>
      <c r="D48" s="27" t="s">
        <v>227</v>
      </c>
      <c r="E48" s="36">
        <v>6500</v>
      </c>
      <c r="F48" s="37">
        <v>41.3026117</v>
      </c>
      <c r="G48" s="42">
        <v>2.0630901723311182E-2</v>
      </c>
    </row>
    <row r="49" spans="1:7">
      <c r="A49" s="22"/>
      <c r="B49" s="41" t="s">
        <v>228</v>
      </c>
      <c r="C49" s="27" t="s">
        <v>229</v>
      </c>
      <c r="D49" s="27" t="s">
        <v>230</v>
      </c>
      <c r="E49" s="36">
        <v>42000</v>
      </c>
      <c r="F49" s="37">
        <v>39.157420700000003</v>
      </c>
      <c r="G49" s="42">
        <v>1.9559365980724434E-2</v>
      </c>
    </row>
    <row r="50" spans="1:7">
      <c r="A50" s="22"/>
      <c r="B50" s="41" t="s">
        <v>231</v>
      </c>
      <c r="C50" s="27" t="s">
        <v>232</v>
      </c>
      <c r="D50" s="27" t="s">
        <v>233</v>
      </c>
      <c r="E50" s="36">
        <v>7000</v>
      </c>
      <c r="F50" s="37">
        <v>31.2420434</v>
      </c>
      <c r="G50" s="42">
        <v>1.5605587649093453E-2</v>
      </c>
    </row>
    <row r="51" spans="1:7">
      <c r="A51" s="22"/>
      <c r="B51" s="41" t="s">
        <v>236</v>
      </c>
      <c r="C51" s="27" t="s">
        <v>237</v>
      </c>
      <c r="D51" s="27" t="s">
        <v>238</v>
      </c>
      <c r="E51" s="36">
        <v>55000</v>
      </c>
      <c r="F51" s="37">
        <v>19.774824299999999</v>
      </c>
      <c r="G51" s="42">
        <v>9.8776430820486302E-3</v>
      </c>
    </row>
    <row r="52" spans="1:7">
      <c r="A52" s="22"/>
      <c r="B52" s="41" t="s">
        <v>239</v>
      </c>
      <c r="C52" s="27" t="s">
        <v>240</v>
      </c>
      <c r="D52" s="27" t="s">
        <v>241</v>
      </c>
      <c r="E52" s="36">
        <v>16000</v>
      </c>
      <c r="F52" s="37">
        <v>9.7123103999999998</v>
      </c>
      <c r="G52" s="42">
        <v>4.8513571689872848E-3</v>
      </c>
    </row>
    <row r="53" spans="1:7">
      <c r="A53" s="67"/>
      <c r="B53" s="31" t="s">
        <v>28</v>
      </c>
      <c r="C53" s="27" t="s">
        <v>1</v>
      </c>
      <c r="D53" s="27" t="s">
        <v>1</v>
      </c>
      <c r="E53" s="27" t="s">
        <v>1</v>
      </c>
      <c r="F53" s="28">
        <f>SUM(F42:F52)</f>
        <v>490.38334619999995</v>
      </c>
      <c r="G53" s="29">
        <f>SUM(G42:G52)</f>
        <v>0.24494941616974514</v>
      </c>
    </row>
    <row r="54" spans="1:7">
      <c r="A54" s="67"/>
      <c r="B54" s="31"/>
      <c r="C54" s="27"/>
      <c r="D54" s="27"/>
      <c r="E54" s="27"/>
      <c r="F54" s="28"/>
      <c r="G54" s="29"/>
    </row>
    <row r="55" spans="1:7">
      <c r="A55" s="67"/>
      <c r="B55" s="31" t="s">
        <v>179</v>
      </c>
      <c r="C55" s="27" t="s">
        <v>1</v>
      </c>
      <c r="D55" s="27" t="s">
        <v>1</v>
      </c>
      <c r="E55" s="76" t="s">
        <v>180</v>
      </c>
      <c r="F55" s="76" t="s">
        <v>180</v>
      </c>
      <c r="G55" s="82" t="s">
        <v>180</v>
      </c>
    </row>
    <row r="56" spans="1:7">
      <c r="A56" s="67"/>
      <c r="B56" s="31" t="s">
        <v>28</v>
      </c>
      <c r="C56" s="27" t="s">
        <v>1</v>
      </c>
      <c r="D56" s="27" t="s">
        <v>1</v>
      </c>
      <c r="E56" s="76" t="s">
        <v>180</v>
      </c>
      <c r="F56" s="76" t="s">
        <v>180</v>
      </c>
      <c r="G56" s="82" t="s">
        <v>180</v>
      </c>
    </row>
    <row r="57" spans="1:7">
      <c r="A57" s="67"/>
      <c r="B57" s="31" t="s">
        <v>29</v>
      </c>
      <c r="C57" s="27" t="s">
        <v>1</v>
      </c>
      <c r="D57" s="27" t="s">
        <v>1</v>
      </c>
      <c r="E57" s="27" t="s">
        <v>1</v>
      </c>
      <c r="F57" s="28">
        <v>1981.5265377000001</v>
      </c>
      <c r="G57" s="29">
        <v>0.98978436420333615</v>
      </c>
    </row>
    <row r="58" spans="1:7">
      <c r="A58" s="67"/>
      <c r="B58" s="31"/>
      <c r="C58" s="27"/>
      <c r="D58" s="27"/>
      <c r="E58" s="27"/>
      <c r="F58" s="28"/>
      <c r="G58" s="29"/>
    </row>
    <row r="59" spans="1:7">
      <c r="A59" s="67"/>
      <c r="B59" s="25" t="s">
        <v>356</v>
      </c>
      <c r="C59" s="27"/>
      <c r="D59" s="27"/>
      <c r="E59" s="27"/>
      <c r="F59" s="78"/>
      <c r="G59" s="29"/>
    </row>
    <row r="60" spans="1:7">
      <c r="A60" s="22"/>
      <c r="B60" s="30" t="s">
        <v>360</v>
      </c>
      <c r="C60" s="27"/>
      <c r="D60" s="27"/>
      <c r="E60" s="76" t="s">
        <v>180</v>
      </c>
      <c r="F60" s="76" t="s">
        <v>180</v>
      </c>
      <c r="G60" s="82" t="s">
        <v>180</v>
      </c>
    </row>
    <row r="61" spans="1:7">
      <c r="A61" s="67"/>
      <c r="B61" s="30" t="s">
        <v>358</v>
      </c>
      <c r="C61" s="27"/>
      <c r="D61" s="27"/>
      <c r="E61" s="76" t="s">
        <v>180</v>
      </c>
      <c r="F61" s="76" t="s">
        <v>180</v>
      </c>
      <c r="G61" s="82" t="s">
        <v>180</v>
      </c>
    </row>
    <row r="62" spans="1:7">
      <c r="A62" s="67"/>
      <c r="B62" s="30" t="s">
        <v>359</v>
      </c>
      <c r="C62" s="27"/>
      <c r="D62" s="27"/>
      <c r="E62" s="76" t="s">
        <v>180</v>
      </c>
      <c r="F62" s="76" t="s">
        <v>180</v>
      </c>
      <c r="G62" s="82" t="s">
        <v>180</v>
      </c>
    </row>
    <row r="63" spans="1:7">
      <c r="A63" s="67"/>
      <c r="B63" s="30"/>
      <c r="C63" s="27"/>
      <c r="D63" s="27"/>
      <c r="E63" s="27"/>
      <c r="F63" s="78"/>
      <c r="G63" s="83"/>
    </row>
    <row r="64" spans="1:7">
      <c r="A64" s="67"/>
      <c r="B64" s="75" t="s">
        <v>10</v>
      </c>
      <c r="C64" s="27"/>
      <c r="D64" s="27"/>
      <c r="E64" s="27"/>
      <c r="F64" s="78"/>
      <c r="G64" s="83"/>
    </row>
    <row r="65" spans="1:7">
      <c r="A65" s="67"/>
      <c r="B65" s="31" t="s">
        <v>30</v>
      </c>
      <c r="C65" s="27" t="s">
        <v>1</v>
      </c>
      <c r="D65" s="27" t="s">
        <v>1</v>
      </c>
      <c r="E65" s="27" t="s">
        <v>1</v>
      </c>
      <c r="F65" s="35" t="s">
        <v>1</v>
      </c>
      <c r="G65" s="40" t="s">
        <v>1</v>
      </c>
    </row>
    <row r="66" spans="1:7">
      <c r="A66" s="22"/>
      <c r="B66" s="41" t="s">
        <v>31</v>
      </c>
      <c r="C66" s="27" t="s">
        <v>1</v>
      </c>
      <c r="D66" s="27" t="s">
        <v>32</v>
      </c>
      <c r="E66" s="36"/>
      <c r="F66" s="37">
        <v>32.828259799999998</v>
      </c>
      <c r="G66" s="42">
        <v>1.6397912233746884E-2</v>
      </c>
    </row>
    <row r="67" spans="1:7">
      <c r="A67" s="67"/>
      <c r="B67" s="31" t="s">
        <v>28</v>
      </c>
      <c r="C67" s="27" t="s">
        <v>1</v>
      </c>
      <c r="D67" s="27" t="s">
        <v>1</v>
      </c>
      <c r="E67" s="27" t="s">
        <v>1</v>
      </c>
      <c r="F67" s="28">
        <v>32.828259799999998</v>
      </c>
      <c r="G67" s="29">
        <v>1.6397912233746884E-2</v>
      </c>
    </row>
    <row r="68" spans="1:7">
      <c r="A68" s="67"/>
      <c r="B68" s="31" t="s">
        <v>29</v>
      </c>
      <c r="C68" s="27" t="s">
        <v>1</v>
      </c>
      <c r="D68" s="27" t="s">
        <v>1</v>
      </c>
      <c r="E68" s="27" t="s">
        <v>1</v>
      </c>
      <c r="F68" s="28">
        <v>32.828259799999998</v>
      </c>
      <c r="G68" s="29">
        <v>1.6397912233746884E-2</v>
      </c>
    </row>
    <row r="69" spans="1:7">
      <c r="A69" s="67"/>
      <c r="B69" s="31"/>
      <c r="C69" s="27"/>
      <c r="D69" s="27"/>
      <c r="E69" s="27"/>
      <c r="F69" s="28"/>
      <c r="G69" s="29"/>
    </row>
    <row r="70" spans="1:7">
      <c r="A70" s="67"/>
      <c r="B70" s="31" t="s">
        <v>190</v>
      </c>
      <c r="C70" s="27"/>
      <c r="D70" s="27"/>
      <c r="E70" s="27"/>
      <c r="F70" s="28"/>
      <c r="G70" s="29"/>
    </row>
    <row r="71" spans="1:7" ht="12" thickBot="1">
      <c r="A71" s="67"/>
      <c r="B71" s="57" t="s">
        <v>33</v>
      </c>
      <c r="C71" s="58" t="s">
        <v>1</v>
      </c>
      <c r="D71" s="58" t="s">
        <v>1</v>
      </c>
      <c r="E71" s="58" t="s">
        <v>1</v>
      </c>
      <c r="F71" s="59">
        <v>-12.376781515799999</v>
      </c>
      <c r="G71" s="60">
        <v>-6.182276437082984E-3</v>
      </c>
    </row>
    <row r="72" spans="1:7" ht="12.75" thickTop="1" thickBot="1">
      <c r="A72" s="67"/>
      <c r="B72" s="53" t="s">
        <v>34</v>
      </c>
      <c r="C72" s="54" t="s">
        <v>1</v>
      </c>
      <c r="D72" s="54" t="s">
        <v>1</v>
      </c>
      <c r="E72" s="54" t="s">
        <v>1</v>
      </c>
      <c r="F72" s="55">
        <v>2001.9780159842001</v>
      </c>
      <c r="G72" s="56">
        <v>1</v>
      </c>
    </row>
    <row r="73" spans="1:7">
      <c r="A73" s="67"/>
      <c r="B73" s="20" t="s">
        <v>1</v>
      </c>
      <c r="C73" s="67"/>
      <c r="D73" s="67"/>
      <c r="E73" s="67"/>
      <c r="F73" s="68"/>
      <c r="G73" s="69"/>
    </row>
    <row r="74" spans="1:7">
      <c r="A74" s="67"/>
      <c r="B74" s="15" t="s">
        <v>32</v>
      </c>
      <c r="C74" s="67"/>
      <c r="D74" s="67"/>
      <c r="E74" s="67"/>
      <c r="F74" s="68"/>
      <c r="G74" s="69"/>
    </row>
    <row r="75" spans="1:7">
      <c r="A75" s="67"/>
      <c r="B75" s="15" t="s">
        <v>364</v>
      </c>
      <c r="C75" s="67"/>
      <c r="D75" s="67"/>
      <c r="E75" s="67"/>
      <c r="F75" s="68"/>
      <c r="G75" s="69"/>
    </row>
    <row r="76" spans="1:7">
      <c r="A76" s="67"/>
      <c r="B76" s="71" t="s">
        <v>365</v>
      </c>
      <c r="C76" s="67"/>
      <c r="D76" s="67"/>
      <c r="E76" s="67"/>
      <c r="F76" s="68"/>
      <c r="G76" s="69"/>
    </row>
    <row r="77" spans="1:7" ht="12" thickBot="1"/>
    <row r="78" spans="1:7" ht="12" thickBot="1">
      <c r="B78" s="61" t="s">
        <v>370</v>
      </c>
      <c r="C78" s="62">
        <v>0.62870000000000004</v>
      </c>
    </row>
    <row r="79" spans="1:7">
      <c r="B79" s="20" t="s">
        <v>371</v>
      </c>
      <c r="C79" s="20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zoomScaleNormal="100" workbookViewId="0">
      <selection activeCell="D41" sqref="D41"/>
    </sheetView>
  </sheetViews>
  <sheetFormatPr defaultRowHeight="11.25"/>
  <cols>
    <col min="1" max="1" width="11.42578125" style="70" bestFit="1" customWidth="1"/>
    <col min="2" max="2" width="46.7109375" style="70" customWidth="1"/>
    <col min="3" max="5" width="18" style="70" customWidth="1"/>
    <col min="6" max="6" width="18" style="72" customWidth="1"/>
    <col min="7" max="7" width="18" style="73" customWidth="1"/>
    <col min="8" max="16384" width="9.140625" style="70"/>
  </cols>
  <sheetData>
    <row r="1" spans="1:7" ht="18.75">
      <c r="A1" s="67"/>
      <c r="B1" s="112" t="s">
        <v>242</v>
      </c>
      <c r="C1" s="113"/>
      <c r="D1" s="113"/>
      <c r="E1" s="113"/>
      <c r="F1" s="113"/>
      <c r="G1" s="114"/>
    </row>
    <row r="2" spans="1:7" ht="12" thickBot="1">
      <c r="A2" s="67"/>
      <c r="B2" s="115" t="s">
        <v>373</v>
      </c>
      <c r="C2" s="116"/>
      <c r="D2" s="116"/>
      <c r="E2" s="116"/>
      <c r="F2" s="116"/>
      <c r="G2" s="117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12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243</v>
      </c>
      <c r="E5" s="50" t="s">
        <v>6</v>
      </c>
      <c r="F5" s="51" t="s">
        <v>7</v>
      </c>
      <c r="G5" s="52" t="s">
        <v>8</v>
      </c>
    </row>
    <row r="6" spans="1:7">
      <c r="A6" s="67"/>
      <c r="B6" s="88" t="s">
        <v>354</v>
      </c>
      <c r="C6" s="85"/>
      <c r="D6" s="86"/>
      <c r="E6" s="86"/>
      <c r="F6" s="86"/>
      <c r="G6" s="87"/>
    </row>
    <row r="7" spans="1:7">
      <c r="A7" s="67"/>
      <c r="B7" s="30" t="s">
        <v>355</v>
      </c>
      <c r="C7" s="32"/>
      <c r="D7" s="33"/>
      <c r="E7" s="89" t="s">
        <v>180</v>
      </c>
      <c r="F7" s="89" t="s">
        <v>180</v>
      </c>
      <c r="G7" s="90" t="s">
        <v>180</v>
      </c>
    </row>
    <row r="8" spans="1:7">
      <c r="A8" s="67"/>
      <c r="B8" s="30" t="s">
        <v>179</v>
      </c>
      <c r="C8" s="32"/>
      <c r="D8" s="33"/>
      <c r="E8" s="89" t="s">
        <v>180</v>
      </c>
      <c r="F8" s="89" t="s">
        <v>180</v>
      </c>
      <c r="G8" s="90" t="s">
        <v>180</v>
      </c>
    </row>
    <row r="9" spans="1:7">
      <c r="A9" s="67"/>
      <c r="B9" s="79"/>
      <c r="C9" s="32"/>
      <c r="D9" s="33"/>
      <c r="E9" s="33"/>
      <c r="F9" s="34"/>
      <c r="G9" s="92"/>
    </row>
    <row r="10" spans="1:7">
      <c r="A10" s="67"/>
      <c r="B10" s="31" t="s">
        <v>244</v>
      </c>
      <c r="C10" s="27" t="s">
        <v>1</v>
      </c>
      <c r="D10" s="27" t="s">
        <v>1</v>
      </c>
      <c r="E10" s="27" t="s">
        <v>1</v>
      </c>
      <c r="F10" s="35" t="s">
        <v>1</v>
      </c>
      <c r="G10" s="40" t="s">
        <v>1</v>
      </c>
    </row>
    <row r="11" spans="1:7">
      <c r="A11" s="22"/>
      <c r="B11" s="41" t="s">
        <v>245</v>
      </c>
      <c r="C11" s="27" t="s">
        <v>246</v>
      </c>
      <c r="D11" s="27" t="s">
        <v>1</v>
      </c>
      <c r="E11" s="36">
        <v>448886.25352530001</v>
      </c>
      <c r="F11" s="37">
        <v>2499.9154398999999</v>
      </c>
      <c r="G11" s="42">
        <v>0.99303262628275657</v>
      </c>
    </row>
    <row r="12" spans="1:7">
      <c r="A12" s="67"/>
      <c r="B12" s="31" t="s">
        <v>28</v>
      </c>
      <c r="C12" s="27" t="s">
        <v>1</v>
      </c>
      <c r="D12" s="27" t="s">
        <v>1</v>
      </c>
      <c r="E12" s="27" t="s">
        <v>1</v>
      </c>
      <c r="F12" s="28">
        <v>2499.9154398999999</v>
      </c>
      <c r="G12" s="29">
        <v>0.99303262628275657</v>
      </c>
    </row>
    <row r="13" spans="1:7">
      <c r="A13" s="67"/>
      <c r="B13" s="31" t="s">
        <v>29</v>
      </c>
      <c r="C13" s="27" t="s">
        <v>1</v>
      </c>
      <c r="D13" s="27" t="s">
        <v>1</v>
      </c>
      <c r="E13" s="27" t="s">
        <v>1</v>
      </c>
      <c r="F13" s="28">
        <v>2499.9154398999999</v>
      </c>
      <c r="G13" s="29">
        <v>0.99303262628275657</v>
      </c>
    </row>
    <row r="14" spans="1:7">
      <c r="A14" s="67"/>
      <c r="B14" s="31"/>
      <c r="C14" s="27"/>
      <c r="D14" s="27"/>
      <c r="E14" s="27"/>
      <c r="F14" s="28"/>
      <c r="G14" s="29"/>
    </row>
    <row r="15" spans="1:7">
      <c r="A15" s="67"/>
      <c r="B15" s="25" t="s">
        <v>356</v>
      </c>
      <c r="C15" s="27"/>
      <c r="D15" s="27"/>
      <c r="E15" s="27"/>
      <c r="F15" s="28"/>
      <c r="G15" s="29"/>
    </row>
    <row r="16" spans="1:7">
      <c r="A16" s="67"/>
      <c r="B16" s="91" t="s">
        <v>360</v>
      </c>
      <c r="C16" s="27"/>
      <c r="D16" s="27"/>
      <c r="E16" s="89" t="s">
        <v>180</v>
      </c>
      <c r="F16" s="89" t="s">
        <v>180</v>
      </c>
      <c r="G16" s="90" t="s">
        <v>180</v>
      </c>
    </row>
    <row r="17" spans="1:7">
      <c r="A17" s="67"/>
      <c r="B17" s="91" t="s">
        <v>358</v>
      </c>
      <c r="C17" s="27"/>
      <c r="D17" s="27"/>
      <c r="E17" s="89" t="s">
        <v>180</v>
      </c>
      <c r="F17" s="89" t="s">
        <v>180</v>
      </c>
      <c r="G17" s="90" t="s">
        <v>180</v>
      </c>
    </row>
    <row r="18" spans="1:7">
      <c r="A18" s="67"/>
      <c r="B18" s="91" t="s">
        <v>359</v>
      </c>
      <c r="C18" s="27"/>
      <c r="D18" s="27"/>
      <c r="E18" s="89" t="s">
        <v>180</v>
      </c>
      <c r="F18" s="89" t="s">
        <v>180</v>
      </c>
      <c r="G18" s="90" t="s">
        <v>180</v>
      </c>
    </row>
    <row r="19" spans="1:7">
      <c r="A19" s="67"/>
      <c r="B19" s="31"/>
      <c r="C19" s="27"/>
      <c r="D19" s="27"/>
      <c r="E19" s="27"/>
      <c r="F19" s="28"/>
      <c r="G19" s="29"/>
    </row>
    <row r="20" spans="1:7">
      <c r="A20" s="67"/>
      <c r="B20" s="31" t="s">
        <v>30</v>
      </c>
      <c r="C20" s="27" t="s">
        <v>1</v>
      </c>
      <c r="D20" s="27" t="s">
        <v>1</v>
      </c>
      <c r="E20" s="27" t="s">
        <v>1</v>
      </c>
      <c r="F20" s="35" t="s">
        <v>1</v>
      </c>
      <c r="G20" s="40" t="s">
        <v>1</v>
      </c>
    </row>
    <row r="21" spans="1:7">
      <c r="A21" s="22"/>
      <c r="B21" s="41" t="s">
        <v>31</v>
      </c>
      <c r="C21" s="27" t="s">
        <v>1</v>
      </c>
      <c r="D21" s="27" t="s">
        <v>32</v>
      </c>
      <c r="E21" s="36"/>
      <c r="F21" s="37">
        <v>24.711407999999999</v>
      </c>
      <c r="G21" s="42">
        <v>9.8160257718022358E-3</v>
      </c>
    </row>
    <row r="22" spans="1:7">
      <c r="A22" s="67"/>
      <c r="B22" s="31" t="s">
        <v>28</v>
      </c>
      <c r="C22" s="27" t="s">
        <v>1</v>
      </c>
      <c r="D22" s="27" t="s">
        <v>1</v>
      </c>
      <c r="E22" s="27" t="s">
        <v>1</v>
      </c>
      <c r="F22" s="28">
        <v>24.711407999999999</v>
      </c>
      <c r="G22" s="29">
        <v>9.8160257718022358E-3</v>
      </c>
    </row>
    <row r="23" spans="1:7">
      <c r="A23" s="67"/>
      <c r="B23" s="31" t="s">
        <v>29</v>
      </c>
      <c r="C23" s="27" t="s">
        <v>1</v>
      </c>
      <c r="D23" s="27" t="s">
        <v>1</v>
      </c>
      <c r="E23" s="27" t="s">
        <v>1</v>
      </c>
      <c r="F23" s="28">
        <v>24.711407999999999</v>
      </c>
      <c r="G23" s="29">
        <v>9.8160257718022358E-3</v>
      </c>
    </row>
    <row r="24" spans="1:7">
      <c r="A24" s="67"/>
      <c r="B24" s="31"/>
      <c r="C24" s="27"/>
      <c r="D24" s="27"/>
      <c r="E24" s="27"/>
      <c r="F24" s="28"/>
      <c r="G24" s="29"/>
    </row>
    <row r="25" spans="1:7">
      <c r="A25" s="67"/>
      <c r="B25" s="31" t="s">
        <v>190</v>
      </c>
      <c r="C25" s="27"/>
      <c r="D25" s="27"/>
      <c r="E25" s="27"/>
      <c r="F25" s="28"/>
      <c r="G25" s="29"/>
    </row>
    <row r="26" spans="1:7" ht="12" thickBot="1">
      <c r="A26" s="67"/>
      <c r="B26" s="57" t="s">
        <v>33</v>
      </c>
      <c r="C26" s="58" t="s">
        <v>1</v>
      </c>
      <c r="D26" s="58" t="s">
        <v>1</v>
      </c>
      <c r="E26" s="58" t="s">
        <v>1</v>
      </c>
      <c r="F26" s="59">
        <v>-7.1713547628000001</v>
      </c>
      <c r="G26" s="60">
        <v>-2.8486520545588545E-3</v>
      </c>
    </row>
    <row r="27" spans="1:7" ht="12.75" thickTop="1" thickBot="1">
      <c r="A27" s="67"/>
      <c r="B27" s="53" t="s">
        <v>34</v>
      </c>
      <c r="C27" s="54" t="s">
        <v>1</v>
      </c>
      <c r="D27" s="54" t="s">
        <v>1</v>
      </c>
      <c r="E27" s="54" t="s">
        <v>1</v>
      </c>
      <c r="F27" s="55">
        <v>2517.4554931371999</v>
      </c>
      <c r="G27" s="56">
        <v>1</v>
      </c>
    </row>
    <row r="28" spans="1:7">
      <c r="A28" s="67"/>
      <c r="B28" s="20" t="s">
        <v>1</v>
      </c>
      <c r="C28" s="67"/>
      <c r="D28" s="67"/>
      <c r="E28" s="67"/>
      <c r="F28" s="68"/>
      <c r="G28" s="69"/>
    </row>
    <row r="29" spans="1:7">
      <c r="A29" s="67"/>
      <c r="B29" s="15" t="s">
        <v>32</v>
      </c>
      <c r="C29" s="67"/>
      <c r="D29" s="67"/>
      <c r="E29" s="67"/>
      <c r="F29" s="68"/>
      <c r="G29" s="69"/>
    </row>
    <row r="30" spans="1:7">
      <c r="A30" s="67"/>
      <c r="B30" s="15" t="s">
        <v>1</v>
      </c>
      <c r="C30" s="67"/>
      <c r="D30" s="67"/>
      <c r="E30" s="67"/>
      <c r="F30" s="68"/>
      <c r="G30" s="69"/>
    </row>
    <row r="31" spans="1:7">
      <c r="A31" s="67"/>
      <c r="B31" s="15" t="s">
        <v>1</v>
      </c>
      <c r="C31" s="67"/>
      <c r="D31" s="67"/>
      <c r="E31" s="67"/>
      <c r="F31" s="68"/>
      <c r="G31" s="6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showGridLines="0" zoomScaleNormal="100" workbookViewId="0">
      <selection activeCell="C69" sqref="C69"/>
    </sheetView>
  </sheetViews>
  <sheetFormatPr defaultRowHeight="11.25"/>
  <cols>
    <col min="1" max="1" width="12.5703125" style="70" bestFit="1" customWidth="1"/>
    <col min="2" max="2" width="51.85546875" style="70" customWidth="1"/>
    <col min="3" max="3" width="14.42578125" style="70" bestFit="1" customWidth="1"/>
    <col min="4" max="4" width="28.5703125" style="70" bestFit="1" customWidth="1"/>
    <col min="5" max="5" width="16.85546875" style="70" customWidth="1"/>
    <col min="6" max="6" width="16.85546875" style="72" customWidth="1"/>
    <col min="7" max="7" width="16.85546875" style="73" customWidth="1"/>
    <col min="8" max="16384" width="9.140625" style="70"/>
  </cols>
  <sheetData>
    <row r="1" spans="1:7" ht="18.75">
      <c r="A1" s="67"/>
      <c r="B1" s="112" t="s">
        <v>247</v>
      </c>
      <c r="C1" s="113"/>
      <c r="D1" s="113"/>
      <c r="E1" s="113"/>
      <c r="F1" s="113"/>
      <c r="G1" s="114"/>
    </row>
    <row r="2" spans="1:7" ht="12" thickBot="1">
      <c r="A2" s="67"/>
      <c r="B2" s="115" t="s">
        <v>369</v>
      </c>
      <c r="C2" s="116"/>
      <c r="D2" s="116"/>
      <c r="E2" s="116"/>
      <c r="F2" s="116"/>
      <c r="G2" s="117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12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38</v>
      </c>
      <c r="E5" s="50" t="s">
        <v>6</v>
      </c>
      <c r="F5" s="51" t="s">
        <v>7</v>
      </c>
      <c r="G5" s="52" t="s">
        <v>8</v>
      </c>
    </row>
    <row r="6" spans="1:7">
      <c r="A6" s="67"/>
      <c r="B6" s="84" t="s">
        <v>39</v>
      </c>
      <c r="C6" s="85"/>
      <c r="D6" s="86"/>
      <c r="E6" s="86"/>
      <c r="F6" s="86"/>
      <c r="G6" s="87"/>
    </row>
    <row r="7" spans="1:7">
      <c r="A7" s="67"/>
      <c r="B7" s="79" t="s">
        <v>40</v>
      </c>
      <c r="C7" s="32"/>
      <c r="D7" s="33"/>
      <c r="E7" s="33"/>
      <c r="F7" s="33"/>
      <c r="G7" s="80"/>
    </row>
    <row r="8" spans="1:7">
      <c r="A8" s="67"/>
      <c r="B8" s="79" t="s">
        <v>361</v>
      </c>
      <c r="C8" s="32"/>
      <c r="D8" s="33"/>
      <c r="E8" s="33"/>
      <c r="F8" s="33"/>
      <c r="G8" s="80"/>
    </row>
    <row r="9" spans="1:7">
      <c r="A9" s="22"/>
      <c r="B9" s="41" t="s">
        <v>251</v>
      </c>
      <c r="C9" s="27" t="s">
        <v>252</v>
      </c>
      <c r="D9" s="27" t="s">
        <v>64</v>
      </c>
      <c r="E9" s="36">
        <v>13500</v>
      </c>
      <c r="F9" s="37">
        <v>126.333</v>
      </c>
      <c r="G9" s="42">
        <v>9.8147107705697456E-2</v>
      </c>
    </row>
    <row r="10" spans="1:7">
      <c r="A10" s="22"/>
      <c r="B10" s="41" t="s">
        <v>253</v>
      </c>
      <c r="C10" s="27" t="s">
        <v>254</v>
      </c>
      <c r="D10" s="27" t="s">
        <v>120</v>
      </c>
      <c r="E10" s="36">
        <v>32000</v>
      </c>
      <c r="F10" s="37">
        <v>104.032</v>
      </c>
      <c r="G10" s="42">
        <v>8.0821637330223434E-2</v>
      </c>
    </row>
    <row r="11" spans="1:7">
      <c r="A11" s="22"/>
      <c r="B11" s="41" t="s">
        <v>271</v>
      </c>
      <c r="C11" s="27" t="s">
        <v>272</v>
      </c>
      <c r="D11" s="27" t="s">
        <v>123</v>
      </c>
      <c r="E11" s="36">
        <v>21000</v>
      </c>
      <c r="F11" s="37">
        <v>38.923499999999997</v>
      </c>
      <c r="G11" s="42">
        <v>3.023935904935935E-2</v>
      </c>
    </row>
    <row r="12" spans="1:7">
      <c r="A12" s="22"/>
      <c r="B12" s="41" t="s">
        <v>276</v>
      </c>
      <c r="C12" s="27" t="s">
        <v>277</v>
      </c>
      <c r="D12" s="27" t="s">
        <v>123</v>
      </c>
      <c r="E12" s="36">
        <v>12000</v>
      </c>
      <c r="F12" s="37">
        <v>35.021999999999998</v>
      </c>
      <c r="G12" s="42">
        <v>2.7208314581850634E-2</v>
      </c>
    </row>
    <row r="13" spans="1:7">
      <c r="A13" s="22"/>
      <c r="B13" s="41" t="s">
        <v>284</v>
      </c>
      <c r="C13" s="27" t="s">
        <v>285</v>
      </c>
      <c r="D13" s="27" t="s">
        <v>286</v>
      </c>
      <c r="E13" s="36">
        <v>7000</v>
      </c>
      <c r="F13" s="37">
        <v>28.045500000000001</v>
      </c>
      <c r="G13" s="42">
        <v>2.1788326954636856E-2</v>
      </c>
    </row>
    <row r="14" spans="1:7">
      <c r="A14" s="22"/>
      <c r="B14" s="41" t="s">
        <v>287</v>
      </c>
      <c r="C14" s="27" t="s">
        <v>288</v>
      </c>
      <c r="D14" s="27" t="s">
        <v>289</v>
      </c>
      <c r="E14" s="36">
        <v>20000</v>
      </c>
      <c r="F14" s="37">
        <v>26.86</v>
      </c>
      <c r="G14" s="42">
        <v>2.0867321388513164E-2</v>
      </c>
    </row>
    <row r="15" spans="1:7">
      <c r="A15" s="22"/>
      <c r="B15" s="41" t="s">
        <v>304</v>
      </c>
      <c r="C15" s="27" t="s">
        <v>305</v>
      </c>
      <c r="D15" s="27" t="s">
        <v>120</v>
      </c>
      <c r="E15" s="36">
        <v>7000</v>
      </c>
      <c r="F15" s="37">
        <v>23.4605</v>
      </c>
      <c r="G15" s="42">
        <v>1.8226276747401828E-2</v>
      </c>
    </row>
    <row r="16" spans="1:7">
      <c r="A16" s="22"/>
      <c r="B16" s="41" t="s">
        <v>309</v>
      </c>
      <c r="C16" s="27" t="s">
        <v>310</v>
      </c>
      <c r="D16" s="27" t="s">
        <v>64</v>
      </c>
      <c r="E16" s="36">
        <v>4000</v>
      </c>
      <c r="F16" s="37">
        <v>18.196000000000002</v>
      </c>
      <c r="G16" s="42">
        <v>1.4136328368778315E-2</v>
      </c>
    </row>
    <row r="17" spans="1:8">
      <c r="A17" s="22"/>
      <c r="B17" s="41" t="s">
        <v>121</v>
      </c>
      <c r="C17" s="27" t="s">
        <v>122</v>
      </c>
      <c r="D17" s="27" t="s">
        <v>123</v>
      </c>
      <c r="E17" s="36">
        <v>7000</v>
      </c>
      <c r="F17" s="37">
        <v>9.24</v>
      </c>
      <c r="G17" s="42">
        <v>7.1784828603820416E-3</v>
      </c>
    </row>
    <row r="18" spans="1:8">
      <c r="A18" s="22"/>
      <c r="B18" s="74" t="s">
        <v>28</v>
      </c>
      <c r="C18" s="27"/>
      <c r="D18" s="27"/>
      <c r="E18" s="36"/>
      <c r="F18" s="77">
        <f>SUM(F9:F17)</f>
        <v>410.11250000000007</v>
      </c>
      <c r="G18" s="81">
        <f>SUM(G9:G17)</f>
        <v>0.31861315498684306</v>
      </c>
    </row>
    <row r="19" spans="1:8">
      <c r="A19" s="22"/>
      <c r="B19" s="41"/>
      <c r="C19" s="27"/>
      <c r="D19" s="27"/>
      <c r="E19" s="36"/>
      <c r="F19" s="37"/>
      <c r="G19" s="42"/>
    </row>
    <row r="20" spans="1:8">
      <c r="A20" s="22"/>
      <c r="B20" s="74" t="s">
        <v>362</v>
      </c>
      <c r="C20" s="27"/>
      <c r="D20" s="27"/>
      <c r="E20" s="36"/>
      <c r="F20" s="37"/>
      <c r="G20" s="42"/>
      <c r="H20" s="72"/>
    </row>
    <row r="21" spans="1:8">
      <c r="A21" s="22"/>
      <c r="B21" s="74" t="s">
        <v>363</v>
      </c>
      <c r="C21" s="27"/>
      <c r="D21" s="27"/>
      <c r="E21" s="36"/>
      <c r="F21" s="37"/>
      <c r="G21" s="42"/>
      <c r="H21" s="72"/>
    </row>
    <row r="22" spans="1:8">
      <c r="A22" s="22"/>
      <c r="B22" s="41" t="s">
        <v>248</v>
      </c>
      <c r="C22" s="27" t="s">
        <v>249</v>
      </c>
      <c r="D22" s="27" t="s">
        <v>250</v>
      </c>
      <c r="E22" s="36">
        <v>6000</v>
      </c>
      <c r="F22" s="37">
        <v>126.63162</v>
      </c>
      <c r="G22" s="42">
        <v>9.8379103219957978E-2</v>
      </c>
    </row>
    <row r="23" spans="1:8">
      <c r="A23" s="22"/>
      <c r="B23" s="41" t="s">
        <v>255</v>
      </c>
      <c r="C23" s="27" t="s">
        <v>256</v>
      </c>
      <c r="D23" s="27" t="s">
        <v>257</v>
      </c>
      <c r="E23" s="36">
        <v>79000</v>
      </c>
      <c r="F23" s="37">
        <v>78.817577900000003</v>
      </c>
      <c r="G23" s="42">
        <v>6.1232752386577528E-2</v>
      </c>
    </row>
    <row r="24" spans="1:8">
      <c r="A24" s="22"/>
      <c r="B24" s="41" t="s">
        <v>258</v>
      </c>
      <c r="C24" s="27" t="s">
        <v>259</v>
      </c>
      <c r="D24" s="27" t="s">
        <v>260</v>
      </c>
      <c r="E24" s="36">
        <v>110000</v>
      </c>
      <c r="F24" s="37">
        <v>76.873559400000005</v>
      </c>
      <c r="G24" s="42">
        <v>5.9722459801889692E-2</v>
      </c>
    </row>
    <row r="25" spans="1:8">
      <c r="A25" s="22"/>
      <c r="B25" s="41" t="s">
        <v>261</v>
      </c>
      <c r="C25" s="27" t="s">
        <v>262</v>
      </c>
      <c r="D25" s="27" t="s">
        <v>260</v>
      </c>
      <c r="E25" s="36">
        <v>130000</v>
      </c>
      <c r="F25" s="37">
        <v>69.301381500000005</v>
      </c>
      <c r="G25" s="42">
        <v>5.3839694729279991E-2</v>
      </c>
    </row>
    <row r="26" spans="1:8">
      <c r="A26" s="22"/>
      <c r="B26" s="41" t="s">
        <v>263</v>
      </c>
      <c r="C26" s="27" t="s">
        <v>264</v>
      </c>
      <c r="D26" s="27" t="s">
        <v>250</v>
      </c>
      <c r="E26" s="36">
        <v>1905</v>
      </c>
      <c r="F26" s="37">
        <v>65.713424599999996</v>
      </c>
      <c r="G26" s="42">
        <v>5.105223941429736E-2</v>
      </c>
    </row>
    <row r="27" spans="1:8">
      <c r="A27" s="22"/>
      <c r="B27" s="41" t="s">
        <v>265</v>
      </c>
      <c r="C27" s="27" t="s">
        <v>266</v>
      </c>
      <c r="D27" s="27" t="s">
        <v>257</v>
      </c>
      <c r="E27" s="36">
        <v>2300</v>
      </c>
      <c r="F27" s="37">
        <v>52.464067200000002</v>
      </c>
      <c r="G27" s="42">
        <v>4.0758918526096498E-2</v>
      </c>
    </row>
    <row r="28" spans="1:8">
      <c r="A28" s="22"/>
      <c r="B28" s="41" t="s">
        <v>267</v>
      </c>
      <c r="C28" s="27" t="s">
        <v>268</v>
      </c>
      <c r="D28" s="27" t="s">
        <v>260</v>
      </c>
      <c r="E28" s="36">
        <v>5085</v>
      </c>
      <c r="F28" s="37">
        <v>42.359534799999999</v>
      </c>
      <c r="G28" s="42">
        <v>3.2908787287397906E-2</v>
      </c>
    </row>
    <row r="29" spans="1:8">
      <c r="A29" s="22"/>
      <c r="B29" s="41" t="s">
        <v>269</v>
      </c>
      <c r="C29" s="27" t="s">
        <v>270</v>
      </c>
      <c r="D29" s="27" t="s">
        <v>257</v>
      </c>
      <c r="E29" s="36">
        <v>5167</v>
      </c>
      <c r="F29" s="37">
        <v>39.720537499999999</v>
      </c>
      <c r="G29" s="42">
        <v>3.0858571174124692E-2</v>
      </c>
    </row>
    <row r="30" spans="1:8">
      <c r="A30" s="22"/>
      <c r="B30" s="41" t="s">
        <v>273</v>
      </c>
      <c r="C30" s="27" t="s">
        <v>274</v>
      </c>
      <c r="D30" s="27" t="s">
        <v>275</v>
      </c>
      <c r="E30" s="36">
        <v>200</v>
      </c>
      <c r="F30" s="37">
        <v>35.891399999999997</v>
      </c>
      <c r="G30" s="42">
        <v>2.788374456007749E-2</v>
      </c>
    </row>
    <row r="31" spans="1:8">
      <c r="A31" s="22"/>
      <c r="B31" s="41" t="s">
        <v>278</v>
      </c>
      <c r="C31" s="27" t="s">
        <v>279</v>
      </c>
      <c r="D31" s="27" t="s">
        <v>280</v>
      </c>
      <c r="E31" s="36">
        <v>475</v>
      </c>
      <c r="F31" s="37">
        <v>32.71078</v>
      </c>
      <c r="G31" s="42">
        <v>2.5412746058412088E-2</v>
      </c>
    </row>
    <row r="32" spans="1:8">
      <c r="A32" s="22"/>
      <c r="B32" s="41" t="s">
        <v>281</v>
      </c>
      <c r="C32" s="27" t="s">
        <v>282</v>
      </c>
      <c r="D32" s="27" t="s">
        <v>283</v>
      </c>
      <c r="E32" s="36">
        <v>200</v>
      </c>
      <c r="F32" s="37">
        <v>30.69736</v>
      </c>
      <c r="G32" s="42">
        <v>2.3848535997724813E-2</v>
      </c>
    </row>
    <row r="33" spans="1:7">
      <c r="A33" s="22"/>
      <c r="B33" s="41" t="s">
        <v>290</v>
      </c>
      <c r="C33" s="27" t="s">
        <v>291</v>
      </c>
      <c r="D33" s="27" t="s">
        <v>292</v>
      </c>
      <c r="E33" s="36">
        <v>4664</v>
      </c>
      <c r="F33" s="37">
        <v>26.8316804</v>
      </c>
      <c r="G33" s="42">
        <v>2.0845320115438177E-2</v>
      </c>
    </row>
    <row r="34" spans="1:7">
      <c r="A34" s="22"/>
      <c r="B34" s="41" t="s">
        <v>293</v>
      </c>
      <c r="C34" s="27" t="s">
        <v>294</v>
      </c>
      <c r="D34" s="27" t="s">
        <v>295</v>
      </c>
      <c r="E34" s="36">
        <v>16000</v>
      </c>
      <c r="F34" s="37">
        <v>26.148527999999999</v>
      </c>
      <c r="G34" s="42">
        <v>2.0314584423400422E-2</v>
      </c>
    </row>
    <row r="35" spans="1:7">
      <c r="A35" s="22"/>
      <c r="B35" s="41" t="s">
        <v>296</v>
      </c>
      <c r="C35" s="27" t="s">
        <v>297</v>
      </c>
      <c r="D35" s="27" t="s">
        <v>257</v>
      </c>
      <c r="E35" s="36">
        <v>5043</v>
      </c>
      <c r="F35" s="37">
        <v>25.064825500000001</v>
      </c>
      <c r="G35" s="42">
        <v>1.9472664529244236E-2</v>
      </c>
    </row>
    <row r="36" spans="1:7">
      <c r="A36" s="22"/>
      <c r="B36" s="41" t="s">
        <v>298</v>
      </c>
      <c r="C36" s="27" t="s">
        <v>299</v>
      </c>
      <c r="D36" s="27" t="s">
        <v>257</v>
      </c>
      <c r="E36" s="36">
        <v>26000</v>
      </c>
      <c r="F36" s="37">
        <v>24.4831158</v>
      </c>
      <c r="G36" s="42">
        <v>1.902073886786242E-2</v>
      </c>
    </row>
    <row r="37" spans="1:7">
      <c r="A37" s="22"/>
      <c r="B37" s="41" t="s">
        <v>300</v>
      </c>
      <c r="C37" s="27" t="s">
        <v>301</v>
      </c>
      <c r="D37" s="27" t="s">
        <v>275</v>
      </c>
      <c r="E37" s="36">
        <v>8648</v>
      </c>
      <c r="F37" s="37">
        <v>24.4163654</v>
      </c>
      <c r="G37" s="42">
        <v>1.8968881010468085E-2</v>
      </c>
    </row>
    <row r="38" spans="1:7">
      <c r="A38" s="22"/>
      <c r="B38" s="41" t="s">
        <v>302</v>
      </c>
      <c r="C38" s="27" t="s">
        <v>303</v>
      </c>
      <c r="D38" s="27" t="s">
        <v>283</v>
      </c>
      <c r="E38" s="36">
        <v>1945</v>
      </c>
      <c r="F38" s="37">
        <v>23.7816698</v>
      </c>
      <c r="G38" s="42">
        <v>1.8475791022788443E-2</v>
      </c>
    </row>
    <row r="39" spans="1:7">
      <c r="A39" s="22"/>
      <c r="B39" s="41" t="s">
        <v>306</v>
      </c>
      <c r="C39" s="27" t="s">
        <v>307</v>
      </c>
      <c r="D39" s="27" t="s">
        <v>308</v>
      </c>
      <c r="E39" s="36">
        <v>9000</v>
      </c>
      <c r="F39" s="37">
        <v>20.171721600000001</v>
      </c>
      <c r="G39" s="42">
        <v>1.5671250840908896E-2</v>
      </c>
    </row>
    <row r="40" spans="1:7">
      <c r="A40" s="22"/>
      <c r="B40" s="41" t="s">
        <v>311</v>
      </c>
      <c r="C40" s="27" t="s">
        <v>312</v>
      </c>
      <c r="D40" s="27" t="s">
        <v>250</v>
      </c>
      <c r="E40" s="36">
        <v>16000</v>
      </c>
      <c r="F40" s="37">
        <v>15.9381504</v>
      </c>
      <c r="G40" s="42">
        <v>1.2382222886644067E-2</v>
      </c>
    </row>
    <row r="41" spans="1:7">
      <c r="A41" s="22"/>
      <c r="B41" s="41" t="s">
        <v>313</v>
      </c>
      <c r="C41" s="27" t="s">
        <v>314</v>
      </c>
      <c r="D41" s="27" t="s">
        <v>308</v>
      </c>
      <c r="E41" s="36">
        <v>20000</v>
      </c>
      <c r="F41" s="37">
        <v>15.494490000000001</v>
      </c>
      <c r="G41" s="42">
        <v>1.2037546633697072E-2</v>
      </c>
    </row>
    <row r="42" spans="1:7">
      <c r="A42" s="22"/>
      <c r="B42" s="41" t="s">
        <v>315</v>
      </c>
      <c r="C42" s="27" t="s">
        <v>316</v>
      </c>
      <c r="D42" s="27" t="s">
        <v>308</v>
      </c>
      <c r="E42" s="36">
        <v>16000</v>
      </c>
      <c r="F42" s="37">
        <v>9.1270813999999998</v>
      </c>
      <c r="G42" s="42">
        <v>7.090757293854083E-3</v>
      </c>
    </row>
    <row r="43" spans="1:7">
      <c r="A43" s="22"/>
      <c r="B43" s="41" t="s">
        <v>317</v>
      </c>
      <c r="C43" s="27" t="s">
        <v>318</v>
      </c>
      <c r="D43" s="27" t="s">
        <v>292</v>
      </c>
      <c r="E43" s="36">
        <v>4578</v>
      </c>
      <c r="F43" s="37">
        <v>3.5576609000000001</v>
      </c>
      <c r="G43" s="42">
        <v>2.7639185923919209E-3</v>
      </c>
    </row>
    <row r="44" spans="1:7">
      <c r="A44" s="67"/>
      <c r="B44" s="31" t="s">
        <v>28</v>
      </c>
      <c r="C44" s="27" t="s">
        <v>1</v>
      </c>
      <c r="D44" s="27" t="s">
        <v>1</v>
      </c>
      <c r="E44" s="27" t="s">
        <v>1</v>
      </c>
      <c r="F44" s="28">
        <f>SUM(F22:F43)</f>
        <v>866.1965320999999</v>
      </c>
      <c r="G44" s="29">
        <f>SUM(G22:G43)</f>
        <v>0.67294122937253376</v>
      </c>
    </row>
    <row r="45" spans="1:7">
      <c r="A45" s="67"/>
      <c r="B45" s="31"/>
      <c r="C45" s="27"/>
      <c r="D45" s="27"/>
      <c r="E45" s="27"/>
      <c r="F45" s="28"/>
      <c r="G45" s="29"/>
    </row>
    <row r="46" spans="1:7">
      <c r="A46" s="67"/>
      <c r="B46" s="31" t="s">
        <v>179</v>
      </c>
      <c r="C46" s="27" t="s">
        <v>1</v>
      </c>
      <c r="D46" s="27" t="s">
        <v>1</v>
      </c>
      <c r="E46" s="28" t="s">
        <v>180</v>
      </c>
      <c r="F46" s="28" t="s">
        <v>180</v>
      </c>
      <c r="G46" s="43" t="s">
        <v>180</v>
      </c>
    </row>
    <row r="47" spans="1:7">
      <c r="A47" s="67"/>
      <c r="B47" s="31" t="s">
        <v>28</v>
      </c>
      <c r="C47" s="27" t="s">
        <v>1</v>
      </c>
      <c r="D47" s="27" t="s">
        <v>1</v>
      </c>
      <c r="E47" s="28" t="s">
        <v>180</v>
      </c>
      <c r="F47" s="28" t="s">
        <v>180</v>
      </c>
      <c r="G47" s="43" t="s">
        <v>180</v>
      </c>
    </row>
    <row r="48" spans="1:7">
      <c r="A48" s="67"/>
      <c r="B48" s="31" t="s">
        <v>29</v>
      </c>
      <c r="C48" s="27" t="s">
        <v>1</v>
      </c>
      <c r="D48" s="27" t="s">
        <v>1</v>
      </c>
      <c r="E48" s="27" t="s">
        <v>1</v>
      </c>
      <c r="F48" s="28">
        <v>1276.3090321</v>
      </c>
      <c r="G48" s="29">
        <v>0.99155438435937693</v>
      </c>
    </row>
    <row r="49" spans="1:7">
      <c r="A49" s="67"/>
      <c r="B49" s="31"/>
      <c r="C49" s="27"/>
      <c r="D49" s="27"/>
      <c r="E49" s="27"/>
      <c r="F49" s="28"/>
      <c r="G49" s="29"/>
    </row>
    <row r="50" spans="1:7">
      <c r="A50" s="67"/>
      <c r="B50" s="25" t="s">
        <v>356</v>
      </c>
      <c r="C50" s="26"/>
      <c r="D50" s="27"/>
      <c r="E50" s="27"/>
      <c r="F50" s="78"/>
      <c r="G50" s="29"/>
    </row>
    <row r="51" spans="1:7">
      <c r="A51" s="22"/>
      <c r="B51" s="30" t="s">
        <v>360</v>
      </c>
      <c r="C51" s="26"/>
      <c r="D51" s="27"/>
      <c r="E51" s="28" t="s">
        <v>180</v>
      </c>
      <c r="F51" s="28" t="s">
        <v>180</v>
      </c>
      <c r="G51" s="43" t="s">
        <v>180</v>
      </c>
    </row>
    <row r="52" spans="1:7">
      <c r="A52" s="67"/>
      <c r="B52" s="30" t="s">
        <v>358</v>
      </c>
      <c r="C52" s="26"/>
      <c r="D52" s="27"/>
      <c r="E52" s="28" t="s">
        <v>180</v>
      </c>
      <c r="F52" s="28" t="s">
        <v>180</v>
      </c>
      <c r="G52" s="43" t="s">
        <v>180</v>
      </c>
    </row>
    <row r="53" spans="1:7">
      <c r="A53" s="67"/>
      <c r="B53" s="30" t="s">
        <v>359</v>
      </c>
      <c r="C53" s="26"/>
      <c r="D53" s="27"/>
      <c r="E53" s="28" t="s">
        <v>180</v>
      </c>
      <c r="F53" s="28" t="s">
        <v>180</v>
      </c>
      <c r="G53" s="43" t="s">
        <v>180</v>
      </c>
    </row>
    <row r="54" spans="1:7">
      <c r="A54" s="67"/>
      <c r="B54" s="30"/>
      <c r="C54" s="26"/>
      <c r="D54" s="27"/>
      <c r="E54" s="93"/>
      <c r="F54" s="78"/>
      <c r="G54" s="83"/>
    </row>
    <row r="55" spans="1:7">
      <c r="A55" s="67"/>
      <c r="B55" s="31" t="s">
        <v>10</v>
      </c>
      <c r="C55" s="26"/>
      <c r="D55" s="27"/>
      <c r="E55" s="93"/>
      <c r="F55" s="78"/>
      <c r="G55" s="83"/>
    </row>
    <row r="56" spans="1:7">
      <c r="A56" s="67"/>
      <c r="B56" s="31" t="s">
        <v>30</v>
      </c>
      <c r="C56" s="27" t="s">
        <v>1</v>
      </c>
      <c r="D56" s="27" t="s">
        <v>1</v>
      </c>
      <c r="E56" s="27" t="s">
        <v>1</v>
      </c>
      <c r="F56" s="35" t="s">
        <v>1</v>
      </c>
      <c r="G56" s="40" t="s">
        <v>1</v>
      </c>
    </row>
    <row r="57" spans="1:7">
      <c r="A57" s="22"/>
      <c r="B57" s="41" t="s">
        <v>31</v>
      </c>
      <c r="C57" s="27" t="s">
        <v>1</v>
      </c>
      <c r="D57" s="27" t="s">
        <v>32</v>
      </c>
      <c r="E57" s="36"/>
      <c r="F57" s="37">
        <v>6.5427374</v>
      </c>
      <c r="G57" s="42">
        <v>5.0830008967403207E-3</v>
      </c>
    </row>
    <row r="58" spans="1:7">
      <c r="A58" s="67"/>
      <c r="B58" s="31" t="s">
        <v>28</v>
      </c>
      <c r="C58" s="27" t="s">
        <v>1</v>
      </c>
      <c r="D58" s="27" t="s">
        <v>1</v>
      </c>
      <c r="E58" s="27" t="s">
        <v>1</v>
      </c>
      <c r="F58" s="28">
        <v>6.5427374</v>
      </c>
      <c r="G58" s="29">
        <v>5.0830008967403207E-3</v>
      </c>
    </row>
    <row r="59" spans="1:7">
      <c r="A59" s="67"/>
      <c r="B59" s="31" t="s">
        <v>29</v>
      </c>
      <c r="C59" s="27" t="s">
        <v>1</v>
      </c>
      <c r="D59" s="27" t="s">
        <v>1</v>
      </c>
      <c r="E59" s="27" t="s">
        <v>1</v>
      </c>
      <c r="F59" s="28">
        <v>6.5427374</v>
      </c>
      <c r="G59" s="29">
        <v>5.0830008967403207E-3</v>
      </c>
    </row>
    <row r="60" spans="1:7">
      <c r="A60" s="67"/>
      <c r="B60" s="31"/>
      <c r="C60" s="27"/>
      <c r="D60" s="27"/>
      <c r="E60" s="27"/>
      <c r="F60" s="28"/>
      <c r="G60" s="29"/>
    </row>
    <row r="61" spans="1:7">
      <c r="A61" s="67"/>
      <c r="B61" s="31" t="s">
        <v>190</v>
      </c>
      <c r="C61" s="27"/>
      <c r="D61" s="27"/>
      <c r="E61" s="27"/>
      <c r="F61" s="28"/>
      <c r="G61" s="29"/>
    </row>
    <row r="62" spans="1:7" ht="12" thickBot="1">
      <c r="A62" s="67"/>
      <c r="B62" s="57" t="s">
        <v>33</v>
      </c>
      <c r="C62" s="58" t="s">
        <v>1</v>
      </c>
      <c r="D62" s="58" t="s">
        <v>1</v>
      </c>
      <c r="E62" s="58" t="s">
        <v>1</v>
      </c>
      <c r="F62" s="59">
        <v>4.3282906483000003</v>
      </c>
      <c r="G62" s="60">
        <v>3.3626147438827396E-3</v>
      </c>
    </row>
    <row r="63" spans="1:7" ht="12.75" thickTop="1" thickBot="1">
      <c r="A63" s="67"/>
      <c r="B63" s="53" t="s">
        <v>34</v>
      </c>
      <c r="C63" s="54" t="s">
        <v>1</v>
      </c>
      <c r="D63" s="54" t="s">
        <v>1</v>
      </c>
      <c r="E63" s="54" t="s">
        <v>1</v>
      </c>
      <c r="F63" s="55">
        <v>1287.1800601483001</v>
      </c>
      <c r="G63" s="56">
        <v>1</v>
      </c>
    </row>
    <row r="64" spans="1:7">
      <c r="A64" s="67"/>
      <c r="B64" s="20" t="s">
        <v>1</v>
      </c>
      <c r="C64" s="67"/>
      <c r="D64" s="67"/>
      <c r="E64" s="67"/>
      <c r="F64" s="68"/>
      <c r="G64" s="69"/>
    </row>
    <row r="65" spans="1:7">
      <c r="A65" s="67"/>
      <c r="B65" s="15" t="s">
        <v>32</v>
      </c>
      <c r="C65" s="67"/>
      <c r="D65" s="67"/>
      <c r="E65" s="67"/>
      <c r="F65" s="68"/>
      <c r="G65" s="69"/>
    </row>
    <row r="66" spans="1:7">
      <c r="A66" s="67"/>
      <c r="B66" s="15" t="s">
        <v>364</v>
      </c>
      <c r="C66" s="67"/>
      <c r="D66" s="67"/>
      <c r="E66" s="67"/>
      <c r="F66" s="68"/>
      <c r="G66" s="69"/>
    </row>
    <row r="67" spans="1:7">
      <c r="A67" s="67"/>
      <c r="B67" s="94" t="s">
        <v>365</v>
      </c>
      <c r="C67" s="67"/>
      <c r="D67" s="67"/>
      <c r="E67" s="67"/>
      <c r="F67" s="68"/>
      <c r="G67" s="69"/>
    </row>
    <row r="68" spans="1:7" ht="12" thickBot="1"/>
    <row r="69" spans="1:7" ht="12" thickBot="1">
      <c r="B69" s="61" t="s">
        <v>370</v>
      </c>
      <c r="C69" s="62">
        <v>3.0800000000000001E-2</v>
      </c>
    </row>
    <row r="70" spans="1:7">
      <c r="B70" s="20" t="s">
        <v>371</v>
      </c>
      <c r="C70" s="20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zoomScaleNormal="100" workbookViewId="0">
      <selection activeCell="B40" sqref="B40"/>
    </sheetView>
  </sheetViews>
  <sheetFormatPr defaultRowHeight="11.25"/>
  <cols>
    <col min="1" max="1" width="11.42578125" style="70" bestFit="1" customWidth="1"/>
    <col min="2" max="2" width="44.85546875" style="70" bestFit="1" customWidth="1"/>
    <col min="3" max="5" width="20.42578125" style="70" customWidth="1"/>
    <col min="6" max="6" width="20.42578125" style="72" customWidth="1"/>
    <col min="7" max="7" width="20.42578125" style="73" customWidth="1"/>
    <col min="8" max="16384" width="9.140625" style="70"/>
  </cols>
  <sheetData>
    <row r="1" spans="1:7" ht="18.75">
      <c r="A1" s="67"/>
      <c r="B1" s="118" t="s">
        <v>0</v>
      </c>
      <c r="C1" s="119"/>
      <c r="D1" s="119"/>
      <c r="E1" s="119"/>
      <c r="F1" s="119"/>
      <c r="G1" s="120"/>
    </row>
    <row r="2" spans="1:7" ht="12" thickBot="1">
      <c r="A2" s="67"/>
      <c r="B2" s="121" t="s">
        <v>374</v>
      </c>
      <c r="C2" s="122"/>
      <c r="D2" s="122"/>
      <c r="E2" s="122"/>
      <c r="F2" s="122"/>
      <c r="G2" s="123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23.25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5</v>
      </c>
      <c r="E5" s="50" t="s">
        <v>6</v>
      </c>
      <c r="F5" s="51" t="s">
        <v>7</v>
      </c>
      <c r="G5" s="52" t="s">
        <v>8</v>
      </c>
    </row>
    <row r="6" spans="1:7">
      <c r="A6" s="67"/>
      <c r="B6" s="88" t="s">
        <v>354</v>
      </c>
      <c r="C6" s="97"/>
      <c r="D6" s="86"/>
      <c r="E6" s="86"/>
      <c r="F6" s="98"/>
      <c r="G6" s="99"/>
    </row>
    <row r="7" spans="1:7">
      <c r="A7" s="67"/>
      <c r="B7" s="30" t="s">
        <v>355</v>
      </c>
      <c r="C7" s="32"/>
      <c r="D7" s="33"/>
      <c r="E7" s="100" t="s">
        <v>180</v>
      </c>
      <c r="F7" s="100" t="s">
        <v>180</v>
      </c>
      <c r="G7" s="100" t="s">
        <v>180</v>
      </c>
    </row>
    <row r="8" spans="1:7">
      <c r="A8" s="22"/>
      <c r="B8" s="30" t="s">
        <v>179</v>
      </c>
      <c r="C8" s="32"/>
      <c r="D8" s="33"/>
      <c r="E8" s="100" t="s">
        <v>180</v>
      </c>
      <c r="F8" s="100" t="s">
        <v>180</v>
      </c>
      <c r="G8" s="100" t="s">
        <v>180</v>
      </c>
    </row>
    <row r="9" spans="1:7">
      <c r="A9" s="67"/>
      <c r="B9" s="30"/>
      <c r="C9" s="32"/>
      <c r="D9" s="33"/>
      <c r="E9" s="95"/>
      <c r="F9" s="95"/>
      <c r="G9" s="96"/>
    </row>
    <row r="10" spans="1:7">
      <c r="A10" s="67"/>
      <c r="B10" s="25" t="s">
        <v>356</v>
      </c>
      <c r="C10" s="32"/>
      <c r="D10" s="33"/>
      <c r="E10" s="95"/>
      <c r="F10" s="95"/>
      <c r="G10" s="96"/>
    </row>
    <row r="11" spans="1:7">
      <c r="A11" s="67"/>
      <c r="B11" s="30" t="s">
        <v>357</v>
      </c>
      <c r="C11" s="32"/>
      <c r="D11" s="33"/>
      <c r="E11" s="100" t="s">
        <v>180</v>
      </c>
      <c r="F11" s="100" t="s">
        <v>180</v>
      </c>
      <c r="G11" s="100" t="s">
        <v>180</v>
      </c>
    </row>
    <row r="12" spans="1:7">
      <c r="A12" s="22"/>
      <c r="B12" s="30" t="s">
        <v>358</v>
      </c>
      <c r="C12" s="32"/>
      <c r="D12" s="33"/>
      <c r="E12" s="100" t="s">
        <v>180</v>
      </c>
      <c r="F12" s="100" t="s">
        <v>180</v>
      </c>
      <c r="G12" s="100" t="s">
        <v>180</v>
      </c>
    </row>
    <row r="13" spans="1:7">
      <c r="A13" s="67"/>
      <c r="B13" s="30" t="s">
        <v>359</v>
      </c>
      <c r="C13" s="32"/>
      <c r="D13" s="33"/>
      <c r="E13" s="100" t="s">
        <v>180</v>
      </c>
      <c r="F13" s="100" t="s">
        <v>180</v>
      </c>
      <c r="G13" s="100" t="s">
        <v>180</v>
      </c>
    </row>
    <row r="14" spans="1:7">
      <c r="A14" s="67"/>
      <c r="B14" s="30"/>
      <c r="C14" s="32"/>
      <c r="D14" s="33"/>
      <c r="E14" s="33"/>
      <c r="F14" s="34"/>
      <c r="G14" s="92"/>
    </row>
    <row r="15" spans="1:7">
      <c r="A15" s="67"/>
      <c r="B15" s="31" t="s">
        <v>10</v>
      </c>
      <c r="C15" s="27" t="s">
        <v>1</v>
      </c>
      <c r="D15" s="27" t="s">
        <v>1</v>
      </c>
      <c r="E15" s="27" t="s">
        <v>1</v>
      </c>
      <c r="F15" s="35" t="s">
        <v>1</v>
      </c>
      <c r="G15" s="40" t="s">
        <v>1</v>
      </c>
    </row>
    <row r="16" spans="1:7">
      <c r="A16" s="67"/>
      <c r="B16" s="31" t="s">
        <v>11</v>
      </c>
      <c r="C16" s="27" t="s">
        <v>1</v>
      </c>
      <c r="D16" s="27" t="s">
        <v>1</v>
      </c>
      <c r="E16" s="27" t="s">
        <v>1</v>
      </c>
      <c r="F16" s="35" t="s">
        <v>1</v>
      </c>
      <c r="G16" s="40" t="s">
        <v>1</v>
      </c>
    </row>
    <row r="17" spans="1:7">
      <c r="A17" s="22"/>
      <c r="B17" s="41" t="s">
        <v>12</v>
      </c>
      <c r="C17" s="27" t="s">
        <v>13</v>
      </c>
      <c r="D17" s="27" t="s">
        <v>14</v>
      </c>
      <c r="E17" s="36">
        <v>570000</v>
      </c>
      <c r="F17" s="37">
        <v>568.81959270000004</v>
      </c>
      <c r="G17" s="42">
        <v>0.21475722442364811</v>
      </c>
    </row>
    <row r="18" spans="1:7">
      <c r="A18" s="22"/>
      <c r="B18" s="41" t="s">
        <v>15</v>
      </c>
      <c r="C18" s="27" t="s">
        <v>16</v>
      </c>
      <c r="D18" s="27" t="s">
        <v>17</v>
      </c>
      <c r="E18" s="36">
        <v>500000</v>
      </c>
      <c r="F18" s="37">
        <v>497.43652500000002</v>
      </c>
      <c r="G18" s="42">
        <v>0.18780662411585852</v>
      </c>
    </row>
    <row r="19" spans="1:7">
      <c r="A19" s="22"/>
      <c r="B19" s="41" t="s">
        <v>18</v>
      </c>
      <c r="C19" s="27" t="s">
        <v>19</v>
      </c>
      <c r="D19" s="27" t="s">
        <v>17</v>
      </c>
      <c r="E19" s="36">
        <v>500000</v>
      </c>
      <c r="F19" s="37">
        <v>497.36370499999998</v>
      </c>
      <c r="G19" s="42">
        <v>0.1877791310033089</v>
      </c>
    </row>
    <row r="20" spans="1:7">
      <c r="A20" s="22"/>
      <c r="B20" s="41" t="s">
        <v>366</v>
      </c>
      <c r="C20" s="27" t="s">
        <v>20</v>
      </c>
      <c r="D20" s="27" t="s">
        <v>17</v>
      </c>
      <c r="E20" s="36">
        <v>350000</v>
      </c>
      <c r="F20" s="37">
        <v>344.68979999999999</v>
      </c>
      <c r="G20" s="42">
        <v>0.1301372626490796</v>
      </c>
    </row>
    <row r="21" spans="1:7">
      <c r="A21" s="22"/>
      <c r="B21" s="41" t="s">
        <v>21</v>
      </c>
      <c r="C21" s="27" t="s">
        <v>22</v>
      </c>
      <c r="D21" s="27" t="s">
        <v>23</v>
      </c>
      <c r="E21" s="36">
        <v>250000</v>
      </c>
      <c r="F21" s="37">
        <v>249.70473250000001</v>
      </c>
      <c r="G21" s="42">
        <v>9.4275752743686242E-2</v>
      </c>
    </row>
    <row r="22" spans="1:7">
      <c r="A22" s="22"/>
      <c r="B22" s="41" t="s">
        <v>24</v>
      </c>
      <c r="C22" s="27" t="s">
        <v>25</v>
      </c>
      <c r="D22" s="27" t="s">
        <v>17</v>
      </c>
      <c r="E22" s="36">
        <v>250000</v>
      </c>
      <c r="F22" s="37">
        <v>249.2177925</v>
      </c>
      <c r="G22" s="42">
        <v>9.4091909071276028E-2</v>
      </c>
    </row>
    <row r="23" spans="1:7">
      <c r="A23" s="22"/>
      <c r="B23" s="41" t="s">
        <v>26</v>
      </c>
      <c r="C23" s="27" t="s">
        <v>27</v>
      </c>
      <c r="D23" s="27" t="s">
        <v>17</v>
      </c>
      <c r="E23" s="36">
        <v>200000</v>
      </c>
      <c r="F23" s="37">
        <v>196.9606</v>
      </c>
      <c r="G23" s="42">
        <v>7.4362262340574942E-2</v>
      </c>
    </row>
    <row r="24" spans="1:7">
      <c r="A24" s="67"/>
      <c r="B24" s="31" t="s">
        <v>28</v>
      </c>
      <c r="C24" s="27" t="s">
        <v>1</v>
      </c>
      <c r="D24" s="27" t="s">
        <v>1</v>
      </c>
      <c r="E24" s="27" t="s">
        <v>1</v>
      </c>
      <c r="F24" s="28">
        <v>2604.1927476999999</v>
      </c>
      <c r="G24" s="29">
        <v>0.98321016634743241</v>
      </c>
    </row>
    <row r="25" spans="1:7">
      <c r="A25" s="67"/>
      <c r="B25" s="31" t="s">
        <v>29</v>
      </c>
      <c r="C25" s="27" t="s">
        <v>1</v>
      </c>
      <c r="D25" s="27" t="s">
        <v>1</v>
      </c>
      <c r="E25" s="27" t="s">
        <v>1</v>
      </c>
      <c r="F25" s="28">
        <v>2604.1927476999999</v>
      </c>
      <c r="G25" s="29">
        <v>0.98321016634743241</v>
      </c>
    </row>
    <row r="26" spans="1:7">
      <c r="A26" s="67"/>
      <c r="B26" s="31"/>
      <c r="C26" s="27"/>
      <c r="D26" s="27"/>
      <c r="E26" s="27"/>
      <c r="F26" s="28"/>
      <c r="G26" s="29"/>
    </row>
    <row r="27" spans="1:7">
      <c r="A27" s="67"/>
      <c r="B27" s="31" t="s">
        <v>30</v>
      </c>
      <c r="C27" s="27" t="s">
        <v>1</v>
      </c>
      <c r="D27" s="27" t="s">
        <v>1</v>
      </c>
      <c r="E27" s="27" t="s">
        <v>1</v>
      </c>
      <c r="F27" s="35" t="s">
        <v>1</v>
      </c>
      <c r="G27" s="40" t="s">
        <v>1</v>
      </c>
    </row>
    <row r="28" spans="1:7">
      <c r="A28" s="22"/>
      <c r="B28" s="41" t="s">
        <v>31</v>
      </c>
      <c r="C28" s="27" t="s">
        <v>1</v>
      </c>
      <c r="D28" s="27" t="s">
        <v>32</v>
      </c>
      <c r="E28" s="36"/>
      <c r="F28" s="37">
        <v>383.93807909999998</v>
      </c>
      <c r="G28" s="42">
        <v>0.14495540814036215</v>
      </c>
    </row>
    <row r="29" spans="1:7">
      <c r="A29" s="67"/>
      <c r="B29" s="31" t="s">
        <v>28</v>
      </c>
      <c r="C29" s="27" t="s">
        <v>1</v>
      </c>
      <c r="D29" s="27" t="s">
        <v>1</v>
      </c>
      <c r="E29" s="27" t="s">
        <v>1</v>
      </c>
      <c r="F29" s="28">
        <v>383.93807909999998</v>
      </c>
      <c r="G29" s="29">
        <v>0.14495540814036215</v>
      </c>
    </row>
    <row r="30" spans="1:7">
      <c r="A30" s="67"/>
      <c r="B30" s="31" t="s">
        <v>29</v>
      </c>
      <c r="C30" s="27" t="s">
        <v>1</v>
      </c>
      <c r="D30" s="27" t="s">
        <v>1</v>
      </c>
      <c r="E30" s="27" t="s">
        <v>1</v>
      </c>
      <c r="F30" s="28">
        <v>383.93807909999998</v>
      </c>
      <c r="G30" s="29">
        <v>0.14495540814036215</v>
      </c>
    </row>
    <row r="31" spans="1:7">
      <c r="A31" s="67"/>
      <c r="B31" s="31"/>
      <c r="C31" s="27"/>
      <c r="D31" s="27"/>
      <c r="E31" s="27"/>
      <c r="F31" s="28"/>
      <c r="G31" s="29"/>
    </row>
    <row r="32" spans="1:7">
      <c r="A32" s="67"/>
      <c r="B32" s="64" t="s">
        <v>190</v>
      </c>
      <c r="C32" s="27"/>
      <c r="D32" s="27"/>
      <c r="E32" s="27"/>
      <c r="F32" s="28"/>
      <c r="G32" s="29"/>
    </row>
    <row r="33" spans="1:7" ht="12" thickBot="1">
      <c r="A33" s="67"/>
      <c r="B33" s="57" t="s">
        <v>33</v>
      </c>
      <c r="C33" s="58" t="s">
        <v>1</v>
      </c>
      <c r="D33" s="58" t="s">
        <v>1</v>
      </c>
      <c r="E33" s="58" t="s">
        <v>1</v>
      </c>
      <c r="F33" s="59">
        <v>-339.46746180000002</v>
      </c>
      <c r="G33" s="60">
        <v>-0.12816557448779453</v>
      </c>
    </row>
    <row r="34" spans="1:7" ht="12.75" thickTop="1" thickBot="1">
      <c r="A34" s="67"/>
      <c r="B34" s="53" t="s">
        <v>34</v>
      </c>
      <c r="C34" s="54" t="s">
        <v>1</v>
      </c>
      <c r="D34" s="54" t="s">
        <v>1</v>
      </c>
      <c r="E34" s="54" t="s">
        <v>1</v>
      </c>
      <c r="F34" s="55">
        <v>2648.6633649999999</v>
      </c>
      <c r="G34" s="56">
        <v>1</v>
      </c>
    </row>
    <row r="35" spans="1:7">
      <c r="A35" s="67"/>
      <c r="B35" s="20" t="s">
        <v>1</v>
      </c>
      <c r="C35" s="67"/>
      <c r="D35" s="67"/>
      <c r="E35" s="67"/>
      <c r="F35" s="68"/>
      <c r="G35" s="69"/>
    </row>
    <row r="36" spans="1:7">
      <c r="A36" s="67"/>
      <c r="B36" s="15" t="s">
        <v>32</v>
      </c>
      <c r="C36" s="67"/>
      <c r="D36" s="67"/>
      <c r="E36" s="67"/>
      <c r="F36" s="68"/>
      <c r="G36" s="69"/>
    </row>
    <row r="37" spans="1:7">
      <c r="A37" s="67"/>
      <c r="B37" s="15" t="s">
        <v>35</v>
      </c>
      <c r="C37" s="67"/>
      <c r="D37" s="67"/>
      <c r="E37" s="67"/>
      <c r="F37" s="68"/>
      <c r="G37" s="69"/>
    </row>
    <row r="38" spans="1:7">
      <c r="A38" s="67"/>
      <c r="B38" s="15" t="s">
        <v>36</v>
      </c>
      <c r="C38" s="67"/>
      <c r="D38" s="67"/>
      <c r="E38" s="67"/>
      <c r="F38" s="68"/>
      <c r="G38" s="69"/>
    </row>
    <row r="39" spans="1:7" ht="12" thickBot="1">
      <c r="A39" s="67"/>
      <c r="B39" s="15" t="s">
        <v>1</v>
      </c>
      <c r="C39" s="67"/>
      <c r="D39" s="67"/>
      <c r="E39" s="67"/>
      <c r="F39" s="68"/>
      <c r="G39" s="69"/>
    </row>
    <row r="40" spans="1:7" ht="12" thickBot="1">
      <c r="A40" s="67"/>
      <c r="B40" s="101" t="s">
        <v>375</v>
      </c>
      <c r="C40" s="102">
        <v>24.35</v>
      </c>
      <c r="D40" s="67"/>
      <c r="E40" s="67"/>
      <c r="F40" s="68"/>
      <c r="G40" s="6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zoomScaleNormal="100" workbookViewId="0">
      <selection activeCell="C45" sqref="C45"/>
    </sheetView>
  </sheetViews>
  <sheetFormatPr defaultRowHeight="11.25"/>
  <cols>
    <col min="1" max="1" width="11.42578125" style="70" bestFit="1" customWidth="1"/>
    <col min="2" max="2" width="46.28515625" style="70" customWidth="1"/>
    <col min="3" max="5" width="20" style="70" customWidth="1"/>
    <col min="6" max="6" width="20" style="72" customWidth="1"/>
    <col min="7" max="7" width="20" style="73" customWidth="1"/>
    <col min="8" max="16384" width="9.140625" style="70"/>
  </cols>
  <sheetData>
    <row r="1" spans="1:7" ht="18">
      <c r="A1" s="67"/>
      <c r="B1" s="124" t="s">
        <v>344</v>
      </c>
      <c r="C1" s="125"/>
      <c r="D1" s="125"/>
      <c r="E1" s="125"/>
      <c r="F1" s="125"/>
      <c r="G1" s="126"/>
    </row>
    <row r="2" spans="1:7" ht="12" thickBot="1">
      <c r="A2" s="67"/>
      <c r="B2" s="115" t="s">
        <v>376</v>
      </c>
      <c r="C2" s="116"/>
      <c r="D2" s="116"/>
      <c r="E2" s="116"/>
      <c r="F2" s="116"/>
      <c r="G2" s="117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12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5</v>
      </c>
      <c r="E5" s="50" t="s">
        <v>6</v>
      </c>
      <c r="F5" s="51" t="s">
        <v>7</v>
      </c>
      <c r="G5" s="52" t="s">
        <v>8</v>
      </c>
    </row>
    <row r="6" spans="1:7">
      <c r="A6" s="67"/>
      <c r="B6" s="88" t="s">
        <v>354</v>
      </c>
      <c r="C6" s="97"/>
      <c r="D6" s="86"/>
      <c r="E6" s="86"/>
      <c r="F6" s="98"/>
      <c r="G6" s="87"/>
    </row>
    <row r="7" spans="1:7">
      <c r="A7" s="67"/>
      <c r="B7" s="30" t="s">
        <v>355</v>
      </c>
      <c r="C7" s="39"/>
      <c r="D7" s="33"/>
      <c r="E7" s="95" t="s">
        <v>180</v>
      </c>
      <c r="F7" s="103"/>
      <c r="G7" s="96" t="s">
        <v>180</v>
      </c>
    </row>
    <row r="8" spans="1:7">
      <c r="A8" s="22"/>
      <c r="B8" s="30" t="s">
        <v>179</v>
      </c>
      <c r="C8" s="39"/>
      <c r="D8" s="33"/>
      <c r="E8" s="95" t="s">
        <v>180</v>
      </c>
      <c r="F8" s="103"/>
      <c r="G8" s="96" t="s">
        <v>180</v>
      </c>
    </row>
    <row r="9" spans="1:7">
      <c r="A9" s="22"/>
      <c r="B9" s="79"/>
      <c r="C9" s="32"/>
      <c r="D9" s="33"/>
      <c r="E9" s="33"/>
      <c r="F9" s="34"/>
      <c r="G9" s="92"/>
    </row>
    <row r="10" spans="1:7">
      <c r="A10" s="22"/>
      <c r="B10" s="25" t="s">
        <v>356</v>
      </c>
      <c r="C10" s="38"/>
      <c r="D10" s="33"/>
      <c r="E10" s="33"/>
      <c r="F10" s="34"/>
      <c r="G10" s="92"/>
    </row>
    <row r="11" spans="1:7">
      <c r="A11" s="22"/>
      <c r="B11" s="30" t="s">
        <v>360</v>
      </c>
      <c r="C11" s="39"/>
      <c r="D11" s="33"/>
      <c r="E11" s="95" t="s">
        <v>180</v>
      </c>
      <c r="F11" s="103"/>
      <c r="G11" s="96" t="s">
        <v>180</v>
      </c>
    </row>
    <row r="12" spans="1:7">
      <c r="A12" s="22"/>
      <c r="B12" s="30" t="s">
        <v>358</v>
      </c>
      <c r="C12" s="39"/>
      <c r="D12" s="33"/>
      <c r="E12" s="95" t="s">
        <v>180</v>
      </c>
      <c r="F12" s="103"/>
      <c r="G12" s="96" t="s">
        <v>180</v>
      </c>
    </row>
    <row r="13" spans="1:7">
      <c r="A13" s="67"/>
      <c r="B13" s="30" t="s">
        <v>359</v>
      </c>
      <c r="C13" s="39"/>
      <c r="D13" s="33"/>
      <c r="E13" s="95" t="s">
        <v>180</v>
      </c>
      <c r="F13" s="103"/>
      <c r="G13" s="96" t="s">
        <v>180</v>
      </c>
    </row>
    <row r="14" spans="1:7">
      <c r="A14" s="67"/>
      <c r="B14" s="30"/>
      <c r="C14" s="39"/>
      <c r="D14" s="33"/>
      <c r="E14" s="95"/>
      <c r="F14" s="103"/>
      <c r="G14" s="96"/>
    </row>
    <row r="15" spans="1:7">
      <c r="A15" s="67"/>
      <c r="B15" s="31" t="s">
        <v>10</v>
      </c>
      <c r="C15" s="27" t="s">
        <v>1</v>
      </c>
      <c r="D15" s="27" t="s">
        <v>1</v>
      </c>
      <c r="E15" s="27" t="s">
        <v>1</v>
      </c>
      <c r="F15" s="35" t="s">
        <v>1</v>
      </c>
      <c r="G15" s="40" t="s">
        <v>1</v>
      </c>
    </row>
    <row r="16" spans="1:7">
      <c r="A16" s="67"/>
      <c r="B16" s="31" t="s">
        <v>11</v>
      </c>
      <c r="C16" s="27" t="s">
        <v>1</v>
      </c>
      <c r="D16" s="27" t="s">
        <v>1</v>
      </c>
      <c r="E16" s="27" t="s">
        <v>1</v>
      </c>
      <c r="F16" s="35" t="s">
        <v>1</v>
      </c>
      <c r="G16" s="40" t="s">
        <v>1</v>
      </c>
    </row>
    <row r="17" spans="1:7">
      <c r="A17" s="22"/>
      <c r="B17" s="41" t="s">
        <v>345</v>
      </c>
      <c r="C17" s="27" t="s">
        <v>346</v>
      </c>
      <c r="D17" s="27" t="s">
        <v>17</v>
      </c>
      <c r="E17" s="36">
        <v>450000</v>
      </c>
      <c r="F17" s="37">
        <v>435.82049999999998</v>
      </c>
      <c r="G17" s="42">
        <v>0.17681958833201897</v>
      </c>
    </row>
    <row r="18" spans="1:7">
      <c r="A18" s="22"/>
      <c r="B18" s="41" t="s">
        <v>12</v>
      </c>
      <c r="C18" s="27" t="s">
        <v>13</v>
      </c>
      <c r="D18" s="27" t="s">
        <v>14</v>
      </c>
      <c r="E18" s="36">
        <v>430000</v>
      </c>
      <c r="F18" s="37">
        <v>429.10951729999999</v>
      </c>
      <c r="G18" s="42">
        <v>0.17409683160461101</v>
      </c>
    </row>
    <row r="19" spans="1:7">
      <c r="A19" s="22"/>
      <c r="B19" s="41" t="s">
        <v>26</v>
      </c>
      <c r="C19" s="27" t="s">
        <v>27</v>
      </c>
      <c r="D19" s="27" t="s">
        <v>17</v>
      </c>
      <c r="E19" s="36">
        <v>300000</v>
      </c>
      <c r="F19" s="37">
        <v>295.4409</v>
      </c>
      <c r="G19" s="42">
        <v>0.11986526176359576</v>
      </c>
    </row>
    <row r="20" spans="1:7">
      <c r="A20" s="22"/>
      <c r="B20" s="41" t="s">
        <v>21</v>
      </c>
      <c r="C20" s="27" t="s">
        <v>22</v>
      </c>
      <c r="D20" s="27" t="s">
        <v>23</v>
      </c>
      <c r="E20" s="36">
        <v>250000</v>
      </c>
      <c r="F20" s="37">
        <v>249.70473250000001</v>
      </c>
      <c r="G20" s="42">
        <v>0.10130934181665828</v>
      </c>
    </row>
    <row r="21" spans="1:7">
      <c r="A21" s="22"/>
      <c r="B21" s="41" t="s">
        <v>24</v>
      </c>
      <c r="C21" s="27" t="s">
        <v>25</v>
      </c>
      <c r="D21" s="27" t="s">
        <v>17</v>
      </c>
      <c r="E21" s="36">
        <v>250000</v>
      </c>
      <c r="F21" s="37">
        <v>249.2177925</v>
      </c>
      <c r="G21" s="42">
        <v>0.10111178220130657</v>
      </c>
    </row>
    <row r="22" spans="1:7">
      <c r="A22" s="22"/>
      <c r="B22" s="41" t="s">
        <v>347</v>
      </c>
      <c r="C22" s="27" t="s">
        <v>348</v>
      </c>
      <c r="D22" s="27" t="s">
        <v>17</v>
      </c>
      <c r="E22" s="36">
        <v>90000</v>
      </c>
      <c r="F22" s="37">
        <v>87.466229999999996</v>
      </c>
      <c r="G22" s="42">
        <v>3.5486496806721314E-2</v>
      </c>
    </row>
    <row r="23" spans="1:7">
      <c r="A23" s="22"/>
      <c r="B23" s="41" t="s">
        <v>349</v>
      </c>
      <c r="C23" s="27" t="s">
        <v>350</v>
      </c>
      <c r="D23" s="27" t="s">
        <v>14</v>
      </c>
      <c r="E23" s="36">
        <v>80000</v>
      </c>
      <c r="F23" s="37">
        <v>73.899919999999995</v>
      </c>
      <c r="G23" s="42">
        <v>2.998242035922848E-2</v>
      </c>
    </row>
    <row r="24" spans="1:7">
      <c r="A24" s="67"/>
      <c r="B24" s="31" t="s">
        <v>28</v>
      </c>
      <c r="C24" s="27" t="s">
        <v>1</v>
      </c>
      <c r="D24" s="27" t="s">
        <v>1</v>
      </c>
      <c r="E24" s="27" t="s">
        <v>1</v>
      </c>
      <c r="F24" s="28">
        <v>1820.6595923</v>
      </c>
      <c r="G24" s="29">
        <v>0.7386717228841404</v>
      </c>
    </row>
    <row r="25" spans="1:7">
      <c r="A25" s="67"/>
      <c r="B25" s="31" t="s">
        <v>29</v>
      </c>
      <c r="C25" s="27" t="s">
        <v>1</v>
      </c>
      <c r="D25" s="27" t="s">
        <v>1</v>
      </c>
      <c r="E25" s="27" t="s">
        <v>1</v>
      </c>
      <c r="F25" s="28">
        <v>1820.6595923</v>
      </c>
      <c r="G25" s="29">
        <v>0.7386717228841404</v>
      </c>
    </row>
    <row r="26" spans="1:7">
      <c r="A26" s="67"/>
      <c r="B26" s="31"/>
      <c r="C26" s="27"/>
      <c r="D26" s="27"/>
      <c r="E26" s="27"/>
      <c r="F26" s="28"/>
      <c r="G26" s="29"/>
    </row>
    <row r="27" spans="1:7">
      <c r="A27" s="67"/>
      <c r="B27" s="31" t="s">
        <v>191</v>
      </c>
      <c r="C27" s="27" t="s">
        <v>1</v>
      </c>
      <c r="D27" s="27" t="s">
        <v>1</v>
      </c>
      <c r="E27" s="27" t="s">
        <v>1</v>
      </c>
      <c r="F27" s="35" t="s">
        <v>1</v>
      </c>
      <c r="G27" s="40" t="s">
        <v>1</v>
      </c>
    </row>
    <row r="28" spans="1:7">
      <c r="A28" s="22"/>
      <c r="B28" s="41" t="s">
        <v>342</v>
      </c>
      <c r="C28" s="27" t="s">
        <v>343</v>
      </c>
      <c r="D28" s="27" t="s">
        <v>1</v>
      </c>
      <c r="E28" s="36">
        <v>1300000</v>
      </c>
      <c r="F28" s="37">
        <v>132.64420000000001</v>
      </c>
      <c r="G28" s="42">
        <v>5.381594679146573E-2</v>
      </c>
    </row>
    <row r="29" spans="1:7">
      <c r="A29" s="67"/>
      <c r="B29" s="31" t="s">
        <v>28</v>
      </c>
      <c r="C29" s="27" t="s">
        <v>1</v>
      </c>
      <c r="D29" s="27" t="s">
        <v>1</v>
      </c>
      <c r="E29" s="27" t="s">
        <v>1</v>
      </c>
      <c r="F29" s="28">
        <v>132.64420000000001</v>
      </c>
      <c r="G29" s="29">
        <v>5.381594679146573E-2</v>
      </c>
    </row>
    <row r="30" spans="1:7">
      <c r="A30" s="67"/>
      <c r="B30" s="31" t="s">
        <v>29</v>
      </c>
      <c r="C30" s="27" t="s">
        <v>1</v>
      </c>
      <c r="D30" s="27" t="s">
        <v>1</v>
      </c>
      <c r="E30" s="27" t="s">
        <v>1</v>
      </c>
      <c r="F30" s="28">
        <v>132.64420000000001</v>
      </c>
      <c r="G30" s="29">
        <v>5.381594679146573E-2</v>
      </c>
    </row>
    <row r="31" spans="1:7">
      <c r="A31" s="67"/>
      <c r="B31" s="31"/>
      <c r="C31" s="27"/>
      <c r="D31" s="27"/>
      <c r="E31" s="27"/>
      <c r="F31" s="28"/>
      <c r="G31" s="29"/>
    </row>
    <row r="32" spans="1:7">
      <c r="A32" s="67"/>
      <c r="B32" s="31" t="s">
        <v>30</v>
      </c>
      <c r="C32" s="27" t="s">
        <v>1</v>
      </c>
      <c r="D32" s="27" t="s">
        <v>1</v>
      </c>
      <c r="E32" s="27" t="s">
        <v>1</v>
      </c>
      <c r="F32" s="35" t="s">
        <v>1</v>
      </c>
      <c r="G32" s="40" t="s">
        <v>1</v>
      </c>
    </row>
    <row r="33" spans="1:7">
      <c r="A33" s="22"/>
      <c r="B33" s="41" t="s">
        <v>31</v>
      </c>
      <c r="C33" s="27" t="s">
        <v>1</v>
      </c>
      <c r="D33" s="27" t="s">
        <v>32</v>
      </c>
      <c r="E33" s="36"/>
      <c r="F33" s="37">
        <v>553.54711999999995</v>
      </c>
      <c r="G33" s="42">
        <v>0.22458322607765055</v>
      </c>
    </row>
    <row r="34" spans="1:7">
      <c r="A34" s="67"/>
      <c r="B34" s="31" t="s">
        <v>28</v>
      </c>
      <c r="C34" s="27" t="s">
        <v>1</v>
      </c>
      <c r="D34" s="27" t="s">
        <v>1</v>
      </c>
      <c r="E34" s="27" t="s">
        <v>1</v>
      </c>
      <c r="F34" s="28">
        <v>553.54711999999995</v>
      </c>
      <c r="G34" s="29">
        <v>0.22458322607765055</v>
      </c>
    </row>
    <row r="35" spans="1:7">
      <c r="A35" s="67"/>
      <c r="B35" s="31" t="s">
        <v>29</v>
      </c>
      <c r="C35" s="27" t="s">
        <v>1</v>
      </c>
      <c r="D35" s="27" t="s">
        <v>1</v>
      </c>
      <c r="E35" s="27" t="s">
        <v>1</v>
      </c>
      <c r="F35" s="28">
        <v>553.54711999999995</v>
      </c>
      <c r="G35" s="29">
        <v>0.22458322607765055</v>
      </c>
    </row>
    <row r="36" spans="1:7">
      <c r="A36" s="67"/>
      <c r="B36" s="31"/>
      <c r="C36" s="27"/>
      <c r="D36" s="27"/>
      <c r="E36" s="27"/>
      <c r="F36" s="28"/>
      <c r="G36" s="29"/>
    </row>
    <row r="37" spans="1:7">
      <c r="A37" s="67"/>
      <c r="B37" s="31" t="s">
        <v>190</v>
      </c>
      <c r="C37" s="27"/>
      <c r="D37" s="27"/>
      <c r="E37" s="27"/>
      <c r="F37" s="28"/>
      <c r="G37" s="29"/>
    </row>
    <row r="38" spans="1:7" ht="12" thickBot="1">
      <c r="A38" s="67"/>
      <c r="B38" s="57" t="s">
        <v>33</v>
      </c>
      <c r="C38" s="58" t="s">
        <v>1</v>
      </c>
      <c r="D38" s="58" t="s">
        <v>1</v>
      </c>
      <c r="E38" s="58" t="s">
        <v>1</v>
      </c>
      <c r="F38" s="59">
        <v>-42.075916999999997</v>
      </c>
      <c r="G38" s="60">
        <v>-1.7070895753256671E-2</v>
      </c>
    </row>
    <row r="39" spans="1:7" ht="12.75" thickTop="1" thickBot="1">
      <c r="A39" s="67"/>
      <c r="B39" s="53" t="s">
        <v>34</v>
      </c>
      <c r="C39" s="54" t="s">
        <v>1</v>
      </c>
      <c r="D39" s="54" t="s">
        <v>1</v>
      </c>
      <c r="E39" s="54" t="s">
        <v>1</v>
      </c>
      <c r="F39" s="55">
        <v>2464.7749952999998</v>
      </c>
      <c r="G39" s="56">
        <v>1</v>
      </c>
    </row>
    <row r="40" spans="1:7">
      <c r="A40" s="67"/>
      <c r="B40" s="20" t="s">
        <v>1</v>
      </c>
      <c r="C40" s="67"/>
      <c r="D40" s="67"/>
      <c r="E40" s="67"/>
      <c r="F40" s="68"/>
      <c r="G40" s="69"/>
    </row>
    <row r="41" spans="1:7">
      <c r="A41" s="67"/>
      <c r="B41" s="15" t="s">
        <v>32</v>
      </c>
      <c r="C41" s="67"/>
      <c r="D41" s="67"/>
      <c r="E41" s="67"/>
      <c r="F41" s="68"/>
      <c r="G41" s="69"/>
    </row>
    <row r="42" spans="1:7">
      <c r="A42" s="67"/>
      <c r="B42" s="15" t="s">
        <v>35</v>
      </c>
      <c r="C42" s="67"/>
      <c r="D42" s="67"/>
      <c r="E42" s="67"/>
      <c r="F42" s="68"/>
      <c r="G42" s="69"/>
    </row>
    <row r="43" spans="1:7">
      <c r="A43" s="67"/>
      <c r="B43" s="15" t="s">
        <v>36</v>
      </c>
      <c r="C43" s="67"/>
      <c r="D43" s="67"/>
      <c r="E43" s="67"/>
      <c r="F43" s="68"/>
      <c r="G43" s="69"/>
    </row>
    <row r="44" spans="1:7" ht="12" thickBot="1">
      <c r="A44" s="67"/>
      <c r="B44" s="15" t="s">
        <v>1</v>
      </c>
      <c r="C44" s="67"/>
      <c r="D44" s="67"/>
      <c r="E44" s="67"/>
      <c r="F44" s="68"/>
      <c r="G44" s="69"/>
    </row>
    <row r="45" spans="1:7" ht="12" thickBot="1">
      <c r="A45" s="67"/>
      <c r="B45" s="104" t="s">
        <v>375</v>
      </c>
      <c r="C45" s="105">
        <v>64.73</v>
      </c>
      <c r="D45" s="67"/>
      <c r="E45" s="67"/>
      <c r="F45" s="68"/>
      <c r="G45" s="6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zoomScaleNormal="100" workbookViewId="0">
      <selection activeCell="C44" sqref="C44"/>
    </sheetView>
  </sheetViews>
  <sheetFormatPr defaultRowHeight="11.25"/>
  <cols>
    <col min="1" max="1" width="11.42578125" style="70" bestFit="1" customWidth="1"/>
    <col min="2" max="2" width="46.42578125" style="70" customWidth="1"/>
    <col min="3" max="5" width="19.85546875" style="70" customWidth="1"/>
    <col min="6" max="6" width="19.85546875" style="72" customWidth="1"/>
    <col min="7" max="7" width="19.85546875" style="73" customWidth="1"/>
    <col min="8" max="16384" width="9.140625" style="70"/>
  </cols>
  <sheetData>
    <row r="1" spans="1:7" ht="18">
      <c r="A1" s="67"/>
      <c r="B1" s="124" t="s">
        <v>351</v>
      </c>
      <c r="C1" s="125"/>
      <c r="D1" s="125"/>
      <c r="E1" s="125"/>
      <c r="F1" s="125"/>
      <c r="G1" s="126"/>
    </row>
    <row r="2" spans="1:7" ht="12" thickBot="1">
      <c r="A2" s="67"/>
      <c r="B2" s="115" t="s">
        <v>377</v>
      </c>
      <c r="C2" s="116"/>
      <c r="D2" s="116"/>
      <c r="E2" s="116"/>
      <c r="F2" s="116"/>
      <c r="G2" s="117"/>
    </row>
    <row r="3" spans="1:7">
      <c r="A3" s="67"/>
      <c r="B3" s="19" t="s">
        <v>1</v>
      </c>
      <c r="C3" s="67"/>
      <c r="D3" s="67"/>
      <c r="E3" s="67"/>
      <c r="F3" s="68"/>
      <c r="G3" s="69"/>
    </row>
    <row r="4" spans="1:7" ht="12" thickBot="1">
      <c r="A4" s="20"/>
      <c r="B4" s="15" t="s">
        <v>2</v>
      </c>
      <c r="C4" s="67"/>
      <c r="D4" s="67"/>
      <c r="E4" s="67"/>
      <c r="F4" s="68"/>
      <c r="G4" s="69"/>
    </row>
    <row r="5" spans="1:7" ht="23.25" thickBot="1">
      <c r="A5" s="67"/>
      <c r="B5" s="48" t="s">
        <v>3</v>
      </c>
      <c r="C5" s="49" t="s">
        <v>4</v>
      </c>
      <c r="D5" s="50" t="s">
        <v>5</v>
      </c>
      <c r="E5" s="50" t="s">
        <v>6</v>
      </c>
      <c r="F5" s="51" t="s">
        <v>7</v>
      </c>
      <c r="G5" s="52" t="s">
        <v>8</v>
      </c>
    </row>
    <row r="6" spans="1:7">
      <c r="A6" s="67"/>
      <c r="B6" s="88" t="s">
        <v>354</v>
      </c>
      <c r="C6" s="97"/>
      <c r="D6" s="86"/>
      <c r="E6" s="86"/>
      <c r="F6" s="98"/>
      <c r="G6" s="87"/>
    </row>
    <row r="7" spans="1:7">
      <c r="A7" s="67"/>
      <c r="B7" s="30" t="s">
        <v>355</v>
      </c>
      <c r="C7" s="39"/>
      <c r="D7" s="33"/>
      <c r="E7" s="100" t="s">
        <v>180</v>
      </c>
      <c r="F7" s="100" t="s">
        <v>180</v>
      </c>
      <c r="G7" s="106" t="s">
        <v>180</v>
      </c>
    </row>
    <row r="8" spans="1:7">
      <c r="A8" s="22"/>
      <c r="B8" s="30" t="s">
        <v>179</v>
      </c>
      <c r="C8" s="39"/>
      <c r="D8" s="33"/>
      <c r="E8" s="100" t="s">
        <v>180</v>
      </c>
      <c r="F8" s="100" t="s">
        <v>180</v>
      </c>
      <c r="G8" s="106" t="s">
        <v>180</v>
      </c>
    </row>
    <row r="9" spans="1:7">
      <c r="A9" s="22"/>
      <c r="B9" s="79"/>
      <c r="C9" s="32"/>
      <c r="D9" s="33"/>
      <c r="E9" s="33"/>
      <c r="F9" s="34"/>
      <c r="G9" s="92"/>
    </row>
    <row r="10" spans="1:7">
      <c r="A10" s="22"/>
      <c r="B10" s="25" t="s">
        <v>356</v>
      </c>
      <c r="C10" s="38"/>
      <c r="D10" s="33"/>
      <c r="E10" s="33"/>
      <c r="F10" s="34"/>
      <c r="G10" s="92"/>
    </row>
    <row r="11" spans="1:7">
      <c r="A11" s="22"/>
      <c r="B11" s="30" t="s">
        <v>360</v>
      </c>
      <c r="C11" s="39"/>
      <c r="D11" s="33"/>
      <c r="E11" s="100" t="s">
        <v>180</v>
      </c>
      <c r="F11" s="100" t="s">
        <v>180</v>
      </c>
      <c r="G11" s="106" t="s">
        <v>180</v>
      </c>
    </row>
    <row r="12" spans="1:7">
      <c r="A12" s="22"/>
      <c r="B12" s="30" t="s">
        <v>358</v>
      </c>
      <c r="C12" s="39"/>
      <c r="D12" s="33"/>
      <c r="E12" s="100" t="s">
        <v>180</v>
      </c>
      <c r="F12" s="100" t="s">
        <v>180</v>
      </c>
      <c r="G12" s="106" t="s">
        <v>180</v>
      </c>
    </row>
    <row r="13" spans="1:7">
      <c r="A13" s="67"/>
      <c r="B13" s="30" t="s">
        <v>359</v>
      </c>
      <c r="C13" s="39"/>
      <c r="D13" s="33"/>
      <c r="E13" s="100" t="s">
        <v>180</v>
      </c>
      <c r="F13" s="100" t="s">
        <v>180</v>
      </c>
      <c r="G13" s="106" t="s">
        <v>180</v>
      </c>
    </row>
    <row r="14" spans="1:7">
      <c r="A14" s="67"/>
      <c r="B14" s="30"/>
      <c r="C14" s="39"/>
      <c r="D14" s="33"/>
      <c r="E14" s="95"/>
      <c r="F14" s="103"/>
      <c r="G14" s="96"/>
    </row>
    <row r="15" spans="1:7">
      <c r="A15" s="67"/>
      <c r="B15" s="31" t="s">
        <v>10</v>
      </c>
      <c r="C15" s="27" t="s">
        <v>1</v>
      </c>
      <c r="D15" s="27" t="s">
        <v>1</v>
      </c>
      <c r="E15" s="27" t="s">
        <v>1</v>
      </c>
      <c r="F15" s="35" t="s">
        <v>1</v>
      </c>
      <c r="G15" s="40" t="s">
        <v>1</v>
      </c>
    </row>
    <row r="16" spans="1:7">
      <c r="A16" s="67"/>
      <c r="B16" s="31" t="s">
        <v>11</v>
      </c>
      <c r="C16" s="27" t="s">
        <v>1</v>
      </c>
      <c r="D16" s="27" t="s">
        <v>1</v>
      </c>
      <c r="E16" s="27" t="s">
        <v>1</v>
      </c>
      <c r="F16" s="35" t="s">
        <v>1</v>
      </c>
      <c r="G16" s="40" t="s">
        <v>1</v>
      </c>
    </row>
    <row r="17" spans="1:7">
      <c r="A17" s="22"/>
      <c r="B17" s="41" t="s">
        <v>352</v>
      </c>
      <c r="C17" s="27" t="s">
        <v>353</v>
      </c>
      <c r="D17" s="27" t="s">
        <v>17</v>
      </c>
      <c r="E17" s="36">
        <v>500000</v>
      </c>
      <c r="F17" s="37">
        <v>464.161</v>
      </c>
      <c r="G17" s="42">
        <v>0.26966880106576263</v>
      </c>
    </row>
    <row r="18" spans="1:7">
      <c r="A18" s="22"/>
      <c r="B18" s="41" t="s">
        <v>347</v>
      </c>
      <c r="C18" s="27" t="s">
        <v>348</v>
      </c>
      <c r="D18" s="27" t="s">
        <v>17</v>
      </c>
      <c r="E18" s="36">
        <v>410000</v>
      </c>
      <c r="F18" s="37">
        <v>398.45726999999999</v>
      </c>
      <c r="G18" s="42">
        <v>0.23149617110622581</v>
      </c>
    </row>
    <row r="19" spans="1:7">
      <c r="A19" s="22"/>
      <c r="B19" s="41" t="s">
        <v>349</v>
      </c>
      <c r="C19" s="27" t="s">
        <v>350</v>
      </c>
      <c r="D19" s="27" t="s">
        <v>14</v>
      </c>
      <c r="E19" s="36">
        <v>420000</v>
      </c>
      <c r="F19" s="37">
        <v>387.97458</v>
      </c>
      <c r="G19" s="42">
        <v>0.22540592560036887</v>
      </c>
    </row>
    <row r="20" spans="1:7">
      <c r="A20" s="22"/>
      <c r="B20" s="41" t="s">
        <v>367</v>
      </c>
      <c r="C20" s="27" t="s">
        <v>20</v>
      </c>
      <c r="D20" s="27" t="s">
        <v>17</v>
      </c>
      <c r="E20" s="36">
        <v>150000</v>
      </c>
      <c r="F20" s="37">
        <v>147.7242</v>
      </c>
      <c r="G20" s="42">
        <v>8.5824978622501533E-2</v>
      </c>
    </row>
    <row r="21" spans="1:7">
      <c r="A21" s="22"/>
      <c r="B21" s="41" t="s">
        <v>345</v>
      </c>
      <c r="C21" s="27" t="s">
        <v>346</v>
      </c>
      <c r="D21" s="27" t="s">
        <v>17</v>
      </c>
      <c r="E21" s="36">
        <v>50000</v>
      </c>
      <c r="F21" s="37">
        <v>48.424500000000002</v>
      </c>
      <c r="G21" s="42">
        <v>2.8133722689344911E-2</v>
      </c>
    </row>
    <row r="22" spans="1:7">
      <c r="A22" s="22"/>
      <c r="B22" s="41" t="s">
        <v>181</v>
      </c>
      <c r="C22" s="27" t="s">
        <v>182</v>
      </c>
      <c r="D22" s="27" t="s">
        <v>17</v>
      </c>
      <c r="E22" s="36">
        <v>40000</v>
      </c>
      <c r="F22" s="37">
        <v>37.172960000000003</v>
      </c>
      <c r="G22" s="42">
        <v>2.1596789810573384E-2</v>
      </c>
    </row>
    <row r="23" spans="1:7">
      <c r="A23" s="67"/>
      <c r="B23" s="31" t="s">
        <v>28</v>
      </c>
      <c r="C23" s="27" t="s">
        <v>1</v>
      </c>
      <c r="D23" s="27" t="s">
        <v>1</v>
      </c>
      <c r="E23" s="27" t="s">
        <v>1</v>
      </c>
      <c r="F23" s="28">
        <v>1483.9145100000001</v>
      </c>
      <c r="G23" s="29">
        <v>0.86212638889477711</v>
      </c>
    </row>
    <row r="24" spans="1:7">
      <c r="A24" s="67"/>
      <c r="B24" s="31" t="s">
        <v>29</v>
      </c>
      <c r="C24" s="27" t="s">
        <v>1</v>
      </c>
      <c r="D24" s="27" t="s">
        <v>1</v>
      </c>
      <c r="E24" s="27" t="s">
        <v>1</v>
      </c>
      <c r="F24" s="28">
        <v>1483.9145100000001</v>
      </c>
      <c r="G24" s="29">
        <v>0.86212638889477711</v>
      </c>
    </row>
    <row r="25" spans="1:7">
      <c r="A25" s="67"/>
      <c r="B25" s="31"/>
      <c r="C25" s="27"/>
      <c r="D25" s="27"/>
      <c r="E25" s="27"/>
      <c r="F25" s="28"/>
      <c r="G25" s="29"/>
    </row>
    <row r="26" spans="1:7">
      <c r="A26" s="67"/>
      <c r="B26" s="31" t="s">
        <v>191</v>
      </c>
      <c r="C26" s="27" t="s">
        <v>1</v>
      </c>
      <c r="D26" s="27" t="s">
        <v>1</v>
      </c>
      <c r="E26" s="27" t="s">
        <v>1</v>
      </c>
      <c r="F26" s="35" t="s">
        <v>1</v>
      </c>
      <c r="G26" s="40" t="s">
        <v>1</v>
      </c>
    </row>
    <row r="27" spans="1:7">
      <c r="A27" s="22"/>
      <c r="B27" s="41" t="s">
        <v>342</v>
      </c>
      <c r="C27" s="27" t="s">
        <v>343</v>
      </c>
      <c r="D27" s="27" t="s">
        <v>1</v>
      </c>
      <c r="E27" s="36">
        <v>2200440</v>
      </c>
      <c r="F27" s="37">
        <v>224.51969500000001</v>
      </c>
      <c r="G27" s="42">
        <v>0.13044171519429831</v>
      </c>
    </row>
    <row r="28" spans="1:7">
      <c r="A28" s="67"/>
      <c r="B28" s="31" t="s">
        <v>28</v>
      </c>
      <c r="C28" s="27" t="s">
        <v>1</v>
      </c>
      <c r="D28" s="27" t="s">
        <v>1</v>
      </c>
      <c r="E28" s="27" t="s">
        <v>1</v>
      </c>
      <c r="F28" s="28">
        <v>224.51969500000001</v>
      </c>
      <c r="G28" s="29">
        <v>0.13044171519429831</v>
      </c>
    </row>
    <row r="29" spans="1:7">
      <c r="A29" s="67"/>
      <c r="B29" s="31" t="s">
        <v>29</v>
      </c>
      <c r="C29" s="27" t="s">
        <v>1</v>
      </c>
      <c r="D29" s="27" t="s">
        <v>1</v>
      </c>
      <c r="E29" s="27" t="s">
        <v>1</v>
      </c>
      <c r="F29" s="28">
        <v>224.51969500000001</v>
      </c>
      <c r="G29" s="29">
        <v>0.13044171519429831</v>
      </c>
    </row>
    <row r="30" spans="1:7">
      <c r="A30" s="67"/>
      <c r="B30" s="31"/>
      <c r="C30" s="27"/>
      <c r="D30" s="27"/>
      <c r="E30" s="27"/>
      <c r="F30" s="28"/>
      <c r="G30" s="29"/>
    </row>
    <row r="31" spans="1:7">
      <c r="A31" s="67"/>
      <c r="B31" s="31" t="s">
        <v>30</v>
      </c>
      <c r="C31" s="27" t="s">
        <v>1</v>
      </c>
      <c r="D31" s="27" t="s">
        <v>1</v>
      </c>
      <c r="E31" s="27" t="s">
        <v>1</v>
      </c>
      <c r="F31" s="35" t="s">
        <v>1</v>
      </c>
      <c r="G31" s="40" t="s">
        <v>1</v>
      </c>
    </row>
    <row r="32" spans="1:7">
      <c r="A32" s="22"/>
      <c r="B32" s="41" t="s">
        <v>31</v>
      </c>
      <c r="C32" s="27" t="s">
        <v>1</v>
      </c>
      <c r="D32" s="27" t="s">
        <v>32</v>
      </c>
      <c r="E32" s="36"/>
      <c r="F32" s="37">
        <v>163.3025265</v>
      </c>
      <c r="G32" s="42">
        <v>9.4875692986409743E-2</v>
      </c>
    </row>
    <row r="33" spans="1:7">
      <c r="A33" s="67"/>
      <c r="B33" s="31" t="s">
        <v>28</v>
      </c>
      <c r="C33" s="27" t="s">
        <v>1</v>
      </c>
      <c r="D33" s="27" t="s">
        <v>1</v>
      </c>
      <c r="E33" s="27" t="s">
        <v>1</v>
      </c>
      <c r="F33" s="28">
        <v>163.3025265</v>
      </c>
      <c r="G33" s="29">
        <v>9.4875692986409743E-2</v>
      </c>
    </row>
    <row r="34" spans="1:7">
      <c r="A34" s="67"/>
      <c r="B34" s="31" t="s">
        <v>29</v>
      </c>
      <c r="C34" s="27" t="s">
        <v>1</v>
      </c>
      <c r="D34" s="27" t="s">
        <v>1</v>
      </c>
      <c r="E34" s="27" t="s">
        <v>1</v>
      </c>
      <c r="F34" s="28">
        <v>163.3025265</v>
      </c>
      <c r="G34" s="29">
        <v>9.4875692986409743E-2</v>
      </c>
    </row>
    <row r="35" spans="1:7">
      <c r="A35" s="67"/>
      <c r="B35" s="31"/>
      <c r="C35" s="27"/>
      <c r="D35" s="27"/>
      <c r="E35" s="27"/>
      <c r="F35" s="28"/>
      <c r="G35" s="29"/>
    </row>
    <row r="36" spans="1:7">
      <c r="A36" s="67"/>
      <c r="B36" s="31" t="s">
        <v>190</v>
      </c>
      <c r="C36" s="27"/>
      <c r="D36" s="27"/>
      <c r="E36" s="27"/>
      <c r="F36" s="28"/>
      <c r="G36" s="29"/>
    </row>
    <row r="37" spans="1:7" ht="12" thickBot="1">
      <c r="A37" s="67"/>
      <c r="B37" s="57" t="s">
        <v>33</v>
      </c>
      <c r="C37" s="58" t="s">
        <v>1</v>
      </c>
      <c r="D37" s="58" t="s">
        <v>1</v>
      </c>
      <c r="E37" s="58" t="s">
        <v>1</v>
      </c>
      <c r="F37" s="59">
        <v>-150.51055270000001</v>
      </c>
      <c r="G37" s="60">
        <v>-8.7443797075485191E-2</v>
      </c>
    </row>
    <row r="38" spans="1:7" ht="12.75" thickTop="1" thickBot="1">
      <c r="A38" s="67"/>
      <c r="B38" s="53" t="s">
        <v>34</v>
      </c>
      <c r="C38" s="54" t="s">
        <v>1</v>
      </c>
      <c r="D38" s="54" t="s">
        <v>1</v>
      </c>
      <c r="E38" s="54" t="s">
        <v>1</v>
      </c>
      <c r="F38" s="55">
        <v>1721.2261788000001</v>
      </c>
      <c r="G38" s="56">
        <v>1</v>
      </c>
    </row>
    <row r="39" spans="1:7">
      <c r="A39" s="67"/>
      <c r="B39" s="20" t="s">
        <v>1</v>
      </c>
      <c r="C39" s="67"/>
      <c r="D39" s="67"/>
      <c r="E39" s="67"/>
      <c r="F39" s="68"/>
      <c r="G39" s="69"/>
    </row>
    <row r="40" spans="1:7">
      <c r="A40" s="67"/>
      <c r="B40" s="15" t="s">
        <v>32</v>
      </c>
      <c r="C40" s="67"/>
      <c r="D40" s="67"/>
      <c r="E40" s="67"/>
      <c r="F40" s="68"/>
      <c r="G40" s="69"/>
    </row>
    <row r="41" spans="1:7">
      <c r="A41" s="67"/>
      <c r="B41" s="15" t="s">
        <v>35</v>
      </c>
      <c r="C41" s="67"/>
      <c r="D41" s="67"/>
      <c r="E41" s="67"/>
      <c r="F41" s="68"/>
      <c r="G41" s="69"/>
    </row>
    <row r="42" spans="1:7">
      <c r="A42" s="67"/>
      <c r="B42" s="15" t="s">
        <v>36</v>
      </c>
      <c r="C42" s="67"/>
      <c r="D42" s="67"/>
      <c r="E42" s="67"/>
      <c r="F42" s="68"/>
      <c r="G42" s="69"/>
    </row>
    <row r="43" spans="1:7" ht="12" thickBot="1">
      <c r="A43" s="67"/>
      <c r="B43" s="15" t="s">
        <v>1</v>
      </c>
      <c r="C43" s="67"/>
      <c r="D43" s="67"/>
      <c r="E43" s="67"/>
      <c r="F43" s="68"/>
      <c r="G43" s="69"/>
    </row>
    <row r="44" spans="1:7" ht="12" thickBot="1">
      <c r="A44" s="67"/>
      <c r="B44" s="104" t="s">
        <v>375</v>
      </c>
      <c r="C44" s="105">
        <v>238.59</v>
      </c>
      <c r="D44" s="67"/>
      <c r="E44" s="67"/>
      <c r="F44" s="68"/>
      <c r="G44" s="6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zoomScaleNormal="100" workbookViewId="0">
      <selection activeCell="C40" sqref="C40"/>
    </sheetView>
  </sheetViews>
  <sheetFormatPr defaultRowHeight="12.75"/>
  <cols>
    <col min="1" max="1" width="11.42578125" bestFit="1" customWidth="1"/>
    <col min="2" max="2" width="50.42578125" bestFit="1" customWidth="1"/>
    <col min="3" max="5" width="20.85546875" customWidth="1"/>
    <col min="6" max="6" width="20.85546875" style="7" customWidth="1"/>
    <col min="7" max="7" width="20.85546875" style="9" customWidth="1"/>
    <col min="8" max="8" width="25.140625" hidden="1" customWidth="1"/>
  </cols>
  <sheetData>
    <row r="1" spans="1:8" ht="18">
      <c r="A1" s="1"/>
      <c r="B1" s="124" t="s">
        <v>379</v>
      </c>
      <c r="C1" s="125"/>
      <c r="D1" s="125"/>
      <c r="E1" s="125"/>
      <c r="F1" s="125"/>
      <c r="G1" s="126"/>
      <c r="H1" s="1"/>
    </row>
    <row r="2" spans="1:8" ht="13.5" thickBot="1">
      <c r="A2" s="1"/>
      <c r="B2" s="115" t="s">
        <v>378</v>
      </c>
      <c r="C2" s="116"/>
      <c r="D2" s="116"/>
      <c r="E2" s="116"/>
      <c r="F2" s="116"/>
      <c r="G2" s="117"/>
      <c r="H2" s="1"/>
    </row>
    <row r="3" spans="1:8">
      <c r="A3" s="1"/>
      <c r="B3" s="2" t="s">
        <v>1</v>
      </c>
      <c r="C3" s="1"/>
      <c r="D3" s="1"/>
      <c r="E3" s="1"/>
      <c r="F3" s="6"/>
      <c r="G3" s="8"/>
      <c r="H3" s="1"/>
    </row>
    <row r="4" spans="1:8" ht="13.5" thickBot="1">
      <c r="A4" s="3"/>
      <c r="B4" s="15" t="s">
        <v>2</v>
      </c>
      <c r="C4" s="67"/>
      <c r="D4" s="67"/>
      <c r="E4" s="67"/>
      <c r="F4" s="68"/>
      <c r="G4" s="69"/>
      <c r="H4" s="1"/>
    </row>
    <row r="5" spans="1:8" ht="23.25" thickBot="1">
      <c r="A5" s="1"/>
      <c r="B5" s="48" t="s">
        <v>3</v>
      </c>
      <c r="C5" s="49" t="s">
        <v>4</v>
      </c>
      <c r="D5" s="50" t="s">
        <v>5</v>
      </c>
      <c r="E5" s="50" t="s">
        <v>6</v>
      </c>
      <c r="F5" s="51" t="s">
        <v>7</v>
      </c>
      <c r="G5" s="52" t="s">
        <v>8</v>
      </c>
      <c r="H5" s="107" t="s">
        <v>9</v>
      </c>
    </row>
    <row r="6" spans="1:8">
      <c r="A6" s="1"/>
      <c r="B6" s="88" t="s">
        <v>354</v>
      </c>
      <c r="C6" s="97"/>
      <c r="D6" s="86"/>
      <c r="E6" s="86"/>
      <c r="F6" s="98"/>
      <c r="G6" s="99"/>
      <c r="H6" s="11"/>
    </row>
    <row r="7" spans="1:8">
      <c r="A7" s="1"/>
      <c r="B7" s="30" t="s">
        <v>355</v>
      </c>
      <c r="C7" s="32"/>
      <c r="D7" s="33"/>
      <c r="E7" s="100" t="s">
        <v>180</v>
      </c>
      <c r="F7" s="100" t="s">
        <v>180</v>
      </c>
      <c r="G7" s="106" t="s">
        <v>180</v>
      </c>
      <c r="H7" s="12" t="s">
        <v>180</v>
      </c>
    </row>
    <row r="8" spans="1:8">
      <c r="A8" s="4"/>
      <c r="B8" s="30" t="s">
        <v>179</v>
      </c>
      <c r="C8" s="32"/>
      <c r="D8" s="33"/>
      <c r="E8" s="100" t="s">
        <v>180</v>
      </c>
      <c r="F8" s="100" t="s">
        <v>180</v>
      </c>
      <c r="G8" s="106" t="s">
        <v>180</v>
      </c>
      <c r="H8" s="12" t="s">
        <v>180</v>
      </c>
    </row>
    <row r="9" spans="1:8">
      <c r="A9" s="1"/>
      <c r="B9" s="30"/>
      <c r="C9" s="32"/>
      <c r="D9" s="33"/>
      <c r="E9" s="95"/>
      <c r="F9" s="34"/>
      <c r="G9" s="96"/>
      <c r="H9" s="12"/>
    </row>
    <row r="10" spans="1:8">
      <c r="A10" s="1"/>
      <c r="B10" s="25" t="s">
        <v>356</v>
      </c>
      <c r="C10" s="32"/>
      <c r="D10" s="33"/>
      <c r="E10" s="95"/>
      <c r="F10" s="34"/>
      <c r="G10" s="96"/>
      <c r="H10" s="12"/>
    </row>
    <row r="11" spans="1:8">
      <c r="A11" s="1"/>
      <c r="B11" s="30" t="s">
        <v>357</v>
      </c>
      <c r="C11" s="32"/>
      <c r="D11" s="33"/>
      <c r="E11" s="100" t="s">
        <v>180</v>
      </c>
      <c r="F11" s="100" t="s">
        <v>180</v>
      </c>
      <c r="G11" s="106" t="s">
        <v>180</v>
      </c>
      <c r="H11" s="12" t="s">
        <v>180</v>
      </c>
    </row>
    <row r="12" spans="1:8">
      <c r="A12" s="4"/>
      <c r="B12" s="30" t="s">
        <v>358</v>
      </c>
      <c r="C12" s="32"/>
      <c r="D12" s="33"/>
      <c r="E12" s="100" t="s">
        <v>180</v>
      </c>
      <c r="F12" s="100" t="s">
        <v>180</v>
      </c>
      <c r="G12" s="106" t="s">
        <v>180</v>
      </c>
      <c r="H12" s="13"/>
    </row>
    <row r="13" spans="1:8">
      <c r="A13" s="1"/>
      <c r="B13" s="30" t="s">
        <v>359</v>
      </c>
      <c r="C13" s="32"/>
      <c r="D13" s="33"/>
      <c r="E13" s="100" t="s">
        <v>180</v>
      </c>
      <c r="F13" s="100" t="s">
        <v>180</v>
      </c>
      <c r="G13" s="106" t="s">
        <v>180</v>
      </c>
      <c r="H13" s="13"/>
    </row>
    <row r="14" spans="1:8">
      <c r="A14" s="1"/>
      <c r="B14" s="30"/>
      <c r="C14" s="32"/>
      <c r="D14" s="33"/>
      <c r="E14" s="33"/>
      <c r="F14" s="34"/>
      <c r="G14" s="92"/>
      <c r="H14" s="10"/>
    </row>
    <row r="15" spans="1:8">
      <c r="A15" s="1"/>
      <c r="B15" s="31" t="s">
        <v>10</v>
      </c>
      <c r="C15" s="27" t="s">
        <v>1</v>
      </c>
      <c r="D15" s="27" t="s">
        <v>1</v>
      </c>
      <c r="E15" s="27" t="s">
        <v>1</v>
      </c>
      <c r="F15" s="35" t="s">
        <v>1</v>
      </c>
      <c r="G15" s="40" t="s">
        <v>1</v>
      </c>
      <c r="H15" s="108" t="s">
        <v>1</v>
      </c>
    </row>
    <row r="16" spans="1:8">
      <c r="A16" s="1"/>
      <c r="B16" s="31" t="s">
        <v>11</v>
      </c>
      <c r="C16" s="27" t="s">
        <v>1</v>
      </c>
      <c r="D16" s="27" t="s">
        <v>1</v>
      </c>
      <c r="E16" s="27" t="s">
        <v>1</v>
      </c>
      <c r="F16" s="35" t="s">
        <v>1</v>
      </c>
      <c r="G16" s="40" t="s">
        <v>1</v>
      </c>
      <c r="H16" s="108" t="s">
        <v>1</v>
      </c>
    </row>
    <row r="17" spans="1:8">
      <c r="A17" s="4"/>
      <c r="B17" s="41" t="s">
        <v>181</v>
      </c>
      <c r="C17" s="27" t="s">
        <v>182</v>
      </c>
      <c r="D17" s="27" t="s">
        <v>17</v>
      </c>
      <c r="E17" s="36">
        <v>610000</v>
      </c>
      <c r="F17" s="37">
        <v>566.88764000000003</v>
      </c>
      <c r="G17" s="42">
        <v>0.27604508219618767</v>
      </c>
      <c r="H17" s="5">
        <v>0.27600000000000002</v>
      </c>
    </row>
    <row r="18" spans="1:8">
      <c r="A18" s="4"/>
      <c r="B18" s="41" t="s">
        <v>183</v>
      </c>
      <c r="C18" s="27" t="s">
        <v>184</v>
      </c>
      <c r="D18" s="27" t="s">
        <v>23</v>
      </c>
      <c r="E18" s="36">
        <v>600000</v>
      </c>
      <c r="F18" s="37">
        <v>557.40419999999995</v>
      </c>
      <c r="G18" s="42">
        <v>0.27142713537642171</v>
      </c>
      <c r="H18" s="5">
        <v>0.27139999999999997</v>
      </c>
    </row>
    <row r="19" spans="1:8">
      <c r="A19" s="4"/>
      <c r="B19" s="41" t="s">
        <v>185</v>
      </c>
      <c r="C19" s="27" t="s">
        <v>186</v>
      </c>
      <c r="D19" s="27" t="s">
        <v>17</v>
      </c>
      <c r="E19" s="36">
        <v>500000</v>
      </c>
      <c r="F19" s="37">
        <v>465.255</v>
      </c>
      <c r="G19" s="42">
        <v>0.22655522127310324</v>
      </c>
      <c r="H19" s="5">
        <v>0.2266</v>
      </c>
    </row>
    <row r="20" spans="1:8">
      <c r="A20" s="1"/>
      <c r="B20" s="31" t="s">
        <v>28</v>
      </c>
      <c r="C20" s="27" t="s">
        <v>1</v>
      </c>
      <c r="D20" s="27" t="s">
        <v>1</v>
      </c>
      <c r="E20" s="27" t="s">
        <v>1</v>
      </c>
      <c r="F20" s="28">
        <v>1589.54684</v>
      </c>
      <c r="G20" s="29">
        <v>0.77402743884571257</v>
      </c>
      <c r="H20" s="109">
        <v>0.77400000000000002</v>
      </c>
    </row>
    <row r="21" spans="1:8">
      <c r="A21" s="1"/>
      <c r="B21" s="31"/>
      <c r="C21" s="27"/>
      <c r="D21" s="27"/>
      <c r="E21" s="27"/>
      <c r="F21" s="28"/>
      <c r="G21" s="29"/>
      <c r="H21" s="110"/>
    </row>
    <row r="22" spans="1:8">
      <c r="A22" s="1"/>
      <c r="B22" s="31" t="s">
        <v>187</v>
      </c>
      <c r="C22" s="27" t="s">
        <v>1</v>
      </c>
      <c r="D22" s="27" t="s">
        <v>1</v>
      </c>
      <c r="E22" s="27" t="s">
        <v>1</v>
      </c>
      <c r="F22" s="35" t="s">
        <v>1</v>
      </c>
      <c r="G22" s="40" t="s">
        <v>1</v>
      </c>
      <c r="H22" s="108" t="s">
        <v>1</v>
      </c>
    </row>
    <row r="23" spans="1:8">
      <c r="A23" s="4"/>
      <c r="B23" s="41" t="s">
        <v>188</v>
      </c>
      <c r="C23" s="27" t="s">
        <v>189</v>
      </c>
      <c r="D23" s="27" t="s">
        <v>17</v>
      </c>
      <c r="E23" s="36">
        <v>500000</v>
      </c>
      <c r="F23" s="37">
        <v>463.72949999999997</v>
      </c>
      <c r="G23" s="42">
        <v>0.22581238134649928</v>
      </c>
      <c r="H23" s="5">
        <v>0.2258</v>
      </c>
    </row>
    <row r="24" spans="1:8">
      <c r="A24" s="1"/>
      <c r="B24" s="31" t="s">
        <v>28</v>
      </c>
      <c r="C24" s="27" t="s">
        <v>1</v>
      </c>
      <c r="D24" s="27" t="s">
        <v>1</v>
      </c>
      <c r="E24" s="27" t="s">
        <v>1</v>
      </c>
      <c r="F24" s="28">
        <v>463.72949999999997</v>
      </c>
      <c r="G24" s="29">
        <v>0.22581238134649928</v>
      </c>
      <c r="H24" s="109">
        <v>0.2258</v>
      </c>
    </row>
    <row r="25" spans="1:8">
      <c r="A25" s="1"/>
      <c r="B25" s="31" t="s">
        <v>29</v>
      </c>
      <c r="C25" s="27" t="s">
        <v>1</v>
      </c>
      <c r="D25" s="27" t="s">
        <v>1</v>
      </c>
      <c r="E25" s="27" t="s">
        <v>1</v>
      </c>
      <c r="F25" s="28">
        <v>2053.2763399999999</v>
      </c>
      <c r="G25" s="29">
        <v>0.99983982019221196</v>
      </c>
      <c r="H25" s="109">
        <v>0.99980000000000002</v>
      </c>
    </row>
    <row r="26" spans="1:8">
      <c r="A26" s="1"/>
      <c r="B26" s="31"/>
      <c r="C26" s="27"/>
      <c r="D26" s="27"/>
      <c r="E26" s="27"/>
      <c r="F26" s="35"/>
      <c r="G26" s="40"/>
      <c r="H26" s="108"/>
    </row>
    <row r="27" spans="1:8">
      <c r="A27" s="1"/>
      <c r="B27" s="31" t="s">
        <v>191</v>
      </c>
      <c r="C27" s="27" t="s">
        <v>1</v>
      </c>
      <c r="D27" s="27" t="s">
        <v>1</v>
      </c>
      <c r="E27" s="27" t="s">
        <v>1</v>
      </c>
      <c r="F27" s="35" t="s">
        <v>1</v>
      </c>
      <c r="G27" s="40" t="s">
        <v>1</v>
      </c>
      <c r="H27" s="108" t="s">
        <v>1</v>
      </c>
    </row>
    <row r="28" spans="1:8">
      <c r="A28" s="4"/>
      <c r="B28" s="41" t="s">
        <v>192</v>
      </c>
      <c r="C28" s="27" t="s">
        <v>193</v>
      </c>
      <c r="D28" s="27" t="s">
        <v>1</v>
      </c>
      <c r="E28" s="36">
        <v>24.444839200000001</v>
      </c>
      <c r="F28" s="37">
        <v>0.33571610000000002</v>
      </c>
      <c r="G28" s="42">
        <v>1.6347644908801248E-4</v>
      </c>
      <c r="H28" s="5">
        <v>2.0000000000000001E-4</v>
      </c>
    </row>
    <row r="29" spans="1:8">
      <c r="A29" s="1"/>
      <c r="B29" s="31" t="s">
        <v>28</v>
      </c>
      <c r="C29" s="27" t="s">
        <v>1</v>
      </c>
      <c r="D29" s="27" t="s">
        <v>1</v>
      </c>
      <c r="E29" s="27" t="s">
        <v>1</v>
      </c>
      <c r="F29" s="28">
        <v>0.33571610000000002</v>
      </c>
      <c r="G29" s="29">
        <v>1.6347644908801248E-4</v>
      </c>
      <c r="H29" s="109">
        <v>2.0000000000000001E-4</v>
      </c>
    </row>
    <row r="30" spans="1:8">
      <c r="A30" s="1"/>
      <c r="B30" s="31" t="s">
        <v>29</v>
      </c>
      <c r="C30" s="27" t="s">
        <v>1</v>
      </c>
      <c r="D30" s="27" t="s">
        <v>1</v>
      </c>
      <c r="E30" s="27" t="s">
        <v>1</v>
      </c>
      <c r="F30" s="28">
        <v>0.33571610000000002</v>
      </c>
      <c r="G30" s="29">
        <v>1.6347644908801248E-4</v>
      </c>
      <c r="H30" s="109">
        <v>2.0000000000000001E-4</v>
      </c>
    </row>
    <row r="31" spans="1:8">
      <c r="A31" s="1"/>
      <c r="B31" s="31"/>
      <c r="C31" s="27"/>
      <c r="D31" s="27"/>
      <c r="E31" s="27"/>
      <c r="F31" s="28"/>
      <c r="G31" s="29"/>
      <c r="H31" s="109"/>
    </row>
    <row r="32" spans="1:8">
      <c r="A32" s="1"/>
      <c r="B32" s="31" t="s">
        <v>190</v>
      </c>
      <c r="C32" s="27"/>
      <c r="D32" s="27"/>
      <c r="E32" s="27"/>
      <c r="F32" s="28"/>
      <c r="G32" s="29"/>
      <c r="H32" s="109"/>
    </row>
    <row r="33" spans="1:8" ht="13.5" thickBot="1">
      <c r="A33" s="1"/>
      <c r="B33" s="57" t="s">
        <v>33</v>
      </c>
      <c r="C33" s="58" t="s">
        <v>1</v>
      </c>
      <c r="D33" s="58" t="s">
        <v>1</v>
      </c>
      <c r="E33" s="58" t="s">
        <v>1</v>
      </c>
      <c r="F33" s="59">
        <v>-6.77E-3</v>
      </c>
      <c r="G33" s="60">
        <v>-3.2966412999242424E-6</v>
      </c>
      <c r="H33" s="109">
        <v>0</v>
      </c>
    </row>
    <row r="34" spans="1:8" ht="14.25" thickTop="1" thickBot="1">
      <c r="A34" s="1"/>
      <c r="B34" s="53" t="s">
        <v>34</v>
      </c>
      <c r="C34" s="54" t="s">
        <v>1</v>
      </c>
      <c r="D34" s="54" t="s">
        <v>1</v>
      </c>
      <c r="E34" s="54" t="s">
        <v>1</v>
      </c>
      <c r="F34" s="55">
        <v>2053.6052860999998</v>
      </c>
      <c r="G34" s="56">
        <v>1</v>
      </c>
      <c r="H34" s="111">
        <v>1</v>
      </c>
    </row>
    <row r="35" spans="1:8">
      <c r="A35" s="1"/>
      <c r="B35" s="20" t="s">
        <v>1</v>
      </c>
      <c r="C35" s="67"/>
      <c r="D35" s="67"/>
      <c r="E35" s="67"/>
      <c r="F35" s="68"/>
      <c r="G35" s="69"/>
      <c r="H35" s="1"/>
    </row>
    <row r="36" spans="1:8">
      <c r="A36" s="1"/>
      <c r="B36" s="15" t="s">
        <v>32</v>
      </c>
      <c r="C36" s="67"/>
      <c r="D36" s="67"/>
      <c r="E36" s="67"/>
      <c r="F36" s="68"/>
      <c r="G36" s="69"/>
      <c r="H36" s="1"/>
    </row>
    <row r="37" spans="1:8">
      <c r="A37" s="1"/>
      <c r="B37" s="15" t="s">
        <v>35</v>
      </c>
      <c r="C37" s="67"/>
      <c r="D37" s="67"/>
      <c r="E37" s="67"/>
      <c r="F37" s="68"/>
      <c r="G37" s="69"/>
      <c r="H37" s="1"/>
    </row>
    <row r="38" spans="1:8">
      <c r="A38" s="1"/>
      <c r="B38" s="15" t="s">
        <v>36</v>
      </c>
      <c r="C38" s="67"/>
      <c r="D38" s="67"/>
      <c r="E38" s="67"/>
      <c r="F38" s="68"/>
      <c r="G38" s="69"/>
      <c r="H38" s="1"/>
    </row>
    <row r="39" spans="1:8" ht="13.5" thickBot="1">
      <c r="A39" s="1"/>
      <c r="B39" s="15" t="s">
        <v>1</v>
      </c>
      <c r="C39" s="67"/>
      <c r="D39" s="67"/>
      <c r="E39" s="67"/>
      <c r="F39" s="68"/>
      <c r="G39" s="69"/>
      <c r="H39" s="1"/>
    </row>
    <row r="40" spans="1:8" ht="13.5" thickBot="1">
      <c r="A40" s="1"/>
      <c r="B40" s="104" t="s">
        <v>375</v>
      </c>
      <c r="C40" s="105">
        <v>298.27</v>
      </c>
      <c r="D40" s="1"/>
      <c r="E40" s="1"/>
      <c r="F40" s="6"/>
      <c r="G40" s="8"/>
      <c r="H40" s="1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2014-05-02T08:21:33Z</dcterms:created>
  <dcterms:modified xsi:type="dcterms:W3CDTF">2014-05-07T11:43:30Z</dcterms:modified>
</cp:coreProperties>
</file>