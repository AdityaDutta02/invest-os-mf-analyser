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4940" windowHeight="9150" activeTab="1"/>
  </bookViews>
  <sheets>
    <sheet name="MIIOF" sheetId="7" r:id="rId1"/>
    <sheet name="MAEBF" sheetId="2" r:id="rId2"/>
    <sheet name="MICCF" sheetId="4" r:id="rId3"/>
    <sheet name="MIGCS" sheetId="6" r:id="rId4"/>
    <sheet name="MICHF" sheetId="5" r:id="rId5"/>
    <sheet name="MACMF" sheetId="1" r:id="rId6"/>
    <sheet name="MILPF" sheetId="8" r:id="rId7"/>
    <sheet name="MISTB" sheetId="9" r:id="rId8"/>
    <sheet name="MAIPF" sheetId="3" r:id="rId9"/>
  </sheets>
  <calcPr calcId="145621"/>
</workbook>
</file>

<file path=xl/calcChain.xml><?xml version="1.0" encoding="utf-8"?>
<calcChain xmlns="http://schemas.openxmlformats.org/spreadsheetml/2006/main">
  <c r="G53" i="3" l="1"/>
  <c r="H53" i="3"/>
  <c r="F53" i="3"/>
  <c r="G30" i="9"/>
  <c r="H30" i="9"/>
  <c r="F30" i="9"/>
  <c r="G33" i="8"/>
  <c r="H33" i="8"/>
  <c r="F33" i="8"/>
  <c r="G38" i="1"/>
  <c r="H38" i="1"/>
  <c r="F38" i="1"/>
  <c r="G27" i="5"/>
  <c r="H27" i="5"/>
  <c r="F27" i="5"/>
  <c r="G61" i="6"/>
  <c r="H61" i="6"/>
  <c r="F61" i="6"/>
  <c r="G78" i="4"/>
  <c r="H78" i="4"/>
  <c r="F78" i="4"/>
  <c r="G87" i="2"/>
  <c r="H87" i="2"/>
  <c r="F87" i="2"/>
  <c r="G86" i="7"/>
  <c r="H86" i="7"/>
  <c r="F86" i="7"/>
  <c r="H42" i="6" l="1"/>
  <c r="F42" i="6"/>
  <c r="H17" i="6"/>
  <c r="F17" i="6"/>
  <c r="H59" i="4"/>
  <c r="F59" i="4"/>
  <c r="H46" i="4"/>
  <c r="F46" i="4"/>
  <c r="H38" i="4"/>
  <c r="F38" i="4"/>
</calcChain>
</file>

<file path=xl/sharedStrings.xml><?xml version="1.0" encoding="utf-8"?>
<sst xmlns="http://schemas.openxmlformats.org/spreadsheetml/2006/main" count="1589" uniqueCount="400">
  <si>
    <t>Mirae Asset Cash Management Fund</t>
  </si>
  <si>
    <t/>
  </si>
  <si>
    <t>Monthly Portfolio Statement as on July 31,2015</t>
  </si>
  <si>
    <t>Name of the Instrument</t>
  </si>
  <si>
    <t>ISIN</t>
  </si>
  <si>
    <t>Rating</t>
  </si>
  <si>
    <t>Quantity</t>
  </si>
  <si>
    <t>Market/Fair Value
 (Rs. in Lacs)</t>
  </si>
  <si>
    <t>Market/Fair Value (Rounded, Rs. in Lacs)</t>
  </si>
  <si>
    <t>% to Net
 Assets</t>
  </si>
  <si>
    <t>Rounded, % to Net Assets</t>
  </si>
  <si>
    <t>Money Market Instruments</t>
  </si>
  <si>
    <t>Certificate of Deposit</t>
  </si>
  <si>
    <t>Axis Bank Ltd (17/08/2015) ** #</t>
  </si>
  <si>
    <t>INE238A16ZY3</t>
  </si>
  <si>
    <t>CRISIL A1+</t>
  </si>
  <si>
    <t>Punjab &amp; Sind Bank (13/08/2015) ** #</t>
  </si>
  <si>
    <t>INE608A16JA1</t>
  </si>
  <si>
    <t>ICRA A1+</t>
  </si>
  <si>
    <t>Corporation Bank (21/08/2015) ** #</t>
  </si>
  <si>
    <t>INE112A16HW2</t>
  </si>
  <si>
    <t>South Indian Bank Ltd (24/08/2015) ** #</t>
  </si>
  <si>
    <t>INE683A16FZ9</t>
  </si>
  <si>
    <t>CARE A1+</t>
  </si>
  <si>
    <t>Andhra Bank (25/08/2015) ** #</t>
  </si>
  <si>
    <t>INE434A16LR2</t>
  </si>
  <si>
    <t>ICICI Bank Ltd (27/08/2015) ** #</t>
  </si>
  <si>
    <t>INE090A16T03</t>
  </si>
  <si>
    <t>Kotak Mahindra Bank Ltd (02/09/2015) ** #</t>
  </si>
  <si>
    <t>INE237A16D13</t>
  </si>
  <si>
    <t>Vijaya Bank (02/09/2015) ** #</t>
  </si>
  <si>
    <t>INE705A16MI2</t>
  </si>
  <si>
    <t>Oriental Bank of Commerce (04/09/2015) ** #</t>
  </si>
  <si>
    <t>INE141A16UQ6</t>
  </si>
  <si>
    <t>Oriental Bank of Commerce (05/10/2015) ** #</t>
  </si>
  <si>
    <t>INE141A16RR0</t>
  </si>
  <si>
    <t>Bank of India (17/08/2015) ** #</t>
  </si>
  <si>
    <t>INE084A16BQ8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</si>
  <si>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</si>
  <si>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</si>
  <si>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</si>
  <si>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</si>
  <si>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</si>
  <si>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</si>
  <si>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</si>
  <si>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</si>
  <si>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</si>
  <si>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</si>
  <si>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</si>
  <si>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</si>
  <si>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</si>
  <si>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Hindustan Petroleum Corporation Ltd</t>
  </si>
  <si>
    <t>INE094A01015</t>
  </si>
  <si>
    <t>Petroleum Products</t>
  </si>
  <si>
    <t>Kotak Mahindra Bank Ltd</t>
  </si>
  <si>
    <t>INE237A01028</t>
  </si>
  <si>
    <t>Banks</t>
  </si>
  <si>
    <t>Yes Bank Ltd</t>
  </si>
  <si>
    <t>INE528G01019</t>
  </si>
  <si>
    <t>Sundaram Finance Ltd</t>
  </si>
  <si>
    <t>INE660A01013</t>
  </si>
  <si>
    <t>Finance</t>
  </si>
  <si>
    <t>Amara Raja Batteries Ltd</t>
  </si>
  <si>
    <t>INE885A01032</t>
  </si>
  <si>
    <t>Auto Ancillaries</t>
  </si>
  <si>
    <t>Gateway Distriparks Ltd</t>
  </si>
  <si>
    <t>INE852F01015</t>
  </si>
  <si>
    <t>Transportation</t>
  </si>
  <si>
    <t>Natco Pharma Ltd</t>
  </si>
  <si>
    <t>INE987B01018</t>
  </si>
  <si>
    <t>Pharmaceuticals</t>
  </si>
  <si>
    <t>FAG Bearings India Ltd</t>
  </si>
  <si>
    <t>INE513A01014</t>
  </si>
  <si>
    <t>Industrial Products</t>
  </si>
  <si>
    <t>Tata Chemicals Ltd</t>
  </si>
  <si>
    <t>INE092A01019</t>
  </si>
  <si>
    <t>Chemicals</t>
  </si>
  <si>
    <t>ICICI Bank Ltd</t>
  </si>
  <si>
    <t>INE090A01021</t>
  </si>
  <si>
    <t>Info Edge (India) Ltd</t>
  </si>
  <si>
    <t>INE663F01024</t>
  </si>
  <si>
    <t>Software</t>
  </si>
  <si>
    <t>The Federal Bank  Ltd</t>
  </si>
  <si>
    <t>INE171A01029</t>
  </si>
  <si>
    <t>Torrent Pharmaceuticals Ltd</t>
  </si>
  <si>
    <t>INE685A01028</t>
  </si>
  <si>
    <t>Indusind Bank Ltd</t>
  </si>
  <si>
    <t>INE095A01012</t>
  </si>
  <si>
    <t>Voltas Ltd</t>
  </si>
  <si>
    <t>INE226A01021</t>
  </si>
  <si>
    <t>Construction Project</t>
  </si>
  <si>
    <t>Asian Paints Ltd</t>
  </si>
  <si>
    <t>INE021A01026</t>
  </si>
  <si>
    <t>Consumer Non Durables</t>
  </si>
  <si>
    <t>Emami Ltd</t>
  </si>
  <si>
    <t>INE548C01032</t>
  </si>
  <si>
    <t>Bharat Forge Ltd</t>
  </si>
  <si>
    <t>INE465A01025</t>
  </si>
  <si>
    <t>Crompton  Greaves Ltd</t>
  </si>
  <si>
    <t>INE067A01029</t>
  </si>
  <si>
    <t>Industrial Capital Goods</t>
  </si>
  <si>
    <t>Glenmark Pharmaceuticals Ltd</t>
  </si>
  <si>
    <t>INE935A01035</t>
  </si>
  <si>
    <t>JK Cement Ltd</t>
  </si>
  <si>
    <t>INE823G01014</t>
  </si>
  <si>
    <t>Cement</t>
  </si>
  <si>
    <t>IPCA Laboratories Ltd</t>
  </si>
  <si>
    <t>INE571A01020</t>
  </si>
  <si>
    <t>Ramkrishna Forgings Ltd</t>
  </si>
  <si>
    <t>INE399G01015</t>
  </si>
  <si>
    <t>Welspun India Ltd</t>
  </si>
  <si>
    <t>INE192B01023</t>
  </si>
  <si>
    <t>Textile Products</t>
  </si>
  <si>
    <t>Atul Ltd</t>
  </si>
  <si>
    <t>INE100A01010</t>
  </si>
  <si>
    <t>AIA Engineering Ltd</t>
  </si>
  <si>
    <t>INE212H01026</t>
  </si>
  <si>
    <t>KEC International Ltd</t>
  </si>
  <si>
    <t>INE389H01022</t>
  </si>
  <si>
    <t>Carborundum Universal Ltd</t>
  </si>
  <si>
    <t>INE120A01034</t>
  </si>
  <si>
    <t>Coromandel International Ltd</t>
  </si>
  <si>
    <t>INE169A01031</t>
  </si>
  <si>
    <t>Fertilisers</t>
  </si>
  <si>
    <t>Gillette India Ltd</t>
  </si>
  <si>
    <t>INE322A01010</t>
  </si>
  <si>
    <t>LIC Housing Finance Ltd</t>
  </si>
  <si>
    <t>INE115A01026</t>
  </si>
  <si>
    <t>Akzo Nobel India Ltd</t>
  </si>
  <si>
    <t>INE133A01011</t>
  </si>
  <si>
    <t>Exide Industries Ltd</t>
  </si>
  <si>
    <t>INE302A01020</t>
  </si>
  <si>
    <t>Gulf Oil Lubricants India Ltd</t>
  </si>
  <si>
    <t>INE635Q01029</t>
  </si>
  <si>
    <t>Zee Entertainment Enterprises Ltd</t>
  </si>
  <si>
    <t>INE256A01028</t>
  </si>
  <si>
    <t>Media &amp; Entertainment</t>
  </si>
  <si>
    <t>Karur Vysya Bank Ltd</t>
  </si>
  <si>
    <t>INE036D01010</t>
  </si>
  <si>
    <t>Nilkamal Ltd</t>
  </si>
  <si>
    <t>INE310A01015</t>
  </si>
  <si>
    <t>Vinati Organics Ltd</t>
  </si>
  <si>
    <t>INE410B01029</t>
  </si>
  <si>
    <t>VST Tillers Tractors Ltd</t>
  </si>
  <si>
    <t>INE764D01017</t>
  </si>
  <si>
    <t>Auto</t>
  </si>
  <si>
    <t>Bajaj Finance Ltd</t>
  </si>
  <si>
    <t>INE296A01016</t>
  </si>
  <si>
    <t>Multi Commodity Exchange of India Ltd</t>
  </si>
  <si>
    <t>INE745G01035</t>
  </si>
  <si>
    <t>Godfrey Phillips India Ltd</t>
  </si>
  <si>
    <t>INE260B01028</t>
  </si>
  <si>
    <t>NIIT Technologies Ltd</t>
  </si>
  <si>
    <t>INE591G01017</t>
  </si>
  <si>
    <t>HSIL Ltd</t>
  </si>
  <si>
    <t>INE415A01038</t>
  </si>
  <si>
    <t>Consumer Durables</t>
  </si>
  <si>
    <t>Divi's Laboratories Ltd</t>
  </si>
  <si>
    <t>INE361B01024</t>
  </si>
  <si>
    <t>Petronet LNG Ltd</t>
  </si>
  <si>
    <t>INE347G01014</t>
  </si>
  <si>
    <t>Gas</t>
  </si>
  <si>
    <t>Eclerx Services Ltd</t>
  </si>
  <si>
    <t>INE738I01010</t>
  </si>
  <si>
    <t>Britannia Industries Ltd</t>
  </si>
  <si>
    <t>INE216A01022</t>
  </si>
  <si>
    <t>Triveni Turbine Ltd</t>
  </si>
  <si>
    <t>INE152M01016</t>
  </si>
  <si>
    <t>Thermax Ltd</t>
  </si>
  <si>
    <t>INE152A01029</t>
  </si>
  <si>
    <t>Prism CEMENT Ltd</t>
  </si>
  <si>
    <t>INE010A01011</t>
  </si>
  <si>
    <t>Blue Dart Express Ltd</t>
  </si>
  <si>
    <t>INE233B01017</t>
  </si>
  <si>
    <t>Gayatri Projects Ltd</t>
  </si>
  <si>
    <t>INE336H01015</t>
  </si>
  <si>
    <t>Construction</t>
  </si>
  <si>
    <t>Indian Bank</t>
  </si>
  <si>
    <t>INE562A01011</t>
  </si>
  <si>
    <t>IRB Infrastructure Developers Ltd</t>
  </si>
  <si>
    <t>INE821I01014</t>
  </si>
  <si>
    <t>CESC Ltd</t>
  </si>
  <si>
    <t>INE486A01013</t>
  </si>
  <si>
    <t>Power</t>
  </si>
  <si>
    <t>HT Media Ltd</t>
  </si>
  <si>
    <t>INE501G01024</t>
  </si>
  <si>
    <t>Solar Industries India Ltd</t>
  </si>
  <si>
    <t>INE343H01011</t>
  </si>
  <si>
    <t>Gulf Oil Corporation Ltd</t>
  </si>
  <si>
    <t>INE077F01035</t>
  </si>
  <si>
    <t>Oil India Ltd</t>
  </si>
  <si>
    <t>INE274J01014</t>
  </si>
  <si>
    <t>Oil</t>
  </si>
  <si>
    <t>Titan Company Limited</t>
  </si>
  <si>
    <t>INE280A01028</t>
  </si>
  <si>
    <t>$0.00%</t>
  </si>
  <si>
    <t>(b) Unlisted</t>
  </si>
  <si>
    <t>NIL</t>
  </si>
  <si>
    <t xml:space="preserve">$  Less Than 0.01% of Net Asset Value </t>
  </si>
  <si>
    <t>Industry / Rating</t>
  </si>
  <si>
    <t>HDFC Bank Ltd</t>
  </si>
  <si>
    <t>INE040A01026</t>
  </si>
  <si>
    <t>Infosys Ltd</t>
  </si>
  <si>
    <t>INE009A01021</t>
  </si>
  <si>
    <t>Reliance Industries Ltd</t>
  </si>
  <si>
    <t>INE002A01018</t>
  </si>
  <si>
    <t>Larsen &amp; Toubro Ltd</t>
  </si>
  <si>
    <t>INE018A01030</t>
  </si>
  <si>
    <t>Housing Development Finance Corporation Ltd</t>
  </si>
  <si>
    <t>INE001A01036</t>
  </si>
  <si>
    <t>Maruti Suzuki India Ltd</t>
  </si>
  <si>
    <t>INE585B01010</t>
  </si>
  <si>
    <t>ITC Ltd</t>
  </si>
  <si>
    <t>INE154A01025</t>
  </si>
  <si>
    <t>Tata Consultancy Services Ltd</t>
  </si>
  <si>
    <t>INE467B01029</t>
  </si>
  <si>
    <t>Axis Bank Ltd</t>
  </si>
  <si>
    <t>INE238A01034</t>
  </si>
  <si>
    <t>IN9155A01020</t>
  </si>
  <si>
    <t>Sun Pharmaceuticals Industries Ltd</t>
  </si>
  <si>
    <t>INE044A01036</t>
  </si>
  <si>
    <t>State Bank of India</t>
  </si>
  <si>
    <t>INE062A01020</t>
  </si>
  <si>
    <t>Ultratech Cement Ltd</t>
  </si>
  <si>
    <t>INE481G01011</t>
  </si>
  <si>
    <t>HCL Technologies Ltd</t>
  </si>
  <si>
    <t>INE860A01027</t>
  </si>
  <si>
    <t>Bharti Airtel Ltd</t>
  </si>
  <si>
    <t>INE397D01024</t>
  </si>
  <si>
    <t>Telecom - Services</t>
  </si>
  <si>
    <t>Debt Instruments</t>
  </si>
  <si>
    <t>(a) Listed / awaiting listing on Stock Exchange</t>
  </si>
  <si>
    <t>9.44% LIC Housing Finance Ltd (30/08/2019) **</t>
  </si>
  <si>
    <t>INE115A07FU2</t>
  </si>
  <si>
    <t>CRISIL AAA</t>
  </si>
  <si>
    <t>(b) Privately placed / Unlisted</t>
  </si>
  <si>
    <t>Mirae Asset India China Consumption Fund</t>
  </si>
  <si>
    <t>Tencent Holdings</t>
  </si>
  <si>
    <t>KYG875721634</t>
  </si>
  <si>
    <t>Internet Software &amp; Services</t>
  </si>
  <si>
    <t>AIA GROUP LTD</t>
  </si>
  <si>
    <t>HK0000069689</t>
  </si>
  <si>
    <t>Life &amp; Health Insurance</t>
  </si>
  <si>
    <t>Ping An Ins Grp-H</t>
  </si>
  <si>
    <t>CNE1000003X6</t>
  </si>
  <si>
    <t>Samsonite  International  S A</t>
  </si>
  <si>
    <t>LU0633102719</t>
  </si>
  <si>
    <t>Apparel, Accessories and Luxury Goods</t>
  </si>
  <si>
    <t>ALIBABA GROUP HOLDING ADR</t>
  </si>
  <si>
    <t>US01609W1027</t>
  </si>
  <si>
    <t>Procter &amp; Gamble Hygiene and Health Care Ltd</t>
  </si>
  <si>
    <t>INE179A01014</t>
  </si>
  <si>
    <t>Vipshop Holding Ltd</t>
  </si>
  <si>
    <t>US92763W1036</t>
  </si>
  <si>
    <t>Miscellaneous</t>
  </si>
  <si>
    <t>Glaxosmithkline Consumer Healthcare Ltd</t>
  </si>
  <si>
    <t>INE264A01014</t>
  </si>
  <si>
    <t>JD Com Inc ADR</t>
  </si>
  <si>
    <t>US47215P1066</t>
  </si>
  <si>
    <t>Luye Pharma Group Ltd</t>
  </si>
  <si>
    <t>BMG570071099</t>
  </si>
  <si>
    <t>Sihuan Pharmaceutical Holdings Group Ord Shs</t>
  </si>
  <si>
    <t>BMG8162K1137</t>
  </si>
  <si>
    <t>Lenovo Group Ltd</t>
  </si>
  <si>
    <t>HK0992009065</t>
  </si>
  <si>
    <t>Computer Hardware</t>
  </si>
  <si>
    <t>Hero MotoCorp Ltd</t>
  </si>
  <si>
    <t>INE158A01026</t>
  </si>
  <si>
    <t>Baidu Sp ADR-A</t>
  </si>
  <si>
    <t>US0567521085</t>
  </si>
  <si>
    <t>CSPC Pharmaceutical Group Ltd</t>
  </si>
  <si>
    <t>HK1093012172</t>
  </si>
  <si>
    <t>China Life Insurance Co Ltd</t>
  </si>
  <si>
    <t>CNE1000002L3</t>
  </si>
  <si>
    <t>Colgate Palmolive (India) Ltd</t>
  </si>
  <si>
    <t>INE259A01022</t>
  </si>
  <si>
    <t>Brilliance China Automotive Holdings Ltd</t>
  </si>
  <si>
    <t>BMG1368B1028</t>
  </si>
  <si>
    <t>Automobile Manufacturers</t>
  </si>
  <si>
    <t>Mirae Asset China Advantage Fund</t>
  </si>
  <si>
    <t>Others</t>
  </si>
  <si>
    <t>International  Mutual Fund Units</t>
  </si>
  <si>
    <t>Mirae Asset China Sector Leader Eq Class X Cap USD</t>
  </si>
  <si>
    <t>LU0587760769</t>
  </si>
  <si>
    <t>Mirae Asset Global Commodity Stocks Fund</t>
  </si>
  <si>
    <t>BHP Billiton Ltd</t>
  </si>
  <si>
    <t>AU000000BHP4</t>
  </si>
  <si>
    <t>Diversified Metals &amp; Mining</t>
  </si>
  <si>
    <t>Oil &amp; Natural Gas Corporation Ltd</t>
  </si>
  <si>
    <t>INE213A01029</t>
  </si>
  <si>
    <t>Petrochina Company Ltd</t>
  </si>
  <si>
    <t>CNE1000003W8</t>
  </si>
  <si>
    <t>Integrated Oil &amp; Gas</t>
  </si>
  <si>
    <t>China Petroleum -H-</t>
  </si>
  <si>
    <t>CNE1000002Q2</t>
  </si>
  <si>
    <t>Cnooc Ltd</t>
  </si>
  <si>
    <t>HK0883013259</t>
  </si>
  <si>
    <t>Oil &amp; Gas Exploration &amp; Production</t>
  </si>
  <si>
    <t>Coal India Ltd</t>
  </si>
  <si>
    <t>INE522F01014</t>
  </si>
  <si>
    <t>Minerals/Mining</t>
  </si>
  <si>
    <t>Rio Tinto Ltd</t>
  </si>
  <si>
    <t>AU000000RIO1</t>
  </si>
  <si>
    <t>Woodside Petroleum Ltd</t>
  </si>
  <si>
    <t>AU000000WPL2</t>
  </si>
  <si>
    <t>AMCOR LIMITED</t>
  </si>
  <si>
    <t>AU000000AMC4</t>
  </si>
  <si>
    <t>Paper Packaging</t>
  </si>
  <si>
    <t>Vedanta Ltd</t>
  </si>
  <si>
    <t>INE205A01025</t>
  </si>
  <si>
    <t>Non - Ferrous Metals</t>
  </si>
  <si>
    <t>Origin Energy Ltd</t>
  </si>
  <si>
    <t>AU000000ORG5</t>
  </si>
  <si>
    <t>Bharat Petroleum Corporation Ltd</t>
  </si>
  <si>
    <t>INE029A01011</t>
  </si>
  <si>
    <t>China Shenhua - H</t>
  </si>
  <si>
    <t>CNE1000002R0</t>
  </si>
  <si>
    <t>Coal &amp; Consumable Fuels</t>
  </si>
  <si>
    <t>Orica Ltd</t>
  </si>
  <si>
    <t>AU000000ORI1</t>
  </si>
  <si>
    <t>Commodity Chemicals</t>
  </si>
  <si>
    <t>Santos Ltd-AUD</t>
  </si>
  <si>
    <t>AU000000STO6</t>
  </si>
  <si>
    <t>Anhui Conch -H-</t>
  </si>
  <si>
    <t>CNE1000001W2</t>
  </si>
  <si>
    <t>Construction Materials</t>
  </si>
  <si>
    <t>Oil Search Ltd</t>
  </si>
  <si>
    <t>PG0008579883</t>
  </si>
  <si>
    <t>LG Chemicals Ltd</t>
  </si>
  <si>
    <t>KR7051910008</t>
  </si>
  <si>
    <t>Kunlun Energy Company Ltd</t>
  </si>
  <si>
    <t>BMG5320C1082</t>
  </si>
  <si>
    <t>Hindalco Industries Ltd</t>
  </si>
  <si>
    <t>INE038A01020</t>
  </si>
  <si>
    <t>SK Innovation Co Ltd</t>
  </si>
  <si>
    <t>KR7096770003</t>
  </si>
  <si>
    <t>Oil &amp; Gas Refining &amp; Marketing</t>
  </si>
  <si>
    <t>POSCO (Pohang Iron &amp; Steel Co Ltd )</t>
  </si>
  <si>
    <t>KR7005490008</t>
  </si>
  <si>
    <t>Steel</t>
  </si>
  <si>
    <t>Jiangxi Copper Company Ltd</t>
  </si>
  <si>
    <t>CNE1000003K3</t>
  </si>
  <si>
    <t>PT Semen Indonesia ( Persero) TBK</t>
  </si>
  <si>
    <t>ID1000106800</t>
  </si>
  <si>
    <t>Cairn India Ltd</t>
  </si>
  <si>
    <t>INE910H01017</t>
  </si>
  <si>
    <t>China National Building Materia Ltd</t>
  </si>
  <si>
    <t>CNE1000002N9</t>
  </si>
  <si>
    <t>Orora Ltd</t>
  </si>
  <si>
    <t>AU000000ORA8</t>
  </si>
  <si>
    <t>Mirae Asset India Opportunities Fund</t>
  </si>
  <si>
    <t>Adani Ports and Special Economic Zone Ltd</t>
  </si>
  <si>
    <t>INE742F01042</t>
  </si>
  <si>
    <t>Tata Steel Ltd</t>
  </si>
  <si>
    <t>INE081A01012</t>
  </si>
  <si>
    <t>Ferrous Metals</t>
  </si>
  <si>
    <t>Bank of Baroda</t>
  </si>
  <si>
    <t>INE028A01039</t>
  </si>
  <si>
    <t>Lupin Ltd</t>
  </si>
  <si>
    <t>INE326A01037</t>
  </si>
  <si>
    <t>Mirae Asset Ultra Short Term Bond Fund</t>
  </si>
  <si>
    <t>Canara Bank (01/03/2016) ** #</t>
  </si>
  <si>
    <t>INE476A16PX2</t>
  </si>
  <si>
    <t>Axis Bank Ltd (19/01/2016) ** #</t>
  </si>
  <si>
    <t>INE238A16YO7</t>
  </si>
  <si>
    <t>Bank of India (09/06/2016) ** #</t>
  </si>
  <si>
    <t>INE084A16BS4</t>
  </si>
  <si>
    <t>Corporation Bank (08/12/2015) ** #</t>
  </si>
  <si>
    <t>INE112A16HG5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</si>
  <si>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</si>
  <si>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</si>
  <si>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</si>
  <si>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</si>
  <si>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</si>
  <si>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</si>
  <si>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</si>
  <si>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r>
      <t>Industry</t>
    </r>
    <r>
      <rPr>
        <sz val="9"/>
        <rFont val="Arial"/>
        <family val="2"/>
      </rPr>
      <t>*</t>
    </r>
  </si>
  <si>
    <t>* Industry classification as recommended by AMFI.</t>
  </si>
  <si>
    <t>Industry / Rating*</t>
  </si>
  <si>
    <t>India Equity Share*</t>
  </si>
  <si>
    <t>FOREIGN SECURITIES/OVERSEAS ETFS@@</t>
  </si>
  <si>
    <t>American Depository Receipt</t>
  </si>
  <si>
    <t>International Equity Shares</t>
  </si>
  <si>
    <t>(a) Listed/Awaiting Listing on Stock Exchanges</t>
  </si>
  <si>
    <t>@@ Industry Classification as per GICS Sub-Industry Classification</t>
  </si>
  <si>
    <t>Tata Motors Ltd DVR Shares</t>
  </si>
  <si>
    <t>(An Open - Ended Equity Oriented Scheme)</t>
  </si>
  <si>
    <t>Portfolio Turnover Ratio^</t>
  </si>
  <si>
    <t>^Basis last rolling 12 month</t>
  </si>
  <si>
    <t xml:space="preserve"> (An Open - Ended Equity Fund)</t>
  </si>
  <si>
    <t>(An Open - Ended Fund of Funds Scheme)</t>
  </si>
  <si>
    <t>(An Open - Ended Liquid Scheme)</t>
  </si>
  <si>
    <t>Average maturity in days</t>
  </si>
  <si>
    <t>(An Open - Ended Debt Scheme)</t>
  </si>
  <si>
    <t>Mirae Asset Prudence Fund</t>
  </si>
  <si>
    <t>(An Open - Ended Equity Oriented Asset Allocation Scheme)</t>
  </si>
  <si>
    <t>24.02 days</t>
  </si>
  <si>
    <t>126.56 days</t>
  </si>
  <si>
    <t>209.57 days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</si>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</sst>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2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5"/>
      <name val="Tahoma"/>
      <family val="2"/>
    </font>
    <font>
      <b/>
      <sz val="9"/>
      <color indexed="72"/>
      <name val="Tahoma"/>
      <family val="2"/>
    </font>
    <font>
      <b/>
      <sz val="10"/>
      <color theme="1"/>
      <name val="Tahoma"/>
      <family val="2"/>
    </font>
    <font>
      <b/>
      <sz val="10"/>
      <color indexed="72"/>
      <name val="Tahoma"/>
      <family val="2"/>
    </font>
    <font>
      <sz val="10"/>
      <name val="Tahoma"/>
      <family val="2"/>
    </font>
    <font>
      <b/>
      <sz val="10"/>
      <color rgb="FF000000"/>
      <name val="Calibri"/>
      <family val="2"/>
    </font>
    <font>
      <sz val="9"/>
      <color indexed="72"/>
      <name val="Tahoma"/>
      <family val="2"/>
    </font>
    <font>
      <b/>
      <sz val="10"/>
      <name val="Tahoma"/>
      <family val="2"/>
    </font>
    <font>
      <b/>
      <sz val="14"/>
      <name val="Tahoma"/>
      <family val="2"/>
    </font>
    <font>
      <sz val="10"/>
      <color indexed="72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19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/>
    <xf numFmtId="10" fontId="1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2" fontId="10" fillId="0" borderId="4" xfId="0" applyNumberFormat="1" applyFont="1" applyFill="1" applyBorder="1" applyAlignment="1" applyProtection="1">
      <alignment horizontal="right" vertical="top" wrapText="1"/>
    </xf>
    <xf numFmtId="164" fontId="10" fillId="0" borderId="4" xfId="0" applyNumberFormat="1" applyFont="1" applyFill="1" applyBorder="1" applyAlignment="1" applyProtection="1">
      <alignment horizontal="right" vertical="top" wrapText="1"/>
    </xf>
    <xf numFmtId="165" fontId="2" fillId="0" borderId="3" xfId="0" applyNumberFormat="1" applyFont="1" applyFill="1" applyBorder="1" applyAlignment="1" applyProtection="1">
      <alignment horizontal="right" vertical="top" wrapText="1"/>
    </xf>
    <xf numFmtId="164" fontId="9" fillId="0" borderId="3" xfId="0" applyNumberFormat="1" applyFont="1" applyFill="1" applyBorder="1" applyAlignment="1" applyProtection="1">
      <alignment horizontal="right" vertical="top" wrapText="1"/>
    </xf>
    <xf numFmtId="0" fontId="8" fillId="0" borderId="5" xfId="0" applyFont="1" applyBorder="1"/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4" fontId="2" fillId="0" borderId="4" xfId="0" applyNumberFormat="1" applyFont="1" applyFill="1" applyBorder="1" applyAlignment="1" applyProtection="1">
      <alignment horizontal="right" vertical="top" wrapText="1"/>
    </xf>
    <xf numFmtId="0" fontId="7" fillId="0" borderId="5" xfId="0" applyFont="1" applyBorder="1"/>
    <xf numFmtId="4" fontId="9" fillId="0" borderId="4" xfId="0" applyNumberFormat="1" applyFont="1" applyFill="1" applyBorder="1" applyAlignment="1" applyProtection="1">
      <alignment horizontal="right" vertical="top" wrapText="1"/>
    </xf>
    <xf numFmtId="164" fontId="9" fillId="0" borderId="6" xfId="0" applyNumberFormat="1" applyFont="1" applyFill="1" applyBorder="1" applyAlignment="1" applyProtection="1">
      <alignment horizontal="right" vertical="top" wrapText="1"/>
    </xf>
    <xf numFmtId="0" fontId="0" fillId="0" borderId="5" xfId="0" applyBorder="1"/>
    <xf numFmtId="0" fontId="3" fillId="0" borderId="8" xfId="0" applyNumberFormat="1" applyFont="1" applyFill="1" applyBorder="1" applyAlignment="1" applyProtection="1">
      <alignment horizontal="left" vertical="top" wrapText="1"/>
    </xf>
    <xf numFmtId="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13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0" fontId="4" fillId="2" borderId="0" xfId="0" applyNumberFormat="1" applyFont="1" applyFill="1" applyBorder="1" applyAlignment="1" applyProtection="1">
      <alignment horizontal="left" vertical="top" wrapText="1"/>
    </xf>
    <xf numFmtId="4" fontId="1" fillId="2" borderId="0" xfId="0" applyNumberFormat="1" applyFont="1" applyFill="1" applyBorder="1" applyAlignment="1" applyProtection="1">
      <alignment horizontal="left" vertical="top" wrapText="1"/>
    </xf>
    <xf numFmtId="1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4" fontId="0" fillId="2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right" vertical="top" wrapText="1"/>
    </xf>
    <xf numFmtId="165" fontId="2" fillId="0" borderId="19" xfId="0" applyNumberFormat="1" applyFont="1" applyFill="1" applyBorder="1" applyAlignment="1" applyProtection="1">
      <alignment horizontal="right" vertical="top" wrapText="1"/>
    </xf>
    <xf numFmtId="0" fontId="2" fillId="0" borderId="19" xfId="0" applyNumberFormat="1" applyFont="1" applyFill="1" applyBorder="1" applyAlignment="1" applyProtection="1">
      <alignment horizontal="right" vertical="top" wrapText="1"/>
    </xf>
    <xf numFmtId="164" fontId="9" fillId="0" borderId="20" xfId="0" applyNumberFormat="1" applyFont="1" applyFill="1" applyBorder="1" applyAlignment="1" applyProtection="1">
      <alignment horizontal="right" vertical="top" wrapText="1"/>
    </xf>
    <xf numFmtId="166" fontId="2" fillId="0" borderId="21" xfId="0" applyNumberFormat="1" applyFont="1" applyFill="1" applyBorder="1" applyAlignment="1" applyProtection="1">
      <alignment horizontal="right" vertical="top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4" fontId="2" fillId="0" borderId="4" xfId="0" applyNumberFormat="1" applyFont="1" applyFill="1" applyBorder="1" applyAlignment="1" applyProtection="1">
      <alignment horizontal="center" vertical="center" wrapText="1"/>
    </xf>
    <xf numFmtId="4" fontId="3" fillId="0" borderId="4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left" vertical="top" wrapText="1"/>
    </xf>
    <xf numFmtId="3" fontId="3" fillId="0" borderId="4" xfId="0" applyNumberFormat="1" applyFont="1" applyFill="1" applyBorder="1" applyAlignment="1" applyProtection="1">
      <alignment horizontal="right" vertical="top" wrapText="1"/>
    </xf>
    <xf numFmtId="4" fontId="3" fillId="0" borderId="4" xfId="0" applyNumberFormat="1" applyFont="1" applyFill="1" applyBorder="1" applyAlignment="1" applyProtection="1">
      <alignment horizontal="right" vertical="top" wrapText="1"/>
    </xf>
    <xf numFmtId="164" fontId="3" fillId="0" borderId="4" xfId="0" applyNumberFormat="1" applyFont="1" applyFill="1" applyBorder="1" applyAlignment="1" applyProtection="1">
      <alignment horizontal="right" vertical="top" wrapText="1"/>
    </xf>
    <xf numFmtId="164" fontId="2" fillId="0" borderId="4" xfId="0" applyNumberFormat="1" applyFont="1" applyFill="1" applyBorder="1" applyAlignment="1" applyProtection="1">
      <alignment horizontal="right" vertical="top" wrapText="1"/>
    </xf>
    <xf numFmtId="0" fontId="2" fillId="0" borderId="4" xfId="0" applyNumberFormat="1" applyFont="1" applyFill="1" applyBorder="1" applyAlignment="1" applyProtection="1">
      <alignment horizontal="right" vertical="top" wrapText="1"/>
    </xf>
    <xf numFmtId="0" fontId="8" fillId="0" borderId="4" xfId="0" applyFont="1" applyBorder="1"/>
    <xf numFmtId="0" fontId="7" fillId="0" borderId="4" xfId="0" applyFont="1" applyBorder="1"/>
    <xf numFmtId="0" fontId="0" fillId="0" borderId="4" xfId="0" applyBorder="1"/>
    <xf numFmtId="0" fontId="2" fillId="0" borderId="22" xfId="0" applyNumberFormat="1" applyFont="1" applyFill="1" applyBorder="1" applyAlignment="1" applyProtection="1">
      <alignment horizontal="left" vertical="center" wrapText="1"/>
    </xf>
    <xf numFmtId="0" fontId="2" fillId="0" borderId="23" xfId="0" applyNumberFormat="1" applyFont="1" applyFill="1" applyBorder="1" applyAlignment="1" applyProtection="1">
      <alignment horizontal="left" vertical="center" wrapText="1"/>
    </xf>
    <xf numFmtId="0" fontId="2" fillId="0" borderId="23" xfId="0" applyNumberFormat="1" applyFont="1" applyFill="1" applyBorder="1" applyAlignment="1" applyProtection="1">
      <alignment horizontal="center" vertical="center" wrapText="1"/>
    </xf>
    <xf numFmtId="4" fontId="2" fillId="0" borderId="23" xfId="0" applyNumberFormat="1" applyFont="1" applyFill="1" applyBorder="1" applyAlignment="1" applyProtection="1">
      <alignment horizontal="center" vertical="center" wrapText="1"/>
    </xf>
    <xf numFmtId="10" fontId="2" fillId="0" borderId="2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right" vertical="top" wrapText="1"/>
    </xf>
    <xf numFmtId="10" fontId="2" fillId="0" borderId="6" xfId="0" applyNumberFormat="1" applyFont="1" applyFill="1" applyBorder="1" applyAlignment="1" applyProtection="1">
      <alignment horizontal="right" vertical="top" wrapText="1"/>
    </xf>
    <xf numFmtId="10" fontId="9" fillId="0" borderId="6" xfId="0" applyNumberFormat="1" applyFont="1" applyFill="1" applyBorder="1" applyAlignment="1" applyProtection="1">
      <alignment horizontal="right" vertical="top" wrapText="1"/>
    </xf>
    <xf numFmtId="0" fontId="2" fillId="0" borderId="25" xfId="0" applyNumberFormat="1" applyFont="1" applyFill="1" applyBorder="1" applyAlignment="1" applyProtection="1">
      <alignment horizontal="left" vertical="top" wrapText="1"/>
    </xf>
    <xf numFmtId="0" fontId="3" fillId="0" borderId="26" xfId="0" applyNumberFormat="1" applyFont="1" applyFill="1" applyBorder="1" applyAlignment="1" applyProtection="1">
      <alignment horizontal="left" vertical="top" wrapText="1"/>
    </xf>
    <xf numFmtId="4" fontId="2" fillId="0" borderId="26" xfId="0" applyNumberFormat="1" applyFont="1" applyFill="1" applyBorder="1" applyAlignment="1" applyProtection="1">
      <alignment horizontal="right" vertical="top" wrapText="1"/>
    </xf>
    <xf numFmtId="164" fontId="2" fillId="0" borderId="26" xfId="0" applyNumberFormat="1" applyFont="1" applyFill="1" applyBorder="1" applyAlignment="1" applyProtection="1">
      <alignment horizontal="right" vertical="top" wrapText="1"/>
    </xf>
    <xf numFmtId="10" fontId="2" fillId="0" borderId="27" xfId="0" applyNumberFormat="1" applyFont="1" applyFill="1" applyBorder="1" applyAlignment="1" applyProtection="1">
      <alignment horizontal="right" vertical="top" wrapText="1"/>
    </xf>
    <xf numFmtId="165" fontId="2" fillId="0" borderId="0" xfId="0" applyNumberFormat="1" applyFont="1" applyFill="1" applyBorder="1" applyAlignment="1" applyProtection="1">
      <alignment horizontal="right" vertical="top" wrapText="1"/>
    </xf>
    <xf numFmtId="0" fontId="14" fillId="0" borderId="5" xfId="0" applyFont="1" applyBorder="1"/>
    <xf numFmtId="0" fontId="2" fillId="0" borderId="7" xfId="0" applyNumberFormat="1" applyFont="1" applyFill="1" applyBorder="1" applyAlignment="1" applyProtection="1">
      <alignment horizontal="left" vertical="top" wrapText="1"/>
    </xf>
    <xf numFmtId="10" fontId="2" fillId="0" borderId="9" xfId="0" applyNumberFormat="1" applyFont="1" applyFill="1" applyBorder="1" applyAlignment="1" applyProtection="1">
      <alignment horizontal="right" vertical="top" wrapText="1"/>
    </xf>
    <xf numFmtId="164" fontId="9" fillId="0" borderId="4" xfId="0" applyNumberFormat="1" applyFont="1" applyFill="1" applyBorder="1" applyAlignment="1" applyProtection="1">
      <alignment horizontal="right" vertical="top" wrapText="1"/>
    </xf>
    <xf numFmtId="0" fontId="18" fillId="2" borderId="0" xfId="0" applyNumberFormat="1" applyFont="1" applyFill="1" applyBorder="1" applyAlignment="1" applyProtection="1">
      <alignment horizontal="left" vertical="top" wrapText="1"/>
    </xf>
    <xf numFmtId="0" fontId="15" fillId="2" borderId="0" xfId="0" applyNumberFormat="1" applyFont="1" applyFill="1" applyBorder="1" applyAlignment="1" applyProtection="1">
      <alignment horizontal="left" vertical="top" wrapText="1"/>
    </xf>
    <xf numFmtId="0" fontId="16" fillId="2" borderId="0" xfId="0" applyNumberFormat="1" applyFont="1" applyFill="1" applyBorder="1" applyAlignment="1" applyProtection="1">
      <alignment horizontal="left" vertical="top" wrapText="1"/>
    </xf>
    <xf numFmtId="0" fontId="15" fillId="2" borderId="28" xfId="0" applyNumberFormat="1" applyFont="1" applyFill="1" applyBorder="1" applyAlignment="1" applyProtection="1">
      <alignment horizontal="left" vertical="top" wrapText="1"/>
    </xf>
    <xf numFmtId="2" fontId="17" fillId="2" borderId="17" xfId="0" applyNumberFormat="1" applyFont="1" applyFill="1" applyBorder="1" applyAlignment="1">
      <alignment horizontal="center" vertical="center"/>
    </xf>
    <xf numFmtId="0" fontId="19" fillId="0" borderId="4" xfId="0" applyNumberFormat="1" applyFont="1" applyFill="1" applyBorder="1" applyAlignment="1" applyProtection="1">
      <alignment horizontal="right" vertical="top" wrapText="1"/>
    </xf>
    <xf numFmtId="0" fontId="19" fillId="0" borderId="6" xfId="0" applyNumberFormat="1" applyFont="1" applyFill="1" applyBorder="1" applyAlignment="1" applyProtection="1">
      <alignment horizontal="right" vertical="top" wrapText="1"/>
    </xf>
    <xf numFmtId="0" fontId="13" fillId="2" borderId="0" xfId="0" applyNumberFormat="1" applyFont="1" applyFill="1" applyBorder="1" applyAlignment="1" applyProtection="1">
      <alignment horizontal="center" vertical="top" wrapText="1"/>
    </xf>
    <xf numFmtId="165" fontId="2" fillId="0" borderId="1" xfId="0" applyNumberFormat="1" applyFont="1" applyFill="1" applyBorder="1" applyAlignment="1" applyProtection="1">
      <alignment horizontal="right" vertical="top" wrapText="1"/>
    </xf>
    <xf numFmtId="0" fontId="15" fillId="0" borderId="5" xfId="0" applyNumberFormat="1" applyFont="1" applyFill="1" applyBorder="1" applyAlignment="1" applyProtection="1">
      <alignment horizontal="left" vertical="top" wrapText="1"/>
    </xf>
    <xf numFmtId="0" fontId="21" fillId="0" borderId="4" xfId="0" applyNumberFormat="1" applyFont="1" applyFill="1" applyBorder="1" applyAlignment="1" applyProtection="1">
      <alignment horizontal="left" vertical="top" wrapText="1"/>
    </xf>
    <xf numFmtId="4" fontId="15" fillId="0" borderId="4" xfId="0" applyNumberFormat="1" applyFont="1" applyFill="1" applyBorder="1" applyAlignment="1" applyProtection="1">
      <alignment horizontal="right" vertical="top" wrapText="1"/>
    </xf>
    <xf numFmtId="10" fontId="15" fillId="0" borderId="6" xfId="0" applyNumberFormat="1" applyFont="1" applyFill="1" applyBorder="1" applyAlignment="1" applyProtection="1">
      <alignment horizontal="right" vertical="top" wrapText="1"/>
    </xf>
    <xf numFmtId="0" fontId="16" fillId="0" borderId="5" xfId="0" applyFont="1" applyBorder="1"/>
    <xf numFmtId="0" fontId="2" fillId="0" borderId="6" xfId="0" applyNumberFormat="1" applyFont="1" applyFill="1" applyBorder="1" applyAlignment="1" applyProtection="1">
      <alignment horizontal="right" vertical="top" wrapText="1"/>
    </xf>
    <xf numFmtId="0" fontId="15" fillId="0" borderId="7" xfId="0" applyNumberFormat="1" applyFont="1" applyFill="1" applyBorder="1" applyAlignment="1" applyProtection="1">
      <alignment horizontal="left" vertical="top" wrapText="1"/>
    </xf>
    <xf numFmtId="0" fontId="19" fillId="2" borderId="28" xfId="0" applyNumberFormat="1" applyFont="1" applyFill="1" applyBorder="1" applyAlignment="1" applyProtection="1">
      <alignment horizontal="left" vertical="top" wrapText="1"/>
    </xf>
    <xf numFmtId="0" fontId="22" fillId="2" borderId="0" xfId="0" applyNumberFormat="1" applyFont="1" applyFill="1" applyBorder="1" applyAlignment="1" applyProtection="1">
      <alignment horizontal="center" vertical="top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2" fontId="2" fillId="0" borderId="4" xfId="0" applyNumberFormat="1" applyFont="1" applyFill="1" applyBorder="1" applyAlignment="1" applyProtection="1">
      <alignment horizontal="right" vertical="top" wrapText="1"/>
    </xf>
    <xf numFmtId="2" fontId="3" fillId="0" borderId="4" xfId="0" applyNumberFormat="1" applyFont="1" applyFill="1" applyBorder="1" applyAlignment="1" applyProtection="1">
      <alignment horizontal="right" vertical="top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10" fontId="2" fillId="0" borderId="6" xfId="0" applyNumberFormat="1" applyFont="1" applyFill="1" applyBorder="1" applyAlignment="1" applyProtection="1">
      <alignment horizontal="center" vertical="center" wrapText="1"/>
    </xf>
    <xf numFmtId="10" fontId="10" fillId="0" borderId="6" xfId="0" applyNumberFormat="1" applyFont="1" applyFill="1" applyBorder="1" applyAlignment="1" applyProtection="1">
      <alignment horizontal="right" vertical="top" wrapText="1"/>
    </xf>
    <xf numFmtId="0" fontId="10" fillId="0" borderId="5" xfId="0" applyNumberFormat="1" applyFont="1" applyFill="1" applyBorder="1" applyAlignment="1" applyProtection="1">
      <alignment horizontal="left" vertical="top" wrapText="1"/>
    </xf>
    <xf numFmtId="164" fontId="9" fillId="0" borderId="0" xfId="0" applyNumberFormat="1" applyFont="1" applyFill="1" applyBorder="1" applyAlignment="1" applyProtection="1">
      <alignment horizontal="right" vertical="top" wrapText="1"/>
    </xf>
    <xf numFmtId="0" fontId="13" fillId="2" borderId="5" xfId="0" applyNumberFormat="1" applyFont="1" applyFill="1" applyBorder="1" applyAlignment="1" applyProtection="1">
      <alignment horizontal="left" vertical="top" wrapText="1"/>
    </xf>
    <xf numFmtId="0" fontId="11" fillId="0" borderId="4" xfId="0" applyNumberFormat="1" applyFont="1" applyFill="1" applyBorder="1" applyAlignment="1" applyProtection="1">
      <alignment horizontal="right" vertical="top" wrapText="1"/>
    </xf>
    <xf numFmtId="0" fontId="11" fillId="0" borderId="6" xfId="0" applyNumberFormat="1" applyFont="1" applyFill="1" applyBorder="1" applyAlignment="1" applyProtection="1">
      <alignment horizontal="right" vertical="top" wrapText="1"/>
    </xf>
    <xf numFmtId="0" fontId="22" fillId="2" borderId="28" xfId="0" applyNumberFormat="1" applyFont="1" applyFill="1" applyBorder="1" applyAlignment="1" applyProtection="1">
      <alignment horizontal="left" vertical="top" wrapText="1"/>
    </xf>
    <xf numFmtId="2" fontId="22" fillId="2" borderId="17" xfId="0" applyNumberFormat="1" applyFont="1" applyFill="1" applyBorder="1" applyAlignment="1" applyProtection="1">
      <alignment horizontal="center" vertical="top" wrapText="1"/>
    </xf>
    <xf numFmtId="0" fontId="23" fillId="2" borderId="0" xfId="0" applyNumberFormat="1" applyFont="1" applyFill="1" applyBorder="1" applyAlignment="1" applyProtection="1">
      <alignment horizontal="left" vertical="top" wrapText="1"/>
    </xf>
    <xf numFmtId="0" fontId="19" fillId="2" borderId="0" xfId="0" applyNumberFormat="1" applyFont="1" applyFill="1" applyBorder="1" applyAlignment="1"/>
    <xf numFmtId="0" fontId="16" fillId="2" borderId="0" xfId="0" applyNumberFormat="1" applyFont="1" applyFill="1" applyBorder="1" applyAlignment="1"/>
    <xf numFmtId="0" fontId="13" fillId="0" borderId="5" xfId="0" applyNumberFormat="1" applyFont="1" applyFill="1" applyBorder="1" applyAlignment="1" applyProtection="1">
      <alignment horizontal="left" vertical="top" wrapText="1"/>
    </xf>
    <xf numFmtId="164" fontId="10" fillId="0" borderId="6" xfId="0" applyNumberFormat="1" applyFont="1" applyFill="1" applyBorder="1" applyAlignment="1" applyProtection="1">
      <alignment horizontal="right" vertical="top" wrapText="1"/>
    </xf>
    <xf numFmtId="0" fontId="2" fillId="0" borderId="29" xfId="0" applyNumberFormat="1" applyFont="1" applyFill="1" applyBorder="1" applyAlignment="1" applyProtection="1">
      <alignment horizontal="left" vertical="top" wrapText="1"/>
    </xf>
    <xf numFmtId="0" fontId="3" fillId="0" borderId="30" xfId="0" applyNumberFormat="1" applyFont="1" applyFill="1" applyBorder="1" applyAlignment="1" applyProtection="1">
      <alignment horizontal="left" vertical="top" wrapText="1"/>
    </xf>
    <xf numFmtId="4" fontId="2" fillId="0" borderId="30" xfId="0" applyNumberFormat="1" applyFont="1" applyFill="1" applyBorder="1" applyAlignment="1" applyProtection="1">
      <alignment horizontal="right" vertical="top" wrapText="1"/>
    </xf>
    <xf numFmtId="164" fontId="2" fillId="0" borderId="30" xfId="0" applyNumberFormat="1" applyFont="1" applyFill="1" applyBorder="1" applyAlignment="1" applyProtection="1">
      <alignment horizontal="right" vertical="top" wrapText="1"/>
    </xf>
    <xf numFmtId="10" fontId="2" fillId="0" borderId="31" xfId="0" applyNumberFormat="1" applyFont="1" applyFill="1" applyBorder="1" applyAlignment="1" applyProtection="1">
      <alignment horizontal="right" vertical="top" wrapText="1"/>
    </xf>
    <xf numFmtId="0" fontId="10" fillId="0" borderId="29" xfId="0" applyNumberFormat="1" applyFont="1" applyFill="1" applyBorder="1" applyAlignment="1" applyProtection="1">
      <alignment horizontal="left" vertical="top" wrapText="1"/>
    </xf>
    <xf numFmtId="0" fontId="10" fillId="0" borderId="30" xfId="0" applyNumberFormat="1" applyFont="1" applyFill="1" applyBorder="1" applyAlignment="1" applyProtection="1">
      <alignment horizontal="left" vertical="top" wrapText="1"/>
    </xf>
    <xf numFmtId="4" fontId="10" fillId="0" borderId="30" xfId="0" applyNumberFormat="1" applyFont="1" applyFill="1" applyBorder="1" applyAlignment="1" applyProtection="1">
      <alignment horizontal="right" vertical="top" wrapText="1"/>
    </xf>
    <xf numFmtId="164" fontId="10" fillId="0" borderId="30" xfId="0" applyNumberFormat="1" applyFont="1" applyFill="1" applyBorder="1" applyAlignment="1" applyProtection="1">
      <alignment horizontal="right" vertical="top" wrapText="1"/>
    </xf>
    <xf numFmtId="10" fontId="10" fillId="0" borderId="31" xfId="0" applyNumberFormat="1" applyFont="1" applyFill="1" applyBorder="1" applyAlignment="1" applyProtection="1">
      <alignment horizontal="right" vertical="top" wrapText="1"/>
    </xf>
    <xf numFmtId="0" fontId="16" fillId="0" borderId="5" xfId="0" applyFont="1" applyBorder="1" applyAlignment="1"/>
    <xf numFmtId="0" fontId="15" fillId="0" borderId="4" xfId="0" applyNumberFormat="1" applyFont="1" applyFill="1" applyBorder="1" applyAlignment="1" applyProtection="1">
      <alignment horizontal="left" vertical="center" wrapText="1"/>
    </xf>
    <xf numFmtId="0" fontId="15" fillId="0" borderId="4" xfId="0" applyNumberFormat="1" applyFont="1" applyFill="1" applyBorder="1" applyAlignment="1" applyProtection="1">
      <alignment horizontal="center" vertical="center" wrapText="1"/>
    </xf>
    <xf numFmtId="0" fontId="14" fillId="0" borderId="4" xfId="0" applyNumberFormat="1" applyFont="1" applyFill="1" applyBorder="1" applyAlignment="1" applyProtection="1">
      <alignment horizontal="right" vertical="center"/>
    </xf>
    <xf numFmtId="0" fontId="14" fillId="0" borderId="6" xfId="0" applyNumberFormat="1" applyFont="1" applyFill="1" applyBorder="1" applyAlignment="1" applyProtection="1">
      <alignment horizontal="right" vertical="center"/>
    </xf>
    <xf numFmtId="0" fontId="14" fillId="0" borderId="5" xfId="0" applyFont="1" applyBorder="1" applyAlignment="1"/>
    <xf numFmtId="4" fontId="15" fillId="0" borderId="4" xfId="0" applyNumberFormat="1" applyFont="1" applyFill="1" applyBorder="1" applyAlignment="1" applyProtection="1">
      <alignment horizontal="center" vertical="center" wrapText="1"/>
    </xf>
    <xf numFmtId="0" fontId="24" fillId="0" borderId="5" xfId="0" applyFont="1" applyBorder="1" applyAlignment="1"/>
    <xf numFmtId="10" fontId="15" fillId="0" borderId="4" xfId="0" applyNumberFormat="1" applyFont="1" applyFill="1" applyBorder="1" applyAlignment="1" applyProtection="1">
      <alignment horizontal="center" vertical="center" wrapText="1"/>
    </xf>
    <xf numFmtId="4" fontId="15" fillId="0" borderId="6" xfId="0" applyNumberFormat="1" applyFont="1" applyFill="1" applyBorder="1" applyAlignment="1" applyProtection="1">
      <alignment horizontal="center" vertical="center" wrapText="1"/>
    </xf>
    <xf numFmtId="0" fontId="22" fillId="2" borderId="0" xfId="1" applyNumberFormat="1" applyFont="1" applyFill="1" applyBorder="1" applyAlignment="1" applyProtection="1">
      <alignment horizontal="center" vertical="top" wrapTex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4" fontId="9" fillId="0" borderId="4" xfId="0" applyNumberFormat="1" applyFont="1" applyFill="1" applyBorder="1" applyAlignment="1" applyProtection="1">
      <alignment horizontal="center" vertical="center" wrapText="1"/>
    </xf>
    <xf numFmtId="10" fontId="9" fillId="0" borderId="6" xfId="0" applyNumberFormat="1" applyFont="1" applyFill="1" applyBorder="1" applyAlignment="1" applyProtection="1">
      <alignment horizontal="center" vertical="center" wrapText="1"/>
    </xf>
    <xf numFmtId="0" fontId="19" fillId="0" borderId="5" xfId="0" applyNumberFormat="1" applyFont="1" applyFill="1" applyBorder="1" applyAlignment="1" applyProtection="1">
      <alignment horizontal="left" vertical="top" wrapText="1"/>
    </xf>
    <xf numFmtId="0" fontId="19" fillId="0" borderId="7" xfId="0" applyNumberFormat="1" applyFont="1" applyFill="1" applyBorder="1" applyAlignment="1" applyProtection="1">
      <alignment horizontal="left" vertical="top" wrapText="1"/>
    </xf>
    <xf numFmtId="0" fontId="22" fillId="2" borderId="0" xfId="0" applyNumberFormat="1" applyFont="1" applyFill="1" applyBorder="1" applyAlignment="1" applyProtection="1">
      <alignment horizontal="left" vertical="top" wrapText="1"/>
    </xf>
    <xf numFmtId="0" fontId="25" fillId="2" borderId="17" xfId="0" applyNumberFormat="1" applyFont="1" applyFill="1" applyBorder="1" applyAlignment="1" applyProtection="1">
      <alignment horizontal="center" wrapText="1"/>
    </xf>
    <xf numFmtId="2" fontId="13" fillId="2" borderId="32" xfId="0" applyNumberFormat="1" applyFont="1" applyFill="1" applyBorder="1" applyAlignment="1" applyProtection="1">
      <alignment horizontal="center" vertical="top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10" fontId="10" fillId="0" borderId="6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right" vertical="top" wrapText="1"/>
    </xf>
    <xf numFmtId="0" fontId="9" fillId="0" borderId="5" xfId="0" applyNumberFormat="1" applyFont="1" applyFill="1" applyBorder="1" applyAlignment="1" applyProtection="1">
      <alignment horizontal="left" vertical="top" wrapText="1"/>
    </xf>
    <xf numFmtId="164" fontId="2" fillId="0" borderId="33" xfId="0" applyNumberFormat="1" applyFont="1" applyFill="1" applyBorder="1" applyAlignment="1" applyProtection="1">
      <alignment horizontal="right" vertical="top" wrapText="1"/>
    </xf>
    <xf numFmtId="0" fontId="2" fillId="2" borderId="0" xfId="0" applyNumberFormat="1" applyFont="1" applyFill="1" applyBorder="1" applyAlignment="1" applyProtection="1">
      <alignment horizontal="center" vertical="top" wrapText="1"/>
    </xf>
    <xf numFmtId="0" fontId="9" fillId="2" borderId="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9" fillId="2" borderId="0" xfId="0" applyNumberFormat="1" applyFont="1" applyFill="1" applyBorder="1" applyAlignment="1"/>
    <xf numFmtId="0" fontId="9" fillId="0" borderId="0" xfId="0" applyNumberFormat="1" applyFont="1" applyFill="1" applyBorder="1" applyAlignment="1"/>
    <xf numFmtId="4" fontId="9" fillId="2" borderId="0" xfId="0" applyNumberFormat="1" applyFont="1" applyFill="1" applyBorder="1" applyAlignment="1" applyProtection="1">
      <alignment horizontal="left" vertical="top" wrapText="1"/>
    </xf>
    <xf numFmtId="10" fontId="9" fillId="2" borderId="0" xfId="0" applyNumberFormat="1" applyFont="1" applyFill="1" applyBorder="1" applyAlignment="1" applyProtection="1">
      <alignment horizontal="left" vertical="top" wrapText="1"/>
    </xf>
    <xf numFmtId="0" fontId="9" fillId="0" borderId="4" xfId="0" applyNumberFormat="1" applyFont="1" applyFill="1" applyBorder="1" applyAlignment="1" applyProtection="1">
      <alignment horizontal="left" vertical="top" wrapText="1"/>
    </xf>
    <xf numFmtId="0" fontId="10" fillId="2" borderId="0" xfId="0" applyNumberFormat="1" applyFont="1" applyFill="1" applyBorder="1" applyAlignment="1" applyProtection="1">
      <alignment horizontal="left" vertical="top" wrapText="1"/>
    </xf>
    <xf numFmtId="0" fontId="10" fillId="0" borderId="5" xfId="0" applyFont="1" applyBorder="1"/>
    <xf numFmtId="0" fontId="10" fillId="0" borderId="0" xfId="0" applyNumberFormat="1" applyFont="1" applyFill="1" applyBorder="1" applyAlignment="1"/>
    <xf numFmtId="0" fontId="10" fillId="0" borderId="4" xfId="0" applyNumberFormat="1" applyFont="1" applyFill="1" applyBorder="1" applyAlignment="1" applyProtection="1">
      <alignment horizontal="right" vertical="top" wrapText="1"/>
    </xf>
    <xf numFmtId="0" fontId="10" fillId="2" borderId="0" xfId="0" applyNumberFormat="1" applyFont="1" applyFill="1" applyBorder="1" applyAlignment="1"/>
    <xf numFmtId="0" fontId="26" fillId="0" borderId="5" xfId="0" applyFont="1" applyBorder="1"/>
    <xf numFmtId="4" fontId="9" fillId="2" borderId="0" xfId="0" applyNumberFormat="1" applyFont="1" applyFill="1" applyBorder="1" applyAlignment="1"/>
    <xf numFmtId="10" fontId="9" fillId="2" borderId="0" xfId="0" applyNumberFormat="1" applyFont="1" applyFill="1" applyBorder="1" applyAlignment="1"/>
    <xf numFmtId="4" fontId="9" fillId="0" borderId="0" xfId="0" applyNumberFormat="1" applyFont="1" applyFill="1" applyBorder="1" applyAlignment="1"/>
    <xf numFmtId="10" fontId="9" fillId="0" borderId="0" xfId="0" applyNumberFormat="1" applyFont="1" applyFill="1" applyBorder="1" applyAlignment="1"/>
    <xf numFmtId="0" fontId="12" fillId="2" borderId="11" xfId="0" applyNumberFormat="1" applyFont="1" applyFill="1" applyBorder="1" applyAlignment="1" applyProtection="1">
      <alignment horizontal="center" vertical="top" wrapText="1"/>
    </xf>
    <xf numFmtId="0" fontId="12" fillId="2" borderId="12" xfId="0" applyNumberFormat="1" applyFont="1" applyFill="1" applyBorder="1" applyAlignment="1" applyProtection="1">
      <alignment horizontal="center" vertical="top" wrapText="1"/>
    </xf>
    <xf numFmtId="0" fontId="12" fillId="2" borderId="13" xfId="0" applyNumberFormat="1" applyFont="1" applyFill="1" applyBorder="1" applyAlignment="1" applyProtection="1">
      <alignment horizontal="center" vertical="top" wrapText="1"/>
    </xf>
    <xf numFmtId="0" fontId="13" fillId="2" borderId="14" xfId="0" applyNumberFormat="1" applyFont="1" applyFill="1" applyBorder="1" applyAlignment="1" applyProtection="1">
      <alignment horizontal="center" vertical="center" wrapText="1"/>
    </xf>
    <xf numFmtId="0" fontId="13" fillId="2" borderId="15" xfId="0" applyNumberFormat="1" applyFont="1" applyFill="1" applyBorder="1" applyAlignment="1" applyProtection="1">
      <alignment horizontal="center" vertical="center" wrapText="1"/>
    </xf>
    <xf numFmtId="0" fontId="13" fillId="2" borderId="16" xfId="0" applyNumberFormat="1" applyFont="1" applyFill="1" applyBorder="1" applyAlignment="1" applyProtection="1">
      <alignment horizontal="center" vertical="center" wrapText="1"/>
    </xf>
    <xf numFmtId="0" fontId="20" fillId="2" borderId="11" xfId="0" applyNumberFormat="1" applyFont="1" applyFill="1" applyBorder="1" applyAlignment="1" applyProtection="1">
      <alignment horizontal="center" vertical="top" wrapText="1"/>
    </xf>
    <xf numFmtId="0" fontId="20" fillId="2" borderId="12" xfId="0" applyNumberFormat="1" applyFont="1" applyFill="1" applyBorder="1" applyAlignment="1" applyProtection="1">
      <alignment horizontal="center" vertical="top" wrapText="1"/>
    </xf>
    <xf numFmtId="0" fontId="20" fillId="2" borderId="13" xfId="0" applyNumberFormat="1" applyFont="1" applyFill="1" applyBorder="1" applyAlignment="1" applyProtection="1">
      <alignment horizontal="center" vertical="top" wrapText="1"/>
    </xf>
    <xf numFmtId="0" fontId="13" fillId="2" borderId="14" xfId="0" applyNumberFormat="1" applyFont="1" applyFill="1" applyBorder="1" applyAlignment="1" applyProtection="1">
      <alignment horizontal="center" vertical="top" wrapText="1"/>
    </xf>
    <xf numFmtId="0" fontId="13" fillId="2" borderId="15" xfId="0" applyNumberFormat="1" applyFont="1" applyFill="1" applyBorder="1" applyAlignment="1" applyProtection="1">
      <alignment horizontal="center" vertical="top" wrapText="1"/>
    </xf>
    <xf numFmtId="0" fontId="13" fillId="2" borderId="16" xfId="0" applyNumberFormat="1" applyFont="1" applyFill="1" applyBorder="1" applyAlignment="1" applyProtection="1">
      <alignment horizontal="center" vertical="top" wrapText="1"/>
    </xf>
    <xf numFmtId="0" fontId="22" fillId="2" borderId="14" xfId="0" applyNumberFormat="1" applyFont="1" applyFill="1" applyBorder="1" applyAlignment="1" applyProtection="1">
      <alignment horizontal="center" vertical="top" wrapText="1"/>
    </xf>
    <xf numFmtId="0" fontId="22" fillId="2" borderId="15" xfId="0" applyNumberFormat="1" applyFont="1" applyFill="1" applyBorder="1" applyAlignment="1" applyProtection="1">
      <alignment horizontal="center" vertical="top" wrapText="1"/>
    </xf>
    <xf numFmtId="0" fontId="22" fillId="2" borderId="16" xfId="0" applyNumberFormat="1" applyFont="1" applyFill="1" applyBorder="1" applyAlignment="1" applyProtection="1">
      <alignment horizontal="center" vertical="top" wrapText="1"/>
    </xf>
    <xf numFmtId="0" fontId="20" fillId="2" borderId="11" xfId="1" applyNumberFormat="1" applyFont="1" applyFill="1" applyBorder="1" applyAlignment="1" applyProtection="1">
      <alignment horizontal="center" vertical="top" wrapText="1"/>
    </xf>
    <xf numFmtId="0" fontId="20" fillId="2" borderId="12" xfId="1" applyNumberFormat="1" applyFont="1" applyFill="1" applyBorder="1" applyAlignment="1" applyProtection="1">
      <alignment horizontal="center" vertical="top" wrapText="1"/>
    </xf>
    <xf numFmtId="0" fontId="20" fillId="2" borderId="13" xfId="1" applyNumberFormat="1" applyFont="1" applyFill="1" applyBorder="1" applyAlignment="1" applyProtection="1">
      <alignment horizontal="center" vertical="top" wrapText="1"/>
    </xf>
    <xf numFmtId="0" fontId="22" fillId="2" borderId="14" xfId="1" applyNumberFormat="1" applyFont="1" applyFill="1" applyBorder="1" applyAlignment="1" applyProtection="1">
      <alignment horizontal="center" vertical="top" wrapText="1"/>
    </xf>
    <xf numFmtId="0" fontId="22" fillId="2" borderId="15" xfId="1" applyNumberFormat="1" applyFont="1" applyFill="1" applyBorder="1" applyAlignment="1" applyProtection="1">
      <alignment horizontal="center" vertical="top" wrapText="1"/>
    </xf>
    <xf numFmtId="0" fontId="22" fillId="2" borderId="16" xfId="1" applyNumberFormat="1" applyFont="1" applyFill="1" applyBorder="1" applyAlignment="1" applyProtection="1">
      <alignment horizontal="center" vertical="top" wrapText="1"/>
    </xf>
    <xf numFmtId="0" fontId="10" fillId="2" borderId="11" xfId="0" applyNumberFormat="1" applyFont="1" applyFill="1" applyBorder="1" applyAlignment="1" applyProtection="1">
      <alignment horizontal="center" vertical="top" wrapText="1"/>
    </xf>
    <xf numFmtId="0" fontId="10" fillId="2" borderId="12" xfId="0" applyNumberFormat="1" applyFont="1" applyFill="1" applyBorder="1" applyAlignment="1" applyProtection="1">
      <alignment horizontal="center" vertical="top" wrapText="1"/>
    </xf>
    <xf numFmtId="0" fontId="10" fillId="2" borderId="13" xfId="0" applyNumberFormat="1" applyFont="1" applyFill="1" applyBorder="1" applyAlignment="1" applyProtection="1">
      <alignment horizontal="center" vertical="top" wrapText="1"/>
    </xf>
    <xf numFmtId="0" fontId="2" fillId="2" borderId="14" xfId="0" applyNumberFormat="1" applyFont="1" applyFill="1" applyBorder="1" applyAlignment="1" applyProtection="1">
      <alignment horizontal="center" vertical="top" wrapText="1"/>
    </xf>
    <xf numFmtId="0" fontId="2" fillId="2" borderId="15" xfId="0" applyNumberFormat="1" applyFont="1" applyFill="1" applyBorder="1" applyAlignment="1" applyProtection="1">
      <alignment horizontal="center" vertical="top" wrapText="1"/>
    </xf>
    <xf numFmtId="0" fontId="2" fillId="2" borderId="16" xfId="0" applyNumberFormat="1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181"/>
  <sheetViews>
    <sheetView topLeftCell="A44" zoomScaleNormal="100" workbookViewId="0">
      <selection activeCell="A44" sqref="A44"/>
    </sheetView>
  </sheetViews>
  <sheetFormatPr defaultRowHeight="12.75"/>
  <cols>
    <col min="1" max="1" width="3.42578125" style="32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5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95" width="9.140625" style="32"/>
  </cols>
  <sheetData>
    <row r="1" spans="1:9" ht="15.95" customHeight="1">
      <c r="A1" s="29"/>
      <c r="B1" s="169" t="s">
        <v>350</v>
      </c>
      <c r="C1" s="170"/>
      <c r="D1" s="170"/>
      <c r="E1" s="170"/>
      <c r="F1" s="170"/>
      <c r="G1" s="170"/>
      <c r="H1" s="171"/>
      <c r="I1" s="1"/>
    </row>
    <row r="2" spans="1:9" ht="12.95" customHeight="1" thickBot="1">
      <c r="A2" s="29"/>
      <c r="B2" s="172" t="s">
        <v>386</v>
      </c>
      <c r="C2" s="173"/>
      <c r="D2" s="173"/>
      <c r="E2" s="173"/>
      <c r="F2" s="173"/>
      <c r="G2" s="173"/>
      <c r="H2" s="174"/>
      <c r="I2" s="1"/>
    </row>
    <row r="3" spans="1:9" s="32" customFormat="1" ht="12.95" customHeight="1">
      <c r="A3" s="29"/>
      <c r="B3" s="28"/>
      <c r="C3" s="28"/>
      <c r="D3" s="28"/>
      <c r="E3" s="28"/>
      <c r="F3" s="28"/>
      <c r="G3" s="28"/>
      <c r="H3" s="28"/>
      <c r="I3" s="29"/>
    </row>
    <row r="4" spans="1:9" s="32" customFormat="1" ht="12.95" customHeight="1" thickBot="1">
      <c r="A4" s="30"/>
      <c r="B4" s="33" t="s">
        <v>2</v>
      </c>
      <c r="C4" s="29"/>
      <c r="D4" s="29"/>
      <c r="E4" s="29"/>
      <c r="F4" s="34"/>
      <c r="G4" s="29"/>
      <c r="H4" s="35"/>
      <c r="I4" s="29"/>
    </row>
    <row r="5" spans="1:9" ht="27.95" customHeight="1">
      <c r="A5" s="29"/>
      <c r="B5" s="58" t="s">
        <v>3</v>
      </c>
      <c r="C5" s="59" t="s">
        <v>4</v>
      </c>
      <c r="D5" s="60" t="s">
        <v>376</v>
      </c>
      <c r="E5" s="60" t="s">
        <v>6</v>
      </c>
      <c r="F5" s="61" t="s">
        <v>7</v>
      </c>
      <c r="G5" s="60" t="s">
        <v>8</v>
      </c>
      <c r="H5" s="62" t="s">
        <v>9</v>
      </c>
      <c r="I5" s="39" t="s">
        <v>10</v>
      </c>
    </row>
    <row r="6" spans="1:9" ht="12.95" customHeight="1">
      <c r="A6" s="29"/>
      <c r="B6" s="63" t="s">
        <v>49</v>
      </c>
      <c r="C6" s="19" t="s">
        <v>1</v>
      </c>
      <c r="D6" s="19" t="s">
        <v>1</v>
      </c>
      <c r="E6" s="19" t="s">
        <v>1</v>
      </c>
      <c r="F6" s="48" t="s">
        <v>1</v>
      </c>
      <c r="G6" s="49"/>
      <c r="H6" s="64" t="s">
        <v>1</v>
      </c>
      <c r="I6" s="12" t="s">
        <v>1</v>
      </c>
    </row>
    <row r="7" spans="1:9" ht="12.95" customHeight="1">
      <c r="A7" s="29"/>
      <c r="B7" s="63" t="s">
        <v>50</v>
      </c>
      <c r="C7" s="19" t="s">
        <v>1</v>
      </c>
      <c r="D7" s="19" t="s">
        <v>1</v>
      </c>
      <c r="E7" s="19" t="s">
        <v>1</v>
      </c>
      <c r="F7" s="48" t="s">
        <v>1</v>
      </c>
      <c r="G7" s="49"/>
      <c r="H7" s="64" t="s">
        <v>1</v>
      </c>
      <c r="I7" s="12" t="s">
        <v>1</v>
      </c>
    </row>
    <row r="8" spans="1:9" ht="12.95" customHeight="1">
      <c r="A8" s="31"/>
      <c r="B8" s="65" t="s">
        <v>200</v>
      </c>
      <c r="C8" s="19" t="s">
        <v>201</v>
      </c>
      <c r="D8" s="19" t="s">
        <v>56</v>
      </c>
      <c r="E8" s="50">
        <v>871500</v>
      </c>
      <c r="F8" s="51">
        <v>9688.0297499999997</v>
      </c>
      <c r="G8" s="52">
        <v>9688.0300000000007</v>
      </c>
      <c r="H8" s="66">
        <v>7.5576461749339116E-2</v>
      </c>
      <c r="I8" s="3">
        <v>7.5600000000000001E-2</v>
      </c>
    </row>
    <row r="9" spans="1:9" ht="12.95" customHeight="1">
      <c r="A9" s="31"/>
      <c r="B9" s="65" t="s">
        <v>77</v>
      </c>
      <c r="C9" s="19" t="s">
        <v>78</v>
      </c>
      <c r="D9" s="19" t="s">
        <v>56</v>
      </c>
      <c r="E9" s="50">
        <v>2102500</v>
      </c>
      <c r="F9" s="51">
        <v>6357.96</v>
      </c>
      <c r="G9" s="52">
        <v>6357.96</v>
      </c>
      <c r="H9" s="66">
        <v>4.9598538933453229E-2</v>
      </c>
      <c r="I9" s="3">
        <v>4.9599999999999998E-2</v>
      </c>
    </row>
    <row r="10" spans="1:9" ht="12.95" customHeight="1">
      <c r="A10" s="31"/>
      <c r="B10" s="65" t="s">
        <v>206</v>
      </c>
      <c r="C10" s="19" t="s">
        <v>207</v>
      </c>
      <c r="D10" s="19" t="s">
        <v>90</v>
      </c>
      <c r="E10" s="50">
        <v>346750</v>
      </c>
      <c r="F10" s="51">
        <v>6211.1593750000002</v>
      </c>
      <c r="G10" s="52">
        <v>6211.16</v>
      </c>
      <c r="H10" s="66">
        <v>4.8453345111139502E-2</v>
      </c>
      <c r="I10" s="3">
        <v>4.8500000000000001E-2</v>
      </c>
    </row>
    <row r="11" spans="1:9" ht="12.95" customHeight="1">
      <c r="A11" s="31"/>
      <c r="B11" s="65" t="s">
        <v>210</v>
      </c>
      <c r="C11" s="19" t="s">
        <v>211</v>
      </c>
      <c r="D11" s="19" t="s">
        <v>145</v>
      </c>
      <c r="E11" s="50">
        <v>131470</v>
      </c>
      <c r="F11" s="51">
        <v>5694.557315</v>
      </c>
      <c r="G11" s="52">
        <v>5694.56</v>
      </c>
      <c r="H11" s="66">
        <v>4.4423324886725991E-2</v>
      </c>
      <c r="I11" s="3">
        <v>4.4400000000000002E-2</v>
      </c>
    </row>
    <row r="12" spans="1:9" ht="12.95" customHeight="1">
      <c r="A12" s="31"/>
      <c r="B12" s="65" t="s">
        <v>86</v>
      </c>
      <c r="C12" s="19" t="s">
        <v>87</v>
      </c>
      <c r="D12" s="19" t="s">
        <v>56</v>
      </c>
      <c r="E12" s="50">
        <v>543342</v>
      </c>
      <c r="F12" s="51">
        <v>5312.2547340000001</v>
      </c>
      <c r="G12" s="52">
        <v>5312.25</v>
      </c>
      <c r="H12" s="66">
        <v>4.1440976861873972E-2</v>
      </c>
      <c r="I12" s="3">
        <v>4.1399999999999999E-2</v>
      </c>
    </row>
    <row r="13" spans="1:9" ht="12.95" customHeight="1">
      <c r="A13" s="31"/>
      <c r="B13" s="65" t="s">
        <v>51</v>
      </c>
      <c r="C13" s="19" t="s">
        <v>52</v>
      </c>
      <c r="D13" s="19" t="s">
        <v>53</v>
      </c>
      <c r="E13" s="50">
        <v>519750</v>
      </c>
      <c r="F13" s="51">
        <v>4790.2758750000003</v>
      </c>
      <c r="G13" s="52">
        <v>4790.28</v>
      </c>
      <c r="H13" s="66">
        <v>3.7369012149835679E-2</v>
      </c>
      <c r="I13" s="3">
        <v>3.7400000000000003E-2</v>
      </c>
    </row>
    <row r="14" spans="1:9" ht="12.95" customHeight="1">
      <c r="A14" s="31"/>
      <c r="B14" s="65" t="s">
        <v>202</v>
      </c>
      <c r="C14" s="19" t="s">
        <v>203</v>
      </c>
      <c r="D14" s="19" t="s">
        <v>81</v>
      </c>
      <c r="E14" s="50">
        <v>431312</v>
      </c>
      <c r="F14" s="51">
        <v>4645.4458960000002</v>
      </c>
      <c r="G14" s="52">
        <v>4645.45</v>
      </c>
      <c r="H14" s="66">
        <v>3.6239191365785017E-2</v>
      </c>
      <c r="I14" s="3">
        <v>3.6200000000000003E-2</v>
      </c>
    </row>
    <row r="15" spans="1:9" ht="12.95" customHeight="1">
      <c r="A15" s="31"/>
      <c r="B15" s="65" t="s">
        <v>214</v>
      </c>
      <c r="C15" s="19" t="s">
        <v>215</v>
      </c>
      <c r="D15" s="19" t="s">
        <v>81</v>
      </c>
      <c r="E15" s="50">
        <v>177200</v>
      </c>
      <c r="F15" s="51">
        <v>4449.049</v>
      </c>
      <c r="G15" s="52">
        <v>4449.05</v>
      </c>
      <c r="H15" s="66">
        <v>3.4707096308146189E-2</v>
      </c>
      <c r="I15" s="3">
        <v>3.4700000000000002E-2</v>
      </c>
    </row>
    <row r="16" spans="1:9" ht="12.95" customHeight="1">
      <c r="A16" s="31"/>
      <c r="B16" s="65" t="s">
        <v>219</v>
      </c>
      <c r="C16" s="19" t="s">
        <v>220</v>
      </c>
      <c r="D16" s="19" t="s">
        <v>70</v>
      </c>
      <c r="E16" s="50">
        <v>478771</v>
      </c>
      <c r="F16" s="51">
        <v>3937.4127039999998</v>
      </c>
      <c r="G16" s="52">
        <v>3937.41</v>
      </c>
      <c r="H16" s="66">
        <v>3.071581408131183E-2</v>
      </c>
      <c r="I16" s="3">
        <v>3.0700000000000002E-2</v>
      </c>
    </row>
    <row r="17" spans="1:9" ht="12.95" customHeight="1">
      <c r="A17" s="31"/>
      <c r="B17" s="65" t="s">
        <v>204</v>
      </c>
      <c r="C17" s="19" t="s">
        <v>205</v>
      </c>
      <c r="D17" s="19" t="s">
        <v>53</v>
      </c>
      <c r="E17" s="50">
        <v>381400</v>
      </c>
      <c r="F17" s="51">
        <v>3821.0558999999998</v>
      </c>
      <c r="G17" s="52">
        <v>3821.06</v>
      </c>
      <c r="H17" s="66">
        <v>2.9808112951803908E-2</v>
      </c>
      <c r="I17" s="3">
        <v>2.98E-2</v>
      </c>
    </row>
    <row r="18" spans="1:9" ht="12.95" customHeight="1">
      <c r="A18" s="31"/>
      <c r="B18" s="65" t="s">
        <v>221</v>
      </c>
      <c r="C18" s="19" t="s">
        <v>222</v>
      </c>
      <c r="D18" s="19" t="s">
        <v>56</v>
      </c>
      <c r="E18" s="50">
        <v>1304350</v>
      </c>
      <c r="F18" s="51">
        <v>3522.3971750000001</v>
      </c>
      <c r="G18" s="52">
        <v>3522.4</v>
      </c>
      <c r="H18" s="66">
        <v>2.7478271870745204E-2</v>
      </c>
      <c r="I18" s="3">
        <v>2.75E-2</v>
      </c>
    </row>
    <row r="19" spans="1:9" ht="12.95" customHeight="1">
      <c r="A19" s="31"/>
      <c r="B19" s="65" t="s">
        <v>216</v>
      </c>
      <c r="C19" s="19" t="s">
        <v>217</v>
      </c>
      <c r="D19" s="19" t="s">
        <v>56</v>
      </c>
      <c r="E19" s="50">
        <v>612000</v>
      </c>
      <c r="F19" s="51">
        <v>3509.82</v>
      </c>
      <c r="G19" s="52">
        <v>3509.82</v>
      </c>
      <c r="H19" s="66">
        <v>2.7380157144652185E-2</v>
      </c>
      <c r="I19" s="3">
        <v>2.7400000000000001E-2</v>
      </c>
    </row>
    <row r="20" spans="1:9" ht="12.95" customHeight="1">
      <c r="A20" s="31"/>
      <c r="B20" s="65" t="s">
        <v>91</v>
      </c>
      <c r="C20" s="19" t="s">
        <v>92</v>
      </c>
      <c r="D20" s="19" t="s">
        <v>93</v>
      </c>
      <c r="E20" s="50">
        <v>389100</v>
      </c>
      <c r="F20" s="51">
        <v>3434.9748</v>
      </c>
      <c r="G20" s="52">
        <v>3434.97</v>
      </c>
      <c r="H20" s="66">
        <v>2.6796288644979006E-2</v>
      </c>
      <c r="I20" s="3">
        <v>2.6800000000000001E-2</v>
      </c>
    </row>
    <row r="21" spans="1:9" ht="12.95" customHeight="1">
      <c r="A21" s="31"/>
      <c r="B21" s="65" t="s">
        <v>212</v>
      </c>
      <c r="C21" s="19" t="s">
        <v>213</v>
      </c>
      <c r="D21" s="19" t="s">
        <v>93</v>
      </c>
      <c r="E21" s="50">
        <v>938500</v>
      </c>
      <c r="F21" s="51">
        <v>3059.51</v>
      </c>
      <c r="G21" s="52">
        <v>3059.51</v>
      </c>
      <c r="H21" s="66">
        <v>2.3867282249697936E-2</v>
      </c>
      <c r="I21" s="3">
        <v>2.3900000000000001E-2</v>
      </c>
    </row>
    <row r="22" spans="1:9" ht="12.95" customHeight="1">
      <c r="A22" s="31"/>
      <c r="B22" s="65" t="s">
        <v>208</v>
      </c>
      <c r="C22" s="19" t="s">
        <v>209</v>
      </c>
      <c r="D22" s="19" t="s">
        <v>61</v>
      </c>
      <c r="E22" s="50">
        <v>219275</v>
      </c>
      <c r="F22" s="51">
        <v>2939.1621</v>
      </c>
      <c r="G22" s="52">
        <v>2939.16</v>
      </c>
      <c r="H22" s="66">
        <v>2.2928446521931586E-2</v>
      </c>
      <c r="I22" s="3">
        <v>2.29E-2</v>
      </c>
    </row>
    <row r="23" spans="1:9" ht="12.95" customHeight="1">
      <c r="A23" s="31"/>
      <c r="B23" s="65" t="s">
        <v>227</v>
      </c>
      <c r="C23" s="19" t="s">
        <v>228</v>
      </c>
      <c r="D23" s="19" t="s">
        <v>229</v>
      </c>
      <c r="E23" s="50">
        <v>677291</v>
      </c>
      <c r="F23" s="51">
        <v>2836.4947080000002</v>
      </c>
      <c r="G23" s="52">
        <v>2836.49</v>
      </c>
      <c r="H23" s="66">
        <v>2.2127536695618098E-2</v>
      </c>
      <c r="I23" s="3">
        <v>2.2100000000000002E-2</v>
      </c>
    </row>
    <row r="24" spans="1:9" ht="12.95" customHeight="1">
      <c r="A24" s="31"/>
      <c r="B24" s="65" t="s">
        <v>223</v>
      </c>
      <c r="C24" s="19" t="s">
        <v>224</v>
      </c>
      <c r="D24" s="19" t="s">
        <v>105</v>
      </c>
      <c r="E24" s="50">
        <v>79000</v>
      </c>
      <c r="F24" s="51">
        <v>2487.8285000000001</v>
      </c>
      <c r="G24" s="52">
        <v>2487.83</v>
      </c>
      <c r="H24" s="66">
        <v>1.9407586508409073E-2</v>
      </c>
      <c r="I24" s="3">
        <v>1.9400000000000001E-2</v>
      </c>
    </row>
    <row r="25" spans="1:9" ht="12.95" customHeight="1">
      <c r="A25" s="31"/>
      <c r="B25" s="65" t="s">
        <v>385</v>
      </c>
      <c r="C25" s="19" t="s">
        <v>218</v>
      </c>
      <c r="D25" s="19" t="s">
        <v>145</v>
      </c>
      <c r="E25" s="50">
        <v>899662</v>
      </c>
      <c r="F25" s="51">
        <v>2339.5710309999999</v>
      </c>
      <c r="G25" s="52">
        <v>2339.5700000000002</v>
      </c>
      <c r="H25" s="66">
        <v>1.825102782474769E-2</v>
      </c>
      <c r="I25" s="3">
        <v>1.83E-2</v>
      </c>
    </row>
    <row r="26" spans="1:9" ht="12.95" customHeight="1">
      <c r="A26" s="31"/>
      <c r="B26" s="65" t="s">
        <v>62</v>
      </c>
      <c r="C26" s="19" t="s">
        <v>63</v>
      </c>
      <c r="D26" s="19" t="s">
        <v>64</v>
      </c>
      <c r="E26" s="50">
        <v>261178</v>
      </c>
      <c r="F26" s="51">
        <v>2304.6346720000001</v>
      </c>
      <c r="G26" s="52">
        <v>2304.63</v>
      </c>
      <c r="H26" s="66">
        <v>1.7978488777308795E-2</v>
      </c>
      <c r="I26" s="3">
        <v>1.7999999999999999E-2</v>
      </c>
    </row>
    <row r="27" spans="1:9" ht="12.95" customHeight="1">
      <c r="A27" s="31"/>
      <c r="B27" s="65" t="s">
        <v>225</v>
      </c>
      <c r="C27" s="19" t="s">
        <v>226</v>
      </c>
      <c r="D27" s="19" t="s">
        <v>81</v>
      </c>
      <c r="E27" s="50">
        <v>214000</v>
      </c>
      <c r="F27" s="51">
        <v>2136.2550000000001</v>
      </c>
      <c r="G27" s="52">
        <v>2136.2600000000002</v>
      </c>
      <c r="H27" s="66">
        <v>1.6664956493794257E-2</v>
      </c>
      <c r="I27" s="3">
        <v>1.67E-2</v>
      </c>
    </row>
    <row r="28" spans="1:9" ht="12.95" customHeight="1">
      <c r="A28" s="31"/>
      <c r="B28" s="65" t="s">
        <v>65</v>
      </c>
      <c r="C28" s="19" t="s">
        <v>66</v>
      </c>
      <c r="D28" s="19" t="s">
        <v>67</v>
      </c>
      <c r="E28" s="50">
        <v>572655</v>
      </c>
      <c r="F28" s="51">
        <v>2120.2551374999998</v>
      </c>
      <c r="G28" s="52">
        <v>2120.2600000000002</v>
      </c>
      <c r="H28" s="66">
        <v>1.6540141332463239E-2</v>
      </c>
      <c r="I28" s="3">
        <v>1.6500000000000001E-2</v>
      </c>
    </row>
    <row r="29" spans="1:9" ht="12.95" customHeight="1">
      <c r="A29" s="31"/>
      <c r="B29" s="65" t="s">
        <v>88</v>
      </c>
      <c r="C29" s="19" t="s">
        <v>89</v>
      </c>
      <c r="D29" s="19" t="s">
        <v>90</v>
      </c>
      <c r="E29" s="50">
        <v>648665</v>
      </c>
      <c r="F29" s="51">
        <v>2060.1600400000002</v>
      </c>
      <c r="G29" s="52">
        <v>2060.16</v>
      </c>
      <c r="H29" s="66">
        <v>1.6071338598085638E-2</v>
      </c>
      <c r="I29" s="3">
        <v>1.61E-2</v>
      </c>
    </row>
    <row r="30" spans="1:9" ht="12.95" customHeight="1">
      <c r="A30" s="31"/>
      <c r="B30" s="65" t="s">
        <v>74</v>
      </c>
      <c r="C30" s="19" t="s">
        <v>75</v>
      </c>
      <c r="D30" s="19" t="s">
        <v>76</v>
      </c>
      <c r="E30" s="50">
        <v>403012</v>
      </c>
      <c r="F30" s="51">
        <v>1974.7588000000001</v>
      </c>
      <c r="G30" s="52">
        <v>1974.76</v>
      </c>
      <c r="H30" s="66">
        <v>1.5405122276009818E-2</v>
      </c>
      <c r="I30" s="3">
        <v>1.54E-2</v>
      </c>
    </row>
    <row r="31" spans="1:9" ht="12.95" customHeight="1">
      <c r="A31" s="31"/>
      <c r="B31" s="65" t="s">
        <v>79</v>
      </c>
      <c r="C31" s="19" t="s">
        <v>80</v>
      </c>
      <c r="D31" s="19" t="s">
        <v>81</v>
      </c>
      <c r="E31" s="50">
        <v>228631</v>
      </c>
      <c r="F31" s="51">
        <v>1903.8103369999999</v>
      </c>
      <c r="G31" s="52">
        <v>1903.81</v>
      </c>
      <c r="H31" s="66">
        <v>1.4851652278656239E-2</v>
      </c>
      <c r="I31" s="3">
        <v>1.49E-2</v>
      </c>
    </row>
    <row r="32" spans="1:9" ht="12.95" customHeight="1">
      <c r="A32" s="31"/>
      <c r="B32" s="65" t="s">
        <v>101</v>
      </c>
      <c r="C32" s="19" t="s">
        <v>102</v>
      </c>
      <c r="D32" s="19" t="s">
        <v>70</v>
      </c>
      <c r="E32" s="50">
        <v>186900</v>
      </c>
      <c r="F32" s="51">
        <v>1891.2411</v>
      </c>
      <c r="G32" s="52">
        <v>1891.24</v>
      </c>
      <c r="H32" s="66">
        <v>1.47535994770173E-2</v>
      </c>
      <c r="I32" s="3">
        <v>1.4800000000000001E-2</v>
      </c>
    </row>
    <row r="33" spans="1:9" ht="12.95" customHeight="1">
      <c r="A33" s="31"/>
      <c r="B33" s="65" t="s">
        <v>94</v>
      </c>
      <c r="C33" s="19" t="s">
        <v>95</v>
      </c>
      <c r="D33" s="19" t="s">
        <v>93</v>
      </c>
      <c r="E33" s="50">
        <v>132831</v>
      </c>
      <c r="F33" s="51">
        <v>1741.4144100000001</v>
      </c>
      <c r="G33" s="52">
        <v>1741.41</v>
      </c>
      <c r="H33" s="66">
        <v>1.3584799277387949E-2</v>
      </c>
      <c r="I33" s="3">
        <v>1.3599999999999999E-2</v>
      </c>
    </row>
    <row r="34" spans="1:9" ht="12.95" customHeight="1">
      <c r="A34" s="31"/>
      <c r="B34" s="65" t="s">
        <v>98</v>
      </c>
      <c r="C34" s="19" t="s">
        <v>99</v>
      </c>
      <c r="D34" s="19" t="s">
        <v>100</v>
      </c>
      <c r="E34" s="50">
        <v>918000</v>
      </c>
      <c r="F34" s="51">
        <v>1686.366</v>
      </c>
      <c r="G34" s="52">
        <v>1686.37</v>
      </c>
      <c r="H34" s="66">
        <v>1.3155365825996355E-2</v>
      </c>
      <c r="I34" s="3">
        <v>1.32E-2</v>
      </c>
    </row>
    <row r="35" spans="1:9" ht="12.95" customHeight="1">
      <c r="A35" s="31"/>
      <c r="B35" s="65" t="s">
        <v>96</v>
      </c>
      <c r="C35" s="19" t="s">
        <v>97</v>
      </c>
      <c r="D35" s="19" t="s">
        <v>73</v>
      </c>
      <c r="E35" s="50">
        <v>144300</v>
      </c>
      <c r="F35" s="51">
        <v>1656.34755</v>
      </c>
      <c r="G35" s="52">
        <v>1656.35</v>
      </c>
      <c r="H35" s="66">
        <v>1.292119145858182E-2</v>
      </c>
      <c r="I35" s="3">
        <v>1.29E-2</v>
      </c>
    </row>
    <row r="36" spans="1:9" ht="12.95" customHeight="1">
      <c r="A36" s="31"/>
      <c r="B36" s="65" t="s">
        <v>68</v>
      </c>
      <c r="C36" s="19" t="s">
        <v>69</v>
      </c>
      <c r="D36" s="19" t="s">
        <v>70</v>
      </c>
      <c r="E36" s="50">
        <v>71005</v>
      </c>
      <c r="F36" s="51">
        <v>1642.3101475000001</v>
      </c>
      <c r="G36" s="52">
        <v>1642.31</v>
      </c>
      <c r="H36" s="66">
        <v>1.2811685476408166E-2</v>
      </c>
      <c r="I36" s="3">
        <v>1.2800000000000001E-2</v>
      </c>
    </row>
    <row r="37" spans="1:9" ht="12.95" customHeight="1">
      <c r="A37" s="31"/>
      <c r="B37" s="65" t="s">
        <v>103</v>
      </c>
      <c r="C37" s="19" t="s">
        <v>104</v>
      </c>
      <c r="D37" s="19" t="s">
        <v>105</v>
      </c>
      <c r="E37" s="50">
        <v>234750</v>
      </c>
      <c r="F37" s="51">
        <v>1602.2861250000001</v>
      </c>
      <c r="G37" s="52">
        <v>1602.29</v>
      </c>
      <c r="H37" s="66">
        <v>1.2499457491608064E-2</v>
      </c>
      <c r="I37" s="3">
        <v>1.2500000000000001E-2</v>
      </c>
    </row>
    <row r="38" spans="1:9" ht="12.95" customHeight="1">
      <c r="A38" s="31"/>
      <c r="B38" s="65" t="s">
        <v>134</v>
      </c>
      <c r="C38" s="19" t="s">
        <v>135</v>
      </c>
      <c r="D38" s="19" t="s">
        <v>136</v>
      </c>
      <c r="E38" s="50">
        <v>389500</v>
      </c>
      <c r="F38" s="51">
        <v>1553.326</v>
      </c>
      <c r="G38" s="52">
        <v>1553.33</v>
      </c>
      <c r="H38" s="66">
        <v>1.2117518840531423E-2</v>
      </c>
      <c r="I38" s="3">
        <v>1.21E-2</v>
      </c>
    </row>
    <row r="39" spans="1:9" ht="12.95" customHeight="1">
      <c r="A39" s="31"/>
      <c r="B39" s="65" t="s">
        <v>57</v>
      </c>
      <c r="C39" s="19" t="s">
        <v>58</v>
      </c>
      <c r="D39" s="19" t="s">
        <v>56</v>
      </c>
      <c r="E39" s="50">
        <v>182000</v>
      </c>
      <c r="F39" s="51">
        <v>1508.6890000000001</v>
      </c>
      <c r="G39" s="52">
        <v>1508.69</v>
      </c>
      <c r="H39" s="66">
        <v>1.1769304950797524E-2</v>
      </c>
      <c r="I39" s="3">
        <v>1.18E-2</v>
      </c>
    </row>
    <row r="40" spans="1:9" ht="12.95" customHeight="1">
      <c r="A40" s="31"/>
      <c r="B40" s="65" t="s">
        <v>110</v>
      </c>
      <c r="C40" s="19" t="s">
        <v>111</v>
      </c>
      <c r="D40" s="19" t="s">
        <v>112</v>
      </c>
      <c r="E40" s="50">
        <v>162947</v>
      </c>
      <c r="F40" s="51">
        <v>1461.7975369999999</v>
      </c>
      <c r="G40" s="52">
        <v>1461.8</v>
      </c>
      <c r="H40" s="66">
        <v>1.1403503962233254E-2</v>
      </c>
      <c r="I40" s="3">
        <v>1.14E-2</v>
      </c>
    </row>
    <row r="41" spans="1:9" ht="12.95" customHeight="1">
      <c r="A41" s="31"/>
      <c r="B41" s="65" t="s">
        <v>266</v>
      </c>
      <c r="C41" s="19" t="s">
        <v>267</v>
      </c>
      <c r="D41" s="19" t="s">
        <v>145</v>
      </c>
      <c r="E41" s="50">
        <v>51129</v>
      </c>
      <c r="F41" s="51">
        <v>1371.6376829999999</v>
      </c>
      <c r="G41" s="52">
        <v>1371.64</v>
      </c>
      <c r="H41" s="66">
        <v>1.070016562275747E-2</v>
      </c>
      <c r="I41" s="3">
        <v>1.0699999999999999E-2</v>
      </c>
    </row>
    <row r="42" spans="1:9" ht="12.95" customHeight="1">
      <c r="A42" s="31"/>
      <c r="B42" s="65" t="s">
        <v>59</v>
      </c>
      <c r="C42" s="19" t="s">
        <v>60</v>
      </c>
      <c r="D42" s="19" t="s">
        <v>61</v>
      </c>
      <c r="E42" s="50">
        <v>81589</v>
      </c>
      <c r="F42" s="51">
        <v>1300.9366050000001</v>
      </c>
      <c r="G42" s="52">
        <v>1300.94</v>
      </c>
      <c r="H42" s="66">
        <v>1.014862547940644E-2</v>
      </c>
      <c r="I42" s="3">
        <v>1.01E-2</v>
      </c>
    </row>
    <row r="43" spans="1:9" ht="12.95" customHeight="1">
      <c r="A43" s="31"/>
      <c r="B43" s="65" t="s">
        <v>54</v>
      </c>
      <c r="C43" s="19" t="s">
        <v>55</v>
      </c>
      <c r="D43" s="19" t="s">
        <v>56</v>
      </c>
      <c r="E43" s="50">
        <v>185000</v>
      </c>
      <c r="F43" s="51">
        <v>1286.49</v>
      </c>
      <c r="G43" s="52">
        <v>1286.49</v>
      </c>
      <c r="H43" s="66">
        <v>1.0035927302546453E-2</v>
      </c>
      <c r="I43" s="3">
        <v>0.01</v>
      </c>
    </row>
    <row r="44" spans="1:9" ht="12.95" customHeight="1">
      <c r="A44" s="31"/>
      <c r="B44" s="65" t="s">
        <v>157</v>
      </c>
      <c r="C44" s="19" t="s">
        <v>158</v>
      </c>
      <c r="D44" s="19" t="s">
        <v>70</v>
      </c>
      <c r="E44" s="50">
        <v>63056</v>
      </c>
      <c r="F44" s="51">
        <v>1236.9064960000001</v>
      </c>
      <c r="G44" s="52">
        <v>1236.9100000000001</v>
      </c>
      <c r="H44" s="66">
        <v>9.6491256627750429E-3</v>
      </c>
      <c r="I44" s="3">
        <v>9.5999999999999992E-3</v>
      </c>
    </row>
    <row r="45" spans="1:9" ht="12.95" customHeight="1">
      <c r="A45" s="31"/>
      <c r="B45" s="65" t="s">
        <v>84</v>
      </c>
      <c r="C45" s="19" t="s">
        <v>85</v>
      </c>
      <c r="D45" s="19" t="s">
        <v>70</v>
      </c>
      <c r="E45" s="50">
        <v>83600</v>
      </c>
      <c r="F45" s="51">
        <v>1205.2194</v>
      </c>
      <c r="G45" s="52">
        <v>1205.22</v>
      </c>
      <c r="H45" s="66">
        <v>9.4019341635136339E-3</v>
      </c>
      <c r="I45" s="3">
        <v>9.4000000000000004E-3</v>
      </c>
    </row>
    <row r="46" spans="1:9" ht="12.95" customHeight="1">
      <c r="A46" s="31"/>
      <c r="B46" s="65" t="s">
        <v>141</v>
      </c>
      <c r="C46" s="19" t="s">
        <v>142</v>
      </c>
      <c r="D46" s="19" t="s">
        <v>76</v>
      </c>
      <c r="E46" s="50">
        <v>185273</v>
      </c>
      <c r="F46" s="51">
        <v>1022.1511410000001</v>
      </c>
      <c r="G46" s="52">
        <v>1022.15</v>
      </c>
      <c r="H46" s="66">
        <v>7.9738159980185692E-3</v>
      </c>
      <c r="I46" s="3">
        <v>8.0000000000000002E-3</v>
      </c>
    </row>
    <row r="47" spans="1:9" ht="12.95" customHeight="1">
      <c r="A47" s="31"/>
      <c r="B47" s="65" t="s">
        <v>115</v>
      </c>
      <c r="C47" s="19" t="s">
        <v>116</v>
      </c>
      <c r="D47" s="19" t="s">
        <v>73</v>
      </c>
      <c r="E47" s="50">
        <v>100604</v>
      </c>
      <c r="F47" s="51">
        <v>1000.557082</v>
      </c>
      <c r="G47" s="52">
        <v>1000.56</v>
      </c>
      <c r="H47" s="66">
        <v>7.805360427986234E-3</v>
      </c>
      <c r="I47" s="3">
        <v>7.7999999999999996E-3</v>
      </c>
    </row>
    <row r="48" spans="1:9" ht="12.95" customHeight="1">
      <c r="A48" s="31"/>
      <c r="B48" s="65" t="s">
        <v>106</v>
      </c>
      <c r="C48" s="19" t="s">
        <v>107</v>
      </c>
      <c r="D48" s="19" t="s">
        <v>70</v>
      </c>
      <c r="E48" s="50">
        <v>147595</v>
      </c>
      <c r="F48" s="51">
        <v>998.11118750000003</v>
      </c>
      <c r="G48" s="52">
        <v>998.11</v>
      </c>
      <c r="H48" s="66">
        <v>7.7862799692250319E-3</v>
      </c>
      <c r="I48" s="3">
        <v>7.7999999999999996E-3</v>
      </c>
    </row>
    <row r="49" spans="1:9" ht="12.95" customHeight="1">
      <c r="A49" s="31"/>
      <c r="B49" s="65" t="s">
        <v>130</v>
      </c>
      <c r="C49" s="19" t="s">
        <v>131</v>
      </c>
      <c r="D49" s="19" t="s">
        <v>64</v>
      </c>
      <c r="E49" s="50">
        <v>675500</v>
      </c>
      <c r="F49" s="51">
        <v>987.91875000000005</v>
      </c>
      <c r="G49" s="52">
        <v>987.92</v>
      </c>
      <c r="H49" s="66">
        <v>7.7067686152419088E-3</v>
      </c>
      <c r="I49" s="3">
        <v>7.7000000000000002E-3</v>
      </c>
    </row>
    <row r="50" spans="1:9" ht="12.95" customHeight="1">
      <c r="A50" s="31"/>
      <c r="B50" s="65" t="s">
        <v>82</v>
      </c>
      <c r="C50" s="19" t="s">
        <v>83</v>
      </c>
      <c r="D50" s="19" t="s">
        <v>56</v>
      </c>
      <c r="E50" s="50">
        <v>1444032</v>
      </c>
      <c r="F50" s="51">
        <v>978.33168000000001</v>
      </c>
      <c r="G50" s="52">
        <v>978.33</v>
      </c>
      <c r="H50" s="66">
        <v>7.63197974197867E-3</v>
      </c>
      <c r="I50" s="3">
        <v>7.6E-3</v>
      </c>
    </row>
    <row r="51" spans="1:9" ht="12.95" customHeight="1">
      <c r="A51" s="31"/>
      <c r="B51" s="65" t="s">
        <v>148</v>
      </c>
      <c r="C51" s="19" t="s">
        <v>149</v>
      </c>
      <c r="D51" s="19" t="s">
        <v>61</v>
      </c>
      <c r="E51" s="50">
        <v>83000</v>
      </c>
      <c r="F51" s="51">
        <v>942.46500000000003</v>
      </c>
      <c r="G51" s="52">
        <v>942.47</v>
      </c>
      <c r="H51" s="66">
        <v>7.3521832468145436E-3</v>
      </c>
      <c r="I51" s="3">
        <v>7.4000000000000003E-3</v>
      </c>
    </row>
    <row r="52" spans="1:9" ht="12.95" customHeight="1">
      <c r="A52" s="31"/>
      <c r="B52" s="65" t="s">
        <v>298</v>
      </c>
      <c r="C52" s="19" t="s">
        <v>299</v>
      </c>
      <c r="D52" s="19" t="s">
        <v>300</v>
      </c>
      <c r="E52" s="50">
        <v>211000</v>
      </c>
      <c r="F52" s="51">
        <v>926.39549999999997</v>
      </c>
      <c r="G52" s="52">
        <v>926.4</v>
      </c>
      <c r="H52" s="66">
        <v>7.2268248423277073E-3</v>
      </c>
      <c r="I52" s="3">
        <v>7.1999999999999998E-3</v>
      </c>
    </row>
    <row r="53" spans="1:9" ht="12.95" customHeight="1">
      <c r="A53" s="31"/>
      <c r="B53" s="65" t="s">
        <v>179</v>
      </c>
      <c r="C53" s="19" t="s">
        <v>180</v>
      </c>
      <c r="D53" s="19" t="s">
        <v>176</v>
      </c>
      <c r="E53" s="50">
        <v>370000</v>
      </c>
      <c r="F53" s="51">
        <v>909.27499999999998</v>
      </c>
      <c r="G53" s="52">
        <v>909.28</v>
      </c>
      <c r="H53" s="66">
        <v>7.0932675714719317E-3</v>
      </c>
      <c r="I53" s="3">
        <v>7.1000000000000004E-3</v>
      </c>
    </row>
    <row r="54" spans="1:9" ht="12.95" customHeight="1">
      <c r="A54" s="31"/>
      <c r="B54" s="65" t="s">
        <v>119</v>
      </c>
      <c r="C54" s="19" t="s">
        <v>120</v>
      </c>
      <c r="D54" s="19" t="s">
        <v>73</v>
      </c>
      <c r="E54" s="50">
        <v>492854</v>
      </c>
      <c r="F54" s="51">
        <v>906.11207899999999</v>
      </c>
      <c r="G54" s="52">
        <v>906.11</v>
      </c>
      <c r="H54" s="66">
        <v>7.0685935784990384E-3</v>
      </c>
      <c r="I54" s="3">
        <v>7.1000000000000004E-3</v>
      </c>
    </row>
    <row r="55" spans="1:9" ht="12.95" customHeight="1">
      <c r="A55" s="31"/>
      <c r="B55" s="65" t="s">
        <v>351</v>
      </c>
      <c r="C55" s="19" t="s">
        <v>352</v>
      </c>
      <c r="D55" s="19" t="s">
        <v>67</v>
      </c>
      <c r="E55" s="50">
        <v>250000</v>
      </c>
      <c r="F55" s="51">
        <v>812.5</v>
      </c>
      <c r="G55" s="52">
        <v>812.5</v>
      </c>
      <c r="H55" s="66">
        <v>6.3383243813158229E-3</v>
      </c>
      <c r="I55" s="3">
        <v>6.3E-3</v>
      </c>
    </row>
    <row r="56" spans="1:9" ht="12.95" customHeight="1">
      <c r="A56" s="31"/>
      <c r="B56" s="65" t="s">
        <v>154</v>
      </c>
      <c r="C56" s="19" t="s">
        <v>155</v>
      </c>
      <c r="D56" s="19" t="s">
        <v>156</v>
      </c>
      <c r="E56" s="50">
        <v>235560</v>
      </c>
      <c r="F56" s="51">
        <v>710.56673999999998</v>
      </c>
      <c r="G56" s="52">
        <v>710.57</v>
      </c>
      <c r="H56" s="66">
        <v>5.5431415294696631E-3</v>
      </c>
      <c r="I56" s="3">
        <v>5.4999999999999997E-3</v>
      </c>
    </row>
    <row r="57" spans="1:9" ht="12.95" customHeight="1">
      <c r="A57" s="31"/>
      <c r="B57" s="65" t="s">
        <v>353</v>
      </c>
      <c r="C57" s="19" t="s">
        <v>354</v>
      </c>
      <c r="D57" s="19" t="s">
        <v>355</v>
      </c>
      <c r="E57" s="50">
        <v>205400</v>
      </c>
      <c r="F57" s="51">
        <v>507.13260000000002</v>
      </c>
      <c r="G57" s="52">
        <v>507.13</v>
      </c>
      <c r="H57" s="66">
        <v>3.9561488284801044E-3</v>
      </c>
      <c r="I57" s="3">
        <v>4.0000000000000001E-3</v>
      </c>
    </row>
    <row r="58" spans="1:9" ht="12.95" customHeight="1">
      <c r="A58" s="31"/>
      <c r="B58" s="65" t="s">
        <v>181</v>
      </c>
      <c r="C58" s="19" t="s">
        <v>182</v>
      </c>
      <c r="D58" s="19" t="s">
        <v>183</v>
      </c>
      <c r="E58" s="50">
        <v>87287</v>
      </c>
      <c r="F58" s="51">
        <v>493.3897675</v>
      </c>
      <c r="G58" s="52">
        <v>493.39</v>
      </c>
      <c r="H58" s="66">
        <v>3.8489407911839941E-3</v>
      </c>
      <c r="I58" s="3">
        <v>3.8E-3</v>
      </c>
    </row>
    <row r="59" spans="1:9" ht="12.95" customHeight="1">
      <c r="A59" s="31"/>
      <c r="B59" s="65" t="s">
        <v>184</v>
      </c>
      <c r="C59" s="19" t="s">
        <v>185</v>
      </c>
      <c r="D59" s="19" t="s">
        <v>136</v>
      </c>
      <c r="E59" s="50">
        <v>514879</v>
      </c>
      <c r="F59" s="51">
        <v>452.32120149999997</v>
      </c>
      <c r="G59" s="52">
        <v>452.32</v>
      </c>
      <c r="H59" s="66">
        <v>3.5285643072658674E-3</v>
      </c>
      <c r="I59" s="3">
        <v>3.5000000000000001E-3</v>
      </c>
    </row>
    <row r="60" spans="1:9" ht="12.95" customHeight="1">
      <c r="A60" s="31"/>
      <c r="B60" s="65" t="s">
        <v>170</v>
      </c>
      <c r="C60" s="19" t="s">
        <v>171</v>
      </c>
      <c r="D60" s="19" t="s">
        <v>105</v>
      </c>
      <c r="E60" s="50">
        <v>412601</v>
      </c>
      <c r="F60" s="51">
        <v>443.33977449999998</v>
      </c>
      <c r="G60" s="52">
        <v>443.34</v>
      </c>
      <c r="H60" s="66">
        <v>3.4585000639020418E-3</v>
      </c>
      <c r="I60" s="3">
        <v>3.5000000000000001E-3</v>
      </c>
    </row>
    <row r="61" spans="1:9" ht="12.95" customHeight="1">
      <c r="A61" s="31"/>
      <c r="B61" s="65" t="s">
        <v>188</v>
      </c>
      <c r="C61" s="19" t="s">
        <v>189</v>
      </c>
      <c r="D61" s="19" t="s">
        <v>53</v>
      </c>
      <c r="E61" s="50">
        <v>203818</v>
      </c>
      <c r="F61" s="51">
        <v>334.26152000000002</v>
      </c>
      <c r="G61" s="52">
        <v>334.26</v>
      </c>
      <c r="H61" s="66">
        <v>2.6075790054789988E-3</v>
      </c>
      <c r="I61" s="3">
        <v>2.5999999999999999E-3</v>
      </c>
    </row>
    <row r="62" spans="1:9" ht="12.95" customHeight="1">
      <c r="A62" s="31"/>
      <c r="B62" s="65" t="s">
        <v>150</v>
      </c>
      <c r="C62" s="19" t="s">
        <v>151</v>
      </c>
      <c r="D62" s="19" t="s">
        <v>93</v>
      </c>
      <c r="E62" s="50">
        <v>58670</v>
      </c>
      <c r="F62" s="51">
        <v>328.874685</v>
      </c>
      <c r="G62" s="52">
        <v>328.87</v>
      </c>
      <c r="H62" s="66">
        <v>2.5655562268714596E-3</v>
      </c>
      <c r="I62" s="3">
        <v>2.5999999999999999E-3</v>
      </c>
    </row>
    <row r="63" spans="1:9" ht="12.95" customHeight="1">
      <c r="A63" s="31"/>
      <c r="B63" s="65" t="s">
        <v>288</v>
      </c>
      <c r="C63" s="19" t="s">
        <v>289</v>
      </c>
      <c r="D63" s="19" t="s">
        <v>192</v>
      </c>
      <c r="E63" s="50">
        <v>82096</v>
      </c>
      <c r="F63" s="51">
        <v>223.87579199999999</v>
      </c>
      <c r="G63" s="52">
        <v>223.88</v>
      </c>
      <c r="H63" s="66">
        <v>1.7464583271630644E-3</v>
      </c>
      <c r="I63" s="3">
        <v>1.6999999999999999E-3</v>
      </c>
    </row>
    <row r="64" spans="1:9" ht="12.95" customHeight="1">
      <c r="A64" s="31"/>
      <c r="B64" s="65" t="s">
        <v>356</v>
      </c>
      <c r="C64" s="19" t="s">
        <v>357</v>
      </c>
      <c r="D64" s="19" t="s">
        <v>56</v>
      </c>
      <c r="E64" s="50">
        <v>3500</v>
      </c>
      <c r="F64" s="51">
        <v>6.2125000000000004</v>
      </c>
      <c r="G64" s="52">
        <v>6.21</v>
      </c>
      <c r="H64" s="66" t="s">
        <v>195</v>
      </c>
      <c r="I64" s="40" t="s">
        <v>195</v>
      </c>
    </row>
    <row r="65" spans="1:9" ht="12.95" customHeight="1">
      <c r="A65" s="31"/>
      <c r="B65" s="65" t="s">
        <v>358</v>
      </c>
      <c r="C65" s="19" t="s">
        <v>359</v>
      </c>
      <c r="D65" s="19" t="s">
        <v>70</v>
      </c>
      <c r="E65" s="50">
        <v>220</v>
      </c>
      <c r="F65" s="51">
        <v>3.7327400000000002</v>
      </c>
      <c r="G65" s="52">
        <v>3.73</v>
      </c>
      <c r="H65" s="66" t="s">
        <v>195</v>
      </c>
      <c r="I65" s="40" t="s">
        <v>195</v>
      </c>
    </row>
    <row r="66" spans="1:9" ht="12.95" customHeight="1">
      <c r="A66" s="31"/>
      <c r="B66" s="65" t="s">
        <v>193</v>
      </c>
      <c r="C66" s="19" t="s">
        <v>194</v>
      </c>
      <c r="D66" s="19" t="s">
        <v>156</v>
      </c>
      <c r="E66" s="50">
        <v>200</v>
      </c>
      <c r="F66" s="51">
        <v>0.64729999999999999</v>
      </c>
      <c r="G66" s="52">
        <v>0.65</v>
      </c>
      <c r="H66" s="66" t="s">
        <v>195</v>
      </c>
      <c r="I66" s="40" t="s">
        <v>195</v>
      </c>
    </row>
    <row r="67" spans="1:9" ht="12.95" customHeight="1">
      <c r="A67" s="29"/>
      <c r="B67" s="63" t="s">
        <v>38</v>
      </c>
      <c r="C67" s="19" t="s">
        <v>1</v>
      </c>
      <c r="D67" s="19" t="s">
        <v>1</v>
      </c>
      <c r="E67" s="19" t="s">
        <v>1</v>
      </c>
      <c r="F67" s="20">
        <v>125669.972943</v>
      </c>
      <c r="G67" s="53">
        <v>125670.01</v>
      </c>
      <c r="H67" s="67">
        <v>0.98035329662020509</v>
      </c>
      <c r="I67" s="41">
        <v>0.98029999999999995</v>
      </c>
    </row>
    <row r="68" spans="1:9" ht="12.95" customHeight="1">
      <c r="A68" s="29"/>
      <c r="B68" s="63"/>
      <c r="C68" s="19"/>
      <c r="D68" s="19"/>
      <c r="E68" s="19"/>
      <c r="F68" s="20"/>
      <c r="G68" s="53"/>
      <c r="H68" s="67"/>
      <c r="I68" s="41"/>
    </row>
    <row r="69" spans="1:9" ht="12.95" customHeight="1">
      <c r="A69" s="29"/>
      <c r="B69" s="63" t="s">
        <v>196</v>
      </c>
      <c r="C69" s="19" t="s">
        <v>1</v>
      </c>
      <c r="D69" s="19" t="s">
        <v>1</v>
      </c>
      <c r="E69" s="19" t="s">
        <v>1</v>
      </c>
      <c r="F69" s="20" t="s">
        <v>197</v>
      </c>
      <c r="G69" s="54" t="s">
        <v>197</v>
      </c>
      <c r="H69" s="67" t="s">
        <v>197</v>
      </c>
      <c r="I69" s="42" t="s">
        <v>197</v>
      </c>
    </row>
    <row r="70" spans="1:9" ht="12.95" customHeight="1">
      <c r="A70" s="29"/>
      <c r="B70" s="63" t="s">
        <v>38</v>
      </c>
      <c r="C70" s="19" t="s">
        <v>1</v>
      </c>
      <c r="D70" s="19" t="s">
        <v>1</v>
      </c>
      <c r="E70" s="19" t="s">
        <v>1</v>
      </c>
      <c r="F70" s="20" t="s">
        <v>197</v>
      </c>
      <c r="G70" s="54" t="s">
        <v>197</v>
      </c>
      <c r="H70" s="67" t="s">
        <v>197</v>
      </c>
      <c r="I70" s="42" t="s">
        <v>197</v>
      </c>
    </row>
    <row r="71" spans="1:9" ht="12.95" customHeight="1">
      <c r="A71" s="29"/>
      <c r="B71" s="63" t="s">
        <v>39</v>
      </c>
      <c r="C71" s="19" t="s">
        <v>1</v>
      </c>
      <c r="D71" s="19" t="s">
        <v>1</v>
      </c>
      <c r="E71" s="19" t="s">
        <v>1</v>
      </c>
      <c r="F71" s="20">
        <v>125669.972943</v>
      </c>
      <c r="G71" s="53">
        <v>125670.01</v>
      </c>
      <c r="H71" s="67">
        <v>0.98035329662020509</v>
      </c>
      <c r="I71" s="41">
        <v>0.98029999999999995</v>
      </c>
    </row>
    <row r="72" spans="1:9" ht="12.95" customHeight="1">
      <c r="A72" s="29"/>
      <c r="B72" s="63"/>
      <c r="C72" s="19"/>
      <c r="D72" s="19"/>
      <c r="E72" s="19"/>
      <c r="F72" s="20"/>
      <c r="G72" s="53"/>
      <c r="H72" s="67"/>
      <c r="I72" s="74"/>
    </row>
    <row r="73" spans="1:9" ht="12.95" customHeight="1">
      <c r="A73" s="29"/>
      <c r="B73" s="17" t="s">
        <v>372</v>
      </c>
      <c r="C73" s="18"/>
      <c r="D73" s="19"/>
      <c r="E73" s="19"/>
      <c r="F73" s="20"/>
      <c r="G73" s="20"/>
      <c r="H73" s="67"/>
      <c r="I73" s="15"/>
    </row>
    <row r="74" spans="1:9" ht="12.95" customHeight="1">
      <c r="A74" s="31"/>
      <c r="B74" s="21" t="s">
        <v>383</v>
      </c>
      <c r="C74" s="18"/>
      <c r="D74" s="19"/>
      <c r="E74" s="84" t="s">
        <v>197</v>
      </c>
      <c r="F74" s="84" t="s">
        <v>197</v>
      </c>
      <c r="G74" s="85" t="s">
        <v>197</v>
      </c>
      <c r="H74" s="84" t="s">
        <v>197</v>
      </c>
      <c r="I74" s="16" t="s">
        <v>197</v>
      </c>
    </row>
    <row r="75" spans="1:9" ht="12.95" customHeight="1">
      <c r="A75" s="29"/>
      <c r="B75" s="24" t="s">
        <v>374</v>
      </c>
      <c r="C75" s="18"/>
      <c r="D75" s="19"/>
      <c r="E75" s="84" t="s">
        <v>197</v>
      </c>
      <c r="F75" s="84" t="s">
        <v>197</v>
      </c>
      <c r="G75" s="85" t="s">
        <v>197</v>
      </c>
      <c r="H75" s="84" t="s">
        <v>197</v>
      </c>
      <c r="I75" s="16" t="s">
        <v>197</v>
      </c>
    </row>
    <row r="76" spans="1:9" ht="12.95" customHeight="1">
      <c r="A76" s="29"/>
      <c r="B76" s="24" t="s">
        <v>375</v>
      </c>
      <c r="C76" s="18"/>
      <c r="D76" s="19"/>
      <c r="E76" s="84" t="s">
        <v>197</v>
      </c>
      <c r="F76" s="84" t="s">
        <v>197</v>
      </c>
      <c r="G76" s="85" t="s">
        <v>197</v>
      </c>
      <c r="H76" s="84" t="s">
        <v>197</v>
      </c>
      <c r="I76" s="43" t="s">
        <v>197</v>
      </c>
    </row>
    <row r="77" spans="1:9" ht="12.95" customHeight="1">
      <c r="A77" s="29"/>
      <c r="B77" s="24"/>
      <c r="C77" s="18"/>
      <c r="D77" s="19"/>
      <c r="E77" s="19"/>
      <c r="F77" s="20"/>
      <c r="G77" s="22"/>
      <c r="H77" s="68"/>
      <c r="I77" s="43"/>
    </row>
    <row r="78" spans="1:9" ht="12.95" customHeight="1">
      <c r="A78" s="29"/>
      <c r="B78" s="75" t="s">
        <v>11</v>
      </c>
      <c r="C78" s="18"/>
      <c r="D78" s="19"/>
      <c r="E78" s="19"/>
      <c r="F78" s="20"/>
      <c r="G78" s="22"/>
      <c r="H78" s="68"/>
      <c r="I78" s="16"/>
    </row>
    <row r="79" spans="1:9" ht="12.95" customHeight="1">
      <c r="A79" s="29"/>
      <c r="B79" s="63" t="s">
        <v>40</v>
      </c>
      <c r="C79" s="19" t="s">
        <v>1</v>
      </c>
      <c r="D79" s="19" t="s">
        <v>1</v>
      </c>
      <c r="E79" s="19" t="s">
        <v>1</v>
      </c>
      <c r="F79" s="48" t="s">
        <v>1</v>
      </c>
      <c r="G79" s="49"/>
      <c r="H79" s="64" t="s">
        <v>1</v>
      </c>
      <c r="I79" s="12" t="s">
        <v>1</v>
      </c>
    </row>
    <row r="80" spans="1:9" ht="12.95" customHeight="1">
      <c r="A80" s="31"/>
      <c r="B80" s="65" t="s">
        <v>41</v>
      </c>
      <c r="C80" s="19" t="s">
        <v>1</v>
      </c>
      <c r="D80" s="19" t="s">
        <v>42</v>
      </c>
      <c r="E80" s="50"/>
      <c r="F80" s="51">
        <v>2259.2610172999998</v>
      </c>
      <c r="G80" s="52">
        <v>2259.2600000000002</v>
      </c>
      <c r="H80" s="66">
        <v>1.7624528233487976E-2</v>
      </c>
      <c r="I80" s="3">
        <v>1.7600000000000001E-2</v>
      </c>
    </row>
    <row r="81" spans="1:9" ht="12.95" customHeight="1">
      <c r="A81" s="29"/>
      <c r="B81" s="63" t="s">
        <v>38</v>
      </c>
      <c r="C81" s="19" t="s">
        <v>1</v>
      </c>
      <c r="D81" s="19" t="s">
        <v>1</v>
      </c>
      <c r="E81" s="19" t="s">
        <v>1</v>
      </c>
      <c r="F81" s="20">
        <v>2259.2610172999998</v>
      </c>
      <c r="G81" s="53">
        <v>2259.2600000000002</v>
      </c>
      <c r="H81" s="67">
        <v>1.7624528233487976E-2</v>
      </c>
      <c r="I81" s="41">
        <v>1.7600000000000001E-2</v>
      </c>
    </row>
    <row r="82" spans="1:9" ht="12.95" customHeight="1">
      <c r="A82" s="29"/>
      <c r="B82" s="63"/>
      <c r="C82" s="19"/>
      <c r="D82" s="19"/>
      <c r="E82" s="19"/>
      <c r="F82" s="20"/>
      <c r="G82" s="53"/>
      <c r="H82" s="67"/>
      <c r="I82" s="41"/>
    </row>
    <row r="83" spans="1:9" ht="12.95" customHeight="1">
      <c r="A83" s="29"/>
      <c r="B83" s="63" t="s">
        <v>280</v>
      </c>
      <c r="C83" s="19"/>
      <c r="D83" s="19"/>
      <c r="E83" s="19"/>
      <c r="F83" s="20"/>
      <c r="G83" s="53"/>
      <c r="H83" s="67"/>
      <c r="I83" s="41"/>
    </row>
    <row r="84" spans="1:9" ht="12.95" customHeight="1">
      <c r="A84" s="29"/>
      <c r="B84" s="149" t="s">
        <v>43</v>
      </c>
      <c r="C84" s="19" t="s">
        <v>1</v>
      </c>
      <c r="D84" s="19" t="s">
        <v>1</v>
      </c>
      <c r="E84" s="19" t="s">
        <v>1</v>
      </c>
      <c r="F84" s="22">
        <v>259.21950464029999</v>
      </c>
      <c r="G84" s="78">
        <v>259.18</v>
      </c>
      <c r="H84" s="68">
        <v>2.0221751463068926E-3</v>
      </c>
      <c r="I84" s="41">
        <v>2.0999999999999999E-3</v>
      </c>
    </row>
    <row r="85" spans="1:9" ht="12.95" customHeight="1">
      <c r="A85" s="29"/>
      <c r="B85" s="63" t="s">
        <v>38</v>
      </c>
      <c r="C85" s="25"/>
      <c r="D85" s="25"/>
      <c r="E85" s="25"/>
      <c r="F85" s="20">
        <v>259.21950464029999</v>
      </c>
      <c r="G85" s="53">
        <v>259.18</v>
      </c>
      <c r="H85" s="67">
        <v>2.0221751463068926E-3</v>
      </c>
      <c r="I85" s="74"/>
    </row>
    <row r="86" spans="1:9" ht="12.95" customHeight="1" thickBot="1">
      <c r="A86" s="29"/>
      <c r="B86" s="76" t="s">
        <v>39</v>
      </c>
      <c r="C86" s="25"/>
      <c r="D86" s="25"/>
      <c r="E86" s="25"/>
      <c r="F86" s="26">
        <f>F81+F85</f>
        <v>2518.4805219402997</v>
      </c>
      <c r="G86" s="26">
        <f t="shared" ref="G86:H86" si="0">G81+G85</f>
        <v>2518.44</v>
      </c>
      <c r="H86" s="77">
        <f t="shared" si="0"/>
        <v>1.9646703379794867E-2</v>
      </c>
      <c r="I86" s="74"/>
    </row>
    <row r="87" spans="1:9" ht="12.95" customHeight="1" thickBot="1">
      <c r="A87" s="29"/>
      <c r="B87" s="115" t="s">
        <v>44</v>
      </c>
      <c r="C87" s="116" t="s">
        <v>1</v>
      </c>
      <c r="D87" s="116" t="s">
        <v>1</v>
      </c>
      <c r="E87" s="116" t="s">
        <v>1</v>
      </c>
      <c r="F87" s="117">
        <v>128188.45346494031</v>
      </c>
      <c r="G87" s="118">
        <v>128188.45</v>
      </c>
      <c r="H87" s="119">
        <v>1</v>
      </c>
      <c r="I87" s="44">
        <v>1</v>
      </c>
    </row>
    <row r="88" spans="1:9" s="32" customFormat="1" ht="12.95" customHeight="1">
      <c r="A88" s="29"/>
      <c r="B88" s="30" t="s">
        <v>1</v>
      </c>
      <c r="C88" s="29"/>
      <c r="D88" s="29"/>
      <c r="E88" s="29"/>
      <c r="F88" s="34"/>
      <c r="G88" s="29"/>
      <c r="H88" s="35"/>
      <c r="I88" s="29"/>
    </row>
    <row r="89" spans="1:9" s="32" customFormat="1" ht="12.95" customHeight="1">
      <c r="A89" s="29"/>
      <c r="B89" s="36" t="s">
        <v>42</v>
      </c>
      <c r="C89" s="29"/>
      <c r="D89" s="29"/>
      <c r="E89" s="29"/>
      <c r="F89" s="34"/>
      <c r="G89" s="29"/>
      <c r="H89" s="35"/>
      <c r="I89" s="29"/>
    </row>
    <row r="90" spans="1:9" s="32" customFormat="1" ht="12.95" customHeight="1">
      <c r="A90" s="29"/>
      <c r="B90" s="80" t="s">
        <v>198</v>
      </c>
      <c r="C90" s="81"/>
      <c r="D90" s="29"/>
      <c r="E90" s="29"/>
      <c r="F90" s="34"/>
      <c r="G90" s="29"/>
      <c r="H90" s="35"/>
      <c r="I90" s="29"/>
    </row>
    <row r="91" spans="1:9" s="32" customFormat="1" ht="12.95" customHeight="1">
      <c r="A91" s="29"/>
      <c r="B91" s="80" t="s">
        <v>377</v>
      </c>
      <c r="C91" s="81"/>
      <c r="D91" s="29"/>
      <c r="E91" s="29"/>
      <c r="F91" s="34"/>
      <c r="G91" s="29"/>
      <c r="H91" s="35"/>
      <c r="I91" s="29"/>
    </row>
    <row r="92" spans="1:9" s="32" customFormat="1" ht="12.95" customHeight="1" thickBot="1">
      <c r="A92" s="29"/>
      <c r="B92" s="80" t="s">
        <v>1</v>
      </c>
      <c r="C92" s="81"/>
      <c r="D92" s="29"/>
      <c r="E92" s="29"/>
      <c r="F92" s="34"/>
      <c r="G92" s="29"/>
      <c r="H92" s="35"/>
      <c r="I92" s="29"/>
    </row>
    <row r="93" spans="1:9" s="32" customFormat="1" ht="13.5" thickBot="1">
      <c r="B93" s="82" t="s">
        <v>387</v>
      </c>
      <c r="C93" s="83">
        <v>0.57389999999999997</v>
      </c>
      <c r="F93" s="37"/>
      <c r="H93" s="38"/>
    </row>
    <row r="94" spans="1:9" s="32" customFormat="1">
      <c r="B94" s="79" t="s">
        <v>388</v>
      </c>
      <c r="C94" s="79"/>
      <c r="F94" s="37"/>
      <c r="H94" s="38"/>
    </row>
    <row r="95" spans="1:9" s="32" customFormat="1">
      <c r="F95" s="37"/>
      <c r="H95" s="38"/>
    </row>
    <row r="96" spans="1:9" s="32" customFormat="1">
      <c r="F96" s="37"/>
      <c r="H96" s="38"/>
    </row>
    <row r="97" spans="6:8" s="32" customFormat="1">
      <c r="F97" s="37"/>
      <c r="H97" s="38"/>
    </row>
    <row r="98" spans="6:8" s="32" customFormat="1">
      <c r="F98" s="37"/>
      <c r="H98" s="38"/>
    </row>
    <row r="99" spans="6:8" s="32" customFormat="1">
      <c r="F99" s="37"/>
      <c r="H99" s="38"/>
    </row>
    <row r="100" spans="6:8" s="32" customFormat="1">
      <c r="F100" s="37"/>
      <c r="H100" s="38"/>
    </row>
    <row r="101" spans="6:8" s="32" customFormat="1">
      <c r="F101" s="37"/>
      <c r="H101" s="38"/>
    </row>
    <row r="102" spans="6:8" s="32" customFormat="1">
      <c r="F102" s="37"/>
      <c r="H102" s="38"/>
    </row>
    <row r="103" spans="6:8" s="32" customFormat="1">
      <c r="F103" s="37"/>
      <c r="H103" s="38"/>
    </row>
    <row r="104" spans="6:8" s="32" customFormat="1">
      <c r="F104" s="37"/>
      <c r="H104" s="38"/>
    </row>
    <row r="105" spans="6:8" s="32" customFormat="1">
      <c r="F105" s="37"/>
      <c r="H105" s="38"/>
    </row>
    <row r="106" spans="6:8" s="32" customFormat="1">
      <c r="F106" s="37"/>
      <c r="H106" s="38"/>
    </row>
    <row r="107" spans="6:8" s="32" customFormat="1">
      <c r="F107" s="37"/>
      <c r="H107" s="38"/>
    </row>
    <row r="108" spans="6:8" s="32" customFormat="1">
      <c r="F108" s="37"/>
      <c r="H108" s="38"/>
    </row>
    <row r="109" spans="6:8" s="32" customFormat="1">
      <c r="F109" s="37"/>
      <c r="H109" s="38"/>
    </row>
    <row r="110" spans="6:8" s="32" customFormat="1">
      <c r="F110" s="37"/>
      <c r="H110" s="38"/>
    </row>
    <row r="111" spans="6:8" s="32" customFormat="1">
      <c r="F111" s="37"/>
      <c r="H111" s="38"/>
    </row>
    <row r="112" spans="6:8" s="32" customFormat="1">
      <c r="F112" s="37"/>
      <c r="H112" s="38"/>
    </row>
    <row r="113" spans="6:8" s="32" customFormat="1">
      <c r="F113" s="37"/>
      <c r="H113" s="38"/>
    </row>
    <row r="114" spans="6:8" s="32" customFormat="1">
      <c r="F114" s="37"/>
      <c r="H114" s="38"/>
    </row>
    <row r="115" spans="6:8" s="32" customFormat="1">
      <c r="F115" s="37"/>
      <c r="H115" s="38"/>
    </row>
    <row r="116" spans="6:8" s="32" customFormat="1">
      <c r="F116" s="37"/>
      <c r="H116" s="38"/>
    </row>
    <row r="117" spans="6:8" s="32" customFormat="1">
      <c r="F117" s="37"/>
      <c r="H117" s="38"/>
    </row>
    <row r="118" spans="6:8" s="32" customFormat="1">
      <c r="F118" s="37"/>
      <c r="H118" s="38"/>
    </row>
    <row r="119" spans="6:8" s="32" customFormat="1">
      <c r="F119" s="37"/>
      <c r="H119" s="38"/>
    </row>
    <row r="120" spans="6:8" s="32" customFormat="1">
      <c r="F120" s="37"/>
      <c r="H120" s="38"/>
    </row>
    <row r="121" spans="6:8" s="32" customFormat="1">
      <c r="F121" s="37"/>
      <c r="H121" s="38"/>
    </row>
    <row r="122" spans="6:8" s="32" customFormat="1">
      <c r="F122" s="37"/>
      <c r="H122" s="38"/>
    </row>
    <row r="123" spans="6:8" s="32" customFormat="1">
      <c r="F123" s="37"/>
      <c r="H123" s="38"/>
    </row>
    <row r="124" spans="6:8" s="32" customFormat="1">
      <c r="F124" s="37"/>
      <c r="H124" s="38"/>
    </row>
    <row r="125" spans="6:8" s="32" customFormat="1">
      <c r="F125" s="37"/>
      <c r="H125" s="38"/>
    </row>
    <row r="126" spans="6:8" s="32" customFormat="1">
      <c r="F126" s="37"/>
      <c r="H126" s="38"/>
    </row>
    <row r="127" spans="6:8" s="32" customFormat="1">
      <c r="F127" s="37"/>
      <c r="H127" s="38"/>
    </row>
    <row r="128" spans="6:8" s="32" customFormat="1">
      <c r="F128" s="37"/>
      <c r="H128" s="38"/>
    </row>
    <row r="129" spans="6:8" s="32" customFormat="1">
      <c r="F129" s="37"/>
      <c r="H129" s="38"/>
    </row>
    <row r="130" spans="6:8" s="32" customFormat="1">
      <c r="F130" s="37"/>
      <c r="H130" s="38"/>
    </row>
    <row r="131" spans="6:8" s="32" customFormat="1">
      <c r="F131" s="37"/>
      <c r="H131" s="38"/>
    </row>
    <row r="132" spans="6:8" s="32" customFormat="1">
      <c r="F132" s="37"/>
      <c r="H132" s="38"/>
    </row>
    <row r="133" spans="6:8" s="32" customFormat="1">
      <c r="F133" s="37"/>
      <c r="H133" s="38"/>
    </row>
    <row r="134" spans="6:8" s="32" customFormat="1">
      <c r="F134" s="37"/>
      <c r="H134" s="38"/>
    </row>
    <row r="135" spans="6:8" s="32" customFormat="1">
      <c r="F135" s="37"/>
      <c r="H135" s="38"/>
    </row>
    <row r="136" spans="6:8" s="32" customFormat="1">
      <c r="F136" s="37"/>
      <c r="H136" s="38"/>
    </row>
    <row r="137" spans="6:8" s="32" customFormat="1">
      <c r="F137" s="37"/>
      <c r="H137" s="38"/>
    </row>
    <row r="138" spans="6:8" s="32" customFormat="1">
      <c r="F138" s="37"/>
      <c r="H138" s="38"/>
    </row>
    <row r="139" spans="6:8" s="32" customFormat="1">
      <c r="F139" s="37"/>
      <c r="H139" s="38"/>
    </row>
    <row r="140" spans="6:8" s="32" customFormat="1">
      <c r="F140" s="37"/>
      <c r="H140" s="38"/>
    </row>
    <row r="141" spans="6:8" s="32" customFormat="1">
      <c r="F141" s="37"/>
      <c r="H141" s="38"/>
    </row>
    <row r="142" spans="6:8" s="32" customFormat="1">
      <c r="F142" s="37"/>
      <c r="H142" s="38"/>
    </row>
    <row r="143" spans="6:8" s="32" customFormat="1">
      <c r="F143" s="37"/>
      <c r="H143" s="38"/>
    </row>
    <row r="144" spans="6:8" s="32" customFormat="1">
      <c r="F144" s="37"/>
      <c r="H144" s="38"/>
    </row>
    <row r="145" spans="6:8" s="32" customFormat="1">
      <c r="F145" s="37"/>
      <c r="H145" s="38"/>
    </row>
    <row r="146" spans="6:8" s="32" customFormat="1">
      <c r="F146" s="37"/>
      <c r="H146" s="38"/>
    </row>
    <row r="147" spans="6:8" s="32" customFormat="1">
      <c r="F147" s="37"/>
      <c r="H147" s="38"/>
    </row>
    <row r="148" spans="6:8" s="32" customFormat="1">
      <c r="F148" s="37"/>
      <c r="H148" s="38"/>
    </row>
    <row r="149" spans="6:8" s="32" customFormat="1">
      <c r="F149" s="37"/>
      <c r="H149" s="38"/>
    </row>
    <row r="150" spans="6:8" s="32" customFormat="1">
      <c r="F150" s="37"/>
      <c r="H150" s="38"/>
    </row>
    <row r="151" spans="6:8" s="32" customFormat="1">
      <c r="F151" s="37"/>
      <c r="H151" s="38"/>
    </row>
    <row r="152" spans="6:8" s="32" customFormat="1">
      <c r="F152" s="37"/>
      <c r="H152" s="38"/>
    </row>
    <row r="153" spans="6:8" s="32" customFormat="1">
      <c r="F153" s="37"/>
      <c r="H153" s="38"/>
    </row>
    <row r="154" spans="6:8" s="32" customFormat="1">
      <c r="F154" s="37"/>
      <c r="H154" s="38"/>
    </row>
    <row r="155" spans="6:8" s="32" customFormat="1">
      <c r="F155" s="37"/>
      <c r="H155" s="38"/>
    </row>
    <row r="156" spans="6:8" s="32" customFormat="1">
      <c r="F156" s="37"/>
      <c r="H156" s="38"/>
    </row>
    <row r="157" spans="6:8" s="32" customFormat="1">
      <c r="F157" s="37"/>
      <c r="H157" s="38"/>
    </row>
    <row r="158" spans="6:8" s="32" customFormat="1">
      <c r="F158" s="37"/>
      <c r="H158" s="38"/>
    </row>
    <row r="159" spans="6:8" s="32" customFormat="1">
      <c r="F159" s="37"/>
      <c r="H159" s="38"/>
    </row>
    <row r="160" spans="6:8" s="32" customFormat="1">
      <c r="F160" s="37"/>
      <c r="H160" s="38"/>
    </row>
    <row r="161" spans="6:8" s="32" customFormat="1">
      <c r="F161" s="37"/>
      <c r="H161" s="38"/>
    </row>
    <row r="162" spans="6:8" s="32" customFormat="1">
      <c r="F162" s="37"/>
      <c r="H162" s="38"/>
    </row>
    <row r="163" spans="6:8" s="32" customFormat="1">
      <c r="F163" s="37"/>
      <c r="H163" s="38"/>
    </row>
    <row r="164" spans="6:8" s="32" customFormat="1">
      <c r="F164" s="37"/>
      <c r="H164" s="38"/>
    </row>
    <row r="165" spans="6:8" s="32" customFormat="1">
      <c r="F165" s="37"/>
      <c r="H165" s="38"/>
    </row>
    <row r="166" spans="6:8" s="32" customFormat="1">
      <c r="F166" s="37"/>
      <c r="H166" s="38"/>
    </row>
    <row r="167" spans="6:8" s="32" customFormat="1">
      <c r="F167" s="37"/>
      <c r="H167" s="38"/>
    </row>
    <row r="168" spans="6:8" s="32" customFormat="1">
      <c r="F168" s="37"/>
      <c r="H168" s="38"/>
    </row>
    <row r="169" spans="6:8" s="32" customFormat="1">
      <c r="F169" s="37"/>
      <c r="H169" s="38"/>
    </row>
    <row r="170" spans="6:8" s="32" customFormat="1">
      <c r="F170" s="37"/>
      <c r="H170" s="38"/>
    </row>
    <row r="171" spans="6:8" s="32" customFormat="1">
      <c r="F171" s="37"/>
      <c r="H171" s="38"/>
    </row>
    <row r="172" spans="6:8" s="32" customFormat="1">
      <c r="F172" s="37"/>
      <c r="H172" s="38"/>
    </row>
    <row r="173" spans="6:8" s="32" customFormat="1">
      <c r="F173" s="37"/>
      <c r="H173" s="38"/>
    </row>
    <row r="174" spans="6:8" s="32" customFormat="1">
      <c r="F174" s="37"/>
      <c r="H174" s="38"/>
    </row>
    <row r="175" spans="6:8" s="32" customFormat="1">
      <c r="F175" s="37"/>
      <c r="H175" s="38"/>
    </row>
    <row r="176" spans="6:8" s="32" customFormat="1">
      <c r="F176" s="37"/>
      <c r="H176" s="38"/>
    </row>
    <row r="177" spans="6:8" s="32" customFormat="1">
      <c r="F177" s="37"/>
      <c r="H177" s="38"/>
    </row>
    <row r="178" spans="6:8" s="32" customFormat="1">
      <c r="F178" s="37"/>
      <c r="H178" s="38"/>
    </row>
    <row r="179" spans="6:8" s="32" customFormat="1">
      <c r="F179" s="37"/>
      <c r="H179" s="38"/>
    </row>
    <row r="180" spans="6:8" s="32" customFormat="1">
      <c r="F180" s="37"/>
      <c r="H180" s="38"/>
    </row>
    <row r="181" spans="6:8" s="32" customFormat="1">
      <c r="F181" s="37"/>
      <c r="H181" s="38"/>
    </row>
    <row r="182" spans="6:8" s="32" customFormat="1">
      <c r="F182" s="37"/>
      <c r="H182" s="38"/>
    </row>
    <row r="183" spans="6:8" s="32" customFormat="1">
      <c r="F183" s="37"/>
      <c r="H183" s="38"/>
    </row>
    <row r="184" spans="6:8" s="32" customFormat="1">
      <c r="F184" s="37"/>
      <c r="H184" s="38"/>
    </row>
    <row r="185" spans="6:8" s="32" customFormat="1">
      <c r="F185" s="37"/>
      <c r="H185" s="38"/>
    </row>
    <row r="186" spans="6:8" s="32" customFormat="1">
      <c r="F186" s="37"/>
      <c r="H186" s="38"/>
    </row>
    <row r="187" spans="6:8" s="32" customFormat="1">
      <c r="F187" s="37"/>
      <c r="H187" s="38"/>
    </row>
    <row r="188" spans="6:8" s="32" customFormat="1">
      <c r="F188" s="37"/>
      <c r="H188" s="38"/>
    </row>
    <row r="189" spans="6:8" s="32" customFormat="1">
      <c r="F189" s="37"/>
      <c r="H189" s="38"/>
    </row>
    <row r="190" spans="6:8" s="32" customFormat="1">
      <c r="F190" s="37"/>
      <c r="H190" s="38"/>
    </row>
    <row r="191" spans="6:8" s="32" customFormat="1">
      <c r="F191" s="37"/>
      <c r="H191" s="38"/>
    </row>
    <row r="192" spans="6:8" s="32" customFormat="1">
      <c r="F192" s="37"/>
      <c r="H192" s="38"/>
    </row>
    <row r="193" spans="6:8" s="32" customFormat="1">
      <c r="F193" s="37"/>
      <c r="H193" s="38"/>
    </row>
    <row r="194" spans="6:8" s="32" customFormat="1">
      <c r="F194" s="37"/>
      <c r="H194" s="38"/>
    </row>
    <row r="195" spans="6:8" s="32" customFormat="1">
      <c r="F195" s="37"/>
      <c r="H195" s="38"/>
    </row>
    <row r="196" spans="6:8" s="32" customFormat="1">
      <c r="F196" s="37"/>
      <c r="H196" s="38"/>
    </row>
    <row r="197" spans="6:8" s="32" customFormat="1">
      <c r="F197" s="37"/>
      <c r="H197" s="38"/>
    </row>
    <row r="198" spans="6:8" s="32" customFormat="1">
      <c r="F198" s="37"/>
      <c r="H198" s="38"/>
    </row>
    <row r="199" spans="6:8" s="32" customFormat="1">
      <c r="F199" s="37"/>
      <c r="H199" s="38"/>
    </row>
    <row r="200" spans="6:8" s="32" customFormat="1">
      <c r="F200" s="37"/>
      <c r="H200" s="38"/>
    </row>
    <row r="201" spans="6:8" s="32" customFormat="1">
      <c r="F201" s="37"/>
      <c r="H201" s="38"/>
    </row>
    <row r="202" spans="6:8" s="32" customFormat="1">
      <c r="F202" s="37"/>
      <c r="H202" s="38"/>
    </row>
    <row r="203" spans="6:8" s="32" customFormat="1">
      <c r="F203" s="37"/>
      <c r="H203" s="38"/>
    </row>
    <row r="204" spans="6:8" s="32" customFormat="1">
      <c r="F204" s="37"/>
      <c r="H204" s="38"/>
    </row>
    <row r="205" spans="6:8" s="32" customFormat="1">
      <c r="F205" s="37"/>
      <c r="H205" s="38"/>
    </row>
    <row r="206" spans="6:8" s="32" customFormat="1">
      <c r="F206" s="37"/>
      <c r="H206" s="38"/>
    </row>
    <row r="207" spans="6:8" s="32" customFormat="1">
      <c r="F207" s="37"/>
      <c r="H207" s="38"/>
    </row>
    <row r="208" spans="6:8" s="32" customFormat="1">
      <c r="F208" s="37"/>
      <c r="H208" s="38"/>
    </row>
    <row r="209" spans="6:8" s="32" customFormat="1">
      <c r="F209" s="37"/>
      <c r="H209" s="38"/>
    </row>
    <row r="210" spans="6:8" s="32" customFormat="1">
      <c r="F210" s="37"/>
      <c r="H210" s="38"/>
    </row>
    <row r="211" spans="6:8" s="32" customFormat="1">
      <c r="F211" s="37"/>
      <c r="H211" s="38"/>
    </row>
    <row r="212" spans="6:8" s="32" customFormat="1">
      <c r="F212" s="37"/>
      <c r="H212" s="38"/>
    </row>
    <row r="213" spans="6:8" s="32" customFormat="1">
      <c r="F213" s="37"/>
      <c r="H213" s="38"/>
    </row>
    <row r="214" spans="6:8" s="32" customFormat="1">
      <c r="F214" s="37"/>
      <c r="H214" s="38"/>
    </row>
    <row r="215" spans="6:8" s="32" customFormat="1">
      <c r="F215" s="37"/>
      <c r="H215" s="38"/>
    </row>
    <row r="216" spans="6:8" s="32" customFormat="1">
      <c r="F216" s="37"/>
      <c r="H216" s="38"/>
    </row>
    <row r="217" spans="6:8" s="32" customFormat="1">
      <c r="F217" s="37"/>
      <c r="H217" s="38"/>
    </row>
    <row r="218" spans="6:8" s="32" customFormat="1">
      <c r="F218" s="37"/>
      <c r="H218" s="38"/>
    </row>
    <row r="219" spans="6:8" s="32" customFormat="1">
      <c r="F219" s="37"/>
      <c r="H219" s="38"/>
    </row>
    <row r="220" spans="6:8" s="32" customFormat="1">
      <c r="F220" s="37"/>
      <c r="H220" s="38"/>
    </row>
    <row r="221" spans="6:8" s="32" customFormat="1">
      <c r="F221" s="37"/>
      <c r="H221" s="38"/>
    </row>
    <row r="222" spans="6:8" s="32" customFormat="1">
      <c r="F222" s="37"/>
      <c r="H222" s="38"/>
    </row>
    <row r="223" spans="6:8" s="32" customFormat="1">
      <c r="F223" s="37"/>
      <c r="H223" s="38"/>
    </row>
    <row r="224" spans="6:8" s="32" customFormat="1">
      <c r="F224" s="37"/>
      <c r="H224" s="38"/>
    </row>
    <row r="225" spans="6:8" s="32" customFormat="1">
      <c r="F225" s="37"/>
      <c r="H225" s="38"/>
    </row>
    <row r="226" spans="6:8" s="32" customFormat="1">
      <c r="F226" s="37"/>
      <c r="H226" s="38"/>
    </row>
    <row r="227" spans="6:8" s="32" customFormat="1">
      <c r="F227" s="37"/>
      <c r="H227" s="38"/>
    </row>
    <row r="228" spans="6:8" s="32" customFormat="1">
      <c r="F228" s="37"/>
      <c r="H228" s="38"/>
    </row>
    <row r="229" spans="6:8" s="32" customFormat="1">
      <c r="F229" s="37"/>
      <c r="H229" s="38"/>
    </row>
    <row r="230" spans="6:8" s="32" customFormat="1">
      <c r="F230" s="37"/>
      <c r="H230" s="38"/>
    </row>
    <row r="231" spans="6:8" s="32" customFormat="1">
      <c r="F231" s="37"/>
      <c r="H231" s="38"/>
    </row>
    <row r="232" spans="6:8" s="32" customFormat="1">
      <c r="F232" s="37"/>
      <c r="H232" s="38"/>
    </row>
    <row r="233" spans="6:8" s="32" customFormat="1">
      <c r="F233" s="37"/>
      <c r="H233" s="38"/>
    </row>
    <row r="234" spans="6:8" s="32" customFormat="1">
      <c r="F234" s="37"/>
      <c r="H234" s="38"/>
    </row>
    <row r="235" spans="6:8" s="32" customFormat="1">
      <c r="F235" s="37"/>
      <c r="H235" s="38"/>
    </row>
    <row r="236" spans="6:8" s="32" customFormat="1">
      <c r="F236" s="37"/>
      <c r="H236" s="38"/>
    </row>
    <row r="237" spans="6:8" s="32" customFormat="1">
      <c r="F237" s="37"/>
      <c r="H237" s="38"/>
    </row>
    <row r="238" spans="6:8" s="32" customFormat="1">
      <c r="F238" s="37"/>
      <c r="H238" s="38"/>
    </row>
    <row r="239" spans="6:8" s="32" customFormat="1">
      <c r="F239" s="37"/>
      <c r="H239" s="38"/>
    </row>
    <row r="240" spans="6:8" s="32" customFormat="1">
      <c r="F240" s="37"/>
      <c r="H240" s="38"/>
    </row>
    <row r="241" spans="6:8" s="32" customFormat="1">
      <c r="F241" s="37"/>
      <c r="H241" s="38"/>
    </row>
    <row r="242" spans="6:8" s="32" customFormat="1">
      <c r="F242" s="37"/>
      <c r="H242" s="38"/>
    </row>
    <row r="243" spans="6:8" s="32" customFormat="1">
      <c r="F243" s="37"/>
      <c r="H243" s="38"/>
    </row>
    <row r="244" spans="6:8" s="32" customFormat="1">
      <c r="F244" s="37"/>
      <c r="H244" s="38"/>
    </row>
    <row r="245" spans="6:8" s="32" customFormat="1">
      <c r="F245" s="37"/>
      <c r="H245" s="38"/>
    </row>
    <row r="246" spans="6:8" s="32" customFormat="1">
      <c r="F246" s="37"/>
      <c r="H246" s="38"/>
    </row>
    <row r="247" spans="6:8" s="32" customFormat="1">
      <c r="F247" s="37"/>
      <c r="H247" s="38"/>
    </row>
    <row r="248" spans="6:8" s="32" customFormat="1">
      <c r="F248" s="37"/>
      <c r="H248" s="38"/>
    </row>
    <row r="249" spans="6:8" s="32" customFormat="1">
      <c r="F249" s="37"/>
      <c r="H249" s="38"/>
    </row>
    <row r="250" spans="6:8" s="32" customFormat="1">
      <c r="F250" s="37"/>
      <c r="H250" s="38"/>
    </row>
    <row r="251" spans="6:8" s="32" customFormat="1">
      <c r="F251" s="37"/>
      <c r="H251" s="38"/>
    </row>
    <row r="252" spans="6:8" s="32" customFormat="1">
      <c r="F252" s="37"/>
      <c r="H252" s="38"/>
    </row>
    <row r="253" spans="6:8" s="32" customFormat="1">
      <c r="F253" s="37"/>
      <c r="H253" s="38"/>
    </row>
    <row r="254" spans="6:8" s="32" customFormat="1">
      <c r="F254" s="37"/>
      <c r="H254" s="38"/>
    </row>
    <row r="255" spans="6:8" s="32" customFormat="1">
      <c r="F255" s="37"/>
      <c r="H255" s="38"/>
    </row>
    <row r="256" spans="6:8" s="32" customFormat="1">
      <c r="F256" s="37"/>
      <c r="H256" s="38"/>
    </row>
    <row r="257" spans="6:8" s="32" customFormat="1">
      <c r="F257" s="37"/>
      <c r="H257" s="38"/>
    </row>
    <row r="258" spans="6:8" s="32" customFormat="1">
      <c r="F258" s="37"/>
      <c r="H258" s="38"/>
    </row>
    <row r="259" spans="6:8" s="32" customFormat="1">
      <c r="F259" s="37"/>
      <c r="H259" s="38"/>
    </row>
    <row r="260" spans="6:8" s="32" customFormat="1">
      <c r="F260" s="37"/>
      <c r="H260" s="38"/>
    </row>
    <row r="261" spans="6:8" s="32" customFormat="1">
      <c r="F261" s="37"/>
      <c r="H261" s="38"/>
    </row>
    <row r="262" spans="6:8" s="32" customFormat="1">
      <c r="F262" s="37"/>
      <c r="H262" s="38"/>
    </row>
    <row r="263" spans="6:8" s="32" customFormat="1">
      <c r="F263" s="37"/>
      <c r="H263" s="38"/>
    </row>
    <row r="264" spans="6:8" s="32" customFormat="1">
      <c r="F264" s="37"/>
      <c r="H264" s="38"/>
    </row>
    <row r="265" spans="6:8" s="32" customFormat="1">
      <c r="F265" s="37"/>
      <c r="H265" s="38"/>
    </row>
    <row r="266" spans="6:8" s="32" customFormat="1">
      <c r="F266" s="37"/>
      <c r="H266" s="38"/>
    </row>
    <row r="267" spans="6:8" s="32" customFormat="1">
      <c r="F267" s="37"/>
      <c r="H267" s="38"/>
    </row>
    <row r="268" spans="6:8" s="32" customFormat="1">
      <c r="F268" s="37"/>
      <c r="H268" s="38"/>
    </row>
    <row r="269" spans="6:8" s="32" customFormat="1">
      <c r="F269" s="37"/>
      <c r="H269" s="38"/>
    </row>
    <row r="270" spans="6:8" s="32" customFormat="1">
      <c r="F270" s="37"/>
      <c r="H270" s="38"/>
    </row>
    <row r="271" spans="6:8" s="32" customFormat="1">
      <c r="F271" s="37"/>
      <c r="H271" s="38"/>
    </row>
    <row r="272" spans="6:8" s="32" customFormat="1">
      <c r="F272" s="37"/>
      <c r="H272" s="38"/>
    </row>
    <row r="273" spans="6:8" s="32" customFormat="1">
      <c r="F273" s="37"/>
      <c r="H273" s="38"/>
    </row>
    <row r="274" spans="6:8" s="32" customFormat="1">
      <c r="F274" s="37"/>
      <c r="H274" s="38"/>
    </row>
    <row r="275" spans="6:8" s="32" customFormat="1">
      <c r="F275" s="37"/>
      <c r="H275" s="38"/>
    </row>
    <row r="276" spans="6:8" s="32" customFormat="1">
      <c r="F276" s="37"/>
      <c r="H276" s="38"/>
    </row>
    <row r="277" spans="6:8" s="32" customFormat="1">
      <c r="F277" s="37"/>
      <c r="H277" s="38"/>
    </row>
    <row r="278" spans="6:8" s="32" customFormat="1">
      <c r="F278" s="37"/>
      <c r="H278" s="38"/>
    </row>
    <row r="279" spans="6:8" s="32" customFormat="1">
      <c r="F279" s="37"/>
      <c r="H279" s="38"/>
    </row>
    <row r="280" spans="6:8" s="32" customFormat="1">
      <c r="F280" s="37"/>
      <c r="H280" s="38"/>
    </row>
    <row r="281" spans="6:8" s="32" customFormat="1">
      <c r="F281" s="37"/>
      <c r="H281" s="38"/>
    </row>
    <row r="282" spans="6:8" s="32" customFormat="1">
      <c r="F282" s="37"/>
      <c r="H282" s="38"/>
    </row>
    <row r="283" spans="6:8" s="32" customFormat="1">
      <c r="F283" s="37"/>
      <c r="H283" s="38"/>
    </row>
    <row r="284" spans="6:8" s="32" customFormat="1">
      <c r="F284" s="37"/>
      <c r="H284" s="38"/>
    </row>
    <row r="285" spans="6:8" s="32" customFormat="1">
      <c r="F285" s="37"/>
      <c r="H285" s="38"/>
    </row>
    <row r="286" spans="6:8" s="32" customFormat="1">
      <c r="F286" s="37"/>
      <c r="H286" s="38"/>
    </row>
    <row r="287" spans="6:8" s="32" customFormat="1">
      <c r="F287" s="37"/>
      <c r="H287" s="38"/>
    </row>
    <row r="288" spans="6:8" s="32" customFormat="1">
      <c r="F288" s="37"/>
      <c r="H288" s="38"/>
    </row>
    <row r="289" spans="6:8" s="32" customFormat="1">
      <c r="F289" s="37"/>
      <c r="H289" s="38"/>
    </row>
    <row r="290" spans="6:8" s="32" customFormat="1">
      <c r="F290" s="37"/>
      <c r="H290" s="38"/>
    </row>
    <row r="291" spans="6:8" s="32" customFormat="1">
      <c r="F291" s="37"/>
      <c r="H291" s="38"/>
    </row>
    <row r="292" spans="6:8" s="32" customFormat="1">
      <c r="F292" s="37"/>
      <c r="H292" s="38"/>
    </row>
    <row r="293" spans="6:8" s="32" customFormat="1">
      <c r="F293" s="37"/>
      <c r="H293" s="38"/>
    </row>
    <row r="294" spans="6:8" s="32" customFormat="1">
      <c r="F294" s="37"/>
      <c r="H294" s="38"/>
    </row>
    <row r="295" spans="6:8" s="32" customFormat="1">
      <c r="F295" s="37"/>
      <c r="H295" s="38"/>
    </row>
    <row r="296" spans="6:8" s="32" customFormat="1">
      <c r="F296" s="37"/>
      <c r="H296" s="38"/>
    </row>
    <row r="297" spans="6:8" s="32" customFormat="1">
      <c r="F297" s="37"/>
      <c r="H297" s="38"/>
    </row>
    <row r="298" spans="6:8" s="32" customFormat="1">
      <c r="F298" s="37"/>
      <c r="H298" s="38"/>
    </row>
    <row r="299" spans="6:8" s="32" customFormat="1">
      <c r="F299" s="37"/>
      <c r="H299" s="38"/>
    </row>
    <row r="300" spans="6:8" s="32" customFormat="1">
      <c r="F300" s="37"/>
      <c r="H300" s="38"/>
    </row>
    <row r="301" spans="6:8" s="32" customFormat="1">
      <c r="F301" s="37"/>
      <c r="H301" s="38"/>
    </row>
    <row r="302" spans="6:8" s="32" customFormat="1">
      <c r="F302" s="37"/>
      <c r="H302" s="38"/>
    </row>
    <row r="303" spans="6:8" s="32" customFormat="1">
      <c r="F303" s="37"/>
      <c r="H303" s="38"/>
    </row>
    <row r="304" spans="6:8" s="32" customFormat="1">
      <c r="F304" s="37"/>
      <c r="H304" s="38"/>
    </row>
    <row r="305" spans="6:8" s="32" customFormat="1">
      <c r="F305" s="37"/>
      <c r="H305" s="38"/>
    </row>
    <row r="306" spans="6:8" s="32" customFormat="1">
      <c r="F306" s="37"/>
      <c r="H306" s="38"/>
    </row>
    <row r="307" spans="6:8" s="32" customFormat="1">
      <c r="F307" s="37"/>
      <c r="H307" s="38"/>
    </row>
    <row r="308" spans="6:8" s="32" customFormat="1">
      <c r="F308" s="37"/>
      <c r="H308" s="38"/>
    </row>
    <row r="309" spans="6:8" s="32" customFormat="1">
      <c r="F309" s="37"/>
      <c r="H309" s="38"/>
    </row>
    <row r="310" spans="6:8" s="32" customFormat="1">
      <c r="F310" s="37"/>
      <c r="H310" s="38"/>
    </row>
    <row r="311" spans="6:8" s="32" customFormat="1">
      <c r="F311" s="37"/>
      <c r="H311" s="38"/>
    </row>
    <row r="312" spans="6:8" s="32" customFormat="1">
      <c r="F312" s="37"/>
      <c r="H312" s="38"/>
    </row>
    <row r="313" spans="6:8" s="32" customFormat="1">
      <c r="F313" s="37"/>
      <c r="H313" s="38"/>
    </row>
    <row r="314" spans="6:8" s="32" customFormat="1">
      <c r="F314" s="37"/>
      <c r="H314" s="38"/>
    </row>
    <row r="315" spans="6:8" s="32" customFormat="1">
      <c r="F315" s="37"/>
      <c r="H315" s="38"/>
    </row>
    <row r="316" spans="6:8" s="32" customFormat="1">
      <c r="F316" s="37"/>
      <c r="H316" s="38"/>
    </row>
    <row r="317" spans="6:8" s="32" customFormat="1">
      <c r="F317" s="37"/>
      <c r="H317" s="38"/>
    </row>
    <row r="318" spans="6:8" s="32" customFormat="1">
      <c r="F318" s="37"/>
      <c r="H318" s="38"/>
    </row>
    <row r="319" spans="6:8" s="32" customFormat="1">
      <c r="F319" s="37"/>
      <c r="H319" s="38"/>
    </row>
    <row r="320" spans="6:8" s="32" customFormat="1">
      <c r="F320" s="37"/>
      <c r="H320" s="38"/>
    </row>
    <row r="321" spans="6:8" s="32" customFormat="1">
      <c r="F321" s="37"/>
      <c r="H321" s="38"/>
    </row>
    <row r="322" spans="6:8" s="32" customFormat="1">
      <c r="F322" s="37"/>
      <c r="H322" s="38"/>
    </row>
    <row r="323" spans="6:8" s="32" customFormat="1">
      <c r="F323" s="37"/>
      <c r="H323" s="38"/>
    </row>
    <row r="324" spans="6:8" s="32" customFormat="1">
      <c r="F324" s="37"/>
      <c r="H324" s="38"/>
    </row>
    <row r="325" spans="6:8" s="32" customFormat="1">
      <c r="F325" s="37"/>
      <c r="H325" s="38"/>
    </row>
    <row r="326" spans="6:8" s="32" customFormat="1">
      <c r="F326" s="37"/>
      <c r="H326" s="38"/>
    </row>
    <row r="327" spans="6:8" s="32" customFormat="1">
      <c r="F327" s="37"/>
      <c r="H327" s="38"/>
    </row>
    <row r="328" spans="6:8" s="32" customFormat="1">
      <c r="F328" s="37"/>
      <c r="H328" s="38"/>
    </row>
    <row r="329" spans="6:8" s="32" customFormat="1">
      <c r="F329" s="37"/>
      <c r="H329" s="38"/>
    </row>
    <row r="330" spans="6:8" s="32" customFormat="1">
      <c r="F330" s="37"/>
      <c r="H330" s="38"/>
    </row>
    <row r="331" spans="6:8" s="32" customFormat="1">
      <c r="F331" s="37"/>
      <c r="H331" s="38"/>
    </row>
    <row r="332" spans="6:8" s="32" customFormat="1">
      <c r="F332" s="37"/>
      <c r="H332" s="38"/>
    </row>
    <row r="333" spans="6:8" s="32" customFormat="1">
      <c r="F333" s="37"/>
      <c r="H333" s="38"/>
    </row>
    <row r="334" spans="6:8" s="32" customFormat="1">
      <c r="F334" s="37"/>
      <c r="H334" s="38"/>
    </row>
    <row r="335" spans="6:8" s="32" customFormat="1">
      <c r="F335" s="37"/>
      <c r="H335" s="38"/>
    </row>
    <row r="336" spans="6:8" s="32" customFormat="1">
      <c r="F336" s="37"/>
      <c r="H336" s="38"/>
    </row>
    <row r="337" spans="6:8" s="32" customFormat="1">
      <c r="F337" s="37"/>
      <c r="H337" s="38"/>
    </row>
    <row r="338" spans="6:8" s="32" customFormat="1">
      <c r="F338" s="37"/>
      <c r="H338" s="38"/>
    </row>
    <row r="339" spans="6:8" s="32" customFormat="1">
      <c r="F339" s="37"/>
      <c r="H339" s="38"/>
    </row>
    <row r="340" spans="6:8" s="32" customFormat="1">
      <c r="F340" s="37"/>
      <c r="H340" s="38"/>
    </row>
    <row r="341" spans="6:8" s="32" customFormat="1">
      <c r="F341" s="37"/>
      <c r="H341" s="38"/>
    </row>
    <row r="342" spans="6:8" s="32" customFormat="1">
      <c r="F342" s="37"/>
      <c r="H342" s="38"/>
    </row>
    <row r="343" spans="6:8" s="32" customFormat="1">
      <c r="F343" s="37"/>
      <c r="H343" s="38"/>
    </row>
    <row r="344" spans="6:8" s="32" customFormat="1">
      <c r="F344" s="37"/>
      <c r="H344" s="38"/>
    </row>
    <row r="345" spans="6:8" s="32" customFormat="1">
      <c r="F345" s="37"/>
      <c r="H345" s="38"/>
    </row>
    <row r="346" spans="6:8" s="32" customFormat="1">
      <c r="F346" s="37"/>
      <c r="H346" s="38"/>
    </row>
    <row r="347" spans="6:8" s="32" customFormat="1">
      <c r="F347" s="37"/>
      <c r="H347" s="38"/>
    </row>
    <row r="348" spans="6:8" s="32" customFormat="1">
      <c r="F348" s="37"/>
      <c r="H348" s="38"/>
    </row>
    <row r="349" spans="6:8" s="32" customFormat="1">
      <c r="F349" s="37"/>
      <c r="H349" s="38"/>
    </row>
    <row r="350" spans="6:8" s="32" customFormat="1">
      <c r="F350" s="37"/>
      <c r="H350" s="38"/>
    </row>
    <row r="351" spans="6:8" s="32" customFormat="1">
      <c r="F351" s="37"/>
      <c r="H351" s="38"/>
    </row>
    <row r="352" spans="6:8" s="32" customFormat="1">
      <c r="F352" s="37"/>
      <c r="H352" s="38"/>
    </row>
    <row r="353" spans="6:8" s="32" customFormat="1">
      <c r="F353" s="37"/>
      <c r="H353" s="38"/>
    </row>
    <row r="354" spans="6:8" s="32" customFormat="1">
      <c r="F354" s="37"/>
      <c r="H354" s="38"/>
    </row>
    <row r="355" spans="6:8" s="32" customFormat="1">
      <c r="F355" s="37"/>
      <c r="H355" s="38"/>
    </row>
    <row r="356" spans="6:8" s="32" customFormat="1">
      <c r="F356" s="37"/>
      <c r="H356" s="38"/>
    </row>
    <row r="357" spans="6:8" s="32" customFormat="1">
      <c r="F357" s="37"/>
      <c r="H357" s="38"/>
    </row>
    <row r="358" spans="6:8" s="32" customFormat="1">
      <c r="F358" s="37"/>
      <c r="H358" s="38"/>
    </row>
    <row r="359" spans="6:8" s="32" customFormat="1">
      <c r="F359" s="37"/>
      <c r="H359" s="38"/>
    </row>
    <row r="360" spans="6:8" s="32" customFormat="1">
      <c r="F360" s="37"/>
      <c r="H360" s="38"/>
    </row>
    <row r="361" spans="6:8" s="32" customFormat="1">
      <c r="F361" s="37"/>
      <c r="H361" s="38"/>
    </row>
    <row r="362" spans="6:8" s="32" customFormat="1">
      <c r="F362" s="37"/>
      <c r="H362" s="38"/>
    </row>
    <row r="363" spans="6:8" s="32" customFormat="1">
      <c r="F363" s="37"/>
      <c r="H363" s="38"/>
    </row>
    <row r="364" spans="6:8" s="32" customFormat="1">
      <c r="F364" s="37"/>
      <c r="H364" s="38"/>
    </row>
    <row r="365" spans="6:8" s="32" customFormat="1">
      <c r="F365" s="37"/>
      <c r="H365" s="38"/>
    </row>
    <row r="366" spans="6:8" s="32" customFormat="1">
      <c r="F366" s="37"/>
      <c r="H366" s="38"/>
    </row>
    <row r="367" spans="6:8" s="32" customFormat="1">
      <c r="F367" s="37"/>
      <c r="H367" s="38"/>
    </row>
    <row r="368" spans="6:8" s="32" customFormat="1">
      <c r="F368" s="37"/>
      <c r="H368" s="38"/>
    </row>
    <row r="369" spans="6:8" s="32" customFormat="1">
      <c r="F369" s="37"/>
      <c r="H369" s="38"/>
    </row>
    <row r="370" spans="6:8" s="32" customFormat="1">
      <c r="F370" s="37"/>
      <c r="H370" s="38"/>
    </row>
    <row r="371" spans="6:8" s="32" customFormat="1">
      <c r="F371" s="37"/>
      <c r="H371" s="38"/>
    </row>
    <row r="372" spans="6:8" s="32" customFormat="1">
      <c r="F372" s="37"/>
      <c r="H372" s="38"/>
    </row>
    <row r="373" spans="6:8" s="32" customFormat="1">
      <c r="F373" s="37"/>
      <c r="H373" s="38"/>
    </row>
    <row r="374" spans="6:8" s="32" customFormat="1">
      <c r="F374" s="37"/>
      <c r="H374" s="38"/>
    </row>
    <row r="375" spans="6:8" s="32" customFormat="1">
      <c r="F375" s="37"/>
      <c r="H375" s="38"/>
    </row>
    <row r="376" spans="6:8" s="32" customFormat="1">
      <c r="F376" s="37"/>
      <c r="H376" s="38"/>
    </row>
    <row r="377" spans="6:8" s="32" customFormat="1">
      <c r="F377" s="37"/>
      <c r="H377" s="38"/>
    </row>
    <row r="378" spans="6:8" s="32" customFormat="1">
      <c r="F378" s="37"/>
      <c r="H378" s="38"/>
    </row>
    <row r="379" spans="6:8" s="32" customFormat="1">
      <c r="F379" s="37"/>
      <c r="H379" s="38"/>
    </row>
    <row r="380" spans="6:8" s="32" customFormat="1">
      <c r="F380" s="37"/>
      <c r="H380" s="38"/>
    </row>
    <row r="381" spans="6:8" s="32" customFormat="1">
      <c r="F381" s="37"/>
      <c r="H381" s="38"/>
    </row>
    <row r="382" spans="6:8" s="32" customFormat="1">
      <c r="F382" s="37"/>
      <c r="H382" s="38"/>
    </row>
    <row r="383" spans="6:8" s="32" customFormat="1">
      <c r="F383" s="37"/>
      <c r="H383" s="38"/>
    </row>
    <row r="384" spans="6:8" s="32" customFormat="1">
      <c r="F384" s="37"/>
      <c r="H384" s="38"/>
    </row>
    <row r="385" spans="6:8" s="32" customFormat="1">
      <c r="F385" s="37"/>
      <c r="H385" s="38"/>
    </row>
    <row r="386" spans="6:8" s="32" customFormat="1">
      <c r="F386" s="37"/>
      <c r="H386" s="38"/>
    </row>
    <row r="387" spans="6:8" s="32" customFormat="1">
      <c r="F387" s="37"/>
      <c r="H387" s="38"/>
    </row>
    <row r="388" spans="6:8" s="32" customFormat="1">
      <c r="F388" s="37"/>
      <c r="H388" s="38"/>
    </row>
    <row r="389" spans="6:8" s="32" customFormat="1">
      <c r="F389" s="37"/>
      <c r="H389" s="38"/>
    </row>
    <row r="390" spans="6:8" s="32" customFormat="1">
      <c r="F390" s="37"/>
      <c r="H390" s="38"/>
    </row>
    <row r="391" spans="6:8" s="32" customFormat="1">
      <c r="F391" s="37"/>
      <c r="H391" s="38"/>
    </row>
    <row r="392" spans="6:8" s="32" customFormat="1">
      <c r="F392" s="37"/>
      <c r="H392" s="38"/>
    </row>
    <row r="393" spans="6:8" s="32" customFormat="1">
      <c r="F393" s="37"/>
      <c r="H393" s="38"/>
    </row>
    <row r="394" spans="6:8" s="32" customFormat="1">
      <c r="F394" s="37"/>
      <c r="H394" s="38"/>
    </row>
    <row r="395" spans="6:8" s="32" customFormat="1">
      <c r="F395" s="37"/>
      <c r="H395" s="38"/>
    </row>
    <row r="396" spans="6:8" s="32" customFormat="1">
      <c r="F396" s="37"/>
      <c r="H396" s="38"/>
    </row>
    <row r="397" spans="6:8" s="32" customFormat="1">
      <c r="F397" s="37"/>
      <c r="H397" s="38"/>
    </row>
    <row r="398" spans="6:8" s="32" customFormat="1">
      <c r="F398" s="37"/>
      <c r="H398" s="38"/>
    </row>
    <row r="399" spans="6:8" s="32" customFormat="1">
      <c r="F399" s="37"/>
      <c r="H399" s="38"/>
    </row>
    <row r="400" spans="6:8" s="32" customFormat="1">
      <c r="F400" s="37"/>
      <c r="H400" s="38"/>
    </row>
    <row r="401" spans="6:8" s="32" customFormat="1">
      <c r="F401" s="37"/>
      <c r="H401" s="38"/>
    </row>
    <row r="402" spans="6:8" s="32" customFormat="1">
      <c r="F402" s="37"/>
      <c r="H402" s="38"/>
    </row>
    <row r="403" spans="6:8" s="32" customFormat="1">
      <c r="F403" s="37"/>
      <c r="H403" s="38"/>
    </row>
    <row r="404" spans="6:8" s="32" customFormat="1">
      <c r="F404" s="37"/>
      <c r="H404" s="38"/>
    </row>
    <row r="405" spans="6:8" s="32" customFormat="1">
      <c r="F405" s="37"/>
      <c r="H405" s="38"/>
    </row>
    <row r="406" spans="6:8" s="32" customFormat="1">
      <c r="F406" s="37"/>
      <c r="H406" s="38"/>
    </row>
    <row r="407" spans="6:8" s="32" customFormat="1">
      <c r="F407" s="37"/>
      <c r="H407" s="38"/>
    </row>
    <row r="408" spans="6:8" s="32" customFormat="1">
      <c r="F408" s="37"/>
      <c r="H408" s="38"/>
    </row>
    <row r="409" spans="6:8" s="32" customFormat="1">
      <c r="F409" s="37"/>
      <c r="H409" s="38"/>
    </row>
    <row r="410" spans="6:8" s="32" customFormat="1">
      <c r="F410" s="37"/>
      <c r="H410" s="38"/>
    </row>
    <row r="411" spans="6:8" s="32" customFormat="1">
      <c r="F411" s="37"/>
      <c r="H411" s="38"/>
    </row>
    <row r="412" spans="6:8" s="32" customFormat="1">
      <c r="F412" s="37"/>
      <c r="H412" s="38"/>
    </row>
    <row r="413" spans="6:8" s="32" customFormat="1">
      <c r="F413" s="37"/>
      <c r="H413" s="38"/>
    </row>
    <row r="414" spans="6:8" s="32" customFormat="1">
      <c r="F414" s="37"/>
      <c r="H414" s="38"/>
    </row>
    <row r="415" spans="6:8" s="32" customFormat="1">
      <c r="F415" s="37"/>
      <c r="H415" s="38"/>
    </row>
    <row r="416" spans="6:8" s="32" customFormat="1">
      <c r="F416" s="37"/>
      <c r="H416" s="38"/>
    </row>
    <row r="417" spans="6:8" s="32" customFormat="1">
      <c r="F417" s="37"/>
      <c r="H417" s="38"/>
    </row>
    <row r="418" spans="6:8" s="32" customFormat="1">
      <c r="F418" s="37"/>
      <c r="H418" s="38"/>
    </row>
    <row r="419" spans="6:8" s="32" customFormat="1">
      <c r="F419" s="37"/>
      <c r="H419" s="38"/>
    </row>
    <row r="420" spans="6:8" s="32" customFormat="1">
      <c r="F420" s="37"/>
      <c r="H420" s="38"/>
    </row>
    <row r="421" spans="6:8" s="32" customFormat="1">
      <c r="F421" s="37"/>
      <c r="H421" s="38"/>
    </row>
    <row r="422" spans="6:8" s="32" customFormat="1">
      <c r="F422" s="37"/>
      <c r="H422" s="38"/>
    </row>
    <row r="423" spans="6:8" s="32" customFormat="1">
      <c r="F423" s="37"/>
      <c r="H423" s="38"/>
    </row>
    <row r="424" spans="6:8" s="32" customFormat="1">
      <c r="F424" s="37"/>
      <c r="H424" s="38"/>
    </row>
    <row r="425" spans="6:8" s="32" customFormat="1">
      <c r="F425" s="37"/>
      <c r="H425" s="38"/>
    </row>
    <row r="426" spans="6:8" s="32" customFormat="1">
      <c r="F426" s="37"/>
      <c r="H426" s="38"/>
    </row>
    <row r="427" spans="6:8" s="32" customFormat="1">
      <c r="F427" s="37"/>
      <c r="H427" s="38"/>
    </row>
    <row r="428" spans="6:8" s="32" customFormat="1">
      <c r="F428" s="37"/>
      <c r="H428" s="38"/>
    </row>
    <row r="429" spans="6:8" s="32" customFormat="1">
      <c r="F429" s="37"/>
      <c r="H429" s="38"/>
    </row>
    <row r="430" spans="6:8" s="32" customFormat="1">
      <c r="F430" s="37"/>
      <c r="H430" s="38"/>
    </row>
    <row r="431" spans="6:8" s="32" customFormat="1">
      <c r="F431" s="37"/>
      <c r="H431" s="38"/>
    </row>
    <row r="432" spans="6:8" s="32" customFormat="1">
      <c r="F432" s="37"/>
      <c r="H432" s="38"/>
    </row>
    <row r="433" spans="6:8" s="32" customFormat="1">
      <c r="F433" s="37"/>
      <c r="H433" s="38"/>
    </row>
    <row r="434" spans="6:8" s="32" customFormat="1">
      <c r="F434" s="37"/>
      <c r="H434" s="38"/>
    </row>
    <row r="435" spans="6:8" s="32" customFormat="1">
      <c r="F435" s="37"/>
      <c r="H435" s="38"/>
    </row>
    <row r="436" spans="6:8" s="32" customFormat="1">
      <c r="F436" s="37"/>
      <c r="H436" s="38"/>
    </row>
    <row r="437" spans="6:8" s="32" customFormat="1">
      <c r="F437" s="37"/>
      <c r="H437" s="38"/>
    </row>
    <row r="438" spans="6:8" s="32" customFormat="1">
      <c r="F438" s="37"/>
      <c r="H438" s="38"/>
    </row>
    <row r="439" spans="6:8" s="32" customFormat="1">
      <c r="F439" s="37"/>
      <c r="H439" s="38"/>
    </row>
    <row r="440" spans="6:8" s="32" customFormat="1">
      <c r="F440" s="37"/>
      <c r="H440" s="38"/>
    </row>
    <row r="441" spans="6:8" s="32" customFormat="1">
      <c r="F441" s="37"/>
      <c r="H441" s="38"/>
    </row>
    <row r="442" spans="6:8" s="32" customFormat="1">
      <c r="F442" s="37"/>
      <c r="H442" s="38"/>
    </row>
    <row r="443" spans="6:8" s="32" customFormat="1">
      <c r="F443" s="37"/>
      <c r="H443" s="38"/>
    </row>
    <row r="444" spans="6:8" s="32" customFormat="1">
      <c r="F444" s="37"/>
      <c r="H444" s="38"/>
    </row>
    <row r="445" spans="6:8" s="32" customFormat="1">
      <c r="F445" s="37"/>
      <c r="H445" s="38"/>
    </row>
    <row r="446" spans="6:8" s="32" customFormat="1">
      <c r="F446" s="37"/>
      <c r="H446" s="38"/>
    </row>
    <row r="447" spans="6:8" s="32" customFormat="1">
      <c r="F447" s="37"/>
      <c r="H447" s="38"/>
    </row>
    <row r="448" spans="6:8" s="32" customFormat="1">
      <c r="F448" s="37"/>
      <c r="H448" s="38"/>
    </row>
    <row r="449" spans="6:8" s="32" customFormat="1">
      <c r="F449" s="37"/>
      <c r="H449" s="38"/>
    </row>
    <row r="450" spans="6:8" s="32" customFormat="1">
      <c r="F450" s="37"/>
      <c r="H450" s="38"/>
    </row>
    <row r="451" spans="6:8" s="32" customFormat="1">
      <c r="F451" s="37"/>
      <c r="H451" s="38"/>
    </row>
    <row r="452" spans="6:8" s="32" customFormat="1">
      <c r="F452" s="37"/>
      <c r="H452" s="38"/>
    </row>
    <row r="453" spans="6:8" s="32" customFormat="1">
      <c r="F453" s="37"/>
      <c r="H453" s="38"/>
    </row>
    <row r="454" spans="6:8" s="32" customFormat="1">
      <c r="F454" s="37"/>
      <c r="H454" s="38"/>
    </row>
    <row r="455" spans="6:8" s="32" customFormat="1">
      <c r="F455" s="37"/>
      <c r="H455" s="38"/>
    </row>
    <row r="456" spans="6:8" s="32" customFormat="1">
      <c r="F456" s="37"/>
      <c r="H456" s="38"/>
    </row>
    <row r="457" spans="6:8" s="32" customFormat="1">
      <c r="F457" s="37"/>
      <c r="H457" s="38"/>
    </row>
    <row r="458" spans="6:8" s="32" customFormat="1">
      <c r="F458" s="37"/>
      <c r="H458" s="38"/>
    </row>
    <row r="459" spans="6:8" s="32" customFormat="1">
      <c r="F459" s="37"/>
      <c r="H459" s="38"/>
    </row>
    <row r="460" spans="6:8" s="32" customFormat="1">
      <c r="F460" s="37"/>
      <c r="H460" s="38"/>
    </row>
    <row r="461" spans="6:8" s="32" customFormat="1">
      <c r="F461" s="37"/>
      <c r="H461" s="38"/>
    </row>
    <row r="462" spans="6:8" s="32" customFormat="1">
      <c r="F462" s="37"/>
      <c r="H462" s="38"/>
    </row>
    <row r="463" spans="6:8" s="32" customFormat="1">
      <c r="F463" s="37"/>
      <c r="H463" s="38"/>
    </row>
    <row r="464" spans="6:8" s="32" customFormat="1">
      <c r="F464" s="37"/>
      <c r="H464" s="38"/>
    </row>
    <row r="465" spans="6:8" s="32" customFormat="1">
      <c r="F465" s="37"/>
      <c r="H465" s="38"/>
    </row>
    <row r="466" spans="6:8" s="32" customFormat="1">
      <c r="F466" s="37"/>
      <c r="H466" s="38"/>
    </row>
    <row r="467" spans="6:8" s="32" customFormat="1">
      <c r="F467" s="37"/>
      <c r="H467" s="38"/>
    </row>
    <row r="468" spans="6:8" s="32" customFormat="1">
      <c r="F468" s="37"/>
      <c r="H468" s="38"/>
    </row>
    <row r="469" spans="6:8" s="32" customFormat="1">
      <c r="F469" s="37"/>
      <c r="H469" s="38"/>
    </row>
    <row r="470" spans="6:8" s="32" customFormat="1">
      <c r="F470" s="37"/>
      <c r="H470" s="38"/>
    </row>
    <row r="471" spans="6:8" s="32" customFormat="1">
      <c r="F471" s="37"/>
      <c r="H471" s="38"/>
    </row>
    <row r="472" spans="6:8" s="32" customFormat="1">
      <c r="F472" s="37"/>
      <c r="H472" s="38"/>
    </row>
    <row r="473" spans="6:8" s="32" customFormat="1">
      <c r="F473" s="37"/>
      <c r="H473" s="38"/>
    </row>
    <row r="474" spans="6:8" s="32" customFormat="1">
      <c r="F474" s="37"/>
      <c r="H474" s="38"/>
    </row>
    <row r="475" spans="6:8" s="32" customFormat="1">
      <c r="F475" s="37"/>
      <c r="H475" s="38"/>
    </row>
    <row r="476" spans="6:8" s="32" customFormat="1">
      <c r="F476" s="37"/>
      <c r="H476" s="38"/>
    </row>
    <row r="477" spans="6:8" s="32" customFormat="1">
      <c r="F477" s="37"/>
      <c r="H477" s="38"/>
    </row>
    <row r="478" spans="6:8" s="32" customFormat="1">
      <c r="F478" s="37"/>
      <c r="H478" s="38"/>
    </row>
    <row r="479" spans="6:8" s="32" customFormat="1">
      <c r="F479" s="37"/>
      <c r="H479" s="38"/>
    </row>
    <row r="480" spans="6:8" s="32" customFormat="1">
      <c r="F480" s="37"/>
      <c r="H480" s="38"/>
    </row>
    <row r="481" spans="6:8" s="32" customFormat="1">
      <c r="F481" s="37"/>
      <c r="H481" s="38"/>
    </row>
    <row r="482" spans="6:8" s="32" customFormat="1">
      <c r="F482" s="37"/>
      <c r="H482" s="38"/>
    </row>
    <row r="483" spans="6:8" s="32" customFormat="1">
      <c r="F483" s="37"/>
      <c r="H483" s="38"/>
    </row>
    <row r="484" spans="6:8" s="32" customFormat="1">
      <c r="F484" s="37"/>
      <c r="H484" s="38"/>
    </row>
    <row r="485" spans="6:8" s="32" customFormat="1">
      <c r="F485" s="37"/>
      <c r="H485" s="38"/>
    </row>
    <row r="486" spans="6:8" s="32" customFormat="1">
      <c r="F486" s="37"/>
      <c r="H486" s="38"/>
    </row>
    <row r="487" spans="6:8" s="32" customFormat="1">
      <c r="F487" s="37"/>
      <c r="H487" s="38"/>
    </row>
    <row r="488" spans="6:8" s="32" customFormat="1">
      <c r="F488" s="37"/>
      <c r="H488" s="38"/>
    </row>
    <row r="489" spans="6:8" s="32" customFormat="1">
      <c r="F489" s="37"/>
      <c r="H489" s="38"/>
    </row>
    <row r="490" spans="6:8" s="32" customFormat="1">
      <c r="F490" s="37"/>
      <c r="H490" s="38"/>
    </row>
    <row r="491" spans="6:8" s="32" customFormat="1">
      <c r="F491" s="37"/>
      <c r="H491" s="38"/>
    </row>
    <row r="492" spans="6:8" s="32" customFormat="1">
      <c r="F492" s="37"/>
      <c r="H492" s="38"/>
    </row>
    <row r="493" spans="6:8" s="32" customFormat="1">
      <c r="F493" s="37"/>
      <c r="H493" s="38"/>
    </row>
    <row r="494" spans="6:8" s="32" customFormat="1">
      <c r="F494" s="37"/>
      <c r="H494" s="38"/>
    </row>
    <row r="495" spans="6:8" s="32" customFormat="1">
      <c r="F495" s="37"/>
      <c r="H495" s="38"/>
    </row>
    <row r="496" spans="6:8" s="32" customFormat="1">
      <c r="F496" s="37"/>
      <c r="H496" s="38"/>
    </row>
    <row r="497" spans="6:8" s="32" customFormat="1">
      <c r="F497" s="37"/>
      <c r="H497" s="38"/>
    </row>
    <row r="498" spans="6:8" s="32" customFormat="1">
      <c r="F498" s="37"/>
      <c r="H498" s="38"/>
    </row>
    <row r="499" spans="6:8" s="32" customFormat="1">
      <c r="F499" s="37"/>
      <c r="H499" s="38"/>
    </row>
    <row r="500" spans="6:8" s="32" customFormat="1">
      <c r="F500" s="37"/>
      <c r="H500" s="38"/>
    </row>
    <row r="501" spans="6:8" s="32" customFormat="1">
      <c r="F501" s="37"/>
      <c r="H501" s="38"/>
    </row>
    <row r="502" spans="6:8" s="32" customFormat="1">
      <c r="F502" s="37"/>
      <c r="H502" s="38"/>
    </row>
    <row r="503" spans="6:8" s="32" customFormat="1">
      <c r="F503" s="37"/>
      <c r="H503" s="38"/>
    </row>
    <row r="504" spans="6:8" s="32" customFormat="1">
      <c r="F504" s="37"/>
      <c r="H504" s="38"/>
    </row>
    <row r="505" spans="6:8" s="32" customFormat="1">
      <c r="F505" s="37"/>
      <c r="H505" s="38"/>
    </row>
    <row r="506" spans="6:8" s="32" customFormat="1">
      <c r="F506" s="37"/>
      <c r="H506" s="38"/>
    </row>
    <row r="507" spans="6:8" s="32" customFormat="1">
      <c r="F507" s="37"/>
      <c r="H507" s="38"/>
    </row>
    <row r="508" spans="6:8" s="32" customFormat="1">
      <c r="F508" s="37"/>
      <c r="H508" s="38"/>
    </row>
    <row r="509" spans="6:8" s="32" customFormat="1">
      <c r="F509" s="37"/>
      <c r="H509" s="38"/>
    </row>
    <row r="510" spans="6:8" s="32" customFormat="1">
      <c r="F510" s="37"/>
      <c r="H510" s="38"/>
    </row>
    <row r="511" spans="6:8" s="32" customFormat="1">
      <c r="F511" s="37"/>
      <c r="H511" s="38"/>
    </row>
    <row r="512" spans="6:8" s="32" customFormat="1">
      <c r="F512" s="37"/>
      <c r="H512" s="38"/>
    </row>
    <row r="513" spans="6:8" s="32" customFormat="1">
      <c r="F513" s="37"/>
      <c r="H513" s="38"/>
    </row>
    <row r="514" spans="6:8" s="32" customFormat="1">
      <c r="F514" s="37"/>
      <c r="H514" s="38"/>
    </row>
    <row r="515" spans="6:8" s="32" customFormat="1">
      <c r="F515" s="37"/>
      <c r="H515" s="38"/>
    </row>
    <row r="516" spans="6:8" s="32" customFormat="1">
      <c r="F516" s="37"/>
      <c r="H516" s="38"/>
    </row>
    <row r="517" spans="6:8" s="32" customFormat="1">
      <c r="F517" s="37"/>
      <c r="H517" s="38"/>
    </row>
    <row r="518" spans="6:8" s="32" customFormat="1">
      <c r="F518" s="37"/>
      <c r="H518" s="38"/>
    </row>
    <row r="519" spans="6:8" s="32" customFormat="1">
      <c r="F519" s="37"/>
      <c r="H519" s="38"/>
    </row>
    <row r="520" spans="6:8" s="32" customFormat="1">
      <c r="F520" s="37"/>
      <c r="H520" s="38"/>
    </row>
    <row r="521" spans="6:8" s="32" customFormat="1">
      <c r="F521" s="37"/>
      <c r="H521" s="38"/>
    </row>
    <row r="522" spans="6:8" s="32" customFormat="1">
      <c r="F522" s="37"/>
      <c r="H522" s="38"/>
    </row>
    <row r="523" spans="6:8" s="32" customFormat="1">
      <c r="F523" s="37"/>
      <c r="H523" s="38"/>
    </row>
    <row r="524" spans="6:8" s="32" customFormat="1">
      <c r="F524" s="37"/>
      <c r="H524" s="38"/>
    </row>
    <row r="525" spans="6:8" s="32" customFormat="1">
      <c r="F525" s="37"/>
      <c r="H525" s="38"/>
    </row>
    <row r="526" spans="6:8" s="32" customFormat="1">
      <c r="F526" s="37"/>
      <c r="H526" s="38"/>
    </row>
    <row r="527" spans="6:8" s="32" customFormat="1">
      <c r="F527" s="37"/>
      <c r="H527" s="38"/>
    </row>
    <row r="528" spans="6:8" s="32" customFormat="1">
      <c r="F528" s="37"/>
      <c r="H528" s="38"/>
    </row>
    <row r="529" spans="6:8" s="32" customFormat="1">
      <c r="F529" s="37"/>
      <c r="H529" s="38"/>
    </row>
    <row r="530" spans="6:8" s="32" customFormat="1">
      <c r="F530" s="37"/>
      <c r="H530" s="38"/>
    </row>
    <row r="531" spans="6:8" s="32" customFormat="1">
      <c r="F531" s="37"/>
      <c r="H531" s="38"/>
    </row>
    <row r="532" spans="6:8" s="32" customFormat="1">
      <c r="F532" s="37"/>
      <c r="H532" s="38"/>
    </row>
    <row r="533" spans="6:8" s="32" customFormat="1">
      <c r="F533" s="37"/>
      <c r="H533" s="38"/>
    </row>
    <row r="534" spans="6:8" s="32" customFormat="1">
      <c r="F534" s="37"/>
      <c r="H534" s="38"/>
    </row>
    <row r="535" spans="6:8" s="32" customFormat="1">
      <c r="F535" s="37"/>
      <c r="H535" s="38"/>
    </row>
    <row r="536" spans="6:8" s="32" customFormat="1">
      <c r="F536" s="37"/>
      <c r="H536" s="38"/>
    </row>
    <row r="537" spans="6:8" s="32" customFormat="1">
      <c r="F537" s="37"/>
      <c r="H537" s="38"/>
    </row>
    <row r="538" spans="6:8" s="32" customFormat="1">
      <c r="F538" s="37"/>
      <c r="H538" s="38"/>
    </row>
    <row r="539" spans="6:8" s="32" customFormat="1">
      <c r="F539" s="37"/>
      <c r="H539" s="38"/>
    </row>
    <row r="540" spans="6:8" s="32" customFormat="1">
      <c r="F540" s="37"/>
      <c r="H540" s="38"/>
    </row>
    <row r="541" spans="6:8" s="32" customFormat="1">
      <c r="F541" s="37"/>
      <c r="H541" s="38"/>
    </row>
    <row r="542" spans="6:8" s="32" customFormat="1">
      <c r="F542" s="37"/>
      <c r="H542" s="38"/>
    </row>
    <row r="543" spans="6:8" s="32" customFormat="1">
      <c r="F543" s="37"/>
      <c r="H543" s="38"/>
    </row>
    <row r="544" spans="6:8" s="32" customFormat="1">
      <c r="F544" s="37"/>
      <c r="H544" s="38"/>
    </row>
    <row r="545" spans="6:8" s="32" customFormat="1">
      <c r="F545" s="37"/>
      <c r="H545" s="38"/>
    </row>
    <row r="546" spans="6:8" s="32" customFormat="1">
      <c r="F546" s="37"/>
      <c r="H546" s="38"/>
    </row>
    <row r="547" spans="6:8" s="32" customFormat="1">
      <c r="F547" s="37"/>
      <c r="H547" s="38"/>
    </row>
    <row r="548" spans="6:8" s="32" customFormat="1">
      <c r="F548" s="37"/>
      <c r="H548" s="38"/>
    </row>
    <row r="549" spans="6:8" s="32" customFormat="1">
      <c r="F549" s="37"/>
      <c r="H549" s="38"/>
    </row>
    <row r="550" spans="6:8" s="32" customFormat="1">
      <c r="F550" s="37"/>
      <c r="H550" s="38"/>
    </row>
    <row r="551" spans="6:8" s="32" customFormat="1">
      <c r="F551" s="37"/>
      <c r="H551" s="38"/>
    </row>
    <row r="552" spans="6:8" s="32" customFormat="1">
      <c r="F552" s="37"/>
      <c r="H552" s="38"/>
    </row>
    <row r="553" spans="6:8" s="32" customFormat="1">
      <c r="F553" s="37"/>
      <c r="H553" s="38"/>
    </row>
    <row r="554" spans="6:8" s="32" customFormat="1">
      <c r="F554" s="37"/>
      <c r="H554" s="38"/>
    </row>
    <row r="555" spans="6:8" s="32" customFormat="1">
      <c r="F555" s="37"/>
      <c r="H555" s="38"/>
    </row>
    <row r="556" spans="6:8" s="32" customFormat="1">
      <c r="F556" s="37"/>
      <c r="H556" s="38"/>
    </row>
    <row r="557" spans="6:8" s="32" customFormat="1">
      <c r="F557" s="37"/>
      <c r="H557" s="38"/>
    </row>
    <row r="558" spans="6:8" s="32" customFormat="1">
      <c r="F558" s="37"/>
      <c r="H558" s="38"/>
    </row>
    <row r="559" spans="6:8" s="32" customFormat="1">
      <c r="F559" s="37"/>
      <c r="H559" s="38"/>
    </row>
    <row r="560" spans="6:8" s="32" customFormat="1">
      <c r="F560" s="37"/>
      <c r="H560" s="38"/>
    </row>
    <row r="561" spans="6:8" s="32" customFormat="1">
      <c r="F561" s="37"/>
      <c r="H561" s="38"/>
    </row>
    <row r="562" spans="6:8" s="32" customFormat="1">
      <c r="F562" s="37"/>
      <c r="H562" s="38"/>
    </row>
    <row r="563" spans="6:8" s="32" customFormat="1">
      <c r="F563" s="37"/>
      <c r="H563" s="38"/>
    </row>
    <row r="564" spans="6:8" s="32" customFormat="1">
      <c r="F564" s="37"/>
      <c r="H564" s="38"/>
    </row>
    <row r="565" spans="6:8" s="32" customFormat="1">
      <c r="F565" s="37"/>
      <c r="H565" s="38"/>
    </row>
    <row r="566" spans="6:8" s="32" customFormat="1">
      <c r="F566" s="37"/>
      <c r="H566" s="38"/>
    </row>
    <row r="567" spans="6:8" s="32" customFormat="1">
      <c r="F567" s="37"/>
      <c r="H567" s="38"/>
    </row>
    <row r="568" spans="6:8" s="32" customFormat="1">
      <c r="F568" s="37"/>
      <c r="H568" s="38"/>
    </row>
    <row r="569" spans="6:8" s="32" customFormat="1">
      <c r="F569" s="37"/>
      <c r="H569" s="38"/>
    </row>
    <row r="570" spans="6:8" s="32" customFormat="1">
      <c r="F570" s="37"/>
      <c r="H570" s="38"/>
    </row>
    <row r="571" spans="6:8" s="32" customFormat="1">
      <c r="F571" s="37"/>
      <c r="H571" s="38"/>
    </row>
    <row r="572" spans="6:8" s="32" customFormat="1">
      <c r="F572" s="37"/>
      <c r="H572" s="38"/>
    </row>
    <row r="573" spans="6:8" s="32" customFormat="1">
      <c r="F573" s="37"/>
      <c r="H573" s="38"/>
    </row>
    <row r="574" spans="6:8" s="32" customFormat="1">
      <c r="F574" s="37"/>
      <c r="H574" s="38"/>
    </row>
    <row r="575" spans="6:8" s="32" customFormat="1">
      <c r="F575" s="37"/>
      <c r="H575" s="38"/>
    </row>
    <row r="576" spans="6:8" s="32" customFormat="1">
      <c r="F576" s="37"/>
      <c r="H576" s="38"/>
    </row>
    <row r="577" spans="6:8" s="32" customFormat="1">
      <c r="F577" s="37"/>
      <c r="H577" s="38"/>
    </row>
    <row r="578" spans="6:8" s="32" customFormat="1">
      <c r="F578" s="37"/>
      <c r="H578" s="38"/>
    </row>
    <row r="579" spans="6:8" s="32" customFormat="1">
      <c r="F579" s="37"/>
      <c r="H579" s="38"/>
    </row>
    <row r="580" spans="6:8" s="32" customFormat="1">
      <c r="F580" s="37"/>
      <c r="H580" s="38"/>
    </row>
    <row r="581" spans="6:8" s="32" customFormat="1">
      <c r="F581" s="37"/>
      <c r="H581" s="38"/>
    </row>
    <row r="582" spans="6:8" s="32" customFormat="1">
      <c r="F582" s="37"/>
      <c r="H582" s="38"/>
    </row>
    <row r="583" spans="6:8" s="32" customFormat="1">
      <c r="F583" s="37"/>
      <c r="H583" s="38"/>
    </row>
    <row r="584" spans="6:8" s="32" customFormat="1">
      <c r="F584" s="37"/>
      <c r="H584" s="38"/>
    </row>
    <row r="585" spans="6:8" s="32" customFormat="1">
      <c r="F585" s="37"/>
      <c r="H585" s="38"/>
    </row>
    <row r="586" spans="6:8" s="32" customFormat="1">
      <c r="F586" s="37"/>
      <c r="H586" s="38"/>
    </row>
    <row r="587" spans="6:8" s="32" customFormat="1">
      <c r="F587" s="37"/>
      <c r="H587" s="38"/>
    </row>
    <row r="588" spans="6:8" s="32" customFormat="1">
      <c r="F588" s="37"/>
      <c r="H588" s="38"/>
    </row>
    <row r="589" spans="6:8" s="32" customFormat="1">
      <c r="F589" s="37"/>
      <c r="H589" s="38"/>
    </row>
    <row r="590" spans="6:8" s="32" customFormat="1">
      <c r="F590" s="37"/>
      <c r="H590" s="38"/>
    </row>
    <row r="591" spans="6:8" s="32" customFormat="1">
      <c r="F591" s="37"/>
      <c r="H591" s="38"/>
    </row>
    <row r="592" spans="6:8" s="32" customFormat="1">
      <c r="F592" s="37"/>
      <c r="H592" s="38"/>
    </row>
    <row r="593" spans="6:8" s="32" customFormat="1">
      <c r="F593" s="37"/>
      <c r="H593" s="38"/>
    </row>
    <row r="594" spans="6:8" s="32" customFormat="1">
      <c r="F594" s="37"/>
      <c r="H594" s="38"/>
    </row>
    <row r="595" spans="6:8" s="32" customFormat="1">
      <c r="F595" s="37"/>
      <c r="H595" s="38"/>
    </row>
    <row r="596" spans="6:8" s="32" customFormat="1">
      <c r="F596" s="37"/>
      <c r="H596" s="38"/>
    </row>
    <row r="597" spans="6:8" s="32" customFormat="1">
      <c r="F597" s="37"/>
      <c r="H597" s="38"/>
    </row>
    <row r="598" spans="6:8" s="32" customFormat="1">
      <c r="F598" s="37"/>
      <c r="H598" s="38"/>
    </row>
    <row r="599" spans="6:8" s="32" customFormat="1">
      <c r="F599" s="37"/>
      <c r="H599" s="38"/>
    </row>
    <row r="600" spans="6:8" s="32" customFormat="1">
      <c r="F600" s="37"/>
      <c r="H600" s="38"/>
    </row>
    <row r="601" spans="6:8" s="32" customFormat="1">
      <c r="F601" s="37"/>
      <c r="H601" s="38"/>
    </row>
    <row r="602" spans="6:8" s="32" customFormat="1">
      <c r="F602" s="37"/>
      <c r="H602" s="38"/>
    </row>
    <row r="603" spans="6:8" s="32" customFormat="1">
      <c r="F603" s="37"/>
      <c r="H603" s="38"/>
    </row>
    <row r="604" spans="6:8" s="32" customFormat="1">
      <c r="F604" s="37"/>
      <c r="H604" s="38"/>
    </row>
    <row r="605" spans="6:8" s="32" customFormat="1">
      <c r="F605" s="37"/>
      <c r="H605" s="38"/>
    </row>
    <row r="606" spans="6:8" s="32" customFormat="1">
      <c r="F606" s="37"/>
      <c r="H606" s="38"/>
    </row>
    <row r="607" spans="6:8" s="32" customFormat="1">
      <c r="F607" s="37"/>
      <c r="H607" s="38"/>
    </row>
    <row r="608" spans="6:8" s="32" customFormat="1">
      <c r="F608" s="37"/>
      <c r="H608" s="38"/>
    </row>
    <row r="609" spans="6:8" s="32" customFormat="1">
      <c r="F609" s="37"/>
      <c r="H609" s="38"/>
    </row>
    <row r="610" spans="6:8" s="32" customFormat="1">
      <c r="F610" s="37"/>
      <c r="H610" s="38"/>
    </row>
    <row r="611" spans="6:8" s="32" customFormat="1">
      <c r="F611" s="37"/>
      <c r="H611" s="38"/>
    </row>
    <row r="612" spans="6:8" s="32" customFormat="1">
      <c r="F612" s="37"/>
      <c r="H612" s="38"/>
    </row>
    <row r="613" spans="6:8" s="32" customFormat="1">
      <c r="F613" s="37"/>
      <c r="H613" s="38"/>
    </row>
    <row r="614" spans="6:8" s="32" customFormat="1">
      <c r="F614" s="37"/>
      <c r="H614" s="38"/>
    </row>
    <row r="615" spans="6:8" s="32" customFormat="1">
      <c r="F615" s="37"/>
      <c r="H615" s="38"/>
    </row>
    <row r="616" spans="6:8" s="32" customFormat="1">
      <c r="F616" s="37"/>
      <c r="H616" s="38"/>
    </row>
    <row r="617" spans="6:8" s="32" customFormat="1">
      <c r="F617" s="37"/>
      <c r="H617" s="38"/>
    </row>
    <row r="618" spans="6:8" s="32" customFormat="1">
      <c r="F618" s="37"/>
      <c r="H618" s="38"/>
    </row>
    <row r="619" spans="6:8" s="32" customFormat="1">
      <c r="F619" s="37"/>
      <c r="H619" s="38"/>
    </row>
    <row r="620" spans="6:8" s="32" customFormat="1">
      <c r="F620" s="37"/>
      <c r="H620" s="38"/>
    </row>
    <row r="621" spans="6:8" s="32" customFormat="1">
      <c r="F621" s="37"/>
      <c r="H621" s="38"/>
    </row>
    <row r="622" spans="6:8" s="32" customFormat="1">
      <c r="F622" s="37"/>
      <c r="H622" s="38"/>
    </row>
    <row r="623" spans="6:8" s="32" customFormat="1">
      <c r="F623" s="37"/>
      <c r="H623" s="38"/>
    </row>
    <row r="624" spans="6:8" s="32" customFormat="1">
      <c r="F624" s="37"/>
      <c r="H624" s="38"/>
    </row>
    <row r="625" spans="6:8" s="32" customFormat="1">
      <c r="F625" s="37"/>
      <c r="H625" s="38"/>
    </row>
    <row r="626" spans="6:8" s="32" customFormat="1">
      <c r="F626" s="37"/>
      <c r="H626" s="38"/>
    </row>
    <row r="627" spans="6:8" s="32" customFormat="1">
      <c r="F627" s="37"/>
      <c r="H627" s="38"/>
    </row>
    <row r="628" spans="6:8" s="32" customFormat="1">
      <c r="F628" s="37"/>
      <c r="H628" s="38"/>
    </row>
    <row r="629" spans="6:8" s="32" customFormat="1">
      <c r="F629" s="37"/>
      <c r="H629" s="38"/>
    </row>
    <row r="630" spans="6:8" s="32" customFormat="1">
      <c r="F630" s="37"/>
      <c r="H630" s="38"/>
    </row>
    <row r="631" spans="6:8" s="32" customFormat="1">
      <c r="F631" s="37"/>
      <c r="H631" s="38"/>
    </row>
    <row r="632" spans="6:8" s="32" customFormat="1">
      <c r="F632" s="37"/>
      <c r="H632" s="38"/>
    </row>
    <row r="633" spans="6:8" s="32" customFormat="1">
      <c r="F633" s="37"/>
      <c r="H633" s="38"/>
    </row>
    <row r="634" spans="6:8" s="32" customFormat="1">
      <c r="F634" s="37"/>
      <c r="H634" s="38"/>
    </row>
    <row r="635" spans="6:8" s="32" customFormat="1">
      <c r="F635" s="37"/>
      <c r="H635" s="38"/>
    </row>
    <row r="636" spans="6:8" s="32" customFormat="1">
      <c r="F636" s="37"/>
      <c r="H636" s="38"/>
    </row>
    <row r="637" spans="6:8" s="32" customFormat="1">
      <c r="F637" s="37"/>
      <c r="H637" s="38"/>
    </row>
    <row r="638" spans="6:8" s="32" customFormat="1">
      <c r="F638" s="37"/>
      <c r="H638" s="38"/>
    </row>
    <row r="639" spans="6:8" s="32" customFormat="1">
      <c r="F639" s="37"/>
      <c r="H639" s="38"/>
    </row>
    <row r="640" spans="6:8" s="32" customFormat="1">
      <c r="F640" s="37"/>
      <c r="H640" s="38"/>
    </row>
    <row r="641" spans="6:8" s="32" customFormat="1">
      <c r="F641" s="37"/>
      <c r="H641" s="38"/>
    </row>
    <row r="642" spans="6:8" s="32" customFormat="1">
      <c r="F642" s="37"/>
      <c r="H642" s="38"/>
    </row>
    <row r="643" spans="6:8" s="32" customFormat="1">
      <c r="F643" s="37"/>
      <c r="H643" s="38"/>
    </row>
    <row r="644" spans="6:8" s="32" customFormat="1">
      <c r="F644" s="37"/>
      <c r="H644" s="38"/>
    </row>
    <row r="645" spans="6:8" s="32" customFormat="1">
      <c r="F645" s="37"/>
      <c r="H645" s="38"/>
    </row>
    <row r="646" spans="6:8" s="32" customFormat="1">
      <c r="F646" s="37"/>
      <c r="H646" s="38"/>
    </row>
    <row r="647" spans="6:8" s="32" customFormat="1">
      <c r="F647" s="37"/>
      <c r="H647" s="38"/>
    </row>
    <row r="648" spans="6:8" s="32" customFormat="1">
      <c r="F648" s="37"/>
      <c r="H648" s="38"/>
    </row>
    <row r="649" spans="6:8" s="32" customFormat="1">
      <c r="F649" s="37"/>
      <c r="H649" s="38"/>
    </row>
    <row r="650" spans="6:8" s="32" customFormat="1">
      <c r="F650" s="37"/>
      <c r="H650" s="38"/>
    </row>
    <row r="651" spans="6:8" s="32" customFormat="1">
      <c r="F651" s="37"/>
      <c r="H651" s="38"/>
    </row>
    <row r="652" spans="6:8" s="32" customFormat="1">
      <c r="F652" s="37"/>
      <c r="H652" s="38"/>
    </row>
    <row r="653" spans="6:8" s="32" customFormat="1">
      <c r="F653" s="37"/>
      <c r="H653" s="38"/>
    </row>
    <row r="654" spans="6:8" s="32" customFormat="1">
      <c r="F654" s="37"/>
      <c r="H654" s="38"/>
    </row>
    <row r="655" spans="6:8" s="32" customFormat="1">
      <c r="F655" s="37"/>
      <c r="H655" s="38"/>
    </row>
    <row r="656" spans="6:8" s="32" customFormat="1">
      <c r="F656" s="37"/>
      <c r="H656" s="38"/>
    </row>
    <row r="657" spans="6:8" s="32" customFormat="1">
      <c r="F657" s="37"/>
      <c r="H657" s="38"/>
    </row>
    <row r="658" spans="6:8" s="32" customFormat="1">
      <c r="F658" s="37"/>
      <c r="H658" s="38"/>
    </row>
    <row r="659" spans="6:8" s="32" customFormat="1">
      <c r="F659" s="37"/>
      <c r="H659" s="38"/>
    </row>
    <row r="660" spans="6:8" s="32" customFormat="1">
      <c r="F660" s="37"/>
      <c r="H660" s="38"/>
    </row>
    <row r="661" spans="6:8" s="32" customFormat="1">
      <c r="F661" s="37"/>
      <c r="H661" s="38"/>
    </row>
    <row r="662" spans="6:8" s="32" customFormat="1">
      <c r="F662" s="37"/>
      <c r="H662" s="38"/>
    </row>
    <row r="663" spans="6:8" s="32" customFormat="1">
      <c r="F663" s="37"/>
      <c r="H663" s="38"/>
    </row>
    <row r="664" spans="6:8" s="32" customFormat="1">
      <c r="F664" s="37"/>
      <c r="H664" s="38"/>
    </row>
    <row r="665" spans="6:8" s="32" customFormat="1">
      <c r="F665" s="37"/>
      <c r="H665" s="38"/>
    </row>
    <row r="666" spans="6:8" s="32" customFormat="1">
      <c r="F666" s="37"/>
      <c r="H666" s="38"/>
    </row>
    <row r="667" spans="6:8" s="32" customFormat="1">
      <c r="F667" s="37"/>
      <c r="H667" s="38"/>
    </row>
    <row r="668" spans="6:8" s="32" customFormat="1">
      <c r="F668" s="37"/>
      <c r="H668" s="38"/>
    </row>
    <row r="669" spans="6:8" s="32" customFormat="1">
      <c r="F669" s="37"/>
      <c r="H669" s="38"/>
    </row>
    <row r="670" spans="6:8" s="32" customFormat="1">
      <c r="F670" s="37"/>
      <c r="H670" s="38"/>
    </row>
    <row r="671" spans="6:8" s="32" customFormat="1">
      <c r="F671" s="37"/>
      <c r="H671" s="38"/>
    </row>
    <row r="672" spans="6:8" s="32" customFormat="1">
      <c r="F672" s="37"/>
      <c r="H672" s="38"/>
    </row>
    <row r="673" spans="6:8" s="32" customFormat="1">
      <c r="F673" s="37"/>
      <c r="H673" s="38"/>
    </row>
    <row r="674" spans="6:8" s="32" customFormat="1">
      <c r="F674" s="37"/>
      <c r="H674" s="38"/>
    </row>
    <row r="675" spans="6:8" s="32" customFormat="1">
      <c r="F675" s="37"/>
      <c r="H675" s="38"/>
    </row>
    <row r="676" spans="6:8" s="32" customFormat="1">
      <c r="F676" s="37"/>
      <c r="H676" s="38"/>
    </row>
    <row r="677" spans="6:8" s="32" customFormat="1">
      <c r="F677" s="37"/>
      <c r="H677" s="38"/>
    </row>
    <row r="678" spans="6:8" s="32" customFormat="1">
      <c r="F678" s="37"/>
      <c r="H678" s="38"/>
    </row>
    <row r="679" spans="6:8" s="32" customFormat="1">
      <c r="F679" s="37"/>
      <c r="H679" s="38"/>
    </row>
    <row r="680" spans="6:8" s="32" customFormat="1">
      <c r="F680" s="37"/>
      <c r="H680" s="38"/>
    </row>
    <row r="681" spans="6:8" s="32" customFormat="1">
      <c r="F681" s="37"/>
      <c r="H681" s="38"/>
    </row>
    <row r="682" spans="6:8" s="32" customFormat="1">
      <c r="F682" s="37"/>
      <c r="H682" s="38"/>
    </row>
    <row r="683" spans="6:8" s="32" customFormat="1">
      <c r="F683" s="37"/>
      <c r="H683" s="38"/>
    </row>
    <row r="684" spans="6:8" s="32" customFormat="1">
      <c r="F684" s="37"/>
      <c r="H684" s="38"/>
    </row>
    <row r="685" spans="6:8" s="32" customFormat="1">
      <c r="F685" s="37"/>
      <c r="H685" s="38"/>
    </row>
    <row r="686" spans="6:8" s="32" customFormat="1">
      <c r="F686" s="37"/>
      <c r="H686" s="38"/>
    </row>
    <row r="687" spans="6:8" s="32" customFormat="1">
      <c r="F687" s="37"/>
      <c r="H687" s="38"/>
    </row>
    <row r="688" spans="6:8" s="32" customFormat="1">
      <c r="F688" s="37"/>
      <c r="H688" s="38"/>
    </row>
    <row r="689" spans="6:8" s="32" customFormat="1">
      <c r="F689" s="37"/>
      <c r="H689" s="38"/>
    </row>
    <row r="690" spans="6:8" s="32" customFormat="1">
      <c r="F690" s="37"/>
      <c r="H690" s="38"/>
    </row>
    <row r="691" spans="6:8" s="32" customFormat="1">
      <c r="F691" s="37"/>
      <c r="H691" s="38"/>
    </row>
    <row r="692" spans="6:8" s="32" customFormat="1">
      <c r="F692" s="37"/>
      <c r="H692" s="38"/>
    </row>
    <row r="693" spans="6:8" s="32" customFormat="1">
      <c r="F693" s="37"/>
      <c r="H693" s="38"/>
    </row>
    <row r="694" spans="6:8" s="32" customFormat="1">
      <c r="F694" s="37"/>
      <c r="H694" s="38"/>
    </row>
    <row r="695" spans="6:8" s="32" customFormat="1">
      <c r="F695" s="37"/>
      <c r="H695" s="38"/>
    </row>
    <row r="696" spans="6:8" s="32" customFormat="1">
      <c r="F696" s="37"/>
      <c r="H696" s="38"/>
    </row>
    <row r="697" spans="6:8" s="32" customFormat="1">
      <c r="F697" s="37"/>
      <c r="H697" s="38"/>
    </row>
    <row r="698" spans="6:8" s="32" customFormat="1">
      <c r="F698" s="37"/>
      <c r="H698" s="38"/>
    </row>
    <row r="699" spans="6:8" s="32" customFormat="1">
      <c r="F699" s="37"/>
      <c r="H699" s="38"/>
    </row>
    <row r="700" spans="6:8" s="32" customFormat="1">
      <c r="F700" s="37"/>
      <c r="H700" s="38"/>
    </row>
    <row r="701" spans="6:8" s="32" customFormat="1">
      <c r="F701" s="37"/>
      <c r="H701" s="38"/>
    </row>
    <row r="702" spans="6:8" s="32" customFormat="1">
      <c r="F702" s="37"/>
      <c r="H702" s="38"/>
    </row>
    <row r="703" spans="6:8" s="32" customFormat="1">
      <c r="F703" s="37"/>
      <c r="H703" s="38"/>
    </row>
    <row r="704" spans="6:8" s="32" customFormat="1">
      <c r="F704" s="37"/>
      <c r="H704" s="38"/>
    </row>
    <row r="705" spans="6:8" s="32" customFormat="1">
      <c r="F705" s="37"/>
      <c r="H705" s="38"/>
    </row>
    <row r="706" spans="6:8" s="32" customFormat="1">
      <c r="F706" s="37"/>
      <c r="H706" s="38"/>
    </row>
    <row r="707" spans="6:8" s="32" customFormat="1">
      <c r="F707" s="37"/>
      <c r="H707" s="38"/>
    </row>
    <row r="708" spans="6:8" s="32" customFormat="1">
      <c r="F708" s="37"/>
      <c r="H708" s="38"/>
    </row>
    <row r="709" spans="6:8" s="32" customFormat="1">
      <c r="F709" s="37"/>
      <c r="H709" s="38"/>
    </row>
    <row r="710" spans="6:8" s="32" customFormat="1">
      <c r="F710" s="37"/>
      <c r="H710" s="38"/>
    </row>
    <row r="711" spans="6:8" s="32" customFormat="1">
      <c r="F711" s="37"/>
      <c r="H711" s="38"/>
    </row>
    <row r="712" spans="6:8" s="32" customFormat="1">
      <c r="F712" s="37"/>
      <c r="H712" s="38"/>
    </row>
    <row r="713" spans="6:8" s="32" customFormat="1">
      <c r="F713" s="37"/>
      <c r="H713" s="38"/>
    </row>
    <row r="714" spans="6:8" s="32" customFormat="1">
      <c r="F714" s="37"/>
      <c r="H714" s="38"/>
    </row>
    <row r="715" spans="6:8" s="32" customFormat="1">
      <c r="F715" s="37"/>
      <c r="H715" s="38"/>
    </row>
    <row r="716" spans="6:8" s="32" customFormat="1">
      <c r="F716" s="37"/>
      <c r="H716" s="38"/>
    </row>
    <row r="717" spans="6:8" s="32" customFormat="1">
      <c r="F717" s="37"/>
      <c r="H717" s="38"/>
    </row>
    <row r="718" spans="6:8" s="32" customFormat="1">
      <c r="F718" s="37"/>
      <c r="H718" s="38"/>
    </row>
    <row r="719" spans="6:8" s="32" customFormat="1">
      <c r="F719" s="37"/>
      <c r="H719" s="38"/>
    </row>
    <row r="720" spans="6:8" s="32" customFormat="1">
      <c r="F720" s="37"/>
      <c r="H720" s="38"/>
    </row>
    <row r="721" spans="6:8" s="32" customFormat="1">
      <c r="F721" s="37"/>
      <c r="H721" s="38"/>
    </row>
    <row r="722" spans="6:8" s="32" customFormat="1">
      <c r="F722" s="37"/>
      <c r="H722" s="38"/>
    </row>
    <row r="723" spans="6:8" s="32" customFormat="1">
      <c r="F723" s="37"/>
      <c r="H723" s="38"/>
    </row>
    <row r="724" spans="6:8" s="32" customFormat="1">
      <c r="F724" s="37"/>
      <c r="H724" s="38"/>
    </row>
    <row r="725" spans="6:8" s="32" customFormat="1">
      <c r="F725" s="37"/>
      <c r="H725" s="38"/>
    </row>
    <row r="726" spans="6:8" s="32" customFormat="1">
      <c r="F726" s="37"/>
      <c r="H726" s="38"/>
    </row>
    <row r="727" spans="6:8" s="32" customFormat="1">
      <c r="F727" s="37"/>
      <c r="H727" s="38"/>
    </row>
    <row r="728" spans="6:8" s="32" customFormat="1">
      <c r="F728" s="37"/>
      <c r="H728" s="38"/>
    </row>
    <row r="729" spans="6:8" s="32" customFormat="1">
      <c r="F729" s="37"/>
      <c r="H729" s="38"/>
    </row>
    <row r="730" spans="6:8" s="32" customFormat="1">
      <c r="F730" s="37"/>
      <c r="H730" s="38"/>
    </row>
    <row r="731" spans="6:8" s="32" customFormat="1">
      <c r="F731" s="37"/>
      <c r="H731" s="38"/>
    </row>
    <row r="732" spans="6:8" s="32" customFormat="1">
      <c r="F732" s="37"/>
      <c r="H732" s="38"/>
    </row>
    <row r="733" spans="6:8" s="32" customFormat="1">
      <c r="F733" s="37"/>
      <c r="H733" s="38"/>
    </row>
    <row r="734" spans="6:8" s="32" customFormat="1">
      <c r="F734" s="37"/>
      <c r="H734" s="38"/>
    </row>
    <row r="735" spans="6:8" s="32" customFormat="1">
      <c r="F735" s="37"/>
      <c r="H735" s="38"/>
    </row>
    <row r="736" spans="6:8" s="32" customFormat="1">
      <c r="F736" s="37"/>
      <c r="H736" s="38"/>
    </row>
    <row r="737" spans="6:8" s="32" customFormat="1">
      <c r="F737" s="37"/>
      <c r="H737" s="38"/>
    </row>
    <row r="738" spans="6:8" s="32" customFormat="1">
      <c r="F738" s="37"/>
      <c r="H738" s="38"/>
    </row>
    <row r="739" spans="6:8" s="32" customFormat="1">
      <c r="F739" s="37"/>
      <c r="H739" s="38"/>
    </row>
    <row r="740" spans="6:8" s="32" customFormat="1">
      <c r="F740" s="37"/>
      <c r="H740" s="38"/>
    </row>
    <row r="741" spans="6:8" s="32" customFormat="1">
      <c r="F741" s="37"/>
      <c r="H741" s="38"/>
    </row>
    <row r="742" spans="6:8" s="32" customFormat="1">
      <c r="F742" s="37"/>
      <c r="H742" s="38"/>
    </row>
    <row r="743" spans="6:8" s="32" customFormat="1">
      <c r="F743" s="37"/>
      <c r="H743" s="38"/>
    </row>
    <row r="744" spans="6:8" s="32" customFormat="1">
      <c r="F744" s="37"/>
      <c r="H744" s="38"/>
    </row>
    <row r="745" spans="6:8" s="32" customFormat="1">
      <c r="F745" s="37"/>
      <c r="H745" s="38"/>
    </row>
    <row r="746" spans="6:8" s="32" customFormat="1">
      <c r="F746" s="37"/>
      <c r="H746" s="38"/>
    </row>
    <row r="747" spans="6:8" s="32" customFormat="1">
      <c r="F747" s="37"/>
      <c r="H747" s="38"/>
    </row>
    <row r="748" spans="6:8" s="32" customFormat="1">
      <c r="F748" s="37"/>
      <c r="H748" s="38"/>
    </row>
    <row r="749" spans="6:8" s="32" customFormat="1">
      <c r="F749" s="37"/>
      <c r="H749" s="38"/>
    </row>
    <row r="750" spans="6:8" s="32" customFormat="1">
      <c r="F750" s="37"/>
      <c r="H750" s="38"/>
    </row>
    <row r="751" spans="6:8" s="32" customFormat="1">
      <c r="F751" s="37"/>
      <c r="H751" s="38"/>
    </row>
    <row r="752" spans="6:8" s="32" customFormat="1">
      <c r="F752" s="37"/>
      <c r="H752" s="38"/>
    </row>
    <row r="753" spans="6:8" s="32" customFormat="1">
      <c r="F753" s="37"/>
      <c r="H753" s="38"/>
    </row>
    <row r="754" spans="6:8" s="32" customFormat="1">
      <c r="F754" s="37"/>
      <c r="H754" s="38"/>
    </row>
    <row r="755" spans="6:8" s="32" customFormat="1">
      <c r="F755" s="37"/>
      <c r="H755" s="38"/>
    </row>
    <row r="756" spans="6:8" s="32" customFormat="1">
      <c r="F756" s="37"/>
      <c r="H756" s="38"/>
    </row>
    <row r="757" spans="6:8" s="32" customFormat="1">
      <c r="F757" s="37"/>
      <c r="H757" s="38"/>
    </row>
    <row r="758" spans="6:8" s="32" customFormat="1">
      <c r="F758" s="37"/>
      <c r="H758" s="38"/>
    </row>
    <row r="759" spans="6:8" s="32" customFormat="1">
      <c r="F759" s="37"/>
      <c r="H759" s="38"/>
    </row>
    <row r="760" spans="6:8" s="32" customFormat="1">
      <c r="F760" s="37"/>
      <c r="H760" s="38"/>
    </row>
    <row r="761" spans="6:8" s="32" customFormat="1">
      <c r="F761" s="37"/>
      <c r="H761" s="38"/>
    </row>
    <row r="762" spans="6:8" s="32" customFormat="1">
      <c r="F762" s="37"/>
      <c r="H762" s="38"/>
    </row>
    <row r="763" spans="6:8" s="32" customFormat="1">
      <c r="F763" s="37"/>
      <c r="H763" s="38"/>
    </row>
    <row r="764" spans="6:8" s="32" customFormat="1">
      <c r="F764" s="37"/>
      <c r="H764" s="38"/>
    </row>
    <row r="765" spans="6:8" s="32" customFormat="1">
      <c r="F765" s="37"/>
      <c r="H765" s="38"/>
    </row>
    <row r="766" spans="6:8" s="32" customFormat="1">
      <c r="F766" s="37"/>
      <c r="H766" s="38"/>
    </row>
    <row r="767" spans="6:8" s="32" customFormat="1">
      <c r="F767" s="37"/>
      <c r="H767" s="38"/>
    </row>
    <row r="768" spans="6:8" s="32" customFormat="1">
      <c r="F768" s="37"/>
      <c r="H768" s="38"/>
    </row>
    <row r="769" spans="6:8" s="32" customFormat="1">
      <c r="F769" s="37"/>
      <c r="H769" s="38"/>
    </row>
    <row r="770" spans="6:8" s="32" customFormat="1">
      <c r="F770" s="37"/>
      <c r="H770" s="38"/>
    </row>
    <row r="771" spans="6:8" s="32" customFormat="1">
      <c r="F771" s="37"/>
      <c r="H771" s="38"/>
    </row>
    <row r="772" spans="6:8" s="32" customFormat="1">
      <c r="F772" s="37"/>
      <c r="H772" s="38"/>
    </row>
    <row r="773" spans="6:8" s="32" customFormat="1">
      <c r="F773" s="37"/>
      <c r="H773" s="38"/>
    </row>
    <row r="774" spans="6:8" s="32" customFormat="1">
      <c r="F774" s="37"/>
      <c r="H774" s="38"/>
    </row>
    <row r="775" spans="6:8" s="32" customFormat="1">
      <c r="F775" s="37"/>
      <c r="H775" s="38"/>
    </row>
    <row r="776" spans="6:8" s="32" customFormat="1">
      <c r="F776" s="37"/>
      <c r="H776" s="38"/>
    </row>
    <row r="777" spans="6:8" s="32" customFormat="1">
      <c r="F777" s="37"/>
      <c r="H777" s="38"/>
    </row>
    <row r="778" spans="6:8" s="32" customFormat="1">
      <c r="F778" s="37"/>
      <c r="H778" s="38"/>
    </row>
    <row r="779" spans="6:8" s="32" customFormat="1">
      <c r="F779" s="37"/>
      <c r="H779" s="38"/>
    </row>
    <row r="780" spans="6:8" s="32" customFormat="1">
      <c r="F780" s="37"/>
      <c r="H780" s="38"/>
    </row>
    <row r="781" spans="6:8" s="32" customFormat="1">
      <c r="F781" s="37"/>
      <c r="H781" s="38"/>
    </row>
    <row r="782" spans="6:8" s="32" customFormat="1">
      <c r="F782" s="37"/>
      <c r="H782" s="38"/>
    </row>
    <row r="783" spans="6:8" s="32" customFormat="1">
      <c r="F783" s="37"/>
      <c r="H783" s="38"/>
    </row>
    <row r="784" spans="6:8" s="32" customFormat="1">
      <c r="F784" s="37"/>
      <c r="H784" s="38"/>
    </row>
    <row r="785" spans="6:8" s="32" customFormat="1">
      <c r="F785" s="37"/>
      <c r="H785" s="38"/>
    </row>
    <row r="786" spans="6:8" s="32" customFormat="1">
      <c r="F786" s="37"/>
      <c r="H786" s="38"/>
    </row>
    <row r="787" spans="6:8" s="32" customFormat="1">
      <c r="F787" s="37"/>
      <c r="H787" s="38"/>
    </row>
    <row r="788" spans="6:8" s="32" customFormat="1">
      <c r="F788" s="37"/>
      <c r="H788" s="38"/>
    </row>
    <row r="789" spans="6:8" s="32" customFormat="1">
      <c r="F789" s="37"/>
      <c r="H789" s="38"/>
    </row>
    <row r="790" spans="6:8" s="32" customFormat="1">
      <c r="F790" s="37"/>
      <c r="H790" s="38"/>
    </row>
    <row r="791" spans="6:8" s="32" customFormat="1">
      <c r="F791" s="37"/>
      <c r="H791" s="38"/>
    </row>
    <row r="792" spans="6:8" s="32" customFormat="1">
      <c r="F792" s="37"/>
      <c r="H792" s="38"/>
    </row>
    <row r="793" spans="6:8" s="32" customFormat="1">
      <c r="F793" s="37"/>
      <c r="H793" s="38"/>
    </row>
    <row r="794" spans="6:8" s="32" customFormat="1">
      <c r="F794" s="37"/>
      <c r="H794" s="38"/>
    </row>
    <row r="795" spans="6:8" s="32" customFormat="1">
      <c r="F795" s="37"/>
      <c r="H795" s="38"/>
    </row>
    <row r="796" spans="6:8" s="32" customFormat="1">
      <c r="F796" s="37"/>
      <c r="H796" s="38"/>
    </row>
    <row r="797" spans="6:8" s="32" customFormat="1">
      <c r="F797" s="37"/>
      <c r="H797" s="38"/>
    </row>
    <row r="798" spans="6:8" s="32" customFormat="1">
      <c r="F798" s="37"/>
      <c r="H798" s="38"/>
    </row>
    <row r="799" spans="6:8" s="32" customFormat="1">
      <c r="F799" s="37"/>
      <c r="H799" s="38"/>
    </row>
    <row r="800" spans="6:8" s="32" customFormat="1">
      <c r="F800" s="37"/>
      <c r="H800" s="38"/>
    </row>
    <row r="801" spans="6:8" s="32" customFormat="1">
      <c r="F801" s="37"/>
      <c r="H801" s="38"/>
    </row>
    <row r="802" spans="6:8" s="32" customFormat="1">
      <c r="F802" s="37"/>
      <c r="H802" s="38"/>
    </row>
    <row r="803" spans="6:8" s="32" customFormat="1">
      <c r="F803" s="37"/>
      <c r="H803" s="38"/>
    </row>
    <row r="804" spans="6:8" s="32" customFormat="1">
      <c r="F804" s="37"/>
      <c r="H804" s="38"/>
    </row>
    <row r="805" spans="6:8" s="32" customFormat="1">
      <c r="F805" s="37"/>
      <c r="H805" s="38"/>
    </row>
    <row r="806" spans="6:8" s="32" customFormat="1">
      <c r="F806" s="37"/>
      <c r="H806" s="38"/>
    </row>
    <row r="807" spans="6:8" s="32" customFormat="1">
      <c r="F807" s="37"/>
      <c r="H807" s="38"/>
    </row>
    <row r="808" spans="6:8" s="32" customFormat="1">
      <c r="F808" s="37"/>
      <c r="H808" s="38"/>
    </row>
    <row r="809" spans="6:8" s="32" customFormat="1">
      <c r="F809" s="37"/>
      <c r="H809" s="38"/>
    </row>
    <row r="810" spans="6:8" s="32" customFormat="1">
      <c r="F810" s="37"/>
      <c r="H810" s="38"/>
    </row>
    <row r="811" spans="6:8" s="32" customFormat="1">
      <c r="F811" s="37"/>
      <c r="H811" s="38"/>
    </row>
    <row r="812" spans="6:8" s="32" customFormat="1">
      <c r="F812" s="37"/>
      <c r="H812" s="38"/>
    </row>
    <row r="813" spans="6:8" s="32" customFormat="1">
      <c r="F813" s="37"/>
      <c r="H813" s="38"/>
    </row>
    <row r="814" spans="6:8" s="32" customFormat="1">
      <c r="F814" s="37"/>
      <c r="H814" s="38"/>
    </row>
    <row r="815" spans="6:8" s="32" customFormat="1">
      <c r="F815" s="37"/>
      <c r="H815" s="38"/>
    </row>
    <row r="816" spans="6:8" s="32" customFormat="1">
      <c r="F816" s="37"/>
      <c r="H816" s="38"/>
    </row>
    <row r="817" spans="6:8" s="32" customFormat="1">
      <c r="F817" s="37"/>
      <c r="H817" s="38"/>
    </row>
    <row r="818" spans="6:8" s="32" customFormat="1">
      <c r="F818" s="37"/>
      <c r="H818" s="38"/>
    </row>
    <row r="819" spans="6:8" s="32" customFormat="1">
      <c r="F819" s="37"/>
      <c r="H819" s="38"/>
    </row>
    <row r="820" spans="6:8" s="32" customFormat="1">
      <c r="F820" s="37"/>
      <c r="H820" s="38"/>
    </row>
    <row r="821" spans="6:8" s="32" customFormat="1">
      <c r="F821" s="37"/>
      <c r="H821" s="38"/>
    </row>
    <row r="822" spans="6:8" s="32" customFormat="1">
      <c r="F822" s="37"/>
      <c r="H822" s="38"/>
    </row>
    <row r="823" spans="6:8" s="32" customFormat="1">
      <c r="F823" s="37"/>
      <c r="H823" s="38"/>
    </row>
    <row r="824" spans="6:8" s="32" customFormat="1">
      <c r="F824" s="37"/>
      <c r="H824" s="38"/>
    </row>
    <row r="825" spans="6:8" s="32" customFormat="1">
      <c r="F825" s="37"/>
      <c r="H825" s="38"/>
    </row>
    <row r="826" spans="6:8" s="32" customFormat="1">
      <c r="F826" s="37"/>
      <c r="H826" s="38"/>
    </row>
    <row r="827" spans="6:8" s="32" customFormat="1">
      <c r="F827" s="37"/>
      <c r="H827" s="38"/>
    </row>
    <row r="828" spans="6:8" s="32" customFormat="1">
      <c r="F828" s="37"/>
      <c r="H828" s="38"/>
    </row>
    <row r="829" spans="6:8" s="32" customFormat="1">
      <c r="F829" s="37"/>
      <c r="H829" s="38"/>
    </row>
    <row r="830" spans="6:8" s="32" customFormat="1">
      <c r="F830" s="37"/>
      <c r="H830" s="38"/>
    </row>
    <row r="831" spans="6:8" s="32" customFormat="1">
      <c r="F831" s="37"/>
      <c r="H831" s="38"/>
    </row>
    <row r="832" spans="6:8" s="32" customFormat="1">
      <c r="F832" s="37"/>
      <c r="H832" s="38"/>
    </row>
    <row r="833" spans="6:8" s="32" customFormat="1">
      <c r="F833" s="37"/>
      <c r="H833" s="38"/>
    </row>
    <row r="834" spans="6:8" s="32" customFormat="1">
      <c r="F834" s="37"/>
      <c r="H834" s="38"/>
    </row>
    <row r="835" spans="6:8" s="32" customFormat="1">
      <c r="F835" s="37"/>
      <c r="H835" s="38"/>
    </row>
    <row r="836" spans="6:8" s="32" customFormat="1">
      <c r="F836" s="37"/>
      <c r="H836" s="38"/>
    </row>
    <row r="837" spans="6:8" s="32" customFormat="1">
      <c r="F837" s="37"/>
      <c r="H837" s="38"/>
    </row>
    <row r="838" spans="6:8" s="32" customFormat="1">
      <c r="F838" s="37"/>
      <c r="H838" s="38"/>
    </row>
    <row r="839" spans="6:8" s="32" customFormat="1">
      <c r="F839" s="37"/>
      <c r="H839" s="38"/>
    </row>
    <row r="840" spans="6:8" s="32" customFormat="1">
      <c r="F840" s="37"/>
      <c r="H840" s="38"/>
    </row>
    <row r="841" spans="6:8" s="32" customFormat="1">
      <c r="F841" s="37"/>
      <c r="H841" s="38"/>
    </row>
    <row r="842" spans="6:8" s="32" customFormat="1">
      <c r="F842" s="37"/>
      <c r="H842" s="38"/>
    </row>
    <row r="843" spans="6:8" s="32" customFormat="1">
      <c r="F843" s="37"/>
      <c r="H843" s="38"/>
    </row>
    <row r="844" spans="6:8" s="32" customFormat="1">
      <c r="F844" s="37"/>
      <c r="H844" s="38"/>
    </row>
    <row r="845" spans="6:8" s="32" customFormat="1">
      <c r="F845" s="37"/>
      <c r="H845" s="38"/>
    </row>
    <row r="846" spans="6:8" s="32" customFormat="1">
      <c r="F846" s="37"/>
      <c r="H846" s="38"/>
    </row>
    <row r="847" spans="6:8" s="32" customFormat="1">
      <c r="F847" s="37"/>
      <c r="H847" s="38"/>
    </row>
    <row r="848" spans="6:8" s="32" customFormat="1">
      <c r="F848" s="37"/>
      <c r="H848" s="38"/>
    </row>
    <row r="849" spans="6:8" s="32" customFormat="1">
      <c r="F849" s="37"/>
      <c r="H849" s="38"/>
    </row>
    <row r="850" spans="6:8" s="32" customFormat="1">
      <c r="F850" s="37"/>
      <c r="H850" s="38"/>
    </row>
    <row r="851" spans="6:8" s="32" customFormat="1">
      <c r="F851" s="37"/>
      <c r="H851" s="38"/>
    </row>
    <row r="852" spans="6:8" s="32" customFormat="1">
      <c r="F852" s="37"/>
      <c r="H852" s="38"/>
    </row>
    <row r="853" spans="6:8" s="32" customFormat="1">
      <c r="F853" s="37"/>
      <c r="H853" s="38"/>
    </row>
    <row r="854" spans="6:8" s="32" customFormat="1">
      <c r="F854" s="37"/>
      <c r="H854" s="38"/>
    </row>
    <row r="855" spans="6:8" s="32" customFormat="1">
      <c r="F855" s="37"/>
      <c r="H855" s="38"/>
    </row>
    <row r="856" spans="6:8" s="32" customFormat="1">
      <c r="F856" s="37"/>
      <c r="H856" s="38"/>
    </row>
    <row r="857" spans="6:8" s="32" customFormat="1">
      <c r="F857" s="37"/>
      <c r="H857" s="38"/>
    </row>
    <row r="858" spans="6:8" s="32" customFormat="1">
      <c r="F858" s="37"/>
      <c r="H858" s="38"/>
    </row>
    <row r="859" spans="6:8" s="32" customFormat="1">
      <c r="F859" s="37"/>
      <c r="H859" s="38"/>
    </row>
    <row r="860" spans="6:8" s="32" customFormat="1">
      <c r="F860" s="37"/>
      <c r="H860" s="38"/>
    </row>
    <row r="861" spans="6:8" s="32" customFormat="1">
      <c r="F861" s="37"/>
      <c r="H861" s="38"/>
    </row>
    <row r="862" spans="6:8" s="32" customFormat="1">
      <c r="F862" s="37"/>
      <c r="H862" s="38"/>
    </row>
    <row r="863" spans="6:8" s="32" customFormat="1">
      <c r="F863" s="37"/>
      <c r="H863" s="38"/>
    </row>
    <row r="864" spans="6:8" s="32" customFormat="1">
      <c r="F864" s="37"/>
      <c r="H864" s="38"/>
    </row>
    <row r="865" spans="6:8" s="32" customFormat="1">
      <c r="F865" s="37"/>
      <c r="H865" s="38"/>
    </row>
    <row r="866" spans="6:8" s="32" customFormat="1">
      <c r="F866" s="37"/>
      <c r="H866" s="38"/>
    </row>
    <row r="867" spans="6:8" s="32" customFormat="1">
      <c r="F867" s="37"/>
      <c r="H867" s="38"/>
    </row>
    <row r="868" spans="6:8" s="32" customFormat="1">
      <c r="F868" s="37"/>
      <c r="H868" s="38"/>
    </row>
    <row r="869" spans="6:8" s="32" customFormat="1">
      <c r="F869" s="37"/>
      <c r="H869" s="38"/>
    </row>
    <row r="870" spans="6:8" s="32" customFormat="1">
      <c r="F870" s="37"/>
      <c r="H870" s="38"/>
    </row>
    <row r="871" spans="6:8" s="32" customFormat="1">
      <c r="F871" s="37"/>
      <c r="H871" s="38"/>
    </row>
    <row r="872" spans="6:8" s="32" customFormat="1">
      <c r="F872" s="37"/>
      <c r="H872" s="38"/>
    </row>
    <row r="873" spans="6:8" s="32" customFormat="1">
      <c r="F873" s="37"/>
      <c r="H873" s="38"/>
    </row>
    <row r="874" spans="6:8" s="32" customFormat="1">
      <c r="F874" s="37"/>
      <c r="H874" s="38"/>
    </row>
    <row r="875" spans="6:8" s="32" customFormat="1">
      <c r="F875" s="37"/>
      <c r="H875" s="38"/>
    </row>
    <row r="876" spans="6:8" s="32" customFormat="1">
      <c r="F876" s="37"/>
      <c r="H876" s="38"/>
    </row>
    <row r="877" spans="6:8" s="32" customFormat="1">
      <c r="F877" s="37"/>
      <c r="H877" s="38"/>
    </row>
    <row r="878" spans="6:8" s="32" customFormat="1">
      <c r="F878" s="37"/>
      <c r="H878" s="38"/>
    </row>
    <row r="879" spans="6:8" s="32" customFormat="1">
      <c r="F879" s="37"/>
      <c r="H879" s="38"/>
    </row>
    <row r="880" spans="6:8" s="32" customFormat="1">
      <c r="F880" s="37"/>
      <c r="H880" s="38"/>
    </row>
    <row r="881" spans="6:8" s="32" customFormat="1">
      <c r="F881" s="37"/>
      <c r="H881" s="38"/>
    </row>
    <row r="882" spans="6:8" s="32" customFormat="1">
      <c r="F882" s="37"/>
      <c r="H882" s="38"/>
    </row>
    <row r="883" spans="6:8" s="32" customFormat="1">
      <c r="F883" s="37"/>
      <c r="H883" s="38"/>
    </row>
    <row r="884" spans="6:8" s="32" customFormat="1">
      <c r="F884" s="37"/>
      <c r="H884" s="38"/>
    </row>
    <row r="885" spans="6:8" s="32" customFormat="1">
      <c r="F885" s="37"/>
      <c r="H885" s="38"/>
    </row>
    <row r="886" spans="6:8" s="32" customFormat="1">
      <c r="F886" s="37"/>
      <c r="H886" s="38"/>
    </row>
    <row r="887" spans="6:8" s="32" customFormat="1">
      <c r="F887" s="37"/>
      <c r="H887" s="38"/>
    </row>
    <row r="888" spans="6:8" s="32" customFormat="1">
      <c r="F888" s="37"/>
      <c r="H888" s="38"/>
    </row>
    <row r="889" spans="6:8" s="32" customFormat="1">
      <c r="F889" s="37"/>
      <c r="H889" s="38"/>
    </row>
    <row r="890" spans="6:8" s="32" customFormat="1">
      <c r="F890" s="37"/>
      <c r="H890" s="38"/>
    </row>
    <row r="891" spans="6:8" s="32" customFormat="1">
      <c r="F891" s="37"/>
      <c r="H891" s="38"/>
    </row>
    <row r="892" spans="6:8" s="32" customFormat="1">
      <c r="F892" s="37"/>
      <c r="H892" s="38"/>
    </row>
    <row r="893" spans="6:8" s="32" customFormat="1">
      <c r="F893" s="37"/>
      <c r="H893" s="38"/>
    </row>
    <row r="894" spans="6:8" s="32" customFormat="1">
      <c r="F894" s="37"/>
      <c r="H894" s="38"/>
    </row>
    <row r="895" spans="6:8" s="32" customFormat="1">
      <c r="F895" s="37"/>
      <c r="H895" s="38"/>
    </row>
    <row r="896" spans="6:8" s="32" customFormat="1">
      <c r="F896" s="37"/>
      <c r="H896" s="38"/>
    </row>
    <row r="897" spans="6:8" s="32" customFormat="1">
      <c r="F897" s="37"/>
      <c r="H897" s="38"/>
    </row>
    <row r="898" spans="6:8" s="32" customFormat="1">
      <c r="F898" s="37"/>
      <c r="H898" s="38"/>
    </row>
    <row r="899" spans="6:8" s="32" customFormat="1">
      <c r="F899" s="37"/>
      <c r="H899" s="38"/>
    </row>
    <row r="900" spans="6:8" s="32" customFormat="1">
      <c r="F900" s="37"/>
      <c r="H900" s="38"/>
    </row>
    <row r="901" spans="6:8" s="32" customFormat="1">
      <c r="F901" s="37"/>
      <c r="H901" s="38"/>
    </row>
    <row r="902" spans="6:8" s="32" customFormat="1">
      <c r="F902" s="37"/>
      <c r="H902" s="38"/>
    </row>
    <row r="903" spans="6:8" s="32" customFormat="1">
      <c r="F903" s="37"/>
      <c r="H903" s="38"/>
    </row>
    <row r="904" spans="6:8" s="32" customFormat="1">
      <c r="F904" s="37"/>
      <c r="H904" s="38"/>
    </row>
    <row r="905" spans="6:8" s="32" customFormat="1">
      <c r="F905" s="37"/>
      <c r="H905" s="38"/>
    </row>
    <row r="906" spans="6:8" s="32" customFormat="1">
      <c r="F906" s="37"/>
      <c r="H906" s="38"/>
    </row>
    <row r="907" spans="6:8" s="32" customFormat="1">
      <c r="F907" s="37"/>
      <c r="H907" s="38"/>
    </row>
    <row r="908" spans="6:8" s="32" customFormat="1">
      <c r="F908" s="37"/>
      <c r="H908" s="38"/>
    </row>
    <row r="909" spans="6:8" s="32" customFormat="1">
      <c r="F909" s="37"/>
      <c r="H909" s="38"/>
    </row>
    <row r="910" spans="6:8" s="32" customFormat="1">
      <c r="F910" s="37"/>
      <c r="H910" s="38"/>
    </row>
    <row r="911" spans="6:8" s="32" customFormat="1">
      <c r="F911" s="37"/>
      <c r="H911" s="38"/>
    </row>
    <row r="912" spans="6:8" s="32" customFormat="1">
      <c r="F912" s="37"/>
      <c r="H912" s="38"/>
    </row>
    <row r="913" spans="6:8" s="32" customFormat="1">
      <c r="F913" s="37"/>
      <c r="H913" s="38"/>
    </row>
    <row r="914" spans="6:8" s="32" customFormat="1">
      <c r="F914" s="37"/>
      <c r="H914" s="38"/>
    </row>
    <row r="915" spans="6:8" s="32" customFormat="1">
      <c r="F915" s="37"/>
      <c r="H915" s="38"/>
    </row>
    <row r="916" spans="6:8" s="32" customFormat="1">
      <c r="F916" s="37"/>
      <c r="H916" s="38"/>
    </row>
    <row r="917" spans="6:8" s="32" customFormat="1">
      <c r="F917" s="37"/>
      <c r="H917" s="38"/>
    </row>
    <row r="918" spans="6:8" s="32" customFormat="1">
      <c r="F918" s="37"/>
      <c r="H918" s="38"/>
    </row>
    <row r="919" spans="6:8" s="32" customFormat="1">
      <c r="F919" s="37"/>
      <c r="H919" s="38"/>
    </row>
    <row r="920" spans="6:8" s="32" customFormat="1">
      <c r="F920" s="37"/>
      <c r="H920" s="38"/>
    </row>
    <row r="921" spans="6:8" s="32" customFormat="1">
      <c r="F921" s="37"/>
      <c r="H921" s="38"/>
    </row>
    <row r="922" spans="6:8" s="32" customFormat="1">
      <c r="F922" s="37"/>
      <c r="H922" s="38"/>
    </row>
    <row r="923" spans="6:8" s="32" customFormat="1">
      <c r="F923" s="37"/>
      <c r="H923" s="38"/>
    </row>
    <row r="924" spans="6:8" s="32" customFormat="1">
      <c r="F924" s="37"/>
      <c r="H924" s="38"/>
    </row>
    <row r="925" spans="6:8" s="32" customFormat="1">
      <c r="F925" s="37"/>
      <c r="H925" s="38"/>
    </row>
    <row r="926" spans="6:8" s="32" customFormat="1">
      <c r="F926" s="37"/>
      <c r="H926" s="38"/>
    </row>
    <row r="927" spans="6:8" s="32" customFormat="1">
      <c r="F927" s="37"/>
      <c r="H927" s="38"/>
    </row>
    <row r="928" spans="6:8" s="32" customFormat="1">
      <c r="F928" s="37"/>
      <c r="H928" s="38"/>
    </row>
    <row r="929" spans="6:8" s="32" customFormat="1">
      <c r="F929" s="37"/>
      <c r="H929" s="38"/>
    </row>
    <row r="930" spans="6:8" s="32" customFormat="1">
      <c r="F930" s="37"/>
      <c r="H930" s="38"/>
    </row>
    <row r="931" spans="6:8" s="32" customFormat="1">
      <c r="F931" s="37"/>
      <c r="H931" s="38"/>
    </row>
    <row r="932" spans="6:8" s="32" customFormat="1">
      <c r="F932" s="37"/>
      <c r="H932" s="38"/>
    </row>
    <row r="933" spans="6:8" s="32" customFormat="1">
      <c r="F933" s="37"/>
      <c r="H933" s="38"/>
    </row>
    <row r="934" spans="6:8" s="32" customFormat="1">
      <c r="F934" s="37"/>
      <c r="H934" s="38"/>
    </row>
    <row r="935" spans="6:8" s="32" customFormat="1">
      <c r="F935" s="37"/>
      <c r="H935" s="38"/>
    </row>
    <row r="936" spans="6:8" s="32" customFormat="1">
      <c r="F936" s="37"/>
      <c r="H936" s="38"/>
    </row>
    <row r="937" spans="6:8" s="32" customFormat="1">
      <c r="F937" s="37"/>
      <c r="H937" s="38"/>
    </row>
    <row r="938" spans="6:8" s="32" customFormat="1">
      <c r="F938" s="37"/>
      <c r="H938" s="38"/>
    </row>
    <row r="939" spans="6:8" s="32" customFormat="1">
      <c r="F939" s="37"/>
      <c r="H939" s="38"/>
    </row>
    <row r="940" spans="6:8" s="32" customFormat="1">
      <c r="F940" s="37"/>
      <c r="H940" s="38"/>
    </row>
    <row r="941" spans="6:8" s="32" customFormat="1">
      <c r="F941" s="37"/>
      <c r="H941" s="38"/>
    </row>
    <row r="942" spans="6:8" s="32" customFormat="1">
      <c r="F942" s="37"/>
      <c r="H942" s="38"/>
    </row>
    <row r="943" spans="6:8" s="32" customFormat="1">
      <c r="F943" s="37"/>
      <c r="H943" s="38"/>
    </row>
    <row r="944" spans="6:8" s="32" customFormat="1">
      <c r="F944" s="37"/>
      <c r="H944" s="38"/>
    </row>
    <row r="945" spans="6:8" s="32" customFormat="1">
      <c r="F945" s="37"/>
      <c r="H945" s="38"/>
    </row>
    <row r="946" spans="6:8" s="32" customFormat="1">
      <c r="F946" s="37"/>
      <c r="H946" s="38"/>
    </row>
    <row r="947" spans="6:8" s="32" customFormat="1">
      <c r="F947" s="37"/>
      <c r="H947" s="38"/>
    </row>
    <row r="948" spans="6:8" s="32" customFormat="1">
      <c r="F948" s="37"/>
      <c r="H948" s="38"/>
    </row>
    <row r="949" spans="6:8" s="32" customFormat="1">
      <c r="F949" s="37"/>
      <c r="H949" s="38"/>
    </row>
    <row r="950" spans="6:8" s="32" customFormat="1">
      <c r="F950" s="37"/>
      <c r="H950" s="38"/>
    </row>
    <row r="951" spans="6:8" s="32" customFormat="1">
      <c r="F951" s="37"/>
      <c r="H951" s="38"/>
    </row>
    <row r="952" spans="6:8" s="32" customFormat="1">
      <c r="F952" s="37"/>
      <c r="H952" s="38"/>
    </row>
    <row r="953" spans="6:8" s="32" customFormat="1">
      <c r="F953" s="37"/>
      <c r="H953" s="38"/>
    </row>
    <row r="954" spans="6:8" s="32" customFormat="1">
      <c r="F954" s="37"/>
      <c r="H954" s="38"/>
    </row>
    <row r="955" spans="6:8" s="32" customFormat="1">
      <c r="F955" s="37"/>
      <c r="H955" s="38"/>
    </row>
    <row r="956" spans="6:8" s="32" customFormat="1">
      <c r="F956" s="37"/>
      <c r="H956" s="38"/>
    </row>
    <row r="957" spans="6:8" s="32" customFormat="1">
      <c r="F957" s="37"/>
      <c r="H957" s="38"/>
    </row>
    <row r="958" spans="6:8" s="32" customFormat="1">
      <c r="F958" s="37"/>
      <c r="H958" s="38"/>
    </row>
    <row r="959" spans="6:8" s="32" customFormat="1">
      <c r="F959" s="37"/>
      <c r="H959" s="38"/>
    </row>
    <row r="960" spans="6:8" s="32" customFormat="1">
      <c r="F960" s="37"/>
      <c r="H960" s="38"/>
    </row>
    <row r="961" spans="6:8" s="32" customFormat="1">
      <c r="F961" s="37"/>
      <c r="H961" s="38"/>
    </row>
    <row r="962" spans="6:8" s="32" customFormat="1">
      <c r="F962" s="37"/>
      <c r="H962" s="38"/>
    </row>
    <row r="963" spans="6:8" s="32" customFormat="1">
      <c r="F963" s="37"/>
      <c r="H963" s="38"/>
    </row>
    <row r="964" spans="6:8" s="32" customFormat="1">
      <c r="F964" s="37"/>
      <c r="H964" s="38"/>
    </row>
    <row r="965" spans="6:8" s="32" customFormat="1">
      <c r="F965" s="37"/>
      <c r="H965" s="38"/>
    </row>
    <row r="966" spans="6:8" s="32" customFormat="1">
      <c r="F966" s="37"/>
      <c r="H966" s="38"/>
    </row>
    <row r="967" spans="6:8" s="32" customFormat="1">
      <c r="F967" s="37"/>
      <c r="H967" s="38"/>
    </row>
    <row r="968" spans="6:8" s="32" customFormat="1">
      <c r="F968" s="37"/>
      <c r="H968" s="38"/>
    </row>
    <row r="969" spans="6:8" s="32" customFormat="1">
      <c r="F969" s="37"/>
      <c r="H969" s="38"/>
    </row>
    <row r="970" spans="6:8" s="32" customFormat="1">
      <c r="F970" s="37"/>
      <c r="H970" s="38"/>
    </row>
    <row r="971" spans="6:8" s="32" customFormat="1">
      <c r="F971" s="37"/>
      <c r="H971" s="38"/>
    </row>
    <row r="972" spans="6:8" s="32" customFormat="1">
      <c r="F972" s="37"/>
      <c r="H972" s="38"/>
    </row>
    <row r="973" spans="6:8" s="32" customFormat="1">
      <c r="F973" s="37"/>
      <c r="H973" s="38"/>
    </row>
    <row r="974" spans="6:8" s="32" customFormat="1">
      <c r="F974" s="37"/>
      <c r="H974" s="38"/>
    </row>
    <row r="975" spans="6:8" s="32" customFormat="1">
      <c r="F975" s="37"/>
      <c r="H975" s="38"/>
    </row>
    <row r="976" spans="6:8" s="32" customFormat="1">
      <c r="F976" s="37"/>
      <c r="H976" s="38"/>
    </row>
    <row r="977" spans="6:8" s="32" customFormat="1">
      <c r="F977" s="37"/>
      <c r="H977" s="38"/>
    </row>
    <row r="978" spans="6:8" s="32" customFormat="1">
      <c r="F978" s="37"/>
      <c r="H978" s="38"/>
    </row>
    <row r="979" spans="6:8" s="32" customFormat="1">
      <c r="F979" s="37"/>
      <c r="H979" s="38"/>
    </row>
    <row r="980" spans="6:8" s="32" customFormat="1">
      <c r="F980" s="37"/>
      <c r="H980" s="38"/>
    </row>
    <row r="981" spans="6:8" s="32" customFormat="1">
      <c r="F981" s="37"/>
      <c r="H981" s="38"/>
    </row>
    <row r="982" spans="6:8" s="32" customFormat="1">
      <c r="F982" s="37"/>
      <c r="H982" s="38"/>
    </row>
    <row r="983" spans="6:8" s="32" customFormat="1">
      <c r="F983" s="37"/>
      <c r="H983" s="38"/>
    </row>
    <row r="984" spans="6:8" s="32" customFormat="1">
      <c r="F984" s="37"/>
      <c r="H984" s="38"/>
    </row>
    <row r="985" spans="6:8" s="32" customFormat="1">
      <c r="F985" s="37"/>
      <c r="H985" s="38"/>
    </row>
    <row r="986" spans="6:8" s="32" customFormat="1">
      <c r="F986" s="37"/>
      <c r="H986" s="38"/>
    </row>
    <row r="987" spans="6:8" s="32" customFormat="1">
      <c r="F987" s="37"/>
      <c r="H987" s="38"/>
    </row>
    <row r="988" spans="6:8" s="32" customFormat="1">
      <c r="F988" s="37"/>
      <c r="H988" s="38"/>
    </row>
    <row r="989" spans="6:8" s="32" customFormat="1">
      <c r="F989" s="37"/>
      <c r="H989" s="38"/>
    </row>
    <row r="990" spans="6:8" s="32" customFormat="1">
      <c r="F990" s="37"/>
      <c r="H990" s="38"/>
    </row>
    <row r="991" spans="6:8" s="32" customFormat="1">
      <c r="F991" s="37"/>
      <c r="H991" s="38"/>
    </row>
    <row r="992" spans="6:8" s="32" customFormat="1">
      <c r="F992" s="37"/>
      <c r="H992" s="38"/>
    </row>
    <row r="993" spans="6:8" s="32" customFormat="1">
      <c r="F993" s="37"/>
      <c r="H993" s="38"/>
    </row>
    <row r="994" spans="6:8" s="32" customFormat="1">
      <c r="F994" s="37"/>
      <c r="H994" s="38"/>
    </row>
    <row r="995" spans="6:8" s="32" customFormat="1">
      <c r="F995" s="37"/>
      <c r="H995" s="38"/>
    </row>
    <row r="996" spans="6:8" s="32" customFormat="1">
      <c r="F996" s="37"/>
      <c r="H996" s="38"/>
    </row>
    <row r="997" spans="6:8" s="32" customFormat="1">
      <c r="F997" s="37"/>
      <c r="H997" s="38"/>
    </row>
    <row r="998" spans="6:8" s="32" customFormat="1">
      <c r="F998" s="37"/>
      <c r="H998" s="38"/>
    </row>
    <row r="999" spans="6:8" s="32" customFormat="1">
      <c r="F999" s="37"/>
      <c r="H999" s="38"/>
    </row>
    <row r="1000" spans="6:8" s="32" customFormat="1">
      <c r="F1000" s="37"/>
      <c r="H1000" s="38"/>
    </row>
    <row r="1001" spans="6:8" s="32" customFormat="1">
      <c r="F1001" s="37"/>
      <c r="H1001" s="38"/>
    </row>
    <row r="1002" spans="6:8" s="32" customFormat="1">
      <c r="F1002" s="37"/>
      <c r="H1002" s="38"/>
    </row>
    <row r="1003" spans="6:8" s="32" customFormat="1">
      <c r="F1003" s="37"/>
      <c r="H1003" s="38"/>
    </row>
    <row r="1004" spans="6:8" s="32" customFormat="1">
      <c r="F1004" s="37"/>
      <c r="H1004" s="38"/>
    </row>
    <row r="1005" spans="6:8" s="32" customFormat="1">
      <c r="F1005" s="37"/>
      <c r="H1005" s="38"/>
    </row>
    <row r="1006" spans="6:8" s="32" customFormat="1">
      <c r="F1006" s="37"/>
      <c r="H1006" s="38"/>
    </row>
    <row r="1007" spans="6:8" s="32" customFormat="1">
      <c r="F1007" s="37"/>
      <c r="H1007" s="38"/>
    </row>
    <row r="1008" spans="6:8" s="32" customFormat="1">
      <c r="F1008" s="37"/>
      <c r="H1008" s="38"/>
    </row>
    <row r="1009" spans="6:8" s="32" customFormat="1">
      <c r="F1009" s="37"/>
      <c r="H1009" s="38"/>
    </row>
    <row r="1010" spans="6:8" s="32" customFormat="1">
      <c r="F1010" s="37"/>
      <c r="H1010" s="38"/>
    </row>
    <row r="1011" spans="6:8" s="32" customFormat="1">
      <c r="F1011" s="37"/>
      <c r="H1011" s="38"/>
    </row>
    <row r="1012" spans="6:8" s="32" customFormat="1">
      <c r="F1012" s="37"/>
      <c r="H1012" s="38"/>
    </row>
    <row r="1013" spans="6:8" s="32" customFormat="1">
      <c r="F1013" s="37"/>
      <c r="H1013" s="38"/>
    </row>
    <row r="1014" spans="6:8" s="32" customFormat="1">
      <c r="F1014" s="37"/>
      <c r="H1014" s="38"/>
    </row>
    <row r="1015" spans="6:8" s="32" customFormat="1">
      <c r="F1015" s="37"/>
      <c r="H1015" s="38"/>
    </row>
    <row r="1016" spans="6:8" s="32" customFormat="1">
      <c r="F1016" s="37"/>
      <c r="H1016" s="38"/>
    </row>
    <row r="1017" spans="6:8" s="32" customFormat="1">
      <c r="F1017" s="37"/>
      <c r="H1017" s="38"/>
    </row>
    <row r="1018" spans="6:8" s="32" customFormat="1">
      <c r="F1018" s="37"/>
      <c r="H1018" s="38"/>
    </row>
    <row r="1019" spans="6:8" s="32" customFormat="1">
      <c r="F1019" s="37"/>
      <c r="H1019" s="38"/>
    </row>
    <row r="1020" spans="6:8" s="32" customFormat="1">
      <c r="F1020" s="37"/>
      <c r="H1020" s="38"/>
    </row>
    <row r="1021" spans="6:8" s="32" customFormat="1">
      <c r="F1021" s="37"/>
      <c r="H1021" s="38"/>
    </row>
    <row r="1022" spans="6:8" s="32" customFormat="1">
      <c r="F1022" s="37"/>
      <c r="H1022" s="38"/>
    </row>
    <row r="1023" spans="6:8" s="32" customFormat="1">
      <c r="F1023" s="37"/>
      <c r="H1023" s="38"/>
    </row>
    <row r="1024" spans="6:8" s="32" customFormat="1">
      <c r="F1024" s="37"/>
      <c r="H1024" s="38"/>
    </row>
    <row r="1025" spans="6:8" s="32" customFormat="1">
      <c r="F1025" s="37"/>
      <c r="H1025" s="38"/>
    </row>
    <row r="1026" spans="6:8" s="32" customFormat="1">
      <c r="F1026" s="37"/>
      <c r="H1026" s="38"/>
    </row>
    <row r="1027" spans="6:8" s="32" customFormat="1">
      <c r="F1027" s="37"/>
      <c r="H1027" s="38"/>
    </row>
    <row r="1028" spans="6:8" s="32" customFormat="1">
      <c r="F1028" s="37"/>
      <c r="H1028" s="38"/>
    </row>
    <row r="1029" spans="6:8" s="32" customFormat="1">
      <c r="F1029" s="37"/>
      <c r="H1029" s="38"/>
    </row>
    <row r="1030" spans="6:8" s="32" customFormat="1">
      <c r="F1030" s="37"/>
      <c r="H1030" s="38"/>
    </row>
    <row r="1031" spans="6:8" s="32" customFormat="1">
      <c r="F1031" s="37"/>
      <c r="H1031" s="38"/>
    </row>
    <row r="1032" spans="6:8" s="32" customFormat="1">
      <c r="F1032" s="37"/>
      <c r="H1032" s="38"/>
    </row>
    <row r="1033" spans="6:8" s="32" customFormat="1">
      <c r="F1033" s="37"/>
      <c r="H1033" s="38"/>
    </row>
    <row r="1034" spans="6:8" s="32" customFormat="1">
      <c r="F1034" s="37"/>
      <c r="H1034" s="38"/>
    </row>
    <row r="1035" spans="6:8" s="32" customFormat="1">
      <c r="F1035" s="37"/>
      <c r="H1035" s="38"/>
    </row>
    <row r="1036" spans="6:8" s="32" customFormat="1">
      <c r="F1036" s="37"/>
      <c r="H1036" s="38"/>
    </row>
    <row r="1037" spans="6:8" s="32" customFormat="1">
      <c r="F1037" s="37"/>
      <c r="H1037" s="38"/>
    </row>
    <row r="1038" spans="6:8" s="32" customFormat="1">
      <c r="F1038" s="37"/>
      <c r="H1038" s="38"/>
    </row>
    <row r="1039" spans="6:8" s="32" customFormat="1">
      <c r="F1039" s="37"/>
      <c r="H1039" s="38"/>
    </row>
    <row r="1040" spans="6:8" s="32" customFormat="1">
      <c r="F1040" s="37"/>
      <c r="H1040" s="38"/>
    </row>
    <row r="1041" spans="6:8" s="32" customFormat="1">
      <c r="F1041" s="37"/>
      <c r="H1041" s="38"/>
    </row>
    <row r="1042" spans="6:8" s="32" customFormat="1">
      <c r="F1042" s="37"/>
      <c r="H1042" s="38"/>
    </row>
    <row r="1043" spans="6:8" s="32" customFormat="1">
      <c r="F1043" s="37"/>
      <c r="H1043" s="38"/>
    </row>
    <row r="1044" spans="6:8" s="32" customFormat="1">
      <c r="F1044" s="37"/>
      <c r="H1044" s="38"/>
    </row>
    <row r="1045" spans="6:8" s="32" customFormat="1">
      <c r="F1045" s="37"/>
      <c r="H1045" s="38"/>
    </row>
    <row r="1046" spans="6:8" s="32" customFormat="1">
      <c r="F1046" s="37"/>
      <c r="H1046" s="38"/>
    </row>
    <row r="1047" spans="6:8" s="32" customFormat="1">
      <c r="F1047" s="37"/>
      <c r="H1047" s="38"/>
    </row>
    <row r="1048" spans="6:8" s="32" customFormat="1">
      <c r="F1048" s="37"/>
      <c r="H1048" s="38"/>
    </row>
    <row r="1049" spans="6:8" s="32" customFormat="1">
      <c r="F1049" s="37"/>
      <c r="H1049" s="38"/>
    </row>
    <row r="1050" spans="6:8" s="32" customFormat="1">
      <c r="F1050" s="37"/>
      <c r="H1050" s="38"/>
    </row>
    <row r="1051" spans="6:8" s="32" customFormat="1">
      <c r="F1051" s="37"/>
      <c r="H1051" s="38"/>
    </row>
    <row r="1052" spans="6:8" s="32" customFormat="1">
      <c r="F1052" s="37"/>
      <c r="H1052" s="38"/>
    </row>
    <row r="1053" spans="6:8" s="32" customFormat="1">
      <c r="F1053" s="37"/>
      <c r="H1053" s="38"/>
    </row>
    <row r="1054" spans="6:8" s="32" customFormat="1">
      <c r="F1054" s="37"/>
      <c r="H1054" s="38"/>
    </row>
    <row r="1055" spans="6:8" s="32" customFormat="1">
      <c r="F1055" s="37"/>
      <c r="H1055" s="38"/>
    </row>
    <row r="1056" spans="6:8" s="32" customFormat="1">
      <c r="F1056" s="37"/>
      <c r="H1056" s="38"/>
    </row>
    <row r="1057" spans="6:8" s="32" customFormat="1">
      <c r="F1057" s="37"/>
      <c r="H1057" s="38"/>
    </row>
    <row r="1058" spans="6:8" s="32" customFormat="1">
      <c r="F1058" s="37"/>
      <c r="H1058" s="38"/>
    </row>
    <row r="1059" spans="6:8" s="32" customFormat="1">
      <c r="F1059" s="37"/>
      <c r="H1059" s="38"/>
    </row>
    <row r="1060" spans="6:8" s="32" customFormat="1">
      <c r="F1060" s="37"/>
      <c r="H1060" s="38"/>
    </row>
    <row r="1061" spans="6:8" s="32" customFormat="1">
      <c r="F1061" s="37"/>
      <c r="H1061" s="38"/>
    </row>
    <row r="1062" spans="6:8" s="32" customFormat="1">
      <c r="F1062" s="37"/>
      <c r="H1062" s="38"/>
    </row>
    <row r="1063" spans="6:8" s="32" customFormat="1">
      <c r="F1063" s="37"/>
      <c r="H1063" s="38"/>
    </row>
    <row r="1064" spans="6:8" s="32" customFormat="1">
      <c r="F1064" s="37"/>
      <c r="H1064" s="38"/>
    </row>
    <row r="1065" spans="6:8" s="32" customFormat="1">
      <c r="F1065" s="37"/>
      <c r="H1065" s="38"/>
    </row>
    <row r="1066" spans="6:8" s="32" customFormat="1">
      <c r="F1066" s="37"/>
      <c r="H1066" s="38"/>
    </row>
    <row r="1067" spans="6:8" s="32" customFormat="1">
      <c r="F1067" s="37"/>
      <c r="H1067" s="38"/>
    </row>
    <row r="1068" spans="6:8" s="32" customFormat="1">
      <c r="F1068" s="37"/>
      <c r="H1068" s="38"/>
    </row>
    <row r="1069" spans="6:8" s="32" customFormat="1">
      <c r="F1069" s="37"/>
      <c r="H1069" s="38"/>
    </row>
    <row r="1070" spans="6:8" s="32" customFormat="1">
      <c r="F1070" s="37"/>
      <c r="H1070" s="38"/>
    </row>
    <row r="1071" spans="6:8" s="32" customFormat="1">
      <c r="F1071" s="37"/>
      <c r="H1071" s="38"/>
    </row>
    <row r="1072" spans="6:8" s="32" customFormat="1">
      <c r="F1072" s="37"/>
      <c r="H1072" s="38"/>
    </row>
    <row r="1073" spans="6:8" s="32" customFormat="1">
      <c r="F1073" s="37"/>
      <c r="H1073" s="38"/>
    </row>
    <row r="1074" spans="6:8" s="32" customFormat="1">
      <c r="F1074" s="37"/>
      <c r="H1074" s="38"/>
    </row>
    <row r="1075" spans="6:8" s="32" customFormat="1">
      <c r="F1075" s="37"/>
      <c r="H1075" s="38"/>
    </row>
    <row r="1076" spans="6:8" s="32" customFormat="1">
      <c r="F1076" s="37"/>
      <c r="H1076" s="38"/>
    </row>
    <row r="1077" spans="6:8" s="32" customFormat="1">
      <c r="F1077" s="37"/>
      <c r="H1077" s="38"/>
    </row>
    <row r="1078" spans="6:8" s="32" customFormat="1">
      <c r="F1078" s="37"/>
      <c r="H1078" s="38"/>
    </row>
    <row r="1079" spans="6:8" s="32" customFormat="1">
      <c r="F1079" s="37"/>
      <c r="H1079" s="38"/>
    </row>
    <row r="1080" spans="6:8" s="32" customFormat="1">
      <c r="F1080" s="37"/>
      <c r="H1080" s="38"/>
    </row>
    <row r="1081" spans="6:8" s="32" customFormat="1">
      <c r="F1081" s="37"/>
      <c r="H1081" s="38"/>
    </row>
    <row r="1082" spans="6:8" s="32" customFormat="1">
      <c r="F1082" s="37"/>
      <c r="H1082" s="38"/>
    </row>
    <row r="1083" spans="6:8" s="32" customFormat="1">
      <c r="F1083" s="37"/>
      <c r="H1083" s="38"/>
    </row>
    <row r="1084" spans="6:8" s="32" customFormat="1">
      <c r="F1084" s="37"/>
      <c r="H1084" s="38"/>
    </row>
    <row r="1085" spans="6:8" s="32" customFormat="1">
      <c r="F1085" s="37"/>
      <c r="H1085" s="38"/>
    </row>
    <row r="1086" spans="6:8" s="32" customFormat="1">
      <c r="F1086" s="37"/>
      <c r="H1086" s="38"/>
    </row>
    <row r="1087" spans="6:8" s="32" customFormat="1">
      <c r="F1087" s="37"/>
      <c r="H1087" s="38"/>
    </row>
    <row r="1088" spans="6:8" s="32" customFormat="1">
      <c r="F1088" s="37"/>
      <c r="H1088" s="38"/>
    </row>
    <row r="1089" spans="6:8" s="32" customFormat="1">
      <c r="F1089" s="37"/>
      <c r="H1089" s="38"/>
    </row>
    <row r="1090" spans="6:8" s="32" customFormat="1">
      <c r="F1090" s="37"/>
      <c r="H1090" s="38"/>
    </row>
    <row r="1091" spans="6:8" s="32" customFormat="1">
      <c r="F1091" s="37"/>
      <c r="H1091" s="38"/>
    </row>
    <row r="1092" spans="6:8" s="32" customFormat="1">
      <c r="F1092" s="37"/>
      <c r="H1092" s="38"/>
    </row>
    <row r="1093" spans="6:8" s="32" customFormat="1">
      <c r="F1093" s="37"/>
      <c r="H1093" s="38"/>
    </row>
    <row r="1094" spans="6:8" s="32" customFormat="1">
      <c r="F1094" s="37"/>
      <c r="H1094" s="38"/>
    </row>
    <row r="1095" spans="6:8" s="32" customFormat="1">
      <c r="F1095" s="37"/>
      <c r="H1095" s="38"/>
    </row>
    <row r="1096" spans="6:8" s="32" customFormat="1">
      <c r="F1096" s="37"/>
      <c r="H1096" s="38"/>
    </row>
    <row r="1097" spans="6:8" s="32" customFormat="1">
      <c r="F1097" s="37"/>
      <c r="H1097" s="38"/>
    </row>
    <row r="1098" spans="6:8" s="32" customFormat="1">
      <c r="F1098" s="37"/>
      <c r="H1098" s="38"/>
    </row>
    <row r="1099" spans="6:8" s="32" customFormat="1">
      <c r="F1099" s="37"/>
      <c r="H1099" s="38"/>
    </row>
    <row r="1100" spans="6:8" s="32" customFormat="1">
      <c r="F1100" s="37"/>
      <c r="H1100" s="38"/>
    </row>
    <row r="1101" spans="6:8" s="32" customFormat="1">
      <c r="F1101" s="37"/>
      <c r="H1101" s="38"/>
    </row>
    <row r="1102" spans="6:8" s="32" customFormat="1">
      <c r="F1102" s="37"/>
      <c r="H1102" s="38"/>
    </row>
    <row r="1103" spans="6:8" s="32" customFormat="1">
      <c r="F1103" s="37"/>
      <c r="H1103" s="38"/>
    </row>
    <row r="1104" spans="6:8" s="32" customFormat="1">
      <c r="F1104" s="37"/>
      <c r="H1104" s="38"/>
    </row>
    <row r="1105" spans="6:8" s="32" customFormat="1">
      <c r="F1105" s="37"/>
      <c r="H1105" s="38"/>
    </row>
    <row r="1106" spans="6:8" s="32" customFormat="1">
      <c r="F1106" s="37"/>
      <c r="H1106" s="38"/>
    </row>
    <row r="1107" spans="6:8" s="32" customFormat="1">
      <c r="F1107" s="37"/>
      <c r="H1107" s="38"/>
    </row>
    <row r="1108" spans="6:8" s="32" customFormat="1">
      <c r="F1108" s="37"/>
      <c r="H1108" s="38"/>
    </row>
    <row r="1109" spans="6:8" s="32" customFormat="1">
      <c r="F1109" s="37"/>
      <c r="H1109" s="38"/>
    </row>
    <row r="1110" spans="6:8" s="32" customFormat="1">
      <c r="F1110" s="37"/>
      <c r="H1110" s="38"/>
    </row>
    <row r="1111" spans="6:8" s="32" customFormat="1">
      <c r="F1111" s="37"/>
      <c r="H1111" s="38"/>
    </row>
    <row r="1112" spans="6:8" s="32" customFormat="1">
      <c r="F1112" s="37"/>
      <c r="H1112" s="38"/>
    </row>
    <row r="1113" spans="6:8" s="32" customFormat="1">
      <c r="F1113" s="37"/>
      <c r="H1113" s="38"/>
    </row>
    <row r="1114" spans="6:8" s="32" customFormat="1">
      <c r="F1114" s="37"/>
      <c r="H1114" s="38"/>
    </row>
    <row r="1115" spans="6:8" s="32" customFormat="1">
      <c r="F1115" s="37"/>
      <c r="H1115" s="38"/>
    </row>
    <row r="1116" spans="6:8" s="32" customFormat="1">
      <c r="F1116" s="37"/>
      <c r="H1116" s="38"/>
    </row>
    <row r="1117" spans="6:8" s="32" customFormat="1">
      <c r="F1117" s="37"/>
      <c r="H1117" s="38"/>
    </row>
    <row r="1118" spans="6:8" s="32" customFormat="1">
      <c r="F1118" s="37"/>
      <c r="H1118" s="38"/>
    </row>
    <row r="1119" spans="6:8" s="32" customFormat="1">
      <c r="F1119" s="37"/>
      <c r="H1119" s="38"/>
    </row>
    <row r="1120" spans="6:8" s="32" customFormat="1">
      <c r="F1120" s="37"/>
      <c r="H1120" s="38"/>
    </row>
    <row r="1121" spans="6:8" s="32" customFormat="1">
      <c r="F1121" s="37"/>
      <c r="H1121" s="38"/>
    </row>
    <row r="1122" spans="6:8" s="32" customFormat="1">
      <c r="F1122" s="37"/>
      <c r="H1122" s="38"/>
    </row>
    <row r="1123" spans="6:8" s="32" customFormat="1">
      <c r="F1123" s="37"/>
      <c r="H1123" s="38"/>
    </row>
    <row r="1124" spans="6:8" s="32" customFormat="1">
      <c r="F1124" s="37"/>
      <c r="H1124" s="38"/>
    </row>
    <row r="1125" spans="6:8" s="32" customFormat="1">
      <c r="F1125" s="37"/>
      <c r="H1125" s="38"/>
    </row>
    <row r="1126" spans="6:8" s="32" customFormat="1">
      <c r="F1126" s="37"/>
      <c r="H1126" s="38"/>
    </row>
    <row r="1127" spans="6:8" s="32" customFormat="1">
      <c r="F1127" s="37"/>
      <c r="H1127" s="38"/>
    </row>
    <row r="1128" spans="6:8" s="32" customFormat="1">
      <c r="F1128" s="37"/>
      <c r="H1128" s="38"/>
    </row>
    <row r="1129" spans="6:8" s="32" customFormat="1">
      <c r="F1129" s="37"/>
      <c r="H1129" s="38"/>
    </row>
    <row r="1130" spans="6:8" s="32" customFormat="1">
      <c r="F1130" s="37"/>
      <c r="H1130" s="38"/>
    </row>
    <row r="1131" spans="6:8" s="32" customFormat="1">
      <c r="F1131" s="37"/>
      <c r="H1131" s="38"/>
    </row>
    <row r="1132" spans="6:8" s="32" customFormat="1">
      <c r="F1132" s="37"/>
      <c r="H1132" s="38"/>
    </row>
    <row r="1133" spans="6:8" s="32" customFormat="1">
      <c r="F1133" s="37"/>
      <c r="H1133" s="38"/>
    </row>
    <row r="1134" spans="6:8" s="32" customFormat="1">
      <c r="F1134" s="37"/>
      <c r="H1134" s="38"/>
    </row>
    <row r="1135" spans="6:8" s="32" customFormat="1">
      <c r="F1135" s="37"/>
      <c r="H1135" s="38"/>
    </row>
    <row r="1136" spans="6:8" s="32" customFormat="1">
      <c r="F1136" s="37"/>
      <c r="H1136" s="38"/>
    </row>
    <row r="1137" spans="6:8" s="32" customFormat="1">
      <c r="F1137" s="37"/>
      <c r="H1137" s="38"/>
    </row>
    <row r="1138" spans="6:8" s="32" customFormat="1">
      <c r="F1138" s="37"/>
      <c r="H1138" s="38"/>
    </row>
    <row r="1139" spans="6:8" s="32" customFormat="1">
      <c r="F1139" s="37"/>
      <c r="H1139" s="38"/>
    </row>
    <row r="1140" spans="6:8" s="32" customFormat="1">
      <c r="F1140" s="37"/>
      <c r="H1140" s="38"/>
    </row>
    <row r="1141" spans="6:8" s="32" customFormat="1">
      <c r="F1141" s="37"/>
      <c r="H1141" s="38"/>
    </row>
    <row r="1142" spans="6:8" s="32" customFormat="1">
      <c r="F1142" s="37"/>
      <c r="H1142" s="38"/>
    </row>
    <row r="1143" spans="6:8" s="32" customFormat="1">
      <c r="F1143" s="37"/>
      <c r="H1143" s="38"/>
    </row>
    <row r="1144" spans="6:8" s="32" customFormat="1">
      <c r="F1144" s="37"/>
      <c r="H1144" s="38"/>
    </row>
    <row r="1145" spans="6:8" s="32" customFormat="1">
      <c r="F1145" s="37"/>
      <c r="H1145" s="38"/>
    </row>
    <row r="1146" spans="6:8" s="32" customFormat="1">
      <c r="F1146" s="37"/>
      <c r="H1146" s="38"/>
    </row>
    <row r="1147" spans="6:8" s="32" customFormat="1">
      <c r="F1147" s="37"/>
      <c r="H1147" s="38"/>
    </row>
    <row r="1148" spans="6:8" s="32" customFormat="1">
      <c r="F1148" s="37"/>
      <c r="H1148" s="38"/>
    </row>
    <row r="1149" spans="6:8" s="32" customFormat="1">
      <c r="F1149" s="37"/>
      <c r="H1149" s="38"/>
    </row>
    <row r="1150" spans="6:8" s="32" customFormat="1">
      <c r="F1150" s="37"/>
      <c r="H1150" s="38"/>
    </row>
    <row r="1151" spans="6:8" s="32" customFormat="1">
      <c r="F1151" s="37"/>
      <c r="H1151" s="38"/>
    </row>
    <row r="1152" spans="6:8" s="32" customFormat="1">
      <c r="F1152" s="37"/>
      <c r="H1152" s="38"/>
    </row>
    <row r="1153" spans="6:8" s="32" customFormat="1">
      <c r="F1153" s="37"/>
      <c r="H1153" s="38"/>
    </row>
    <row r="1154" spans="6:8" s="32" customFormat="1">
      <c r="F1154" s="37"/>
      <c r="H1154" s="38"/>
    </row>
    <row r="1155" spans="6:8" s="32" customFormat="1">
      <c r="F1155" s="37"/>
      <c r="H1155" s="38"/>
    </row>
    <row r="1156" spans="6:8" s="32" customFormat="1">
      <c r="F1156" s="37"/>
      <c r="H1156" s="38"/>
    </row>
    <row r="1157" spans="6:8" s="32" customFormat="1">
      <c r="F1157" s="37"/>
      <c r="H1157" s="38"/>
    </row>
    <row r="1158" spans="6:8" s="32" customFormat="1">
      <c r="F1158" s="37"/>
      <c r="H1158" s="38"/>
    </row>
    <row r="1159" spans="6:8" s="32" customFormat="1">
      <c r="F1159" s="37"/>
      <c r="H1159" s="38"/>
    </row>
    <row r="1160" spans="6:8" s="32" customFormat="1">
      <c r="F1160" s="37"/>
      <c r="H1160" s="38"/>
    </row>
    <row r="1161" spans="6:8" s="32" customFormat="1">
      <c r="F1161" s="37"/>
      <c r="H1161" s="38"/>
    </row>
    <row r="1162" spans="6:8" s="32" customFormat="1">
      <c r="F1162" s="37"/>
      <c r="H1162" s="38"/>
    </row>
    <row r="1163" spans="6:8" s="32" customFormat="1">
      <c r="F1163" s="37"/>
      <c r="H1163" s="38"/>
    </row>
    <row r="1164" spans="6:8" s="32" customFormat="1">
      <c r="F1164" s="37"/>
      <c r="H1164" s="38"/>
    </row>
    <row r="1165" spans="6:8" s="32" customFormat="1">
      <c r="F1165" s="37"/>
      <c r="H1165" s="38"/>
    </row>
    <row r="1166" spans="6:8" s="32" customFormat="1">
      <c r="F1166" s="37"/>
      <c r="H1166" s="38"/>
    </row>
    <row r="1167" spans="6:8" s="32" customFormat="1">
      <c r="F1167" s="37"/>
      <c r="H1167" s="38"/>
    </row>
    <row r="1168" spans="6:8" s="32" customFormat="1">
      <c r="F1168" s="37"/>
      <c r="H1168" s="38"/>
    </row>
    <row r="1169" spans="6:8" s="32" customFormat="1">
      <c r="F1169" s="37"/>
      <c r="H1169" s="38"/>
    </row>
    <row r="1170" spans="6:8" s="32" customFormat="1">
      <c r="F1170" s="37"/>
      <c r="H1170" s="38"/>
    </row>
    <row r="1171" spans="6:8" s="32" customFormat="1">
      <c r="F1171" s="37"/>
      <c r="H1171" s="38"/>
    </row>
    <row r="1172" spans="6:8" s="32" customFormat="1">
      <c r="F1172" s="37"/>
      <c r="H1172" s="38"/>
    </row>
    <row r="1173" spans="6:8" s="32" customFormat="1">
      <c r="F1173" s="37"/>
      <c r="H1173" s="38"/>
    </row>
    <row r="1174" spans="6:8" s="32" customFormat="1">
      <c r="F1174" s="37"/>
      <c r="H1174" s="38"/>
    </row>
    <row r="1175" spans="6:8" s="32" customFormat="1">
      <c r="F1175" s="37"/>
      <c r="H1175" s="38"/>
    </row>
    <row r="1176" spans="6:8" s="32" customFormat="1">
      <c r="F1176" s="37"/>
      <c r="H1176" s="38"/>
    </row>
    <row r="1177" spans="6:8" s="32" customFormat="1">
      <c r="F1177" s="37"/>
      <c r="H1177" s="38"/>
    </row>
    <row r="1178" spans="6:8" s="32" customFormat="1">
      <c r="F1178" s="37"/>
      <c r="H1178" s="38"/>
    </row>
    <row r="1179" spans="6:8" s="32" customFormat="1">
      <c r="F1179" s="37"/>
      <c r="H1179" s="38"/>
    </row>
    <row r="1180" spans="6:8" s="32" customFormat="1">
      <c r="F1180" s="37"/>
      <c r="H1180" s="38"/>
    </row>
    <row r="1181" spans="6:8" s="32" customFormat="1">
      <c r="F1181" s="37"/>
      <c r="H1181" s="38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80"/>
  <sheetViews>
    <sheetView tabSelected="1" topLeftCell="A43" zoomScaleNormal="100" workbookViewId="0">
      <selection activeCell="A43" sqref="A43"/>
    </sheetView>
  </sheetViews>
  <sheetFormatPr defaultRowHeight="12.75"/>
  <cols>
    <col min="1" max="1" width="3.42578125" style="32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5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143" width="9.140625" style="32"/>
  </cols>
  <sheetData>
    <row r="1" spans="1:9" ht="15.95" customHeight="1">
      <c r="A1" s="29"/>
      <c r="B1" s="175" t="s">
        <v>47</v>
      </c>
      <c r="C1" s="176"/>
      <c r="D1" s="176"/>
      <c r="E1" s="176"/>
      <c r="F1" s="176"/>
      <c r="G1" s="176"/>
      <c r="H1" s="177"/>
      <c r="I1" s="1"/>
    </row>
    <row r="2" spans="1:9" ht="12.95" customHeight="1" thickBot="1">
      <c r="A2" s="29"/>
      <c r="B2" s="178" t="s">
        <v>389</v>
      </c>
      <c r="C2" s="179"/>
      <c r="D2" s="179"/>
      <c r="E2" s="179"/>
      <c r="F2" s="179"/>
      <c r="G2" s="179"/>
      <c r="H2" s="180"/>
      <c r="I2" s="1"/>
    </row>
    <row r="3" spans="1:9" ht="12.95" customHeight="1">
      <c r="A3" s="29"/>
      <c r="B3" s="86"/>
      <c r="C3" s="86"/>
      <c r="D3" s="86"/>
      <c r="E3" s="86"/>
      <c r="F3" s="86"/>
      <c r="G3" s="86"/>
      <c r="H3" s="86"/>
      <c r="I3" s="1"/>
    </row>
    <row r="4" spans="1:9" ht="12.95" customHeight="1" thickBot="1">
      <c r="A4" s="30"/>
      <c r="B4" s="2" t="s">
        <v>2</v>
      </c>
      <c r="C4" s="1"/>
      <c r="D4" s="1"/>
      <c r="E4" s="1"/>
      <c r="F4" s="4"/>
      <c r="G4" s="1"/>
      <c r="H4" s="6"/>
      <c r="I4" s="1"/>
    </row>
    <row r="5" spans="1:9" ht="27.95" customHeight="1">
      <c r="A5" s="29"/>
      <c r="B5" s="58" t="s">
        <v>3</v>
      </c>
      <c r="C5" s="59" t="s">
        <v>4</v>
      </c>
      <c r="D5" s="60" t="s">
        <v>376</v>
      </c>
      <c r="E5" s="60" t="s">
        <v>6</v>
      </c>
      <c r="F5" s="61" t="s">
        <v>7</v>
      </c>
      <c r="G5" s="60" t="s">
        <v>8</v>
      </c>
      <c r="H5" s="62" t="s">
        <v>9</v>
      </c>
      <c r="I5" s="39" t="s">
        <v>10</v>
      </c>
    </row>
    <row r="6" spans="1:9" ht="12.95" customHeight="1">
      <c r="A6" s="29"/>
      <c r="B6" s="63" t="s">
        <v>49</v>
      </c>
      <c r="C6" s="19" t="s">
        <v>1</v>
      </c>
      <c r="D6" s="19" t="s">
        <v>1</v>
      </c>
      <c r="E6" s="19" t="s">
        <v>1</v>
      </c>
      <c r="F6" s="48" t="s">
        <v>1</v>
      </c>
      <c r="G6" s="49"/>
      <c r="H6" s="64" t="s">
        <v>1</v>
      </c>
      <c r="I6" s="12" t="s">
        <v>1</v>
      </c>
    </row>
    <row r="7" spans="1:9" ht="12.95" customHeight="1">
      <c r="A7" s="29"/>
      <c r="B7" s="63" t="s">
        <v>50</v>
      </c>
      <c r="C7" s="19" t="s">
        <v>1</v>
      </c>
      <c r="D7" s="19" t="s">
        <v>1</v>
      </c>
      <c r="E7" s="19" t="s">
        <v>1</v>
      </c>
      <c r="F7" s="48" t="s">
        <v>1</v>
      </c>
      <c r="G7" s="49"/>
      <c r="H7" s="64" t="s">
        <v>1</v>
      </c>
      <c r="I7" s="12" t="s">
        <v>1</v>
      </c>
    </row>
    <row r="8" spans="1:9" ht="12.95" customHeight="1">
      <c r="A8" s="31"/>
      <c r="B8" s="65" t="s">
        <v>51</v>
      </c>
      <c r="C8" s="19" t="s">
        <v>52</v>
      </c>
      <c r="D8" s="19" t="s">
        <v>53</v>
      </c>
      <c r="E8" s="50">
        <v>401088</v>
      </c>
      <c r="F8" s="51">
        <v>3696.6275519999999</v>
      </c>
      <c r="G8" s="52">
        <v>3696.63</v>
      </c>
      <c r="H8" s="66">
        <v>4.2553326292019647E-2</v>
      </c>
      <c r="I8" s="3">
        <v>4.2599999999999999E-2</v>
      </c>
    </row>
    <row r="9" spans="1:9" ht="12.95" customHeight="1">
      <c r="A9" s="31"/>
      <c r="B9" s="65" t="s">
        <v>54</v>
      </c>
      <c r="C9" s="19" t="s">
        <v>55</v>
      </c>
      <c r="D9" s="19" t="s">
        <v>56</v>
      </c>
      <c r="E9" s="50">
        <v>514546</v>
      </c>
      <c r="F9" s="51">
        <v>3578.1528840000001</v>
      </c>
      <c r="G9" s="52">
        <v>3578.15</v>
      </c>
      <c r="H9" s="66">
        <v>4.1189518027912791E-2</v>
      </c>
      <c r="I9" s="3">
        <v>4.1200000000000001E-2</v>
      </c>
    </row>
    <row r="10" spans="1:9" ht="12.95" customHeight="1">
      <c r="A10" s="31"/>
      <c r="B10" s="65" t="s">
        <v>57</v>
      </c>
      <c r="C10" s="19" t="s">
        <v>58</v>
      </c>
      <c r="D10" s="19" t="s">
        <v>56</v>
      </c>
      <c r="E10" s="50">
        <v>338000</v>
      </c>
      <c r="F10" s="51">
        <v>2801.8510000000001</v>
      </c>
      <c r="G10" s="52">
        <v>2801.85</v>
      </c>
      <c r="H10" s="66">
        <v>3.2253203263638272E-2</v>
      </c>
      <c r="I10" s="3">
        <v>3.2300000000000002E-2</v>
      </c>
    </row>
    <row r="11" spans="1:9" ht="12.95" customHeight="1">
      <c r="A11" s="31"/>
      <c r="B11" s="65" t="s">
        <v>59</v>
      </c>
      <c r="C11" s="19" t="s">
        <v>60</v>
      </c>
      <c r="D11" s="19" t="s">
        <v>61</v>
      </c>
      <c r="E11" s="50">
        <v>161234</v>
      </c>
      <c r="F11" s="51">
        <v>2570.8761300000001</v>
      </c>
      <c r="G11" s="52">
        <v>2570.88</v>
      </c>
      <c r="H11" s="66">
        <v>2.9594361151440859E-2</v>
      </c>
      <c r="I11" s="3">
        <v>2.9600000000000001E-2</v>
      </c>
    </row>
    <row r="12" spans="1:9" ht="12.95" customHeight="1">
      <c r="A12" s="31"/>
      <c r="B12" s="65" t="s">
        <v>62</v>
      </c>
      <c r="C12" s="19" t="s">
        <v>63</v>
      </c>
      <c r="D12" s="19" t="s">
        <v>64</v>
      </c>
      <c r="E12" s="50">
        <v>273178</v>
      </c>
      <c r="F12" s="51">
        <v>2410.5226720000001</v>
      </c>
      <c r="G12" s="52">
        <v>2410.52</v>
      </c>
      <c r="H12" s="66">
        <v>2.7748469747900385E-2</v>
      </c>
      <c r="I12" s="3">
        <v>2.7699999999999999E-2</v>
      </c>
    </row>
    <row r="13" spans="1:9" ht="12.95" customHeight="1">
      <c r="A13" s="31"/>
      <c r="B13" s="65" t="s">
        <v>65</v>
      </c>
      <c r="C13" s="19" t="s">
        <v>66</v>
      </c>
      <c r="D13" s="19" t="s">
        <v>67</v>
      </c>
      <c r="E13" s="50">
        <v>646538</v>
      </c>
      <c r="F13" s="51">
        <v>2393.8069449999998</v>
      </c>
      <c r="G13" s="52">
        <v>2393.81</v>
      </c>
      <c r="H13" s="66">
        <v>2.7556048473310661E-2</v>
      </c>
      <c r="I13" s="3">
        <v>2.76E-2</v>
      </c>
    </row>
    <row r="14" spans="1:9" ht="12.95" customHeight="1">
      <c r="A14" s="31"/>
      <c r="B14" s="65" t="s">
        <v>68</v>
      </c>
      <c r="C14" s="19" t="s">
        <v>69</v>
      </c>
      <c r="D14" s="19" t="s">
        <v>70</v>
      </c>
      <c r="E14" s="50">
        <v>100800</v>
      </c>
      <c r="F14" s="51">
        <v>2331.4535999999998</v>
      </c>
      <c r="G14" s="52">
        <v>2331.4499999999998</v>
      </c>
      <c r="H14" s="66">
        <v>2.6838274719298488E-2</v>
      </c>
      <c r="I14" s="3">
        <v>2.6800000000000001E-2</v>
      </c>
    </row>
    <row r="15" spans="1:9" ht="12.95" customHeight="1">
      <c r="A15" s="31"/>
      <c r="B15" s="65" t="s">
        <v>71</v>
      </c>
      <c r="C15" s="19" t="s">
        <v>72</v>
      </c>
      <c r="D15" s="19" t="s">
        <v>73</v>
      </c>
      <c r="E15" s="50">
        <v>47573</v>
      </c>
      <c r="F15" s="51">
        <v>2253.1286395000002</v>
      </c>
      <c r="G15" s="52">
        <v>2253.13</v>
      </c>
      <c r="H15" s="66">
        <v>2.5936645449354107E-2</v>
      </c>
      <c r="I15" s="3">
        <v>2.5899999999999999E-2</v>
      </c>
    </row>
    <row r="16" spans="1:9" ht="12.95" customHeight="1">
      <c r="A16" s="31"/>
      <c r="B16" s="65" t="s">
        <v>74</v>
      </c>
      <c r="C16" s="19" t="s">
        <v>75</v>
      </c>
      <c r="D16" s="19" t="s">
        <v>76</v>
      </c>
      <c r="E16" s="50">
        <v>440535</v>
      </c>
      <c r="F16" s="51">
        <v>2158.6215000000002</v>
      </c>
      <c r="G16" s="52">
        <v>2158.62</v>
      </c>
      <c r="H16" s="66">
        <v>2.4848736784632636E-2</v>
      </c>
      <c r="I16" s="3">
        <v>2.4799999999999999E-2</v>
      </c>
    </row>
    <row r="17" spans="1:9" ht="12.95" customHeight="1">
      <c r="A17" s="31"/>
      <c r="B17" s="65" t="s">
        <v>77</v>
      </c>
      <c r="C17" s="19" t="s">
        <v>78</v>
      </c>
      <c r="D17" s="19" t="s">
        <v>56</v>
      </c>
      <c r="E17" s="50">
        <v>697500</v>
      </c>
      <c r="F17" s="51">
        <v>2109.2399999999998</v>
      </c>
      <c r="G17" s="52">
        <v>2109.2399999999998</v>
      </c>
      <c r="H17" s="66">
        <v>2.4280287014475925E-2</v>
      </c>
      <c r="I17" s="3">
        <v>2.4299999999999999E-2</v>
      </c>
    </row>
    <row r="18" spans="1:9" ht="12.95" customHeight="1">
      <c r="A18" s="31"/>
      <c r="B18" s="65" t="s">
        <v>79</v>
      </c>
      <c r="C18" s="19" t="s">
        <v>80</v>
      </c>
      <c r="D18" s="19" t="s">
        <v>81</v>
      </c>
      <c r="E18" s="50">
        <v>245348</v>
      </c>
      <c r="F18" s="51">
        <v>2043.012796</v>
      </c>
      <c r="G18" s="52">
        <v>2043.01</v>
      </c>
      <c r="H18" s="66">
        <v>2.3517919753620713E-2</v>
      </c>
      <c r="I18" s="3">
        <v>2.35E-2</v>
      </c>
    </row>
    <row r="19" spans="1:9" ht="12.95" customHeight="1">
      <c r="A19" s="31"/>
      <c r="B19" s="65" t="s">
        <v>82</v>
      </c>
      <c r="C19" s="19" t="s">
        <v>83</v>
      </c>
      <c r="D19" s="19" t="s">
        <v>56</v>
      </c>
      <c r="E19" s="50">
        <v>2925190</v>
      </c>
      <c r="F19" s="51">
        <v>1981.816225</v>
      </c>
      <c r="G19" s="52">
        <v>1981.82</v>
      </c>
      <c r="H19" s="66">
        <v>2.2813462077784036E-2</v>
      </c>
      <c r="I19" s="3">
        <v>2.2800000000000001E-2</v>
      </c>
    </row>
    <row r="20" spans="1:9" ht="12.95" customHeight="1">
      <c r="A20" s="31"/>
      <c r="B20" s="65" t="s">
        <v>84</v>
      </c>
      <c r="C20" s="19" t="s">
        <v>85</v>
      </c>
      <c r="D20" s="19" t="s">
        <v>70</v>
      </c>
      <c r="E20" s="50">
        <v>130446</v>
      </c>
      <c r="F20" s="51">
        <v>1880.5747590000001</v>
      </c>
      <c r="G20" s="52">
        <v>1880.57</v>
      </c>
      <c r="H20" s="66">
        <v>2.1648031945486947E-2</v>
      </c>
      <c r="I20" s="3">
        <v>2.1600000000000001E-2</v>
      </c>
    </row>
    <row r="21" spans="1:9" ht="12.95" customHeight="1">
      <c r="A21" s="31"/>
      <c r="B21" s="65" t="s">
        <v>86</v>
      </c>
      <c r="C21" s="19" t="s">
        <v>87</v>
      </c>
      <c r="D21" s="19" t="s">
        <v>56</v>
      </c>
      <c r="E21" s="50">
        <v>187758</v>
      </c>
      <c r="F21" s="51">
        <v>1835.7099659999999</v>
      </c>
      <c r="G21" s="52">
        <v>1835.71</v>
      </c>
      <c r="H21" s="66">
        <v>2.1131575757056494E-2</v>
      </c>
      <c r="I21" s="3">
        <v>2.1100000000000001E-2</v>
      </c>
    </row>
    <row r="22" spans="1:9" ht="12.95" customHeight="1">
      <c r="A22" s="31"/>
      <c r="B22" s="65" t="s">
        <v>88</v>
      </c>
      <c r="C22" s="19" t="s">
        <v>89</v>
      </c>
      <c r="D22" s="19" t="s">
        <v>90</v>
      </c>
      <c r="E22" s="50">
        <v>564946</v>
      </c>
      <c r="F22" s="51">
        <v>1794.2684959999999</v>
      </c>
      <c r="G22" s="52">
        <v>1794.27</v>
      </c>
      <c r="H22" s="66">
        <v>2.0654526779272177E-2</v>
      </c>
      <c r="I22" s="3">
        <v>2.07E-2</v>
      </c>
    </row>
    <row r="23" spans="1:9" ht="12.95" customHeight="1">
      <c r="A23" s="31"/>
      <c r="B23" s="65" t="s">
        <v>91</v>
      </c>
      <c r="C23" s="19" t="s">
        <v>92</v>
      </c>
      <c r="D23" s="19" t="s">
        <v>93</v>
      </c>
      <c r="E23" s="50">
        <v>187100</v>
      </c>
      <c r="F23" s="51">
        <v>1651.7188000000001</v>
      </c>
      <c r="G23" s="52">
        <v>1651.72</v>
      </c>
      <c r="H23" s="66">
        <v>1.9013581446969408E-2</v>
      </c>
      <c r="I23" s="3">
        <v>1.9E-2</v>
      </c>
    </row>
    <row r="24" spans="1:9" ht="12.95" customHeight="1">
      <c r="A24" s="31"/>
      <c r="B24" s="65" t="s">
        <v>94</v>
      </c>
      <c r="C24" s="19" t="s">
        <v>95</v>
      </c>
      <c r="D24" s="19" t="s">
        <v>93</v>
      </c>
      <c r="E24" s="50">
        <v>124800</v>
      </c>
      <c r="F24" s="51">
        <v>1636.1279999999999</v>
      </c>
      <c r="G24" s="52">
        <v>1636.13</v>
      </c>
      <c r="H24" s="66">
        <v>1.8834109647276016E-2</v>
      </c>
      <c r="I24" s="3">
        <v>1.8800000000000001E-2</v>
      </c>
    </row>
    <row r="25" spans="1:9" ht="12.95" customHeight="1">
      <c r="A25" s="31"/>
      <c r="B25" s="65" t="s">
        <v>96</v>
      </c>
      <c r="C25" s="19" t="s">
        <v>97</v>
      </c>
      <c r="D25" s="19" t="s">
        <v>73</v>
      </c>
      <c r="E25" s="50">
        <v>141200</v>
      </c>
      <c r="F25" s="51">
        <v>1620.7642000000001</v>
      </c>
      <c r="G25" s="52">
        <v>1620.76</v>
      </c>
      <c r="H25" s="66">
        <v>1.8657250933410831E-2</v>
      </c>
      <c r="I25" s="3">
        <v>1.8700000000000001E-2</v>
      </c>
    </row>
    <row r="26" spans="1:9" ht="12.95" customHeight="1">
      <c r="A26" s="31"/>
      <c r="B26" s="65" t="s">
        <v>98</v>
      </c>
      <c r="C26" s="19" t="s">
        <v>99</v>
      </c>
      <c r="D26" s="19" t="s">
        <v>100</v>
      </c>
      <c r="E26" s="50">
        <v>866027</v>
      </c>
      <c r="F26" s="51">
        <v>1590.891599</v>
      </c>
      <c r="G26" s="52">
        <v>1590.89</v>
      </c>
      <c r="H26" s="66">
        <v>1.8313375733742268E-2</v>
      </c>
      <c r="I26" s="3">
        <v>1.83E-2</v>
      </c>
    </row>
    <row r="27" spans="1:9" ht="12.95" customHeight="1">
      <c r="A27" s="31"/>
      <c r="B27" s="65" t="s">
        <v>101</v>
      </c>
      <c r="C27" s="19" t="s">
        <v>102</v>
      </c>
      <c r="D27" s="19" t="s">
        <v>70</v>
      </c>
      <c r="E27" s="50">
        <v>153310</v>
      </c>
      <c r="F27" s="51">
        <v>1551.3438900000001</v>
      </c>
      <c r="G27" s="52">
        <v>1551.34</v>
      </c>
      <c r="H27" s="66">
        <v>1.7858126579883542E-2</v>
      </c>
      <c r="I27" s="3">
        <v>1.7899999999999999E-2</v>
      </c>
    </row>
    <row r="28" spans="1:9" ht="12.95" customHeight="1">
      <c r="A28" s="31"/>
      <c r="B28" s="65" t="s">
        <v>103</v>
      </c>
      <c r="C28" s="19" t="s">
        <v>104</v>
      </c>
      <c r="D28" s="19" t="s">
        <v>105</v>
      </c>
      <c r="E28" s="50">
        <v>220487</v>
      </c>
      <c r="F28" s="51">
        <v>1504.9340185000001</v>
      </c>
      <c r="G28" s="52">
        <v>1504.93</v>
      </c>
      <c r="H28" s="66">
        <v>1.7323884388229228E-2</v>
      </c>
      <c r="I28" s="3">
        <v>1.7299999999999999E-2</v>
      </c>
    </row>
    <row r="29" spans="1:9" ht="12.95" customHeight="1">
      <c r="A29" s="31"/>
      <c r="B29" s="65" t="s">
        <v>106</v>
      </c>
      <c r="C29" s="19" t="s">
        <v>107</v>
      </c>
      <c r="D29" s="19" t="s">
        <v>70</v>
      </c>
      <c r="E29" s="50">
        <v>215082</v>
      </c>
      <c r="F29" s="51">
        <v>1454.492025</v>
      </c>
      <c r="G29" s="52">
        <v>1454.49</v>
      </c>
      <c r="H29" s="66">
        <v>1.6743226862408398E-2</v>
      </c>
      <c r="I29" s="3">
        <v>1.67E-2</v>
      </c>
    </row>
    <row r="30" spans="1:9" ht="12.95" customHeight="1">
      <c r="A30" s="31"/>
      <c r="B30" s="65" t="s">
        <v>108</v>
      </c>
      <c r="C30" s="19" t="s">
        <v>109</v>
      </c>
      <c r="D30" s="19" t="s">
        <v>73</v>
      </c>
      <c r="E30" s="50">
        <v>197000</v>
      </c>
      <c r="F30" s="51">
        <v>1412.1945000000001</v>
      </c>
      <c r="G30" s="52">
        <v>1412.19</v>
      </c>
      <c r="H30" s="66">
        <v>1.6256323500533045E-2</v>
      </c>
      <c r="I30" s="3">
        <v>1.6299999999999999E-2</v>
      </c>
    </row>
    <row r="31" spans="1:9" ht="12.95" customHeight="1">
      <c r="A31" s="31"/>
      <c r="B31" s="65" t="s">
        <v>110</v>
      </c>
      <c r="C31" s="19" t="s">
        <v>111</v>
      </c>
      <c r="D31" s="19" t="s">
        <v>112</v>
      </c>
      <c r="E31" s="50">
        <v>153053</v>
      </c>
      <c r="F31" s="51">
        <v>1373.0384630000001</v>
      </c>
      <c r="G31" s="52">
        <v>1373.04</v>
      </c>
      <c r="H31" s="66">
        <v>1.5805583036332935E-2</v>
      </c>
      <c r="I31" s="3">
        <v>1.5800000000000002E-2</v>
      </c>
    </row>
    <row r="32" spans="1:9" ht="12.95" customHeight="1">
      <c r="A32" s="31"/>
      <c r="B32" s="65" t="s">
        <v>113</v>
      </c>
      <c r="C32" s="19" t="s">
        <v>114</v>
      </c>
      <c r="D32" s="19" t="s">
        <v>76</v>
      </c>
      <c r="E32" s="50">
        <v>106380</v>
      </c>
      <c r="F32" s="51">
        <v>1351.6110900000001</v>
      </c>
      <c r="G32" s="52">
        <v>1351.61</v>
      </c>
      <c r="H32" s="66">
        <v>1.5558924160905657E-2</v>
      </c>
      <c r="I32" s="3">
        <v>1.5599999999999999E-2</v>
      </c>
    </row>
    <row r="33" spans="1:9" ht="12.95" customHeight="1">
      <c r="A33" s="31"/>
      <c r="B33" s="65" t="s">
        <v>115</v>
      </c>
      <c r="C33" s="19" t="s">
        <v>116</v>
      </c>
      <c r="D33" s="19" t="s">
        <v>73</v>
      </c>
      <c r="E33" s="50">
        <v>125304</v>
      </c>
      <c r="F33" s="51">
        <v>1246.210932</v>
      </c>
      <c r="G33" s="52">
        <v>1246.21</v>
      </c>
      <c r="H33" s="66">
        <v>1.4345621697643482E-2</v>
      </c>
      <c r="I33" s="3">
        <v>1.43E-2</v>
      </c>
    </row>
    <row r="34" spans="1:9" ht="12.95" customHeight="1">
      <c r="A34" s="31"/>
      <c r="B34" s="65" t="s">
        <v>117</v>
      </c>
      <c r="C34" s="19" t="s">
        <v>118</v>
      </c>
      <c r="D34" s="19" t="s">
        <v>90</v>
      </c>
      <c r="E34" s="50">
        <v>850000</v>
      </c>
      <c r="F34" s="51">
        <v>1239.7249999999999</v>
      </c>
      <c r="G34" s="52">
        <v>1239.73</v>
      </c>
      <c r="H34" s="66">
        <v>1.4270959596357534E-2</v>
      </c>
      <c r="I34" s="3">
        <v>1.43E-2</v>
      </c>
    </row>
    <row r="35" spans="1:9" ht="12.95" customHeight="1">
      <c r="A35" s="31"/>
      <c r="B35" s="65" t="s">
        <v>119</v>
      </c>
      <c r="C35" s="19" t="s">
        <v>120</v>
      </c>
      <c r="D35" s="19" t="s">
        <v>73</v>
      </c>
      <c r="E35" s="50">
        <v>673495</v>
      </c>
      <c r="F35" s="51">
        <v>1238.2205575</v>
      </c>
      <c r="G35" s="52">
        <v>1238.22</v>
      </c>
      <c r="H35" s="66">
        <v>1.4253641370031097E-2</v>
      </c>
      <c r="I35" s="3">
        <v>1.43E-2</v>
      </c>
    </row>
    <row r="36" spans="1:9" ht="12.95" customHeight="1">
      <c r="A36" s="31"/>
      <c r="B36" s="65" t="s">
        <v>121</v>
      </c>
      <c r="C36" s="19" t="s">
        <v>122</v>
      </c>
      <c r="D36" s="19" t="s">
        <v>123</v>
      </c>
      <c r="E36" s="50">
        <v>504000</v>
      </c>
      <c r="F36" s="51">
        <v>1226.4839999999999</v>
      </c>
      <c r="G36" s="52">
        <v>1226.48</v>
      </c>
      <c r="H36" s="66">
        <v>1.4118537263973037E-2</v>
      </c>
      <c r="I36" s="3">
        <v>1.41E-2</v>
      </c>
    </row>
    <row r="37" spans="1:9" ht="12.95" customHeight="1">
      <c r="A37" s="31"/>
      <c r="B37" s="65" t="s">
        <v>124</v>
      </c>
      <c r="C37" s="19" t="s">
        <v>125</v>
      </c>
      <c r="D37" s="19" t="s">
        <v>93</v>
      </c>
      <c r="E37" s="50">
        <v>23823</v>
      </c>
      <c r="F37" s="51">
        <v>1225.097775</v>
      </c>
      <c r="G37" s="52">
        <v>1225.0999999999999</v>
      </c>
      <c r="H37" s="66">
        <v>1.4102579885549225E-2</v>
      </c>
      <c r="I37" s="3">
        <v>1.41E-2</v>
      </c>
    </row>
    <row r="38" spans="1:9" ht="12.95" customHeight="1">
      <c r="A38" s="31"/>
      <c r="B38" s="65" t="s">
        <v>126</v>
      </c>
      <c r="C38" s="19" t="s">
        <v>127</v>
      </c>
      <c r="D38" s="19" t="s">
        <v>61</v>
      </c>
      <c r="E38" s="50">
        <v>244803</v>
      </c>
      <c r="F38" s="51">
        <v>1222.0565759999999</v>
      </c>
      <c r="G38" s="52">
        <v>1222.06</v>
      </c>
      <c r="H38" s="66">
        <v>1.4067571453797438E-2</v>
      </c>
      <c r="I38" s="3">
        <v>1.41E-2</v>
      </c>
    </row>
    <row r="39" spans="1:9" ht="12.95" customHeight="1">
      <c r="A39" s="31"/>
      <c r="B39" s="65" t="s">
        <v>128</v>
      </c>
      <c r="C39" s="19" t="s">
        <v>129</v>
      </c>
      <c r="D39" s="19" t="s">
        <v>93</v>
      </c>
      <c r="E39" s="50">
        <v>88166</v>
      </c>
      <c r="F39" s="51">
        <v>1198.9253510000001</v>
      </c>
      <c r="G39" s="52">
        <v>1198.93</v>
      </c>
      <c r="H39" s="66">
        <v>1.3801298871257557E-2</v>
      </c>
      <c r="I39" s="3">
        <v>1.38E-2</v>
      </c>
    </row>
    <row r="40" spans="1:9" ht="12.95" customHeight="1">
      <c r="A40" s="31"/>
      <c r="B40" s="65" t="s">
        <v>130</v>
      </c>
      <c r="C40" s="19" t="s">
        <v>131</v>
      </c>
      <c r="D40" s="19" t="s">
        <v>64</v>
      </c>
      <c r="E40" s="50">
        <v>746533</v>
      </c>
      <c r="F40" s="51">
        <v>1091.8045125000001</v>
      </c>
      <c r="G40" s="52">
        <v>1091.8</v>
      </c>
      <c r="H40" s="66">
        <v>1.2568188981434055E-2</v>
      </c>
      <c r="I40" s="3">
        <v>1.26E-2</v>
      </c>
    </row>
    <row r="41" spans="1:9" ht="12.95" customHeight="1">
      <c r="A41" s="31"/>
      <c r="B41" s="65" t="s">
        <v>132</v>
      </c>
      <c r="C41" s="19" t="s">
        <v>133</v>
      </c>
      <c r="D41" s="19" t="s">
        <v>53</v>
      </c>
      <c r="E41" s="50">
        <v>226821</v>
      </c>
      <c r="F41" s="51">
        <v>1090.3285470000001</v>
      </c>
      <c r="G41" s="52">
        <v>1090.33</v>
      </c>
      <c r="H41" s="66">
        <v>1.2551198564998057E-2</v>
      </c>
      <c r="I41" s="3">
        <v>1.26E-2</v>
      </c>
    </row>
    <row r="42" spans="1:9" ht="12.95" customHeight="1">
      <c r="A42" s="31"/>
      <c r="B42" s="65" t="s">
        <v>134</v>
      </c>
      <c r="C42" s="19" t="s">
        <v>135</v>
      </c>
      <c r="D42" s="19" t="s">
        <v>136</v>
      </c>
      <c r="E42" s="50">
        <v>266000</v>
      </c>
      <c r="F42" s="51">
        <v>1060.808</v>
      </c>
      <c r="G42" s="52">
        <v>1060.81</v>
      </c>
      <c r="H42" s="66">
        <v>1.2211375996687042E-2</v>
      </c>
      <c r="I42" s="3">
        <v>1.2200000000000001E-2</v>
      </c>
    </row>
    <row r="43" spans="1:9" ht="12.95" customHeight="1">
      <c r="A43" s="31"/>
      <c r="B43" s="65" t="s">
        <v>137</v>
      </c>
      <c r="C43" s="19" t="s">
        <v>138</v>
      </c>
      <c r="D43" s="19" t="s">
        <v>56</v>
      </c>
      <c r="E43" s="50">
        <v>218302</v>
      </c>
      <c r="F43" s="51">
        <v>1050.5783750000001</v>
      </c>
      <c r="G43" s="52">
        <v>1050.58</v>
      </c>
      <c r="H43" s="66">
        <v>1.2093618780319792E-2</v>
      </c>
      <c r="I43" s="3">
        <v>1.21E-2</v>
      </c>
    </row>
    <row r="44" spans="1:9" ht="12.95" customHeight="1">
      <c r="A44" s="31"/>
      <c r="B44" s="65" t="s">
        <v>139</v>
      </c>
      <c r="C44" s="19" t="s">
        <v>140</v>
      </c>
      <c r="D44" s="19" t="s">
        <v>73</v>
      </c>
      <c r="E44" s="50">
        <v>116633</v>
      </c>
      <c r="F44" s="51">
        <v>1045.6731615000001</v>
      </c>
      <c r="G44" s="52">
        <v>1045.67</v>
      </c>
      <c r="H44" s="66">
        <v>1.2037152948244124E-2</v>
      </c>
      <c r="I44" s="3">
        <v>1.2E-2</v>
      </c>
    </row>
    <row r="45" spans="1:9" ht="12.95" customHeight="1">
      <c r="A45" s="31"/>
      <c r="B45" s="65" t="s">
        <v>141</v>
      </c>
      <c r="C45" s="19" t="s">
        <v>142</v>
      </c>
      <c r="D45" s="19" t="s">
        <v>76</v>
      </c>
      <c r="E45" s="50">
        <v>186372</v>
      </c>
      <c r="F45" s="51">
        <v>1028.214324</v>
      </c>
      <c r="G45" s="52">
        <v>1028.21</v>
      </c>
      <c r="H45" s="66">
        <v>1.1836177437899595E-2</v>
      </c>
      <c r="I45" s="3">
        <v>1.18E-2</v>
      </c>
    </row>
    <row r="46" spans="1:9" ht="12.95" customHeight="1">
      <c r="A46" s="31"/>
      <c r="B46" s="65" t="s">
        <v>143</v>
      </c>
      <c r="C46" s="19" t="s">
        <v>144</v>
      </c>
      <c r="D46" s="19" t="s">
        <v>145</v>
      </c>
      <c r="E46" s="50">
        <v>64381</v>
      </c>
      <c r="F46" s="51">
        <v>1005.373696</v>
      </c>
      <c r="G46" s="52">
        <v>1005.37</v>
      </c>
      <c r="H46" s="66">
        <v>1.1573250031141295E-2</v>
      </c>
      <c r="I46" s="3">
        <v>1.1599999999999999E-2</v>
      </c>
    </row>
    <row r="47" spans="1:9" ht="12.95" customHeight="1">
      <c r="A47" s="31"/>
      <c r="B47" s="65" t="s">
        <v>146</v>
      </c>
      <c r="C47" s="19" t="s">
        <v>147</v>
      </c>
      <c r="D47" s="19" t="s">
        <v>61</v>
      </c>
      <c r="E47" s="50">
        <v>17763</v>
      </c>
      <c r="F47" s="51">
        <v>978.972219</v>
      </c>
      <c r="G47" s="52">
        <v>978.97</v>
      </c>
      <c r="H47" s="66">
        <v>1.1269332298135053E-2</v>
      </c>
      <c r="I47" s="3">
        <v>1.1299999999999999E-2</v>
      </c>
    </row>
    <row r="48" spans="1:9" ht="12.95" customHeight="1">
      <c r="A48" s="31"/>
      <c r="B48" s="65" t="s">
        <v>148</v>
      </c>
      <c r="C48" s="19" t="s">
        <v>149</v>
      </c>
      <c r="D48" s="19" t="s">
        <v>61</v>
      </c>
      <c r="E48" s="50">
        <v>81000</v>
      </c>
      <c r="F48" s="51">
        <v>919.755</v>
      </c>
      <c r="G48" s="52">
        <v>919.76</v>
      </c>
      <c r="H48" s="66">
        <v>1.05876597177179E-2</v>
      </c>
      <c r="I48" s="3">
        <v>1.06E-2</v>
      </c>
    </row>
    <row r="49" spans="1:9" ht="12.95" customHeight="1">
      <c r="A49" s="31"/>
      <c r="B49" s="65" t="s">
        <v>150</v>
      </c>
      <c r="C49" s="19" t="s">
        <v>151</v>
      </c>
      <c r="D49" s="19" t="s">
        <v>93</v>
      </c>
      <c r="E49" s="50">
        <v>162244</v>
      </c>
      <c r="F49" s="51">
        <v>909.45874200000003</v>
      </c>
      <c r="G49" s="52">
        <v>909.46</v>
      </c>
      <c r="H49" s="66">
        <v>1.0469135462813245E-2</v>
      </c>
      <c r="I49" s="3">
        <v>1.0500000000000001E-2</v>
      </c>
    </row>
    <row r="50" spans="1:9" ht="12.95" customHeight="1">
      <c r="A50" s="31"/>
      <c r="B50" s="65" t="s">
        <v>152</v>
      </c>
      <c r="C50" s="19" t="s">
        <v>153</v>
      </c>
      <c r="D50" s="19" t="s">
        <v>81</v>
      </c>
      <c r="E50" s="50">
        <v>181803</v>
      </c>
      <c r="F50" s="51">
        <v>876.74496750000003</v>
      </c>
      <c r="G50" s="52">
        <v>876.74</v>
      </c>
      <c r="H50" s="66">
        <v>1.0092554403196112E-2</v>
      </c>
      <c r="I50" s="3">
        <v>1.01E-2</v>
      </c>
    </row>
    <row r="51" spans="1:9" ht="12.95" customHeight="1">
      <c r="A51" s="31"/>
      <c r="B51" s="65" t="s">
        <v>154</v>
      </c>
      <c r="C51" s="19" t="s">
        <v>155</v>
      </c>
      <c r="D51" s="19" t="s">
        <v>156</v>
      </c>
      <c r="E51" s="50">
        <v>279761</v>
      </c>
      <c r="F51" s="51">
        <v>843.89905650000003</v>
      </c>
      <c r="G51" s="52">
        <v>843.9</v>
      </c>
      <c r="H51" s="66">
        <v>9.7144522686206571E-3</v>
      </c>
      <c r="I51" s="3">
        <v>9.7000000000000003E-3</v>
      </c>
    </row>
    <row r="52" spans="1:9" ht="12.95" customHeight="1">
      <c r="A52" s="31"/>
      <c r="B52" s="65" t="s">
        <v>157</v>
      </c>
      <c r="C52" s="19" t="s">
        <v>158</v>
      </c>
      <c r="D52" s="19" t="s">
        <v>70</v>
      </c>
      <c r="E52" s="50">
        <v>42517</v>
      </c>
      <c r="F52" s="51">
        <v>834.01347199999998</v>
      </c>
      <c r="G52" s="52">
        <v>834.01</v>
      </c>
      <c r="H52" s="66">
        <v>9.6006554370766627E-3</v>
      </c>
      <c r="I52" s="3">
        <v>9.5999999999999992E-3</v>
      </c>
    </row>
    <row r="53" spans="1:9" ht="12.95" customHeight="1">
      <c r="A53" s="31"/>
      <c r="B53" s="65" t="s">
        <v>159</v>
      </c>
      <c r="C53" s="19" t="s">
        <v>160</v>
      </c>
      <c r="D53" s="19" t="s">
        <v>161</v>
      </c>
      <c r="E53" s="50">
        <v>428000</v>
      </c>
      <c r="F53" s="51">
        <v>827.32399999999996</v>
      </c>
      <c r="G53" s="52">
        <v>827.32</v>
      </c>
      <c r="H53" s="66">
        <v>9.5236503072027266E-3</v>
      </c>
      <c r="I53" s="3">
        <v>9.4999999999999998E-3</v>
      </c>
    </row>
    <row r="54" spans="1:9" ht="12.95" customHeight="1">
      <c r="A54" s="31"/>
      <c r="B54" s="65" t="s">
        <v>162</v>
      </c>
      <c r="C54" s="19" t="s">
        <v>163</v>
      </c>
      <c r="D54" s="19" t="s">
        <v>81</v>
      </c>
      <c r="E54" s="50">
        <v>55355</v>
      </c>
      <c r="F54" s="51">
        <v>822.02175</v>
      </c>
      <c r="G54" s="52">
        <v>822.02</v>
      </c>
      <c r="H54" s="66">
        <v>9.4626140326097424E-3</v>
      </c>
      <c r="I54" s="3">
        <v>9.4999999999999998E-3</v>
      </c>
    </row>
    <row r="55" spans="1:9" ht="12.95" customHeight="1">
      <c r="A55" s="31"/>
      <c r="B55" s="65" t="s">
        <v>164</v>
      </c>
      <c r="C55" s="19" t="s">
        <v>165</v>
      </c>
      <c r="D55" s="19" t="s">
        <v>93</v>
      </c>
      <c r="E55" s="50">
        <v>24340</v>
      </c>
      <c r="F55" s="51">
        <v>767.59840999999994</v>
      </c>
      <c r="G55" s="52">
        <v>767.6</v>
      </c>
      <c r="H55" s="66">
        <v>8.8361256692720443E-3</v>
      </c>
      <c r="I55" s="3">
        <v>8.8000000000000005E-3</v>
      </c>
    </row>
    <row r="56" spans="1:9" ht="12.95" customHeight="1">
      <c r="A56" s="31"/>
      <c r="B56" s="65" t="s">
        <v>166</v>
      </c>
      <c r="C56" s="19" t="s">
        <v>167</v>
      </c>
      <c r="D56" s="19" t="s">
        <v>100</v>
      </c>
      <c r="E56" s="50">
        <v>610425</v>
      </c>
      <c r="F56" s="51">
        <v>763.64167499999996</v>
      </c>
      <c r="G56" s="52">
        <v>763.64</v>
      </c>
      <c r="H56" s="66">
        <v>8.7905781443624927E-3</v>
      </c>
      <c r="I56" s="3">
        <v>8.8000000000000005E-3</v>
      </c>
    </row>
    <row r="57" spans="1:9" ht="12.95" customHeight="1">
      <c r="A57" s="31"/>
      <c r="B57" s="65" t="s">
        <v>168</v>
      </c>
      <c r="C57" s="19" t="s">
        <v>169</v>
      </c>
      <c r="D57" s="19" t="s">
        <v>100</v>
      </c>
      <c r="E57" s="50">
        <v>67530</v>
      </c>
      <c r="F57" s="51">
        <v>706.05991500000005</v>
      </c>
      <c r="G57" s="52">
        <v>706.06</v>
      </c>
      <c r="H57" s="66">
        <v>8.1277319724718262E-3</v>
      </c>
      <c r="I57" s="3">
        <v>8.0999999999999996E-3</v>
      </c>
    </row>
    <row r="58" spans="1:9" ht="12.95" customHeight="1">
      <c r="A58" s="31"/>
      <c r="B58" s="65" t="s">
        <v>170</v>
      </c>
      <c r="C58" s="19" t="s">
        <v>171</v>
      </c>
      <c r="D58" s="19" t="s">
        <v>105</v>
      </c>
      <c r="E58" s="50">
        <v>651311</v>
      </c>
      <c r="F58" s="51">
        <v>699.83366950000004</v>
      </c>
      <c r="G58" s="52">
        <v>699.83</v>
      </c>
      <c r="H58" s="66">
        <v>8.0560592241062587E-3</v>
      </c>
      <c r="I58" s="3">
        <v>8.0999999999999996E-3</v>
      </c>
    </row>
    <row r="59" spans="1:9" ht="12.95" customHeight="1">
      <c r="A59" s="31"/>
      <c r="B59" s="65" t="s">
        <v>172</v>
      </c>
      <c r="C59" s="19" t="s">
        <v>173</v>
      </c>
      <c r="D59" s="19" t="s">
        <v>67</v>
      </c>
      <c r="E59" s="50">
        <v>9868</v>
      </c>
      <c r="F59" s="51">
        <v>685.04642799999999</v>
      </c>
      <c r="G59" s="52">
        <v>685.05</v>
      </c>
      <c r="H59" s="66">
        <v>7.8858375007498042E-3</v>
      </c>
      <c r="I59" s="3">
        <v>7.9000000000000008E-3</v>
      </c>
    </row>
    <row r="60" spans="1:9" ht="12.95" customHeight="1">
      <c r="A60" s="31"/>
      <c r="B60" s="65" t="s">
        <v>174</v>
      </c>
      <c r="C60" s="19" t="s">
        <v>175</v>
      </c>
      <c r="D60" s="19" t="s">
        <v>176</v>
      </c>
      <c r="E60" s="50">
        <v>157244</v>
      </c>
      <c r="F60" s="51">
        <v>658.69511599999998</v>
      </c>
      <c r="G60" s="52">
        <v>658.7</v>
      </c>
      <c r="H60" s="66">
        <v>7.5824972366888132E-3</v>
      </c>
      <c r="I60" s="3">
        <v>7.6E-3</v>
      </c>
    </row>
    <row r="61" spans="1:9" ht="12.95" customHeight="1">
      <c r="A61" s="31"/>
      <c r="B61" s="65" t="s">
        <v>177</v>
      </c>
      <c r="C61" s="19" t="s">
        <v>178</v>
      </c>
      <c r="D61" s="19" t="s">
        <v>56</v>
      </c>
      <c r="E61" s="50">
        <v>472077</v>
      </c>
      <c r="F61" s="51">
        <v>625.02994799999999</v>
      </c>
      <c r="G61" s="52">
        <v>625.03</v>
      </c>
      <c r="H61" s="66">
        <v>7.194964314199883E-3</v>
      </c>
      <c r="I61" s="3">
        <v>7.1999999999999998E-3</v>
      </c>
    </row>
    <row r="62" spans="1:9" ht="12.95" customHeight="1">
      <c r="A62" s="31"/>
      <c r="B62" s="65" t="s">
        <v>179</v>
      </c>
      <c r="C62" s="19" t="s">
        <v>180</v>
      </c>
      <c r="D62" s="19" t="s">
        <v>176</v>
      </c>
      <c r="E62" s="50">
        <v>250000</v>
      </c>
      <c r="F62" s="51">
        <v>614.375</v>
      </c>
      <c r="G62" s="52">
        <v>614.38</v>
      </c>
      <c r="H62" s="66">
        <v>7.0723110383449231E-3</v>
      </c>
      <c r="I62" s="3">
        <v>7.1000000000000004E-3</v>
      </c>
    </row>
    <row r="63" spans="1:9" ht="12.95" customHeight="1">
      <c r="A63" s="31"/>
      <c r="B63" s="65" t="s">
        <v>181</v>
      </c>
      <c r="C63" s="19" t="s">
        <v>182</v>
      </c>
      <c r="D63" s="19" t="s">
        <v>183</v>
      </c>
      <c r="E63" s="50">
        <v>89024</v>
      </c>
      <c r="F63" s="51">
        <v>503.20816000000002</v>
      </c>
      <c r="G63" s="52">
        <v>503.21</v>
      </c>
      <c r="H63" s="66">
        <v>5.7926260419991667E-3</v>
      </c>
      <c r="I63" s="3">
        <v>5.7999999999999996E-3</v>
      </c>
    </row>
    <row r="64" spans="1:9" ht="12.95" customHeight="1">
      <c r="A64" s="31"/>
      <c r="B64" s="65" t="s">
        <v>184</v>
      </c>
      <c r="C64" s="19" t="s">
        <v>185</v>
      </c>
      <c r="D64" s="19" t="s">
        <v>136</v>
      </c>
      <c r="E64" s="50">
        <v>560874</v>
      </c>
      <c r="F64" s="51">
        <v>492.72780899999998</v>
      </c>
      <c r="G64" s="52">
        <v>492.73</v>
      </c>
      <c r="H64" s="66">
        <v>5.6719826205334023E-3</v>
      </c>
      <c r="I64" s="3">
        <v>5.7000000000000002E-3</v>
      </c>
    </row>
    <row r="65" spans="1:9" ht="12.95" customHeight="1">
      <c r="A65" s="31"/>
      <c r="B65" s="65" t="s">
        <v>186</v>
      </c>
      <c r="C65" s="19" t="s">
        <v>187</v>
      </c>
      <c r="D65" s="19" t="s">
        <v>76</v>
      </c>
      <c r="E65" s="50">
        <v>4860</v>
      </c>
      <c r="F65" s="51">
        <v>189.69551999999999</v>
      </c>
      <c r="G65" s="52">
        <v>189.7</v>
      </c>
      <c r="H65" s="66">
        <v>2.1836593611728669E-3</v>
      </c>
      <c r="I65" s="3">
        <v>2.2000000000000001E-3</v>
      </c>
    </row>
    <row r="66" spans="1:9" ht="12.95" customHeight="1">
      <c r="A66" s="31"/>
      <c r="B66" s="65" t="s">
        <v>188</v>
      </c>
      <c r="C66" s="19" t="s">
        <v>189</v>
      </c>
      <c r="D66" s="19" t="s">
        <v>53</v>
      </c>
      <c r="E66" s="50">
        <v>104230</v>
      </c>
      <c r="F66" s="51">
        <v>170.93719999999999</v>
      </c>
      <c r="G66" s="52">
        <v>170.94</v>
      </c>
      <c r="H66" s="66">
        <v>1.9677249992655524E-3</v>
      </c>
      <c r="I66" s="3">
        <v>2E-3</v>
      </c>
    </row>
    <row r="67" spans="1:9" ht="12.95" customHeight="1">
      <c r="A67" s="31"/>
      <c r="B67" s="65" t="s">
        <v>190</v>
      </c>
      <c r="C67" s="19" t="s">
        <v>191</v>
      </c>
      <c r="D67" s="19" t="s">
        <v>192</v>
      </c>
      <c r="E67" s="50">
        <v>1500</v>
      </c>
      <c r="F67" s="51">
        <v>6.4852499999999997</v>
      </c>
      <c r="G67" s="52">
        <v>6.49</v>
      </c>
      <c r="H67" s="66">
        <v>7.4654250517072494E-5</v>
      </c>
      <c r="I67" s="3">
        <v>1E-4</v>
      </c>
    </row>
    <row r="68" spans="1:9" ht="12.95" customHeight="1">
      <c r="A68" s="31"/>
      <c r="B68" s="65" t="s">
        <v>193</v>
      </c>
      <c r="C68" s="19" t="s">
        <v>194</v>
      </c>
      <c r="D68" s="19" t="s">
        <v>156</v>
      </c>
      <c r="E68" s="50">
        <v>565</v>
      </c>
      <c r="F68" s="51">
        <v>1.8286225</v>
      </c>
      <c r="G68" s="52">
        <v>1.83</v>
      </c>
      <c r="H68" s="66" t="s">
        <v>195</v>
      </c>
      <c r="I68" s="40" t="s">
        <v>195</v>
      </c>
    </row>
    <row r="69" spans="1:9" ht="12.95" customHeight="1">
      <c r="A69" s="29"/>
      <c r="B69" s="63" t="s">
        <v>38</v>
      </c>
      <c r="C69" s="19" t="s">
        <v>1</v>
      </c>
      <c r="D69" s="19" t="s">
        <v>1</v>
      </c>
      <c r="E69" s="19" t="s">
        <v>1</v>
      </c>
      <c r="F69" s="20">
        <v>80853.632487499999</v>
      </c>
      <c r="G69" s="53">
        <v>80853.63</v>
      </c>
      <c r="H69" s="67">
        <v>0.93073780269644746</v>
      </c>
      <c r="I69" s="41">
        <v>0.93100000000000005</v>
      </c>
    </row>
    <row r="70" spans="1:9" ht="12.95" customHeight="1">
      <c r="A70" s="29"/>
      <c r="B70" s="63" t="s">
        <v>196</v>
      </c>
      <c r="C70" s="19" t="s">
        <v>1</v>
      </c>
      <c r="D70" s="19" t="s">
        <v>1</v>
      </c>
      <c r="E70" s="19" t="s">
        <v>1</v>
      </c>
      <c r="F70" s="20" t="s">
        <v>197</v>
      </c>
      <c r="G70" s="54" t="s">
        <v>197</v>
      </c>
      <c r="H70" s="67" t="s">
        <v>197</v>
      </c>
      <c r="I70" s="42" t="s">
        <v>197</v>
      </c>
    </row>
    <row r="71" spans="1:9" ht="12.95" customHeight="1">
      <c r="A71" s="29"/>
      <c r="B71" s="63" t="s">
        <v>38</v>
      </c>
      <c r="C71" s="19" t="s">
        <v>1</v>
      </c>
      <c r="D71" s="19" t="s">
        <v>1</v>
      </c>
      <c r="E71" s="19" t="s">
        <v>1</v>
      </c>
      <c r="F71" s="20" t="s">
        <v>197</v>
      </c>
      <c r="G71" s="54" t="s">
        <v>197</v>
      </c>
      <c r="H71" s="67" t="s">
        <v>197</v>
      </c>
      <c r="I71" s="42" t="s">
        <v>197</v>
      </c>
    </row>
    <row r="72" spans="1:9" ht="12.95" customHeight="1">
      <c r="A72" s="29"/>
      <c r="B72" s="63" t="s">
        <v>39</v>
      </c>
      <c r="C72" s="19" t="s">
        <v>1</v>
      </c>
      <c r="D72" s="19" t="s">
        <v>1</v>
      </c>
      <c r="E72" s="19" t="s">
        <v>1</v>
      </c>
      <c r="F72" s="20">
        <v>80853.632487499999</v>
      </c>
      <c r="G72" s="53">
        <v>80853.63</v>
      </c>
      <c r="H72" s="67">
        <v>0.93073780269644746</v>
      </c>
      <c r="I72" s="41">
        <v>0.93100000000000005</v>
      </c>
    </row>
    <row r="73" spans="1:9" ht="12.95" customHeight="1">
      <c r="A73" s="29"/>
      <c r="B73" s="88"/>
      <c r="C73" s="89"/>
      <c r="D73" s="89"/>
      <c r="E73" s="89"/>
      <c r="F73" s="90"/>
      <c r="G73" s="91"/>
      <c r="H73" s="67"/>
      <c r="I73" s="87"/>
    </row>
    <row r="74" spans="1:9" ht="12.95" customHeight="1">
      <c r="A74" s="29"/>
      <c r="B74" s="75" t="s">
        <v>372</v>
      </c>
      <c r="C74" s="89"/>
      <c r="D74" s="89"/>
      <c r="E74" s="89"/>
      <c r="F74" s="90"/>
      <c r="G74" s="91"/>
      <c r="H74" s="67"/>
      <c r="I74" s="87"/>
    </row>
    <row r="75" spans="1:9" ht="12.95" customHeight="1">
      <c r="A75" s="29"/>
      <c r="B75" s="92" t="s">
        <v>383</v>
      </c>
      <c r="C75" s="89"/>
      <c r="D75" s="89"/>
      <c r="E75" s="54" t="s">
        <v>197</v>
      </c>
      <c r="F75" s="54" t="s">
        <v>197</v>
      </c>
      <c r="G75" s="93" t="s">
        <v>197</v>
      </c>
      <c r="H75" s="67" t="s">
        <v>197</v>
      </c>
      <c r="I75" s="87"/>
    </row>
    <row r="76" spans="1:9" ht="12.95" customHeight="1">
      <c r="A76" s="29"/>
      <c r="B76" s="92" t="s">
        <v>374</v>
      </c>
      <c r="C76" s="89"/>
      <c r="D76" s="89"/>
      <c r="E76" s="54" t="s">
        <v>197</v>
      </c>
      <c r="F76" s="54" t="s">
        <v>197</v>
      </c>
      <c r="G76" s="93" t="s">
        <v>197</v>
      </c>
      <c r="H76" s="67" t="s">
        <v>197</v>
      </c>
      <c r="I76" s="87"/>
    </row>
    <row r="77" spans="1:9" ht="12.95" customHeight="1">
      <c r="A77" s="29"/>
      <c r="B77" s="92" t="s">
        <v>375</v>
      </c>
      <c r="C77" s="89"/>
      <c r="D77" s="89"/>
      <c r="E77" s="54" t="s">
        <v>197</v>
      </c>
      <c r="F77" s="54" t="s">
        <v>197</v>
      </c>
      <c r="G77" s="93" t="s">
        <v>197</v>
      </c>
      <c r="H77" s="67" t="s">
        <v>197</v>
      </c>
      <c r="I77" s="87"/>
    </row>
    <row r="78" spans="1:9" ht="12.95" customHeight="1">
      <c r="A78" s="29"/>
      <c r="B78" s="92"/>
      <c r="C78" s="89"/>
      <c r="D78" s="89"/>
      <c r="E78" s="54"/>
      <c r="F78" s="54"/>
      <c r="G78" s="93"/>
      <c r="H78" s="67"/>
      <c r="I78" s="87"/>
    </row>
    <row r="79" spans="1:9" ht="12.95" customHeight="1">
      <c r="A79" s="29"/>
      <c r="B79" s="75" t="s">
        <v>11</v>
      </c>
      <c r="C79" s="89"/>
      <c r="D79" s="89"/>
      <c r="E79" s="89"/>
      <c r="F79" s="90"/>
      <c r="G79" s="91"/>
      <c r="H79" s="67"/>
      <c r="I79" s="87"/>
    </row>
    <row r="80" spans="1:9" ht="12.95" customHeight="1">
      <c r="A80" s="29"/>
      <c r="B80" s="63" t="s">
        <v>40</v>
      </c>
      <c r="C80" s="19" t="s">
        <v>1</v>
      </c>
      <c r="D80" s="19" t="s">
        <v>1</v>
      </c>
      <c r="E80" s="19" t="s">
        <v>1</v>
      </c>
      <c r="F80" s="48" t="s">
        <v>1</v>
      </c>
      <c r="G80" s="49"/>
      <c r="H80" s="64" t="s">
        <v>1</v>
      </c>
      <c r="I80" s="12" t="s">
        <v>1</v>
      </c>
    </row>
    <row r="81" spans="1:9" ht="12.95" customHeight="1">
      <c r="A81" s="31"/>
      <c r="B81" s="65" t="s">
        <v>41</v>
      </c>
      <c r="C81" s="19" t="s">
        <v>1</v>
      </c>
      <c r="D81" s="19" t="s">
        <v>42</v>
      </c>
      <c r="E81" s="50"/>
      <c r="F81" s="51">
        <v>4361.2164488999997</v>
      </c>
      <c r="G81" s="52">
        <v>4361.22</v>
      </c>
      <c r="H81" s="66">
        <v>5.0203669146965481E-2</v>
      </c>
      <c r="I81" s="3">
        <v>5.0200000000000002E-2</v>
      </c>
    </row>
    <row r="82" spans="1:9" ht="12.95" customHeight="1">
      <c r="A82" s="29"/>
      <c r="B82" s="63" t="s">
        <v>38</v>
      </c>
      <c r="C82" s="19" t="s">
        <v>1</v>
      </c>
      <c r="D82" s="19" t="s">
        <v>1</v>
      </c>
      <c r="E82" s="19" t="s">
        <v>1</v>
      </c>
      <c r="F82" s="20">
        <v>4361.2164488999997</v>
      </c>
      <c r="G82" s="53">
        <v>4361.22</v>
      </c>
      <c r="H82" s="67">
        <v>5.0203669146965481E-2</v>
      </c>
      <c r="I82" s="41">
        <v>5.0200000000000002E-2</v>
      </c>
    </row>
    <row r="83" spans="1:9" ht="12.95" customHeight="1">
      <c r="A83" s="29"/>
      <c r="B83" s="63"/>
      <c r="C83" s="19"/>
      <c r="D83" s="19"/>
      <c r="E83" s="19"/>
      <c r="F83" s="20"/>
      <c r="G83" s="53"/>
      <c r="H83" s="67"/>
      <c r="I83" s="41"/>
    </row>
    <row r="84" spans="1:9" ht="12.95" customHeight="1">
      <c r="A84" s="29"/>
      <c r="B84" s="103" t="s">
        <v>399</v>
      </c>
      <c r="C84" s="19"/>
      <c r="D84" s="19"/>
      <c r="E84" s="19"/>
      <c r="F84" s="20"/>
      <c r="G84" s="53"/>
      <c r="H84" s="67"/>
      <c r="I84" s="41"/>
    </row>
    <row r="85" spans="1:9" ht="12.95" customHeight="1">
      <c r="A85" s="29"/>
      <c r="B85" s="149" t="s">
        <v>43</v>
      </c>
      <c r="C85" s="19" t="s">
        <v>1</v>
      </c>
      <c r="D85" s="19" t="s">
        <v>1</v>
      </c>
      <c r="E85" s="19" t="s">
        <v>1</v>
      </c>
      <c r="F85" s="22">
        <v>1655.6233418918</v>
      </c>
      <c r="G85" s="78">
        <v>1655.62</v>
      </c>
      <c r="H85" s="68">
        <v>1.9058528156587005E-2</v>
      </c>
      <c r="I85" s="41">
        <v>1.8800000000000001E-2</v>
      </c>
    </row>
    <row r="86" spans="1:9" ht="12.95" customHeight="1">
      <c r="A86" s="29"/>
      <c r="B86" s="88" t="s">
        <v>38</v>
      </c>
      <c r="C86" s="25"/>
      <c r="D86" s="25"/>
      <c r="E86" s="25"/>
      <c r="F86" s="20">
        <v>1655.6233418918</v>
      </c>
      <c r="G86" s="53">
        <v>1655.62</v>
      </c>
      <c r="H86" s="67">
        <v>1.9058528156587005E-2</v>
      </c>
      <c r="I86" s="74"/>
    </row>
    <row r="87" spans="1:9" ht="12.95" customHeight="1" thickBot="1">
      <c r="A87" s="29"/>
      <c r="B87" s="94" t="s">
        <v>39</v>
      </c>
      <c r="C87" s="25"/>
      <c r="D87" s="25"/>
      <c r="E87" s="25"/>
      <c r="F87" s="26">
        <f>F82+F86</f>
        <v>6016.8397907917997</v>
      </c>
      <c r="G87" s="26">
        <f t="shared" ref="G87:H87" si="0">G82+G86</f>
        <v>6016.84</v>
      </c>
      <c r="H87" s="77">
        <f t="shared" si="0"/>
        <v>6.9262197303552486E-2</v>
      </c>
      <c r="I87" s="74"/>
    </row>
    <row r="88" spans="1:9" ht="12.95" customHeight="1" thickBot="1">
      <c r="A88" s="29"/>
      <c r="B88" s="115" t="s">
        <v>44</v>
      </c>
      <c r="C88" s="116" t="s">
        <v>1</v>
      </c>
      <c r="D88" s="116" t="s">
        <v>1</v>
      </c>
      <c r="E88" s="116" t="s">
        <v>1</v>
      </c>
      <c r="F88" s="117">
        <v>86870.472278291796</v>
      </c>
      <c r="G88" s="118">
        <v>86870.47</v>
      </c>
      <c r="H88" s="119">
        <v>1</v>
      </c>
      <c r="I88" s="44">
        <v>1</v>
      </c>
    </row>
    <row r="89" spans="1:9" s="32" customFormat="1" ht="12.95" customHeight="1">
      <c r="A89" s="29"/>
      <c r="B89" s="30" t="s">
        <v>1</v>
      </c>
      <c r="C89" s="29"/>
      <c r="D89" s="29"/>
      <c r="E89" s="29"/>
      <c r="F89" s="34"/>
      <c r="G89" s="29"/>
      <c r="H89" s="35"/>
      <c r="I89" s="29"/>
    </row>
    <row r="90" spans="1:9" s="32" customFormat="1" ht="12.95" customHeight="1">
      <c r="A90" s="29"/>
      <c r="B90" s="80" t="s">
        <v>198</v>
      </c>
      <c r="C90" s="81"/>
      <c r="D90" s="29"/>
      <c r="E90" s="29"/>
      <c r="F90" s="34"/>
      <c r="G90" s="29"/>
      <c r="H90" s="35"/>
      <c r="I90" s="29"/>
    </row>
    <row r="91" spans="1:9" s="32" customFormat="1" ht="12.95" customHeight="1">
      <c r="A91" s="29"/>
      <c r="B91" s="80" t="s">
        <v>377</v>
      </c>
      <c r="C91" s="81"/>
      <c r="D91" s="29"/>
      <c r="E91" s="29"/>
      <c r="F91" s="34"/>
      <c r="G91" s="29"/>
      <c r="H91" s="35"/>
      <c r="I91" s="29"/>
    </row>
    <row r="92" spans="1:9" s="32" customFormat="1" ht="12.95" customHeight="1" thickBot="1">
      <c r="A92" s="29"/>
      <c r="B92" s="80" t="s">
        <v>1</v>
      </c>
      <c r="C92" s="81"/>
      <c r="D92" s="29"/>
      <c r="E92" s="29"/>
      <c r="F92" s="34"/>
      <c r="G92" s="29"/>
      <c r="H92" s="35"/>
      <c r="I92" s="29"/>
    </row>
    <row r="93" spans="1:9" s="32" customFormat="1" ht="12.95" customHeight="1" thickBot="1">
      <c r="A93" s="29"/>
      <c r="B93" s="95" t="s">
        <v>387</v>
      </c>
      <c r="C93" s="83">
        <v>0.76060000000000005</v>
      </c>
      <c r="D93" s="29"/>
      <c r="E93" s="29"/>
      <c r="F93" s="34"/>
      <c r="G93" s="29"/>
      <c r="H93" s="35"/>
      <c r="I93" s="29"/>
    </row>
    <row r="94" spans="1:9" s="32" customFormat="1">
      <c r="B94" s="81" t="s">
        <v>388</v>
      </c>
      <c r="C94" s="81"/>
      <c r="F94" s="37"/>
      <c r="H94" s="38"/>
    </row>
    <row r="95" spans="1:9" s="32" customFormat="1">
      <c r="F95" s="37"/>
      <c r="H95" s="38"/>
    </row>
    <row r="96" spans="1:9" s="32" customFormat="1">
      <c r="F96" s="37"/>
      <c r="H96" s="38"/>
    </row>
    <row r="97" spans="6:8" s="32" customFormat="1">
      <c r="F97" s="37"/>
      <c r="H97" s="38"/>
    </row>
    <row r="98" spans="6:8" s="32" customFormat="1">
      <c r="F98" s="37"/>
      <c r="H98" s="38"/>
    </row>
    <row r="99" spans="6:8" s="32" customFormat="1">
      <c r="F99" s="37"/>
      <c r="H99" s="38"/>
    </row>
    <row r="100" spans="6:8" s="32" customFormat="1">
      <c r="F100" s="37"/>
      <c r="H100" s="38"/>
    </row>
    <row r="101" spans="6:8" s="32" customFormat="1">
      <c r="F101" s="37"/>
      <c r="H101" s="38"/>
    </row>
    <row r="102" spans="6:8" s="32" customFormat="1">
      <c r="F102" s="37"/>
      <c r="H102" s="38"/>
    </row>
    <row r="103" spans="6:8" s="32" customFormat="1">
      <c r="F103" s="37"/>
      <c r="H103" s="38"/>
    </row>
    <row r="104" spans="6:8" s="32" customFormat="1">
      <c r="F104" s="37"/>
      <c r="H104" s="38"/>
    </row>
    <row r="105" spans="6:8" s="32" customFormat="1">
      <c r="F105" s="37"/>
      <c r="H105" s="38"/>
    </row>
    <row r="106" spans="6:8" s="32" customFormat="1">
      <c r="F106" s="37"/>
      <c r="H106" s="38"/>
    </row>
    <row r="107" spans="6:8" s="32" customFormat="1">
      <c r="F107" s="37"/>
      <c r="H107" s="38"/>
    </row>
    <row r="108" spans="6:8" s="32" customFormat="1">
      <c r="F108" s="37"/>
      <c r="H108" s="38"/>
    </row>
    <row r="109" spans="6:8" s="32" customFormat="1">
      <c r="F109" s="37"/>
      <c r="H109" s="38"/>
    </row>
    <row r="110" spans="6:8" s="32" customFormat="1">
      <c r="F110" s="37"/>
      <c r="H110" s="38"/>
    </row>
    <row r="111" spans="6:8" s="32" customFormat="1">
      <c r="F111" s="37"/>
      <c r="H111" s="38"/>
    </row>
    <row r="112" spans="6:8" s="32" customFormat="1">
      <c r="F112" s="37"/>
      <c r="H112" s="38"/>
    </row>
    <row r="113" spans="6:8" s="32" customFormat="1">
      <c r="F113" s="37"/>
      <c r="H113" s="38"/>
    </row>
    <row r="114" spans="6:8" s="32" customFormat="1">
      <c r="F114" s="37"/>
      <c r="H114" s="38"/>
    </row>
    <row r="115" spans="6:8" s="32" customFormat="1">
      <c r="F115" s="37"/>
      <c r="H115" s="38"/>
    </row>
    <row r="116" spans="6:8" s="32" customFormat="1">
      <c r="F116" s="37"/>
      <c r="H116" s="38"/>
    </row>
    <row r="117" spans="6:8" s="32" customFormat="1">
      <c r="F117" s="37"/>
      <c r="H117" s="38"/>
    </row>
    <row r="118" spans="6:8" s="32" customFormat="1">
      <c r="F118" s="37"/>
      <c r="H118" s="38"/>
    </row>
    <row r="119" spans="6:8" s="32" customFormat="1">
      <c r="F119" s="37"/>
      <c r="H119" s="38"/>
    </row>
    <row r="120" spans="6:8" s="32" customFormat="1">
      <c r="F120" s="37"/>
      <c r="H120" s="38"/>
    </row>
    <row r="121" spans="6:8" s="32" customFormat="1">
      <c r="F121" s="37"/>
      <c r="H121" s="38"/>
    </row>
    <row r="122" spans="6:8" s="32" customFormat="1">
      <c r="F122" s="37"/>
      <c r="H122" s="38"/>
    </row>
    <row r="123" spans="6:8" s="32" customFormat="1">
      <c r="F123" s="37"/>
      <c r="H123" s="38"/>
    </row>
    <row r="124" spans="6:8" s="32" customFormat="1">
      <c r="F124" s="37"/>
      <c r="H124" s="38"/>
    </row>
    <row r="125" spans="6:8" s="32" customFormat="1">
      <c r="F125" s="37"/>
      <c r="H125" s="38"/>
    </row>
    <row r="126" spans="6:8" s="32" customFormat="1">
      <c r="F126" s="37"/>
      <c r="H126" s="38"/>
    </row>
    <row r="127" spans="6:8" s="32" customFormat="1">
      <c r="F127" s="37"/>
      <c r="H127" s="38"/>
    </row>
    <row r="128" spans="6:8" s="32" customFormat="1">
      <c r="F128" s="37"/>
      <c r="H128" s="38"/>
    </row>
    <row r="129" spans="6:8" s="32" customFormat="1">
      <c r="F129" s="37"/>
      <c r="H129" s="38"/>
    </row>
    <row r="130" spans="6:8" s="32" customFormat="1">
      <c r="F130" s="37"/>
      <c r="H130" s="38"/>
    </row>
    <row r="131" spans="6:8" s="32" customFormat="1">
      <c r="F131" s="37"/>
      <c r="H131" s="38"/>
    </row>
    <row r="132" spans="6:8" s="32" customFormat="1">
      <c r="F132" s="37"/>
      <c r="H132" s="38"/>
    </row>
    <row r="133" spans="6:8" s="32" customFormat="1">
      <c r="F133" s="37"/>
      <c r="H133" s="38"/>
    </row>
    <row r="134" spans="6:8" s="32" customFormat="1">
      <c r="F134" s="37"/>
      <c r="H134" s="38"/>
    </row>
    <row r="135" spans="6:8" s="32" customFormat="1">
      <c r="F135" s="37"/>
      <c r="H135" s="38"/>
    </row>
    <row r="136" spans="6:8" s="32" customFormat="1">
      <c r="F136" s="37"/>
      <c r="H136" s="38"/>
    </row>
    <row r="137" spans="6:8" s="32" customFormat="1">
      <c r="F137" s="37"/>
      <c r="H137" s="38"/>
    </row>
    <row r="138" spans="6:8" s="32" customFormat="1">
      <c r="F138" s="37"/>
      <c r="H138" s="38"/>
    </row>
    <row r="139" spans="6:8" s="32" customFormat="1">
      <c r="F139" s="37"/>
      <c r="H139" s="38"/>
    </row>
    <row r="140" spans="6:8" s="32" customFormat="1">
      <c r="F140" s="37"/>
      <c r="H140" s="38"/>
    </row>
    <row r="141" spans="6:8" s="32" customFormat="1">
      <c r="F141" s="37"/>
      <c r="H141" s="38"/>
    </row>
    <row r="142" spans="6:8" s="32" customFormat="1">
      <c r="F142" s="37"/>
      <c r="H142" s="38"/>
    </row>
    <row r="143" spans="6:8" s="32" customFormat="1">
      <c r="F143" s="37"/>
      <c r="H143" s="38"/>
    </row>
    <row r="144" spans="6:8" s="32" customFormat="1">
      <c r="F144" s="37"/>
      <c r="H144" s="38"/>
    </row>
    <row r="145" spans="6:8" s="32" customFormat="1">
      <c r="F145" s="37"/>
      <c r="H145" s="38"/>
    </row>
    <row r="146" spans="6:8" s="32" customFormat="1">
      <c r="F146" s="37"/>
      <c r="H146" s="38"/>
    </row>
    <row r="147" spans="6:8" s="32" customFormat="1">
      <c r="F147" s="37"/>
      <c r="H147" s="38"/>
    </row>
    <row r="148" spans="6:8" s="32" customFormat="1">
      <c r="F148" s="37"/>
      <c r="H148" s="38"/>
    </row>
    <row r="149" spans="6:8" s="32" customFormat="1">
      <c r="F149" s="37"/>
      <c r="H149" s="38"/>
    </row>
    <row r="150" spans="6:8" s="32" customFormat="1">
      <c r="F150" s="37"/>
      <c r="H150" s="38"/>
    </row>
    <row r="151" spans="6:8" s="32" customFormat="1">
      <c r="F151" s="37"/>
      <c r="H151" s="38"/>
    </row>
    <row r="152" spans="6:8" s="32" customFormat="1">
      <c r="F152" s="37"/>
      <c r="H152" s="38"/>
    </row>
    <row r="153" spans="6:8" s="32" customFormat="1">
      <c r="F153" s="37"/>
      <c r="H153" s="38"/>
    </row>
    <row r="154" spans="6:8" s="32" customFormat="1">
      <c r="F154" s="37"/>
      <c r="H154" s="38"/>
    </row>
    <row r="155" spans="6:8" s="32" customFormat="1">
      <c r="F155" s="37"/>
      <c r="H155" s="38"/>
    </row>
    <row r="156" spans="6:8" s="32" customFormat="1">
      <c r="F156" s="37"/>
      <c r="H156" s="38"/>
    </row>
    <row r="157" spans="6:8" s="32" customFormat="1">
      <c r="F157" s="37"/>
      <c r="H157" s="38"/>
    </row>
    <row r="158" spans="6:8" s="32" customFormat="1">
      <c r="F158" s="37"/>
      <c r="H158" s="38"/>
    </row>
    <row r="159" spans="6:8" s="32" customFormat="1">
      <c r="F159" s="37"/>
      <c r="H159" s="38"/>
    </row>
    <row r="160" spans="6:8" s="32" customFormat="1">
      <c r="F160" s="37"/>
      <c r="H160" s="38"/>
    </row>
    <row r="161" spans="6:8" s="32" customFormat="1">
      <c r="F161" s="37"/>
      <c r="H161" s="38"/>
    </row>
    <row r="162" spans="6:8" s="32" customFormat="1">
      <c r="F162" s="37"/>
      <c r="H162" s="38"/>
    </row>
    <row r="163" spans="6:8" s="32" customFormat="1">
      <c r="F163" s="37"/>
      <c r="H163" s="38"/>
    </row>
    <row r="164" spans="6:8" s="32" customFormat="1">
      <c r="F164" s="37"/>
      <c r="H164" s="38"/>
    </row>
    <row r="165" spans="6:8" s="32" customFormat="1">
      <c r="F165" s="37"/>
      <c r="H165" s="38"/>
    </row>
    <row r="166" spans="6:8" s="32" customFormat="1">
      <c r="F166" s="37"/>
      <c r="H166" s="38"/>
    </row>
    <row r="167" spans="6:8" s="32" customFormat="1">
      <c r="F167" s="37"/>
      <c r="H167" s="38"/>
    </row>
    <row r="168" spans="6:8" s="32" customFormat="1">
      <c r="F168" s="37"/>
      <c r="H168" s="38"/>
    </row>
    <row r="169" spans="6:8" s="32" customFormat="1">
      <c r="F169" s="37"/>
      <c r="H169" s="38"/>
    </row>
    <row r="170" spans="6:8" s="32" customFormat="1">
      <c r="F170" s="37"/>
      <c r="H170" s="38"/>
    </row>
    <row r="171" spans="6:8" s="32" customFormat="1">
      <c r="F171" s="37"/>
      <c r="H171" s="38"/>
    </row>
    <row r="172" spans="6:8" s="32" customFormat="1">
      <c r="F172" s="37"/>
      <c r="H172" s="38"/>
    </row>
    <row r="173" spans="6:8" s="32" customFormat="1">
      <c r="F173" s="37"/>
      <c r="H173" s="38"/>
    </row>
    <row r="174" spans="6:8" s="32" customFormat="1">
      <c r="F174" s="37"/>
      <c r="H174" s="38"/>
    </row>
    <row r="175" spans="6:8" s="32" customFormat="1">
      <c r="F175" s="37"/>
      <c r="H175" s="38"/>
    </row>
    <row r="176" spans="6:8" s="32" customFormat="1">
      <c r="F176" s="37"/>
      <c r="H176" s="38"/>
    </row>
    <row r="177" spans="6:8" s="32" customFormat="1">
      <c r="F177" s="37"/>
      <c r="H177" s="38"/>
    </row>
    <row r="178" spans="6:8" s="32" customFormat="1">
      <c r="F178" s="37"/>
      <c r="H178" s="38"/>
    </row>
    <row r="179" spans="6:8" s="32" customFormat="1">
      <c r="F179" s="37"/>
      <c r="H179" s="38"/>
    </row>
    <row r="180" spans="6:8" s="32" customFormat="1">
      <c r="F180" s="37"/>
      <c r="H180" s="38"/>
    </row>
    <row r="181" spans="6:8" s="32" customFormat="1">
      <c r="F181" s="37"/>
      <c r="H181" s="38"/>
    </row>
    <row r="182" spans="6:8" s="32" customFormat="1">
      <c r="F182" s="37"/>
      <c r="H182" s="38"/>
    </row>
    <row r="183" spans="6:8" s="32" customFormat="1">
      <c r="F183" s="37"/>
      <c r="H183" s="38"/>
    </row>
    <row r="184" spans="6:8" s="32" customFormat="1">
      <c r="F184" s="37"/>
      <c r="H184" s="38"/>
    </row>
    <row r="185" spans="6:8" s="32" customFormat="1">
      <c r="F185" s="37"/>
      <c r="H185" s="38"/>
    </row>
    <row r="186" spans="6:8" s="32" customFormat="1">
      <c r="F186" s="37"/>
      <c r="H186" s="38"/>
    </row>
    <row r="187" spans="6:8" s="32" customFormat="1">
      <c r="F187" s="37"/>
      <c r="H187" s="38"/>
    </row>
    <row r="188" spans="6:8" s="32" customFormat="1">
      <c r="F188" s="37"/>
      <c r="H188" s="38"/>
    </row>
    <row r="189" spans="6:8" s="32" customFormat="1">
      <c r="F189" s="37"/>
      <c r="H189" s="38"/>
    </row>
    <row r="190" spans="6:8" s="32" customFormat="1">
      <c r="F190" s="37"/>
      <c r="H190" s="38"/>
    </row>
    <row r="191" spans="6:8" s="32" customFormat="1">
      <c r="F191" s="37"/>
      <c r="H191" s="38"/>
    </row>
    <row r="192" spans="6:8" s="32" customFormat="1">
      <c r="F192" s="37"/>
      <c r="H192" s="38"/>
    </row>
    <row r="193" spans="6:8" s="32" customFormat="1">
      <c r="F193" s="37"/>
      <c r="H193" s="38"/>
    </row>
    <row r="194" spans="6:8" s="32" customFormat="1">
      <c r="F194" s="37"/>
      <c r="H194" s="38"/>
    </row>
    <row r="195" spans="6:8" s="32" customFormat="1">
      <c r="F195" s="37"/>
      <c r="H195" s="38"/>
    </row>
    <row r="196" spans="6:8" s="32" customFormat="1">
      <c r="F196" s="37"/>
      <c r="H196" s="38"/>
    </row>
    <row r="197" spans="6:8" s="32" customFormat="1">
      <c r="F197" s="37"/>
      <c r="H197" s="38"/>
    </row>
    <row r="198" spans="6:8" s="32" customFormat="1">
      <c r="F198" s="37"/>
      <c r="H198" s="38"/>
    </row>
    <row r="199" spans="6:8" s="32" customFormat="1">
      <c r="F199" s="37"/>
      <c r="H199" s="38"/>
    </row>
    <row r="200" spans="6:8" s="32" customFormat="1">
      <c r="F200" s="37"/>
      <c r="H200" s="38"/>
    </row>
    <row r="201" spans="6:8" s="32" customFormat="1">
      <c r="F201" s="37"/>
      <c r="H201" s="38"/>
    </row>
    <row r="202" spans="6:8" s="32" customFormat="1">
      <c r="F202" s="37"/>
      <c r="H202" s="38"/>
    </row>
    <row r="203" spans="6:8" s="32" customFormat="1">
      <c r="F203" s="37"/>
      <c r="H203" s="38"/>
    </row>
    <row r="204" spans="6:8" s="32" customFormat="1">
      <c r="F204" s="37"/>
      <c r="H204" s="38"/>
    </row>
    <row r="205" spans="6:8" s="32" customFormat="1">
      <c r="F205" s="37"/>
      <c r="H205" s="38"/>
    </row>
    <row r="206" spans="6:8" s="32" customFormat="1">
      <c r="F206" s="37"/>
      <c r="H206" s="38"/>
    </row>
    <row r="207" spans="6:8" s="32" customFormat="1">
      <c r="F207" s="37"/>
      <c r="H207" s="38"/>
    </row>
    <row r="208" spans="6:8" s="32" customFormat="1">
      <c r="F208" s="37"/>
      <c r="H208" s="38"/>
    </row>
    <row r="209" spans="6:8" s="32" customFormat="1">
      <c r="F209" s="37"/>
      <c r="H209" s="38"/>
    </row>
    <row r="210" spans="6:8" s="32" customFormat="1">
      <c r="F210" s="37"/>
      <c r="H210" s="38"/>
    </row>
    <row r="211" spans="6:8" s="32" customFormat="1">
      <c r="F211" s="37"/>
      <c r="H211" s="38"/>
    </row>
    <row r="212" spans="6:8" s="32" customFormat="1">
      <c r="F212" s="37"/>
      <c r="H212" s="38"/>
    </row>
    <row r="213" spans="6:8" s="32" customFormat="1">
      <c r="F213" s="37"/>
      <c r="H213" s="38"/>
    </row>
    <row r="214" spans="6:8" s="32" customFormat="1">
      <c r="F214" s="37"/>
      <c r="H214" s="38"/>
    </row>
    <row r="215" spans="6:8" s="32" customFormat="1">
      <c r="F215" s="37"/>
      <c r="H215" s="38"/>
    </row>
    <row r="216" spans="6:8" s="32" customFormat="1">
      <c r="F216" s="37"/>
      <c r="H216" s="38"/>
    </row>
    <row r="217" spans="6:8" s="32" customFormat="1">
      <c r="F217" s="37"/>
      <c r="H217" s="38"/>
    </row>
    <row r="218" spans="6:8" s="32" customFormat="1">
      <c r="F218" s="37"/>
      <c r="H218" s="38"/>
    </row>
    <row r="219" spans="6:8" s="32" customFormat="1">
      <c r="F219" s="37"/>
      <c r="H219" s="38"/>
    </row>
    <row r="220" spans="6:8" s="32" customFormat="1">
      <c r="F220" s="37"/>
      <c r="H220" s="38"/>
    </row>
    <row r="221" spans="6:8" s="32" customFormat="1">
      <c r="F221" s="37"/>
      <c r="H221" s="38"/>
    </row>
    <row r="222" spans="6:8" s="32" customFormat="1">
      <c r="F222" s="37"/>
      <c r="H222" s="38"/>
    </row>
    <row r="223" spans="6:8" s="32" customFormat="1">
      <c r="F223" s="37"/>
      <c r="H223" s="38"/>
    </row>
    <row r="224" spans="6:8" s="32" customFormat="1">
      <c r="F224" s="37"/>
      <c r="H224" s="38"/>
    </row>
    <row r="225" spans="6:8" s="32" customFormat="1">
      <c r="F225" s="37"/>
      <c r="H225" s="38"/>
    </row>
    <row r="226" spans="6:8" s="32" customFormat="1">
      <c r="F226" s="37"/>
      <c r="H226" s="38"/>
    </row>
    <row r="227" spans="6:8" s="32" customFormat="1">
      <c r="F227" s="37"/>
      <c r="H227" s="38"/>
    </row>
    <row r="228" spans="6:8" s="32" customFormat="1">
      <c r="F228" s="37"/>
      <c r="H228" s="38"/>
    </row>
    <row r="229" spans="6:8" s="32" customFormat="1">
      <c r="F229" s="37"/>
      <c r="H229" s="38"/>
    </row>
    <row r="230" spans="6:8" s="32" customFormat="1">
      <c r="F230" s="37"/>
      <c r="H230" s="38"/>
    </row>
    <row r="231" spans="6:8" s="32" customFormat="1">
      <c r="F231" s="37"/>
      <c r="H231" s="38"/>
    </row>
    <row r="232" spans="6:8" s="32" customFormat="1">
      <c r="F232" s="37"/>
      <c r="H232" s="38"/>
    </row>
    <row r="233" spans="6:8" s="32" customFormat="1">
      <c r="F233" s="37"/>
      <c r="H233" s="38"/>
    </row>
    <row r="234" spans="6:8" s="32" customFormat="1">
      <c r="F234" s="37"/>
      <c r="H234" s="38"/>
    </row>
    <row r="235" spans="6:8" s="32" customFormat="1">
      <c r="F235" s="37"/>
      <c r="H235" s="38"/>
    </row>
    <row r="236" spans="6:8" s="32" customFormat="1">
      <c r="F236" s="37"/>
      <c r="H236" s="38"/>
    </row>
    <row r="237" spans="6:8" s="32" customFormat="1">
      <c r="F237" s="37"/>
      <c r="H237" s="38"/>
    </row>
    <row r="238" spans="6:8" s="32" customFormat="1">
      <c r="F238" s="37"/>
      <c r="H238" s="38"/>
    </row>
    <row r="239" spans="6:8" s="32" customFormat="1">
      <c r="F239" s="37"/>
      <c r="H239" s="38"/>
    </row>
    <row r="240" spans="6:8" s="32" customFormat="1">
      <c r="F240" s="37"/>
      <c r="H240" s="38"/>
    </row>
    <row r="241" spans="6:8" s="32" customFormat="1">
      <c r="F241" s="37"/>
      <c r="H241" s="38"/>
    </row>
    <row r="242" spans="6:8" s="32" customFormat="1">
      <c r="F242" s="37"/>
      <c r="H242" s="38"/>
    </row>
    <row r="243" spans="6:8" s="32" customFormat="1">
      <c r="F243" s="37"/>
      <c r="H243" s="38"/>
    </row>
    <row r="244" spans="6:8" s="32" customFormat="1">
      <c r="F244" s="37"/>
      <c r="H244" s="38"/>
    </row>
    <row r="245" spans="6:8" s="32" customFormat="1">
      <c r="F245" s="37"/>
      <c r="H245" s="38"/>
    </row>
    <row r="246" spans="6:8" s="32" customFormat="1">
      <c r="F246" s="37"/>
      <c r="H246" s="38"/>
    </row>
    <row r="247" spans="6:8" s="32" customFormat="1">
      <c r="F247" s="37"/>
      <c r="H247" s="38"/>
    </row>
    <row r="248" spans="6:8" s="32" customFormat="1">
      <c r="F248" s="37"/>
      <c r="H248" s="38"/>
    </row>
    <row r="249" spans="6:8" s="32" customFormat="1">
      <c r="F249" s="37"/>
      <c r="H249" s="38"/>
    </row>
    <row r="250" spans="6:8" s="32" customFormat="1">
      <c r="F250" s="37"/>
      <c r="H250" s="38"/>
    </row>
    <row r="251" spans="6:8" s="32" customFormat="1">
      <c r="F251" s="37"/>
      <c r="H251" s="38"/>
    </row>
    <row r="252" spans="6:8" s="32" customFormat="1">
      <c r="F252" s="37"/>
      <c r="H252" s="38"/>
    </row>
    <row r="253" spans="6:8" s="32" customFormat="1">
      <c r="F253" s="37"/>
      <c r="H253" s="38"/>
    </row>
    <row r="254" spans="6:8" s="32" customFormat="1">
      <c r="F254" s="37"/>
      <c r="H254" s="38"/>
    </row>
    <row r="255" spans="6:8" s="32" customFormat="1">
      <c r="F255" s="37"/>
      <c r="H255" s="38"/>
    </row>
    <row r="256" spans="6:8" s="32" customFormat="1">
      <c r="F256" s="37"/>
      <c r="H256" s="38"/>
    </row>
    <row r="257" spans="6:8" s="32" customFormat="1">
      <c r="F257" s="37"/>
      <c r="H257" s="38"/>
    </row>
    <row r="258" spans="6:8" s="32" customFormat="1">
      <c r="F258" s="37"/>
      <c r="H258" s="38"/>
    </row>
    <row r="259" spans="6:8" s="32" customFormat="1">
      <c r="F259" s="37"/>
      <c r="H259" s="38"/>
    </row>
    <row r="260" spans="6:8" s="32" customFormat="1">
      <c r="F260" s="37"/>
      <c r="H260" s="38"/>
    </row>
    <row r="261" spans="6:8" s="32" customFormat="1">
      <c r="F261" s="37"/>
      <c r="H261" s="38"/>
    </row>
    <row r="262" spans="6:8" s="32" customFormat="1">
      <c r="F262" s="37"/>
      <c r="H262" s="38"/>
    </row>
    <row r="263" spans="6:8" s="32" customFormat="1">
      <c r="F263" s="37"/>
      <c r="H263" s="38"/>
    </row>
    <row r="264" spans="6:8" s="32" customFormat="1">
      <c r="F264" s="37"/>
      <c r="H264" s="38"/>
    </row>
    <row r="265" spans="6:8" s="32" customFormat="1">
      <c r="F265" s="37"/>
      <c r="H265" s="38"/>
    </row>
    <row r="266" spans="6:8" s="32" customFormat="1">
      <c r="F266" s="37"/>
      <c r="H266" s="38"/>
    </row>
    <row r="267" spans="6:8" s="32" customFormat="1">
      <c r="F267" s="37"/>
      <c r="H267" s="38"/>
    </row>
    <row r="268" spans="6:8" s="32" customFormat="1">
      <c r="F268" s="37"/>
      <c r="H268" s="38"/>
    </row>
    <row r="269" spans="6:8" s="32" customFormat="1">
      <c r="F269" s="37"/>
      <c r="H269" s="38"/>
    </row>
    <row r="270" spans="6:8" s="32" customFormat="1">
      <c r="F270" s="37"/>
      <c r="H270" s="38"/>
    </row>
    <row r="271" spans="6:8" s="32" customFormat="1">
      <c r="F271" s="37"/>
      <c r="H271" s="38"/>
    </row>
    <row r="272" spans="6:8" s="32" customFormat="1">
      <c r="F272" s="37"/>
      <c r="H272" s="38"/>
    </row>
    <row r="273" spans="6:8" s="32" customFormat="1">
      <c r="F273" s="37"/>
      <c r="H273" s="38"/>
    </row>
    <row r="274" spans="6:8" s="32" customFormat="1">
      <c r="F274" s="37"/>
      <c r="H274" s="38"/>
    </row>
    <row r="275" spans="6:8" s="32" customFormat="1">
      <c r="F275" s="37"/>
      <c r="H275" s="38"/>
    </row>
    <row r="276" spans="6:8" s="32" customFormat="1">
      <c r="F276" s="37"/>
      <c r="H276" s="38"/>
    </row>
    <row r="277" spans="6:8" s="32" customFormat="1">
      <c r="F277" s="37"/>
      <c r="H277" s="38"/>
    </row>
    <row r="278" spans="6:8" s="32" customFormat="1">
      <c r="F278" s="37"/>
      <c r="H278" s="38"/>
    </row>
    <row r="279" spans="6:8" s="32" customFormat="1">
      <c r="F279" s="37"/>
      <c r="H279" s="38"/>
    </row>
    <row r="280" spans="6:8" s="32" customFormat="1">
      <c r="F280" s="37"/>
      <c r="H280" s="38"/>
    </row>
    <row r="281" spans="6:8" s="32" customFormat="1">
      <c r="F281" s="37"/>
      <c r="H281" s="38"/>
    </row>
    <row r="282" spans="6:8" s="32" customFormat="1">
      <c r="F282" s="37"/>
      <c r="H282" s="38"/>
    </row>
    <row r="283" spans="6:8" s="32" customFormat="1">
      <c r="F283" s="37"/>
      <c r="H283" s="38"/>
    </row>
    <row r="284" spans="6:8" s="32" customFormat="1">
      <c r="F284" s="37"/>
      <c r="H284" s="38"/>
    </row>
    <row r="285" spans="6:8" s="32" customFormat="1">
      <c r="F285" s="37"/>
      <c r="H285" s="38"/>
    </row>
    <row r="286" spans="6:8" s="32" customFormat="1">
      <c r="F286" s="37"/>
      <c r="H286" s="38"/>
    </row>
    <row r="287" spans="6:8" s="32" customFormat="1">
      <c r="F287" s="37"/>
      <c r="H287" s="38"/>
    </row>
    <row r="288" spans="6:8" s="32" customFormat="1">
      <c r="F288" s="37"/>
      <c r="H288" s="38"/>
    </row>
    <row r="289" spans="6:8" s="32" customFormat="1">
      <c r="F289" s="37"/>
      <c r="H289" s="38"/>
    </row>
    <row r="290" spans="6:8" s="32" customFormat="1">
      <c r="F290" s="37"/>
      <c r="H290" s="38"/>
    </row>
    <row r="291" spans="6:8" s="32" customFormat="1">
      <c r="F291" s="37"/>
      <c r="H291" s="38"/>
    </row>
    <row r="292" spans="6:8" s="32" customFormat="1">
      <c r="F292" s="37"/>
      <c r="H292" s="38"/>
    </row>
    <row r="293" spans="6:8" s="32" customFormat="1">
      <c r="F293" s="37"/>
      <c r="H293" s="38"/>
    </row>
    <row r="294" spans="6:8" s="32" customFormat="1">
      <c r="F294" s="37"/>
      <c r="H294" s="38"/>
    </row>
    <row r="295" spans="6:8" s="32" customFormat="1">
      <c r="F295" s="37"/>
      <c r="H295" s="38"/>
    </row>
    <row r="296" spans="6:8" s="32" customFormat="1">
      <c r="F296" s="37"/>
      <c r="H296" s="38"/>
    </row>
    <row r="297" spans="6:8" s="32" customFormat="1">
      <c r="F297" s="37"/>
      <c r="H297" s="38"/>
    </row>
    <row r="298" spans="6:8" s="32" customFormat="1">
      <c r="F298" s="37"/>
      <c r="H298" s="38"/>
    </row>
    <row r="299" spans="6:8" s="32" customFormat="1">
      <c r="F299" s="37"/>
      <c r="H299" s="38"/>
    </row>
    <row r="300" spans="6:8" s="32" customFormat="1">
      <c r="F300" s="37"/>
      <c r="H300" s="38"/>
    </row>
    <row r="301" spans="6:8" s="32" customFormat="1">
      <c r="F301" s="37"/>
      <c r="H301" s="38"/>
    </row>
    <row r="302" spans="6:8" s="32" customFormat="1">
      <c r="F302" s="37"/>
      <c r="H302" s="38"/>
    </row>
    <row r="303" spans="6:8" s="32" customFormat="1">
      <c r="F303" s="37"/>
      <c r="H303" s="38"/>
    </row>
    <row r="304" spans="6:8" s="32" customFormat="1">
      <c r="F304" s="37"/>
      <c r="H304" s="38"/>
    </row>
    <row r="305" spans="6:8" s="32" customFormat="1">
      <c r="F305" s="37"/>
      <c r="H305" s="38"/>
    </row>
    <row r="306" spans="6:8" s="32" customFormat="1">
      <c r="F306" s="37"/>
      <c r="H306" s="38"/>
    </row>
    <row r="307" spans="6:8" s="32" customFormat="1">
      <c r="F307" s="37"/>
      <c r="H307" s="38"/>
    </row>
    <row r="308" spans="6:8" s="32" customFormat="1">
      <c r="F308" s="37"/>
      <c r="H308" s="38"/>
    </row>
    <row r="309" spans="6:8" s="32" customFormat="1">
      <c r="F309" s="37"/>
      <c r="H309" s="38"/>
    </row>
    <row r="310" spans="6:8" s="32" customFormat="1">
      <c r="F310" s="37"/>
      <c r="H310" s="38"/>
    </row>
    <row r="311" spans="6:8" s="32" customFormat="1">
      <c r="F311" s="37"/>
      <c r="H311" s="38"/>
    </row>
    <row r="312" spans="6:8" s="32" customFormat="1">
      <c r="F312" s="37"/>
      <c r="H312" s="38"/>
    </row>
    <row r="313" spans="6:8" s="32" customFormat="1">
      <c r="F313" s="37"/>
      <c r="H313" s="38"/>
    </row>
    <row r="314" spans="6:8" s="32" customFormat="1">
      <c r="F314" s="37"/>
      <c r="H314" s="38"/>
    </row>
    <row r="315" spans="6:8" s="32" customFormat="1">
      <c r="F315" s="37"/>
      <c r="H315" s="38"/>
    </row>
    <row r="316" spans="6:8" s="32" customFormat="1">
      <c r="F316" s="37"/>
      <c r="H316" s="38"/>
    </row>
    <row r="317" spans="6:8" s="32" customFormat="1">
      <c r="F317" s="37"/>
      <c r="H317" s="38"/>
    </row>
    <row r="318" spans="6:8" s="32" customFormat="1">
      <c r="F318" s="37"/>
      <c r="H318" s="38"/>
    </row>
    <row r="319" spans="6:8" s="32" customFormat="1">
      <c r="F319" s="37"/>
      <c r="H319" s="38"/>
    </row>
    <row r="320" spans="6:8" s="32" customFormat="1">
      <c r="F320" s="37"/>
      <c r="H320" s="38"/>
    </row>
    <row r="321" spans="6:8" s="32" customFormat="1">
      <c r="F321" s="37"/>
      <c r="H321" s="38"/>
    </row>
    <row r="322" spans="6:8" s="32" customFormat="1">
      <c r="F322" s="37"/>
      <c r="H322" s="38"/>
    </row>
    <row r="323" spans="6:8" s="32" customFormat="1">
      <c r="F323" s="37"/>
      <c r="H323" s="38"/>
    </row>
    <row r="324" spans="6:8" s="32" customFormat="1">
      <c r="F324" s="37"/>
      <c r="H324" s="38"/>
    </row>
    <row r="325" spans="6:8" s="32" customFormat="1">
      <c r="F325" s="37"/>
      <c r="H325" s="38"/>
    </row>
    <row r="326" spans="6:8" s="32" customFormat="1">
      <c r="F326" s="37"/>
      <c r="H326" s="38"/>
    </row>
    <row r="327" spans="6:8" s="32" customFormat="1">
      <c r="F327" s="37"/>
      <c r="H327" s="38"/>
    </row>
    <row r="328" spans="6:8" s="32" customFormat="1">
      <c r="F328" s="37"/>
      <c r="H328" s="38"/>
    </row>
    <row r="329" spans="6:8" s="32" customFormat="1">
      <c r="F329" s="37"/>
      <c r="H329" s="38"/>
    </row>
    <row r="330" spans="6:8" s="32" customFormat="1">
      <c r="F330" s="37"/>
      <c r="H330" s="38"/>
    </row>
    <row r="331" spans="6:8" s="32" customFormat="1">
      <c r="F331" s="37"/>
      <c r="H331" s="38"/>
    </row>
    <row r="332" spans="6:8" s="32" customFormat="1">
      <c r="F332" s="37"/>
      <c r="H332" s="38"/>
    </row>
    <row r="333" spans="6:8" s="32" customFormat="1">
      <c r="F333" s="37"/>
      <c r="H333" s="38"/>
    </row>
    <row r="334" spans="6:8" s="32" customFormat="1">
      <c r="F334" s="37"/>
      <c r="H334" s="38"/>
    </row>
    <row r="335" spans="6:8" s="32" customFormat="1">
      <c r="F335" s="37"/>
      <c r="H335" s="38"/>
    </row>
    <row r="336" spans="6:8" s="32" customFormat="1">
      <c r="F336" s="37"/>
      <c r="H336" s="38"/>
    </row>
    <row r="337" spans="6:8" s="32" customFormat="1">
      <c r="F337" s="37"/>
      <c r="H337" s="38"/>
    </row>
    <row r="338" spans="6:8" s="32" customFormat="1">
      <c r="F338" s="37"/>
      <c r="H338" s="38"/>
    </row>
    <row r="339" spans="6:8" s="32" customFormat="1">
      <c r="F339" s="37"/>
      <c r="H339" s="38"/>
    </row>
    <row r="340" spans="6:8" s="32" customFormat="1">
      <c r="F340" s="37"/>
      <c r="H340" s="38"/>
    </row>
    <row r="341" spans="6:8" s="32" customFormat="1">
      <c r="F341" s="37"/>
      <c r="H341" s="38"/>
    </row>
    <row r="342" spans="6:8" s="32" customFormat="1">
      <c r="F342" s="37"/>
      <c r="H342" s="38"/>
    </row>
    <row r="343" spans="6:8" s="32" customFormat="1">
      <c r="F343" s="37"/>
      <c r="H343" s="38"/>
    </row>
    <row r="344" spans="6:8" s="32" customFormat="1">
      <c r="F344" s="37"/>
      <c r="H344" s="38"/>
    </row>
    <row r="345" spans="6:8" s="32" customFormat="1">
      <c r="F345" s="37"/>
      <c r="H345" s="38"/>
    </row>
    <row r="346" spans="6:8" s="32" customFormat="1">
      <c r="F346" s="37"/>
      <c r="H346" s="38"/>
    </row>
    <row r="347" spans="6:8" s="32" customFormat="1">
      <c r="F347" s="37"/>
      <c r="H347" s="38"/>
    </row>
    <row r="348" spans="6:8" s="32" customFormat="1">
      <c r="F348" s="37"/>
      <c r="H348" s="38"/>
    </row>
    <row r="349" spans="6:8" s="32" customFormat="1">
      <c r="F349" s="37"/>
      <c r="H349" s="38"/>
    </row>
    <row r="350" spans="6:8" s="32" customFormat="1">
      <c r="F350" s="37"/>
      <c r="H350" s="38"/>
    </row>
    <row r="351" spans="6:8" s="32" customFormat="1">
      <c r="F351" s="37"/>
      <c r="H351" s="38"/>
    </row>
    <row r="352" spans="6:8" s="32" customFormat="1">
      <c r="F352" s="37"/>
      <c r="H352" s="38"/>
    </row>
    <row r="353" spans="6:8" s="32" customFormat="1">
      <c r="F353" s="37"/>
      <c r="H353" s="38"/>
    </row>
    <row r="354" spans="6:8" s="32" customFormat="1">
      <c r="F354" s="37"/>
      <c r="H354" s="38"/>
    </row>
    <row r="355" spans="6:8" s="32" customFormat="1">
      <c r="F355" s="37"/>
      <c r="H355" s="38"/>
    </row>
    <row r="356" spans="6:8" s="32" customFormat="1">
      <c r="F356" s="37"/>
      <c r="H356" s="38"/>
    </row>
    <row r="357" spans="6:8" s="32" customFormat="1">
      <c r="F357" s="37"/>
      <c r="H357" s="38"/>
    </row>
    <row r="358" spans="6:8" s="32" customFormat="1">
      <c r="F358" s="37"/>
      <c r="H358" s="38"/>
    </row>
    <row r="359" spans="6:8" s="32" customFormat="1">
      <c r="F359" s="37"/>
      <c r="H359" s="38"/>
    </row>
    <row r="360" spans="6:8" s="32" customFormat="1">
      <c r="F360" s="37"/>
      <c r="H360" s="38"/>
    </row>
    <row r="361" spans="6:8" s="32" customFormat="1">
      <c r="F361" s="37"/>
      <c r="H361" s="38"/>
    </row>
    <row r="362" spans="6:8" s="32" customFormat="1">
      <c r="F362" s="37"/>
      <c r="H362" s="38"/>
    </row>
    <row r="363" spans="6:8" s="32" customFormat="1">
      <c r="F363" s="37"/>
      <c r="H363" s="38"/>
    </row>
    <row r="364" spans="6:8" s="32" customFormat="1">
      <c r="F364" s="37"/>
      <c r="H364" s="38"/>
    </row>
    <row r="365" spans="6:8" s="32" customFormat="1">
      <c r="F365" s="37"/>
      <c r="H365" s="38"/>
    </row>
    <row r="366" spans="6:8" s="32" customFormat="1">
      <c r="F366" s="37"/>
      <c r="H366" s="38"/>
    </row>
    <row r="367" spans="6:8" s="32" customFormat="1">
      <c r="F367" s="37"/>
      <c r="H367" s="38"/>
    </row>
    <row r="368" spans="6:8" s="32" customFormat="1">
      <c r="F368" s="37"/>
      <c r="H368" s="38"/>
    </row>
    <row r="369" spans="6:8" s="32" customFormat="1">
      <c r="F369" s="37"/>
      <c r="H369" s="38"/>
    </row>
    <row r="370" spans="6:8" s="32" customFormat="1">
      <c r="F370" s="37"/>
      <c r="H370" s="38"/>
    </row>
    <row r="371" spans="6:8" s="32" customFormat="1">
      <c r="F371" s="37"/>
      <c r="H371" s="38"/>
    </row>
    <row r="372" spans="6:8" s="32" customFormat="1">
      <c r="F372" s="37"/>
      <c r="H372" s="38"/>
    </row>
    <row r="373" spans="6:8" s="32" customFormat="1">
      <c r="F373" s="37"/>
      <c r="H373" s="38"/>
    </row>
    <row r="374" spans="6:8" s="32" customFormat="1">
      <c r="F374" s="37"/>
      <c r="H374" s="38"/>
    </row>
    <row r="375" spans="6:8" s="32" customFormat="1">
      <c r="F375" s="37"/>
      <c r="H375" s="38"/>
    </row>
    <row r="376" spans="6:8" s="32" customFormat="1">
      <c r="F376" s="37"/>
      <c r="H376" s="38"/>
    </row>
    <row r="377" spans="6:8" s="32" customFormat="1">
      <c r="F377" s="37"/>
      <c r="H377" s="38"/>
    </row>
    <row r="378" spans="6:8" s="32" customFormat="1">
      <c r="F378" s="37"/>
      <c r="H378" s="38"/>
    </row>
    <row r="379" spans="6:8" s="32" customFormat="1">
      <c r="F379" s="37"/>
      <c r="H379" s="38"/>
    </row>
    <row r="380" spans="6:8" s="32" customFormat="1">
      <c r="F380" s="37"/>
      <c r="H380" s="38"/>
    </row>
    <row r="381" spans="6:8" s="32" customFormat="1">
      <c r="F381" s="37"/>
      <c r="H381" s="38"/>
    </row>
    <row r="382" spans="6:8" s="32" customFormat="1">
      <c r="F382" s="37"/>
      <c r="H382" s="38"/>
    </row>
    <row r="383" spans="6:8" s="32" customFormat="1">
      <c r="F383" s="37"/>
      <c r="H383" s="38"/>
    </row>
    <row r="384" spans="6:8" s="32" customFormat="1">
      <c r="F384" s="37"/>
      <c r="H384" s="38"/>
    </row>
    <row r="385" spans="6:8" s="32" customFormat="1">
      <c r="F385" s="37"/>
      <c r="H385" s="38"/>
    </row>
    <row r="386" spans="6:8" s="32" customFormat="1">
      <c r="F386" s="37"/>
      <c r="H386" s="38"/>
    </row>
    <row r="387" spans="6:8" s="32" customFormat="1">
      <c r="F387" s="37"/>
      <c r="H387" s="38"/>
    </row>
    <row r="388" spans="6:8" s="32" customFormat="1">
      <c r="F388" s="37"/>
      <c r="H388" s="38"/>
    </row>
    <row r="389" spans="6:8" s="32" customFormat="1">
      <c r="F389" s="37"/>
      <c r="H389" s="38"/>
    </row>
    <row r="390" spans="6:8" s="32" customFormat="1">
      <c r="F390" s="37"/>
      <c r="H390" s="38"/>
    </row>
    <row r="391" spans="6:8" s="32" customFormat="1">
      <c r="F391" s="37"/>
      <c r="H391" s="38"/>
    </row>
    <row r="392" spans="6:8" s="32" customFormat="1">
      <c r="F392" s="37"/>
      <c r="H392" s="38"/>
    </row>
    <row r="393" spans="6:8" s="32" customFormat="1">
      <c r="F393" s="37"/>
      <c r="H393" s="38"/>
    </row>
    <row r="394" spans="6:8" s="32" customFormat="1">
      <c r="F394" s="37"/>
      <c r="H394" s="38"/>
    </row>
    <row r="395" spans="6:8" s="32" customFormat="1">
      <c r="F395" s="37"/>
      <c r="H395" s="38"/>
    </row>
    <row r="396" spans="6:8" s="32" customFormat="1">
      <c r="F396" s="37"/>
      <c r="H396" s="38"/>
    </row>
    <row r="397" spans="6:8" s="32" customFormat="1">
      <c r="F397" s="37"/>
      <c r="H397" s="38"/>
    </row>
    <row r="398" spans="6:8" s="32" customFormat="1">
      <c r="F398" s="37"/>
      <c r="H398" s="38"/>
    </row>
    <row r="399" spans="6:8" s="32" customFormat="1">
      <c r="F399" s="37"/>
      <c r="H399" s="38"/>
    </row>
    <row r="400" spans="6:8" s="32" customFormat="1">
      <c r="F400" s="37"/>
      <c r="H400" s="38"/>
    </row>
    <row r="401" spans="6:8" s="32" customFormat="1">
      <c r="F401" s="37"/>
      <c r="H401" s="38"/>
    </row>
    <row r="402" spans="6:8" s="32" customFormat="1">
      <c r="F402" s="37"/>
      <c r="H402" s="38"/>
    </row>
    <row r="403" spans="6:8" s="32" customFormat="1">
      <c r="F403" s="37"/>
      <c r="H403" s="38"/>
    </row>
    <row r="404" spans="6:8" s="32" customFormat="1">
      <c r="F404" s="37"/>
      <c r="H404" s="38"/>
    </row>
    <row r="405" spans="6:8" s="32" customFormat="1">
      <c r="F405" s="37"/>
      <c r="H405" s="38"/>
    </row>
    <row r="406" spans="6:8" s="32" customFormat="1">
      <c r="F406" s="37"/>
      <c r="H406" s="38"/>
    </row>
    <row r="407" spans="6:8" s="32" customFormat="1">
      <c r="F407" s="37"/>
      <c r="H407" s="38"/>
    </row>
    <row r="408" spans="6:8" s="32" customFormat="1">
      <c r="F408" s="37"/>
      <c r="H408" s="38"/>
    </row>
    <row r="409" spans="6:8" s="32" customFormat="1">
      <c r="F409" s="37"/>
      <c r="H409" s="38"/>
    </row>
    <row r="410" spans="6:8" s="32" customFormat="1">
      <c r="F410" s="37"/>
      <c r="H410" s="38"/>
    </row>
    <row r="411" spans="6:8" s="32" customFormat="1">
      <c r="F411" s="37"/>
      <c r="H411" s="38"/>
    </row>
    <row r="412" spans="6:8" s="32" customFormat="1">
      <c r="F412" s="37"/>
      <c r="H412" s="38"/>
    </row>
    <row r="413" spans="6:8" s="32" customFormat="1">
      <c r="F413" s="37"/>
      <c r="H413" s="38"/>
    </row>
    <row r="414" spans="6:8" s="32" customFormat="1">
      <c r="F414" s="37"/>
      <c r="H414" s="38"/>
    </row>
    <row r="415" spans="6:8" s="32" customFormat="1">
      <c r="F415" s="37"/>
      <c r="H415" s="38"/>
    </row>
    <row r="416" spans="6:8" s="32" customFormat="1">
      <c r="F416" s="37"/>
      <c r="H416" s="38"/>
    </row>
    <row r="417" spans="6:8" s="32" customFormat="1">
      <c r="F417" s="37"/>
      <c r="H417" s="38"/>
    </row>
    <row r="418" spans="6:8" s="32" customFormat="1">
      <c r="F418" s="37"/>
      <c r="H418" s="38"/>
    </row>
    <row r="419" spans="6:8" s="32" customFormat="1">
      <c r="F419" s="37"/>
      <c r="H419" s="38"/>
    </row>
    <row r="420" spans="6:8" s="32" customFormat="1">
      <c r="F420" s="37"/>
      <c r="H420" s="38"/>
    </row>
    <row r="421" spans="6:8" s="32" customFormat="1">
      <c r="F421" s="37"/>
      <c r="H421" s="38"/>
    </row>
    <row r="422" spans="6:8" s="32" customFormat="1">
      <c r="F422" s="37"/>
      <c r="H422" s="38"/>
    </row>
    <row r="423" spans="6:8" s="32" customFormat="1">
      <c r="F423" s="37"/>
      <c r="H423" s="38"/>
    </row>
    <row r="424" spans="6:8" s="32" customFormat="1">
      <c r="F424" s="37"/>
      <c r="H424" s="38"/>
    </row>
    <row r="425" spans="6:8" s="32" customFormat="1">
      <c r="F425" s="37"/>
      <c r="H425" s="38"/>
    </row>
    <row r="426" spans="6:8" s="32" customFormat="1">
      <c r="F426" s="37"/>
      <c r="H426" s="38"/>
    </row>
    <row r="427" spans="6:8" s="32" customFormat="1">
      <c r="F427" s="37"/>
      <c r="H427" s="38"/>
    </row>
    <row r="428" spans="6:8" s="32" customFormat="1">
      <c r="F428" s="37"/>
      <c r="H428" s="38"/>
    </row>
    <row r="429" spans="6:8" s="32" customFormat="1">
      <c r="F429" s="37"/>
      <c r="H429" s="38"/>
    </row>
    <row r="430" spans="6:8" s="32" customFormat="1">
      <c r="F430" s="37"/>
      <c r="H430" s="38"/>
    </row>
    <row r="431" spans="6:8" s="32" customFormat="1">
      <c r="F431" s="37"/>
      <c r="H431" s="38"/>
    </row>
    <row r="432" spans="6:8" s="32" customFormat="1">
      <c r="F432" s="37"/>
      <c r="H432" s="38"/>
    </row>
    <row r="433" spans="6:8" s="32" customFormat="1">
      <c r="F433" s="37"/>
      <c r="H433" s="38"/>
    </row>
    <row r="434" spans="6:8" s="32" customFormat="1">
      <c r="F434" s="37"/>
      <c r="H434" s="38"/>
    </row>
    <row r="435" spans="6:8" s="32" customFormat="1">
      <c r="F435" s="37"/>
      <c r="H435" s="38"/>
    </row>
    <row r="436" spans="6:8" s="32" customFormat="1">
      <c r="F436" s="37"/>
      <c r="H436" s="38"/>
    </row>
    <row r="437" spans="6:8" s="32" customFormat="1">
      <c r="F437" s="37"/>
      <c r="H437" s="38"/>
    </row>
    <row r="438" spans="6:8" s="32" customFormat="1">
      <c r="F438" s="37"/>
      <c r="H438" s="38"/>
    </row>
    <row r="439" spans="6:8" s="32" customFormat="1">
      <c r="F439" s="37"/>
      <c r="H439" s="38"/>
    </row>
    <row r="440" spans="6:8" s="32" customFormat="1">
      <c r="F440" s="37"/>
      <c r="H440" s="38"/>
    </row>
    <row r="441" spans="6:8" s="32" customFormat="1">
      <c r="F441" s="37"/>
      <c r="H441" s="38"/>
    </row>
    <row r="442" spans="6:8" s="32" customFormat="1">
      <c r="F442" s="37"/>
      <c r="H442" s="38"/>
    </row>
    <row r="443" spans="6:8" s="32" customFormat="1">
      <c r="F443" s="37"/>
      <c r="H443" s="38"/>
    </row>
    <row r="444" spans="6:8" s="32" customFormat="1">
      <c r="F444" s="37"/>
      <c r="H444" s="38"/>
    </row>
    <row r="445" spans="6:8" s="32" customFormat="1">
      <c r="F445" s="37"/>
      <c r="H445" s="38"/>
    </row>
    <row r="446" spans="6:8" s="32" customFormat="1">
      <c r="F446" s="37"/>
      <c r="H446" s="38"/>
    </row>
    <row r="447" spans="6:8" s="32" customFormat="1">
      <c r="F447" s="37"/>
      <c r="H447" s="38"/>
    </row>
    <row r="448" spans="6:8" s="32" customFormat="1">
      <c r="F448" s="37"/>
      <c r="H448" s="38"/>
    </row>
    <row r="449" spans="6:8" s="32" customFormat="1">
      <c r="F449" s="37"/>
      <c r="H449" s="38"/>
    </row>
    <row r="450" spans="6:8" s="32" customFormat="1">
      <c r="F450" s="37"/>
      <c r="H450" s="38"/>
    </row>
    <row r="451" spans="6:8" s="32" customFormat="1">
      <c r="F451" s="37"/>
      <c r="H451" s="38"/>
    </row>
    <row r="452" spans="6:8" s="32" customFormat="1">
      <c r="F452" s="37"/>
      <c r="H452" s="38"/>
    </row>
    <row r="453" spans="6:8" s="32" customFormat="1">
      <c r="F453" s="37"/>
      <c r="H453" s="38"/>
    </row>
    <row r="454" spans="6:8" s="32" customFormat="1">
      <c r="F454" s="37"/>
      <c r="H454" s="38"/>
    </row>
    <row r="455" spans="6:8" s="32" customFormat="1">
      <c r="F455" s="37"/>
      <c r="H455" s="38"/>
    </row>
    <row r="456" spans="6:8" s="32" customFormat="1">
      <c r="F456" s="37"/>
      <c r="H456" s="38"/>
    </row>
    <row r="457" spans="6:8" s="32" customFormat="1">
      <c r="F457" s="37"/>
      <c r="H457" s="38"/>
    </row>
    <row r="458" spans="6:8" s="32" customFormat="1">
      <c r="F458" s="37"/>
      <c r="H458" s="38"/>
    </row>
    <row r="459" spans="6:8" s="32" customFormat="1">
      <c r="F459" s="37"/>
      <c r="H459" s="38"/>
    </row>
    <row r="460" spans="6:8" s="32" customFormat="1">
      <c r="F460" s="37"/>
      <c r="H460" s="38"/>
    </row>
    <row r="461" spans="6:8" s="32" customFormat="1">
      <c r="F461" s="37"/>
      <c r="H461" s="38"/>
    </row>
    <row r="462" spans="6:8" s="32" customFormat="1">
      <c r="F462" s="37"/>
      <c r="H462" s="38"/>
    </row>
    <row r="463" spans="6:8" s="32" customFormat="1">
      <c r="F463" s="37"/>
      <c r="H463" s="38"/>
    </row>
    <row r="464" spans="6:8" s="32" customFormat="1">
      <c r="F464" s="37"/>
      <c r="H464" s="38"/>
    </row>
    <row r="465" spans="6:8" s="32" customFormat="1">
      <c r="F465" s="37"/>
      <c r="H465" s="38"/>
    </row>
    <row r="466" spans="6:8" s="32" customFormat="1">
      <c r="F466" s="37"/>
      <c r="H466" s="38"/>
    </row>
    <row r="467" spans="6:8" s="32" customFormat="1">
      <c r="F467" s="37"/>
      <c r="H467" s="38"/>
    </row>
    <row r="468" spans="6:8" s="32" customFormat="1">
      <c r="F468" s="37"/>
      <c r="H468" s="38"/>
    </row>
    <row r="469" spans="6:8" s="32" customFormat="1">
      <c r="F469" s="37"/>
      <c r="H469" s="38"/>
    </row>
    <row r="470" spans="6:8" s="32" customFormat="1">
      <c r="F470" s="37"/>
      <c r="H470" s="38"/>
    </row>
    <row r="471" spans="6:8" s="32" customFormat="1">
      <c r="F471" s="37"/>
      <c r="H471" s="38"/>
    </row>
    <row r="472" spans="6:8" s="32" customFormat="1">
      <c r="F472" s="37"/>
      <c r="H472" s="38"/>
    </row>
    <row r="473" spans="6:8" s="32" customFormat="1">
      <c r="F473" s="37"/>
      <c r="H473" s="38"/>
    </row>
    <row r="474" spans="6:8" s="32" customFormat="1">
      <c r="F474" s="37"/>
      <c r="H474" s="38"/>
    </row>
    <row r="475" spans="6:8" s="32" customFormat="1">
      <c r="F475" s="37"/>
      <c r="H475" s="38"/>
    </row>
    <row r="476" spans="6:8" s="32" customFormat="1">
      <c r="F476" s="37"/>
      <c r="H476" s="38"/>
    </row>
    <row r="477" spans="6:8" s="32" customFormat="1">
      <c r="F477" s="37"/>
      <c r="H477" s="38"/>
    </row>
    <row r="478" spans="6:8" s="32" customFormat="1">
      <c r="F478" s="37"/>
      <c r="H478" s="38"/>
    </row>
    <row r="479" spans="6:8" s="32" customFormat="1">
      <c r="F479" s="37"/>
      <c r="H479" s="38"/>
    </row>
    <row r="480" spans="6:8" s="32" customFormat="1">
      <c r="F480" s="37"/>
      <c r="H480" s="38"/>
    </row>
    <row r="481" spans="6:8" s="32" customFormat="1">
      <c r="F481" s="37"/>
      <c r="H481" s="38"/>
    </row>
    <row r="482" spans="6:8" s="32" customFormat="1">
      <c r="F482" s="37"/>
      <c r="H482" s="38"/>
    </row>
    <row r="483" spans="6:8" s="32" customFormat="1">
      <c r="F483" s="37"/>
      <c r="H483" s="38"/>
    </row>
    <row r="484" spans="6:8" s="32" customFormat="1">
      <c r="F484" s="37"/>
      <c r="H484" s="38"/>
    </row>
    <row r="485" spans="6:8" s="32" customFormat="1">
      <c r="F485" s="37"/>
      <c r="H485" s="38"/>
    </row>
    <row r="486" spans="6:8" s="32" customFormat="1">
      <c r="F486" s="37"/>
      <c r="H486" s="38"/>
    </row>
    <row r="487" spans="6:8" s="32" customFormat="1">
      <c r="F487" s="37"/>
      <c r="H487" s="38"/>
    </row>
    <row r="488" spans="6:8" s="32" customFormat="1">
      <c r="F488" s="37"/>
      <c r="H488" s="38"/>
    </row>
    <row r="489" spans="6:8" s="32" customFormat="1">
      <c r="F489" s="37"/>
      <c r="H489" s="38"/>
    </row>
    <row r="490" spans="6:8" s="32" customFormat="1">
      <c r="F490" s="37"/>
      <c r="H490" s="38"/>
    </row>
    <row r="491" spans="6:8" s="32" customFormat="1">
      <c r="F491" s="37"/>
      <c r="H491" s="38"/>
    </row>
    <row r="492" spans="6:8" s="32" customFormat="1">
      <c r="F492" s="37"/>
      <c r="H492" s="38"/>
    </row>
    <row r="493" spans="6:8" s="32" customFormat="1">
      <c r="F493" s="37"/>
      <c r="H493" s="38"/>
    </row>
    <row r="494" spans="6:8" s="32" customFormat="1">
      <c r="F494" s="37"/>
      <c r="H494" s="38"/>
    </row>
    <row r="495" spans="6:8" s="32" customFormat="1">
      <c r="F495" s="37"/>
      <c r="H495" s="38"/>
    </row>
    <row r="496" spans="6:8" s="32" customFormat="1">
      <c r="F496" s="37"/>
      <c r="H496" s="38"/>
    </row>
    <row r="497" spans="6:8" s="32" customFormat="1">
      <c r="F497" s="37"/>
      <c r="H497" s="38"/>
    </row>
    <row r="498" spans="6:8" s="32" customFormat="1">
      <c r="F498" s="37"/>
      <c r="H498" s="38"/>
    </row>
    <row r="499" spans="6:8" s="32" customFormat="1">
      <c r="F499" s="37"/>
      <c r="H499" s="38"/>
    </row>
    <row r="500" spans="6:8" s="32" customFormat="1">
      <c r="F500" s="37"/>
      <c r="H500" s="38"/>
    </row>
    <row r="501" spans="6:8" s="32" customFormat="1">
      <c r="F501" s="37"/>
      <c r="H501" s="38"/>
    </row>
    <row r="502" spans="6:8" s="32" customFormat="1">
      <c r="F502" s="37"/>
      <c r="H502" s="38"/>
    </row>
    <row r="503" spans="6:8" s="32" customFormat="1">
      <c r="F503" s="37"/>
      <c r="H503" s="38"/>
    </row>
    <row r="504" spans="6:8" s="32" customFormat="1">
      <c r="F504" s="37"/>
      <c r="H504" s="38"/>
    </row>
    <row r="505" spans="6:8" s="32" customFormat="1">
      <c r="F505" s="37"/>
      <c r="H505" s="38"/>
    </row>
    <row r="506" spans="6:8" s="32" customFormat="1">
      <c r="F506" s="37"/>
      <c r="H506" s="38"/>
    </row>
    <row r="507" spans="6:8" s="32" customFormat="1">
      <c r="F507" s="37"/>
      <c r="H507" s="38"/>
    </row>
    <row r="508" spans="6:8" s="32" customFormat="1">
      <c r="F508" s="37"/>
      <c r="H508" s="38"/>
    </row>
    <row r="509" spans="6:8" s="32" customFormat="1">
      <c r="F509" s="37"/>
      <c r="H509" s="38"/>
    </row>
    <row r="510" spans="6:8" s="32" customFormat="1">
      <c r="F510" s="37"/>
      <c r="H510" s="38"/>
    </row>
    <row r="511" spans="6:8" s="32" customFormat="1">
      <c r="F511" s="37"/>
      <c r="H511" s="38"/>
    </row>
    <row r="512" spans="6:8" s="32" customFormat="1">
      <c r="F512" s="37"/>
      <c r="H512" s="38"/>
    </row>
    <row r="513" spans="6:8" s="32" customFormat="1">
      <c r="F513" s="37"/>
      <c r="H513" s="38"/>
    </row>
    <row r="514" spans="6:8" s="32" customFormat="1">
      <c r="F514" s="37"/>
      <c r="H514" s="38"/>
    </row>
    <row r="515" spans="6:8" s="32" customFormat="1">
      <c r="F515" s="37"/>
      <c r="H515" s="38"/>
    </row>
    <row r="516" spans="6:8" s="32" customFormat="1">
      <c r="F516" s="37"/>
      <c r="H516" s="38"/>
    </row>
    <row r="517" spans="6:8" s="32" customFormat="1">
      <c r="F517" s="37"/>
      <c r="H517" s="38"/>
    </row>
    <row r="518" spans="6:8" s="32" customFormat="1">
      <c r="F518" s="37"/>
      <c r="H518" s="38"/>
    </row>
    <row r="519" spans="6:8" s="32" customFormat="1">
      <c r="F519" s="37"/>
      <c r="H519" s="38"/>
    </row>
    <row r="520" spans="6:8" s="32" customFormat="1">
      <c r="F520" s="37"/>
      <c r="H520" s="38"/>
    </row>
    <row r="521" spans="6:8" s="32" customFormat="1">
      <c r="F521" s="37"/>
      <c r="H521" s="38"/>
    </row>
    <row r="522" spans="6:8" s="32" customFormat="1">
      <c r="F522" s="37"/>
      <c r="H522" s="38"/>
    </row>
    <row r="523" spans="6:8" s="32" customFormat="1">
      <c r="F523" s="37"/>
      <c r="H523" s="38"/>
    </row>
    <row r="524" spans="6:8" s="32" customFormat="1">
      <c r="F524" s="37"/>
      <c r="H524" s="38"/>
    </row>
    <row r="525" spans="6:8" s="32" customFormat="1">
      <c r="F525" s="37"/>
      <c r="H525" s="38"/>
    </row>
    <row r="526" spans="6:8" s="32" customFormat="1">
      <c r="F526" s="37"/>
      <c r="H526" s="38"/>
    </row>
    <row r="527" spans="6:8" s="32" customFormat="1">
      <c r="F527" s="37"/>
      <c r="H527" s="38"/>
    </row>
    <row r="528" spans="6:8" s="32" customFormat="1">
      <c r="F528" s="37"/>
      <c r="H528" s="38"/>
    </row>
    <row r="529" spans="6:8" s="32" customFormat="1">
      <c r="F529" s="37"/>
      <c r="H529" s="38"/>
    </row>
    <row r="530" spans="6:8" s="32" customFormat="1">
      <c r="F530" s="37"/>
      <c r="H530" s="38"/>
    </row>
    <row r="531" spans="6:8" s="32" customFormat="1">
      <c r="F531" s="37"/>
      <c r="H531" s="38"/>
    </row>
    <row r="532" spans="6:8" s="32" customFormat="1">
      <c r="F532" s="37"/>
      <c r="H532" s="38"/>
    </row>
    <row r="533" spans="6:8" s="32" customFormat="1">
      <c r="F533" s="37"/>
      <c r="H533" s="38"/>
    </row>
    <row r="534" spans="6:8" s="32" customFormat="1">
      <c r="F534" s="37"/>
      <c r="H534" s="38"/>
    </row>
    <row r="535" spans="6:8" s="32" customFormat="1">
      <c r="F535" s="37"/>
      <c r="H535" s="38"/>
    </row>
    <row r="536" spans="6:8" s="32" customFormat="1">
      <c r="F536" s="37"/>
      <c r="H536" s="38"/>
    </row>
    <row r="537" spans="6:8" s="32" customFormat="1">
      <c r="F537" s="37"/>
      <c r="H537" s="38"/>
    </row>
    <row r="538" spans="6:8" s="32" customFormat="1">
      <c r="F538" s="37"/>
      <c r="H538" s="38"/>
    </row>
    <row r="539" spans="6:8" s="32" customFormat="1">
      <c r="F539" s="37"/>
      <c r="H539" s="38"/>
    </row>
    <row r="540" spans="6:8" s="32" customFormat="1">
      <c r="F540" s="37"/>
      <c r="H540" s="38"/>
    </row>
    <row r="541" spans="6:8" s="32" customFormat="1">
      <c r="F541" s="37"/>
      <c r="H541" s="38"/>
    </row>
    <row r="542" spans="6:8" s="32" customFormat="1">
      <c r="F542" s="37"/>
      <c r="H542" s="38"/>
    </row>
    <row r="543" spans="6:8" s="32" customFormat="1">
      <c r="F543" s="37"/>
      <c r="H543" s="38"/>
    </row>
    <row r="544" spans="6:8" s="32" customFormat="1">
      <c r="F544" s="37"/>
      <c r="H544" s="38"/>
    </row>
    <row r="545" spans="6:8" s="32" customFormat="1">
      <c r="F545" s="37"/>
      <c r="H545" s="38"/>
    </row>
    <row r="546" spans="6:8" s="32" customFormat="1">
      <c r="F546" s="37"/>
      <c r="H546" s="38"/>
    </row>
    <row r="547" spans="6:8" s="32" customFormat="1">
      <c r="F547" s="37"/>
      <c r="H547" s="38"/>
    </row>
    <row r="548" spans="6:8" s="32" customFormat="1">
      <c r="F548" s="37"/>
      <c r="H548" s="38"/>
    </row>
    <row r="549" spans="6:8" s="32" customFormat="1">
      <c r="F549" s="37"/>
      <c r="H549" s="38"/>
    </row>
    <row r="550" spans="6:8" s="32" customFormat="1">
      <c r="F550" s="37"/>
      <c r="H550" s="38"/>
    </row>
    <row r="551" spans="6:8" s="32" customFormat="1">
      <c r="F551" s="37"/>
      <c r="H551" s="38"/>
    </row>
    <row r="552" spans="6:8" s="32" customFormat="1">
      <c r="F552" s="37"/>
      <c r="H552" s="38"/>
    </row>
    <row r="553" spans="6:8" s="32" customFormat="1">
      <c r="F553" s="37"/>
      <c r="H553" s="38"/>
    </row>
    <row r="554" spans="6:8" s="32" customFormat="1">
      <c r="F554" s="37"/>
      <c r="H554" s="38"/>
    </row>
    <row r="555" spans="6:8" s="32" customFormat="1">
      <c r="F555" s="37"/>
      <c r="H555" s="38"/>
    </row>
    <row r="556" spans="6:8" s="32" customFormat="1">
      <c r="F556" s="37"/>
      <c r="H556" s="38"/>
    </row>
    <row r="557" spans="6:8" s="32" customFormat="1">
      <c r="F557" s="37"/>
      <c r="H557" s="38"/>
    </row>
    <row r="558" spans="6:8" s="32" customFormat="1">
      <c r="F558" s="37"/>
      <c r="H558" s="38"/>
    </row>
    <row r="559" spans="6:8" s="32" customFormat="1">
      <c r="F559" s="37"/>
      <c r="H559" s="38"/>
    </row>
    <row r="560" spans="6:8" s="32" customFormat="1">
      <c r="F560" s="37"/>
      <c r="H560" s="38"/>
    </row>
    <row r="561" spans="6:8" s="32" customFormat="1">
      <c r="F561" s="37"/>
      <c r="H561" s="38"/>
    </row>
    <row r="562" spans="6:8" s="32" customFormat="1">
      <c r="F562" s="37"/>
      <c r="H562" s="38"/>
    </row>
    <row r="563" spans="6:8" s="32" customFormat="1">
      <c r="F563" s="37"/>
      <c r="H563" s="38"/>
    </row>
    <row r="564" spans="6:8" s="32" customFormat="1">
      <c r="F564" s="37"/>
      <c r="H564" s="38"/>
    </row>
    <row r="565" spans="6:8" s="32" customFormat="1">
      <c r="F565" s="37"/>
      <c r="H565" s="38"/>
    </row>
    <row r="566" spans="6:8" s="32" customFormat="1">
      <c r="F566" s="37"/>
      <c r="H566" s="38"/>
    </row>
    <row r="567" spans="6:8" s="32" customFormat="1">
      <c r="F567" s="37"/>
      <c r="H567" s="38"/>
    </row>
    <row r="568" spans="6:8" s="32" customFormat="1">
      <c r="F568" s="37"/>
      <c r="H568" s="38"/>
    </row>
    <row r="569" spans="6:8" s="32" customFormat="1">
      <c r="F569" s="37"/>
      <c r="H569" s="38"/>
    </row>
    <row r="570" spans="6:8" s="32" customFormat="1">
      <c r="F570" s="37"/>
      <c r="H570" s="38"/>
    </row>
    <row r="571" spans="6:8" s="32" customFormat="1">
      <c r="F571" s="37"/>
      <c r="H571" s="38"/>
    </row>
    <row r="572" spans="6:8" s="32" customFormat="1">
      <c r="F572" s="37"/>
      <c r="H572" s="38"/>
    </row>
    <row r="573" spans="6:8" s="32" customFormat="1">
      <c r="F573" s="37"/>
      <c r="H573" s="38"/>
    </row>
    <row r="574" spans="6:8" s="32" customFormat="1">
      <c r="F574" s="37"/>
      <c r="H574" s="38"/>
    </row>
    <row r="575" spans="6:8" s="32" customFormat="1">
      <c r="F575" s="37"/>
      <c r="H575" s="38"/>
    </row>
    <row r="576" spans="6:8" s="32" customFormat="1">
      <c r="F576" s="37"/>
      <c r="H576" s="38"/>
    </row>
    <row r="577" spans="6:8" s="32" customFormat="1">
      <c r="F577" s="37"/>
      <c r="H577" s="38"/>
    </row>
    <row r="578" spans="6:8" s="32" customFormat="1">
      <c r="F578" s="37"/>
      <c r="H578" s="38"/>
    </row>
    <row r="579" spans="6:8" s="32" customFormat="1">
      <c r="F579" s="37"/>
      <c r="H579" s="38"/>
    </row>
    <row r="580" spans="6:8" s="32" customFormat="1">
      <c r="F580" s="37"/>
      <c r="H580" s="38"/>
    </row>
    <row r="581" spans="6:8" s="32" customFormat="1">
      <c r="F581" s="37"/>
      <c r="H581" s="38"/>
    </row>
    <row r="582" spans="6:8" s="32" customFormat="1">
      <c r="F582" s="37"/>
      <c r="H582" s="38"/>
    </row>
    <row r="583" spans="6:8" s="32" customFormat="1">
      <c r="F583" s="37"/>
      <c r="H583" s="38"/>
    </row>
    <row r="584" spans="6:8" s="32" customFormat="1">
      <c r="F584" s="37"/>
      <c r="H584" s="38"/>
    </row>
    <row r="585" spans="6:8" s="32" customFormat="1">
      <c r="F585" s="37"/>
      <c r="H585" s="38"/>
    </row>
    <row r="586" spans="6:8" s="32" customFormat="1">
      <c r="F586" s="37"/>
      <c r="H586" s="38"/>
    </row>
    <row r="587" spans="6:8" s="32" customFormat="1">
      <c r="F587" s="37"/>
      <c r="H587" s="38"/>
    </row>
    <row r="588" spans="6:8" s="32" customFormat="1">
      <c r="F588" s="37"/>
      <c r="H588" s="38"/>
    </row>
    <row r="589" spans="6:8" s="32" customFormat="1">
      <c r="F589" s="37"/>
      <c r="H589" s="38"/>
    </row>
    <row r="590" spans="6:8" s="32" customFormat="1">
      <c r="F590" s="37"/>
      <c r="H590" s="38"/>
    </row>
    <row r="591" spans="6:8" s="32" customFormat="1">
      <c r="F591" s="37"/>
      <c r="H591" s="38"/>
    </row>
    <row r="592" spans="6:8" s="32" customFormat="1">
      <c r="F592" s="37"/>
      <c r="H592" s="38"/>
    </row>
    <row r="593" spans="6:8" s="32" customFormat="1">
      <c r="F593" s="37"/>
      <c r="H593" s="38"/>
    </row>
    <row r="594" spans="6:8" s="32" customFormat="1">
      <c r="F594" s="37"/>
      <c r="H594" s="38"/>
    </row>
    <row r="595" spans="6:8" s="32" customFormat="1">
      <c r="F595" s="37"/>
      <c r="H595" s="38"/>
    </row>
    <row r="596" spans="6:8" s="32" customFormat="1">
      <c r="F596" s="37"/>
      <c r="H596" s="38"/>
    </row>
    <row r="597" spans="6:8" s="32" customFormat="1">
      <c r="F597" s="37"/>
      <c r="H597" s="38"/>
    </row>
    <row r="598" spans="6:8" s="32" customFormat="1">
      <c r="F598" s="37"/>
      <c r="H598" s="38"/>
    </row>
    <row r="599" spans="6:8" s="32" customFormat="1">
      <c r="F599" s="37"/>
      <c r="H599" s="38"/>
    </row>
    <row r="600" spans="6:8" s="32" customFormat="1">
      <c r="F600" s="37"/>
      <c r="H600" s="38"/>
    </row>
    <row r="601" spans="6:8" s="32" customFormat="1">
      <c r="F601" s="37"/>
      <c r="H601" s="38"/>
    </row>
    <row r="602" spans="6:8" s="32" customFormat="1">
      <c r="F602" s="37"/>
      <c r="H602" s="38"/>
    </row>
    <row r="603" spans="6:8" s="32" customFormat="1">
      <c r="F603" s="37"/>
      <c r="H603" s="38"/>
    </row>
    <row r="604" spans="6:8" s="32" customFormat="1">
      <c r="F604" s="37"/>
      <c r="H604" s="38"/>
    </row>
    <row r="605" spans="6:8" s="32" customFormat="1">
      <c r="F605" s="37"/>
      <c r="H605" s="38"/>
    </row>
    <row r="606" spans="6:8" s="32" customFormat="1">
      <c r="F606" s="37"/>
      <c r="H606" s="38"/>
    </row>
    <row r="607" spans="6:8" s="32" customFormat="1">
      <c r="F607" s="37"/>
      <c r="H607" s="38"/>
    </row>
    <row r="608" spans="6:8" s="32" customFormat="1">
      <c r="F608" s="37"/>
      <c r="H608" s="38"/>
    </row>
    <row r="609" spans="6:8" s="32" customFormat="1">
      <c r="F609" s="37"/>
      <c r="H609" s="38"/>
    </row>
    <row r="610" spans="6:8" s="32" customFormat="1">
      <c r="F610" s="37"/>
      <c r="H610" s="38"/>
    </row>
    <row r="611" spans="6:8" s="32" customFormat="1">
      <c r="F611" s="37"/>
      <c r="H611" s="38"/>
    </row>
    <row r="612" spans="6:8" s="32" customFormat="1">
      <c r="F612" s="37"/>
      <c r="H612" s="38"/>
    </row>
    <row r="613" spans="6:8" s="32" customFormat="1">
      <c r="F613" s="37"/>
      <c r="H613" s="38"/>
    </row>
    <row r="614" spans="6:8" s="32" customFormat="1">
      <c r="F614" s="37"/>
      <c r="H614" s="38"/>
    </row>
    <row r="615" spans="6:8" s="32" customFormat="1">
      <c r="F615" s="37"/>
      <c r="H615" s="38"/>
    </row>
    <row r="616" spans="6:8" s="32" customFormat="1">
      <c r="F616" s="37"/>
      <c r="H616" s="38"/>
    </row>
    <row r="617" spans="6:8" s="32" customFormat="1">
      <c r="F617" s="37"/>
      <c r="H617" s="38"/>
    </row>
    <row r="618" spans="6:8" s="32" customFormat="1">
      <c r="F618" s="37"/>
      <c r="H618" s="38"/>
    </row>
    <row r="619" spans="6:8" s="32" customFormat="1">
      <c r="F619" s="37"/>
      <c r="H619" s="38"/>
    </row>
    <row r="620" spans="6:8" s="32" customFormat="1">
      <c r="F620" s="37"/>
      <c r="H620" s="38"/>
    </row>
    <row r="621" spans="6:8" s="32" customFormat="1">
      <c r="F621" s="37"/>
      <c r="H621" s="38"/>
    </row>
    <row r="622" spans="6:8" s="32" customFormat="1">
      <c r="F622" s="37"/>
      <c r="H622" s="38"/>
    </row>
    <row r="623" spans="6:8" s="32" customFormat="1">
      <c r="F623" s="37"/>
      <c r="H623" s="38"/>
    </row>
    <row r="624" spans="6:8" s="32" customFormat="1">
      <c r="F624" s="37"/>
      <c r="H624" s="38"/>
    </row>
    <row r="625" spans="6:8" s="32" customFormat="1">
      <c r="F625" s="37"/>
      <c r="H625" s="38"/>
    </row>
    <row r="626" spans="6:8" s="32" customFormat="1">
      <c r="F626" s="37"/>
      <c r="H626" s="38"/>
    </row>
    <row r="627" spans="6:8" s="32" customFormat="1">
      <c r="F627" s="37"/>
      <c r="H627" s="38"/>
    </row>
    <row r="628" spans="6:8" s="32" customFormat="1">
      <c r="F628" s="37"/>
      <c r="H628" s="38"/>
    </row>
    <row r="629" spans="6:8" s="32" customFormat="1">
      <c r="F629" s="37"/>
      <c r="H629" s="38"/>
    </row>
    <row r="630" spans="6:8" s="32" customFormat="1">
      <c r="F630" s="37"/>
      <c r="H630" s="38"/>
    </row>
    <row r="631" spans="6:8" s="32" customFormat="1">
      <c r="F631" s="37"/>
      <c r="H631" s="38"/>
    </row>
    <row r="632" spans="6:8" s="32" customFormat="1">
      <c r="F632" s="37"/>
      <c r="H632" s="38"/>
    </row>
    <row r="633" spans="6:8" s="32" customFormat="1">
      <c r="F633" s="37"/>
      <c r="H633" s="38"/>
    </row>
    <row r="634" spans="6:8" s="32" customFormat="1">
      <c r="F634" s="37"/>
      <c r="H634" s="38"/>
    </row>
    <row r="635" spans="6:8" s="32" customFormat="1">
      <c r="F635" s="37"/>
      <c r="H635" s="38"/>
    </row>
    <row r="636" spans="6:8" s="32" customFormat="1">
      <c r="F636" s="37"/>
      <c r="H636" s="38"/>
    </row>
    <row r="637" spans="6:8" s="32" customFormat="1">
      <c r="F637" s="37"/>
      <c r="H637" s="38"/>
    </row>
    <row r="638" spans="6:8" s="32" customFormat="1">
      <c r="F638" s="37"/>
      <c r="H638" s="38"/>
    </row>
    <row r="639" spans="6:8" s="32" customFormat="1">
      <c r="F639" s="37"/>
      <c r="H639" s="38"/>
    </row>
    <row r="640" spans="6:8" s="32" customFormat="1">
      <c r="F640" s="37"/>
      <c r="H640" s="38"/>
    </row>
    <row r="641" spans="6:8" s="32" customFormat="1">
      <c r="F641" s="37"/>
      <c r="H641" s="38"/>
    </row>
    <row r="642" spans="6:8" s="32" customFormat="1">
      <c r="F642" s="37"/>
      <c r="H642" s="38"/>
    </row>
    <row r="643" spans="6:8" s="32" customFormat="1">
      <c r="F643" s="37"/>
      <c r="H643" s="38"/>
    </row>
    <row r="644" spans="6:8" s="32" customFormat="1">
      <c r="F644" s="37"/>
      <c r="H644" s="38"/>
    </row>
    <row r="645" spans="6:8" s="32" customFormat="1">
      <c r="F645" s="37"/>
      <c r="H645" s="38"/>
    </row>
    <row r="646" spans="6:8" s="32" customFormat="1">
      <c r="F646" s="37"/>
      <c r="H646" s="38"/>
    </row>
    <row r="647" spans="6:8" s="32" customFormat="1">
      <c r="F647" s="37"/>
      <c r="H647" s="38"/>
    </row>
    <row r="648" spans="6:8" s="32" customFormat="1">
      <c r="F648" s="37"/>
      <c r="H648" s="38"/>
    </row>
    <row r="649" spans="6:8" s="32" customFormat="1">
      <c r="F649" s="37"/>
      <c r="H649" s="38"/>
    </row>
    <row r="650" spans="6:8" s="32" customFormat="1">
      <c r="F650" s="37"/>
      <c r="H650" s="38"/>
    </row>
    <row r="651" spans="6:8" s="32" customFormat="1">
      <c r="F651" s="37"/>
      <c r="H651" s="38"/>
    </row>
    <row r="652" spans="6:8" s="32" customFormat="1">
      <c r="F652" s="37"/>
      <c r="H652" s="38"/>
    </row>
    <row r="653" spans="6:8" s="32" customFormat="1">
      <c r="F653" s="37"/>
      <c r="H653" s="38"/>
    </row>
    <row r="654" spans="6:8" s="32" customFormat="1">
      <c r="F654" s="37"/>
      <c r="H654" s="38"/>
    </row>
    <row r="655" spans="6:8" s="32" customFormat="1">
      <c r="F655" s="37"/>
      <c r="H655" s="38"/>
    </row>
    <row r="656" spans="6:8" s="32" customFormat="1">
      <c r="F656" s="37"/>
      <c r="H656" s="38"/>
    </row>
    <row r="657" spans="6:8" s="32" customFormat="1">
      <c r="F657" s="37"/>
      <c r="H657" s="38"/>
    </row>
    <row r="658" spans="6:8" s="32" customFormat="1">
      <c r="F658" s="37"/>
      <c r="H658" s="38"/>
    </row>
    <row r="659" spans="6:8" s="32" customFormat="1">
      <c r="F659" s="37"/>
      <c r="H659" s="38"/>
    </row>
    <row r="660" spans="6:8" s="32" customFormat="1">
      <c r="F660" s="37"/>
      <c r="H660" s="38"/>
    </row>
    <row r="661" spans="6:8" s="32" customFormat="1">
      <c r="F661" s="37"/>
      <c r="H661" s="38"/>
    </row>
    <row r="662" spans="6:8" s="32" customFormat="1">
      <c r="F662" s="37"/>
      <c r="H662" s="38"/>
    </row>
    <row r="663" spans="6:8" s="32" customFormat="1">
      <c r="F663" s="37"/>
      <c r="H663" s="38"/>
    </row>
    <row r="664" spans="6:8" s="32" customFormat="1">
      <c r="F664" s="37"/>
      <c r="H664" s="38"/>
    </row>
    <row r="665" spans="6:8" s="32" customFormat="1">
      <c r="F665" s="37"/>
      <c r="H665" s="38"/>
    </row>
    <row r="666" spans="6:8" s="32" customFormat="1">
      <c r="F666" s="37"/>
      <c r="H666" s="38"/>
    </row>
    <row r="667" spans="6:8" s="32" customFormat="1">
      <c r="F667" s="37"/>
      <c r="H667" s="38"/>
    </row>
    <row r="668" spans="6:8" s="32" customFormat="1">
      <c r="F668" s="37"/>
      <c r="H668" s="38"/>
    </row>
    <row r="669" spans="6:8" s="32" customFormat="1">
      <c r="F669" s="37"/>
      <c r="H669" s="38"/>
    </row>
    <row r="670" spans="6:8" s="32" customFormat="1">
      <c r="F670" s="37"/>
      <c r="H670" s="38"/>
    </row>
    <row r="671" spans="6:8" s="32" customFormat="1">
      <c r="F671" s="37"/>
      <c r="H671" s="38"/>
    </row>
    <row r="672" spans="6:8" s="32" customFormat="1">
      <c r="F672" s="37"/>
      <c r="H672" s="38"/>
    </row>
    <row r="673" spans="6:8" s="32" customFormat="1">
      <c r="F673" s="37"/>
      <c r="H673" s="38"/>
    </row>
    <row r="674" spans="6:8" s="32" customFormat="1">
      <c r="F674" s="37"/>
      <c r="H674" s="38"/>
    </row>
    <row r="675" spans="6:8" s="32" customFormat="1">
      <c r="F675" s="37"/>
      <c r="H675" s="38"/>
    </row>
    <row r="676" spans="6:8" s="32" customFormat="1">
      <c r="F676" s="37"/>
      <c r="H676" s="38"/>
    </row>
    <row r="677" spans="6:8" s="32" customFormat="1">
      <c r="F677" s="37"/>
      <c r="H677" s="38"/>
    </row>
    <row r="678" spans="6:8" s="32" customFormat="1">
      <c r="F678" s="37"/>
      <c r="H678" s="38"/>
    </row>
    <row r="679" spans="6:8" s="32" customFormat="1">
      <c r="F679" s="37"/>
      <c r="H679" s="38"/>
    </row>
    <row r="680" spans="6:8" s="32" customFormat="1">
      <c r="F680" s="37"/>
      <c r="H680" s="38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799"/>
  <sheetViews>
    <sheetView zoomScaleNormal="100" workbookViewId="0">
      <selection activeCell="B78" sqref="B78"/>
    </sheetView>
  </sheetViews>
  <sheetFormatPr defaultRowHeight="12.75"/>
  <cols>
    <col min="1" max="1" width="3.42578125" style="32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5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107" width="9.140625" style="32"/>
  </cols>
  <sheetData>
    <row r="1" spans="1:9" ht="15.95" customHeight="1">
      <c r="A1" s="29"/>
      <c r="B1" s="169" t="s">
        <v>236</v>
      </c>
      <c r="C1" s="170"/>
      <c r="D1" s="170"/>
      <c r="E1" s="170"/>
      <c r="F1" s="170"/>
      <c r="G1" s="170"/>
      <c r="H1" s="171"/>
      <c r="I1" s="1"/>
    </row>
    <row r="2" spans="1:9" ht="12.95" customHeight="1" thickBot="1">
      <c r="A2" s="29"/>
      <c r="B2" s="181" t="s">
        <v>386</v>
      </c>
      <c r="C2" s="182"/>
      <c r="D2" s="182"/>
      <c r="E2" s="182"/>
      <c r="F2" s="182"/>
      <c r="G2" s="182"/>
      <c r="H2" s="183"/>
      <c r="I2" s="1"/>
    </row>
    <row r="3" spans="1:9" ht="12.95" customHeight="1">
      <c r="A3" s="29"/>
      <c r="B3" s="96"/>
      <c r="C3" s="96"/>
      <c r="D3" s="96"/>
      <c r="E3" s="96"/>
      <c r="F3" s="96"/>
      <c r="G3" s="96"/>
      <c r="H3" s="96"/>
      <c r="I3" s="1"/>
    </row>
    <row r="4" spans="1:9" s="32" customFormat="1" ht="12.95" customHeight="1" thickBot="1">
      <c r="A4" s="30"/>
      <c r="B4" s="33" t="s">
        <v>2</v>
      </c>
      <c r="C4" s="29"/>
      <c r="D4" s="29"/>
      <c r="E4" s="29"/>
      <c r="F4" s="34"/>
      <c r="G4" s="29"/>
      <c r="H4" s="35"/>
      <c r="I4" s="29"/>
    </row>
    <row r="5" spans="1:9" ht="27.95" customHeight="1">
      <c r="A5" s="29"/>
      <c r="B5" s="58" t="s">
        <v>3</v>
      </c>
      <c r="C5" s="59" t="s">
        <v>4</v>
      </c>
      <c r="D5" s="60" t="s">
        <v>48</v>
      </c>
      <c r="E5" s="60" t="s">
        <v>6</v>
      </c>
      <c r="F5" s="61" t="s">
        <v>7</v>
      </c>
      <c r="G5" s="60" t="s">
        <v>8</v>
      </c>
      <c r="H5" s="62" t="s">
        <v>9</v>
      </c>
      <c r="I5" s="39" t="s">
        <v>10</v>
      </c>
    </row>
    <row r="6" spans="1:9">
      <c r="A6" s="29"/>
      <c r="B6" s="100" t="s">
        <v>49</v>
      </c>
      <c r="C6" s="45"/>
      <c r="D6" s="46"/>
      <c r="E6" s="46"/>
      <c r="F6" s="47"/>
      <c r="G6" s="46"/>
      <c r="H6" s="101"/>
      <c r="I6" s="97"/>
    </row>
    <row r="7" spans="1:9">
      <c r="A7" s="29"/>
      <c r="B7" s="100" t="s">
        <v>50</v>
      </c>
      <c r="C7" s="45"/>
      <c r="D7" s="46"/>
      <c r="E7" s="46"/>
      <c r="F7" s="47"/>
      <c r="G7" s="46"/>
      <c r="H7" s="101"/>
      <c r="I7" s="97"/>
    </row>
    <row r="8" spans="1:9">
      <c r="A8" s="29"/>
      <c r="B8" s="100" t="s">
        <v>379</v>
      </c>
      <c r="C8" s="45"/>
      <c r="D8" s="46"/>
      <c r="E8" s="46"/>
      <c r="F8" s="47"/>
      <c r="G8" s="46"/>
      <c r="H8" s="101"/>
      <c r="I8" s="97"/>
    </row>
    <row r="9" spans="1:9" ht="12.95" customHeight="1">
      <c r="A9" s="31"/>
      <c r="B9" s="65" t="s">
        <v>200</v>
      </c>
      <c r="C9" s="19" t="s">
        <v>201</v>
      </c>
      <c r="D9" s="19" t="s">
        <v>56</v>
      </c>
      <c r="E9" s="50">
        <v>28000</v>
      </c>
      <c r="F9" s="51">
        <v>311.262</v>
      </c>
      <c r="G9" s="52">
        <v>311.26</v>
      </c>
      <c r="H9" s="66">
        <v>8.3508621498842431E-2</v>
      </c>
      <c r="I9" s="3">
        <v>8.3500000000000005E-2</v>
      </c>
    </row>
    <row r="10" spans="1:9" ht="12.95" customHeight="1">
      <c r="A10" s="31"/>
      <c r="B10" s="65" t="s">
        <v>77</v>
      </c>
      <c r="C10" s="19" t="s">
        <v>78</v>
      </c>
      <c r="D10" s="19" t="s">
        <v>56</v>
      </c>
      <c r="E10" s="50">
        <v>65250</v>
      </c>
      <c r="F10" s="51">
        <v>197.316</v>
      </c>
      <c r="G10" s="52">
        <v>197.32</v>
      </c>
      <c r="H10" s="66">
        <v>5.2937998084140021E-2</v>
      </c>
      <c r="I10" s="3">
        <v>5.2900000000000003E-2</v>
      </c>
    </row>
    <row r="11" spans="1:9" ht="12.95" customHeight="1">
      <c r="A11" s="31"/>
      <c r="B11" s="65" t="s">
        <v>86</v>
      </c>
      <c r="C11" s="19" t="s">
        <v>87</v>
      </c>
      <c r="D11" s="19" t="s">
        <v>56</v>
      </c>
      <c r="E11" s="50">
        <v>18500</v>
      </c>
      <c r="F11" s="51">
        <v>180.87450000000001</v>
      </c>
      <c r="G11" s="52">
        <v>180.87</v>
      </c>
      <c r="H11" s="66">
        <v>4.8526900679467376E-2</v>
      </c>
      <c r="I11" s="3">
        <v>4.8500000000000001E-2</v>
      </c>
    </row>
    <row r="12" spans="1:9" ht="12.95" customHeight="1">
      <c r="A12" s="31"/>
      <c r="B12" s="65" t="s">
        <v>210</v>
      </c>
      <c r="C12" s="19" t="s">
        <v>211</v>
      </c>
      <c r="D12" s="19" t="s">
        <v>145</v>
      </c>
      <c r="E12" s="50">
        <v>3930</v>
      </c>
      <c r="F12" s="51">
        <v>170.22598500000001</v>
      </c>
      <c r="G12" s="52">
        <v>170.23</v>
      </c>
      <c r="H12" s="66">
        <v>4.5670005817069315E-2</v>
      </c>
      <c r="I12" s="3">
        <v>4.5699999999999998E-2</v>
      </c>
    </row>
    <row r="13" spans="1:9" ht="12.95" customHeight="1">
      <c r="A13" s="31"/>
      <c r="B13" s="65" t="s">
        <v>91</v>
      </c>
      <c r="C13" s="19" t="s">
        <v>92</v>
      </c>
      <c r="D13" s="19" t="s">
        <v>93</v>
      </c>
      <c r="E13" s="50">
        <v>15250</v>
      </c>
      <c r="F13" s="51">
        <v>134.62700000000001</v>
      </c>
      <c r="G13" s="52">
        <v>134.63</v>
      </c>
      <c r="H13" s="66">
        <v>3.6119138174671689E-2</v>
      </c>
      <c r="I13" s="3">
        <v>3.61E-2</v>
      </c>
    </row>
    <row r="14" spans="1:9" ht="12.95" customHeight="1">
      <c r="A14" s="31"/>
      <c r="B14" s="65" t="s">
        <v>212</v>
      </c>
      <c r="C14" s="19" t="s">
        <v>213</v>
      </c>
      <c r="D14" s="19" t="s">
        <v>93</v>
      </c>
      <c r="E14" s="50">
        <v>40100</v>
      </c>
      <c r="F14" s="51">
        <v>130.726</v>
      </c>
      <c r="G14" s="52">
        <v>130.72999999999999</v>
      </c>
      <c r="H14" s="66">
        <v>3.5072537136102942E-2</v>
      </c>
      <c r="I14" s="3">
        <v>3.5099999999999999E-2</v>
      </c>
    </row>
    <row r="15" spans="1:9" ht="12.95" customHeight="1">
      <c r="A15" s="31"/>
      <c r="B15" s="65" t="s">
        <v>51</v>
      </c>
      <c r="C15" s="19" t="s">
        <v>52</v>
      </c>
      <c r="D15" s="19" t="s">
        <v>53</v>
      </c>
      <c r="E15" s="50">
        <v>14100</v>
      </c>
      <c r="F15" s="51">
        <v>129.95265000000001</v>
      </c>
      <c r="G15" s="52">
        <v>129.94999999999999</v>
      </c>
      <c r="H15" s="66">
        <v>3.4865054717959615E-2</v>
      </c>
      <c r="I15" s="3">
        <v>3.49E-2</v>
      </c>
    </row>
    <row r="16" spans="1:9" ht="12.95" customHeight="1">
      <c r="A16" s="31"/>
      <c r="B16" s="65" t="s">
        <v>79</v>
      </c>
      <c r="C16" s="19" t="s">
        <v>80</v>
      </c>
      <c r="D16" s="19" t="s">
        <v>81</v>
      </c>
      <c r="E16" s="50">
        <v>13444</v>
      </c>
      <c r="F16" s="51">
        <v>111.948188</v>
      </c>
      <c r="G16" s="52">
        <v>111.95</v>
      </c>
      <c r="H16" s="66">
        <v>3.0034629537731086E-2</v>
      </c>
      <c r="I16" s="3">
        <v>0.03</v>
      </c>
    </row>
    <row r="17" spans="1:9" ht="12.95" customHeight="1">
      <c r="A17" s="31"/>
      <c r="B17" s="65" t="s">
        <v>164</v>
      </c>
      <c r="C17" s="19" t="s">
        <v>165</v>
      </c>
      <c r="D17" s="19" t="s">
        <v>93</v>
      </c>
      <c r="E17" s="50">
        <v>3546</v>
      </c>
      <c r="F17" s="51">
        <v>111.828429</v>
      </c>
      <c r="G17" s="52">
        <v>111.83</v>
      </c>
      <c r="H17" s="66">
        <v>3.000249934194079E-2</v>
      </c>
      <c r="I17" s="3">
        <v>0.03</v>
      </c>
    </row>
    <row r="18" spans="1:9" ht="12.95" customHeight="1">
      <c r="A18" s="31"/>
      <c r="B18" s="65" t="s">
        <v>65</v>
      </c>
      <c r="C18" s="19" t="s">
        <v>66</v>
      </c>
      <c r="D18" s="19" t="s">
        <v>67</v>
      </c>
      <c r="E18" s="50">
        <v>26979</v>
      </c>
      <c r="F18" s="51">
        <v>99.889747499999999</v>
      </c>
      <c r="G18" s="52">
        <v>99.89</v>
      </c>
      <c r="H18" s="66">
        <v>2.6799465130958617E-2</v>
      </c>
      <c r="I18" s="3">
        <v>2.6800000000000001E-2</v>
      </c>
    </row>
    <row r="19" spans="1:9" ht="12.95" customHeight="1">
      <c r="A19" s="31"/>
      <c r="B19" s="65" t="s">
        <v>62</v>
      </c>
      <c r="C19" s="19" t="s">
        <v>63</v>
      </c>
      <c r="D19" s="19" t="s">
        <v>64</v>
      </c>
      <c r="E19" s="50">
        <v>11185</v>
      </c>
      <c r="F19" s="51">
        <v>98.696439999999996</v>
      </c>
      <c r="G19" s="52">
        <v>98.7</v>
      </c>
      <c r="H19" s="66">
        <v>2.6479312126900204E-2</v>
      </c>
      <c r="I19" s="3">
        <v>2.6499999999999999E-2</v>
      </c>
    </row>
    <row r="20" spans="1:9" ht="12.95" customHeight="1">
      <c r="A20" s="31"/>
      <c r="B20" s="65" t="s">
        <v>94</v>
      </c>
      <c r="C20" s="19" t="s">
        <v>95</v>
      </c>
      <c r="D20" s="19" t="s">
        <v>93</v>
      </c>
      <c r="E20" s="50">
        <v>7000</v>
      </c>
      <c r="F20" s="51">
        <v>91.77</v>
      </c>
      <c r="G20" s="52">
        <v>91.77</v>
      </c>
      <c r="H20" s="66">
        <v>2.4621014434620253E-2</v>
      </c>
      <c r="I20" s="3">
        <v>2.46E-2</v>
      </c>
    </row>
    <row r="21" spans="1:9" ht="12.95" customHeight="1">
      <c r="A21" s="31"/>
      <c r="B21" s="65" t="s">
        <v>221</v>
      </c>
      <c r="C21" s="19" t="s">
        <v>222</v>
      </c>
      <c r="D21" s="19" t="s">
        <v>56</v>
      </c>
      <c r="E21" s="50">
        <v>33950</v>
      </c>
      <c r="F21" s="51">
        <v>91.681974999999994</v>
      </c>
      <c r="G21" s="52">
        <v>91.68</v>
      </c>
      <c r="H21" s="66">
        <v>2.4597398167914276E-2</v>
      </c>
      <c r="I21" s="3">
        <v>2.46E-2</v>
      </c>
    </row>
    <row r="22" spans="1:9" ht="12.95" customHeight="1">
      <c r="A22" s="31"/>
      <c r="B22" s="65" t="s">
        <v>124</v>
      </c>
      <c r="C22" s="19" t="s">
        <v>125</v>
      </c>
      <c r="D22" s="19" t="s">
        <v>93</v>
      </c>
      <c r="E22" s="50">
        <v>1700</v>
      </c>
      <c r="F22" s="51">
        <v>87.422499999999999</v>
      </c>
      <c r="G22" s="52">
        <v>87.42</v>
      </c>
      <c r="H22" s="66">
        <v>2.3454621710914125E-2</v>
      </c>
      <c r="I22" s="3">
        <v>2.35E-2</v>
      </c>
    </row>
    <row r="23" spans="1:9" ht="12.95" customHeight="1">
      <c r="A23" s="31"/>
      <c r="B23" s="65" t="s">
        <v>385</v>
      </c>
      <c r="C23" s="19" t="s">
        <v>218</v>
      </c>
      <c r="D23" s="19" t="s">
        <v>145</v>
      </c>
      <c r="E23" s="50">
        <v>33286</v>
      </c>
      <c r="F23" s="51">
        <v>86.560243</v>
      </c>
      <c r="G23" s="52">
        <v>86.56</v>
      </c>
      <c r="H23" s="66">
        <v>2.3223286393889472E-2</v>
      </c>
      <c r="I23" s="3">
        <v>2.3199999999999998E-2</v>
      </c>
    </row>
    <row r="24" spans="1:9" ht="12.95" customHeight="1">
      <c r="A24" s="31"/>
      <c r="B24" s="65" t="s">
        <v>208</v>
      </c>
      <c r="C24" s="19" t="s">
        <v>209</v>
      </c>
      <c r="D24" s="19" t="s">
        <v>61</v>
      </c>
      <c r="E24" s="50">
        <v>6000</v>
      </c>
      <c r="F24" s="51">
        <v>80.424000000000007</v>
      </c>
      <c r="G24" s="52">
        <v>80.42</v>
      </c>
      <c r="H24" s="66">
        <v>2.1576991008934284E-2</v>
      </c>
      <c r="I24" s="3">
        <v>2.1600000000000001E-2</v>
      </c>
    </row>
    <row r="25" spans="1:9" ht="12.95" customHeight="1">
      <c r="A25" s="31"/>
      <c r="B25" s="65" t="s">
        <v>250</v>
      </c>
      <c r="C25" s="19" t="s">
        <v>251</v>
      </c>
      <c r="D25" s="19" t="s">
        <v>93</v>
      </c>
      <c r="E25" s="50">
        <v>1200</v>
      </c>
      <c r="F25" s="51">
        <v>76.391400000000004</v>
      </c>
      <c r="G25" s="52">
        <v>76.39</v>
      </c>
      <c r="H25" s="66">
        <v>2.0495082947377681E-2</v>
      </c>
      <c r="I25" s="3">
        <v>2.0500000000000001E-2</v>
      </c>
    </row>
    <row r="26" spans="1:9" ht="12.95" customHeight="1">
      <c r="A26" s="31"/>
      <c r="B26" s="65" t="s">
        <v>227</v>
      </c>
      <c r="C26" s="19" t="s">
        <v>228</v>
      </c>
      <c r="D26" s="19" t="s">
        <v>229</v>
      </c>
      <c r="E26" s="50">
        <v>18078</v>
      </c>
      <c r="F26" s="51">
        <v>75.710663999999994</v>
      </c>
      <c r="G26" s="52">
        <v>75.709999999999994</v>
      </c>
      <c r="H26" s="66">
        <v>2.031244798080728E-2</v>
      </c>
      <c r="I26" s="3">
        <v>2.0299999999999999E-2</v>
      </c>
    </row>
    <row r="27" spans="1:9" ht="12.95" customHeight="1">
      <c r="A27" s="31"/>
      <c r="B27" s="65" t="s">
        <v>103</v>
      </c>
      <c r="C27" s="19" t="s">
        <v>104</v>
      </c>
      <c r="D27" s="19" t="s">
        <v>105</v>
      </c>
      <c r="E27" s="50">
        <v>9250</v>
      </c>
      <c r="F27" s="51">
        <v>63.135874999999999</v>
      </c>
      <c r="G27" s="52">
        <v>63.14</v>
      </c>
      <c r="H27" s="66">
        <v>1.693875220352381E-2</v>
      </c>
      <c r="I27" s="3">
        <v>1.6899999999999998E-2</v>
      </c>
    </row>
    <row r="28" spans="1:9" ht="12.95" customHeight="1">
      <c r="A28" s="31"/>
      <c r="B28" s="65" t="s">
        <v>255</v>
      </c>
      <c r="C28" s="19" t="s">
        <v>256</v>
      </c>
      <c r="D28" s="19" t="s">
        <v>93</v>
      </c>
      <c r="E28" s="50">
        <v>1000</v>
      </c>
      <c r="F28" s="51">
        <v>62.942500000000003</v>
      </c>
      <c r="G28" s="52">
        <v>62.94</v>
      </c>
      <c r="H28" s="66">
        <v>1.6886871538096166E-2</v>
      </c>
      <c r="I28" s="3">
        <v>1.6899999999999998E-2</v>
      </c>
    </row>
    <row r="29" spans="1:9" ht="12.95" customHeight="1">
      <c r="A29" s="31"/>
      <c r="B29" s="65" t="s">
        <v>139</v>
      </c>
      <c r="C29" s="19" t="s">
        <v>140</v>
      </c>
      <c r="D29" s="19" t="s">
        <v>73</v>
      </c>
      <c r="E29" s="50">
        <v>6367</v>
      </c>
      <c r="F29" s="51">
        <v>57.083338500000004</v>
      </c>
      <c r="G29" s="52">
        <v>57.08</v>
      </c>
      <c r="H29" s="66">
        <v>1.5314914472973892E-2</v>
      </c>
      <c r="I29" s="3">
        <v>1.5299999999999999E-2</v>
      </c>
    </row>
    <row r="30" spans="1:9" ht="12.95" customHeight="1">
      <c r="A30" s="31"/>
      <c r="B30" s="65" t="s">
        <v>134</v>
      </c>
      <c r="C30" s="19" t="s">
        <v>135</v>
      </c>
      <c r="D30" s="19" t="s">
        <v>136</v>
      </c>
      <c r="E30" s="50">
        <v>13500</v>
      </c>
      <c r="F30" s="51">
        <v>53.838000000000001</v>
      </c>
      <c r="G30" s="52">
        <v>53.84</v>
      </c>
      <c r="H30" s="66">
        <v>1.4444221152131254E-2</v>
      </c>
      <c r="I30" s="3">
        <v>1.44E-2</v>
      </c>
    </row>
    <row r="31" spans="1:9" ht="12.95" customHeight="1">
      <c r="A31" s="31"/>
      <c r="B31" s="65" t="s">
        <v>172</v>
      </c>
      <c r="C31" s="19" t="s">
        <v>173</v>
      </c>
      <c r="D31" s="19" t="s">
        <v>67</v>
      </c>
      <c r="E31" s="50">
        <v>700</v>
      </c>
      <c r="F31" s="51">
        <v>48.594700000000003</v>
      </c>
      <c r="G31" s="52">
        <v>48.59</v>
      </c>
      <c r="H31" s="66">
        <v>1.3037493844895292E-2</v>
      </c>
      <c r="I31" s="3">
        <v>1.2999999999999999E-2</v>
      </c>
    </row>
    <row r="32" spans="1:9" ht="12.95" customHeight="1">
      <c r="A32" s="31"/>
      <c r="B32" s="65" t="s">
        <v>132</v>
      </c>
      <c r="C32" s="19" t="s">
        <v>133</v>
      </c>
      <c r="D32" s="19" t="s">
        <v>53</v>
      </c>
      <c r="E32" s="50">
        <v>10071</v>
      </c>
      <c r="F32" s="51">
        <v>48.411296999999998</v>
      </c>
      <c r="G32" s="52">
        <v>48.41</v>
      </c>
      <c r="H32" s="66">
        <v>1.2988288571817459E-2</v>
      </c>
      <c r="I32" s="3">
        <v>1.2999999999999999E-2</v>
      </c>
    </row>
    <row r="33" spans="1:9" ht="12.95" customHeight="1">
      <c r="A33" s="31"/>
      <c r="B33" s="65" t="s">
        <v>266</v>
      </c>
      <c r="C33" s="19" t="s">
        <v>267</v>
      </c>
      <c r="D33" s="19" t="s">
        <v>145</v>
      </c>
      <c r="E33" s="50">
        <v>1553</v>
      </c>
      <c r="F33" s="51">
        <v>41.662331000000002</v>
      </c>
      <c r="G33" s="52">
        <v>41.66</v>
      </c>
      <c r="H33" s="66">
        <v>1.1177605458547749E-2</v>
      </c>
      <c r="I33" s="3">
        <v>1.12E-2</v>
      </c>
    </row>
    <row r="34" spans="1:9" ht="12.95" customHeight="1">
      <c r="A34" s="31"/>
      <c r="B34" s="65" t="s">
        <v>98</v>
      </c>
      <c r="C34" s="19" t="s">
        <v>99</v>
      </c>
      <c r="D34" s="19" t="s">
        <v>100</v>
      </c>
      <c r="E34" s="50">
        <v>20000</v>
      </c>
      <c r="F34" s="51">
        <v>36.74</v>
      </c>
      <c r="G34" s="52">
        <v>36.74</v>
      </c>
      <c r="H34" s="66">
        <v>9.8569910681916544E-3</v>
      </c>
      <c r="I34" s="3">
        <v>9.9000000000000008E-3</v>
      </c>
    </row>
    <row r="35" spans="1:9" ht="12.95" customHeight="1">
      <c r="A35" s="31"/>
      <c r="B35" s="65" t="s">
        <v>154</v>
      </c>
      <c r="C35" s="19" t="s">
        <v>155</v>
      </c>
      <c r="D35" s="19" t="s">
        <v>156</v>
      </c>
      <c r="E35" s="50">
        <v>10809</v>
      </c>
      <c r="F35" s="51">
        <v>32.605348499999998</v>
      </c>
      <c r="G35" s="52">
        <v>32.61</v>
      </c>
      <c r="H35" s="66">
        <v>8.7477035639568906E-3</v>
      </c>
      <c r="I35" s="3">
        <v>8.6999999999999994E-3</v>
      </c>
    </row>
    <row r="36" spans="1:9" ht="12.95" customHeight="1">
      <c r="A36" s="31"/>
      <c r="B36" s="65" t="s">
        <v>274</v>
      </c>
      <c r="C36" s="19" t="s">
        <v>275</v>
      </c>
      <c r="D36" s="19" t="s">
        <v>93</v>
      </c>
      <c r="E36" s="50">
        <v>1354</v>
      </c>
      <c r="F36" s="51">
        <v>26.942568999999999</v>
      </c>
      <c r="G36" s="52">
        <v>26.94</v>
      </c>
      <c r="H36" s="66">
        <v>7.2284339136401022E-3</v>
      </c>
      <c r="I36" s="3">
        <v>7.1999999999999998E-3</v>
      </c>
    </row>
    <row r="37" spans="1:9" ht="12.95" customHeight="1">
      <c r="A37" s="31"/>
      <c r="B37" s="65" t="s">
        <v>193</v>
      </c>
      <c r="C37" s="19" t="s">
        <v>194</v>
      </c>
      <c r="D37" s="19" t="s">
        <v>156</v>
      </c>
      <c r="E37" s="50">
        <v>1850</v>
      </c>
      <c r="F37" s="51">
        <v>5.9875249999999998</v>
      </c>
      <c r="G37" s="52">
        <v>5.99</v>
      </c>
      <c r="H37" s="66">
        <v>1.6063957660744212E-3</v>
      </c>
      <c r="I37" s="3">
        <v>1.6000000000000001E-3</v>
      </c>
    </row>
    <row r="38" spans="1:9" ht="12.95" customHeight="1">
      <c r="A38" s="31"/>
      <c r="B38" s="63" t="s">
        <v>38</v>
      </c>
      <c r="C38" s="19"/>
      <c r="D38" s="19"/>
      <c r="E38" s="50"/>
      <c r="F38" s="13">
        <f>SUM(F9:F37)</f>
        <v>2745.2512055000002</v>
      </c>
      <c r="G38" s="14"/>
      <c r="H38" s="102">
        <f>SUM(H9:H37)</f>
        <v>0.73652467644409014</v>
      </c>
      <c r="I38" s="3"/>
    </row>
    <row r="39" spans="1:9" ht="12.95" customHeight="1">
      <c r="A39" s="31"/>
      <c r="B39" s="65"/>
      <c r="C39" s="19"/>
      <c r="D39" s="19"/>
      <c r="E39" s="50"/>
      <c r="F39" s="51"/>
      <c r="G39" s="52"/>
      <c r="H39" s="66"/>
      <c r="I39" s="3"/>
    </row>
    <row r="40" spans="1:9" ht="12.95" customHeight="1">
      <c r="A40" s="31"/>
      <c r="B40" s="103" t="s">
        <v>380</v>
      </c>
      <c r="C40" s="19"/>
      <c r="D40" s="19"/>
      <c r="E40" s="50"/>
      <c r="F40" s="51"/>
      <c r="G40" s="52"/>
      <c r="H40" s="66"/>
      <c r="I40" s="3"/>
    </row>
    <row r="41" spans="1:9" ht="12.95" customHeight="1">
      <c r="A41" s="31"/>
      <c r="B41" s="103" t="s">
        <v>381</v>
      </c>
      <c r="C41" s="19"/>
      <c r="D41" s="19"/>
      <c r="E41" s="50"/>
      <c r="F41" s="51"/>
      <c r="G41" s="52"/>
      <c r="H41" s="66"/>
      <c r="I41" s="3"/>
    </row>
    <row r="42" spans="1:9" ht="12.95" customHeight="1">
      <c r="A42" s="31"/>
      <c r="B42" s="65" t="s">
        <v>248</v>
      </c>
      <c r="C42" s="19" t="s">
        <v>249</v>
      </c>
      <c r="D42" s="19" t="s">
        <v>239</v>
      </c>
      <c r="E42" s="50">
        <v>1600</v>
      </c>
      <c r="F42" s="51">
        <v>81.885948499999998</v>
      </c>
      <c r="G42" s="52">
        <v>81.89</v>
      </c>
      <c r="H42" s="66">
        <v>2.1969217827297272E-2</v>
      </c>
      <c r="I42" s="3">
        <v>2.1999999999999999E-2</v>
      </c>
    </row>
    <row r="43" spans="1:9" ht="12.95" customHeight="1">
      <c r="A43" s="31"/>
      <c r="B43" s="65" t="s">
        <v>252</v>
      </c>
      <c r="C43" s="19" t="s">
        <v>253</v>
      </c>
      <c r="D43" s="19" t="s">
        <v>254</v>
      </c>
      <c r="E43" s="50">
        <v>5000</v>
      </c>
      <c r="F43" s="51">
        <v>63.045318999999999</v>
      </c>
      <c r="G43" s="52">
        <v>63.05</v>
      </c>
      <c r="H43" s="66">
        <v>1.6914456893693346E-2</v>
      </c>
      <c r="I43" s="3">
        <v>1.6899999999999998E-2</v>
      </c>
    </row>
    <row r="44" spans="1:9" ht="12.95" customHeight="1">
      <c r="A44" s="31"/>
      <c r="B44" s="65" t="s">
        <v>257</v>
      </c>
      <c r="C44" s="19" t="s">
        <v>258</v>
      </c>
      <c r="D44" s="19" t="s">
        <v>254</v>
      </c>
      <c r="E44" s="50">
        <v>2900</v>
      </c>
      <c r="F44" s="51">
        <v>61.939945700000003</v>
      </c>
      <c r="G44" s="52">
        <v>61.94</v>
      </c>
      <c r="H44" s="66">
        <v>1.6617895795568209E-2</v>
      </c>
      <c r="I44" s="3">
        <v>1.66E-2</v>
      </c>
    </row>
    <row r="45" spans="1:9" ht="12.95" customHeight="1">
      <c r="A45" s="31"/>
      <c r="B45" s="65" t="s">
        <v>268</v>
      </c>
      <c r="C45" s="19" t="s">
        <v>269</v>
      </c>
      <c r="D45" s="19" t="s">
        <v>239</v>
      </c>
      <c r="E45" s="50">
        <v>350</v>
      </c>
      <c r="F45" s="51">
        <v>39.084577500000002</v>
      </c>
      <c r="G45" s="52">
        <v>39.08</v>
      </c>
      <c r="H45" s="66">
        <v>1.048601881659076E-2</v>
      </c>
      <c r="I45" s="3">
        <v>1.0500000000000001E-2</v>
      </c>
    </row>
    <row r="46" spans="1:9" ht="12.95" customHeight="1">
      <c r="A46" s="31"/>
      <c r="B46" s="63" t="s">
        <v>38</v>
      </c>
      <c r="C46" s="19"/>
      <c r="D46" s="19"/>
      <c r="E46" s="50"/>
      <c r="F46" s="13">
        <f>SUM(F42:F45)</f>
        <v>245.95579069999999</v>
      </c>
      <c r="G46" s="14"/>
      <c r="H46" s="102">
        <f>SUM(H42:H45)</f>
        <v>6.5987589333149591E-2</v>
      </c>
      <c r="I46" s="3"/>
    </row>
    <row r="47" spans="1:9" ht="12.95" customHeight="1">
      <c r="A47" s="31"/>
      <c r="B47" s="65"/>
      <c r="C47" s="19"/>
      <c r="D47" s="19"/>
      <c r="E47" s="50"/>
      <c r="F47" s="51"/>
      <c r="G47" s="52"/>
      <c r="H47" s="66"/>
      <c r="I47" s="3"/>
    </row>
    <row r="48" spans="1:9" ht="12.95" customHeight="1">
      <c r="A48" s="31"/>
      <c r="B48" s="103" t="s">
        <v>382</v>
      </c>
      <c r="C48" s="19"/>
      <c r="D48" s="19"/>
      <c r="E48" s="50"/>
      <c r="F48" s="51"/>
      <c r="G48" s="52"/>
      <c r="H48" s="66"/>
      <c r="I48" s="3"/>
    </row>
    <row r="49" spans="1:9" ht="12.95" customHeight="1">
      <c r="A49" s="31"/>
      <c r="B49" s="65" t="s">
        <v>237</v>
      </c>
      <c r="C49" s="19" t="s">
        <v>238</v>
      </c>
      <c r="D49" s="19" t="s">
        <v>239</v>
      </c>
      <c r="E49" s="50">
        <v>10800</v>
      </c>
      <c r="F49" s="51">
        <v>129.2590051</v>
      </c>
      <c r="G49" s="52">
        <v>129.26</v>
      </c>
      <c r="H49" s="66">
        <v>3.4678956416821977E-2</v>
      </c>
      <c r="I49" s="3">
        <v>3.4700000000000002E-2</v>
      </c>
    </row>
    <row r="50" spans="1:9" ht="12.95" customHeight="1">
      <c r="A50" s="31"/>
      <c r="B50" s="65" t="s">
        <v>240</v>
      </c>
      <c r="C50" s="19" t="s">
        <v>241</v>
      </c>
      <c r="D50" s="19" t="s">
        <v>242</v>
      </c>
      <c r="E50" s="50">
        <v>21200</v>
      </c>
      <c r="F50" s="51">
        <v>88.551467200000005</v>
      </c>
      <c r="G50" s="52">
        <v>88.55</v>
      </c>
      <c r="H50" s="66">
        <v>2.3757512827045895E-2</v>
      </c>
      <c r="I50" s="3">
        <v>2.3800000000000002E-2</v>
      </c>
    </row>
    <row r="51" spans="1:9" ht="12.95" customHeight="1">
      <c r="A51" s="31"/>
      <c r="B51" s="65" t="s">
        <v>243</v>
      </c>
      <c r="C51" s="19" t="s">
        <v>244</v>
      </c>
      <c r="D51" s="19" t="s">
        <v>242</v>
      </c>
      <c r="E51" s="50">
        <v>24000</v>
      </c>
      <c r="F51" s="51">
        <v>88.534924799999999</v>
      </c>
      <c r="G51" s="52">
        <v>88.53</v>
      </c>
      <c r="H51" s="66">
        <v>2.3753074659134996E-2</v>
      </c>
      <c r="I51" s="3">
        <v>2.3800000000000002E-2</v>
      </c>
    </row>
    <row r="52" spans="1:9" ht="12.95" customHeight="1">
      <c r="A52" s="31"/>
      <c r="B52" s="65" t="s">
        <v>245</v>
      </c>
      <c r="C52" s="19" t="s">
        <v>246</v>
      </c>
      <c r="D52" s="19" t="s">
        <v>247</v>
      </c>
      <c r="E52" s="50">
        <v>40800</v>
      </c>
      <c r="F52" s="51">
        <v>85.378634899999994</v>
      </c>
      <c r="G52" s="52">
        <v>85.38</v>
      </c>
      <c r="H52" s="66">
        <v>2.2906272227101149E-2</v>
      </c>
      <c r="I52" s="3">
        <v>2.29E-2</v>
      </c>
    </row>
    <row r="53" spans="1:9" ht="12.95" customHeight="1">
      <c r="A53" s="31"/>
      <c r="B53" s="65" t="s">
        <v>259</v>
      </c>
      <c r="C53" s="19" t="s">
        <v>260</v>
      </c>
      <c r="D53" s="19" t="s">
        <v>70</v>
      </c>
      <c r="E53" s="50">
        <v>90000</v>
      </c>
      <c r="F53" s="51">
        <v>60.297047999999997</v>
      </c>
      <c r="G53" s="52">
        <v>60.3</v>
      </c>
      <c r="H53" s="66">
        <v>1.6177122035229273E-2</v>
      </c>
      <c r="I53" s="3">
        <v>1.6199999999999999E-2</v>
      </c>
    </row>
    <row r="54" spans="1:9" ht="12.95" customHeight="1">
      <c r="A54" s="31"/>
      <c r="B54" s="65" t="s">
        <v>261</v>
      </c>
      <c r="C54" s="19" t="s">
        <v>262</v>
      </c>
      <c r="D54" s="19" t="s">
        <v>70</v>
      </c>
      <c r="E54" s="50">
        <v>127000</v>
      </c>
      <c r="F54" s="51">
        <v>46.324509800000001</v>
      </c>
      <c r="G54" s="52">
        <v>46.32</v>
      </c>
      <c r="H54" s="66">
        <v>1.2428423498556255E-2</v>
      </c>
      <c r="I54" s="3">
        <v>1.24E-2</v>
      </c>
    </row>
    <row r="55" spans="1:9" ht="12.95" customHeight="1">
      <c r="A55" s="31"/>
      <c r="B55" s="65" t="s">
        <v>263</v>
      </c>
      <c r="C55" s="19" t="s">
        <v>264</v>
      </c>
      <c r="D55" s="19" t="s">
        <v>265</v>
      </c>
      <c r="E55" s="50">
        <v>62000</v>
      </c>
      <c r="F55" s="51">
        <v>43.127690999999999</v>
      </c>
      <c r="G55" s="52">
        <v>43.13</v>
      </c>
      <c r="H55" s="66">
        <v>1.1570747549774893E-2</v>
      </c>
      <c r="I55" s="3">
        <v>1.1599999999999999E-2</v>
      </c>
    </row>
    <row r="56" spans="1:9" ht="12.95" customHeight="1">
      <c r="A56" s="31"/>
      <c r="B56" s="65" t="s">
        <v>270</v>
      </c>
      <c r="C56" s="19" t="s">
        <v>271</v>
      </c>
      <c r="D56" s="19" t="s">
        <v>70</v>
      </c>
      <c r="E56" s="50">
        <v>58000</v>
      </c>
      <c r="F56" s="51">
        <v>34.060801599999998</v>
      </c>
      <c r="G56" s="52">
        <v>34.06</v>
      </c>
      <c r="H56" s="66">
        <v>9.138187728542406E-3</v>
      </c>
      <c r="I56" s="3">
        <v>9.1000000000000004E-3</v>
      </c>
    </row>
    <row r="57" spans="1:9" ht="12.95" customHeight="1">
      <c r="A57" s="31"/>
      <c r="B57" s="65" t="s">
        <v>272</v>
      </c>
      <c r="C57" s="19" t="s">
        <v>273</v>
      </c>
      <c r="D57" s="19" t="s">
        <v>242</v>
      </c>
      <c r="E57" s="50">
        <v>14000</v>
      </c>
      <c r="F57" s="51">
        <v>33.0599864</v>
      </c>
      <c r="G57" s="52">
        <v>33.06</v>
      </c>
      <c r="H57" s="66">
        <v>8.8696785699329764E-3</v>
      </c>
      <c r="I57" s="3">
        <v>8.8999999999999999E-3</v>
      </c>
    </row>
    <row r="58" spans="1:9" ht="12.95" customHeight="1">
      <c r="A58" s="31"/>
      <c r="B58" s="65" t="s">
        <v>276</v>
      </c>
      <c r="C58" s="19" t="s">
        <v>277</v>
      </c>
      <c r="D58" s="19" t="s">
        <v>278</v>
      </c>
      <c r="E58" s="50">
        <v>30000</v>
      </c>
      <c r="F58" s="51">
        <v>25.508380800000001</v>
      </c>
      <c r="G58" s="52">
        <v>25.51</v>
      </c>
      <c r="H58" s="66">
        <v>6.8436549186072808E-3</v>
      </c>
      <c r="I58" s="3">
        <v>6.7999999999999996E-3</v>
      </c>
    </row>
    <row r="59" spans="1:9" ht="12.95" customHeight="1">
      <c r="A59" s="31"/>
      <c r="B59" s="63" t="s">
        <v>38</v>
      </c>
      <c r="C59" s="19"/>
      <c r="D59" s="19"/>
      <c r="E59" s="50"/>
      <c r="F59" s="20">
        <f>SUM(F49:F58)</f>
        <v>634.1024496</v>
      </c>
      <c r="G59" s="53"/>
      <c r="H59" s="67">
        <f>SUM(H49:H58)</f>
        <v>0.1701236304307471</v>
      </c>
      <c r="I59" s="3"/>
    </row>
    <row r="60" spans="1:9" ht="12.95" customHeight="1">
      <c r="A60" s="31"/>
      <c r="B60" s="65"/>
      <c r="C60" s="19"/>
      <c r="D60" s="19"/>
      <c r="E60" s="50"/>
      <c r="F60" s="51"/>
      <c r="G60" s="52"/>
      <c r="H60" s="66"/>
      <c r="I60" s="3"/>
    </row>
    <row r="61" spans="1:9" ht="12.95" customHeight="1">
      <c r="A61" s="29"/>
      <c r="B61" s="63" t="s">
        <v>196</v>
      </c>
      <c r="C61" s="19" t="s">
        <v>1</v>
      </c>
      <c r="D61" s="19" t="s">
        <v>1</v>
      </c>
      <c r="E61" s="19" t="s">
        <v>1</v>
      </c>
      <c r="F61" s="20" t="s">
        <v>197</v>
      </c>
      <c r="G61" s="54" t="s">
        <v>197</v>
      </c>
      <c r="H61" s="67" t="s">
        <v>197</v>
      </c>
      <c r="I61" s="42" t="s">
        <v>197</v>
      </c>
    </row>
    <row r="62" spans="1:9" ht="12.95" customHeight="1">
      <c r="A62" s="29"/>
      <c r="B62" s="63" t="s">
        <v>38</v>
      </c>
      <c r="C62" s="19" t="s">
        <v>1</v>
      </c>
      <c r="D62" s="19" t="s">
        <v>1</v>
      </c>
      <c r="E62" s="19" t="s">
        <v>1</v>
      </c>
      <c r="F62" s="20" t="s">
        <v>197</v>
      </c>
      <c r="G62" s="54" t="s">
        <v>197</v>
      </c>
      <c r="H62" s="67" t="s">
        <v>197</v>
      </c>
      <c r="I62" s="42" t="s">
        <v>197</v>
      </c>
    </row>
    <row r="63" spans="1:9" ht="12.95" customHeight="1">
      <c r="A63" s="29"/>
      <c r="B63" s="63" t="s">
        <v>39</v>
      </c>
      <c r="C63" s="19" t="s">
        <v>1</v>
      </c>
      <c r="D63" s="19" t="s">
        <v>1</v>
      </c>
      <c r="E63" s="19" t="s">
        <v>1</v>
      </c>
      <c r="F63" s="20">
        <v>3625.3094458</v>
      </c>
      <c r="G63" s="53">
        <v>3625.31</v>
      </c>
      <c r="H63" s="67">
        <v>0.97263589620798685</v>
      </c>
      <c r="I63" s="41">
        <v>0.97260000000000002</v>
      </c>
    </row>
    <row r="64" spans="1:9" ht="12.95" customHeight="1">
      <c r="A64" s="29"/>
      <c r="B64" s="63"/>
      <c r="C64" s="19"/>
      <c r="D64" s="19"/>
      <c r="E64" s="19"/>
      <c r="F64" s="20"/>
      <c r="G64" s="53"/>
      <c r="H64" s="67"/>
      <c r="I64" s="74"/>
    </row>
    <row r="65" spans="1:9" ht="12.95" customHeight="1">
      <c r="A65" s="29"/>
      <c r="B65" s="17" t="s">
        <v>372</v>
      </c>
      <c r="C65" s="19"/>
      <c r="D65" s="19"/>
      <c r="E65" s="19"/>
      <c r="F65" s="98"/>
      <c r="G65" s="53"/>
      <c r="H65" s="67"/>
      <c r="I65" s="15"/>
    </row>
    <row r="66" spans="1:9" ht="12.95" customHeight="1">
      <c r="A66" s="31"/>
      <c r="B66" s="21" t="s">
        <v>383</v>
      </c>
      <c r="C66" s="19"/>
      <c r="D66" s="19"/>
      <c r="E66" s="106" t="s">
        <v>197</v>
      </c>
      <c r="F66" s="106" t="s">
        <v>197</v>
      </c>
      <c r="G66" s="107" t="s">
        <v>197</v>
      </c>
      <c r="H66" s="102" t="s">
        <v>197</v>
      </c>
      <c r="I66" s="16" t="s">
        <v>197</v>
      </c>
    </row>
    <row r="67" spans="1:9" ht="12.95" customHeight="1">
      <c r="A67" s="29"/>
      <c r="B67" s="24" t="s">
        <v>374</v>
      </c>
      <c r="C67" s="19"/>
      <c r="D67" s="19"/>
      <c r="E67" s="106" t="s">
        <v>197</v>
      </c>
      <c r="F67" s="106" t="s">
        <v>197</v>
      </c>
      <c r="G67" s="107" t="s">
        <v>197</v>
      </c>
      <c r="H67" s="102" t="s">
        <v>197</v>
      </c>
      <c r="I67" s="16" t="s">
        <v>197</v>
      </c>
    </row>
    <row r="68" spans="1:9" ht="12.95" customHeight="1">
      <c r="A68" s="29"/>
      <c r="B68" s="24" t="s">
        <v>375</v>
      </c>
      <c r="C68" s="19"/>
      <c r="D68" s="19"/>
      <c r="E68" s="106" t="s">
        <v>197</v>
      </c>
      <c r="F68" s="106" t="s">
        <v>197</v>
      </c>
      <c r="G68" s="107" t="s">
        <v>197</v>
      </c>
      <c r="H68" s="102" t="s">
        <v>197</v>
      </c>
      <c r="I68" s="16" t="s">
        <v>197</v>
      </c>
    </row>
    <row r="69" spans="1:9" ht="12.95" customHeight="1">
      <c r="A69" s="29"/>
      <c r="B69" s="24"/>
      <c r="C69" s="19"/>
      <c r="D69" s="19"/>
      <c r="E69" s="19"/>
      <c r="F69" s="99"/>
      <c r="G69" s="78"/>
      <c r="H69" s="102"/>
      <c r="I69" s="104"/>
    </row>
    <row r="70" spans="1:9" ht="12.95" customHeight="1">
      <c r="A70" s="29"/>
      <c r="B70" s="105" t="s">
        <v>11</v>
      </c>
      <c r="C70" s="19"/>
      <c r="D70" s="19"/>
      <c r="E70" s="19"/>
      <c r="F70" s="99"/>
      <c r="G70" s="78"/>
      <c r="H70" s="68"/>
      <c r="I70" s="104"/>
    </row>
    <row r="71" spans="1:9" ht="12.95" customHeight="1">
      <c r="A71" s="29"/>
      <c r="B71" s="63" t="s">
        <v>40</v>
      </c>
      <c r="C71" s="19" t="s">
        <v>1</v>
      </c>
      <c r="D71" s="19" t="s">
        <v>1</v>
      </c>
      <c r="E71" s="19" t="s">
        <v>1</v>
      </c>
      <c r="F71" s="48" t="s">
        <v>1</v>
      </c>
      <c r="G71" s="49"/>
      <c r="H71" s="64" t="s">
        <v>1</v>
      </c>
      <c r="I71" s="12" t="s">
        <v>1</v>
      </c>
    </row>
    <row r="72" spans="1:9" ht="12.95" customHeight="1">
      <c r="A72" s="31"/>
      <c r="B72" s="65" t="s">
        <v>41</v>
      </c>
      <c r="C72" s="19" t="s">
        <v>1</v>
      </c>
      <c r="D72" s="19" t="s">
        <v>42</v>
      </c>
      <c r="E72" s="50"/>
      <c r="F72" s="51">
        <v>80.103841900000006</v>
      </c>
      <c r="G72" s="52">
        <v>80.099999999999994</v>
      </c>
      <c r="H72" s="66">
        <v>2.149109564877889E-2</v>
      </c>
      <c r="I72" s="3">
        <v>2.1499999999999998E-2</v>
      </c>
    </row>
    <row r="73" spans="1:9" ht="12.95" customHeight="1">
      <c r="A73" s="29"/>
      <c r="B73" s="63" t="s">
        <v>38</v>
      </c>
      <c r="C73" s="19" t="s">
        <v>1</v>
      </c>
      <c r="D73" s="19" t="s">
        <v>1</v>
      </c>
      <c r="E73" s="19" t="s">
        <v>1</v>
      </c>
      <c r="F73" s="20">
        <v>80.103841900000006</v>
      </c>
      <c r="G73" s="53">
        <v>80.099999999999994</v>
      </c>
      <c r="H73" s="67">
        <v>2.149109564877889E-2</v>
      </c>
      <c r="I73" s="41">
        <v>2.1499999999999998E-2</v>
      </c>
    </row>
    <row r="74" spans="1:9" ht="12.95" customHeight="1">
      <c r="A74" s="29"/>
      <c r="B74" s="63"/>
      <c r="C74" s="19"/>
      <c r="D74" s="19"/>
      <c r="E74" s="19"/>
      <c r="F74" s="20"/>
      <c r="G74" s="53"/>
      <c r="H74" s="67"/>
      <c r="I74" s="41"/>
    </row>
    <row r="75" spans="1:9" ht="12.95" customHeight="1">
      <c r="A75" s="29"/>
      <c r="B75" s="103" t="s">
        <v>399</v>
      </c>
      <c r="C75" s="19"/>
      <c r="D75" s="19"/>
      <c r="E75" s="19"/>
      <c r="F75" s="20"/>
      <c r="G75" s="53"/>
      <c r="H75" s="67"/>
      <c r="I75" s="41"/>
    </row>
    <row r="76" spans="1:9" ht="12.95" customHeight="1">
      <c r="A76" s="29"/>
      <c r="B76" s="149" t="s">
        <v>43</v>
      </c>
      <c r="C76" s="19" t="s">
        <v>1</v>
      </c>
      <c r="D76" s="19" t="s">
        <v>1</v>
      </c>
      <c r="E76" s="19" t="s">
        <v>1</v>
      </c>
      <c r="F76" s="22">
        <v>21.8904854118</v>
      </c>
      <c r="G76" s="78">
        <v>21.89</v>
      </c>
      <c r="H76" s="68">
        <v>5.873008143234275E-3</v>
      </c>
      <c r="I76" s="41">
        <v>5.8999999999999999E-3</v>
      </c>
    </row>
    <row r="77" spans="1:9" ht="12.95" customHeight="1">
      <c r="A77" s="29"/>
      <c r="B77" s="88" t="s">
        <v>38</v>
      </c>
      <c r="C77" s="25"/>
      <c r="D77" s="25"/>
      <c r="E77" s="25"/>
      <c r="F77" s="20">
        <v>21.8904854118</v>
      </c>
      <c r="G77" s="53">
        <v>21.89</v>
      </c>
      <c r="H77" s="67">
        <v>5.873008143234275E-3</v>
      </c>
      <c r="I77" s="74"/>
    </row>
    <row r="78" spans="1:9" ht="12.95" customHeight="1" thickBot="1">
      <c r="A78" s="29"/>
      <c r="B78" s="94" t="s">
        <v>39</v>
      </c>
      <c r="C78" s="25"/>
      <c r="D78" s="25"/>
      <c r="E78" s="25"/>
      <c r="F78" s="26">
        <f>F73+F77</f>
        <v>101.99432731180001</v>
      </c>
      <c r="G78" s="26">
        <f t="shared" ref="G78:H78" si="0">G73+G77</f>
        <v>101.99</v>
      </c>
      <c r="H78" s="77">
        <f t="shared" si="0"/>
        <v>2.7364103792013164E-2</v>
      </c>
      <c r="I78" s="74"/>
    </row>
    <row r="79" spans="1:9" ht="12.95" customHeight="1" thickBot="1">
      <c r="A79" s="29"/>
      <c r="B79" s="120" t="s">
        <v>44</v>
      </c>
      <c r="C79" s="121" t="s">
        <v>1</v>
      </c>
      <c r="D79" s="121" t="s">
        <v>1</v>
      </c>
      <c r="E79" s="121" t="s">
        <v>1</v>
      </c>
      <c r="F79" s="122">
        <v>3727.3037731118002</v>
      </c>
      <c r="G79" s="123">
        <v>3727.3</v>
      </c>
      <c r="H79" s="124">
        <v>1</v>
      </c>
      <c r="I79" s="44">
        <v>1</v>
      </c>
    </row>
    <row r="80" spans="1:9" s="32" customFormat="1" ht="12.95" customHeight="1">
      <c r="A80" s="29"/>
      <c r="B80" s="30" t="s">
        <v>1</v>
      </c>
      <c r="C80" s="29"/>
      <c r="D80" s="29"/>
      <c r="E80" s="29"/>
      <c r="F80" s="34"/>
      <c r="G80" s="29"/>
      <c r="H80" s="35"/>
      <c r="I80" s="29"/>
    </row>
    <row r="81" spans="1:9" s="32" customFormat="1" ht="12.95" customHeight="1">
      <c r="A81" s="29"/>
      <c r="B81" s="36" t="s">
        <v>42</v>
      </c>
      <c r="C81" s="29"/>
      <c r="D81" s="29"/>
      <c r="E81" s="29"/>
      <c r="F81" s="34"/>
      <c r="G81" s="29"/>
      <c r="H81" s="35"/>
      <c r="I81" s="29"/>
    </row>
    <row r="82" spans="1:9" s="32" customFormat="1" ht="12.95" customHeight="1">
      <c r="A82" s="29"/>
      <c r="B82" s="80" t="s">
        <v>377</v>
      </c>
      <c r="C82" s="81"/>
      <c r="D82" s="29"/>
      <c r="E82" s="29"/>
      <c r="F82" s="34"/>
      <c r="G82" s="29"/>
      <c r="H82" s="35"/>
      <c r="I82" s="29"/>
    </row>
    <row r="83" spans="1:9" s="32" customFormat="1" ht="12.95" customHeight="1">
      <c r="A83" s="29"/>
      <c r="B83" s="111" t="s">
        <v>384</v>
      </c>
      <c r="C83" s="81"/>
      <c r="D83" s="29"/>
      <c r="E83" s="29"/>
      <c r="F83" s="34"/>
      <c r="G83" s="29"/>
      <c r="H83" s="35"/>
      <c r="I83" s="29"/>
    </row>
    <row r="84" spans="1:9" s="32" customFormat="1" ht="13.5" thickBot="1">
      <c r="B84" s="112"/>
      <c r="C84" s="112"/>
      <c r="F84" s="37"/>
      <c r="H84" s="38"/>
    </row>
    <row r="85" spans="1:9" s="32" customFormat="1" ht="13.5" thickBot="1">
      <c r="B85" s="108" t="s">
        <v>387</v>
      </c>
      <c r="C85" s="109">
        <v>0.66910000000000003</v>
      </c>
      <c r="F85" s="37"/>
      <c r="H85" s="38"/>
    </row>
    <row r="86" spans="1:9" s="32" customFormat="1">
      <c r="B86" s="110" t="s">
        <v>388</v>
      </c>
      <c r="C86" s="110"/>
      <c r="F86" s="37"/>
      <c r="H86" s="38"/>
    </row>
    <row r="87" spans="1:9" s="32" customFormat="1">
      <c r="F87" s="37"/>
      <c r="H87" s="38"/>
    </row>
    <row r="88" spans="1:9" s="32" customFormat="1">
      <c r="F88" s="37"/>
      <c r="H88" s="38"/>
    </row>
    <row r="89" spans="1:9" s="32" customFormat="1">
      <c r="F89" s="37"/>
      <c r="H89" s="38"/>
    </row>
    <row r="90" spans="1:9" s="32" customFormat="1">
      <c r="F90" s="37"/>
      <c r="H90" s="38"/>
    </row>
    <row r="91" spans="1:9" s="32" customFormat="1">
      <c r="F91" s="37"/>
      <c r="H91" s="38"/>
    </row>
    <row r="92" spans="1:9" s="32" customFormat="1">
      <c r="F92" s="37"/>
      <c r="H92" s="38"/>
    </row>
    <row r="93" spans="1:9" s="32" customFormat="1">
      <c r="F93" s="37"/>
      <c r="H93" s="38"/>
    </row>
    <row r="94" spans="1:9" s="32" customFormat="1">
      <c r="F94" s="37"/>
      <c r="H94" s="38"/>
    </row>
    <row r="95" spans="1:9" s="32" customFormat="1">
      <c r="F95" s="37"/>
      <c r="H95" s="38"/>
    </row>
    <row r="96" spans="1:9" s="32" customFormat="1">
      <c r="F96" s="37"/>
      <c r="H96" s="38"/>
    </row>
    <row r="97" spans="6:8" s="32" customFormat="1">
      <c r="F97" s="37"/>
      <c r="H97" s="38"/>
    </row>
    <row r="98" spans="6:8" s="32" customFormat="1">
      <c r="F98" s="37"/>
      <c r="H98" s="38"/>
    </row>
    <row r="99" spans="6:8" s="32" customFormat="1">
      <c r="F99" s="37"/>
      <c r="H99" s="38"/>
    </row>
    <row r="100" spans="6:8" s="32" customFormat="1">
      <c r="F100" s="37"/>
      <c r="H100" s="38"/>
    </row>
    <row r="101" spans="6:8" s="32" customFormat="1">
      <c r="F101" s="37"/>
      <c r="H101" s="38"/>
    </row>
    <row r="102" spans="6:8" s="32" customFormat="1">
      <c r="F102" s="37"/>
      <c r="H102" s="38"/>
    </row>
    <row r="103" spans="6:8" s="32" customFormat="1">
      <c r="F103" s="37"/>
      <c r="H103" s="38"/>
    </row>
    <row r="104" spans="6:8" s="32" customFormat="1">
      <c r="F104" s="37"/>
      <c r="H104" s="38"/>
    </row>
    <row r="105" spans="6:8" s="32" customFormat="1">
      <c r="F105" s="37"/>
      <c r="H105" s="38"/>
    </row>
    <row r="106" spans="6:8" s="32" customFormat="1">
      <c r="F106" s="37"/>
      <c r="H106" s="38"/>
    </row>
    <row r="107" spans="6:8" s="32" customFormat="1">
      <c r="F107" s="37"/>
      <c r="H107" s="38"/>
    </row>
    <row r="108" spans="6:8" s="32" customFormat="1">
      <c r="F108" s="37"/>
      <c r="H108" s="38"/>
    </row>
    <row r="109" spans="6:8" s="32" customFormat="1">
      <c r="F109" s="37"/>
      <c r="H109" s="38"/>
    </row>
    <row r="110" spans="6:8" s="32" customFormat="1">
      <c r="F110" s="37"/>
      <c r="H110" s="38"/>
    </row>
    <row r="111" spans="6:8" s="32" customFormat="1">
      <c r="F111" s="37"/>
      <c r="H111" s="38"/>
    </row>
    <row r="112" spans="6:8" s="32" customFormat="1">
      <c r="F112" s="37"/>
      <c r="H112" s="38"/>
    </row>
    <row r="113" spans="6:8" s="32" customFormat="1">
      <c r="F113" s="37"/>
      <c r="H113" s="38"/>
    </row>
    <row r="114" spans="6:8" s="32" customFormat="1">
      <c r="F114" s="37"/>
      <c r="H114" s="38"/>
    </row>
    <row r="115" spans="6:8" s="32" customFormat="1">
      <c r="F115" s="37"/>
      <c r="H115" s="38"/>
    </row>
    <row r="116" spans="6:8" s="32" customFormat="1">
      <c r="F116" s="37"/>
      <c r="H116" s="38"/>
    </row>
    <row r="117" spans="6:8" s="32" customFormat="1">
      <c r="F117" s="37"/>
      <c r="H117" s="38"/>
    </row>
    <row r="118" spans="6:8" s="32" customFormat="1">
      <c r="F118" s="37"/>
      <c r="H118" s="38"/>
    </row>
    <row r="119" spans="6:8" s="32" customFormat="1">
      <c r="F119" s="37"/>
      <c r="H119" s="38"/>
    </row>
    <row r="120" spans="6:8" s="32" customFormat="1">
      <c r="F120" s="37"/>
      <c r="H120" s="38"/>
    </row>
    <row r="121" spans="6:8" s="32" customFormat="1">
      <c r="F121" s="37"/>
      <c r="H121" s="38"/>
    </row>
    <row r="122" spans="6:8" s="32" customFormat="1">
      <c r="F122" s="37"/>
      <c r="H122" s="38"/>
    </row>
    <row r="123" spans="6:8" s="32" customFormat="1">
      <c r="F123" s="37"/>
      <c r="H123" s="38"/>
    </row>
    <row r="124" spans="6:8" s="32" customFormat="1">
      <c r="F124" s="37"/>
      <c r="H124" s="38"/>
    </row>
    <row r="125" spans="6:8" s="32" customFormat="1">
      <c r="F125" s="37"/>
      <c r="H125" s="38"/>
    </row>
    <row r="126" spans="6:8" s="32" customFormat="1">
      <c r="F126" s="37"/>
      <c r="H126" s="38"/>
    </row>
    <row r="127" spans="6:8" s="32" customFormat="1">
      <c r="F127" s="37"/>
      <c r="H127" s="38"/>
    </row>
    <row r="128" spans="6:8" s="32" customFormat="1">
      <c r="F128" s="37"/>
      <c r="H128" s="38"/>
    </row>
    <row r="129" spans="6:8" s="32" customFormat="1">
      <c r="F129" s="37"/>
      <c r="H129" s="38"/>
    </row>
    <row r="130" spans="6:8" s="32" customFormat="1">
      <c r="F130" s="37"/>
      <c r="H130" s="38"/>
    </row>
    <row r="131" spans="6:8" s="32" customFormat="1">
      <c r="F131" s="37"/>
      <c r="H131" s="38"/>
    </row>
    <row r="132" spans="6:8" s="32" customFormat="1">
      <c r="F132" s="37"/>
      <c r="H132" s="38"/>
    </row>
    <row r="133" spans="6:8" s="32" customFormat="1">
      <c r="F133" s="37"/>
      <c r="H133" s="38"/>
    </row>
    <row r="134" spans="6:8" s="32" customFormat="1">
      <c r="F134" s="37"/>
      <c r="H134" s="38"/>
    </row>
    <row r="135" spans="6:8" s="32" customFormat="1">
      <c r="F135" s="37"/>
      <c r="H135" s="38"/>
    </row>
    <row r="136" spans="6:8" s="32" customFormat="1">
      <c r="F136" s="37"/>
      <c r="H136" s="38"/>
    </row>
    <row r="137" spans="6:8" s="32" customFormat="1">
      <c r="F137" s="37"/>
      <c r="H137" s="38"/>
    </row>
    <row r="138" spans="6:8" s="32" customFormat="1">
      <c r="F138" s="37"/>
      <c r="H138" s="38"/>
    </row>
    <row r="139" spans="6:8" s="32" customFormat="1">
      <c r="F139" s="37"/>
      <c r="H139" s="38"/>
    </row>
    <row r="140" spans="6:8" s="32" customFormat="1">
      <c r="F140" s="37"/>
      <c r="H140" s="38"/>
    </row>
    <row r="141" spans="6:8" s="32" customFormat="1">
      <c r="F141" s="37"/>
      <c r="H141" s="38"/>
    </row>
    <row r="142" spans="6:8" s="32" customFormat="1">
      <c r="F142" s="37"/>
      <c r="H142" s="38"/>
    </row>
    <row r="143" spans="6:8" s="32" customFormat="1">
      <c r="F143" s="37"/>
      <c r="H143" s="38"/>
    </row>
    <row r="144" spans="6:8" s="32" customFormat="1">
      <c r="F144" s="37"/>
      <c r="H144" s="38"/>
    </row>
    <row r="145" spans="6:8" s="32" customFormat="1">
      <c r="F145" s="37"/>
      <c r="H145" s="38"/>
    </row>
    <row r="146" spans="6:8" s="32" customFormat="1">
      <c r="F146" s="37"/>
      <c r="H146" s="38"/>
    </row>
    <row r="147" spans="6:8" s="32" customFormat="1">
      <c r="F147" s="37"/>
      <c r="H147" s="38"/>
    </row>
    <row r="148" spans="6:8" s="32" customFormat="1">
      <c r="F148" s="37"/>
      <c r="H148" s="38"/>
    </row>
    <row r="149" spans="6:8" s="32" customFormat="1">
      <c r="F149" s="37"/>
      <c r="H149" s="38"/>
    </row>
    <row r="150" spans="6:8" s="32" customFormat="1">
      <c r="F150" s="37"/>
      <c r="H150" s="38"/>
    </row>
    <row r="151" spans="6:8" s="32" customFormat="1">
      <c r="F151" s="37"/>
      <c r="H151" s="38"/>
    </row>
    <row r="152" spans="6:8" s="32" customFormat="1">
      <c r="F152" s="37"/>
      <c r="H152" s="38"/>
    </row>
    <row r="153" spans="6:8" s="32" customFormat="1">
      <c r="F153" s="37"/>
      <c r="H153" s="38"/>
    </row>
    <row r="154" spans="6:8" s="32" customFormat="1">
      <c r="F154" s="37"/>
      <c r="H154" s="38"/>
    </row>
    <row r="155" spans="6:8" s="32" customFormat="1">
      <c r="F155" s="37"/>
      <c r="H155" s="38"/>
    </row>
    <row r="156" spans="6:8" s="32" customFormat="1">
      <c r="F156" s="37"/>
      <c r="H156" s="38"/>
    </row>
    <row r="157" spans="6:8" s="32" customFormat="1">
      <c r="F157" s="37"/>
      <c r="H157" s="38"/>
    </row>
    <row r="158" spans="6:8" s="32" customFormat="1">
      <c r="F158" s="37"/>
      <c r="H158" s="38"/>
    </row>
    <row r="159" spans="6:8" s="32" customFormat="1">
      <c r="F159" s="37"/>
      <c r="H159" s="38"/>
    </row>
    <row r="160" spans="6:8" s="32" customFormat="1">
      <c r="F160" s="37"/>
      <c r="H160" s="38"/>
    </row>
    <row r="161" spans="6:8" s="32" customFormat="1">
      <c r="F161" s="37"/>
      <c r="H161" s="38"/>
    </row>
    <row r="162" spans="6:8" s="32" customFormat="1">
      <c r="F162" s="37"/>
      <c r="H162" s="38"/>
    </row>
    <row r="163" spans="6:8" s="32" customFormat="1">
      <c r="F163" s="37"/>
      <c r="H163" s="38"/>
    </row>
    <row r="164" spans="6:8" s="32" customFormat="1">
      <c r="F164" s="37"/>
      <c r="H164" s="38"/>
    </row>
    <row r="165" spans="6:8" s="32" customFormat="1">
      <c r="F165" s="37"/>
      <c r="H165" s="38"/>
    </row>
    <row r="166" spans="6:8" s="32" customFormat="1">
      <c r="F166" s="37"/>
      <c r="H166" s="38"/>
    </row>
    <row r="167" spans="6:8" s="32" customFormat="1">
      <c r="F167" s="37"/>
      <c r="H167" s="38"/>
    </row>
    <row r="168" spans="6:8" s="32" customFormat="1">
      <c r="F168" s="37"/>
      <c r="H168" s="38"/>
    </row>
    <row r="169" spans="6:8" s="32" customFormat="1">
      <c r="F169" s="37"/>
      <c r="H169" s="38"/>
    </row>
    <row r="170" spans="6:8" s="32" customFormat="1">
      <c r="F170" s="37"/>
      <c r="H170" s="38"/>
    </row>
    <row r="171" spans="6:8" s="32" customFormat="1">
      <c r="F171" s="37"/>
      <c r="H171" s="38"/>
    </row>
    <row r="172" spans="6:8" s="32" customFormat="1">
      <c r="F172" s="37"/>
      <c r="H172" s="38"/>
    </row>
    <row r="173" spans="6:8" s="32" customFormat="1">
      <c r="F173" s="37"/>
      <c r="H173" s="38"/>
    </row>
    <row r="174" spans="6:8" s="32" customFormat="1">
      <c r="F174" s="37"/>
      <c r="H174" s="38"/>
    </row>
    <row r="175" spans="6:8" s="32" customFormat="1">
      <c r="F175" s="37"/>
      <c r="H175" s="38"/>
    </row>
    <row r="176" spans="6:8" s="32" customFormat="1">
      <c r="F176" s="37"/>
      <c r="H176" s="38"/>
    </row>
    <row r="177" spans="6:8" s="32" customFormat="1">
      <c r="F177" s="37"/>
      <c r="H177" s="38"/>
    </row>
    <row r="178" spans="6:8" s="32" customFormat="1">
      <c r="F178" s="37"/>
      <c r="H178" s="38"/>
    </row>
    <row r="179" spans="6:8" s="32" customFormat="1">
      <c r="F179" s="37"/>
      <c r="H179" s="38"/>
    </row>
    <row r="180" spans="6:8" s="32" customFormat="1">
      <c r="F180" s="37"/>
      <c r="H180" s="38"/>
    </row>
    <row r="181" spans="6:8" s="32" customFormat="1">
      <c r="F181" s="37"/>
      <c r="H181" s="38"/>
    </row>
    <row r="182" spans="6:8" s="32" customFormat="1">
      <c r="F182" s="37"/>
      <c r="H182" s="38"/>
    </row>
    <row r="183" spans="6:8" s="32" customFormat="1">
      <c r="F183" s="37"/>
      <c r="H183" s="38"/>
    </row>
    <row r="184" spans="6:8" s="32" customFormat="1">
      <c r="F184" s="37"/>
      <c r="H184" s="38"/>
    </row>
    <row r="185" spans="6:8" s="32" customFormat="1">
      <c r="F185" s="37"/>
      <c r="H185" s="38"/>
    </row>
    <row r="186" spans="6:8" s="32" customFormat="1">
      <c r="F186" s="37"/>
      <c r="H186" s="38"/>
    </row>
    <row r="187" spans="6:8" s="32" customFormat="1">
      <c r="F187" s="37"/>
      <c r="H187" s="38"/>
    </row>
    <row r="188" spans="6:8" s="32" customFormat="1">
      <c r="F188" s="37"/>
      <c r="H188" s="38"/>
    </row>
    <row r="189" spans="6:8" s="32" customFormat="1">
      <c r="F189" s="37"/>
      <c r="H189" s="38"/>
    </row>
    <row r="190" spans="6:8" s="32" customFormat="1">
      <c r="F190" s="37"/>
      <c r="H190" s="38"/>
    </row>
    <row r="191" spans="6:8" s="32" customFormat="1">
      <c r="F191" s="37"/>
      <c r="H191" s="38"/>
    </row>
    <row r="192" spans="6:8" s="32" customFormat="1">
      <c r="F192" s="37"/>
      <c r="H192" s="38"/>
    </row>
    <row r="193" spans="6:8" s="32" customFormat="1">
      <c r="F193" s="37"/>
      <c r="H193" s="38"/>
    </row>
    <row r="194" spans="6:8" s="32" customFormat="1">
      <c r="F194" s="37"/>
      <c r="H194" s="38"/>
    </row>
    <row r="195" spans="6:8" s="32" customFormat="1">
      <c r="F195" s="37"/>
      <c r="H195" s="38"/>
    </row>
    <row r="196" spans="6:8" s="32" customFormat="1">
      <c r="F196" s="37"/>
      <c r="H196" s="38"/>
    </row>
    <row r="197" spans="6:8" s="32" customFormat="1">
      <c r="F197" s="37"/>
      <c r="H197" s="38"/>
    </row>
    <row r="198" spans="6:8" s="32" customFormat="1">
      <c r="F198" s="37"/>
      <c r="H198" s="38"/>
    </row>
    <row r="199" spans="6:8" s="32" customFormat="1">
      <c r="F199" s="37"/>
      <c r="H199" s="38"/>
    </row>
    <row r="200" spans="6:8" s="32" customFormat="1">
      <c r="F200" s="37"/>
      <c r="H200" s="38"/>
    </row>
    <row r="201" spans="6:8" s="32" customFormat="1">
      <c r="F201" s="37"/>
      <c r="H201" s="38"/>
    </row>
    <row r="202" spans="6:8" s="32" customFormat="1">
      <c r="F202" s="37"/>
      <c r="H202" s="38"/>
    </row>
    <row r="203" spans="6:8" s="32" customFormat="1">
      <c r="F203" s="37"/>
      <c r="H203" s="38"/>
    </row>
    <row r="204" spans="6:8" s="32" customFormat="1">
      <c r="F204" s="37"/>
      <c r="H204" s="38"/>
    </row>
    <row r="205" spans="6:8" s="32" customFormat="1">
      <c r="F205" s="37"/>
      <c r="H205" s="38"/>
    </row>
    <row r="206" spans="6:8" s="32" customFormat="1">
      <c r="F206" s="37"/>
      <c r="H206" s="38"/>
    </row>
    <row r="207" spans="6:8" s="32" customFormat="1">
      <c r="F207" s="37"/>
      <c r="H207" s="38"/>
    </row>
    <row r="208" spans="6:8" s="32" customFormat="1">
      <c r="F208" s="37"/>
      <c r="H208" s="38"/>
    </row>
    <row r="209" spans="6:8" s="32" customFormat="1">
      <c r="F209" s="37"/>
      <c r="H209" s="38"/>
    </row>
    <row r="210" spans="6:8" s="32" customFormat="1">
      <c r="F210" s="37"/>
      <c r="H210" s="38"/>
    </row>
    <row r="211" spans="6:8" s="32" customFormat="1">
      <c r="F211" s="37"/>
      <c r="H211" s="38"/>
    </row>
    <row r="212" spans="6:8" s="32" customFormat="1">
      <c r="F212" s="37"/>
      <c r="H212" s="38"/>
    </row>
    <row r="213" spans="6:8" s="32" customFormat="1">
      <c r="F213" s="37"/>
      <c r="H213" s="38"/>
    </row>
    <row r="214" spans="6:8" s="32" customFormat="1">
      <c r="F214" s="37"/>
      <c r="H214" s="38"/>
    </row>
    <row r="215" spans="6:8" s="32" customFormat="1">
      <c r="F215" s="37"/>
      <c r="H215" s="38"/>
    </row>
    <row r="216" spans="6:8" s="32" customFormat="1">
      <c r="F216" s="37"/>
      <c r="H216" s="38"/>
    </row>
    <row r="217" spans="6:8" s="32" customFormat="1">
      <c r="F217" s="37"/>
      <c r="H217" s="38"/>
    </row>
    <row r="218" spans="6:8" s="32" customFormat="1">
      <c r="F218" s="37"/>
      <c r="H218" s="38"/>
    </row>
    <row r="219" spans="6:8" s="32" customFormat="1">
      <c r="F219" s="37"/>
      <c r="H219" s="38"/>
    </row>
    <row r="220" spans="6:8" s="32" customFormat="1">
      <c r="F220" s="37"/>
      <c r="H220" s="38"/>
    </row>
    <row r="221" spans="6:8" s="32" customFormat="1">
      <c r="F221" s="37"/>
      <c r="H221" s="38"/>
    </row>
    <row r="222" spans="6:8" s="32" customFormat="1">
      <c r="F222" s="37"/>
      <c r="H222" s="38"/>
    </row>
    <row r="223" spans="6:8" s="32" customFormat="1">
      <c r="F223" s="37"/>
      <c r="H223" s="38"/>
    </row>
    <row r="224" spans="6:8" s="32" customFormat="1">
      <c r="F224" s="37"/>
      <c r="H224" s="38"/>
    </row>
    <row r="225" spans="6:8" s="32" customFormat="1">
      <c r="F225" s="37"/>
      <c r="H225" s="38"/>
    </row>
    <row r="226" spans="6:8" s="32" customFormat="1">
      <c r="F226" s="37"/>
      <c r="H226" s="38"/>
    </row>
    <row r="227" spans="6:8" s="32" customFormat="1">
      <c r="F227" s="37"/>
      <c r="H227" s="38"/>
    </row>
    <row r="228" spans="6:8" s="32" customFormat="1">
      <c r="F228" s="37"/>
      <c r="H228" s="38"/>
    </row>
    <row r="229" spans="6:8" s="32" customFormat="1">
      <c r="F229" s="37"/>
      <c r="H229" s="38"/>
    </row>
    <row r="230" spans="6:8" s="32" customFormat="1">
      <c r="F230" s="37"/>
      <c r="H230" s="38"/>
    </row>
    <row r="231" spans="6:8" s="32" customFormat="1">
      <c r="F231" s="37"/>
      <c r="H231" s="38"/>
    </row>
    <row r="232" spans="6:8" s="32" customFormat="1">
      <c r="F232" s="37"/>
      <c r="H232" s="38"/>
    </row>
    <row r="233" spans="6:8" s="32" customFormat="1">
      <c r="F233" s="37"/>
      <c r="H233" s="38"/>
    </row>
    <row r="234" spans="6:8" s="32" customFormat="1">
      <c r="F234" s="37"/>
      <c r="H234" s="38"/>
    </row>
    <row r="235" spans="6:8" s="32" customFormat="1">
      <c r="F235" s="37"/>
      <c r="H235" s="38"/>
    </row>
    <row r="236" spans="6:8" s="32" customFormat="1">
      <c r="F236" s="37"/>
      <c r="H236" s="38"/>
    </row>
    <row r="237" spans="6:8" s="32" customFormat="1">
      <c r="F237" s="37"/>
      <c r="H237" s="38"/>
    </row>
    <row r="238" spans="6:8" s="32" customFormat="1">
      <c r="F238" s="37"/>
      <c r="H238" s="38"/>
    </row>
    <row r="239" spans="6:8" s="32" customFormat="1">
      <c r="F239" s="37"/>
      <c r="H239" s="38"/>
    </row>
    <row r="240" spans="6:8" s="32" customFormat="1">
      <c r="F240" s="37"/>
      <c r="H240" s="38"/>
    </row>
    <row r="241" spans="6:8" s="32" customFormat="1">
      <c r="F241" s="37"/>
      <c r="H241" s="38"/>
    </row>
    <row r="242" spans="6:8" s="32" customFormat="1">
      <c r="F242" s="37"/>
      <c r="H242" s="38"/>
    </row>
    <row r="243" spans="6:8" s="32" customFormat="1">
      <c r="F243" s="37"/>
      <c r="H243" s="38"/>
    </row>
    <row r="244" spans="6:8" s="32" customFormat="1">
      <c r="F244" s="37"/>
      <c r="H244" s="38"/>
    </row>
    <row r="245" spans="6:8" s="32" customFormat="1">
      <c r="F245" s="37"/>
      <c r="H245" s="38"/>
    </row>
    <row r="246" spans="6:8" s="32" customFormat="1">
      <c r="F246" s="37"/>
      <c r="H246" s="38"/>
    </row>
    <row r="247" spans="6:8" s="32" customFormat="1">
      <c r="F247" s="37"/>
      <c r="H247" s="38"/>
    </row>
    <row r="248" spans="6:8" s="32" customFormat="1">
      <c r="F248" s="37"/>
      <c r="H248" s="38"/>
    </row>
    <row r="249" spans="6:8" s="32" customFormat="1">
      <c r="F249" s="37"/>
      <c r="H249" s="38"/>
    </row>
    <row r="250" spans="6:8" s="32" customFormat="1">
      <c r="F250" s="37"/>
      <c r="H250" s="38"/>
    </row>
    <row r="251" spans="6:8" s="32" customFormat="1">
      <c r="F251" s="37"/>
      <c r="H251" s="38"/>
    </row>
    <row r="252" spans="6:8" s="32" customFormat="1">
      <c r="F252" s="37"/>
      <c r="H252" s="38"/>
    </row>
    <row r="253" spans="6:8" s="32" customFormat="1">
      <c r="F253" s="37"/>
      <c r="H253" s="38"/>
    </row>
    <row r="254" spans="6:8" s="32" customFormat="1">
      <c r="F254" s="37"/>
      <c r="H254" s="38"/>
    </row>
    <row r="255" spans="6:8" s="32" customFormat="1">
      <c r="F255" s="37"/>
      <c r="H255" s="38"/>
    </row>
    <row r="256" spans="6:8" s="32" customFormat="1">
      <c r="F256" s="37"/>
      <c r="H256" s="38"/>
    </row>
    <row r="257" spans="6:8" s="32" customFormat="1">
      <c r="F257" s="37"/>
      <c r="H257" s="38"/>
    </row>
    <row r="258" spans="6:8" s="32" customFormat="1">
      <c r="F258" s="37"/>
      <c r="H258" s="38"/>
    </row>
    <row r="259" spans="6:8" s="32" customFormat="1">
      <c r="F259" s="37"/>
      <c r="H259" s="38"/>
    </row>
    <row r="260" spans="6:8" s="32" customFormat="1">
      <c r="F260" s="37"/>
      <c r="H260" s="38"/>
    </row>
    <row r="261" spans="6:8" s="32" customFormat="1">
      <c r="F261" s="37"/>
      <c r="H261" s="38"/>
    </row>
    <row r="262" spans="6:8" s="32" customFormat="1">
      <c r="F262" s="37"/>
      <c r="H262" s="38"/>
    </row>
    <row r="263" spans="6:8" s="32" customFormat="1">
      <c r="F263" s="37"/>
      <c r="H263" s="38"/>
    </row>
    <row r="264" spans="6:8" s="32" customFormat="1">
      <c r="F264" s="37"/>
      <c r="H264" s="38"/>
    </row>
    <row r="265" spans="6:8" s="32" customFormat="1">
      <c r="F265" s="37"/>
      <c r="H265" s="38"/>
    </row>
    <row r="266" spans="6:8" s="32" customFormat="1">
      <c r="F266" s="37"/>
      <c r="H266" s="38"/>
    </row>
    <row r="267" spans="6:8" s="32" customFormat="1">
      <c r="F267" s="37"/>
      <c r="H267" s="38"/>
    </row>
    <row r="268" spans="6:8" s="32" customFormat="1">
      <c r="F268" s="37"/>
      <c r="H268" s="38"/>
    </row>
    <row r="269" spans="6:8" s="32" customFormat="1">
      <c r="F269" s="37"/>
      <c r="H269" s="38"/>
    </row>
    <row r="270" spans="6:8" s="32" customFormat="1">
      <c r="F270" s="37"/>
      <c r="H270" s="38"/>
    </row>
    <row r="271" spans="6:8" s="32" customFormat="1">
      <c r="F271" s="37"/>
      <c r="H271" s="38"/>
    </row>
    <row r="272" spans="6:8" s="32" customFormat="1">
      <c r="F272" s="37"/>
      <c r="H272" s="38"/>
    </row>
    <row r="273" spans="6:8" s="32" customFormat="1">
      <c r="F273" s="37"/>
      <c r="H273" s="38"/>
    </row>
    <row r="274" spans="6:8" s="32" customFormat="1">
      <c r="F274" s="37"/>
      <c r="H274" s="38"/>
    </row>
    <row r="275" spans="6:8" s="32" customFormat="1">
      <c r="F275" s="37"/>
      <c r="H275" s="38"/>
    </row>
    <row r="276" spans="6:8" s="32" customFormat="1">
      <c r="F276" s="37"/>
      <c r="H276" s="38"/>
    </row>
    <row r="277" spans="6:8" s="32" customFormat="1">
      <c r="F277" s="37"/>
      <c r="H277" s="38"/>
    </row>
    <row r="278" spans="6:8" s="32" customFormat="1">
      <c r="F278" s="37"/>
      <c r="H278" s="38"/>
    </row>
    <row r="279" spans="6:8" s="32" customFormat="1">
      <c r="F279" s="37"/>
      <c r="H279" s="38"/>
    </row>
    <row r="280" spans="6:8" s="32" customFormat="1">
      <c r="F280" s="37"/>
      <c r="H280" s="38"/>
    </row>
    <row r="281" spans="6:8" s="32" customFormat="1">
      <c r="F281" s="37"/>
      <c r="H281" s="38"/>
    </row>
    <row r="282" spans="6:8" s="32" customFormat="1">
      <c r="F282" s="37"/>
      <c r="H282" s="38"/>
    </row>
    <row r="283" spans="6:8" s="32" customFormat="1">
      <c r="F283" s="37"/>
      <c r="H283" s="38"/>
    </row>
    <row r="284" spans="6:8" s="32" customFormat="1">
      <c r="F284" s="37"/>
      <c r="H284" s="38"/>
    </row>
    <row r="285" spans="6:8" s="32" customFormat="1">
      <c r="F285" s="37"/>
      <c r="H285" s="38"/>
    </row>
    <row r="286" spans="6:8" s="32" customFormat="1">
      <c r="F286" s="37"/>
      <c r="H286" s="38"/>
    </row>
    <row r="287" spans="6:8" s="32" customFormat="1">
      <c r="F287" s="37"/>
      <c r="H287" s="38"/>
    </row>
    <row r="288" spans="6:8" s="32" customFormat="1">
      <c r="F288" s="37"/>
      <c r="H288" s="38"/>
    </row>
    <row r="289" spans="6:8" s="32" customFormat="1">
      <c r="F289" s="37"/>
      <c r="H289" s="38"/>
    </row>
    <row r="290" spans="6:8" s="32" customFormat="1">
      <c r="F290" s="37"/>
      <c r="H290" s="38"/>
    </row>
    <row r="291" spans="6:8" s="32" customFormat="1">
      <c r="F291" s="37"/>
      <c r="H291" s="38"/>
    </row>
    <row r="292" spans="6:8" s="32" customFormat="1">
      <c r="F292" s="37"/>
      <c r="H292" s="38"/>
    </row>
    <row r="293" spans="6:8" s="32" customFormat="1">
      <c r="F293" s="37"/>
      <c r="H293" s="38"/>
    </row>
    <row r="294" spans="6:8" s="32" customFormat="1">
      <c r="F294" s="37"/>
      <c r="H294" s="38"/>
    </row>
    <row r="295" spans="6:8" s="32" customFormat="1">
      <c r="F295" s="37"/>
      <c r="H295" s="38"/>
    </row>
    <row r="296" spans="6:8" s="32" customFormat="1">
      <c r="F296" s="37"/>
      <c r="H296" s="38"/>
    </row>
    <row r="297" spans="6:8" s="32" customFormat="1">
      <c r="F297" s="37"/>
      <c r="H297" s="38"/>
    </row>
    <row r="298" spans="6:8" s="32" customFormat="1">
      <c r="F298" s="37"/>
      <c r="H298" s="38"/>
    </row>
    <row r="299" spans="6:8" s="32" customFormat="1">
      <c r="F299" s="37"/>
      <c r="H299" s="38"/>
    </row>
    <row r="300" spans="6:8" s="32" customFormat="1">
      <c r="F300" s="37"/>
      <c r="H300" s="38"/>
    </row>
    <row r="301" spans="6:8" s="32" customFormat="1">
      <c r="F301" s="37"/>
      <c r="H301" s="38"/>
    </row>
    <row r="302" spans="6:8" s="32" customFormat="1">
      <c r="F302" s="37"/>
      <c r="H302" s="38"/>
    </row>
    <row r="303" spans="6:8" s="32" customFormat="1">
      <c r="F303" s="37"/>
      <c r="H303" s="38"/>
    </row>
    <row r="304" spans="6:8" s="32" customFormat="1">
      <c r="F304" s="37"/>
      <c r="H304" s="38"/>
    </row>
    <row r="305" spans="6:8" s="32" customFormat="1">
      <c r="F305" s="37"/>
      <c r="H305" s="38"/>
    </row>
    <row r="306" spans="6:8" s="32" customFormat="1">
      <c r="F306" s="37"/>
      <c r="H306" s="38"/>
    </row>
    <row r="307" spans="6:8" s="32" customFormat="1">
      <c r="F307" s="37"/>
      <c r="H307" s="38"/>
    </row>
    <row r="308" spans="6:8" s="32" customFormat="1">
      <c r="F308" s="37"/>
      <c r="H308" s="38"/>
    </row>
    <row r="309" spans="6:8" s="32" customFormat="1">
      <c r="F309" s="37"/>
      <c r="H309" s="38"/>
    </row>
    <row r="310" spans="6:8" s="32" customFormat="1">
      <c r="F310" s="37"/>
      <c r="H310" s="38"/>
    </row>
    <row r="311" spans="6:8" s="32" customFormat="1">
      <c r="F311" s="37"/>
      <c r="H311" s="38"/>
    </row>
    <row r="312" spans="6:8" s="32" customFormat="1">
      <c r="F312" s="37"/>
      <c r="H312" s="38"/>
    </row>
    <row r="313" spans="6:8" s="32" customFormat="1">
      <c r="F313" s="37"/>
      <c r="H313" s="38"/>
    </row>
    <row r="314" spans="6:8" s="32" customFormat="1">
      <c r="F314" s="37"/>
      <c r="H314" s="38"/>
    </row>
    <row r="315" spans="6:8" s="32" customFormat="1">
      <c r="F315" s="37"/>
      <c r="H315" s="38"/>
    </row>
    <row r="316" spans="6:8" s="32" customFormat="1">
      <c r="F316" s="37"/>
      <c r="H316" s="38"/>
    </row>
    <row r="317" spans="6:8" s="32" customFormat="1">
      <c r="F317" s="37"/>
      <c r="H317" s="38"/>
    </row>
    <row r="318" spans="6:8" s="32" customFormat="1">
      <c r="F318" s="37"/>
      <c r="H318" s="38"/>
    </row>
    <row r="319" spans="6:8" s="32" customFormat="1">
      <c r="F319" s="37"/>
      <c r="H319" s="38"/>
    </row>
    <row r="320" spans="6:8" s="32" customFormat="1">
      <c r="F320" s="37"/>
      <c r="H320" s="38"/>
    </row>
    <row r="321" spans="6:8" s="32" customFormat="1">
      <c r="F321" s="37"/>
      <c r="H321" s="38"/>
    </row>
    <row r="322" spans="6:8" s="32" customFormat="1">
      <c r="F322" s="37"/>
      <c r="H322" s="38"/>
    </row>
    <row r="323" spans="6:8" s="32" customFormat="1">
      <c r="F323" s="37"/>
      <c r="H323" s="38"/>
    </row>
    <row r="324" spans="6:8" s="32" customFormat="1">
      <c r="F324" s="37"/>
      <c r="H324" s="38"/>
    </row>
    <row r="325" spans="6:8" s="32" customFormat="1">
      <c r="F325" s="37"/>
      <c r="H325" s="38"/>
    </row>
    <row r="326" spans="6:8" s="32" customFormat="1">
      <c r="F326" s="37"/>
      <c r="H326" s="38"/>
    </row>
    <row r="327" spans="6:8" s="32" customFormat="1">
      <c r="F327" s="37"/>
      <c r="H327" s="38"/>
    </row>
    <row r="328" spans="6:8" s="32" customFormat="1">
      <c r="F328" s="37"/>
      <c r="H328" s="38"/>
    </row>
    <row r="329" spans="6:8" s="32" customFormat="1">
      <c r="F329" s="37"/>
      <c r="H329" s="38"/>
    </row>
    <row r="330" spans="6:8" s="32" customFormat="1">
      <c r="F330" s="37"/>
      <c r="H330" s="38"/>
    </row>
    <row r="331" spans="6:8" s="32" customFormat="1">
      <c r="F331" s="37"/>
      <c r="H331" s="38"/>
    </row>
    <row r="332" spans="6:8" s="32" customFormat="1">
      <c r="F332" s="37"/>
      <c r="H332" s="38"/>
    </row>
    <row r="333" spans="6:8" s="32" customFormat="1">
      <c r="F333" s="37"/>
      <c r="H333" s="38"/>
    </row>
    <row r="334" spans="6:8" s="32" customFormat="1">
      <c r="F334" s="37"/>
      <c r="H334" s="38"/>
    </row>
    <row r="335" spans="6:8" s="32" customFormat="1">
      <c r="F335" s="37"/>
      <c r="H335" s="38"/>
    </row>
    <row r="336" spans="6:8" s="32" customFormat="1">
      <c r="F336" s="37"/>
      <c r="H336" s="38"/>
    </row>
    <row r="337" spans="6:8" s="32" customFormat="1">
      <c r="F337" s="37"/>
      <c r="H337" s="38"/>
    </row>
    <row r="338" spans="6:8" s="32" customFormat="1">
      <c r="F338" s="37"/>
      <c r="H338" s="38"/>
    </row>
    <row r="339" spans="6:8" s="32" customFormat="1">
      <c r="F339" s="37"/>
      <c r="H339" s="38"/>
    </row>
    <row r="340" spans="6:8" s="32" customFormat="1">
      <c r="F340" s="37"/>
      <c r="H340" s="38"/>
    </row>
    <row r="341" spans="6:8" s="32" customFormat="1">
      <c r="F341" s="37"/>
      <c r="H341" s="38"/>
    </row>
    <row r="342" spans="6:8" s="32" customFormat="1">
      <c r="F342" s="37"/>
      <c r="H342" s="38"/>
    </row>
    <row r="343" spans="6:8" s="32" customFormat="1">
      <c r="F343" s="37"/>
      <c r="H343" s="38"/>
    </row>
    <row r="344" spans="6:8" s="32" customFormat="1">
      <c r="F344" s="37"/>
      <c r="H344" s="38"/>
    </row>
    <row r="345" spans="6:8" s="32" customFormat="1">
      <c r="F345" s="37"/>
      <c r="H345" s="38"/>
    </row>
    <row r="346" spans="6:8" s="32" customFormat="1">
      <c r="F346" s="37"/>
      <c r="H346" s="38"/>
    </row>
    <row r="347" spans="6:8" s="32" customFormat="1">
      <c r="F347" s="37"/>
      <c r="H347" s="38"/>
    </row>
    <row r="348" spans="6:8" s="32" customFormat="1">
      <c r="F348" s="37"/>
      <c r="H348" s="38"/>
    </row>
    <row r="349" spans="6:8" s="32" customFormat="1">
      <c r="F349" s="37"/>
      <c r="H349" s="38"/>
    </row>
    <row r="350" spans="6:8" s="32" customFormat="1">
      <c r="F350" s="37"/>
      <c r="H350" s="38"/>
    </row>
    <row r="351" spans="6:8" s="32" customFormat="1">
      <c r="F351" s="37"/>
      <c r="H351" s="38"/>
    </row>
    <row r="352" spans="6:8" s="32" customFormat="1">
      <c r="F352" s="37"/>
      <c r="H352" s="38"/>
    </row>
    <row r="353" spans="6:8" s="32" customFormat="1">
      <c r="F353" s="37"/>
      <c r="H353" s="38"/>
    </row>
    <row r="354" spans="6:8" s="32" customFormat="1">
      <c r="F354" s="37"/>
      <c r="H354" s="38"/>
    </row>
    <row r="355" spans="6:8" s="32" customFormat="1">
      <c r="F355" s="37"/>
      <c r="H355" s="38"/>
    </row>
    <row r="356" spans="6:8" s="32" customFormat="1">
      <c r="F356" s="37"/>
      <c r="H356" s="38"/>
    </row>
    <row r="357" spans="6:8" s="32" customFormat="1">
      <c r="F357" s="37"/>
      <c r="H357" s="38"/>
    </row>
    <row r="358" spans="6:8" s="32" customFormat="1">
      <c r="F358" s="37"/>
      <c r="H358" s="38"/>
    </row>
    <row r="359" spans="6:8" s="32" customFormat="1">
      <c r="F359" s="37"/>
      <c r="H359" s="38"/>
    </row>
    <row r="360" spans="6:8" s="32" customFormat="1">
      <c r="F360" s="37"/>
      <c r="H360" s="38"/>
    </row>
    <row r="361" spans="6:8" s="32" customFormat="1">
      <c r="F361" s="37"/>
      <c r="H361" s="38"/>
    </row>
    <row r="362" spans="6:8" s="32" customFormat="1">
      <c r="F362" s="37"/>
      <c r="H362" s="38"/>
    </row>
    <row r="363" spans="6:8" s="32" customFormat="1">
      <c r="F363" s="37"/>
      <c r="H363" s="38"/>
    </row>
    <row r="364" spans="6:8" s="32" customFormat="1">
      <c r="F364" s="37"/>
      <c r="H364" s="38"/>
    </row>
    <row r="365" spans="6:8" s="32" customFormat="1">
      <c r="F365" s="37"/>
      <c r="H365" s="38"/>
    </row>
    <row r="366" spans="6:8" s="32" customFormat="1">
      <c r="F366" s="37"/>
      <c r="H366" s="38"/>
    </row>
    <row r="367" spans="6:8" s="32" customFormat="1">
      <c r="F367" s="37"/>
      <c r="H367" s="38"/>
    </row>
    <row r="368" spans="6:8" s="32" customFormat="1">
      <c r="F368" s="37"/>
      <c r="H368" s="38"/>
    </row>
    <row r="369" spans="6:8" s="32" customFormat="1">
      <c r="F369" s="37"/>
      <c r="H369" s="38"/>
    </row>
    <row r="370" spans="6:8" s="32" customFormat="1">
      <c r="F370" s="37"/>
      <c r="H370" s="38"/>
    </row>
    <row r="371" spans="6:8" s="32" customFormat="1">
      <c r="F371" s="37"/>
      <c r="H371" s="38"/>
    </row>
    <row r="372" spans="6:8" s="32" customFormat="1">
      <c r="F372" s="37"/>
      <c r="H372" s="38"/>
    </row>
    <row r="373" spans="6:8" s="32" customFormat="1">
      <c r="F373" s="37"/>
      <c r="H373" s="38"/>
    </row>
    <row r="374" spans="6:8" s="32" customFormat="1">
      <c r="F374" s="37"/>
      <c r="H374" s="38"/>
    </row>
    <row r="375" spans="6:8" s="32" customFormat="1">
      <c r="F375" s="37"/>
      <c r="H375" s="38"/>
    </row>
    <row r="376" spans="6:8" s="32" customFormat="1">
      <c r="F376" s="37"/>
      <c r="H376" s="38"/>
    </row>
    <row r="377" spans="6:8" s="32" customFormat="1">
      <c r="F377" s="37"/>
      <c r="H377" s="38"/>
    </row>
    <row r="378" spans="6:8" s="32" customFormat="1">
      <c r="F378" s="37"/>
      <c r="H378" s="38"/>
    </row>
    <row r="379" spans="6:8" s="32" customFormat="1">
      <c r="F379" s="37"/>
      <c r="H379" s="38"/>
    </row>
    <row r="380" spans="6:8" s="32" customFormat="1">
      <c r="F380" s="37"/>
      <c r="H380" s="38"/>
    </row>
    <row r="381" spans="6:8" s="32" customFormat="1">
      <c r="F381" s="37"/>
      <c r="H381" s="38"/>
    </row>
    <row r="382" spans="6:8" s="32" customFormat="1">
      <c r="F382" s="37"/>
      <c r="H382" s="38"/>
    </row>
    <row r="383" spans="6:8" s="32" customFormat="1">
      <c r="F383" s="37"/>
      <c r="H383" s="38"/>
    </row>
    <row r="384" spans="6:8" s="32" customFormat="1">
      <c r="F384" s="37"/>
      <c r="H384" s="38"/>
    </row>
    <row r="385" spans="6:8" s="32" customFormat="1">
      <c r="F385" s="37"/>
      <c r="H385" s="38"/>
    </row>
    <row r="386" spans="6:8" s="32" customFormat="1">
      <c r="F386" s="37"/>
      <c r="H386" s="38"/>
    </row>
    <row r="387" spans="6:8" s="32" customFormat="1">
      <c r="F387" s="37"/>
      <c r="H387" s="38"/>
    </row>
    <row r="388" spans="6:8" s="32" customFormat="1">
      <c r="F388" s="37"/>
      <c r="H388" s="38"/>
    </row>
    <row r="389" spans="6:8" s="32" customFormat="1">
      <c r="F389" s="37"/>
      <c r="H389" s="38"/>
    </row>
    <row r="390" spans="6:8" s="32" customFormat="1">
      <c r="F390" s="37"/>
      <c r="H390" s="38"/>
    </row>
    <row r="391" spans="6:8" s="32" customFormat="1">
      <c r="F391" s="37"/>
      <c r="H391" s="38"/>
    </row>
    <row r="392" spans="6:8" s="32" customFormat="1">
      <c r="F392" s="37"/>
      <c r="H392" s="38"/>
    </row>
    <row r="393" spans="6:8" s="32" customFormat="1">
      <c r="F393" s="37"/>
      <c r="H393" s="38"/>
    </row>
    <row r="394" spans="6:8" s="32" customFormat="1">
      <c r="F394" s="37"/>
      <c r="H394" s="38"/>
    </row>
    <row r="395" spans="6:8" s="32" customFormat="1">
      <c r="F395" s="37"/>
      <c r="H395" s="38"/>
    </row>
    <row r="396" spans="6:8" s="32" customFormat="1">
      <c r="F396" s="37"/>
      <c r="H396" s="38"/>
    </row>
    <row r="397" spans="6:8" s="32" customFormat="1">
      <c r="F397" s="37"/>
      <c r="H397" s="38"/>
    </row>
    <row r="398" spans="6:8" s="32" customFormat="1">
      <c r="F398" s="37"/>
      <c r="H398" s="38"/>
    </row>
    <row r="399" spans="6:8" s="32" customFormat="1">
      <c r="F399" s="37"/>
      <c r="H399" s="38"/>
    </row>
    <row r="400" spans="6:8" s="32" customFormat="1">
      <c r="F400" s="37"/>
      <c r="H400" s="38"/>
    </row>
    <row r="401" spans="6:8" s="32" customFormat="1">
      <c r="F401" s="37"/>
      <c r="H401" s="38"/>
    </row>
    <row r="402" spans="6:8" s="32" customFormat="1">
      <c r="F402" s="37"/>
      <c r="H402" s="38"/>
    </row>
    <row r="403" spans="6:8" s="32" customFormat="1">
      <c r="F403" s="37"/>
      <c r="H403" s="38"/>
    </row>
    <row r="404" spans="6:8" s="32" customFormat="1">
      <c r="F404" s="37"/>
      <c r="H404" s="38"/>
    </row>
    <row r="405" spans="6:8" s="32" customFormat="1">
      <c r="F405" s="37"/>
      <c r="H405" s="38"/>
    </row>
    <row r="406" spans="6:8" s="32" customFormat="1">
      <c r="F406" s="37"/>
      <c r="H406" s="38"/>
    </row>
    <row r="407" spans="6:8" s="32" customFormat="1">
      <c r="F407" s="37"/>
      <c r="H407" s="38"/>
    </row>
    <row r="408" spans="6:8" s="32" customFormat="1">
      <c r="F408" s="37"/>
      <c r="H408" s="38"/>
    </row>
    <row r="409" spans="6:8" s="32" customFormat="1">
      <c r="F409" s="37"/>
      <c r="H409" s="38"/>
    </row>
    <row r="410" spans="6:8" s="32" customFormat="1">
      <c r="F410" s="37"/>
      <c r="H410" s="38"/>
    </row>
    <row r="411" spans="6:8" s="32" customFormat="1">
      <c r="F411" s="37"/>
      <c r="H411" s="38"/>
    </row>
    <row r="412" spans="6:8" s="32" customFormat="1">
      <c r="F412" s="37"/>
      <c r="H412" s="38"/>
    </row>
    <row r="413" spans="6:8" s="32" customFormat="1">
      <c r="F413" s="37"/>
      <c r="H413" s="38"/>
    </row>
    <row r="414" spans="6:8" s="32" customFormat="1">
      <c r="F414" s="37"/>
      <c r="H414" s="38"/>
    </row>
    <row r="415" spans="6:8" s="32" customFormat="1">
      <c r="F415" s="37"/>
      <c r="H415" s="38"/>
    </row>
    <row r="416" spans="6:8" s="32" customFormat="1">
      <c r="F416" s="37"/>
      <c r="H416" s="38"/>
    </row>
    <row r="417" spans="6:8" s="32" customFormat="1">
      <c r="F417" s="37"/>
      <c r="H417" s="38"/>
    </row>
    <row r="418" spans="6:8" s="32" customFormat="1">
      <c r="F418" s="37"/>
      <c r="H418" s="38"/>
    </row>
    <row r="419" spans="6:8" s="32" customFormat="1">
      <c r="F419" s="37"/>
      <c r="H419" s="38"/>
    </row>
    <row r="420" spans="6:8" s="32" customFormat="1">
      <c r="F420" s="37"/>
      <c r="H420" s="38"/>
    </row>
    <row r="421" spans="6:8" s="32" customFormat="1">
      <c r="F421" s="37"/>
      <c r="H421" s="38"/>
    </row>
    <row r="422" spans="6:8" s="32" customFormat="1">
      <c r="F422" s="37"/>
      <c r="H422" s="38"/>
    </row>
    <row r="423" spans="6:8" s="32" customFormat="1">
      <c r="F423" s="37"/>
      <c r="H423" s="38"/>
    </row>
    <row r="424" spans="6:8" s="32" customFormat="1">
      <c r="F424" s="37"/>
      <c r="H424" s="38"/>
    </row>
    <row r="425" spans="6:8" s="32" customFormat="1">
      <c r="F425" s="37"/>
      <c r="H425" s="38"/>
    </row>
    <row r="426" spans="6:8" s="32" customFormat="1">
      <c r="F426" s="37"/>
      <c r="H426" s="38"/>
    </row>
    <row r="427" spans="6:8" s="32" customFormat="1">
      <c r="F427" s="37"/>
      <c r="H427" s="38"/>
    </row>
    <row r="428" spans="6:8" s="32" customFormat="1">
      <c r="F428" s="37"/>
      <c r="H428" s="38"/>
    </row>
    <row r="429" spans="6:8" s="32" customFormat="1">
      <c r="F429" s="37"/>
      <c r="H429" s="38"/>
    </row>
    <row r="430" spans="6:8" s="32" customFormat="1">
      <c r="F430" s="37"/>
      <c r="H430" s="38"/>
    </row>
    <row r="431" spans="6:8" s="32" customFormat="1">
      <c r="F431" s="37"/>
      <c r="H431" s="38"/>
    </row>
    <row r="432" spans="6:8" s="32" customFormat="1">
      <c r="F432" s="37"/>
      <c r="H432" s="38"/>
    </row>
    <row r="433" spans="6:8" s="32" customFormat="1">
      <c r="F433" s="37"/>
      <c r="H433" s="38"/>
    </row>
    <row r="434" spans="6:8" s="32" customFormat="1">
      <c r="F434" s="37"/>
      <c r="H434" s="38"/>
    </row>
    <row r="435" spans="6:8" s="32" customFormat="1">
      <c r="F435" s="37"/>
      <c r="H435" s="38"/>
    </row>
    <row r="436" spans="6:8" s="32" customFormat="1">
      <c r="F436" s="37"/>
      <c r="H436" s="38"/>
    </row>
    <row r="437" spans="6:8" s="32" customFormat="1">
      <c r="F437" s="37"/>
      <c r="H437" s="38"/>
    </row>
    <row r="438" spans="6:8" s="32" customFormat="1">
      <c r="F438" s="37"/>
      <c r="H438" s="38"/>
    </row>
    <row r="439" spans="6:8" s="32" customFormat="1">
      <c r="F439" s="37"/>
      <c r="H439" s="38"/>
    </row>
    <row r="440" spans="6:8" s="32" customFormat="1">
      <c r="F440" s="37"/>
      <c r="H440" s="38"/>
    </row>
    <row r="441" spans="6:8" s="32" customFormat="1">
      <c r="F441" s="37"/>
      <c r="H441" s="38"/>
    </row>
    <row r="442" spans="6:8" s="32" customFormat="1">
      <c r="F442" s="37"/>
      <c r="H442" s="38"/>
    </row>
    <row r="443" spans="6:8" s="32" customFormat="1">
      <c r="F443" s="37"/>
      <c r="H443" s="38"/>
    </row>
    <row r="444" spans="6:8" s="32" customFormat="1">
      <c r="F444" s="37"/>
      <c r="H444" s="38"/>
    </row>
    <row r="445" spans="6:8" s="32" customFormat="1">
      <c r="F445" s="37"/>
      <c r="H445" s="38"/>
    </row>
    <row r="446" spans="6:8" s="32" customFormat="1">
      <c r="F446" s="37"/>
      <c r="H446" s="38"/>
    </row>
    <row r="447" spans="6:8" s="32" customFormat="1">
      <c r="F447" s="37"/>
      <c r="H447" s="38"/>
    </row>
    <row r="448" spans="6:8" s="32" customFormat="1">
      <c r="F448" s="37"/>
      <c r="H448" s="38"/>
    </row>
    <row r="449" spans="6:8" s="32" customFormat="1">
      <c r="F449" s="37"/>
      <c r="H449" s="38"/>
    </row>
    <row r="450" spans="6:8" s="32" customFormat="1">
      <c r="F450" s="37"/>
      <c r="H450" s="38"/>
    </row>
    <row r="451" spans="6:8" s="32" customFormat="1">
      <c r="F451" s="37"/>
      <c r="H451" s="38"/>
    </row>
    <row r="452" spans="6:8" s="32" customFormat="1">
      <c r="F452" s="37"/>
      <c r="H452" s="38"/>
    </row>
    <row r="453" spans="6:8" s="32" customFormat="1">
      <c r="F453" s="37"/>
      <c r="H453" s="38"/>
    </row>
    <row r="454" spans="6:8" s="32" customFormat="1">
      <c r="F454" s="37"/>
      <c r="H454" s="38"/>
    </row>
    <row r="455" spans="6:8" s="32" customFormat="1">
      <c r="F455" s="37"/>
      <c r="H455" s="38"/>
    </row>
    <row r="456" spans="6:8" s="32" customFormat="1">
      <c r="F456" s="37"/>
      <c r="H456" s="38"/>
    </row>
    <row r="457" spans="6:8" s="32" customFormat="1">
      <c r="F457" s="37"/>
      <c r="H457" s="38"/>
    </row>
    <row r="458" spans="6:8" s="32" customFormat="1">
      <c r="F458" s="37"/>
      <c r="H458" s="38"/>
    </row>
    <row r="459" spans="6:8" s="32" customFormat="1">
      <c r="F459" s="37"/>
      <c r="H459" s="38"/>
    </row>
    <row r="460" spans="6:8" s="32" customFormat="1">
      <c r="F460" s="37"/>
      <c r="H460" s="38"/>
    </row>
    <row r="461" spans="6:8" s="32" customFormat="1">
      <c r="F461" s="37"/>
      <c r="H461" s="38"/>
    </row>
    <row r="462" spans="6:8" s="32" customFormat="1">
      <c r="F462" s="37"/>
      <c r="H462" s="38"/>
    </row>
    <row r="463" spans="6:8" s="32" customFormat="1">
      <c r="F463" s="37"/>
      <c r="H463" s="38"/>
    </row>
    <row r="464" spans="6:8" s="32" customFormat="1">
      <c r="F464" s="37"/>
      <c r="H464" s="38"/>
    </row>
    <row r="465" spans="6:8" s="32" customFormat="1">
      <c r="F465" s="37"/>
      <c r="H465" s="38"/>
    </row>
    <row r="466" spans="6:8" s="32" customFormat="1">
      <c r="F466" s="37"/>
      <c r="H466" s="38"/>
    </row>
    <row r="467" spans="6:8" s="32" customFormat="1">
      <c r="F467" s="37"/>
      <c r="H467" s="38"/>
    </row>
    <row r="468" spans="6:8" s="32" customFormat="1">
      <c r="F468" s="37"/>
      <c r="H468" s="38"/>
    </row>
    <row r="469" spans="6:8" s="32" customFormat="1">
      <c r="F469" s="37"/>
      <c r="H469" s="38"/>
    </row>
    <row r="470" spans="6:8" s="32" customFormat="1">
      <c r="F470" s="37"/>
      <c r="H470" s="38"/>
    </row>
    <row r="471" spans="6:8" s="32" customFormat="1">
      <c r="F471" s="37"/>
      <c r="H471" s="38"/>
    </row>
    <row r="472" spans="6:8" s="32" customFormat="1">
      <c r="F472" s="37"/>
      <c r="H472" s="38"/>
    </row>
    <row r="473" spans="6:8" s="32" customFormat="1">
      <c r="F473" s="37"/>
      <c r="H473" s="38"/>
    </row>
    <row r="474" spans="6:8" s="32" customFormat="1">
      <c r="F474" s="37"/>
      <c r="H474" s="38"/>
    </row>
    <row r="475" spans="6:8" s="32" customFormat="1">
      <c r="F475" s="37"/>
      <c r="H475" s="38"/>
    </row>
    <row r="476" spans="6:8" s="32" customFormat="1">
      <c r="F476" s="37"/>
      <c r="H476" s="38"/>
    </row>
    <row r="477" spans="6:8" s="32" customFormat="1">
      <c r="F477" s="37"/>
      <c r="H477" s="38"/>
    </row>
    <row r="478" spans="6:8" s="32" customFormat="1">
      <c r="F478" s="37"/>
      <c r="H478" s="38"/>
    </row>
    <row r="479" spans="6:8" s="32" customFormat="1">
      <c r="F479" s="37"/>
      <c r="H479" s="38"/>
    </row>
    <row r="480" spans="6:8" s="32" customFormat="1">
      <c r="F480" s="37"/>
      <c r="H480" s="38"/>
    </row>
    <row r="481" spans="6:8" s="32" customFormat="1">
      <c r="F481" s="37"/>
      <c r="H481" s="38"/>
    </row>
    <row r="482" spans="6:8" s="32" customFormat="1">
      <c r="F482" s="37"/>
      <c r="H482" s="38"/>
    </row>
    <row r="483" spans="6:8" s="32" customFormat="1">
      <c r="F483" s="37"/>
      <c r="H483" s="38"/>
    </row>
    <row r="484" spans="6:8" s="32" customFormat="1">
      <c r="F484" s="37"/>
      <c r="H484" s="38"/>
    </row>
    <row r="485" spans="6:8" s="32" customFormat="1">
      <c r="F485" s="37"/>
      <c r="H485" s="38"/>
    </row>
    <row r="486" spans="6:8" s="32" customFormat="1">
      <c r="F486" s="37"/>
      <c r="H486" s="38"/>
    </row>
    <row r="487" spans="6:8" s="32" customFormat="1">
      <c r="F487" s="37"/>
      <c r="H487" s="38"/>
    </row>
    <row r="488" spans="6:8" s="32" customFormat="1">
      <c r="F488" s="37"/>
      <c r="H488" s="38"/>
    </row>
    <row r="489" spans="6:8" s="32" customFormat="1">
      <c r="F489" s="37"/>
      <c r="H489" s="38"/>
    </row>
    <row r="490" spans="6:8" s="32" customFormat="1">
      <c r="F490" s="37"/>
      <c r="H490" s="38"/>
    </row>
    <row r="491" spans="6:8" s="32" customFormat="1">
      <c r="F491" s="37"/>
      <c r="H491" s="38"/>
    </row>
    <row r="492" spans="6:8" s="32" customFormat="1">
      <c r="F492" s="37"/>
      <c r="H492" s="38"/>
    </row>
    <row r="493" spans="6:8" s="32" customFormat="1">
      <c r="F493" s="37"/>
      <c r="H493" s="38"/>
    </row>
    <row r="494" spans="6:8" s="32" customFormat="1">
      <c r="F494" s="37"/>
      <c r="H494" s="38"/>
    </row>
    <row r="495" spans="6:8" s="32" customFormat="1">
      <c r="F495" s="37"/>
      <c r="H495" s="38"/>
    </row>
    <row r="496" spans="6:8" s="32" customFormat="1">
      <c r="F496" s="37"/>
      <c r="H496" s="38"/>
    </row>
    <row r="497" spans="6:8" s="32" customFormat="1">
      <c r="F497" s="37"/>
      <c r="H497" s="38"/>
    </row>
    <row r="498" spans="6:8" s="32" customFormat="1">
      <c r="F498" s="37"/>
      <c r="H498" s="38"/>
    </row>
    <row r="499" spans="6:8" s="32" customFormat="1">
      <c r="F499" s="37"/>
      <c r="H499" s="38"/>
    </row>
    <row r="500" spans="6:8" s="32" customFormat="1">
      <c r="F500" s="37"/>
      <c r="H500" s="38"/>
    </row>
    <row r="501" spans="6:8" s="32" customFormat="1">
      <c r="F501" s="37"/>
      <c r="H501" s="38"/>
    </row>
    <row r="502" spans="6:8" s="32" customFormat="1">
      <c r="F502" s="37"/>
      <c r="H502" s="38"/>
    </row>
    <row r="503" spans="6:8" s="32" customFormat="1">
      <c r="F503" s="37"/>
      <c r="H503" s="38"/>
    </row>
    <row r="504" spans="6:8" s="32" customFormat="1">
      <c r="F504" s="37"/>
      <c r="H504" s="38"/>
    </row>
    <row r="505" spans="6:8" s="32" customFormat="1">
      <c r="F505" s="37"/>
      <c r="H505" s="38"/>
    </row>
    <row r="506" spans="6:8" s="32" customFormat="1">
      <c r="F506" s="37"/>
      <c r="H506" s="38"/>
    </row>
    <row r="507" spans="6:8" s="32" customFormat="1">
      <c r="F507" s="37"/>
      <c r="H507" s="38"/>
    </row>
    <row r="508" spans="6:8" s="32" customFormat="1">
      <c r="F508" s="37"/>
      <c r="H508" s="38"/>
    </row>
    <row r="509" spans="6:8" s="32" customFormat="1">
      <c r="F509" s="37"/>
      <c r="H509" s="38"/>
    </row>
    <row r="510" spans="6:8" s="32" customFormat="1">
      <c r="F510" s="37"/>
      <c r="H510" s="38"/>
    </row>
    <row r="511" spans="6:8" s="32" customFormat="1">
      <c r="F511" s="37"/>
      <c r="H511" s="38"/>
    </row>
    <row r="512" spans="6:8" s="32" customFormat="1">
      <c r="F512" s="37"/>
      <c r="H512" s="38"/>
    </row>
    <row r="513" spans="6:8" s="32" customFormat="1">
      <c r="F513" s="37"/>
      <c r="H513" s="38"/>
    </row>
    <row r="514" spans="6:8" s="32" customFormat="1">
      <c r="F514" s="37"/>
      <c r="H514" s="38"/>
    </row>
    <row r="515" spans="6:8" s="32" customFormat="1">
      <c r="F515" s="37"/>
      <c r="H515" s="38"/>
    </row>
    <row r="516" spans="6:8" s="32" customFormat="1">
      <c r="F516" s="37"/>
      <c r="H516" s="38"/>
    </row>
    <row r="517" spans="6:8" s="32" customFormat="1">
      <c r="F517" s="37"/>
      <c r="H517" s="38"/>
    </row>
    <row r="518" spans="6:8" s="32" customFormat="1">
      <c r="F518" s="37"/>
      <c r="H518" s="38"/>
    </row>
    <row r="519" spans="6:8" s="32" customFormat="1">
      <c r="F519" s="37"/>
      <c r="H519" s="38"/>
    </row>
    <row r="520" spans="6:8" s="32" customFormat="1">
      <c r="F520" s="37"/>
      <c r="H520" s="38"/>
    </row>
    <row r="521" spans="6:8" s="32" customFormat="1">
      <c r="F521" s="37"/>
      <c r="H521" s="38"/>
    </row>
    <row r="522" spans="6:8" s="32" customFormat="1">
      <c r="F522" s="37"/>
      <c r="H522" s="38"/>
    </row>
    <row r="523" spans="6:8" s="32" customFormat="1">
      <c r="F523" s="37"/>
      <c r="H523" s="38"/>
    </row>
    <row r="524" spans="6:8" s="32" customFormat="1">
      <c r="F524" s="37"/>
      <c r="H524" s="38"/>
    </row>
    <row r="525" spans="6:8" s="32" customFormat="1">
      <c r="F525" s="37"/>
      <c r="H525" s="38"/>
    </row>
    <row r="526" spans="6:8" s="32" customFormat="1">
      <c r="F526" s="37"/>
      <c r="H526" s="38"/>
    </row>
    <row r="527" spans="6:8" s="32" customFormat="1">
      <c r="F527" s="37"/>
      <c r="H527" s="38"/>
    </row>
    <row r="528" spans="6:8" s="32" customFormat="1">
      <c r="F528" s="37"/>
      <c r="H528" s="38"/>
    </row>
    <row r="529" spans="6:8" s="32" customFormat="1">
      <c r="F529" s="37"/>
      <c r="H529" s="38"/>
    </row>
    <row r="530" spans="6:8" s="32" customFormat="1">
      <c r="F530" s="37"/>
      <c r="H530" s="38"/>
    </row>
    <row r="531" spans="6:8" s="32" customFormat="1">
      <c r="F531" s="37"/>
      <c r="H531" s="38"/>
    </row>
    <row r="532" spans="6:8" s="32" customFormat="1">
      <c r="F532" s="37"/>
      <c r="H532" s="38"/>
    </row>
    <row r="533" spans="6:8" s="32" customFormat="1">
      <c r="F533" s="37"/>
      <c r="H533" s="38"/>
    </row>
    <row r="534" spans="6:8" s="32" customFormat="1">
      <c r="F534" s="37"/>
      <c r="H534" s="38"/>
    </row>
    <row r="535" spans="6:8" s="32" customFormat="1">
      <c r="F535" s="37"/>
      <c r="H535" s="38"/>
    </row>
    <row r="536" spans="6:8" s="32" customFormat="1">
      <c r="F536" s="37"/>
      <c r="H536" s="38"/>
    </row>
    <row r="537" spans="6:8" s="32" customFormat="1">
      <c r="F537" s="37"/>
      <c r="H537" s="38"/>
    </row>
    <row r="538" spans="6:8" s="32" customFormat="1">
      <c r="F538" s="37"/>
      <c r="H538" s="38"/>
    </row>
    <row r="539" spans="6:8" s="32" customFormat="1">
      <c r="F539" s="37"/>
      <c r="H539" s="38"/>
    </row>
    <row r="540" spans="6:8" s="32" customFormat="1">
      <c r="F540" s="37"/>
      <c r="H540" s="38"/>
    </row>
    <row r="541" spans="6:8" s="32" customFormat="1">
      <c r="F541" s="37"/>
      <c r="H541" s="38"/>
    </row>
    <row r="542" spans="6:8" s="32" customFormat="1">
      <c r="F542" s="37"/>
      <c r="H542" s="38"/>
    </row>
    <row r="543" spans="6:8" s="32" customFormat="1">
      <c r="F543" s="37"/>
      <c r="H543" s="38"/>
    </row>
    <row r="544" spans="6:8" s="32" customFormat="1">
      <c r="F544" s="37"/>
      <c r="H544" s="38"/>
    </row>
    <row r="545" spans="6:8" s="32" customFormat="1">
      <c r="F545" s="37"/>
      <c r="H545" s="38"/>
    </row>
    <row r="546" spans="6:8" s="32" customFormat="1">
      <c r="F546" s="37"/>
      <c r="H546" s="38"/>
    </row>
    <row r="547" spans="6:8" s="32" customFormat="1">
      <c r="F547" s="37"/>
      <c r="H547" s="38"/>
    </row>
    <row r="548" spans="6:8" s="32" customFormat="1">
      <c r="F548" s="37"/>
      <c r="H548" s="38"/>
    </row>
    <row r="549" spans="6:8" s="32" customFormat="1">
      <c r="F549" s="37"/>
      <c r="H549" s="38"/>
    </row>
    <row r="550" spans="6:8" s="32" customFormat="1">
      <c r="F550" s="37"/>
      <c r="H550" s="38"/>
    </row>
    <row r="551" spans="6:8" s="32" customFormat="1">
      <c r="F551" s="37"/>
      <c r="H551" s="38"/>
    </row>
    <row r="552" spans="6:8" s="32" customFormat="1">
      <c r="F552" s="37"/>
      <c r="H552" s="38"/>
    </row>
    <row r="553" spans="6:8" s="32" customFormat="1">
      <c r="F553" s="37"/>
      <c r="H553" s="38"/>
    </row>
    <row r="554" spans="6:8" s="32" customFormat="1">
      <c r="F554" s="37"/>
      <c r="H554" s="38"/>
    </row>
    <row r="555" spans="6:8" s="32" customFormat="1">
      <c r="F555" s="37"/>
      <c r="H555" s="38"/>
    </row>
    <row r="556" spans="6:8" s="32" customFormat="1">
      <c r="F556" s="37"/>
      <c r="H556" s="38"/>
    </row>
    <row r="557" spans="6:8" s="32" customFormat="1">
      <c r="F557" s="37"/>
      <c r="H557" s="38"/>
    </row>
    <row r="558" spans="6:8" s="32" customFormat="1">
      <c r="F558" s="37"/>
      <c r="H558" s="38"/>
    </row>
    <row r="559" spans="6:8" s="32" customFormat="1">
      <c r="F559" s="37"/>
      <c r="H559" s="38"/>
    </row>
    <row r="560" spans="6:8" s="32" customFormat="1">
      <c r="F560" s="37"/>
      <c r="H560" s="38"/>
    </row>
    <row r="561" spans="6:8" s="32" customFormat="1">
      <c r="F561" s="37"/>
      <c r="H561" s="38"/>
    </row>
    <row r="562" spans="6:8" s="32" customFormat="1">
      <c r="F562" s="37"/>
      <c r="H562" s="38"/>
    </row>
    <row r="563" spans="6:8" s="32" customFormat="1">
      <c r="F563" s="37"/>
      <c r="H563" s="38"/>
    </row>
    <row r="564" spans="6:8" s="32" customFormat="1">
      <c r="F564" s="37"/>
      <c r="H564" s="38"/>
    </row>
    <row r="565" spans="6:8" s="32" customFormat="1">
      <c r="F565" s="37"/>
      <c r="H565" s="38"/>
    </row>
    <row r="566" spans="6:8" s="32" customFormat="1">
      <c r="F566" s="37"/>
      <c r="H566" s="38"/>
    </row>
    <row r="567" spans="6:8" s="32" customFormat="1">
      <c r="F567" s="37"/>
      <c r="H567" s="38"/>
    </row>
    <row r="568" spans="6:8" s="32" customFormat="1">
      <c r="F568" s="37"/>
      <c r="H568" s="38"/>
    </row>
    <row r="569" spans="6:8" s="32" customFormat="1">
      <c r="F569" s="37"/>
      <c r="H569" s="38"/>
    </row>
    <row r="570" spans="6:8" s="32" customFormat="1">
      <c r="F570" s="37"/>
      <c r="H570" s="38"/>
    </row>
    <row r="571" spans="6:8" s="32" customFormat="1">
      <c r="F571" s="37"/>
      <c r="H571" s="38"/>
    </row>
    <row r="572" spans="6:8" s="32" customFormat="1">
      <c r="F572" s="37"/>
      <c r="H572" s="38"/>
    </row>
    <row r="573" spans="6:8" s="32" customFormat="1">
      <c r="F573" s="37"/>
      <c r="H573" s="38"/>
    </row>
    <row r="574" spans="6:8" s="32" customFormat="1">
      <c r="F574" s="37"/>
      <c r="H574" s="38"/>
    </row>
    <row r="575" spans="6:8" s="32" customFormat="1">
      <c r="F575" s="37"/>
      <c r="H575" s="38"/>
    </row>
    <row r="576" spans="6:8" s="32" customFormat="1">
      <c r="F576" s="37"/>
      <c r="H576" s="38"/>
    </row>
    <row r="577" spans="6:8" s="32" customFormat="1">
      <c r="F577" s="37"/>
      <c r="H577" s="38"/>
    </row>
    <row r="578" spans="6:8" s="32" customFormat="1">
      <c r="F578" s="37"/>
      <c r="H578" s="38"/>
    </row>
    <row r="579" spans="6:8" s="32" customFormat="1">
      <c r="F579" s="37"/>
      <c r="H579" s="38"/>
    </row>
    <row r="580" spans="6:8" s="32" customFormat="1">
      <c r="F580" s="37"/>
      <c r="H580" s="38"/>
    </row>
    <row r="581" spans="6:8" s="32" customFormat="1">
      <c r="F581" s="37"/>
      <c r="H581" s="38"/>
    </row>
    <row r="582" spans="6:8" s="32" customFormat="1">
      <c r="F582" s="37"/>
      <c r="H582" s="38"/>
    </row>
    <row r="583" spans="6:8" s="32" customFormat="1">
      <c r="F583" s="37"/>
      <c r="H583" s="38"/>
    </row>
    <row r="584" spans="6:8" s="32" customFormat="1">
      <c r="F584" s="37"/>
      <c r="H584" s="38"/>
    </row>
    <row r="585" spans="6:8" s="32" customFormat="1">
      <c r="F585" s="37"/>
      <c r="H585" s="38"/>
    </row>
    <row r="586" spans="6:8" s="32" customFormat="1">
      <c r="F586" s="37"/>
      <c r="H586" s="38"/>
    </row>
    <row r="587" spans="6:8" s="32" customFormat="1">
      <c r="F587" s="37"/>
      <c r="H587" s="38"/>
    </row>
    <row r="588" spans="6:8" s="32" customFormat="1">
      <c r="F588" s="37"/>
      <c r="H588" s="38"/>
    </row>
    <row r="589" spans="6:8" s="32" customFormat="1">
      <c r="F589" s="37"/>
      <c r="H589" s="38"/>
    </row>
    <row r="590" spans="6:8" s="32" customFormat="1">
      <c r="F590" s="37"/>
      <c r="H590" s="38"/>
    </row>
    <row r="591" spans="6:8" s="32" customFormat="1">
      <c r="F591" s="37"/>
      <c r="H591" s="38"/>
    </row>
    <row r="592" spans="6:8" s="32" customFormat="1">
      <c r="F592" s="37"/>
      <c r="H592" s="38"/>
    </row>
    <row r="593" spans="6:8" s="32" customFormat="1">
      <c r="F593" s="37"/>
      <c r="H593" s="38"/>
    </row>
    <row r="594" spans="6:8" s="32" customFormat="1">
      <c r="F594" s="37"/>
      <c r="H594" s="38"/>
    </row>
    <row r="595" spans="6:8" s="32" customFormat="1">
      <c r="F595" s="37"/>
      <c r="H595" s="38"/>
    </row>
    <row r="596" spans="6:8" s="32" customFormat="1">
      <c r="F596" s="37"/>
      <c r="H596" s="38"/>
    </row>
    <row r="597" spans="6:8" s="32" customFormat="1">
      <c r="F597" s="37"/>
      <c r="H597" s="38"/>
    </row>
    <row r="598" spans="6:8" s="32" customFormat="1">
      <c r="F598" s="37"/>
      <c r="H598" s="38"/>
    </row>
    <row r="599" spans="6:8" s="32" customFormat="1">
      <c r="F599" s="37"/>
      <c r="H599" s="38"/>
    </row>
    <row r="600" spans="6:8" s="32" customFormat="1">
      <c r="F600" s="37"/>
      <c r="H600" s="38"/>
    </row>
    <row r="601" spans="6:8" s="32" customFormat="1">
      <c r="F601" s="37"/>
      <c r="H601" s="38"/>
    </row>
    <row r="602" spans="6:8" s="32" customFormat="1">
      <c r="F602" s="37"/>
      <c r="H602" s="38"/>
    </row>
    <row r="603" spans="6:8" s="32" customFormat="1">
      <c r="F603" s="37"/>
      <c r="H603" s="38"/>
    </row>
    <row r="604" spans="6:8" s="32" customFormat="1">
      <c r="F604" s="37"/>
      <c r="H604" s="38"/>
    </row>
    <row r="605" spans="6:8" s="32" customFormat="1">
      <c r="F605" s="37"/>
      <c r="H605" s="38"/>
    </row>
    <row r="606" spans="6:8" s="32" customFormat="1">
      <c r="F606" s="37"/>
      <c r="H606" s="38"/>
    </row>
    <row r="607" spans="6:8" s="32" customFormat="1">
      <c r="F607" s="37"/>
      <c r="H607" s="38"/>
    </row>
    <row r="608" spans="6:8" s="32" customFormat="1">
      <c r="F608" s="37"/>
      <c r="H608" s="38"/>
    </row>
    <row r="609" spans="6:8" s="32" customFormat="1">
      <c r="F609" s="37"/>
      <c r="H609" s="38"/>
    </row>
    <row r="610" spans="6:8" s="32" customFormat="1">
      <c r="F610" s="37"/>
      <c r="H610" s="38"/>
    </row>
    <row r="611" spans="6:8" s="32" customFormat="1">
      <c r="F611" s="37"/>
      <c r="H611" s="38"/>
    </row>
    <row r="612" spans="6:8" s="32" customFormat="1">
      <c r="F612" s="37"/>
      <c r="H612" s="38"/>
    </row>
    <row r="613" spans="6:8" s="32" customFormat="1">
      <c r="F613" s="37"/>
      <c r="H613" s="38"/>
    </row>
    <row r="614" spans="6:8" s="32" customFormat="1">
      <c r="F614" s="37"/>
      <c r="H614" s="38"/>
    </row>
    <row r="615" spans="6:8" s="32" customFormat="1">
      <c r="F615" s="37"/>
      <c r="H615" s="38"/>
    </row>
    <row r="616" spans="6:8" s="32" customFormat="1">
      <c r="F616" s="37"/>
      <c r="H616" s="38"/>
    </row>
    <row r="617" spans="6:8" s="32" customFormat="1">
      <c r="F617" s="37"/>
      <c r="H617" s="38"/>
    </row>
    <row r="618" spans="6:8" s="32" customFormat="1">
      <c r="F618" s="37"/>
      <c r="H618" s="38"/>
    </row>
    <row r="619" spans="6:8" s="32" customFormat="1">
      <c r="F619" s="37"/>
      <c r="H619" s="38"/>
    </row>
    <row r="620" spans="6:8" s="32" customFormat="1">
      <c r="F620" s="37"/>
      <c r="H620" s="38"/>
    </row>
    <row r="621" spans="6:8" s="32" customFormat="1">
      <c r="F621" s="37"/>
      <c r="H621" s="38"/>
    </row>
    <row r="622" spans="6:8" s="32" customFormat="1">
      <c r="F622" s="37"/>
      <c r="H622" s="38"/>
    </row>
    <row r="623" spans="6:8" s="32" customFormat="1">
      <c r="F623" s="37"/>
      <c r="H623" s="38"/>
    </row>
    <row r="624" spans="6:8" s="32" customFormat="1">
      <c r="F624" s="37"/>
      <c r="H624" s="38"/>
    </row>
    <row r="625" spans="6:8" s="32" customFormat="1">
      <c r="F625" s="37"/>
      <c r="H625" s="38"/>
    </row>
    <row r="626" spans="6:8" s="32" customFormat="1">
      <c r="F626" s="37"/>
      <c r="H626" s="38"/>
    </row>
    <row r="627" spans="6:8" s="32" customFormat="1">
      <c r="F627" s="37"/>
      <c r="H627" s="38"/>
    </row>
    <row r="628" spans="6:8" s="32" customFormat="1">
      <c r="F628" s="37"/>
      <c r="H628" s="38"/>
    </row>
    <row r="629" spans="6:8" s="32" customFormat="1">
      <c r="F629" s="37"/>
      <c r="H629" s="38"/>
    </row>
    <row r="630" spans="6:8" s="32" customFormat="1">
      <c r="F630" s="37"/>
      <c r="H630" s="38"/>
    </row>
    <row r="631" spans="6:8" s="32" customFormat="1">
      <c r="F631" s="37"/>
      <c r="H631" s="38"/>
    </row>
    <row r="632" spans="6:8" s="32" customFormat="1">
      <c r="F632" s="37"/>
      <c r="H632" s="38"/>
    </row>
    <row r="633" spans="6:8" s="32" customFormat="1">
      <c r="F633" s="37"/>
      <c r="H633" s="38"/>
    </row>
    <row r="634" spans="6:8" s="32" customFormat="1">
      <c r="F634" s="37"/>
      <c r="H634" s="38"/>
    </row>
    <row r="635" spans="6:8" s="32" customFormat="1">
      <c r="F635" s="37"/>
      <c r="H635" s="38"/>
    </row>
    <row r="636" spans="6:8" s="32" customFormat="1">
      <c r="F636" s="37"/>
      <c r="H636" s="38"/>
    </row>
    <row r="637" spans="6:8" s="32" customFormat="1">
      <c r="F637" s="37"/>
      <c r="H637" s="38"/>
    </row>
    <row r="638" spans="6:8" s="32" customFormat="1">
      <c r="F638" s="37"/>
      <c r="H638" s="38"/>
    </row>
    <row r="639" spans="6:8" s="32" customFormat="1">
      <c r="F639" s="37"/>
      <c r="H639" s="38"/>
    </row>
    <row r="640" spans="6:8" s="32" customFormat="1">
      <c r="F640" s="37"/>
      <c r="H640" s="38"/>
    </row>
    <row r="641" spans="6:8" s="32" customFormat="1">
      <c r="F641" s="37"/>
      <c r="H641" s="38"/>
    </row>
    <row r="642" spans="6:8" s="32" customFormat="1">
      <c r="F642" s="37"/>
      <c r="H642" s="38"/>
    </row>
    <row r="643" spans="6:8" s="32" customFormat="1">
      <c r="F643" s="37"/>
      <c r="H643" s="38"/>
    </row>
    <row r="644" spans="6:8" s="32" customFormat="1">
      <c r="F644" s="37"/>
      <c r="H644" s="38"/>
    </row>
    <row r="645" spans="6:8" s="32" customFormat="1">
      <c r="F645" s="37"/>
      <c r="H645" s="38"/>
    </row>
    <row r="646" spans="6:8" s="32" customFormat="1">
      <c r="F646" s="37"/>
      <c r="H646" s="38"/>
    </row>
    <row r="647" spans="6:8" s="32" customFormat="1">
      <c r="F647" s="37"/>
      <c r="H647" s="38"/>
    </row>
    <row r="648" spans="6:8" s="32" customFormat="1">
      <c r="F648" s="37"/>
      <c r="H648" s="38"/>
    </row>
    <row r="649" spans="6:8" s="32" customFormat="1">
      <c r="F649" s="37"/>
      <c r="H649" s="38"/>
    </row>
    <row r="650" spans="6:8" s="32" customFormat="1">
      <c r="F650" s="37"/>
      <c r="H650" s="38"/>
    </row>
    <row r="651" spans="6:8" s="32" customFormat="1">
      <c r="F651" s="37"/>
      <c r="H651" s="38"/>
    </row>
    <row r="652" spans="6:8" s="32" customFormat="1">
      <c r="F652" s="37"/>
      <c r="H652" s="38"/>
    </row>
    <row r="653" spans="6:8" s="32" customFormat="1">
      <c r="F653" s="37"/>
      <c r="H653" s="38"/>
    </row>
    <row r="654" spans="6:8" s="32" customFormat="1">
      <c r="F654" s="37"/>
      <c r="H654" s="38"/>
    </row>
    <row r="655" spans="6:8" s="32" customFormat="1">
      <c r="F655" s="37"/>
      <c r="H655" s="38"/>
    </row>
    <row r="656" spans="6:8" s="32" customFormat="1">
      <c r="F656" s="37"/>
      <c r="H656" s="38"/>
    </row>
    <row r="657" spans="6:8" s="32" customFormat="1">
      <c r="F657" s="37"/>
      <c r="H657" s="38"/>
    </row>
    <row r="658" spans="6:8" s="32" customFormat="1">
      <c r="F658" s="37"/>
      <c r="H658" s="38"/>
    </row>
    <row r="659" spans="6:8" s="32" customFormat="1">
      <c r="F659" s="37"/>
      <c r="H659" s="38"/>
    </row>
    <row r="660" spans="6:8" s="32" customFormat="1">
      <c r="F660" s="37"/>
      <c r="H660" s="38"/>
    </row>
    <row r="661" spans="6:8" s="32" customFormat="1">
      <c r="F661" s="37"/>
      <c r="H661" s="38"/>
    </row>
    <row r="662" spans="6:8" s="32" customFormat="1">
      <c r="F662" s="37"/>
      <c r="H662" s="38"/>
    </row>
    <row r="663" spans="6:8" s="32" customFormat="1">
      <c r="F663" s="37"/>
      <c r="H663" s="38"/>
    </row>
    <row r="664" spans="6:8" s="32" customFormat="1">
      <c r="F664" s="37"/>
      <c r="H664" s="38"/>
    </row>
    <row r="665" spans="6:8" s="32" customFormat="1">
      <c r="F665" s="37"/>
      <c r="H665" s="38"/>
    </row>
    <row r="666" spans="6:8" s="32" customFormat="1">
      <c r="F666" s="37"/>
      <c r="H666" s="38"/>
    </row>
    <row r="667" spans="6:8" s="32" customFormat="1">
      <c r="F667" s="37"/>
      <c r="H667" s="38"/>
    </row>
    <row r="668" spans="6:8" s="32" customFormat="1">
      <c r="F668" s="37"/>
      <c r="H668" s="38"/>
    </row>
    <row r="669" spans="6:8" s="32" customFormat="1">
      <c r="F669" s="37"/>
      <c r="H669" s="38"/>
    </row>
    <row r="670" spans="6:8" s="32" customFormat="1">
      <c r="F670" s="37"/>
      <c r="H670" s="38"/>
    </row>
    <row r="671" spans="6:8" s="32" customFormat="1">
      <c r="F671" s="37"/>
      <c r="H671" s="38"/>
    </row>
    <row r="672" spans="6:8" s="32" customFormat="1">
      <c r="F672" s="37"/>
      <c r="H672" s="38"/>
    </row>
    <row r="673" spans="6:8" s="32" customFormat="1">
      <c r="F673" s="37"/>
      <c r="H673" s="38"/>
    </row>
    <row r="674" spans="6:8" s="32" customFormat="1">
      <c r="F674" s="37"/>
      <c r="H674" s="38"/>
    </row>
    <row r="675" spans="6:8" s="32" customFormat="1">
      <c r="F675" s="37"/>
      <c r="H675" s="38"/>
    </row>
    <row r="676" spans="6:8" s="32" customFormat="1">
      <c r="F676" s="37"/>
      <c r="H676" s="38"/>
    </row>
    <row r="677" spans="6:8" s="32" customFormat="1">
      <c r="F677" s="37"/>
      <c r="H677" s="38"/>
    </row>
    <row r="678" spans="6:8" s="32" customFormat="1">
      <c r="F678" s="37"/>
      <c r="H678" s="38"/>
    </row>
    <row r="679" spans="6:8" s="32" customFormat="1">
      <c r="F679" s="37"/>
      <c r="H679" s="38"/>
    </row>
    <row r="680" spans="6:8" s="32" customFormat="1">
      <c r="F680" s="37"/>
      <c r="H680" s="38"/>
    </row>
    <row r="681" spans="6:8" s="32" customFormat="1">
      <c r="F681" s="37"/>
      <c r="H681" s="38"/>
    </row>
    <row r="682" spans="6:8" s="32" customFormat="1">
      <c r="F682" s="37"/>
      <c r="H682" s="38"/>
    </row>
    <row r="683" spans="6:8" s="32" customFormat="1">
      <c r="F683" s="37"/>
      <c r="H683" s="38"/>
    </row>
    <row r="684" spans="6:8" s="32" customFormat="1">
      <c r="F684" s="37"/>
      <c r="H684" s="38"/>
    </row>
    <row r="685" spans="6:8" s="32" customFormat="1">
      <c r="F685" s="37"/>
      <c r="H685" s="38"/>
    </row>
    <row r="686" spans="6:8" s="32" customFormat="1">
      <c r="F686" s="37"/>
      <c r="H686" s="38"/>
    </row>
    <row r="687" spans="6:8" s="32" customFormat="1">
      <c r="F687" s="37"/>
      <c r="H687" s="38"/>
    </row>
    <row r="688" spans="6:8" s="32" customFormat="1">
      <c r="F688" s="37"/>
      <c r="H688" s="38"/>
    </row>
    <row r="689" spans="6:8" s="32" customFormat="1">
      <c r="F689" s="37"/>
      <c r="H689" s="38"/>
    </row>
    <row r="690" spans="6:8" s="32" customFormat="1">
      <c r="F690" s="37"/>
      <c r="H690" s="38"/>
    </row>
    <row r="691" spans="6:8" s="32" customFormat="1">
      <c r="F691" s="37"/>
      <c r="H691" s="38"/>
    </row>
    <row r="692" spans="6:8" s="32" customFormat="1">
      <c r="F692" s="37"/>
      <c r="H692" s="38"/>
    </row>
    <row r="693" spans="6:8" s="32" customFormat="1">
      <c r="F693" s="37"/>
      <c r="H693" s="38"/>
    </row>
    <row r="694" spans="6:8" s="32" customFormat="1">
      <c r="F694" s="37"/>
      <c r="H694" s="38"/>
    </row>
    <row r="695" spans="6:8" s="32" customFormat="1">
      <c r="F695" s="37"/>
      <c r="H695" s="38"/>
    </row>
    <row r="696" spans="6:8" s="32" customFormat="1">
      <c r="F696" s="37"/>
      <c r="H696" s="38"/>
    </row>
    <row r="697" spans="6:8" s="32" customFormat="1">
      <c r="F697" s="37"/>
      <c r="H697" s="38"/>
    </row>
    <row r="698" spans="6:8" s="32" customFormat="1">
      <c r="F698" s="37"/>
      <c r="H698" s="38"/>
    </row>
    <row r="699" spans="6:8" s="32" customFormat="1">
      <c r="F699" s="37"/>
      <c r="H699" s="38"/>
    </row>
    <row r="700" spans="6:8" s="32" customFormat="1">
      <c r="F700" s="37"/>
      <c r="H700" s="38"/>
    </row>
    <row r="701" spans="6:8" s="32" customFormat="1">
      <c r="F701" s="37"/>
      <c r="H701" s="38"/>
    </row>
    <row r="702" spans="6:8" s="32" customFormat="1">
      <c r="F702" s="37"/>
      <c r="H702" s="38"/>
    </row>
    <row r="703" spans="6:8" s="32" customFormat="1">
      <c r="F703" s="37"/>
      <c r="H703" s="38"/>
    </row>
    <row r="704" spans="6:8" s="32" customFormat="1">
      <c r="F704" s="37"/>
      <c r="H704" s="38"/>
    </row>
    <row r="705" spans="6:8" s="32" customFormat="1">
      <c r="F705" s="37"/>
      <c r="H705" s="38"/>
    </row>
    <row r="706" spans="6:8" s="32" customFormat="1">
      <c r="F706" s="37"/>
      <c r="H706" s="38"/>
    </row>
    <row r="707" spans="6:8" s="32" customFormat="1">
      <c r="F707" s="37"/>
      <c r="H707" s="38"/>
    </row>
    <row r="708" spans="6:8" s="32" customFormat="1">
      <c r="F708" s="37"/>
      <c r="H708" s="38"/>
    </row>
    <row r="709" spans="6:8" s="32" customFormat="1">
      <c r="F709" s="37"/>
      <c r="H709" s="38"/>
    </row>
    <row r="710" spans="6:8" s="32" customFormat="1">
      <c r="F710" s="37"/>
      <c r="H710" s="38"/>
    </row>
    <row r="711" spans="6:8" s="32" customFormat="1">
      <c r="F711" s="37"/>
      <c r="H711" s="38"/>
    </row>
    <row r="712" spans="6:8" s="32" customFormat="1">
      <c r="F712" s="37"/>
      <c r="H712" s="38"/>
    </row>
    <row r="713" spans="6:8" s="32" customFormat="1">
      <c r="F713" s="37"/>
      <c r="H713" s="38"/>
    </row>
    <row r="714" spans="6:8" s="32" customFormat="1">
      <c r="F714" s="37"/>
      <c r="H714" s="38"/>
    </row>
    <row r="715" spans="6:8" s="32" customFormat="1">
      <c r="F715" s="37"/>
      <c r="H715" s="38"/>
    </row>
    <row r="716" spans="6:8" s="32" customFormat="1">
      <c r="F716" s="37"/>
      <c r="H716" s="38"/>
    </row>
    <row r="717" spans="6:8" s="32" customFormat="1">
      <c r="F717" s="37"/>
      <c r="H717" s="38"/>
    </row>
    <row r="718" spans="6:8" s="32" customFormat="1">
      <c r="F718" s="37"/>
      <c r="H718" s="38"/>
    </row>
    <row r="719" spans="6:8" s="32" customFormat="1">
      <c r="F719" s="37"/>
      <c r="H719" s="38"/>
    </row>
    <row r="720" spans="6:8" s="32" customFormat="1">
      <c r="F720" s="37"/>
      <c r="H720" s="38"/>
    </row>
    <row r="721" spans="6:8" s="32" customFormat="1">
      <c r="F721" s="37"/>
      <c r="H721" s="38"/>
    </row>
    <row r="722" spans="6:8" s="32" customFormat="1">
      <c r="F722" s="37"/>
      <c r="H722" s="38"/>
    </row>
    <row r="723" spans="6:8" s="32" customFormat="1">
      <c r="F723" s="37"/>
      <c r="H723" s="38"/>
    </row>
    <row r="724" spans="6:8" s="32" customFormat="1">
      <c r="F724" s="37"/>
      <c r="H724" s="38"/>
    </row>
    <row r="725" spans="6:8" s="32" customFormat="1">
      <c r="F725" s="37"/>
      <c r="H725" s="38"/>
    </row>
    <row r="726" spans="6:8" s="32" customFormat="1">
      <c r="F726" s="37"/>
      <c r="H726" s="38"/>
    </row>
    <row r="727" spans="6:8" s="32" customFormat="1">
      <c r="F727" s="37"/>
      <c r="H727" s="38"/>
    </row>
    <row r="728" spans="6:8" s="32" customFormat="1">
      <c r="F728" s="37"/>
      <c r="H728" s="38"/>
    </row>
    <row r="729" spans="6:8" s="32" customFormat="1">
      <c r="F729" s="37"/>
      <c r="H729" s="38"/>
    </row>
    <row r="730" spans="6:8" s="32" customFormat="1">
      <c r="F730" s="37"/>
      <c r="H730" s="38"/>
    </row>
    <row r="731" spans="6:8" s="32" customFormat="1">
      <c r="F731" s="37"/>
      <c r="H731" s="38"/>
    </row>
    <row r="732" spans="6:8" s="32" customFormat="1">
      <c r="F732" s="37"/>
      <c r="H732" s="38"/>
    </row>
    <row r="733" spans="6:8" s="32" customFormat="1">
      <c r="F733" s="37"/>
      <c r="H733" s="38"/>
    </row>
    <row r="734" spans="6:8" s="32" customFormat="1">
      <c r="F734" s="37"/>
      <c r="H734" s="38"/>
    </row>
    <row r="735" spans="6:8" s="32" customFormat="1">
      <c r="F735" s="37"/>
      <c r="H735" s="38"/>
    </row>
    <row r="736" spans="6:8" s="32" customFormat="1">
      <c r="F736" s="37"/>
      <c r="H736" s="38"/>
    </row>
    <row r="737" spans="6:8" s="32" customFormat="1">
      <c r="F737" s="37"/>
      <c r="H737" s="38"/>
    </row>
    <row r="738" spans="6:8" s="32" customFormat="1">
      <c r="F738" s="37"/>
      <c r="H738" s="38"/>
    </row>
    <row r="739" spans="6:8" s="32" customFormat="1">
      <c r="F739" s="37"/>
      <c r="H739" s="38"/>
    </row>
    <row r="740" spans="6:8" s="32" customFormat="1">
      <c r="F740" s="37"/>
      <c r="H740" s="38"/>
    </row>
    <row r="741" spans="6:8" s="32" customFormat="1">
      <c r="F741" s="37"/>
      <c r="H741" s="38"/>
    </row>
    <row r="742" spans="6:8" s="32" customFormat="1">
      <c r="F742" s="37"/>
      <c r="H742" s="38"/>
    </row>
    <row r="743" spans="6:8" s="32" customFormat="1">
      <c r="F743" s="37"/>
      <c r="H743" s="38"/>
    </row>
    <row r="744" spans="6:8" s="32" customFormat="1">
      <c r="F744" s="37"/>
      <c r="H744" s="38"/>
    </row>
    <row r="745" spans="6:8" s="32" customFormat="1">
      <c r="F745" s="37"/>
      <c r="H745" s="38"/>
    </row>
    <row r="746" spans="6:8" s="32" customFormat="1">
      <c r="F746" s="37"/>
      <c r="H746" s="38"/>
    </row>
    <row r="747" spans="6:8" s="32" customFormat="1">
      <c r="F747" s="37"/>
      <c r="H747" s="38"/>
    </row>
    <row r="748" spans="6:8" s="32" customFormat="1">
      <c r="F748" s="37"/>
      <c r="H748" s="38"/>
    </row>
    <row r="749" spans="6:8" s="32" customFormat="1">
      <c r="F749" s="37"/>
      <c r="H749" s="38"/>
    </row>
    <row r="750" spans="6:8" s="32" customFormat="1">
      <c r="F750" s="37"/>
      <c r="H750" s="38"/>
    </row>
    <row r="751" spans="6:8" s="32" customFormat="1">
      <c r="F751" s="37"/>
      <c r="H751" s="38"/>
    </row>
    <row r="752" spans="6:8" s="32" customFormat="1">
      <c r="F752" s="37"/>
      <c r="H752" s="38"/>
    </row>
    <row r="753" spans="6:8" s="32" customFormat="1">
      <c r="F753" s="37"/>
      <c r="H753" s="38"/>
    </row>
    <row r="754" spans="6:8" s="32" customFormat="1">
      <c r="F754" s="37"/>
      <c r="H754" s="38"/>
    </row>
    <row r="755" spans="6:8" s="32" customFormat="1">
      <c r="F755" s="37"/>
      <c r="H755" s="38"/>
    </row>
    <row r="756" spans="6:8" s="32" customFormat="1">
      <c r="F756" s="37"/>
      <c r="H756" s="38"/>
    </row>
    <row r="757" spans="6:8" s="32" customFormat="1">
      <c r="F757" s="37"/>
      <c r="H757" s="38"/>
    </row>
    <row r="758" spans="6:8" s="32" customFormat="1">
      <c r="F758" s="37"/>
      <c r="H758" s="38"/>
    </row>
    <row r="759" spans="6:8" s="32" customFormat="1">
      <c r="F759" s="37"/>
      <c r="H759" s="38"/>
    </row>
    <row r="760" spans="6:8" s="32" customFormat="1">
      <c r="F760" s="37"/>
      <c r="H760" s="38"/>
    </row>
    <row r="761" spans="6:8" s="32" customFormat="1">
      <c r="F761" s="37"/>
      <c r="H761" s="38"/>
    </row>
    <row r="762" spans="6:8" s="32" customFormat="1">
      <c r="F762" s="37"/>
      <c r="H762" s="38"/>
    </row>
    <row r="763" spans="6:8" s="32" customFormat="1">
      <c r="F763" s="37"/>
      <c r="H763" s="38"/>
    </row>
    <row r="764" spans="6:8" s="32" customFormat="1">
      <c r="F764" s="37"/>
      <c r="H764" s="38"/>
    </row>
    <row r="765" spans="6:8" s="32" customFormat="1">
      <c r="F765" s="37"/>
      <c r="H765" s="38"/>
    </row>
    <row r="766" spans="6:8" s="32" customFormat="1">
      <c r="F766" s="37"/>
      <c r="H766" s="38"/>
    </row>
    <row r="767" spans="6:8" s="32" customFormat="1">
      <c r="F767" s="37"/>
      <c r="H767" s="38"/>
    </row>
    <row r="768" spans="6:8" s="32" customFormat="1">
      <c r="F768" s="37"/>
      <c r="H768" s="38"/>
    </row>
    <row r="769" spans="6:8" s="32" customFormat="1">
      <c r="F769" s="37"/>
      <c r="H769" s="38"/>
    </row>
    <row r="770" spans="6:8" s="32" customFormat="1">
      <c r="F770" s="37"/>
      <c r="H770" s="38"/>
    </row>
    <row r="771" spans="6:8" s="32" customFormat="1">
      <c r="F771" s="37"/>
      <c r="H771" s="38"/>
    </row>
    <row r="772" spans="6:8" s="32" customFormat="1">
      <c r="F772" s="37"/>
      <c r="H772" s="38"/>
    </row>
    <row r="773" spans="6:8" s="32" customFormat="1">
      <c r="F773" s="37"/>
      <c r="H773" s="38"/>
    </row>
    <row r="774" spans="6:8" s="32" customFormat="1">
      <c r="F774" s="37"/>
      <c r="H774" s="38"/>
    </row>
    <row r="775" spans="6:8" s="32" customFormat="1">
      <c r="F775" s="37"/>
      <c r="H775" s="38"/>
    </row>
    <row r="776" spans="6:8" s="32" customFormat="1">
      <c r="F776" s="37"/>
      <c r="H776" s="38"/>
    </row>
    <row r="777" spans="6:8" s="32" customFormat="1">
      <c r="F777" s="37"/>
      <c r="H777" s="38"/>
    </row>
    <row r="778" spans="6:8" s="32" customFormat="1">
      <c r="F778" s="37"/>
      <c r="H778" s="38"/>
    </row>
    <row r="779" spans="6:8" s="32" customFormat="1">
      <c r="F779" s="37"/>
      <c r="H779" s="38"/>
    </row>
    <row r="780" spans="6:8" s="32" customFormat="1">
      <c r="F780" s="37"/>
      <c r="H780" s="38"/>
    </row>
    <row r="781" spans="6:8" s="32" customFormat="1">
      <c r="F781" s="37"/>
      <c r="H781" s="38"/>
    </row>
    <row r="782" spans="6:8" s="32" customFormat="1">
      <c r="F782" s="37"/>
      <c r="H782" s="38"/>
    </row>
    <row r="783" spans="6:8" s="32" customFormat="1">
      <c r="F783" s="37"/>
      <c r="H783" s="38"/>
    </row>
    <row r="784" spans="6:8" s="32" customFormat="1">
      <c r="F784" s="37"/>
      <c r="H784" s="38"/>
    </row>
    <row r="785" spans="6:8" s="32" customFormat="1">
      <c r="F785" s="37"/>
      <c r="H785" s="38"/>
    </row>
    <row r="786" spans="6:8" s="32" customFormat="1">
      <c r="F786" s="37"/>
      <c r="H786" s="38"/>
    </row>
    <row r="787" spans="6:8" s="32" customFormat="1">
      <c r="F787" s="37"/>
      <c r="H787" s="38"/>
    </row>
    <row r="788" spans="6:8" s="32" customFormat="1">
      <c r="F788" s="37"/>
      <c r="H788" s="38"/>
    </row>
    <row r="789" spans="6:8" s="32" customFormat="1">
      <c r="F789" s="37"/>
      <c r="H789" s="38"/>
    </row>
    <row r="790" spans="6:8" s="32" customFormat="1">
      <c r="F790" s="37"/>
      <c r="H790" s="38"/>
    </row>
    <row r="791" spans="6:8" s="32" customFormat="1">
      <c r="F791" s="37"/>
      <c r="H791" s="38"/>
    </row>
    <row r="792" spans="6:8" s="32" customFormat="1">
      <c r="F792" s="37"/>
      <c r="H792" s="38"/>
    </row>
    <row r="793" spans="6:8" s="32" customFormat="1">
      <c r="F793" s="37"/>
      <c r="H793" s="38"/>
    </row>
    <row r="794" spans="6:8" s="32" customFormat="1">
      <c r="F794" s="37"/>
      <c r="H794" s="38"/>
    </row>
    <row r="795" spans="6:8" s="32" customFormat="1">
      <c r="F795" s="37"/>
      <c r="H795" s="38"/>
    </row>
    <row r="796" spans="6:8" s="32" customFormat="1">
      <c r="F796" s="37"/>
      <c r="H796" s="38"/>
    </row>
    <row r="797" spans="6:8" s="32" customFormat="1">
      <c r="F797" s="37"/>
      <c r="H797" s="38"/>
    </row>
    <row r="798" spans="6:8" s="32" customFormat="1">
      <c r="F798" s="37"/>
      <c r="H798" s="38"/>
    </row>
    <row r="799" spans="6:8" s="32" customFormat="1">
      <c r="F799" s="37"/>
      <c r="H799" s="38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798"/>
  <sheetViews>
    <sheetView topLeftCell="A43" zoomScaleNormal="100" workbookViewId="0"/>
  </sheetViews>
  <sheetFormatPr defaultRowHeight="12.75"/>
  <cols>
    <col min="1" max="1" width="3.42578125" style="32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5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111" width="9.140625" style="32"/>
  </cols>
  <sheetData>
    <row r="1" spans="1:9" ht="15.95" customHeight="1">
      <c r="A1" s="29"/>
      <c r="B1" s="169" t="s">
        <v>284</v>
      </c>
      <c r="C1" s="170"/>
      <c r="D1" s="170"/>
      <c r="E1" s="170"/>
      <c r="F1" s="170"/>
      <c r="G1" s="170"/>
      <c r="H1" s="171"/>
      <c r="I1" s="1"/>
    </row>
    <row r="2" spans="1:9" ht="12.95" customHeight="1" thickBot="1">
      <c r="A2" s="29"/>
      <c r="B2" s="178" t="s">
        <v>386</v>
      </c>
      <c r="C2" s="179"/>
      <c r="D2" s="179"/>
      <c r="E2" s="179"/>
      <c r="F2" s="179"/>
      <c r="G2" s="179"/>
      <c r="H2" s="180"/>
      <c r="I2" s="1"/>
    </row>
    <row r="3" spans="1:9" s="32" customFormat="1" ht="12.95" customHeight="1">
      <c r="A3" s="29"/>
      <c r="B3" s="86"/>
      <c r="C3" s="86"/>
      <c r="D3" s="86"/>
      <c r="E3" s="86"/>
      <c r="F3" s="86"/>
      <c r="G3" s="86"/>
      <c r="H3" s="86"/>
      <c r="I3" s="29"/>
    </row>
    <row r="4" spans="1:9" s="32" customFormat="1" ht="12.95" customHeight="1" thickBot="1">
      <c r="A4" s="30"/>
      <c r="B4" s="33" t="s">
        <v>2</v>
      </c>
      <c r="C4" s="29"/>
      <c r="D4" s="29"/>
      <c r="E4" s="29"/>
      <c r="F4" s="34"/>
      <c r="G4" s="29"/>
      <c r="H4" s="35"/>
      <c r="I4" s="29"/>
    </row>
    <row r="5" spans="1:9" ht="27.95" customHeight="1">
      <c r="A5" s="29"/>
      <c r="B5" s="58" t="s">
        <v>3</v>
      </c>
      <c r="C5" s="59" t="s">
        <v>4</v>
      </c>
      <c r="D5" s="60" t="s">
        <v>48</v>
      </c>
      <c r="E5" s="60" t="s">
        <v>6</v>
      </c>
      <c r="F5" s="61" t="s">
        <v>7</v>
      </c>
      <c r="G5" s="60" t="s">
        <v>8</v>
      </c>
      <c r="H5" s="62" t="s">
        <v>9</v>
      </c>
      <c r="I5" s="39" t="s">
        <v>10</v>
      </c>
    </row>
    <row r="6" spans="1:9">
      <c r="A6" s="29"/>
      <c r="B6" s="100" t="s">
        <v>49</v>
      </c>
      <c r="C6" s="45"/>
      <c r="D6" s="46"/>
      <c r="E6" s="46"/>
      <c r="F6" s="47"/>
      <c r="G6" s="46"/>
      <c r="H6" s="101"/>
      <c r="I6" s="97"/>
    </row>
    <row r="7" spans="1:9">
      <c r="A7" s="29"/>
      <c r="B7" s="100" t="s">
        <v>50</v>
      </c>
      <c r="C7" s="45"/>
      <c r="D7" s="46"/>
      <c r="E7" s="46"/>
      <c r="F7" s="47"/>
      <c r="G7" s="46"/>
      <c r="H7" s="101"/>
      <c r="I7" s="97"/>
    </row>
    <row r="8" spans="1:9">
      <c r="A8" s="29"/>
      <c r="B8" s="100" t="s">
        <v>379</v>
      </c>
      <c r="C8" s="45"/>
      <c r="D8" s="46"/>
      <c r="E8" s="46"/>
      <c r="F8" s="47"/>
      <c r="G8" s="46"/>
      <c r="H8" s="101"/>
      <c r="I8" s="97"/>
    </row>
    <row r="9" spans="1:9" ht="12.95" customHeight="1">
      <c r="A9" s="31"/>
      <c r="B9" s="65" t="s">
        <v>204</v>
      </c>
      <c r="C9" s="19" t="s">
        <v>205</v>
      </c>
      <c r="D9" s="19" t="s">
        <v>53</v>
      </c>
      <c r="E9" s="50">
        <v>9300</v>
      </c>
      <c r="F9" s="51">
        <v>93.172049999999999</v>
      </c>
      <c r="G9" s="52">
        <v>93.17</v>
      </c>
      <c r="H9" s="66">
        <v>0.1145703618729885</v>
      </c>
      <c r="I9" s="3">
        <v>0.11459999999999999</v>
      </c>
    </row>
    <row r="10" spans="1:9" ht="12.95" customHeight="1">
      <c r="A10" s="31"/>
      <c r="B10" s="65" t="s">
        <v>288</v>
      </c>
      <c r="C10" s="19" t="s">
        <v>289</v>
      </c>
      <c r="D10" s="19" t="s">
        <v>192</v>
      </c>
      <c r="E10" s="50">
        <v>24000</v>
      </c>
      <c r="F10" s="51">
        <v>65.447999999999993</v>
      </c>
      <c r="G10" s="52">
        <v>65.45</v>
      </c>
      <c r="H10" s="66">
        <v>8.047908191204714E-2</v>
      </c>
      <c r="I10" s="3">
        <v>8.0500000000000002E-2</v>
      </c>
    </row>
    <row r="11" spans="1:9" ht="12.95" customHeight="1">
      <c r="A11" s="31"/>
      <c r="B11" s="65" t="s">
        <v>298</v>
      </c>
      <c r="C11" s="19" t="s">
        <v>299</v>
      </c>
      <c r="D11" s="19" t="s">
        <v>300</v>
      </c>
      <c r="E11" s="50">
        <v>9500</v>
      </c>
      <c r="F11" s="51">
        <v>41.70975</v>
      </c>
      <c r="G11" s="52">
        <v>41.71</v>
      </c>
      <c r="H11" s="66">
        <v>5.1288998697912973E-2</v>
      </c>
      <c r="I11" s="3">
        <v>5.1299999999999998E-2</v>
      </c>
    </row>
    <row r="12" spans="1:9" ht="12.95" customHeight="1">
      <c r="A12" s="31"/>
      <c r="B12" s="65" t="s">
        <v>308</v>
      </c>
      <c r="C12" s="19" t="s">
        <v>309</v>
      </c>
      <c r="D12" s="19" t="s">
        <v>310</v>
      </c>
      <c r="E12" s="50">
        <v>19000</v>
      </c>
      <c r="F12" s="51">
        <v>24.747499999999999</v>
      </c>
      <c r="G12" s="52">
        <v>24.75</v>
      </c>
      <c r="H12" s="66">
        <v>3.043112210638043E-2</v>
      </c>
      <c r="I12" s="3">
        <v>3.04E-2</v>
      </c>
    </row>
    <row r="13" spans="1:9" ht="12.95" customHeight="1">
      <c r="A13" s="31"/>
      <c r="B13" s="65" t="s">
        <v>313</v>
      </c>
      <c r="C13" s="19" t="s">
        <v>314</v>
      </c>
      <c r="D13" s="19" t="s">
        <v>53</v>
      </c>
      <c r="E13" s="50">
        <v>2400</v>
      </c>
      <c r="F13" s="51">
        <v>22.242000000000001</v>
      </c>
      <c r="G13" s="52">
        <v>22.24</v>
      </c>
      <c r="H13" s="66">
        <v>2.7350197712500801E-2</v>
      </c>
      <c r="I13" s="3">
        <v>2.7400000000000001E-2</v>
      </c>
    </row>
    <row r="14" spans="1:9" ht="12.95" customHeight="1">
      <c r="A14" s="31"/>
      <c r="B14" s="65" t="s">
        <v>332</v>
      </c>
      <c r="C14" s="19" t="s">
        <v>333</v>
      </c>
      <c r="D14" s="19" t="s">
        <v>310</v>
      </c>
      <c r="E14" s="50">
        <v>12000</v>
      </c>
      <c r="F14" s="51">
        <v>12.624000000000001</v>
      </c>
      <c r="G14" s="52">
        <v>12.62</v>
      </c>
      <c r="H14" s="66">
        <v>1.5523284593229481E-2</v>
      </c>
      <c r="I14" s="3">
        <v>1.55E-2</v>
      </c>
    </row>
    <row r="15" spans="1:9" ht="12.95" customHeight="1">
      <c r="A15" s="31"/>
      <c r="B15" s="65" t="s">
        <v>344</v>
      </c>
      <c r="C15" s="19" t="s">
        <v>345</v>
      </c>
      <c r="D15" s="19" t="s">
        <v>192</v>
      </c>
      <c r="E15" s="50">
        <v>5000</v>
      </c>
      <c r="F15" s="51">
        <v>8.6475000000000009</v>
      </c>
      <c r="G15" s="52">
        <v>8.65</v>
      </c>
      <c r="H15" s="66">
        <v>1.0633523726231935E-2</v>
      </c>
      <c r="I15" s="3">
        <v>1.06E-2</v>
      </c>
    </row>
    <row r="16" spans="1:9" ht="12.95" customHeight="1">
      <c r="A16" s="31"/>
      <c r="B16" s="65" t="s">
        <v>190</v>
      </c>
      <c r="C16" s="19" t="s">
        <v>191</v>
      </c>
      <c r="D16" s="19" t="s">
        <v>192</v>
      </c>
      <c r="E16" s="50">
        <v>1500</v>
      </c>
      <c r="F16" s="51">
        <v>6.4852499999999997</v>
      </c>
      <c r="G16" s="52">
        <v>6.49</v>
      </c>
      <c r="H16" s="66">
        <v>7.9746816704880773E-3</v>
      </c>
      <c r="I16" s="3">
        <v>8.0000000000000002E-3</v>
      </c>
    </row>
    <row r="17" spans="1:9" ht="12.95" customHeight="1">
      <c r="A17" s="31"/>
      <c r="B17" s="63" t="s">
        <v>38</v>
      </c>
      <c r="C17" s="19"/>
      <c r="D17" s="19"/>
      <c r="E17" s="50"/>
      <c r="F17" s="13">
        <f>SUM(F9:F16)</f>
        <v>275.07604999999995</v>
      </c>
      <c r="G17" s="14"/>
      <c r="H17" s="102">
        <f>SUM(H9:H16)</f>
        <v>0.33825125229177938</v>
      </c>
      <c r="I17" s="3"/>
    </row>
    <row r="18" spans="1:9" ht="12.95" customHeight="1">
      <c r="A18" s="31"/>
      <c r="B18" s="65"/>
      <c r="C18" s="19"/>
      <c r="D18" s="19"/>
      <c r="E18" s="50"/>
      <c r="F18" s="51"/>
      <c r="G18" s="52"/>
      <c r="H18" s="66"/>
      <c r="I18" s="3"/>
    </row>
    <row r="19" spans="1:9" ht="12.95" customHeight="1">
      <c r="A19" s="31"/>
      <c r="B19" s="103" t="s">
        <v>380</v>
      </c>
      <c r="C19" s="19"/>
      <c r="D19" s="19"/>
      <c r="E19" s="50"/>
      <c r="F19" s="51"/>
      <c r="G19" s="52"/>
      <c r="H19" s="66"/>
      <c r="I19" s="3"/>
    </row>
    <row r="20" spans="1:9" ht="12.95" customHeight="1">
      <c r="A20" s="31"/>
      <c r="B20" s="103" t="s">
        <v>382</v>
      </c>
      <c r="C20" s="19"/>
      <c r="D20" s="19"/>
      <c r="E20" s="50"/>
      <c r="F20" s="51"/>
      <c r="G20" s="52"/>
      <c r="H20" s="66"/>
      <c r="I20" s="3"/>
    </row>
    <row r="21" spans="1:9" ht="12.95" customHeight="1">
      <c r="A21" s="31"/>
      <c r="B21" s="65" t="s">
        <v>285</v>
      </c>
      <c r="C21" s="19" t="s">
        <v>286</v>
      </c>
      <c r="D21" s="19" t="s">
        <v>287</v>
      </c>
      <c r="E21" s="50">
        <v>5700</v>
      </c>
      <c r="F21" s="51">
        <v>70.019789000000003</v>
      </c>
      <c r="G21" s="52">
        <v>70.02</v>
      </c>
      <c r="H21" s="66">
        <v>8.6100848527002463E-2</v>
      </c>
      <c r="I21" s="3">
        <v>8.6099999999999996E-2</v>
      </c>
    </row>
    <row r="22" spans="1:9" ht="12.95" customHeight="1">
      <c r="A22" s="31"/>
      <c r="B22" s="65" t="s">
        <v>290</v>
      </c>
      <c r="C22" s="19" t="s">
        <v>291</v>
      </c>
      <c r="D22" s="19" t="s">
        <v>292</v>
      </c>
      <c r="E22" s="50">
        <v>92000</v>
      </c>
      <c r="F22" s="51">
        <v>58.517085799999997</v>
      </c>
      <c r="G22" s="52">
        <v>58.52</v>
      </c>
      <c r="H22" s="66">
        <v>7.1956382797831717E-2</v>
      </c>
      <c r="I22" s="3">
        <v>7.1999999999999995E-2</v>
      </c>
    </row>
    <row r="23" spans="1:9" ht="12.95" customHeight="1">
      <c r="A23" s="31"/>
      <c r="B23" s="65" t="s">
        <v>293</v>
      </c>
      <c r="C23" s="19" t="s">
        <v>294</v>
      </c>
      <c r="D23" s="19" t="s">
        <v>292</v>
      </c>
      <c r="E23" s="50">
        <v>116000</v>
      </c>
      <c r="F23" s="51">
        <v>56.416201000000001</v>
      </c>
      <c r="G23" s="52">
        <v>56.42</v>
      </c>
      <c r="H23" s="66">
        <v>6.9372999349797029E-2</v>
      </c>
      <c r="I23" s="3">
        <v>6.9400000000000003E-2</v>
      </c>
    </row>
    <row r="24" spans="1:9" ht="12.95" customHeight="1">
      <c r="A24" s="31"/>
      <c r="B24" s="65" t="s">
        <v>295</v>
      </c>
      <c r="C24" s="19" t="s">
        <v>296</v>
      </c>
      <c r="D24" s="19" t="s">
        <v>297</v>
      </c>
      <c r="E24" s="50">
        <v>63000</v>
      </c>
      <c r="F24" s="51">
        <v>50.076326199999997</v>
      </c>
      <c r="G24" s="52">
        <v>50.08</v>
      </c>
      <c r="H24" s="66">
        <v>6.1577080401298619E-2</v>
      </c>
      <c r="I24" s="3">
        <v>6.1600000000000002E-2</v>
      </c>
    </row>
    <row r="25" spans="1:9" ht="12.95" customHeight="1">
      <c r="A25" s="31"/>
      <c r="B25" s="65" t="s">
        <v>301</v>
      </c>
      <c r="C25" s="19" t="s">
        <v>302</v>
      </c>
      <c r="D25" s="19" t="s">
        <v>287</v>
      </c>
      <c r="E25" s="50">
        <v>1643</v>
      </c>
      <c r="F25" s="51">
        <v>40.335271800000001</v>
      </c>
      <c r="G25" s="52">
        <v>40.340000000000003</v>
      </c>
      <c r="H25" s="66">
        <v>4.9598851655312387E-2</v>
      </c>
      <c r="I25" s="3">
        <v>4.9599999999999998E-2</v>
      </c>
    </row>
    <row r="26" spans="1:9" ht="12.95" customHeight="1">
      <c r="A26" s="31"/>
      <c r="B26" s="65" t="s">
        <v>303</v>
      </c>
      <c r="C26" s="19" t="s">
        <v>304</v>
      </c>
      <c r="D26" s="19" t="s">
        <v>297</v>
      </c>
      <c r="E26" s="50">
        <v>2300</v>
      </c>
      <c r="F26" s="51">
        <v>38.080937900000002</v>
      </c>
      <c r="G26" s="52">
        <v>38.08</v>
      </c>
      <c r="H26" s="66">
        <v>4.6826777297116491E-2</v>
      </c>
      <c r="I26" s="3">
        <v>4.6800000000000001E-2</v>
      </c>
    </row>
    <row r="27" spans="1:9" ht="12.95" customHeight="1">
      <c r="A27" s="31"/>
      <c r="B27" s="65" t="s">
        <v>305</v>
      </c>
      <c r="C27" s="19" t="s">
        <v>306</v>
      </c>
      <c r="D27" s="19" t="s">
        <v>307</v>
      </c>
      <c r="E27" s="50">
        <v>4842</v>
      </c>
      <c r="F27" s="51">
        <v>32.404776599999998</v>
      </c>
      <c r="G27" s="52">
        <v>32.4</v>
      </c>
      <c r="H27" s="66">
        <v>3.9847003274859252E-2</v>
      </c>
      <c r="I27" s="3">
        <v>3.9800000000000002E-2</v>
      </c>
    </row>
    <row r="28" spans="1:9" ht="12.95" customHeight="1">
      <c r="A28" s="31"/>
      <c r="B28" s="65" t="s">
        <v>311</v>
      </c>
      <c r="C28" s="19" t="s">
        <v>312</v>
      </c>
      <c r="D28" s="19" t="s">
        <v>292</v>
      </c>
      <c r="E28" s="50">
        <v>4560</v>
      </c>
      <c r="F28" s="51">
        <v>24.015861099999999</v>
      </c>
      <c r="G28" s="52">
        <v>24.02</v>
      </c>
      <c r="H28" s="66">
        <v>2.9531451727405671E-2</v>
      </c>
      <c r="I28" s="3">
        <v>2.9499999999999998E-2</v>
      </c>
    </row>
    <row r="29" spans="1:9" ht="12.95" customHeight="1">
      <c r="A29" s="31"/>
      <c r="B29" s="65" t="s">
        <v>315</v>
      </c>
      <c r="C29" s="19" t="s">
        <v>316</v>
      </c>
      <c r="D29" s="19" t="s">
        <v>317</v>
      </c>
      <c r="E29" s="50">
        <v>16000</v>
      </c>
      <c r="F29" s="51">
        <v>19.5332659</v>
      </c>
      <c r="G29" s="52">
        <v>19.53</v>
      </c>
      <c r="H29" s="66">
        <v>2.401936356154347E-2</v>
      </c>
      <c r="I29" s="3">
        <v>2.4E-2</v>
      </c>
    </row>
    <row r="30" spans="1:9" ht="12.95" customHeight="1">
      <c r="A30" s="31"/>
      <c r="B30" s="65" t="s">
        <v>318</v>
      </c>
      <c r="C30" s="19" t="s">
        <v>319</v>
      </c>
      <c r="D30" s="19" t="s">
        <v>320</v>
      </c>
      <c r="E30" s="50">
        <v>2085</v>
      </c>
      <c r="F30" s="51">
        <v>18.601745099999999</v>
      </c>
      <c r="G30" s="52">
        <v>18.600000000000001</v>
      </c>
      <c r="H30" s="66">
        <v>2.2873905506813369E-2</v>
      </c>
      <c r="I30" s="3">
        <v>2.29E-2</v>
      </c>
    </row>
    <row r="31" spans="1:9" ht="12.95" customHeight="1">
      <c r="A31" s="31"/>
      <c r="B31" s="65" t="s">
        <v>321</v>
      </c>
      <c r="C31" s="19" t="s">
        <v>322</v>
      </c>
      <c r="D31" s="19" t="s">
        <v>297</v>
      </c>
      <c r="E31" s="50">
        <v>5342</v>
      </c>
      <c r="F31" s="51">
        <v>18.359289400000002</v>
      </c>
      <c r="G31" s="52">
        <v>18.36</v>
      </c>
      <c r="H31" s="66">
        <v>2.2575766340752638E-2</v>
      </c>
      <c r="I31" s="3">
        <v>2.2599999999999999E-2</v>
      </c>
    </row>
    <row r="32" spans="1:9" ht="12.95" customHeight="1">
      <c r="A32" s="31"/>
      <c r="B32" s="65" t="s">
        <v>323</v>
      </c>
      <c r="C32" s="19" t="s">
        <v>324</v>
      </c>
      <c r="D32" s="19" t="s">
        <v>325</v>
      </c>
      <c r="E32" s="50">
        <v>9000</v>
      </c>
      <c r="F32" s="51">
        <v>17.9402328</v>
      </c>
      <c r="G32" s="52">
        <v>17.940000000000001</v>
      </c>
      <c r="H32" s="66">
        <v>2.2060467318060058E-2</v>
      </c>
      <c r="I32" s="3">
        <v>2.2100000000000002E-2</v>
      </c>
    </row>
    <row r="33" spans="1:9" ht="12.95" customHeight="1">
      <c r="A33" s="31"/>
      <c r="B33" s="65" t="s">
        <v>326</v>
      </c>
      <c r="C33" s="19" t="s">
        <v>327</v>
      </c>
      <c r="D33" s="19" t="s">
        <v>297</v>
      </c>
      <c r="E33" s="50">
        <v>5043</v>
      </c>
      <c r="F33" s="51">
        <v>17.495640099999999</v>
      </c>
      <c r="G33" s="52">
        <v>17.5</v>
      </c>
      <c r="H33" s="66">
        <v>2.1513767459839819E-2</v>
      </c>
      <c r="I33" s="3">
        <v>2.1499999999999998E-2</v>
      </c>
    </row>
    <row r="34" spans="1:9" ht="12.95" customHeight="1">
      <c r="A34" s="31"/>
      <c r="B34" s="65" t="s">
        <v>328</v>
      </c>
      <c r="C34" s="19" t="s">
        <v>329</v>
      </c>
      <c r="D34" s="19" t="s">
        <v>320</v>
      </c>
      <c r="E34" s="50">
        <v>100</v>
      </c>
      <c r="F34" s="51">
        <v>13.6525</v>
      </c>
      <c r="G34" s="52">
        <v>13.65</v>
      </c>
      <c r="H34" s="66">
        <v>1.6787994527017229E-2</v>
      </c>
      <c r="I34" s="3">
        <v>1.6799999999999999E-2</v>
      </c>
    </row>
    <row r="35" spans="1:9" ht="12.95" customHeight="1">
      <c r="A35" s="31"/>
      <c r="B35" s="65" t="s">
        <v>330</v>
      </c>
      <c r="C35" s="19" t="s">
        <v>331</v>
      </c>
      <c r="D35" s="19" t="s">
        <v>297</v>
      </c>
      <c r="E35" s="50">
        <v>22000</v>
      </c>
      <c r="F35" s="51">
        <v>13.447317</v>
      </c>
      <c r="G35" s="52">
        <v>13.45</v>
      </c>
      <c r="H35" s="66">
        <v>1.6535688276803934E-2</v>
      </c>
      <c r="I35" s="3">
        <v>1.6500000000000001E-2</v>
      </c>
    </row>
    <row r="36" spans="1:9" ht="12.95" customHeight="1">
      <c r="A36" s="31"/>
      <c r="B36" s="65" t="s">
        <v>334</v>
      </c>
      <c r="C36" s="19" t="s">
        <v>335</v>
      </c>
      <c r="D36" s="19" t="s">
        <v>336</v>
      </c>
      <c r="E36" s="50">
        <v>200</v>
      </c>
      <c r="F36" s="51">
        <v>10.86739</v>
      </c>
      <c r="G36" s="52">
        <v>10.87</v>
      </c>
      <c r="H36" s="66">
        <v>1.3363243643505713E-2</v>
      </c>
      <c r="I36" s="3">
        <v>1.34E-2</v>
      </c>
    </row>
    <row r="37" spans="1:9" ht="12.95" customHeight="1">
      <c r="A37" s="31"/>
      <c r="B37" s="65" t="s">
        <v>337</v>
      </c>
      <c r="C37" s="19" t="s">
        <v>338</v>
      </c>
      <c r="D37" s="19" t="s">
        <v>339</v>
      </c>
      <c r="E37" s="50">
        <v>100</v>
      </c>
      <c r="F37" s="51">
        <v>10.730865</v>
      </c>
      <c r="G37" s="52">
        <v>10.73</v>
      </c>
      <c r="H37" s="66">
        <v>1.319536369823554E-2</v>
      </c>
      <c r="I37" s="3">
        <v>1.32E-2</v>
      </c>
    </row>
    <row r="38" spans="1:9" ht="12.95" customHeight="1">
      <c r="A38" s="31"/>
      <c r="B38" s="65" t="s">
        <v>340</v>
      </c>
      <c r="C38" s="19" t="s">
        <v>341</v>
      </c>
      <c r="D38" s="19" t="s">
        <v>287</v>
      </c>
      <c r="E38" s="50">
        <v>12000</v>
      </c>
      <c r="F38" s="51">
        <v>10.421711999999999</v>
      </c>
      <c r="G38" s="52">
        <v>10.42</v>
      </c>
      <c r="H38" s="66">
        <v>1.2815209230408332E-2</v>
      </c>
      <c r="I38" s="3">
        <v>1.2800000000000001E-2</v>
      </c>
    </row>
    <row r="39" spans="1:9" ht="12.95" customHeight="1">
      <c r="A39" s="31"/>
      <c r="B39" s="65" t="s">
        <v>342</v>
      </c>
      <c r="C39" s="19" t="s">
        <v>343</v>
      </c>
      <c r="D39" s="19" t="s">
        <v>325</v>
      </c>
      <c r="E39" s="50">
        <v>20000</v>
      </c>
      <c r="F39" s="51">
        <v>9.5747999999999998</v>
      </c>
      <c r="G39" s="52">
        <v>9.57</v>
      </c>
      <c r="H39" s="66">
        <v>1.1773791613058748E-2</v>
      </c>
      <c r="I39" s="3">
        <v>1.18E-2</v>
      </c>
    </row>
    <row r="40" spans="1:9" ht="12.95" customHeight="1">
      <c r="A40" s="31"/>
      <c r="B40" s="65" t="s">
        <v>346</v>
      </c>
      <c r="C40" s="19" t="s">
        <v>347</v>
      </c>
      <c r="D40" s="19" t="s">
        <v>325</v>
      </c>
      <c r="E40" s="50">
        <v>16000</v>
      </c>
      <c r="F40" s="51">
        <v>7.7683109999999997</v>
      </c>
      <c r="G40" s="52">
        <v>7.77</v>
      </c>
      <c r="H40" s="66">
        <v>9.5524162279558861E-3</v>
      </c>
      <c r="I40" s="3">
        <v>9.5999999999999992E-3</v>
      </c>
    </row>
    <row r="41" spans="1:9" ht="12.95" customHeight="1">
      <c r="A41" s="31"/>
      <c r="B41" s="65" t="s">
        <v>348</v>
      </c>
      <c r="C41" s="19" t="s">
        <v>349</v>
      </c>
      <c r="D41" s="19" t="s">
        <v>307</v>
      </c>
      <c r="E41" s="50">
        <v>4729</v>
      </c>
      <c r="F41" s="51">
        <v>5.1173545000000003</v>
      </c>
      <c r="G41" s="52">
        <v>5.12</v>
      </c>
      <c r="H41" s="66">
        <v>6.2926291403630824E-3</v>
      </c>
      <c r="I41" s="3">
        <v>6.3E-3</v>
      </c>
    </row>
    <row r="42" spans="1:9" ht="12.95" customHeight="1">
      <c r="A42" s="31"/>
      <c r="B42" s="63" t="s">
        <v>38</v>
      </c>
      <c r="C42" s="19"/>
      <c r="D42" s="19"/>
      <c r="E42" s="50"/>
      <c r="F42" s="98">
        <f>SUM(F21:F41)</f>
        <v>543.37667220000003</v>
      </c>
      <c r="G42" s="53"/>
      <c r="H42" s="67">
        <f>SUM(H21:H41)</f>
        <v>0.66817100157498155</v>
      </c>
      <c r="I42" s="3"/>
    </row>
    <row r="43" spans="1:9" ht="12.95" customHeight="1">
      <c r="A43" s="31"/>
      <c r="B43" s="65"/>
      <c r="C43" s="19"/>
      <c r="D43" s="19"/>
      <c r="E43" s="50"/>
      <c r="F43" s="51"/>
      <c r="G43" s="52"/>
      <c r="H43" s="66"/>
      <c r="I43" s="3"/>
    </row>
    <row r="44" spans="1:9" ht="12.95" customHeight="1">
      <c r="A44" s="29"/>
      <c r="B44" s="63" t="s">
        <v>196</v>
      </c>
      <c r="C44" s="19" t="s">
        <v>1</v>
      </c>
      <c r="D44" s="19" t="s">
        <v>1</v>
      </c>
      <c r="E44" s="19" t="s">
        <v>1</v>
      </c>
      <c r="F44" s="20" t="s">
        <v>197</v>
      </c>
      <c r="G44" s="54" t="s">
        <v>197</v>
      </c>
      <c r="H44" s="67" t="s">
        <v>197</v>
      </c>
      <c r="I44" s="42" t="s">
        <v>197</v>
      </c>
    </row>
    <row r="45" spans="1:9" ht="12.95" customHeight="1">
      <c r="A45" s="29"/>
      <c r="B45" s="63" t="s">
        <v>38</v>
      </c>
      <c r="C45" s="19" t="s">
        <v>1</v>
      </c>
      <c r="D45" s="19" t="s">
        <v>1</v>
      </c>
      <c r="E45" s="19" t="s">
        <v>1</v>
      </c>
      <c r="F45" s="20" t="s">
        <v>197</v>
      </c>
      <c r="G45" s="54" t="s">
        <v>197</v>
      </c>
      <c r="H45" s="67" t="s">
        <v>197</v>
      </c>
      <c r="I45" s="42" t="s">
        <v>197</v>
      </c>
    </row>
    <row r="46" spans="1:9" ht="12.95" customHeight="1">
      <c r="A46" s="29"/>
      <c r="B46" s="63" t="s">
        <v>39</v>
      </c>
      <c r="C46" s="19" t="s">
        <v>1</v>
      </c>
      <c r="D46" s="19" t="s">
        <v>1</v>
      </c>
      <c r="E46" s="19" t="s">
        <v>1</v>
      </c>
      <c r="F46" s="20">
        <v>818.45272220000004</v>
      </c>
      <c r="G46" s="53">
        <v>818.47</v>
      </c>
      <c r="H46" s="67">
        <v>1.0064222538667609</v>
      </c>
      <c r="I46" s="41">
        <v>1.0065999999999999</v>
      </c>
    </row>
    <row r="47" spans="1:9" ht="12.95" customHeight="1">
      <c r="A47" s="29"/>
      <c r="B47" s="63"/>
      <c r="C47" s="19"/>
      <c r="D47" s="19"/>
      <c r="E47" s="19"/>
      <c r="F47" s="20"/>
      <c r="G47" s="53"/>
      <c r="H47" s="67"/>
      <c r="I47" s="74"/>
    </row>
    <row r="48" spans="1:9" ht="12.95" customHeight="1">
      <c r="A48" s="29"/>
      <c r="B48" s="17" t="s">
        <v>372</v>
      </c>
      <c r="C48" s="18"/>
      <c r="D48" s="19"/>
      <c r="E48" s="19"/>
      <c r="F48" s="98"/>
      <c r="G48" s="53"/>
      <c r="H48" s="67"/>
      <c r="I48" s="15"/>
    </row>
    <row r="49" spans="1:9" ht="12.95" customHeight="1">
      <c r="A49" s="31"/>
      <c r="B49" s="21" t="s">
        <v>383</v>
      </c>
      <c r="C49" s="18"/>
      <c r="D49" s="19"/>
      <c r="E49" s="14" t="s">
        <v>197</v>
      </c>
      <c r="F49" s="14" t="s">
        <v>197</v>
      </c>
      <c r="G49" s="14" t="s">
        <v>197</v>
      </c>
      <c r="H49" s="114" t="s">
        <v>197</v>
      </c>
      <c r="I49" s="16" t="s">
        <v>197</v>
      </c>
    </row>
    <row r="50" spans="1:9" ht="12.95" customHeight="1">
      <c r="A50" s="29"/>
      <c r="B50" s="24" t="s">
        <v>374</v>
      </c>
      <c r="C50" s="18"/>
      <c r="D50" s="19"/>
      <c r="E50" s="14" t="s">
        <v>197</v>
      </c>
      <c r="F50" s="14" t="s">
        <v>197</v>
      </c>
      <c r="G50" s="14" t="s">
        <v>197</v>
      </c>
      <c r="H50" s="114" t="s">
        <v>197</v>
      </c>
      <c r="I50" s="16" t="s">
        <v>197</v>
      </c>
    </row>
    <row r="51" spans="1:9" ht="12.95" customHeight="1">
      <c r="A51" s="29"/>
      <c r="B51" s="24" t="s">
        <v>375</v>
      </c>
      <c r="C51" s="18"/>
      <c r="D51" s="19"/>
      <c r="E51" s="14" t="s">
        <v>197</v>
      </c>
      <c r="F51" s="14" t="s">
        <v>197</v>
      </c>
      <c r="G51" s="14" t="s">
        <v>197</v>
      </c>
      <c r="H51" s="114" t="s">
        <v>197</v>
      </c>
      <c r="I51" s="16" t="s">
        <v>197</v>
      </c>
    </row>
    <row r="52" spans="1:9" ht="12.95" customHeight="1">
      <c r="A52" s="29"/>
      <c r="B52" s="24"/>
      <c r="C52" s="18"/>
      <c r="D52" s="19"/>
      <c r="E52" s="78"/>
      <c r="F52" s="78"/>
      <c r="G52" s="78"/>
      <c r="H52" s="23"/>
      <c r="I52" s="104"/>
    </row>
    <row r="53" spans="1:9" ht="12.95" customHeight="1">
      <c r="A53" s="29"/>
      <c r="B53" s="113" t="s">
        <v>11</v>
      </c>
      <c r="C53" s="18"/>
      <c r="D53" s="19"/>
      <c r="E53" s="78"/>
      <c r="F53" s="78"/>
      <c r="G53" s="78"/>
      <c r="H53" s="23"/>
      <c r="I53" s="104"/>
    </row>
    <row r="54" spans="1:9" ht="12.95" customHeight="1">
      <c r="A54" s="29"/>
      <c r="B54" s="63" t="s">
        <v>40</v>
      </c>
      <c r="C54" s="19" t="s">
        <v>1</v>
      </c>
      <c r="D54" s="19" t="s">
        <v>1</v>
      </c>
      <c r="E54" s="19" t="s">
        <v>1</v>
      </c>
      <c r="F54" s="48" t="s">
        <v>1</v>
      </c>
      <c r="G54" s="49"/>
      <c r="H54" s="64" t="s">
        <v>1</v>
      </c>
      <c r="I54" s="12" t="s">
        <v>1</v>
      </c>
    </row>
    <row r="55" spans="1:9" ht="12.95" customHeight="1">
      <c r="A55" s="31"/>
      <c r="B55" s="65" t="s">
        <v>41</v>
      </c>
      <c r="C55" s="19" t="s">
        <v>1</v>
      </c>
      <c r="D55" s="19" t="s">
        <v>42</v>
      </c>
      <c r="E55" s="50"/>
      <c r="F55" s="51">
        <v>3.6836017000000001</v>
      </c>
      <c r="G55" s="52">
        <v>3.68</v>
      </c>
      <c r="H55" s="66">
        <v>4.5295942266479657E-3</v>
      </c>
      <c r="I55" s="3">
        <v>4.4999999999999997E-3</v>
      </c>
    </row>
    <row r="56" spans="1:9" ht="12.95" customHeight="1">
      <c r="A56" s="29"/>
      <c r="B56" s="63" t="s">
        <v>38</v>
      </c>
      <c r="C56" s="19" t="s">
        <v>1</v>
      </c>
      <c r="D56" s="19" t="s">
        <v>1</v>
      </c>
      <c r="E56" s="19" t="s">
        <v>1</v>
      </c>
      <c r="F56" s="20">
        <v>3.6836017000000001</v>
      </c>
      <c r="G56" s="53">
        <v>3.68</v>
      </c>
      <c r="H56" s="67">
        <v>4.5295942266479657E-3</v>
      </c>
      <c r="I56" s="41">
        <v>4.4999999999999997E-3</v>
      </c>
    </row>
    <row r="57" spans="1:9" ht="12.95" customHeight="1">
      <c r="A57" s="29"/>
      <c r="B57" s="63"/>
      <c r="C57" s="19"/>
      <c r="D57" s="19"/>
      <c r="E57" s="19"/>
      <c r="F57" s="20"/>
      <c r="G57" s="53"/>
      <c r="H57" s="67"/>
      <c r="I57" s="41"/>
    </row>
    <row r="58" spans="1:9" ht="12.95" customHeight="1">
      <c r="A58" s="29"/>
      <c r="B58" s="63" t="s">
        <v>280</v>
      </c>
      <c r="C58" s="19"/>
      <c r="D58" s="19"/>
      <c r="E58" s="19"/>
      <c r="F58" s="20"/>
      <c r="G58" s="53"/>
      <c r="H58" s="67"/>
      <c r="I58" s="41"/>
    </row>
    <row r="59" spans="1:9" ht="12.95" customHeight="1">
      <c r="A59" s="29"/>
      <c r="B59" s="149" t="s">
        <v>43</v>
      </c>
      <c r="C59" s="19" t="s">
        <v>1</v>
      </c>
      <c r="D59" s="19" t="s">
        <v>1</v>
      </c>
      <c r="E59" s="19" t="s">
        <v>1</v>
      </c>
      <c r="F59" s="22">
        <v>-8.9063709101999997</v>
      </c>
      <c r="G59" s="78">
        <v>-8.92</v>
      </c>
      <c r="H59" s="68">
        <v>-1.0951848093408744E-2</v>
      </c>
      <c r="I59" s="41">
        <v>-1.11E-2</v>
      </c>
    </row>
    <row r="60" spans="1:9" ht="12.95" customHeight="1">
      <c r="A60" s="29"/>
      <c r="B60" s="63" t="s">
        <v>38</v>
      </c>
      <c r="C60" s="25"/>
      <c r="D60" s="25"/>
      <c r="E60" s="25"/>
      <c r="F60" s="20">
        <v>-8.9063709101999997</v>
      </c>
      <c r="G60" s="53">
        <v>-8.92</v>
      </c>
      <c r="H60" s="67">
        <v>-1.0951848093408744E-2</v>
      </c>
      <c r="I60" s="74"/>
    </row>
    <row r="61" spans="1:9" ht="12.95" customHeight="1" thickBot="1">
      <c r="A61" s="29"/>
      <c r="B61" s="76" t="s">
        <v>39</v>
      </c>
      <c r="C61" s="25"/>
      <c r="D61" s="25"/>
      <c r="E61" s="25"/>
      <c r="F61" s="26">
        <f>F56+F60</f>
        <v>-5.2227692101999992</v>
      </c>
      <c r="G61" s="26">
        <f t="shared" ref="G61:H61" si="0">G56+G60</f>
        <v>-5.24</v>
      </c>
      <c r="H61" s="77">
        <f t="shared" si="0"/>
        <v>-6.4222538667607788E-3</v>
      </c>
      <c r="I61" s="74"/>
    </row>
    <row r="62" spans="1:9" ht="12.95" customHeight="1" thickBot="1">
      <c r="A62" s="29"/>
      <c r="B62" s="115" t="s">
        <v>44</v>
      </c>
      <c r="C62" s="116" t="s">
        <v>1</v>
      </c>
      <c r="D62" s="116" t="s">
        <v>1</v>
      </c>
      <c r="E62" s="116" t="s">
        <v>1</v>
      </c>
      <c r="F62" s="117">
        <v>813.22995298980004</v>
      </c>
      <c r="G62" s="118">
        <v>813.23</v>
      </c>
      <c r="H62" s="119">
        <v>1</v>
      </c>
      <c r="I62" s="44">
        <v>1</v>
      </c>
    </row>
    <row r="63" spans="1:9" s="32" customFormat="1" ht="12.95" customHeight="1">
      <c r="A63" s="29"/>
      <c r="B63" s="30" t="s">
        <v>1</v>
      </c>
      <c r="C63" s="29"/>
      <c r="D63" s="29"/>
      <c r="E63" s="29"/>
      <c r="F63" s="34"/>
      <c r="G63" s="29"/>
      <c r="H63" s="35"/>
      <c r="I63" s="29"/>
    </row>
    <row r="64" spans="1:9" s="32" customFormat="1" ht="12.95" customHeight="1">
      <c r="A64" s="29"/>
      <c r="B64" s="36" t="s">
        <v>42</v>
      </c>
      <c r="C64" s="29"/>
      <c r="D64" s="29"/>
      <c r="E64" s="29"/>
      <c r="F64" s="34"/>
      <c r="G64" s="29"/>
      <c r="H64" s="35"/>
      <c r="I64" s="29"/>
    </row>
    <row r="65" spans="1:9" s="32" customFormat="1" ht="12.95" customHeight="1">
      <c r="A65" s="29"/>
      <c r="B65" s="80" t="s">
        <v>377</v>
      </c>
      <c r="C65" s="81"/>
      <c r="D65" s="29"/>
      <c r="E65" s="29"/>
      <c r="F65" s="34"/>
      <c r="G65" s="29"/>
      <c r="H65" s="35"/>
      <c r="I65" s="29"/>
    </row>
    <row r="66" spans="1:9" s="32" customFormat="1" ht="12.95" customHeight="1">
      <c r="A66" s="29"/>
      <c r="B66" s="111" t="s">
        <v>384</v>
      </c>
      <c r="C66" s="81"/>
      <c r="D66" s="29"/>
      <c r="E66" s="29"/>
      <c r="F66" s="34"/>
      <c r="G66" s="29"/>
      <c r="H66" s="35"/>
      <c r="I66" s="29"/>
    </row>
    <row r="67" spans="1:9" s="32" customFormat="1" ht="13.5" thickBot="1">
      <c r="B67" s="112"/>
      <c r="C67" s="112"/>
      <c r="F67" s="37"/>
      <c r="H67" s="38"/>
    </row>
    <row r="68" spans="1:9" s="32" customFormat="1" ht="13.5" thickBot="1">
      <c r="B68" s="108" t="s">
        <v>387</v>
      </c>
      <c r="C68" s="109">
        <v>2.2599999999999999E-2</v>
      </c>
      <c r="F68" s="37"/>
      <c r="H68" s="38"/>
    </row>
    <row r="69" spans="1:9" s="32" customFormat="1">
      <c r="B69" s="110" t="s">
        <v>388</v>
      </c>
      <c r="C69" s="110"/>
      <c r="F69" s="37"/>
      <c r="H69" s="38"/>
    </row>
    <row r="70" spans="1:9" s="32" customFormat="1">
      <c r="F70" s="37"/>
      <c r="H70" s="38"/>
    </row>
    <row r="71" spans="1:9" s="32" customFormat="1">
      <c r="F71" s="37"/>
      <c r="H71" s="38"/>
    </row>
    <row r="72" spans="1:9" s="32" customFormat="1">
      <c r="F72" s="37"/>
      <c r="H72" s="38"/>
    </row>
    <row r="73" spans="1:9" s="32" customFormat="1">
      <c r="F73" s="37"/>
      <c r="H73" s="38"/>
    </row>
    <row r="74" spans="1:9" s="32" customFormat="1">
      <c r="F74" s="37"/>
      <c r="H74" s="38"/>
    </row>
    <row r="75" spans="1:9" s="32" customFormat="1">
      <c r="F75" s="37"/>
      <c r="H75" s="38"/>
    </row>
    <row r="76" spans="1:9" s="32" customFormat="1">
      <c r="F76" s="37"/>
      <c r="H76" s="38"/>
    </row>
    <row r="77" spans="1:9" s="32" customFormat="1">
      <c r="F77" s="37"/>
      <c r="H77" s="38"/>
    </row>
    <row r="78" spans="1:9" s="32" customFormat="1">
      <c r="F78" s="37"/>
      <c r="H78" s="38"/>
    </row>
    <row r="79" spans="1:9" s="32" customFormat="1">
      <c r="F79" s="37"/>
      <c r="H79" s="38"/>
    </row>
    <row r="80" spans="1:9" s="32" customFormat="1">
      <c r="F80" s="37"/>
      <c r="H80" s="38"/>
    </row>
    <row r="81" spans="6:8" s="32" customFormat="1">
      <c r="F81" s="37"/>
      <c r="H81" s="38"/>
    </row>
    <row r="82" spans="6:8" s="32" customFormat="1">
      <c r="F82" s="37"/>
      <c r="H82" s="38"/>
    </row>
    <row r="83" spans="6:8" s="32" customFormat="1">
      <c r="F83" s="37"/>
      <c r="H83" s="38"/>
    </row>
    <row r="84" spans="6:8" s="32" customFormat="1">
      <c r="F84" s="37"/>
      <c r="H84" s="38"/>
    </row>
    <row r="85" spans="6:8" s="32" customFormat="1">
      <c r="F85" s="37"/>
      <c r="H85" s="38"/>
    </row>
    <row r="86" spans="6:8" s="32" customFormat="1">
      <c r="F86" s="37"/>
      <c r="H86" s="38"/>
    </row>
    <row r="87" spans="6:8" s="32" customFormat="1">
      <c r="F87" s="37"/>
      <c r="H87" s="38"/>
    </row>
    <row r="88" spans="6:8" s="32" customFormat="1">
      <c r="F88" s="37"/>
      <c r="H88" s="38"/>
    </row>
    <row r="89" spans="6:8" s="32" customFormat="1">
      <c r="F89" s="37"/>
      <c r="H89" s="38"/>
    </row>
    <row r="90" spans="6:8" s="32" customFormat="1">
      <c r="F90" s="37"/>
      <c r="H90" s="38"/>
    </row>
    <row r="91" spans="6:8" s="32" customFormat="1">
      <c r="F91" s="37"/>
      <c r="H91" s="38"/>
    </row>
    <row r="92" spans="6:8" s="32" customFormat="1">
      <c r="F92" s="37"/>
      <c r="H92" s="38"/>
    </row>
    <row r="93" spans="6:8" s="32" customFormat="1">
      <c r="F93" s="37"/>
      <c r="H93" s="38"/>
    </row>
    <row r="94" spans="6:8" s="32" customFormat="1">
      <c r="F94" s="37"/>
      <c r="H94" s="38"/>
    </row>
    <row r="95" spans="6:8" s="32" customFormat="1">
      <c r="F95" s="37"/>
      <c r="H95" s="38"/>
    </row>
    <row r="96" spans="6:8" s="32" customFormat="1">
      <c r="F96" s="37"/>
      <c r="H96" s="38"/>
    </row>
    <row r="97" spans="6:8" s="32" customFormat="1">
      <c r="F97" s="37"/>
      <c r="H97" s="38"/>
    </row>
    <row r="98" spans="6:8" s="32" customFormat="1">
      <c r="F98" s="37"/>
      <c r="H98" s="38"/>
    </row>
    <row r="99" spans="6:8" s="32" customFormat="1">
      <c r="F99" s="37"/>
      <c r="H99" s="38"/>
    </row>
    <row r="100" spans="6:8" s="32" customFormat="1">
      <c r="F100" s="37"/>
      <c r="H100" s="38"/>
    </row>
    <row r="101" spans="6:8" s="32" customFormat="1">
      <c r="F101" s="37"/>
      <c r="H101" s="38"/>
    </row>
    <row r="102" spans="6:8" s="32" customFormat="1">
      <c r="F102" s="37"/>
      <c r="H102" s="38"/>
    </row>
    <row r="103" spans="6:8" s="32" customFormat="1">
      <c r="F103" s="37"/>
      <c r="H103" s="38"/>
    </row>
    <row r="104" spans="6:8" s="32" customFormat="1">
      <c r="F104" s="37"/>
      <c r="H104" s="38"/>
    </row>
    <row r="105" spans="6:8" s="32" customFormat="1">
      <c r="F105" s="37"/>
      <c r="H105" s="38"/>
    </row>
    <row r="106" spans="6:8" s="32" customFormat="1">
      <c r="F106" s="37"/>
      <c r="H106" s="38"/>
    </row>
    <row r="107" spans="6:8" s="32" customFormat="1">
      <c r="F107" s="37"/>
      <c r="H107" s="38"/>
    </row>
    <row r="108" spans="6:8" s="32" customFormat="1">
      <c r="F108" s="37"/>
      <c r="H108" s="38"/>
    </row>
    <row r="109" spans="6:8" s="32" customFormat="1">
      <c r="F109" s="37"/>
      <c r="H109" s="38"/>
    </row>
    <row r="110" spans="6:8" s="32" customFormat="1">
      <c r="F110" s="37"/>
      <c r="H110" s="38"/>
    </row>
    <row r="111" spans="6:8" s="32" customFormat="1">
      <c r="F111" s="37"/>
      <c r="H111" s="38"/>
    </row>
    <row r="112" spans="6:8" s="32" customFormat="1">
      <c r="F112" s="37"/>
      <c r="H112" s="38"/>
    </row>
    <row r="113" spans="6:8" s="32" customFormat="1">
      <c r="F113" s="37"/>
      <c r="H113" s="38"/>
    </row>
    <row r="114" spans="6:8" s="32" customFormat="1">
      <c r="F114" s="37"/>
      <c r="H114" s="38"/>
    </row>
    <row r="115" spans="6:8" s="32" customFormat="1">
      <c r="F115" s="37"/>
      <c r="H115" s="38"/>
    </row>
    <row r="116" spans="6:8" s="32" customFormat="1">
      <c r="F116" s="37"/>
      <c r="H116" s="38"/>
    </row>
    <row r="117" spans="6:8" s="32" customFormat="1">
      <c r="F117" s="37"/>
      <c r="H117" s="38"/>
    </row>
    <row r="118" spans="6:8" s="32" customFormat="1">
      <c r="F118" s="37"/>
      <c r="H118" s="38"/>
    </row>
    <row r="119" spans="6:8" s="32" customFormat="1">
      <c r="F119" s="37"/>
      <c r="H119" s="38"/>
    </row>
    <row r="120" spans="6:8" s="32" customFormat="1">
      <c r="F120" s="37"/>
      <c r="H120" s="38"/>
    </row>
    <row r="121" spans="6:8" s="32" customFormat="1">
      <c r="F121" s="37"/>
      <c r="H121" s="38"/>
    </row>
    <row r="122" spans="6:8" s="32" customFormat="1">
      <c r="F122" s="37"/>
      <c r="H122" s="38"/>
    </row>
    <row r="123" spans="6:8" s="32" customFormat="1">
      <c r="F123" s="37"/>
      <c r="H123" s="38"/>
    </row>
    <row r="124" spans="6:8" s="32" customFormat="1">
      <c r="F124" s="37"/>
      <c r="H124" s="38"/>
    </row>
    <row r="125" spans="6:8" s="32" customFormat="1">
      <c r="F125" s="37"/>
      <c r="H125" s="38"/>
    </row>
    <row r="126" spans="6:8" s="32" customFormat="1">
      <c r="F126" s="37"/>
      <c r="H126" s="38"/>
    </row>
    <row r="127" spans="6:8" s="32" customFormat="1">
      <c r="F127" s="37"/>
      <c r="H127" s="38"/>
    </row>
    <row r="128" spans="6:8" s="32" customFormat="1">
      <c r="F128" s="37"/>
      <c r="H128" s="38"/>
    </row>
    <row r="129" spans="6:8" s="32" customFormat="1">
      <c r="F129" s="37"/>
      <c r="H129" s="38"/>
    </row>
    <row r="130" spans="6:8" s="32" customFormat="1">
      <c r="F130" s="37"/>
      <c r="H130" s="38"/>
    </row>
    <row r="131" spans="6:8" s="32" customFormat="1">
      <c r="F131" s="37"/>
      <c r="H131" s="38"/>
    </row>
    <row r="132" spans="6:8" s="32" customFormat="1">
      <c r="F132" s="37"/>
      <c r="H132" s="38"/>
    </row>
    <row r="133" spans="6:8" s="32" customFormat="1">
      <c r="F133" s="37"/>
      <c r="H133" s="38"/>
    </row>
    <row r="134" spans="6:8" s="32" customFormat="1">
      <c r="F134" s="37"/>
      <c r="H134" s="38"/>
    </row>
    <row r="135" spans="6:8" s="32" customFormat="1">
      <c r="F135" s="37"/>
      <c r="H135" s="38"/>
    </row>
    <row r="136" spans="6:8" s="32" customFormat="1">
      <c r="F136" s="37"/>
      <c r="H136" s="38"/>
    </row>
    <row r="137" spans="6:8" s="32" customFormat="1">
      <c r="F137" s="37"/>
      <c r="H137" s="38"/>
    </row>
    <row r="138" spans="6:8" s="32" customFormat="1">
      <c r="F138" s="37"/>
      <c r="H138" s="38"/>
    </row>
    <row r="139" spans="6:8" s="32" customFormat="1">
      <c r="F139" s="37"/>
      <c r="H139" s="38"/>
    </row>
    <row r="140" spans="6:8" s="32" customFormat="1">
      <c r="F140" s="37"/>
      <c r="H140" s="38"/>
    </row>
    <row r="141" spans="6:8" s="32" customFormat="1">
      <c r="F141" s="37"/>
      <c r="H141" s="38"/>
    </row>
    <row r="142" spans="6:8" s="32" customFormat="1">
      <c r="F142" s="37"/>
      <c r="H142" s="38"/>
    </row>
    <row r="143" spans="6:8" s="32" customFormat="1">
      <c r="F143" s="37"/>
      <c r="H143" s="38"/>
    </row>
    <row r="144" spans="6:8" s="32" customFormat="1">
      <c r="F144" s="37"/>
      <c r="H144" s="38"/>
    </row>
    <row r="145" spans="6:8" s="32" customFormat="1">
      <c r="F145" s="37"/>
      <c r="H145" s="38"/>
    </row>
    <row r="146" spans="6:8" s="32" customFormat="1">
      <c r="F146" s="37"/>
      <c r="H146" s="38"/>
    </row>
    <row r="147" spans="6:8" s="32" customFormat="1">
      <c r="F147" s="37"/>
      <c r="H147" s="38"/>
    </row>
    <row r="148" spans="6:8" s="32" customFormat="1">
      <c r="F148" s="37"/>
      <c r="H148" s="38"/>
    </row>
    <row r="149" spans="6:8" s="32" customFormat="1">
      <c r="F149" s="37"/>
      <c r="H149" s="38"/>
    </row>
    <row r="150" spans="6:8" s="32" customFormat="1">
      <c r="F150" s="37"/>
      <c r="H150" s="38"/>
    </row>
    <row r="151" spans="6:8" s="32" customFormat="1">
      <c r="F151" s="37"/>
      <c r="H151" s="38"/>
    </row>
    <row r="152" spans="6:8" s="32" customFormat="1">
      <c r="F152" s="37"/>
      <c r="H152" s="38"/>
    </row>
    <row r="153" spans="6:8" s="32" customFormat="1">
      <c r="F153" s="37"/>
      <c r="H153" s="38"/>
    </row>
    <row r="154" spans="6:8" s="32" customFormat="1">
      <c r="F154" s="37"/>
      <c r="H154" s="38"/>
    </row>
    <row r="155" spans="6:8" s="32" customFormat="1">
      <c r="F155" s="37"/>
      <c r="H155" s="38"/>
    </row>
    <row r="156" spans="6:8" s="32" customFormat="1">
      <c r="F156" s="37"/>
      <c r="H156" s="38"/>
    </row>
    <row r="157" spans="6:8" s="32" customFormat="1">
      <c r="F157" s="37"/>
      <c r="H157" s="38"/>
    </row>
    <row r="158" spans="6:8" s="32" customFormat="1">
      <c r="F158" s="37"/>
      <c r="H158" s="38"/>
    </row>
    <row r="159" spans="6:8" s="32" customFormat="1">
      <c r="F159" s="37"/>
      <c r="H159" s="38"/>
    </row>
    <row r="160" spans="6:8" s="32" customFormat="1">
      <c r="F160" s="37"/>
      <c r="H160" s="38"/>
    </row>
    <row r="161" spans="6:8" s="32" customFormat="1">
      <c r="F161" s="37"/>
      <c r="H161" s="38"/>
    </row>
    <row r="162" spans="6:8" s="32" customFormat="1">
      <c r="F162" s="37"/>
      <c r="H162" s="38"/>
    </row>
    <row r="163" spans="6:8" s="32" customFormat="1">
      <c r="F163" s="37"/>
      <c r="H163" s="38"/>
    </row>
    <row r="164" spans="6:8" s="32" customFormat="1">
      <c r="F164" s="37"/>
      <c r="H164" s="38"/>
    </row>
    <row r="165" spans="6:8" s="32" customFormat="1">
      <c r="F165" s="37"/>
      <c r="H165" s="38"/>
    </row>
    <row r="166" spans="6:8" s="32" customFormat="1">
      <c r="F166" s="37"/>
      <c r="H166" s="38"/>
    </row>
    <row r="167" spans="6:8" s="32" customFormat="1">
      <c r="F167" s="37"/>
      <c r="H167" s="38"/>
    </row>
    <row r="168" spans="6:8" s="32" customFormat="1">
      <c r="F168" s="37"/>
      <c r="H168" s="38"/>
    </row>
    <row r="169" spans="6:8" s="32" customFormat="1">
      <c r="F169" s="37"/>
      <c r="H169" s="38"/>
    </row>
    <row r="170" spans="6:8" s="32" customFormat="1">
      <c r="F170" s="37"/>
      <c r="H170" s="38"/>
    </row>
    <row r="171" spans="6:8" s="32" customFormat="1">
      <c r="F171" s="37"/>
      <c r="H171" s="38"/>
    </row>
    <row r="172" spans="6:8" s="32" customFormat="1">
      <c r="F172" s="37"/>
      <c r="H172" s="38"/>
    </row>
    <row r="173" spans="6:8" s="32" customFormat="1">
      <c r="F173" s="37"/>
      <c r="H173" s="38"/>
    </row>
    <row r="174" spans="6:8" s="32" customFormat="1">
      <c r="F174" s="37"/>
      <c r="H174" s="38"/>
    </row>
    <row r="175" spans="6:8" s="32" customFormat="1">
      <c r="F175" s="37"/>
      <c r="H175" s="38"/>
    </row>
    <row r="176" spans="6:8" s="32" customFormat="1">
      <c r="F176" s="37"/>
      <c r="H176" s="38"/>
    </row>
    <row r="177" spans="6:8" s="32" customFormat="1">
      <c r="F177" s="37"/>
      <c r="H177" s="38"/>
    </row>
    <row r="178" spans="6:8" s="32" customFormat="1">
      <c r="F178" s="37"/>
      <c r="H178" s="38"/>
    </row>
    <row r="179" spans="6:8" s="32" customFormat="1">
      <c r="F179" s="37"/>
      <c r="H179" s="38"/>
    </row>
    <row r="180" spans="6:8" s="32" customFormat="1">
      <c r="F180" s="37"/>
      <c r="H180" s="38"/>
    </row>
    <row r="181" spans="6:8" s="32" customFormat="1">
      <c r="F181" s="37"/>
      <c r="H181" s="38"/>
    </row>
    <row r="182" spans="6:8" s="32" customFormat="1">
      <c r="F182" s="37"/>
      <c r="H182" s="38"/>
    </row>
    <row r="183" spans="6:8" s="32" customFormat="1">
      <c r="F183" s="37"/>
      <c r="H183" s="38"/>
    </row>
    <row r="184" spans="6:8" s="32" customFormat="1">
      <c r="F184" s="37"/>
      <c r="H184" s="38"/>
    </row>
    <row r="185" spans="6:8" s="32" customFormat="1">
      <c r="F185" s="37"/>
      <c r="H185" s="38"/>
    </row>
    <row r="186" spans="6:8" s="32" customFormat="1">
      <c r="F186" s="37"/>
      <c r="H186" s="38"/>
    </row>
    <row r="187" spans="6:8" s="32" customFormat="1">
      <c r="F187" s="37"/>
      <c r="H187" s="38"/>
    </row>
    <row r="188" spans="6:8" s="32" customFormat="1">
      <c r="F188" s="37"/>
      <c r="H188" s="38"/>
    </row>
    <row r="189" spans="6:8" s="32" customFormat="1">
      <c r="F189" s="37"/>
      <c r="H189" s="38"/>
    </row>
    <row r="190" spans="6:8" s="32" customFormat="1">
      <c r="F190" s="37"/>
      <c r="H190" s="38"/>
    </row>
    <row r="191" spans="6:8" s="32" customFormat="1">
      <c r="F191" s="37"/>
      <c r="H191" s="38"/>
    </row>
    <row r="192" spans="6:8" s="32" customFormat="1">
      <c r="F192" s="37"/>
      <c r="H192" s="38"/>
    </row>
    <row r="193" spans="6:8" s="32" customFormat="1">
      <c r="F193" s="37"/>
      <c r="H193" s="38"/>
    </row>
    <row r="194" spans="6:8" s="32" customFormat="1">
      <c r="F194" s="37"/>
      <c r="H194" s="38"/>
    </row>
    <row r="195" spans="6:8" s="32" customFormat="1">
      <c r="F195" s="37"/>
      <c r="H195" s="38"/>
    </row>
    <row r="196" spans="6:8" s="32" customFormat="1">
      <c r="F196" s="37"/>
      <c r="H196" s="38"/>
    </row>
    <row r="197" spans="6:8" s="32" customFormat="1">
      <c r="F197" s="37"/>
      <c r="H197" s="38"/>
    </row>
    <row r="198" spans="6:8" s="32" customFormat="1">
      <c r="F198" s="37"/>
      <c r="H198" s="38"/>
    </row>
    <row r="199" spans="6:8" s="32" customFormat="1">
      <c r="F199" s="37"/>
      <c r="H199" s="38"/>
    </row>
    <row r="200" spans="6:8" s="32" customFormat="1">
      <c r="F200" s="37"/>
      <c r="H200" s="38"/>
    </row>
    <row r="201" spans="6:8" s="32" customFormat="1">
      <c r="F201" s="37"/>
      <c r="H201" s="38"/>
    </row>
    <row r="202" spans="6:8" s="32" customFormat="1">
      <c r="F202" s="37"/>
      <c r="H202" s="38"/>
    </row>
    <row r="203" spans="6:8" s="32" customFormat="1">
      <c r="F203" s="37"/>
      <c r="H203" s="38"/>
    </row>
    <row r="204" spans="6:8" s="32" customFormat="1">
      <c r="F204" s="37"/>
      <c r="H204" s="38"/>
    </row>
    <row r="205" spans="6:8" s="32" customFormat="1">
      <c r="F205" s="37"/>
      <c r="H205" s="38"/>
    </row>
    <row r="206" spans="6:8" s="32" customFormat="1">
      <c r="F206" s="37"/>
      <c r="H206" s="38"/>
    </row>
    <row r="207" spans="6:8" s="32" customFormat="1">
      <c r="F207" s="37"/>
      <c r="H207" s="38"/>
    </row>
    <row r="208" spans="6:8" s="32" customFormat="1">
      <c r="F208" s="37"/>
      <c r="H208" s="38"/>
    </row>
    <row r="209" spans="6:8" s="32" customFormat="1">
      <c r="F209" s="37"/>
      <c r="H209" s="38"/>
    </row>
    <row r="210" spans="6:8" s="32" customFormat="1">
      <c r="F210" s="37"/>
      <c r="H210" s="38"/>
    </row>
    <row r="211" spans="6:8" s="32" customFormat="1">
      <c r="F211" s="37"/>
      <c r="H211" s="38"/>
    </row>
    <row r="212" spans="6:8" s="32" customFormat="1">
      <c r="F212" s="37"/>
      <c r="H212" s="38"/>
    </row>
    <row r="213" spans="6:8" s="32" customFormat="1">
      <c r="F213" s="37"/>
      <c r="H213" s="38"/>
    </row>
    <row r="214" spans="6:8" s="32" customFormat="1">
      <c r="F214" s="37"/>
      <c r="H214" s="38"/>
    </row>
    <row r="215" spans="6:8" s="32" customFormat="1">
      <c r="F215" s="37"/>
      <c r="H215" s="38"/>
    </row>
    <row r="216" spans="6:8" s="32" customFormat="1">
      <c r="F216" s="37"/>
      <c r="H216" s="38"/>
    </row>
    <row r="217" spans="6:8" s="32" customFormat="1">
      <c r="F217" s="37"/>
      <c r="H217" s="38"/>
    </row>
    <row r="218" spans="6:8" s="32" customFormat="1">
      <c r="F218" s="37"/>
      <c r="H218" s="38"/>
    </row>
    <row r="219" spans="6:8" s="32" customFormat="1">
      <c r="F219" s="37"/>
      <c r="H219" s="38"/>
    </row>
    <row r="220" spans="6:8" s="32" customFormat="1">
      <c r="F220" s="37"/>
      <c r="H220" s="38"/>
    </row>
    <row r="221" spans="6:8" s="32" customFormat="1">
      <c r="F221" s="37"/>
      <c r="H221" s="38"/>
    </row>
    <row r="222" spans="6:8" s="32" customFormat="1">
      <c r="F222" s="37"/>
      <c r="H222" s="38"/>
    </row>
    <row r="223" spans="6:8" s="32" customFormat="1">
      <c r="F223" s="37"/>
      <c r="H223" s="38"/>
    </row>
    <row r="224" spans="6:8" s="32" customFormat="1">
      <c r="F224" s="37"/>
      <c r="H224" s="38"/>
    </row>
    <row r="225" spans="6:8" s="32" customFormat="1">
      <c r="F225" s="37"/>
      <c r="H225" s="38"/>
    </row>
    <row r="226" spans="6:8" s="32" customFormat="1">
      <c r="F226" s="37"/>
      <c r="H226" s="38"/>
    </row>
    <row r="227" spans="6:8" s="32" customFormat="1">
      <c r="F227" s="37"/>
      <c r="H227" s="38"/>
    </row>
    <row r="228" spans="6:8" s="32" customFormat="1">
      <c r="F228" s="37"/>
      <c r="H228" s="38"/>
    </row>
    <row r="229" spans="6:8" s="32" customFormat="1">
      <c r="F229" s="37"/>
      <c r="H229" s="38"/>
    </row>
    <row r="230" spans="6:8" s="32" customFormat="1">
      <c r="F230" s="37"/>
      <c r="H230" s="38"/>
    </row>
    <row r="231" spans="6:8" s="32" customFormat="1">
      <c r="F231" s="37"/>
      <c r="H231" s="38"/>
    </row>
    <row r="232" spans="6:8" s="32" customFormat="1">
      <c r="F232" s="37"/>
      <c r="H232" s="38"/>
    </row>
    <row r="233" spans="6:8" s="32" customFormat="1">
      <c r="F233" s="37"/>
      <c r="H233" s="38"/>
    </row>
    <row r="234" spans="6:8" s="32" customFormat="1">
      <c r="F234" s="37"/>
      <c r="H234" s="38"/>
    </row>
    <row r="235" spans="6:8" s="32" customFormat="1">
      <c r="F235" s="37"/>
      <c r="H235" s="38"/>
    </row>
    <row r="236" spans="6:8" s="32" customFormat="1">
      <c r="F236" s="37"/>
      <c r="H236" s="38"/>
    </row>
    <row r="237" spans="6:8" s="32" customFormat="1">
      <c r="F237" s="37"/>
      <c r="H237" s="38"/>
    </row>
    <row r="238" spans="6:8" s="32" customFormat="1">
      <c r="F238" s="37"/>
      <c r="H238" s="38"/>
    </row>
    <row r="239" spans="6:8" s="32" customFormat="1">
      <c r="F239" s="37"/>
      <c r="H239" s="38"/>
    </row>
    <row r="240" spans="6:8" s="32" customFormat="1">
      <c r="F240" s="37"/>
      <c r="H240" s="38"/>
    </row>
    <row r="241" spans="6:8" s="32" customFormat="1">
      <c r="F241" s="37"/>
      <c r="H241" s="38"/>
    </row>
    <row r="242" spans="6:8" s="32" customFormat="1">
      <c r="F242" s="37"/>
      <c r="H242" s="38"/>
    </row>
    <row r="243" spans="6:8" s="32" customFormat="1">
      <c r="F243" s="37"/>
      <c r="H243" s="38"/>
    </row>
    <row r="244" spans="6:8" s="32" customFormat="1">
      <c r="F244" s="37"/>
      <c r="H244" s="38"/>
    </row>
    <row r="245" spans="6:8" s="32" customFormat="1">
      <c r="F245" s="37"/>
      <c r="H245" s="38"/>
    </row>
    <row r="246" spans="6:8" s="32" customFormat="1">
      <c r="F246" s="37"/>
      <c r="H246" s="38"/>
    </row>
    <row r="247" spans="6:8" s="32" customFormat="1">
      <c r="F247" s="37"/>
      <c r="H247" s="38"/>
    </row>
    <row r="248" spans="6:8" s="32" customFormat="1">
      <c r="F248" s="37"/>
      <c r="H248" s="38"/>
    </row>
    <row r="249" spans="6:8" s="32" customFormat="1">
      <c r="F249" s="37"/>
      <c r="H249" s="38"/>
    </row>
    <row r="250" spans="6:8" s="32" customFormat="1">
      <c r="F250" s="37"/>
      <c r="H250" s="38"/>
    </row>
    <row r="251" spans="6:8" s="32" customFormat="1">
      <c r="F251" s="37"/>
      <c r="H251" s="38"/>
    </row>
    <row r="252" spans="6:8" s="32" customFormat="1">
      <c r="F252" s="37"/>
      <c r="H252" s="38"/>
    </row>
    <row r="253" spans="6:8" s="32" customFormat="1">
      <c r="F253" s="37"/>
      <c r="H253" s="38"/>
    </row>
    <row r="254" spans="6:8" s="32" customFormat="1">
      <c r="F254" s="37"/>
      <c r="H254" s="38"/>
    </row>
    <row r="255" spans="6:8" s="32" customFormat="1">
      <c r="F255" s="37"/>
      <c r="H255" s="38"/>
    </row>
    <row r="256" spans="6:8" s="32" customFormat="1">
      <c r="F256" s="37"/>
      <c r="H256" s="38"/>
    </row>
    <row r="257" spans="6:8" s="32" customFormat="1">
      <c r="F257" s="37"/>
      <c r="H257" s="38"/>
    </row>
    <row r="258" spans="6:8" s="32" customFormat="1">
      <c r="F258" s="37"/>
      <c r="H258" s="38"/>
    </row>
    <row r="259" spans="6:8" s="32" customFormat="1">
      <c r="F259" s="37"/>
      <c r="H259" s="38"/>
    </row>
    <row r="260" spans="6:8" s="32" customFormat="1">
      <c r="F260" s="37"/>
      <c r="H260" s="38"/>
    </row>
    <row r="261" spans="6:8" s="32" customFormat="1">
      <c r="F261" s="37"/>
      <c r="H261" s="38"/>
    </row>
    <row r="262" spans="6:8" s="32" customFormat="1">
      <c r="F262" s="37"/>
      <c r="H262" s="38"/>
    </row>
    <row r="263" spans="6:8" s="32" customFormat="1">
      <c r="F263" s="37"/>
      <c r="H263" s="38"/>
    </row>
    <row r="264" spans="6:8" s="32" customFormat="1">
      <c r="F264" s="37"/>
      <c r="H264" s="38"/>
    </row>
    <row r="265" spans="6:8" s="32" customFormat="1">
      <c r="F265" s="37"/>
      <c r="H265" s="38"/>
    </row>
    <row r="266" spans="6:8" s="32" customFormat="1">
      <c r="F266" s="37"/>
      <c r="H266" s="38"/>
    </row>
    <row r="267" spans="6:8" s="32" customFormat="1">
      <c r="F267" s="37"/>
      <c r="H267" s="38"/>
    </row>
    <row r="268" spans="6:8" s="32" customFormat="1">
      <c r="F268" s="37"/>
      <c r="H268" s="38"/>
    </row>
    <row r="269" spans="6:8" s="32" customFormat="1">
      <c r="F269" s="37"/>
      <c r="H269" s="38"/>
    </row>
    <row r="270" spans="6:8" s="32" customFormat="1">
      <c r="F270" s="37"/>
      <c r="H270" s="38"/>
    </row>
    <row r="271" spans="6:8" s="32" customFormat="1">
      <c r="F271" s="37"/>
      <c r="H271" s="38"/>
    </row>
    <row r="272" spans="6:8" s="32" customFormat="1">
      <c r="F272" s="37"/>
      <c r="H272" s="38"/>
    </row>
    <row r="273" spans="6:8" s="32" customFormat="1">
      <c r="F273" s="37"/>
      <c r="H273" s="38"/>
    </row>
    <row r="274" spans="6:8" s="32" customFormat="1">
      <c r="F274" s="37"/>
      <c r="H274" s="38"/>
    </row>
    <row r="275" spans="6:8" s="32" customFormat="1">
      <c r="F275" s="37"/>
      <c r="H275" s="38"/>
    </row>
    <row r="276" spans="6:8" s="32" customFormat="1">
      <c r="F276" s="37"/>
      <c r="H276" s="38"/>
    </row>
    <row r="277" spans="6:8" s="32" customFormat="1">
      <c r="F277" s="37"/>
      <c r="H277" s="38"/>
    </row>
    <row r="278" spans="6:8" s="32" customFormat="1">
      <c r="F278" s="37"/>
      <c r="H278" s="38"/>
    </row>
    <row r="279" spans="6:8" s="32" customFormat="1">
      <c r="F279" s="37"/>
      <c r="H279" s="38"/>
    </row>
    <row r="280" spans="6:8" s="32" customFormat="1">
      <c r="F280" s="37"/>
      <c r="H280" s="38"/>
    </row>
    <row r="281" spans="6:8" s="32" customFormat="1">
      <c r="F281" s="37"/>
      <c r="H281" s="38"/>
    </row>
    <row r="282" spans="6:8" s="32" customFormat="1">
      <c r="F282" s="37"/>
      <c r="H282" s="38"/>
    </row>
    <row r="283" spans="6:8" s="32" customFormat="1">
      <c r="F283" s="37"/>
      <c r="H283" s="38"/>
    </row>
    <row r="284" spans="6:8" s="32" customFormat="1">
      <c r="F284" s="37"/>
      <c r="H284" s="38"/>
    </row>
    <row r="285" spans="6:8" s="32" customFormat="1">
      <c r="F285" s="37"/>
      <c r="H285" s="38"/>
    </row>
    <row r="286" spans="6:8" s="32" customFormat="1">
      <c r="F286" s="37"/>
      <c r="H286" s="38"/>
    </row>
    <row r="287" spans="6:8" s="32" customFormat="1">
      <c r="F287" s="37"/>
      <c r="H287" s="38"/>
    </row>
    <row r="288" spans="6:8" s="32" customFormat="1">
      <c r="F288" s="37"/>
      <c r="H288" s="38"/>
    </row>
    <row r="289" spans="6:8" s="32" customFormat="1">
      <c r="F289" s="37"/>
      <c r="H289" s="38"/>
    </row>
    <row r="290" spans="6:8" s="32" customFormat="1">
      <c r="F290" s="37"/>
      <c r="H290" s="38"/>
    </row>
    <row r="291" spans="6:8" s="32" customFormat="1">
      <c r="F291" s="37"/>
      <c r="H291" s="38"/>
    </row>
    <row r="292" spans="6:8" s="32" customFormat="1">
      <c r="F292" s="37"/>
      <c r="H292" s="38"/>
    </row>
    <row r="293" spans="6:8" s="32" customFormat="1">
      <c r="F293" s="37"/>
      <c r="H293" s="38"/>
    </row>
    <row r="294" spans="6:8" s="32" customFormat="1">
      <c r="F294" s="37"/>
      <c r="H294" s="38"/>
    </row>
    <row r="295" spans="6:8" s="32" customFormat="1">
      <c r="F295" s="37"/>
      <c r="H295" s="38"/>
    </row>
    <row r="296" spans="6:8" s="32" customFormat="1">
      <c r="F296" s="37"/>
      <c r="H296" s="38"/>
    </row>
    <row r="297" spans="6:8" s="32" customFormat="1">
      <c r="F297" s="37"/>
      <c r="H297" s="38"/>
    </row>
    <row r="298" spans="6:8" s="32" customFormat="1">
      <c r="F298" s="37"/>
      <c r="H298" s="38"/>
    </row>
    <row r="299" spans="6:8" s="32" customFormat="1">
      <c r="F299" s="37"/>
      <c r="H299" s="38"/>
    </row>
    <row r="300" spans="6:8" s="32" customFormat="1">
      <c r="F300" s="37"/>
      <c r="H300" s="38"/>
    </row>
    <row r="301" spans="6:8" s="32" customFormat="1">
      <c r="F301" s="37"/>
      <c r="H301" s="38"/>
    </row>
    <row r="302" spans="6:8" s="32" customFormat="1">
      <c r="F302" s="37"/>
      <c r="H302" s="38"/>
    </row>
    <row r="303" spans="6:8" s="32" customFormat="1">
      <c r="F303" s="37"/>
      <c r="H303" s="38"/>
    </row>
    <row r="304" spans="6:8" s="32" customFormat="1">
      <c r="F304" s="37"/>
      <c r="H304" s="38"/>
    </row>
    <row r="305" spans="6:8" s="32" customFormat="1">
      <c r="F305" s="37"/>
      <c r="H305" s="38"/>
    </row>
    <row r="306" spans="6:8" s="32" customFormat="1">
      <c r="F306" s="37"/>
      <c r="H306" s="38"/>
    </row>
    <row r="307" spans="6:8" s="32" customFormat="1">
      <c r="F307" s="37"/>
      <c r="H307" s="38"/>
    </row>
    <row r="308" spans="6:8" s="32" customFormat="1">
      <c r="F308" s="37"/>
      <c r="H308" s="38"/>
    </row>
    <row r="309" spans="6:8" s="32" customFormat="1">
      <c r="F309" s="37"/>
      <c r="H309" s="38"/>
    </row>
    <row r="310" spans="6:8" s="32" customFormat="1">
      <c r="F310" s="37"/>
      <c r="H310" s="38"/>
    </row>
    <row r="311" spans="6:8" s="32" customFormat="1">
      <c r="F311" s="37"/>
      <c r="H311" s="38"/>
    </row>
    <row r="312" spans="6:8" s="32" customFormat="1">
      <c r="F312" s="37"/>
      <c r="H312" s="38"/>
    </row>
    <row r="313" spans="6:8" s="32" customFormat="1">
      <c r="F313" s="37"/>
      <c r="H313" s="38"/>
    </row>
    <row r="314" spans="6:8" s="32" customFormat="1">
      <c r="F314" s="37"/>
      <c r="H314" s="38"/>
    </row>
    <row r="315" spans="6:8" s="32" customFormat="1">
      <c r="F315" s="37"/>
      <c r="H315" s="38"/>
    </row>
    <row r="316" spans="6:8" s="32" customFormat="1">
      <c r="F316" s="37"/>
      <c r="H316" s="38"/>
    </row>
    <row r="317" spans="6:8" s="32" customFormat="1">
      <c r="F317" s="37"/>
      <c r="H317" s="38"/>
    </row>
    <row r="318" spans="6:8" s="32" customFormat="1">
      <c r="F318" s="37"/>
      <c r="H318" s="38"/>
    </row>
    <row r="319" spans="6:8" s="32" customFormat="1">
      <c r="F319" s="37"/>
      <c r="H319" s="38"/>
    </row>
    <row r="320" spans="6:8" s="32" customFormat="1">
      <c r="F320" s="37"/>
      <c r="H320" s="38"/>
    </row>
    <row r="321" spans="6:8" s="32" customFormat="1">
      <c r="F321" s="37"/>
      <c r="H321" s="38"/>
    </row>
    <row r="322" spans="6:8" s="32" customFormat="1">
      <c r="F322" s="37"/>
      <c r="H322" s="38"/>
    </row>
    <row r="323" spans="6:8" s="32" customFormat="1">
      <c r="F323" s="37"/>
      <c r="H323" s="38"/>
    </row>
    <row r="324" spans="6:8" s="32" customFormat="1">
      <c r="F324" s="37"/>
      <c r="H324" s="38"/>
    </row>
    <row r="325" spans="6:8" s="32" customFormat="1">
      <c r="F325" s="37"/>
      <c r="H325" s="38"/>
    </row>
    <row r="326" spans="6:8" s="32" customFormat="1">
      <c r="F326" s="37"/>
      <c r="H326" s="38"/>
    </row>
    <row r="327" spans="6:8" s="32" customFormat="1">
      <c r="F327" s="37"/>
      <c r="H327" s="38"/>
    </row>
    <row r="328" spans="6:8" s="32" customFormat="1">
      <c r="F328" s="37"/>
      <c r="H328" s="38"/>
    </row>
    <row r="329" spans="6:8" s="32" customFormat="1">
      <c r="F329" s="37"/>
      <c r="H329" s="38"/>
    </row>
    <row r="330" spans="6:8" s="32" customFormat="1">
      <c r="F330" s="37"/>
      <c r="H330" s="38"/>
    </row>
    <row r="331" spans="6:8" s="32" customFormat="1">
      <c r="F331" s="37"/>
      <c r="H331" s="38"/>
    </row>
    <row r="332" spans="6:8" s="32" customFormat="1">
      <c r="F332" s="37"/>
      <c r="H332" s="38"/>
    </row>
    <row r="333" spans="6:8" s="32" customFormat="1">
      <c r="F333" s="37"/>
      <c r="H333" s="38"/>
    </row>
    <row r="334" spans="6:8" s="32" customFormat="1">
      <c r="F334" s="37"/>
      <c r="H334" s="38"/>
    </row>
    <row r="335" spans="6:8" s="32" customFormat="1">
      <c r="F335" s="37"/>
      <c r="H335" s="38"/>
    </row>
    <row r="336" spans="6:8" s="32" customFormat="1">
      <c r="F336" s="37"/>
      <c r="H336" s="38"/>
    </row>
    <row r="337" spans="6:8" s="32" customFormat="1">
      <c r="F337" s="37"/>
      <c r="H337" s="38"/>
    </row>
    <row r="338" spans="6:8" s="32" customFormat="1">
      <c r="F338" s="37"/>
      <c r="H338" s="38"/>
    </row>
    <row r="339" spans="6:8" s="32" customFormat="1">
      <c r="F339" s="37"/>
      <c r="H339" s="38"/>
    </row>
    <row r="340" spans="6:8" s="32" customFormat="1">
      <c r="F340" s="37"/>
      <c r="H340" s="38"/>
    </row>
    <row r="341" spans="6:8" s="32" customFormat="1">
      <c r="F341" s="37"/>
      <c r="H341" s="38"/>
    </row>
    <row r="342" spans="6:8" s="32" customFormat="1">
      <c r="F342" s="37"/>
      <c r="H342" s="38"/>
    </row>
    <row r="343" spans="6:8" s="32" customFormat="1">
      <c r="F343" s="37"/>
      <c r="H343" s="38"/>
    </row>
    <row r="344" spans="6:8" s="32" customFormat="1">
      <c r="F344" s="37"/>
      <c r="H344" s="38"/>
    </row>
    <row r="345" spans="6:8" s="32" customFormat="1">
      <c r="F345" s="37"/>
      <c r="H345" s="38"/>
    </row>
    <row r="346" spans="6:8" s="32" customFormat="1">
      <c r="F346" s="37"/>
      <c r="H346" s="38"/>
    </row>
    <row r="347" spans="6:8" s="32" customFormat="1">
      <c r="F347" s="37"/>
      <c r="H347" s="38"/>
    </row>
    <row r="348" spans="6:8" s="32" customFormat="1">
      <c r="F348" s="37"/>
      <c r="H348" s="38"/>
    </row>
    <row r="349" spans="6:8" s="32" customFormat="1">
      <c r="F349" s="37"/>
      <c r="H349" s="38"/>
    </row>
    <row r="350" spans="6:8" s="32" customFormat="1">
      <c r="F350" s="37"/>
      <c r="H350" s="38"/>
    </row>
    <row r="351" spans="6:8" s="32" customFormat="1">
      <c r="F351" s="37"/>
      <c r="H351" s="38"/>
    </row>
    <row r="352" spans="6:8" s="32" customFormat="1">
      <c r="F352" s="37"/>
      <c r="H352" s="38"/>
    </row>
    <row r="353" spans="6:8" s="32" customFormat="1">
      <c r="F353" s="37"/>
      <c r="H353" s="38"/>
    </row>
    <row r="354" spans="6:8" s="32" customFormat="1">
      <c r="F354" s="37"/>
      <c r="H354" s="38"/>
    </row>
    <row r="355" spans="6:8" s="32" customFormat="1">
      <c r="F355" s="37"/>
      <c r="H355" s="38"/>
    </row>
    <row r="356" spans="6:8" s="32" customFormat="1">
      <c r="F356" s="37"/>
      <c r="H356" s="38"/>
    </row>
    <row r="357" spans="6:8" s="32" customFormat="1">
      <c r="F357" s="37"/>
      <c r="H357" s="38"/>
    </row>
    <row r="358" spans="6:8" s="32" customFormat="1">
      <c r="F358" s="37"/>
      <c r="H358" s="38"/>
    </row>
    <row r="359" spans="6:8" s="32" customFormat="1">
      <c r="F359" s="37"/>
      <c r="H359" s="38"/>
    </row>
    <row r="360" spans="6:8" s="32" customFormat="1">
      <c r="F360" s="37"/>
      <c r="H360" s="38"/>
    </row>
    <row r="361" spans="6:8" s="32" customFormat="1">
      <c r="F361" s="37"/>
      <c r="H361" s="38"/>
    </row>
    <row r="362" spans="6:8" s="32" customFormat="1">
      <c r="F362" s="37"/>
      <c r="H362" s="38"/>
    </row>
    <row r="363" spans="6:8" s="32" customFormat="1">
      <c r="F363" s="37"/>
      <c r="H363" s="38"/>
    </row>
    <row r="364" spans="6:8" s="32" customFormat="1">
      <c r="F364" s="37"/>
      <c r="H364" s="38"/>
    </row>
    <row r="365" spans="6:8" s="32" customFormat="1">
      <c r="F365" s="37"/>
      <c r="H365" s="38"/>
    </row>
    <row r="366" spans="6:8" s="32" customFormat="1">
      <c r="F366" s="37"/>
      <c r="H366" s="38"/>
    </row>
    <row r="367" spans="6:8" s="32" customFormat="1">
      <c r="F367" s="37"/>
      <c r="H367" s="38"/>
    </row>
    <row r="368" spans="6:8" s="32" customFormat="1">
      <c r="F368" s="37"/>
      <c r="H368" s="38"/>
    </row>
    <row r="369" spans="6:8" s="32" customFormat="1">
      <c r="F369" s="37"/>
      <c r="H369" s="38"/>
    </row>
    <row r="370" spans="6:8" s="32" customFormat="1">
      <c r="F370" s="37"/>
      <c r="H370" s="38"/>
    </row>
    <row r="371" spans="6:8" s="32" customFormat="1">
      <c r="F371" s="37"/>
      <c r="H371" s="38"/>
    </row>
    <row r="372" spans="6:8" s="32" customFormat="1">
      <c r="F372" s="37"/>
      <c r="H372" s="38"/>
    </row>
    <row r="373" spans="6:8" s="32" customFormat="1">
      <c r="F373" s="37"/>
      <c r="H373" s="38"/>
    </row>
    <row r="374" spans="6:8" s="32" customFormat="1">
      <c r="F374" s="37"/>
      <c r="H374" s="38"/>
    </row>
    <row r="375" spans="6:8" s="32" customFormat="1">
      <c r="F375" s="37"/>
      <c r="H375" s="38"/>
    </row>
    <row r="376" spans="6:8" s="32" customFormat="1">
      <c r="F376" s="37"/>
      <c r="H376" s="38"/>
    </row>
    <row r="377" spans="6:8" s="32" customFormat="1">
      <c r="F377" s="37"/>
      <c r="H377" s="38"/>
    </row>
    <row r="378" spans="6:8" s="32" customFormat="1">
      <c r="F378" s="37"/>
      <c r="H378" s="38"/>
    </row>
    <row r="379" spans="6:8" s="32" customFormat="1">
      <c r="F379" s="37"/>
      <c r="H379" s="38"/>
    </row>
    <row r="380" spans="6:8" s="32" customFormat="1">
      <c r="F380" s="37"/>
      <c r="H380" s="38"/>
    </row>
    <row r="381" spans="6:8" s="32" customFormat="1">
      <c r="F381" s="37"/>
      <c r="H381" s="38"/>
    </row>
    <row r="382" spans="6:8" s="32" customFormat="1">
      <c r="F382" s="37"/>
      <c r="H382" s="38"/>
    </row>
    <row r="383" spans="6:8" s="32" customFormat="1">
      <c r="F383" s="37"/>
      <c r="H383" s="38"/>
    </row>
    <row r="384" spans="6:8" s="32" customFormat="1">
      <c r="F384" s="37"/>
      <c r="H384" s="38"/>
    </row>
    <row r="385" spans="6:8" s="32" customFormat="1">
      <c r="F385" s="37"/>
      <c r="H385" s="38"/>
    </row>
    <row r="386" spans="6:8" s="32" customFormat="1">
      <c r="F386" s="37"/>
      <c r="H386" s="38"/>
    </row>
    <row r="387" spans="6:8" s="32" customFormat="1">
      <c r="F387" s="37"/>
      <c r="H387" s="38"/>
    </row>
    <row r="388" spans="6:8" s="32" customFormat="1">
      <c r="F388" s="37"/>
      <c r="H388" s="38"/>
    </row>
    <row r="389" spans="6:8" s="32" customFormat="1">
      <c r="F389" s="37"/>
      <c r="H389" s="38"/>
    </row>
    <row r="390" spans="6:8" s="32" customFormat="1">
      <c r="F390" s="37"/>
      <c r="H390" s="38"/>
    </row>
    <row r="391" spans="6:8" s="32" customFormat="1">
      <c r="F391" s="37"/>
      <c r="H391" s="38"/>
    </row>
    <row r="392" spans="6:8" s="32" customFormat="1">
      <c r="F392" s="37"/>
      <c r="H392" s="38"/>
    </row>
    <row r="393" spans="6:8" s="32" customFormat="1">
      <c r="F393" s="37"/>
      <c r="H393" s="38"/>
    </row>
    <row r="394" spans="6:8" s="32" customFormat="1">
      <c r="F394" s="37"/>
      <c r="H394" s="38"/>
    </row>
    <row r="395" spans="6:8" s="32" customFormat="1">
      <c r="F395" s="37"/>
      <c r="H395" s="38"/>
    </row>
    <row r="396" spans="6:8" s="32" customFormat="1">
      <c r="F396" s="37"/>
      <c r="H396" s="38"/>
    </row>
    <row r="397" spans="6:8" s="32" customFormat="1">
      <c r="F397" s="37"/>
      <c r="H397" s="38"/>
    </row>
    <row r="398" spans="6:8" s="32" customFormat="1">
      <c r="F398" s="37"/>
      <c r="H398" s="38"/>
    </row>
    <row r="399" spans="6:8" s="32" customFormat="1">
      <c r="F399" s="37"/>
      <c r="H399" s="38"/>
    </row>
    <row r="400" spans="6:8" s="32" customFormat="1">
      <c r="F400" s="37"/>
      <c r="H400" s="38"/>
    </row>
    <row r="401" spans="6:8" s="32" customFormat="1">
      <c r="F401" s="37"/>
      <c r="H401" s="38"/>
    </row>
    <row r="402" spans="6:8" s="32" customFormat="1">
      <c r="F402" s="37"/>
      <c r="H402" s="38"/>
    </row>
    <row r="403" spans="6:8" s="32" customFormat="1">
      <c r="F403" s="37"/>
      <c r="H403" s="38"/>
    </row>
    <row r="404" spans="6:8" s="32" customFormat="1">
      <c r="F404" s="37"/>
      <c r="H404" s="38"/>
    </row>
    <row r="405" spans="6:8" s="32" customFormat="1">
      <c r="F405" s="37"/>
      <c r="H405" s="38"/>
    </row>
    <row r="406" spans="6:8" s="32" customFormat="1">
      <c r="F406" s="37"/>
      <c r="H406" s="38"/>
    </row>
    <row r="407" spans="6:8" s="32" customFormat="1">
      <c r="F407" s="37"/>
      <c r="H407" s="38"/>
    </row>
    <row r="408" spans="6:8" s="32" customFormat="1">
      <c r="F408" s="37"/>
      <c r="H408" s="38"/>
    </row>
    <row r="409" spans="6:8" s="32" customFormat="1">
      <c r="F409" s="37"/>
      <c r="H409" s="38"/>
    </row>
    <row r="410" spans="6:8" s="32" customFormat="1">
      <c r="F410" s="37"/>
      <c r="H410" s="38"/>
    </row>
    <row r="411" spans="6:8" s="32" customFormat="1">
      <c r="F411" s="37"/>
      <c r="H411" s="38"/>
    </row>
    <row r="412" spans="6:8" s="32" customFormat="1">
      <c r="F412" s="37"/>
      <c r="H412" s="38"/>
    </row>
    <row r="413" spans="6:8" s="32" customFormat="1">
      <c r="F413" s="37"/>
      <c r="H413" s="38"/>
    </row>
    <row r="414" spans="6:8" s="32" customFormat="1">
      <c r="F414" s="37"/>
      <c r="H414" s="38"/>
    </row>
    <row r="415" spans="6:8" s="32" customFormat="1">
      <c r="F415" s="37"/>
      <c r="H415" s="38"/>
    </row>
    <row r="416" spans="6:8" s="32" customFormat="1">
      <c r="F416" s="37"/>
      <c r="H416" s="38"/>
    </row>
    <row r="417" spans="6:8" s="32" customFormat="1">
      <c r="F417" s="37"/>
      <c r="H417" s="38"/>
    </row>
    <row r="418" spans="6:8" s="32" customFormat="1">
      <c r="F418" s="37"/>
      <c r="H418" s="38"/>
    </row>
    <row r="419" spans="6:8" s="32" customFormat="1">
      <c r="F419" s="37"/>
      <c r="H419" s="38"/>
    </row>
    <row r="420" spans="6:8" s="32" customFormat="1">
      <c r="F420" s="37"/>
      <c r="H420" s="38"/>
    </row>
    <row r="421" spans="6:8" s="32" customFormat="1">
      <c r="F421" s="37"/>
      <c r="H421" s="38"/>
    </row>
    <row r="422" spans="6:8" s="32" customFormat="1">
      <c r="F422" s="37"/>
      <c r="H422" s="38"/>
    </row>
    <row r="423" spans="6:8" s="32" customFormat="1">
      <c r="F423" s="37"/>
      <c r="H423" s="38"/>
    </row>
    <row r="424" spans="6:8" s="32" customFormat="1">
      <c r="F424" s="37"/>
      <c r="H424" s="38"/>
    </row>
    <row r="425" spans="6:8" s="32" customFormat="1">
      <c r="F425" s="37"/>
      <c r="H425" s="38"/>
    </row>
    <row r="426" spans="6:8" s="32" customFormat="1">
      <c r="F426" s="37"/>
      <c r="H426" s="38"/>
    </row>
    <row r="427" spans="6:8" s="32" customFormat="1">
      <c r="F427" s="37"/>
      <c r="H427" s="38"/>
    </row>
    <row r="428" spans="6:8" s="32" customFormat="1">
      <c r="F428" s="37"/>
      <c r="H428" s="38"/>
    </row>
    <row r="429" spans="6:8" s="32" customFormat="1">
      <c r="F429" s="37"/>
      <c r="H429" s="38"/>
    </row>
    <row r="430" spans="6:8" s="32" customFormat="1">
      <c r="F430" s="37"/>
      <c r="H430" s="38"/>
    </row>
    <row r="431" spans="6:8" s="32" customFormat="1">
      <c r="F431" s="37"/>
      <c r="H431" s="38"/>
    </row>
    <row r="432" spans="6:8" s="32" customFormat="1">
      <c r="F432" s="37"/>
      <c r="H432" s="38"/>
    </row>
    <row r="433" spans="6:8" s="32" customFormat="1">
      <c r="F433" s="37"/>
      <c r="H433" s="38"/>
    </row>
    <row r="434" spans="6:8" s="32" customFormat="1">
      <c r="F434" s="37"/>
      <c r="H434" s="38"/>
    </row>
    <row r="435" spans="6:8" s="32" customFormat="1">
      <c r="F435" s="37"/>
      <c r="H435" s="38"/>
    </row>
    <row r="436" spans="6:8" s="32" customFormat="1">
      <c r="F436" s="37"/>
      <c r="H436" s="38"/>
    </row>
    <row r="437" spans="6:8" s="32" customFormat="1">
      <c r="F437" s="37"/>
      <c r="H437" s="38"/>
    </row>
    <row r="438" spans="6:8" s="32" customFormat="1">
      <c r="F438" s="37"/>
      <c r="H438" s="38"/>
    </row>
    <row r="439" spans="6:8" s="32" customFormat="1">
      <c r="F439" s="37"/>
      <c r="H439" s="38"/>
    </row>
    <row r="440" spans="6:8" s="32" customFormat="1">
      <c r="F440" s="37"/>
      <c r="H440" s="38"/>
    </row>
    <row r="441" spans="6:8" s="32" customFormat="1">
      <c r="F441" s="37"/>
      <c r="H441" s="38"/>
    </row>
    <row r="442" spans="6:8" s="32" customFormat="1">
      <c r="F442" s="37"/>
      <c r="H442" s="38"/>
    </row>
    <row r="443" spans="6:8" s="32" customFormat="1">
      <c r="F443" s="37"/>
      <c r="H443" s="38"/>
    </row>
    <row r="444" spans="6:8" s="32" customFormat="1">
      <c r="F444" s="37"/>
      <c r="H444" s="38"/>
    </row>
    <row r="445" spans="6:8" s="32" customFormat="1">
      <c r="F445" s="37"/>
      <c r="H445" s="38"/>
    </row>
    <row r="446" spans="6:8" s="32" customFormat="1">
      <c r="F446" s="37"/>
      <c r="H446" s="38"/>
    </row>
    <row r="447" spans="6:8" s="32" customFormat="1">
      <c r="F447" s="37"/>
      <c r="H447" s="38"/>
    </row>
    <row r="448" spans="6:8" s="32" customFormat="1">
      <c r="F448" s="37"/>
      <c r="H448" s="38"/>
    </row>
    <row r="449" spans="6:8" s="32" customFormat="1">
      <c r="F449" s="37"/>
      <c r="H449" s="38"/>
    </row>
    <row r="450" spans="6:8" s="32" customFormat="1">
      <c r="F450" s="37"/>
      <c r="H450" s="38"/>
    </row>
    <row r="451" spans="6:8" s="32" customFormat="1">
      <c r="F451" s="37"/>
      <c r="H451" s="38"/>
    </row>
    <row r="452" spans="6:8" s="32" customFormat="1">
      <c r="F452" s="37"/>
      <c r="H452" s="38"/>
    </row>
    <row r="453" spans="6:8" s="32" customFormat="1">
      <c r="F453" s="37"/>
      <c r="H453" s="38"/>
    </row>
    <row r="454" spans="6:8" s="32" customFormat="1">
      <c r="F454" s="37"/>
      <c r="H454" s="38"/>
    </row>
    <row r="455" spans="6:8" s="32" customFormat="1">
      <c r="F455" s="37"/>
      <c r="H455" s="38"/>
    </row>
    <row r="456" spans="6:8" s="32" customFormat="1">
      <c r="F456" s="37"/>
      <c r="H456" s="38"/>
    </row>
    <row r="457" spans="6:8" s="32" customFormat="1">
      <c r="F457" s="37"/>
      <c r="H457" s="38"/>
    </row>
    <row r="458" spans="6:8" s="32" customFormat="1">
      <c r="F458" s="37"/>
      <c r="H458" s="38"/>
    </row>
    <row r="459" spans="6:8" s="32" customFormat="1">
      <c r="F459" s="37"/>
      <c r="H459" s="38"/>
    </row>
    <row r="460" spans="6:8" s="32" customFormat="1">
      <c r="F460" s="37"/>
      <c r="H460" s="38"/>
    </row>
    <row r="461" spans="6:8" s="32" customFormat="1">
      <c r="F461" s="37"/>
      <c r="H461" s="38"/>
    </row>
    <row r="462" spans="6:8" s="32" customFormat="1">
      <c r="F462" s="37"/>
      <c r="H462" s="38"/>
    </row>
    <row r="463" spans="6:8" s="32" customFormat="1">
      <c r="F463" s="37"/>
      <c r="H463" s="38"/>
    </row>
    <row r="464" spans="6:8" s="32" customFormat="1">
      <c r="F464" s="37"/>
      <c r="H464" s="38"/>
    </row>
    <row r="465" spans="6:8" s="32" customFormat="1">
      <c r="F465" s="37"/>
      <c r="H465" s="38"/>
    </row>
    <row r="466" spans="6:8" s="32" customFormat="1">
      <c r="F466" s="37"/>
      <c r="H466" s="38"/>
    </row>
    <row r="467" spans="6:8" s="32" customFormat="1">
      <c r="F467" s="37"/>
      <c r="H467" s="38"/>
    </row>
    <row r="468" spans="6:8" s="32" customFormat="1">
      <c r="F468" s="37"/>
      <c r="H468" s="38"/>
    </row>
    <row r="469" spans="6:8" s="32" customFormat="1">
      <c r="F469" s="37"/>
      <c r="H469" s="38"/>
    </row>
    <row r="470" spans="6:8" s="32" customFormat="1">
      <c r="F470" s="37"/>
      <c r="H470" s="38"/>
    </row>
    <row r="471" spans="6:8" s="32" customFormat="1">
      <c r="F471" s="37"/>
      <c r="H471" s="38"/>
    </row>
    <row r="472" spans="6:8" s="32" customFormat="1">
      <c r="F472" s="37"/>
      <c r="H472" s="38"/>
    </row>
    <row r="473" spans="6:8" s="32" customFormat="1">
      <c r="F473" s="37"/>
      <c r="H473" s="38"/>
    </row>
    <row r="474" spans="6:8" s="32" customFormat="1">
      <c r="F474" s="37"/>
      <c r="H474" s="38"/>
    </row>
    <row r="475" spans="6:8" s="32" customFormat="1">
      <c r="F475" s="37"/>
      <c r="H475" s="38"/>
    </row>
    <row r="476" spans="6:8" s="32" customFormat="1">
      <c r="F476" s="37"/>
      <c r="H476" s="38"/>
    </row>
    <row r="477" spans="6:8" s="32" customFormat="1">
      <c r="F477" s="37"/>
      <c r="H477" s="38"/>
    </row>
    <row r="478" spans="6:8" s="32" customFormat="1">
      <c r="F478" s="37"/>
      <c r="H478" s="38"/>
    </row>
    <row r="479" spans="6:8" s="32" customFormat="1">
      <c r="F479" s="37"/>
      <c r="H479" s="38"/>
    </row>
    <row r="480" spans="6:8" s="32" customFormat="1">
      <c r="F480" s="37"/>
      <c r="H480" s="38"/>
    </row>
    <row r="481" spans="6:8" s="32" customFormat="1">
      <c r="F481" s="37"/>
      <c r="H481" s="38"/>
    </row>
    <row r="482" spans="6:8" s="32" customFormat="1">
      <c r="F482" s="37"/>
      <c r="H482" s="38"/>
    </row>
    <row r="483" spans="6:8" s="32" customFormat="1">
      <c r="F483" s="37"/>
      <c r="H483" s="38"/>
    </row>
    <row r="484" spans="6:8" s="32" customFormat="1">
      <c r="F484" s="37"/>
      <c r="H484" s="38"/>
    </row>
    <row r="485" spans="6:8" s="32" customFormat="1">
      <c r="F485" s="37"/>
      <c r="H485" s="38"/>
    </row>
    <row r="486" spans="6:8" s="32" customFormat="1">
      <c r="F486" s="37"/>
      <c r="H486" s="38"/>
    </row>
    <row r="487" spans="6:8" s="32" customFormat="1">
      <c r="F487" s="37"/>
      <c r="H487" s="38"/>
    </row>
    <row r="488" spans="6:8" s="32" customFormat="1">
      <c r="F488" s="37"/>
      <c r="H488" s="38"/>
    </row>
    <row r="489" spans="6:8" s="32" customFormat="1">
      <c r="F489" s="37"/>
      <c r="H489" s="38"/>
    </row>
    <row r="490" spans="6:8" s="32" customFormat="1">
      <c r="F490" s="37"/>
      <c r="H490" s="38"/>
    </row>
    <row r="491" spans="6:8" s="32" customFormat="1">
      <c r="F491" s="37"/>
      <c r="H491" s="38"/>
    </row>
    <row r="492" spans="6:8" s="32" customFormat="1">
      <c r="F492" s="37"/>
      <c r="H492" s="38"/>
    </row>
    <row r="493" spans="6:8" s="32" customFormat="1">
      <c r="F493" s="37"/>
      <c r="H493" s="38"/>
    </row>
    <row r="494" spans="6:8" s="32" customFormat="1">
      <c r="F494" s="37"/>
      <c r="H494" s="38"/>
    </row>
    <row r="495" spans="6:8" s="32" customFormat="1">
      <c r="F495" s="37"/>
      <c r="H495" s="38"/>
    </row>
    <row r="496" spans="6:8" s="32" customFormat="1">
      <c r="F496" s="37"/>
      <c r="H496" s="38"/>
    </row>
    <row r="497" spans="6:8" s="32" customFormat="1">
      <c r="F497" s="37"/>
      <c r="H497" s="38"/>
    </row>
    <row r="498" spans="6:8" s="32" customFormat="1">
      <c r="F498" s="37"/>
      <c r="H498" s="38"/>
    </row>
    <row r="499" spans="6:8" s="32" customFormat="1">
      <c r="F499" s="37"/>
      <c r="H499" s="38"/>
    </row>
    <row r="500" spans="6:8" s="32" customFormat="1">
      <c r="F500" s="37"/>
      <c r="H500" s="38"/>
    </row>
    <row r="501" spans="6:8" s="32" customFormat="1">
      <c r="F501" s="37"/>
      <c r="H501" s="38"/>
    </row>
    <row r="502" spans="6:8" s="32" customFormat="1">
      <c r="F502" s="37"/>
      <c r="H502" s="38"/>
    </row>
    <row r="503" spans="6:8" s="32" customFormat="1">
      <c r="F503" s="37"/>
      <c r="H503" s="38"/>
    </row>
    <row r="504" spans="6:8" s="32" customFormat="1">
      <c r="F504" s="37"/>
      <c r="H504" s="38"/>
    </row>
    <row r="505" spans="6:8" s="32" customFormat="1">
      <c r="F505" s="37"/>
      <c r="H505" s="38"/>
    </row>
    <row r="506" spans="6:8" s="32" customFormat="1">
      <c r="F506" s="37"/>
      <c r="H506" s="38"/>
    </row>
    <row r="507" spans="6:8" s="32" customFormat="1">
      <c r="F507" s="37"/>
      <c r="H507" s="38"/>
    </row>
    <row r="508" spans="6:8" s="32" customFormat="1">
      <c r="F508" s="37"/>
      <c r="H508" s="38"/>
    </row>
    <row r="509" spans="6:8" s="32" customFormat="1">
      <c r="F509" s="37"/>
      <c r="H509" s="38"/>
    </row>
    <row r="510" spans="6:8" s="32" customFormat="1">
      <c r="F510" s="37"/>
      <c r="H510" s="38"/>
    </row>
    <row r="511" spans="6:8" s="32" customFormat="1">
      <c r="F511" s="37"/>
      <c r="H511" s="38"/>
    </row>
    <row r="512" spans="6:8" s="32" customFormat="1">
      <c r="F512" s="37"/>
      <c r="H512" s="38"/>
    </row>
    <row r="513" spans="6:8" s="32" customFormat="1">
      <c r="F513" s="37"/>
      <c r="H513" s="38"/>
    </row>
    <row r="514" spans="6:8" s="32" customFormat="1">
      <c r="F514" s="37"/>
      <c r="H514" s="38"/>
    </row>
    <row r="515" spans="6:8" s="32" customFormat="1">
      <c r="F515" s="37"/>
      <c r="H515" s="38"/>
    </row>
    <row r="516" spans="6:8" s="32" customFormat="1">
      <c r="F516" s="37"/>
      <c r="H516" s="38"/>
    </row>
    <row r="517" spans="6:8" s="32" customFormat="1">
      <c r="F517" s="37"/>
      <c r="H517" s="38"/>
    </row>
    <row r="518" spans="6:8" s="32" customFormat="1">
      <c r="F518" s="37"/>
      <c r="H518" s="38"/>
    </row>
    <row r="519" spans="6:8" s="32" customFormat="1">
      <c r="F519" s="37"/>
      <c r="H519" s="38"/>
    </row>
    <row r="520" spans="6:8" s="32" customFormat="1">
      <c r="F520" s="37"/>
      <c r="H520" s="38"/>
    </row>
    <row r="521" spans="6:8" s="32" customFormat="1">
      <c r="F521" s="37"/>
      <c r="H521" s="38"/>
    </row>
    <row r="522" spans="6:8" s="32" customFormat="1">
      <c r="F522" s="37"/>
      <c r="H522" s="38"/>
    </row>
    <row r="523" spans="6:8" s="32" customFormat="1">
      <c r="F523" s="37"/>
      <c r="H523" s="38"/>
    </row>
    <row r="524" spans="6:8" s="32" customFormat="1">
      <c r="F524" s="37"/>
      <c r="H524" s="38"/>
    </row>
    <row r="525" spans="6:8" s="32" customFormat="1">
      <c r="F525" s="37"/>
      <c r="H525" s="38"/>
    </row>
    <row r="526" spans="6:8" s="32" customFormat="1">
      <c r="F526" s="37"/>
      <c r="H526" s="38"/>
    </row>
    <row r="527" spans="6:8" s="32" customFormat="1">
      <c r="F527" s="37"/>
      <c r="H527" s="38"/>
    </row>
    <row r="528" spans="6:8" s="32" customFormat="1">
      <c r="F528" s="37"/>
      <c r="H528" s="38"/>
    </row>
    <row r="529" spans="6:8" s="32" customFormat="1">
      <c r="F529" s="37"/>
      <c r="H529" s="38"/>
    </row>
    <row r="530" spans="6:8" s="32" customFormat="1">
      <c r="F530" s="37"/>
      <c r="H530" s="38"/>
    </row>
    <row r="531" spans="6:8" s="32" customFormat="1">
      <c r="F531" s="37"/>
      <c r="H531" s="38"/>
    </row>
    <row r="532" spans="6:8" s="32" customFormat="1">
      <c r="F532" s="37"/>
      <c r="H532" s="38"/>
    </row>
    <row r="533" spans="6:8" s="32" customFormat="1">
      <c r="F533" s="37"/>
      <c r="H533" s="38"/>
    </row>
    <row r="534" spans="6:8" s="32" customFormat="1">
      <c r="F534" s="37"/>
      <c r="H534" s="38"/>
    </row>
    <row r="535" spans="6:8" s="32" customFormat="1">
      <c r="F535" s="37"/>
      <c r="H535" s="38"/>
    </row>
    <row r="536" spans="6:8" s="32" customFormat="1">
      <c r="F536" s="37"/>
      <c r="H536" s="38"/>
    </row>
    <row r="537" spans="6:8" s="32" customFormat="1">
      <c r="F537" s="37"/>
      <c r="H537" s="38"/>
    </row>
    <row r="538" spans="6:8" s="32" customFormat="1">
      <c r="F538" s="37"/>
      <c r="H538" s="38"/>
    </row>
    <row r="539" spans="6:8" s="32" customFormat="1">
      <c r="F539" s="37"/>
      <c r="H539" s="38"/>
    </row>
    <row r="540" spans="6:8" s="32" customFormat="1">
      <c r="F540" s="37"/>
      <c r="H540" s="38"/>
    </row>
    <row r="541" spans="6:8" s="32" customFormat="1">
      <c r="F541" s="37"/>
      <c r="H541" s="38"/>
    </row>
    <row r="542" spans="6:8" s="32" customFormat="1">
      <c r="F542" s="37"/>
      <c r="H542" s="38"/>
    </row>
    <row r="543" spans="6:8" s="32" customFormat="1">
      <c r="F543" s="37"/>
      <c r="H543" s="38"/>
    </row>
    <row r="544" spans="6:8" s="32" customFormat="1">
      <c r="F544" s="37"/>
      <c r="H544" s="38"/>
    </row>
    <row r="545" spans="6:8" s="32" customFormat="1">
      <c r="F545" s="37"/>
      <c r="H545" s="38"/>
    </row>
    <row r="546" spans="6:8" s="32" customFormat="1">
      <c r="F546" s="37"/>
      <c r="H546" s="38"/>
    </row>
    <row r="547" spans="6:8" s="32" customFormat="1">
      <c r="F547" s="37"/>
      <c r="H547" s="38"/>
    </row>
    <row r="548" spans="6:8" s="32" customFormat="1">
      <c r="F548" s="37"/>
      <c r="H548" s="38"/>
    </row>
    <row r="549" spans="6:8" s="32" customFormat="1">
      <c r="F549" s="37"/>
      <c r="H549" s="38"/>
    </row>
    <row r="550" spans="6:8" s="32" customFormat="1">
      <c r="F550" s="37"/>
      <c r="H550" s="38"/>
    </row>
    <row r="551" spans="6:8" s="32" customFormat="1">
      <c r="F551" s="37"/>
      <c r="H551" s="38"/>
    </row>
    <row r="552" spans="6:8" s="32" customFormat="1">
      <c r="F552" s="37"/>
      <c r="H552" s="38"/>
    </row>
    <row r="553" spans="6:8" s="32" customFormat="1">
      <c r="F553" s="37"/>
      <c r="H553" s="38"/>
    </row>
    <row r="554" spans="6:8" s="32" customFormat="1">
      <c r="F554" s="37"/>
      <c r="H554" s="38"/>
    </row>
    <row r="555" spans="6:8" s="32" customFormat="1">
      <c r="F555" s="37"/>
      <c r="H555" s="38"/>
    </row>
    <row r="556" spans="6:8" s="32" customFormat="1">
      <c r="F556" s="37"/>
      <c r="H556" s="38"/>
    </row>
    <row r="557" spans="6:8" s="32" customFormat="1">
      <c r="F557" s="37"/>
      <c r="H557" s="38"/>
    </row>
    <row r="558" spans="6:8" s="32" customFormat="1">
      <c r="F558" s="37"/>
      <c r="H558" s="38"/>
    </row>
    <row r="559" spans="6:8" s="32" customFormat="1">
      <c r="F559" s="37"/>
      <c r="H559" s="38"/>
    </row>
    <row r="560" spans="6:8" s="32" customFormat="1">
      <c r="F560" s="37"/>
      <c r="H560" s="38"/>
    </row>
    <row r="561" spans="6:8" s="32" customFormat="1">
      <c r="F561" s="37"/>
      <c r="H561" s="38"/>
    </row>
    <row r="562" spans="6:8" s="32" customFormat="1">
      <c r="F562" s="37"/>
      <c r="H562" s="38"/>
    </row>
    <row r="563" spans="6:8" s="32" customFormat="1">
      <c r="F563" s="37"/>
      <c r="H563" s="38"/>
    </row>
    <row r="564" spans="6:8" s="32" customFormat="1">
      <c r="F564" s="37"/>
      <c r="H564" s="38"/>
    </row>
    <row r="565" spans="6:8" s="32" customFormat="1">
      <c r="F565" s="37"/>
      <c r="H565" s="38"/>
    </row>
    <row r="566" spans="6:8" s="32" customFormat="1">
      <c r="F566" s="37"/>
      <c r="H566" s="38"/>
    </row>
    <row r="567" spans="6:8" s="32" customFormat="1">
      <c r="F567" s="37"/>
      <c r="H567" s="38"/>
    </row>
    <row r="568" spans="6:8" s="32" customFormat="1">
      <c r="F568" s="37"/>
      <c r="H568" s="38"/>
    </row>
    <row r="569" spans="6:8" s="32" customFormat="1">
      <c r="F569" s="37"/>
      <c r="H569" s="38"/>
    </row>
    <row r="570" spans="6:8" s="32" customFormat="1">
      <c r="F570" s="37"/>
      <c r="H570" s="38"/>
    </row>
    <row r="571" spans="6:8" s="32" customFormat="1">
      <c r="F571" s="37"/>
      <c r="H571" s="38"/>
    </row>
    <row r="572" spans="6:8" s="32" customFormat="1">
      <c r="F572" s="37"/>
      <c r="H572" s="38"/>
    </row>
    <row r="573" spans="6:8" s="32" customFormat="1">
      <c r="F573" s="37"/>
      <c r="H573" s="38"/>
    </row>
    <row r="574" spans="6:8" s="32" customFormat="1">
      <c r="F574" s="37"/>
      <c r="H574" s="38"/>
    </row>
    <row r="575" spans="6:8" s="32" customFormat="1">
      <c r="F575" s="37"/>
      <c r="H575" s="38"/>
    </row>
    <row r="576" spans="6:8" s="32" customFormat="1">
      <c r="F576" s="37"/>
      <c r="H576" s="38"/>
    </row>
    <row r="577" spans="6:8" s="32" customFormat="1">
      <c r="F577" s="37"/>
      <c r="H577" s="38"/>
    </row>
    <row r="578" spans="6:8" s="32" customFormat="1">
      <c r="F578" s="37"/>
      <c r="H578" s="38"/>
    </row>
    <row r="579" spans="6:8" s="32" customFormat="1">
      <c r="F579" s="37"/>
      <c r="H579" s="38"/>
    </row>
    <row r="580" spans="6:8" s="32" customFormat="1">
      <c r="F580" s="37"/>
      <c r="H580" s="38"/>
    </row>
    <row r="581" spans="6:8" s="32" customFormat="1">
      <c r="F581" s="37"/>
      <c r="H581" s="38"/>
    </row>
    <row r="582" spans="6:8" s="32" customFormat="1">
      <c r="F582" s="37"/>
      <c r="H582" s="38"/>
    </row>
    <row r="583" spans="6:8" s="32" customFormat="1">
      <c r="F583" s="37"/>
      <c r="H583" s="38"/>
    </row>
    <row r="584" spans="6:8" s="32" customFormat="1">
      <c r="F584" s="37"/>
      <c r="H584" s="38"/>
    </row>
    <row r="585" spans="6:8" s="32" customFormat="1">
      <c r="F585" s="37"/>
      <c r="H585" s="38"/>
    </row>
    <row r="586" spans="6:8" s="32" customFormat="1">
      <c r="F586" s="37"/>
      <c r="H586" s="38"/>
    </row>
    <row r="587" spans="6:8" s="32" customFormat="1">
      <c r="F587" s="37"/>
      <c r="H587" s="38"/>
    </row>
    <row r="588" spans="6:8" s="32" customFormat="1">
      <c r="F588" s="37"/>
      <c r="H588" s="38"/>
    </row>
    <row r="589" spans="6:8" s="32" customFormat="1">
      <c r="F589" s="37"/>
      <c r="H589" s="38"/>
    </row>
    <row r="590" spans="6:8" s="32" customFormat="1">
      <c r="F590" s="37"/>
      <c r="H590" s="38"/>
    </row>
    <row r="591" spans="6:8" s="32" customFormat="1">
      <c r="F591" s="37"/>
      <c r="H591" s="38"/>
    </row>
    <row r="592" spans="6:8" s="32" customFormat="1">
      <c r="F592" s="37"/>
      <c r="H592" s="38"/>
    </row>
    <row r="593" spans="6:8" s="32" customFormat="1">
      <c r="F593" s="37"/>
      <c r="H593" s="38"/>
    </row>
    <row r="594" spans="6:8" s="32" customFormat="1">
      <c r="F594" s="37"/>
      <c r="H594" s="38"/>
    </row>
    <row r="595" spans="6:8" s="32" customFormat="1">
      <c r="F595" s="37"/>
      <c r="H595" s="38"/>
    </row>
    <row r="596" spans="6:8" s="32" customFormat="1">
      <c r="F596" s="37"/>
      <c r="H596" s="38"/>
    </row>
    <row r="597" spans="6:8" s="32" customFormat="1">
      <c r="F597" s="37"/>
      <c r="H597" s="38"/>
    </row>
    <row r="598" spans="6:8" s="32" customFormat="1">
      <c r="F598" s="37"/>
      <c r="H598" s="38"/>
    </row>
    <row r="599" spans="6:8" s="32" customFormat="1">
      <c r="F599" s="37"/>
      <c r="H599" s="38"/>
    </row>
    <row r="600" spans="6:8" s="32" customFormat="1">
      <c r="F600" s="37"/>
      <c r="H600" s="38"/>
    </row>
    <row r="601" spans="6:8" s="32" customFormat="1">
      <c r="F601" s="37"/>
      <c r="H601" s="38"/>
    </row>
    <row r="602" spans="6:8" s="32" customFormat="1">
      <c r="F602" s="37"/>
      <c r="H602" s="38"/>
    </row>
    <row r="603" spans="6:8" s="32" customFormat="1">
      <c r="F603" s="37"/>
      <c r="H603" s="38"/>
    </row>
    <row r="604" spans="6:8" s="32" customFormat="1">
      <c r="F604" s="37"/>
      <c r="H604" s="38"/>
    </row>
    <row r="605" spans="6:8" s="32" customFormat="1">
      <c r="F605" s="37"/>
      <c r="H605" s="38"/>
    </row>
    <row r="606" spans="6:8" s="32" customFormat="1">
      <c r="F606" s="37"/>
      <c r="H606" s="38"/>
    </row>
    <row r="607" spans="6:8" s="32" customFormat="1">
      <c r="F607" s="37"/>
      <c r="H607" s="38"/>
    </row>
    <row r="608" spans="6:8" s="32" customFormat="1">
      <c r="F608" s="37"/>
      <c r="H608" s="38"/>
    </row>
    <row r="609" spans="6:8" s="32" customFormat="1">
      <c r="F609" s="37"/>
      <c r="H609" s="38"/>
    </row>
    <row r="610" spans="6:8" s="32" customFormat="1">
      <c r="F610" s="37"/>
      <c r="H610" s="38"/>
    </row>
    <row r="611" spans="6:8" s="32" customFormat="1">
      <c r="F611" s="37"/>
      <c r="H611" s="38"/>
    </row>
    <row r="612" spans="6:8" s="32" customFormat="1">
      <c r="F612" s="37"/>
      <c r="H612" s="38"/>
    </row>
    <row r="613" spans="6:8" s="32" customFormat="1">
      <c r="F613" s="37"/>
      <c r="H613" s="38"/>
    </row>
    <row r="614" spans="6:8" s="32" customFormat="1">
      <c r="F614" s="37"/>
      <c r="H614" s="38"/>
    </row>
    <row r="615" spans="6:8" s="32" customFormat="1">
      <c r="F615" s="37"/>
      <c r="H615" s="38"/>
    </row>
    <row r="616" spans="6:8" s="32" customFormat="1">
      <c r="F616" s="37"/>
      <c r="H616" s="38"/>
    </row>
    <row r="617" spans="6:8" s="32" customFormat="1">
      <c r="F617" s="37"/>
      <c r="H617" s="38"/>
    </row>
    <row r="618" spans="6:8" s="32" customFormat="1">
      <c r="F618" s="37"/>
      <c r="H618" s="38"/>
    </row>
    <row r="619" spans="6:8" s="32" customFormat="1">
      <c r="F619" s="37"/>
      <c r="H619" s="38"/>
    </row>
    <row r="620" spans="6:8" s="32" customFormat="1">
      <c r="F620" s="37"/>
      <c r="H620" s="38"/>
    </row>
    <row r="621" spans="6:8" s="32" customFormat="1">
      <c r="F621" s="37"/>
      <c r="H621" s="38"/>
    </row>
    <row r="622" spans="6:8" s="32" customFormat="1">
      <c r="F622" s="37"/>
      <c r="H622" s="38"/>
    </row>
    <row r="623" spans="6:8" s="32" customFormat="1">
      <c r="F623" s="37"/>
      <c r="H623" s="38"/>
    </row>
    <row r="624" spans="6:8" s="32" customFormat="1">
      <c r="F624" s="37"/>
      <c r="H624" s="38"/>
    </row>
    <row r="625" spans="6:8" s="32" customFormat="1">
      <c r="F625" s="37"/>
      <c r="H625" s="38"/>
    </row>
    <row r="626" spans="6:8" s="32" customFormat="1">
      <c r="F626" s="37"/>
      <c r="H626" s="38"/>
    </row>
    <row r="627" spans="6:8" s="32" customFormat="1">
      <c r="F627" s="37"/>
      <c r="H627" s="38"/>
    </row>
    <row r="628" spans="6:8" s="32" customFormat="1">
      <c r="F628" s="37"/>
      <c r="H628" s="38"/>
    </row>
    <row r="629" spans="6:8" s="32" customFormat="1">
      <c r="F629" s="37"/>
      <c r="H629" s="38"/>
    </row>
    <row r="630" spans="6:8" s="32" customFormat="1">
      <c r="F630" s="37"/>
      <c r="H630" s="38"/>
    </row>
    <row r="631" spans="6:8" s="32" customFormat="1">
      <c r="F631" s="37"/>
      <c r="H631" s="38"/>
    </row>
    <row r="632" spans="6:8" s="32" customFormat="1">
      <c r="F632" s="37"/>
      <c r="H632" s="38"/>
    </row>
    <row r="633" spans="6:8" s="32" customFormat="1">
      <c r="F633" s="37"/>
      <c r="H633" s="38"/>
    </row>
    <row r="634" spans="6:8" s="32" customFormat="1">
      <c r="F634" s="37"/>
      <c r="H634" s="38"/>
    </row>
    <row r="635" spans="6:8" s="32" customFormat="1">
      <c r="F635" s="37"/>
      <c r="H635" s="38"/>
    </row>
    <row r="636" spans="6:8" s="32" customFormat="1">
      <c r="F636" s="37"/>
      <c r="H636" s="38"/>
    </row>
    <row r="637" spans="6:8" s="32" customFormat="1">
      <c r="F637" s="37"/>
      <c r="H637" s="38"/>
    </row>
    <row r="638" spans="6:8" s="32" customFormat="1">
      <c r="F638" s="37"/>
      <c r="H638" s="38"/>
    </row>
    <row r="639" spans="6:8" s="32" customFormat="1">
      <c r="F639" s="37"/>
      <c r="H639" s="38"/>
    </row>
    <row r="640" spans="6:8" s="32" customFormat="1">
      <c r="F640" s="37"/>
      <c r="H640" s="38"/>
    </row>
    <row r="641" spans="6:8" s="32" customFormat="1">
      <c r="F641" s="37"/>
      <c r="H641" s="38"/>
    </row>
    <row r="642" spans="6:8" s="32" customFormat="1">
      <c r="F642" s="37"/>
      <c r="H642" s="38"/>
    </row>
    <row r="643" spans="6:8" s="32" customFormat="1">
      <c r="F643" s="37"/>
      <c r="H643" s="38"/>
    </row>
    <row r="644" spans="6:8" s="32" customFormat="1">
      <c r="F644" s="37"/>
      <c r="H644" s="38"/>
    </row>
    <row r="645" spans="6:8" s="32" customFormat="1">
      <c r="F645" s="37"/>
      <c r="H645" s="38"/>
    </row>
    <row r="646" spans="6:8" s="32" customFormat="1">
      <c r="F646" s="37"/>
      <c r="H646" s="38"/>
    </row>
    <row r="647" spans="6:8" s="32" customFormat="1">
      <c r="F647" s="37"/>
      <c r="H647" s="38"/>
    </row>
    <row r="648" spans="6:8" s="32" customFormat="1">
      <c r="F648" s="37"/>
      <c r="H648" s="38"/>
    </row>
    <row r="649" spans="6:8" s="32" customFormat="1">
      <c r="F649" s="37"/>
      <c r="H649" s="38"/>
    </row>
    <row r="650" spans="6:8" s="32" customFormat="1">
      <c r="F650" s="37"/>
      <c r="H650" s="38"/>
    </row>
    <row r="651" spans="6:8" s="32" customFormat="1">
      <c r="F651" s="37"/>
      <c r="H651" s="38"/>
    </row>
    <row r="652" spans="6:8" s="32" customFormat="1">
      <c r="F652" s="37"/>
      <c r="H652" s="38"/>
    </row>
    <row r="653" spans="6:8" s="32" customFormat="1">
      <c r="F653" s="37"/>
      <c r="H653" s="38"/>
    </row>
    <row r="654" spans="6:8" s="32" customFormat="1">
      <c r="F654" s="37"/>
      <c r="H654" s="38"/>
    </row>
    <row r="655" spans="6:8" s="32" customFormat="1">
      <c r="F655" s="37"/>
      <c r="H655" s="38"/>
    </row>
    <row r="656" spans="6:8" s="32" customFormat="1">
      <c r="F656" s="37"/>
      <c r="H656" s="38"/>
    </row>
    <row r="657" spans="6:8" s="32" customFormat="1">
      <c r="F657" s="37"/>
      <c r="H657" s="38"/>
    </row>
    <row r="658" spans="6:8" s="32" customFormat="1">
      <c r="F658" s="37"/>
      <c r="H658" s="38"/>
    </row>
    <row r="659" spans="6:8" s="32" customFormat="1">
      <c r="F659" s="37"/>
      <c r="H659" s="38"/>
    </row>
    <row r="660" spans="6:8" s="32" customFormat="1">
      <c r="F660" s="37"/>
      <c r="H660" s="38"/>
    </row>
    <row r="661" spans="6:8" s="32" customFormat="1">
      <c r="F661" s="37"/>
      <c r="H661" s="38"/>
    </row>
    <row r="662" spans="6:8" s="32" customFormat="1">
      <c r="F662" s="37"/>
      <c r="H662" s="38"/>
    </row>
    <row r="663" spans="6:8" s="32" customFormat="1">
      <c r="F663" s="37"/>
      <c r="H663" s="38"/>
    </row>
    <row r="664" spans="6:8" s="32" customFormat="1">
      <c r="F664" s="37"/>
      <c r="H664" s="38"/>
    </row>
    <row r="665" spans="6:8" s="32" customFormat="1">
      <c r="F665" s="37"/>
      <c r="H665" s="38"/>
    </row>
    <row r="666" spans="6:8" s="32" customFormat="1">
      <c r="F666" s="37"/>
      <c r="H666" s="38"/>
    </row>
    <row r="667" spans="6:8" s="32" customFormat="1">
      <c r="F667" s="37"/>
      <c r="H667" s="38"/>
    </row>
    <row r="668" spans="6:8" s="32" customFormat="1">
      <c r="F668" s="37"/>
      <c r="H668" s="38"/>
    </row>
    <row r="669" spans="6:8" s="32" customFormat="1">
      <c r="F669" s="37"/>
      <c r="H669" s="38"/>
    </row>
    <row r="670" spans="6:8" s="32" customFormat="1">
      <c r="F670" s="37"/>
      <c r="H670" s="38"/>
    </row>
    <row r="671" spans="6:8" s="32" customFormat="1">
      <c r="F671" s="37"/>
      <c r="H671" s="38"/>
    </row>
    <row r="672" spans="6:8" s="32" customFormat="1">
      <c r="F672" s="37"/>
      <c r="H672" s="38"/>
    </row>
    <row r="673" spans="6:8" s="32" customFormat="1">
      <c r="F673" s="37"/>
      <c r="H673" s="38"/>
    </row>
    <row r="674" spans="6:8" s="32" customFormat="1">
      <c r="F674" s="37"/>
      <c r="H674" s="38"/>
    </row>
    <row r="675" spans="6:8" s="32" customFormat="1">
      <c r="F675" s="37"/>
      <c r="H675" s="38"/>
    </row>
    <row r="676" spans="6:8" s="32" customFormat="1">
      <c r="F676" s="37"/>
      <c r="H676" s="38"/>
    </row>
    <row r="677" spans="6:8" s="32" customFormat="1">
      <c r="F677" s="37"/>
      <c r="H677" s="38"/>
    </row>
    <row r="678" spans="6:8" s="32" customFormat="1">
      <c r="F678" s="37"/>
      <c r="H678" s="38"/>
    </row>
    <row r="679" spans="6:8" s="32" customFormat="1">
      <c r="F679" s="37"/>
      <c r="H679" s="38"/>
    </row>
    <row r="680" spans="6:8" s="32" customFormat="1">
      <c r="F680" s="37"/>
      <c r="H680" s="38"/>
    </row>
    <row r="681" spans="6:8" s="32" customFormat="1">
      <c r="F681" s="37"/>
      <c r="H681" s="38"/>
    </row>
    <row r="682" spans="6:8" s="32" customFormat="1">
      <c r="F682" s="37"/>
      <c r="H682" s="38"/>
    </row>
    <row r="683" spans="6:8" s="32" customFormat="1">
      <c r="F683" s="37"/>
      <c r="H683" s="38"/>
    </row>
    <row r="684" spans="6:8" s="32" customFormat="1">
      <c r="F684" s="37"/>
      <c r="H684" s="38"/>
    </row>
    <row r="685" spans="6:8" s="32" customFormat="1">
      <c r="F685" s="37"/>
      <c r="H685" s="38"/>
    </row>
    <row r="686" spans="6:8" s="32" customFormat="1">
      <c r="F686" s="37"/>
      <c r="H686" s="38"/>
    </row>
    <row r="687" spans="6:8" s="32" customFormat="1">
      <c r="F687" s="37"/>
      <c r="H687" s="38"/>
    </row>
    <row r="688" spans="6:8" s="32" customFormat="1">
      <c r="F688" s="37"/>
      <c r="H688" s="38"/>
    </row>
    <row r="689" spans="6:8" s="32" customFormat="1">
      <c r="F689" s="37"/>
      <c r="H689" s="38"/>
    </row>
    <row r="690" spans="6:8" s="32" customFormat="1">
      <c r="F690" s="37"/>
      <c r="H690" s="38"/>
    </row>
    <row r="691" spans="6:8" s="32" customFormat="1">
      <c r="F691" s="37"/>
      <c r="H691" s="38"/>
    </row>
    <row r="692" spans="6:8" s="32" customFormat="1">
      <c r="F692" s="37"/>
      <c r="H692" s="38"/>
    </row>
    <row r="693" spans="6:8" s="32" customFormat="1">
      <c r="F693" s="37"/>
      <c r="H693" s="38"/>
    </row>
    <row r="694" spans="6:8" s="32" customFormat="1">
      <c r="F694" s="37"/>
      <c r="H694" s="38"/>
    </row>
    <row r="695" spans="6:8" s="32" customFormat="1">
      <c r="F695" s="37"/>
      <c r="H695" s="38"/>
    </row>
    <row r="696" spans="6:8" s="32" customFormat="1">
      <c r="F696" s="37"/>
      <c r="H696" s="38"/>
    </row>
    <row r="697" spans="6:8" s="32" customFormat="1">
      <c r="F697" s="37"/>
      <c r="H697" s="38"/>
    </row>
    <row r="698" spans="6:8" s="32" customFormat="1">
      <c r="F698" s="37"/>
      <c r="H698" s="38"/>
    </row>
    <row r="699" spans="6:8" s="32" customFormat="1">
      <c r="F699" s="37"/>
      <c r="H699" s="38"/>
    </row>
    <row r="700" spans="6:8" s="32" customFormat="1">
      <c r="F700" s="37"/>
      <c r="H700" s="38"/>
    </row>
    <row r="701" spans="6:8" s="32" customFormat="1">
      <c r="F701" s="37"/>
      <c r="H701" s="38"/>
    </row>
    <row r="702" spans="6:8" s="32" customFormat="1">
      <c r="F702" s="37"/>
      <c r="H702" s="38"/>
    </row>
    <row r="703" spans="6:8" s="32" customFormat="1">
      <c r="F703" s="37"/>
      <c r="H703" s="38"/>
    </row>
    <row r="704" spans="6:8" s="32" customFormat="1">
      <c r="F704" s="37"/>
      <c r="H704" s="38"/>
    </row>
    <row r="705" spans="6:8" s="32" customFormat="1">
      <c r="F705" s="37"/>
      <c r="H705" s="38"/>
    </row>
    <row r="706" spans="6:8" s="32" customFormat="1">
      <c r="F706" s="37"/>
      <c r="H706" s="38"/>
    </row>
    <row r="707" spans="6:8" s="32" customFormat="1">
      <c r="F707" s="37"/>
      <c r="H707" s="38"/>
    </row>
    <row r="708" spans="6:8" s="32" customFormat="1">
      <c r="F708" s="37"/>
      <c r="H708" s="38"/>
    </row>
    <row r="709" spans="6:8" s="32" customFormat="1">
      <c r="F709" s="37"/>
      <c r="H709" s="38"/>
    </row>
    <row r="710" spans="6:8" s="32" customFormat="1">
      <c r="F710" s="37"/>
      <c r="H710" s="38"/>
    </row>
    <row r="711" spans="6:8" s="32" customFormat="1">
      <c r="F711" s="37"/>
      <c r="H711" s="38"/>
    </row>
    <row r="712" spans="6:8" s="32" customFormat="1">
      <c r="F712" s="37"/>
      <c r="H712" s="38"/>
    </row>
    <row r="713" spans="6:8" s="32" customFormat="1">
      <c r="F713" s="37"/>
      <c r="H713" s="38"/>
    </row>
    <row r="714" spans="6:8" s="32" customFormat="1">
      <c r="F714" s="37"/>
      <c r="H714" s="38"/>
    </row>
    <row r="715" spans="6:8" s="32" customFormat="1">
      <c r="F715" s="37"/>
      <c r="H715" s="38"/>
    </row>
    <row r="716" spans="6:8" s="32" customFormat="1">
      <c r="F716" s="37"/>
      <c r="H716" s="38"/>
    </row>
    <row r="717" spans="6:8" s="32" customFormat="1">
      <c r="F717" s="37"/>
      <c r="H717" s="38"/>
    </row>
    <row r="718" spans="6:8" s="32" customFormat="1">
      <c r="F718" s="37"/>
      <c r="H718" s="38"/>
    </row>
    <row r="719" spans="6:8" s="32" customFormat="1">
      <c r="F719" s="37"/>
      <c r="H719" s="38"/>
    </row>
    <row r="720" spans="6:8" s="32" customFormat="1">
      <c r="F720" s="37"/>
      <c r="H720" s="38"/>
    </row>
    <row r="721" spans="6:8" s="32" customFormat="1">
      <c r="F721" s="37"/>
      <c r="H721" s="38"/>
    </row>
    <row r="722" spans="6:8" s="32" customFormat="1">
      <c r="F722" s="37"/>
      <c r="H722" s="38"/>
    </row>
    <row r="723" spans="6:8" s="32" customFormat="1">
      <c r="F723" s="37"/>
      <c r="H723" s="38"/>
    </row>
    <row r="724" spans="6:8" s="32" customFormat="1">
      <c r="F724" s="37"/>
      <c r="H724" s="38"/>
    </row>
    <row r="725" spans="6:8" s="32" customFormat="1">
      <c r="F725" s="37"/>
      <c r="H725" s="38"/>
    </row>
    <row r="726" spans="6:8" s="32" customFormat="1">
      <c r="F726" s="37"/>
      <c r="H726" s="38"/>
    </row>
    <row r="727" spans="6:8" s="32" customFormat="1">
      <c r="F727" s="37"/>
      <c r="H727" s="38"/>
    </row>
    <row r="728" spans="6:8" s="32" customFormat="1">
      <c r="F728" s="37"/>
      <c r="H728" s="38"/>
    </row>
    <row r="729" spans="6:8" s="32" customFormat="1">
      <c r="F729" s="37"/>
      <c r="H729" s="38"/>
    </row>
    <row r="730" spans="6:8" s="32" customFormat="1">
      <c r="F730" s="37"/>
      <c r="H730" s="38"/>
    </row>
    <row r="731" spans="6:8" s="32" customFormat="1">
      <c r="F731" s="37"/>
      <c r="H731" s="38"/>
    </row>
    <row r="732" spans="6:8" s="32" customFormat="1">
      <c r="F732" s="37"/>
      <c r="H732" s="38"/>
    </row>
    <row r="733" spans="6:8" s="32" customFormat="1">
      <c r="F733" s="37"/>
      <c r="H733" s="38"/>
    </row>
    <row r="734" spans="6:8" s="32" customFormat="1">
      <c r="F734" s="37"/>
      <c r="H734" s="38"/>
    </row>
    <row r="735" spans="6:8" s="32" customFormat="1">
      <c r="F735" s="37"/>
      <c r="H735" s="38"/>
    </row>
    <row r="736" spans="6:8" s="32" customFormat="1">
      <c r="F736" s="37"/>
      <c r="H736" s="38"/>
    </row>
    <row r="737" spans="6:8" s="32" customFormat="1">
      <c r="F737" s="37"/>
      <c r="H737" s="38"/>
    </row>
    <row r="738" spans="6:8" s="32" customFormat="1">
      <c r="F738" s="37"/>
      <c r="H738" s="38"/>
    </row>
    <row r="739" spans="6:8" s="32" customFormat="1">
      <c r="F739" s="37"/>
      <c r="H739" s="38"/>
    </row>
    <row r="740" spans="6:8" s="32" customFormat="1">
      <c r="F740" s="37"/>
      <c r="H740" s="38"/>
    </row>
    <row r="741" spans="6:8" s="32" customFormat="1">
      <c r="F741" s="37"/>
      <c r="H741" s="38"/>
    </row>
    <row r="742" spans="6:8" s="32" customFormat="1">
      <c r="F742" s="37"/>
      <c r="H742" s="38"/>
    </row>
    <row r="743" spans="6:8" s="32" customFormat="1">
      <c r="F743" s="37"/>
      <c r="H743" s="38"/>
    </row>
    <row r="744" spans="6:8" s="32" customFormat="1">
      <c r="F744" s="37"/>
      <c r="H744" s="38"/>
    </row>
    <row r="745" spans="6:8" s="32" customFormat="1">
      <c r="F745" s="37"/>
      <c r="H745" s="38"/>
    </row>
    <row r="746" spans="6:8" s="32" customFormat="1">
      <c r="F746" s="37"/>
      <c r="H746" s="38"/>
    </row>
    <row r="747" spans="6:8" s="32" customFormat="1">
      <c r="F747" s="37"/>
      <c r="H747" s="38"/>
    </row>
    <row r="748" spans="6:8" s="32" customFormat="1">
      <c r="F748" s="37"/>
      <c r="H748" s="38"/>
    </row>
    <row r="749" spans="6:8" s="32" customFormat="1">
      <c r="F749" s="37"/>
      <c r="H749" s="38"/>
    </row>
    <row r="750" spans="6:8" s="32" customFormat="1">
      <c r="F750" s="37"/>
      <c r="H750" s="38"/>
    </row>
    <row r="751" spans="6:8" s="32" customFormat="1">
      <c r="F751" s="37"/>
      <c r="H751" s="38"/>
    </row>
    <row r="752" spans="6:8" s="32" customFormat="1">
      <c r="F752" s="37"/>
      <c r="H752" s="38"/>
    </row>
    <row r="753" spans="6:8" s="32" customFormat="1">
      <c r="F753" s="37"/>
      <c r="H753" s="38"/>
    </row>
    <row r="754" spans="6:8" s="32" customFormat="1">
      <c r="F754" s="37"/>
      <c r="H754" s="38"/>
    </row>
    <row r="755" spans="6:8" s="32" customFormat="1">
      <c r="F755" s="37"/>
      <c r="H755" s="38"/>
    </row>
    <row r="756" spans="6:8" s="32" customFormat="1">
      <c r="F756" s="37"/>
      <c r="H756" s="38"/>
    </row>
    <row r="757" spans="6:8" s="32" customFormat="1">
      <c r="F757" s="37"/>
      <c r="H757" s="38"/>
    </row>
    <row r="758" spans="6:8" s="32" customFormat="1">
      <c r="F758" s="37"/>
      <c r="H758" s="38"/>
    </row>
    <row r="759" spans="6:8" s="32" customFormat="1">
      <c r="F759" s="37"/>
      <c r="H759" s="38"/>
    </row>
    <row r="760" spans="6:8" s="32" customFormat="1">
      <c r="F760" s="37"/>
      <c r="H760" s="38"/>
    </row>
    <row r="761" spans="6:8" s="32" customFormat="1">
      <c r="F761" s="37"/>
      <c r="H761" s="38"/>
    </row>
    <row r="762" spans="6:8" s="32" customFormat="1">
      <c r="F762" s="37"/>
      <c r="H762" s="38"/>
    </row>
    <row r="763" spans="6:8" s="32" customFormat="1">
      <c r="F763" s="37"/>
      <c r="H763" s="38"/>
    </row>
    <row r="764" spans="6:8" s="32" customFormat="1">
      <c r="F764" s="37"/>
      <c r="H764" s="38"/>
    </row>
    <row r="765" spans="6:8" s="32" customFormat="1">
      <c r="F765" s="37"/>
      <c r="H765" s="38"/>
    </row>
    <row r="766" spans="6:8" s="32" customFormat="1">
      <c r="F766" s="37"/>
      <c r="H766" s="38"/>
    </row>
    <row r="767" spans="6:8" s="32" customFormat="1">
      <c r="F767" s="37"/>
      <c r="H767" s="38"/>
    </row>
    <row r="768" spans="6:8" s="32" customFormat="1">
      <c r="F768" s="37"/>
      <c r="H768" s="38"/>
    </row>
    <row r="769" spans="6:8" s="32" customFormat="1">
      <c r="F769" s="37"/>
      <c r="H769" s="38"/>
    </row>
    <row r="770" spans="6:8" s="32" customFormat="1">
      <c r="F770" s="37"/>
      <c r="H770" s="38"/>
    </row>
    <row r="771" spans="6:8" s="32" customFormat="1">
      <c r="F771" s="37"/>
      <c r="H771" s="38"/>
    </row>
    <row r="772" spans="6:8" s="32" customFormat="1">
      <c r="F772" s="37"/>
      <c r="H772" s="38"/>
    </row>
    <row r="773" spans="6:8" s="32" customFormat="1">
      <c r="F773" s="37"/>
      <c r="H773" s="38"/>
    </row>
    <row r="774" spans="6:8" s="32" customFormat="1">
      <c r="F774" s="37"/>
      <c r="H774" s="38"/>
    </row>
    <row r="775" spans="6:8" s="32" customFormat="1">
      <c r="F775" s="37"/>
      <c r="H775" s="38"/>
    </row>
    <row r="776" spans="6:8" s="32" customFormat="1">
      <c r="F776" s="37"/>
      <c r="H776" s="38"/>
    </row>
    <row r="777" spans="6:8" s="32" customFormat="1">
      <c r="F777" s="37"/>
      <c r="H777" s="38"/>
    </row>
    <row r="778" spans="6:8" s="32" customFormat="1">
      <c r="F778" s="37"/>
      <c r="H778" s="38"/>
    </row>
    <row r="779" spans="6:8" s="32" customFormat="1">
      <c r="F779" s="37"/>
      <c r="H779" s="38"/>
    </row>
    <row r="780" spans="6:8" s="32" customFormat="1">
      <c r="F780" s="37"/>
      <c r="H780" s="38"/>
    </row>
    <row r="781" spans="6:8" s="32" customFormat="1">
      <c r="F781" s="37"/>
      <c r="H781" s="38"/>
    </row>
    <row r="782" spans="6:8" s="32" customFormat="1">
      <c r="F782" s="37"/>
      <c r="H782" s="38"/>
    </row>
    <row r="783" spans="6:8" s="32" customFormat="1">
      <c r="F783" s="37"/>
      <c r="H783" s="38"/>
    </row>
    <row r="784" spans="6:8" s="32" customFormat="1">
      <c r="F784" s="37"/>
      <c r="H784" s="38"/>
    </row>
    <row r="785" spans="6:8" s="32" customFormat="1">
      <c r="F785" s="37"/>
      <c r="H785" s="38"/>
    </row>
    <row r="786" spans="6:8" s="32" customFormat="1">
      <c r="F786" s="37"/>
      <c r="H786" s="38"/>
    </row>
    <row r="787" spans="6:8" s="32" customFormat="1">
      <c r="F787" s="37"/>
      <c r="H787" s="38"/>
    </row>
    <row r="788" spans="6:8" s="32" customFormat="1">
      <c r="F788" s="37"/>
      <c r="H788" s="38"/>
    </row>
    <row r="789" spans="6:8" s="32" customFormat="1">
      <c r="F789" s="37"/>
      <c r="H789" s="38"/>
    </row>
    <row r="790" spans="6:8" s="32" customFormat="1">
      <c r="F790" s="37"/>
      <c r="H790" s="38"/>
    </row>
    <row r="791" spans="6:8" s="32" customFormat="1">
      <c r="F791" s="37"/>
      <c r="H791" s="38"/>
    </row>
    <row r="792" spans="6:8" s="32" customFormat="1">
      <c r="F792" s="37"/>
      <c r="H792" s="38"/>
    </row>
    <row r="793" spans="6:8" s="32" customFormat="1">
      <c r="F793" s="37"/>
      <c r="H793" s="38"/>
    </row>
    <row r="794" spans="6:8" s="32" customFormat="1">
      <c r="F794" s="37"/>
      <c r="H794" s="38"/>
    </row>
    <row r="795" spans="6:8" s="32" customFormat="1">
      <c r="F795" s="37"/>
      <c r="H795" s="38"/>
    </row>
    <row r="796" spans="6:8" s="32" customFormat="1">
      <c r="F796" s="37"/>
      <c r="H796" s="38"/>
    </row>
    <row r="797" spans="6:8" s="32" customFormat="1">
      <c r="F797" s="37"/>
      <c r="H797" s="38"/>
    </row>
    <row r="798" spans="6:8" s="32" customFormat="1">
      <c r="F798" s="37"/>
      <c r="H798" s="38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11"/>
  <sheetViews>
    <sheetView zoomScaleNormal="100" workbookViewId="0">
      <selection activeCell="B25" sqref="B25"/>
    </sheetView>
  </sheetViews>
  <sheetFormatPr defaultRowHeight="12.75"/>
  <cols>
    <col min="1" max="1" width="3.42578125" style="32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5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97" width="9.140625" style="32"/>
  </cols>
  <sheetData>
    <row r="1" spans="1:9" ht="15.95" customHeight="1">
      <c r="A1" s="29"/>
      <c r="B1" s="169" t="s">
        <v>279</v>
      </c>
      <c r="C1" s="170"/>
      <c r="D1" s="170"/>
      <c r="E1" s="170"/>
      <c r="F1" s="170"/>
      <c r="G1" s="170"/>
      <c r="H1" s="171"/>
      <c r="I1" s="1"/>
    </row>
    <row r="2" spans="1:9" ht="12.95" customHeight="1" thickBot="1">
      <c r="A2" s="29"/>
      <c r="B2" s="178" t="s">
        <v>390</v>
      </c>
      <c r="C2" s="179"/>
      <c r="D2" s="179"/>
      <c r="E2" s="179"/>
      <c r="F2" s="179"/>
      <c r="G2" s="179"/>
      <c r="H2" s="180"/>
      <c r="I2" s="1"/>
    </row>
    <row r="3" spans="1:9" ht="12.95" customHeight="1">
      <c r="A3" s="29"/>
      <c r="B3" s="86"/>
      <c r="C3" s="86"/>
      <c r="D3" s="86"/>
      <c r="E3" s="86"/>
      <c r="F3" s="86"/>
      <c r="G3" s="86"/>
      <c r="H3" s="86"/>
      <c r="I3" s="1"/>
    </row>
    <row r="4" spans="1:9" s="32" customFormat="1" ht="12.95" customHeight="1" thickBot="1">
      <c r="A4" s="30"/>
      <c r="B4" s="33" t="s">
        <v>2</v>
      </c>
      <c r="C4" s="29"/>
      <c r="D4" s="29"/>
      <c r="E4" s="29"/>
      <c r="F4" s="34"/>
      <c r="G4" s="29"/>
      <c r="H4" s="35"/>
      <c r="I4" s="29"/>
    </row>
    <row r="5" spans="1:9" ht="27.95" customHeight="1">
      <c r="A5" s="29"/>
      <c r="B5" s="58" t="s">
        <v>3</v>
      </c>
      <c r="C5" s="59" t="s">
        <v>4</v>
      </c>
      <c r="D5" s="60" t="s">
        <v>199</v>
      </c>
      <c r="E5" s="60" t="s">
        <v>6</v>
      </c>
      <c r="F5" s="61" t="s">
        <v>7</v>
      </c>
      <c r="G5" s="60" t="s">
        <v>8</v>
      </c>
      <c r="H5" s="62" t="s">
        <v>9</v>
      </c>
      <c r="I5" s="39" t="s">
        <v>10</v>
      </c>
    </row>
    <row r="6" spans="1:9" ht="12.95" customHeight="1">
      <c r="A6" s="29"/>
      <c r="B6" s="130" t="s">
        <v>370</v>
      </c>
      <c r="C6" s="126"/>
      <c r="D6" s="127"/>
      <c r="E6" s="127"/>
      <c r="F6" s="131"/>
      <c r="G6" s="133"/>
      <c r="H6" s="101"/>
      <c r="I6" s="12" t="s">
        <v>1</v>
      </c>
    </row>
    <row r="7" spans="1:9" ht="12.95" customHeight="1">
      <c r="A7" s="29"/>
      <c r="B7" s="125" t="s">
        <v>371</v>
      </c>
      <c r="C7" s="126"/>
      <c r="D7" s="127"/>
      <c r="E7" s="128" t="s">
        <v>197</v>
      </c>
      <c r="F7" s="128" t="s">
        <v>197</v>
      </c>
      <c r="G7" s="128" t="s">
        <v>197</v>
      </c>
      <c r="H7" s="129" t="s">
        <v>197</v>
      </c>
      <c r="I7" s="12" t="s">
        <v>1</v>
      </c>
    </row>
    <row r="8" spans="1:9" ht="12.95" customHeight="1">
      <c r="A8" s="31"/>
      <c r="B8" s="125" t="s">
        <v>196</v>
      </c>
      <c r="C8" s="126"/>
      <c r="D8" s="127"/>
      <c r="E8" s="128" t="s">
        <v>197</v>
      </c>
      <c r="F8" s="128" t="s">
        <v>197</v>
      </c>
      <c r="G8" s="128" t="s">
        <v>197</v>
      </c>
      <c r="H8" s="129" t="s">
        <v>197</v>
      </c>
      <c r="I8" s="3">
        <v>0.99019999999999997</v>
      </c>
    </row>
    <row r="9" spans="1:9" ht="12.95" customHeight="1">
      <c r="A9" s="29"/>
      <c r="B9" s="125"/>
      <c r="C9" s="126"/>
      <c r="D9" s="127"/>
      <c r="E9" s="128"/>
      <c r="F9" s="128"/>
      <c r="G9" s="128"/>
      <c r="H9" s="129"/>
      <c r="I9" s="41">
        <v>0.99019999999999997</v>
      </c>
    </row>
    <row r="10" spans="1:9" ht="12.95" customHeight="1">
      <c r="A10" s="29"/>
      <c r="B10" s="130" t="s">
        <v>372</v>
      </c>
      <c r="C10" s="126"/>
      <c r="D10" s="127"/>
      <c r="E10" s="127"/>
      <c r="F10" s="131"/>
      <c r="G10" s="133"/>
      <c r="H10" s="134"/>
      <c r="I10" s="41">
        <v>0.99019999999999997</v>
      </c>
    </row>
    <row r="11" spans="1:9" ht="12.95" customHeight="1">
      <c r="A11" s="29"/>
      <c r="B11" s="132" t="s">
        <v>383</v>
      </c>
      <c r="C11" s="126"/>
      <c r="D11" s="127"/>
      <c r="E11" s="128" t="s">
        <v>197</v>
      </c>
      <c r="F11" s="128" t="s">
        <v>197</v>
      </c>
      <c r="G11" s="128" t="s">
        <v>197</v>
      </c>
      <c r="H11" s="129" t="s">
        <v>197</v>
      </c>
      <c r="I11" s="12" t="s">
        <v>1</v>
      </c>
    </row>
    <row r="12" spans="1:9" ht="12.95" customHeight="1">
      <c r="A12" s="31"/>
      <c r="B12" s="132" t="s">
        <v>374</v>
      </c>
      <c r="C12" s="126"/>
      <c r="D12" s="127"/>
      <c r="E12" s="128" t="s">
        <v>197</v>
      </c>
      <c r="F12" s="128" t="s">
        <v>197</v>
      </c>
      <c r="G12" s="128" t="s">
        <v>197</v>
      </c>
      <c r="H12" s="129" t="s">
        <v>197</v>
      </c>
      <c r="I12" s="3">
        <v>3.0000000000000001E-3</v>
      </c>
    </row>
    <row r="13" spans="1:9" ht="12.95" customHeight="1">
      <c r="A13" s="29"/>
      <c r="B13" s="132" t="s">
        <v>375</v>
      </c>
      <c r="C13" s="126"/>
      <c r="D13" s="127"/>
      <c r="E13" s="128" t="s">
        <v>197</v>
      </c>
      <c r="F13" s="128" t="s">
        <v>197</v>
      </c>
      <c r="G13" s="128" t="s">
        <v>197</v>
      </c>
      <c r="H13" s="129" t="s">
        <v>197</v>
      </c>
      <c r="I13" s="41">
        <v>3.0000000000000001E-3</v>
      </c>
    </row>
    <row r="14" spans="1:9" ht="12.95" customHeight="1">
      <c r="A14" s="29"/>
      <c r="B14" s="132"/>
      <c r="C14" s="126"/>
      <c r="D14" s="127"/>
      <c r="E14" s="128"/>
      <c r="F14" s="128"/>
      <c r="G14" s="128"/>
      <c r="H14" s="129"/>
      <c r="I14" s="41"/>
    </row>
    <row r="15" spans="1:9" ht="12.95" customHeight="1">
      <c r="A15" s="29"/>
      <c r="B15" s="113" t="s">
        <v>11</v>
      </c>
      <c r="C15" s="126"/>
      <c r="D15" s="127"/>
      <c r="E15" s="127"/>
      <c r="F15" s="131"/>
      <c r="G15" s="133"/>
      <c r="H15" s="101"/>
      <c r="I15" s="41">
        <v>3.0000000000000001E-3</v>
      </c>
    </row>
    <row r="16" spans="1:9" ht="12.95" customHeight="1">
      <c r="A16" s="29"/>
      <c r="B16" s="63" t="s">
        <v>40</v>
      </c>
      <c r="C16" s="19" t="s">
        <v>1</v>
      </c>
      <c r="D16" s="19" t="s">
        <v>1</v>
      </c>
      <c r="E16" s="19" t="s">
        <v>1</v>
      </c>
      <c r="F16" s="48" t="s">
        <v>1</v>
      </c>
      <c r="G16" s="49"/>
      <c r="H16" s="64" t="s">
        <v>1</v>
      </c>
      <c r="I16" s="41">
        <v>6.7999999999999996E-3</v>
      </c>
    </row>
    <row r="17" spans="1:9" ht="12.95" customHeight="1" thickBot="1">
      <c r="A17" s="29"/>
      <c r="B17" s="65" t="s">
        <v>41</v>
      </c>
      <c r="C17" s="19" t="s">
        <v>1</v>
      </c>
      <c r="D17" s="19" t="s">
        <v>42</v>
      </c>
      <c r="E17" s="50"/>
      <c r="F17" s="51">
        <v>5.1756145</v>
      </c>
      <c r="G17" s="52">
        <v>5.18</v>
      </c>
      <c r="H17" s="66">
        <v>3.0208699537821091E-3</v>
      </c>
      <c r="I17" s="44">
        <v>1</v>
      </c>
    </row>
    <row r="18" spans="1:9" s="32" customFormat="1" ht="12.95" customHeight="1">
      <c r="A18" s="29"/>
      <c r="B18" s="63" t="s">
        <v>38</v>
      </c>
      <c r="C18" s="19" t="s">
        <v>1</v>
      </c>
      <c r="D18" s="19" t="s">
        <v>1</v>
      </c>
      <c r="E18" s="19" t="s">
        <v>1</v>
      </c>
      <c r="F18" s="20">
        <v>5.1756145</v>
      </c>
      <c r="G18" s="53">
        <v>5.18</v>
      </c>
      <c r="H18" s="67">
        <v>3.0208699537821091E-3</v>
      </c>
      <c r="I18" s="29"/>
    </row>
    <row r="19" spans="1:9" s="32" customFormat="1" ht="12.95" customHeight="1">
      <c r="A19" s="29"/>
      <c r="B19" s="63"/>
      <c r="C19" s="19"/>
      <c r="D19" s="19"/>
      <c r="E19" s="19"/>
      <c r="F19" s="20"/>
      <c r="G19" s="53"/>
      <c r="H19" s="67"/>
      <c r="I19" s="29"/>
    </row>
    <row r="20" spans="1:9" s="32" customFormat="1" ht="12.95" customHeight="1">
      <c r="A20" s="29"/>
      <c r="B20" s="63" t="s">
        <v>280</v>
      </c>
      <c r="C20" s="19" t="s">
        <v>1</v>
      </c>
      <c r="D20" s="19" t="s">
        <v>1</v>
      </c>
      <c r="E20" s="19" t="s">
        <v>1</v>
      </c>
      <c r="F20" s="48" t="s">
        <v>1</v>
      </c>
      <c r="G20" s="49"/>
      <c r="H20" s="64" t="s">
        <v>1</v>
      </c>
      <c r="I20" s="29"/>
    </row>
    <row r="21" spans="1:9" s="32" customFormat="1" ht="12.95" customHeight="1">
      <c r="A21" s="29"/>
      <c r="B21" s="63" t="s">
        <v>281</v>
      </c>
      <c r="C21" s="19" t="s">
        <v>1</v>
      </c>
      <c r="D21" s="19" t="s">
        <v>1</v>
      </c>
      <c r="E21" s="19" t="s">
        <v>1</v>
      </c>
      <c r="F21" s="48" t="s">
        <v>1</v>
      </c>
      <c r="G21" s="49"/>
      <c r="H21" s="64" t="s">
        <v>1</v>
      </c>
      <c r="I21" s="29"/>
    </row>
    <row r="22" spans="1:9" s="32" customFormat="1">
      <c r="B22" s="65" t="s">
        <v>282</v>
      </c>
      <c r="C22" s="19" t="s">
        <v>283</v>
      </c>
      <c r="D22" s="19" t="s">
        <v>1</v>
      </c>
      <c r="E22" s="50">
        <v>249337.00008599999</v>
      </c>
      <c r="F22" s="51">
        <v>1696.4326028</v>
      </c>
      <c r="G22" s="52">
        <v>1696.43</v>
      </c>
      <c r="H22" s="66">
        <v>0.99016305762627776</v>
      </c>
    </row>
    <row r="23" spans="1:9" s="32" customFormat="1">
      <c r="B23" s="63" t="s">
        <v>38</v>
      </c>
      <c r="C23" s="19" t="s">
        <v>1</v>
      </c>
      <c r="D23" s="19" t="s">
        <v>1</v>
      </c>
      <c r="E23" s="19" t="s">
        <v>1</v>
      </c>
      <c r="F23" s="20">
        <v>1696.4326028</v>
      </c>
      <c r="G23" s="53">
        <v>1696.43</v>
      </c>
      <c r="H23" s="67">
        <v>0.99016305762627776</v>
      </c>
    </row>
    <row r="24" spans="1:9" s="32" customFormat="1">
      <c r="B24" s="63"/>
      <c r="C24" s="19"/>
      <c r="D24" s="19"/>
      <c r="E24" s="19"/>
      <c r="F24" s="20"/>
      <c r="G24" s="53"/>
      <c r="H24" s="67"/>
    </row>
    <row r="25" spans="1:9" s="32" customFormat="1">
      <c r="B25" s="149" t="s">
        <v>43</v>
      </c>
      <c r="C25" s="19" t="s">
        <v>1</v>
      </c>
      <c r="D25" s="19" t="s">
        <v>1</v>
      </c>
      <c r="E25" s="19" t="s">
        <v>1</v>
      </c>
      <c r="F25" s="22">
        <v>11.6778821298</v>
      </c>
      <c r="G25" s="78">
        <v>11.68</v>
      </c>
      <c r="H25" s="68">
        <v>6.8160724199400743E-3</v>
      </c>
    </row>
    <row r="26" spans="1:9" s="32" customFormat="1">
      <c r="B26" s="88" t="s">
        <v>38</v>
      </c>
      <c r="C26" s="25"/>
      <c r="D26" s="25"/>
      <c r="E26" s="25"/>
      <c r="F26" s="20">
        <v>11.6778821298</v>
      </c>
      <c r="G26" s="53">
        <v>11.68</v>
      </c>
      <c r="H26" s="67">
        <v>6.8160724199400743E-3</v>
      </c>
    </row>
    <row r="27" spans="1:9" s="32" customFormat="1" ht="13.5" thickBot="1">
      <c r="B27" s="94" t="s">
        <v>39</v>
      </c>
      <c r="C27" s="25"/>
      <c r="D27" s="25"/>
      <c r="E27" s="25"/>
      <c r="F27" s="26">
        <f>F23+F26</f>
        <v>1708.1104849298001</v>
      </c>
      <c r="G27" s="26">
        <f t="shared" ref="G27:H27" si="0">G23+G26</f>
        <v>1708.1100000000001</v>
      </c>
      <c r="H27" s="77">
        <f t="shared" si="0"/>
        <v>0.99697913004621785</v>
      </c>
    </row>
    <row r="28" spans="1:9" s="32" customFormat="1" ht="13.5" thickBot="1">
      <c r="B28" s="115" t="s">
        <v>44</v>
      </c>
      <c r="C28" s="116" t="s">
        <v>1</v>
      </c>
      <c r="D28" s="116" t="s">
        <v>1</v>
      </c>
      <c r="E28" s="116" t="s">
        <v>1</v>
      </c>
      <c r="F28" s="117">
        <v>1713.2860994298001</v>
      </c>
      <c r="G28" s="118">
        <v>1713.29</v>
      </c>
      <c r="H28" s="119">
        <v>1</v>
      </c>
    </row>
    <row r="29" spans="1:9" s="32" customFormat="1">
      <c r="B29" s="30" t="s">
        <v>1</v>
      </c>
      <c r="C29" s="29"/>
      <c r="D29" s="29"/>
      <c r="E29" s="29"/>
      <c r="F29" s="34"/>
      <c r="G29" s="29"/>
      <c r="H29" s="35"/>
    </row>
    <row r="30" spans="1:9" s="32" customFormat="1">
      <c r="B30" s="36" t="s">
        <v>42</v>
      </c>
      <c r="C30" s="29"/>
      <c r="D30" s="29"/>
      <c r="E30" s="29"/>
      <c r="F30" s="34"/>
      <c r="G30" s="29"/>
      <c r="H30" s="35"/>
    </row>
    <row r="31" spans="1:9" s="32" customFormat="1">
      <c r="B31" s="36" t="s">
        <v>1</v>
      </c>
      <c r="C31" s="29"/>
      <c r="D31" s="29"/>
      <c r="E31" s="29"/>
      <c r="F31" s="34"/>
      <c r="G31" s="29"/>
      <c r="H31" s="35"/>
    </row>
    <row r="32" spans="1:9" s="32" customFormat="1">
      <c r="B32" s="36" t="s">
        <v>1</v>
      </c>
      <c r="C32" s="29"/>
      <c r="D32" s="29"/>
      <c r="E32" s="29"/>
      <c r="F32" s="34"/>
      <c r="G32" s="29"/>
      <c r="H32" s="35"/>
    </row>
    <row r="33" spans="6:8" s="32" customFormat="1">
      <c r="F33" s="37"/>
      <c r="H33" s="38"/>
    </row>
    <row r="34" spans="6:8" s="32" customFormat="1">
      <c r="F34" s="37"/>
      <c r="H34" s="38"/>
    </row>
    <row r="35" spans="6:8" s="32" customFormat="1">
      <c r="F35" s="37"/>
      <c r="H35" s="38"/>
    </row>
    <row r="36" spans="6:8" s="32" customFormat="1">
      <c r="F36" s="37"/>
      <c r="H36" s="38"/>
    </row>
    <row r="37" spans="6:8" s="32" customFormat="1">
      <c r="F37" s="37"/>
      <c r="H37" s="38"/>
    </row>
    <row r="38" spans="6:8" s="32" customFormat="1">
      <c r="F38" s="37"/>
      <c r="H38" s="38"/>
    </row>
    <row r="39" spans="6:8" s="32" customFormat="1">
      <c r="F39" s="37"/>
      <c r="H39" s="38"/>
    </row>
    <row r="40" spans="6:8" s="32" customFormat="1">
      <c r="F40" s="37"/>
      <c r="H40" s="38"/>
    </row>
    <row r="41" spans="6:8" s="32" customFormat="1">
      <c r="F41" s="37"/>
      <c r="H41" s="38"/>
    </row>
    <row r="42" spans="6:8" s="32" customFormat="1">
      <c r="F42" s="37"/>
      <c r="H42" s="38"/>
    </row>
    <row r="43" spans="6:8" s="32" customFormat="1">
      <c r="F43" s="37"/>
      <c r="H43" s="38"/>
    </row>
    <row r="44" spans="6:8" s="32" customFormat="1">
      <c r="F44" s="37"/>
      <c r="H44" s="38"/>
    </row>
    <row r="45" spans="6:8" s="32" customFormat="1">
      <c r="F45" s="37"/>
      <c r="H45" s="38"/>
    </row>
    <row r="46" spans="6:8" s="32" customFormat="1">
      <c r="F46" s="37"/>
      <c r="H46" s="38"/>
    </row>
    <row r="47" spans="6:8" s="32" customFormat="1">
      <c r="F47" s="37"/>
      <c r="H47" s="38"/>
    </row>
    <row r="48" spans="6:8" s="32" customFormat="1">
      <c r="F48" s="37"/>
      <c r="H48" s="38"/>
    </row>
    <row r="49" spans="6:8" s="32" customFormat="1">
      <c r="F49" s="37"/>
      <c r="H49" s="38"/>
    </row>
    <row r="50" spans="6:8" s="32" customFormat="1">
      <c r="F50" s="37"/>
      <c r="H50" s="38"/>
    </row>
    <row r="51" spans="6:8" s="32" customFormat="1">
      <c r="F51" s="37"/>
      <c r="H51" s="38"/>
    </row>
    <row r="52" spans="6:8" s="32" customFormat="1">
      <c r="F52" s="37"/>
      <c r="H52" s="38"/>
    </row>
    <row r="53" spans="6:8" s="32" customFormat="1">
      <c r="F53" s="37"/>
      <c r="H53" s="38"/>
    </row>
    <row r="54" spans="6:8" s="32" customFormat="1">
      <c r="F54" s="37"/>
      <c r="H54" s="38"/>
    </row>
    <row r="55" spans="6:8" s="32" customFormat="1">
      <c r="F55" s="37"/>
      <c r="H55" s="38"/>
    </row>
    <row r="56" spans="6:8" s="32" customFormat="1">
      <c r="F56" s="37"/>
      <c r="H56" s="38"/>
    </row>
    <row r="57" spans="6:8" s="32" customFormat="1">
      <c r="F57" s="37"/>
      <c r="H57" s="38"/>
    </row>
    <row r="58" spans="6:8" s="32" customFormat="1">
      <c r="F58" s="37"/>
      <c r="H58" s="38"/>
    </row>
    <row r="59" spans="6:8" s="32" customFormat="1">
      <c r="F59" s="37"/>
      <c r="H59" s="38"/>
    </row>
    <row r="60" spans="6:8" s="32" customFormat="1">
      <c r="F60" s="37"/>
      <c r="H60" s="38"/>
    </row>
    <row r="61" spans="6:8" s="32" customFormat="1">
      <c r="F61" s="37"/>
      <c r="H61" s="38"/>
    </row>
    <row r="62" spans="6:8" s="32" customFormat="1">
      <c r="F62" s="37"/>
      <c r="H62" s="38"/>
    </row>
    <row r="63" spans="6:8" s="32" customFormat="1">
      <c r="F63" s="37"/>
      <c r="H63" s="38"/>
    </row>
    <row r="64" spans="6:8" s="32" customFormat="1">
      <c r="F64" s="37"/>
      <c r="H64" s="38"/>
    </row>
    <row r="65" spans="6:8" s="32" customFormat="1">
      <c r="F65" s="37"/>
      <c r="H65" s="38"/>
    </row>
    <row r="66" spans="6:8" s="32" customFormat="1">
      <c r="F66" s="37"/>
      <c r="H66" s="38"/>
    </row>
    <row r="67" spans="6:8" s="32" customFormat="1">
      <c r="F67" s="37"/>
      <c r="H67" s="38"/>
    </row>
    <row r="68" spans="6:8" s="32" customFormat="1">
      <c r="F68" s="37"/>
      <c r="H68" s="38"/>
    </row>
    <row r="69" spans="6:8" s="32" customFormat="1">
      <c r="F69" s="37"/>
      <c r="H69" s="38"/>
    </row>
    <row r="70" spans="6:8" s="32" customFormat="1">
      <c r="F70" s="37"/>
      <c r="H70" s="38"/>
    </row>
    <row r="71" spans="6:8" s="32" customFormat="1">
      <c r="F71" s="37"/>
      <c r="H71" s="38"/>
    </row>
    <row r="72" spans="6:8" s="32" customFormat="1">
      <c r="F72" s="37"/>
      <c r="H72" s="38"/>
    </row>
    <row r="73" spans="6:8" s="32" customFormat="1">
      <c r="F73" s="37"/>
      <c r="H73" s="38"/>
    </row>
    <row r="74" spans="6:8" s="32" customFormat="1">
      <c r="F74" s="37"/>
      <c r="H74" s="38"/>
    </row>
    <row r="75" spans="6:8" s="32" customFormat="1">
      <c r="F75" s="37"/>
      <c r="H75" s="38"/>
    </row>
    <row r="76" spans="6:8" s="32" customFormat="1">
      <c r="F76" s="37"/>
      <c r="H76" s="38"/>
    </row>
    <row r="77" spans="6:8" s="32" customFormat="1">
      <c r="F77" s="37"/>
      <c r="H77" s="38"/>
    </row>
    <row r="78" spans="6:8" s="32" customFormat="1">
      <c r="F78" s="37"/>
      <c r="H78" s="38"/>
    </row>
    <row r="79" spans="6:8" s="32" customFormat="1">
      <c r="F79" s="37"/>
      <c r="H79" s="38"/>
    </row>
    <row r="80" spans="6:8" s="32" customFormat="1">
      <c r="F80" s="37"/>
      <c r="H80" s="38"/>
    </row>
    <row r="81" spans="6:8" s="32" customFormat="1">
      <c r="F81" s="37"/>
      <c r="H81" s="38"/>
    </row>
    <row r="82" spans="6:8" s="32" customFormat="1">
      <c r="F82" s="37"/>
      <c r="H82" s="38"/>
    </row>
    <row r="83" spans="6:8" s="32" customFormat="1">
      <c r="F83" s="37"/>
      <c r="H83" s="38"/>
    </row>
    <row r="84" spans="6:8" s="32" customFormat="1">
      <c r="F84" s="37"/>
      <c r="H84" s="38"/>
    </row>
    <row r="85" spans="6:8" s="32" customFormat="1">
      <c r="F85" s="37"/>
      <c r="H85" s="38"/>
    </row>
    <row r="86" spans="6:8" s="32" customFormat="1">
      <c r="F86" s="37"/>
      <c r="H86" s="38"/>
    </row>
    <row r="87" spans="6:8" s="32" customFormat="1">
      <c r="F87" s="37"/>
      <c r="H87" s="38"/>
    </row>
    <row r="88" spans="6:8" s="32" customFormat="1">
      <c r="F88" s="37"/>
      <c r="H88" s="38"/>
    </row>
    <row r="89" spans="6:8" s="32" customFormat="1">
      <c r="F89" s="37"/>
      <c r="H89" s="38"/>
    </row>
    <row r="90" spans="6:8" s="32" customFormat="1">
      <c r="F90" s="37"/>
      <c r="H90" s="38"/>
    </row>
    <row r="91" spans="6:8" s="32" customFormat="1">
      <c r="F91" s="37"/>
      <c r="H91" s="38"/>
    </row>
    <row r="92" spans="6:8" s="32" customFormat="1">
      <c r="F92" s="37"/>
      <c r="H92" s="38"/>
    </row>
    <row r="93" spans="6:8" s="32" customFormat="1">
      <c r="F93" s="37"/>
      <c r="H93" s="38"/>
    </row>
    <row r="94" spans="6:8" s="32" customFormat="1">
      <c r="F94" s="37"/>
      <c r="H94" s="38"/>
    </row>
    <row r="95" spans="6:8" s="32" customFormat="1">
      <c r="F95" s="37"/>
      <c r="H95" s="38"/>
    </row>
    <row r="96" spans="6:8" s="32" customFormat="1">
      <c r="F96" s="37"/>
      <c r="H96" s="38"/>
    </row>
    <row r="97" spans="6:8" s="32" customFormat="1">
      <c r="F97" s="37"/>
      <c r="H97" s="38"/>
    </row>
    <row r="98" spans="6:8" s="32" customFormat="1">
      <c r="F98" s="37"/>
      <c r="H98" s="38"/>
    </row>
    <row r="99" spans="6:8" s="32" customFormat="1">
      <c r="F99" s="37"/>
      <c r="H99" s="38"/>
    </row>
    <row r="100" spans="6:8" s="32" customFormat="1">
      <c r="F100" s="37"/>
      <c r="H100" s="38"/>
    </row>
    <row r="101" spans="6:8" s="32" customFormat="1">
      <c r="F101" s="37"/>
      <c r="H101" s="38"/>
    </row>
    <row r="102" spans="6:8" s="32" customFormat="1">
      <c r="F102" s="37"/>
      <c r="H102" s="38"/>
    </row>
    <row r="103" spans="6:8" s="32" customFormat="1">
      <c r="F103" s="37"/>
      <c r="H103" s="38"/>
    </row>
    <row r="104" spans="6:8" s="32" customFormat="1">
      <c r="F104" s="37"/>
      <c r="H104" s="38"/>
    </row>
    <row r="105" spans="6:8" s="32" customFormat="1">
      <c r="F105" s="37"/>
      <c r="H105" s="38"/>
    </row>
    <row r="106" spans="6:8" s="32" customFormat="1">
      <c r="F106" s="37"/>
      <c r="H106" s="38"/>
    </row>
    <row r="107" spans="6:8" s="32" customFormat="1">
      <c r="F107" s="37"/>
      <c r="H107" s="38"/>
    </row>
    <row r="108" spans="6:8" s="32" customFormat="1">
      <c r="F108" s="37"/>
      <c r="H108" s="38"/>
    </row>
    <row r="109" spans="6:8" s="32" customFormat="1">
      <c r="F109" s="37"/>
      <c r="H109" s="38"/>
    </row>
    <row r="110" spans="6:8" s="32" customFormat="1">
      <c r="F110" s="37"/>
      <c r="H110" s="38"/>
    </row>
    <row r="111" spans="6:8" s="32" customFormat="1">
      <c r="F111" s="37"/>
      <c r="H111" s="38"/>
    </row>
    <row r="112" spans="6:8" s="32" customFormat="1">
      <c r="F112" s="37"/>
      <c r="H112" s="38"/>
    </row>
    <row r="113" spans="6:8" s="32" customFormat="1">
      <c r="F113" s="37"/>
      <c r="H113" s="38"/>
    </row>
    <row r="114" spans="6:8" s="32" customFormat="1">
      <c r="F114" s="37"/>
      <c r="H114" s="38"/>
    </row>
    <row r="115" spans="6:8" s="32" customFormat="1">
      <c r="F115" s="37"/>
      <c r="H115" s="38"/>
    </row>
    <row r="116" spans="6:8" s="32" customFormat="1">
      <c r="F116" s="37"/>
      <c r="H116" s="38"/>
    </row>
    <row r="117" spans="6:8" s="32" customFormat="1">
      <c r="F117" s="37"/>
      <c r="H117" s="38"/>
    </row>
    <row r="118" spans="6:8" s="32" customFormat="1">
      <c r="F118" s="37"/>
      <c r="H118" s="38"/>
    </row>
    <row r="119" spans="6:8" s="32" customFormat="1">
      <c r="F119" s="37"/>
      <c r="H119" s="38"/>
    </row>
    <row r="120" spans="6:8" s="32" customFormat="1">
      <c r="F120" s="37"/>
      <c r="H120" s="38"/>
    </row>
    <row r="121" spans="6:8" s="32" customFormat="1">
      <c r="F121" s="37"/>
      <c r="H121" s="38"/>
    </row>
    <row r="122" spans="6:8" s="32" customFormat="1">
      <c r="F122" s="37"/>
      <c r="H122" s="38"/>
    </row>
    <row r="123" spans="6:8" s="32" customFormat="1">
      <c r="F123" s="37"/>
      <c r="H123" s="38"/>
    </row>
    <row r="124" spans="6:8" s="32" customFormat="1">
      <c r="F124" s="37"/>
      <c r="H124" s="38"/>
    </row>
    <row r="125" spans="6:8" s="32" customFormat="1">
      <c r="F125" s="37"/>
      <c r="H125" s="38"/>
    </row>
    <row r="126" spans="6:8" s="32" customFormat="1">
      <c r="F126" s="37"/>
      <c r="H126" s="38"/>
    </row>
    <row r="127" spans="6:8" s="32" customFormat="1">
      <c r="F127" s="37"/>
      <c r="H127" s="38"/>
    </row>
    <row r="128" spans="6:8" s="32" customFormat="1">
      <c r="F128" s="37"/>
      <c r="H128" s="38"/>
    </row>
    <row r="129" spans="6:8" s="32" customFormat="1">
      <c r="F129" s="37"/>
      <c r="H129" s="38"/>
    </row>
    <row r="130" spans="6:8" s="32" customFormat="1">
      <c r="F130" s="37"/>
      <c r="H130" s="38"/>
    </row>
    <row r="131" spans="6:8" s="32" customFormat="1">
      <c r="F131" s="37"/>
      <c r="H131" s="38"/>
    </row>
    <row r="132" spans="6:8" s="32" customFormat="1">
      <c r="F132" s="37"/>
      <c r="H132" s="38"/>
    </row>
    <row r="133" spans="6:8" s="32" customFormat="1">
      <c r="F133" s="37"/>
      <c r="H133" s="38"/>
    </row>
    <row r="134" spans="6:8" s="32" customFormat="1">
      <c r="F134" s="37"/>
      <c r="H134" s="38"/>
    </row>
    <row r="135" spans="6:8" s="32" customFormat="1">
      <c r="F135" s="37"/>
      <c r="H135" s="38"/>
    </row>
    <row r="136" spans="6:8" s="32" customFormat="1">
      <c r="F136" s="37"/>
      <c r="H136" s="38"/>
    </row>
    <row r="137" spans="6:8" s="32" customFormat="1">
      <c r="F137" s="37"/>
      <c r="H137" s="38"/>
    </row>
    <row r="138" spans="6:8" s="32" customFormat="1">
      <c r="F138" s="37"/>
      <c r="H138" s="38"/>
    </row>
    <row r="139" spans="6:8" s="32" customFormat="1">
      <c r="F139" s="37"/>
      <c r="H139" s="38"/>
    </row>
    <row r="140" spans="6:8" s="32" customFormat="1">
      <c r="F140" s="37"/>
      <c r="H140" s="38"/>
    </row>
    <row r="141" spans="6:8" s="32" customFormat="1">
      <c r="F141" s="37"/>
      <c r="H141" s="38"/>
    </row>
    <row r="142" spans="6:8" s="32" customFormat="1">
      <c r="F142" s="37"/>
      <c r="H142" s="38"/>
    </row>
    <row r="143" spans="6:8" s="32" customFormat="1">
      <c r="F143" s="37"/>
      <c r="H143" s="38"/>
    </row>
    <row r="144" spans="6:8" s="32" customFormat="1">
      <c r="F144" s="37"/>
      <c r="H144" s="38"/>
    </row>
    <row r="145" spans="6:8" s="32" customFormat="1">
      <c r="F145" s="37"/>
      <c r="H145" s="38"/>
    </row>
    <row r="146" spans="6:8" s="32" customFormat="1">
      <c r="F146" s="37"/>
      <c r="H146" s="38"/>
    </row>
    <row r="147" spans="6:8" s="32" customFormat="1">
      <c r="F147" s="37"/>
      <c r="H147" s="38"/>
    </row>
    <row r="148" spans="6:8" s="32" customFormat="1">
      <c r="F148" s="37"/>
      <c r="H148" s="38"/>
    </row>
    <row r="149" spans="6:8" s="32" customFormat="1">
      <c r="F149" s="37"/>
      <c r="H149" s="38"/>
    </row>
    <row r="150" spans="6:8" s="32" customFormat="1">
      <c r="F150" s="37"/>
      <c r="H150" s="38"/>
    </row>
    <row r="151" spans="6:8" s="32" customFormat="1">
      <c r="F151" s="37"/>
      <c r="H151" s="38"/>
    </row>
    <row r="152" spans="6:8" s="32" customFormat="1">
      <c r="F152" s="37"/>
      <c r="H152" s="38"/>
    </row>
    <row r="153" spans="6:8" s="32" customFormat="1">
      <c r="F153" s="37"/>
      <c r="H153" s="38"/>
    </row>
    <row r="154" spans="6:8" s="32" customFormat="1">
      <c r="F154" s="37"/>
      <c r="H154" s="38"/>
    </row>
    <row r="155" spans="6:8" s="32" customFormat="1">
      <c r="F155" s="37"/>
      <c r="H155" s="38"/>
    </row>
    <row r="156" spans="6:8" s="32" customFormat="1">
      <c r="F156" s="37"/>
      <c r="H156" s="38"/>
    </row>
    <row r="157" spans="6:8" s="32" customFormat="1">
      <c r="F157" s="37"/>
      <c r="H157" s="38"/>
    </row>
    <row r="158" spans="6:8" s="32" customFormat="1">
      <c r="F158" s="37"/>
      <c r="H158" s="38"/>
    </row>
    <row r="159" spans="6:8" s="32" customFormat="1">
      <c r="F159" s="37"/>
      <c r="H159" s="38"/>
    </row>
    <row r="160" spans="6:8" s="32" customFormat="1">
      <c r="F160" s="37"/>
      <c r="H160" s="38"/>
    </row>
    <row r="161" spans="6:8" s="32" customFormat="1">
      <c r="F161" s="37"/>
      <c r="H161" s="38"/>
    </row>
    <row r="162" spans="6:8" s="32" customFormat="1">
      <c r="F162" s="37"/>
      <c r="H162" s="38"/>
    </row>
    <row r="163" spans="6:8" s="32" customFormat="1">
      <c r="F163" s="37"/>
      <c r="H163" s="38"/>
    </row>
    <row r="164" spans="6:8" s="32" customFormat="1">
      <c r="F164" s="37"/>
      <c r="H164" s="38"/>
    </row>
    <row r="165" spans="6:8" s="32" customFormat="1">
      <c r="F165" s="37"/>
      <c r="H165" s="38"/>
    </row>
    <row r="166" spans="6:8" s="32" customFormat="1">
      <c r="F166" s="37"/>
      <c r="H166" s="38"/>
    </row>
    <row r="167" spans="6:8" s="32" customFormat="1">
      <c r="F167" s="37"/>
      <c r="H167" s="38"/>
    </row>
    <row r="168" spans="6:8" s="32" customFormat="1">
      <c r="F168" s="37"/>
      <c r="H168" s="38"/>
    </row>
    <row r="169" spans="6:8" s="32" customFormat="1">
      <c r="F169" s="37"/>
      <c r="H169" s="38"/>
    </row>
    <row r="170" spans="6:8" s="32" customFormat="1">
      <c r="F170" s="37"/>
      <c r="H170" s="38"/>
    </row>
    <row r="171" spans="6:8" s="32" customFormat="1">
      <c r="F171" s="37"/>
      <c r="H171" s="38"/>
    </row>
    <row r="172" spans="6:8" s="32" customFormat="1">
      <c r="F172" s="37"/>
      <c r="H172" s="38"/>
    </row>
    <row r="173" spans="6:8" s="32" customFormat="1">
      <c r="F173" s="37"/>
      <c r="H173" s="38"/>
    </row>
    <row r="174" spans="6:8" s="32" customFormat="1">
      <c r="F174" s="37"/>
      <c r="H174" s="38"/>
    </row>
    <row r="175" spans="6:8" s="32" customFormat="1">
      <c r="F175" s="37"/>
      <c r="H175" s="38"/>
    </row>
    <row r="176" spans="6:8" s="32" customFormat="1">
      <c r="F176" s="37"/>
      <c r="H176" s="38"/>
    </row>
    <row r="177" spans="6:8" s="32" customFormat="1">
      <c r="F177" s="37"/>
      <c r="H177" s="38"/>
    </row>
    <row r="178" spans="6:8" s="32" customFormat="1">
      <c r="F178" s="37"/>
      <c r="H178" s="38"/>
    </row>
    <row r="179" spans="6:8" s="32" customFormat="1">
      <c r="F179" s="37"/>
      <c r="H179" s="38"/>
    </row>
    <row r="180" spans="6:8" s="32" customFormat="1">
      <c r="F180" s="37"/>
      <c r="H180" s="38"/>
    </row>
    <row r="181" spans="6:8" s="32" customFormat="1">
      <c r="F181" s="37"/>
      <c r="H181" s="38"/>
    </row>
    <row r="182" spans="6:8" s="32" customFormat="1">
      <c r="F182" s="37"/>
      <c r="H182" s="38"/>
    </row>
    <row r="183" spans="6:8" s="32" customFormat="1">
      <c r="F183" s="37"/>
      <c r="H183" s="38"/>
    </row>
    <row r="184" spans="6:8" s="32" customFormat="1">
      <c r="F184" s="37"/>
      <c r="H184" s="38"/>
    </row>
    <row r="185" spans="6:8" s="32" customFormat="1">
      <c r="F185" s="37"/>
      <c r="H185" s="38"/>
    </row>
    <row r="186" spans="6:8" s="32" customFormat="1">
      <c r="F186" s="37"/>
      <c r="H186" s="38"/>
    </row>
    <row r="187" spans="6:8" s="32" customFormat="1">
      <c r="F187" s="37"/>
      <c r="H187" s="38"/>
    </row>
    <row r="188" spans="6:8" s="32" customFormat="1">
      <c r="F188" s="37"/>
      <c r="H188" s="38"/>
    </row>
    <row r="189" spans="6:8" s="32" customFormat="1">
      <c r="F189" s="37"/>
      <c r="H189" s="38"/>
    </row>
    <row r="190" spans="6:8" s="32" customFormat="1">
      <c r="F190" s="37"/>
      <c r="H190" s="38"/>
    </row>
    <row r="191" spans="6:8" s="32" customFormat="1">
      <c r="F191" s="37"/>
      <c r="H191" s="38"/>
    </row>
    <row r="192" spans="6:8" s="32" customFormat="1">
      <c r="F192" s="37"/>
      <c r="H192" s="38"/>
    </row>
    <row r="193" spans="6:8" s="32" customFormat="1">
      <c r="F193" s="37"/>
      <c r="H193" s="38"/>
    </row>
    <row r="194" spans="6:8" s="32" customFormat="1">
      <c r="F194" s="37"/>
      <c r="H194" s="38"/>
    </row>
    <row r="195" spans="6:8" s="32" customFormat="1">
      <c r="F195" s="37"/>
      <c r="H195" s="38"/>
    </row>
    <row r="196" spans="6:8" s="32" customFormat="1">
      <c r="F196" s="37"/>
      <c r="H196" s="38"/>
    </row>
    <row r="197" spans="6:8" s="32" customFormat="1">
      <c r="F197" s="37"/>
      <c r="H197" s="38"/>
    </row>
    <row r="198" spans="6:8" s="32" customFormat="1">
      <c r="F198" s="37"/>
      <c r="H198" s="38"/>
    </row>
    <row r="199" spans="6:8" s="32" customFormat="1">
      <c r="F199" s="37"/>
      <c r="H199" s="38"/>
    </row>
    <row r="200" spans="6:8" s="32" customFormat="1">
      <c r="F200" s="37"/>
      <c r="H200" s="38"/>
    </row>
    <row r="201" spans="6:8" s="32" customFormat="1">
      <c r="F201" s="37"/>
      <c r="H201" s="38"/>
    </row>
    <row r="202" spans="6:8" s="32" customFormat="1">
      <c r="F202" s="37"/>
      <c r="H202" s="38"/>
    </row>
    <row r="203" spans="6:8" s="32" customFormat="1">
      <c r="F203" s="37"/>
      <c r="H203" s="38"/>
    </row>
    <row r="204" spans="6:8" s="32" customFormat="1">
      <c r="F204" s="37"/>
      <c r="H204" s="38"/>
    </row>
    <row r="205" spans="6:8" s="32" customFormat="1">
      <c r="F205" s="37"/>
      <c r="H205" s="38"/>
    </row>
    <row r="206" spans="6:8" s="32" customFormat="1">
      <c r="F206" s="37"/>
      <c r="H206" s="38"/>
    </row>
    <row r="207" spans="6:8" s="32" customFormat="1">
      <c r="F207" s="37"/>
      <c r="H207" s="38"/>
    </row>
    <row r="208" spans="6:8" s="32" customFormat="1">
      <c r="F208" s="37"/>
      <c r="H208" s="38"/>
    </row>
    <row r="209" spans="6:8" s="32" customFormat="1">
      <c r="F209" s="37"/>
      <c r="H209" s="38"/>
    </row>
    <row r="210" spans="6:8" s="32" customFormat="1">
      <c r="F210" s="37"/>
      <c r="H210" s="38"/>
    </row>
    <row r="211" spans="6:8" s="32" customFormat="1">
      <c r="F211" s="37"/>
      <c r="H211" s="38"/>
    </row>
    <row r="212" spans="6:8" s="32" customFormat="1">
      <c r="F212" s="37"/>
      <c r="H212" s="38"/>
    </row>
    <row r="213" spans="6:8" s="32" customFormat="1">
      <c r="F213" s="37"/>
      <c r="H213" s="38"/>
    </row>
    <row r="214" spans="6:8" s="32" customFormat="1">
      <c r="F214" s="37"/>
      <c r="H214" s="38"/>
    </row>
    <row r="215" spans="6:8" s="32" customFormat="1">
      <c r="F215" s="37"/>
      <c r="H215" s="38"/>
    </row>
    <row r="216" spans="6:8" s="32" customFormat="1">
      <c r="F216" s="37"/>
      <c r="H216" s="38"/>
    </row>
    <row r="217" spans="6:8" s="32" customFormat="1">
      <c r="F217" s="37"/>
      <c r="H217" s="38"/>
    </row>
    <row r="218" spans="6:8" s="32" customFormat="1">
      <c r="F218" s="37"/>
      <c r="H218" s="38"/>
    </row>
    <row r="219" spans="6:8" s="32" customFormat="1">
      <c r="F219" s="37"/>
      <c r="H219" s="38"/>
    </row>
    <row r="220" spans="6:8" s="32" customFormat="1">
      <c r="F220" s="37"/>
      <c r="H220" s="38"/>
    </row>
    <row r="221" spans="6:8" s="32" customFormat="1">
      <c r="F221" s="37"/>
      <c r="H221" s="38"/>
    </row>
    <row r="222" spans="6:8" s="32" customFormat="1">
      <c r="F222" s="37"/>
      <c r="H222" s="38"/>
    </row>
    <row r="223" spans="6:8" s="32" customFormat="1">
      <c r="F223" s="37"/>
      <c r="H223" s="38"/>
    </row>
    <row r="224" spans="6:8" s="32" customFormat="1">
      <c r="F224" s="37"/>
      <c r="H224" s="38"/>
    </row>
    <row r="225" spans="6:8" s="32" customFormat="1">
      <c r="F225" s="37"/>
      <c r="H225" s="38"/>
    </row>
    <row r="226" spans="6:8" s="32" customFormat="1">
      <c r="F226" s="37"/>
      <c r="H226" s="38"/>
    </row>
    <row r="227" spans="6:8" s="32" customFormat="1">
      <c r="F227" s="37"/>
      <c r="H227" s="38"/>
    </row>
    <row r="228" spans="6:8" s="32" customFormat="1">
      <c r="F228" s="37"/>
      <c r="H228" s="38"/>
    </row>
    <row r="229" spans="6:8" s="32" customFormat="1">
      <c r="F229" s="37"/>
      <c r="H229" s="38"/>
    </row>
    <row r="230" spans="6:8" s="32" customFormat="1">
      <c r="F230" s="37"/>
      <c r="H230" s="38"/>
    </row>
    <row r="231" spans="6:8" s="32" customFormat="1">
      <c r="F231" s="37"/>
      <c r="H231" s="38"/>
    </row>
    <row r="232" spans="6:8" s="32" customFormat="1">
      <c r="F232" s="37"/>
      <c r="H232" s="38"/>
    </row>
    <row r="233" spans="6:8" s="32" customFormat="1">
      <c r="F233" s="37"/>
      <c r="H233" s="38"/>
    </row>
    <row r="234" spans="6:8" s="32" customFormat="1">
      <c r="F234" s="37"/>
      <c r="H234" s="38"/>
    </row>
    <row r="235" spans="6:8" s="32" customFormat="1">
      <c r="F235" s="37"/>
      <c r="H235" s="38"/>
    </row>
    <row r="236" spans="6:8" s="32" customFormat="1">
      <c r="F236" s="37"/>
      <c r="H236" s="38"/>
    </row>
    <row r="237" spans="6:8" s="32" customFormat="1">
      <c r="F237" s="37"/>
      <c r="H237" s="38"/>
    </row>
    <row r="238" spans="6:8" s="32" customFormat="1">
      <c r="F238" s="37"/>
      <c r="H238" s="38"/>
    </row>
    <row r="239" spans="6:8" s="32" customFormat="1">
      <c r="F239" s="37"/>
      <c r="H239" s="38"/>
    </row>
    <row r="240" spans="6:8" s="32" customFormat="1">
      <c r="F240" s="37"/>
      <c r="H240" s="38"/>
    </row>
    <row r="241" spans="6:8" s="32" customFormat="1">
      <c r="F241" s="37"/>
      <c r="H241" s="38"/>
    </row>
    <row r="242" spans="6:8" s="32" customFormat="1">
      <c r="F242" s="37"/>
      <c r="H242" s="38"/>
    </row>
    <row r="243" spans="6:8" s="32" customFormat="1">
      <c r="F243" s="37"/>
      <c r="H243" s="38"/>
    </row>
    <row r="244" spans="6:8" s="32" customFormat="1">
      <c r="F244" s="37"/>
      <c r="H244" s="38"/>
    </row>
    <row r="245" spans="6:8" s="32" customFormat="1">
      <c r="F245" s="37"/>
      <c r="H245" s="38"/>
    </row>
    <row r="246" spans="6:8" s="32" customFormat="1">
      <c r="F246" s="37"/>
      <c r="H246" s="38"/>
    </row>
    <row r="247" spans="6:8" s="32" customFormat="1">
      <c r="F247" s="37"/>
      <c r="H247" s="38"/>
    </row>
    <row r="248" spans="6:8" s="32" customFormat="1">
      <c r="F248" s="37"/>
      <c r="H248" s="38"/>
    </row>
    <row r="249" spans="6:8" s="32" customFormat="1">
      <c r="F249" s="37"/>
      <c r="H249" s="38"/>
    </row>
    <row r="250" spans="6:8" s="32" customFormat="1">
      <c r="F250" s="37"/>
      <c r="H250" s="38"/>
    </row>
    <row r="251" spans="6:8" s="32" customFormat="1">
      <c r="F251" s="37"/>
      <c r="H251" s="38"/>
    </row>
    <row r="252" spans="6:8" s="32" customFormat="1">
      <c r="F252" s="37"/>
      <c r="H252" s="38"/>
    </row>
    <row r="253" spans="6:8" s="32" customFormat="1">
      <c r="F253" s="37"/>
      <c r="H253" s="38"/>
    </row>
    <row r="254" spans="6:8" s="32" customFormat="1">
      <c r="F254" s="37"/>
      <c r="H254" s="38"/>
    </row>
    <row r="255" spans="6:8" s="32" customFormat="1">
      <c r="F255" s="37"/>
      <c r="H255" s="38"/>
    </row>
    <row r="256" spans="6:8" s="32" customFormat="1">
      <c r="F256" s="37"/>
      <c r="H256" s="38"/>
    </row>
    <row r="257" spans="6:8" s="32" customFormat="1">
      <c r="F257" s="37"/>
      <c r="H257" s="38"/>
    </row>
    <row r="258" spans="6:8" s="32" customFormat="1">
      <c r="F258" s="37"/>
      <c r="H258" s="38"/>
    </row>
    <row r="259" spans="6:8" s="32" customFormat="1">
      <c r="F259" s="37"/>
      <c r="H259" s="38"/>
    </row>
    <row r="260" spans="6:8" s="32" customFormat="1">
      <c r="F260" s="37"/>
      <c r="H260" s="38"/>
    </row>
    <row r="261" spans="6:8" s="32" customFormat="1">
      <c r="F261" s="37"/>
      <c r="H261" s="38"/>
    </row>
    <row r="262" spans="6:8" s="32" customFormat="1">
      <c r="F262" s="37"/>
      <c r="H262" s="38"/>
    </row>
    <row r="263" spans="6:8" s="32" customFormat="1">
      <c r="F263" s="37"/>
      <c r="H263" s="38"/>
    </row>
    <row r="264" spans="6:8" s="32" customFormat="1">
      <c r="F264" s="37"/>
      <c r="H264" s="38"/>
    </row>
    <row r="265" spans="6:8" s="32" customFormat="1">
      <c r="F265" s="37"/>
      <c r="H265" s="38"/>
    </row>
    <row r="266" spans="6:8" s="32" customFormat="1">
      <c r="F266" s="37"/>
      <c r="H266" s="38"/>
    </row>
    <row r="267" spans="6:8" s="32" customFormat="1">
      <c r="F267" s="37"/>
      <c r="H267" s="38"/>
    </row>
    <row r="268" spans="6:8" s="32" customFormat="1">
      <c r="F268" s="37"/>
      <c r="H268" s="38"/>
    </row>
    <row r="269" spans="6:8" s="32" customFormat="1">
      <c r="F269" s="37"/>
      <c r="H269" s="38"/>
    </row>
    <row r="270" spans="6:8" s="32" customFormat="1">
      <c r="F270" s="37"/>
      <c r="H270" s="38"/>
    </row>
    <row r="271" spans="6:8" s="32" customFormat="1">
      <c r="F271" s="37"/>
      <c r="H271" s="38"/>
    </row>
    <row r="272" spans="6:8" s="32" customFormat="1">
      <c r="F272" s="37"/>
      <c r="H272" s="38"/>
    </row>
    <row r="273" spans="6:8" s="32" customFormat="1">
      <c r="F273" s="37"/>
      <c r="H273" s="38"/>
    </row>
    <row r="274" spans="6:8" s="32" customFormat="1">
      <c r="F274" s="37"/>
      <c r="H274" s="38"/>
    </row>
    <row r="275" spans="6:8" s="32" customFormat="1">
      <c r="F275" s="37"/>
      <c r="H275" s="38"/>
    </row>
    <row r="276" spans="6:8" s="32" customFormat="1">
      <c r="F276" s="37"/>
      <c r="H276" s="38"/>
    </row>
    <row r="277" spans="6:8" s="32" customFormat="1">
      <c r="F277" s="37"/>
      <c r="H277" s="38"/>
    </row>
    <row r="278" spans="6:8" s="32" customFormat="1">
      <c r="F278" s="37"/>
      <c r="H278" s="38"/>
    </row>
    <row r="279" spans="6:8" s="32" customFormat="1">
      <c r="F279" s="37"/>
      <c r="H279" s="38"/>
    </row>
    <row r="280" spans="6:8" s="32" customFormat="1">
      <c r="F280" s="37"/>
      <c r="H280" s="38"/>
    </row>
    <row r="281" spans="6:8" s="32" customFormat="1">
      <c r="F281" s="37"/>
      <c r="H281" s="38"/>
    </row>
    <row r="282" spans="6:8" s="32" customFormat="1">
      <c r="F282" s="37"/>
      <c r="H282" s="38"/>
    </row>
    <row r="283" spans="6:8" s="32" customFormat="1">
      <c r="F283" s="37"/>
      <c r="H283" s="38"/>
    </row>
    <row r="284" spans="6:8" s="32" customFormat="1">
      <c r="F284" s="37"/>
      <c r="H284" s="38"/>
    </row>
    <row r="285" spans="6:8" s="32" customFormat="1">
      <c r="F285" s="37"/>
      <c r="H285" s="38"/>
    </row>
    <row r="286" spans="6:8" s="32" customFormat="1">
      <c r="F286" s="37"/>
      <c r="H286" s="38"/>
    </row>
    <row r="287" spans="6:8" s="32" customFormat="1">
      <c r="F287" s="37"/>
      <c r="H287" s="38"/>
    </row>
    <row r="288" spans="6:8" s="32" customFormat="1">
      <c r="F288" s="37"/>
      <c r="H288" s="38"/>
    </row>
    <row r="289" spans="6:8" s="32" customFormat="1">
      <c r="F289" s="37"/>
      <c r="H289" s="38"/>
    </row>
    <row r="290" spans="6:8" s="32" customFormat="1">
      <c r="F290" s="37"/>
      <c r="H290" s="38"/>
    </row>
    <row r="291" spans="6:8" s="32" customFormat="1">
      <c r="F291" s="37"/>
      <c r="H291" s="38"/>
    </row>
    <row r="292" spans="6:8" s="32" customFormat="1">
      <c r="F292" s="37"/>
      <c r="H292" s="38"/>
    </row>
    <row r="293" spans="6:8" s="32" customFormat="1">
      <c r="F293" s="37"/>
      <c r="H293" s="38"/>
    </row>
    <row r="294" spans="6:8" s="32" customFormat="1">
      <c r="F294" s="37"/>
      <c r="H294" s="38"/>
    </row>
    <row r="295" spans="6:8" s="32" customFormat="1">
      <c r="F295" s="37"/>
      <c r="H295" s="38"/>
    </row>
    <row r="296" spans="6:8" s="32" customFormat="1">
      <c r="F296" s="37"/>
      <c r="H296" s="38"/>
    </row>
    <row r="297" spans="6:8" s="32" customFormat="1">
      <c r="F297" s="37"/>
      <c r="H297" s="38"/>
    </row>
    <row r="298" spans="6:8" s="32" customFormat="1">
      <c r="F298" s="37"/>
      <c r="H298" s="38"/>
    </row>
    <row r="299" spans="6:8" s="32" customFormat="1">
      <c r="F299" s="37"/>
      <c r="H299" s="38"/>
    </row>
    <row r="300" spans="6:8" s="32" customFormat="1">
      <c r="F300" s="37"/>
      <c r="H300" s="38"/>
    </row>
    <row r="301" spans="6:8" s="32" customFormat="1">
      <c r="F301" s="37"/>
      <c r="H301" s="38"/>
    </row>
    <row r="302" spans="6:8" s="32" customFormat="1">
      <c r="F302" s="37"/>
      <c r="H302" s="38"/>
    </row>
    <row r="303" spans="6:8" s="32" customFormat="1">
      <c r="F303" s="37"/>
      <c r="H303" s="38"/>
    </row>
    <row r="304" spans="6:8" s="32" customFormat="1">
      <c r="F304" s="37"/>
      <c r="H304" s="38"/>
    </row>
    <row r="305" spans="6:8" s="32" customFormat="1">
      <c r="F305" s="37"/>
      <c r="H305" s="38"/>
    </row>
    <row r="306" spans="6:8" s="32" customFormat="1">
      <c r="F306" s="37"/>
      <c r="H306" s="38"/>
    </row>
    <row r="307" spans="6:8" s="32" customFormat="1">
      <c r="F307" s="37"/>
      <c r="H307" s="38"/>
    </row>
    <row r="308" spans="6:8" s="32" customFormat="1">
      <c r="F308" s="37"/>
      <c r="H308" s="38"/>
    </row>
    <row r="309" spans="6:8" s="32" customFormat="1">
      <c r="F309" s="37"/>
      <c r="H309" s="38"/>
    </row>
    <row r="310" spans="6:8" s="32" customFormat="1">
      <c r="F310" s="37"/>
      <c r="H310" s="38"/>
    </row>
    <row r="311" spans="6:8" s="32" customFormat="1">
      <c r="F311" s="37"/>
      <c r="H311" s="38"/>
    </row>
    <row r="312" spans="6:8" s="32" customFormat="1">
      <c r="F312" s="37"/>
      <c r="H312" s="38"/>
    </row>
    <row r="313" spans="6:8" s="32" customFormat="1">
      <c r="F313" s="37"/>
      <c r="H313" s="38"/>
    </row>
    <row r="314" spans="6:8" s="32" customFormat="1">
      <c r="F314" s="37"/>
      <c r="H314" s="38"/>
    </row>
    <row r="315" spans="6:8" s="32" customFormat="1">
      <c r="F315" s="37"/>
      <c r="H315" s="38"/>
    </row>
    <row r="316" spans="6:8" s="32" customFormat="1">
      <c r="F316" s="37"/>
      <c r="H316" s="38"/>
    </row>
    <row r="317" spans="6:8" s="32" customFormat="1">
      <c r="F317" s="37"/>
      <c r="H317" s="38"/>
    </row>
    <row r="318" spans="6:8" s="32" customFormat="1">
      <c r="F318" s="37"/>
      <c r="H318" s="38"/>
    </row>
    <row r="319" spans="6:8" s="32" customFormat="1">
      <c r="F319" s="37"/>
      <c r="H319" s="38"/>
    </row>
    <row r="320" spans="6:8" s="32" customFormat="1">
      <c r="F320" s="37"/>
      <c r="H320" s="38"/>
    </row>
    <row r="321" spans="6:8" s="32" customFormat="1">
      <c r="F321" s="37"/>
      <c r="H321" s="38"/>
    </row>
    <row r="322" spans="6:8" s="32" customFormat="1">
      <c r="F322" s="37"/>
      <c r="H322" s="38"/>
    </row>
    <row r="323" spans="6:8" s="32" customFormat="1">
      <c r="F323" s="37"/>
      <c r="H323" s="38"/>
    </row>
    <row r="324" spans="6:8" s="32" customFormat="1">
      <c r="F324" s="37"/>
      <c r="H324" s="38"/>
    </row>
    <row r="325" spans="6:8" s="32" customFormat="1">
      <c r="F325" s="37"/>
      <c r="H325" s="38"/>
    </row>
    <row r="326" spans="6:8" s="32" customFormat="1">
      <c r="F326" s="37"/>
      <c r="H326" s="38"/>
    </row>
    <row r="327" spans="6:8" s="32" customFormat="1">
      <c r="F327" s="37"/>
      <c r="H327" s="38"/>
    </row>
    <row r="328" spans="6:8" s="32" customFormat="1">
      <c r="F328" s="37"/>
      <c r="H328" s="38"/>
    </row>
    <row r="329" spans="6:8" s="32" customFormat="1">
      <c r="F329" s="37"/>
      <c r="H329" s="38"/>
    </row>
    <row r="330" spans="6:8" s="32" customFormat="1">
      <c r="F330" s="37"/>
      <c r="H330" s="38"/>
    </row>
    <row r="331" spans="6:8" s="32" customFormat="1">
      <c r="F331" s="37"/>
      <c r="H331" s="38"/>
    </row>
    <row r="332" spans="6:8" s="32" customFormat="1">
      <c r="F332" s="37"/>
      <c r="H332" s="38"/>
    </row>
    <row r="333" spans="6:8" s="32" customFormat="1">
      <c r="F333" s="37"/>
      <c r="H333" s="38"/>
    </row>
    <row r="334" spans="6:8" s="32" customFormat="1">
      <c r="F334" s="37"/>
      <c r="H334" s="38"/>
    </row>
    <row r="335" spans="6:8" s="32" customFormat="1">
      <c r="F335" s="37"/>
      <c r="H335" s="38"/>
    </row>
    <row r="336" spans="6:8" s="32" customFormat="1">
      <c r="F336" s="37"/>
      <c r="H336" s="38"/>
    </row>
    <row r="337" spans="6:8" s="32" customFormat="1">
      <c r="F337" s="37"/>
      <c r="H337" s="38"/>
    </row>
    <row r="338" spans="6:8" s="32" customFormat="1">
      <c r="F338" s="37"/>
      <c r="H338" s="38"/>
    </row>
    <row r="339" spans="6:8" s="32" customFormat="1">
      <c r="F339" s="37"/>
      <c r="H339" s="38"/>
    </row>
    <row r="340" spans="6:8" s="32" customFormat="1">
      <c r="F340" s="37"/>
      <c r="H340" s="38"/>
    </row>
    <row r="341" spans="6:8" s="32" customFormat="1">
      <c r="F341" s="37"/>
      <c r="H341" s="38"/>
    </row>
    <row r="342" spans="6:8" s="32" customFormat="1">
      <c r="F342" s="37"/>
      <c r="H342" s="38"/>
    </row>
    <row r="343" spans="6:8" s="32" customFormat="1">
      <c r="F343" s="37"/>
      <c r="H343" s="38"/>
    </row>
    <row r="344" spans="6:8" s="32" customFormat="1">
      <c r="F344" s="37"/>
      <c r="H344" s="38"/>
    </row>
    <row r="345" spans="6:8" s="32" customFormat="1">
      <c r="F345" s="37"/>
      <c r="H345" s="38"/>
    </row>
    <row r="346" spans="6:8" s="32" customFormat="1">
      <c r="F346" s="37"/>
      <c r="H346" s="38"/>
    </row>
    <row r="347" spans="6:8" s="32" customFormat="1">
      <c r="F347" s="37"/>
      <c r="H347" s="38"/>
    </row>
    <row r="348" spans="6:8" s="32" customFormat="1">
      <c r="F348" s="37"/>
      <c r="H348" s="38"/>
    </row>
    <row r="349" spans="6:8" s="32" customFormat="1">
      <c r="F349" s="37"/>
      <c r="H349" s="38"/>
    </row>
    <row r="350" spans="6:8" s="32" customFormat="1">
      <c r="F350" s="37"/>
      <c r="H350" s="38"/>
    </row>
    <row r="351" spans="6:8" s="32" customFormat="1">
      <c r="F351" s="37"/>
      <c r="H351" s="38"/>
    </row>
    <row r="352" spans="6:8" s="32" customFormat="1">
      <c r="F352" s="37"/>
      <c r="H352" s="38"/>
    </row>
    <row r="353" spans="6:8" s="32" customFormat="1">
      <c r="F353" s="37"/>
      <c r="H353" s="38"/>
    </row>
    <row r="354" spans="6:8" s="32" customFormat="1">
      <c r="F354" s="37"/>
      <c r="H354" s="38"/>
    </row>
    <row r="355" spans="6:8" s="32" customFormat="1">
      <c r="F355" s="37"/>
      <c r="H355" s="38"/>
    </row>
    <row r="356" spans="6:8" s="32" customFormat="1">
      <c r="F356" s="37"/>
      <c r="H356" s="38"/>
    </row>
    <row r="357" spans="6:8" s="32" customFormat="1">
      <c r="F357" s="37"/>
      <c r="H357" s="38"/>
    </row>
    <row r="358" spans="6:8" s="32" customFormat="1">
      <c r="F358" s="37"/>
      <c r="H358" s="38"/>
    </row>
    <row r="359" spans="6:8" s="32" customFormat="1">
      <c r="F359" s="37"/>
      <c r="H359" s="38"/>
    </row>
    <row r="360" spans="6:8" s="32" customFormat="1">
      <c r="F360" s="37"/>
      <c r="H360" s="38"/>
    </row>
    <row r="361" spans="6:8" s="32" customFormat="1">
      <c r="F361" s="37"/>
      <c r="H361" s="38"/>
    </row>
    <row r="362" spans="6:8" s="32" customFormat="1">
      <c r="F362" s="37"/>
      <c r="H362" s="38"/>
    </row>
    <row r="363" spans="6:8" s="32" customFormat="1">
      <c r="F363" s="37"/>
      <c r="H363" s="38"/>
    </row>
    <row r="364" spans="6:8" s="32" customFormat="1">
      <c r="F364" s="37"/>
      <c r="H364" s="38"/>
    </row>
    <row r="365" spans="6:8" s="32" customFormat="1">
      <c r="F365" s="37"/>
      <c r="H365" s="38"/>
    </row>
    <row r="366" spans="6:8" s="32" customFormat="1">
      <c r="F366" s="37"/>
      <c r="H366" s="38"/>
    </row>
    <row r="367" spans="6:8" s="32" customFormat="1">
      <c r="F367" s="37"/>
      <c r="H367" s="38"/>
    </row>
    <row r="368" spans="6:8" s="32" customFormat="1">
      <c r="F368" s="37"/>
      <c r="H368" s="38"/>
    </row>
    <row r="369" spans="6:8" s="32" customFormat="1">
      <c r="F369" s="37"/>
      <c r="H369" s="38"/>
    </row>
    <row r="370" spans="6:8" s="32" customFormat="1">
      <c r="F370" s="37"/>
      <c r="H370" s="38"/>
    </row>
    <row r="371" spans="6:8" s="32" customFormat="1">
      <c r="F371" s="37"/>
      <c r="H371" s="38"/>
    </row>
    <row r="372" spans="6:8" s="32" customFormat="1">
      <c r="F372" s="37"/>
      <c r="H372" s="38"/>
    </row>
    <row r="373" spans="6:8" s="32" customFormat="1">
      <c r="F373" s="37"/>
      <c r="H373" s="38"/>
    </row>
    <row r="374" spans="6:8" s="32" customFormat="1">
      <c r="F374" s="37"/>
      <c r="H374" s="38"/>
    </row>
    <row r="375" spans="6:8" s="32" customFormat="1">
      <c r="F375" s="37"/>
      <c r="H375" s="38"/>
    </row>
    <row r="376" spans="6:8" s="32" customFormat="1">
      <c r="F376" s="37"/>
      <c r="H376" s="38"/>
    </row>
    <row r="377" spans="6:8" s="32" customFormat="1">
      <c r="F377" s="37"/>
      <c r="H377" s="38"/>
    </row>
    <row r="378" spans="6:8" s="32" customFormat="1">
      <c r="F378" s="37"/>
      <c r="H378" s="38"/>
    </row>
    <row r="379" spans="6:8" s="32" customFormat="1">
      <c r="F379" s="37"/>
      <c r="H379" s="38"/>
    </row>
    <row r="380" spans="6:8" s="32" customFormat="1">
      <c r="F380" s="37"/>
      <c r="H380" s="38"/>
    </row>
    <row r="381" spans="6:8" s="32" customFormat="1">
      <c r="F381" s="37"/>
      <c r="H381" s="38"/>
    </row>
    <row r="382" spans="6:8" s="32" customFormat="1">
      <c r="F382" s="37"/>
      <c r="H382" s="38"/>
    </row>
    <row r="383" spans="6:8" s="32" customFormat="1">
      <c r="F383" s="37"/>
      <c r="H383" s="38"/>
    </row>
    <row r="384" spans="6:8" s="32" customFormat="1">
      <c r="F384" s="37"/>
      <c r="H384" s="38"/>
    </row>
    <row r="385" spans="6:8" s="32" customFormat="1">
      <c r="F385" s="37"/>
      <c r="H385" s="38"/>
    </row>
    <row r="386" spans="6:8" s="32" customFormat="1">
      <c r="F386" s="37"/>
      <c r="H386" s="38"/>
    </row>
    <row r="387" spans="6:8" s="32" customFormat="1">
      <c r="F387" s="37"/>
      <c r="H387" s="38"/>
    </row>
    <row r="388" spans="6:8" s="32" customFormat="1">
      <c r="F388" s="37"/>
      <c r="H388" s="38"/>
    </row>
    <row r="389" spans="6:8" s="32" customFormat="1">
      <c r="F389" s="37"/>
      <c r="H389" s="38"/>
    </row>
    <row r="390" spans="6:8" s="32" customFormat="1">
      <c r="F390" s="37"/>
      <c r="H390" s="38"/>
    </row>
    <row r="391" spans="6:8" s="32" customFormat="1">
      <c r="F391" s="37"/>
      <c r="H391" s="38"/>
    </row>
    <row r="392" spans="6:8" s="32" customFormat="1">
      <c r="F392" s="37"/>
      <c r="H392" s="38"/>
    </row>
    <row r="393" spans="6:8" s="32" customFormat="1">
      <c r="F393" s="37"/>
      <c r="H393" s="38"/>
    </row>
    <row r="394" spans="6:8" s="32" customFormat="1">
      <c r="F394" s="37"/>
      <c r="H394" s="38"/>
    </row>
    <row r="395" spans="6:8" s="32" customFormat="1">
      <c r="F395" s="37"/>
      <c r="H395" s="38"/>
    </row>
    <row r="396" spans="6:8" s="32" customFormat="1">
      <c r="F396" s="37"/>
      <c r="H396" s="38"/>
    </row>
    <row r="397" spans="6:8" s="32" customFormat="1">
      <c r="F397" s="37"/>
      <c r="H397" s="38"/>
    </row>
    <row r="398" spans="6:8" s="32" customFormat="1">
      <c r="F398" s="37"/>
      <c r="H398" s="38"/>
    </row>
    <row r="399" spans="6:8" s="32" customFormat="1">
      <c r="F399" s="37"/>
      <c r="H399" s="38"/>
    </row>
    <row r="400" spans="6:8" s="32" customFormat="1">
      <c r="F400" s="37"/>
      <c r="H400" s="38"/>
    </row>
    <row r="401" spans="6:8" s="32" customFormat="1">
      <c r="F401" s="37"/>
      <c r="H401" s="38"/>
    </row>
    <row r="402" spans="6:8" s="32" customFormat="1">
      <c r="F402" s="37"/>
      <c r="H402" s="38"/>
    </row>
    <row r="403" spans="6:8" s="32" customFormat="1">
      <c r="F403" s="37"/>
      <c r="H403" s="38"/>
    </row>
    <row r="404" spans="6:8" s="32" customFormat="1">
      <c r="F404" s="37"/>
      <c r="H404" s="38"/>
    </row>
    <row r="405" spans="6:8" s="32" customFormat="1">
      <c r="F405" s="37"/>
      <c r="H405" s="38"/>
    </row>
    <row r="406" spans="6:8" s="32" customFormat="1">
      <c r="F406" s="37"/>
      <c r="H406" s="38"/>
    </row>
    <row r="407" spans="6:8" s="32" customFormat="1">
      <c r="F407" s="37"/>
      <c r="H407" s="38"/>
    </row>
    <row r="408" spans="6:8" s="32" customFormat="1">
      <c r="F408" s="37"/>
      <c r="H408" s="38"/>
    </row>
    <row r="409" spans="6:8" s="32" customFormat="1">
      <c r="F409" s="37"/>
      <c r="H409" s="38"/>
    </row>
    <row r="410" spans="6:8" s="32" customFormat="1">
      <c r="F410" s="37"/>
      <c r="H410" s="38"/>
    </row>
    <row r="411" spans="6:8" s="32" customFormat="1">
      <c r="F411" s="37"/>
      <c r="H411" s="38"/>
    </row>
    <row r="412" spans="6:8" s="32" customFormat="1">
      <c r="F412" s="37"/>
      <c r="H412" s="38"/>
    </row>
    <row r="413" spans="6:8" s="32" customFormat="1">
      <c r="F413" s="37"/>
      <c r="H413" s="38"/>
    </row>
    <row r="414" spans="6:8" s="32" customFormat="1">
      <c r="F414" s="37"/>
      <c r="H414" s="38"/>
    </row>
    <row r="415" spans="6:8" s="32" customFormat="1">
      <c r="F415" s="37"/>
      <c r="H415" s="38"/>
    </row>
    <row r="416" spans="6:8" s="32" customFormat="1">
      <c r="F416" s="37"/>
      <c r="H416" s="38"/>
    </row>
    <row r="417" spans="6:8" s="32" customFormat="1">
      <c r="F417" s="37"/>
      <c r="H417" s="38"/>
    </row>
    <row r="418" spans="6:8" s="32" customFormat="1">
      <c r="F418" s="37"/>
      <c r="H418" s="38"/>
    </row>
    <row r="419" spans="6:8" s="32" customFormat="1">
      <c r="F419" s="37"/>
      <c r="H419" s="38"/>
    </row>
    <row r="420" spans="6:8" s="32" customFormat="1">
      <c r="F420" s="37"/>
      <c r="H420" s="38"/>
    </row>
    <row r="421" spans="6:8" s="32" customFormat="1">
      <c r="F421" s="37"/>
      <c r="H421" s="38"/>
    </row>
    <row r="422" spans="6:8" s="32" customFormat="1">
      <c r="F422" s="37"/>
      <c r="H422" s="38"/>
    </row>
    <row r="423" spans="6:8" s="32" customFormat="1">
      <c r="F423" s="37"/>
      <c r="H423" s="38"/>
    </row>
    <row r="424" spans="6:8" s="32" customFormat="1">
      <c r="F424" s="37"/>
      <c r="H424" s="38"/>
    </row>
    <row r="425" spans="6:8" s="32" customFormat="1">
      <c r="F425" s="37"/>
      <c r="H425" s="38"/>
    </row>
    <row r="426" spans="6:8" s="32" customFormat="1">
      <c r="F426" s="37"/>
      <c r="H426" s="38"/>
    </row>
    <row r="427" spans="6:8" s="32" customFormat="1">
      <c r="F427" s="37"/>
      <c r="H427" s="38"/>
    </row>
    <row r="428" spans="6:8" s="32" customFormat="1">
      <c r="F428" s="37"/>
      <c r="H428" s="38"/>
    </row>
    <row r="429" spans="6:8" s="32" customFormat="1">
      <c r="F429" s="37"/>
      <c r="H429" s="38"/>
    </row>
    <row r="430" spans="6:8" s="32" customFormat="1">
      <c r="F430" s="37"/>
      <c r="H430" s="38"/>
    </row>
    <row r="431" spans="6:8" s="32" customFormat="1">
      <c r="F431" s="37"/>
      <c r="H431" s="38"/>
    </row>
    <row r="432" spans="6:8" s="32" customFormat="1">
      <c r="F432" s="37"/>
      <c r="H432" s="38"/>
    </row>
    <row r="433" spans="6:8" s="32" customFormat="1">
      <c r="F433" s="37"/>
      <c r="H433" s="38"/>
    </row>
    <row r="434" spans="6:8" s="32" customFormat="1">
      <c r="F434" s="37"/>
      <c r="H434" s="38"/>
    </row>
    <row r="435" spans="6:8" s="32" customFormat="1">
      <c r="F435" s="37"/>
      <c r="H435" s="38"/>
    </row>
    <row r="436" spans="6:8" s="32" customFormat="1">
      <c r="F436" s="37"/>
      <c r="H436" s="38"/>
    </row>
    <row r="437" spans="6:8" s="32" customFormat="1">
      <c r="F437" s="37"/>
      <c r="H437" s="38"/>
    </row>
    <row r="438" spans="6:8" s="32" customFormat="1">
      <c r="F438" s="37"/>
      <c r="H438" s="38"/>
    </row>
    <row r="439" spans="6:8" s="32" customFormat="1">
      <c r="F439" s="37"/>
      <c r="H439" s="38"/>
    </row>
    <row r="440" spans="6:8" s="32" customFormat="1">
      <c r="F440" s="37"/>
      <c r="H440" s="38"/>
    </row>
    <row r="441" spans="6:8" s="32" customFormat="1">
      <c r="F441" s="37"/>
      <c r="H441" s="38"/>
    </row>
    <row r="442" spans="6:8" s="32" customFormat="1">
      <c r="F442" s="37"/>
      <c r="H442" s="38"/>
    </row>
    <row r="443" spans="6:8" s="32" customFormat="1">
      <c r="F443" s="37"/>
      <c r="H443" s="38"/>
    </row>
    <row r="444" spans="6:8" s="32" customFormat="1">
      <c r="F444" s="37"/>
      <c r="H444" s="38"/>
    </row>
    <row r="445" spans="6:8" s="32" customFormat="1">
      <c r="F445" s="37"/>
      <c r="H445" s="38"/>
    </row>
    <row r="446" spans="6:8" s="32" customFormat="1">
      <c r="F446" s="37"/>
      <c r="H446" s="38"/>
    </row>
    <row r="447" spans="6:8" s="32" customFormat="1">
      <c r="F447" s="37"/>
      <c r="H447" s="38"/>
    </row>
    <row r="448" spans="6:8" s="32" customFormat="1">
      <c r="F448" s="37"/>
      <c r="H448" s="38"/>
    </row>
    <row r="449" spans="6:8" s="32" customFormat="1">
      <c r="F449" s="37"/>
      <c r="H449" s="38"/>
    </row>
    <row r="450" spans="6:8" s="32" customFormat="1">
      <c r="F450" s="37"/>
      <c r="H450" s="38"/>
    </row>
    <row r="451" spans="6:8" s="32" customFormat="1">
      <c r="F451" s="37"/>
      <c r="H451" s="38"/>
    </row>
    <row r="452" spans="6:8" s="32" customFormat="1">
      <c r="F452" s="37"/>
      <c r="H452" s="38"/>
    </row>
    <row r="453" spans="6:8" s="32" customFormat="1">
      <c r="F453" s="37"/>
      <c r="H453" s="38"/>
    </row>
    <row r="454" spans="6:8" s="32" customFormat="1">
      <c r="F454" s="37"/>
      <c r="H454" s="38"/>
    </row>
    <row r="455" spans="6:8" s="32" customFormat="1">
      <c r="F455" s="37"/>
      <c r="H455" s="38"/>
    </row>
    <row r="456" spans="6:8" s="32" customFormat="1">
      <c r="F456" s="37"/>
      <c r="H456" s="38"/>
    </row>
    <row r="457" spans="6:8" s="32" customFormat="1">
      <c r="F457" s="37"/>
      <c r="H457" s="38"/>
    </row>
    <row r="458" spans="6:8" s="32" customFormat="1">
      <c r="F458" s="37"/>
      <c r="H458" s="38"/>
    </row>
    <row r="459" spans="6:8" s="32" customFormat="1">
      <c r="F459" s="37"/>
      <c r="H459" s="38"/>
    </row>
    <row r="460" spans="6:8" s="32" customFormat="1">
      <c r="F460" s="37"/>
      <c r="H460" s="38"/>
    </row>
    <row r="461" spans="6:8" s="32" customFormat="1">
      <c r="F461" s="37"/>
      <c r="H461" s="38"/>
    </row>
    <row r="462" spans="6:8" s="32" customFormat="1">
      <c r="F462" s="37"/>
      <c r="H462" s="38"/>
    </row>
    <row r="463" spans="6:8" s="32" customFormat="1">
      <c r="F463" s="37"/>
      <c r="H463" s="38"/>
    </row>
    <row r="464" spans="6:8" s="32" customFormat="1">
      <c r="F464" s="37"/>
      <c r="H464" s="38"/>
    </row>
    <row r="465" spans="6:8" s="32" customFormat="1">
      <c r="F465" s="37"/>
      <c r="H465" s="38"/>
    </row>
    <row r="466" spans="6:8" s="32" customFormat="1">
      <c r="F466" s="37"/>
      <c r="H466" s="38"/>
    </row>
    <row r="467" spans="6:8" s="32" customFormat="1">
      <c r="F467" s="37"/>
      <c r="H467" s="38"/>
    </row>
    <row r="468" spans="6:8" s="32" customFormat="1">
      <c r="F468" s="37"/>
      <c r="H468" s="38"/>
    </row>
    <row r="469" spans="6:8" s="32" customFormat="1">
      <c r="F469" s="37"/>
      <c r="H469" s="38"/>
    </row>
    <row r="470" spans="6:8" s="32" customFormat="1">
      <c r="F470" s="37"/>
      <c r="H470" s="38"/>
    </row>
    <row r="471" spans="6:8" s="32" customFormat="1">
      <c r="F471" s="37"/>
      <c r="H471" s="38"/>
    </row>
    <row r="472" spans="6:8" s="32" customFormat="1">
      <c r="F472" s="37"/>
      <c r="H472" s="38"/>
    </row>
    <row r="473" spans="6:8" s="32" customFormat="1">
      <c r="F473" s="37"/>
      <c r="H473" s="38"/>
    </row>
    <row r="474" spans="6:8" s="32" customFormat="1">
      <c r="F474" s="37"/>
      <c r="H474" s="38"/>
    </row>
    <row r="475" spans="6:8" s="32" customFormat="1">
      <c r="F475" s="37"/>
      <c r="H475" s="38"/>
    </row>
    <row r="476" spans="6:8" s="32" customFormat="1">
      <c r="F476" s="37"/>
      <c r="H476" s="38"/>
    </row>
    <row r="477" spans="6:8" s="32" customFormat="1">
      <c r="F477" s="37"/>
      <c r="H477" s="38"/>
    </row>
    <row r="478" spans="6:8" s="32" customFormat="1">
      <c r="F478" s="37"/>
      <c r="H478" s="38"/>
    </row>
    <row r="479" spans="6:8" s="32" customFormat="1">
      <c r="F479" s="37"/>
      <c r="H479" s="38"/>
    </row>
    <row r="480" spans="6:8" s="32" customFormat="1">
      <c r="F480" s="37"/>
      <c r="H480" s="38"/>
    </row>
    <row r="481" spans="6:8" s="32" customFormat="1">
      <c r="F481" s="37"/>
      <c r="H481" s="38"/>
    </row>
    <row r="482" spans="6:8" s="32" customFormat="1">
      <c r="F482" s="37"/>
      <c r="H482" s="38"/>
    </row>
    <row r="483" spans="6:8" s="32" customFormat="1">
      <c r="F483" s="37"/>
      <c r="H483" s="38"/>
    </row>
    <row r="484" spans="6:8" s="32" customFormat="1">
      <c r="F484" s="37"/>
      <c r="H484" s="38"/>
    </row>
    <row r="485" spans="6:8" s="32" customFormat="1">
      <c r="F485" s="37"/>
      <c r="H485" s="38"/>
    </row>
    <row r="486" spans="6:8" s="32" customFormat="1">
      <c r="F486" s="37"/>
      <c r="H486" s="38"/>
    </row>
    <row r="487" spans="6:8" s="32" customFormat="1">
      <c r="F487" s="37"/>
      <c r="H487" s="38"/>
    </row>
    <row r="488" spans="6:8" s="32" customFormat="1">
      <c r="F488" s="37"/>
      <c r="H488" s="38"/>
    </row>
    <row r="489" spans="6:8" s="32" customFormat="1">
      <c r="F489" s="37"/>
      <c r="H489" s="38"/>
    </row>
    <row r="490" spans="6:8" s="32" customFormat="1">
      <c r="F490" s="37"/>
      <c r="H490" s="38"/>
    </row>
    <row r="491" spans="6:8" s="32" customFormat="1">
      <c r="F491" s="37"/>
      <c r="H491" s="38"/>
    </row>
    <row r="492" spans="6:8" s="32" customFormat="1">
      <c r="F492" s="37"/>
      <c r="H492" s="38"/>
    </row>
    <row r="493" spans="6:8" s="32" customFormat="1">
      <c r="F493" s="37"/>
      <c r="H493" s="38"/>
    </row>
    <row r="494" spans="6:8" s="32" customFormat="1">
      <c r="F494" s="37"/>
      <c r="H494" s="38"/>
    </row>
    <row r="495" spans="6:8" s="32" customFormat="1">
      <c r="F495" s="37"/>
      <c r="H495" s="38"/>
    </row>
    <row r="496" spans="6:8" s="32" customFormat="1">
      <c r="F496" s="37"/>
      <c r="H496" s="38"/>
    </row>
    <row r="497" spans="6:8" s="32" customFormat="1">
      <c r="F497" s="37"/>
      <c r="H497" s="38"/>
    </row>
    <row r="498" spans="6:8" s="32" customFormat="1">
      <c r="F498" s="37"/>
      <c r="H498" s="38"/>
    </row>
    <row r="499" spans="6:8" s="32" customFormat="1">
      <c r="F499" s="37"/>
      <c r="H499" s="38"/>
    </row>
    <row r="500" spans="6:8" s="32" customFormat="1">
      <c r="F500" s="37"/>
      <c r="H500" s="38"/>
    </row>
    <row r="501" spans="6:8" s="32" customFormat="1">
      <c r="F501" s="37"/>
      <c r="H501" s="38"/>
    </row>
    <row r="502" spans="6:8" s="32" customFormat="1">
      <c r="F502" s="37"/>
      <c r="H502" s="38"/>
    </row>
    <row r="503" spans="6:8" s="32" customFormat="1">
      <c r="F503" s="37"/>
      <c r="H503" s="38"/>
    </row>
    <row r="504" spans="6:8" s="32" customFormat="1">
      <c r="F504" s="37"/>
      <c r="H504" s="38"/>
    </row>
    <row r="505" spans="6:8" s="32" customFormat="1">
      <c r="F505" s="37"/>
      <c r="H505" s="38"/>
    </row>
    <row r="506" spans="6:8" s="32" customFormat="1">
      <c r="F506" s="37"/>
      <c r="H506" s="38"/>
    </row>
    <row r="507" spans="6:8" s="32" customFormat="1">
      <c r="F507" s="37"/>
      <c r="H507" s="38"/>
    </row>
    <row r="508" spans="6:8" s="32" customFormat="1">
      <c r="F508" s="37"/>
      <c r="H508" s="38"/>
    </row>
    <row r="509" spans="6:8" s="32" customFormat="1">
      <c r="F509" s="37"/>
      <c r="H509" s="38"/>
    </row>
    <row r="510" spans="6:8" s="32" customFormat="1">
      <c r="F510" s="37"/>
      <c r="H510" s="38"/>
    </row>
    <row r="511" spans="6:8" s="32" customFormat="1">
      <c r="F511" s="37"/>
      <c r="H511" s="38"/>
    </row>
    <row r="512" spans="6:8" s="32" customFormat="1">
      <c r="F512" s="37"/>
      <c r="H512" s="38"/>
    </row>
    <row r="513" spans="6:8" s="32" customFormat="1">
      <c r="F513" s="37"/>
      <c r="H513" s="38"/>
    </row>
    <row r="514" spans="6:8" s="32" customFormat="1">
      <c r="F514" s="37"/>
      <c r="H514" s="38"/>
    </row>
    <row r="515" spans="6:8" s="32" customFormat="1">
      <c r="F515" s="37"/>
      <c r="H515" s="38"/>
    </row>
    <row r="516" spans="6:8" s="32" customFormat="1">
      <c r="F516" s="37"/>
      <c r="H516" s="38"/>
    </row>
    <row r="517" spans="6:8" s="32" customFormat="1">
      <c r="F517" s="37"/>
      <c r="H517" s="38"/>
    </row>
    <row r="518" spans="6:8" s="32" customFormat="1">
      <c r="F518" s="37"/>
      <c r="H518" s="38"/>
    </row>
    <row r="519" spans="6:8" s="32" customFormat="1">
      <c r="F519" s="37"/>
      <c r="H519" s="38"/>
    </row>
    <row r="520" spans="6:8" s="32" customFormat="1">
      <c r="F520" s="37"/>
      <c r="H520" s="38"/>
    </row>
    <row r="521" spans="6:8" s="32" customFormat="1">
      <c r="F521" s="37"/>
      <c r="H521" s="38"/>
    </row>
    <row r="522" spans="6:8" s="32" customFormat="1">
      <c r="F522" s="37"/>
      <c r="H522" s="38"/>
    </row>
    <row r="523" spans="6:8" s="32" customFormat="1">
      <c r="F523" s="37"/>
      <c r="H523" s="38"/>
    </row>
    <row r="524" spans="6:8" s="32" customFormat="1">
      <c r="F524" s="37"/>
      <c r="H524" s="38"/>
    </row>
    <row r="525" spans="6:8" s="32" customFormat="1">
      <c r="F525" s="37"/>
      <c r="H525" s="38"/>
    </row>
    <row r="526" spans="6:8" s="32" customFormat="1">
      <c r="F526" s="37"/>
      <c r="H526" s="38"/>
    </row>
    <row r="527" spans="6:8" s="32" customFormat="1">
      <c r="F527" s="37"/>
      <c r="H527" s="38"/>
    </row>
    <row r="528" spans="6:8" s="32" customFormat="1">
      <c r="F528" s="37"/>
      <c r="H528" s="38"/>
    </row>
    <row r="529" spans="6:8" s="32" customFormat="1">
      <c r="F529" s="37"/>
      <c r="H529" s="38"/>
    </row>
    <row r="530" spans="6:8" s="32" customFormat="1">
      <c r="F530" s="37"/>
      <c r="H530" s="38"/>
    </row>
    <row r="531" spans="6:8" s="32" customFormat="1">
      <c r="F531" s="37"/>
      <c r="H531" s="38"/>
    </row>
    <row r="532" spans="6:8" s="32" customFormat="1">
      <c r="F532" s="37"/>
      <c r="H532" s="38"/>
    </row>
    <row r="533" spans="6:8" s="32" customFormat="1">
      <c r="F533" s="37"/>
      <c r="H533" s="38"/>
    </row>
    <row r="534" spans="6:8" s="32" customFormat="1">
      <c r="F534" s="37"/>
      <c r="H534" s="38"/>
    </row>
    <row r="535" spans="6:8" s="32" customFormat="1">
      <c r="F535" s="37"/>
      <c r="H535" s="38"/>
    </row>
    <row r="536" spans="6:8" s="32" customFormat="1">
      <c r="F536" s="37"/>
      <c r="H536" s="38"/>
    </row>
    <row r="537" spans="6:8" s="32" customFormat="1">
      <c r="F537" s="37"/>
      <c r="H537" s="38"/>
    </row>
    <row r="538" spans="6:8" s="32" customFormat="1">
      <c r="F538" s="37"/>
      <c r="H538" s="38"/>
    </row>
    <row r="539" spans="6:8" s="32" customFormat="1">
      <c r="F539" s="37"/>
      <c r="H539" s="38"/>
    </row>
    <row r="540" spans="6:8" s="32" customFormat="1">
      <c r="F540" s="37"/>
      <c r="H540" s="38"/>
    </row>
    <row r="541" spans="6:8" s="32" customFormat="1">
      <c r="F541" s="37"/>
      <c r="H541" s="38"/>
    </row>
    <row r="542" spans="6:8" s="32" customFormat="1">
      <c r="F542" s="37"/>
      <c r="H542" s="38"/>
    </row>
    <row r="543" spans="6:8" s="32" customFormat="1">
      <c r="F543" s="37"/>
      <c r="H543" s="38"/>
    </row>
    <row r="544" spans="6:8" s="32" customFormat="1">
      <c r="F544" s="37"/>
      <c r="H544" s="38"/>
    </row>
    <row r="545" spans="6:8" s="32" customFormat="1">
      <c r="F545" s="37"/>
      <c r="H545" s="38"/>
    </row>
    <row r="546" spans="6:8" s="32" customFormat="1">
      <c r="F546" s="37"/>
      <c r="H546" s="38"/>
    </row>
    <row r="547" spans="6:8" s="32" customFormat="1">
      <c r="F547" s="37"/>
      <c r="H547" s="38"/>
    </row>
    <row r="548" spans="6:8" s="32" customFormat="1">
      <c r="F548" s="37"/>
      <c r="H548" s="38"/>
    </row>
    <row r="549" spans="6:8" s="32" customFormat="1">
      <c r="F549" s="37"/>
      <c r="H549" s="38"/>
    </row>
    <row r="550" spans="6:8" s="32" customFormat="1">
      <c r="F550" s="37"/>
      <c r="H550" s="38"/>
    </row>
    <row r="551" spans="6:8" s="32" customFormat="1">
      <c r="F551" s="37"/>
      <c r="H551" s="38"/>
    </row>
    <row r="552" spans="6:8" s="32" customFormat="1">
      <c r="F552" s="37"/>
      <c r="H552" s="38"/>
    </row>
    <row r="553" spans="6:8" s="32" customFormat="1">
      <c r="F553" s="37"/>
      <c r="H553" s="38"/>
    </row>
    <row r="554" spans="6:8" s="32" customFormat="1">
      <c r="F554" s="37"/>
      <c r="H554" s="38"/>
    </row>
    <row r="555" spans="6:8" s="32" customFormat="1">
      <c r="F555" s="37"/>
      <c r="H555" s="38"/>
    </row>
    <row r="556" spans="6:8" s="32" customFormat="1">
      <c r="F556" s="37"/>
      <c r="H556" s="38"/>
    </row>
    <row r="557" spans="6:8" s="32" customFormat="1">
      <c r="F557" s="37"/>
      <c r="H557" s="38"/>
    </row>
    <row r="558" spans="6:8" s="32" customFormat="1">
      <c r="F558" s="37"/>
      <c r="H558" s="38"/>
    </row>
    <row r="559" spans="6:8" s="32" customFormat="1">
      <c r="F559" s="37"/>
      <c r="H559" s="38"/>
    </row>
    <row r="560" spans="6:8" s="32" customFormat="1">
      <c r="F560" s="37"/>
      <c r="H560" s="38"/>
    </row>
    <row r="561" spans="6:8" s="32" customFormat="1">
      <c r="F561" s="37"/>
      <c r="H561" s="38"/>
    </row>
    <row r="562" spans="6:8" s="32" customFormat="1">
      <c r="F562" s="37"/>
      <c r="H562" s="38"/>
    </row>
    <row r="563" spans="6:8" s="32" customFormat="1">
      <c r="F563" s="37"/>
      <c r="H563" s="38"/>
    </row>
    <row r="564" spans="6:8" s="32" customFormat="1">
      <c r="F564" s="37"/>
      <c r="H564" s="38"/>
    </row>
    <row r="565" spans="6:8" s="32" customFormat="1">
      <c r="F565" s="37"/>
      <c r="H565" s="38"/>
    </row>
    <row r="566" spans="6:8" s="32" customFormat="1">
      <c r="F566" s="37"/>
      <c r="H566" s="38"/>
    </row>
    <row r="567" spans="6:8" s="32" customFormat="1">
      <c r="F567" s="37"/>
      <c r="H567" s="38"/>
    </row>
    <row r="568" spans="6:8" s="32" customFormat="1">
      <c r="F568" s="37"/>
      <c r="H568" s="38"/>
    </row>
    <row r="569" spans="6:8" s="32" customFormat="1">
      <c r="F569" s="37"/>
      <c r="H569" s="38"/>
    </row>
    <row r="570" spans="6:8" s="32" customFormat="1">
      <c r="F570" s="37"/>
      <c r="H570" s="38"/>
    </row>
    <row r="571" spans="6:8" s="32" customFormat="1">
      <c r="F571" s="37"/>
      <c r="H571" s="38"/>
    </row>
    <row r="572" spans="6:8" s="32" customFormat="1">
      <c r="F572" s="37"/>
      <c r="H572" s="38"/>
    </row>
    <row r="573" spans="6:8" s="32" customFormat="1">
      <c r="F573" s="37"/>
      <c r="H573" s="38"/>
    </row>
    <row r="574" spans="6:8" s="32" customFormat="1">
      <c r="F574" s="37"/>
      <c r="H574" s="38"/>
    </row>
    <row r="575" spans="6:8" s="32" customFormat="1">
      <c r="F575" s="37"/>
      <c r="H575" s="38"/>
    </row>
    <row r="576" spans="6:8" s="32" customFormat="1">
      <c r="F576" s="37"/>
      <c r="H576" s="38"/>
    </row>
    <row r="577" spans="6:8" s="32" customFormat="1">
      <c r="F577" s="37"/>
      <c r="H577" s="38"/>
    </row>
    <row r="578" spans="6:8" s="32" customFormat="1">
      <c r="F578" s="37"/>
      <c r="H578" s="38"/>
    </row>
    <row r="579" spans="6:8" s="32" customFormat="1">
      <c r="F579" s="37"/>
      <c r="H579" s="38"/>
    </row>
    <row r="580" spans="6:8" s="32" customFormat="1">
      <c r="F580" s="37"/>
      <c r="H580" s="38"/>
    </row>
    <row r="581" spans="6:8" s="32" customFormat="1">
      <c r="F581" s="37"/>
      <c r="H581" s="38"/>
    </row>
    <row r="582" spans="6:8" s="32" customFormat="1">
      <c r="F582" s="37"/>
      <c r="H582" s="38"/>
    </row>
    <row r="583" spans="6:8" s="32" customFormat="1">
      <c r="F583" s="37"/>
      <c r="H583" s="38"/>
    </row>
    <row r="584" spans="6:8" s="32" customFormat="1">
      <c r="F584" s="37"/>
      <c r="H584" s="38"/>
    </row>
    <row r="585" spans="6:8" s="32" customFormat="1">
      <c r="F585" s="37"/>
      <c r="H585" s="38"/>
    </row>
    <row r="586" spans="6:8" s="32" customFormat="1">
      <c r="F586" s="37"/>
      <c r="H586" s="38"/>
    </row>
    <row r="587" spans="6:8" s="32" customFormat="1">
      <c r="F587" s="37"/>
      <c r="H587" s="38"/>
    </row>
    <row r="588" spans="6:8" s="32" customFormat="1">
      <c r="F588" s="37"/>
      <c r="H588" s="38"/>
    </row>
    <row r="589" spans="6:8" s="32" customFormat="1">
      <c r="F589" s="37"/>
      <c r="H589" s="38"/>
    </row>
    <row r="590" spans="6:8" s="32" customFormat="1">
      <c r="F590" s="37"/>
      <c r="H590" s="38"/>
    </row>
    <row r="591" spans="6:8" s="32" customFormat="1">
      <c r="F591" s="37"/>
      <c r="H591" s="38"/>
    </row>
    <row r="592" spans="6:8" s="32" customFormat="1">
      <c r="F592" s="37"/>
      <c r="H592" s="38"/>
    </row>
    <row r="593" spans="6:8" s="32" customFormat="1">
      <c r="F593" s="37"/>
      <c r="H593" s="38"/>
    </row>
    <row r="594" spans="6:8" s="32" customFormat="1">
      <c r="F594" s="37"/>
      <c r="H594" s="38"/>
    </row>
    <row r="595" spans="6:8" s="32" customFormat="1">
      <c r="F595" s="37"/>
      <c r="H595" s="38"/>
    </row>
    <row r="596" spans="6:8" s="32" customFormat="1">
      <c r="F596" s="37"/>
      <c r="H596" s="38"/>
    </row>
    <row r="597" spans="6:8" s="32" customFormat="1">
      <c r="F597" s="37"/>
      <c r="H597" s="38"/>
    </row>
    <row r="598" spans="6:8" s="32" customFormat="1">
      <c r="F598" s="37"/>
      <c r="H598" s="38"/>
    </row>
    <row r="599" spans="6:8" s="32" customFormat="1">
      <c r="F599" s="37"/>
      <c r="H599" s="38"/>
    </row>
    <row r="600" spans="6:8" s="32" customFormat="1">
      <c r="F600" s="37"/>
      <c r="H600" s="38"/>
    </row>
    <row r="601" spans="6:8" s="32" customFormat="1">
      <c r="F601" s="37"/>
      <c r="H601" s="38"/>
    </row>
    <row r="602" spans="6:8" s="32" customFormat="1">
      <c r="F602" s="37"/>
      <c r="H602" s="38"/>
    </row>
    <row r="603" spans="6:8" s="32" customFormat="1">
      <c r="F603" s="37"/>
      <c r="H603" s="38"/>
    </row>
    <row r="604" spans="6:8" s="32" customFormat="1">
      <c r="F604" s="37"/>
      <c r="H604" s="38"/>
    </row>
    <row r="605" spans="6:8" s="32" customFormat="1">
      <c r="F605" s="37"/>
      <c r="H605" s="38"/>
    </row>
    <row r="606" spans="6:8" s="32" customFormat="1">
      <c r="F606" s="37"/>
      <c r="H606" s="38"/>
    </row>
    <row r="607" spans="6:8" s="32" customFormat="1">
      <c r="F607" s="37"/>
      <c r="H607" s="38"/>
    </row>
    <row r="608" spans="6:8" s="32" customFormat="1">
      <c r="F608" s="37"/>
      <c r="H608" s="38"/>
    </row>
    <row r="609" spans="6:8" s="32" customFormat="1">
      <c r="F609" s="37"/>
      <c r="H609" s="38"/>
    </row>
    <row r="610" spans="6:8" s="32" customFormat="1">
      <c r="F610" s="37"/>
      <c r="H610" s="38"/>
    </row>
    <row r="611" spans="6:8" s="32" customFormat="1">
      <c r="F611" s="37"/>
      <c r="H611" s="38"/>
    </row>
    <row r="612" spans="6:8" s="32" customFormat="1">
      <c r="F612" s="37"/>
      <c r="H612" s="38"/>
    </row>
    <row r="613" spans="6:8" s="32" customFormat="1">
      <c r="F613" s="37"/>
      <c r="H613" s="38"/>
    </row>
    <row r="614" spans="6:8" s="32" customFormat="1">
      <c r="F614" s="37"/>
      <c r="H614" s="38"/>
    </row>
    <row r="615" spans="6:8" s="32" customFormat="1">
      <c r="F615" s="37"/>
      <c r="H615" s="38"/>
    </row>
    <row r="616" spans="6:8" s="32" customFormat="1">
      <c r="F616" s="37"/>
      <c r="H616" s="38"/>
    </row>
    <row r="617" spans="6:8" s="32" customFormat="1">
      <c r="F617" s="37"/>
      <c r="H617" s="38"/>
    </row>
    <row r="618" spans="6:8" s="32" customFormat="1">
      <c r="F618" s="37"/>
      <c r="H618" s="38"/>
    </row>
    <row r="619" spans="6:8" s="32" customFormat="1">
      <c r="F619" s="37"/>
      <c r="H619" s="38"/>
    </row>
    <row r="620" spans="6:8" s="32" customFormat="1">
      <c r="F620" s="37"/>
      <c r="H620" s="38"/>
    </row>
    <row r="621" spans="6:8" s="32" customFormat="1">
      <c r="F621" s="37"/>
      <c r="H621" s="38"/>
    </row>
    <row r="622" spans="6:8" s="32" customFormat="1">
      <c r="F622" s="37"/>
      <c r="H622" s="38"/>
    </row>
    <row r="623" spans="6:8" s="32" customFormat="1">
      <c r="F623" s="37"/>
      <c r="H623" s="38"/>
    </row>
    <row r="624" spans="6:8" s="32" customFormat="1">
      <c r="F624" s="37"/>
      <c r="H624" s="38"/>
    </row>
    <row r="625" spans="6:8" s="32" customFormat="1">
      <c r="F625" s="37"/>
      <c r="H625" s="38"/>
    </row>
    <row r="626" spans="6:8" s="32" customFormat="1">
      <c r="F626" s="37"/>
      <c r="H626" s="38"/>
    </row>
    <row r="627" spans="6:8" s="32" customFormat="1">
      <c r="F627" s="37"/>
      <c r="H627" s="38"/>
    </row>
    <row r="628" spans="6:8" s="32" customFormat="1">
      <c r="F628" s="37"/>
      <c r="H628" s="38"/>
    </row>
    <row r="629" spans="6:8" s="32" customFormat="1">
      <c r="F629" s="37"/>
      <c r="H629" s="38"/>
    </row>
    <row r="630" spans="6:8" s="32" customFormat="1">
      <c r="F630" s="37"/>
      <c r="H630" s="38"/>
    </row>
    <row r="631" spans="6:8" s="32" customFormat="1">
      <c r="F631" s="37"/>
      <c r="H631" s="38"/>
    </row>
    <row r="632" spans="6:8" s="32" customFormat="1">
      <c r="F632" s="37"/>
      <c r="H632" s="38"/>
    </row>
    <row r="633" spans="6:8" s="32" customFormat="1">
      <c r="F633" s="37"/>
      <c r="H633" s="38"/>
    </row>
    <row r="634" spans="6:8" s="32" customFormat="1">
      <c r="F634" s="37"/>
      <c r="H634" s="38"/>
    </row>
    <row r="635" spans="6:8" s="32" customFormat="1">
      <c r="F635" s="37"/>
      <c r="H635" s="38"/>
    </row>
    <row r="636" spans="6:8" s="32" customFormat="1">
      <c r="F636" s="37"/>
      <c r="H636" s="38"/>
    </row>
    <row r="637" spans="6:8" s="32" customFormat="1">
      <c r="F637" s="37"/>
      <c r="H637" s="38"/>
    </row>
    <row r="638" spans="6:8" s="32" customFormat="1">
      <c r="F638" s="37"/>
      <c r="H638" s="38"/>
    </row>
    <row r="639" spans="6:8" s="32" customFormat="1">
      <c r="F639" s="37"/>
      <c r="H639" s="38"/>
    </row>
    <row r="640" spans="6:8" s="32" customFormat="1">
      <c r="F640" s="37"/>
      <c r="H640" s="38"/>
    </row>
    <row r="641" spans="6:8" s="32" customFormat="1">
      <c r="F641" s="37"/>
      <c r="H641" s="38"/>
    </row>
    <row r="642" spans="6:8" s="32" customFormat="1">
      <c r="F642" s="37"/>
      <c r="H642" s="38"/>
    </row>
    <row r="643" spans="6:8" s="32" customFormat="1">
      <c r="F643" s="37"/>
      <c r="H643" s="38"/>
    </row>
    <row r="644" spans="6:8" s="32" customFormat="1">
      <c r="F644" s="37"/>
      <c r="H644" s="38"/>
    </row>
    <row r="645" spans="6:8" s="32" customFormat="1">
      <c r="F645" s="37"/>
      <c r="H645" s="38"/>
    </row>
    <row r="646" spans="6:8" s="32" customFormat="1">
      <c r="F646" s="37"/>
      <c r="H646" s="38"/>
    </row>
    <row r="647" spans="6:8" s="32" customFormat="1">
      <c r="F647" s="37"/>
      <c r="H647" s="38"/>
    </row>
    <row r="648" spans="6:8" s="32" customFormat="1">
      <c r="F648" s="37"/>
      <c r="H648" s="38"/>
    </row>
    <row r="649" spans="6:8" s="32" customFormat="1">
      <c r="F649" s="37"/>
      <c r="H649" s="38"/>
    </row>
    <row r="650" spans="6:8" s="32" customFormat="1">
      <c r="F650" s="37"/>
      <c r="H650" s="38"/>
    </row>
    <row r="651" spans="6:8" s="32" customFormat="1">
      <c r="F651" s="37"/>
      <c r="H651" s="38"/>
    </row>
    <row r="652" spans="6:8" s="32" customFormat="1">
      <c r="F652" s="37"/>
      <c r="H652" s="38"/>
    </row>
    <row r="653" spans="6:8" s="32" customFormat="1">
      <c r="F653" s="37"/>
      <c r="H653" s="38"/>
    </row>
    <row r="654" spans="6:8" s="32" customFormat="1">
      <c r="F654" s="37"/>
      <c r="H654" s="38"/>
    </row>
    <row r="655" spans="6:8" s="32" customFormat="1">
      <c r="F655" s="37"/>
      <c r="H655" s="38"/>
    </row>
    <row r="656" spans="6:8" s="32" customFormat="1">
      <c r="F656" s="37"/>
      <c r="H656" s="38"/>
    </row>
    <row r="657" spans="6:8" s="32" customFormat="1">
      <c r="F657" s="37"/>
      <c r="H657" s="38"/>
    </row>
    <row r="658" spans="6:8" s="32" customFormat="1">
      <c r="F658" s="37"/>
      <c r="H658" s="38"/>
    </row>
    <row r="659" spans="6:8" s="32" customFormat="1">
      <c r="F659" s="37"/>
      <c r="H659" s="38"/>
    </row>
    <row r="660" spans="6:8" s="32" customFormat="1">
      <c r="F660" s="37"/>
      <c r="H660" s="38"/>
    </row>
    <row r="661" spans="6:8" s="32" customFormat="1">
      <c r="F661" s="37"/>
      <c r="H661" s="38"/>
    </row>
    <row r="662" spans="6:8" s="32" customFormat="1">
      <c r="F662" s="37"/>
      <c r="H662" s="38"/>
    </row>
    <row r="663" spans="6:8" s="32" customFormat="1">
      <c r="F663" s="37"/>
      <c r="H663" s="38"/>
    </row>
    <row r="664" spans="6:8" s="32" customFormat="1">
      <c r="F664" s="37"/>
      <c r="H664" s="38"/>
    </row>
    <row r="665" spans="6:8" s="32" customFormat="1">
      <c r="F665" s="37"/>
      <c r="H665" s="38"/>
    </row>
    <row r="666" spans="6:8" s="32" customFormat="1">
      <c r="F666" s="37"/>
      <c r="H666" s="38"/>
    </row>
    <row r="667" spans="6:8" s="32" customFormat="1">
      <c r="F667" s="37"/>
      <c r="H667" s="38"/>
    </row>
    <row r="668" spans="6:8" s="32" customFormat="1">
      <c r="F668" s="37"/>
      <c r="H668" s="38"/>
    </row>
    <row r="669" spans="6:8" s="32" customFormat="1">
      <c r="F669" s="37"/>
      <c r="H669" s="38"/>
    </row>
    <row r="670" spans="6:8" s="32" customFormat="1">
      <c r="F670" s="37"/>
      <c r="H670" s="38"/>
    </row>
    <row r="671" spans="6:8" s="32" customFormat="1">
      <c r="F671" s="37"/>
      <c r="H671" s="38"/>
    </row>
    <row r="672" spans="6:8" s="32" customFormat="1">
      <c r="F672" s="37"/>
      <c r="H672" s="38"/>
    </row>
    <row r="673" spans="6:8" s="32" customFormat="1">
      <c r="F673" s="37"/>
      <c r="H673" s="38"/>
    </row>
    <row r="674" spans="6:8" s="32" customFormat="1">
      <c r="F674" s="37"/>
      <c r="H674" s="38"/>
    </row>
    <row r="675" spans="6:8" s="32" customFormat="1">
      <c r="F675" s="37"/>
      <c r="H675" s="38"/>
    </row>
    <row r="676" spans="6:8" s="32" customFormat="1">
      <c r="F676" s="37"/>
      <c r="H676" s="38"/>
    </row>
    <row r="677" spans="6:8" s="32" customFormat="1">
      <c r="F677" s="37"/>
      <c r="H677" s="38"/>
    </row>
    <row r="678" spans="6:8" s="32" customFormat="1">
      <c r="F678" s="37"/>
      <c r="H678" s="38"/>
    </row>
    <row r="679" spans="6:8" s="32" customFormat="1">
      <c r="F679" s="37"/>
      <c r="H679" s="38"/>
    </row>
    <row r="680" spans="6:8" s="32" customFormat="1">
      <c r="F680" s="37"/>
      <c r="H680" s="38"/>
    </row>
    <row r="681" spans="6:8" s="32" customFormat="1">
      <c r="F681" s="37"/>
      <c r="H681" s="38"/>
    </row>
    <row r="682" spans="6:8" s="32" customFormat="1">
      <c r="F682" s="37"/>
      <c r="H682" s="38"/>
    </row>
    <row r="683" spans="6:8" s="32" customFormat="1">
      <c r="F683" s="37"/>
      <c r="H683" s="38"/>
    </row>
    <row r="684" spans="6:8" s="32" customFormat="1">
      <c r="F684" s="37"/>
      <c r="H684" s="38"/>
    </row>
    <row r="685" spans="6:8" s="32" customFormat="1">
      <c r="F685" s="37"/>
      <c r="H685" s="38"/>
    </row>
    <row r="686" spans="6:8" s="32" customFormat="1">
      <c r="F686" s="37"/>
      <c r="H686" s="38"/>
    </row>
    <row r="687" spans="6:8" s="32" customFormat="1">
      <c r="F687" s="37"/>
      <c r="H687" s="38"/>
    </row>
    <row r="688" spans="6:8" s="32" customFormat="1">
      <c r="F688" s="37"/>
      <c r="H688" s="38"/>
    </row>
    <row r="689" spans="6:8" s="32" customFormat="1">
      <c r="F689" s="37"/>
      <c r="H689" s="38"/>
    </row>
    <row r="690" spans="6:8" s="32" customFormat="1">
      <c r="F690" s="37"/>
      <c r="H690" s="38"/>
    </row>
    <row r="691" spans="6:8" s="32" customFormat="1">
      <c r="F691" s="37"/>
      <c r="H691" s="38"/>
    </row>
    <row r="692" spans="6:8" s="32" customFormat="1">
      <c r="F692" s="37"/>
      <c r="H692" s="38"/>
    </row>
    <row r="693" spans="6:8" s="32" customFormat="1">
      <c r="F693" s="37"/>
      <c r="H693" s="38"/>
    </row>
    <row r="694" spans="6:8" s="32" customFormat="1">
      <c r="F694" s="37"/>
      <c r="H694" s="38"/>
    </row>
    <row r="695" spans="6:8" s="32" customFormat="1">
      <c r="F695" s="37"/>
      <c r="H695" s="38"/>
    </row>
    <row r="696" spans="6:8" s="32" customFormat="1">
      <c r="F696" s="37"/>
      <c r="H696" s="38"/>
    </row>
    <row r="697" spans="6:8" s="32" customFormat="1">
      <c r="F697" s="37"/>
      <c r="H697" s="38"/>
    </row>
    <row r="698" spans="6:8" s="32" customFormat="1">
      <c r="F698" s="37"/>
      <c r="H698" s="38"/>
    </row>
    <row r="699" spans="6:8" s="32" customFormat="1">
      <c r="F699" s="37"/>
      <c r="H699" s="38"/>
    </row>
    <row r="700" spans="6:8" s="32" customFormat="1">
      <c r="F700" s="37"/>
      <c r="H700" s="38"/>
    </row>
    <row r="701" spans="6:8" s="32" customFormat="1">
      <c r="F701" s="37"/>
      <c r="H701" s="38"/>
    </row>
    <row r="702" spans="6:8" s="32" customFormat="1">
      <c r="F702" s="37"/>
      <c r="H702" s="38"/>
    </row>
    <row r="703" spans="6:8" s="32" customFormat="1">
      <c r="F703" s="37"/>
      <c r="H703" s="38"/>
    </row>
    <row r="704" spans="6:8" s="32" customFormat="1">
      <c r="F704" s="37"/>
      <c r="H704" s="38"/>
    </row>
    <row r="705" spans="6:8" s="32" customFormat="1">
      <c r="F705" s="37"/>
      <c r="H705" s="38"/>
    </row>
    <row r="706" spans="6:8" s="32" customFormat="1">
      <c r="F706" s="37"/>
      <c r="H706" s="38"/>
    </row>
    <row r="707" spans="6:8" s="32" customFormat="1">
      <c r="F707" s="37"/>
      <c r="H707" s="38"/>
    </row>
    <row r="708" spans="6:8" s="32" customFormat="1">
      <c r="F708" s="37"/>
      <c r="H708" s="38"/>
    </row>
    <row r="709" spans="6:8" s="32" customFormat="1">
      <c r="F709" s="37"/>
      <c r="H709" s="38"/>
    </row>
    <row r="710" spans="6:8" s="32" customFormat="1">
      <c r="F710" s="37"/>
      <c r="H710" s="38"/>
    </row>
    <row r="711" spans="6:8" s="32" customFormat="1">
      <c r="F711" s="37"/>
      <c r="H711" s="38"/>
    </row>
    <row r="712" spans="6:8" s="32" customFormat="1">
      <c r="F712" s="37"/>
      <c r="H712" s="38"/>
    </row>
    <row r="713" spans="6:8" s="32" customFormat="1">
      <c r="F713" s="37"/>
      <c r="H713" s="38"/>
    </row>
    <row r="714" spans="6:8" s="32" customFormat="1">
      <c r="F714" s="37"/>
      <c r="H714" s="38"/>
    </row>
    <row r="715" spans="6:8" s="32" customFormat="1">
      <c r="F715" s="37"/>
      <c r="H715" s="38"/>
    </row>
    <row r="716" spans="6:8" s="32" customFormat="1">
      <c r="F716" s="37"/>
      <c r="H716" s="38"/>
    </row>
    <row r="717" spans="6:8" s="32" customFormat="1">
      <c r="F717" s="37"/>
      <c r="H717" s="38"/>
    </row>
    <row r="718" spans="6:8" s="32" customFormat="1">
      <c r="F718" s="37"/>
      <c r="H718" s="38"/>
    </row>
    <row r="719" spans="6:8" s="32" customFormat="1">
      <c r="F719" s="37"/>
      <c r="H719" s="38"/>
    </row>
    <row r="720" spans="6:8" s="32" customFormat="1">
      <c r="F720" s="37"/>
      <c r="H720" s="38"/>
    </row>
    <row r="721" spans="6:8" s="32" customFormat="1">
      <c r="F721" s="37"/>
      <c r="H721" s="38"/>
    </row>
    <row r="722" spans="6:8" s="32" customFormat="1">
      <c r="F722" s="37"/>
      <c r="H722" s="38"/>
    </row>
    <row r="723" spans="6:8" s="32" customFormat="1">
      <c r="F723" s="37"/>
      <c r="H723" s="38"/>
    </row>
    <row r="724" spans="6:8" s="32" customFormat="1">
      <c r="F724" s="37"/>
      <c r="H724" s="38"/>
    </row>
    <row r="725" spans="6:8" s="32" customFormat="1">
      <c r="F725" s="37"/>
      <c r="H725" s="38"/>
    </row>
    <row r="726" spans="6:8" s="32" customFormat="1">
      <c r="F726" s="37"/>
      <c r="H726" s="38"/>
    </row>
    <row r="727" spans="6:8" s="32" customFormat="1">
      <c r="F727" s="37"/>
      <c r="H727" s="38"/>
    </row>
    <row r="728" spans="6:8" s="32" customFormat="1">
      <c r="F728" s="37"/>
      <c r="H728" s="38"/>
    </row>
    <row r="729" spans="6:8" s="32" customFormat="1">
      <c r="F729" s="37"/>
      <c r="H729" s="38"/>
    </row>
    <row r="730" spans="6:8" s="32" customFormat="1">
      <c r="F730" s="37"/>
      <c r="H730" s="38"/>
    </row>
    <row r="731" spans="6:8" s="32" customFormat="1">
      <c r="F731" s="37"/>
      <c r="H731" s="38"/>
    </row>
    <row r="732" spans="6:8" s="32" customFormat="1">
      <c r="F732" s="37"/>
      <c r="H732" s="38"/>
    </row>
    <row r="733" spans="6:8" s="32" customFormat="1">
      <c r="F733" s="37"/>
      <c r="H733" s="38"/>
    </row>
    <row r="734" spans="6:8" s="32" customFormat="1">
      <c r="F734" s="37"/>
      <c r="H734" s="38"/>
    </row>
    <row r="735" spans="6:8" s="32" customFormat="1">
      <c r="F735" s="37"/>
      <c r="H735" s="38"/>
    </row>
    <row r="736" spans="6:8" s="32" customFormat="1">
      <c r="F736" s="37"/>
      <c r="H736" s="38"/>
    </row>
    <row r="737" spans="6:8" s="32" customFormat="1">
      <c r="F737" s="37"/>
      <c r="H737" s="38"/>
    </row>
    <row r="738" spans="6:8" s="32" customFormat="1">
      <c r="F738" s="37"/>
      <c r="H738" s="38"/>
    </row>
    <row r="739" spans="6:8" s="32" customFormat="1">
      <c r="F739" s="37"/>
      <c r="H739" s="38"/>
    </row>
    <row r="740" spans="6:8" s="32" customFormat="1">
      <c r="F740" s="37"/>
      <c r="H740" s="38"/>
    </row>
    <row r="741" spans="6:8" s="32" customFormat="1">
      <c r="F741" s="37"/>
      <c r="H741" s="38"/>
    </row>
    <row r="742" spans="6:8" s="32" customFormat="1">
      <c r="F742" s="37"/>
      <c r="H742" s="38"/>
    </row>
    <row r="743" spans="6:8" s="32" customFormat="1">
      <c r="F743" s="37"/>
      <c r="H743" s="38"/>
    </row>
    <row r="744" spans="6:8" s="32" customFormat="1">
      <c r="F744" s="37"/>
      <c r="H744" s="38"/>
    </row>
    <row r="745" spans="6:8" s="32" customFormat="1">
      <c r="F745" s="37"/>
      <c r="H745" s="38"/>
    </row>
    <row r="746" spans="6:8" s="32" customFormat="1">
      <c r="F746" s="37"/>
      <c r="H746" s="38"/>
    </row>
    <row r="747" spans="6:8" s="32" customFormat="1">
      <c r="F747" s="37"/>
      <c r="H747" s="38"/>
    </row>
    <row r="748" spans="6:8" s="32" customFormat="1">
      <c r="F748" s="37"/>
      <c r="H748" s="38"/>
    </row>
    <row r="749" spans="6:8" s="32" customFormat="1">
      <c r="F749" s="37"/>
      <c r="H749" s="38"/>
    </row>
    <row r="750" spans="6:8" s="32" customFormat="1">
      <c r="F750" s="37"/>
      <c r="H750" s="38"/>
    </row>
    <row r="751" spans="6:8" s="32" customFormat="1">
      <c r="F751" s="37"/>
      <c r="H751" s="38"/>
    </row>
    <row r="752" spans="6:8" s="32" customFormat="1">
      <c r="F752" s="37"/>
      <c r="H752" s="38"/>
    </row>
    <row r="753" spans="6:8" s="32" customFormat="1">
      <c r="F753" s="37"/>
      <c r="H753" s="38"/>
    </row>
    <row r="754" spans="6:8" s="32" customFormat="1">
      <c r="F754" s="37"/>
      <c r="H754" s="38"/>
    </row>
    <row r="755" spans="6:8" s="32" customFormat="1">
      <c r="F755" s="37"/>
      <c r="H755" s="38"/>
    </row>
    <row r="756" spans="6:8" s="32" customFormat="1">
      <c r="F756" s="37"/>
      <c r="H756" s="38"/>
    </row>
    <row r="757" spans="6:8" s="32" customFormat="1">
      <c r="F757" s="37"/>
      <c r="H757" s="38"/>
    </row>
    <row r="758" spans="6:8" s="32" customFormat="1">
      <c r="F758" s="37"/>
      <c r="H758" s="38"/>
    </row>
    <row r="759" spans="6:8" s="32" customFormat="1">
      <c r="F759" s="37"/>
      <c r="H759" s="38"/>
    </row>
    <row r="760" spans="6:8" s="32" customFormat="1">
      <c r="F760" s="37"/>
      <c r="H760" s="38"/>
    </row>
    <row r="761" spans="6:8" s="32" customFormat="1">
      <c r="F761" s="37"/>
      <c r="H761" s="38"/>
    </row>
    <row r="762" spans="6:8" s="32" customFormat="1">
      <c r="F762" s="37"/>
      <c r="H762" s="38"/>
    </row>
    <row r="763" spans="6:8" s="32" customFormat="1">
      <c r="F763" s="37"/>
      <c r="H763" s="38"/>
    </row>
    <row r="764" spans="6:8" s="32" customFormat="1">
      <c r="F764" s="37"/>
      <c r="H764" s="38"/>
    </row>
    <row r="765" spans="6:8" s="32" customFormat="1">
      <c r="F765" s="37"/>
      <c r="H765" s="38"/>
    </row>
    <row r="766" spans="6:8" s="32" customFormat="1">
      <c r="F766" s="37"/>
      <c r="H766" s="38"/>
    </row>
    <row r="767" spans="6:8" s="32" customFormat="1">
      <c r="F767" s="37"/>
      <c r="H767" s="38"/>
    </row>
    <row r="768" spans="6:8" s="32" customFormat="1">
      <c r="F768" s="37"/>
      <c r="H768" s="38"/>
    </row>
    <row r="769" spans="6:8" s="32" customFormat="1">
      <c r="F769" s="37"/>
      <c r="H769" s="38"/>
    </row>
    <row r="770" spans="6:8" s="32" customFormat="1">
      <c r="F770" s="37"/>
      <c r="H770" s="38"/>
    </row>
    <row r="771" spans="6:8" s="32" customFormat="1">
      <c r="F771" s="37"/>
      <c r="H771" s="38"/>
    </row>
    <row r="772" spans="6:8" s="32" customFormat="1">
      <c r="F772" s="37"/>
      <c r="H772" s="38"/>
    </row>
    <row r="773" spans="6:8" s="32" customFormat="1">
      <c r="F773" s="37"/>
      <c r="H773" s="38"/>
    </row>
    <row r="774" spans="6:8" s="32" customFormat="1">
      <c r="F774" s="37"/>
      <c r="H774" s="38"/>
    </row>
    <row r="775" spans="6:8" s="32" customFormat="1">
      <c r="F775" s="37"/>
      <c r="H775" s="38"/>
    </row>
    <row r="776" spans="6:8" s="32" customFormat="1">
      <c r="F776" s="37"/>
      <c r="H776" s="38"/>
    </row>
    <row r="777" spans="6:8" s="32" customFormat="1">
      <c r="F777" s="37"/>
      <c r="H777" s="38"/>
    </row>
    <row r="778" spans="6:8" s="32" customFormat="1">
      <c r="F778" s="37"/>
      <c r="H778" s="38"/>
    </row>
    <row r="779" spans="6:8" s="32" customFormat="1">
      <c r="F779" s="37"/>
      <c r="H779" s="38"/>
    </row>
    <row r="780" spans="6:8" s="32" customFormat="1">
      <c r="F780" s="37"/>
      <c r="H780" s="38"/>
    </row>
    <row r="781" spans="6:8" s="32" customFormat="1">
      <c r="F781" s="37"/>
      <c r="H781" s="38"/>
    </row>
    <row r="782" spans="6:8" s="32" customFormat="1">
      <c r="F782" s="37"/>
      <c r="H782" s="38"/>
    </row>
    <row r="783" spans="6:8" s="32" customFormat="1">
      <c r="F783" s="37"/>
      <c r="H783" s="38"/>
    </row>
    <row r="784" spans="6:8" s="32" customFormat="1">
      <c r="F784" s="37"/>
      <c r="H784" s="38"/>
    </row>
    <row r="785" spans="6:8" s="32" customFormat="1">
      <c r="F785" s="37"/>
      <c r="H785" s="38"/>
    </row>
    <row r="786" spans="6:8" s="32" customFormat="1">
      <c r="F786" s="37"/>
      <c r="H786" s="38"/>
    </row>
    <row r="787" spans="6:8" s="32" customFormat="1">
      <c r="F787" s="37"/>
      <c r="H787" s="38"/>
    </row>
    <row r="788" spans="6:8" s="32" customFormat="1">
      <c r="F788" s="37"/>
      <c r="H788" s="38"/>
    </row>
    <row r="789" spans="6:8" s="32" customFormat="1">
      <c r="F789" s="37"/>
      <c r="H789" s="38"/>
    </row>
    <row r="790" spans="6:8" s="32" customFormat="1">
      <c r="F790" s="37"/>
      <c r="H790" s="38"/>
    </row>
    <row r="791" spans="6:8" s="32" customFormat="1">
      <c r="F791" s="37"/>
      <c r="H791" s="38"/>
    </row>
    <row r="792" spans="6:8" s="32" customFormat="1">
      <c r="F792" s="37"/>
      <c r="H792" s="38"/>
    </row>
    <row r="793" spans="6:8" s="32" customFormat="1">
      <c r="F793" s="37"/>
      <c r="H793" s="38"/>
    </row>
    <row r="794" spans="6:8" s="32" customFormat="1">
      <c r="F794" s="37"/>
      <c r="H794" s="38"/>
    </row>
    <row r="795" spans="6:8" s="32" customFormat="1">
      <c r="F795" s="37"/>
      <c r="H795" s="38"/>
    </row>
    <row r="796" spans="6:8" s="32" customFormat="1">
      <c r="F796" s="37"/>
      <c r="H796" s="38"/>
    </row>
    <row r="797" spans="6:8" s="32" customFormat="1">
      <c r="F797" s="37"/>
      <c r="H797" s="38"/>
    </row>
    <row r="798" spans="6:8" s="32" customFormat="1">
      <c r="F798" s="37"/>
      <c r="H798" s="38"/>
    </row>
    <row r="799" spans="6:8" s="32" customFormat="1">
      <c r="F799" s="37"/>
      <c r="H799" s="38"/>
    </row>
    <row r="800" spans="6:8" s="32" customFormat="1">
      <c r="F800" s="37"/>
      <c r="H800" s="38"/>
    </row>
    <row r="801" spans="6:8" s="32" customFormat="1">
      <c r="F801" s="37"/>
      <c r="H801" s="38"/>
    </row>
    <row r="802" spans="6:8" s="32" customFormat="1">
      <c r="F802" s="37"/>
      <c r="H802" s="38"/>
    </row>
    <row r="803" spans="6:8" s="32" customFormat="1">
      <c r="F803" s="37"/>
      <c r="H803" s="38"/>
    </row>
    <row r="804" spans="6:8" s="32" customFormat="1">
      <c r="F804" s="37"/>
      <c r="H804" s="38"/>
    </row>
    <row r="805" spans="6:8" s="32" customFormat="1">
      <c r="F805" s="37"/>
      <c r="H805" s="38"/>
    </row>
    <row r="806" spans="6:8" s="32" customFormat="1">
      <c r="F806" s="37"/>
      <c r="H806" s="38"/>
    </row>
    <row r="807" spans="6:8" s="32" customFormat="1">
      <c r="F807" s="37"/>
      <c r="H807" s="38"/>
    </row>
    <row r="808" spans="6:8" s="32" customFormat="1">
      <c r="F808" s="37"/>
      <c r="H808" s="38"/>
    </row>
    <row r="809" spans="6:8" s="32" customFormat="1">
      <c r="F809" s="37"/>
      <c r="H809" s="38"/>
    </row>
    <row r="810" spans="6:8" s="32" customFormat="1">
      <c r="F810" s="37"/>
      <c r="H810" s="38"/>
    </row>
    <row r="811" spans="6:8" s="32" customFormat="1">
      <c r="F811" s="37"/>
      <c r="H811" s="38"/>
    </row>
    <row r="812" spans="6:8" s="32" customFormat="1">
      <c r="F812" s="37"/>
      <c r="H812" s="38"/>
    </row>
    <row r="813" spans="6:8" s="32" customFormat="1">
      <c r="F813" s="37"/>
      <c r="H813" s="38"/>
    </row>
    <row r="814" spans="6:8" s="32" customFormat="1">
      <c r="F814" s="37"/>
      <c r="H814" s="38"/>
    </row>
    <row r="815" spans="6:8" s="32" customFormat="1">
      <c r="F815" s="37"/>
      <c r="H815" s="38"/>
    </row>
    <row r="816" spans="6:8" s="32" customFormat="1">
      <c r="F816" s="37"/>
      <c r="H816" s="38"/>
    </row>
    <row r="817" spans="6:8" s="32" customFormat="1">
      <c r="F817" s="37"/>
      <c r="H817" s="38"/>
    </row>
    <row r="818" spans="6:8" s="32" customFormat="1">
      <c r="F818" s="37"/>
      <c r="H818" s="38"/>
    </row>
    <row r="819" spans="6:8" s="32" customFormat="1">
      <c r="F819" s="37"/>
      <c r="H819" s="38"/>
    </row>
    <row r="820" spans="6:8" s="32" customFormat="1">
      <c r="F820" s="37"/>
      <c r="H820" s="38"/>
    </row>
    <row r="821" spans="6:8" s="32" customFormat="1">
      <c r="F821" s="37"/>
      <c r="H821" s="38"/>
    </row>
    <row r="822" spans="6:8" s="32" customFormat="1">
      <c r="F822" s="37"/>
      <c r="H822" s="38"/>
    </row>
    <row r="823" spans="6:8" s="32" customFormat="1">
      <c r="F823" s="37"/>
      <c r="H823" s="38"/>
    </row>
    <row r="824" spans="6:8" s="32" customFormat="1">
      <c r="F824" s="37"/>
      <c r="H824" s="38"/>
    </row>
    <row r="825" spans="6:8" s="32" customFormat="1">
      <c r="F825" s="37"/>
      <c r="H825" s="38"/>
    </row>
    <row r="826" spans="6:8" s="32" customFormat="1">
      <c r="F826" s="37"/>
      <c r="H826" s="38"/>
    </row>
    <row r="827" spans="6:8" s="32" customFormat="1">
      <c r="F827" s="37"/>
      <c r="H827" s="38"/>
    </row>
    <row r="828" spans="6:8" s="32" customFormat="1">
      <c r="F828" s="37"/>
      <c r="H828" s="38"/>
    </row>
    <row r="829" spans="6:8" s="32" customFormat="1">
      <c r="F829" s="37"/>
      <c r="H829" s="38"/>
    </row>
    <row r="830" spans="6:8" s="32" customFormat="1">
      <c r="F830" s="37"/>
      <c r="H830" s="38"/>
    </row>
    <row r="831" spans="6:8" s="32" customFormat="1">
      <c r="F831" s="37"/>
      <c r="H831" s="38"/>
    </row>
    <row r="832" spans="6:8" s="32" customFormat="1">
      <c r="F832" s="37"/>
      <c r="H832" s="38"/>
    </row>
    <row r="833" spans="6:8" s="32" customFormat="1">
      <c r="F833" s="37"/>
      <c r="H833" s="38"/>
    </row>
    <row r="834" spans="6:8" s="32" customFormat="1">
      <c r="F834" s="37"/>
      <c r="H834" s="38"/>
    </row>
    <row r="835" spans="6:8" s="32" customFormat="1">
      <c r="F835" s="37"/>
      <c r="H835" s="38"/>
    </row>
    <row r="836" spans="6:8" s="32" customFormat="1">
      <c r="F836" s="37"/>
      <c r="H836" s="38"/>
    </row>
    <row r="837" spans="6:8" s="32" customFormat="1">
      <c r="F837" s="37"/>
      <c r="H837" s="38"/>
    </row>
    <row r="838" spans="6:8" s="32" customFormat="1">
      <c r="F838" s="37"/>
      <c r="H838" s="38"/>
    </row>
    <row r="839" spans="6:8" s="32" customFormat="1">
      <c r="F839" s="37"/>
      <c r="H839" s="38"/>
    </row>
    <row r="840" spans="6:8" s="32" customFormat="1">
      <c r="F840" s="37"/>
      <c r="H840" s="38"/>
    </row>
    <row r="841" spans="6:8" s="32" customFormat="1">
      <c r="F841" s="37"/>
      <c r="H841" s="38"/>
    </row>
    <row r="842" spans="6:8" s="32" customFormat="1">
      <c r="F842" s="37"/>
      <c r="H842" s="38"/>
    </row>
    <row r="843" spans="6:8" s="32" customFormat="1">
      <c r="F843" s="37"/>
      <c r="H843" s="38"/>
    </row>
    <row r="844" spans="6:8" s="32" customFormat="1">
      <c r="F844" s="37"/>
      <c r="H844" s="38"/>
    </row>
    <row r="845" spans="6:8" s="32" customFormat="1">
      <c r="F845" s="37"/>
      <c r="H845" s="38"/>
    </row>
    <row r="846" spans="6:8" s="32" customFormat="1">
      <c r="F846" s="37"/>
      <c r="H846" s="38"/>
    </row>
    <row r="847" spans="6:8" s="32" customFormat="1">
      <c r="F847" s="37"/>
      <c r="H847" s="38"/>
    </row>
    <row r="848" spans="6:8" s="32" customFormat="1">
      <c r="F848" s="37"/>
      <c r="H848" s="38"/>
    </row>
    <row r="849" spans="6:8" s="32" customFormat="1">
      <c r="F849" s="37"/>
      <c r="H849" s="38"/>
    </row>
    <row r="850" spans="6:8" s="32" customFormat="1">
      <c r="F850" s="37"/>
      <c r="H850" s="38"/>
    </row>
    <row r="851" spans="6:8" s="32" customFormat="1">
      <c r="F851" s="37"/>
      <c r="H851" s="38"/>
    </row>
    <row r="852" spans="6:8" s="32" customFormat="1">
      <c r="F852" s="37"/>
      <c r="H852" s="38"/>
    </row>
    <row r="853" spans="6:8" s="32" customFormat="1">
      <c r="F853" s="37"/>
      <c r="H853" s="38"/>
    </row>
    <row r="854" spans="6:8" s="32" customFormat="1">
      <c r="F854" s="37"/>
      <c r="H854" s="38"/>
    </row>
    <row r="855" spans="6:8" s="32" customFormat="1">
      <c r="F855" s="37"/>
      <c r="H855" s="38"/>
    </row>
    <row r="856" spans="6:8" s="32" customFormat="1">
      <c r="F856" s="37"/>
      <c r="H856" s="38"/>
    </row>
    <row r="857" spans="6:8" s="32" customFormat="1">
      <c r="F857" s="37"/>
      <c r="H857" s="38"/>
    </row>
    <row r="858" spans="6:8" s="32" customFormat="1">
      <c r="F858" s="37"/>
      <c r="H858" s="38"/>
    </row>
    <row r="859" spans="6:8" s="32" customFormat="1">
      <c r="F859" s="37"/>
      <c r="H859" s="38"/>
    </row>
    <row r="860" spans="6:8" s="32" customFormat="1">
      <c r="F860" s="37"/>
      <c r="H860" s="38"/>
    </row>
    <row r="861" spans="6:8" s="32" customFormat="1">
      <c r="F861" s="37"/>
      <c r="H861" s="38"/>
    </row>
    <row r="862" spans="6:8" s="32" customFormat="1">
      <c r="F862" s="37"/>
      <c r="H862" s="38"/>
    </row>
    <row r="863" spans="6:8" s="32" customFormat="1">
      <c r="F863" s="37"/>
      <c r="H863" s="38"/>
    </row>
    <row r="864" spans="6:8" s="32" customFormat="1">
      <c r="F864" s="37"/>
      <c r="H864" s="38"/>
    </row>
    <row r="865" spans="6:8" s="32" customFormat="1">
      <c r="F865" s="37"/>
      <c r="H865" s="38"/>
    </row>
    <row r="866" spans="6:8" s="32" customFormat="1">
      <c r="F866" s="37"/>
      <c r="H866" s="38"/>
    </row>
    <row r="867" spans="6:8" s="32" customFormat="1">
      <c r="F867" s="37"/>
      <c r="H867" s="38"/>
    </row>
    <row r="868" spans="6:8" s="32" customFormat="1">
      <c r="F868" s="37"/>
      <c r="H868" s="38"/>
    </row>
    <row r="869" spans="6:8" s="32" customFormat="1">
      <c r="F869" s="37"/>
      <c r="H869" s="38"/>
    </row>
    <row r="870" spans="6:8" s="32" customFormat="1">
      <c r="F870" s="37"/>
      <c r="H870" s="38"/>
    </row>
    <row r="871" spans="6:8" s="32" customFormat="1">
      <c r="F871" s="37"/>
      <c r="H871" s="38"/>
    </row>
    <row r="872" spans="6:8" s="32" customFormat="1">
      <c r="F872" s="37"/>
      <c r="H872" s="38"/>
    </row>
    <row r="873" spans="6:8" s="32" customFormat="1">
      <c r="F873" s="37"/>
      <c r="H873" s="38"/>
    </row>
    <row r="874" spans="6:8" s="32" customFormat="1">
      <c r="F874" s="37"/>
      <c r="H874" s="38"/>
    </row>
    <row r="875" spans="6:8" s="32" customFormat="1">
      <c r="F875" s="37"/>
      <c r="H875" s="38"/>
    </row>
    <row r="876" spans="6:8" s="32" customFormat="1">
      <c r="F876" s="37"/>
      <c r="H876" s="38"/>
    </row>
    <row r="877" spans="6:8" s="32" customFormat="1">
      <c r="F877" s="37"/>
      <c r="H877" s="38"/>
    </row>
    <row r="878" spans="6:8" s="32" customFormat="1">
      <c r="F878" s="37"/>
      <c r="H878" s="38"/>
    </row>
    <row r="879" spans="6:8" s="32" customFormat="1">
      <c r="F879" s="37"/>
      <c r="H879" s="38"/>
    </row>
    <row r="880" spans="6:8" s="32" customFormat="1">
      <c r="F880" s="37"/>
      <c r="H880" s="38"/>
    </row>
    <row r="881" spans="6:8" s="32" customFormat="1">
      <c r="F881" s="37"/>
      <c r="H881" s="38"/>
    </row>
    <row r="882" spans="6:8" s="32" customFormat="1">
      <c r="F882" s="37"/>
      <c r="H882" s="38"/>
    </row>
    <row r="883" spans="6:8" s="32" customFormat="1">
      <c r="F883" s="37"/>
      <c r="H883" s="38"/>
    </row>
    <row r="884" spans="6:8" s="32" customFormat="1">
      <c r="F884" s="37"/>
      <c r="H884" s="38"/>
    </row>
    <row r="885" spans="6:8" s="32" customFormat="1">
      <c r="F885" s="37"/>
      <c r="H885" s="38"/>
    </row>
    <row r="886" spans="6:8" s="32" customFormat="1">
      <c r="F886" s="37"/>
      <c r="H886" s="38"/>
    </row>
    <row r="887" spans="6:8" s="32" customFormat="1">
      <c r="F887" s="37"/>
      <c r="H887" s="38"/>
    </row>
    <row r="888" spans="6:8" s="32" customFormat="1">
      <c r="F888" s="37"/>
      <c r="H888" s="38"/>
    </row>
    <row r="889" spans="6:8" s="32" customFormat="1">
      <c r="F889" s="37"/>
      <c r="H889" s="38"/>
    </row>
    <row r="890" spans="6:8" s="32" customFormat="1">
      <c r="F890" s="37"/>
      <c r="H890" s="38"/>
    </row>
    <row r="891" spans="6:8" s="32" customFormat="1">
      <c r="F891" s="37"/>
      <c r="H891" s="38"/>
    </row>
    <row r="892" spans="6:8" s="32" customFormat="1">
      <c r="F892" s="37"/>
      <c r="H892" s="38"/>
    </row>
    <row r="893" spans="6:8" s="32" customFormat="1">
      <c r="F893" s="37"/>
      <c r="H893" s="38"/>
    </row>
    <row r="894" spans="6:8" s="32" customFormat="1">
      <c r="F894" s="37"/>
      <c r="H894" s="38"/>
    </row>
    <row r="895" spans="6:8" s="32" customFormat="1">
      <c r="F895" s="37"/>
      <c r="H895" s="38"/>
    </row>
    <row r="896" spans="6:8" s="32" customFormat="1">
      <c r="F896" s="37"/>
      <c r="H896" s="38"/>
    </row>
    <row r="897" spans="6:8" s="32" customFormat="1">
      <c r="F897" s="37"/>
      <c r="H897" s="38"/>
    </row>
    <row r="898" spans="6:8" s="32" customFormat="1">
      <c r="F898" s="37"/>
      <c r="H898" s="38"/>
    </row>
    <row r="899" spans="6:8" s="32" customFormat="1">
      <c r="F899" s="37"/>
      <c r="H899" s="38"/>
    </row>
    <row r="900" spans="6:8" s="32" customFormat="1">
      <c r="F900" s="37"/>
      <c r="H900" s="38"/>
    </row>
    <row r="901" spans="6:8" s="32" customFormat="1">
      <c r="F901" s="37"/>
      <c r="H901" s="38"/>
    </row>
    <row r="902" spans="6:8" s="32" customFormat="1">
      <c r="F902" s="37"/>
      <c r="H902" s="38"/>
    </row>
    <row r="903" spans="6:8" s="32" customFormat="1">
      <c r="F903" s="37"/>
      <c r="H903" s="38"/>
    </row>
    <row r="904" spans="6:8" s="32" customFormat="1">
      <c r="F904" s="37"/>
      <c r="H904" s="38"/>
    </row>
    <row r="905" spans="6:8" s="32" customFormat="1">
      <c r="F905" s="37"/>
      <c r="H905" s="38"/>
    </row>
    <row r="906" spans="6:8" s="32" customFormat="1">
      <c r="F906" s="37"/>
      <c r="H906" s="38"/>
    </row>
    <row r="907" spans="6:8" s="32" customFormat="1">
      <c r="F907" s="37"/>
      <c r="H907" s="38"/>
    </row>
    <row r="908" spans="6:8" s="32" customFormat="1">
      <c r="F908" s="37"/>
      <c r="H908" s="38"/>
    </row>
    <row r="909" spans="6:8" s="32" customFormat="1">
      <c r="F909" s="37"/>
      <c r="H909" s="38"/>
    </row>
    <row r="910" spans="6:8" s="32" customFormat="1">
      <c r="F910" s="37"/>
      <c r="H910" s="38"/>
    </row>
    <row r="911" spans="6:8" s="32" customFormat="1">
      <c r="F911" s="37"/>
      <c r="H911" s="38"/>
    </row>
    <row r="912" spans="6:8" s="32" customFormat="1">
      <c r="F912" s="37"/>
      <c r="H912" s="38"/>
    </row>
    <row r="913" spans="6:8" s="32" customFormat="1">
      <c r="F913" s="37"/>
      <c r="H913" s="38"/>
    </row>
    <row r="914" spans="6:8" s="32" customFormat="1">
      <c r="F914" s="37"/>
      <c r="H914" s="38"/>
    </row>
    <row r="915" spans="6:8" s="32" customFormat="1">
      <c r="F915" s="37"/>
      <c r="H915" s="38"/>
    </row>
    <row r="916" spans="6:8" s="32" customFormat="1">
      <c r="F916" s="37"/>
      <c r="H916" s="38"/>
    </row>
    <row r="917" spans="6:8" s="32" customFormat="1">
      <c r="F917" s="37"/>
      <c r="H917" s="38"/>
    </row>
    <row r="918" spans="6:8" s="32" customFormat="1">
      <c r="F918" s="37"/>
      <c r="H918" s="38"/>
    </row>
    <row r="919" spans="6:8" s="32" customFormat="1">
      <c r="F919" s="37"/>
      <c r="H919" s="38"/>
    </row>
    <row r="920" spans="6:8" s="32" customFormat="1">
      <c r="F920" s="37"/>
      <c r="H920" s="38"/>
    </row>
    <row r="921" spans="6:8" s="32" customFormat="1">
      <c r="F921" s="37"/>
      <c r="H921" s="38"/>
    </row>
    <row r="922" spans="6:8" s="32" customFormat="1">
      <c r="F922" s="37"/>
      <c r="H922" s="38"/>
    </row>
    <row r="923" spans="6:8" s="32" customFormat="1">
      <c r="F923" s="37"/>
      <c r="H923" s="38"/>
    </row>
    <row r="924" spans="6:8" s="32" customFormat="1">
      <c r="F924" s="37"/>
      <c r="H924" s="38"/>
    </row>
    <row r="925" spans="6:8" s="32" customFormat="1">
      <c r="F925" s="37"/>
      <c r="H925" s="38"/>
    </row>
    <row r="926" spans="6:8" s="32" customFormat="1">
      <c r="F926" s="37"/>
      <c r="H926" s="38"/>
    </row>
    <row r="927" spans="6:8" s="32" customFormat="1">
      <c r="F927" s="37"/>
      <c r="H927" s="38"/>
    </row>
    <row r="928" spans="6:8" s="32" customFormat="1">
      <c r="F928" s="37"/>
      <c r="H928" s="38"/>
    </row>
    <row r="929" spans="6:8" s="32" customFormat="1">
      <c r="F929" s="37"/>
      <c r="H929" s="38"/>
    </row>
    <row r="930" spans="6:8" s="32" customFormat="1">
      <c r="F930" s="37"/>
      <c r="H930" s="38"/>
    </row>
    <row r="931" spans="6:8" s="32" customFormat="1">
      <c r="F931" s="37"/>
      <c r="H931" s="38"/>
    </row>
    <row r="932" spans="6:8" s="32" customFormat="1">
      <c r="F932" s="37"/>
      <c r="H932" s="38"/>
    </row>
    <row r="933" spans="6:8" s="32" customFormat="1">
      <c r="F933" s="37"/>
      <c r="H933" s="38"/>
    </row>
    <row r="934" spans="6:8" s="32" customFormat="1">
      <c r="F934" s="37"/>
      <c r="H934" s="38"/>
    </row>
    <row r="935" spans="6:8" s="32" customFormat="1">
      <c r="F935" s="37"/>
      <c r="H935" s="38"/>
    </row>
    <row r="936" spans="6:8" s="32" customFormat="1">
      <c r="F936" s="37"/>
      <c r="H936" s="38"/>
    </row>
    <row r="937" spans="6:8" s="32" customFormat="1">
      <c r="F937" s="37"/>
      <c r="H937" s="38"/>
    </row>
    <row r="938" spans="6:8" s="32" customFormat="1">
      <c r="F938" s="37"/>
      <c r="H938" s="38"/>
    </row>
    <row r="939" spans="6:8" s="32" customFormat="1">
      <c r="F939" s="37"/>
      <c r="H939" s="38"/>
    </row>
    <row r="940" spans="6:8" s="32" customFormat="1">
      <c r="F940" s="37"/>
      <c r="H940" s="38"/>
    </row>
    <row r="941" spans="6:8" s="32" customFormat="1">
      <c r="F941" s="37"/>
      <c r="H941" s="38"/>
    </row>
    <row r="942" spans="6:8" s="32" customFormat="1">
      <c r="F942" s="37"/>
      <c r="H942" s="38"/>
    </row>
    <row r="943" spans="6:8" s="32" customFormat="1">
      <c r="F943" s="37"/>
      <c r="H943" s="38"/>
    </row>
    <row r="944" spans="6:8" s="32" customFormat="1">
      <c r="F944" s="37"/>
      <c r="H944" s="38"/>
    </row>
    <row r="945" spans="6:8" s="32" customFormat="1">
      <c r="F945" s="37"/>
      <c r="H945" s="38"/>
    </row>
    <row r="946" spans="6:8" s="32" customFormat="1">
      <c r="F946" s="37"/>
      <c r="H946" s="38"/>
    </row>
    <row r="947" spans="6:8" s="32" customFormat="1">
      <c r="F947" s="37"/>
      <c r="H947" s="38"/>
    </row>
    <row r="948" spans="6:8" s="32" customFormat="1">
      <c r="F948" s="37"/>
      <c r="H948" s="38"/>
    </row>
    <row r="949" spans="6:8" s="32" customFormat="1">
      <c r="F949" s="37"/>
      <c r="H949" s="38"/>
    </row>
    <row r="950" spans="6:8" s="32" customFormat="1">
      <c r="F950" s="37"/>
      <c r="H950" s="38"/>
    </row>
    <row r="951" spans="6:8" s="32" customFormat="1">
      <c r="F951" s="37"/>
      <c r="H951" s="38"/>
    </row>
    <row r="952" spans="6:8" s="32" customFormat="1">
      <c r="F952" s="37"/>
      <c r="H952" s="38"/>
    </row>
    <row r="953" spans="6:8" s="32" customFormat="1">
      <c r="F953" s="37"/>
      <c r="H953" s="38"/>
    </row>
    <row r="954" spans="6:8" s="32" customFormat="1">
      <c r="F954" s="37"/>
      <c r="H954" s="38"/>
    </row>
    <row r="955" spans="6:8" s="32" customFormat="1">
      <c r="F955" s="37"/>
      <c r="H955" s="38"/>
    </row>
    <row r="956" spans="6:8" s="32" customFormat="1">
      <c r="F956" s="37"/>
      <c r="H956" s="38"/>
    </row>
    <row r="957" spans="6:8" s="32" customFormat="1">
      <c r="F957" s="37"/>
      <c r="H957" s="38"/>
    </row>
    <row r="958" spans="6:8" s="32" customFormat="1">
      <c r="F958" s="37"/>
      <c r="H958" s="38"/>
    </row>
    <row r="959" spans="6:8" s="32" customFormat="1">
      <c r="F959" s="37"/>
      <c r="H959" s="38"/>
    </row>
    <row r="960" spans="6:8" s="32" customFormat="1">
      <c r="F960" s="37"/>
      <c r="H960" s="38"/>
    </row>
    <row r="961" spans="6:8" s="32" customFormat="1">
      <c r="F961" s="37"/>
      <c r="H961" s="38"/>
    </row>
    <row r="962" spans="6:8" s="32" customFormat="1">
      <c r="F962" s="37"/>
      <c r="H962" s="38"/>
    </row>
    <row r="963" spans="6:8" s="32" customFormat="1">
      <c r="F963" s="37"/>
      <c r="H963" s="38"/>
    </row>
    <row r="964" spans="6:8" s="32" customFormat="1">
      <c r="F964" s="37"/>
      <c r="H964" s="38"/>
    </row>
    <row r="965" spans="6:8" s="32" customFormat="1">
      <c r="F965" s="37"/>
      <c r="H965" s="38"/>
    </row>
    <row r="966" spans="6:8" s="32" customFormat="1">
      <c r="F966" s="37"/>
      <c r="H966" s="38"/>
    </row>
    <row r="967" spans="6:8" s="32" customFormat="1">
      <c r="F967" s="37"/>
      <c r="H967" s="38"/>
    </row>
    <row r="968" spans="6:8" s="32" customFormat="1">
      <c r="F968" s="37"/>
      <c r="H968" s="38"/>
    </row>
    <row r="969" spans="6:8" s="32" customFormat="1">
      <c r="F969" s="37"/>
      <c r="H969" s="38"/>
    </row>
    <row r="970" spans="6:8" s="32" customFormat="1">
      <c r="F970" s="37"/>
      <c r="H970" s="38"/>
    </row>
    <row r="971" spans="6:8" s="32" customFormat="1">
      <c r="F971" s="37"/>
      <c r="H971" s="38"/>
    </row>
    <row r="972" spans="6:8" s="32" customFormat="1">
      <c r="F972" s="37"/>
      <c r="H972" s="38"/>
    </row>
    <row r="973" spans="6:8" s="32" customFormat="1">
      <c r="F973" s="37"/>
      <c r="H973" s="38"/>
    </row>
    <row r="974" spans="6:8" s="32" customFormat="1">
      <c r="F974" s="37"/>
      <c r="H974" s="38"/>
    </row>
    <row r="975" spans="6:8" s="32" customFormat="1">
      <c r="F975" s="37"/>
      <c r="H975" s="38"/>
    </row>
    <row r="976" spans="6:8" s="32" customFormat="1">
      <c r="F976" s="37"/>
      <c r="H976" s="38"/>
    </row>
    <row r="977" spans="6:8" s="32" customFormat="1">
      <c r="F977" s="37"/>
      <c r="H977" s="38"/>
    </row>
    <row r="978" spans="6:8" s="32" customFormat="1">
      <c r="F978" s="37"/>
      <c r="H978" s="38"/>
    </row>
    <row r="979" spans="6:8" s="32" customFormat="1">
      <c r="F979" s="37"/>
      <c r="H979" s="38"/>
    </row>
    <row r="980" spans="6:8" s="32" customFormat="1">
      <c r="F980" s="37"/>
      <c r="H980" s="38"/>
    </row>
    <row r="981" spans="6:8" s="32" customFormat="1">
      <c r="F981" s="37"/>
      <c r="H981" s="38"/>
    </row>
    <row r="982" spans="6:8" s="32" customFormat="1">
      <c r="F982" s="37"/>
      <c r="H982" s="38"/>
    </row>
    <row r="983" spans="6:8" s="32" customFormat="1">
      <c r="F983" s="37"/>
      <c r="H983" s="38"/>
    </row>
    <row r="984" spans="6:8" s="32" customFormat="1">
      <c r="F984" s="37"/>
      <c r="H984" s="38"/>
    </row>
    <row r="985" spans="6:8" s="32" customFormat="1">
      <c r="F985" s="37"/>
      <c r="H985" s="38"/>
    </row>
    <row r="986" spans="6:8" s="32" customFormat="1">
      <c r="F986" s="37"/>
      <c r="H986" s="38"/>
    </row>
    <row r="987" spans="6:8" s="32" customFormat="1">
      <c r="F987" s="37"/>
      <c r="H987" s="38"/>
    </row>
    <row r="988" spans="6:8" s="32" customFormat="1">
      <c r="F988" s="37"/>
      <c r="H988" s="38"/>
    </row>
    <row r="989" spans="6:8" s="32" customFormat="1">
      <c r="F989" s="37"/>
      <c r="H989" s="38"/>
    </row>
    <row r="990" spans="6:8" s="32" customFormat="1">
      <c r="F990" s="37"/>
      <c r="H990" s="38"/>
    </row>
    <row r="991" spans="6:8" s="32" customFormat="1">
      <c r="F991" s="37"/>
      <c r="H991" s="38"/>
    </row>
    <row r="992" spans="6:8" s="32" customFormat="1">
      <c r="F992" s="37"/>
      <c r="H992" s="38"/>
    </row>
    <row r="993" spans="2:8" s="32" customFormat="1">
      <c r="F993" s="37"/>
      <c r="H993" s="38"/>
    </row>
    <row r="994" spans="2:8" s="32" customFormat="1">
      <c r="F994" s="37"/>
      <c r="H994" s="38"/>
    </row>
    <row r="995" spans="2:8" s="32" customFormat="1">
      <c r="F995" s="37"/>
      <c r="H995" s="38"/>
    </row>
    <row r="996" spans="2:8" s="32" customFormat="1">
      <c r="F996" s="37"/>
      <c r="H996" s="38"/>
    </row>
    <row r="997" spans="2:8" s="32" customFormat="1">
      <c r="F997" s="37"/>
      <c r="H997" s="38"/>
    </row>
    <row r="998" spans="2:8" s="32" customFormat="1">
      <c r="F998" s="37"/>
      <c r="H998" s="38"/>
    </row>
    <row r="999" spans="2:8" s="32" customFormat="1">
      <c r="F999" s="37"/>
      <c r="H999" s="38"/>
    </row>
    <row r="1000" spans="2:8" s="32" customFormat="1">
      <c r="F1000" s="37"/>
      <c r="H1000" s="38"/>
    </row>
    <row r="1001" spans="2:8" s="32" customFormat="1">
      <c r="F1001" s="37"/>
      <c r="H1001" s="38"/>
    </row>
    <row r="1002" spans="2:8" s="32" customFormat="1">
      <c r="F1002" s="37"/>
      <c r="H1002" s="38"/>
    </row>
    <row r="1003" spans="2:8">
      <c r="B1003" s="32"/>
      <c r="C1003" s="32"/>
      <c r="D1003" s="32"/>
      <c r="E1003" s="32"/>
      <c r="F1003" s="37"/>
      <c r="G1003" s="32"/>
      <c r="H1003" s="38"/>
    </row>
    <row r="1004" spans="2:8">
      <c r="B1004" s="32"/>
      <c r="C1004" s="32"/>
      <c r="D1004" s="32"/>
      <c r="E1004" s="32"/>
      <c r="F1004" s="37"/>
      <c r="G1004" s="32"/>
      <c r="H1004" s="38"/>
    </row>
    <row r="1005" spans="2:8">
      <c r="B1005" s="32"/>
      <c r="C1005" s="32"/>
      <c r="D1005" s="32"/>
      <c r="E1005" s="32"/>
      <c r="F1005" s="37"/>
      <c r="G1005" s="32"/>
      <c r="H1005" s="38"/>
    </row>
    <row r="1006" spans="2:8">
      <c r="B1006" s="32"/>
      <c r="C1006" s="32"/>
      <c r="D1006" s="32"/>
      <c r="E1006" s="32"/>
      <c r="F1006" s="37"/>
      <c r="G1006" s="32"/>
      <c r="H1006" s="38"/>
    </row>
    <row r="1007" spans="2:8">
      <c r="B1007" s="32"/>
      <c r="C1007" s="32"/>
      <c r="D1007" s="32"/>
      <c r="E1007" s="32"/>
      <c r="F1007" s="37"/>
      <c r="G1007" s="32"/>
      <c r="H1007" s="38"/>
    </row>
    <row r="1008" spans="2:8">
      <c r="B1008" s="32"/>
      <c r="C1008" s="32"/>
      <c r="D1008" s="32"/>
      <c r="E1008" s="32"/>
      <c r="F1008" s="37"/>
      <c r="G1008" s="32"/>
      <c r="H1008" s="38"/>
    </row>
    <row r="1009" spans="2:8">
      <c r="B1009" s="32"/>
      <c r="C1009" s="32"/>
      <c r="D1009" s="32"/>
      <c r="E1009" s="32"/>
      <c r="F1009" s="37"/>
      <c r="G1009" s="32"/>
      <c r="H1009" s="38"/>
    </row>
    <row r="1010" spans="2:8">
      <c r="B1010" s="32"/>
      <c r="C1010" s="32"/>
      <c r="D1010" s="32"/>
      <c r="E1010" s="32"/>
      <c r="F1010" s="37"/>
      <c r="G1010" s="32"/>
      <c r="H1010" s="38"/>
    </row>
    <row r="1011" spans="2:8">
      <c r="B1011" s="32"/>
      <c r="C1011" s="32"/>
      <c r="D1011" s="32"/>
      <c r="E1011" s="32"/>
      <c r="F1011" s="37"/>
      <c r="G1011" s="32"/>
      <c r="H1011" s="38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926"/>
  <sheetViews>
    <sheetView zoomScaleNormal="100" workbookViewId="0">
      <selection activeCell="B33" sqref="B33"/>
    </sheetView>
  </sheetViews>
  <sheetFormatPr defaultRowHeight="12.75"/>
  <cols>
    <col min="1" max="1" width="3.42578125" style="32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5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113" width="9.140625" style="32"/>
  </cols>
  <sheetData>
    <row r="1" spans="1:9" ht="15.95" customHeight="1">
      <c r="A1" s="29"/>
      <c r="B1" s="184" t="s">
        <v>0</v>
      </c>
      <c r="C1" s="185"/>
      <c r="D1" s="185"/>
      <c r="E1" s="185"/>
      <c r="F1" s="185"/>
      <c r="G1" s="185"/>
      <c r="H1" s="186"/>
      <c r="I1" s="1"/>
    </row>
    <row r="2" spans="1:9" ht="12.95" customHeight="1" thickBot="1">
      <c r="A2" s="29"/>
      <c r="B2" s="187" t="s">
        <v>391</v>
      </c>
      <c r="C2" s="188"/>
      <c r="D2" s="188"/>
      <c r="E2" s="188"/>
      <c r="F2" s="188"/>
      <c r="G2" s="188"/>
      <c r="H2" s="189"/>
      <c r="I2" s="1"/>
    </row>
    <row r="3" spans="1:9" s="32" customFormat="1" ht="12.95" customHeight="1">
      <c r="A3" s="29"/>
      <c r="B3" s="135"/>
      <c r="C3" s="135"/>
      <c r="D3" s="135"/>
      <c r="E3" s="135"/>
      <c r="F3" s="135"/>
      <c r="G3" s="135"/>
      <c r="H3" s="135"/>
      <c r="I3" s="29"/>
    </row>
    <row r="4" spans="1:9" s="32" customFormat="1" ht="12.95" customHeight="1" thickBot="1">
      <c r="A4" s="30"/>
      <c r="B4" s="33" t="s">
        <v>2</v>
      </c>
      <c r="C4" s="29"/>
      <c r="D4" s="29"/>
      <c r="E4" s="29"/>
      <c r="F4" s="34"/>
      <c r="G4" s="29"/>
      <c r="H4" s="35"/>
      <c r="I4" s="29"/>
    </row>
    <row r="5" spans="1:9" ht="27.95" customHeight="1" thickBot="1">
      <c r="A5" s="29"/>
      <c r="B5" s="58" t="s">
        <v>3</v>
      </c>
      <c r="C5" s="59" t="s">
        <v>4</v>
      </c>
      <c r="D5" s="60" t="s">
        <v>5</v>
      </c>
      <c r="E5" s="60" t="s">
        <v>6</v>
      </c>
      <c r="F5" s="61" t="s">
        <v>7</v>
      </c>
      <c r="G5" s="60" t="s">
        <v>8</v>
      </c>
      <c r="H5" s="62" t="s">
        <v>9</v>
      </c>
      <c r="I5" s="39" t="s">
        <v>10</v>
      </c>
    </row>
    <row r="6" spans="1:9" ht="12.95" customHeight="1">
      <c r="A6" s="29"/>
      <c r="B6" s="17" t="s">
        <v>370</v>
      </c>
      <c r="C6" s="55"/>
      <c r="D6" s="46"/>
      <c r="E6" s="46"/>
      <c r="F6" s="47"/>
      <c r="G6" s="46"/>
      <c r="H6" s="101"/>
      <c r="I6" s="9"/>
    </row>
    <row r="7" spans="1:9" ht="12.95" customHeight="1">
      <c r="A7" s="29"/>
      <c r="B7" s="21" t="s">
        <v>371</v>
      </c>
      <c r="C7" s="45"/>
      <c r="D7" s="46"/>
      <c r="E7" s="146" t="s">
        <v>197</v>
      </c>
      <c r="F7" s="146" t="s">
        <v>197</v>
      </c>
      <c r="G7" s="136" t="s">
        <v>197</v>
      </c>
      <c r="H7" s="147" t="s">
        <v>197</v>
      </c>
      <c r="I7" s="10" t="s">
        <v>197</v>
      </c>
    </row>
    <row r="8" spans="1:9" ht="12.95" customHeight="1">
      <c r="A8" s="31"/>
      <c r="B8" s="24" t="s">
        <v>196</v>
      </c>
      <c r="C8" s="45"/>
      <c r="D8" s="46"/>
      <c r="E8" s="146" t="s">
        <v>197</v>
      </c>
      <c r="F8" s="146" t="s">
        <v>197</v>
      </c>
      <c r="G8" s="136" t="s">
        <v>197</v>
      </c>
      <c r="H8" s="147" t="s">
        <v>197</v>
      </c>
      <c r="I8" s="10" t="s">
        <v>197</v>
      </c>
    </row>
    <row r="9" spans="1:9" ht="12.95" customHeight="1">
      <c r="A9" s="29"/>
      <c r="B9" s="24"/>
      <c r="C9" s="45"/>
      <c r="D9" s="46"/>
      <c r="E9" s="146"/>
      <c r="F9" s="146"/>
      <c r="G9" s="136"/>
      <c r="H9" s="147"/>
      <c r="I9" s="10"/>
    </row>
    <row r="10" spans="1:9" ht="12.95" customHeight="1">
      <c r="A10" s="29"/>
      <c r="B10" s="17" t="s">
        <v>372</v>
      </c>
      <c r="C10" s="45"/>
      <c r="D10" s="46"/>
      <c r="E10" s="146"/>
      <c r="F10" s="146"/>
      <c r="G10" s="136"/>
      <c r="H10" s="147"/>
      <c r="I10" s="10"/>
    </row>
    <row r="11" spans="1:9" ht="12.95" customHeight="1">
      <c r="A11" s="29"/>
      <c r="B11" s="21" t="s">
        <v>373</v>
      </c>
      <c r="C11" s="45"/>
      <c r="D11" s="46"/>
      <c r="E11" s="146" t="s">
        <v>197</v>
      </c>
      <c r="F11" s="146" t="s">
        <v>197</v>
      </c>
      <c r="G11" s="136" t="s">
        <v>197</v>
      </c>
      <c r="H11" s="147" t="s">
        <v>197</v>
      </c>
      <c r="I11" s="10" t="s">
        <v>197</v>
      </c>
    </row>
    <row r="12" spans="1:9" ht="12.95" customHeight="1">
      <c r="A12" s="31"/>
      <c r="B12" s="24" t="s">
        <v>374</v>
      </c>
      <c r="C12" s="45"/>
      <c r="D12" s="46"/>
      <c r="E12" s="146" t="s">
        <v>197</v>
      </c>
      <c r="F12" s="146" t="s">
        <v>197</v>
      </c>
      <c r="G12" s="46"/>
      <c r="H12" s="147" t="s">
        <v>197</v>
      </c>
      <c r="I12" s="11"/>
    </row>
    <row r="13" spans="1:9" ht="12.95" customHeight="1">
      <c r="A13" s="29"/>
      <c r="B13" s="24" t="s">
        <v>375</v>
      </c>
      <c r="C13" s="45"/>
      <c r="D13" s="46"/>
      <c r="E13" s="146" t="s">
        <v>197</v>
      </c>
      <c r="F13" s="146" t="s">
        <v>197</v>
      </c>
      <c r="G13" s="46"/>
      <c r="H13" s="147" t="s">
        <v>197</v>
      </c>
      <c r="I13" s="11"/>
    </row>
    <row r="14" spans="1:9" ht="12.95" customHeight="1">
      <c r="A14" s="29"/>
      <c r="B14" s="24"/>
      <c r="C14" s="45"/>
      <c r="D14" s="46"/>
      <c r="E14" s="136"/>
      <c r="F14" s="137"/>
      <c r="G14" s="46"/>
      <c r="H14" s="138"/>
      <c r="I14" s="8"/>
    </row>
    <row r="15" spans="1:9" ht="12.95" customHeight="1">
      <c r="A15" s="29"/>
      <c r="B15" s="63" t="s">
        <v>11</v>
      </c>
      <c r="C15" s="19" t="s">
        <v>1</v>
      </c>
      <c r="D15" s="19" t="s">
        <v>1</v>
      </c>
      <c r="E15" s="19" t="s">
        <v>1</v>
      </c>
      <c r="F15" s="48" t="s">
        <v>1</v>
      </c>
      <c r="G15" s="49"/>
      <c r="H15" s="64" t="s">
        <v>1</v>
      </c>
      <c r="I15" s="12" t="s">
        <v>1</v>
      </c>
    </row>
    <row r="16" spans="1:9" ht="12.95" customHeight="1">
      <c r="A16" s="29"/>
      <c r="B16" s="63" t="s">
        <v>12</v>
      </c>
      <c r="C16" s="19" t="s">
        <v>1</v>
      </c>
      <c r="D16" s="19" t="s">
        <v>1</v>
      </c>
      <c r="E16" s="19" t="s">
        <v>1</v>
      </c>
      <c r="F16" s="48" t="s">
        <v>1</v>
      </c>
      <c r="G16" s="49"/>
      <c r="H16" s="64" t="s">
        <v>1</v>
      </c>
      <c r="I16" s="12" t="s">
        <v>1</v>
      </c>
    </row>
    <row r="17" spans="1:9" ht="12.95" customHeight="1">
      <c r="A17" s="31"/>
      <c r="B17" s="65" t="s">
        <v>13</v>
      </c>
      <c r="C17" s="19" t="s">
        <v>14</v>
      </c>
      <c r="D17" s="19" t="s">
        <v>15</v>
      </c>
      <c r="E17" s="50">
        <v>1000000</v>
      </c>
      <c r="F17" s="51">
        <v>996.65137000000004</v>
      </c>
      <c r="G17" s="52">
        <v>996.65</v>
      </c>
      <c r="H17" s="66">
        <v>0.14593073281868219</v>
      </c>
      <c r="I17" s="3">
        <v>0.1459</v>
      </c>
    </row>
    <row r="18" spans="1:9" ht="12.95" customHeight="1">
      <c r="A18" s="31"/>
      <c r="B18" s="65" t="s">
        <v>16</v>
      </c>
      <c r="C18" s="19" t="s">
        <v>17</v>
      </c>
      <c r="D18" s="19" t="s">
        <v>18</v>
      </c>
      <c r="E18" s="50">
        <v>500000</v>
      </c>
      <c r="F18" s="51">
        <v>498.69556999999998</v>
      </c>
      <c r="G18" s="52">
        <v>498.7</v>
      </c>
      <c r="H18" s="66">
        <v>7.3019525356725706E-2</v>
      </c>
      <c r="I18" s="3">
        <v>7.2999999999999995E-2</v>
      </c>
    </row>
    <row r="19" spans="1:9" ht="12.95" customHeight="1">
      <c r="A19" s="31"/>
      <c r="B19" s="65" t="s">
        <v>19</v>
      </c>
      <c r="C19" s="19" t="s">
        <v>20</v>
      </c>
      <c r="D19" s="19" t="s">
        <v>15</v>
      </c>
      <c r="E19" s="50">
        <v>500000</v>
      </c>
      <c r="F19" s="51">
        <v>497.76549</v>
      </c>
      <c r="G19" s="52">
        <v>497.77</v>
      </c>
      <c r="H19" s="66">
        <v>7.2883342073317384E-2</v>
      </c>
      <c r="I19" s="3">
        <v>7.2900000000000006E-2</v>
      </c>
    </row>
    <row r="20" spans="1:9" ht="12.95" customHeight="1">
      <c r="A20" s="31"/>
      <c r="B20" s="65" t="s">
        <v>21</v>
      </c>
      <c r="C20" s="19" t="s">
        <v>22</v>
      </c>
      <c r="D20" s="19" t="s">
        <v>23</v>
      </c>
      <c r="E20" s="50">
        <v>500000</v>
      </c>
      <c r="F20" s="51">
        <v>497.65016500000002</v>
      </c>
      <c r="G20" s="52">
        <v>497.65</v>
      </c>
      <c r="H20" s="66">
        <v>7.286645606656629E-2</v>
      </c>
      <c r="I20" s="3">
        <v>7.2900000000000006E-2</v>
      </c>
    </row>
    <row r="21" spans="1:9" ht="12.95" customHeight="1">
      <c r="A21" s="31"/>
      <c r="B21" s="65" t="s">
        <v>24</v>
      </c>
      <c r="C21" s="19" t="s">
        <v>25</v>
      </c>
      <c r="D21" s="19" t="s">
        <v>18</v>
      </c>
      <c r="E21" s="50">
        <v>500000</v>
      </c>
      <c r="F21" s="51">
        <v>497.32094499999999</v>
      </c>
      <c r="G21" s="52">
        <v>497.32</v>
      </c>
      <c r="H21" s="66">
        <v>7.2818251330883668E-2</v>
      </c>
      <c r="I21" s="3">
        <v>7.2800000000000004E-2</v>
      </c>
    </row>
    <row r="22" spans="1:9" ht="12.95" customHeight="1">
      <c r="A22" s="31"/>
      <c r="B22" s="65" t="s">
        <v>26</v>
      </c>
      <c r="C22" s="19" t="s">
        <v>27</v>
      </c>
      <c r="D22" s="19" t="s">
        <v>18</v>
      </c>
      <c r="E22" s="50">
        <v>500000</v>
      </c>
      <c r="F22" s="51">
        <v>497.24900000000002</v>
      </c>
      <c r="G22" s="52">
        <v>497.25</v>
      </c>
      <c r="H22" s="66">
        <v>7.280771706896555E-2</v>
      </c>
      <c r="I22" s="3">
        <v>7.2800000000000004E-2</v>
      </c>
    </row>
    <row r="23" spans="1:9" ht="12.95" customHeight="1">
      <c r="A23" s="31"/>
      <c r="B23" s="65" t="s">
        <v>28</v>
      </c>
      <c r="C23" s="19" t="s">
        <v>29</v>
      </c>
      <c r="D23" s="19" t="s">
        <v>15</v>
      </c>
      <c r="E23" s="50">
        <v>500000</v>
      </c>
      <c r="F23" s="51">
        <v>496.73889000000003</v>
      </c>
      <c r="G23" s="52">
        <v>496.74</v>
      </c>
      <c r="H23" s="66">
        <v>7.2733026230866221E-2</v>
      </c>
      <c r="I23" s="3">
        <v>7.2700000000000001E-2</v>
      </c>
    </row>
    <row r="24" spans="1:9" ht="12.95" customHeight="1">
      <c r="A24" s="31"/>
      <c r="B24" s="65" t="s">
        <v>30</v>
      </c>
      <c r="C24" s="19" t="s">
        <v>31</v>
      </c>
      <c r="D24" s="19" t="s">
        <v>15</v>
      </c>
      <c r="E24" s="50">
        <v>500000</v>
      </c>
      <c r="F24" s="51">
        <v>496.67257000000001</v>
      </c>
      <c r="G24" s="52">
        <v>496.67</v>
      </c>
      <c r="H24" s="66">
        <v>7.2723315587313361E-2</v>
      </c>
      <c r="I24" s="3">
        <v>7.2700000000000001E-2</v>
      </c>
    </row>
    <row r="25" spans="1:9" ht="12.95" customHeight="1">
      <c r="A25" s="31"/>
      <c r="B25" s="65" t="s">
        <v>32</v>
      </c>
      <c r="C25" s="19" t="s">
        <v>33</v>
      </c>
      <c r="D25" s="19" t="s">
        <v>18</v>
      </c>
      <c r="E25" s="50">
        <v>500000</v>
      </c>
      <c r="F25" s="51">
        <v>496.42381999999998</v>
      </c>
      <c r="G25" s="52">
        <v>496.42</v>
      </c>
      <c r="H25" s="66">
        <v>7.2686893352938028E-2</v>
      </c>
      <c r="I25" s="3">
        <v>7.2700000000000001E-2</v>
      </c>
    </row>
    <row r="26" spans="1:9" ht="12.95" customHeight="1">
      <c r="A26" s="31"/>
      <c r="B26" s="65" t="s">
        <v>34</v>
      </c>
      <c r="C26" s="19" t="s">
        <v>35</v>
      </c>
      <c r="D26" s="19" t="s">
        <v>18</v>
      </c>
      <c r="E26" s="50">
        <v>500000</v>
      </c>
      <c r="F26" s="51">
        <v>493.39699999999999</v>
      </c>
      <c r="G26" s="52">
        <v>493.4</v>
      </c>
      <c r="H26" s="66">
        <v>7.2243703212427568E-2</v>
      </c>
      <c r="I26" s="3">
        <v>7.22E-2</v>
      </c>
    </row>
    <row r="27" spans="1:9" ht="12.95" customHeight="1">
      <c r="A27" s="31"/>
      <c r="B27" s="65" t="s">
        <v>36</v>
      </c>
      <c r="C27" s="19" t="s">
        <v>37</v>
      </c>
      <c r="D27" s="19" t="s">
        <v>15</v>
      </c>
      <c r="E27" s="50">
        <v>400000</v>
      </c>
      <c r="F27" s="51">
        <v>398.67066</v>
      </c>
      <c r="G27" s="52">
        <v>398.67</v>
      </c>
      <c r="H27" s="66">
        <v>5.8373773737056808E-2</v>
      </c>
      <c r="I27" s="3">
        <v>5.8400000000000001E-2</v>
      </c>
    </row>
    <row r="28" spans="1:9" ht="12.95" customHeight="1">
      <c r="A28" s="29"/>
      <c r="B28" s="63" t="s">
        <v>38</v>
      </c>
      <c r="C28" s="19" t="s">
        <v>1</v>
      </c>
      <c r="D28" s="19" t="s">
        <v>1</v>
      </c>
      <c r="E28" s="19" t="s">
        <v>1</v>
      </c>
      <c r="F28" s="20">
        <v>5867.2354800000003</v>
      </c>
      <c r="G28" s="53">
        <v>5867.24</v>
      </c>
      <c r="H28" s="67">
        <v>0.85908673683574277</v>
      </c>
      <c r="I28" s="41">
        <v>0.85899999999999999</v>
      </c>
    </row>
    <row r="29" spans="1:9" ht="12.95" customHeight="1">
      <c r="A29" s="29"/>
      <c r="B29" s="63" t="s">
        <v>39</v>
      </c>
      <c r="C29" s="19" t="s">
        <v>1</v>
      </c>
      <c r="D29" s="19" t="s">
        <v>1</v>
      </c>
      <c r="E29" s="19" t="s">
        <v>1</v>
      </c>
      <c r="F29" s="20">
        <v>5867.2354800000003</v>
      </c>
      <c r="G29" s="53">
        <v>5867.24</v>
      </c>
      <c r="H29" s="67">
        <v>0.85908673683574277</v>
      </c>
      <c r="I29" s="41">
        <v>0.85899999999999999</v>
      </c>
    </row>
    <row r="30" spans="1:9" ht="12.95" customHeight="1">
      <c r="A30" s="29"/>
      <c r="B30" s="63"/>
      <c r="C30" s="19"/>
      <c r="D30" s="19"/>
      <c r="E30" s="19"/>
      <c r="F30" s="20"/>
      <c r="G30" s="53"/>
      <c r="H30" s="67"/>
      <c r="I30" s="87"/>
    </row>
    <row r="31" spans="1:9" ht="12.95" customHeight="1">
      <c r="A31" s="29"/>
      <c r="B31" s="63" t="s">
        <v>40</v>
      </c>
      <c r="C31" s="19" t="s">
        <v>1</v>
      </c>
      <c r="D31" s="19" t="s">
        <v>1</v>
      </c>
      <c r="E31" s="19" t="s">
        <v>1</v>
      </c>
      <c r="F31" s="48" t="s">
        <v>1</v>
      </c>
      <c r="G31" s="49"/>
      <c r="H31" s="64" t="s">
        <v>1</v>
      </c>
      <c r="I31" s="12" t="s">
        <v>1</v>
      </c>
    </row>
    <row r="32" spans="1:9" ht="12.95" customHeight="1">
      <c r="A32" s="31"/>
      <c r="B32" s="65" t="s">
        <v>41</v>
      </c>
      <c r="C32" s="19" t="s">
        <v>1</v>
      </c>
      <c r="D32" s="19" t="s">
        <v>42</v>
      </c>
      <c r="E32" s="50"/>
      <c r="F32" s="51">
        <v>953.97210099999995</v>
      </c>
      <c r="G32" s="52">
        <v>953.97</v>
      </c>
      <c r="H32" s="66">
        <v>0.13968158974939041</v>
      </c>
      <c r="I32" s="3">
        <v>0.13969999999999999</v>
      </c>
    </row>
    <row r="33" spans="1:9" ht="12.95" customHeight="1">
      <c r="A33" s="29"/>
      <c r="B33" s="63" t="s">
        <v>38</v>
      </c>
      <c r="C33" s="19" t="s">
        <v>1</v>
      </c>
      <c r="D33" s="19" t="s">
        <v>1</v>
      </c>
      <c r="E33" s="19" t="s">
        <v>1</v>
      </c>
      <c r="F33" s="20">
        <v>953.97210099999995</v>
      </c>
      <c r="G33" s="53">
        <v>953.97</v>
      </c>
      <c r="H33" s="67">
        <v>0.13968158974939041</v>
      </c>
      <c r="I33" s="41">
        <v>0.13969999999999999</v>
      </c>
    </row>
    <row r="34" spans="1:9" ht="12.95" customHeight="1">
      <c r="A34" s="29"/>
      <c r="B34" s="63"/>
      <c r="C34" s="19"/>
      <c r="D34" s="19"/>
      <c r="E34" s="19"/>
      <c r="F34" s="20"/>
      <c r="G34" s="150"/>
      <c r="H34" s="67"/>
      <c r="I34" s="41"/>
    </row>
    <row r="35" spans="1:9" ht="12.95" customHeight="1">
      <c r="A35" s="29"/>
      <c r="B35" s="63" t="s">
        <v>280</v>
      </c>
      <c r="C35" s="89"/>
      <c r="D35" s="89"/>
      <c r="E35" s="89"/>
      <c r="F35" s="90"/>
      <c r="G35" s="91"/>
      <c r="H35" s="67"/>
      <c r="I35" s="41"/>
    </row>
    <row r="36" spans="1:9" ht="12.95" customHeight="1">
      <c r="A36" s="29"/>
      <c r="B36" s="149" t="s">
        <v>43</v>
      </c>
      <c r="C36" s="19" t="s">
        <v>1</v>
      </c>
      <c r="D36" s="19" t="s">
        <v>1</v>
      </c>
      <c r="E36" s="19" t="s">
        <v>1</v>
      </c>
      <c r="F36" s="22">
        <v>8.4118607000000001</v>
      </c>
      <c r="G36" s="78">
        <v>8.41</v>
      </c>
      <c r="H36" s="68">
        <v>1.2316734148668401E-3</v>
      </c>
      <c r="I36" s="41">
        <v>1.2999999999999999E-3</v>
      </c>
    </row>
    <row r="37" spans="1:9" ht="12.95" customHeight="1">
      <c r="A37" s="29"/>
      <c r="B37" s="139" t="s">
        <v>38</v>
      </c>
      <c r="C37" s="25"/>
      <c r="D37" s="25"/>
      <c r="E37" s="25"/>
      <c r="F37" s="20">
        <v>8.4118607000000001</v>
      </c>
      <c r="G37" s="53">
        <v>8.41</v>
      </c>
      <c r="H37" s="67">
        <v>1.2316734148668401E-3</v>
      </c>
      <c r="I37" s="74"/>
    </row>
    <row r="38" spans="1:9" ht="12.95" customHeight="1" thickBot="1">
      <c r="A38" s="29"/>
      <c r="B38" s="140" t="s">
        <v>39</v>
      </c>
      <c r="C38" s="25"/>
      <c r="D38" s="25"/>
      <c r="E38" s="25"/>
      <c r="F38" s="26">
        <f>F33+F37</f>
        <v>962.38396169999999</v>
      </c>
      <c r="G38" s="26">
        <f t="shared" ref="G38:H38" si="0">G33+G37</f>
        <v>962.38</v>
      </c>
      <c r="H38" s="77">
        <f t="shared" si="0"/>
        <v>0.14091326316425726</v>
      </c>
      <c r="I38" s="74"/>
    </row>
    <row r="39" spans="1:9" ht="12.95" customHeight="1" thickBot="1">
      <c r="A39" s="29"/>
      <c r="B39" s="115" t="s">
        <v>44</v>
      </c>
      <c r="C39" s="116" t="s">
        <v>1</v>
      </c>
      <c r="D39" s="116" t="s">
        <v>1</v>
      </c>
      <c r="E39" s="116" t="s">
        <v>1</v>
      </c>
      <c r="F39" s="117">
        <v>6829.6194416999997</v>
      </c>
      <c r="G39" s="118">
        <v>6829.62</v>
      </c>
      <c r="H39" s="119">
        <v>1</v>
      </c>
      <c r="I39" s="44">
        <v>1</v>
      </c>
    </row>
    <row r="40" spans="1:9" s="32" customFormat="1" ht="12.95" customHeight="1">
      <c r="A40" s="29"/>
      <c r="B40" s="30" t="s">
        <v>1</v>
      </c>
      <c r="C40" s="29"/>
      <c r="D40" s="29"/>
      <c r="E40" s="29"/>
      <c r="F40" s="34"/>
      <c r="G40" s="29"/>
      <c r="H40" s="35"/>
      <c r="I40" s="29"/>
    </row>
    <row r="41" spans="1:9" s="32" customFormat="1" ht="12.95" customHeight="1">
      <c r="A41" s="29"/>
      <c r="B41" s="36" t="s">
        <v>42</v>
      </c>
      <c r="C41" s="29"/>
      <c r="D41" s="29"/>
      <c r="E41" s="29"/>
      <c r="F41" s="34"/>
      <c r="G41" s="29"/>
      <c r="H41" s="35"/>
      <c r="I41" s="29"/>
    </row>
    <row r="42" spans="1:9" s="32" customFormat="1" ht="12.95" customHeight="1">
      <c r="A42" s="29"/>
      <c r="B42" s="141" t="s">
        <v>45</v>
      </c>
      <c r="C42" s="29"/>
      <c r="D42" s="29"/>
      <c r="E42" s="29"/>
      <c r="F42" s="34"/>
      <c r="G42" s="29"/>
      <c r="H42" s="35"/>
      <c r="I42" s="29"/>
    </row>
    <row r="43" spans="1:9" s="32" customFormat="1" ht="12.95" customHeight="1" thickBot="1">
      <c r="A43" s="29"/>
      <c r="B43" s="141" t="s">
        <v>46</v>
      </c>
      <c r="C43" s="29"/>
      <c r="D43" s="29"/>
      <c r="E43" s="29"/>
      <c r="F43" s="34"/>
      <c r="G43" s="29"/>
      <c r="H43" s="35"/>
      <c r="I43" s="29"/>
    </row>
    <row r="44" spans="1:9" s="32" customFormat="1" ht="12.95" customHeight="1" thickBot="1">
      <c r="A44" s="29"/>
      <c r="B44" s="142" t="s">
        <v>392</v>
      </c>
      <c r="C44" s="143" t="s">
        <v>396</v>
      </c>
      <c r="D44" s="29"/>
      <c r="E44" s="29"/>
      <c r="F44" s="34"/>
      <c r="G44" s="29"/>
      <c r="H44" s="35"/>
      <c r="I44" s="29"/>
    </row>
    <row r="45" spans="1:9" s="32" customFormat="1" ht="12.95" customHeight="1">
      <c r="A45" s="29"/>
      <c r="B45" s="36" t="s">
        <v>1</v>
      </c>
      <c r="C45" s="29"/>
      <c r="D45" s="29"/>
      <c r="E45" s="29"/>
      <c r="F45" s="34"/>
      <c r="G45" s="29"/>
      <c r="H45" s="35"/>
      <c r="I45" s="29"/>
    </row>
    <row r="46" spans="1:9" s="32" customFormat="1">
      <c r="F46" s="37"/>
      <c r="H46" s="38"/>
    </row>
    <row r="47" spans="1:9" s="32" customFormat="1">
      <c r="F47" s="37"/>
      <c r="H47" s="38"/>
    </row>
    <row r="48" spans="1:9" s="32" customFormat="1">
      <c r="F48" s="37"/>
      <c r="H48" s="38"/>
    </row>
    <row r="49" spans="6:8" s="32" customFormat="1">
      <c r="F49" s="37"/>
      <c r="H49" s="38"/>
    </row>
    <row r="50" spans="6:8" s="32" customFormat="1">
      <c r="F50" s="37"/>
      <c r="H50" s="38"/>
    </row>
    <row r="51" spans="6:8" s="32" customFormat="1">
      <c r="F51" s="37"/>
      <c r="H51" s="38"/>
    </row>
    <row r="52" spans="6:8" s="32" customFormat="1">
      <c r="F52" s="37"/>
      <c r="H52" s="38"/>
    </row>
    <row r="53" spans="6:8" s="32" customFormat="1">
      <c r="F53" s="37"/>
      <c r="H53" s="38"/>
    </row>
    <row r="54" spans="6:8" s="32" customFormat="1">
      <c r="F54" s="37"/>
      <c r="H54" s="38"/>
    </row>
    <row r="55" spans="6:8" s="32" customFormat="1">
      <c r="F55" s="37"/>
      <c r="H55" s="38"/>
    </row>
    <row r="56" spans="6:8" s="32" customFormat="1">
      <c r="F56" s="37"/>
      <c r="H56" s="38"/>
    </row>
    <row r="57" spans="6:8" s="32" customFormat="1">
      <c r="F57" s="37"/>
      <c r="H57" s="38"/>
    </row>
    <row r="58" spans="6:8" s="32" customFormat="1">
      <c r="F58" s="37"/>
      <c r="H58" s="38"/>
    </row>
    <row r="59" spans="6:8" s="32" customFormat="1">
      <c r="F59" s="37"/>
      <c r="H59" s="38"/>
    </row>
    <row r="60" spans="6:8" s="32" customFormat="1">
      <c r="F60" s="37"/>
      <c r="H60" s="38"/>
    </row>
    <row r="61" spans="6:8" s="32" customFormat="1">
      <c r="F61" s="37"/>
      <c r="H61" s="38"/>
    </row>
    <row r="62" spans="6:8" s="32" customFormat="1">
      <c r="F62" s="37"/>
      <c r="H62" s="38"/>
    </row>
    <row r="63" spans="6:8" s="32" customFormat="1">
      <c r="F63" s="37"/>
      <c r="H63" s="38"/>
    </row>
    <row r="64" spans="6:8" s="32" customFormat="1">
      <c r="F64" s="37"/>
      <c r="H64" s="38"/>
    </row>
    <row r="65" spans="6:8" s="32" customFormat="1">
      <c r="F65" s="37"/>
      <c r="H65" s="38"/>
    </row>
    <row r="66" spans="6:8" s="32" customFormat="1">
      <c r="F66" s="37"/>
      <c r="H66" s="38"/>
    </row>
    <row r="67" spans="6:8" s="32" customFormat="1">
      <c r="F67" s="37"/>
      <c r="H67" s="38"/>
    </row>
    <row r="68" spans="6:8" s="32" customFormat="1">
      <c r="F68" s="37"/>
      <c r="H68" s="38"/>
    </row>
    <row r="69" spans="6:8" s="32" customFormat="1">
      <c r="F69" s="37"/>
      <c r="H69" s="38"/>
    </row>
    <row r="70" spans="6:8" s="32" customFormat="1">
      <c r="F70" s="37"/>
      <c r="H70" s="38"/>
    </row>
    <row r="71" spans="6:8" s="32" customFormat="1">
      <c r="F71" s="37"/>
      <c r="H71" s="38"/>
    </row>
    <row r="72" spans="6:8" s="32" customFormat="1">
      <c r="F72" s="37"/>
      <c r="H72" s="38"/>
    </row>
    <row r="73" spans="6:8" s="32" customFormat="1">
      <c r="F73" s="37"/>
      <c r="H73" s="38"/>
    </row>
    <row r="74" spans="6:8" s="32" customFormat="1">
      <c r="F74" s="37"/>
      <c r="H74" s="38"/>
    </row>
    <row r="75" spans="6:8" s="32" customFormat="1">
      <c r="F75" s="37"/>
      <c r="H75" s="38"/>
    </row>
    <row r="76" spans="6:8" s="32" customFormat="1">
      <c r="F76" s="37"/>
      <c r="H76" s="38"/>
    </row>
    <row r="77" spans="6:8" s="32" customFormat="1">
      <c r="F77" s="37"/>
      <c r="H77" s="38"/>
    </row>
    <row r="78" spans="6:8" s="32" customFormat="1">
      <c r="F78" s="37"/>
      <c r="H78" s="38"/>
    </row>
    <row r="79" spans="6:8" s="32" customFormat="1">
      <c r="F79" s="37"/>
      <c r="H79" s="38"/>
    </row>
    <row r="80" spans="6:8" s="32" customFormat="1">
      <c r="F80" s="37"/>
      <c r="H80" s="38"/>
    </row>
    <row r="81" spans="6:8" s="32" customFormat="1">
      <c r="F81" s="37"/>
      <c r="H81" s="38"/>
    </row>
    <row r="82" spans="6:8" s="32" customFormat="1">
      <c r="F82" s="37"/>
      <c r="H82" s="38"/>
    </row>
    <row r="83" spans="6:8" s="32" customFormat="1">
      <c r="F83" s="37"/>
      <c r="H83" s="38"/>
    </row>
    <row r="84" spans="6:8" s="32" customFormat="1">
      <c r="F84" s="37"/>
      <c r="H84" s="38"/>
    </row>
    <row r="85" spans="6:8" s="32" customFormat="1">
      <c r="F85" s="37"/>
      <c r="H85" s="38"/>
    </row>
    <row r="86" spans="6:8" s="32" customFormat="1">
      <c r="F86" s="37"/>
      <c r="H86" s="38"/>
    </row>
    <row r="87" spans="6:8" s="32" customFormat="1">
      <c r="F87" s="37"/>
      <c r="H87" s="38"/>
    </row>
    <row r="88" spans="6:8" s="32" customFormat="1">
      <c r="F88" s="37"/>
      <c r="H88" s="38"/>
    </row>
    <row r="89" spans="6:8" s="32" customFormat="1">
      <c r="F89" s="37"/>
      <c r="H89" s="38"/>
    </row>
    <row r="90" spans="6:8" s="32" customFormat="1">
      <c r="F90" s="37"/>
      <c r="H90" s="38"/>
    </row>
    <row r="91" spans="6:8" s="32" customFormat="1">
      <c r="F91" s="37"/>
      <c r="H91" s="38"/>
    </row>
    <row r="92" spans="6:8" s="32" customFormat="1">
      <c r="F92" s="37"/>
      <c r="H92" s="38"/>
    </row>
    <row r="93" spans="6:8" s="32" customFormat="1">
      <c r="F93" s="37"/>
      <c r="H93" s="38"/>
    </row>
    <row r="94" spans="6:8" s="32" customFormat="1">
      <c r="F94" s="37"/>
      <c r="H94" s="38"/>
    </row>
    <row r="95" spans="6:8" s="32" customFormat="1">
      <c r="F95" s="37"/>
      <c r="H95" s="38"/>
    </row>
    <row r="96" spans="6:8" s="32" customFormat="1">
      <c r="F96" s="37"/>
      <c r="H96" s="38"/>
    </row>
    <row r="97" spans="6:8" s="32" customFormat="1">
      <c r="F97" s="37"/>
      <c r="H97" s="38"/>
    </row>
    <row r="98" spans="6:8" s="32" customFormat="1">
      <c r="F98" s="37"/>
      <c r="H98" s="38"/>
    </row>
    <row r="99" spans="6:8" s="32" customFormat="1">
      <c r="F99" s="37"/>
      <c r="H99" s="38"/>
    </row>
    <row r="100" spans="6:8" s="32" customFormat="1">
      <c r="F100" s="37"/>
      <c r="H100" s="38"/>
    </row>
    <row r="101" spans="6:8" s="32" customFormat="1">
      <c r="F101" s="37"/>
      <c r="H101" s="38"/>
    </row>
    <row r="102" spans="6:8" s="32" customFormat="1">
      <c r="F102" s="37"/>
      <c r="H102" s="38"/>
    </row>
    <row r="103" spans="6:8" s="32" customFormat="1">
      <c r="F103" s="37"/>
      <c r="H103" s="38"/>
    </row>
    <row r="104" spans="6:8" s="32" customFormat="1">
      <c r="F104" s="37"/>
      <c r="H104" s="38"/>
    </row>
    <row r="105" spans="6:8" s="32" customFormat="1">
      <c r="F105" s="37"/>
      <c r="H105" s="38"/>
    </row>
    <row r="106" spans="6:8" s="32" customFormat="1">
      <c r="F106" s="37"/>
      <c r="H106" s="38"/>
    </row>
    <row r="107" spans="6:8" s="32" customFormat="1">
      <c r="F107" s="37"/>
      <c r="H107" s="38"/>
    </row>
    <row r="108" spans="6:8" s="32" customFormat="1">
      <c r="F108" s="37"/>
      <c r="H108" s="38"/>
    </row>
    <row r="109" spans="6:8" s="32" customFormat="1">
      <c r="F109" s="37"/>
      <c r="H109" s="38"/>
    </row>
    <row r="110" spans="6:8" s="32" customFormat="1">
      <c r="F110" s="37"/>
      <c r="H110" s="38"/>
    </row>
    <row r="111" spans="6:8" s="32" customFormat="1">
      <c r="F111" s="37"/>
      <c r="H111" s="38"/>
    </row>
    <row r="112" spans="6:8" s="32" customFormat="1">
      <c r="F112" s="37"/>
      <c r="H112" s="38"/>
    </row>
    <row r="113" spans="6:8" s="32" customFormat="1">
      <c r="F113" s="37"/>
      <c r="H113" s="38"/>
    </row>
    <row r="114" spans="6:8" s="32" customFormat="1">
      <c r="F114" s="37"/>
      <c r="H114" s="38"/>
    </row>
    <row r="115" spans="6:8" s="32" customFormat="1">
      <c r="F115" s="37"/>
      <c r="H115" s="38"/>
    </row>
    <row r="116" spans="6:8" s="32" customFormat="1">
      <c r="F116" s="37"/>
      <c r="H116" s="38"/>
    </row>
    <row r="117" spans="6:8" s="32" customFormat="1">
      <c r="F117" s="37"/>
      <c r="H117" s="38"/>
    </row>
    <row r="118" spans="6:8" s="32" customFormat="1">
      <c r="F118" s="37"/>
      <c r="H118" s="38"/>
    </row>
    <row r="119" spans="6:8" s="32" customFormat="1">
      <c r="F119" s="37"/>
      <c r="H119" s="38"/>
    </row>
    <row r="120" spans="6:8" s="32" customFormat="1">
      <c r="F120" s="37"/>
      <c r="H120" s="38"/>
    </row>
    <row r="121" spans="6:8" s="32" customFormat="1">
      <c r="F121" s="37"/>
      <c r="H121" s="38"/>
    </row>
    <row r="122" spans="6:8" s="32" customFormat="1">
      <c r="F122" s="37"/>
      <c r="H122" s="38"/>
    </row>
    <row r="123" spans="6:8" s="32" customFormat="1">
      <c r="F123" s="37"/>
      <c r="H123" s="38"/>
    </row>
    <row r="124" spans="6:8" s="32" customFormat="1">
      <c r="F124" s="37"/>
      <c r="H124" s="38"/>
    </row>
    <row r="125" spans="6:8" s="32" customFormat="1">
      <c r="F125" s="37"/>
      <c r="H125" s="38"/>
    </row>
    <row r="126" spans="6:8" s="32" customFormat="1">
      <c r="F126" s="37"/>
      <c r="H126" s="38"/>
    </row>
    <row r="127" spans="6:8" s="32" customFormat="1">
      <c r="F127" s="37"/>
      <c r="H127" s="38"/>
    </row>
    <row r="128" spans="6:8" s="32" customFormat="1">
      <c r="F128" s="37"/>
      <c r="H128" s="38"/>
    </row>
    <row r="129" spans="6:8" s="32" customFormat="1">
      <c r="F129" s="37"/>
      <c r="H129" s="38"/>
    </row>
    <row r="130" spans="6:8" s="32" customFormat="1">
      <c r="F130" s="37"/>
      <c r="H130" s="38"/>
    </row>
    <row r="131" spans="6:8" s="32" customFormat="1">
      <c r="F131" s="37"/>
      <c r="H131" s="38"/>
    </row>
    <row r="132" spans="6:8" s="32" customFormat="1">
      <c r="F132" s="37"/>
      <c r="H132" s="38"/>
    </row>
    <row r="133" spans="6:8" s="32" customFormat="1">
      <c r="F133" s="37"/>
      <c r="H133" s="38"/>
    </row>
    <row r="134" spans="6:8" s="32" customFormat="1">
      <c r="F134" s="37"/>
      <c r="H134" s="38"/>
    </row>
    <row r="135" spans="6:8" s="32" customFormat="1">
      <c r="F135" s="37"/>
      <c r="H135" s="38"/>
    </row>
    <row r="136" spans="6:8" s="32" customFormat="1">
      <c r="F136" s="37"/>
      <c r="H136" s="38"/>
    </row>
    <row r="137" spans="6:8" s="32" customFormat="1">
      <c r="F137" s="37"/>
      <c r="H137" s="38"/>
    </row>
    <row r="138" spans="6:8" s="32" customFormat="1">
      <c r="F138" s="37"/>
      <c r="H138" s="38"/>
    </row>
    <row r="139" spans="6:8" s="32" customFormat="1">
      <c r="F139" s="37"/>
      <c r="H139" s="38"/>
    </row>
    <row r="140" spans="6:8" s="32" customFormat="1">
      <c r="F140" s="37"/>
      <c r="H140" s="38"/>
    </row>
    <row r="141" spans="6:8" s="32" customFormat="1">
      <c r="F141" s="37"/>
      <c r="H141" s="38"/>
    </row>
    <row r="142" spans="6:8" s="32" customFormat="1">
      <c r="F142" s="37"/>
      <c r="H142" s="38"/>
    </row>
    <row r="143" spans="6:8" s="32" customFormat="1">
      <c r="F143" s="37"/>
      <c r="H143" s="38"/>
    </row>
    <row r="144" spans="6:8" s="32" customFormat="1">
      <c r="F144" s="37"/>
      <c r="H144" s="38"/>
    </row>
    <row r="145" spans="6:8" s="32" customFormat="1">
      <c r="F145" s="37"/>
      <c r="H145" s="38"/>
    </row>
    <row r="146" spans="6:8" s="32" customFormat="1">
      <c r="F146" s="37"/>
      <c r="H146" s="38"/>
    </row>
    <row r="147" spans="6:8" s="32" customFormat="1">
      <c r="F147" s="37"/>
      <c r="H147" s="38"/>
    </row>
    <row r="148" spans="6:8" s="32" customFormat="1">
      <c r="F148" s="37"/>
      <c r="H148" s="38"/>
    </row>
    <row r="149" spans="6:8" s="32" customFormat="1">
      <c r="F149" s="37"/>
      <c r="H149" s="38"/>
    </row>
    <row r="150" spans="6:8" s="32" customFormat="1">
      <c r="F150" s="37"/>
      <c r="H150" s="38"/>
    </row>
    <row r="151" spans="6:8" s="32" customFormat="1">
      <c r="F151" s="37"/>
      <c r="H151" s="38"/>
    </row>
    <row r="152" spans="6:8" s="32" customFormat="1">
      <c r="F152" s="37"/>
      <c r="H152" s="38"/>
    </row>
    <row r="153" spans="6:8" s="32" customFormat="1">
      <c r="F153" s="37"/>
      <c r="H153" s="38"/>
    </row>
    <row r="154" spans="6:8" s="32" customFormat="1">
      <c r="F154" s="37"/>
      <c r="H154" s="38"/>
    </row>
    <row r="155" spans="6:8" s="32" customFormat="1">
      <c r="F155" s="37"/>
      <c r="H155" s="38"/>
    </row>
    <row r="156" spans="6:8" s="32" customFormat="1">
      <c r="F156" s="37"/>
      <c r="H156" s="38"/>
    </row>
    <row r="157" spans="6:8" s="32" customFormat="1">
      <c r="F157" s="37"/>
      <c r="H157" s="38"/>
    </row>
    <row r="158" spans="6:8" s="32" customFormat="1">
      <c r="F158" s="37"/>
      <c r="H158" s="38"/>
    </row>
    <row r="159" spans="6:8" s="32" customFormat="1">
      <c r="F159" s="37"/>
      <c r="H159" s="38"/>
    </row>
    <row r="160" spans="6:8" s="32" customFormat="1">
      <c r="F160" s="37"/>
      <c r="H160" s="38"/>
    </row>
    <row r="161" spans="6:8" s="32" customFormat="1">
      <c r="F161" s="37"/>
      <c r="H161" s="38"/>
    </row>
    <row r="162" spans="6:8" s="32" customFormat="1">
      <c r="F162" s="37"/>
      <c r="H162" s="38"/>
    </row>
    <row r="163" spans="6:8" s="32" customFormat="1">
      <c r="F163" s="37"/>
      <c r="H163" s="38"/>
    </row>
    <row r="164" spans="6:8" s="32" customFormat="1">
      <c r="F164" s="37"/>
      <c r="H164" s="38"/>
    </row>
    <row r="165" spans="6:8" s="32" customFormat="1">
      <c r="F165" s="37"/>
      <c r="H165" s="38"/>
    </row>
    <row r="166" spans="6:8" s="32" customFormat="1">
      <c r="F166" s="37"/>
      <c r="H166" s="38"/>
    </row>
    <row r="167" spans="6:8" s="32" customFormat="1">
      <c r="F167" s="37"/>
      <c r="H167" s="38"/>
    </row>
    <row r="168" spans="6:8" s="32" customFormat="1">
      <c r="F168" s="37"/>
      <c r="H168" s="38"/>
    </row>
    <row r="169" spans="6:8" s="32" customFormat="1">
      <c r="F169" s="37"/>
      <c r="H169" s="38"/>
    </row>
    <row r="170" spans="6:8" s="32" customFormat="1">
      <c r="F170" s="37"/>
      <c r="H170" s="38"/>
    </row>
    <row r="171" spans="6:8" s="32" customFormat="1">
      <c r="F171" s="37"/>
      <c r="H171" s="38"/>
    </row>
    <row r="172" spans="6:8" s="32" customFormat="1">
      <c r="F172" s="37"/>
      <c r="H172" s="38"/>
    </row>
    <row r="173" spans="6:8" s="32" customFormat="1">
      <c r="F173" s="37"/>
      <c r="H173" s="38"/>
    </row>
    <row r="174" spans="6:8" s="32" customFormat="1">
      <c r="F174" s="37"/>
      <c r="H174" s="38"/>
    </row>
    <row r="175" spans="6:8" s="32" customFormat="1">
      <c r="F175" s="37"/>
      <c r="H175" s="38"/>
    </row>
    <row r="176" spans="6:8" s="32" customFormat="1">
      <c r="F176" s="37"/>
      <c r="H176" s="38"/>
    </row>
    <row r="177" spans="6:8" s="32" customFormat="1">
      <c r="F177" s="37"/>
      <c r="H177" s="38"/>
    </row>
    <row r="178" spans="6:8" s="32" customFormat="1">
      <c r="F178" s="37"/>
      <c r="H178" s="38"/>
    </row>
    <row r="179" spans="6:8" s="32" customFormat="1">
      <c r="F179" s="37"/>
      <c r="H179" s="38"/>
    </row>
    <row r="180" spans="6:8" s="32" customFormat="1">
      <c r="F180" s="37"/>
      <c r="H180" s="38"/>
    </row>
    <row r="181" spans="6:8" s="32" customFormat="1">
      <c r="F181" s="37"/>
      <c r="H181" s="38"/>
    </row>
    <row r="182" spans="6:8" s="32" customFormat="1">
      <c r="F182" s="37"/>
      <c r="H182" s="38"/>
    </row>
    <row r="183" spans="6:8" s="32" customFormat="1">
      <c r="F183" s="37"/>
      <c r="H183" s="38"/>
    </row>
    <row r="184" spans="6:8" s="32" customFormat="1">
      <c r="F184" s="37"/>
      <c r="H184" s="38"/>
    </row>
    <row r="185" spans="6:8" s="32" customFormat="1">
      <c r="F185" s="37"/>
      <c r="H185" s="38"/>
    </row>
    <row r="186" spans="6:8" s="32" customFormat="1">
      <c r="F186" s="37"/>
      <c r="H186" s="38"/>
    </row>
    <row r="187" spans="6:8" s="32" customFormat="1">
      <c r="F187" s="37"/>
      <c r="H187" s="38"/>
    </row>
    <row r="188" spans="6:8" s="32" customFormat="1">
      <c r="F188" s="37"/>
      <c r="H188" s="38"/>
    </row>
    <row r="189" spans="6:8" s="32" customFormat="1">
      <c r="F189" s="37"/>
      <c r="H189" s="38"/>
    </row>
    <row r="190" spans="6:8" s="32" customFormat="1">
      <c r="F190" s="37"/>
      <c r="H190" s="38"/>
    </row>
    <row r="191" spans="6:8" s="32" customFormat="1">
      <c r="F191" s="37"/>
      <c r="H191" s="38"/>
    </row>
    <row r="192" spans="6:8" s="32" customFormat="1">
      <c r="F192" s="37"/>
      <c r="H192" s="38"/>
    </row>
    <row r="193" spans="6:8" s="32" customFormat="1">
      <c r="F193" s="37"/>
      <c r="H193" s="38"/>
    </row>
    <row r="194" spans="6:8" s="32" customFormat="1">
      <c r="F194" s="37"/>
      <c r="H194" s="38"/>
    </row>
    <row r="195" spans="6:8" s="32" customFormat="1">
      <c r="F195" s="37"/>
      <c r="H195" s="38"/>
    </row>
    <row r="196" spans="6:8" s="32" customFormat="1">
      <c r="F196" s="37"/>
      <c r="H196" s="38"/>
    </row>
    <row r="197" spans="6:8" s="32" customFormat="1">
      <c r="F197" s="37"/>
      <c r="H197" s="38"/>
    </row>
    <row r="198" spans="6:8" s="32" customFormat="1">
      <c r="F198" s="37"/>
      <c r="H198" s="38"/>
    </row>
    <row r="199" spans="6:8" s="32" customFormat="1">
      <c r="F199" s="37"/>
      <c r="H199" s="38"/>
    </row>
    <row r="200" spans="6:8" s="32" customFormat="1">
      <c r="F200" s="37"/>
      <c r="H200" s="38"/>
    </row>
    <row r="201" spans="6:8" s="32" customFormat="1">
      <c r="F201" s="37"/>
      <c r="H201" s="38"/>
    </row>
    <row r="202" spans="6:8" s="32" customFormat="1">
      <c r="F202" s="37"/>
      <c r="H202" s="38"/>
    </row>
    <row r="203" spans="6:8" s="32" customFormat="1">
      <c r="F203" s="37"/>
      <c r="H203" s="38"/>
    </row>
    <row r="204" spans="6:8" s="32" customFormat="1">
      <c r="F204" s="37"/>
      <c r="H204" s="38"/>
    </row>
    <row r="205" spans="6:8" s="32" customFormat="1">
      <c r="F205" s="37"/>
      <c r="H205" s="38"/>
    </row>
    <row r="206" spans="6:8" s="32" customFormat="1">
      <c r="F206" s="37"/>
      <c r="H206" s="38"/>
    </row>
    <row r="207" spans="6:8" s="32" customFormat="1">
      <c r="F207" s="37"/>
      <c r="H207" s="38"/>
    </row>
    <row r="208" spans="6:8" s="32" customFormat="1">
      <c r="F208" s="37"/>
      <c r="H208" s="38"/>
    </row>
    <row r="209" spans="6:8" s="32" customFormat="1">
      <c r="F209" s="37"/>
      <c r="H209" s="38"/>
    </row>
    <row r="210" spans="6:8" s="32" customFormat="1">
      <c r="F210" s="37"/>
      <c r="H210" s="38"/>
    </row>
    <row r="211" spans="6:8" s="32" customFormat="1">
      <c r="F211" s="37"/>
      <c r="H211" s="38"/>
    </row>
    <row r="212" spans="6:8" s="32" customFormat="1">
      <c r="F212" s="37"/>
      <c r="H212" s="38"/>
    </row>
    <row r="213" spans="6:8" s="32" customFormat="1">
      <c r="F213" s="37"/>
      <c r="H213" s="38"/>
    </row>
    <row r="214" spans="6:8" s="32" customFormat="1">
      <c r="F214" s="37"/>
      <c r="H214" s="38"/>
    </row>
    <row r="215" spans="6:8" s="32" customFormat="1">
      <c r="F215" s="37"/>
      <c r="H215" s="38"/>
    </row>
    <row r="216" spans="6:8" s="32" customFormat="1">
      <c r="F216" s="37"/>
      <c r="H216" s="38"/>
    </row>
    <row r="217" spans="6:8" s="32" customFormat="1">
      <c r="F217" s="37"/>
      <c r="H217" s="38"/>
    </row>
    <row r="218" spans="6:8" s="32" customFormat="1">
      <c r="F218" s="37"/>
      <c r="H218" s="38"/>
    </row>
    <row r="219" spans="6:8" s="32" customFormat="1">
      <c r="F219" s="37"/>
      <c r="H219" s="38"/>
    </row>
    <row r="220" spans="6:8" s="32" customFormat="1">
      <c r="F220" s="37"/>
      <c r="H220" s="38"/>
    </row>
    <row r="221" spans="6:8" s="32" customFormat="1">
      <c r="F221" s="37"/>
      <c r="H221" s="38"/>
    </row>
    <row r="222" spans="6:8" s="32" customFormat="1">
      <c r="F222" s="37"/>
      <c r="H222" s="38"/>
    </row>
    <row r="223" spans="6:8" s="32" customFormat="1">
      <c r="F223" s="37"/>
      <c r="H223" s="38"/>
    </row>
    <row r="224" spans="6:8" s="32" customFormat="1">
      <c r="F224" s="37"/>
      <c r="H224" s="38"/>
    </row>
    <row r="225" spans="6:8" s="32" customFormat="1">
      <c r="F225" s="37"/>
      <c r="H225" s="38"/>
    </row>
    <row r="226" spans="6:8" s="32" customFormat="1">
      <c r="F226" s="37"/>
      <c r="H226" s="38"/>
    </row>
    <row r="227" spans="6:8" s="32" customFormat="1">
      <c r="F227" s="37"/>
      <c r="H227" s="38"/>
    </row>
    <row r="228" spans="6:8" s="32" customFormat="1">
      <c r="F228" s="37"/>
      <c r="H228" s="38"/>
    </row>
    <row r="229" spans="6:8" s="32" customFormat="1">
      <c r="F229" s="37"/>
      <c r="H229" s="38"/>
    </row>
    <row r="230" spans="6:8" s="32" customFormat="1">
      <c r="F230" s="37"/>
      <c r="H230" s="38"/>
    </row>
    <row r="231" spans="6:8" s="32" customFormat="1">
      <c r="F231" s="37"/>
      <c r="H231" s="38"/>
    </row>
    <row r="232" spans="6:8" s="32" customFormat="1">
      <c r="F232" s="37"/>
      <c r="H232" s="38"/>
    </row>
    <row r="233" spans="6:8" s="32" customFormat="1">
      <c r="F233" s="37"/>
      <c r="H233" s="38"/>
    </row>
    <row r="234" spans="6:8" s="32" customFormat="1">
      <c r="F234" s="37"/>
      <c r="H234" s="38"/>
    </row>
    <row r="235" spans="6:8" s="32" customFormat="1">
      <c r="F235" s="37"/>
      <c r="H235" s="38"/>
    </row>
    <row r="236" spans="6:8" s="32" customFormat="1">
      <c r="F236" s="37"/>
      <c r="H236" s="38"/>
    </row>
    <row r="237" spans="6:8" s="32" customFormat="1">
      <c r="F237" s="37"/>
      <c r="H237" s="38"/>
    </row>
    <row r="238" spans="6:8" s="32" customFormat="1">
      <c r="F238" s="37"/>
      <c r="H238" s="38"/>
    </row>
    <row r="239" spans="6:8" s="32" customFormat="1">
      <c r="F239" s="37"/>
      <c r="H239" s="38"/>
    </row>
    <row r="240" spans="6:8" s="32" customFormat="1">
      <c r="F240" s="37"/>
      <c r="H240" s="38"/>
    </row>
    <row r="241" spans="6:8" s="32" customFormat="1">
      <c r="F241" s="37"/>
      <c r="H241" s="38"/>
    </row>
    <row r="242" spans="6:8" s="32" customFormat="1">
      <c r="F242" s="37"/>
      <c r="H242" s="38"/>
    </row>
    <row r="243" spans="6:8" s="32" customFormat="1">
      <c r="F243" s="37"/>
      <c r="H243" s="38"/>
    </row>
    <row r="244" spans="6:8" s="32" customFormat="1">
      <c r="F244" s="37"/>
      <c r="H244" s="38"/>
    </row>
    <row r="245" spans="6:8" s="32" customFormat="1">
      <c r="F245" s="37"/>
      <c r="H245" s="38"/>
    </row>
    <row r="246" spans="6:8" s="32" customFormat="1">
      <c r="F246" s="37"/>
      <c r="H246" s="38"/>
    </row>
    <row r="247" spans="6:8" s="32" customFormat="1">
      <c r="F247" s="37"/>
      <c r="H247" s="38"/>
    </row>
    <row r="248" spans="6:8" s="32" customFormat="1">
      <c r="F248" s="37"/>
      <c r="H248" s="38"/>
    </row>
    <row r="249" spans="6:8" s="32" customFormat="1">
      <c r="F249" s="37"/>
      <c r="H249" s="38"/>
    </row>
    <row r="250" spans="6:8" s="32" customFormat="1">
      <c r="F250" s="37"/>
      <c r="H250" s="38"/>
    </row>
    <row r="251" spans="6:8" s="32" customFormat="1">
      <c r="F251" s="37"/>
      <c r="H251" s="38"/>
    </row>
    <row r="252" spans="6:8" s="32" customFormat="1">
      <c r="F252" s="37"/>
      <c r="H252" s="38"/>
    </row>
    <row r="253" spans="6:8" s="32" customFormat="1">
      <c r="F253" s="37"/>
      <c r="H253" s="38"/>
    </row>
    <row r="254" spans="6:8" s="32" customFormat="1">
      <c r="F254" s="37"/>
      <c r="H254" s="38"/>
    </row>
    <row r="255" spans="6:8" s="32" customFormat="1">
      <c r="F255" s="37"/>
      <c r="H255" s="38"/>
    </row>
    <row r="256" spans="6:8" s="32" customFormat="1">
      <c r="F256" s="37"/>
      <c r="H256" s="38"/>
    </row>
    <row r="257" spans="6:8" s="32" customFormat="1">
      <c r="F257" s="37"/>
      <c r="H257" s="38"/>
    </row>
    <row r="258" spans="6:8" s="32" customFormat="1">
      <c r="F258" s="37"/>
      <c r="H258" s="38"/>
    </row>
    <row r="259" spans="6:8" s="32" customFormat="1">
      <c r="F259" s="37"/>
      <c r="H259" s="38"/>
    </row>
    <row r="260" spans="6:8" s="32" customFormat="1">
      <c r="F260" s="37"/>
      <c r="H260" s="38"/>
    </row>
    <row r="261" spans="6:8" s="32" customFormat="1">
      <c r="F261" s="37"/>
      <c r="H261" s="38"/>
    </row>
    <row r="262" spans="6:8" s="32" customFormat="1">
      <c r="F262" s="37"/>
      <c r="H262" s="38"/>
    </row>
    <row r="263" spans="6:8" s="32" customFormat="1">
      <c r="F263" s="37"/>
      <c r="H263" s="38"/>
    </row>
    <row r="264" spans="6:8" s="32" customFormat="1">
      <c r="F264" s="37"/>
      <c r="H264" s="38"/>
    </row>
    <row r="265" spans="6:8" s="32" customFormat="1">
      <c r="F265" s="37"/>
      <c r="H265" s="38"/>
    </row>
    <row r="266" spans="6:8" s="32" customFormat="1">
      <c r="F266" s="37"/>
      <c r="H266" s="38"/>
    </row>
    <row r="267" spans="6:8" s="32" customFormat="1">
      <c r="F267" s="37"/>
      <c r="H267" s="38"/>
    </row>
    <row r="268" spans="6:8" s="32" customFormat="1">
      <c r="F268" s="37"/>
      <c r="H268" s="38"/>
    </row>
    <row r="269" spans="6:8" s="32" customFormat="1">
      <c r="F269" s="37"/>
      <c r="H269" s="38"/>
    </row>
    <row r="270" spans="6:8" s="32" customFormat="1">
      <c r="F270" s="37"/>
      <c r="H270" s="38"/>
    </row>
    <row r="271" spans="6:8" s="32" customFormat="1">
      <c r="F271" s="37"/>
      <c r="H271" s="38"/>
    </row>
    <row r="272" spans="6:8" s="32" customFormat="1">
      <c r="F272" s="37"/>
      <c r="H272" s="38"/>
    </row>
    <row r="273" spans="6:8" s="32" customFormat="1">
      <c r="F273" s="37"/>
      <c r="H273" s="38"/>
    </row>
    <row r="274" spans="6:8" s="32" customFormat="1">
      <c r="F274" s="37"/>
      <c r="H274" s="38"/>
    </row>
    <row r="275" spans="6:8" s="32" customFormat="1">
      <c r="F275" s="37"/>
      <c r="H275" s="38"/>
    </row>
    <row r="276" spans="6:8" s="32" customFormat="1">
      <c r="F276" s="37"/>
      <c r="H276" s="38"/>
    </row>
    <row r="277" spans="6:8" s="32" customFormat="1">
      <c r="F277" s="37"/>
      <c r="H277" s="38"/>
    </row>
    <row r="278" spans="6:8" s="32" customFormat="1">
      <c r="F278" s="37"/>
      <c r="H278" s="38"/>
    </row>
    <row r="279" spans="6:8" s="32" customFormat="1">
      <c r="F279" s="37"/>
      <c r="H279" s="38"/>
    </row>
    <row r="280" spans="6:8" s="32" customFormat="1">
      <c r="F280" s="37"/>
      <c r="H280" s="38"/>
    </row>
    <row r="281" spans="6:8" s="32" customFormat="1">
      <c r="F281" s="37"/>
      <c r="H281" s="38"/>
    </row>
    <row r="282" spans="6:8" s="32" customFormat="1">
      <c r="F282" s="37"/>
      <c r="H282" s="38"/>
    </row>
    <row r="283" spans="6:8" s="32" customFormat="1">
      <c r="F283" s="37"/>
      <c r="H283" s="38"/>
    </row>
    <row r="284" spans="6:8" s="32" customFormat="1">
      <c r="F284" s="37"/>
      <c r="H284" s="38"/>
    </row>
    <row r="285" spans="6:8" s="32" customFormat="1">
      <c r="F285" s="37"/>
      <c r="H285" s="38"/>
    </row>
    <row r="286" spans="6:8" s="32" customFormat="1">
      <c r="F286" s="37"/>
      <c r="H286" s="38"/>
    </row>
    <row r="287" spans="6:8" s="32" customFormat="1">
      <c r="F287" s="37"/>
      <c r="H287" s="38"/>
    </row>
    <row r="288" spans="6:8" s="32" customFormat="1">
      <c r="F288" s="37"/>
      <c r="H288" s="38"/>
    </row>
    <row r="289" spans="6:8" s="32" customFormat="1">
      <c r="F289" s="37"/>
      <c r="H289" s="38"/>
    </row>
    <row r="290" spans="6:8" s="32" customFormat="1">
      <c r="F290" s="37"/>
      <c r="H290" s="38"/>
    </row>
    <row r="291" spans="6:8" s="32" customFormat="1">
      <c r="F291" s="37"/>
      <c r="H291" s="38"/>
    </row>
    <row r="292" spans="6:8" s="32" customFormat="1">
      <c r="F292" s="37"/>
      <c r="H292" s="38"/>
    </row>
    <row r="293" spans="6:8" s="32" customFormat="1">
      <c r="F293" s="37"/>
      <c r="H293" s="38"/>
    </row>
    <row r="294" spans="6:8" s="32" customFormat="1">
      <c r="F294" s="37"/>
      <c r="H294" s="38"/>
    </row>
    <row r="295" spans="6:8" s="32" customFormat="1">
      <c r="F295" s="37"/>
      <c r="H295" s="38"/>
    </row>
    <row r="296" spans="6:8" s="32" customFormat="1">
      <c r="F296" s="37"/>
      <c r="H296" s="38"/>
    </row>
    <row r="297" spans="6:8" s="32" customFormat="1">
      <c r="F297" s="37"/>
      <c r="H297" s="38"/>
    </row>
    <row r="298" spans="6:8" s="32" customFormat="1">
      <c r="F298" s="37"/>
      <c r="H298" s="38"/>
    </row>
    <row r="299" spans="6:8" s="32" customFormat="1">
      <c r="F299" s="37"/>
      <c r="H299" s="38"/>
    </row>
    <row r="300" spans="6:8" s="32" customFormat="1">
      <c r="F300" s="37"/>
      <c r="H300" s="38"/>
    </row>
    <row r="301" spans="6:8" s="32" customFormat="1">
      <c r="F301" s="37"/>
      <c r="H301" s="38"/>
    </row>
    <row r="302" spans="6:8" s="32" customFormat="1">
      <c r="F302" s="37"/>
      <c r="H302" s="38"/>
    </row>
    <row r="303" spans="6:8" s="32" customFormat="1">
      <c r="F303" s="37"/>
      <c r="H303" s="38"/>
    </row>
    <row r="304" spans="6:8" s="32" customFormat="1">
      <c r="F304" s="37"/>
      <c r="H304" s="38"/>
    </row>
    <row r="305" spans="6:8" s="32" customFormat="1">
      <c r="F305" s="37"/>
      <c r="H305" s="38"/>
    </row>
    <row r="306" spans="6:8" s="32" customFormat="1">
      <c r="F306" s="37"/>
      <c r="H306" s="38"/>
    </row>
    <row r="307" spans="6:8" s="32" customFormat="1">
      <c r="F307" s="37"/>
      <c r="H307" s="38"/>
    </row>
    <row r="308" spans="6:8" s="32" customFormat="1">
      <c r="F308" s="37"/>
      <c r="H308" s="38"/>
    </row>
    <row r="309" spans="6:8" s="32" customFormat="1">
      <c r="F309" s="37"/>
      <c r="H309" s="38"/>
    </row>
    <row r="310" spans="6:8" s="32" customFormat="1">
      <c r="F310" s="37"/>
      <c r="H310" s="38"/>
    </row>
    <row r="311" spans="6:8" s="32" customFormat="1">
      <c r="F311" s="37"/>
      <c r="H311" s="38"/>
    </row>
    <row r="312" spans="6:8" s="32" customFormat="1">
      <c r="F312" s="37"/>
      <c r="H312" s="38"/>
    </row>
    <row r="313" spans="6:8" s="32" customFormat="1">
      <c r="F313" s="37"/>
      <c r="H313" s="38"/>
    </row>
    <row r="314" spans="6:8" s="32" customFormat="1">
      <c r="F314" s="37"/>
      <c r="H314" s="38"/>
    </row>
    <row r="315" spans="6:8" s="32" customFormat="1">
      <c r="F315" s="37"/>
      <c r="H315" s="38"/>
    </row>
    <row r="316" spans="6:8" s="32" customFormat="1">
      <c r="F316" s="37"/>
      <c r="H316" s="38"/>
    </row>
    <row r="317" spans="6:8" s="32" customFormat="1">
      <c r="F317" s="37"/>
      <c r="H317" s="38"/>
    </row>
    <row r="318" spans="6:8" s="32" customFormat="1">
      <c r="F318" s="37"/>
      <c r="H318" s="38"/>
    </row>
    <row r="319" spans="6:8" s="32" customFormat="1">
      <c r="F319" s="37"/>
      <c r="H319" s="38"/>
    </row>
    <row r="320" spans="6:8" s="32" customFormat="1">
      <c r="F320" s="37"/>
      <c r="H320" s="38"/>
    </row>
    <row r="321" spans="6:8" s="32" customFormat="1">
      <c r="F321" s="37"/>
      <c r="H321" s="38"/>
    </row>
    <row r="322" spans="6:8" s="32" customFormat="1">
      <c r="F322" s="37"/>
      <c r="H322" s="38"/>
    </row>
    <row r="323" spans="6:8" s="32" customFormat="1">
      <c r="F323" s="37"/>
      <c r="H323" s="38"/>
    </row>
    <row r="324" spans="6:8" s="32" customFormat="1">
      <c r="F324" s="37"/>
      <c r="H324" s="38"/>
    </row>
    <row r="325" spans="6:8" s="32" customFormat="1">
      <c r="F325" s="37"/>
      <c r="H325" s="38"/>
    </row>
    <row r="326" spans="6:8" s="32" customFormat="1">
      <c r="F326" s="37"/>
      <c r="H326" s="38"/>
    </row>
    <row r="327" spans="6:8" s="32" customFormat="1">
      <c r="F327" s="37"/>
      <c r="H327" s="38"/>
    </row>
    <row r="328" spans="6:8" s="32" customFormat="1">
      <c r="F328" s="37"/>
      <c r="H328" s="38"/>
    </row>
    <row r="329" spans="6:8" s="32" customFormat="1">
      <c r="F329" s="37"/>
      <c r="H329" s="38"/>
    </row>
    <row r="330" spans="6:8" s="32" customFormat="1">
      <c r="F330" s="37"/>
      <c r="H330" s="38"/>
    </row>
    <row r="331" spans="6:8" s="32" customFormat="1">
      <c r="F331" s="37"/>
      <c r="H331" s="38"/>
    </row>
    <row r="332" spans="6:8" s="32" customFormat="1">
      <c r="F332" s="37"/>
      <c r="H332" s="38"/>
    </row>
    <row r="333" spans="6:8" s="32" customFormat="1">
      <c r="F333" s="37"/>
      <c r="H333" s="38"/>
    </row>
    <row r="334" spans="6:8" s="32" customFormat="1">
      <c r="F334" s="37"/>
      <c r="H334" s="38"/>
    </row>
    <row r="335" spans="6:8" s="32" customFormat="1">
      <c r="F335" s="37"/>
      <c r="H335" s="38"/>
    </row>
    <row r="336" spans="6:8" s="32" customFormat="1">
      <c r="F336" s="37"/>
      <c r="H336" s="38"/>
    </row>
    <row r="337" spans="6:8" s="32" customFormat="1">
      <c r="F337" s="37"/>
      <c r="H337" s="38"/>
    </row>
    <row r="338" spans="6:8" s="32" customFormat="1">
      <c r="F338" s="37"/>
      <c r="H338" s="38"/>
    </row>
    <row r="339" spans="6:8" s="32" customFormat="1">
      <c r="F339" s="37"/>
      <c r="H339" s="38"/>
    </row>
    <row r="340" spans="6:8" s="32" customFormat="1">
      <c r="F340" s="37"/>
      <c r="H340" s="38"/>
    </row>
    <row r="341" spans="6:8" s="32" customFormat="1">
      <c r="F341" s="37"/>
      <c r="H341" s="38"/>
    </row>
    <row r="342" spans="6:8" s="32" customFormat="1">
      <c r="F342" s="37"/>
      <c r="H342" s="38"/>
    </row>
    <row r="343" spans="6:8" s="32" customFormat="1">
      <c r="F343" s="37"/>
      <c r="H343" s="38"/>
    </row>
    <row r="344" spans="6:8" s="32" customFormat="1">
      <c r="F344" s="37"/>
      <c r="H344" s="38"/>
    </row>
    <row r="345" spans="6:8" s="32" customFormat="1">
      <c r="F345" s="37"/>
      <c r="H345" s="38"/>
    </row>
    <row r="346" spans="6:8" s="32" customFormat="1">
      <c r="F346" s="37"/>
      <c r="H346" s="38"/>
    </row>
    <row r="347" spans="6:8" s="32" customFormat="1">
      <c r="F347" s="37"/>
      <c r="H347" s="38"/>
    </row>
    <row r="348" spans="6:8" s="32" customFormat="1">
      <c r="F348" s="37"/>
      <c r="H348" s="38"/>
    </row>
    <row r="349" spans="6:8" s="32" customFormat="1">
      <c r="F349" s="37"/>
      <c r="H349" s="38"/>
    </row>
    <row r="350" spans="6:8" s="32" customFormat="1">
      <c r="F350" s="37"/>
      <c r="H350" s="38"/>
    </row>
    <row r="351" spans="6:8" s="32" customFormat="1">
      <c r="F351" s="37"/>
      <c r="H351" s="38"/>
    </row>
    <row r="352" spans="6:8" s="32" customFormat="1">
      <c r="F352" s="37"/>
      <c r="H352" s="38"/>
    </row>
    <row r="353" spans="6:8" s="32" customFormat="1">
      <c r="F353" s="37"/>
      <c r="H353" s="38"/>
    </row>
    <row r="354" spans="6:8" s="32" customFormat="1">
      <c r="F354" s="37"/>
      <c r="H354" s="38"/>
    </row>
    <row r="355" spans="6:8" s="32" customFormat="1">
      <c r="F355" s="37"/>
      <c r="H355" s="38"/>
    </row>
    <row r="356" spans="6:8" s="32" customFormat="1">
      <c r="F356" s="37"/>
      <c r="H356" s="38"/>
    </row>
    <row r="357" spans="6:8" s="32" customFormat="1">
      <c r="F357" s="37"/>
      <c r="H357" s="38"/>
    </row>
    <row r="358" spans="6:8" s="32" customFormat="1">
      <c r="F358" s="37"/>
      <c r="H358" s="38"/>
    </row>
    <row r="359" spans="6:8" s="32" customFormat="1">
      <c r="F359" s="37"/>
      <c r="H359" s="38"/>
    </row>
    <row r="360" spans="6:8" s="32" customFormat="1">
      <c r="F360" s="37"/>
      <c r="H360" s="38"/>
    </row>
    <row r="361" spans="6:8" s="32" customFormat="1">
      <c r="F361" s="37"/>
      <c r="H361" s="38"/>
    </row>
    <row r="362" spans="6:8" s="32" customFormat="1">
      <c r="F362" s="37"/>
      <c r="H362" s="38"/>
    </row>
    <row r="363" spans="6:8" s="32" customFormat="1">
      <c r="F363" s="37"/>
      <c r="H363" s="38"/>
    </row>
    <row r="364" spans="6:8" s="32" customFormat="1">
      <c r="F364" s="37"/>
      <c r="H364" s="38"/>
    </row>
    <row r="365" spans="6:8" s="32" customFormat="1">
      <c r="F365" s="37"/>
      <c r="H365" s="38"/>
    </row>
    <row r="366" spans="6:8" s="32" customFormat="1">
      <c r="F366" s="37"/>
      <c r="H366" s="38"/>
    </row>
    <row r="367" spans="6:8" s="32" customFormat="1">
      <c r="F367" s="37"/>
      <c r="H367" s="38"/>
    </row>
    <row r="368" spans="6:8" s="32" customFormat="1">
      <c r="F368" s="37"/>
      <c r="H368" s="38"/>
    </row>
    <row r="369" spans="6:8" s="32" customFormat="1">
      <c r="F369" s="37"/>
      <c r="H369" s="38"/>
    </row>
    <row r="370" spans="6:8" s="32" customFormat="1">
      <c r="F370" s="37"/>
      <c r="H370" s="38"/>
    </row>
    <row r="371" spans="6:8" s="32" customFormat="1">
      <c r="F371" s="37"/>
      <c r="H371" s="38"/>
    </row>
    <row r="372" spans="6:8" s="32" customFormat="1">
      <c r="F372" s="37"/>
      <c r="H372" s="38"/>
    </row>
    <row r="373" spans="6:8" s="32" customFormat="1">
      <c r="F373" s="37"/>
      <c r="H373" s="38"/>
    </row>
    <row r="374" spans="6:8" s="32" customFormat="1">
      <c r="F374" s="37"/>
      <c r="H374" s="38"/>
    </row>
    <row r="375" spans="6:8" s="32" customFormat="1">
      <c r="F375" s="37"/>
      <c r="H375" s="38"/>
    </row>
    <row r="376" spans="6:8" s="32" customFormat="1">
      <c r="F376" s="37"/>
      <c r="H376" s="38"/>
    </row>
    <row r="377" spans="6:8" s="32" customFormat="1">
      <c r="F377" s="37"/>
      <c r="H377" s="38"/>
    </row>
    <row r="378" spans="6:8" s="32" customFormat="1">
      <c r="F378" s="37"/>
      <c r="H378" s="38"/>
    </row>
    <row r="379" spans="6:8" s="32" customFormat="1">
      <c r="F379" s="37"/>
      <c r="H379" s="38"/>
    </row>
    <row r="380" spans="6:8" s="32" customFormat="1">
      <c r="F380" s="37"/>
      <c r="H380" s="38"/>
    </row>
    <row r="381" spans="6:8" s="32" customFormat="1">
      <c r="F381" s="37"/>
      <c r="H381" s="38"/>
    </row>
    <row r="382" spans="6:8" s="32" customFormat="1">
      <c r="F382" s="37"/>
      <c r="H382" s="38"/>
    </row>
    <row r="383" spans="6:8" s="32" customFormat="1">
      <c r="F383" s="37"/>
      <c r="H383" s="38"/>
    </row>
    <row r="384" spans="6:8" s="32" customFormat="1">
      <c r="F384" s="37"/>
      <c r="H384" s="38"/>
    </row>
    <row r="385" spans="6:8" s="32" customFormat="1">
      <c r="F385" s="37"/>
      <c r="H385" s="38"/>
    </row>
    <row r="386" spans="6:8" s="32" customFormat="1">
      <c r="F386" s="37"/>
      <c r="H386" s="38"/>
    </row>
    <row r="387" spans="6:8" s="32" customFormat="1">
      <c r="F387" s="37"/>
      <c r="H387" s="38"/>
    </row>
    <row r="388" spans="6:8" s="32" customFormat="1">
      <c r="F388" s="37"/>
      <c r="H388" s="38"/>
    </row>
    <row r="389" spans="6:8" s="32" customFormat="1">
      <c r="F389" s="37"/>
      <c r="H389" s="38"/>
    </row>
    <row r="390" spans="6:8" s="32" customFormat="1">
      <c r="F390" s="37"/>
      <c r="H390" s="38"/>
    </row>
    <row r="391" spans="6:8" s="32" customFormat="1">
      <c r="F391" s="37"/>
      <c r="H391" s="38"/>
    </row>
    <row r="392" spans="6:8" s="32" customFormat="1">
      <c r="F392" s="37"/>
      <c r="H392" s="38"/>
    </row>
    <row r="393" spans="6:8" s="32" customFormat="1">
      <c r="F393" s="37"/>
      <c r="H393" s="38"/>
    </row>
    <row r="394" spans="6:8" s="32" customFormat="1">
      <c r="F394" s="37"/>
      <c r="H394" s="38"/>
    </row>
    <row r="395" spans="6:8" s="32" customFormat="1">
      <c r="F395" s="37"/>
      <c r="H395" s="38"/>
    </row>
    <row r="396" spans="6:8" s="32" customFormat="1">
      <c r="F396" s="37"/>
      <c r="H396" s="38"/>
    </row>
    <row r="397" spans="6:8" s="32" customFormat="1">
      <c r="F397" s="37"/>
      <c r="H397" s="38"/>
    </row>
    <row r="398" spans="6:8" s="32" customFormat="1">
      <c r="F398" s="37"/>
      <c r="H398" s="38"/>
    </row>
    <row r="399" spans="6:8" s="32" customFormat="1">
      <c r="F399" s="37"/>
      <c r="H399" s="38"/>
    </row>
    <row r="400" spans="6:8" s="32" customFormat="1">
      <c r="F400" s="37"/>
      <c r="H400" s="38"/>
    </row>
    <row r="401" spans="6:8" s="32" customFormat="1">
      <c r="F401" s="37"/>
      <c r="H401" s="38"/>
    </row>
    <row r="402" spans="6:8" s="32" customFormat="1">
      <c r="F402" s="37"/>
      <c r="H402" s="38"/>
    </row>
    <row r="403" spans="6:8" s="32" customFormat="1">
      <c r="F403" s="37"/>
      <c r="H403" s="38"/>
    </row>
    <row r="404" spans="6:8" s="32" customFormat="1">
      <c r="F404" s="37"/>
      <c r="H404" s="38"/>
    </row>
    <row r="405" spans="6:8" s="32" customFormat="1">
      <c r="F405" s="37"/>
      <c r="H405" s="38"/>
    </row>
    <row r="406" spans="6:8" s="32" customFormat="1">
      <c r="F406" s="37"/>
      <c r="H406" s="38"/>
    </row>
    <row r="407" spans="6:8" s="32" customFormat="1">
      <c r="F407" s="37"/>
      <c r="H407" s="38"/>
    </row>
    <row r="408" spans="6:8" s="32" customFormat="1">
      <c r="F408" s="37"/>
      <c r="H408" s="38"/>
    </row>
    <row r="409" spans="6:8" s="32" customFormat="1">
      <c r="F409" s="37"/>
      <c r="H409" s="38"/>
    </row>
    <row r="410" spans="6:8" s="32" customFormat="1">
      <c r="F410" s="37"/>
      <c r="H410" s="38"/>
    </row>
    <row r="411" spans="6:8" s="32" customFormat="1">
      <c r="F411" s="37"/>
      <c r="H411" s="38"/>
    </row>
    <row r="412" spans="6:8" s="32" customFormat="1">
      <c r="F412" s="37"/>
      <c r="H412" s="38"/>
    </row>
    <row r="413" spans="6:8" s="32" customFormat="1">
      <c r="F413" s="37"/>
      <c r="H413" s="38"/>
    </row>
    <row r="414" spans="6:8" s="32" customFormat="1">
      <c r="F414" s="37"/>
      <c r="H414" s="38"/>
    </row>
    <row r="415" spans="6:8" s="32" customFormat="1">
      <c r="F415" s="37"/>
      <c r="H415" s="38"/>
    </row>
    <row r="416" spans="6:8" s="32" customFormat="1">
      <c r="F416" s="37"/>
      <c r="H416" s="38"/>
    </row>
    <row r="417" spans="6:8" s="32" customFormat="1">
      <c r="F417" s="37"/>
      <c r="H417" s="38"/>
    </row>
    <row r="418" spans="6:8" s="32" customFormat="1">
      <c r="F418" s="37"/>
      <c r="H418" s="38"/>
    </row>
    <row r="419" spans="6:8" s="32" customFormat="1">
      <c r="F419" s="37"/>
      <c r="H419" s="38"/>
    </row>
    <row r="420" spans="6:8" s="32" customFormat="1">
      <c r="F420" s="37"/>
      <c r="H420" s="38"/>
    </row>
    <row r="421" spans="6:8" s="32" customFormat="1">
      <c r="F421" s="37"/>
      <c r="H421" s="38"/>
    </row>
    <row r="422" spans="6:8" s="32" customFormat="1">
      <c r="F422" s="37"/>
      <c r="H422" s="38"/>
    </row>
    <row r="423" spans="6:8" s="32" customFormat="1">
      <c r="F423" s="37"/>
      <c r="H423" s="38"/>
    </row>
    <row r="424" spans="6:8" s="32" customFormat="1">
      <c r="F424" s="37"/>
      <c r="H424" s="38"/>
    </row>
    <row r="425" spans="6:8" s="32" customFormat="1">
      <c r="F425" s="37"/>
      <c r="H425" s="38"/>
    </row>
    <row r="426" spans="6:8" s="32" customFormat="1">
      <c r="F426" s="37"/>
      <c r="H426" s="38"/>
    </row>
    <row r="427" spans="6:8" s="32" customFormat="1">
      <c r="F427" s="37"/>
      <c r="H427" s="38"/>
    </row>
    <row r="428" spans="6:8" s="32" customFormat="1">
      <c r="F428" s="37"/>
      <c r="H428" s="38"/>
    </row>
    <row r="429" spans="6:8" s="32" customFormat="1">
      <c r="F429" s="37"/>
      <c r="H429" s="38"/>
    </row>
    <row r="430" spans="6:8" s="32" customFormat="1">
      <c r="F430" s="37"/>
      <c r="H430" s="38"/>
    </row>
    <row r="431" spans="6:8" s="32" customFormat="1">
      <c r="F431" s="37"/>
      <c r="H431" s="38"/>
    </row>
    <row r="432" spans="6:8" s="32" customFormat="1">
      <c r="F432" s="37"/>
      <c r="H432" s="38"/>
    </row>
    <row r="433" spans="6:8" s="32" customFormat="1">
      <c r="F433" s="37"/>
      <c r="H433" s="38"/>
    </row>
    <row r="434" spans="6:8" s="32" customFormat="1">
      <c r="F434" s="37"/>
      <c r="H434" s="38"/>
    </row>
    <row r="435" spans="6:8" s="32" customFormat="1">
      <c r="F435" s="37"/>
      <c r="H435" s="38"/>
    </row>
    <row r="436" spans="6:8" s="32" customFormat="1">
      <c r="F436" s="37"/>
      <c r="H436" s="38"/>
    </row>
    <row r="437" spans="6:8" s="32" customFormat="1">
      <c r="F437" s="37"/>
      <c r="H437" s="38"/>
    </row>
    <row r="438" spans="6:8" s="32" customFormat="1">
      <c r="F438" s="37"/>
      <c r="H438" s="38"/>
    </row>
    <row r="439" spans="6:8" s="32" customFormat="1">
      <c r="F439" s="37"/>
      <c r="H439" s="38"/>
    </row>
    <row r="440" spans="6:8" s="32" customFormat="1">
      <c r="F440" s="37"/>
      <c r="H440" s="38"/>
    </row>
    <row r="441" spans="6:8" s="32" customFormat="1">
      <c r="F441" s="37"/>
      <c r="H441" s="38"/>
    </row>
    <row r="442" spans="6:8" s="32" customFormat="1">
      <c r="F442" s="37"/>
      <c r="H442" s="38"/>
    </row>
    <row r="443" spans="6:8" s="32" customFormat="1">
      <c r="F443" s="37"/>
      <c r="H443" s="38"/>
    </row>
    <row r="444" spans="6:8" s="32" customFormat="1">
      <c r="F444" s="37"/>
      <c r="H444" s="38"/>
    </row>
    <row r="445" spans="6:8" s="32" customFormat="1">
      <c r="F445" s="37"/>
      <c r="H445" s="38"/>
    </row>
    <row r="446" spans="6:8" s="32" customFormat="1">
      <c r="F446" s="37"/>
      <c r="H446" s="38"/>
    </row>
    <row r="447" spans="6:8" s="32" customFormat="1">
      <c r="F447" s="37"/>
      <c r="H447" s="38"/>
    </row>
    <row r="448" spans="6:8" s="32" customFormat="1">
      <c r="F448" s="37"/>
      <c r="H448" s="38"/>
    </row>
    <row r="449" spans="6:8" s="32" customFormat="1">
      <c r="F449" s="37"/>
      <c r="H449" s="38"/>
    </row>
    <row r="450" spans="6:8" s="32" customFormat="1">
      <c r="F450" s="37"/>
      <c r="H450" s="38"/>
    </row>
    <row r="451" spans="6:8" s="32" customFormat="1">
      <c r="F451" s="37"/>
      <c r="H451" s="38"/>
    </row>
    <row r="452" spans="6:8" s="32" customFormat="1">
      <c r="F452" s="37"/>
      <c r="H452" s="38"/>
    </row>
    <row r="453" spans="6:8" s="32" customFormat="1">
      <c r="F453" s="37"/>
      <c r="H453" s="38"/>
    </row>
    <row r="454" spans="6:8" s="32" customFormat="1">
      <c r="F454" s="37"/>
      <c r="H454" s="38"/>
    </row>
    <row r="455" spans="6:8" s="32" customFormat="1">
      <c r="F455" s="37"/>
      <c r="H455" s="38"/>
    </row>
    <row r="456" spans="6:8" s="32" customFormat="1">
      <c r="F456" s="37"/>
      <c r="H456" s="38"/>
    </row>
    <row r="457" spans="6:8" s="32" customFormat="1">
      <c r="F457" s="37"/>
      <c r="H457" s="38"/>
    </row>
    <row r="458" spans="6:8" s="32" customFormat="1">
      <c r="F458" s="37"/>
      <c r="H458" s="38"/>
    </row>
    <row r="459" spans="6:8" s="32" customFormat="1">
      <c r="F459" s="37"/>
      <c r="H459" s="38"/>
    </row>
    <row r="460" spans="6:8" s="32" customFormat="1">
      <c r="F460" s="37"/>
      <c r="H460" s="38"/>
    </row>
    <row r="461" spans="6:8" s="32" customFormat="1">
      <c r="F461" s="37"/>
      <c r="H461" s="38"/>
    </row>
    <row r="462" spans="6:8" s="32" customFormat="1">
      <c r="F462" s="37"/>
      <c r="H462" s="38"/>
    </row>
    <row r="463" spans="6:8" s="32" customFormat="1">
      <c r="F463" s="37"/>
      <c r="H463" s="38"/>
    </row>
    <row r="464" spans="6:8" s="32" customFormat="1">
      <c r="F464" s="37"/>
      <c r="H464" s="38"/>
    </row>
    <row r="465" spans="6:8" s="32" customFormat="1">
      <c r="F465" s="37"/>
      <c r="H465" s="38"/>
    </row>
    <row r="466" spans="6:8" s="32" customFormat="1">
      <c r="F466" s="37"/>
      <c r="H466" s="38"/>
    </row>
    <row r="467" spans="6:8" s="32" customFormat="1">
      <c r="F467" s="37"/>
      <c r="H467" s="38"/>
    </row>
    <row r="468" spans="6:8" s="32" customFormat="1">
      <c r="F468" s="37"/>
      <c r="H468" s="38"/>
    </row>
    <row r="469" spans="6:8" s="32" customFormat="1">
      <c r="F469" s="37"/>
      <c r="H469" s="38"/>
    </row>
    <row r="470" spans="6:8" s="32" customFormat="1">
      <c r="F470" s="37"/>
      <c r="H470" s="38"/>
    </row>
    <row r="471" spans="6:8" s="32" customFormat="1">
      <c r="F471" s="37"/>
      <c r="H471" s="38"/>
    </row>
    <row r="472" spans="6:8" s="32" customFormat="1">
      <c r="F472" s="37"/>
      <c r="H472" s="38"/>
    </row>
    <row r="473" spans="6:8" s="32" customFormat="1">
      <c r="F473" s="37"/>
      <c r="H473" s="38"/>
    </row>
    <row r="474" spans="6:8" s="32" customFormat="1">
      <c r="F474" s="37"/>
      <c r="H474" s="38"/>
    </row>
    <row r="475" spans="6:8" s="32" customFormat="1">
      <c r="F475" s="37"/>
      <c r="H475" s="38"/>
    </row>
    <row r="476" spans="6:8" s="32" customFormat="1">
      <c r="F476" s="37"/>
      <c r="H476" s="38"/>
    </row>
    <row r="477" spans="6:8" s="32" customFormat="1">
      <c r="F477" s="37"/>
      <c r="H477" s="38"/>
    </row>
    <row r="478" spans="6:8" s="32" customFormat="1">
      <c r="F478" s="37"/>
      <c r="H478" s="38"/>
    </row>
    <row r="479" spans="6:8" s="32" customFormat="1">
      <c r="F479" s="37"/>
      <c r="H479" s="38"/>
    </row>
    <row r="480" spans="6:8" s="32" customFormat="1">
      <c r="F480" s="37"/>
      <c r="H480" s="38"/>
    </row>
    <row r="481" spans="6:8" s="32" customFormat="1">
      <c r="F481" s="37"/>
      <c r="H481" s="38"/>
    </row>
    <row r="482" spans="6:8" s="32" customFormat="1">
      <c r="F482" s="37"/>
      <c r="H482" s="38"/>
    </row>
    <row r="483" spans="6:8" s="32" customFormat="1">
      <c r="F483" s="37"/>
      <c r="H483" s="38"/>
    </row>
    <row r="484" spans="6:8" s="32" customFormat="1">
      <c r="F484" s="37"/>
      <c r="H484" s="38"/>
    </row>
    <row r="485" spans="6:8" s="32" customFormat="1">
      <c r="F485" s="37"/>
      <c r="H485" s="38"/>
    </row>
    <row r="486" spans="6:8" s="32" customFormat="1">
      <c r="F486" s="37"/>
      <c r="H486" s="38"/>
    </row>
    <row r="487" spans="6:8" s="32" customFormat="1">
      <c r="F487" s="37"/>
      <c r="H487" s="38"/>
    </row>
    <row r="488" spans="6:8" s="32" customFormat="1">
      <c r="F488" s="37"/>
      <c r="H488" s="38"/>
    </row>
    <row r="489" spans="6:8" s="32" customFormat="1">
      <c r="F489" s="37"/>
      <c r="H489" s="38"/>
    </row>
    <row r="490" spans="6:8" s="32" customFormat="1">
      <c r="F490" s="37"/>
      <c r="H490" s="38"/>
    </row>
    <row r="491" spans="6:8" s="32" customFormat="1">
      <c r="F491" s="37"/>
      <c r="H491" s="38"/>
    </row>
    <row r="492" spans="6:8" s="32" customFormat="1">
      <c r="F492" s="37"/>
      <c r="H492" s="38"/>
    </row>
    <row r="493" spans="6:8" s="32" customFormat="1">
      <c r="F493" s="37"/>
      <c r="H493" s="38"/>
    </row>
    <row r="494" spans="6:8" s="32" customFormat="1">
      <c r="F494" s="37"/>
      <c r="H494" s="38"/>
    </row>
    <row r="495" spans="6:8" s="32" customFormat="1">
      <c r="F495" s="37"/>
      <c r="H495" s="38"/>
    </row>
    <row r="496" spans="6:8" s="32" customFormat="1">
      <c r="F496" s="37"/>
      <c r="H496" s="38"/>
    </row>
    <row r="497" spans="6:8" s="32" customFormat="1">
      <c r="F497" s="37"/>
      <c r="H497" s="38"/>
    </row>
    <row r="498" spans="6:8" s="32" customFormat="1">
      <c r="F498" s="37"/>
      <c r="H498" s="38"/>
    </row>
    <row r="499" spans="6:8" s="32" customFormat="1">
      <c r="F499" s="37"/>
      <c r="H499" s="38"/>
    </row>
    <row r="500" spans="6:8" s="32" customFormat="1">
      <c r="F500" s="37"/>
      <c r="H500" s="38"/>
    </row>
    <row r="501" spans="6:8" s="32" customFormat="1">
      <c r="F501" s="37"/>
      <c r="H501" s="38"/>
    </row>
    <row r="502" spans="6:8" s="32" customFormat="1">
      <c r="F502" s="37"/>
      <c r="H502" s="38"/>
    </row>
    <row r="503" spans="6:8" s="32" customFormat="1">
      <c r="F503" s="37"/>
      <c r="H503" s="38"/>
    </row>
    <row r="504" spans="6:8" s="32" customFormat="1">
      <c r="F504" s="37"/>
      <c r="H504" s="38"/>
    </row>
    <row r="505" spans="6:8" s="32" customFormat="1">
      <c r="F505" s="37"/>
      <c r="H505" s="38"/>
    </row>
    <row r="506" spans="6:8" s="32" customFormat="1">
      <c r="F506" s="37"/>
      <c r="H506" s="38"/>
    </row>
    <row r="507" spans="6:8" s="32" customFormat="1">
      <c r="F507" s="37"/>
      <c r="H507" s="38"/>
    </row>
    <row r="508" spans="6:8" s="32" customFormat="1">
      <c r="F508" s="37"/>
      <c r="H508" s="38"/>
    </row>
    <row r="509" spans="6:8" s="32" customFormat="1">
      <c r="F509" s="37"/>
      <c r="H509" s="38"/>
    </row>
    <row r="510" spans="6:8" s="32" customFormat="1">
      <c r="F510" s="37"/>
      <c r="H510" s="38"/>
    </row>
    <row r="511" spans="6:8" s="32" customFormat="1">
      <c r="F511" s="37"/>
      <c r="H511" s="38"/>
    </row>
    <row r="512" spans="6:8" s="32" customFormat="1">
      <c r="F512" s="37"/>
      <c r="H512" s="38"/>
    </row>
    <row r="513" spans="6:8" s="32" customFormat="1">
      <c r="F513" s="37"/>
      <c r="H513" s="38"/>
    </row>
    <row r="514" spans="6:8" s="32" customFormat="1">
      <c r="F514" s="37"/>
      <c r="H514" s="38"/>
    </row>
    <row r="515" spans="6:8" s="32" customFormat="1">
      <c r="F515" s="37"/>
      <c r="H515" s="38"/>
    </row>
    <row r="516" spans="6:8" s="32" customFormat="1">
      <c r="F516" s="37"/>
      <c r="H516" s="38"/>
    </row>
    <row r="517" spans="6:8" s="32" customFormat="1">
      <c r="F517" s="37"/>
      <c r="H517" s="38"/>
    </row>
    <row r="518" spans="6:8" s="32" customFormat="1">
      <c r="F518" s="37"/>
      <c r="H518" s="38"/>
    </row>
    <row r="519" spans="6:8" s="32" customFormat="1">
      <c r="F519" s="37"/>
      <c r="H519" s="38"/>
    </row>
    <row r="520" spans="6:8" s="32" customFormat="1">
      <c r="F520" s="37"/>
      <c r="H520" s="38"/>
    </row>
    <row r="521" spans="6:8" s="32" customFormat="1">
      <c r="F521" s="37"/>
      <c r="H521" s="38"/>
    </row>
    <row r="522" spans="6:8" s="32" customFormat="1">
      <c r="F522" s="37"/>
      <c r="H522" s="38"/>
    </row>
    <row r="523" spans="6:8" s="32" customFormat="1">
      <c r="F523" s="37"/>
      <c r="H523" s="38"/>
    </row>
    <row r="524" spans="6:8" s="32" customFormat="1">
      <c r="F524" s="37"/>
      <c r="H524" s="38"/>
    </row>
    <row r="525" spans="6:8" s="32" customFormat="1">
      <c r="F525" s="37"/>
      <c r="H525" s="38"/>
    </row>
    <row r="526" spans="6:8" s="32" customFormat="1">
      <c r="F526" s="37"/>
      <c r="H526" s="38"/>
    </row>
    <row r="527" spans="6:8" s="32" customFormat="1">
      <c r="F527" s="37"/>
      <c r="H527" s="38"/>
    </row>
    <row r="528" spans="6:8" s="32" customFormat="1">
      <c r="F528" s="37"/>
      <c r="H528" s="38"/>
    </row>
    <row r="529" spans="6:8" s="32" customFormat="1">
      <c r="F529" s="37"/>
      <c r="H529" s="38"/>
    </row>
    <row r="530" spans="6:8" s="32" customFormat="1">
      <c r="F530" s="37"/>
      <c r="H530" s="38"/>
    </row>
    <row r="531" spans="6:8" s="32" customFormat="1">
      <c r="F531" s="37"/>
      <c r="H531" s="38"/>
    </row>
    <row r="532" spans="6:8" s="32" customFormat="1">
      <c r="F532" s="37"/>
      <c r="H532" s="38"/>
    </row>
    <row r="533" spans="6:8" s="32" customFormat="1">
      <c r="F533" s="37"/>
      <c r="H533" s="38"/>
    </row>
    <row r="534" spans="6:8" s="32" customFormat="1">
      <c r="F534" s="37"/>
      <c r="H534" s="38"/>
    </row>
    <row r="535" spans="6:8" s="32" customFormat="1">
      <c r="F535" s="37"/>
      <c r="H535" s="38"/>
    </row>
    <row r="536" spans="6:8" s="32" customFormat="1">
      <c r="F536" s="37"/>
      <c r="H536" s="38"/>
    </row>
    <row r="537" spans="6:8" s="32" customFormat="1">
      <c r="F537" s="37"/>
      <c r="H537" s="38"/>
    </row>
    <row r="538" spans="6:8" s="32" customFormat="1">
      <c r="F538" s="37"/>
      <c r="H538" s="38"/>
    </row>
    <row r="539" spans="6:8" s="32" customFormat="1">
      <c r="F539" s="37"/>
      <c r="H539" s="38"/>
    </row>
    <row r="540" spans="6:8" s="32" customFormat="1">
      <c r="F540" s="37"/>
      <c r="H540" s="38"/>
    </row>
    <row r="541" spans="6:8" s="32" customFormat="1">
      <c r="F541" s="37"/>
      <c r="H541" s="38"/>
    </row>
    <row r="542" spans="6:8" s="32" customFormat="1">
      <c r="F542" s="37"/>
      <c r="H542" s="38"/>
    </row>
    <row r="543" spans="6:8" s="32" customFormat="1">
      <c r="F543" s="37"/>
      <c r="H543" s="38"/>
    </row>
    <row r="544" spans="6:8" s="32" customFormat="1">
      <c r="F544" s="37"/>
      <c r="H544" s="38"/>
    </row>
    <row r="545" spans="6:8" s="32" customFormat="1">
      <c r="F545" s="37"/>
      <c r="H545" s="38"/>
    </row>
    <row r="546" spans="6:8" s="32" customFormat="1">
      <c r="F546" s="37"/>
      <c r="H546" s="38"/>
    </row>
    <row r="547" spans="6:8" s="32" customFormat="1">
      <c r="F547" s="37"/>
      <c r="H547" s="38"/>
    </row>
    <row r="548" spans="6:8" s="32" customFormat="1">
      <c r="F548" s="37"/>
      <c r="H548" s="38"/>
    </row>
    <row r="549" spans="6:8" s="32" customFormat="1">
      <c r="F549" s="37"/>
      <c r="H549" s="38"/>
    </row>
    <row r="550" spans="6:8" s="32" customFormat="1">
      <c r="F550" s="37"/>
      <c r="H550" s="38"/>
    </row>
    <row r="551" spans="6:8" s="32" customFormat="1">
      <c r="F551" s="37"/>
      <c r="H551" s="38"/>
    </row>
    <row r="552" spans="6:8" s="32" customFormat="1">
      <c r="F552" s="37"/>
      <c r="H552" s="38"/>
    </row>
    <row r="553" spans="6:8" s="32" customFormat="1">
      <c r="F553" s="37"/>
      <c r="H553" s="38"/>
    </row>
    <row r="554" spans="6:8" s="32" customFormat="1">
      <c r="F554" s="37"/>
      <c r="H554" s="38"/>
    </row>
    <row r="555" spans="6:8" s="32" customFormat="1">
      <c r="F555" s="37"/>
      <c r="H555" s="38"/>
    </row>
    <row r="556" spans="6:8" s="32" customFormat="1">
      <c r="F556" s="37"/>
      <c r="H556" s="38"/>
    </row>
    <row r="557" spans="6:8" s="32" customFormat="1">
      <c r="F557" s="37"/>
      <c r="H557" s="38"/>
    </row>
    <row r="558" spans="6:8" s="32" customFormat="1">
      <c r="F558" s="37"/>
      <c r="H558" s="38"/>
    </row>
    <row r="559" spans="6:8" s="32" customFormat="1">
      <c r="F559" s="37"/>
      <c r="H559" s="38"/>
    </row>
    <row r="560" spans="6:8" s="32" customFormat="1">
      <c r="F560" s="37"/>
      <c r="H560" s="38"/>
    </row>
    <row r="561" spans="6:8" s="32" customFormat="1">
      <c r="F561" s="37"/>
      <c r="H561" s="38"/>
    </row>
    <row r="562" spans="6:8" s="32" customFormat="1">
      <c r="F562" s="37"/>
      <c r="H562" s="38"/>
    </row>
    <row r="563" spans="6:8" s="32" customFormat="1">
      <c r="F563" s="37"/>
      <c r="H563" s="38"/>
    </row>
    <row r="564" spans="6:8" s="32" customFormat="1">
      <c r="F564" s="37"/>
      <c r="H564" s="38"/>
    </row>
    <row r="565" spans="6:8" s="32" customFormat="1">
      <c r="F565" s="37"/>
      <c r="H565" s="38"/>
    </row>
    <row r="566" spans="6:8" s="32" customFormat="1">
      <c r="F566" s="37"/>
      <c r="H566" s="38"/>
    </row>
    <row r="567" spans="6:8" s="32" customFormat="1">
      <c r="F567" s="37"/>
      <c r="H567" s="38"/>
    </row>
    <row r="568" spans="6:8" s="32" customFormat="1">
      <c r="F568" s="37"/>
      <c r="H568" s="38"/>
    </row>
    <row r="569" spans="6:8" s="32" customFormat="1">
      <c r="F569" s="37"/>
      <c r="H569" s="38"/>
    </row>
    <row r="570" spans="6:8" s="32" customFormat="1">
      <c r="F570" s="37"/>
      <c r="H570" s="38"/>
    </row>
    <row r="571" spans="6:8" s="32" customFormat="1">
      <c r="F571" s="37"/>
      <c r="H571" s="38"/>
    </row>
    <row r="572" spans="6:8" s="32" customFormat="1">
      <c r="F572" s="37"/>
      <c r="H572" s="38"/>
    </row>
    <row r="573" spans="6:8" s="32" customFormat="1">
      <c r="F573" s="37"/>
      <c r="H573" s="38"/>
    </row>
    <row r="574" spans="6:8" s="32" customFormat="1">
      <c r="F574" s="37"/>
      <c r="H574" s="38"/>
    </row>
    <row r="575" spans="6:8" s="32" customFormat="1">
      <c r="F575" s="37"/>
      <c r="H575" s="38"/>
    </row>
    <row r="576" spans="6:8" s="32" customFormat="1">
      <c r="F576" s="37"/>
      <c r="H576" s="38"/>
    </row>
    <row r="577" spans="6:8" s="32" customFormat="1">
      <c r="F577" s="37"/>
      <c r="H577" s="38"/>
    </row>
    <row r="578" spans="6:8" s="32" customFormat="1">
      <c r="F578" s="37"/>
      <c r="H578" s="38"/>
    </row>
    <row r="579" spans="6:8" s="32" customFormat="1">
      <c r="F579" s="37"/>
      <c r="H579" s="38"/>
    </row>
    <row r="580" spans="6:8" s="32" customFormat="1">
      <c r="F580" s="37"/>
      <c r="H580" s="38"/>
    </row>
    <row r="581" spans="6:8" s="32" customFormat="1">
      <c r="F581" s="37"/>
      <c r="H581" s="38"/>
    </row>
    <row r="582" spans="6:8" s="32" customFormat="1">
      <c r="F582" s="37"/>
      <c r="H582" s="38"/>
    </row>
    <row r="583" spans="6:8" s="32" customFormat="1">
      <c r="F583" s="37"/>
      <c r="H583" s="38"/>
    </row>
    <row r="584" spans="6:8" s="32" customFormat="1">
      <c r="F584" s="37"/>
      <c r="H584" s="38"/>
    </row>
    <row r="585" spans="6:8" s="32" customFormat="1">
      <c r="F585" s="37"/>
      <c r="H585" s="38"/>
    </row>
    <row r="586" spans="6:8" s="32" customFormat="1">
      <c r="F586" s="37"/>
      <c r="H586" s="38"/>
    </row>
    <row r="587" spans="6:8" s="32" customFormat="1">
      <c r="F587" s="37"/>
      <c r="H587" s="38"/>
    </row>
    <row r="588" spans="6:8" s="32" customFormat="1">
      <c r="F588" s="37"/>
      <c r="H588" s="38"/>
    </row>
    <row r="589" spans="6:8" s="32" customFormat="1">
      <c r="F589" s="37"/>
      <c r="H589" s="38"/>
    </row>
    <row r="590" spans="6:8" s="32" customFormat="1">
      <c r="F590" s="37"/>
      <c r="H590" s="38"/>
    </row>
    <row r="591" spans="6:8" s="32" customFormat="1">
      <c r="F591" s="37"/>
      <c r="H591" s="38"/>
    </row>
    <row r="592" spans="6:8" s="32" customFormat="1">
      <c r="F592" s="37"/>
      <c r="H592" s="38"/>
    </row>
    <row r="593" spans="6:8" s="32" customFormat="1">
      <c r="F593" s="37"/>
      <c r="H593" s="38"/>
    </row>
    <row r="594" spans="6:8" s="32" customFormat="1">
      <c r="F594" s="37"/>
      <c r="H594" s="38"/>
    </row>
    <row r="595" spans="6:8" s="32" customFormat="1">
      <c r="F595" s="37"/>
      <c r="H595" s="38"/>
    </row>
    <row r="596" spans="6:8" s="32" customFormat="1">
      <c r="F596" s="37"/>
      <c r="H596" s="38"/>
    </row>
    <row r="597" spans="6:8" s="32" customFormat="1">
      <c r="F597" s="37"/>
      <c r="H597" s="38"/>
    </row>
    <row r="598" spans="6:8" s="32" customFormat="1">
      <c r="F598" s="37"/>
      <c r="H598" s="38"/>
    </row>
    <row r="599" spans="6:8" s="32" customFormat="1">
      <c r="F599" s="37"/>
      <c r="H599" s="38"/>
    </row>
    <row r="600" spans="6:8" s="32" customFormat="1">
      <c r="F600" s="37"/>
      <c r="H600" s="38"/>
    </row>
    <row r="601" spans="6:8" s="32" customFormat="1">
      <c r="F601" s="37"/>
      <c r="H601" s="38"/>
    </row>
    <row r="602" spans="6:8" s="32" customFormat="1">
      <c r="F602" s="37"/>
      <c r="H602" s="38"/>
    </row>
    <row r="603" spans="6:8" s="32" customFormat="1">
      <c r="F603" s="37"/>
      <c r="H603" s="38"/>
    </row>
    <row r="604" spans="6:8" s="32" customFormat="1">
      <c r="F604" s="37"/>
      <c r="H604" s="38"/>
    </row>
    <row r="605" spans="6:8" s="32" customFormat="1">
      <c r="F605" s="37"/>
      <c r="H605" s="38"/>
    </row>
    <row r="606" spans="6:8" s="32" customFormat="1">
      <c r="F606" s="37"/>
      <c r="H606" s="38"/>
    </row>
    <row r="607" spans="6:8" s="32" customFormat="1">
      <c r="F607" s="37"/>
      <c r="H607" s="38"/>
    </row>
    <row r="608" spans="6:8" s="32" customFormat="1">
      <c r="F608" s="37"/>
      <c r="H608" s="38"/>
    </row>
    <row r="609" spans="6:8" s="32" customFormat="1">
      <c r="F609" s="37"/>
      <c r="H609" s="38"/>
    </row>
    <row r="610" spans="6:8" s="32" customFormat="1">
      <c r="F610" s="37"/>
      <c r="H610" s="38"/>
    </row>
    <row r="611" spans="6:8" s="32" customFormat="1">
      <c r="F611" s="37"/>
      <c r="H611" s="38"/>
    </row>
    <row r="612" spans="6:8" s="32" customFormat="1">
      <c r="F612" s="37"/>
      <c r="H612" s="38"/>
    </row>
    <row r="613" spans="6:8" s="32" customFormat="1">
      <c r="F613" s="37"/>
      <c r="H613" s="38"/>
    </row>
    <row r="614" spans="6:8" s="32" customFormat="1">
      <c r="F614" s="37"/>
      <c r="H614" s="38"/>
    </row>
    <row r="615" spans="6:8" s="32" customFormat="1">
      <c r="F615" s="37"/>
      <c r="H615" s="38"/>
    </row>
    <row r="616" spans="6:8" s="32" customFormat="1">
      <c r="F616" s="37"/>
      <c r="H616" s="38"/>
    </row>
    <row r="617" spans="6:8" s="32" customFormat="1">
      <c r="F617" s="37"/>
      <c r="H617" s="38"/>
    </row>
    <row r="618" spans="6:8" s="32" customFormat="1">
      <c r="F618" s="37"/>
      <c r="H618" s="38"/>
    </row>
    <row r="619" spans="6:8" s="32" customFormat="1">
      <c r="F619" s="37"/>
      <c r="H619" s="38"/>
    </row>
    <row r="620" spans="6:8" s="32" customFormat="1">
      <c r="F620" s="37"/>
      <c r="H620" s="38"/>
    </row>
    <row r="621" spans="6:8" s="32" customFormat="1">
      <c r="F621" s="37"/>
      <c r="H621" s="38"/>
    </row>
    <row r="622" spans="6:8" s="32" customFormat="1">
      <c r="F622" s="37"/>
      <c r="H622" s="38"/>
    </row>
    <row r="623" spans="6:8" s="32" customFormat="1">
      <c r="F623" s="37"/>
      <c r="H623" s="38"/>
    </row>
    <row r="624" spans="6:8" s="32" customFormat="1">
      <c r="F624" s="37"/>
      <c r="H624" s="38"/>
    </row>
    <row r="625" spans="6:8" s="32" customFormat="1">
      <c r="F625" s="37"/>
      <c r="H625" s="38"/>
    </row>
    <row r="626" spans="6:8" s="32" customFormat="1">
      <c r="F626" s="37"/>
      <c r="H626" s="38"/>
    </row>
    <row r="627" spans="6:8" s="32" customFormat="1">
      <c r="F627" s="37"/>
      <c r="H627" s="38"/>
    </row>
    <row r="628" spans="6:8" s="32" customFormat="1">
      <c r="F628" s="37"/>
      <c r="H628" s="38"/>
    </row>
    <row r="629" spans="6:8" s="32" customFormat="1">
      <c r="F629" s="37"/>
      <c r="H629" s="38"/>
    </row>
    <row r="630" spans="6:8" s="32" customFormat="1">
      <c r="F630" s="37"/>
      <c r="H630" s="38"/>
    </row>
    <row r="631" spans="6:8" s="32" customFormat="1">
      <c r="F631" s="37"/>
      <c r="H631" s="38"/>
    </row>
    <row r="632" spans="6:8" s="32" customFormat="1">
      <c r="F632" s="37"/>
      <c r="H632" s="38"/>
    </row>
    <row r="633" spans="6:8" s="32" customFormat="1">
      <c r="F633" s="37"/>
      <c r="H633" s="38"/>
    </row>
    <row r="634" spans="6:8" s="32" customFormat="1">
      <c r="F634" s="37"/>
      <c r="H634" s="38"/>
    </row>
    <row r="635" spans="6:8" s="32" customFormat="1">
      <c r="F635" s="37"/>
      <c r="H635" s="38"/>
    </row>
    <row r="636" spans="6:8" s="32" customFormat="1">
      <c r="F636" s="37"/>
      <c r="H636" s="38"/>
    </row>
    <row r="637" spans="6:8" s="32" customFormat="1">
      <c r="F637" s="37"/>
      <c r="H637" s="38"/>
    </row>
    <row r="638" spans="6:8" s="32" customFormat="1">
      <c r="F638" s="37"/>
      <c r="H638" s="38"/>
    </row>
    <row r="639" spans="6:8" s="32" customFormat="1">
      <c r="F639" s="37"/>
      <c r="H639" s="38"/>
    </row>
    <row r="640" spans="6:8" s="32" customFormat="1">
      <c r="F640" s="37"/>
      <c r="H640" s="38"/>
    </row>
    <row r="641" spans="6:8" s="32" customFormat="1">
      <c r="F641" s="37"/>
      <c r="H641" s="38"/>
    </row>
    <row r="642" spans="6:8" s="32" customFormat="1">
      <c r="F642" s="37"/>
      <c r="H642" s="38"/>
    </row>
    <row r="643" spans="6:8" s="32" customFormat="1">
      <c r="F643" s="37"/>
      <c r="H643" s="38"/>
    </row>
    <row r="644" spans="6:8" s="32" customFormat="1">
      <c r="F644" s="37"/>
      <c r="H644" s="38"/>
    </row>
    <row r="645" spans="6:8" s="32" customFormat="1">
      <c r="F645" s="37"/>
      <c r="H645" s="38"/>
    </row>
    <row r="646" spans="6:8" s="32" customFormat="1">
      <c r="F646" s="37"/>
      <c r="H646" s="38"/>
    </row>
    <row r="647" spans="6:8" s="32" customFormat="1">
      <c r="F647" s="37"/>
      <c r="H647" s="38"/>
    </row>
    <row r="648" spans="6:8" s="32" customFormat="1">
      <c r="F648" s="37"/>
      <c r="H648" s="38"/>
    </row>
    <row r="649" spans="6:8" s="32" customFormat="1">
      <c r="F649" s="37"/>
      <c r="H649" s="38"/>
    </row>
    <row r="650" spans="6:8" s="32" customFormat="1">
      <c r="F650" s="37"/>
      <c r="H650" s="38"/>
    </row>
    <row r="651" spans="6:8" s="32" customFormat="1">
      <c r="F651" s="37"/>
      <c r="H651" s="38"/>
    </row>
    <row r="652" spans="6:8" s="32" customFormat="1">
      <c r="F652" s="37"/>
      <c r="H652" s="38"/>
    </row>
    <row r="653" spans="6:8" s="32" customFormat="1">
      <c r="F653" s="37"/>
      <c r="H653" s="38"/>
    </row>
    <row r="654" spans="6:8" s="32" customFormat="1">
      <c r="F654" s="37"/>
      <c r="H654" s="38"/>
    </row>
    <row r="655" spans="6:8" s="32" customFormat="1">
      <c r="F655" s="37"/>
      <c r="H655" s="38"/>
    </row>
    <row r="656" spans="6:8" s="32" customFormat="1">
      <c r="F656" s="37"/>
      <c r="H656" s="38"/>
    </row>
    <row r="657" spans="6:8" s="32" customFormat="1">
      <c r="F657" s="37"/>
      <c r="H657" s="38"/>
    </row>
    <row r="658" spans="6:8" s="32" customFormat="1">
      <c r="F658" s="37"/>
      <c r="H658" s="38"/>
    </row>
    <row r="659" spans="6:8" s="32" customFormat="1">
      <c r="F659" s="37"/>
      <c r="H659" s="38"/>
    </row>
    <row r="660" spans="6:8" s="32" customFormat="1">
      <c r="F660" s="37"/>
      <c r="H660" s="38"/>
    </row>
    <row r="661" spans="6:8" s="32" customFormat="1">
      <c r="F661" s="37"/>
      <c r="H661" s="38"/>
    </row>
    <row r="662" spans="6:8" s="32" customFormat="1">
      <c r="F662" s="37"/>
      <c r="H662" s="38"/>
    </row>
    <row r="663" spans="6:8" s="32" customFormat="1">
      <c r="F663" s="37"/>
      <c r="H663" s="38"/>
    </row>
    <row r="664" spans="6:8" s="32" customFormat="1">
      <c r="F664" s="37"/>
      <c r="H664" s="38"/>
    </row>
    <row r="665" spans="6:8" s="32" customFormat="1">
      <c r="F665" s="37"/>
      <c r="H665" s="38"/>
    </row>
    <row r="666" spans="6:8" s="32" customFormat="1">
      <c r="F666" s="37"/>
      <c r="H666" s="38"/>
    </row>
    <row r="667" spans="6:8" s="32" customFormat="1">
      <c r="F667" s="37"/>
      <c r="H667" s="38"/>
    </row>
    <row r="668" spans="6:8" s="32" customFormat="1">
      <c r="F668" s="37"/>
      <c r="H668" s="38"/>
    </row>
    <row r="669" spans="6:8" s="32" customFormat="1">
      <c r="F669" s="37"/>
      <c r="H669" s="38"/>
    </row>
    <row r="670" spans="6:8" s="32" customFormat="1">
      <c r="F670" s="37"/>
      <c r="H670" s="38"/>
    </row>
    <row r="671" spans="6:8" s="32" customFormat="1">
      <c r="F671" s="37"/>
      <c r="H671" s="38"/>
    </row>
    <row r="672" spans="6:8" s="32" customFormat="1">
      <c r="F672" s="37"/>
      <c r="H672" s="38"/>
    </row>
    <row r="673" spans="6:8" s="32" customFormat="1">
      <c r="F673" s="37"/>
      <c r="H673" s="38"/>
    </row>
    <row r="674" spans="6:8" s="32" customFormat="1">
      <c r="F674" s="37"/>
      <c r="H674" s="38"/>
    </row>
    <row r="675" spans="6:8" s="32" customFormat="1">
      <c r="F675" s="37"/>
      <c r="H675" s="38"/>
    </row>
    <row r="676" spans="6:8" s="32" customFormat="1">
      <c r="F676" s="37"/>
      <c r="H676" s="38"/>
    </row>
    <row r="677" spans="6:8" s="32" customFormat="1">
      <c r="F677" s="37"/>
      <c r="H677" s="38"/>
    </row>
    <row r="678" spans="6:8" s="32" customFormat="1">
      <c r="F678" s="37"/>
      <c r="H678" s="38"/>
    </row>
    <row r="679" spans="6:8" s="32" customFormat="1">
      <c r="F679" s="37"/>
      <c r="H679" s="38"/>
    </row>
    <row r="680" spans="6:8" s="32" customFormat="1">
      <c r="F680" s="37"/>
      <c r="H680" s="38"/>
    </row>
    <row r="681" spans="6:8" s="32" customFormat="1">
      <c r="F681" s="37"/>
      <c r="H681" s="38"/>
    </row>
    <row r="682" spans="6:8" s="32" customFormat="1">
      <c r="F682" s="37"/>
      <c r="H682" s="38"/>
    </row>
    <row r="683" spans="6:8" s="32" customFormat="1">
      <c r="F683" s="37"/>
      <c r="H683" s="38"/>
    </row>
    <row r="684" spans="6:8" s="32" customFormat="1">
      <c r="F684" s="37"/>
      <c r="H684" s="38"/>
    </row>
    <row r="685" spans="6:8" s="32" customFormat="1">
      <c r="F685" s="37"/>
      <c r="H685" s="38"/>
    </row>
    <row r="686" spans="6:8" s="32" customFormat="1">
      <c r="F686" s="37"/>
      <c r="H686" s="38"/>
    </row>
    <row r="687" spans="6:8" s="32" customFormat="1">
      <c r="F687" s="37"/>
      <c r="H687" s="38"/>
    </row>
    <row r="688" spans="6:8" s="32" customFormat="1">
      <c r="F688" s="37"/>
      <c r="H688" s="38"/>
    </row>
    <row r="689" spans="6:8" s="32" customFormat="1">
      <c r="F689" s="37"/>
      <c r="H689" s="38"/>
    </row>
    <row r="690" spans="6:8" s="32" customFormat="1">
      <c r="F690" s="37"/>
      <c r="H690" s="38"/>
    </row>
    <row r="691" spans="6:8" s="32" customFormat="1">
      <c r="F691" s="37"/>
      <c r="H691" s="38"/>
    </row>
    <row r="692" spans="6:8" s="32" customFormat="1">
      <c r="F692" s="37"/>
      <c r="H692" s="38"/>
    </row>
    <row r="693" spans="6:8" s="32" customFormat="1">
      <c r="F693" s="37"/>
      <c r="H693" s="38"/>
    </row>
    <row r="694" spans="6:8" s="32" customFormat="1">
      <c r="F694" s="37"/>
      <c r="H694" s="38"/>
    </row>
    <row r="695" spans="6:8" s="32" customFormat="1">
      <c r="F695" s="37"/>
      <c r="H695" s="38"/>
    </row>
    <row r="696" spans="6:8" s="32" customFormat="1">
      <c r="F696" s="37"/>
      <c r="H696" s="38"/>
    </row>
    <row r="697" spans="6:8" s="32" customFormat="1">
      <c r="F697" s="37"/>
      <c r="H697" s="38"/>
    </row>
    <row r="698" spans="6:8" s="32" customFormat="1">
      <c r="F698" s="37"/>
      <c r="H698" s="38"/>
    </row>
    <row r="699" spans="6:8" s="32" customFormat="1">
      <c r="F699" s="37"/>
      <c r="H699" s="38"/>
    </row>
    <row r="700" spans="6:8" s="32" customFormat="1">
      <c r="F700" s="37"/>
      <c r="H700" s="38"/>
    </row>
    <row r="701" spans="6:8" s="32" customFormat="1">
      <c r="F701" s="37"/>
      <c r="H701" s="38"/>
    </row>
    <row r="702" spans="6:8" s="32" customFormat="1">
      <c r="F702" s="37"/>
      <c r="H702" s="38"/>
    </row>
    <row r="703" spans="6:8" s="32" customFormat="1">
      <c r="F703" s="37"/>
      <c r="H703" s="38"/>
    </row>
    <row r="704" spans="6:8" s="32" customFormat="1">
      <c r="F704" s="37"/>
      <c r="H704" s="38"/>
    </row>
    <row r="705" spans="6:8" s="32" customFormat="1">
      <c r="F705" s="37"/>
      <c r="H705" s="38"/>
    </row>
    <row r="706" spans="6:8" s="32" customFormat="1">
      <c r="F706" s="37"/>
      <c r="H706" s="38"/>
    </row>
    <row r="707" spans="6:8" s="32" customFormat="1">
      <c r="F707" s="37"/>
      <c r="H707" s="38"/>
    </row>
    <row r="708" spans="6:8" s="32" customFormat="1">
      <c r="F708" s="37"/>
      <c r="H708" s="38"/>
    </row>
    <row r="709" spans="6:8" s="32" customFormat="1">
      <c r="F709" s="37"/>
      <c r="H709" s="38"/>
    </row>
    <row r="710" spans="6:8" s="32" customFormat="1">
      <c r="F710" s="37"/>
      <c r="H710" s="38"/>
    </row>
    <row r="711" spans="6:8" s="32" customFormat="1">
      <c r="F711" s="37"/>
      <c r="H711" s="38"/>
    </row>
    <row r="712" spans="6:8" s="32" customFormat="1">
      <c r="F712" s="37"/>
      <c r="H712" s="38"/>
    </row>
    <row r="713" spans="6:8" s="32" customFormat="1">
      <c r="F713" s="37"/>
      <c r="H713" s="38"/>
    </row>
    <row r="714" spans="6:8" s="32" customFormat="1">
      <c r="F714" s="37"/>
      <c r="H714" s="38"/>
    </row>
    <row r="715" spans="6:8" s="32" customFormat="1">
      <c r="F715" s="37"/>
      <c r="H715" s="38"/>
    </row>
    <row r="716" spans="6:8" s="32" customFormat="1">
      <c r="F716" s="37"/>
      <c r="H716" s="38"/>
    </row>
    <row r="717" spans="6:8" s="32" customFormat="1">
      <c r="F717" s="37"/>
      <c r="H717" s="38"/>
    </row>
    <row r="718" spans="6:8" s="32" customFormat="1">
      <c r="F718" s="37"/>
      <c r="H718" s="38"/>
    </row>
    <row r="719" spans="6:8" s="32" customFormat="1">
      <c r="F719" s="37"/>
      <c r="H719" s="38"/>
    </row>
    <row r="720" spans="6:8" s="32" customFormat="1">
      <c r="F720" s="37"/>
      <c r="H720" s="38"/>
    </row>
    <row r="721" spans="6:8" s="32" customFormat="1">
      <c r="F721" s="37"/>
      <c r="H721" s="38"/>
    </row>
    <row r="722" spans="6:8" s="32" customFormat="1">
      <c r="F722" s="37"/>
      <c r="H722" s="38"/>
    </row>
    <row r="723" spans="6:8" s="32" customFormat="1">
      <c r="F723" s="37"/>
      <c r="H723" s="38"/>
    </row>
    <row r="724" spans="6:8" s="32" customFormat="1">
      <c r="F724" s="37"/>
      <c r="H724" s="38"/>
    </row>
    <row r="725" spans="6:8" s="32" customFormat="1">
      <c r="F725" s="37"/>
      <c r="H725" s="38"/>
    </row>
    <row r="726" spans="6:8" s="32" customFormat="1">
      <c r="F726" s="37"/>
      <c r="H726" s="38"/>
    </row>
    <row r="727" spans="6:8" s="32" customFormat="1">
      <c r="F727" s="37"/>
      <c r="H727" s="38"/>
    </row>
    <row r="728" spans="6:8" s="32" customFormat="1">
      <c r="F728" s="37"/>
      <c r="H728" s="38"/>
    </row>
    <row r="729" spans="6:8" s="32" customFormat="1">
      <c r="F729" s="37"/>
      <c r="H729" s="38"/>
    </row>
    <row r="730" spans="6:8" s="32" customFormat="1">
      <c r="F730" s="37"/>
      <c r="H730" s="38"/>
    </row>
    <row r="731" spans="6:8" s="32" customFormat="1">
      <c r="F731" s="37"/>
      <c r="H731" s="38"/>
    </row>
    <row r="732" spans="6:8" s="32" customFormat="1">
      <c r="F732" s="37"/>
      <c r="H732" s="38"/>
    </row>
    <row r="733" spans="6:8" s="32" customFormat="1">
      <c r="F733" s="37"/>
      <c r="H733" s="38"/>
    </row>
    <row r="734" spans="6:8" s="32" customFormat="1">
      <c r="F734" s="37"/>
      <c r="H734" s="38"/>
    </row>
    <row r="735" spans="6:8" s="32" customFormat="1">
      <c r="F735" s="37"/>
      <c r="H735" s="38"/>
    </row>
    <row r="736" spans="6:8" s="32" customFormat="1">
      <c r="F736" s="37"/>
      <c r="H736" s="38"/>
    </row>
    <row r="737" spans="6:8" s="32" customFormat="1">
      <c r="F737" s="37"/>
      <c r="H737" s="38"/>
    </row>
    <row r="738" spans="6:8" s="32" customFormat="1">
      <c r="F738" s="37"/>
      <c r="H738" s="38"/>
    </row>
    <row r="739" spans="6:8" s="32" customFormat="1">
      <c r="F739" s="37"/>
      <c r="H739" s="38"/>
    </row>
    <row r="740" spans="6:8" s="32" customFormat="1">
      <c r="F740" s="37"/>
      <c r="H740" s="38"/>
    </row>
    <row r="741" spans="6:8" s="32" customFormat="1">
      <c r="F741" s="37"/>
      <c r="H741" s="38"/>
    </row>
    <row r="742" spans="6:8" s="32" customFormat="1">
      <c r="F742" s="37"/>
      <c r="H742" s="38"/>
    </row>
    <row r="743" spans="6:8" s="32" customFormat="1">
      <c r="F743" s="37"/>
      <c r="H743" s="38"/>
    </row>
    <row r="744" spans="6:8" s="32" customFormat="1">
      <c r="F744" s="37"/>
      <c r="H744" s="38"/>
    </row>
    <row r="745" spans="6:8" s="32" customFormat="1">
      <c r="F745" s="37"/>
      <c r="H745" s="38"/>
    </row>
    <row r="746" spans="6:8" s="32" customFormat="1">
      <c r="F746" s="37"/>
      <c r="H746" s="38"/>
    </row>
    <row r="747" spans="6:8" s="32" customFormat="1">
      <c r="F747" s="37"/>
      <c r="H747" s="38"/>
    </row>
    <row r="748" spans="6:8" s="32" customFormat="1">
      <c r="F748" s="37"/>
      <c r="H748" s="38"/>
    </row>
    <row r="749" spans="6:8" s="32" customFormat="1">
      <c r="F749" s="37"/>
      <c r="H749" s="38"/>
    </row>
    <row r="750" spans="6:8" s="32" customFormat="1">
      <c r="F750" s="37"/>
      <c r="H750" s="38"/>
    </row>
    <row r="751" spans="6:8" s="32" customFormat="1">
      <c r="F751" s="37"/>
      <c r="H751" s="38"/>
    </row>
    <row r="752" spans="6:8" s="32" customFormat="1">
      <c r="F752" s="37"/>
      <c r="H752" s="38"/>
    </row>
    <row r="753" spans="6:8" s="32" customFormat="1">
      <c r="F753" s="37"/>
      <c r="H753" s="38"/>
    </row>
    <row r="754" spans="6:8" s="32" customFormat="1">
      <c r="F754" s="37"/>
      <c r="H754" s="38"/>
    </row>
    <row r="755" spans="6:8" s="32" customFormat="1">
      <c r="F755" s="37"/>
      <c r="H755" s="38"/>
    </row>
    <row r="756" spans="6:8" s="32" customFormat="1">
      <c r="F756" s="37"/>
      <c r="H756" s="38"/>
    </row>
    <row r="757" spans="6:8" s="32" customFormat="1">
      <c r="F757" s="37"/>
      <c r="H757" s="38"/>
    </row>
    <row r="758" spans="6:8" s="32" customFormat="1">
      <c r="F758" s="37"/>
      <c r="H758" s="38"/>
    </row>
    <row r="759" spans="6:8" s="32" customFormat="1">
      <c r="F759" s="37"/>
      <c r="H759" s="38"/>
    </row>
    <row r="760" spans="6:8" s="32" customFormat="1">
      <c r="F760" s="37"/>
      <c r="H760" s="38"/>
    </row>
    <row r="761" spans="6:8" s="32" customFormat="1">
      <c r="F761" s="37"/>
      <c r="H761" s="38"/>
    </row>
    <row r="762" spans="6:8" s="32" customFormat="1">
      <c r="F762" s="37"/>
      <c r="H762" s="38"/>
    </row>
    <row r="763" spans="6:8" s="32" customFormat="1">
      <c r="F763" s="37"/>
      <c r="H763" s="38"/>
    </row>
    <row r="764" spans="6:8" s="32" customFormat="1">
      <c r="F764" s="37"/>
      <c r="H764" s="38"/>
    </row>
    <row r="765" spans="6:8" s="32" customFormat="1">
      <c r="F765" s="37"/>
      <c r="H765" s="38"/>
    </row>
    <row r="766" spans="6:8" s="32" customFormat="1">
      <c r="F766" s="37"/>
      <c r="H766" s="38"/>
    </row>
    <row r="767" spans="6:8" s="32" customFormat="1">
      <c r="F767" s="37"/>
      <c r="H767" s="38"/>
    </row>
    <row r="768" spans="6:8" s="32" customFormat="1">
      <c r="F768" s="37"/>
      <c r="H768" s="38"/>
    </row>
    <row r="769" spans="6:8" s="32" customFormat="1">
      <c r="F769" s="37"/>
      <c r="H769" s="38"/>
    </row>
    <row r="770" spans="6:8" s="32" customFormat="1">
      <c r="F770" s="37"/>
      <c r="H770" s="38"/>
    </row>
    <row r="771" spans="6:8" s="32" customFormat="1">
      <c r="F771" s="37"/>
      <c r="H771" s="38"/>
    </row>
    <row r="772" spans="6:8" s="32" customFormat="1">
      <c r="F772" s="37"/>
      <c r="H772" s="38"/>
    </row>
    <row r="773" spans="6:8" s="32" customFormat="1">
      <c r="F773" s="37"/>
      <c r="H773" s="38"/>
    </row>
    <row r="774" spans="6:8" s="32" customFormat="1">
      <c r="F774" s="37"/>
      <c r="H774" s="38"/>
    </row>
    <row r="775" spans="6:8" s="32" customFormat="1">
      <c r="F775" s="37"/>
      <c r="H775" s="38"/>
    </row>
    <row r="776" spans="6:8" s="32" customFormat="1">
      <c r="F776" s="37"/>
      <c r="H776" s="38"/>
    </row>
    <row r="777" spans="6:8" s="32" customFormat="1">
      <c r="F777" s="37"/>
      <c r="H777" s="38"/>
    </row>
    <row r="778" spans="6:8" s="32" customFormat="1">
      <c r="F778" s="37"/>
      <c r="H778" s="38"/>
    </row>
    <row r="779" spans="6:8" s="32" customFormat="1">
      <c r="F779" s="37"/>
      <c r="H779" s="38"/>
    </row>
    <row r="780" spans="6:8" s="32" customFormat="1">
      <c r="F780" s="37"/>
      <c r="H780" s="38"/>
    </row>
    <row r="781" spans="6:8" s="32" customFormat="1">
      <c r="F781" s="37"/>
      <c r="H781" s="38"/>
    </row>
    <row r="782" spans="6:8" s="32" customFormat="1">
      <c r="F782" s="37"/>
      <c r="H782" s="38"/>
    </row>
    <row r="783" spans="6:8" s="32" customFormat="1">
      <c r="F783" s="37"/>
      <c r="H783" s="38"/>
    </row>
    <row r="784" spans="6:8" s="32" customFormat="1">
      <c r="F784" s="37"/>
      <c r="H784" s="38"/>
    </row>
    <row r="785" spans="6:8" s="32" customFormat="1">
      <c r="F785" s="37"/>
      <c r="H785" s="38"/>
    </row>
    <row r="786" spans="6:8" s="32" customFormat="1">
      <c r="F786" s="37"/>
      <c r="H786" s="38"/>
    </row>
    <row r="787" spans="6:8" s="32" customFormat="1">
      <c r="F787" s="37"/>
      <c r="H787" s="38"/>
    </row>
    <row r="788" spans="6:8" s="32" customFormat="1">
      <c r="F788" s="37"/>
      <c r="H788" s="38"/>
    </row>
    <row r="789" spans="6:8" s="32" customFormat="1">
      <c r="F789" s="37"/>
      <c r="H789" s="38"/>
    </row>
    <row r="790" spans="6:8" s="32" customFormat="1">
      <c r="F790" s="37"/>
      <c r="H790" s="38"/>
    </row>
    <row r="791" spans="6:8" s="32" customFormat="1">
      <c r="F791" s="37"/>
      <c r="H791" s="38"/>
    </row>
    <row r="792" spans="6:8" s="32" customFormat="1">
      <c r="F792" s="37"/>
      <c r="H792" s="38"/>
    </row>
    <row r="793" spans="6:8" s="32" customFormat="1">
      <c r="F793" s="37"/>
      <c r="H793" s="38"/>
    </row>
    <row r="794" spans="6:8" s="32" customFormat="1">
      <c r="F794" s="37"/>
      <c r="H794" s="38"/>
    </row>
    <row r="795" spans="6:8" s="32" customFormat="1">
      <c r="F795" s="37"/>
      <c r="H795" s="38"/>
    </row>
    <row r="796" spans="6:8" s="32" customFormat="1">
      <c r="F796" s="37"/>
      <c r="H796" s="38"/>
    </row>
    <row r="797" spans="6:8" s="32" customFormat="1">
      <c r="F797" s="37"/>
      <c r="H797" s="38"/>
    </row>
    <row r="798" spans="6:8" s="32" customFormat="1">
      <c r="F798" s="37"/>
      <c r="H798" s="38"/>
    </row>
    <row r="799" spans="6:8" s="32" customFormat="1">
      <c r="F799" s="37"/>
      <c r="H799" s="38"/>
    </row>
    <row r="800" spans="6:8" s="32" customFormat="1">
      <c r="F800" s="37"/>
      <c r="H800" s="38"/>
    </row>
    <row r="801" spans="6:8" s="32" customFormat="1">
      <c r="F801" s="37"/>
      <c r="H801" s="38"/>
    </row>
    <row r="802" spans="6:8" s="32" customFormat="1">
      <c r="F802" s="37"/>
      <c r="H802" s="38"/>
    </row>
    <row r="803" spans="6:8" s="32" customFormat="1">
      <c r="F803" s="37"/>
      <c r="H803" s="38"/>
    </row>
    <row r="804" spans="6:8" s="32" customFormat="1">
      <c r="F804" s="37"/>
      <c r="H804" s="38"/>
    </row>
    <row r="805" spans="6:8" s="32" customFormat="1">
      <c r="F805" s="37"/>
      <c r="H805" s="38"/>
    </row>
    <row r="806" spans="6:8" s="32" customFormat="1">
      <c r="F806" s="37"/>
      <c r="H806" s="38"/>
    </row>
    <row r="807" spans="6:8" s="32" customFormat="1">
      <c r="F807" s="37"/>
      <c r="H807" s="38"/>
    </row>
    <row r="808" spans="6:8" s="32" customFormat="1">
      <c r="F808" s="37"/>
      <c r="H808" s="38"/>
    </row>
    <row r="809" spans="6:8" s="32" customFormat="1">
      <c r="F809" s="37"/>
      <c r="H809" s="38"/>
    </row>
    <row r="810" spans="6:8" s="32" customFormat="1">
      <c r="F810" s="37"/>
      <c r="H810" s="38"/>
    </row>
    <row r="811" spans="6:8" s="32" customFormat="1">
      <c r="F811" s="37"/>
      <c r="H811" s="38"/>
    </row>
    <row r="812" spans="6:8" s="32" customFormat="1">
      <c r="F812" s="37"/>
      <c r="H812" s="38"/>
    </row>
    <row r="813" spans="6:8" s="32" customFormat="1">
      <c r="F813" s="37"/>
      <c r="H813" s="38"/>
    </row>
    <row r="814" spans="6:8" s="32" customFormat="1">
      <c r="F814" s="37"/>
      <c r="H814" s="38"/>
    </row>
    <row r="815" spans="6:8" s="32" customFormat="1">
      <c r="F815" s="37"/>
      <c r="H815" s="38"/>
    </row>
    <row r="816" spans="6:8" s="32" customFormat="1">
      <c r="F816" s="37"/>
      <c r="H816" s="38"/>
    </row>
    <row r="817" spans="6:8" s="32" customFormat="1">
      <c r="F817" s="37"/>
      <c r="H817" s="38"/>
    </row>
    <row r="818" spans="6:8" s="32" customFormat="1">
      <c r="F818" s="37"/>
      <c r="H818" s="38"/>
    </row>
    <row r="819" spans="6:8" s="32" customFormat="1">
      <c r="F819" s="37"/>
      <c r="H819" s="38"/>
    </row>
    <row r="820" spans="6:8" s="32" customFormat="1">
      <c r="F820" s="37"/>
      <c r="H820" s="38"/>
    </row>
    <row r="821" spans="6:8" s="32" customFormat="1">
      <c r="F821" s="37"/>
      <c r="H821" s="38"/>
    </row>
    <row r="822" spans="6:8" s="32" customFormat="1">
      <c r="F822" s="37"/>
      <c r="H822" s="38"/>
    </row>
    <row r="823" spans="6:8" s="32" customFormat="1">
      <c r="F823" s="37"/>
      <c r="H823" s="38"/>
    </row>
    <row r="824" spans="6:8" s="32" customFormat="1">
      <c r="F824" s="37"/>
      <c r="H824" s="38"/>
    </row>
    <row r="825" spans="6:8" s="32" customFormat="1">
      <c r="F825" s="37"/>
      <c r="H825" s="38"/>
    </row>
    <row r="826" spans="6:8" s="32" customFormat="1">
      <c r="F826" s="37"/>
      <c r="H826" s="38"/>
    </row>
    <row r="827" spans="6:8" s="32" customFormat="1">
      <c r="F827" s="37"/>
      <c r="H827" s="38"/>
    </row>
    <row r="828" spans="6:8" s="32" customFormat="1">
      <c r="F828" s="37"/>
      <c r="H828" s="38"/>
    </row>
    <row r="829" spans="6:8" s="32" customFormat="1">
      <c r="F829" s="37"/>
      <c r="H829" s="38"/>
    </row>
    <row r="830" spans="6:8" s="32" customFormat="1">
      <c r="F830" s="37"/>
      <c r="H830" s="38"/>
    </row>
    <row r="831" spans="6:8" s="32" customFormat="1">
      <c r="F831" s="37"/>
      <c r="H831" s="38"/>
    </row>
    <row r="832" spans="6:8" s="32" customFormat="1">
      <c r="F832" s="37"/>
      <c r="H832" s="38"/>
    </row>
    <row r="833" spans="6:8" s="32" customFormat="1">
      <c r="F833" s="37"/>
      <c r="H833" s="38"/>
    </row>
    <row r="834" spans="6:8" s="32" customFormat="1">
      <c r="F834" s="37"/>
      <c r="H834" s="38"/>
    </row>
    <row r="835" spans="6:8" s="32" customFormat="1">
      <c r="F835" s="37"/>
      <c r="H835" s="38"/>
    </row>
    <row r="836" spans="6:8" s="32" customFormat="1">
      <c r="F836" s="37"/>
      <c r="H836" s="38"/>
    </row>
    <row r="837" spans="6:8" s="32" customFormat="1">
      <c r="F837" s="37"/>
      <c r="H837" s="38"/>
    </row>
    <row r="838" spans="6:8" s="32" customFormat="1">
      <c r="F838" s="37"/>
      <c r="H838" s="38"/>
    </row>
    <row r="839" spans="6:8" s="32" customFormat="1">
      <c r="F839" s="37"/>
      <c r="H839" s="38"/>
    </row>
    <row r="840" spans="6:8" s="32" customFormat="1">
      <c r="F840" s="37"/>
      <c r="H840" s="38"/>
    </row>
    <row r="841" spans="6:8" s="32" customFormat="1">
      <c r="F841" s="37"/>
      <c r="H841" s="38"/>
    </row>
    <row r="842" spans="6:8" s="32" customFormat="1">
      <c r="F842" s="37"/>
      <c r="H842" s="38"/>
    </row>
    <row r="843" spans="6:8" s="32" customFormat="1">
      <c r="F843" s="37"/>
      <c r="H843" s="38"/>
    </row>
    <row r="844" spans="6:8" s="32" customFormat="1">
      <c r="F844" s="37"/>
      <c r="H844" s="38"/>
    </row>
    <row r="845" spans="6:8" s="32" customFormat="1">
      <c r="F845" s="37"/>
      <c r="H845" s="38"/>
    </row>
    <row r="846" spans="6:8" s="32" customFormat="1">
      <c r="F846" s="37"/>
      <c r="H846" s="38"/>
    </row>
    <row r="847" spans="6:8" s="32" customFormat="1">
      <c r="F847" s="37"/>
      <c r="H847" s="38"/>
    </row>
    <row r="848" spans="6:8" s="32" customFormat="1">
      <c r="F848" s="37"/>
      <c r="H848" s="38"/>
    </row>
    <row r="849" spans="6:8" s="32" customFormat="1">
      <c r="F849" s="37"/>
      <c r="H849" s="38"/>
    </row>
    <row r="850" spans="6:8" s="32" customFormat="1">
      <c r="F850" s="37"/>
      <c r="H850" s="38"/>
    </row>
    <row r="851" spans="6:8" s="32" customFormat="1">
      <c r="F851" s="37"/>
      <c r="H851" s="38"/>
    </row>
    <row r="852" spans="6:8" s="32" customFormat="1">
      <c r="F852" s="37"/>
      <c r="H852" s="38"/>
    </row>
    <row r="853" spans="6:8" s="32" customFormat="1">
      <c r="F853" s="37"/>
      <c r="H853" s="38"/>
    </row>
    <row r="854" spans="6:8" s="32" customFormat="1">
      <c r="F854" s="37"/>
      <c r="H854" s="38"/>
    </row>
    <row r="855" spans="6:8" s="32" customFormat="1">
      <c r="F855" s="37"/>
      <c r="H855" s="38"/>
    </row>
    <row r="856" spans="6:8" s="32" customFormat="1">
      <c r="F856" s="37"/>
      <c r="H856" s="38"/>
    </row>
    <row r="857" spans="6:8" s="32" customFormat="1">
      <c r="F857" s="37"/>
      <c r="H857" s="38"/>
    </row>
    <row r="858" spans="6:8" s="32" customFormat="1">
      <c r="F858" s="37"/>
      <c r="H858" s="38"/>
    </row>
    <row r="859" spans="6:8" s="32" customFormat="1">
      <c r="F859" s="37"/>
      <c r="H859" s="38"/>
    </row>
    <row r="860" spans="6:8" s="32" customFormat="1">
      <c r="F860" s="37"/>
      <c r="H860" s="38"/>
    </row>
    <row r="861" spans="6:8" s="32" customFormat="1">
      <c r="F861" s="37"/>
      <c r="H861" s="38"/>
    </row>
    <row r="862" spans="6:8" s="32" customFormat="1">
      <c r="F862" s="37"/>
      <c r="H862" s="38"/>
    </row>
    <row r="863" spans="6:8" s="32" customFormat="1">
      <c r="F863" s="37"/>
      <c r="H863" s="38"/>
    </row>
    <row r="864" spans="6:8" s="32" customFormat="1">
      <c r="F864" s="37"/>
      <c r="H864" s="38"/>
    </row>
    <row r="865" spans="6:8" s="32" customFormat="1">
      <c r="F865" s="37"/>
      <c r="H865" s="38"/>
    </row>
    <row r="866" spans="6:8" s="32" customFormat="1">
      <c r="F866" s="37"/>
      <c r="H866" s="38"/>
    </row>
    <row r="867" spans="6:8" s="32" customFormat="1">
      <c r="F867" s="37"/>
      <c r="H867" s="38"/>
    </row>
    <row r="868" spans="6:8" s="32" customFormat="1">
      <c r="F868" s="37"/>
      <c r="H868" s="38"/>
    </row>
    <row r="869" spans="6:8" s="32" customFormat="1">
      <c r="F869" s="37"/>
      <c r="H869" s="38"/>
    </row>
    <row r="870" spans="6:8" s="32" customFormat="1">
      <c r="F870" s="37"/>
      <c r="H870" s="38"/>
    </row>
    <row r="871" spans="6:8" s="32" customFormat="1">
      <c r="F871" s="37"/>
      <c r="H871" s="38"/>
    </row>
    <row r="872" spans="6:8" s="32" customFormat="1">
      <c r="F872" s="37"/>
      <c r="H872" s="38"/>
    </row>
    <row r="873" spans="6:8" s="32" customFormat="1">
      <c r="F873" s="37"/>
      <c r="H873" s="38"/>
    </row>
    <row r="874" spans="6:8" s="32" customFormat="1">
      <c r="F874" s="37"/>
      <c r="H874" s="38"/>
    </row>
    <row r="875" spans="6:8" s="32" customFormat="1">
      <c r="F875" s="37"/>
      <c r="H875" s="38"/>
    </row>
    <row r="876" spans="6:8" s="32" customFormat="1">
      <c r="F876" s="37"/>
      <c r="H876" s="38"/>
    </row>
    <row r="877" spans="6:8" s="32" customFormat="1">
      <c r="F877" s="37"/>
      <c r="H877" s="38"/>
    </row>
    <row r="878" spans="6:8" s="32" customFormat="1">
      <c r="F878" s="37"/>
      <c r="H878" s="38"/>
    </row>
    <row r="879" spans="6:8" s="32" customFormat="1">
      <c r="F879" s="37"/>
      <c r="H879" s="38"/>
    </row>
    <row r="880" spans="6:8" s="32" customFormat="1">
      <c r="F880" s="37"/>
      <c r="H880" s="38"/>
    </row>
    <row r="881" spans="6:8" s="32" customFormat="1">
      <c r="F881" s="37"/>
      <c r="H881" s="38"/>
    </row>
    <row r="882" spans="6:8" s="32" customFormat="1">
      <c r="F882" s="37"/>
      <c r="H882" s="38"/>
    </row>
    <row r="883" spans="6:8" s="32" customFormat="1">
      <c r="F883" s="37"/>
      <c r="H883" s="38"/>
    </row>
    <row r="884" spans="6:8" s="32" customFormat="1">
      <c r="F884" s="37"/>
      <c r="H884" s="38"/>
    </row>
    <row r="885" spans="6:8" s="32" customFormat="1">
      <c r="F885" s="37"/>
      <c r="H885" s="38"/>
    </row>
    <row r="886" spans="6:8" s="32" customFormat="1">
      <c r="F886" s="37"/>
      <c r="H886" s="38"/>
    </row>
    <row r="887" spans="6:8" s="32" customFormat="1">
      <c r="F887" s="37"/>
      <c r="H887" s="38"/>
    </row>
    <row r="888" spans="6:8" s="32" customFormat="1">
      <c r="F888" s="37"/>
      <c r="H888" s="38"/>
    </row>
    <row r="889" spans="6:8" s="32" customFormat="1">
      <c r="F889" s="37"/>
      <c r="H889" s="38"/>
    </row>
    <row r="890" spans="6:8" s="32" customFormat="1">
      <c r="F890" s="37"/>
      <c r="H890" s="38"/>
    </row>
    <row r="891" spans="6:8" s="32" customFormat="1">
      <c r="F891" s="37"/>
      <c r="H891" s="38"/>
    </row>
    <row r="892" spans="6:8" s="32" customFormat="1">
      <c r="F892" s="37"/>
      <c r="H892" s="38"/>
    </row>
    <row r="893" spans="6:8" s="32" customFormat="1">
      <c r="F893" s="37"/>
      <c r="H893" s="38"/>
    </row>
    <row r="894" spans="6:8" s="32" customFormat="1">
      <c r="F894" s="37"/>
      <c r="H894" s="38"/>
    </row>
    <row r="895" spans="6:8" s="32" customFormat="1">
      <c r="F895" s="37"/>
      <c r="H895" s="38"/>
    </row>
    <row r="896" spans="6:8" s="32" customFormat="1">
      <c r="F896" s="37"/>
      <c r="H896" s="38"/>
    </row>
    <row r="897" spans="6:8" s="32" customFormat="1">
      <c r="F897" s="37"/>
      <c r="H897" s="38"/>
    </row>
    <row r="898" spans="6:8" s="32" customFormat="1">
      <c r="F898" s="37"/>
      <c r="H898" s="38"/>
    </row>
    <row r="899" spans="6:8" s="32" customFormat="1">
      <c r="F899" s="37"/>
      <c r="H899" s="38"/>
    </row>
    <row r="900" spans="6:8" s="32" customFormat="1">
      <c r="F900" s="37"/>
      <c r="H900" s="38"/>
    </row>
    <row r="901" spans="6:8" s="32" customFormat="1">
      <c r="F901" s="37"/>
      <c r="H901" s="38"/>
    </row>
    <row r="902" spans="6:8" s="32" customFormat="1">
      <c r="F902" s="37"/>
      <c r="H902" s="38"/>
    </row>
    <row r="903" spans="6:8" s="32" customFormat="1">
      <c r="F903" s="37"/>
      <c r="H903" s="38"/>
    </row>
    <row r="904" spans="6:8" s="32" customFormat="1">
      <c r="F904" s="37"/>
      <c r="H904" s="38"/>
    </row>
    <row r="905" spans="6:8" s="32" customFormat="1">
      <c r="F905" s="37"/>
      <c r="H905" s="38"/>
    </row>
    <row r="906" spans="6:8" s="32" customFormat="1">
      <c r="F906" s="37"/>
      <c r="H906" s="38"/>
    </row>
    <row r="907" spans="6:8" s="32" customFormat="1">
      <c r="F907" s="37"/>
      <c r="H907" s="38"/>
    </row>
    <row r="908" spans="6:8" s="32" customFormat="1">
      <c r="F908" s="37"/>
      <c r="H908" s="38"/>
    </row>
    <row r="909" spans="6:8" s="32" customFormat="1">
      <c r="F909" s="37"/>
      <c r="H909" s="38"/>
    </row>
    <row r="910" spans="6:8" s="32" customFormat="1">
      <c r="F910" s="37"/>
      <c r="H910" s="38"/>
    </row>
    <row r="911" spans="6:8" s="32" customFormat="1">
      <c r="F911" s="37"/>
      <c r="H911" s="38"/>
    </row>
    <row r="912" spans="6:8" s="32" customFormat="1">
      <c r="F912" s="37"/>
      <c r="H912" s="38"/>
    </row>
    <row r="913" spans="6:8" s="32" customFormat="1">
      <c r="F913" s="37"/>
      <c r="H913" s="38"/>
    </row>
    <row r="914" spans="6:8" s="32" customFormat="1">
      <c r="F914" s="37"/>
      <c r="H914" s="38"/>
    </row>
    <row r="915" spans="6:8" s="32" customFormat="1">
      <c r="F915" s="37"/>
      <c r="H915" s="38"/>
    </row>
    <row r="916" spans="6:8" s="32" customFormat="1">
      <c r="F916" s="37"/>
      <c r="H916" s="38"/>
    </row>
    <row r="917" spans="6:8" s="32" customFormat="1">
      <c r="F917" s="37"/>
      <c r="H917" s="38"/>
    </row>
    <row r="918" spans="6:8" s="32" customFormat="1">
      <c r="F918" s="37"/>
      <c r="H918" s="38"/>
    </row>
    <row r="919" spans="6:8" s="32" customFormat="1">
      <c r="F919" s="37"/>
      <c r="H919" s="38"/>
    </row>
    <row r="920" spans="6:8" s="32" customFormat="1">
      <c r="F920" s="37"/>
      <c r="H920" s="38"/>
    </row>
    <row r="921" spans="6:8" s="32" customFormat="1">
      <c r="F921" s="37"/>
      <c r="H921" s="38"/>
    </row>
    <row r="922" spans="6:8" s="32" customFormat="1">
      <c r="F922" s="37"/>
      <c r="H922" s="38"/>
    </row>
    <row r="923" spans="6:8" s="32" customFormat="1">
      <c r="F923" s="37"/>
      <c r="H923" s="38"/>
    </row>
    <row r="924" spans="6:8" s="32" customFormat="1">
      <c r="F924" s="37"/>
      <c r="H924" s="38"/>
    </row>
    <row r="925" spans="6:8" s="32" customFormat="1">
      <c r="F925" s="37"/>
      <c r="H925" s="38"/>
    </row>
    <row r="926" spans="6:8" s="32" customFormat="1">
      <c r="F926" s="37"/>
      <c r="H926" s="38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957"/>
  <sheetViews>
    <sheetView zoomScaleNormal="100" workbookViewId="0">
      <selection activeCell="F31" sqref="F31"/>
    </sheetView>
  </sheetViews>
  <sheetFormatPr defaultRowHeight="12.75"/>
  <cols>
    <col min="1" max="1" width="3.42578125" style="32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5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113" width="9.140625" style="32"/>
  </cols>
  <sheetData>
    <row r="1" spans="1:9" ht="15.95" customHeight="1">
      <c r="A1" s="29"/>
      <c r="B1" s="175" t="s">
        <v>360</v>
      </c>
      <c r="C1" s="176"/>
      <c r="D1" s="176"/>
      <c r="E1" s="176"/>
      <c r="F1" s="176"/>
      <c r="G1" s="176"/>
      <c r="H1" s="177"/>
      <c r="I1" s="1"/>
    </row>
    <row r="2" spans="1:9" ht="12.95" customHeight="1" thickBot="1">
      <c r="A2" s="29"/>
      <c r="B2" s="178" t="s">
        <v>393</v>
      </c>
      <c r="C2" s="179"/>
      <c r="D2" s="179"/>
      <c r="E2" s="179"/>
      <c r="F2" s="179"/>
      <c r="G2" s="179"/>
      <c r="H2" s="180"/>
      <c r="I2" s="1"/>
    </row>
    <row r="3" spans="1:9" s="32" customFormat="1" ht="12.95" customHeight="1">
      <c r="A3" s="29"/>
      <c r="B3" s="86"/>
      <c r="C3" s="86"/>
      <c r="D3" s="86"/>
      <c r="E3" s="86"/>
      <c r="F3" s="86"/>
      <c r="G3" s="86"/>
      <c r="H3" s="86"/>
      <c r="I3" s="29"/>
    </row>
    <row r="4" spans="1:9" s="32" customFormat="1" ht="12.95" customHeight="1" thickBot="1">
      <c r="A4" s="30"/>
      <c r="B4" s="33" t="s">
        <v>2</v>
      </c>
      <c r="C4" s="29"/>
      <c r="D4" s="29"/>
      <c r="E4" s="29"/>
      <c r="F4" s="34"/>
      <c r="G4" s="29"/>
      <c r="H4" s="35"/>
      <c r="I4" s="29"/>
    </row>
    <row r="5" spans="1:9" ht="27.95" customHeight="1">
      <c r="A5" s="29"/>
      <c r="B5" s="58" t="s">
        <v>3</v>
      </c>
      <c r="C5" s="59" t="s">
        <v>4</v>
      </c>
      <c r="D5" s="60" t="s">
        <v>5</v>
      </c>
      <c r="E5" s="60" t="s">
        <v>6</v>
      </c>
      <c r="F5" s="61" t="s">
        <v>7</v>
      </c>
      <c r="G5" s="60" t="s">
        <v>8</v>
      </c>
      <c r="H5" s="62" t="s">
        <v>9</v>
      </c>
      <c r="I5" s="39" t="s">
        <v>10</v>
      </c>
    </row>
    <row r="6" spans="1:9" ht="12.95" customHeight="1">
      <c r="A6" s="29"/>
      <c r="B6" s="17" t="s">
        <v>370</v>
      </c>
      <c r="C6" s="55"/>
      <c r="D6" s="46"/>
      <c r="E6" s="46"/>
      <c r="F6" s="47"/>
      <c r="G6" s="46"/>
      <c r="H6" s="144"/>
      <c r="I6" s="27"/>
    </row>
    <row r="7" spans="1:9" ht="12.95" customHeight="1">
      <c r="A7" s="29"/>
      <c r="B7" s="21" t="s">
        <v>371</v>
      </c>
      <c r="C7" s="56"/>
      <c r="D7" s="46"/>
      <c r="E7" s="146" t="s">
        <v>197</v>
      </c>
      <c r="F7" s="146" t="s">
        <v>197</v>
      </c>
      <c r="G7" s="146" t="s">
        <v>197</v>
      </c>
      <c r="H7" s="147" t="s">
        <v>197</v>
      </c>
      <c r="I7" s="10" t="s">
        <v>197</v>
      </c>
    </row>
    <row r="8" spans="1:9" ht="12.95" customHeight="1">
      <c r="A8" s="31"/>
      <c r="B8" s="24" t="s">
        <v>196</v>
      </c>
      <c r="C8" s="57"/>
      <c r="D8" s="46"/>
      <c r="E8" s="146" t="s">
        <v>197</v>
      </c>
      <c r="F8" s="146" t="s">
        <v>197</v>
      </c>
      <c r="G8" s="146" t="s">
        <v>197</v>
      </c>
      <c r="H8" s="147" t="s">
        <v>197</v>
      </c>
      <c r="I8" s="10" t="s">
        <v>197</v>
      </c>
    </row>
    <row r="9" spans="1:9" ht="12.95" customHeight="1">
      <c r="A9" s="31"/>
      <c r="B9" s="100"/>
      <c r="C9" s="45"/>
      <c r="D9" s="46"/>
      <c r="E9" s="46"/>
      <c r="F9" s="46"/>
      <c r="G9" s="46"/>
      <c r="H9" s="101"/>
      <c r="I9" s="11"/>
    </row>
    <row r="10" spans="1:9" ht="12.95" customHeight="1">
      <c r="A10" s="31"/>
      <c r="B10" s="17" t="s">
        <v>372</v>
      </c>
      <c r="C10" s="55"/>
      <c r="D10" s="46"/>
      <c r="E10" s="46"/>
      <c r="F10" s="46"/>
      <c r="G10" s="46"/>
      <c r="H10" s="101"/>
      <c r="I10" s="11"/>
    </row>
    <row r="11" spans="1:9" ht="12.95" customHeight="1">
      <c r="A11" s="31"/>
      <c r="B11" s="21" t="s">
        <v>383</v>
      </c>
      <c r="C11" s="56"/>
      <c r="D11" s="46"/>
      <c r="E11" s="146" t="s">
        <v>197</v>
      </c>
      <c r="F11" s="146" t="s">
        <v>197</v>
      </c>
      <c r="G11" s="146" t="s">
        <v>197</v>
      </c>
      <c r="H11" s="147" t="s">
        <v>197</v>
      </c>
      <c r="I11" s="10" t="s">
        <v>197</v>
      </c>
    </row>
    <row r="12" spans="1:9" ht="12.95" customHeight="1">
      <c r="A12" s="31"/>
      <c r="B12" s="24" t="s">
        <v>374</v>
      </c>
      <c r="C12" s="57"/>
      <c r="D12" s="46"/>
      <c r="E12" s="146" t="s">
        <v>197</v>
      </c>
      <c r="F12" s="146" t="s">
        <v>197</v>
      </c>
      <c r="G12" s="146" t="s">
        <v>197</v>
      </c>
      <c r="H12" s="147" t="s">
        <v>197</v>
      </c>
      <c r="I12" s="10" t="s">
        <v>197</v>
      </c>
    </row>
    <row r="13" spans="1:9" ht="12.95" customHeight="1">
      <c r="A13" s="29"/>
      <c r="B13" s="24" t="s">
        <v>375</v>
      </c>
      <c r="C13" s="57"/>
      <c r="D13" s="46"/>
      <c r="E13" s="146" t="s">
        <v>197</v>
      </c>
      <c r="F13" s="146" t="s">
        <v>197</v>
      </c>
      <c r="G13" s="146" t="s">
        <v>197</v>
      </c>
      <c r="H13" s="147" t="s">
        <v>197</v>
      </c>
      <c r="I13" s="10" t="s">
        <v>197</v>
      </c>
    </row>
    <row r="14" spans="1:9" ht="12.95" customHeight="1">
      <c r="A14" s="29"/>
      <c r="B14" s="24"/>
      <c r="C14" s="57"/>
      <c r="D14" s="46"/>
      <c r="E14" s="136"/>
      <c r="F14" s="137"/>
      <c r="G14" s="136"/>
      <c r="H14" s="138"/>
      <c r="I14" s="145"/>
    </row>
    <row r="15" spans="1:9" ht="12.95" customHeight="1">
      <c r="A15" s="29"/>
      <c r="B15" s="63" t="s">
        <v>11</v>
      </c>
      <c r="C15" s="19" t="s">
        <v>1</v>
      </c>
      <c r="D15" s="19" t="s">
        <v>1</v>
      </c>
      <c r="E15" s="19" t="s">
        <v>1</v>
      </c>
      <c r="F15" s="48" t="s">
        <v>1</v>
      </c>
      <c r="G15" s="49"/>
      <c r="H15" s="64" t="s">
        <v>1</v>
      </c>
      <c r="I15" s="12" t="s">
        <v>1</v>
      </c>
    </row>
    <row r="16" spans="1:9" ht="12.95" customHeight="1">
      <c r="A16" s="29"/>
      <c r="B16" s="63" t="s">
        <v>12</v>
      </c>
      <c r="C16" s="19" t="s">
        <v>1</v>
      </c>
      <c r="D16" s="19" t="s">
        <v>1</v>
      </c>
      <c r="E16" s="19" t="s">
        <v>1</v>
      </c>
      <c r="F16" s="48" t="s">
        <v>1</v>
      </c>
      <c r="G16" s="49"/>
      <c r="H16" s="64" t="s">
        <v>1</v>
      </c>
      <c r="I16" s="12" t="s">
        <v>1</v>
      </c>
    </row>
    <row r="17" spans="1:9" ht="12.95" customHeight="1">
      <c r="A17" s="31"/>
      <c r="B17" s="65" t="s">
        <v>361</v>
      </c>
      <c r="C17" s="19" t="s">
        <v>362</v>
      </c>
      <c r="D17" s="19" t="s">
        <v>15</v>
      </c>
      <c r="E17" s="50">
        <v>863000</v>
      </c>
      <c r="F17" s="51">
        <v>825.92810899999995</v>
      </c>
      <c r="G17" s="52">
        <v>825.93</v>
      </c>
      <c r="H17" s="66">
        <v>0.23585557458580897</v>
      </c>
      <c r="I17" s="3">
        <v>0.2359</v>
      </c>
    </row>
    <row r="18" spans="1:9" ht="12.95" customHeight="1">
      <c r="A18" s="31"/>
      <c r="B18" s="65" t="s">
        <v>34</v>
      </c>
      <c r="C18" s="19" t="s">
        <v>35</v>
      </c>
      <c r="D18" s="19" t="s">
        <v>18</v>
      </c>
      <c r="E18" s="50">
        <v>500000</v>
      </c>
      <c r="F18" s="51">
        <v>493.39699999999999</v>
      </c>
      <c r="G18" s="52">
        <v>493.4</v>
      </c>
      <c r="H18" s="66">
        <v>0.14089656432060527</v>
      </c>
      <c r="I18" s="3">
        <v>0.1409</v>
      </c>
    </row>
    <row r="19" spans="1:9" ht="12.95" customHeight="1">
      <c r="A19" s="31"/>
      <c r="B19" s="65" t="s">
        <v>363</v>
      </c>
      <c r="C19" s="19" t="s">
        <v>364</v>
      </c>
      <c r="D19" s="19" t="s">
        <v>15</v>
      </c>
      <c r="E19" s="50">
        <v>500000</v>
      </c>
      <c r="F19" s="51">
        <v>482.39499999999998</v>
      </c>
      <c r="G19" s="52">
        <v>482.4</v>
      </c>
      <c r="H19" s="66">
        <v>0.13775478599472307</v>
      </c>
      <c r="I19" s="3">
        <v>0.13780000000000001</v>
      </c>
    </row>
    <row r="20" spans="1:9" ht="12.95" customHeight="1">
      <c r="A20" s="31"/>
      <c r="B20" s="65" t="s">
        <v>365</v>
      </c>
      <c r="C20" s="19" t="s">
        <v>366</v>
      </c>
      <c r="D20" s="19" t="s">
        <v>15</v>
      </c>
      <c r="E20" s="50">
        <v>360000</v>
      </c>
      <c r="F20" s="51">
        <v>337.29876000000002</v>
      </c>
      <c r="G20" s="52">
        <v>337.3</v>
      </c>
      <c r="H20" s="66">
        <v>9.632048114115084E-2</v>
      </c>
      <c r="I20" s="3">
        <v>9.6299999999999997E-2</v>
      </c>
    </row>
    <row r="21" spans="1:9" ht="12.95" customHeight="1">
      <c r="A21" s="31"/>
      <c r="B21" s="65" t="s">
        <v>367</v>
      </c>
      <c r="C21" s="19" t="s">
        <v>368</v>
      </c>
      <c r="D21" s="19" t="s">
        <v>15</v>
      </c>
      <c r="E21" s="50">
        <v>320000</v>
      </c>
      <c r="F21" s="51">
        <v>311.69344000000001</v>
      </c>
      <c r="G21" s="52">
        <v>311.69</v>
      </c>
      <c r="H21" s="66">
        <v>8.90085160981334E-2</v>
      </c>
      <c r="I21" s="3">
        <v>8.8999999999999996E-2</v>
      </c>
    </row>
    <row r="22" spans="1:9" ht="12.95" customHeight="1">
      <c r="A22" s="31"/>
      <c r="B22" s="65" t="s">
        <v>36</v>
      </c>
      <c r="C22" s="19" t="s">
        <v>37</v>
      </c>
      <c r="D22" s="19" t="s">
        <v>15</v>
      </c>
      <c r="E22" s="50">
        <v>100000</v>
      </c>
      <c r="F22" s="51">
        <v>99.667665</v>
      </c>
      <c r="G22" s="52">
        <v>99.67</v>
      </c>
      <c r="H22" s="66">
        <v>2.8461526057833832E-2</v>
      </c>
      <c r="I22" s="3">
        <v>2.8500000000000001E-2</v>
      </c>
    </row>
    <row r="23" spans="1:9" ht="12.95" customHeight="1">
      <c r="A23" s="29"/>
      <c r="B23" s="63" t="s">
        <v>38</v>
      </c>
      <c r="C23" s="19" t="s">
        <v>1</v>
      </c>
      <c r="D23" s="19" t="s">
        <v>1</v>
      </c>
      <c r="E23" s="19" t="s">
        <v>1</v>
      </c>
      <c r="F23" s="20">
        <v>2550.3799739999999</v>
      </c>
      <c r="G23" s="53">
        <v>2550.39</v>
      </c>
      <c r="H23" s="67">
        <v>0.72829744819825537</v>
      </c>
      <c r="I23" s="41">
        <v>0.72840000000000005</v>
      </c>
    </row>
    <row r="24" spans="1:9" ht="12.95" customHeight="1">
      <c r="A24" s="29"/>
      <c r="B24" s="63" t="s">
        <v>39</v>
      </c>
      <c r="C24" s="19" t="s">
        <v>1</v>
      </c>
      <c r="D24" s="19" t="s">
        <v>1</v>
      </c>
      <c r="E24" s="19" t="s">
        <v>1</v>
      </c>
      <c r="F24" s="20">
        <v>2550.3799739999999</v>
      </c>
      <c r="G24" s="53">
        <v>2550.39</v>
      </c>
      <c r="H24" s="67">
        <v>0.72829744819825537</v>
      </c>
      <c r="I24" s="41">
        <v>0.72840000000000005</v>
      </c>
    </row>
    <row r="25" spans="1:9" ht="12.95" customHeight="1">
      <c r="A25" s="29"/>
      <c r="B25" s="63"/>
      <c r="C25" s="19"/>
      <c r="D25" s="19"/>
      <c r="E25" s="19"/>
      <c r="F25" s="20"/>
      <c r="G25" s="53"/>
      <c r="H25" s="67"/>
      <c r="I25" s="87"/>
    </row>
    <row r="26" spans="1:9" ht="12.95" customHeight="1">
      <c r="A26" s="29"/>
      <c r="B26" s="63" t="s">
        <v>40</v>
      </c>
      <c r="C26" s="19" t="s">
        <v>1</v>
      </c>
      <c r="D26" s="19" t="s">
        <v>1</v>
      </c>
      <c r="E26" s="19" t="s">
        <v>1</v>
      </c>
      <c r="F26" s="48" t="s">
        <v>1</v>
      </c>
      <c r="G26" s="49"/>
      <c r="H26" s="64" t="s">
        <v>1</v>
      </c>
      <c r="I26" s="12" t="s">
        <v>1</v>
      </c>
    </row>
    <row r="27" spans="1:9" ht="12.95" customHeight="1">
      <c r="A27" s="31"/>
      <c r="B27" s="65" t="s">
        <v>41</v>
      </c>
      <c r="C27" s="19" t="s">
        <v>1</v>
      </c>
      <c r="D27" s="19" t="s">
        <v>42</v>
      </c>
      <c r="E27" s="50"/>
      <c r="F27" s="51">
        <v>893.66349049999997</v>
      </c>
      <c r="G27" s="52">
        <v>893.66</v>
      </c>
      <c r="H27" s="66">
        <v>0.25519838075669266</v>
      </c>
      <c r="I27" s="3">
        <v>0.25519999999999998</v>
      </c>
    </row>
    <row r="28" spans="1:9" ht="12.95" customHeight="1">
      <c r="A28" s="29"/>
      <c r="B28" s="63" t="s">
        <v>38</v>
      </c>
      <c r="C28" s="19" t="s">
        <v>1</v>
      </c>
      <c r="D28" s="19" t="s">
        <v>1</v>
      </c>
      <c r="E28" s="19" t="s">
        <v>1</v>
      </c>
      <c r="F28" s="20">
        <v>893.66349049999997</v>
      </c>
      <c r="G28" s="53">
        <v>893.66</v>
      </c>
      <c r="H28" s="67">
        <v>0.25519838075669266</v>
      </c>
      <c r="I28" s="41">
        <v>0.25519999999999998</v>
      </c>
    </row>
    <row r="29" spans="1:9" ht="12.95" customHeight="1">
      <c r="A29" s="29"/>
      <c r="B29" s="63"/>
      <c r="C29" s="19"/>
      <c r="D29" s="19"/>
      <c r="E29" s="19"/>
      <c r="F29" s="20"/>
      <c r="G29" s="53"/>
      <c r="H29" s="67"/>
      <c r="I29" s="41"/>
    </row>
    <row r="30" spans="1:9" ht="12.95" customHeight="1">
      <c r="A30" s="29"/>
      <c r="B30" s="63" t="s">
        <v>280</v>
      </c>
      <c r="C30" s="19"/>
      <c r="D30" s="19"/>
      <c r="E30" s="19"/>
      <c r="F30" s="20"/>
      <c r="G30" s="53"/>
      <c r="H30" s="67"/>
      <c r="I30" s="41"/>
    </row>
    <row r="31" spans="1:9" ht="12" customHeight="1">
      <c r="A31" s="29"/>
      <c r="B31" s="149" t="s">
        <v>43</v>
      </c>
      <c r="C31" s="19" t="s">
        <v>1</v>
      </c>
      <c r="D31" s="19" t="s">
        <v>1</v>
      </c>
      <c r="E31" s="19" t="s">
        <v>1</v>
      </c>
      <c r="F31" s="22">
        <v>57.794939999999997</v>
      </c>
      <c r="G31" s="78">
        <v>57.79</v>
      </c>
      <c r="H31" s="68">
        <v>1.6504171045051974E-2</v>
      </c>
      <c r="I31" s="41">
        <v>1.6400000000000001E-2</v>
      </c>
    </row>
    <row r="32" spans="1:9" ht="12" customHeight="1">
      <c r="A32" s="29"/>
      <c r="B32" s="88" t="s">
        <v>38</v>
      </c>
      <c r="C32" s="25"/>
      <c r="D32" s="25"/>
      <c r="E32" s="25"/>
      <c r="F32" s="20">
        <v>57.794939999999997</v>
      </c>
      <c r="G32" s="53">
        <v>57.79</v>
      </c>
      <c r="H32" s="67">
        <v>1.6504171045051974E-2</v>
      </c>
      <c r="I32" s="74"/>
    </row>
    <row r="33" spans="1:9" ht="12" customHeight="1" thickBot="1">
      <c r="A33" s="29"/>
      <c r="B33" s="94" t="s">
        <v>39</v>
      </c>
      <c r="C33" s="25"/>
      <c r="D33" s="25"/>
      <c r="E33" s="25"/>
      <c r="F33" s="26">
        <f>F28+F32</f>
        <v>951.45843049999996</v>
      </c>
      <c r="G33" s="26">
        <f t="shared" ref="G33:H33" si="0">G28+G32</f>
        <v>951.44999999999993</v>
      </c>
      <c r="H33" s="77">
        <f t="shared" si="0"/>
        <v>0.27170255180174463</v>
      </c>
      <c r="I33" s="74"/>
    </row>
    <row r="34" spans="1:9" ht="12.95" customHeight="1" thickBot="1">
      <c r="A34" s="29"/>
      <c r="B34" s="115" t="s">
        <v>44</v>
      </c>
      <c r="C34" s="116" t="s">
        <v>1</v>
      </c>
      <c r="D34" s="116" t="s">
        <v>1</v>
      </c>
      <c r="E34" s="116" t="s">
        <v>1</v>
      </c>
      <c r="F34" s="117">
        <v>3501.8384044999998</v>
      </c>
      <c r="G34" s="118">
        <v>3501.84</v>
      </c>
      <c r="H34" s="119">
        <v>1</v>
      </c>
      <c r="I34" s="44">
        <v>1</v>
      </c>
    </row>
    <row r="35" spans="1:9" s="32" customFormat="1" ht="12.95" customHeight="1">
      <c r="A35" s="29"/>
      <c r="B35" s="30" t="s">
        <v>1</v>
      </c>
      <c r="C35" s="29"/>
      <c r="D35" s="29"/>
      <c r="E35" s="29"/>
      <c r="F35" s="34"/>
      <c r="G35" s="29"/>
      <c r="H35" s="35"/>
      <c r="I35" s="29"/>
    </row>
    <row r="36" spans="1:9" s="32" customFormat="1" ht="12.95" customHeight="1">
      <c r="A36" s="29"/>
      <c r="B36" s="36" t="s">
        <v>42</v>
      </c>
      <c r="C36" s="29"/>
      <c r="D36" s="29"/>
      <c r="E36" s="29"/>
      <c r="F36" s="34"/>
      <c r="G36" s="29"/>
      <c r="H36" s="35"/>
      <c r="I36" s="29"/>
    </row>
    <row r="37" spans="1:9" s="32" customFormat="1" ht="12.95" customHeight="1">
      <c r="A37" s="29"/>
      <c r="B37" s="80" t="s">
        <v>45</v>
      </c>
      <c r="C37" s="81"/>
      <c r="D37" s="29"/>
      <c r="E37" s="29"/>
      <c r="F37" s="34"/>
      <c r="G37" s="29"/>
      <c r="H37" s="35"/>
      <c r="I37" s="29"/>
    </row>
    <row r="38" spans="1:9" s="32" customFormat="1" ht="12.95" customHeight="1">
      <c r="A38" s="29"/>
      <c r="B38" s="80" t="s">
        <v>46</v>
      </c>
      <c r="C38" s="81"/>
      <c r="D38" s="29"/>
      <c r="E38" s="29"/>
      <c r="F38" s="34"/>
      <c r="G38" s="29"/>
      <c r="H38" s="35"/>
      <c r="I38" s="29"/>
    </row>
    <row r="39" spans="1:9" s="32" customFormat="1" ht="12.95" customHeight="1" thickBot="1">
      <c r="A39" s="29"/>
      <c r="B39" s="80" t="s">
        <v>1</v>
      </c>
      <c r="C39" s="81"/>
      <c r="D39" s="29"/>
      <c r="E39" s="29"/>
      <c r="F39" s="34"/>
      <c r="G39" s="29"/>
      <c r="H39" s="35"/>
      <c r="I39" s="29"/>
    </row>
    <row r="40" spans="1:9" s="32" customFormat="1" ht="12.95" customHeight="1" thickBot="1">
      <c r="A40" s="29"/>
      <c r="B40" s="142" t="s">
        <v>392</v>
      </c>
      <c r="C40" s="143" t="s">
        <v>397</v>
      </c>
      <c r="D40" s="29"/>
      <c r="E40" s="29"/>
      <c r="F40" s="34"/>
      <c r="G40" s="29"/>
      <c r="H40" s="35"/>
      <c r="I40" s="29"/>
    </row>
    <row r="41" spans="1:9" s="32" customFormat="1">
      <c r="F41" s="37"/>
      <c r="H41" s="38"/>
    </row>
    <row r="42" spans="1:9" s="32" customFormat="1">
      <c r="F42" s="37"/>
      <c r="H42" s="38"/>
    </row>
    <row r="43" spans="1:9" s="32" customFormat="1">
      <c r="F43" s="37"/>
      <c r="H43" s="38"/>
    </row>
    <row r="44" spans="1:9" s="32" customFormat="1">
      <c r="F44" s="37"/>
      <c r="H44" s="38"/>
    </row>
    <row r="45" spans="1:9" s="32" customFormat="1">
      <c r="F45" s="37"/>
      <c r="H45" s="38"/>
    </row>
    <row r="46" spans="1:9" s="32" customFormat="1">
      <c r="F46" s="37"/>
      <c r="H46" s="38"/>
    </row>
    <row r="47" spans="1:9" s="32" customFormat="1">
      <c r="F47" s="37"/>
      <c r="H47" s="38"/>
    </row>
    <row r="48" spans="1:9" s="32" customFormat="1">
      <c r="F48" s="37"/>
      <c r="H48" s="38"/>
    </row>
    <row r="49" spans="6:8" s="32" customFormat="1">
      <c r="F49" s="37"/>
      <c r="H49" s="38"/>
    </row>
    <row r="50" spans="6:8" s="32" customFormat="1">
      <c r="F50" s="37"/>
      <c r="H50" s="38"/>
    </row>
    <row r="51" spans="6:8" s="32" customFormat="1">
      <c r="F51" s="37"/>
      <c r="H51" s="38"/>
    </row>
    <row r="52" spans="6:8" s="32" customFormat="1">
      <c r="F52" s="37"/>
      <c r="H52" s="38"/>
    </row>
    <row r="53" spans="6:8" s="32" customFormat="1">
      <c r="F53" s="37"/>
      <c r="H53" s="38"/>
    </row>
    <row r="54" spans="6:8" s="32" customFormat="1">
      <c r="F54" s="37"/>
      <c r="H54" s="38"/>
    </row>
    <row r="55" spans="6:8" s="32" customFormat="1">
      <c r="F55" s="37"/>
      <c r="H55" s="38"/>
    </row>
    <row r="56" spans="6:8" s="32" customFormat="1">
      <c r="F56" s="37"/>
      <c r="H56" s="38"/>
    </row>
    <row r="57" spans="6:8" s="32" customFormat="1">
      <c r="F57" s="37"/>
      <c r="H57" s="38"/>
    </row>
    <row r="58" spans="6:8" s="32" customFormat="1">
      <c r="F58" s="37"/>
      <c r="H58" s="38"/>
    </row>
    <row r="59" spans="6:8" s="32" customFormat="1">
      <c r="F59" s="37"/>
      <c r="H59" s="38"/>
    </row>
    <row r="60" spans="6:8" s="32" customFormat="1">
      <c r="F60" s="37"/>
      <c r="H60" s="38"/>
    </row>
    <row r="61" spans="6:8" s="32" customFormat="1">
      <c r="F61" s="37"/>
      <c r="H61" s="38"/>
    </row>
    <row r="62" spans="6:8" s="32" customFormat="1">
      <c r="F62" s="37"/>
      <c r="H62" s="38"/>
    </row>
    <row r="63" spans="6:8" s="32" customFormat="1">
      <c r="F63" s="37"/>
      <c r="H63" s="38"/>
    </row>
    <row r="64" spans="6:8" s="32" customFormat="1">
      <c r="F64" s="37"/>
      <c r="H64" s="38"/>
    </row>
    <row r="65" spans="6:8" s="32" customFormat="1">
      <c r="F65" s="37"/>
      <c r="H65" s="38"/>
    </row>
    <row r="66" spans="6:8" s="32" customFormat="1">
      <c r="F66" s="37"/>
      <c r="H66" s="38"/>
    </row>
    <row r="67" spans="6:8" s="32" customFormat="1">
      <c r="F67" s="37"/>
      <c r="H67" s="38"/>
    </row>
    <row r="68" spans="6:8" s="32" customFormat="1">
      <c r="F68" s="37"/>
      <c r="H68" s="38"/>
    </row>
    <row r="69" spans="6:8" s="32" customFormat="1">
      <c r="F69" s="37"/>
      <c r="H69" s="38"/>
    </row>
    <row r="70" spans="6:8" s="32" customFormat="1">
      <c r="F70" s="37"/>
      <c r="H70" s="38"/>
    </row>
    <row r="71" spans="6:8" s="32" customFormat="1">
      <c r="F71" s="37"/>
      <c r="H71" s="38"/>
    </row>
    <row r="72" spans="6:8" s="32" customFormat="1">
      <c r="F72" s="37"/>
      <c r="H72" s="38"/>
    </row>
    <row r="73" spans="6:8" s="32" customFormat="1">
      <c r="F73" s="37"/>
      <c r="H73" s="38"/>
    </row>
    <row r="74" spans="6:8" s="32" customFormat="1">
      <c r="F74" s="37"/>
      <c r="H74" s="38"/>
    </row>
    <row r="75" spans="6:8" s="32" customFormat="1">
      <c r="F75" s="37"/>
      <c r="H75" s="38"/>
    </row>
    <row r="76" spans="6:8" s="32" customFormat="1">
      <c r="F76" s="37"/>
      <c r="H76" s="38"/>
    </row>
    <row r="77" spans="6:8" s="32" customFormat="1">
      <c r="F77" s="37"/>
      <c r="H77" s="38"/>
    </row>
    <row r="78" spans="6:8" s="32" customFormat="1">
      <c r="F78" s="37"/>
      <c r="H78" s="38"/>
    </row>
    <row r="79" spans="6:8" s="32" customFormat="1">
      <c r="F79" s="37"/>
      <c r="H79" s="38"/>
    </row>
    <row r="80" spans="6:8" s="32" customFormat="1">
      <c r="F80" s="37"/>
      <c r="H80" s="38"/>
    </row>
    <row r="81" spans="6:8" s="32" customFormat="1">
      <c r="F81" s="37"/>
      <c r="H81" s="38"/>
    </row>
    <row r="82" spans="6:8" s="32" customFormat="1">
      <c r="F82" s="37"/>
      <c r="H82" s="38"/>
    </row>
    <row r="83" spans="6:8" s="32" customFormat="1">
      <c r="F83" s="37"/>
      <c r="H83" s="38"/>
    </row>
    <row r="84" spans="6:8" s="32" customFormat="1">
      <c r="F84" s="37"/>
      <c r="H84" s="38"/>
    </row>
    <row r="85" spans="6:8" s="32" customFormat="1">
      <c r="F85" s="37"/>
      <c r="H85" s="38"/>
    </row>
    <row r="86" spans="6:8" s="32" customFormat="1">
      <c r="F86" s="37"/>
      <c r="H86" s="38"/>
    </row>
    <row r="87" spans="6:8" s="32" customFormat="1">
      <c r="F87" s="37"/>
      <c r="H87" s="38"/>
    </row>
    <row r="88" spans="6:8" s="32" customFormat="1">
      <c r="F88" s="37"/>
      <c r="H88" s="38"/>
    </row>
    <row r="89" spans="6:8" s="32" customFormat="1">
      <c r="F89" s="37"/>
      <c r="H89" s="38"/>
    </row>
    <row r="90" spans="6:8" s="32" customFormat="1">
      <c r="F90" s="37"/>
      <c r="H90" s="38"/>
    </row>
    <row r="91" spans="6:8" s="32" customFormat="1">
      <c r="F91" s="37"/>
      <c r="H91" s="38"/>
    </row>
    <row r="92" spans="6:8" s="32" customFormat="1">
      <c r="F92" s="37"/>
      <c r="H92" s="38"/>
    </row>
    <row r="93" spans="6:8" s="32" customFormat="1">
      <c r="F93" s="37"/>
      <c r="H93" s="38"/>
    </row>
    <row r="94" spans="6:8" s="32" customFormat="1">
      <c r="F94" s="37"/>
      <c r="H94" s="38"/>
    </row>
    <row r="95" spans="6:8" s="32" customFormat="1">
      <c r="F95" s="37"/>
      <c r="H95" s="38"/>
    </row>
    <row r="96" spans="6:8" s="32" customFormat="1">
      <c r="F96" s="37"/>
      <c r="H96" s="38"/>
    </row>
    <row r="97" spans="6:8" s="32" customFormat="1">
      <c r="F97" s="37"/>
      <c r="H97" s="38"/>
    </row>
    <row r="98" spans="6:8" s="32" customFormat="1">
      <c r="F98" s="37"/>
      <c r="H98" s="38"/>
    </row>
    <row r="99" spans="6:8" s="32" customFormat="1">
      <c r="F99" s="37"/>
      <c r="H99" s="38"/>
    </row>
    <row r="100" spans="6:8" s="32" customFormat="1">
      <c r="F100" s="37"/>
      <c r="H100" s="38"/>
    </row>
    <row r="101" spans="6:8" s="32" customFormat="1">
      <c r="F101" s="37"/>
      <c r="H101" s="38"/>
    </row>
    <row r="102" spans="6:8" s="32" customFormat="1">
      <c r="F102" s="37"/>
      <c r="H102" s="38"/>
    </row>
    <row r="103" spans="6:8" s="32" customFormat="1">
      <c r="F103" s="37"/>
      <c r="H103" s="38"/>
    </row>
    <row r="104" spans="6:8" s="32" customFormat="1">
      <c r="F104" s="37"/>
      <c r="H104" s="38"/>
    </row>
    <row r="105" spans="6:8" s="32" customFormat="1">
      <c r="F105" s="37"/>
      <c r="H105" s="38"/>
    </row>
    <row r="106" spans="6:8" s="32" customFormat="1">
      <c r="F106" s="37"/>
      <c r="H106" s="38"/>
    </row>
    <row r="107" spans="6:8" s="32" customFormat="1">
      <c r="F107" s="37"/>
      <c r="H107" s="38"/>
    </row>
    <row r="108" spans="6:8" s="32" customFormat="1">
      <c r="F108" s="37"/>
      <c r="H108" s="38"/>
    </row>
    <row r="109" spans="6:8" s="32" customFormat="1">
      <c r="F109" s="37"/>
      <c r="H109" s="38"/>
    </row>
    <row r="110" spans="6:8" s="32" customFormat="1">
      <c r="F110" s="37"/>
      <c r="H110" s="38"/>
    </row>
    <row r="111" spans="6:8" s="32" customFormat="1">
      <c r="F111" s="37"/>
      <c r="H111" s="38"/>
    </row>
    <row r="112" spans="6:8" s="32" customFormat="1">
      <c r="F112" s="37"/>
      <c r="H112" s="38"/>
    </row>
    <row r="113" spans="6:8" s="32" customFormat="1">
      <c r="F113" s="37"/>
      <c r="H113" s="38"/>
    </row>
    <row r="114" spans="6:8" s="32" customFormat="1">
      <c r="F114" s="37"/>
      <c r="H114" s="38"/>
    </row>
    <row r="115" spans="6:8" s="32" customFormat="1">
      <c r="F115" s="37"/>
      <c r="H115" s="38"/>
    </row>
    <row r="116" spans="6:8" s="32" customFormat="1">
      <c r="F116" s="37"/>
      <c r="H116" s="38"/>
    </row>
    <row r="117" spans="6:8" s="32" customFormat="1">
      <c r="F117" s="37"/>
      <c r="H117" s="38"/>
    </row>
    <row r="118" spans="6:8" s="32" customFormat="1">
      <c r="F118" s="37"/>
      <c r="H118" s="38"/>
    </row>
    <row r="119" spans="6:8" s="32" customFormat="1">
      <c r="F119" s="37"/>
      <c r="H119" s="38"/>
    </row>
    <row r="120" spans="6:8" s="32" customFormat="1">
      <c r="F120" s="37"/>
      <c r="H120" s="38"/>
    </row>
    <row r="121" spans="6:8" s="32" customFormat="1">
      <c r="F121" s="37"/>
      <c r="H121" s="38"/>
    </row>
    <row r="122" spans="6:8" s="32" customFormat="1">
      <c r="F122" s="37"/>
      <c r="H122" s="38"/>
    </row>
    <row r="123" spans="6:8" s="32" customFormat="1">
      <c r="F123" s="37"/>
      <c r="H123" s="38"/>
    </row>
    <row r="124" spans="6:8" s="32" customFormat="1">
      <c r="F124" s="37"/>
      <c r="H124" s="38"/>
    </row>
    <row r="125" spans="6:8" s="32" customFormat="1">
      <c r="F125" s="37"/>
      <c r="H125" s="38"/>
    </row>
    <row r="126" spans="6:8" s="32" customFormat="1">
      <c r="F126" s="37"/>
      <c r="H126" s="38"/>
    </row>
    <row r="127" spans="6:8" s="32" customFormat="1">
      <c r="F127" s="37"/>
      <c r="H127" s="38"/>
    </row>
    <row r="128" spans="6:8" s="32" customFormat="1">
      <c r="F128" s="37"/>
      <c r="H128" s="38"/>
    </row>
    <row r="129" spans="6:8" s="32" customFormat="1">
      <c r="F129" s="37"/>
      <c r="H129" s="38"/>
    </row>
    <row r="130" spans="6:8" s="32" customFormat="1">
      <c r="F130" s="37"/>
      <c r="H130" s="38"/>
    </row>
    <row r="131" spans="6:8" s="32" customFormat="1">
      <c r="F131" s="37"/>
      <c r="H131" s="38"/>
    </row>
    <row r="132" spans="6:8" s="32" customFormat="1">
      <c r="F132" s="37"/>
      <c r="H132" s="38"/>
    </row>
    <row r="133" spans="6:8" s="32" customFormat="1">
      <c r="F133" s="37"/>
      <c r="H133" s="38"/>
    </row>
    <row r="134" spans="6:8" s="32" customFormat="1">
      <c r="F134" s="37"/>
      <c r="H134" s="38"/>
    </row>
    <row r="135" spans="6:8" s="32" customFormat="1">
      <c r="F135" s="37"/>
      <c r="H135" s="38"/>
    </row>
    <row r="136" spans="6:8" s="32" customFormat="1">
      <c r="F136" s="37"/>
      <c r="H136" s="38"/>
    </row>
    <row r="137" spans="6:8" s="32" customFormat="1">
      <c r="F137" s="37"/>
      <c r="H137" s="38"/>
    </row>
    <row r="138" spans="6:8" s="32" customFormat="1">
      <c r="F138" s="37"/>
      <c r="H138" s="38"/>
    </row>
    <row r="139" spans="6:8" s="32" customFormat="1">
      <c r="F139" s="37"/>
      <c r="H139" s="38"/>
    </row>
    <row r="140" spans="6:8" s="32" customFormat="1">
      <c r="F140" s="37"/>
      <c r="H140" s="38"/>
    </row>
    <row r="141" spans="6:8" s="32" customFormat="1">
      <c r="F141" s="37"/>
      <c r="H141" s="38"/>
    </row>
    <row r="142" spans="6:8" s="32" customFormat="1">
      <c r="F142" s="37"/>
      <c r="H142" s="38"/>
    </row>
    <row r="143" spans="6:8" s="32" customFormat="1">
      <c r="F143" s="37"/>
      <c r="H143" s="38"/>
    </row>
    <row r="144" spans="6:8" s="32" customFormat="1">
      <c r="F144" s="37"/>
      <c r="H144" s="38"/>
    </row>
    <row r="145" spans="6:8" s="32" customFormat="1">
      <c r="F145" s="37"/>
      <c r="H145" s="38"/>
    </row>
    <row r="146" spans="6:8" s="32" customFormat="1">
      <c r="F146" s="37"/>
      <c r="H146" s="38"/>
    </row>
    <row r="147" spans="6:8" s="32" customFormat="1">
      <c r="F147" s="37"/>
      <c r="H147" s="38"/>
    </row>
    <row r="148" spans="6:8" s="32" customFormat="1">
      <c r="F148" s="37"/>
      <c r="H148" s="38"/>
    </row>
    <row r="149" spans="6:8" s="32" customFormat="1">
      <c r="F149" s="37"/>
      <c r="H149" s="38"/>
    </row>
    <row r="150" spans="6:8" s="32" customFormat="1">
      <c r="F150" s="37"/>
      <c r="H150" s="38"/>
    </row>
    <row r="151" spans="6:8" s="32" customFormat="1">
      <c r="F151" s="37"/>
      <c r="H151" s="38"/>
    </row>
    <row r="152" spans="6:8" s="32" customFormat="1">
      <c r="F152" s="37"/>
      <c r="H152" s="38"/>
    </row>
    <row r="153" spans="6:8" s="32" customFormat="1">
      <c r="F153" s="37"/>
      <c r="H153" s="38"/>
    </row>
    <row r="154" spans="6:8" s="32" customFormat="1">
      <c r="F154" s="37"/>
      <c r="H154" s="38"/>
    </row>
    <row r="155" spans="6:8" s="32" customFormat="1">
      <c r="F155" s="37"/>
      <c r="H155" s="38"/>
    </row>
    <row r="156" spans="6:8" s="32" customFormat="1">
      <c r="F156" s="37"/>
      <c r="H156" s="38"/>
    </row>
    <row r="157" spans="6:8" s="32" customFormat="1">
      <c r="F157" s="37"/>
      <c r="H157" s="38"/>
    </row>
    <row r="158" spans="6:8" s="32" customFormat="1">
      <c r="F158" s="37"/>
      <c r="H158" s="38"/>
    </row>
    <row r="159" spans="6:8" s="32" customFormat="1">
      <c r="F159" s="37"/>
      <c r="H159" s="38"/>
    </row>
    <row r="160" spans="6:8" s="32" customFormat="1">
      <c r="F160" s="37"/>
      <c r="H160" s="38"/>
    </row>
    <row r="161" spans="6:8" s="32" customFormat="1">
      <c r="F161" s="37"/>
      <c r="H161" s="38"/>
    </row>
    <row r="162" spans="6:8" s="32" customFormat="1">
      <c r="F162" s="37"/>
      <c r="H162" s="38"/>
    </row>
    <row r="163" spans="6:8" s="32" customFormat="1">
      <c r="F163" s="37"/>
      <c r="H163" s="38"/>
    </row>
    <row r="164" spans="6:8" s="32" customFormat="1">
      <c r="F164" s="37"/>
      <c r="H164" s="38"/>
    </row>
    <row r="165" spans="6:8" s="32" customFormat="1">
      <c r="F165" s="37"/>
      <c r="H165" s="38"/>
    </row>
    <row r="166" spans="6:8" s="32" customFormat="1">
      <c r="F166" s="37"/>
      <c r="H166" s="38"/>
    </row>
    <row r="167" spans="6:8" s="32" customFormat="1">
      <c r="F167" s="37"/>
      <c r="H167" s="38"/>
    </row>
    <row r="168" spans="6:8" s="32" customFormat="1">
      <c r="F168" s="37"/>
      <c r="H168" s="38"/>
    </row>
    <row r="169" spans="6:8" s="32" customFormat="1">
      <c r="F169" s="37"/>
      <c r="H169" s="38"/>
    </row>
    <row r="170" spans="6:8" s="32" customFormat="1">
      <c r="F170" s="37"/>
      <c r="H170" s="38"/>
    </row>
    <row r="171" spans="6:8" s="32" customFormat="1">
      <c r="F171" s="37"/>
      <c r="H171" s="38"/>
    </row>
    <row r="172" spans="6:8" s="32" customFormat="1">
      <c r="F172" s="37"/>
      <c r="H172" s="38"/>
    </row>
    <row r="173" spans="6:8" s="32" customFormat="1">
      <c r="F173" s="37"/>
      <c r="H173" s="38"/>
    </row>
    <row r="174" spans="6:8" s="32" customFormat="1">
      <c r="F174" s="37"/>
      <c r="H174" s="38"/>
    </row>
    <row r="175" spans="6:8" s="32" customFormat="1">
      <c r="F175" s="37"/>
      <c r="H175" s="38"/>
    </row>
    <row r="176" spans="6:8" s="32" customFormat="1">
      <c r="F176" s="37"/>
      <c r="H176" s="38"/>
    </row>
    <row r="177" spans="6:8" s="32" customFormat="1">
      <c r="F177" s="37"/>
      <c r="H177" s="38"/>
    </row>
    <row r="178" spans="6:8" s="32" customFormat="1">
      <c r="F178" s="37"/>
      <c r="H178" s="38"/>
    </row>
    <row r="179" spans="6:8" s="32" customFormat="1">
      <c r="F179" s="37"/>
      <c r="H179" s="38"/>
    </row>
    <row r="180" spans="6:8" s="32" customFormat="1">
      <c r="F180" s="37"/>
      <c r="H180" s="38"/>
    </row>
    <row r="181" spans="6:8" s="32" customFormat="1">
      <c r="F181" s="37"/>
      <c r="H181" s="38"/>
    </row>
    <row r="182" spans="6:8" s="32" customFormat="1">
      <c r="F182" s="37"/>
      <c r="H182" s="38"/>
    </row>
    <row r="183" spans="6:8" s="32" customFormat="1">
      <c r="F183" s="37"/>
      <c r="H183" s="38"/>
    </row>
    <row r="184" spans="6:8" s="32" customFormat="1">
      <c r="F184" s="37"/>
      <c r="H184" s="38"/>
    </row>
    <row r="185" spans="6:8" s="32" customFormat="1">
      <c r="F185" s="37"/>
      <c r="H185" s="38"/>
    </row>
    <row r="186" spans="6:8" s="32" customFormat="1">
      <c r="F186" s="37"/>
      <c r="H186" s="38"/>
    </row>
    <row r="187" spans="6:8" s="32" customFormat="1">
      <c r="F187" s="37"/>
      <c r="H187" s="38"/>
    </row>
    <row r="188" spans="6:8" s="32" customFormat="1">
      <c r="F188" s="37"/>
      <c r="H188" s="38"/>
    </row>
    <row r="189" spans="6:8" s="32" customFormat="1">
      <c r="F189" s="37"/>
      <c r="H189" s="38"/>
    </row>
    <row r="190" spans="6:8" s="32" customFormat="1">
      <c r="F190" s="37"/>
      <c r="H190" s="38"/>
    </row>
    <row r="191" spans="6:8" s="32" customFormat="1">
      <c r="F191" s="37"/>
      <c r="H191" s="38"/>
    </row>
    <row r="192" spans="6:8" s="32" customFormat="1">
      <c r="F192" s="37"/>
      <c r="H192" s="38"/>
    </row>
    <row r="193" spans="6:8" s="32" customFormat="1">
      <c r="F193" s="37"/>
      <c r="H193" s="38"/>
    </row>
    <row r="194" spans="6:8" s="32" customFormat="1">
      <c r="F194" s="37"/>
      <c r="H194" s="38"/>
    </row>
    <row r="195" spans="6:8" s="32" customFormat="1">
      <c r="F195" s="37"/>
      <c r="H195" s="38"/>
    </row>
    <row r="196" spans="6:8" s="32" customFormat="1">
      <c r="F196" s="37"/>
      <c r="H196" s="38"/>
    </row>
    <row r="197" spans="6:8" s="32" customFormat="1">
      <c r="F197" s="37"/>
      <c r="H197" s="38"/>
    </row>
    <row r="198" spans="6:8" s="32" customFormat="1">
      <c r="F198" s="37"/>
      <c r="H198" s="38"/>
    </row>
    <row r="199" spans="6:8" s="32" customFormat="1">
      <c r="F199" s="37"/>
      <c r="H199" s="38"/>
    </row>
    <row r="200" spans="6:8" s="32" customFormat="1">
      <c r="F200" s="37"/>
      <c r="H200" s="38"/>
    </row>
    <row r="201" spans="6:8" s="32" customFormat="1">
      <c r="F201" s="37"/>
      <c r="H201" s="38"/>
    </row>
    <row r="202" spans="6:8" s="32" customFormat="1">
      <c r="F202" s="37"/>
      <c r="H202" s="38"/>
    </row>
    <row r="203" spans="6:8" s="32" customFormat="1">
      <c r="F203" s="37"/>
      <c r="H203" s="38"/>
    </row>
    <row r="204" spans="6:8" s="32" customFormat="1">
      <c r="F204" s="37"/>
      <c r="H204" s="38"/>
    </row>
    <row r="205" spans="6:8" s="32" customFormat="1">
      <c r="F205" s="37"/>
      <c r="H205" s="38"/>
    </row>
    <row r="206" spans="6:8" s="32" customFormat="1">
      <c r="F206" s="37"/>
      <c r="H206" s="38"/>
    </row>
    <row r="207" spans="6:8" s="32" customFormat="1">
      <c r="F207" s="37"/>
      <c r="H207" s="38"/>
    </row>
    <row r="208" spans="6:8" s="32" customFormat="1">
      <c r="F208" s="37"/>
      <c r="H208" s="38"/>
    </row>
    <row r="209" spans="6:8" s="32" customFormat="1">
      <c r="F209" s="37"/>
      <c r="H209" s="38"/>
    </row>
    <row r="210" spans="6:8" s="32" customFormat="1">
      <c r="F210" s="37"/>
      <c r="H210" s="38"/>
    </row>
    <row r="211" spans="6:8" s="32" customFormat="1">
      <c r="F211" s="37"/>
      <c r="H211" s="38"/>
    </row>
    <row r="212" spans="6:8" s="32" customFormat="1">
      <c r="F212" s="37"/>
      <c r="H212" s="38"/>
    </row>
    <row r="213" spans="6:8" s="32" customFormat="1">
      <c r="F213" s="37"/>
      <c r="H213" s="38"/>
    </row>
    <row r="214" spans="6:8" s="32" customFormat="1">
      <c r="F214" s="37"/>
      <c r="H214" s="38"/>
    </row>
    <row r="215" spans="6:8" s="32" customFormat="1">
      <c r="F215" s="37"/>
      <c r="H215" s="38"/>
    </row>
    <row r="216" spans="6:8" s="32" customFormat="1">
      <c r="F216" s="37"/>
      <c r="H216" s="38"/>
    </row>
    <row r="217" spans="6:8" s="32" customFormat="1">
      <c r="F217" s="37"/>
      <c r="H217" s="38"/>
    </row>
    <row r="218" spans="6:8" s="32" customFormat="1">
      <c r="F218" s="37"/>
      <c r="H218" s="38"/>
    </row>
    <row r="219" spans="6:8" s="32" customFormat="1">
      <c r="F219" s="37"/>
      <c r="H219" s="38"/>
    </row>
    <row r="220" spans="6:8" s="32" customFormat="1">
      <c r="F220" s="37"/>
      <c r="H220" s="38"/>
    </row>
    <row r="221" spans="6:8" s="32" customFormat="1">
      <c r="F221" s="37"/>
      <c r="H221" s="38"/>
    </row>
    <row r="222" spans="6:8" s="32" customFormat="1">
      <c r="F222" s="37"/>
      <c r="H222" s="38"/>
    </row>
    <row r="223" spans="6:8" s="32" customFormat="1">
      <c r="F223" s="37"/>
      <c r="H223" s="38"/>
    </row>
    <row r="224" spans="6:8" s="32" customFormat="1">
      <c r="F224" s="37"/>
      <c r="H224" s="38"/>
    </row>
    <row r="225" spans="6:8" s="32" customFormat="1">
      <c r="F225" s="37"/>
      <c r="H225" s="38"/>
    </row>
    <row r="226" spans="6:8" s="32" customFormat="1">
      <c r="F226" s="37"/>
      <c r="H226" s="38"/>
    </row>
    <row r="227" spans="6:8" s="32" customFormat="1">
      <c r="F227" s="37"/>
      <c r="H227" s="38"/>
    </row>
    <row r="228" spans="6:8" s="32" customFormat="1">
      <c r="F228" s="37"/>
      <c r="H228" s="38"/>
    </row>
    <row r="229" spans="6:8" s="32" customFormat="1">
      <c r="F229" s="37"/>
      <c r="H229" s="38"/>
    </row>
    <row r="230" spans="6:8" s="32" customFormat="1">
      <c r="F230" s="37"/>
      <c r="H230" s="38"/>
    </row>
    <row r="231" spans="6:8" s="32" customFormat="1">
      <c r="F231" s="37"/>
      <c r="H231" s="38"/>
    </row>
    <row r="232" spans="6:8" s="32" customFormat="1">
      <c r="F232" s="37"/>
      <c r="H232" s="38"/>
    </row>
    <row r="233" spans="6:8" s="32" customFormat="1">
      <c r="F233" s="37"/>
      <c r="H233" s="38"/>
    </row>
    <row r="234" spans="6:8" s="32" customFormat="1">
      <c r="F234" s="37"/>
      <c r="H234" s="38"/>
    </row>
    <row r="235" spans="6:8" s="32" customFormat="1">
      <c r="F235" s="37"/>
      <c r="H235" s="38"/>
    </row>
    <row r="236" spans="6:8" s="32" customFormat="1">
      <c r="F236" s="37"/>
      <c r="H236" s="38"/>
    </row>
    <row r="237" spans="6:8" s="32" customFormat="1">
      <c r="F237" s="37"/>
      <c r="H237" s="38"/>
    </row>
    <row r="238" spans="6:8" s="32" customFormat="1">
      <c r="F238" s="37"/>
      <c r="H238" s="38"/>
    </row>
    <row r="239" spans="6:8" s="32" customFormat="1">
      <c r="F239" s="37"/>
      <c r="H239" s="38"/>
    </row>
    <row r="240" spans="6:8" s="32" customFormat="1">
      <c r="F240" s="37"/>
      <c r="H240" s="38"/>
    </row>
    <row r="241" spans="6:8" s="32" customFormat="1">
      <c r="F241" s="37"/>
      <c r="H241" s="38"/>
    </row>
    <row r="242" spans="6:8" s="32" customFormat="1">
      <c r="F242" s="37"/>
      <c r="H242" s="38"/>
    </row>
    <row r="243" spans="6:8" s="32" customFormat="1">
      <c r="F243" s="37"/>
      <c r="H243" s="38"/>
    </row>
    <row r="244" spans="6:8" s="32" customFormat="1">
      <c r="F244" s="37"/>
      <c r="H244" s="38"/>
    </row>
    <row r="245" spans="6:8" s="32" customFormat="1">
      <c r="F245" s="37"/>
      <c r="H245" s="38"/>
    </row>
    <row r="246" spans="6:8" s="32" customFormat="1">
      <c r="F246" s="37"/>
      <c r="H246" s="38"/>
    </row>
    <row r="247" spans="6:8" s="32" customFormat="1">
      <c r="F247" s="37"/>
      <c r="H247" s="38"/>
    </row>
    <row r="248" spans="6:8" s="32" customFormat="1">
      <c r="F248" s="37"/>
      <c r="H248" s="38"/>
    </row>
    <row r="249" spans="6:8" s="32" customFormat="1">
      <c r="F249" s="37"/>
      <c r="H249" s="38"/>
    </row>
    <row r="250" spans="6:8" s="32" customFormat="1">
      <c r="F250" s="37"/>
      <c r="H250" s="38"/>
    </row>
    <row r="251" spans="6:8" s="32" customFormat="1">
      <c r="F251" s="37"/>
      <c r="H251" s="38"/>
    </row>
    <row r="252" spans="6:8" s="32" customFormat="1">
      <c r="F252" s="37"/>
      <c r="H252" s="38"/>
    </row>
    <row r="253" spans="6:8" s="32" customFormat="1">
      <c r="F253" s="37"/>
      <c r="H253" s="38"/>
    </row>
    <row r="254" spans="6:8" s="32" customFormat="1">
      <c r="F254" s="37"/>
      <c r="H254" s="38"/>
    </row>
    <row r="255" spans="6:8" s="32" customFormat="1">
      <c r="F255" s="37"/>
      <c r="H255" s="38"/>
    </row>
    <row r="256" spans="6:8" s="32" customFormat="1">
      <c r="F256" s="37"/>
      <c r="H256" s="38"/>
    </row>
    <row r="257" spans="6:8" s="32" customFormat="1">
      <c r="F257" s="37"/>
      <c r="H257" s="38"/>
    </row>
    <row r="258" spans="6:8" s="32" customFormat="1">
      <c r="F258" s="37"/>
      <c r="H258" s="38"/>
    </row>
    <row r="259" spans="6:8" s="32" customFormat="1">
      <c r="F259" s="37"/>
      <c r="H259" s="38"/>
    </row>
    <row r="260" spans="6:8" s="32" customFormat="1">
      <c r="F260" s="37"/>
      <c r="H260" s="38"/>
    </row>
    <row r="261" spans="6:8" s="32" customFormat="1">
      <c r="F261" s="37"/>
      <c r="H261" s="38"/>
    </row>
    <row r="262" spans="6:8" s="32" customFormat="1">
      <c r="F262" s="37"/>
      <c r="H262" s="38"/>
    </row>
    <row r="263" spans="6:8" s="32" customFormat="1">
      <c r="F263" s="37"/>
      <c r="H263" s="38"/>
    </row>
    <row r="264" spans="6:8" s="32" customFormat="1">
      <c r="F264" s="37"/>
      <c r="H264" s="38"/>
    </row>
    <row r="265" spans="6:8" s="32" customFormat="1">
      <c r="F265" s="37"/>
      <c r="H265" s="38"/>
    </row>
    <row r="266" spans="6:8" s="32" customFormat="1">
      <c r="F266" s="37"/>
      <c r="H266" s="38"/>
    </row>
    <row r="267" spans="6:8" s="32" customFormat="1">
      <c r="F267" s="37"/>
      <c r="H267" s="38"/>
    </row>
    <row r="268" spans="6:8" s="32" customFormat="1">
      <c r="F268" s="37"/>
      <c r="H268" s="38"/>
    </row>
    <row r="269" spans="6:8" s="32" customFormat="1">
      <c r="F269" s="37"/>
      <c r="H269" s="38"/>
    </row>
    <row r="270" spans="6:8" s="32" customFormat="1">
      <c r="F270" s="37"/>
      <c r="H270" s="38"/>
    </row>
    <row r="271" spans="6:8" s="32" customFormat="1">
      <c r="F271" s="37"/>
      <c r="H271" s="38"/>
    </row>
    <row r="272" spans="6:8" s="32" customFormat="1">
      <c r="F272" s="37"/>
      <c r="H272" s="38"/>
    </row>
    <row r="273" spans="6:8" s="32" customFormat="1">
      <c r="F273" s="37"/>
      <c r="H273" s="38"/>
    </row>
    <row r="274" spans="6:8" s="32" customFormat="1">
      <c r="F274" s="37"/>
      <c r="H274" s="38"/>
    </row>
    <row r="275" spans="6:8" s="32" customFormat="1">
      <c r="F275" s="37"/>
      <c r="H275" s="38"/>
    </row>
    <row r="276" spans="6:8" s="32" customFormat="1">
      <c r="F276" s="37"/>
      <c r="H276" s="38"/>
    </row>
    <row r="277" spans="6:8" s="32" customFormat="1">
      <c r="F277" s="37"/>
      <c r="H277" s="38"/>
    </row>
    <row r="278" spans="6:8" s="32" customFormat="1">
      <c r="F278" s="37"/>
      <c r="H278" s="38"/>
    </row>
    <row r="279" spans="6:8" s="32" customFormat="1">
      <c r="F279" s="37"/>
      <c r="H279" s="38"/>
    </row>
    <row r="280" spans="6:8" s="32" customFormat="1">
      <c r="F280" s="37"/>
      <c r="H280" s="38"/>
    </row>
    <row r="281" spans="6:8" s="32" customFormat="1">
      <c r="F281" s="37"/>
      <c r="H281" s="38"/>
    </row>
    <row r="282" spans="6:8" s="32" customFormat="1">
      <c r="F282" s="37"/>
      <c r="H282" s="38"/>
    </row>
    <row r="283" spans="6:8" s="32" customFormat="1">
      <c r="F283" s="37"/>
      <c r="H283" s="38"/>
    </row>
    <row r="284" spans="6:8" s="32" customFormat="1">
      <c r="F284" s="37"/>
      <c r="H284" s="38"/>
    </row>
    <row r="285" spans="6:8" s="32" customFormat="1">
      <c r="F285" s="37"/>
      <c r="H285" s="38"/>
    </row>
    <row r="286" spans="6:8" s="32" customFormat="1">
      <c r="F286" s="37"/>
      <c r="H286" s="38"/>
    </row>
    <row r="287" spans="6:8" s="32" customFormat="1">
      <c r="F287" s="37"/>
      <c r="H287" s="38"/>
    </row>
    <row r="288" spans="6:8" s="32" customFormat="1">
      <c r="F288" s="37"/>
      <c r="H288" s="38"/>
    </row>
    <row r="289" spans="6:8" s="32" customFormat="1">
      <c r="F289" s="37"/>
      <c r="H289" s="38"/>
    </row>
    <row r="290" spans="6:8" s="32" customFormat="1">
      <c r="F290" s="37"/>
      <c r="H290" s="38"/>
    </row>
    <row r="291" spans="6:8" s="32" customFormat="1">
      <c r="F291" s="37"/>
      <c r="H291" s="38"/>
    </row>
    <row r="292" spans="6:8" s="32" customFormat="1">
      <c r="F292" s="37"/>
      <c r="H292" s="38"/>
    </row>
    <row r="293" spans="6:8" s="32" customFormat="1">
      <c r="F293" s="37"/>
      <c r="H293" s="38"/>
    </row>
    <row r="294" spans="6:8" s="32" customFormat="1">
      <c r="F294" s="37"/>
      <c r="H294" s="38"/>
    </row>
    <row r="295" spans="6:8" s="32" customFormat="1">
      <c r="F295" s="37"/>
      <c r="H295" s="38"/>
    </row>
    <row r="296" spans="6:8" s="32" customFormat="1">
      <c r="F296" s="37"/>
      <c r="H296" s="38"/>
    </row>
    <row r="297" spans="6:8" s="32" customFormat="1">
      <c r="F297" s="37"/>
      <c r="H297" s="38"/>
    </row>
    <row r="298" spans="6:8" s="32" customFormat="1">
      <c r="F298" s="37"/>
      <c r="H298" s="38"/>
    </row>
    <row r="299" spans="6:8" s="32" customFormat="1">
      <c r="F299" s="37"/>
      <c r="H299" s="38"/>
    </row>
    <row r="300" spans="6:8" s="32" customFormat="1">
      <c r="F300" s="37"/>
      <c r="H300" s="38"/>
    </row>
    <row r="301" spans="6:8" s="32" customFormat="1">
      <c r="F301" s="37"/>
      <c r="H301" s="38"/>
    </row>
    <row r="302" spans="6:8" s="32" customFormat="1">
      <c r="F302" s="37"/>
      <c r="H302" s="38"/>
    </row>
    <row r="303" spans="6:8" s="32" customFormat="1">
      <c r="F303" s="37"/>
      <c r="H303" s="38"/>
    </row>
    <row r="304" spans="6:8" s="32" customFormat="1">
      <c r="F304" s="37"/>
      <c r="H304" s="38"/>
    </row>
    <row r="305" spans="6:8" s="32" customFormat="1">
      <c r="F305" s="37"/>
      <c r="H305" s="38"/>
    </row>
    <row r="306" spans="6:8" s="32" customFormat="1">
      <c r="F306" s="37"/>
      <c r="H306" s="38"/>
    </row>
    <row r="307" spans="6:8" s="32" customFormat="1">
      <c r="F307" s="37"/>
      <c r="H307" s="38"/>
    </row>
    <row r="308" spans="6:8" s="32" customFormat="1">
      <c r="F308" s="37"/>
      <c r="H308" s="38"/>
    </row>
    <row r="309" spans="6:8" s="32" customFormat="1">
      <c r="F309" s="37"/>
      <c r="H309" s="38"/>
    </row>
    <row r="310" spans="6:8" s="32" customFormat="1">
      <c r="F310" s="37"/>
      <c r="H310" s="38"/>
    </row>
    <row r="311" spans="6:8" s="32" customFormat="1">
      <c r="F311" s="37"/>
      <c r="H311" s="38"/>
    </row>
    <row r="312" spans="6:8" s="32" customFormat="1">
      <c r="F312" s="37"/>
      <c r="H312" s="38"/>
    </row>
    <row r="313" spans="6:8" s="32" customFormat="1">
      <c r="F313" s="37"/>
      <c r="H313" s="38"/>
    </row>
    <row r="314" spans="6:8" s="32" customFormat="1">
      <c r="F314" s="37"/>
      <c r="H314" s="38"/>
    </row>
    <row r="315" spans="6:8" s="32" customFormat="1">
      <c r="F315" s="37"/>
      <c r="H315" s="38"/>
    </row>
    <row r="316" spans="6:8" s="32" customFormat="1">
      <c r="F316" s="37"/>
      <c r="H316" s="38"/>
    </row>
    <row r="317" spans="6:8" s="32" customFormat="1">
      <c r="F317" s="37"/>
      <c r="H317" s="38"/>
    </row>
    <row r="318" spans="6:8" s="32" customFormat="1">
      <c r="F318" s="37"/>
      <c r="H318" s="38"/>
    </row>
    <row r="319" spans="6:8" s="32" customFormat="1">
      <c r="F319" s="37"/>
      <c r="H319" s="38"/>
    </row>
    <row r="320" spans="6:8" s="32" customFormat="1">
      <c r="F320" s="37"/>
      <c r="H320" s="38"/>
    </row>
    <row r="321" spans="6:8" s="32" customFormat="1">
      <c r="F321" s="37"/>
      <c r="H321" s="38"/>
    </row>
    <row r="322" spans="6:8" s="32" customFormat="1">
      <c r="F322" s="37"/>
      <c r="H322" s="38"/>
    </row>
    <row r="323" spans="6:8" s="32" customFormat="1">
      <c r="F323" s="37"/>
      <c r="H323" s="38"/>
    </row>
    <row r="324" spans="6:8" s="32" customFormat="1">
      <c r="F324" s="37"/>
      <c r="H324" s="38"/>
    </row>
    <row r="325" spans="6:8" s="32" customFormat="1">
      <c r="F325" s="37"/>
      <c r="H325" s="38"/>
    </row>
    <row r="326" spans="6:8" s="32" customFormat="1">
      <c r="F326" s="37"/>
      <c r="H326" s="38"/>
    </row>
    <row r="327" spans="6:8" s="32" customFormat="1">
      <c r="F327" s="37"/>
      <c r="H327" s="38"/>
    </row>
    <row r="328" spans="6:8" s="32" customFormat="1">
      <c r="F328" s="37"/>
      <c r="H328" s="38"/>
    </row>
    <row r="329" spans="6:8" s="32" customFormat="1">
      <c r="F329" s="37"/>
      <c r="H329" s="38"/>
    </row>
    <row r="330" spans="6:8" s="32" customFormat="1">
      <c r="F330" s="37"/>
      <c r="H330" s="38"/>
    </row>
    <row r="331" spans="6:8" s="32" customFormat="1">
      <c r="F331" s="37"/>
      <c r="H331" s="38"/>
    </row>
    <row r="332" spans="6:8" s="32" customFormat="1">
      <c r="F332" s="37"/>
      <c r="H332" s="38"/>
    </row>
    <row r="333" spans="6:8" s="32" customFormat="1">
      <c r="F333" s="37"/>
      <c r="H333" s="38"/>
    </row>
    <row r="334" spans="6:8" s="32" customFormat="1">
      <c r="F334" s="37"/>
      <c r="H334" s="38"/>
    </row>
    <row r="335" spans="6:8" s="32" customFormat="1">
      <c r="F335" s="37"/>
      <c r="H335" s="38"/>
    </row>
    <row r="336" spans="6:8" s="32" customFormat="1">
      <c r="F336" s="37"/>
      <c r="H336" s="38"/>
    </row>
    <row r="337" spans="6:8" s="32" customFormat="1">
      <c r="F337" s="37"/>
      <c r="H337" s="38"/>
    </row>
    <row r="338" spans="6:8" s="32" customFormat="1">
      <c r="F338" s="37"/>
      <c r="H338" s="38"/>
    </row>
    <row r="339" spans="6:8" s="32" customFormat="1">
      <c r="F339" s="37"/>
      <c r="H339" s="38"/>
    </row>
    <row r="340" spans="6:8" s="32" customFormat="1">
      <c r="F340" s="37"/>
      <c r="H340" s="38"/>
    </row>
    <row r="341" spans="6:8" s="32" customFormat="1">
      <c r="F341" s="37"/>
      <c r="H341" s="38"/>
    </row>
    <row r="342" spans="6:8" s="32" customFormat="1">
      <c r="F342" s="37"/>
      <c r="H342" s="38"/>
    </row>
    <row r="343" spans="6:8" s="32" customFormat="1">
      <c r="F343" s="37"/>
      <c r="H343" s="38"/>
    </row>
    <row r="344" spans="6:8" s="32" customFormat="1">
      <c r="F344" s="37"/>
      <c r="H344" s="38"/>
    </row>
    <row r="345" spans="6:8" s="32" customFormat="1">
      <c r="F345" s="37"/>
      <c r="H345" s="38"/>
    </row>
    <row r="346" spans="6:8" s="32" customFormat="1">
      <c r="F346" s="37"/>
      <c r="H346" s="38"/>
    </row>
    <row r="347" spans="6:8" s="32" customFormat="1">
      <c r="F347" s="37"/>
      <c r="H347" s="38"/>
    </row>
    <row r="348" spans="6:8" s="32" customFormat="1">
      <c r="F348" s="37"/>
      <c r="H348" s="38"/>
    </row>
    <row r="349" spans="6:8" s="32" customFormat="1">
      <c r="F349" s="37"/>
      <c r="H349" s="38"/>
    </row>
    <row r="350" spans="6:8" s="32" customFormat="1">
      <c r="F350" s="37"/>
      <c r="H350" s="38"/>
    </row>
    <row r="351" spans="6:8" s="32" customFormat="1">
      <c r="F351" s="37"/>
      <c r="H351" s="38"/>
    </row>
    <row r="352" spans="6:8" s="32" customFormat="1">
      <c r="F352" s="37"/>
      <c r="H352" s="38"/>
    </row>
    <row r="353" spans="6:8" s="32" customFormat="1">
      <c r="F353" s="37"/>
      <c r="H353" s="38"/>
    </row>
    <row r="354" spans="6:8" s="32" customFormat="1">
      <c r="F354" s="37"/>
      <c r="H354" s="38"/>
    </row>
    <row r="355" spans="6:8" s="32" customFormat="1">
      <c r="F355" s="37"/>
      <c r="H355" s="38"/>
    </row>
    <row r="356" spans="6:8" s="32" customFormat="1">
      <c r="F356" s="37"/>
      <c r="H356" s="38"/>
    </row>
    <row r="357" spans="6:8" s="32" customFormat="1">
      <c r="F357" s="37"/>
      <c r="H357" s="38"/>
    </row>
    <row r="358" spans="6:8" s="32" customFormat="1">
      <c r="F358" s="37"/>
      <c r="H358" s="38"/>
    </row>
    <row r="359" spans="6:8" s="32" customFormat="1">
      <c r="F359" s="37"/>
      <c r="H359" s="38"/>
    </row>
    <row r="360" spans="6:8" s="32" customFormat="1">
      <c r="F360" s="37"/>
      <c r="H360" s="38"/>
    </row>
    <row r="361" spans="6:8" s="32" customFormat="1">
      <c r="F361" s="37"/>
      <c r="H361" s="38"/>
    </row>
    <row r="362" spans="6:8" s="32" customFormat="1">
      <c r="F362" s="37"/>
      <c r="H362" s="38"/>
    </row>
    <row r="363" spans="6:8" s="32" customFormat="1">
      <c r="F363" s="37"/>
      <c r="H363" s="38"/>
    </row>
    <row r="364" spans="6:8" s="32" customFormat="1">
      <c r="F364" s="37"/>
      <c r="H364" s="38"/>
    </row>
    <row r="365" spans="6:8" s="32" customFormat="1">
      <c r="F365" s="37"/>
      <c r="H365" s="38"/>
    </row>
    <row r="366" spans="6:8" s="32" customFormat="1">
      <c r="F366" s="37"/>
      <c r="H366" s="38"/>
    </row>
    <row r="367" spans="6:8" s="32" customFormat="1">
      <c r="F367" s="37"/>
      <c r="H367" s="38"/>
    </row>
    <row r="368" spans="6:8" s="32" customFormat="1">
      <c r="F368" s="37"/>
      <c r="H368" s="38"/>
    </row>
    <row r="369" spans="6:8" s="32" customFormat="1">
      <c r="F369" s="37"/>
      <c r="H369" s="38"/>
    </row>
    <row r="370" spans="6:8" s="32" customFormat="1">
      <c r="F370" s="37"/>
      <c r="H370" s="38"/>
    </row>
    <row r="371" spans="6:8" s="32" customFormat="1">
      <c r="F371" s="37"/>
      <c r="H371" s="38"/>
    </row>
    <row r="372" spans="6:8" s="32" customFormat="1">
      <c r="F372" s="37"/>
      <c r="H372" s="38"/>
    </row>
    <row r="373" spans="6:8" s="32" customFormat="1">
      <c r="F373" s="37"/>
      <c r="H373" s="38"/>
    </row>
    <row r="374" spans="6:8" s="32" customFormat="1">
      <c r="F374" s="37"/>
      <c r="H374" s="38"/>
    </row>
    <row r="375" spans="6:8" s="32" customFormat="1">
      <c r="F375" s="37"/>
      <c r="H375" s="38"/>
    </row>
    <row r="376" spans="6:8" s="32" customFormat="1">
      <c r="F376" s="37"/>
      <c r="H376" s="38"/>
    </row>
    <row r="377" spans="6:8" s="32" customFormat="1">
      <c r="F377" s="37"/>
      <c r="H377" s="38"/>
    </row>
    <row r="378" spans="6:8" s="32" customFormat="1">
      <c r="F378" s="37"/>
      <c r="H378" s="38"/>
    </row>
    <row r="379" spans="6:8" s="32" customFormat="1">
      <c r="F379" s="37"/>
      <c r="H379" s="38"/>
    </row>
    <row r="380" spans="6:8" s="32" customFormat="1">
      <c r="F380" s="37"/>
      <c r="H380" s="38"/>
    </row>
    <row r="381" spans="6:8" s="32" customFormat="1">
      <c r="F381" s="37"/>
      <c r="H381" s="38"/>
    </row>
    <row r="382" spans="6:8" s="32" customFormat="1">
      <c r="F382" s="37"/>
      <c r="H382" s="38"/>
    </row>
    <row r="383" spans="6:8" s="32" customFormat="1">
      <c r="F383" s="37"/>
      <c r="H383" s="38"/>
    </row>
    <row r="384" spans="6:8" s="32" customFormat="1">
      <c r="F384" s="37"/>
      <c r="H384" s="38"/>
    </row>
    <row r="385" spans="6:8" s="32" customFormat="1">
      <c r="F385" s="37"/>
      <c r="H385" s="38"/>
    </row>
    <row r="386" spans="6:8" s="32" customFormat="1">
      <c r="F386" s="37"/>
      <c r="H386" s="38"/>
    </row>
    <row r="387" spans="6:8" s="32" customFormat="1">
      <c r="F387" s="37"/>
      <c r="H387" s="38"/>
    </row>
    <row r="388" spans="6:8" s="32" customFormat="1">
      <c r="F388" s="37"/>
      <c r="H388" s="38"/>
    </row>
    <row r="389" spans="6:8" s="32" customFormat="1">
      <c r="F389" s="37"/>
      <c r="H389" s="38"/>
    </row>
    <row r="390" spans="6:8" s="32" customFormat="1">
      <c r="F390" s="37"/>
      <c r="H390" s="38"/>
    </row>
    <row r="391" spans="6:8" s="32" customFormat="1">
      <c r="F391" s="37"/>
      <c r="H391" s="38"/>
    </row>
    <row r="392" spans="6:8" s="32" customFormat="1">
      <c r="F392" s="37"/>
      <c r="H392" s="38"/>
    </row>
    <row r="393" spans="6:8" s="32" customFormat="1">
      <c r="F393" s="37"/>
      <c r="H393" s="38"/>
    </row>
    <row r="394" spans="6:8" s="32" customFormat="1">
      <c r="F394" s="37"/>
      <c r="H394" s="38"/>
    </row>
    <row r="395" spans="6:8" s="32" customFormat="1">
      <c r="F395" s="37"/>
      <c r="H395" s="38"/>
    </row>
    <row r="396" spans="6:8" s="32" customFormat="1">
      <c r="F396" s="37"/>
      <c r="H396" s="38"/>
    </row>
    <row r="397" spans="6:8" s="32" customFormat="1">
      <c r="F397" s="37"/>
      <c r="H397" s="38"/>
    </row>
    <row r="398" spans="6:8" s="32" customFormat="1">
      <c r="F398" s="37"/>
      <c r="H398" s="38"/>
    </row>
    <row r="399" spans="6:8" s="32" customFormat="1">
      <c r="F399" s="37"/>
      <c r="H399" s="38"/>
    </row>
    <row r="400" spans="6:8" s="32" customFormat="1">
      <c r="F400" s="37"/>
      <c r="H400" s="38"/>
    </row>
    <row r="401" spans="6:8" s="32" customFormat="1">
      <c r="F401" s="37"/>
      <c r="H401" s="38"/>
    </row>
    <row r="402" spans="6:8" s="32" customFormat="1">
      <c r="F402" s="37"/>
      <c r="H402" s="38"/>
    </row>
    <row r="403" spans="6:8" s="32" customFormat="1">
      <c r="F403" s="37"/>
      <c r="H403" s="38"/>
    </row>
    <row r="404" spans="6:8" s="32" customFormat="1">
      <c r="F404" s="37"/>
      <c r="H404" s="38"/>
    </row>
    <row r="405" spans="6:8" s="32" customFormat="1">
      <c r="F405" s="37"/>
      <c r="H405" s="38"/>
    </row>
    <row r="406" spans="6:8" s="32" customFormat="1">
      <c r="F406" s="37"/>
      <c r="H406" s="38"/>
    </row>
    <row r="407" spans="6:8" s="32" customFormat="1">
      <c r="F407" s="37"/>
      <c r="H407" s="38"/>
    </row>
    <row r="408" spans="6:8" s="32" customFormat="1">
      <c r="F408" s="37"/>
      <c r="H408" s="38"/>
    </row>
    <row r="409" spans="6:8" s="32" customFormat="1">
      <c r="F409" s="37"/>
      <c r="H409" s="38"/>
    </row>
    <row r="410" spans="6:8" s="32" customFormat="1">
      <c r="F410" s="37"/>
      <c r="H410" s="38"/>
    </row>
    <row r="411" spans="6:8" s="32" customFormat="1">
      <c r="F411" s="37"/>
      <c r="H411" s="38"/>
    </row>
    <row r="412" spans="6:8" s="32" customFormat="1">
      <c r="F412" s="37"/>
      <c r="H412" s="38"/>
    </row>
    <row r="413" spans="6:8" s="32" customFormat="1">
      <c r="F413" s="37"/>
      <c r="H413" s="38"/>
    </row>
    <row r="414" spans="6:8" s="32" customFormat="1">
      <c r="F414" s="37"/>
      <c r="H414" s="38"/>
    </row>
    <row r="415" spans="6:8" s="32" customFormat="1">
      <c r="F415" s="37"/>
      <c r="H415" s="38"/>
    </row>
    <row r="416" spans="6:8" s="32" customFormat="1">
      <c r="F416" s="37"/>
      <c r="H416" s="38"/>
    </row>
    <row r="417" spans="6:8" s="32" customFormat="1">
      <c r="F417" s="37"/>
      <c r="H417" s="38"/>
    </row>
    <row r="418" spans="6:8" s="32" customFormat="1">
      <c r="F418" s="37"/>
      <c r="H418" s="38"/>
    </row>
    <row r="419" spans="6:8" s="32" customFormat="1">
      <c r="F419" s="37"/>
      <c r="H419" s="38"/>
    </row>
    <row r="420" spans="6:8" s="32" customFormat="1">
      <c r="F420" s="37"/>
      <c r="H420" s="38"/>
    </row>
    <row r="421" spans="6:8" s="32" customFormat="1">
      <c r="F421" s="37"/>
      <c r="H421" s="38"/>
    </row>
    <row r="422" spans="6:8" s="32" customFormat="1">
      <c r="F422" s="37"/>
      <c r="H422" s="38"/>
    </row>
    <row r="423" spans="6:8" s="32" customFormat="1">
      <c r="F423" s="37"/>
      <c r="H423" s="38"/>
    </row>
    <row r="424" spans="6:8" s="32" customFormat="1">
      <c r="F424" s="37"/>
      <c r="H424" s="38"/>
    </row>
    <row r="425" spans="6:8" s="32" customFormat="1">
      <c r="F425" s="37"/>
      <c r="H425" s="38"/>
    </row>
    <row r="426" spans="6:8" s="32" customFormat="1">
      <c r="F426" s="37"/>
      <c r="H426" s="38"/>
    </row>
    <row r="427" spans="6:8" s="32" customFormat="1">
      <c r="F427" s="37"/>
      <c r="H427" s="38"/>
    </row>
    <row r="428" spans="6:8" s="32" customFormat="1">
      <c r="F428" s="37"/>
      <c r="H428" s="38"/>
    </row>
    <row r="429" spans="6:8" s="32" customFormat="1">
      <c r="F429" s="37"/>
      <c r="H429" s="38"/>
    </row>
    <row r="430" spans="6:8" s="32" customFormat="1">
      <c r="F430" s="37"/>
      <c r="H430" s="38"/>
    </row>
    <row r="431" spans="6:8" s="32" customFormat="1">
      <c r="F431" s="37"/>
      <c r="H431" s="38"/>
    </row>
    <row r="432" spans="6:8" s="32" customFormat="1">
      <c r="F432" s="37"/>
      <c r="H432" s="38"/>
    </row>
    <row r="433" spans="6:8" s="32" customFormat="1">
      <c r="F433" s="37"/>
      <c r="H433" s="38"/>
    </row>
    <row r="434" spans="6:8" s="32" customFormat="1">
      <c r="F434" s="37"/>
      <c r="H434" s="38"/>
    </row>
    <row r="435" spans="6:8" s="32" customFormat="1">
      <c r="F435" s="37"/>
      <c r="H435" s="38"/>
    </row>
    <row r="436" spans="6:8" s="32" customFormat="1">
      <c r="F436" s="37"/>
      <c r="H436" s="38"/>
    </row>
    <row r="437" spans="6:8" s="32" customFormat="1">
      <c r="F437" s="37"/>
      <c r="H437" s="38"/>
    </row>
    <row r="438" spans="6:8" s="32" customFormat="1">
      <c r="F438" s="37"/>
      <c r="H438" s="38"/>
    </row>
    <row r="439" spans="6:8" s="32" customFormat="1">
      <c r="F439" s="37"/>
      <c r="H439" s="38"/>
    </row>
    <row r="440" spans="6:8" s="32" customFormat="1">
      <c r="F440" s="37"/>
      <c r="H440" s="38"/>
    </row>
    <row r="441" spans="6:8" s="32" customFormat="1">
      <c r="F441" s="37"/>
      <c r="H441" s="38"/>
    </row>
    <row r="442" spans="6:8" s="32" customFormat="1">
      <c r="F442" s="37"/>
      <c r="H442" s="38"/>
    </row>
    <row r="443" spans="6:8" s="32" customFormat="1">
      <c r="F443" s="37"/>
      <c r="H443" s="38"/>
    </row>
    <row r="444" spans="6:8" s="32" customFormat="1">
      <c r="F444" s="37"/>
      <c r="H444" s="38"/>
    </row>
    <row r="445" spans="6:8" s="32" customFormat="1">
      <c r="F445" s="37"/>
      <c r="H445" s="38"/>
    </row>
    <row r="446" spans="6:8" s="32" customFormat="1">
      <c r="F446" s="37"/>
      <c r="H446" s="38"/>
    </row>
    <row r="447" spans="6:8" s="32" customFormat="1">
      <c r="F447" s="37"/>
      <c r="H447" s="38"/>
    </row>
    <row r="448" spans="6:8" s="32" customFormat="1">
      <c r="F448" s="37"/>
      <c r="H448" s="38"/>
    </row>
    <row r="449" spans="6:8" s="32" customFormat="1">
      <c r="F449" s="37"/>
      <c r="H449" s="38"/>
    </row>
    <row r="450" spans="6:8" s="32" customFormat="1">
      <c r="F450" s="37"/>
      <c r="H450" s="38"/>
    </row>
    <row r="451" spans="6:8" s="32" customFormat="1">
      <c r="F451" s="37"/>
      <c r="H451" s="38"/>
    </row>
    <row r="452" spans="6:8" s="32" customFormat="1">
      <c r="F452" s="37"/>
      <c r="H452" s="38"/>
    </row>
    <row r="453" spans="6:8" s="32" customFormat="1">
      <c r="F453" s="37"/>
      <c r="H453" s="38"/>
    </row>
    <row r="454" spans="6:8" s="32" customFormat="1">
      <c r="F454" s="37"/>
      <c r="H454" s="38"/>
    </row>
    <row r="455" spans="6:8" s="32" customFormat="1">
      <c r="F455" s="37"/>
      <c r="H455" s="38"/>
    </row>
    <row r="456" spans="6:8" s="32" customFormat="1">
      <c r="F456" s="37"/>
      <c r="H456" s="38"/>
    </row>
    <row r="457" spans="6:8" s="32" customFormat="1">
      <c r="F457" s="37"/>
      <c r="H457" s="38"/>
    </row>
    <row r="458" spans="6:8" s="32" customFormat="1">
      <c r="F458" s="37"/>
      <c r="H458" s="38"/>
    </row>
    <row r="459" spans="6:8" s="32" customFormat="1">
      <c r="F459" s="37"/>
      <c r="H459" s="38"/>
    </row>
    <row r="460" spans="6:8" s="32" customFormat="1">
      <c r="F460" s="37"/>
      <c r="H460" s="38"/>
    </row>
    <row r="461" spans="6:8" s="32" customFormat="1">
      <c r="F461" s="37"/>
      <c r="H461" s="38"/>
    </row>
    <row r="462" spans="6:8" s="32" customFormat="1">
      <c r="F462" s="37"/>
      <c r="H462" s="38"/>
    </row>
    <row r="463" spans="6:8" s="32" customFormat="1">
      <c r="F463" s="37"/>
      <c r="H463" s="38"/>
    </row>
    <row r="464" spans="6:8" s="32" customFormat="1">
      <c r="F464" s="37"/>
      <c r="H464" s="38"/>
    </row>
    <row r="465" spans="6:8" s="32" customFormat="1">
      <c r="F465" s="37"/>
      <c r="H465" s="38"/>
    </row>
    <row r="466" spans="6:8" s="32" customFormat="1">
      <c r="F466" s="37"/>
      <c r="H466" s="38"/>
    </row>
    <row r="467" spans="6:8" s="32" customFormat="1">
      <c r="F467" s="37"/>
      <c r="H467" s="38"/>
    </row>
    <row r="468" spans="6:8" s="32" customFormat="1">
      <c r="F468" s="37"/>
      <c r="H468" s="38"/>
    </row>
    <row r="469" spans="6:8" s="32" customFormat="1">
      <c r="F469" s="37"/>
      <c r="H469" s="38"/>
    </row>
    <row r="470" spans="6:8" s="32" customFormat="1">
      <c r="F470" s="37"/>
      <c r="H470" s="38"/>
    </row>
    <row r="471" spans="6:8" s="32" customFormat="1">
      <c r="F471" s="37"/>
      <c r="H471" s="38"/>
    </row>
    <row r="472" spans="6:8" s="32" customFormat="1">
      <c r="F472" s="37"/>
      <c r="H472" s="38"/>
    </row>
    <row r="473" spans="6:8" s="32" customFormat="1">
      <c r="F473" s="37"/>
      <c r="H473" s="38"/>
    </row>
    <row r="474" spans="6:8" s="32" customFormat="1">
      <c r="F474" s="37"/>
      <c r="H474" s="38"/>
    </row>
    <row r="475" spans="6:8" s="32" customFormat="1">
      <c r="F475" s="37"/>
      <c r="H475" s="38"/>
    </row>
    <row r="476" spans="6:8" s="32" customFormat="1">
      <c r="F476" s="37"/>
      <c r="H476" s="38"/>
    </row>
    <row r="477" spans="6:8" s="32" customFormat="1">
      <c r="F477" s="37"/>
      <c r="H477" s="38"/>
    </row>
    <row r="478" spans="6:8" s="32" customFormat="1">
      <c r="F478" s="37"/>
      <c r="H478" s="38"/>
    </row>
    <row r="479" spans="6:8" s="32" customFormat="1">
      <c r="F479" s="37"/>
      <c r="H479" s="38"/>
    </row>
    <row r="480" spans="6:8" s="32" customFormat="1">
      <c r="F480" s="37"/>
      <c r="H480" s="38"/>
    </row>
    <row r="481" spans="6:8" s="32" customFormat="1">
      <c r="F481" s="37"/>
      <c r="H481" s="38"/>
    </row>
    <row r="482" spans="6:8" s="32" customFormat="1">
      <c r="F482" s="37"/>
      <c r="H482" s="38"/>
    </row>
    <row r="483" spans="6:8" s="32" customFormat="1">
      <c r="F483" s="37"/>
      <c r="H483" s="38"/>
    </row>
    <row r="484" spans="6:8" s="32" customFormat="1">
      <c r="F484" s="37"/>
      <c r="H484" s="38"/>
    </row>
    <row r="485" spans="6:8" s="32" customFormat="1">
      <c r="F485" s="37"/>
      <c r="H485" s="38"/>
    </row>
    <row r="486" spans="6:8" s="32" customFormat="1">
      <c r="F486" s="37"/>
      <c r="H486" s="38"/>
    </row>
    <row r="487" spans="6:8" s="32" customFormat="1">
      <c r="F487" s="37"/>
      <c r="H487" s="38"/>
    </row>
    <row r="488" spans="6:8" s="32" customFormat="1">
      <c r="F488" s="37"/>
      <c r="H488" s="38"/>
    </row>
    <row r="489" spans="6:8" s="32" customFormat="1">
      <c r="F489" s="37"/>
      <c r="H489" s="38"/>
    </row>
    <row r="490" spans="6:8" s="32" customFormat="1">
      <c r="F490" s="37"/>
      <c r="H490" s="38"/>
    </row>
    <row r="491" spans="6:8" s="32" customFormat="1">
      <c r="F491" s="37"/>
      <c r="H491" s="38"/>
    </row>
    <row r="492" spans="6:8" s="32" customFormat="1">
      <c r="F492" s="37"/>
      <c r="H492" s="38"/>
    </row>
    <row r="493" spans="6:8" s="32" customFormat="1">
      <c r="F493" s="37"/>
      <c r="H493" s="38"/>
    </row>
    <row r="494" spans="6:8" s="32" customFormat="1">
      <c r="F494" s="37"/>
      <c r="H494" s="38"/>
    </row>
    <row r="495" spans="6:8" s="32" customFormat="1">
      <c r="F495" s="37"/>
      <c r="H495" s="38"/>
    </row>
    <row r="496" spans="6:8" s="32" customFormat="1">
      <c r="F496" s="37"/>
      <c r="H496" s="38"/>
    </row>
    <row r="497" spans="6:8" s="32" customFormat="1">
      <c r="F497" s="37"/>
      <c r="H497" s="38"/>
    </row>
    <row r="498" spans="6:8" s="32" customFormat="1">
      <c r="F498" s="37"/>
      <c r="H498" s="38"/>
    </row>
    <row r="499" spans="6:8" s="32" customFormat="1">
      <c r="F499" s="37"/>
      <c r="H499" s="38"/>
    </row>
    <row r="500" spans="6:8" s="32" customFormat="1">
      <c r="F500" s="37"/>
      <c r="H500" s="38"/>
    </row>
    <row r="501" spans="6:8" s="32" customFormat="1">
      <c r="F501" s="37"/>
      <c r="H501" s="38"/>
    </row>
    <row r="502" spans="6:8" s="32" customFormat="1">
      <c r="F502" s="37"/>
      <c r="H502" s="38"/>
    </row>
    <row r="503" spans="6:8" s="32" customFormat="1">
      <c r="F503" s="37"/>
      <c r="H503" s="38"/>
    </row>
    <row r="504" spans="6:8" s="32" customFormat="1">
      <c r="F504" s="37"/>
      <c r="H504" s="38"/>
    </row>
    <row r="505" spans="6:8" s="32" customFormat="1">
      <c r="F505" s="37"/>
      <c r="H505" s="38"/>
    </row>
    <row r="506" spans="6:8" s="32" customFormat="1">
      <c r="F506" s="37"/>
      <c r="H506" s="38"/>
    </row>
    <row r="507" spans="6:8" s="32" customFormat="1">
      <c r="F507" s="37"/>
      <c r="H507" s="38"/>
    </row>
    <row r="508" spans="6:8" s="32" customFormat="1">
      <c r="F508" s="37"/>
      <c r="H508" s="38"/>
    </row>
    <row r="509" spans="6:8" s="32" customFormat="1">
      <c r="F509" s="37"/>
      <c r="H509" s="38"/>
    </row>
    <row r="510" spans="6:8" s="32" customFormat="1">
      <c r="F510" s="37"/>
      <c r="H510" s="38"/>
    </row>
    <row r="511" spans="6:8" s="32" customFormat="1">
      <c r="F511" s="37"/>
      <c r="H511" s="38"/>
    </row>
    <row r="512" spans="6:8" s="32" customFormat="1">
      <c r="F512" s="37"/>
      <c r="H512" s="38"/>
    </row>
    <row r="513" spans="6:8" s="32" customFormat="1">
      <c r="F513" s="37"/>
      <c r="H513" s="38"/>
    </row>
    <row r="514" spans="6:8" s="32" customFormat="1">
      <c r="F514" s="37"/>
      <c r="H514" s="38"/>
    </row>
    <row r="515" spans="6:8" s="32" customFormat="1">
      <c r="F515" s="37"/>
      <c r="H515" s="38"/>
    </row>
    <row r="516" spans="6:8" s="32" customFormat="1">
      <c r="F516" s="37"/>
      <c r="H516" s="38"/>
    </row>
    <row r="517" spans="6:8" s="32" customFormat="1">
      <c r="F517" s="37"/>
      <c r="H517" s="38"/>
    </row>
    <row r="518" spans="6:8" s="32" customFormat="1">
      <c r="F518" s="37"/>
      <c r="H518" s="38"/>
    </row>
    <row r="519" spans="6:8" s="32" customFormat="1">
      <c r="F519" s="37"/>
      <c r="H519" s="38"/>
    </row>
    <row r="520" spans="6:8" s="32" customFormat="1">
      <c r="F520" s="37"/>
      <c r="H520" s="38"/>
    </row>
    <row r="521" spans="6:8" s="32" customFormat="1">
      <c r="F521" s="37"/>
      <c r="H521" s="38"/>
    </row>
    <row r="522" spans="6:8" s="32" customFormat="1">
      <c r="F522" s="37"/>
      <c r="H522" s="38"/>
    </row>
    <row r="523" spans="6:8" s="32" customFormat="1">
      <c r="F523" s="37"/>
      <c r="H523" s="38"/>
    </row>
    <row r="524" spans="6:8" s="32" customFormat="1">
      <c r="F524" s="37"/>
      <c r="H524" s="38"/>
    </row>
    <row r="525" spans="6:8" s="32" customFormat="1">
      <c r="F525" s="37"/>
      <c r="H525" s="38"/>
    </row>
    <row r="526" spans="6:8" s="32" customFormat="1">
      <c r="F526" s="37"/>
      <c r="H526" s="38"/>
    </row>
    <row r="527" spans="6:8" s="32" customFormat="1">
      <c r="F527" s="37"/>
      <c r="H527" s="38"/>
    </row>
    <row r="528" spans="6:8" s="32" customFormat="1">
      <c r="F528" s="37"/>
      <c r="H528" s="38"/>
    </row>
    <row r="529" spans="6:8" s="32" customFormat="1">
      <c r="F529" s="37"/>
      <c r="H529" s="38"/>
    </row>
    <row r="530" spans="6:8" s="32" customFormat="1">
      <c r="F530" s="37"/>
      <c r="H530" s="38"/>
    </row>
    <row r="531" spans="6:8" s="32" customFormat="1">
      <c r="F531" s="37"/>
      <c r="H531" s="38"/>
    </row>
    <row r="532" spans="6:8" s="32" customFormat="1">
      <c r="F532" s="37"/>
      <c r="H532" s="38"/>
    </row>
    <row r="533" spans="6:8" s="32" customFormat="1">
      <c r="F533" s="37"/>
      <c r="H533" s="38"/>
    </row>
    <row r="534" spans="6:8" s="32" customFormat="1">
      <c r="F534" s="37"/>
      <c r="H534" s="38"/>
    </row>
    <row r="535" spans="6:8" s="32" customFormat="1">
      <c r="F535" s="37"/>
      <c r="H535" s="38"/>
    </row>
    <row r="536" spans="6:8" s="32" customFormat="1">
      <c r="F536" s="37"/>
      <c r="H536" s="38"/>
    </row>
    <row r="537" spans="6:8" s="32" customFormat="1">
      <c r="F537" s="37"/>
      <c r="H537" s="38"/>
    </row>
    <row r="538" spans="6:8" s="32" customFormat="1">
      <c r="F538" s="37"/>
      <c r="H538" s="38"/>
    </row>
    <row r="539" spans="6:8" s="32" customFormat="1">
      <c r="F539" s="37"/>
      <c r="H539" s="38"/>
    </row>
    <row r="540" spans="6:8" s="32" customFormat="1">
      <c r="F540" s="37"/>
      <c r="H540" s="38"/>
    </row>
    <row r="541" spans="6:8" s="32" customFormat="1">
      <c r="F541" s="37"/>
      <c r="H541" s="38"/>
    </row>
    <row r="542" spans="6:8" s="32" customFormat="1">
      <c r="F542" s="37"/>
      <c r="H542" s="38"/>
    </row>
    <row r="543" spans="6:8" s="32" customFormat="1">
      <c r="F543" s="37"/>
      <c r="H543" s="38"/>
    </row>
    <row r="544" spans="6:8" s="32" customFormat="1">
      <c r="F544" s="37"/>
      <c r="H544" s="38"/>
    </row>
    <row r="545" spans="6:8" s="32" customFormat="1">
      <c r="F545" s="37"/>
      <c r="H545" s="38"/>
    </row>
    <row r="546" spans="6:8" s="32" customFormat="1">
      <c r="F546" s="37"/>
      <c r="H546" s="38"/>
    </row>
    <row r="547" spans="6:8" s="32" customFormat="1">
      <c r="F547" s="37"/>
      <c r="H547" s="38"/>
    </row>
    <row r="548" spans="6:8" s="32" customFormat="1">
      <c r="F548" s="37"/>
      <c r="H548" s="38"/>
    </row>
    <row r="549" spans="6:8" s="32" customFormat="1">
      <c r="F549" s="37"/>
      <c r="H549" s="38"/>
    </row>
    <row r="550" spans="6:8" s="32" customFormat="1">
      <c r="F550" s="37"/>
      <c r="H550" s="38"/>
    </row>
    <row r="551" spans="6:8" s="32" customFormat="1">
      <c r="F551" s="37"/>
      <c r="H551" s="38"/>
    </row>
    <row r="552" spans="6:8" s="32" customFormat="1">
      <c r="F552" s="37"/>
      <c r="H552" s="38"/>
    </row>
    <row r="553" spans="6:8" s="32" customFormat="1">
      <c r="F553" s="37"/>
      <c r="H553" s="38"/>
    </row>
    <row r="554" spans="6:8" s="32" customFormat="1">
      <c r="F554" s="37"/>
      <c r="H554" s="38"/>
    </row>
    <row r="555" spans="6:8" s="32" customFormat="1">
      <c r="F555" s="37"/>
      <c r="H555" s="38"/>
    </row>
    <row r="556" spans="6:8" s="32" customFormat="1">
      <c r="F556" s="37"/>
      <c r="H556" s="38"/>
    </row>
    <row r="557" spans="6:8" s="32" customFormat="1">
      <c r="F557" s="37"/>
      <c r="H557" s="38"/>
    </row>
    <row r="558" spans="6:8" s="32" customFormat="1">
      <c r="F558" s="37"/>
      <c r="H558" s="38"/>
    </row>
    <row r="559" spans="6:8" s="32" customFormat="1">
      <c r="F559" s="37"/>
      <c r="H559" s="38"/>
    </row>
    <row r="560" spans="6:8" s="32" customFormat="1">
      <c r="F560" s="37"/>
      <c r="H560" s="38"/>
    </row>
    <row r="561" spans="6:8" s="32" customFormat="1">
      <c r="F561" s="37"/>
      <c r="H561" s="38"/>
    </row>
    <row r="562" spans="6:8" s="32" customFormat="1">
      <c r="F562" s="37"/>
      <c r="H562" s="38"/>
    </row>
    <row r="563" spans="6:8" s="32" customFormat="1">
      <c r="F563" s="37"/>
      <c r="H563" s="38"/>
    </row>
    <row r="564" spans="6:8" s="32" customFormat="1">
      <c r="F564" s="37"/>
      <c r="H564" s="38"/>
    </row>
    <row r="565" spans="6:8" s="32" customFormat="1">
      <c r="F565" s="37"/>
      <c r="H565" s="38"/>
    </row>
    <row r="566" spans="6:8" s="32" customFormat="1">
      <c r="F566" s="37"/>
      <c r="H566" s="38"/>
    </row>
    <row r="567" spans="6:8" s="32" customFormat="1">
      <c r="F567" s="37"/>
      <c r="H567" s="38"/>
    </row>
    <row r="568" spans="6:8" s="32" customFormat="1">
      <c r="F568" s="37"/>
      <c r="H568" s="38"/>
    </row>
    <row r="569" spans="6:8" s="32" customFormat="1">
      <c r="F569" s="37"/>
      <c r="H569" s="38"/>
    </row>
    <row r="570" spans="6:8" s="32" customFormat="1">
      <c r="F570" s="37"/>
      <c r="H570" s="38"/>
    </row>
    <row r="571" spans="6:8" s="32" customFormat="1">
      <c r="F571" s="37"/>
      <c r="H571" s="38"/>
    </row>
    <row r="572" spans="6:8" s="32" customFormat="1">
      <c r="F572" s="37"/>
      <c r="H572" s="38"/>
    </row>
    <row r="573" spans="6:8" s="32" customFormat="1">
      <c r="F573" s="37"/>
      <c r="H573" s="38"/>
    </row>
    <row r="574" spans="6:8" s="32" customFormat="1">
      <c r="F574" s="37"/>
      <c r="H574" s="38"/>
    </row>
    <row r="575" spans="6:8" s="32" customFormat="1">
      <c r="F575" s="37"/>
      <c r="H575" s="38"/>
    </row>
    <row r="576" spans="6:8" s="32" customFormat="1">
      <c r="F576" s="37"/>
      <c r="H576" s="38"/>
    </row>
    <row r="577" spans="6:8" s="32" customFormat="1">
      <c r="F577" s="37"/>
      <c r="H577" s="38"/>
    </row>
    <row r="578" spans="6:8" s="32" customFormat="1">
      <c r="F578" s="37"/>
      <c r="H578" s="38"/>
    </row>
    <row r="579" spans="6:8" s="32" customFormat="1">
      <c r="F579" s="37"/>
      <c r="H579" s="38"/>
    </row>
    <row r="580" spans="6:8" s="32" customFormat="1">
      <c r="F580" s="37"/>
      <c r="H580" s="38"/>
    </row>
    <row r="581" spans="6:8" s="32" customFormat="1">
      <c r="F581" s="37"/>
      <c r="H581" s="38"/>
    </row>
    <row r="582" spans="6:8" s="32" customFormat="1">
      <c r="F582" s="37"/>
      <c r="H582" s="38"/>
    </row>
    <row r="583" spans="6:8" s="32" customFormat="1">
      <c r="F583" s="37"/>
      <c r="H583" s="38"/>
    </row>
    <row r="584" spans="6:8" s="32" customFormat="1">
      <c r="F584" s="37"/>
      <c r="H584" s="38"/>
    </row>
    <row r="585" spans="6:8" s="32" customFormat="1">
      <c r="F585" s="37"/>
      <c r="H585" s="38"/>
    </row>
    <row r="586" spans="6:8" s="32" customFormat="1">
      <c r="F586" s="37"/>
      <c r="H586" s="38"/>
    </row>
    <row r="587" spans="6:8" s="32" customFormat="1">
      <c r="F587" s="37"/>
      <c r="H587" s="38"/>
    </row>
    <row r="588" spans="6:8" s="32" customFormat="1">
      <c r="F588" s="37"/>
      <c r="H588" s="38"/>
    </row>
    <row r="589" spans="6:8" s="32" customFormat="1">
      <c r="F589" s="37"/>
      <c r="H589" s="38"/>
    </row>
    <row r="590" spans="6:8" s="32" customFormat="1">
      <c r="F590" s="37"/>
      <c r="H590" s="38"/>
    </row>
    <row r="591" spans="6:8" s="32" customFormat="1">
      <c r="F591" s="37"/>
      <c r="H591" s="38"/>
    </row>
    <row r="592" spans="6:8" s="32" customFormat="1">
      <c r="F592" s="37"/>
      <c r="H592" s="38"/>
    </row>
    <row r="593" spans="6:8" s="32" customFormat="1">
      <c r="F593" s="37"/>
      <c r="H593" s="38"/>
    </row>
    <row r="594" spans="6:8" s="32" customFormat="1">
      <c r="F594" s="37"/>
      <c r="H594" s="38"/>
    </row>
    <row r="595" spans="6:8" s="32" customFormat="1">
      <c r="F595" s="37"/>
      <c r="H595" s="38"/>
    </row>
    <row r="596" spans="6:8" s="32" customFormat="1">
      <c r="F596" s="37"/>
      <c r="H596" s="38"/>
    </row>
    <row r="597" spans="6:8" s="32" customFormat="1">
      <c r="F597" s="37"/>
      <c r="H597" s="38"/>
    </row>
    <row r="598" spans="6:8" s="32" customFormat="1">
      <c r="F598" s="37"/>
      <c r="H598" s="38"/>
    </row>
    <row r="599" spans="6:8" s="32" customFormat="1">
      <c r="F599" s="37"/>
      <c r="H599" s="38"/>
    </row>
    <row r="600" spans="6:8" s="32" customFormat="1">
      <c r="F600" s="37"/>
      <c r="H600" s="38"/>
    </row>
    <row r="601" spans="6:8" s="32" customFormat="1">
      <c r="F601" s="37"/>
      <c r="H601" s="38"/>
    </row>
    <row r="602" spans="6:8" s="32" customFormat="1">
      <c r="F602" s="37"/>
      <c r="H602" s="38"/>
    </row>
    <row r="603" spans="6:8" s="32" customFormat="1">
      <c r="F603" s="37"/>
      <c r="H603" s="38"/>
    </row>
    <row r="604" spans="6:8" s="32" customFormat="1">
      <c r="F604" s="37"/>
      <c r="H604" s="38"/>
    </row>
    <row r="605" spans="6:8" s="32" customFormat="1">
      <c r="F605" s="37"/>
      <c r="H605" s="38"/>
    </row>
    <row r="606" spans="6:8" s="32" customFormat="1">
      <c r="F606" s="37"/>
      <c r="H606" s="38"/>
    </row>
    <row r="607" spans="6:8" s="32" customFormat="1">
      <c r="F607" s="37"/>
      <c r="H607" s="38"/>
    </row>
    <row r="608" spans="6:8" s="32" customFormat="1">
      <c r="F608" s="37"/>
      <c r="H608" s="38"/>
    </row>
    <row r="609" spans="6:8" s="32" customFormat="1">
      <c r="F609" s="37"/>
      <c r="H609" s="38"/>
    </row>
    <row r="610" spans="6:8" s="32" customFormat="1">
      <c r="F610" s="37"/>
      <c r="H610" s="38"/>
    </row>
    <row r="611" spans="6:8" s="32" customFormat="1">
      <c r="F611" s="37"/>
      <c r="H611" s="38"/>
    </row>
    <row r="612" spans="6:8" s="32" customFormat="1">
      <c r="F612" s="37"/>
      <c r="H612" s="38"/>
    </row>
    <row r="613" spans="6:8" s="32" customFormat="1">
      <c r="F613" s="37"/>
      <c r="H613" s="38"/>
    </row>
    <row r="614" spans="6:8" s="32" customFormat="1">
      <c r="F614" s="37"/>
      <c r="H614" s="38"/>
    </row>
    <row r="615" spans="6:8" s="32" customFormat="1">
      <c r="F615" s="37"/>
      <c r="H615" s="38"/>
    </row>
    <row r="616" spans="6:8" s="32" customFormat="1">
      <c r="F616" s="37"/>
      <c r="H616" s="38"/>
    </row>
    <row r="617" spans="6:8" s="32" customFormat="1">
      <c r="F617" s="37"/>
      <c r="H617" s="38"/>
    </row>
    <row r="618" spans="6:8" s="32" customFormat="1">
      <c r="F618" s="37"/>
      <c r="H618" s="38"/>
    </row>
    <row r="619" spans="6:8" s="32" customFormat="1">
      <c r="F619" s="37"/>
      <c r="H619" s="38"/>
    </row>
    <row r="620" spans="6:8" s="32" customFormat="1">
      <c r="F620" s="37"/>
      <c r="H620" s="38"/>
    </row>
    <row r="621" spans="6:8" s="32" customFormat="1">
      <c r="F621" s="37"/>
      <c r="H621" s="38"/>
    </row>
    <row r="622" spans="6:8" s="32" customFormat="1">
      <c r="F622" s="37"/>
      <c r="H622" s="38"/>
    </row>
    <row r="623" spans="6:8" s="32" customFormat="1">
      <c r="F623" s="37"/>
      <c r="H623" s="38"/>
    </row>
    <row r="624" spans="6:8" s="32" customFormat="1">
      <c r="F624" s="37"/>
      <c r="H624" s="38"/>
    </row>
    <row r="625" spans="6:8" s="32" customFormat="1">
      <c r="F625" s="37"/>
      <c r="H625" s="38"/>
    </row>
    <row r="626" spans="6:8" s="32" customFormat="1">
      <c r="F626" s="37"/>
      <c r="H626" s="38"/>
    </row>
    <row r="627" spans="6:8" s="32" customFormat="1">
      <c r="F627" s="37"/>
      <c r="H627" s="38"/>
    </row>
    <row r="628" spans="6:8" s="32" customFormat="1">
      <c r="F628" s="37"/>
      <c r="H628" s="38"/>
    </row>
    <row r="629" spans="6:8" s="32" customFormat="1">
      <c r="F629" s="37"/>
      <c r="H629" s="38"/>
    </row>
    <row r="630" spans="6:8" s="32" customFormat="1">
      <c r="F630" s="37"/>
      <c r="H630" s="38"/>
    </row>
    <row r="631" spans="6:8" s="32" customFormat="1">
      <c r="F631" s="37"/>
      <c r="H631" s="38"/>
    </row>
    <row r="632" spans="6:8" s="32" customFormat="1">
      <c r="F632" s="37"/>
      <c r="H632" s="38"/>
    </row>
    <row r="633" spans="6:8" s="32" customFormat="1">
      <c r="F633" s="37"/>
      <c r="H633" s="38"/>
    </row>
    <row r="634" spans="6:8" s="32" customFormat="1">
      <c r="F634" s="37"/>
      <c r="H634" s="38"/>
    </row>
    <row r="635" spans="6:8" s="32" customFormat="1">
      <c r="F635" s="37"/>
      <c r="H635" s="38"/>
    </row>
    <row r="636" spans="6:8" s="32" customFormat="1">
      <c r="F636" s="37"/>
      <c r="H636" s="38"/>
    </row>
    <row r="637" spans="6:8" s="32" customFormat="1">
      <c r="F637" s="37"/>
      <c r="H637" s="38"/>
    </row>
    <row r="638" spans="6:8" s="32" customFormat="1">
      <c r="F638" s="37"/>
      <c r="H638" s="38"/>
    </row>
    <row r="639" spans="6:8" s="32" customFormat="1">
      <c r="F639" s="37"/>
      <c r="H639" s="38"/>
    </row>
    <row r="640" spans="6:8" s="32" customFormat="1">
      <c r="F640" s="37"/>
      <c r="H640" s="38"/>
    </row>
    <row r="641" spans="6:8" s="32" customFormat="1">
      <c r="F641" s="37"/>
      <c r="H641" s="38"/>
    </row>
    <row r="642" spans="6:8" s="32" customFormat="1">
      <c r="F642" s="37"/>
      <c r="H642" s="38"/>
    </row>
    <row r="643" spans="6:8" s="32" customFormat="1">
      <c r="F643" s="37"/>
      <c r="H643" s="38"/>
    </row>
    <row r="644" spans="6:8" s="32" customFormat="1">
      <c r="F644" s="37"/>
      <c r="H644" s="38"/>
    </row>
    <row r="645" spans="6:8" s="32" customFormat="1">
      <c r="F645" s="37"/>
      <c r="H645" s="38"/>
    </row>
    <row r="646" spans="6:8" s="32" customFormat="1">
      <c r="F646" s="37"/>
      <c r="H646" s="38"/>
    </row>
    <row r="647" spans="6:8" s="32" customFormat="1">
      <c r="F647" s="37"/>
      <c r="H647" s="38"/>
    </row>
    <row r="648" spans="6:8" s="32" customFormat="1">
      <c r="F648" s="37"/>
      <c r="H648" s="38"/>
    </row>
    <row r="649" spans="6:8" s="32" customFormat="1">
      <c r="F649" s="37"/>
      <c r="H649" s="38"/>
    </row>
    <row r="650" spans="6:8" s="32" customFormat="1">
      <c r="F650" s="37"/>
      <c r="H650" s="38"/>
    </row>
    <row r="651" spans="6:8" s="32" customFormat="1">
      <c r="F651" s="37"/>
      <c r="H651" s="38"/>
    </row>
    <row r="652" spans="6:8" s="32" customFormat="1">
      <c r="F652" s="37"/>
      <c r="H652" s="38"/>
    </row>
    <row r="653" spans="6:8" s="32" customFormat="1">
      <c r="F653" s="37"/>
      <c r="H653" s="38"/>
    </row>
    <row r="654" spans="6:8" s="32" customFormat="1">
      <c r="F654" s="37"/>
      <c r="H654" s="38"/>
    </row>
    <row r="655" spans="6:8" s="32" customFormat="1">
      <c r="F655" s="37"/>
      <c r="H655" s="38"/>
    </row>
    <row r="656" spans="6:8" s="32" customFormat="1">
      <c r="F656" s="37"/>
      <c r="H656" s="38"/>
    </row>
    <row r="657" spans="6:8" s="32" customFormat="1">
      <c r="F657" s="37"/>
      <c r="H657" s="38"/>
    </row>
    <row r="658" spans="6:8" s="32" customFormat="1">
      <c r="F658" s="37"/>
      <c r="H658" s="38"/>
    </row>
    <row r="659" spans="6:8" s="32" customFormat="1">
      <c r="F659" s="37"/>
      <c r="H659" s="38"/>
    </row>
    <row r="660" spans="6:8" s="32" customFormat="1">
      <c r="F660" s="37"/>
      <c r="H660" s="38"/>
    </row>
    <row r="661" spans="6:8" s="32" customFormat="1">
      <c r="F661" s="37"/>
      <c r="H661" s="38"/>
    </row>
    <row r="662" spans="6:8" s="32" customFormat="1">
      <c r="F662" s="37"/>
      <c r="H662" s="38"/>
    </row>
    <row r="663" spans="6:8" s="32" customFormat="1">
      <c r="F663" s="37"/>
      <c r="H663" s="38"/>
    </row>
    <row r="664" spans="6:8" s="32" customFormat="1">
      <c r="F664" s="37"/>
      <c r="H664" s="38"/>
    </row>
    <row r="665" spans="6:8" s="32" customFormat="1">
      <c r="F665" s="37"/>
      <c r="H665" s="38"/>
    </row>
    <row r="666" spans="6:8" s="32" customFormat="1">
      <c r="F666" s="37"/>
      <c r="H666" s="38"/>
    </row>
    <row r="667" spans="6:8" s="32" customFormat="1">
      <c r="F667" s="37"/>
      <c r="H667" s="38"/>
    </row>
    <row r="668" spans="6:8" s="32" customFormat="1">
      <c r="F668" s="37"/>
      <c r="H668" s="38"/>
    </row>
    <row r="669" spans="6:8" s="32" customFormat="1">
      <c r="F669" s="37"/>
      <c r="H669" s="38"/>
    </row>
    <row r="670" spans="6:8" s="32" customFormat="1">
      <c r="F670" s="37"/>
      <c r="H670" s="38"/>
    </row>
    <row r="671" spans="6:8" s="32" customFormat="1">
      <c r="F671" s="37"/>
      <c r="H671" s="38"/>
    </row>
    <row r="672" spans="6:8" s="32" customFormat="1">
      <c r="F672" s="37"/>
      <c r="H672" s="38"/>
    </row>
    <row r="673" spans="6:8" s="32" customFormat="1">
      <c r="F673" s="37"/>
      <c r="H673" s="38"/>
    </row>
    <row r="674" spans="6:8" s="32" customFormat="1">
      <c r="F674" s="37"/>
      <c r="H674" s="38"/>
    </row>
    <row r="675" spans="6:8" s="32" customFormat="1">
      <c r="F675" s="37"/>
      <c r="H675" s="38"/>
    </row>
    <row r="676" spans="6:8" s="32" customFormat="1">
      <c r="F676" s="37"/>
      <c r="H676" s="38"/>
    </row>
    <row r="677" spans="6:8" s="32" customFormat="1">
      <c r="F677" s="37"/>
      <c r="H677" s="38"/>
    </row>
    <row r="678" spans="6:8" s="32" customFormat="1">
      <c r="F678" s="37"/>
      <c r="H678" s="38"/>
    </row>
    <row r="679" spans="6:8" s="32" customFormat="1">
      <c r="F679" s="37"/>
      <c r="H679" s="38"/>
    </row>
    <row r="680" spans="6:8" s="32" customFormat="1">
      <c r="F680" s="37"/>
      <c r="H680" s="38"/>
    </row>
    <row r="681" spans="6:8" s="32" customFormat="1">
      <c r="F681" s="37"/>
      <c r="H681" s="38"/>
    </row>
    <row r="682" spans="6:8" s="32" customFormat="1">
      <c r="F682" s="37"/>
      <c r="H682" s="38"/>
    </row>
    <row r="683" spans="6:8" s="32" customFormat="1">
      <c r="F683" s="37"/>
      <c r="H683" s="38"/>
    </row>
    <row r="684" spans="6:8" s="32" customFormat="1">
      <c r="F684" s="37"/>
      <c r="H684" s="38"/>
    </row>
    <row r="685" spans="6:8" s="32" customFormat="1">
      <c r="F685" s="37"/>
      <c r="H685" s="38"/>
    </row>
    <row r="686" spans="6:8" s="32" customFormat="1">
      <c r="F686" s="37"/>
      <c r="H686" s="38"/>
    </row>
    <row r="687" spans="6:8" s="32" customFormat="1">
      <c r="F687" s="37"/>
      <c r="H687" s="38"/>
    </row>
    <row r="688" spans="6:8" s="32" customFormat="1">
      <c r="F688" s="37"/>
      <c r="H688" s="38"/>
    </row>
    <row r="689" spans="6:8" s="32" customFormat="1">
      <c r="F689" s="37"/>
      <c r="H689" s="38"/>
    </row>
    <row r="690" spans="6:8" s="32" customFormat="1">
      <c r="F690" s="37"/>
      <c r="H690" s="38"/>
    </row>
    <row r="691" spans="6:8" s="32" customFormat="1">
      <c r="F691" s="37"/>
      <c r="H691" s="38"/>
    </row>
    <row r="692" spans="6:8" s="32" customFormat="1">
      <c r="F692" s="37"/>
      <c r="H692" s="38"/>
    </row>
    <row r="693" spans="6:8" s="32" customFormat="1">
      <c r="F693" s="37"/>
      <c r="H693" s="38"/>
    </row>
    <row r="694" spans="6:8" s="32" customFormat="1">
      <c r="F694" s="37"/>
      <c r="H694" s="38"/>
    </row>
    <row r="695" spans="6:8" s="32" customFormat="1">
      <c r="F695" s="37"/>
      <c r="H695" s="38"/>
    </row>
    <row r="696" spans="6:8" s="32" customFormat="1">
      <c r="F696" s="37"/>
      <c r="H696" s="38"/>
    </row>
    <row r="697" spans="6:8" s="32" customFormat="1">
      <c r="F697" s="37"/>
      <c r="H697" s="38"/>
    </row>
    <row r="698" spans="6:8" s="32" customFormat="1">
      <c r="F698" s="37"/>
      <c r="H698" s="38"/>
    </row>
    <row r="699" spans="6:8" s="32" customFormat="1">
      <c r="F699" s="37"/>
      <c r="H699" s="38"/>
    </row>
    <row r="700" spans="6:8" s="32" customFormat="1">
      <c r="F700" s="37"/>
      <c r="H700" s="38"/>
    </row>
    <row r="701" spans="6:8" s="32" customFormat="1">
      <c r="F701" s="37"/>
      <c r="H701" s="38"/>
    </row>
    <row r="702" spans="6:8" s="32" customFormat="1">
      <c r="F702" s="37"/>
      <c r="H702" s="38"/>
    </row>
    <row r="703" spans="6:8" s="32" customFormat="1">
      <c r="F703" s="37"/>
      <c r="H703" s="38"/>
    </row>
    <row r="704" spans="6:8" s="32" customFormat="1">
      <c r="F704" s="37"/>
      <c r="H704" s="38"/>
    </row>
    <row r="705" spans="6:8" s="32" customFormat="1">
      <c r="F705" s="37"/>
      <c r="H705" s="38"/>
    </row>
    <row r="706" spans="6:8" s="32" customFormat="1">
      <c r="F706" s="37"/>
      <c r="H706" s="38"/>
    </row>
    <row r="707" spans="6:8" s="32" customFormat="1">
      <c r="F707" s="37"/>
      <c r="H707" s="38"/>
    </row>
    <row r="708" spans="6:8" s="32" customFormat="1">
      <c r="F708" s="37"/>
      <c r="H708" s="38"/>
    </row>
    <row r="709" spans="6:8" s="32" customFormat="1">
      <c r="F709" s="37"/>
      <c r="H709" s="38"/>
    </row>
    <row r="710" spans="6:8" s="32" customFormat="1">
      <c r="F710" s="37"/>
      <c r="H710" s="38"/>
    </row>
    <row r="711" spans="6:8" s="32" customFormat="1">
      <c r="F711" s="37"/>
      <c r="H711" s="38"/>
    </row>
    <row r="712" spans="6:8" s="32" customFormat="1">
      <c r="F712" s="37"/>
      <c r="H712" s="38"/>
    </row>
    <row r="713" spans="6:8" s="32" customFormat="1">
      <c r="F713" s="37"/>
      <c r="H713" s="38"/>
    </row>
    <row r="714" spans="6:8" s="32" customFormat="1">
      <c r="F714" s="37"/>
      <c r="H714" s="38"/>
    </row>
    <row r="715" spans="6:8" s="32" customFormat="1">
      <c r="F715" s="37"/>
      <c r="H715" s="38"/>
    </row>
    <row r="716" spans="6:8" s="32" customFormat="1">
      <c r="F716" s="37"/>
      <c r="H716" s="38"/>
    </row>
    <row r="717" spans="6:8" s="32" customFormat="1">
      <c r="F717" s="37"/>
      <c r="H717" s="38"/>
    </row>
    <row r="718" spans="6:8" s="32" customFormat="1">
      <c r="F718" s="37"/>
      <c r="H718" s="38"/>
    </row>
    <row r="719" spans="6:8" s="32" customFormat="1">
      <c r="F719" s="37"/>
      <c r="H719" s="38"/>
    </row>
    <row r="720" spans="6:8" s="32" customFormat="1">
      <c r="F720" s="37"/>
      <c r="H720" s="38"/>
    </row>
    <row r="721" spans="6:8" s="32" customFormat="1">
      <c r="F721" s="37"/>
      <c r="H721" s="38"/>
    </row>
    <row r="722" spans="6:8" s="32" customFormat="1">
      <c r="F722" s="37"/>
      <c r="H722" s="38"/>
    </row>
    <row r="723" spans="6:8" s="32" customFormat="1">
      <c r="F723" s="37"/>
      <c r="H723" s="38"/>
    </row>
    <row r="724" spans="6:8" s="32" customFormat="1">
      <c r="F724" s="37"/>
      <c r="H724" s="38"/>
    </row>
    <row r="725" spans="6:8" s="32" customFormat="1">
      <c r="F725" s="37"/>
      <c r="H725" s="38"/>
    </row>
    <row r="726" spans="6:8" s="32" customFormat="1">
      <c r="F726" s="37"/>
      <c r="H726" s="38"/>
    </row>
    <row r="727" spans="6:8" s="32" customFormat="1">
      <c r="F727" s="37"/>
      <c r="H727" s="38"/>
    </row>
    <row r="728" spans="6:8" s="32" customFormat="1">
      <c r="F728" s="37"/>
      <c r="H728" s="38"/>
    </row>
    <row r="729" spans="6:8" s="32" customFormat="1">
      <c r="F729" s="37"/>
      <c r="H729" s="38"/>
    </row>
    <row r="730" spans="6:8" s="32" customFormat="1">
      <c r="F730" s="37"/>
      <c r="H730" s="38"/>
    </row>
    <row r="731" spans="6:8" s="32" customFormat="1">
      <c r="F731" s="37"/>
      <c r="H731" s="38"/>
    </row>
    <row r="732" spans="6:8" s="32" customFormat="1">
      <c r="F732" s="37"/>
      <c r="H732" s="38"/>
    </row>
    <row r="733" spans="6:8" s="32" customFormat="1">
      <c r="F733" s="37"/>
      <c r="H733" s="38"/>
    </row>
    <row r="734" spans="6:8" s="32" customFormat="1">
      <c r="F734" s="37"/>
      <c r="H734" s="38"/>
    </row>
    <row r="735" spans="6:8" s="32" customFormat="1">
      <c r="F735" s="37"/>
      <c r="H735" s="38"/>
    </row>
    <row r="736" spans="6:8" s="32" customFormat="1">
      <c r="F736" s="37"/>
      <c r="H736" s="38"/>
    </row>
    <row r="737" spans="6:8" s="32" customFormat="1">
      <c r="F737" s="37"/>
      <c r="H737" s="38"/>
    </row>
    <row r="738" spans="6:8" s="32" customFormat="1">
      <c r="F738" s="37"/>
      <c r="H738" s="38"/>
    </row>
    <row r="739" spans="6:8" s="32" customFormat="1">
      <c r="F739" s="37"/>
      <c r="H739" s="38"/>
    </row>
    <row r="740" spans="6:8" s="32" customFormat="1">
      <c r="F740" s="37"/>
      <c r="H740" s="38"/>
    </row>
    <row r="741" spans="6:8" s="32" customFormat="1">
      <c r="F741" s="37"/>
      <c r="H741" s="38"/>
    </row>
    <row r="742" spans="6:8" s="32" customFormat="1">
      <c r="F742" s="37"/>
      <c r="H742" s="38"/>
    </row>
    <row r="743" spans="6:8" s="32" customFormat="1">
      <c r="F743" s="37"/>
      <c r="H743" s="38"/>
    </row>
    <row r="744" spans="6:8" s="32" customFormat="1">
      <c r="F744" s="37"/>
      <c r="H744" s="38"/>
    </row>
    <row r="745" spans="6:8" s="32" customFormat="1">
      <c r="F745" s="37"/>
      <c r="H745" s="38"/>
    </row>
    <row r="746" spans="6:8" s="32" customFormat="1">
      <c r="F746" s="37"/>
      <c r="H746" s="38"/>
    </row>
    <row r="747" spans="6:8" s="32" customFormat="1">
      <c r="F747" s="37"/>
      <c r="H747" s="38"/>
    </row>
    <row r="748" spans="6:8" s="32" customFormat="1">
      <c r="F748" s="37"/>
      <c r="H748" s="38"/>
    </row>
    <row r="749" spans="6:8" s="32" customFormat="1">
      <c r="F749" s="37"/>
      <c r="H749" s="38"/>
    </row>
    <row r="750" spans="6:8" s="32" customFormat="1">
      <c r="F750" s="37"/>
      <c r="H750" s="38"/>
    </row>
    <row r="751" spans="6:8" s="32" customFormat="1">
      <c r="F751" s="37"/>
      <c r="H751" s="38"/>
    </row>
    <row r="752" spans="6:8" s="32" customFormat="1">
      <c r="F752" s="37"/>
      <c r="H752" s="38"/>
    </row>
    <row r="753" spans="6:8" s="32" customFormat="1">
      <c r="F753" s="37"/>
      <c r="H753" s="38"/>
    </row>
    <row r="754" spans="6:8" s="32" customFormat="1">
      <c r="F754" s="37"/>
      <c r="H754" s="38"/>
    </row>
    <row r="755" spans="6:8" s="32" customFormat="1">
      <c r="F755" s="37"/>
      <c r="H755" s="38"/>
    </row>
    <row r="756" spans="6:8" s="32" customFormat="1">
      <c r="F756" s="37"/>
      <c r="H756" s="38"/>
    </row>
    <row r="757" spans="6:8" s="32" customFormat="1">
      <c r="F757" s="37"/>
      <c r="H757" s="38"/>
    </row>
    <row r="758" spans="6:8" s="32" customFormat="1">
      <c r="F758" s="37"/>
      <c r="H758" s="38"/>
    </row>
    <row r="759" spans="6:8" s="32" customFormat="1">
      <c r="F759" s="37"/>
      <c r="H759" s="38"/>
    </row>
    <row r="760" spans="6:8" s="32" customFormat="1">
      <c r="F760" s="37"/>
      <c r="H760" s="38"/>
    </row>
    <row r="761" spans="6:8" s="32" customFormat="1">
      <c r="F761" s="37"/>
      <c r="H761" s="38"/>
    </row>
    <row r="762" spans="6:8" s="32" customFormat="1">
      <c r="F762" s="37"/>
      <c r="H762" s="38"/>
    </row>
    <row r="763" spans="6:8" s="32" customFormat="1">
      <c r="F763" s="37"/>
      <c r="H763" s="38"/>
    </row>
    <row r="764" spans="6:8" s="32" customFormat="1">
      <c r="F764" s="37"/>
      <c r="H764" s="38"/>
    </row>
    <row r="765" spans="6:8" s="32" customFormat="1">
      <c r="F765" s="37"/>
      <c r="H765" s="38"/>
    </row>
    <row r="766" spans="6:8" s="32" customFormat="1">
      <c r="F766" s="37"/>
      <c r="H766" s="38"/>
    </row>
    <row r="767" spans="6:8" s="32" customFormat="1">
      <c r="F767" s="37"/>
      <c r="H767" s="38"/>
    </row>
    <row r="768" spans="6:8" s="32" customFormat="1">
      <c r="F768" s="37"/>
      <c r="H768" s="38"/>
    </row>
    <row r="769" spans="6:8" s="32" customFormat="1">
      <c r="F769" s="37"/>
      <c r="H769" s="38"/>
    </row>
    <row r="770" spans="6:8" s="32" customFormat="1">
      <c r="F770" s="37"/>
      <c r="H770" s="38"/>
    </row>
    <row r="771" spans="6:8" s="32" customFormat="1">
      <c r="F771" s="37"/>
      <c r="H771" s="38"/>
    </row>
    <row r="772" spans="6:8" s="32" customFormat="1">
      <c r="F772" s="37"/>
      <c r="H772" s="38"/>
    </row>
    <row r="773" spans="6:8" s="32" customFormat="1">
      <c r="F773" s="37"/>
      <c r="H773" s="38"/>
    </row>
    <row r="774" spans="6:8" s="32" customFormat="1">
      <c r="F774" s="37"/>
      <c r="H774" s="38"/>
    </row>
    <row r="775" spans="6:8" s="32" customFormat="1">
      <c r="F775" s="37"/>
      <c r="H775" s="38"/>
    </row>
    <row r="776" spans="6:8" s="32" customFormat="1">
      <c r="F776" s="37"/>
      <c r="H776" s="38"/>
    </row>
    <row r="777" spans="6:8" s="32" customFormat="1">
      <c r="F777" s="37"/>
      <c r="H777" s="38"/>
    </row>
    <row r="778" spans="6:8" s="32" customFormat="1">
      <c r="F778" s="37"/>
      <c r="H778" s="38"/>
    </row>
    <row r="779" spans="6:8" s="32" customFormat="1">
      <c r="F779" s="37"/>
      <c r="H779" s="38"/>
    </row>
    <row r="780" spans="6:8" s="32" customFormat="1">
      <c r="F780" s="37"/>
      <c r="H780" s="38"/>
    </row>
    <row r="781" spans="6:8" s="32" customFormat="1">
      <c r="F781" s="37"/>
      <c r="H781" s="38"/>
    </row>
    <row r="782" spans="6:8" s="32" customFormat="1">
      <c r="F782" s="37"/>
      <c r="H782" s="38"/>
    </row>
    <row r="783" spans="6:8" s="32" customFormat="1">
      <c r="F783" s="37"/>
      <c r="H783" s="38"/>
    </row>
    <row r="784" spans="6:8" s="32" customFormat="1">
      <c r="F784" s="37"/>
      <c r="H784" s="38"/>
    </row>
    <row r="785" spans="6:8" s="32" customFormat="1">
      <c r="F785" s="37"/>
      <c r="H785" s="38"/>
    </row>
    <row r="786" spans="6:8" s="32" customFormat="1">
      <c r="F786" s="37"/>
      <c r="H786" s="38"/>
    </row>
    <row r="787" spans="6:8" s="32" customFormat="1">
      <c r="F787" s="37"/>
      <c r="H787" s="38"/>
    </row>
    <row r="788" spans="6:8" s="32" customFormat="1">
      <c r="F788" s="37"/>
      <c r="H788" s="38"/>
    </row>
    <row r="789" spans="6:8" s="32" customFormat="1">
      <c r="F789" s="37"/>
      <c r="H789" s="38"/>
    </row>
    <row r="790" spans="6:8" s="32" customFormat="1">
      <c r="F790" s="37"/>
      <c r="H790" s="38"/>
    </row>
    <row r="791" spans="6:8" s="32" customFormat="1">
      <c r="F791" s="37"/>
      <c r="H791" s="38"/>
    </row>
    <row r="792" spans="6:8" s="32" customFormat="1">
      <c r="F792" s="37"/>
      <c r="H792" s="38"/>
    </row>
    <row r="793" spans="6:8" s="32" customFormat="1">
      <c r="F793" s="37"/>
      <c r="H793" s="38"/>
    </row>
    <row r="794" spans="6:8" s="32" customFormat="1">
      <c r="F794" s="37"/>
      <c r="H794" s="38"/>
    </row>
    <row r="795" spans="6:8" s="32" customFormat="1">
      <c r="F795" s="37"/>
      <c r="H795" s="38"/>
    </row>
    <row r="796" spans="6:8" s="32" customFormat="1">
      <c r="F796" s="37"/>
      <c r="H796" s="38"/>
    </row>
    <row r="797" spans="6:8" s="32" customFormat="1">
      <c r="F797" s="37"/>
      <c r="H797" s="38"/>
    </row>
    <row r="798" spans="6:8" s="32" customFormat="1">
      <c r="F798" s="37"/>
      <c r="H798" s="38"/>
    </row>
    <row r="799" spans="6:8" s="32" customFormat="1">
      <c r="F799" s="37"/>
      <c r="H799" s="38"/>
    </row>
    <row r="800" spans="6:8" s="32" customFormat="1">
      <c r="F800" s="37"/>
      <c r="H800" s="38"/>
    </row>
    <row r="801" spans="6:8" s="32" customFormat="1">
      <c r="F801" s="37"/>
      <c r="H801" s="38"/>
    </row>
    <row r="802" spans="6:8" s="32" customFormat="1">
      <c r="F802" s="37"/>
      <c r="H802" s="38"/>
    </row>
    <row r="803" spans="6:8" s="32" customFormat="1">
      <c r="F803" s="37"/>
      <c r="H803" s="38"/>
    </row>
    <row r="804" spans="6:8" s="32" customFormat="1">
      <c r="F804" s="37"/>
      <c r="H804" s="38"/>
    </row>
    <row r="805" spans="6:8" s="32" customFormat="1">
      <c r="F805" s="37"/>
      <c r="H805" s="38"/>
    </row>
    <row r="806" spans="6:8" s="32" customFormat="1">
      <c r="F806" s="37"/>
      <c r="H806" s="38"/>
    </row>
    <row r="807" spans="6:8" s="32" customFormat="1">
      <c r="F807" s="37"/>
      <c r="H807" s="38"/>
    </row>
    <row r="808" spans="6:8" s="32" customFormat="1">
      <c r="F808" s="37"/>
      <c r="H808" s="38"/>
    </row>
    <row r="809" spans="6:8" s="32" customFormat="1">
      <c r="F809" s="37"/>
      <c r="H809" s="38"/>
    </row>
    <row r="810" spans="6:8" s="32" customFormat="1">
      <c r="F810" s="37"/>
      <c r="H810" s="38"/>
    </row>
    <row r="811" spans="6:8" s="32" customFormat="1">
      <c r="F811" s="37"/>
      <c r="H811" s="38"/>
    </row>
    <row r="812" spans="6:8" s="32" customFormat="1">
      <c r="F812" s="37"/>
      <c r="H812" s="38"/>
    </row>
    <row r="813" spans="6:8" s="32" customFormat="1">
      <c r="F813" s="37"/>
      <c r="H813" s="38"/>
    </row>
    <row r="814" spans="6:8" s="32" customFormat="1">
      <c r="F814" s="37"/>
      <c r="H814" s="38"/>
    </row>
    <row r="815" spans="6:8" s="32" customFormat="1">
      <c r="F815" s="37"/>
      <c r="H815" s="38"/>
    </row>
    <row r="816" spans="6:8" s="32" customFormat="1">
      <c r="F816" s="37"/>
      <c r="H816" s="38"/>
    </row>
    <row r="817" spans="6:8" s="32" customFormat="1">
      <c r="F817" s="37"/>
      <c r="H817" s="38"/>
    </row>
    <row r="818" spans="6:8" s="32" customFormat="1">
      <c r="F818" s="37"/>
      <c r="H818" s="38"/>
    </row>
    <row r="819" spans="6:8" s="32" customFormat="1">
      <c r="F819" s="37"/>
      <c r="H819" s="38"/>
    </row>
    <row r="820" spans="6:8" s="32" customFormat="1">
      <c r="F820" s="37"/>
      <c r="H820" s="38"/>
    </row>
    <row r="821" spans="6:8" s="32" customFormat="1">
      <c r="F821" s="37"/>
      <c r="H821" s="38"/>
    </row>
    <row r="822" spans="6:8" s="32" customFormat="1">
      <c r="F822" s="37"/>
      <c r="H822" s="38"/>
    </row>
    <row r="823" spans="6:8" s="32" customFormat="1">
      <c r="F823" s="37"/>
      <c r="H823" s="38"/>
    </row>
    <row r="824" spans="6:8" s="32" customFormat="1">
      <c r="F824" s="37"/>
      <c r="H824" s="38"/>
    </row>
    <row r="825" spans="6:8" s="32" customFormat="1">
      <c r="F825" s="37"/>
      <c r="H825" s="38"/>
    </row>
    <row r="826" spans="6:8" s="32" customFormat="1">
      <c r="F826" s="37"/>
      <c r="H826" s="38"/>
    </row>
    <row r="827" spans="6:8" s="32" customFormat="1">
      <c r="F827" s="37"/>
      <c r="H827" s="38"/>
    </row>
    <row r="828" spans="6:8" s="32" customFormat="1">
      <c r="F828" s="37"/>
      <c r="H828" s="38"/>
    </row>
    <row r="829" spans="6:8" s="32" customFormat="1">
      <c r="F829" s="37"/>
      <c r="H829" s="38"/>
    </row>
    <row r="830" spans="6:8" s="32" customFormat="1">
      <c r="F830" s="37"/>
      <c r="H830" s="38"/>
    </row>
    <row r="831" spans="6:8" s="32" customFormat="1">
      <c r="F831" s="37"/>
      <c r="H831" s="38"/>
    </row>
    <row r="832" spans="6:8" s="32" customFormat="1">
      <c r="F832" s="37"/>
      <c r="H832" s="38"/>
    </row>
    <row r="833" spans="6:8" s="32" customFormat="1">
      <c r="F833" s="37"/>
      <c r="H833" s="38"/>
    </row>
    <row r="834" spans="6:8" s="32" customFormat="1">
      <c r="F834" s="37"/>
      <c r="H834" s="38"/>
    </row>
    <row r="835" spans="6:8" s="32" customFormat="1">
      <c r="F835" s="37"/>
      <c r="H835" s="38"/>
    </row>
    <row r="836" spans="6:8" s="32" customFormat="1">
      <c r="F836" s="37"/>
      <c r="H836" s="38"/>
    </row>
    <row r="837" spans="6:8" s="32" customFormat="1">
      <c r="F837" s="37"/>
      <c r="H837" s="38"/>
    </row>
    <row r="838" spans="6:8" s="32" customFormat="1">
      <c r="F838" s="37"/>
      <c r="H838" s="38"/>
    </row>
    <row r="839" spans="6:8" s="32" customFormat="1">
      <c r="F839" s="37"/>
      <c r="H839" s="38"/>
    </row>
    <row r="840" spans="6:8" s="32" customFormat="1">
      <c r="F840" s="37"/>
      <c r="H840" s="38"/>
    </row>
    <row r="841" spans="6:8" s="32" customFormat="1">
      <c r="F841" s="37"/>
      <c r="H841" s="38"/>
    </row>
    <row r="842" spans="6:8" s="32" customFormat="1">
      <c r="F842" s="37"/>
      <c r="H842" s="38"/>
    </row>
    <row r="843" spans="6:8" s="32" customFormat="1">
      <c r="F843" s="37"/>
      <c r="H843" s="38"/>
    </row>
    <row r="844" spans="6:8" s="32" customFormat="1">
      <c r="F844" s="37"/>
      <c r="H844" s="38"/>
    </row>
    <row r="845" spans="6:8" s="32" customFormat="1">
      <c r="F845" s="37"/>
      <c r="H845" s="38"/>
    </row>
    <row r="846" spans="6:8" s="32" customFormat="1">
      <c r="F846" s="37"/>
      <c r="H846" s="38"/>
    </row>
    <row r="847" spans="6:8" s="32" customFormat="1">
      <c r="F847" s="37"/>
      <c r="H847" s="38"/>
    </row>
    <row r="848" spans="6:8" s="32" customFormat="1">
      <c r="F848" s="37"/>
      <c r="H848" s="38"/>
    </row>
    <row r="849" spans="6:8" s="32" customFormat="1">
      <c r="F849" s="37"/>
      <c r="H849" s="38"/>
    </row>
    <row r="850" spans="6:8" s="32" customFormat="1">
      <c r="F850" s="37"/>
      <c r="H850" s="38"/>
    </row>
    <row r="851" spans="6:8" s="32" customFormat="1">
      <c r="F851" s="37"/>
      <c r="H851" s="38"/>
    </row>
    <row r="852" spans="6:8" s="32" customFormat="1">
      <c r="F852" s="37"/>
      <c r="H852" s="38"/>
    </row>
    <row r="853" spans="6:8" s="32" customFormat="1">
      <c r="F853" s="37"/>
      <c r="H853" s="38"/>
    </row>
    <row r="854" spans="6:8" s="32" customFormat="1">
      <c r="F854" s="37"/>
      <c r="H854" s="38"/>
    </row>
    <row r="855" spans="6:8" s="32" customFormat="1">
      <c r="F855" s="37"/>
      <c r="H855" s="38"/>
    </row>
    <row r="856" spans="6:8" s="32" customFormat="1">
      <c r="F856" s="37"/>
      <c r="H856" s="38"/>
    </row>
    <row r="857" spans="6:8" s="32" customFormat="1">
      <c r="F857" s="37"/>
      <c r="H857" s="38"/>
    </row>
    <row r="858" spans="6:8" s="32" customFormat="1">
      <c r="F858" s="37"/>
      <c r="H858" s="38"/>
    </row>
    <row r="859" spans="6:8" s="32" customFormat="1">
      <c r="F859" s="37"/>
      <c r="H859" s="38"/>
    </row>
    <row r="860" spans="6:8" s="32" customFormat="1">
      <c r="F860" s="37"/>
      <c r="H860" s="38"/>
    </row>
    <row r="861" spans="6:8" s="32" customFormat="1">
      <c r="F861" s="37"/>
      <c r="H861" s="38"/>
    </row>
    <row r="862" spans="6:8" s="32" customFormat="1">
      <c r="F862" s="37"/>
      <c r="H862" s="38"/>
    </row>
    <row r="863" spans="6:8" s="32" customFormat="1">
      <c r="F863" s="37"/>
      <c r="H863" s="38"/>
    </row>
    <row r="864" spans="6:8" s="32" customFormat="1">
      <c r="F864" s="37"/>
      <c r="H864" s="38"/>
    </row>
    <row r="865" spans="6:8" s="32" customFormat="1">
      <c r="F865" s="37"/>
      <c r="H865" s="38"/>
    </row>
    <row r="866" spans="6:8" s="32" customFormat="1">
      <c r="F866" s="37"/>
      <c r="H866" s="38"/>
    </row>
    <row r="867" spans="6:8" s="32" customFormat="1">
      <c r="F867" s="37"/>
      <c r="H867" s="38"/>
    </row>
    <row r="868" spans="6:8" s="32" customFormat="1">
      <c r="F868" s="37"/>
      <c r="H868" s="38"/>
    </row>
    <row r="869" spans="6:8" s="32" customFormat="1">
      <c r="F869" s="37"/>
      <c r="H869" s="38"/>
    </row>
    <row r="870" spans="6:8" s="32" customFormat="1">
      <c r="F870" s="37"/>
      <c r="H870" s="38"/>
    </row>
    <row r="871" spans="6:8" s="32" customFormat="1">
      <c r="F871" s="37"/>
      <c r="H871" s="38"/>
    </row>
    <row r="872" spans="6:8" s="32" customFormat="1">
      <c r="F872" s="37"/>
      <c r="H872" s="38"/>
    </row>
    <row r="873" spans="6:8" s="32" customFormat="1">
      <c r="F873" s="37"/>
      <c r="H873" s="38"/>
    </row>
    <row r="874" spans="6:8" s="32" customFormat="1">
      <c r="F874" s="37"/>
      <c r="H874" s="38"/>
    </row>
    <row r="875" spans="6:8" s="32" customFormat="1">
      <c r="F875" s="37"/>
      <c r="H875" s="38"/>
    </row>
    <row r="876" spans="6:8" s="32" customFormat="1">
      <c r="F876" s="37"/>
      <c r="H876" s="38"/>
    </row>
    <row r="877" spans="6:8" s="32" customFormat="1">
      <c r="F877" s="37"/>
      <c r="H877" s="38"/>
    </row>
    <row r="878" spans="6:8" s="32" customFormat="1">
      <c r="F878" s="37"/>
      <c r="H878" s="38"/>
    </row>
    <row r="879" spans="6:8" s="32" customFormat="1">
      <c r="F879" s="37"/>
      <c r="H879" s="38"/>
    </row>
    <row r="880" spans="6:8" s="32" customFormat="1">
      <c r="F880" s="37"/>
      <c r="H880" s="38"/>
    </row>
    <row r="881" spans="6:8" s="32" customFormat="1">
      <c r="F881" s="37"/>
      <c r="H881" s="38"/>
    </row>
    <row r="882" spans="6:8" s="32" customFormat="1">
      <c r="F882" s="37"/>
      <c r="H882" s="38"/>
    </row>
    <row r="883" spans="6:8" s="32" customFormat="1">
      <c r="F883" s="37"/>
      <c r="H883" s="38"/>
    </row>
    <row r="884" spans="6:8" s="32" customFormat="1">
      <c r="F884" s="37"/>
      <c r="H884" s="38"/>
    </row>
    <row r="885" spans="6:8" s="32" customFormat="1">
      <c r="F885" s="37"/>
      <c r="H885" s="38"/>
    </row>
    <row r="886" spans="6:8" s="32" customFormat="1">
      <c r="F886" s="37"/>
      <c r="H886" s="38"/>
    </row>
    <row r="887" spans="6:8" s="32" customFormat="1">
      <c r="F887" s="37"/>
      <c r="H887" s="38"/>
    </row>
    <row r="888" spans="6:8" s="32" customFormat="1">
      <c r="F888" s="37"/>
      <c r="H888" s="38"/>
    </row>
    <row r="889" spans="6:8" s="32" customFormat="1">
      <c r="F889" s="37"/>
      <c r="H889" s="38"/>
    </row>
    <row r="890" spans="6:8" s="32" customFormat="1">
      <c r="F890" s="37"/>
      <c r="H890" s="38"/>
    </row>
    <row r="891" spans="6:8" s="32" customFormat="1">
      <c r="F891" s="37"/>
      <c r="H891" s="38"/>
    </row>
    <row r="892" spans="6:8" s="32" customFormat="1">
      <c r="F892" s="37"/>
      <c r="H892" s="38"/>
    </row>
    <row r="893" spans="6:8" s="32" customFormat="1">
      <c r="F893" s="37"/>
      <c r="H893" s="38"/>
    </row>
    <row r="894" spans="6:8" s="32" customFormat="1">
      <c r="F894" s="37"/>
      <c r="H894" s="38"/>
    </row>
    <row r="895" spans="6:8" s="32" customFormat="1">
      <c r="F895" s="37"/>
      <c r="H895" s="38"/>
    </row>
    <row r="896" spans="6:8" s="32" customFormat="1">
      <c r="F896" s="37"/>
      <c r="H896" s="38"/>
    </row>
    <row r="897" spans="6:8" s="32" customFormat="1">
      <c r="F897" s="37"/>
      <c r="H897" s="38"/>
    </row>
    <row r="898" spans="6:8" s="32" customFormat="1">
      <c r="F898" s="37"/>
      <c r="H898" s="38"/>
    </row>
    <row r="899" spans="6:8" s="32" customFormat="1">
      <c r="F899" s="37"/>
      <c r="H899" s="38"/>
    </row>
    <row r="900" spans="6:8" s="32" customFormat="1">
      <c r="F900" s="37"/>
      <c r="H900" s="38"/>
    </row>
    <row r="901" spans="6:8" s="32" customFormat="1">
      <c r="F901" s="37"/>
      <c r="H901" s="38"/>
    </row>
    <row r="902" spans="6:8" s="32" customFormat="1">
      <c r="F902" s="37"/>
      <c r="H902" s="38"/>
    </row>
    <row r="903" spans="6:8" s="32" customFormat="1">
      <c r="F903" s="37"/>
      <c r="H903" s="38"/>
    </row>
    <row r="904" spans="6:8" s="32" customFormat="1">
      <c r="F904" s="37"/>
      <c r="H904" s="38"/>
    </row>
    <row r="905" spans="6:8" s="32" customFormat="1">
      <c r="F905" s="37"/>
      <c r="H905" s="38"/>
    </row>
    <row r="906" spans="6:8" s="32" customFormat="1">
      <c r="F906" s="37"/>
      <c r="H906" s="38"/>
    </row>
    <row r="907" spans="6:8" s="32" customFormat="1">
      <c r="F907" s="37"/>
      <c r="H907" s="38"/>
    </row>
    <row r="908" spans="6:8" s="32" customFormat="1">
      <c r="F908" s="37"/>
      <c r="H908" s="38"/>
    </row>
    <row r="909" spans="6:8" s="32" customFormat="1">
      <c r="F909" s="37"/>
      <c r="H909" s="38"/>
    </row>
    <row r="910" spans="6:8" s="32" customFormat="1">
      <c r="F910" s="37"/>
      <c r="H910" s="38"/>
    </row>
    <row r="911" spans="6:8" s="32" customFormat="1">
      <c r="F911" s="37"/>
      <c r="H911" s="38"/>
    </row>
    <row r="912" spans="6:8" s="32" customFormat="1">
      <c r="F912" s="37"/>
      <c r="H912" s="38"/>
    </row>
    <row r="913" spans="6:8" s="32" customFormat="1">
      <c r="F913" s="37"/>
      <c r="H913" s="38"/>
    </row>
    <row r="914" spans="6:8" s="32" customFormat="1">
      <c r="F914" s="37"/>
      <c r="H914" s="38"/>
    </row>
    <row r="915" spans="6:8" s="32" customFormat="1">
      <c r="F915" s="37"/>
      <c r="H915" s="38"/>
    </row>
    <row r="916" spans="6:8" s="32" customFormat="1">
      <c r="F916" s="37"/>
      <c r="H916" s="38"/>
    </row>
    <row r="917" spans="6:8" s="32" customFormat="1">
      <c r="F917" s="37"/>
      <c r="H917" s="38"/>
    </row>
    <row r="918" spans="6:8" s="32" customFormat="1">
      <c r="F918" s="37"/>
      <c r="H918" s="38"/>
    </row>
    <row r="919" spans="6:8" s="32" customFormat="1">
      <c r="F919" s="37"/>
      <c r="H919" s="38"/>
    </row>
    <row r="920" spans="6:8" s="32" customFormat="1">
      <c r="F920" s="37"/>
      <c r="H920" s="38"/>
    </row>
    <row r="921" spans="6:8" s="32" customFormat="1">
      <c r="F921" s="37"/>
      <c r="H921" s="38"/>
    </row>
    <row r="922" spans="6:8" s="32" customFormat="1">
      <c r="F922" s="37"/>
      <c r="H922" s="38"/>
    </row>
    <row r="923" spans="6:8" s="32" customFormat="1">
      <c r="F923" s="37"/>
      <c r="H923" s="38"/>
    </row>
    <row r="924" spans="6:8" s="32" customFormat="1">
      <c r="F924" s="37"/>
      <c r="H924" s="38"/>
    </row>
    <row r="925" spans="6:8" s="32" customFormat="1">
      <c r="F925" s="37"/>
      <c r="H925" s="38"/>
    </row>
    <row r="926" spans="6:8" s="32" customFormat="1">
      <c r="F926" s="37"/>
      <c r="H926" s="38"/>
    </row>
    <row r="927" spans="6:8" s="32" customFormat="1">
      <c r="F927" s="37"/>
      <c r="H927" s="38"/>
    </row>
    <row r="928" spans="6:8" s="32" customFormat="1">
      <c r="F928" s="37"/>
      <c r="H928" s="38"/>
    </row>
    <row r="929" spans="6:8" s="32" customFormat="1">
      <c r="F929" s="37"/>
      <c r="H929" s="38"/>
    </row>
    <row r="930" spans="6:8" s="32" customFormat="1">
      <c r="F930" s="37"/>
      <c r="H930" s="38"/>
    </row>
    <row r="931" spans="6:8" s="32" customFormat="1">
      <c r="F931" s="37"/>
      <c r="H931" s="38"/>
    </row>
    <row r="932" spans="6:8" s="32" customFormat="1">
      <c r="F932" s="37"/>
      <c r="H932" s="38"/>
    </row>
    <row r="933" spans="6:8" s="32" customFormat="1">
      <c r="F933" s="37"/>
      <c r="H933" s="38"/>
    </row>
    <row r="934" spans="6:8" s="32" customFormat="1">
      <c r="F934" s="37"/>
      <c r="H934" s="38"/>
    </row>
    <row r="935" spans="6:8" s="32" customFormat="1">
      <c r="F935" s="37"/>
      <c r="H935" s="38"/>
    </row>
    <row r="936" spans="6:8" s="32" customFormat="1">
      <c r="F936" s="37"/>
      <c r="H936" s="38"/>
    </row>
    <row r="937" spans="6:8" s="32" customFormat="1">
      <c r="F937" s="37"/>
      <c r="H937" s="38"/>
    </row>
    <row r="938" spans="6:8" s="32" customFormat="1">
      <c r="F938" s="37"/>
      <c r="H938" s="38"/>
    </row>
    <row r="939" spans="6:8" s="32" customFormat="1">
      <c r="F939" s="37"/>
      <c r="H939" s="38"/>
    </row>
    <row r="940" spans="6:8" s="32" customFormat="1">
      <c r="F940" s="37"/>
      <c r="H940" s="38"/>
    </row>
    <row r="941" spans="6:8" s="32" customFormat="1">
      <c r="F941" s="37"/>
      <c r="H941" s="38"/>
    </row>
    <row r="942" spans="6:8" s="32" customFormat="1">
      <c r="F942" s="37"/>
      <c r="H942" s="38"/>
    </row>
    <row r="943" spans="6:8" s="32" customFormat="1">
      <c r="F943" s="37"/>
      <c r="H943" s="38"/>
    </row>
    <row r="944" spans="6:8" s="32" customFormat="1">
      <c r="F944" s="37"/>
      <c r="H944" s="38"/>
    </row>
    <row r="945" spans="6:8" s="32" customFormat="1">
      <c r="F945" s="37"/>
      <c r="H945" s="38"/>
    </row>
    <row r="946" spans="6:8" s="32" customFormat="1">
      <c r="F946" s="37"/>
      <c r="H946" s="38"/>
    </row>
    <row r="947" spans="6:8" s="32" customFormat="1">
      <c r="F947" s="37"/>
      <c r="H947" s="38"/>
    </row>
    <row r="948" spans="6:8" s="32" customFormat="1">
      <c r="F948" s="37"/>
      <c r="H948" s="38"/>
    </row>
    <row r="949" spans="6:8" s="32" customFormat="1">
      <c r="F949" s="37"/>
      <c r="H949" s="38"/>
    </row>
    <row r="950" spans="6:8" s="32" customFormat="1">
      <c r="F950" s="37"/>
      <c r="H950" s="38"/>
    </row>
    <row r="951" spans="6:8" s="32" customFormat="1">
      <c r="F951" s="37"/>
      <c r="H951" s="38"/>
    </row>
    <row r="952" spans="6:8" s="32" customFormat="1">
      <c r="F952" s="37"/>
      <c r="H952" s="38"/>
    </row>
    <row r="953" spans="6:8" s="32" customFormat="1">
      <c r="F953" s="37"/>
      <c r="H953" s="38"/>
    </row>
    <row r="954" spans="6:8" s="32" customFormat="1">
      <c r="F954" s="37"/>
      <c r="H954" s="38"/>
    </row>
    <row r="955" spans="6:8" s="32" customFormat="1">
      <c r="F955" s="37"/>
      <c r="H955" s="38"/>
    </row>
    <row r="956" spans="6:8" s="32" customFormat="1">
      <c r="F956" s="37"/>
      <c r="H956" s="38"/>
    </row>
    <row r="957" spans="6:8" s="32" customFormat="1">
      <c r="F957" s="37"/>
      <c r="H957" s="38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779"/>
  <sheetViews>
    <sheetView zoomScaleNormal="100" workbookViewId="0">
      <selection activeCell="B29" sqref="B29"/>
    </sheetView>
  </sheetViews>
  <sheetFormatPr defaultRowHeight="12.75"/>
  <cols>
    <col min="1" max="1" width="3.42578125" style="32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5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95" width="9.140625" style="32"/>
  </cols>
  <sheetData>
    <row r="1" spans="1:9" ht="15.95" customHeight="1">
      <c r="A1" s="29"/>
      <c r="B1" s="175" t="s">
        <v>369</v>
      </c>
      <c r="C1" s="176"/>
      <c r="D1" s="176"/>
      <c r="E1" s="176"/>
      <c r="F1" s="176"/>
      <c r="G1" s="176"/>
      <c r="H1" s="177"/>
      <c r="I1" s="1"/>
    </row>
    <row r="2" spans="1:9" ht="12.95" customHeight="1" thickBot="1">
      <c r="A2" s="29"/>
      <c r="B2" s="178" t="s">
        <v>393</v>
      </c>
      <c r="C2" s="179"/>
      <c r="D2" s="179"/>
      <c r="E2" s="179"/>
      <c r="F2" s="179"/>
      <c r="G2" s="179"/>
      <c r="H2" s="180"/>
      <c r="I2" s="1"/>
    </row>
    <row r="3" spans="1:9" s="32" customFormat="1" ht="12.95" customHeight="1">
      <c r="A3" s="29"/>
      <c r="B3" s="86"/>
      <c r="C3" s="86"/>
      <c r="D3" s="86"/>
      <c r="E3" s="86"/>
      <c r="F3" s="86"/>
      <c r="G3" s="86"/>
      <c r="H3" s="86"/>
      <c r="I3" s="29"/>
    </row>
    <row r="4" spans="1:9" s="32" customFormat="1" ht="12.95" customHeight="1" thickBot="1">
      <c r="A4" s="30"/>
      <c r="B4" s="33" t="s">
        <v>2</v>
      </c>
      <c r="C4" s="29"/>
      <c r="D4" s="29"/>
      <c r="E4" s="29"/>
      <c r="F4" s="34"/>
      <c r="G4" s="29"/>
      <c r="H4" s="35"/>
      <c r="I4" s="29"/>
    </row>
    <row r="5" spans="1:9" ht="27.95" customHeight="1">
      <c r="A5" s="29"/>
      <c r="B5" s="58" t="s">
        <v>3</v>
      </c>
      <c r="C5" s="59" t="s">
        <v>4</v>
      </c>
      <c r="D5" s="60" t="s">
        <v>5</v>
      </c>
      <c r="E5" s="60" t="s">
        <v>6</v>
      </c>
      <c r="F5" s="61" t="s">
        <v>7</v>
      </c>
      <c r="G5" s="60" t="s">
        <v>8</v>
      </c>
      <c r="H5" s="62" t="s">
        <v>9</v>
      </c>
      <c r="I5" s="39" t="s">
        <v>10</v>
      </c>
    </row>
    <row r="6" spans="1:9" ht="12.95" customHeight="1">
      <c r="A6" s="29"/>
      <c r="B6" s="17" t="s">
        <v>370</v>
      </c>
      <c r="C6" s="55"/>
      <c r="D6" s="46"/>
      <c r="E6" s="46"/>
      <c r="F6" s="47"/>
      <c r="G6" s="46"/>
      <c r="H6" s="144"/>
      <c r="I6" s="27"/>
    </row>
    <row r="7" spans="1:9" ht="12.95" customHeight="1">
      <c r="A7" s="29"/>
      <c r="B7" s="21" t="s">
        <v>371</v>
      </c>
      <c r="C7" s="56"/>
      <c r="D7" s="46"/>
      <c r="E7" s="146" t="s">
        <v>197</v>
      </c>
      <c r="F7" s="146" t="s">
        <v>197</v>
      </c>
      <c r="G7" s="146" t="s">
        <v>197</v>
      </c>
      <c r="H7" s="147" t="s">
        <v>197</v>
      </c>
      <c r="I7" s="10" t="s">
        <v>197</v>
      </c>
    </row>
    <row r="8" spans="1:9" ht="12.95" customHeight="1">
      <c r="A8" s="31"/>
      <c r="B8" s="24" t="s">
        <v>196</v>
      </c>
      <c r="C8" s="57"/>
      <c r="D8" s="46"/>
      <c r="E8" s="146" t="s">
        <v>197</v>
      </c>
      <c r="F8" s="146" t="s">
        <v>197</v>
      </c>
      <c r="G8" s="146" t="s">
        <v>197</v>
      </c>
      <c r="H8" s="147" t="s">
        <v>197</v>
      </c>
      <c r="I8" s="10" t="s">
        <v>197</v>
      </c>
    </row>
    <row r="9" spans="1:9" ht="12.95" customHeight="1">
      <c r="A9" s="31"/>
      <c r="B9" s="100"/>
      <c r="C9" s="45"/>
      <c r="D9" s="46"/>
      <c r="E9" s="46"/>
      <c r="F9" s="46"/>
      <c r="G9" s="46"/>
      <c r="H9" s="101"/>
      <c r="I9" s="11"/>
    </row>
    <row r="10" spans="1:9" ht="12.95" customHeight="1">
      <c r="A10" s="31"/>
      <c r="B10" s="17" t="s">
        <v>372</v>
      </c>
      <c r="C10" s="55"/>
      <c r="D10" s="46"/>
      <c r="E10" s="46"/>
      <c r="F10" s="46"/>
      <c r="G10" s="46"/>
      <c r="H10" s="101"/>
      <c r="I10" s="11"/>
    </row>
    <row r="11" spans="1:9" ht="12.95" customHeight="1">
      <c r="A11" s="31"/>
      <c r="B11" s="21" t="s">
        <v>383</v>
      </c>
      <c r="C11" s="56"/>
      <c r="D11" s="46"/>
      <c r="E11" s="146" t="s">
        <v>197</v>
      </c>
      <c r="F11" s="146" t="s">
        <v>197</v>
      </c>
      <c r="G11" s="146" t="s">
        <v>197</v>
      </c>
      <c r="H11" s="147" t="s">
        <v>197</v>
      </c>
      <c r="I11" s="10" t="s">
        <v>197</v>
      </c>
    </row>
    <row r="12" spans="1:9" ht="12.95" customHeight="1">
      <c r="A12" s="31"/>
      <c r="B12" s="24" t="s">
        <v>374</v>
      </c>
      <c r="C12" s="57"/>
      <c r="D12" s="46"/>
      <c r="E12" s="146" t="s">
        <v>197</v>
      </c>
      <c r="F12" s="146" t="s">
        <v>197</v>
      </c>
      <c r="G12" s="146" t="s">
        <v>197</v>
      </c>
      <c r="H12" s="147" t="s">
        <v>197</v>
      </c>
      <c r="I12" s="10" t="s">
        <v>197</v>
      </c>
    </row>
    <row r="13" spans="1:9" ht="12.95" customHeight="1">
      <c r="A13" s="29"/>
      <c r="B13" s="24" t="s">
        <v>375</v>
      </c>
      <c r="C13" s="57"/>
      <c r="D13" s="46"/>
      <c r="E13" s="146" t="s">
        <v>197</v>
      </c>
      <c r="F13" s="146" t="s">
        <v>197</v>
      </c>
      <c r="G13" s="146" t="s">
        <v>197</v>
      </c>
      <c r="H13" s="147" t="s">
        <v>197</v>
      </c>
      <c r="I13" s="10" t="s">
        <v>197</v>
      </c>
    </row>
    <row r="14" spans="1:9" ht="12.95" customHeight="1">
      <c r="A14" s="29"/>
      <c r="B14" s="24"/>
      <c r="C14" s="57"/>
      <c r="D14" s="46"/>
      <c r="E14" s="146"/>
      <c r="F14" s="146"/>
      <c r="G14" s="146"/>
      <c r="H14" s="147"/>
      <c r="I14" s="145"/>
    </row>
    <row r="15" spans="1:9" ht="12.95" customHeight="1">
      <c r="A15" s="29"/>
      <c r="B15" s="63" t="s">
        <v>11</v>
      </c>
      <c r="C15" s="19" t="s">
        <v>1</v>
      </c>
      <c r="D15" s="19" t="s">
        <v>1</v>
      </c>
      <c r="E15" s="19" t="s">
        <v>1</v>
      </c>
      <c r="F15" s="48" t="s">
        <v>1</v>
      </c>
      <c r="G15" s="49"/>
      <c r="H15" s="64" t="s">
        <v>1</v>
      </c>
      <c r="I15" s="12" t="s">
        <v>1</v>
      </c>
    </row>
    <row r="16" spans="1:9" ht="12.95" customHeight="1">
      <c r="A16" s="29"/>
      <c r="B16" s="63" t="s">
        <v>12</v>
      </c>
      <c r="C16" s="19" t="s">
        <v>1</v>
      </c>
      <c r="D16" s="19" t="s">
        <v>1</v>
      </c>
      <c r="E16" s="19" t="s">
        <v>1</v>
      </c>
      <c r="F16" s="48" t="s">
        <v>1</v>
      </c>
      <c r="G16" s="49"/>
      <c r="H16" s="64" t="s">
        <v>1</v>
      </c>
      <c r="I16" s="12" t="s">
        <v>1</v>
      </c>
    </row>
    <row r="17" spans="1:9" ht="12.95" customHeight="1">
      <c r="A17" s="31"/>
      <c r="B17" s="65" t="s">
        <v>367</v>
      </c>
      <c r="C17" s="19" t="s">
        <v>368</v>
      </c>
      <c r="D17" s="19" t="s">
        <v>15</v>
      </c>
      <c r="E17" s="50">
        <v>180000</v>
      </c>
      <c r="F17" s="51">
        <v>175.32756000000001</v>
      </c>
      <c r="G17" s="52">
        <v>175.33</v>
      </c>
      <c r="H17" s="66">
        <v>0.39919939200719906</v>
      </c>
      <c r="I17" s="3">
        <v>0.3992</v>
      </c>
    </row>
    <row r="18" spans="1:9" ht="12.95" customHeight="1">
      <c r="A18" s="31"/>
      <c r="B18" s="65" t="s">
        <v>365</v>
      </c>
      <c r="C18" s="19" t="s">
        <v>366</v>
      </c>
      <c r="D18" s="19" t="s">
        <v>15</v>
      </c>
      <c r="E18" s="50">
        <v>140000</v>
      </c>
      <c r="F18" s="51">
        <v>131.17174</v>
      </c>
      <c r="G18" s="52">
        <v>131.16999999999999</v>
      </c>
      <c r="H18" s="66">
        <v>0.29866199504816238</v>
      </c>
      <c r="I18" s="3">
        <v>0.29870000000000002</v>
      </c>
    </row>
    <row r="19" spans="1:9" ht="12.95" customHeight="1">
      <c r="A19" s="31"/>
      <c r="B19" s="65" t="s">
        <v>361</v>
      </c>
      <c r="C19" s="19" t="s">
        <v>362</v>
      </c>
      <c r="D19" s="19" t="s">
        <v>15</v>
      </c>
      <c r="E19" s="50">
        <v>137000</v>
      </c>
      <c r="F19" s="51">
        <v>131.114891</v>
      </c>
      <c r="G19" s="52">
        <v>131.11000000000001</v>
      </c>
      <c r="H19" s="66">
        <v>0.29853255683413477</v>
      </c>
      <c r="I19" s="3">
        <v>0.29849999999999999</v>
      </c>
    </row>
    <row r="20" spans="1:9" ht="12.95" customHeight="1">
      <c r="A20" s="29"/>
      <c r="B20" s="63" t="s">
        <v>38</v>
      </c>
      <c r="C20" s="19" t="s">
        <v>1</v>
      </c>
      <c r="D20" s="19" t="s">
        <v>1</v>
      </c>
      <c r="E20" s="19" t="s">
        <v>1</v>
      </c>
      <c r="F20" s="20">
        <v>437.61419100000001</v>
      </c>
      <c r="G20" s="53">
        <v>437.61</v>
      </c>
      <c r="H20" s="67">
        <v>0.9963939438894962</v>
      </c>
      <c r="I20" s="41">
        <v>0.99639999999999995</v>
      </c>
    </row>
    <row r="21" spans="1:9" ht="12.95" customHeight="1">
      <c r="A21" s="29"/>
      <c r="B21" s="63" t="s">
        <v>39</v>
      </c>
      <c r="C21" s="19" t="s">
        <v>1</v>
      </c>
      <c r="D21" s="19" t="s">
        <v>1</v>
      </c>
      <c r="E21" s="19" t="s">
        <v>1</v>
      </c>
      <c r="F21" s="20">
        <v>437.61419100000001</v>
      </c>
      <c r="G21" s="53">
        <v>437.61</v>
      </c>
      <c r="H21" s="67">
        <v>0.9963939438894962</v>
      </c>
      <c r="I21" s="41">
        <v>0.99639999999999995</v>
      </c>
    </row>
    <row r="22" spans="1:9" ht="12.95" customHeight="1">
      <c r="A22" s="29"/>
      <c r="B22" s="63"/>
      <c r="C22" s="19"/>
      <c r="D22" s="19"/>
      <c r="E22" s="19"/>
      <c r="F22" s="20"/>
      <c r="G22" s="53"/>
      <c r="H22" s="67"/>
      <c r="I22" s="87"/>
    </row>
    <row r="23" spans="1:9" ht="12.95" customHeight="1">
      <c r="A23" s="29"/>
      <c r="B23" s="63" t="s">
        <v>40</v>
      </c>
      <c r="C23" s="19" t="s">
        <v>1</v>
      </c>
      <c r="D23" s="19" t="s">
        <v>1</v>
      </c>
      <c r="E23" s="19" t="s">
        <v>1</v>
      </c>
      <c r="F23" s="48" t="s">
        <v>1</v>
      </c>
      <c r="G23" s="49"/>
      <c r="H23" s="64" t="s">
        <v>1</v>
      </c>
      <c r="I23" s="12" t="s">
        <v>1</v>
      </c>
    </row>
    <row r="24" spans="1:9" ht="12.95" customHeight="1">
      <c r="A24" s="31"/>
      <c r="B24" s="65" t="s">
        <v>41</v>
      </c>
      <c r="C24" s="19" t="s">
        <v>1</v>
      </c>
      <c r="D24" s="19" t="s">
        <v>42</v>
      </c>
      <c r="E24" s="50"/>
      <c r="F24" s="51">
        <v>1.12955E-2</v>
      </c>
      <c r="G24" s="52">
        <v>0.01</v>
      </c>
      <c r="H24" s="66">
        <v>2.5718470800696233E-5</v>
      </c>
      <c r="I24" s="40" t="s">
        <v>195</v>
      </c>
    </row>
    <row r="25" spans="1:9" ht="12.95" customHeight="1">
      <c r="A25" s="29"/>
      <c r="B25" s="63" t="s">
        <v>38</v>
      </c>
      <c r="C25" s="19" t="s">
        <v>1</v>
      </c>
      <c r="D25" s="19" t="s">
        <v>1</v>
      </c>
      <c r="E25" s="19" t="s">
        <v>1</v>
      </c>
      <c r="F25" s="20">
        <v>1.12955E-2</v>
      </c>
      <c r="G25" s="53">
        <v>0.01</v>
      </c>
      <c r="H25" s="67">
        <v>2.5718470800696233E-5</v>
      </c>
      <c r="I25" s="41">
        <v>0</v>
      </c>
    </row>
    <row r="26" spans="1:9" ht="12.95" customHeight="1">
      <c r="A26" s="29"/>
      <c r="B26" s="63"/>
      <c r="C26" s="19"/>
      <c r="D26" s="19"/>
      <c r="E26" s="19"/>
      <c r="F26" s="20"/>
      <c r="G26" s="150"/>
      <c r="H26" s="67"/>
      <c r="I26" s="41"/>
    </row>
    <row r="27" spans="1:9" ht="12.95" customHeight="1">
      <c r="A27" s="29"/>
      <c r="B27" s="63" t="s">
        <v>280</v>
      </c>
      <c r="C27" s="89"/>
      <c r="D27" s="89"/>
      <c r="E27" s="89"/>
      <c r="F27" s="90"/>
      <c r="G27" s="91"/>
      <c r="H27" s="67"/>
      <c r="I27" s="41"/>
    </row>
    <row r="28" spans="1:9" ht="12.95" customHeight="1">
      <c r="A28" s="29"/>
      <c r="B28" s="149" t="s">
        <v>43</v>
      </c>
      <c r="C28" s="19" t="s">
        <v>1</v>
      </c>
      <c r="D28" s="19" t="s">
        <v>1</v>
      </c>
      <c r="E28" s="19" t="s">
        <v>1</v>
      </c>
      <c r="F28" s="22">
        <v>1.5724769999999999</v>
      </c>
      <c r="G28" s="78">
        <v>1.58</v>
      </c>
      <c r="H28" s="68">
        <v>3.5803376397031267E-3</v>
      </c>
      <c r="I28" s="41">
        <v>3.5999999999999999E-3</v>
      </c>
    </row>
    <row r="29" spans="1:9" ht="12.95" customHeight="1">
      <c r="A29" s="29"/>
      <c r="B29" s="88" t="s">
        <v>38</v>
      </c>
      <c r="C29" s="25"/>
      <c r="D29" s="25"/>
      <c r="E29" s="25"/>
      <c r="F29" s="20">
        <v>1.5724769999999999</v>
      </c>
      <c r="G29" s="53">
        <v>1.58</v>
      </c>
      <c r="H29" s="67">
        <v>3.5803376397031267E-3</v>
      </c>
      <c r="I29" s="74"/>
    </row>
    <row r="30" spans="1:9" ht="12.95" customHeight="1">
      <c r="A30" s="29"/>
      <c r="B30" s="94" t="s">
        <v>39</v>
      </c>
      <c r="C30" s="25"/>
      <c r="D30" s="25"/>
      <c r="E30" s="25"/>
      <c r="F30" s="26">
        <f>F25+F29</f>
        <v>1.5837724999999998</v>
      </c>
      <c r="G30" s="26">
        <f t="shared" ref="G30:H30" si="0">G25+G29</f>
        <v>1.59</v>
      </c>
      <c r="H30" s="67">
        <f t="shared" si="0"/>
        <v>3.606056110503823E-3</v>
      </c>
      <c r="I30" s="74"/>
    </row>
    <row r="31" spans="1:9" ht="12.95" customHeight="1" thickBot="1">
      <c r="A31" s="29"/>
      <c r="B31" s="69" t="s">
        <v>44</v>
      </c>
      <c r="C31" s="70" t="s">
        <v>1</v>
      </c>
      <c r="D31" s="70" t="s">
        <v>1</v>
      </c>
      <c r="E31" s="70" t="s">
        <v>1</v>
      </c>
      <c r="F31" s="71">
        <v>439.19796350000001</v>
      </c>
      <c r="G31" s="72">
        <v>439.2</v>
      </c>
      <c r="H31" s="73">
        <v>1</v>
      </c>
      <c r="I31" s="44">
        <v>1</v>
      </c>
    </row>
    <row r="32" spans="1:9" s="32" customFormat="1" ht="12.95" customHeight="1">
      <c r="A32" s="29"/>
      <c r="B32" s="30" t="s">
        <v>1</v>
      </c>
      <c r="C32" s="29"/>
      <c r="D32" s="29"/>
      <c r="E32" s="29"/>
      <c r="F32" s="34"/>
      <c r="G32" s="29"/>
      <c r="H32" s="35"/>
      <c r="I32" s="29"/>
    </row>
    <row r="33" spans="1:9" s="32" customFormat="1" ht="12.95" customHeight="1">
      <c r="A33" s="29"/>
      <c r="B33" s="36" t="s">
        <v>42</v>
      </c>
      <c r="C33" s="29"/>
      <c r="D33" s="29"/>
      <c r="E33" s="29"/>
      <c r="F33" s="34"/>
      <c r="G33" s="29"/>
      <c r="H33" s="35"/>
      <c r="I33" s="29"/>
    </row>
    <row r="34" spans="1:9" s="32" customFormat="1" ht="12.95" customHeight="1">
      <c r="A34" s="29"/>
      <c r="B34" s="80" t="s">
        <v>45</v>
      </c>
      <c r="C34" s="81"/>
      <c r="D34" s="29"/>
      <c r="E34" s="29"/>
      <c r="F34" s="34"/>
      <c r="G34" s="29"/>
      <c r="H34" s="35"/>
      <c r="I34" s="29"/>
    </row>
    <row r="35" spans="1:9" s="32" customFormat="1" ht="12.95" customHeight="1">
      <c r="A35" s="29"/>
      <c r="B35" s="80" t="s">
        <v>46</v>
      </c>
      <c r="C35" s="81"/>
      <c r="D35" s="29"/>
      <c r="E35" s="29"/>
      <c r="F35" s="34"/>
      <c r="G35" s="29"/>
      <c r="H35" s="35"/>
      <c r="I35" s="29"/>
    </row>
    <row r="36" spans="1:9" s="32" customFormat="1" ht="12.95" customHeight="1" thickBot="1">
      <c r="A36" s="29"/>
      <c r="B36" s="80" t="s">
        <v>1</v>
      </c>
      <c r="C36" s="81"/>
      <c r="D36" s="29"/>
      <c r="E36" s="29"/>
      <c r="F36" s="34"/>
      <c r="G36" s="29"/>
      <c r="H36" s="35"/>
      <c r="I36" s="29"/>
    </row>
    <row r="37" spans="1:9" s="32" customFormat="1" ht="12.95" customHeight="1" thickBot="1">
      <c r="A37" s="29"/>
      <c r="B37" s="142" t="s">
        <v>392</v>
      </c>
      <c r="C37" s="143" t="s">
        <v>398</v>
      </c>
      <c r="D37" s="29"/>
      <c r="E37" s="29"/>
      <c r="F37" s="34"/>
      <c r="G37" s="29"/>
      <c r="H37" s="35"/>
      <c r="I37" s="29"/>
    </row>
    <row r="38" spans="1:9" s="32" customFormat="1" ht="12.95" customHeight="1">
      <c r="A38" s="29"/>
      <c r="B38" s="36" t="s">
        <v>1</v>
      </c>
      <c r="C38" s="29"/>
      <c r="D38" s="29"/>
      <c r="E38" s="29"/>
      <c r="F38" s="34"/>
      <c r="G38" s="29"/>
      <c r="H38" s="35"/>
      <c r="I38" s="29"/>
    </row>
    <row r="39" spans="1:9" s="32" customFormat="1">
      <c r="F39" s="37"/>
      <c r="H39" s="38"/>
    </row>
    <row r="40" spans="1:9" s="32" customFormat="1">
      <c r="F40" s="37"/>
      <c r="H40" s="38"/>
    </row>
    <row r="41" spans="1:9" s="32" customFormat="1">
      <c r="F41" s="37"/>
      <c r="H41" s="38"/>
    </row>
    <row r="42" spans="1:9" s="32" customFormat="1">
      <c r="F42" s="37"/>
      <c r="H42" s="38"/>
    </row>
    <row r="43" spans="1:9" s="32" customFormat="1">
      <c r="F43" s="37"/>
      <c r="H43" s="38"/>
    </row>
    <row r="44" spans="1:9" s="32" customFormat="1">
      <c r="F44" s="37"/>
      <c r="H44" s="38"/>
    </row>
    <row r="45" spans="1:9" s="32" customFormat="1">
      <c r="F45" s="37"/>
      <c r="H45" s="38"/>
    </row>
    <row r="46" spans="1:9" s="32" customFormat="1">
      <c r="F46" s="37"/>
      <c r="H46" s="38"/>
    </row>
    <row r="47" spans="1:9" s="32" customFormat="1">
      <c r="F47" s="37"/>
      <c r="H47" s="38"/>
    </row>
    <row r="48" spans="1:9" s="32" customFormat="1">
      <c r="F48" s="37"/>
      <c r="H48" s="38"/>
    </row>
    <row r="49" spans="6:8" s="32" customFormat="1">
      <c r="F49" s="37"/>
      <c r="H49" s="38"/>
    </row>
    <row r="50" spans="6:8" s="32" customFormat="1">
      <c r="F50" s="37"/>
      <c r="H50" s="38"/>
    </row>
    <row r="51" spans="6:8" s="32" customFormat="1">
      <c r="F51" s="37"/>
      <c r="H51" s="38"/>
    </row>
    <row r="52" spans="6:8" s="32" customFormat="1">
      <c r="F52" s="37"/>
      <c r="H52" s="38"/>
    </row>
    <row r="53" spans="6:8" s="32" customFormat="1">
      <c r="F53" s="37"/>
      <c r="H53" s="38"/>
    </row>
    <row r="54" spans="6:8" s="32" customFormat="1">
      <c r="F54" s="37"/>
      <c r="H54" s="38"/>
    </row>
    <row r="55" spans="6:8" s="32" customFormat="1">
      <c r="F55" s="37"/>
      <c r="H55" s="38"/>
    </row>
    <row r="56" spans="6:8" s="32" customFormat="1">
      <c r="F56" s="37"/>
      <c r="H56" s="38"/>
    </row>
    <row r="57" spans="6:8" s="32" customFormat="1">
      <c r="F57" s="37"/>
      <c r="H57" s="38"/>
    </row>
    <row r="58" spans="6:8" s="32" customFormat="1">
      <c r="F58" s="37"/>
      <c r="H58" s="38"/>
    </row>
    <row r="59" spans="6:8" s="32" customFormat="1">
      <c r="F59" s="37"/>
      <c r="H59" s="38"/>
    </row>
    <row r="60" spans="6:8" s="32" customFormat="1">
      <c r="F60" s="37"/>
      <c r="H60" s="38"/>
    </row>
    <row r="61" spans="6:8" s="32" customFormat="1">
      <c r="F61" s="37"/>
      <c r="H61" s="38"/>
    </row>
    <row r="62" spans="6:8" s="32" customFormat="1">
      <c r="F62" s="37"/>
      <c r="H62" s="38"/>
    </row>
    <row r="63" spans="6:8" s="32" customFormat="1">
      <c r="F63" s="37"/>
      <c r="H63" s="38"/>
    </row>
    <row r="64" spans="6:8" s="32" customFormat="1">
      <c r="F64" s="37"/>
      <c r="H64" s="38"/>
    </row>
    <row r="65" spans="6:8" s="32" customFormat="1">
      <c r="F65" s="37"/>
      <c r="H65" s="38"/>
    </row>
    <row r="66" spans="6:8" s="32" customFormat="1">
      <c r="F66" s="37"/>
      <c r="H66" s="38"/>
    </row>
    <row r="67" spans="6:8" s="32" customFormat="1">
      <c r="F67" s="37"/>
      <c r="H67" s="38"/>
    </row>
    <row r="68" spans="6:8" s="32" customFormat="1">
      <c r="F68" s="37"/>
      <c r="H68" s="38"/>
    </row>
    <row r="69" spans="6:8" s="32" customFormat="1">
      <c r="F69" s="37"/>
      <c r="H69" s="38"/>
    </row>
    <row r="70" spans="6:8" s="32" customFormat="1">
      <c r="F70" s="37"/>
      <c r="H70" s="38"/>
    </row>
    <row r="71" spans="6:8" s="32" customFormat="1">
      <c r="F71" s="37"/>
      <c r="H71" s="38"/>
    </row>
    <row r="72" spans="6:8" s="32" customFormat="1">
      <c r="F72" s="37"/>
      <c r="H72" s="38"/>
    </row>
    <row r="73" spans="6:8" s="32" customFormat="1">
      <c r="F73" s="37"/>
      <c r="H73" s="38"/>
    </row>
    <row r="74" spans="6:8" s="32" customFormat="1">
      <c r="F74" s="37"/>
      <c r="H74" s="38"/>
    </row>
    <row r="75" spans="6:8" s="32" customFormat="1">
      <c r="F75" s="37"/>
      <c r="H75" s="38"/>
    </row>
    <row r="76" spans="6:8" s="32" customFormat="1">
      <c r="F76" s="37"/>
      <c r="H76" s="38"/>
    </row>
    <row r="77" spans="6:8" s="32" customFormat="1">
      <c r="F77" s="37"/>
      <c r="H77" s="38"/>
    </row>
    <row r="78" spans="6:8" s="32" customFormat="1">
      <c r="F78" s="37"/>
      <c r="H78" s="38"/>
    </row>
    <row r="79" spans="6:8" s="32" customFormat="1">
      <c r="F79" s="37"/>
      <c r="H79" s="38"/>
    </row>
    <row r="80" spans="6:8" s="32" customFormat="1">
      <c r="F80" s="37"/>
      <c r="H80" s="38"/>
    </row>
    <row r="81" spans="6:8" s="32" customFormat="1">
      <c r="F81" s="37"/>
      <c r="H81" s="38"/>
    </row>
    <row r="82" spans="6:8" s="32" customFormat="1">
      <c r="F82" s="37"/>
      <c r="H82" s="38"/>
    </row>
    <row r="83" spans="6:8" s="32" customFormat="1">
      <c r="F83" s="37"/>
      <c r="H83" s="38"/>
    </row>
    <row r="84" spans="6:8" s="32" customFormat="1">
      <c r="F84" s="37"/>
      <c r="H84" s="38"/>
    </row>
    <row r="85" spans="6:8" s="32" customFormat="1">
      <c r="F85" s="37"/>
      <c r="H85" s="38"/>
    </row>
    <row r="86" spans="6:8" s="32" customFormat="1">
      <c r="F86" s="37"/>
      <c r="H86" s="38"/>
    </row>
    <row r="87" spans="6:8" s="32" customFormat="1">
      <c r="F87" s="37"/>
      <c r="H87" s="38"/>
    </row>
    <row r="88" spans="6:8" s="32" customFormat="1">
      <c r="F88" s="37"/>
      <c r="H88" s="38"/>
    </row>
    <row r="89" spans="6:8" s="32" customFormat="1">
      <c r="F89" s="37"/>
      <c r="H89" s="38"/>
    </row>
    <row r="90" spans="6:8" s="32" customFormat="1">
      <c r="F90" s="37"/>
      <c r="H90" s="38"/>
    </row>
    <row r="91" spans="6:8" s="32" customFormat="1">
      <c r="F91" s="37"/>
      <c r="H91" s="38"/>
    </row>
    <row r="92" spans="6:8" s="32" customFormat="1">
      <c r="F92" s="37"/>
      <c r="H92" s="38"/>
    </row>
    <row r="93" spans="6:8" s="32" customFormat="1">
      <c r="F93" s="37"/>
      <c r="H93" s="38"/>
    </row>
    <row r="94" spans="6:8" s="32" customFormat="1">
      <c r="F94" s="37"/>
      <c r="H94" s="38"/>
    </row>
    <row r="95" spans="6:8" s="32" customFormat="1">
      <c r="F95" s="37"/>
      <c r="H95" s="38"/>
    </row>
    <row r="96" spans="6:8" s="32" customFormat="1">
      <c r="F96" s="37"/>
      <c r="H96" s="38"/>
    </row>
    <row r="97" spans="6:8" s="32" customFormat="1">
      <c r="F97" s="37"/>
      <c r="H97" s="38"/>
    </row>
    <row r="98" spans="6:8" s="32" customFormat="1">
      <c r="F98" s="37"/>
      <c r="H98" s="38"/>
    </row>
    <row r="99" spans="6:8" s="32" customFormat="1">
      <c r="F99" s="37"/>
      <c r="H99" s="38"/>
    </row>
    <row r="100" spans="6:8" s="32" customFormat="1">
      <c r="F100" s="37"/>
      <c r="H100" s="38"/>
    </row>
    <row r="101" spans="6:8" s="32" customFormat="1">
      <c r="F101" s="37"/>
      <c r="H101" s="38"/>
    </row>
    <row r="102" spans="6:8" s="32" customFormat="1">
      <c r="F102" s="37"/>
      <c r="H102" s="38"/>
    </row>
    <row r="103" spans="6:8" s="32" customFormat="1">
      <c r="F103" s="37"/>
      <c r="H103" s="38"/>
    </row>
    <row r="104" spans="6:8" s="32" customFormat="1">
      <c r="F104" s="37"/>
      <c r="H104" s="38"/>
    </row>
    <row r="105" spans="6:8" s="32" customFormat="1">
      <c r="F105" s="37"/>
      <c r="H105" s="38"/>
    </row>
    <row r="106" spans="6:8" s="32" customFormat="1">
      <c r="F106" s="37"/>
      <c r="H106" s="38"/>
    </row>
    <row r="107" spans="6:8" s="32" customFormat="1">
      <c r="F107" s="37"/>
      <c r="H107" s="38"/>
    </row>
    <row r="108" spans="6:8" s="32" customFormat="1">
      <c r="F108" s="37"/>
      <c r="H108" s="38"/>
    </row>
    <row r="109" spans="6:8" s="32" customFormat="1">
      <c r="F109" s="37"/>
      <c r="H109" s="38"/>
    </row>
    <row r="110" spans="6:8" s="32" customFormat="1">
      <c r="F110" s="37"/>
      <c r="H110" s="38"/>
    </row>
    <row r="111" spans="6:8" s="32" customFormat="1">
      <c r="F111" s="37"/>
      <c r="H111" s="38"/>
    </row>
    <row r="112" spans="6:8" s="32" customFormat="1">
      <c r="F112" s="37"/>
      <c r="H112" s="38"/>
    </row>
    <row r="113" spans="6:8" s="32" customFormat="1">
      <c r="F113" s="37"/>
      <c r="H113" s="38"/>
    </row>
    <row r="114" spans="6:8" s="32" customFormat="1">
      <c r="F114" s="37"/>
      <c r="H114" s="38"/>
    </row>
    <row r="115" spans="6:8" s="32" customFormat="1">
      <c r="F115" s="37"/>
      <c r="H115" s="38"/>
    </row>
    <row r="116" spans="6:8" s="32" customFormat="1">
      <c r="F116" s="37"/>
      <c r="H116" s="38"/>
    </row>
    <row r="117" spans="6:8" s="32" customFormat="1">
      <c r="F117" s="37"/>
      <c r="H117" s="38"/>
    </row>
    <row r="118" spans="6:8" s="32" customFormat="1">
      <c r="F118" s="37"/>
      <c r="H118" s="38"/>
    </row>
    <row r="119" spans="6:8" s="32" customFormat="1">
      <c r="F119" s="37"/>
      <c r="H119" s="38"/>
    </row>
    <row r="120" spans="6:8" s="32" customFormat="1">
      <c r="F120" s="37"/>
      <c r="H120" s="38"/>
    </row>
    <row r="121" spans="6:8" s="32" customFormat="1">
      <c r="F121" s="37"/>
      <c r="H121" s="38"/>
    </row>
    <row r="122" spans="6:8" s="32" customFormat="1">
      <c r="F122" s="37"/>
      <c r="H122" s="38"/>
    </row>
    <row r="123" spans="6:8" s="32" customFormat="1">
      <c r="F123" s="37"/>
      <c r="H123" s="38"/>
    </row>
    <row r="124" spans="6:8" s="32" customFormat="1">
      <c r="F124" s="37"/>
      <c r="H124" s="38"/>
    </row>
    <row r="125" spans="6:8" s="32" customFormat="1">
      <c r="F125" s="37"/>
      <c r="H125" s="38"/>
    </row>
    <row r="126" spans="6:8" s="32" customFormat="1">
      <c r="F126" s="37"/>
      <c r="H126" s="38"/>
    </row>
    <row r="127" spans="6:8" s="32" customFormat="1">
      <c r="F127" s="37"/>
      <c r="H127" s="38"/>
    </row>
    <row r="128" spans="6:8" s="32" customFormat="1">
      <c r="F128" s="37"/>
      <c r="H128" s="38"/>
    </row>
    <row r="129" spans="6:8" s="32" customFormat="1">
      <c r="F129" s="37"/>
      <c r="H129" s="38"/>
    </row>
    <row r="130" spans="6:8" s="32" customFormat="1">
      <c r="F130" s="37"/>
      <c r="H130" s="38"/>
    </row>
    <row r="131" spans="6:8" s="32" customFormat="1">
      <c r="F131" s="37"/>
      <c r="H131" s="38"/>
    </row>
    <row r="132" spans="6:8" s="32" customFormat="1">
      <c r="F132" s="37"/>
      <c r="H132" s="38"/>
    </row>
    <row r="133" spans="6:8" s="32" customFormat="1">
      <c r="F133" s="37"/>
      <c r="H133" s="38"/>
    </row>
    <row r="134" spans="6:8" s="32" customFormat="1">
      <c r="F134" s="37"/>
      <c r="H134" s="38"/>
    </row>
    <row r="135" spans="6:8" s="32" customFormat="1">
      <c r="F135" s="37"/>
      <c r="H135" s="38"/>
    </row>
    <row r="136" spans="6:8" s="32" customFormat="1">
      <c r="F136" s="37"/>
      <c r="H136" s="38"/>
    </row>
    <row r="137" spans="6:8" s="32" customFormat="1">
      <c r="F137" s="37"/>
      <c r="H137" s="38"/>
    </row>
    <row r="138" spans="6:8" s="32" customFormat="1">
      <c r="F138" s="37"/>
      <c r="H138" s="38"/>
    </row>
    <row r="139" spans="6:8" s="32" customFormat="1">
      <c r="F139" s="37"/>
      <c r="H139" s="38"/>
    </row>
    <row r="140" spans="6:8" s="32" customFormat="1">
      <c r="F140" s="37"/>
      <c r="H140" s="38"/>
    </row>
    <row r="141" spans="6:8" s="32" customFormat="1">
      <c r="F141" s="37"/>
      <c r="H141" s="38"/>
    </row>
    <row r="142" spans="6:8" s="32" customFormat="1">
      <c r="F142" s="37"/>
      <c r="H142" s="38"/>
    </row>
    <row r="143" spans="6:8" s="32" customFormat="1">
      <c r="F143" s="37"/>
      <c r="H143" s="38"/>
    </row>
    <row r="144" spans="6:8" s="32" customFormat="1">
      <c r="F144" s="37"/>
      <c r="H144" s="38"/>
    </row>
    <row r="145" spans="6:8" s="32" customFormat="1">
      <c r="F145" s="37"/>
      <c r="H145" s="38"/>
    </row>
    <row r="146" spans="6:8" s="32" customFormat="1">
      <c r="F146" s="37"/>
      <c r="H146" s="38"/>
    </row>
    <row r="147" spans="6:8" s="32" customFormat="1">
      <c r="F147" s="37"/>
      <c r="H147" s="38"/>
    </row>
    <row r="148" spans="6:8" s="32" customFormat="1">
      <c r="F148" s="37"/>
      <c r="H148" s="38"/>
    </row>
    <row r="149" spans="6:8" s="32" customFormat="1">
      <c r="F149" s="37"/>
      <c r="H149" s="38"/>
    </row>
    <row r="150" spans="6:8" s="32" customFormat="1">
      <c r="F150" s="37"/>
      <c r="H150" s="38"/>
    </row>
    <row r="151" spans="6:8" s="32" customFormat="1">
      <c r="F151" s="37"/>
      <c r="H151" s="38"/>
    </row>
    <row r="152" spans="6:8" s="32" customFormat="1">
      <c r="F152" s="37"/>
      <c r="H152" s="38"/>
    </row>
    <row r="153" spans="6:8" s="32" customFormat="1">
      <c r="F153" s="37"/>
      <c r="H153" s="38"/>
    </row>
    <row r="154" spans="6:8" s="32" customFormat="1">
      <c r="F154" s="37"/>
      <c r="H154" s="38"/>
    </row>
    <row r="155" spans="6:8" s="32" customFormat="1">
      <c r="F155" s="37"/>
      <c r="H155" s="38"/>
    </row>
    <row r="156" spans="6:8" s="32" customFormat="1">
      <c r="F156" s="37"/>
      <c r="H156" s="38"/>
    </row>
    <row r="157" spans="6:8" s="32" customFormat="1">
      <c r="F157" s="37"/>
      <c r="H157" s="38"/>
    </row>
    <row r="158" spans="6:8" s="32" customFormat="1">
      <c r="F158" s="37"/>
      <c r="H158" s="38"/>
    </row>
    <row r="159" spans="6:8" s="32" customFormat="1">
      <c r="F159" s="37"/>
      <c r="H159" s="38"/>
    </row>
    <row r="160" spans="6:8" s="32" customFormat="1">
      <c r="F160" s="37"/>
      <c r="H160" s="38"/>
    </row>
    <row r="161" spans="6:8" s="32" customFormat="1">
      <c r="F161" s="37"/>
      <c r="H161" s="38"/>
    </row>
    <row r="162" spans="6:8" s="32" customFormat="1">
      <c r="F162" s="37"/>
      <c r="H162" s="38"/>
    </row>
    <row r="163" spans="6:8" s="32" customFormat="1">
      <c r="F163" s="37"/>
      <c r="H163" s="38"/>
    </row>
    <row r="164" spans="6:8" s="32" customFormat="1">
      <c r="F164" s="37"/>
      <c r="H164" s="38"/>
    </row>
    <row r="165" spans="6:8" s="32" customFormat="1">
      <c r="F165" s="37"/>
      <c r="H165" s="38"/>
    </row>
    <row r="166" spans="6:8" s="32" customFormat="1">
      <c r="F166" s="37"/>
      <c r="H166" s="38"/>
    </row>
    <row r="167" spans="6:8" s="32" customFormat="1">
      <c r="F167" s="37"/>
      <c r="H167" s="38"/>
    </row>
    <row r="168" spans="6:8" s="32" customFormat="1">
      <c r="F168" s="37"/>
      <c r="H168" s="38"/>
    </row>
    <row r="169" spans="6:8" s="32" customFormat="1">
      <c r="F169" s="37"/>
      <c r="H169" s="38"/>
    </row>
    <row r="170" spans="6:8" s="32" customFormat="1">
      <c r="F170" s="37"/>
      <c r="H170" s="38"/>
    </row>
    <row r="171" spans="6:8" s="32" customFormat="1">
      <c r="F171" s="37"/>
      <c r="H171" s="38"/>
    </row>
    <row r="172" spans="6:8" s="32" customFormat="1">
      <c r="F172" s="37"/>
      <c r="H172" s="38"/>
    </row>
    <row r="173" spans="6:8" s="32" customFormat="1">
      <c r="F173" s="37"/>
      <c r="H173" s="38"/>
    </row>
    <row r="174" spans="6:8" s="32" customFormat="1">
      <c r="F174" s="37"/>
      <c r="H174" s="38"/>
    </row>
    <row r="175" spans="6:8" s="32" customFormat="1">
      <c r="F175" s="37"/>
      <c r="H175" s="38"/>
    </row>
    <row r="176" spans="6:8" s="32" customFormat="1">
      <c r="F176" s="37"/>
      <c r="H176" s="38"/>
    </row>
    <row r="177" spans="6:8" s="32" customFormat="1">
      <c r="F177" s="37"/>
      <c r="H177" s="38"/>
    </row>
    <row r="178" spans="6:8" s="32" customFormat="1">
      <c r="F178" s="37"/>
      <c r="H178" s="38"/>
    </row>
    <row r="179" spans="6:8" s="32" customFormat="1">
      <c r="F179" s="37"/>
      <c r="H179" s="38"/>
    </row>
    <row r="180" spans="6:8" s="32" customFormat="1">
      <c r="F180" s="37"/>
      <c r="H180" s="38"/>
    </row>
    <row r="181" spans="6:8" s="32" customFormat="1">
      <c r="F181" s="37"/>
      <c r="H181" s="38"/>
    </row>
    <row r="182" spans="6:8" s="32" customFormat="1">
      <c r="F182" s="37"/>
      <c r="H182" s="38"/>
    </row>
    <row r="183" spans="6:8" s="32" customFormat="1">
      <c r="F183" s="37"/>
      <c r="H183" s="38"/>
    </row>
    <row r="184" spans="6:8" s="32" customFormat="1">
      <c r="F184" s="37"/>
      <c r="H184" s="38"/>
    </row>
    <row r="185" spans="6:8" s="32" customFormat="1">
      <c r="F185" s="37"/>
      <c r="H185" s="38"/>
    </row>
    <row r="186" spans="6:8" s="32" customFormat="1">
      <c r="F186" s="37"/>
      <c r="H186" s="38"/>
    </row>
    <row r="187" spans="6:8" s="32" customFormat="1">
      <c r="F187" s="37"/>
      <c r="H187" s="38"/>
    </row>
    <row r="188" spans="6:8" s="32" customFormat="1">
      <c r="F188" s="37"/>
      <c r="H188" s="38"/>
    </row>
    <row r="189" spans="6:8" s="32" customFormat="1">
      <c r="F189" s="37"/>
      <c r="H189" s="38"/>
    </row>
    <row r="190" spans="6:8" s="32" customFormat="1">
      <c r="F190" s="37"/>
      <c r="H190" s="38"/>
    </row>
    <row r="191" spans="6:8" s="32" customFormat="1">
      <c r="F191" s="37"/>
      <c r="H191" s="38"/>
    </row>
    <row r="192" spans="6:8" s="32" customFormat="1">
      <c r="F192" s="37"/>
      <c r="H192" s="38"/>
    </row>
    <row r="193" spans="6:8" s="32" customFormat="1">
      <c r="F193" s="37"/>
      <c r="H193" s="38"/>
    </row>
    <row r="194" spans="6:8" s="32" customFormat="1">
      <c r="F194" s="37"/>
      <c r="H194" s="38"/>
    </row>
    <row r="195" spans="6:8" s="32" customFormat="1">
      <c r="F195" s="37"/>
      <c r="H195" s="38"/>
    </row>
    <row r="196" spans="6:8" s="32" customFormat="1">
      <c r="F196" s="37"/>
      <c r="H196" s="38"/>
    </row>
    <row r="197" spans="6:8" s="32" customFormat="1">
      <c r="F197" s="37"/>
      <c r="H197" s="38"/>
    </row>
    <row r="198" spans="6:8" s="32" customFormat="1">
      <c r="F198" s="37"/>
      <c r="H198" s="38"/>
    </row>
    <row r="199" spans="6:8" s="32" customFormat="1">
      <c r="F199" s="37"/>
      <c r="H199" s="38"/>
    </row>
    <row r="200" spans="6:8" s="32" customFormat="1">
      <c r="F200" s="37"/>
      <c r="H200" s="38"/>
    </row>
    <row r="201" spans="6:8" s="32" customFormat="1">
      <c r="F201" s="37"/>
      <c r="H201" s="38"/>
    </row>
    <row r="202" spans="6:8" s="32" customFormat="1">
      <c r="F202" s="37"/>
      <c r="H202" s="38"/>
    </row>
    <row r="203" spans="6:8" s="32" customFormat="1">
      <c r="F203" s="37"/>
      <c r="H203" s="38"/>
    </row>
    <row r="204" spans="6:8" s="32" customFormat="1">
      <c r="F204" s="37"/>
      <c r="H204" s="38"/>
    </row>
    <row r="205" spans="6:8" s="32" customFormat="1">
      <c r="F205" s="37"/>
      <c r="H205" s="38"/>
    </row>
    <row r="206" spans="6:8" s="32" customFormat="1">
      <c r="F206" s="37"/>
      <c r="H206" s="38"/>
    </row>
    <row r="207" spans="6:8" s="32" customFormat="1">
      <c r="F207" s="37"/>
      <c r="H207" s="38"/>
    </row>
    <row r="208" spans="6:8" s="32" customFormat="1">
      <c r="F208" s="37"/>
      <c r="H208" s="38"/>
    </row>
    <row r="209" spans="6:8" s="32" customFormat="1">
      <c r="F209" s="37"/>
      <c r="H209" s="38"/>
    </row>
    <row r="210" spans="6:8" s="32" customFormat="1">
      <c r="F210" s="37"/>
      <c r="H210" s="38"/>
    </row>
    <row r="211" spans="6:8" s="32" customFormat="1">
      <c r="F211" s="37"/>
      <c r="H211" s="38"/>
    </row>
    <row r="212" spans="6:8" s="32" customFormat="1">
      <c r="F212" s="37"/>
      <c r="H212" s="38"/>
    </row>
    <row r="213" spans="6:8" s="32" customFormat="1">
      <c r="F213" s="37"/>
      <c r="H213" s="38"/>
    </row>
    <row r="214" spans="6:8" s="32" customFormat="1">
      <c r="F214" s="37"/>
      <c r="H214" s="38"/>
    </row>
    <row r="215" spans="6:8" s="32" customFormat="1">
      <c r="F215" s="37"/>
      <c r="H215" s="38"/>
    </row>
    <row r="216" spans="6:8" s="32" customFormat="1">
      <c r="F216" s="37"/>
      <c r="H216" s="38"/>
    </row>
    <row r="217" spans="6:8" s="32" customFormat="1">
      <c r="F217" s="37"/>
      <c r="H217" s="38"/>
    </row>
    <row r="218" spans="6:8" s="32" customFormat="1">
      <c r="F218" s="37"/>
      <c r="H218" s="38"/>
    </row>
    <row r="219" spans="6:8" s="32" customFormat="1">
      <c r="F219" s="37"/>
      <c r="H219" s="38"/>
    </row>
    <row r="220" spans="6:8" s="32" customFormat="1">
      <c r="F220" s="37"/>
      <c r="H220" s="38"/>
    </row>
    <row r="221" spans="6:8" s="32" customFormat="1">
      <c r="F221" s="37"/>
      <c r="H221" s="38"/>
    </row>
    <row r="222" spans="6:8" s="32" customFormat="1">
      <c r="F222" s="37"/>
      <c r="H222" s="38"/>
    </row>
    <row r="223" spans="6:8" s="32" customFormat="1">
      <c r="F223" s="37"/>
      <c r="H223" s="38"/>
    </row>
    <row r="224" spans="6:8" s="32" customFormat="1">
      <c r="F224" s="37"/>
      <c r="H224" s="38"/>
    </row>
    <row r="225" spans="6:8" s="32" customFormat="1">
      <c r="F225" s="37"/>
      <c r="H225" s="38"/>
    </row>
    <row r="226" spans="6:8" s="32" customFormat="1">
      <c r="F226" s="37"/>
      <c r="H226" s="38"/>
    </row>
    <row r="227" spans="6:8" s="32" customFormat="1">
      <c r="F227" s="37"/>
      <c r="H227" s="38"/>
    </row>
    <row r="228" spans="6:8" s="32" customFormat="1">
      <c r="F228" s="37"/>
      <c r="H228" s="38"/>
    </row>
    <row r="229" spans="6:8" s="32" customFormat="1">
      <c r="F229" s="37"/>
      <c r="H229" s="38"/>
    </row>
    <row r="230" spans="6:8" s="32" customFormat="1">
      <c r="F230" s="37"/>
      <c r="H230" s="38"/>
    </row>
    <row r="231" spans="6:8" s="32" customFormat="1">
      <c r="F231" s="37"/>
      <c r="H231" s="38"/>
    </row>
    <row r="232" spans="6:8" s="32" customFormat="1">
      <c r="F232" s="37"/>
      <c r="H232" s="38"/>
    </row>
    <row r="233" spans="6:8" s="32" customFormat="1">
      <c r="F233" s="37"/>
      <c r="H233" s="38"/>
    </row>
    <row r="234" spans="6:8" s="32" customFormat="1">
      <c r="F234" s="37"/>
      <c r="H234" s="38"/>
    </row>
    <row r="235" spans="6:8" s="32" customFormat="1">
      <c r="F235" s="37"/>
      <c r="H235" s="38"/>
    </row>
    <row r="236" spans="6:8" s="32" customFormat="1">
      <c r="F236" s="37"/>
      <c r="H236" s="38"/>
    </row>
    <row r="237" spans="6:8" s="32" customFormat="1">
      <c r="F237" s="37"/>
      <c r="H237" s="38"/>
    </row>
    <row r="238" spans="6:8" s="32" customFormat="1">
      <c r="F238" s="37"/>
      <c r="H238" s="38"/>
    </row>
    <row r="239" spans="6:8" s="32" customFormat="1">
      <c r="F239" s="37"/>
      <c r="H239" s="38"/>
    </row>
    <row r="240" spans="6:8" s="32" customFormat="1">
      <c r="F240" s="37"/>
      <c r="H240" s="38"/>
    </row>
    <row r="241" spans="6:8" s="32" customFormat="1">
      <c r="F241" s="37"/>
      <c r="H241" s="38"/>
    </row>
    <row r="242" spans="6:8" s="32" customFormat="1">
      <c r="F242" s="37"/>
      <c r="H242" s="38"/>
    </row>
    <row r="243" spans="6:8" s="32" customFormat="1">
      <c r="F243" s="37"/>
      <c r="H243" s="38"/>
    </row>
    <row r="244" spans="6:8" s="32" customFormat="1">
      <c r="F244" s="37"/>
      <c r="H244" s="38"/>
    </row>
    <row r="245" spans="6:8" s="32" customFormat="1">
      <c r="F245" s="37"/>
      <c r="H245" s="38"/>
    </row>
    <row r="246" spans="6:8" s="32" customFormat="1">
      <c r="F246" s="37"/>
      <c r="H246" s="38"/>
    </row>
    <row r="247" spans="6:8" s="32" customFormat="1">
      <c r="F247" s="37"/>
      <c r="H247" s="38"/>
    </row>
    <row r="248" spans="6:8" s="32" customFormat="1">
      <c r="F248" s="37"/>
      <c r="H248" s="38"/>
    </row>
    <row r="249" spans="6:8" s="32" customFormat="1">
      <c r="F249" s="37"/>
      <c r="H249" s="38"/>
    </row>
    <row r="250" spans="6:8" s="32" customFormat="1">
      <c r="F250" s="37"/>
      <c r="H250" s="38"/>
    </row>
    <row r="251" spans="6:8" s="32" customFormat="1">
      <c r="F251" s="37"/>
      <c r="H251" s="38"/>
    </row>
    <row r="252" spans="6:8" s="32" customFormat="1">
      <c r="F252" s="37"/>
      <c r="H252" s="38"/>
    </row>
    <row r="253" spans="6:8" s="32" customFormat="1">
      <c r="F253" s="37"/>
      <c r="H253" s="38"/>
    </row>
    <row r="254" spans="6:8" s="32" customFormat="1">
      <c r="F254" s="37"/>
      <c r="H254" s="38"/>
    </row>
    <row r="255" spans="6:8" s="32" customFormat="1">
      <c r="F255" s="37"/>
      <c r="H255" s="38"/>
    </row>
    <row r="256" spans="6:8" s="32" customFormat="1">
      <c r="F256" s="37"/>
      <c r="H256" s="38"/>
    </row>
    <row r="257" spans="6:8" s="32" customFormat="1">
      <c r="F257" s="37"/>
      <c r="H257" s="38"/>
    </row>
    <row r="258" spans="6:8" s="32" customFormat="1">
      <c r="F258" s="37"/>
      <c r="H258" s="38"/>
    </row>
    <row r="259" spans="6:8" s="32" customFormat="1">
      <c r="F259" s="37"/>
      <c r="H259" s="38"/>
    </row>
    <row r="260" spans="6:8" s="32" customFormat="1">
      <c r="F260" s="37"/>
      <c r="H260" s="38"/>
    </row>
    <row r="261" spans="6:8" s="32" customFormat="1">
      <c r="F261" s="37"/>
      <c r="H261" s="38"/>
    </row>
    <row r="262" spans="6:8" s="32" customFormat="1">
      <c r="F262" s="37"/>
      <c r="H262" s="38"/>
    </row>
    <row r="263" spans="6:8" s="32" customFormat="1">
      <c r="F263" s="37"/>
      <c r="H263" s="38"/>
    </row>
    <row r="264" spans="6:8" s="32" customFormat="1">
      <c r="F264" s="37"/>
      <c r="H264" s="38"/>
    </row>
    <row r="265" spans="6:8" s="32" customFormat="1">
      <c r="F265" s="37"/>
      <c r="H265" s="38"/>
    </row>
    <row r="266" spans="6:8" s="32" customFormat="1">
      <c r="F266" s="37"/>
      <c r="H266" s="38"/>
    </row>
    <row r="267" spans="6:8" s="32" customFormat="1">
      <c r="F267" s="37"/>
      <c r="H267" s="38"/>
    </row>
    <row r="268" spans="6:8" s="32" customFormat="1">
      <c r="F268" s="37"/>
      <c r="H268" s="38"/>
    </row>
    <row r="269" spans="6:8" s="32" customFormat="1">
      <c r="F269" s="37"/>
      <c r="H269" s="38"/>
    </row>
    <row r="270" spans="6:8" s="32" customFormat="1">
      <c r="F270" s="37"/>
      <c r="H270" s="38"/>
    </row>
    <row r="271" spans="6:8" s="32" customFormat="1">
      <c r="F271" s="37"/>
      <c r="H271" s="38"/>
    </row>
    <row r="272" spans="6:8" s="32" customFormat="1">
      <c r="F272" s="37"/>
      <c r="H272" s="38"/>
    </row>
    <row r="273" spans="6:8" s="32" customFormat="1">
      <c r="F273" s="37"/>
      <c r="H273" s="38"/>
    </row>
    <row r="274" spans="6:8" s="32" customFormat="1">
      <c r="F274" s="37"/>
      <c r="H274" s="38"/>
    </row>
    <row r="275" spans="6:8" s="32" customFormat="1">
      <c r="F275" s="37"/>
      <c r="H275" s="38"/>
    </row>
    <row r="276" spans="6:8" s="32" customFormat="1">
      <c r="F276" s="37"/>
      <c r="H276" s="38"/>
    </row>
    <row r="277" spans="6:8" s="32" customFormat="1">
      <c r="F277" s="37"/>
      <c r="H277" s="38"/>
    </row>
    <row r="278" spans="6:8" s="32" customFormat="1">
      <c r="F278" s="37"/>
      <c r="H278" s="38"/>
    </row>
    <row r="279" spans="6:8" s="32" customFormat="1">
      <c r="F279" s="37"/>
      <c r="H279" s="38"/>
    </row>
    <row r="280" spans="6:8" s="32" customFormat="1">
      <c r="F280" s="37"/>
      <c r="H280" s="38"/>
    </row>
    <row r="281" spans="6:8" s="32" customFormat="1">
      <c r="F281" s="37"/>
      <c r="H281" s="38"/>
    </row>
    <row r="282" spans="6:8" s="32" customFormat="1">
      <c r="F282" s="37"/>
      <c r="H282" s="38"/>
    </row>
    <row r="283" spans="6:8" s="32" customFormat="1">
      <c r="F283" s="37"/>
      <c r="H283" s="38"/>
    </row>
    <row r="284" spans="6:8" s="32" customFormat="1">
      <c r="F284" s="37"/>
      <c r="H284" s="38"/>
    </row>
    <row r="285" spans="6:8" s="32" customFormat="1">
      <c r="F285" s="37"/>
      <c r="H285" s="38"/>
    </row>
    <row r="286" spans="6:8" s="32" customFormat="1">
      <c r="F286" s="37"/>
      <c r="H286" s="38"/>
    </row>
    <row r="287" spans="6:8" s="32" customFormat="1">
      <c r="F287" s="37"/>
      <c r="H287" s="38"/>
    </row>
    <row r="288" spans="6:8" s="32" customFormat="1">
      <c r="F288" s="37"/>
      <c r="H288" s="38"/>
    </row>
    <row r="289" spans="6:8" s="32" customFormat="1">
      <c r="F289" s="37"/>
      <c r="H289" s="38"/>
    </row>
    <row r="290" spans="6:8" s="32" customFormat="1">
      <c r="F290" s="37"/>
      <c r="H290" s="38"/>
    </row>
    <row r="291" spans="6:8" s="32" customFormat="1">
      <c r="F291" s="37"/>
      <c r="H291" s="38"/>
    </row>
    <row r="292" spans="6:8" s="32" customFormat="1">
      <c r="F292" s="37"/>
      <c r="H292" s="38"/>
    </row>
    <row r="293" spans="6:8" s="32" customFormat="1">
      <c r="F293" s="37"/>
      <c r="H293" s="38"/>
    </row>
    <row r="294" spans="6:8" s="32" customFormat="1">
      <c r="F294" s="37"/>
      <c r="H294" s="38"/>
    </row>
    <row r="295" spans="6:8" s="32" customFormat="1">
      <c r="F295" s="37"/>
      <c r="H295" s="38"/>
    </row>
    <row r="296" spans="6:8" s="32" customFormat="1">
      <c r="F296" s="37"/>
      <c r="H296" s="38"/>
    </row>
    <row r="297" spans="6:8" s="32" customFormat="1">
      <c r="F297" s="37"/>
      <c r="H297" s="38"/>
    </row>
    <row r="298" spans="6:8" s="32" customFormat="1">
      <c r="F298" s="37"/>
      <c r="H298" s="38"/>
    </row>
    <row r="299" spans="6:8" s="32" customFormat="1">
      <c r="F299" s="37"/>
      <c r="H299" s="38"/>
    </row>
    <row r="300" spans="6:8" s="32" customFormat="1">
      <c r="F300" s="37"/>
      <c r="H300" s="38"/>
    </row>
    <row r="301" spans="6:8" s="32" customFormat="1">
      <c r="F301" s="37"/>
      <c r="H301" s="38"/>
    </row>
    <row r="302" spans="6:8" s="32" customFormat="1">
      <c r="F302" s="37"/>
      <c r="H302" s="38"/>
    </row>
    <row r="303" spans="6:8" s="32" customFormat="1">
      <c r="F303" s="37"/>
      <c r="H303" s="38"/>
    </row>
    <row r="304" spans="6:8" s="32" customFormat="1">
      <c r="F304" s="37"/>
      <c r="H304" s="38"/>
    </row>
    <row r="305" spans="6:8" s="32" customFormat="1">
      <c r="F305" s="37"/>
      <c r="H305" s="38"/>
    </row>
    <row r="306" spans="6:8" s="32" customFormat="1">
      <c r="F306" s="37"/>
      <c r="H306" s="38"/>
    </row>
    <row r="307" spans="6:8" s="32" customFormat="1">
      <c r="F307" s="37"/>
      <c r="H307" s="38"/>
    </row>
    <row r="308" spans="6:8" s="32" customFormat="1">
      <c r="F308" s="37"/>
      <c r="H308" s="38"/>
    </row>
    <row r="309" spans="6:8" s="32" customFormat="1">
      <c r="F309" s="37"/>
      <c r="H309" s="38"/>
    </row>
    <row r="310" spans="6:8" s="32" customFormat="1">
      <c r="F310" s="37"/>
      <c r="H310" s="38"/>
    </row>
    <row r="311" spans="6:8" s="32" customFormat="1">
      <c r="F311" s="37"/>
      <c r="H311" s="38"/>
    </row>
    <row r="312" spans="6:8" s="32" customFormat="1">
      <c r="F312" s="37"/>
      <c r="H312" s="38"/>
    </row>
    <row r="313" spans="6:8" s="32" customFormat="1">
      <c r="F313" s="37"/>
      <c r="H313" s="38"/>
    </row>
    <row r="314" spans="6:8" s="32" customFormat="1">
      <c r="F314" s="37"/>
      <c r="H314" s="38"/>
    </row>
    <row r="315" spans="6:8" s="32" customFormat="1">
      <c r="F315" s="37"/>
      <c r="H315" s="38"/>
    </row>
    <row r="316" spans="6:8" s="32" customFormat="1">
      <c r="F316" s="37"/>
      <c r="H316" s="38"/>
    </row>
    <row r="317" spans="6:8" s="32" customFormat="1">
      <c r="F317" s="37"/>
      <c r="H317" s="38"/>
    </row>
    <row r="318" spans="6:8" s="32" customFormat="1">
      <c r="F318" s="37"/>
      <c r="H318" s="38"/>
    </row>
    <row r="319" spans="6:8" s="32" customFormat="1">
      <c r="F319" s="37"/>
      <c r="H319" s="38"/>
    </row>
    <row r="320" spans="6:8" s="32" customFormat="1">
      <c r="F320" s="37"/>
      <c r="H320" s="38"/>
    </row>
    <row r="321" spans="6:8" s="32" customFormat="1">
      <c r="F321" s="37"/>
      <c r="H321" s="38"/>
    </row>
    <row r="322" spans="6:8" s="32" customFormat="1">
      <c r="F322" s="37"/>
      <c r="H322" s="38"/>
    </row>
    <row r="323" spans="6:8" s="32" customFormat="1">
      <c r="F323" s="37"/>
      <c r="H323" s="38"/>
    </row>
    <row r="324" spans="6:8" s="32" customFormat="1">
      <c r="F324" s="37"/>
      <c r="H324" s="38"/>
    </row>
    <row r="325" spans="6:8" s="32" customFormat="1">
      <c r="F325" s="37"/>
      <c r="H325" s="38"/>
    </row>
    <row r="326" spans="6:8" s="32" customFormat="1">
      <c r="F326" s="37"/>
      <c r="H326" s="38"/>
    </row>
    <row r="327" spans="6:8" s="32" customFormat="1">
      <c r="F327" s="37"/>
      <c r="H327" s="38"/>
    </row>
    <row r="328" spans="6:8" s="32" customFormat="1">
      <c r="F328" s="37"/>
      <c r="H328" s="38"/>
    </row>
    <row r="329" spans="6:8" s="32" customFormat="1">
      <c r="F329" s="37"/>
      <c r="H329" s="38"/>
    </row>
    <row r="330" spans="6:8" s="32" customFormat="1">
      <c r="F330" s="37"/>
      <c r="H330" s="38"/>
    </row>
    <row r="331" spans="6:8" s="32" customFormat="1">
      <c r="F331" s="37"/>
      <c r="H331" s="38"/>
    </row>
    <row r="332" spans="6:8" s="32" customFormat="1">
      <c r="F332" s="37"/>
      <c r="H332" s="38"/>
    </row>
    <row r="333" spans="6:8" s="32" customFormat="1">
      <c r="F333" s="37"/>
      <c r="H333" s="38"/>
    </row>
    <row r="334" spans="6:8" s="32" customFormat="1">
      <c r="F334" s="37"/>
      <c r="H334" s="38"/>
    </row>
    <row r="335" spans="6:8" s="32" customFormat="1">
      <c r="F335" s="37"/>
      <c r="H335" s="38"/>
    </row>
    <row r="336" spans="6:8" s="32" customFormat="1">
      <c r="F336" s="37"/>
      <c r="H336" s="38"/>
    </row>
    <row r="337" spans="6:8" s="32" customFormat="1">
      <c r="F337" s="37"/>
      <c r="H337" s="38"/>
    </row>
    <row r="338" spans="6:8" s="32" customFormat="1">
      <c r="F338" s="37"/>
      <c r="H338" s="38"/>
    </row>
    <row r="339" spans="6:8" s="32" customFormat="1">
      <c r="F339" s="37"/>
      <c r="H339" s="38"/>
    </row>
    <row r="340" spans="6:8" s="32" customFormat="1">
      <c r="F340" s="37"/>
      <c r="H340" s="38"/>
    </row>
    <row r="341" spans="6:8" s="32" customFormat="1">
      <c r="F341" s="37"/>
      <c r="H341" s="38"/>
    </row>
    <row r="342" spans="6:8" s="32" customFormat="1">
      <c r="F342" s="37"/>
      <c r="H342" s="38"/>
    </row>
    <row r="343" spans="6:8" s="32" customFormat="1">
      <c r="F343" s="37"/>
      <c r="H343" s="38"/>
    </row>
    <row r="344" spans="6:8" s="32" customFormat="1">
      <c r="F344" s="37"/>
      <c r="H344" s="38"/>
    </row>
    <row r="345" spans="6:8" s="32" customFormat="1">
      <c r="F345" s="37"/>
      <c r="H345" s="38"/>
    </row>
    <row r="346" spans="6:8" s="32" customFormat="1">
      <c r="F346" s="37"/>
      <c r="H346" s="38"/>
    </row>
    <row r="347" spans="6:8" s="32" customFormat="1">
      <c r="F347" s="37"/>
      <c r="H347" s="38"/>
    </row>
    <row r="348" spans="6:8" s="32" customFormat="1">
      <c r="F348" s="37"/>
      <c r="H348" s="38"/>
    </row>
    <row r="349" spans="6:8" s="32" customFormat="1">
      <c r="F349" s="37"/>
      <c r="H349" s="38"/>
    </row>
    <row r="350" spans="6:8" s="32" customFormat="1">
      <c r="F350" s="37"/>
      <c r="H350" s="38"/>
    </row>
    <row r="351" spans="6:8" s="32" customFormat="1">
      <c r="F351" s="37"/>
      <c r="H351" s="38"/>
    </row>
    <row r="352" spans="6:8" s="32" customFormat="1">
      <c r="F352" s="37"/>
      <c r="H352" s="38"/>
    </row>
    <row r="353" spans="6:8" s="32" customFormat="1">
      <c r="F353" s="37"/>
      <c r="H353" s="38"/>
    </row>
    <row r="354" spans="6:8" s="32" customFormat="1">
      <c r="F354" s="37"/>
      <c r="H354" s="38"/>
    </row>
    <row r="355" spans="6:8" s="32" customFormat="1">
      <c r="F355" s="37"/>
      <c r="H355" s="38"/>
    </row>
    <row r="356" spans="6:8" s="32" customFormat="1">
      <c r="F356" s="37"/>
      <c r="H356" s="38"/>
    </row>
    <row r="357" spans="6:8" s="32" customFormat="1">
      <c r="F357" s="37"/>
      <c r="H357" s="38"/>
    </row>
    <row r="358" spans="6:8" s="32" customFormat="1">
      <c r="F358" s="37"/>
      <c r="H358" s="38"/>
    </row>
    <row r="359" spans="6:8" s="32" customFormat="1">
      <c r="F359" s="37"/>
      <c r="H359" s="38"/>
    </row>
    <row r="360" spans="6:8" s="32" customFormat="1">
      <c r="F360" s="37"/>
      <c r="H360" s="38"/>
    </row>
    <row r="361" spans="6:8" s="32" customFormat="1">
      <c r="F361" s="37"/>
      <c r="H361" s="38"/>
    </row>
    <row r="362" spans="6:8" s="32" customFormat="1">
      <c r="F362" s="37"/>
      <c r="H362" s="38"/>
    </row>
    <row r="363" spans="6:8" s="32" customFormat="1">
      <c r="F363" s="37"/>
      <c r="H363" s="38"/>
    </row>
    <row r="364" spans="6:8" s="32" customFormat="1">
      <c r="F364" s="37"/>
      <c r="H364" s="38"/>
    </row>
    <row r="365" spans="6:8" s="32" customFormat="1">
      <c r="F365" s="37"/>
      <c r="H365" s="38"/>
    </row>
    <row r="366" spans="6:8" s="32" customFormat="1">
      <c r="F366" s="37"/>
      <c r="H366" s="38"/>
    </row>
    <row r="367" spans="6:8" s="32" customFormat="1">
      <c r="F367" s="37"/>
      <c r="H367" s="38"/>
    </row>
    <row r="368" spans="6:8" s="32" customFormat="1">
      <c r="F368" s="37"/>
      <c r="H368" s="38"/>
    </row>
    <row r="369" spans="6:8" s="32" customFormat="1">
      <c r="F369" s="37"/>
      <c r="H369" s="38"/>
    </row>
    <row r="370" spans="6:8" s="32" customFormat="1">
      <c r="F370" s="37"/>
      <c r="H370" s="38"/>
    </row>
    <row r="371" spans="6:8" s="32" customFormat="1">
      <c r="F371" s="37"/>
      <c r="H371" s="38"/>
    </row>
    <row r="372" spans="6:8" s="32" customFormat="1">
      <c r="F372" s="37"/>
      <c r="H372" s="38"/>
    </row>
    <row r="373" spans="6:8" s="32" customFormat="1">
      <c r="F373" s="37"/>
      <c r="H373" s="38"/>
    </row>
    <row r="374" spans="6:8" s="32" customFormat="1">
      <c r="F374" s="37"/>
      <c r="H374" s="38"/>
    </row>
    <row r="375" spans="6:8" s="32" customFormat="1">
      <c r="F375" s="37"/>
      <c r="H375" s="38"/>
    </row>
    <row r="376" spans="6:8" s="32" customFormat="1">
      <c r="F376" s="37"/>
      <c r="H376" s="38"/>
    </row>
    <row r="377" spans="6:8" s="32" customFormat="1">
      <c r="F377" s="37"/>
      <c r="H377" s="38"/>
    </row>
    <row r="378" spans="6:8" s="32" customFormat="1">
      <c r="F378" s="37"/>
      <c r="H378" s="38"/>
    </row>
    <row r="379" spans="6:8" s="32" customFormat="1">
      <c r="F379" s="37"/>
      <c r="H379" s="38"/>
    </row>
    <row r="380" spans="6:8" s="32" customFormat="1">
      <c r="F380" s="37"/>
      <c r="H380" s="38"/>
    </row>
    <row r="381" spans="6:8" s="32" customFormat="1">
      <c r="F381" s="37"/>
      <c r="H381" s="38"/>
    </row>
    <row r="382" spans="6:8" s="32" customFormat="1">
      <c r="F382" s="37"/>
      <c r="H382" s="38"/>
    </row>
    <row r="383" spans="6:8" s="32" customFormat="1">
      <c r="F383" s="37"/>
      <c r="H383" s="38"/>
    </row>
    <row r="384" spans="6:8" s="32" customFormat="1">
      <c r="F384" s="37"/>
      <c r="H384" s="38"/>
    </row>
    <row r="385" spans="6:8" s="32" customFormat="1">
      <c r="F385" s="37"/>
      <c r="H385" s="38"/>
    </row>
    <row r="386" spans="6:8" s="32" customFormat="1">
      <c r="F386" s="37"/>
      <c r="H386" s="38"/>
    </row>
    <row r="387" spans="6:8" s="32" customFormat="1">
      <c r="F387" s="37"/>
      <c r="H387" s="38"/>
    </row>
    <row r="388" spans="6:8" s="32" customFormat="1">
      <c r="F388" s="37"/>
      <c r="H388" s="38"/>
    </row>
    <row r="389" spans="6:8" s="32" customFormat="1">
      <c r="F389" s="37"/>
      <c r="H389" s="38"/>
    </row>
    <row r="390" spans="6:8" s="32" customFormat="1">
      <c r="F390" s="37"/>
      <c r="H390" s="38"/>
    </row>
    <row r="391" spans="6:8" s="32" customFormat="1">
      <c r="F391" s="37"/>
      <c r="H391" s="38"/>
    </row>
    <row r="392" spans="6:8" s="32" customFormat="1">
      <c r="F392" s="37"/>
      <c r="H392" s="38"/>
    </row>
    <row r="393" spans="6:8" s="32" customFormat="1">
      <c r="F393" s="37"/>
      <c r="H393" s="38"/>
    </row>
    <row r="394" spans="6:8" s="32" customFormat="1">
      <c r="F394" s="37"/>
      <c r="H394" s="38"/>
    </row>
    <row r="395" spans="6:8" s="32" customFormat="1">
      <c r="F395" s="37"/>
      <c r="H395" s="38"/>
    </row>
    <row r="396" spans="6:8" s="32" customFormat="1">
      <c r="F396" s="37"/>
      <c r="H396" s="38"/>
    </row>
    <row r="397" spans="6:8" s="32" customFormat="1">
      <c r="F397" s="37"/>
      <c r="H397" s="38"/>
    </row>
    <row r="398" spans="6:8" s="32" customFormat="1">
      <c r="F398" s="37"/>
      <c r="H398" s="38"/>
    </row>
    <row r="399" spans="6:8" s="32" customFormat="1">
      <c r="F399" s="37"/>
      <c r="H399" s="38"/>
    </row>
    <row r="400" spans="6:8" s="32" customFormat="1">
      <c r="F400" s="37"/>
      <c r="H400" s="38"/>
    </row>
    <row r="401" spans="6:8" s="32" customFormat="1">
      <c r="F401" s="37"/>
      <c r="H401" s="38"/>
    </row>
    <row r="402" spans="6:8" s="32" customFormat="1">
      <c r="F402" s="37"/>
      <c r="H402" s="38"/>
    </row>
    <row r="403" spans="6:8" s="32" customFormat="1">
      <c r="F403" s="37"/>
      <c r="H403" s="38"/>
    </row>
    <row r="404" spans="6:8" s="32" customFormat="1">
      <c r="F404" s="37"/>
      <c r="H404" s="38"/>
    </row>
    <row r="405" spans="6:8" s="32" customFormat="1">
      <c r="F405" s="37"/>
      <c r="H405" s="38"/>
    </row>
    <row r="406" spans="6:8" s="32" customFormat="1">
      <c r="F406" s="37"/>
      <c r="H406" s="38"/>
    </row>
    <row r="407" spans="6:8" s="32" customFormat="1">
      <c r="F407" s="37"/>
      <c r="H407" s="38"/>
    </row>
    <row r="408" spans="6:8" s="32" customFormat="1">
      <c r="F408" s="37"/>
      <c r="H408" s="38"/>
    </row>
    <row r="409" spans="6:8" s="32" customFormat="1">
      <c r="F409" s="37"/>
      <c r="H409" s="38"/>
    </row>
    <row r="410" spans="6:8" s="32" customFormat="1">
      <c r="F410" s="37"/>
      <c r="H410" s="38"/>
    </row>
    <row r="411" spans="6:8" s="32" customFormat="1">
      <c r="F411" s="37"/>
      <c r="H411" s="38"/>
    </row>
    <row r="412" spans="6:8" s="32" customFormat="1">
      <c r="F412" s="37"/>
      <c r="H412" s="38"/>
    </row>
    <row r="413" spans="6:8" s="32" customFormat="1">
      <c r="F413" s="37"/>
      <c r="H413" s="38"/>
    </row>
    <row r="414" spans="6:8" s="32" customFormat="1">
      <c r="F414" s="37"/>
      <c r="H414" s="38"/>
    </row>
    <row r="415" spans="6:8" s="32" customFormat="1">
      <c r="F415" s="37"/>
      <c r="H415" s="38"/>
    </row>
    <row r="416" spans="6:8" s="32" customFormat="1">
      <c r="F416" s="37"/>
      <c r="H416" s="38"/>
    </row>
    <row r="417" spans="6:8" s="32" customFormat="1">
      <c r="F417" s="37"/>
      <c r="H417" s="38"/>
    </row>
    <row r="418" spans="6:8" s="32" customFormat="1">
      <c r="F418" s="37"/>
      <c r="H418" s="38"/>
    </row>
    <row r="419" spans="6:8" s="32" customFormat="1">
      <c r="F419" s="37"/>
      <c r="H419" s="38"/>
    </row>
    <row r="420" spans="6:8" s="32" customFormat="1">
      <c r="F420" s="37"/>
      <c r="H420" s="38"/>
    </row>
    <row r="421" spans="6:8" s="32" customFormat="1">
      <c r="F421" s="37"/>
      <c r="H421" s="38"/>
    </row>
    <row r="422" spans="6:8" s="32" customFormat="1">
      <c r="F422" s="37"/>
      <c r="H422" s="38"/>
    </row>
    <row r="423" spans="6:8" s="32" customFormat="1">
      <c r="F423" s="37"/>
      <c r="H423" s="38"/>
    </row>
    <row r="424" spans="6:8" s="32" customFormat="1">
      <c r="F424" s="37"/>
      <c r="H424" s="38"/>
    </row>
    <row r="425" spans="6:8" s="32" customFormat="1">
      <c r="F425" s="37"/>
      <c r="H425" s="38"/>
    </row>
    <row r="426" spans="6:8" s="32" customFormat="1">
      <c r="F426" s="37"/>
      <c r="H426" s="38"/>
    </row>
    <row r="427" spans="6:8" s="32" customFormat="1">
      <c r="F427" s="37"/>
      <c r="H427" s="38"/>
    </row>
    <row r="428" spans="6:8" s="32" customFormat="1">
      <c r="F428" s="37"/>
      <c r="H428" s="38"/>
    </row>
    <row r="429" spans="6:8" s="32" customFormat="1">
      <c r="F429" s="37"/>
      <c r="H429" s="38"/>
    </row>
    <row r="430" spans="6:8" s="32" customFormat="1">
      <c r="F430" s="37"/>
      <c r="H430" s="38"/>
    </row>
    <row r="431" spans="6:8" s="32" customFormat="1">
      <c r="F431" s="37"/>
      <c r="H431" s="38"/>
    </row>
    <row r="432" spans="6:8" s="32" customFormat="1">
      <c r="F432" s="37"/>
      <c r="H432" s="38"/>
    </row>
    <row r="433" spans="6:8" s="32" customFormat="1">
      <c r="F433" s="37"/>
      <c r="H433" s="38"/>
    </row>
    <row r="434" spans="6:8" s="32" customFormat="1">
      <c r="F434" s="37"/>
      <c r="H434" s="38"/>
    </row>
    <row r="435" spans="6:8" s="32" customFormat="1">
      <c r="F435" s="37"/>
      <c r="H435" s="38"/>
    </row>
    <row r="436" spans="6:8" s="32" customFormat="1">
      <c r="F436" s="37"/>
      <c r="H436" s="38"/>
    </row>
    <row r="437" spans="6:8" s="32" customFormat="1">
      <c r="F437" s="37"/>
      <c r="H437" s="38"/>
    </row>
    <row r="438" spans="6:8" s="32" customFormat="1">
      <c r="F438" s="37"/>
      <c r="H438" s="38"/>
    </row>
    <row r="439" spans="6:8" s="32" customFormat="1">
      <c r="F439" s="37"/>
      <c r="H439" s="38"/>
    </row>
    <row r="440" spans="6:8" s="32" customFormat="1">
      <c r="F440" s="37"/>
      <c r="H440" s="38"/>
    </row>
    <row r="441" spans="6:8" s="32" customFormat="1">
      <c r="F441" s="37"/>
      <c r="H441" s="38"/>
    </row>
    <row r="442" spans="6:8" s="32" customFormat="1">
      <c r="F442" s="37"/>
      <c r="H442" s="38"/>
    </row>
    <row r="443" spans="6:8" s="32" customFormat="1">
      <c r="F443" s="37"/>
      <c r="H443" s="38"/>
    </row>
    <row r="444" spans="6:8" s="32" customFormat="1">
      <c r="F444" s="37"/>
      <c r="H444" s="38"/>
    </row>
    <row r="445" spans="6:8" s="32" customFormat="1">
      <c r="F445" s="37"/>
      <c r="H445" s="38"/>
    </row>
    <row r="446" spans="6:8" s="32" customFormat="1">
      <c r="F446" s="37"/>
      <c r="H446" s="38"/>
    </row>
    <row r="447" spans="6:8" s="32" customFormat="1">
      <c r="F447" s="37"/>
      <c r="H447" s="38"/>
    </row>
    <row r="448" spans="6:8" s="32" customFormat="1">
      <c r="F448" s="37"/>
      <c r="H448" s="38"/>
    </row>
    <row r="449" spans="6:8" s="32" customFormat="1">
      <c r="F449" s="37"/>
      <c r="H449" s="38"/>
    </row>
    <row r="450" spans="6:8" s="32" customFormat="1">
      <c r="F450" s="37"/>
      <c r="H450" s="38"/>
    </row>
    <row r="451" spans="6:8" s="32" customFormat="1">
      <c r="F451" s="37"/>
      <c r="H451" s="38"/>
    </row>
    <row r="452" spans="6:8" s="32" customFormat="1">
      <c r="F452" s="37"/>
      <c r="H452" s="38"/>
    </row>
    <row r="453" spans="6:8" s="32" customFormat="1">
      <c r="F453" s="37"/>
      <c r="H453" s="38"/>
    </row>
    <row r="454" spans="6:8" s="32" customFormat="1">
      <c r="F454" s="37"/>
      <c r="H454" s="38"/>
    </row>
    <row r="455" spans="6:8" s="32" customFormat="1">
      <c r="F455" s="37"/>
      <c r="H455" s="38"/>
    </row>
    <row r="456" spans="6:8" s="32" customFormat="1">
      <c r="F456" s="37"/>
      <c r="H456" s="38"/>
    </row>
    <row r="457" spans="6:8" s="32" customFormat="1">
      <c r="F457" s="37"/>
      <c r="H457" s="38"/>
    </row>
    <row r="458" spans="6:8" s="32" customFormat="1">
      <c r="F458" s="37"/>
      <c r="H458" s="38"/>
    </row>
    <row r="459" spans="6:8" s="32" customFormat="1">
      <c r="F459" s="37"/>
      <c r="H459" s="38"/>
    </row>
    <row r="460" spans="6:8" s="32" customFormat="1">
      <c r="F460" s="37"/>
      <c r="H460" s="38"/>
    </row>
    <row r="461" spans="6:8" s="32" customFormat="1">
      <c r="F461" s="37"/>
      <c r="H461" s="38"/>
    </row>
    <row r="462" spans="6:8" s="32" customFormat="1">
      <c r="F462" s="37"/>
      <c r="H462" s="38"/>
    </row>
    <row r="463" spans="6:8" s="32" customFormat="1">
      <c r="F463" s="37"/>
      <c r="H463" s="38"/>
    </row>
    <row r="464" spans="6:8" s="32" customFormat="1">
      <c r="F464" s="37"/>
      <c r="H464" s="38"/>
    </row>
    <row r="465" spans="6:8" s="32" customFormat="1">
      <c r="F465" s="37"/>
      <c r="H465" s="38"/>
    </row>
    <row r="466" spans="6:8" s="32" customFormat="1">
      <c r="F466" s="37"/>
      <c r="H466" s="38"/>
    </row>
    <row r="467" spans="6:8" s="32" customFormat="1">
      <c r="F467" s="37"/>
      <c r="H467" s="38"/>
    </row>
    <row r="468" spans="6:8" s="32" customFormat="1">
      <c r="F468" s="37"/>
      <c r="H468" s="38"/>
    </row>
    <row r="469" spans="6:8" s="32" customFormat="1">
      <c r="F469" s="37"/>
      <c r="H469" s="38"/>
    </row>
    <row r="470" spans="6:8" s="32" customFormat="1">
      <c r="F470" s="37"/>
      <c r="H470" s="38"/>
    </row>
    <row r="471" spans="6:8" s="32" customFormat="1">
      <c r="F471" s="37"/>
      <c r="H471" s="38"/>
    </row>
    <row r="472" spans="6:8" s="32" customFormat="1">
      <c r="F472" s="37"/>
      <c r="H472" s="38"/>
    </row>
    <row r="473" spans="6:8" s="32" customFormat="1">
      <c r="F473" s="37"/>
      <c r="H473" s="38"/>
    </row>
    <row r="474" spans="6:8" s="32" customFormat="1">
      <c r="F474" s="37"/>
      <c r="H474" s="38"/>
    </row>
    <row r="475" spans="6:8" s="32" customFormat="1">
      <c r="F475" s="37"/>
      <c r="H475" s="38"/>
    </row>
    <row r="476" spans="6:8" s="32" customFormat="1">
      <c r="F476" s="37"/>
      <c r="H476" s="38"/>
    </row>
    <row r="477" spans="6:8" s="32" customFormat="1">
      <c r="F477" s="37"/>
      <c r="H477" s="38"/>
    </row>
    <row r="478" spans="6:8" s="32" customFormat="1">
      <c r="F478" s="37"/>
      <c r="H478" s="38"/>
    </row>
    <row r="479" spans="6:8" s="32" customFormat="1">
      <c r="F479" s="37"/>
      <c r="H479" s="38"/>
    </row>
    <row r="480" spans="6:8" s="32" customFormat="1">
      <c r="F480" s="37"/>
      <c r="H480" s="38"/>
    </row>
    <row r="481" spans="6:8" s="32" customFormat="1">
      <c r="F481" s="37"/>
      <c r="H481" s="38"/>
    </row>
    <row r="482" spans="6:8" s="32" customFormat="1">
      <c r="F482" s="37"/>
      <c r="H482" s="38"/>
    </row>
    <row r="483" spans="6:8" s="32" customFormat="1">
      <c r="F483" s="37"/>
      <c r="H483" s="38"/>
    </row>
    <row r="484" spans="6:8" s="32" customFormat="1">
      <c r="F484" s="37"/>
      <c r="H484" s="38"/>
    </row>
    <row r="485" spans="6:8" s="32" customFormat="1">
      <c r="F485" s="37"/>
      <c r="H485" s="38"/>
    </row>
    <row r="486" spans="6:8" s="32" customFormat="1">
      <c r="F486" s="37"/>
      <c r="H486" s="38"/>
    </row>
    <row r="487" spans="6:8" s="32" customFormat="1">
      <c r="F487" s="37"/>
      <c r="H487" s="38"/>
    </row>
    <row r="488" spans="6:8" s="32" customFormat="1">
      <c r="F488" s="37"/>
      <c r="H488" s="38"/>
    </row>
    <row r="489" spans="6:8" s="32" customFormat="1">
      <c r="F489" s="37"/>
      <c r="H489" s="38"/>
    </row>
    <row r="490" spans="6:8" s="32" customFormat="1">
      <c r="F490" s="37"/>
      <c r="H490" s="38"/>
    </row>
    <row r="491" spans="6:8" s="32" customFormat="1">
      <c r="F491" s="37"/>
      <c r="H491" s="38"/>
    </row>
    <row r="492" spans="6:8" s="32" customFormat="1">
      <c r="F492" s="37"/>
      <c r="H492" s="38"/>
    </row>
    <row r="493" spans="6:8" s="32" customFormat="1">
      <c r="F493" s="37"/>
      <c r="H493" s="38"/>
    </row>
    <row r="494" spans="6:8" s="32" customFormat="1">
      <c r="F494" s="37"/>
      <c r="H494" s="38"/>
    </row>
    <row r="495" spans="6:8" s="32" customFormat="1">
      <c r="F495" s="37"/>
      <c r="H495" s="38"/>
    </row>
    <row r="496" spans="6:8" s="32" customFormat="1">
      <c r="F496" s="37"/>
      <c r="H496" s="38"/>
    </row>
    <row r="497" spans="6:8" s="32" customFormat="1">
      <c r="F497" s="37"/>
      <c r="H497" s="38"/>
    </row>
    <row r="498" spans="6:8" s="32" customFormat="1">
      <c r="F498" s="37"/>
      <c r="H498" s="38"/>
    </row>
    <row r="499" spans="6:8" s="32" customFormat="1">
      <c r="F499" s="37"/>
      <c r="H499" s="38"/>
    </row>
    <row r="500" spans="6:8" s="32" customFormat="1">
      <c r="F500" s="37"/>
      <c r="H500" s="38"/>
    </row>
    <row r="501" spans="6:8" s="32" customFormat="1">
      <c r="F501" s="37"/>
      <c r="H501" s="38"/>
    </row>
    <row r="502" spans="6:8" s="32" customFormat="1">
      <c r="F502" s="37"/>
      <c r="H502" s="38"/>
    </row>
    <row r="503" spans="6:8" s="32" customFormat="1">
      <c r="F503" s="37"/>
      <c r="H503" s="38"/>
    </row>
    <row r="504" spans="6:8" s="32" customFormat="1">
      <c r="F504" s="37"/>
      <c r="H504" s="38"/>
    </row>
    <row r="505" spans="6:8" s="32" customFormat="1">
      <c r="F505" s="37"/>
      <c r="H505" s="38"/>
    </row>
    <row r="506" spans="6:8" s="32" customFormat="1">
      <c r="F506" s="37"/>
      <c r="H506" s="38"/>
    </row>
    <row r="507" spans="6:8" s="32" customFormat="1">
      <c r="F507" s="37"/>
      <c r="H507" s="38"/>
    </row>
    <row r="508" spans="6:8" s="32" customFormat="1">
      <c r="F508" s="37"/>
      <c r="H508" s="38"/>
    </row>
    <row r="509" spans="6:8" s="32" customFormat="1">
      <c r="F509" s="37"/>
      <c r="H509" s="38"/>
    </row>
    <row r="510" spans="6:8" s="32" customFormat="1">
      <c r="F510" s="37"/>
      <c r="H510" s="38"/>
    </row>
    <row r="511" spans="6:8" s="32" customFormat="1">
      <c r="F511" s="37"/>
      <c r="H511" s="38"/>
    </row>
    <row r="512" spans="6:8" s="32" customFormat="1">
      <c r="F512" s="37"/>
      <c r="H512" s="38"/>
    </row>
    <row r="513" spans="6:8" s="32" customFormat="1">
      <c r="F513" s="37"/>
      <c r="H513" s="38"/>
    </row>
    <row r="514" spans="6:8" s="32" customFormat="1">
      <c r="F514" s="37"/>
      <c r="H514" s="38"/>
    </row>
    <row r="515" spans="6:8" s="32" customFormat="1">
      <c r="F515" s="37"/>
      <c r="H515" s="38"/>
    </row>
    <row r="516" spans="6:8" s="32" customFormat="1">
      <c r="F516" s="37"/>
      <c r="H516" s="38"/>
    </row>
    <row r="517" spans="6:8" s="32" customFormat="1">
      <c r="F517" s="37"/>
      <c r="H517" s="38"/>
    </row>
    <row r="518" spans="6:8" s="32" customFormat="1">
      <c r="F518" s="37"/>
      <c r="H518" s="38"/>
    </row>
    <row r="519" spans="6:8" s="32" customFormat="1">
      <c r="F519" s="37"/>
      <c r="H519" s="38"/>
    </row>
    <row r="520" spans="6:8" s="32" customFormat="1">
      <c r="F520" s="37"/>
      <c r="H520" s="38"/>
    </row>
    <row r="521" spans="6:8" s="32" customFormat="1">
      <c r="F521" s="37"/>
      <c r="H521" s="38"/>
    </row>
    <row r="522" spans="6:8" s="32" customFormat="1">
      <c r="F522" s="37"/>
      <c r="H522" s="38"/>
    </row>
    <row r="523" spans="6:8" s="32" customFormat="1">
      <c r="F523" s="37"/>
      <c r="H523" s="38"/>
    </row>
    <row r="524" spans="6:8" s="32" customFormat="1">
      <c r="F524" s="37"/>
      <c r="H524" s="38"/>
    </row>
    <row r="525" spans="6:8" s="32" customFormat="1">
      <c r="F525" s="37"/>
      <c r="H525" s="38"/>
    </row>
    <row r="526" spans="6:8" s="32" customFormat="1">
      <c r="F526" s="37"/>
      <c r="H526" s="38"/>
    </row>
    <row r="527" spans="6:8" s="32" customFormat="1">
      <c r="F527" s="37"/>
      <c r="H527" s="38"/>
    </row>
    <row r="528" spans="6:8" s="32" customFormat="1">
      <c r="F528" s="37"/>
      <c r="H528" s="38"/>
    </row>
    <row r="529" spans="6:8" s="32" customFormat="1">
      <c r="F529" s="37"/>
      <c r="H529" s="38"/>
    </row>
    <row r="530" spans="6:8" s="32" customFormat="1">
      <c r="F530" s="37"/>
      <c r="H530" s="38"/>
    </row>
    <row r="531" spans="6:8" s="32" customFormat="1">
      <c r="F531" s="37"/>
      <c r="H531" s="38"/>
    </row>
    <row r="532" spans="6:8" s="32" customFormat="1">
      <c r="F532" s="37"/>
      <c r="H532" s="38"/>
    </row>
    <row r="533" spans="6:8" s="32" customFormat="1">
      <c r="F533" s="37"/>
      <c r="H533" s="38"/>
    </row>
    <row r="534" spans="6:8" s="32" customFormat="1">
      <c r="F534" s="37"/>
      <c r="H534" s="38"/>
    </row>
    <row r="535" spans="6:8" s="32" customFormat="1">
      <c r="F535" s="37"/>
      <c r="H535" s="38"/>
    </row>
    <row r="536" spans="6:8" s="32" customFormat="1">
      <c r="F536" s="37"/>
      <c r="H536" s="38"/>
    </row>
    <row r="537" spans="6:8" s="32" customFormat="1">
      <c r="F537" s="37"/>
      <c r="H537" s="38"/>
    </row>
    <row r="538" spans="6:8" s="32" customFormat="1">
      <c r="F538" s="37"/>
      <c r="H538" s="38"/>
    </row>
    <row r="539" spans="6:8" s="32" customFormat="1">
      <c r="F539" s="37"/>
      <c r="H539" s="38"/>
    </row>
    <row r="540" spans="6:8" s="32" customFormat="1">
      <c r="F540" s="37"/>
      <c r="H540" s="38"/>
    </row>
    <row r="541" spans="6:8" s="32" customFormat="1">
      <c r="F541" s="37"/>
      <c r="H541" s="38"/>
    </row>
    <row r="542" spans="6:8" s="32" customFormat="1">
      <c r="F542" s="37"/>
      <c r="H542" s="38"/>
    </row>
    <row r="543" spans="6:8" s="32" customFormat="1">
      <c r="F543" s="37"/>
      <c r="H543" s="38"/>
    </row>
    <row r="544" spans="6:8" s="32" customFormat="1">
      <c r="F544" s="37"/>
      <c r="H544" s="38"/>
    </row>
    <row r="545" spans="6:8" s="32" customFormat="1">
      <c r="F545" s="37"/>
      <c r="H545" s="38"/>
    </row>
    <row r="546" spans="6:8" s="32" customFormat="1">
      <c r="F546" s="37"/>
      <c r="H546" s="38"/>
    </row>
    <row r="547" spans="6:8" s="32" customFormat="1">
      <c r="F547" s="37"/>
      <c r="H547" s="38"/>
    </row>
    <row r="548" spans="6:8" s="32" customFormat="1">
      <c r="F548" s="37"/>
      <c r="H548" s="38"/>
    </row>
    <row r="549" spans="6:8" s="32" customFormat="1">
      <c r="F549" s="37"/>
      <c r="H549" s="38"/>
    </row>
    <row r="550" spans="6:8" s="32" customFormat="1">
      <c r="F550" s="37"/>
      <c r="H550" s="38"/>
    </row>
    <row r="551" spans="6:8" s="32" customFormat="1">
      <c r="F551" s="37"/>
      <c r="H551" s="38"/>
    </row>
    <row r="552" spans="6:8" s="32" customFormat="1">
      <c r="F552" s="37"/>
      <c r="H552" s="38"/>
    </row>
    <row r="553" spans="6:8" s="32" customFormat="1">
      <c r="F553" s="37"/>
      <c r="H553" s="38"/>
    </row>
    <row r="554" spans="6:8" s="32" customFormat="1">
      <c r="F554" s="37"/>
      <c r="H554" s="38"/>
    </row>
    <row r="555" spans="6:8" s="32" customFormat="1">
      <c r="F555" s="37"/>
      <c r="H555" s="38"/>
    </row>
    <row r="556" spans="6:8" s="32" customFormat="1">
      <c r="F556" s="37"/>
      <c r="H556" s="38"/>
    </row>
    <row r="557" spans="6:8" s="32" customFormat="1">
      <c r="F557" s="37"/>
      <c r="H557" s="38"/>
    </row>
    <row r="558" spans="6:8" s="32" customFormat="1">
      <c r="F558" s="37"/>
      <c r="H558" s="38"/>
    </row>
    <row r="559" spans="6:8" s="32" customFormat="1">
      <c r="F559" s="37"/>
      <c r="H559" s="38"/>
    </row>
    <row r="560" spans="6:8" s="32" customFormat="1">
      <c r="F560" s="37"/>
      <c r="H560" s="38"/>
    </row>
    <row r="561" spans="6:8" s="32" customFormat="1">
      <c r="F561" s="37"/>
      <c r="H561" s="38"/>
    </row>
    <row r="562" spans="6:8" s="32" customFormat="1">
      <c r="F562" s="37"/>
      <c r="H562" s="38"/>
    </row>
    <row r="563" spans="6:8" s="32" customFormat="1">
      <c r="F563" s="37"/>
      <c r="H563" s="38"/>
    </row>
    <row r="564" spans="6:8" s="32" customFormat="1">
      <c r="F564" s="37"/>
      <c r="H564" s="38"/>
    </row>
    <row r="565" spans="6:8" s="32" customFormat="1">
      <c r="F565" s="37"/>
      <c r="H565" s="38"/>
    </row>
    <row r="566" spans="6:8" s="32" customFormat="1">
      <c r="F566" s="37"/>
      <c r="H566" s="38"/>
    </row>
    <row r="567" spans="6:8" s="32" customFormat="1">
      <c r="F567" s="37"/>
      <c r="H567" s="38"/>
    </row>
    <row r="568" spans="6:8" s="32" customFormat="1">
      <c r="F568" s="37"/>
      <c r="H568" s="38"/>
    </row>
    <row r="569" spans="6:8" s="32" customFormat="1">
      <c r="F569" s="37"/>
      <c r="H569" s="38"/>
    </row>
    <row r="570" spans="6:8" s="32" customFormat="1">
      <c r="F570" s="37"/>
      <c r="H570" s="38"/>
    </row>
    <row r="571" spans="6:8" s="32" customFormat="1">
      <c r="F571" s="37"/>
      <c r="H571" s="38"/>
    </row>
    <row r="572" spans="6:8" s="32" customFormat="1">
      <c r="F572" s="37"/>
      <c r="H572" s="38"/>
    </row>
    <row r="573" spans="6:8" s="32" customFormat="1">
      <c r="F573" s="37"/>
      <c r="H573" s="38"/>
    </row>
    <row r="574" spans="6:8" s="32" customFormat="1">
      <c r="F574" s="37"/>
      <c r="H574" s="38"/>
    </row>
    <row r="575" spans="6:8" s="32" customFormat="1">
      <c r="F575" s="37"/>
      <c r="H575" s="38"/>
    </row>
    <row r="576" spans="6:8" s="32" customFormat="1">
      <c r="F576" s="37"/>
      <c r="H576" s="38"/>
    </row>
    <row r="577" spans="6:8" s="32" customFormat="1">
      <c r="F577" s="37"/>
      <c r="H577" s="38"/>
    </row>
    <row r="578" spans="6:8" s="32" customFormat="1">
      <c r="F578" s="37"/>
      <c r="H578" s="38"/>
    </row>
    <row r="579" spans="6:8" s="32" customFormat="1">
      <c r="F579" s="37"/>
      <c r="H579" s="38"/>
    </row>
    <row r="580" spans="6:8" s="32" customFormat="1">
      <c r="F580" s="37"/>
      <c r="H580" s="38"/>
    </row>
    <row r="581" spans="6:8" s="32" customFormat="1">
      <c r="F581" s="37"/>
      <c r="H581" s="38"/>
    </row>
    <row r="582" spans="6:8" s="32" customFormat="1">
      <c r="F582" s="37"/>
      <c r="H582" s="38"/>
    </row>
    <row r="583" spans="6:8" s="32" customFormat="1">
      <c r="F583" s="37"/>
      <c r="H583" s="38"/>
    </row>
    <row r="584" spans="6:8" s="32" customFormat="1">
      <c r="F584" s="37"/>
      <c r="H584" s="38"/>
    </row>
    <row r="585" spans="6:8" s="32" customFormat="1">
      <c r="F585" s="37"/>
      <c r="H585" s="38"/>
    </row>
    <row r="586" spans="6:8" s="32" customFormat="1">
      <c r="F586" s="37"/>
      <c r="H586" s="38"/>
    </row>
    <row r="587" spans="6:8" s="32" customFormat="1">
      <c r="F587" s="37"/>
      <c r="H587" s="38"/>
    </row>
    <row r="588" spans="6:8" s="32" customFormat="1">
      <c r="F588" s="37"/>
      <c r="H588" s="38"/>
    </row>
    <row r="589" spans="6:8" s="32" customFormat="1">
      <c r="F589" s="37"/>
      <c r="H589" s="38"/>
    </row>
    <row r="590" spans="6:8" s="32" customFormat="1">
      <c r="F590" s="37"/>
      <c r="H590" s="38"/>
    </row>
    <row r="591" spans="6:8" s="32" customFormat="1">
      <c r="F591" s="37"/>
      <c r="H591" s="38"/>
    </row>
    <row r="592" spans="6:8" s="32" customFormat="1">
      <c r="F592" s="37"/>
      <c r="H592" s="38"/>
    </row>
    <row r="593" spans="6:8" s="32" customFormat="1">
      <c r="F593" s="37"/>
      <c r="H593" s="38"/>
    </row>
    <row r="594" spans="6:8" s="32" customFormat="1">
      <c r="F594" s="37"/>
      <c r="H594" s="38"/>
    </row>
    <row r="595" spans="6:8" s="32" customFormat="1">
      <c r="F595" s="37"/>
      <c r="H595" s="38"/>
    </row>
    <row r="596" spans="6:8" s="32" customFormat="1">
      <c r="F596" s="37"/>
      <c r="H596" s="38"/>
    </row>
    <row r="597" spans="6:8" s="32" customFormat="1">
      <c r="F597" s="37"/>
      <c r="H597" s="38"/>
    </row>
    <row r="598" spans="6:8" s="32" customFormat="1">
      <c r="F598" s="37"/>
      <c r="H598" s="38"/>
    </row>
    <row r="599" spans="6:8" s="32" customFormat="1">
      <c r="F599" s="37"/>
      <c r="H599" s="38"/>
    </row>
    <row r="600" spans="6:8" s="32" customFormat="1">
      <c r="F600" s="37"/>
      <c r="H600" s="38"/>
    </row>
    <row r="601" spans="6:8" s="32" customFormat="1">
      <c r="F601" s="37"/>
      <c r="H601" s="38"/>
    </row>
    <row r="602" spans="6:8" s="32" customFormat="1">
      <c r="F602" s="37"/>
      <c r="H602" s="38"/>
    </row>
    <row r="603" spans="6:8" s="32" customFormat="1">
      <c r="F603" s="37"/>
      <c r="H603" s="38"/>
    </row>
    <row r="604" spans="6:8" s="32" customFormat="1">
      <c r="F604" s="37"/>
      <c r="H604" s="38"/>
    </row>
    <row r="605" spans="6:8" s="32" customFormat="1">
      <c r="F605" s="37"/>
      <c r="H605" s="38"/>
    </row>
    <row r="606" spans="6:8" s="32" customFormat="1">
      <c r="F606" s="37"/>
      <c r="H606" s="38"/>
    </row>
    <row r="607" spans="6:8" s="32" customFormat="1">
      <c r="F607" s="37"/>
      <c r="H607" s="38"/>
    </row>
    <row r="608" spans="6:8" s="32" customFormat="1">
      <c r="F608" s="37"/>
      <c r="H608" s="38"/>
    </row>
    <row r="609" spans="6:8" s="32" customFormat="1">
      <c r="F609" s="37"/>
      <c r="H609" s="38"/>
    </row>
    <row r="610" spans="6:8" s="32" customFormat="1">
      <c r="F610" s="37"/>
      <c r="H610" s="38"/>
    </row>
    <row r="611" spans="6:8" s="32" customFormat="1">
      <c r="F611" s="37"/>
      <c r="H611" s="38"/>
    </row>
    <row r="612" spans="6:8" s="32" customFormat="1">
      <c r="F612" s="37"/>
      <c r="H612" s="38"/>
    </row>
    <row r="613" spans="6:8" s="32" customFormat="1">
      <c r="F613" s="37"/>
      <c r="H613" s="38"/>
    </row>
    <row r="614" spans="6:8" s="32" customFormat="1">
      <c r="F614" s="37"/>
      <c r="H614" s="38"/>
    </row>
    <row r="615" spans="6:8" s="32" customFormat="1">
      <c r="F615" s="37"/>
      <c r="H615" s="38"/>
    </row>
    <row r="616" spans="6:8" s="32" customFormat="1">
      <c r="F616" s="37"/>
      <c r="H616" s="38"/>
    </row>
    <row r="617" spans="6:8" s="32" customFormat="1">
      <c r="F617" s="37"/>
      <c r="H617" s="38"/>
    </row>
    <row r="618" spans="6:8" s="32" customFormat="1">
      <c r="F618" s="37"/>
      <c r="H618" s="38"/>
    </row>
    <row r="619" spans="6:8" s="32" customFormat="1">
      <c r="F619" s="37"/>
      <c r="H619" s="38"/>
    </row>
    <row r="620" spans="6:8" s="32" customFormat="1">
      <c r="F620" s="37"/>
      <c r="H620" s="38"/>
    </row>
    <row r="621" spans="6:8" s="32" customFormat="1">
      <c r="F621" s="37"/>
      <c r="H621" s="38"/>
    </row>
    <row r="622" spans="6:8" s="32" customFormat="1">
      <c r="F622" s="37"/>
      <c r="H622" s="38"/>
    </row>
    <row r="623" spans="6:8" s="32" customFormat="1">
      <c r="F623" s="37"/>
      <c r="H623" s="38"/>
    </row>
    <row r="624" spans="6:8" s="32" customFormat="1">
      <c r="F624" s="37"/>
      <c r="H624" s="38"/>
    </row>
    <row r="625" spans="6:8" s="32" customFormat="1">
      <c r="F625" s="37"/>
      <c r="H625" s="38"/>
    </row>
    <row r="626" spans="6:8" s="32" customFormat="1">
      <c r="F626" s="37"/>
      <c r="H626" s="38"/>
    </row>
    <row r="627" spans="6:8" s="32" customFormat="1">
      <c r="F627" s="37"/>
      <c r="H627" s="38"/>
    </row>
    <row r="628" spans="6:8" s="32" customFormat="1">
      <c r="F628" s="37"/>
      <c r="H628" s="38"/>
    </row>
    <row r="629" spans="6:8" s="32" customFormat="1">
      <c r="F629" s="37"/>
      <c r="H629" s="38"/>
    </row>
    <row r="630" spans="6:8" s="32" customFormat="1">
      <c r="F630" s="37"/>
      <c r="H630" s="38"/>
    </row>
    <row r="631" spans="6:8" s="32" customFormat="1">
      <c r="F631" s="37"/>
      <c r="H631" s="38"/>
    </row>
    <row r="632" spans="6:8" s="32" customFormat="1">
      <c r="F632" s="37"/>
      <c r="H632" s="38"/>
    </row>
    <row r="633" spans="6:8" s="32" customFormat="1">
      <c r="F633" s="37"/>
      <c r="H633" s="38"/>
    </row>
    <row r="634" spans="6:8" s="32" customFormat="1">
      <c r="F634" s="37"/>
      <c r="H634" s="38"/>
    </row>
    <row r="635" spans="6:8" s="32" customFormat="1">
      <c r="F635" s="37"/>
      <c r="H635" s="38"/>
    </row>
    <row r="636" spans="6:8" s="32" customFormat="1">
      <c r="F636" s="37"/>
      <c r="H636" s="38"/>
    </row>
    <row r="637" spans="6:8" s="32" customFormat="1">
      <c r="F637" s="37"/>
      <c r="H637" s="38"/>
    </row>
    <row r="638" spans="6:8" s="32" customFormat="1">
      <c r="F638" s="37"/>
      <c r="H638" s="38"/>
    </row>
    <row r="639" spans="6:8" s="32" customFormat="1">
      <c r="F639" s="37"/>
      <c r="H639" s="38"/>
    </row>
    <row r="640" spans="6:8" s="32" customFormat="1">
      <c r="F640" s="37"/>
      <c r="H640" s="38"/>
    </row>
    <row r="641" spans="6:8" s="32" customFormat="1">
      <c r="F641" s="37"/>
      <c r="H641" s="38"/>
    </row>
    <row r="642" spans="6:8" s="32" customFormat="1">
      <c r="F642" s="37"/>
      <c r="H642" s="38"/>
    </row>
    <row r="643" spans="6:8" s="32" customFormat="1">
      <c r="F643" s="37"/>
      <c r="H643" s="38"/>
    </row>
    <row r="644" spans="6:8" s="32" customFormat="1">
      <c r="F644" s="37"/>
      <c r="H644" s="38"/>
    </row>
    <row r="645" spans="6:8" s="32" customFormat="1">
      <c r="F645" s="37"/>
      <c r="H645" s="38"/>
    </row>
    <row r="646" spans="6:8" s="32" customFormat="1">
      <c r="F646" s="37"/>
      <c r="H646" s="38"/>
    </row>
    <row r="647" spans="6:8" s="32" customFormat="1">
      <c r="F647" s="37"/>
      <c r="H647" s="38"/>
    </row>
    <row r="648" spans="6:8" s="32" customFormat="1">
      <c r="F648" s="37"/>
      <c r="H648" s="38"/>
    </row>
    <row r="649" spans="6:8" s="32" customFormat="1">
      <c r="F649" s="37"/>
      <c r="H649" s="38"/>
    </row>
    <row r="650" spans="6:8" s="32" customFormat="1">
      <c r="F650" s="37"/>
      <c r="H650" s="38"/>
    </row>
    <row r="651" spans="6:8" s="32" customFormat="1">
      <c r="F651" s="37"/>
      <c r="H651" s="38"/>
    </row>
    <row r="652" spans="6:8" s="32" customFormat="1">
      <c r="F652" s="37"/>
      <c r="H652" s="38"/>
    </row>
    <row r="653" spans="6:8" s="32" customFormat="1">
      <c r="F653" s="37"/>
      <c r="H653" s="38"/>
    </row>
    <row r="654" spans="6:8" s="32" customFormat="1">
      <c r="F654" s="37"/>
      <c r="H654" s="38"/>
    </row>
    <row r="655" spans="6:8" s="32" customFormat="1">
      <c r="F655" s="37"/>
      <c r="H655" s="38"/>
    </row>
    <row r="656" spans="6:8" s="32" customFormat="1">
      <c r="F656" s="37"/>
      <c r="H656" s="38"/>
    </row>
    <row r="657" spans="6:8" s="32" customFormat="1">
      <c r="F657" s="37"/>
      <c r="H657" s="38"/>
    </row>
    <row r="658" spans="6:8" s="32" customFormat="1">
      <c r="F658" s="37"/>
      <c r="H658" s="38"/>
    </row>
    <row r="659" spans="6:8" s="32" customFormat="1">
      <c r="F659" s="37"/>
      <c r="H659" s="38"/>
    </row>
    <row r="660" spans="6:8" s="32" customFormat="1">
      <c r="F660" s="37"/>
      <c r="H660" s="38"/>
    </row>
    <row r="661" spans="6:8" s="32" customFormat="1">
      <c r="F661" s="37"/>
      <c r="H661" s="38"/>
    </row>
    <row r="662" spans="6:8" s="32" customFormat="1">
      <c r="F662" s="37"/>
      <c r="H662" s="38"/>
    </row>
    <row r="663" spans="6:8" s="32" customFormat="1">
      <c r="F663" s="37"/>
      <c r="H663" s="38"/>
    </row>
    <row r="664" spans="6:8" s="32" customFormat="1">
      <c r="F664" s="37"/>
      <c r="H664" s="38"/>
    </row>
    <row r="665" spans="6:8" s="32" customFormat="1">
      <c r="F665" s="37"/>
      <c r="H665" s="38"/>
    </row>
    <row r="666" spans="6:8" s="32" customFormat="1">
      <c r="F666" s="37"/>
      <c r="H666" s="38"/>
    </row>
    <row r="667" spans="6:8" s="32" customFormat="1">
      <c r="F667" s="37"/>
      <c r="H667" s="38"/>
    </row>
    <row r="668" spans="6:8" s="32" customFormat="1">
      <c r="F668" s="37"/>
      <c r="H668" s="38"/>
    </row>
    <row r="669" spans="6:8" s="32" customFormat="1">
      <c r="F669" s="37"/>
      <c r="H669" s="38"/>
    </row>
    <row r="670" spans="6:8" s="32" customFormat="1">
      <c r="F670" s="37"/>
      <c r="H670" s="38"/>
    </row>
    <row r="671" spans="6:8" s="32" customFormat="1">
      <c r="F671" s="37"/>
      <c r="H671" s="38"/>
    </row>
    <row r="672" spans="6:8" s="32" customFormat="1">
      <c r="F672" s="37"/>
      <c r="H672" s="38"/>
    </row>
    <row r="673" spans="6:8" s="32" customFormat="1">
      <c r="F673" s="37"/>
      <c r="H673" s="38"/>
    </row>
    <row r="674" spans="6:8" s="32" customFormat="1">
      <c r="F674" s="37"/>
      <c r="H674" s="38"/>
    </row>
    <row r="675" spans="6:8" s="32" customFormat="1">
      <c r="F675" s="37"/>
      <c r="H675" s="38"/>
    </row>
    <row r="676" spans="6:8" s="32" customFormat="1">
      <c r="F676" s="37"/>
      <c r="H676" s="38"/>
    </row>
    <row r="677" spans="6:8" s="32" customFormat="1">
      <c r="F677" s="37"/>
      <c r="H677" s="38"/>
    </row>
    <row r="678" spans="6:8" s="32" customFormat="1">
      <c r="F678" s="37"/>
      <c r="H678" s="38"/>
    </row>
    <row r="679" spans="6:8" s="32" customFormat="1">
      <c r="F679" s="37"/>
      <c r="H679" s="38"/>
    </row>
    <row r="680" spans="6:8" s="32" customFormat="1">
      <c r="F680" s="37"/>
      <c r="H680" s="38"/>
    </row>
    <row r="681" spans="6:8" s="32" customFormat="1">
      <c r="F681" s="37"/>
      <c r="H681" s="38"/>
    </row>
    <row r="682" spans="6:8" s="32" customFormat="1">
      <c r="F682" s="37"/>
      <c r="H682" s="38"/>
    </row>
    <row r="683" spans="6:8" s="32" customFormat="1">
      <c r="F683" s="37"/>
      <c r="H683" s="38"/>
    </row>
    <row r="684" spans="6:8" s="32" customFormat="1">
      <c r="F684" s="37"/>
      <c r="H684" s="38"/>
    </row>
    <row r="685" spans="6:8" s="32" customFormat="1">
      <c r="F685" s="37"/>
      <c r="H685" s="38"/>
    </row>
    <row r="686" spans="6:8" s="32" customFormat="1">
      <c r="F686" s="37"/>
      <c r="H686" s="38"/>
    </row>
    <row r="687" spans="6:8" s="32" customFormat="1">
      <c r="F687" s="37"/>
      <c r="H687" s="38"/>
    </row>
    <row r="688" spans="6:8" s="32" customFormat="1">
      <c r="F688" s="37"/>
      <c r="H688" s="38"/>
    </row>
    <row r="689" spans="6:8" s="32" customFormat="1">
      <c r="F689" s="37"/>
      <c r="H689" s="38"/>
    </row>
    <row r="690" spans="6:8" s="32" customFormat="1">
      <c r="F690" s="37"/>
      <c r="H690" s="38"/>
    </row>
    <row r="691" spans="6:8" s="32" customFormat="1">
      <c r="F691" s="37"/>
      <c r="H691" s="38"/>
    </row>
    <row r="692" spans="6:8" s="32" customFormat="1">
      <c r="F692" s="37"/>
      <c r="H692" s="38"/>
    </row>
    <row r="693" spans="6:8" s="32" customFormat="1">
      <c r="F693" s="37"/>
      <c r="H693" s="38"/>
    </row>
    <row r="694" spans="6:8" s="32" customFormat="1">
      <c r="F694" s="37"/>
      <c r="H694" s="38"/>
    </row>
    <row r="695" spans="6:8" s="32" customFormat="1">
      <c r="F695" s="37"/>
      <c r="H695" s="38"/>
    </row>
    <row r="696" spans="6:8" s="32" customFormat="1">
      <c r="F696" s="37"/>
      <c r="H696" s="38"/>
    </row>
    <row r="697" spans="6:8" s="32" customFormat="1">
      <c r="F697" s="37"/>
      <c r="H697" s="38"/>
    </row>
    <row r="698" spans="6:8" s="32" customFormat="1">
      <c r="F698" s="37"/>
      <c r="H698" s="38"/>
    </row>
    <row r="699" spans="6:8" s="32" customFormat="1">
      <c r="F699" s="37"/>
      <c r="H699" s="38"/>
    </row>
    <row r="700" spans="6:8" s="32" customFormat="1">
      <c r="F700" s="37"/>
      <c r="H700" s="38"/>
    </row>
    <row r="701" spans="6:8" s="32" customFormat="1">
      <c r="F701" s="37"/>
      <c r="H701" s="38"/>
    </row>
    <row r="702" spans="6:8" s="32" customFormat="1">
      <c r="F702" s="37"/>
      <c r="H702" s="38"/>
    </row>
    <row r="703" spans="6:8" s="32" customFormat="1">
      <c r="F703" s="37"/>
      <c r="H703" s="38"/>
    </row>
    <row r="704" spans="6:8" s="32" customFormat="1">
      <c r="F704" s="37"/>
      <c r="H704" s="38"/>
    </row>
    <row r="705" spans="6:8" s="32" customFormat="1">
      <c r="F705" s="37"/>
      <c r="H705" s="38"/>
    </row>
    <row r="706" spans="6:8" s="32" customFormat="1">
      <c r="F706" s="37"/>
      <c r="H706" s="38"/>
    </row>
    <row r="707" spans="6:8" s="32" customFormat="1">
      <c r="F707" s="37"/>
      <c r="H707" s="38"/>
    </row>
    <row r="708" spans="6:8" s="32" customFormat="1">
      <c r="F708" s="37"/>
      <c r="H708" s="38"/>
    </row>
    <row r="709" spans="6:8" s="32" customFormat="1">
      <c r="F709" s="37"/>
      <c r="H709" s="38"/>
    </row>
    <row r="710" spans="6:8" s="32" customFormat="1">
      <c r="F710" s="37"/>
      <c r="H710" s="38"/>
    </row>
    <row r="711" spans="6:8" s="32" customFormat="1">
      <c r="F711" s="37"/>
      <c r="H711" s="38"/>
    </row>
    <row r="712" spans="6:8" s="32" customFormat="1">
      <c r="F712" s="37"/>
      <c r="H712" s="38"/>
    </row>
    <row r="713" spans="6:8" s="32" customFormat="1">
      <c r="F713" s="37"/>
      <c r="H713" s="38"/>
    </row>
    <row r="714" spans="6:8" s="32" customFormat="1">
      <c r="F714" s="37"/>
      <c r="H714" s="38"/>
    </row>
    <row r="715" spans="6:8" s="32" customFormat="1">
      <c r="F715" s="37"/>
      <c r="H715" s="38"/>
    </row>
    <row r="716" spans="6:8" s="32" customFormat="1">
      <c r="F716" s="37"/>
      <c r="H716" s="38"/>
    </row>
    <row r="717" spans="6:8" s="32" customFormat="1">
      <c r="F717" s="37"/>
      <c r="H717" s="38"/>
    </row>
    <row r="718" spans="6:8" s="32" customFormat="1">
      <c r="F718" s="37"/>
      <c r="H718" s="38"/>
    </row>
    <row r="719" spans="6:8" s="32" customFormat="1">
      <c r="F719" s="37"/>
      <c r="H719" s="38"/>
    </row>
    <row r="720" spans="6:8" s="32" customFormat="1">
      <c r="F720" s="37"/>
      <c r="H720" s="38"/>
    </row>
    <row r="721" spans="6:8" s="32" customFormat="1">
      <c r="F721" s="37"/>
      <c r="H721" s="38"/>
    </row>
    <row r="722" spans="6:8" s="32" customFormat="1">
      <c r="F722" s="37"/>
      <c r="H722" s="38"/>
    </row>
    <row r="723" spans="6:8" s="32" customFormat="1">
      <c r="F723" s="37"/>
      <c r="H723" s="38"/>
    </row>
    <row r="724" spans="6:8" s="32" customFormat="1">
      <c r="F724" s="37"/>
      <c r="H724" s="38"/>
    </row>
    <row r="725" spans="6:8" s="32" customFormat="1">
      <c r="F725" s="37"/>
      <c r="H725" s="38"/>
    </row>
    <row r="726" spans="6:8" s="32" customFormat="1">
      <c r="F726" s="37"/>
      <c r="H726" s="38"/>
    </row>
    <row r="727" spans="6:8" s="32" customFormat="1">
      <c r="F727" s="37"/>
      <c r="H727" s="38"/>
    </row>
    <row r="728" spans="6:8" s="32" customFormat="1">
      <c r="F728" s="37"/>
      <c r="H728" s="38"/>
    </row>
    <row r="729" spans="6:8" s="32" customFormat="1">
      <c r="F729" s="37"/>
      <c r="H729" s="38"/>
    </row>
    <row r="730" spans="6:8" s="32" customFormat="1">
      <c r="F730" s="37"/>
      <c r="H730" s="38"/>
    </row>
    <row r="731" spans="6:8" s="32" customFormat="1">
      <c r="F731" s="37"/>
      <c r="H731" s="38"/>
    </row>
    <row r="732" spans="6:8" s="32" customFormat="1">
      <c r="F732" s="37"/>
      <c r="H732" s="38"/>
    </row>
    <row r="733" spans="6:8" s="32" customFormat="1">
      <c r="F733" s="37"/>
      <c r="H733" s="38"/>
    </row>
    <row r="734" spans="6:8" s="32" customFormat="1">
      <c r="F734" s="37"/>
      <c r="H734" s="38"/>
    </row>
    <row r="735" spans="6:8" s="32" customFormat="1">
      <c r="F735" s="37"/>
      <c r="H735" s="38"/>
    </row>
    <row r="736" spans="6:8" s="32" customFormat="1">
      <c r="F736" s="37"/>
      <c r="H736" s="38"/>
    </row>
    <row r="737" spans="6:8" s="32" customFormat="1">
      <c r="F737" s="37"/>
      <c r="H737" s="38"/>
    </row>
    <row r="738" spans="6:8" s="32" customFormat="1">
      <c r="F738" s="37"/>
      <c r="H738" s="38"/>
    </row>
    <row r="739" spans="6:8" s="32" customFormat="1">
      <c r="F739" s="37"/>
      <c r="H739" s="38"/>
    </row>
    <row r="740" spans="6:8" s="32" customFormat="1">
      <c r="F740" s="37"/>
      <c r="H740" s="38"/>
    </row>
    <row r="741" spans="6:8" s="32" customFormat="1">
      <c r="F741" s="37"/>
      <c r="H741" s="38"/>
    </row>
    <row r="742" spans="6:8" s="32" customFormat="1">
      <c r="F742" s="37"/>
      <c r="H742" s="38"/>
    </row>
    <row r="743" spans="6:8" s="32" customFormat="1">
      <c r="F743" s="37"/>
      <c r="H743" s="38"/>
    </row>
    <row r="744" spans="6:8" s="32" customFormat="1">
      <c r="F744" s="37"/>
      <c r="H744" s="38"/>
    </row>
    <row r="745" spans="6:8" s="32" customFormat="1">
      <c r="F745" s="37"/>
      <c r="H745" s="38"/>
    </row>
    <row r="746" spans="6:8" s="32" customFormat="1">
      <c r="F746" s="37"/>
      <c r="H746" s="38"/>
    </row>
    <row r="747" spans="6:8" s="32" customFormat="1">
      <c r="F747" s="37"/>
      <c r="H747" s="38"/>
    </row>
    <row r="748" spans="6:8" s="32" customFormat="1">
      <c r="F748" s="37"/>
      <c r="H748" s="38"/>
    </row>
    <row r="749" spans="6:8" s="32" customFormat="1">
      <c r="F749" s="37"/>
      <c r="H749" s="38"/>
    </row>
    <row r="750" spans="6:8" s="32" customFormat="1">
      <c r="F750" s="37"/>
      <c r="H750" s="38"/>
    </row>
    <row r="751" spans="6:8" s="32" customFormat="1">
      <c r="F751" s="37"/>
      <c r="H751" s="38"/>
    </row>
    <row r="752" spans="6:8" s="32" customFormat="1">
      <c r="F752" s="37"/>
      <c r="H752" s="38"/>
    </row>
    <row r="753" spans="6:8" s="32" customFormat="1">
      <c r="F753" s="37"/>
      <c r="H753" s="38"/>
    </row>
    <row r="754" spans="6:8" s="32" customFormat="1">
      <c r="F754" s="37"/>
      <c r="H754" s="38"/>
    </row>
    <row r="755" spans="6:8" s="32" customFormat="1">
      <c r="F755" s="37"/>
      <c r="H755" s="38"/>
    </row>
    <row r="756" spans="6:8" s="32" customFormat="1">
      <c r="F756" s="37"/>
      <c r="H756" s="38"/>
    </row>
    <row r="757" spans="6:8" s="32" customFormat="1">
      <c r="F757" s="37"/>
      <c r="H757" s="38"/>
    </row>
    <row r="758" spans="6:8" s="32" customFormat="1">
      <c r="F758" s="37"/>
      <c r="H758" s="38"/>
    </row>
    <row r="759" spans="6:8" s="32" customFormat="1">
      <c r="F759" s="37"/>
      <c r="H759" s="38"/>
    </row>
    <row r="760" spans="6:8" s="32" customFormat="1">
      <c r="F760" s="37"/>
      <c r="H760" s="38"/>
    </row>
    <row r="761" spans="6:8" s="32" customFormat="1">
      <c r="F761" s="37"/>
      <c r="H761" s="38"/>
    </row>
    <row r="762" spans="6:8" s="32" customFormat="1">
      <c r="F762" s="37"/>
      <c r="H762" s="38"/>
    </row>
    <row r="763" spans="6:8" s="32" customFormat="1">
      <c r="F763" s="37"/>
      <c r="H763" s="38"/>
    </row>
    <row r="764" spans="6:8" s="32" customFormat="1">
      <c r="F764" s="37"/>
      <c r="H764" s="38"/>
    </row>
    <row r="765" spans="6:8" s="32" customFormat="1">
      <c r="F765" s="37"/>
      <c r="H765" s="38"/>
    </row>
    <row r="766" spans="6:8" s="32" customFormat="1">
      <c r="F766" s="37"/>
      <c r="H766" s="38"/>
    </row>
    <row r="767" spans="6:8" s="32" customFormat="1">
      <c r="F767" s="37"/>
      <c r="H767" s="38"/>
    </row>
    <row r="768" spans="6:8" s="32" customFormat="1">
      <c r="F768" s="37"/>
      <c r="H768" s="38"/>
    </row>
    <row r="769" spans="6:8" s="32" customFormat="1">
      <c r="F769" s="37"/>
      <c r="H769" s="38"/>
    </row>
    <row r="770" spans="6:8" s="32" customFormat="1">
      <c r="F770" s="37"/>
      <c r="H770" s="38"/>
    </row>
    <row r="771" spans="6:8" s="32" customFormat="1">
      <c r="F771" s="37"/>
      <c r="H771" s="38"/>
    </row>
    <row r="772" spans="6:8" s="32" customFormat="1">
      <c r="F772" s="37"/>
      <c r="H772" s="38"/>
    </row>
    <row r="773" spans="6:8" s="32" customFormat="1">
      <c r="F773" s="37"/>
      <c r="H773" s="38"/>
    </row>
    <row r="774" spans="6:8" s="32" customFormat="1">
      <c r="F774" s="37"/>
      <c r="H774" s="38"/>
    </row>
    <row r="775" spans="6:8" s="32" customFormat="1">
      <c r="F775" s="37"/>
      <c r="H775" s="38"/>
    </row>
    <row r="776" spans="6:8" s="32" customFormat="1">
      <c r="F776" s="37"/>
      <c r="H776" s="38"/>
    </row>
    <row r="777" spans="6:8" s="32" customFormat="1">
      <c r="F777" s="37"/>
      <c r="H777" s="38"/>
    </row>
    <row r="778" spans="6:8" s="32" customFormat="1">
      <c r="F778" s="37"/>
      <c r="H778" s="38"/>
    </row>
    <row r="779" spans="6:8" s="32" customFormat="1">
      <c r="F779" s="37"/>
      <c r="H779" s="38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761"/>
  <sheetViews>
    <sheetView zoomScaleNormal="100" workbookViewId="0">
      <selection activeCell="C40" sqref="C40"/>
    </sheetView>
  </sheetViews>
  <sheetFormatPr defaultRowHeight="12"/>
  <cols>
    <col min="1" max="1" width="3.42578125" style="154" bestFit="1" customWidth="1"/>
    <col min="2" max="2" width="50.42578125" style="155" bestFit="1" customWidth="1"/>
    <col min="3" max="3" width="16.85546875" style="155" bestFit="1" customWidth="1"/>
    <col min="4" max="4" width="33.5703125" style="155" bestFit="1" customWidth="1"/>
    <col min="5" max="5" width="16.85546875" style="155" bestFit="1" customWidth="1"/>
    <col min="6" max="6" width="16.85546875" style="167" bestFit="1" customWidth="1"/>
    <col min="7" max="7" width="25.140625" style="155" hidden="1" customWidth="1"/>
    <col min="8" max="8" width="16.85546875" style="168" bestFit="1" customWidth="1"/>
    <col min="9" max="9" width="25.140625" style="155" hidden="1" customWidth="1"/>
    <col min="10" max="115" width="9.140625" style="154"/>
    <col min="116" max="16384" width="9.140625" style="155"/>
  </cols>
  <sheetData>
    <row r="1" spans="1:9" ht="15.95" customHeight="1">
      <c r="A1" s="152"/>
      <c r="B1" s="190" t="s">
        <v>394</v>
      </c>
      <c r="C1" s="191"/>
      <c r="D1" s="191"/>
      <c r="E1" s="191"/>
      <c r="F1" s="191"/>
      <c r="G1" s="191"/>
      <c r="H1" s="192"/>
      <c r="I1" s="153"/>
    </row>
    <row r="2" spans="1:9" ht="12.95" customHeight="1" thickBot="1">
      <c r="A2" s="152"/>
      <c r="B2" s="193" t="s">
        <v>395</v>
      </c>
      <c r="C2" s="194"/>
      <c r="D2" s="194"/>
      <c r="E2" s="194"/>
      <c r="F2" s="194"/>
      <c r="G2" s="194"/>
      <c r="H2" s="195"/>
      <c r="I2" s="153"/>
    </row>
    <row r="3" spans="1:9" s="154" customFormat="1" ht="12.95" customHeight="1">
      <c r="A3" s="152"/>
      <c r="B3" s="151"/>
      <c r="C3" s="151"/>
      <c r="D3" s="151"/>
      <c r="E3" s="151"/>
      <c r="F3" s="151"/>
      <c r="G3" s="151"/>
      <c r="H3" s="151"/>
      <c r="I3" s="152"/>
    </row>
    <row r="4" spans="1:9" s="154" customFormat="1" ht="12.95" customHeight="1" thickBot="1">
      <c r="A4" s="30"/>
      <c r="B4" s="36" t="s">
        <v>2</v>
      </c>
      <c r="C4" s="152"/>
      <c r="D4" s="152"/>
      <c r="E4" s="152"/>
      <c r="F4" s="156"/>
      <c r="G4" s="152"/>
      <c r="H4" s="157"/>
      <c r="I4" s="152"/>
    </row>
    <row r="5" spans="1:9" ht="27.95" customHeight="1">
      <c r="A5" s="152"/>
      <c r="B5" s="58" t="s">
        <v>3</v>
      </c>
      <c r="C5" s="59" t="s">
        <v>4</v>
      </c>
      <c r="D5" s="60" t="s">
        <v>378</v>
      </c>
      <c r="E5" s="60" t="s">
        <v>6</v>
      </c>
      <c r="F5" s="61" t="s">
        <v>7</v>
      </c>
      <c r="G5" s="60" t="s">
        <v>8</v>
      </c>
      <c r="H5" s="62" t="s">
        <v>9</v>
      </c>
      <c r="I5" s="39" t="s">
        <v>10</v>
      </c>
    </row>
    <row r="6" spans="1:9" ht="12.95" customHeight="1">
      <c r="A6" s="152"/>
      <c r="B6" s="63" t="s">
        <v>49</v>
      </c>
      <c r="C6" s="19" t="s">
        <v>1</v>
      </c>
      <c r="D6" s="19" t="s">
        <v>1</v>
      </c>
      <c r="E6" s="19" t="s">
        <v>1</v>
      </c>
      <c r="F6" s="48" t="s">
        <v>1</v>
      </c>
      <c r="G6" s="158"/>
      <c r="H6" s="64" t="s">
        <v>1</v>
      </c>
      <c r="I6" s="40" t="s">
        <v>1</v>
      </c>
    </row>
    <row r="7" spans="1:9" ht="12.95" customHeight="1">
      <c r="A7" s="152"/>
      <c r="B7" s="63" t="s">
        <v>50</v>
      </c>
      <c r="C7" s="19" t="s">
        <v>1</v>
      </c>
      <c r="D7" s="19" t="s">
        <v>1</v>
      </c>
      <c r="E7" s="19" t="s">
        <v>1</v>
      </c>
      <c r="F7" s="48" t="s">
        <v>1</v>
      </c>
      <c r="G7" s="158"/>
      <c r="H7" s="64" t="s">
        <v>1</v>
      </c>
      <c r="I7" s="40" t="s">
        <v>1</v>
      </c>
    </row>
    <row r="8" spans="1:9" ht="12.95" customHeight="1">
      <c r="A8" s="31"/>
      <c r="B8" s="65" t="s">
        <v>200</v>
      </c>
      <c r="C8" s="19" t="s">
        <v>201</v>
      </c>
      <c r="D8" s="19" t="s">
        <v>56</v>
      </c>
      <c r="E8" s="50">
        <v>68500</v>
      </c>
      <c r="F8" s="51">
        <v>761.48024999999996</v>
      </c>
      <c r="G8" s="52">
        <v>761.48</v>
      </c>
      <c r="H8" s="66">
        <v>5.6113634565656136E-2</v>
      </c>
      <c r="I8" s="3">
        <v>5.6099999999999997E-2</v>
      </c>
    </row>
    <row r="9" spans="1:9" ht="12.95" customHeight="1">
      <c r="A9" s="31"/>
      <c r="B9" s="65" t="s">
        <v>77</v>
      </c>
      <c r="C9" s="19" t="s">
        <v>78</v>
      </c>
      <c r="D9" s="19" t="s">
        <v>56</v>
      </c>
      <c r="E9" s="50">
        <v>205000</v>
      </c>
      <c r="F9" s="51">
        <v>619.91999999999996</v>
      </c>
      <c r="G9" s="52">
        <v>619.91999999999996</v>
      </c>
      <c r="H9" s="66">
        <v>4.5682030939005379E-2</v>
      </c>
      <c r="I9" s="3">
        <v>4.5699999999999998E-2</v>
      </c>
    </row>
    <row r="10" spans="1:9" ht="12.95" customHeight="1">
      <c r="A10" s="31"/>
      <c r="B10" s="65" t="s">
        <v>202</v>
      </c>
      <c r="C10" s="19" t="s">
        <v>203</v>
      </c>
      <c r="D10" s="19" t="s">
        <v>81</v>
      </c>
      <c r="E10" s="50">
        <v>50500</v>
      </c>
      <c r="F10" s="51">
        <v>543.91025000000002</v>
      </c>
      <c r="G10" s="52">
        <v>543.91</v>
      </c>
      <c r="H10" s="66">
        <v>4.0080856995325445E-2</v>
      </c>
      <c r="I10" s="3">
        <v>4.0099999999999997E-2</v>
      </c>
    </row>
    <row r="11" spans="1:9" ht="12.95" customHeight="1">
      <c r="A11" s="31"/>
      <c r="B11" s="65" t="s">
        <v>204</v>
      </c>
      <c r="C11" s="19" t="s">
        <v>205</v>
      </c>
      <c r="D11" s="19" t="s">
        <v>53</v>
      </c>
      <c r="E11" s="50">
        <v>44000</v>
      </c>
      <c r="F11" s="51">
        <v>440.81400000000002</v>
      </c>
      <c r="G11" s="52">
        <v>440.81</v>
      </c>
      <c r="H11" s="66">
        <v>3.2483673355185698E-2</v>
      </c>
      <c r="I11" s="3">
        <v>3.2500000000000001E-2</v>
      </c>
    </row>
    <row r="12" spans="1:9" ht="12.95" customHeight="1">
      <c r="A12" s="31"/>
      <c r="B12" s="65" t="s">
        <v>206</v>
      </c>
      <c r="C12" s="19" t="s">
        <v>207</v>
      </c>
      <c r="D12" s="19" t="s">
        <v>90</v>
      </c>
      <c r="E12" s="50">
        <v>24000</v>
      </c>
      <c r="F12" s="51">
        <v>429.9</v>
      </c>
      <c r="G12" s="52">
        <v>429.9</v>
      </c>
      <c r="H12" s="66">
        <v>3.1679418474445754E-2</v>
      </c>
      <c r="I12" s="3">
        <v>3.1699999999999999E-2</v>
      </c>
    </row>
    <row r="13" spans="1:9" ht="12.95" customHeight="1">
      <c r="A13" s="31"/>
      <c r="B13" s="65" t="s">
        <v>208</v>
      </c>
      <c r="C13" s="19" t="s">
        <v>209</v>
      </c>
      <c r="D13" s="19" t="s">
        <v>61</v>
      </c>
      <c r="E13" s="50">
        <v>30000</v>
      </c>
      <c r="F13" s="51">
        <v>402.12</v>
      </c>
      <c r="G13" s="52">
        <v>402.12</v>
      </c>
      <c r="H13" s="66">
        <v>2.963230462187515E-2</v>
      </c>
      <c r="I13" s="3">
        <v>2.9600000000000001E-2</v>
      </c>
    </row>
    <row r="14" spans="1:9" ht="12.95" customHeight="1">
      <c r="A14" s="31"/>
      <c r="B14" s="65" t="s">
        <v>86</v>
      </c>
      <c r="C14" s="19" t="s">
        <v>87</v>
      </c>
      <c r="D14" s="19" t="s">
        <v>56</v>
      </c>
      <c r="E14" s="50">
        <v>40000</v>
      </c>
      <c r="F14" s="51">
        <v>391.08</v>
      </c>
      <c r="G14" s="52">
        <v>391.08</v>
      </c>
      <c r="H14" s="66">
        <v>2.8818764775497198E-2</v>
      </c>
      <c r="I14" s="3">
        <v>2.8799999999999999E-2</v>
      </c>
    </row>
    <row r="15" spans="1:9" ht="12.95" customHeight="1">
      <c r="A15" s="31"/>
      <c r="B15" s="65" t="s">
        <v>210</v>
      </c>
      <c r="C15" s="19" t="s">
        <v>211</v>
      </c>
      <c r="D15" s="19" t="s">
        <v>145</v>
      </c>
      <c r="E15" s="50">
        <v>8000</v>
      </c>
      <c r="F15" s="51">
        <v>346.51600000000002</v>
      </c>
      <c r="G15" s="52">
        <v>346.52</v>
      </c>
      <c r="H15" s="66">
        <v>2.5534834547780983E-2</v>
      </c>
      <c r="I15" s="3">
        <v>2.5499999999999998E-2</v>
      </c>
    </row>
    <row r="16" spans="1:9" ht="12.95" customHeight="1">
      <c r="A16" s="31"/>
      <c r="B16" s="65" t="s">
        <v>212</v>
      </c>
      <c r="C16" s="19" t="s">
        <v>213</v>
      </c>
      <c r="D16" s="19" t="s">
        <v>93</v>
      </c>
      <c r="E16" s="50">
        <v>105000</v>
      </c>
      <c r="F16" s="51">
        <v>342.3</v>
      </c>
      <c r="G16" s="52">
        <v>342.3</v>
      </c>
      <c r="H16" s="66">
        <v>2.5224156649925056E-2</v>
      </c>
      <c r="I16" s="3">
        <v>2.52E-2</v>
      </c>
    </row>
    <row r="17" spans="1:9" ht="12.95" customHeight="1">
      <c r="A17" s="31"/>
      <c r="B17" s="65" t="s">
        <v>214</v>
      </c>
      <c r="C17" s="19" t="s">
        <v>215</v>
      </c>
      <c r="D17" s="19" t="s">
        <v>81</v>
      </c>
      <c r="E17" s="50">
        <v>13500</v>
      </c>
      <c r="F17" s="51">
        <v>338.95125000000002</v>
      </c>
      <c r="G17" s="52">
        <v>338.95</v>
      </c>
      <c r="H17" s="66">
        <v>2.497738658103392E-2</v>
      </c>
      <c r="I17" s="3">
        <v>2.5000000000000001E-2</v>
      </c>
    </row>
    <row r="18" spans="1:9" ht="12.95" customHeight="1">
      <c r="A18" s="31"/>
      <c r="B18" s="65" t="s">
        <v>216</v>
      </c>
      <c r="C18" s="19" t="s">
        <v>217</v>
      </c>
      <c r="D18" s="19" t="s">
        <v>56</v>
      </c>
      <c r="E18" s="50">
        <v>55000</v>
      </c>
      <c r="F18" s="51">
        <v>315.42500000000001</v>
      </c>
      <c r="G18" s="52">
        <v>315.43</v>
      </c>
      <c r="H18" s="66">
        <v>2.324373243150047E-2</v>
      </c>
      <c r="I18" s="3">
        <v>2.3199999999999998E-2</v>
      </c>
    </row>
    <row r="19" spans="1:9" ht="12.95" customHeight="1">
      <c r="A19" s="31"/>
      <c r="B19" s="65" t="s">
        <v>385</v>
      </c>
      <c r="C19" s="19" t="s">
        <v>218</v>
      </c>
      <c r="D19" s="19" t="s">
        <v>145</v>
      </c>
      <c r="E19" s="50">
        <v>110000</v>
      </c>
      <c r="F19" s="51">
        <v>286.05500000000001</v>
      </c>
      <c r="G19" s="52">
        <v>286.06</v>
      </c>
      <c r="H19" s="66">
        <v>2.1079451155402606E-2</v>
      </c>
      <c r="I19" s="3">
        <v>2.1100000000000001E-2</v>
      </c>
    </row>
    <row r="20" spans="1:9" ht="12.95" customHeight="1">
      <c r="A20" s="31"/>
      <c r="B20" s="65" t="s">
        <v>219</v>
      </c>
      <c r="C20" s="19" t="s">
        <v>220</v>
      </c>
      <c r="D20" s="19" t="s">
        <v>70</v>
      </c>
      <c r="E20" s="50">
        <v>34429</v>
      </c>
      <c r="F20" s="51">
        <v>283.14409599999999</v>
      </c>
      <c r="G20" s="52">
        <v>283.14</v>
      </c>
      <c r="H20" s="66">
        <v>2.0864946047342736E-2</v>
      </c>
      <c r="I20" s="3">
        <v>2.0899999999999998E-2</v>
      </c>
    </row>
    <row r="21" spans="1:9" ht="12.95" customHeight="1">
      <c r="A21" s="31"/>
      <c r="B21" s="65" t="s">
        <v>221</v>
      </c>
      <c r="C21" s="19" t="s">
        <v>222</v>
      </c>
      <c r="D21" s="19" t="s">
        <v>56</v>
      </c>
      <c r="E21" s="50">
        <v>95000</v>
      </c>
      <c r="F21" s="51">
        <v>256.54750000000001</v>
      </c>
      <c r="G21" s="52">
        <v>256.55</v>
      </c>
      <c r="H21" s="66">
        <v>1.8905037476326755E-2</v>
      </c>
      <c r="I21" s="3">
        <v>1.89E-2</v>
      </c>
    </row>
    <row r="22" spans="1:9" ht="12.95" customHeight="1">
      <c r="A22" s="31"/>
      <c r="B22" s="65" t="s">
        <v>54</v>
      </c>
      <c r="C22" s="19" t="s">
        <v>55</v>
      </c>
      <c r="D22" s="19" t="s">
        <v>56</v>
      </c>
      <c r="E22" s="50">
        <v>35000</v>
      </c>
      <c r="F22" s="51">
        <v>243.39</v>
      </c>
      <c r="G22" s="52">
        <v>243.39</v>
      </c>
      <c r="H22" s="66">
        <v>1.7935458624087817E-2</v>
      </c>
      <c r="I22" s="3">
        <v>1.7899999999999999E-2</v>
      </c>
    </row>
    <row r="23" spans="1:9" ht="12.95" customHeight="1">
      <c r="A23" s="31"/>
      <c r="B23" s="65" t="s">
        <v>223</v>
      </c>
      <c r="C23" s="19" t="s">
        <v>224</v>
      </c>
      <c r="D23" s="19" t="s">
        <v>105</v>
      </c>
      <c r="E23" s="50">
        <v>6500</v>
      </c>
      <c r="F23" s="51">
        <v>204.69475</v>
      </c>
      <c r="G23" s="52">
        <v>204.69</v>
      </c>
      <c r="H23" s="66">
        <v>1.5083997778022924E-2</v>
      </c>
      <c r="I23" s="3">
        <v>1.5100000000000001E-2</v>
      </c>
    </row>
    <row r="24" spans="1:9" ht="12.95" customHeight="1">
      <c r="A24" s="31"/>
      <c r="B24" s="65" t="s">
        <v>84</v>
      </c>
      <c r="C24" s="19" t="s">
        <v>85</v>
      </c>
      <c r="D24" s="19" t="s">
        <v>70</v>
      </c>
      <c r="E24" s="50">
        <v>13400</v>
      </c>
      <c r="F24" s="51">
        <v>193.18109999999999</v>
      </c>
      <c r="G24" s="52">
        <v>193.18</v>
      </c>
      <c r="H24" s="66">
        <v>1.423555456676844E-2</v>
      </c>
      <c r="I24" s="3">
        <v>1.4200000000000001E-2</v>
      </c>
    </row>
    <row r="25" spans="1:9" ht="12.95" customHeight="1">
      <c r="A25" s="31"/>
      <c r="B25" s="65" t="s">
        <v>134</v>
      </c>
      <c r="C25" s="19" t="s">
        <v>135</v>
      </c>
      <c r="D25" s="19" t="s">
        <v>136</v>
      </c>
      <c r="E25" s="50">
        <v>40000</v>
      </c>
      <c r="F25" s="51">
        <v>159.52000000000001</v>
      </c>
      <c r="G25" s="52">
        <v>159.52000000000001</v>
      </c>
      <c r="H25" s="66">
        <v>1.1755061258533582E-2</v>
      </c>
      <c r="I25" s="3">
        <v>1.18E-2</v>
      </c>
    </row>
    <row r="26" spans="1:9" ht="12.95" customHeight="1">
      <c r="A26" s="31"/>
      <c r="B26" s="65" t="s">
        <v>91</v>
      </c>
      <c r="C26" s="19" t="s">
        <v>92</v>
      </c>
      <c r="D26" s="19" t="s">
        <v>93</v>
      </c>
      <c r="E26" s="50">
        <v>15000</v>
      </c>
      <c r="F26" s="51">
        <v>132.41999999999999</v>
      </c>
      <c r="G26" s="52">
        <v>132.41999999999999</v>
      </c>
      <c r="H26" s="66">
        <v>9.7580567443268356E-3</v>
      </c>
      <c r="I26" s="3">
        <v>9.7999999999999997E-3</v>
      </c>
    </row>
    <row r="27" spans="1:9" ht="12.95" customHeight="1">
      <c r="A27" s="31"/>
      <c r="B27" s="65" t="s">
        <v>225</v>
      </c>
      <c r="C27" s="19" t="s">
        <v>226</v>
      </c>
      <c r="D27" s="19" t="s">
        <v>81</v>
      </c>
      <c r="E27" s="50">
        <v>13000</v>
      </c>
      <c r="F27" s="51">
        <v>129.77250000000001</v>
      </c>
      <c r="G27" s="52">
        <v>129.77000000000001</v>
      </c>
      <c r="H27" s="66">
        <v>9.5629619306234273E-3</v>
      </c>
      <c r="I27" s="3">
        <v>9.5999999999999992E-3</v>
      </c>
    </row>
    <row r="28" spans="1:9" ht="12.95" customHeight="1">
      <c r="A28" s="31"/>
      <c r="B28" s="65" t="s">
        <v>227</v>
      </c>
      <c r="C28" s="19" t="s">
        <v>228</v>
      </c>
      <c r="D28" s="19" t="s">
        <v>229</v>
      </c>
      <c r="E28" s="50">
        <v>30000</v>
      </c>
      <c r="F28" s="51">
        <v>125.64</v>
      </c>
      <c r="G28" s="52">
        <v>125.64</v>
      </c>
      <c r="H28" s="66">
        <v>9.2584371647577678E-3</v>
      </c>
      <c r="I28" s="3">
        <v>9.2999999999999992E-3</v>
      </c>
    </row>
    <row r="29" spans="1:9" ht="12.95" customHeight="1">
      <c r="A29" s="31"/>
      <c r="B29" s="65" t="s">
        <v>51</v>
      </c>
      <c r="C29" s="19" t="s">
        <v>52</v>
      </c>
      <c r="D29" s="19" t="s">
        <v>53</v>
      </c>
      <c r="E29" s="50">
        <v>13000</v>
      </c>
      <c r="F29" s="51">
        <v>119.8145</v>
      </c>
      <c r="G29" s="52">
        <v>119.81</v>
      </c>
      <c r="H29" s="66">
        <v>8.8291548844067948E-3</v>
      </c>
      <c r="I29" s="3">
        <v>8.8000000000000005E-3</v>
      </c>
    </row>
    <row r="30" spans="1:9" ht="12.95" customHeight="1">
      <c r="A30" s="31"/>
      <c r="B30" s="65" t="s">
        <v>65</v>
      </c>
      <c r="C30" s="19" t="s">
        <v>66</v>
      </c>
      <c r="D30" s="19" t="s">
        <v>67</v>
      </c>
      <c r="E30" s="50">
        <v>30420</v>
      </c>
      <c r="F30" s="51">
        <v>112.63005</v>
      </c>
      <c r="G30" s="52">
        <v>112.63</v>
      </c>
      <c r="H30" s="66">
        <v>8.2997313020417521E-3</v>
      </c>
      <c r="I30" s="3">
        <v>8.3000000000000001E-3</v>
      </c>
    </row>
    <row r="31" spans="1:9" ht="12.95" customHeight="1">
      <c r="A31" s="152"/>
      <c r="B31" s="63" t="s">
        <v>38</v>
      </c>
      <c r="C31" s="19" t="s">
        <v>1</v>
      </c>
      <c r="D31" s="19" t="s">
        <v>1</v>
      </c>
      <c r="E31" s="19" t="s">
        <v>1</v>
      </c>
      <c r="F31" s="20">
        <v>7179.2262460000002</v>
      </c>
      <c r="G31" s="53">
        <v>7179.22</v>
      </c>
      <c r="H31" s="67">
        <v>0.52903864286987268</v>
      </c>
      <c r="I31" s="41">
        <v>0.52910000000000001</v>
      </c>
    </row>
    <row r="32" spans="1:9" ht="12.95" customHeight="1">
      <c r="A32" s="152"/>
      <c r="B32" s="63"/>
      <c r="C32" s="19"/>
      <c r="D32" s="19"/>
      <c r="E32" s="19"/>
      <c r="F32" s="20"/>
      <c r="G32" s="53"/>
      <c r="H32" s="67"/>
      <c r="I32" s="41"/>
    </row>
    <row r="33" spans="1:115" ht="12.95" customHeight="1">
      <c r="A33" s="152"/>
      <c r="B33" s="63" t="s">
        <v>196</v>
      </c>
      <c r="C33" s="19" t="s">
        <v>1</v>
      </c>
      <c r="D33" s="19" t="s">
        <v>1</v>
      </c>
      <c r="E33" s="19" t="s">
        <v>1</v>
      </c>
      <c r="F33" s="20" t="s">
        <v>197</v>
      </c>
      <c r="G33" s="54" t="s">
        <v>197</v>
      </c>
      <c r="H33" s="67" t="s">
        <v>197</v>
      </c>
      <c r="I33" s="42" t="s">
        <v>197</v>
      </c>
    </row>
    <row r="34" spans="1:115" ht="12.95" customHeight="1">
      <c r="A34" s="152"/>
      <c r="B34" s="63" t="s">
        <v>38</v>
      </c>
      <c r="C34" s="19" t="s">
        <v>1</v>
      </c>
      <c r="D34" s="19" t="s">
        <v>1</v>
      </c>
      <c r="E34" s="19" t="s">
        <v>1</v>
      </c>
      <c r="F34" s="20" t="s">
        <v>197</v>
      </c>
      <c r="G34" s="54" t="s">
        <v>197</v>
      </c>
      <c r="H34" s="67" t="s">
        <v>197</v>
      </c>
      <c r="I34" s="42" t="s">
        <v>197</v>
      </c>
    </row>
    <row r="35" spans="1:115" ht="12.95" customHeight="1">
      <c r="A35" s="152"/>
      <c r="B35" s="63" t="s">
        <v>39</v>
      </c>
      <c r="C35" s="19" t="s">
        <v>1</v>
      </c>
      <c r="D35" s="19" t="s">
        <v>1</v>
      </c>
      <c r="E35" s="19" t="s">
        <v>1</v>
      </c>
      <c r="F35" s="20">
        <v>7179.2262460000002</v>
      </c>
      <c r="G35" s="53">
        <v>7179.22</v>
      </c>
      <c r="H35" s="67">
        <v>0.52903864286987268</v>
      </c>
      <c r="I35" s="41">
        <v>0.52910000000000001</v>
      </c>
    </row>
    <row r="36" spans="1:115" ht="12.95" customHeight="1">
      <c r="A36" s="152"/>
      <c r="B36" s="63"/>
      <c r="C36" s="19"/>
      <c r="D36" s="19"/>
      <c r="E36" s="19"/>
      <c r="F36" s="20"/>
      <c r="G36" s="53"/>
      <c r="H36" s="67"/>
      <c r="I36" s="87"/>
    </row>
    <row r="37" spans="1:115" ht="12.95" customHeight="1">
      <c r="A37" s="152"/>
      <c r="B37" s="63" t="s">
        <v>230</v>
      </c>
      <c r="C37" s="19" t="s">
        <v>1</v>
      </c>
      <c r="D37" s="19" t="s">
        <v>1</v>
      </c>
      <c r="E37" s="19" t="s">
        <v>1</v>
      </c>
      <c r="F37" s="48" t="s">
        <v>1</v>
      </c>
      <c r="G37" s="158"/>
      <c r="H37" s="64" t="s">
        <v>1</v>
      </c>
      <c r="I37" s="40" t="s">
        <v>1</v>
      </c>
    </row>
    <row r="38" spans="1:115" ht="12.95" customHeight="1">
      <c r="A38" s="152"/>
      <c r="B38" s="63" t="s">
        <v>231</v>
      </c>
      <c r="C38" s="19" t="s">
        <v>1</v>
      </c>
      <c r="D38" s="19" t="s">
        <v>1</v>
      </c>
      <c r="E38" s="19" t="s">
        <v>1</v>
      </c>
      <c r="F38" s="48" t="s">
        <v>1</v>
      </c>
      <c r="G38" s="158"/>
      <c r="H38" s="64" t="s">
        <v>1</v>
      </c>
      <c r="I38" s="40" t="s">
        <v>1</v>
      </c>
    </row>
    <row r="39" spans="1:115" ht="12.95" customHeight="1">
      <c r="A39" s="31"/>
      <c r="B39" s="65" t="s">
        <v>232</v>
      </c>
      <c r="C39" s="19" t="s">
        <v>233</v>
      </c>
      <c r="D39" s="19" t="s">
        <v>234</v>
      </c>
      <c r="E39" s="50">
        <v>500000</v>
      </c>
      <c r="F39" s="51">
        <v>513.65599999999995</v>
      </c>
      <c r="G39" s="52">
        <v>513.66</v>
      </c>
      <c r="H39" s="66">
        <v>3.7851415156803694E-2</v>
      </c>
      <c r="I39" s="3">
        <v>3.7900000000000003E-2</v>
      </c>
    </row>
    <row r="40" spans="1:115" ht="12.95" customHeight="1">
      <c r="A40" s="152"/>
      <c r="B40" s="63" t="s">
        <v>38</v>
      </c>
      <c r="C40" s="19" t="s">
        <v>1</v>
      </c>
      <c r="D40" s="19" t="s">
        <v>1</v>
      </c>
      <c r="E40" s="19" t="s">
        <v>1</v>
      </c>
      <c r="F40" s="20">
        <v>513.65599999999995</v>
      </c>
      <c r="G40" s="53">
        <v>513.66</v>
      </c>
      <c r="H40" s="67">
        <v>3.7851415156803694E-2</v>
      </c>
      <c r="I40" s="41">
        <v>3.7900000000000003E-2</v>
      </c>
    </row>
    <row r="41" spans="1:115" ht="12.95" customHeight="1">
      <c r="A41" s="152"/>
      <c r="B41" s="63" t="s">
        <v>235</v>
      </c>
      <c r="C41" s="19" t="s">
        <v>1</v>
      </c>
      <c r="D41" s="19" t="s">
        <v>1</v>
      </c>
      <c r="E41" s="19" t="s">
        <v>1</v>
      </c>
      <c r="F41" s="20" t="s">
        <v>197</v>
      </c>
      <c r="G41" s="54" t="s">
        <v>197</v>
      </c>
      <c r="H41" s="67" t="s">
        <v>197</v>
      </c>
      <c r="I41" s="42" t="s">
        <v>197</v>
      </c>
    </row>
    <row r="42" spans="1:115" s="161" customFormat="1" ht="12.95" customHeight="1">
      <c r="A42" s="159"/>
      <c r="B42" s="160" t="s">
        <v>375</v>
      </c>
      <c r="C42" s="18"/>
      <c r="D42" s="18"/>
      <c r="F42" s="162" t="s">
        <v>197</v>
      </c>
      <c r="G42" s="162" t="s">
        <v>197</v>
      </c>
      <c r="H42" s="67" t="s">
        <v>197</v>
      </c>
      <c r="I42" s="42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3"/>
      <c r="CZ42" s="163"/>
      <c r="DA42" s="163"/>
      <c r="DB42" s="163"/>
      <c r="DC42" s="163"/>
      <c r="DD42" s="163"/>
      <c r="DE42" s="163"/>
      <c r="DF42" s="163"/>
      <c r="DG42" s="163"/>
      <c r="DH42" s="163"/>
      <c r="DI42" s="163"/>
      <c r="DJ42" s="163"/>
      <c r="DK42" s="163"/>
    </row>
    <row r="43" spans="1:115" ht="12.95" customHeight="1">
      <c r="A43" s="152"/>
      <c r="B43" s="63" t="s">
        <v>38</v>
      </c>
      <c r="C43" s="19" t="s">
        <v>1</v>
      </c>
      <c r="D43" s="19" t="s">
        <v>1</v>
      </c>
      <c r="E43" s="19" t="s">
        <v>1</v>
      </c>
      <c r="F43" s="20" t="s">
        <v>197</v>
      </c>
      <c r="G43" s="54" t="s">
        <v>197</v>
      </c>
      <c r="H43" s="67" t="s">
        <v>197</v>
      </c>
      <c r="I43" s="42" t="s">
        <v>197</v>
      </c>
    </row>
    <row r="44" spans="1:115" ht="12.95" customHeight="1">
      <c r="A44" s="152"/>
      <c r="B44" s="63"/>
      <c r="C44" s="19"/>
      <c r="D44" s="19"/>
      <c r="E44" s="19"/>
      <c r="F44" s="20"/>
      <c r="G44" s="54"/>
      <c r="H44" s="67"/>
      <c r="I44" s="148"/>
    </row>
    <row r="45" spans="1:115" ht="12.95" customHeight="1">
      <c r="A45" s="152"/>
      <c r="B45" s="164" t="s">
        <v>11</v>
      </c>
      <c r="C45" s="19"/>
      <c r="D45" s="19"/>
      <c r="E45" s="19"/>
      <c r="F45" s="20"/>
      <c r="G45" s="54"/>
      <c r="H45" s="67"/>
      <c r="I45" s="148"/>
    </row>
    <row r="46" spans="1:115" ht="12.95" customHeight="1">
      <c r="A46" s="152"/>
      <c r="B46" s="63" t="s">
        <v>40</v>
      </c>
      <c r="C46" s="19" t="s">
        <v>1</v>
      </c>
      <c r="D46" s="19" t="s">
        <v>1</v>
      </c>
      <c r="E46" s="19" t="s">
        <v>1</v>
      </c>
      <c r="F46" s="48" t="s">
        <v>1</v>
      </c>
      <c r="G46" s="158"/>
      <c r="H46" s="64" t="s">
        <v>1</v>
      </c>
      <c r="I46" s="40" t="s">
        <v>1</v>
      </c>
    </row>
    <row r="47" spans="1:115" ht="12.95" customHeight="1">
      <c r="A47" s="31"/>
      <c r="B47" s="65" t="s">
        <v>41</v>
      </c>
      <c r="C47" s="19" t="s">
        <v>1</v>
      </c>
      <c r="D47" s="19" t="s">
        <v>42</v>
      </c>
      <c r="E47" s="50"/>
      <c r="F47" s="51">
        <v>7046.9620736999996</v>
      </c>
      <c r="G47" s="52">
        <v>7046.96</v>
      </c>
      <c r="H47" s="66">
        <v>0.51929206910046599</v>
      </c>
      <c r="I47" s="3">
        <v>0.51929999999999998</v>
      </c>
    </row>
    <row r="48" spans="1:115" ht="12.95" customHeight="1">
      <c r="A48" s="152"/>
      <c r="B48" s="63" t="s">
        <v>38</v>
      </c>
      <c r="C48" s="19" t="s">
        <v>1</v>
      </c>
      <c r="D48" s="19" t="s">
        <v>1</v>
      </c>
      <c r="E48" s="19" t="s">
        <v>1</v>
      </c>
      <c r="F48" s="20">
        <v>7046.9620736999996</v>
      </c>
      <c r="G48" s="53">
        <v>7046.96</v>
      </c>
      <c r="H48" s="67">
        <v>0.51929206910046599</v>
      </c>
      <c r="I48" s="41">
        <v>0.51929999999999998</v>
      </c>
    </row>
    <row r="49" spans="1:9" ht="12.95" customHeight="1">
      <c r="A49" s="152"/>
      <c r="B49" s="63"/>
      <c r="C49" s="19"/>
      <c r="D49" s="19"/>
      <c r="E49" s="19"/>
      <c r="F49" s="20"/>
      <c r="G49" s="53"/>
      <c r="H49" s="67"/>
      <c r="I49" s="41"/>
    </row>
    <row r="50" spans="1:9" ht="12.95" customHeight="1">
      <c r="A50" s="152"/>
      <c r="B50" s="103" t="s">
        <v>399</v>
      </c>
      <c r="C50" s="19"/>
      <c r="D50" s="19"/>
      <c r="E50" s="19"/>
      <c r="F50" s="20"/>
      <c r="G50" s="53"/>
      <c r="H50" s="67"/>
      <c r="I50" s="41"/>
    </row>
    <row r="51" spans="1:9" ht="12.95" customHeight="1">
      <c r="A51" s="152"/>
      <c r="B51" s="149" t="s">
        <v>43</v>
      </c>
      <c r="C51" s="19" t="s">
        <v>1</v>
      </c>
      <c r="D51" s="19" t="s">
        <v>1</v>
      </c>
      <c r="E51" s="19" t="s">
        <v>1</v>
      </c>
      <c r="F51" s="22">
        <v>-1169.5194620395</v>
      </c>
      <c r="G51" s="78">
        <v>-1169.52</v>
      </c>
      <c r="H51" s="68">
        <v>-8.6182127127142363E-2</v>
      </c>
      <c r="I51" s="41">
        <v>-8.6300000000000002E-2</v>
      </c>
    </row>
    <row r="52" spans="1:9" ht="12.95" customHeight="1">
      <c r="A52" s="152"/>
      <c r="B52" s="63" t="s">
        <v>38</v>
      </c>
      <c r="C52" s="25"/>
      <c r="D52" s="25"/>
      <c r="E52" s="25"/>
      <c r="F52" s="20">
        <v>-1169.5194620395</v>
      </c>
      <c r="G52" s="53">
        <v>-1169.52</v>
      </c>
      <c r="H52" s="67">
        <v>-8.6182127127142363E-2</v>
      </c>
      <c r="I52" s="74"/>
    </row>
    <row r="53" spans="1:9" ht="12.95" customHeight="1">
      <c r="A53" s="152"/>
      <c r="B53" s="76" t="s">
        <v>39</v>
      </c>
      <c r="C53" s="25"/>
      <c r="D53" s="25"/>
      <c r="E53" s="25"/>
      <c r="F53" s="26">
        <f>F40+F48+F52</f>
        <v>6391.0986116605</v>
      </c>
      <c r="G53" s="26">
        <f>G40+G48+G52</f>
        <v>6391.1</v>
      </c>
      <c r="H53" s="67">
        <f>H40+H48+H52</f>
        <v>0.47096135713012732</v>
      </c>
      <c r="I53" s="74"/>
    </row>
    <row r="54" spans="1:9" ht="12.95" customHeight="1" thickBot="1">
      <c r="A54" s="152"/>
      <c r="B54" s="69" t="s">
        <v>44</v>
      </c>
      <c r="C54" s="70" t="s">
        <v>1</v>
      </c>
      <c r="D54" s="70" t="s">
        <v>1</v>
      </c>
      <c r="E54" s="70" t="s">
        <v>1</v>
      </c>
      <c r="F54" s="71">
        <v>13570.3248576605</v>
      </c>
      <c r="G54" s="72">
        <v>13570.32</v>
      </c>
      <c r="H54" s="73">
        <v>1</v>
      </c>
      <c r="I54" s="44">
        <v>1</v>
      </c>
    </row>
    <row r="55" spans="1:9" s="154" customFormat="1" ht="12.95" customHeight="1">
      <c r="A55" s="152"/>
      <c r="B55" s="30" t="s">
        <v>1</v>
      </c>
      <c r="C55" s="152"/>
      <c r="D55" s="152"/>
      <c r="E55" s="152"/>
      <c r="F55" s="156"/>
      <c r="G55" s="152"/>
      <c r="H55" s="157"/>
      <c r="I55" s="152"/>
    </row>
    <row r="56" spans="1:9" s="154" customFormat="1" ht="12.95" customHeight="1">
      <c r="A56" s="152"/>
      <c r="B56" s="36" t="s">
        <v>42</v>
      </c>
      <c r="C56" s="152"/>
      <c r="D56" s="152"/>
      <c r="E56" s="152"/>
      <c r="F56" s="156"/>
      <c r="G56" s="152"/>
      <c r="H56" s="157"/>
      <c r="I56" s="152"/>
    </row>
    <row r="57" spans="1:9" s="154" customFormat="1" ht="12.95" customHeight="1">
      <c r="A57" s="152"/>
      <c r="B57" s="36" t="s">
        <v>45</v>
      </c>
      <c r="C57" s="152"/>
      <c r="D57" s="152"/>
      <c r="E57" s="152"/>
      <c r="F57" s="156"/>
      <c r="G57" s="152"/>
      <c r="H57" s="157"/>
      <c r="I57" s="152"/>
    </row>
    <row r="58" spans="1:9" s="154" customFormat="1" ht="12.95" customHeight="1">
      <c r="A58" s="152"/>
      <c r="B58" s="36" t="s">
        <v>377</v>
      </c>
      <c r="C58" s="152"/>
      <c r="D58" s="152"/>
      <c r="E58" s="152"/>
      <c r="F58" s="156"/>
      <c r="G58" s="152"/>
      <c r="H58" s="157"/>
      <c r="I58" s="152"/>
    </row>
    <row r="59" spans="1:9" s="154" customFormat="1" ht="12.95" customHeight="1">
      <c r="A59" s="152"/>
      <c r="B59" s="36" t="s">
        <v>1</v>
      </c>
      <c r="C59" s="152"/>
      <c r="D59" s="152"/>
      <c r="E59" s="152"/>
      <c r="F59" s="156"/>
      <c r="G59" s="152"/>
      <c r="H59" s="157"/>
      <c r="I59" s="152"/>
    </row>
    <row r="60" spans="1:9" s="154" customFormat="1">
      <c r="F60" s="165"/>
      <c r="H60" s="166"/>
    </row>
    <row r="61" spans="1:9" s="154" customFormat="1">
      <c r="F61" s="165"/>
      <c r="H61" s="166"/>
    </row>
    <row r="62" spans="1:9" s="154" customFormat="1">
      <c r="F62" s="165"/>
      <c r="H62" s="166"/>
    </row>
    <row r="63" spans="1:9" s="154" customFormat="1">
      <c r="F63" s="165"/>
      <c r="H63" s="166"/>
    </row>
    <row r="64" spans="1:9" s="154" customFormat="1">
      <c r="F64" s="165"/>
      <c r="H64" s="166"/>
    </row>
    <row r="65" spans="6:8" s="154" customFormat="1">
      <c r="F65" s="165"/>
      <c r="H65" s="166"/>
    </row>
    <row r="66" spans="6:8" s="154" customFormat="1">
      <c r="F66" s="165"/>
      <c r="H66" s="166"/>
    </row>
    <row r="67" spans="6:8" s="154" customFormat="1">
      <c r="F67" s="165"/>
      <c r="H67" s="166"/>
    </row>
    <row r="68" spans="6:8" s="154" customFormat="1">
      <c r="F68" s="165"/>
      <c r="H68" s="166"/>
    </row>
    <row r="69" spans="6:8" s="154" customFormat="1">
      <c r="F69" s="165"/>
      <c r="H69" s="166"/>
    </row>
    <row r="70" spans="6:8" s="154" customFormat="1">
      <c r="F70" s="165"/>
      <c r="H70" s="166"/>
    </row>
    <row r="71" spans="6:8" s="154" customFormat="1">
      <c r="F71" s="165"/>
      <c r="H71" s="166"/>
    </row>
    <row r="72" spans="6:8" s="154" customFormat="1">
      <c r="F72" s="165"/>
      <c r="H72" s="166"/>
    </row>
    <row r="73" spans="6:8" s="154" customFormat="1">
      <c r="F73" s="165"/>
      <c r="H73" s="166"/>
    </row>
    <row r="74" spans="6:8" s="154" customFormat="1">
      <c r="F74" s="165"/>
      <c r="H74" s="166"/>
    </row>
    <row r="75" spans="6:8" s="154" customFormat="1">
      <c r="F75" s="165"/>
      <c r="H75" s="166"/>
    </row>
    <row r="76" spans="6:8" s="154" customFormat="1">
      <c r="F76" s="165"/>
      <c r="H76" s="166"/>
    </row>
    <row r="77" spans="6:8" s="154" customFormat="1">
      <c r="F77" s="165"/>
      <c r="H77" s="166"/>
    </row>
    <row r="78" spans="6:8" s="154" customFormat="1">
      <c r="F78" s="165"/>
      <c r="H78" s="166"/>
    </row>
    <row r="79" spans="6:8" s="154" customFormat="1">
      <c r="F79" s="165"/>
      <c r="H79" s="166"/>
    </row>
    <row r="80" spans="6:8" s="154" customFormat="1">
      <c r="F80" s="165"/>
      <c r="H80" s="166"/>
    </row>
    <row r="81" spans="6:8" s="154" customFormat="1">
      <c r="F81" s="165"/>
      <c r="H81" s="166"/>
    </row>
    <row r="82" spans="6:8" s="154" customFormat="1">
      <c r="F82" s="165"/>
      <c r="H82" s="166"/>
    </row>
    <row r="83" spans="6:8" s="154" customFormat="1">
      <c r="F83" s="165"/>
      <c r="H83" s="166"/>
    </row>
    <row r="84" spans="6:8" s="154" customFormat="1">
      <c r="F84" s="165"/>
      <c r="H84" s="166"/>
    </row>
    <row r="85" spans="6:8" s="154" customFormat="1">
      <c r="F85" s="165"/>
      <c r="H85" s="166"/>
    </row>
    <row r="86" spans="6:8" s="154" customFormat="1">
      <c r="F86" s="165"/>
      <c r="H86" s="166"/>
    </row>
    <row r="87" spans="6:8" s="154" customFormat="1">
      <c r="F87" s="165"/>
      <c r="H87" s="166"/>
    </row>
    <row r="88" spans="6:8" s="154" customFormat="1">
      <c r="F88" s="165"/>
      <c r="H88" s="166"/>
    </row>
    <row r="89" spans="6:8" s="154" customFormat="1">
      <c r="F89" s="165"/>
      <c r="H89" s="166"/>
    </row>
    <row r="90" spans="6:8" s="154" customFormat="1">
      <c r="F90" s="165"/>
      <c r="H90" s="166"/>
    </row>
    <row r="91" spans="6:8" s="154" customFormat="1">
      <c r="F91" s="165"/>
      <c r="H91" s="166"/>
    </row>
    <row r="92" spans="6:8" s="154" customFormat="1">
      <c r="F92" s="165"/>
      <c r="H92" s="166"/>
    </row>
    <row r="93" spans="6:8" s="154" customFormat="1">
      <c r="F93" s="165"/>
      <c r="H93" s="166"/>
    </row>
    <row r="94" spans="6:8" s="154" customFormat="1">
      <c r="F94" s="165"/>
      <c r="H94" s="166"/>
    </row>
    <row r="95" spans="6:8" s="154" customFormat="1">
      <c r="F95" s="165"/>
      <c r="H95" s="166"/>
    </row>
    <row r="96" spans="6:8" s="154" customFormat="1">
      <c r="F96" s="165"/>
      <c r="H96" s="166"/>
    </row>
    <row r="97" spans="6:8" s="154" customFormat="1">
      <c r="F97" s="165"/>
      <c r="H97" s="166"/>
    </row>
    <row r="98" spans="6:8" s="154" customFormat="1">
      <c r="F98" s="165"/>
      <c r="H98" s="166"/>
    </row>
    <row r="99" spans="6:8" s="154" customFormat="1">
      <c r="F99" s="165"/>
      <c r="H99" s="166"/>
    </row>
    <row r="100" spans="6:8" s="154" customFormat="1">
      <c r="F100" s="165"/>
      <c r="H100" s="166"/>
    </row>
    <row r="101" spans="6:8" s="154" customFormat="1">
      <c r="F101" s="165"/>
      <c r="H101" s="166"/>
    </row>
    <row r="102" spans="6:8" s="154" customFormat="1">
      <c r="F102" s="165"/>
      <c r="H102" s="166"/>
    </row>
    <row r="103" spans="6:8" s="154" customFormat="1">
      <c r="F103" s="165"/>
      <c r="H103" s="166"/>
    </row>
    <row r="104" spans="6:8" s="154" customFormat="1">
      <c r="F104" s="165"/>
      <c r="H104" s="166"/>
    </row>
    <row r="105" spans="6:8" s="154" customFormat="1">
      <c r="F105" s="165"/>
      <c r="H105" s="166"/>
    </row>
    <row r="106" spans="6:8" s="154" customFormat="1">
      <c r="F106" s="165"/>
      <c r="H106" s="166"/>
    </row>
    <row r="107" spans="6:8" s="154" customFormat="1">
      <c r="F107" s="165"/>
      <c r="H107" s="166"/>
    </row>
    <row r="108" spans="6:8" s="154" customFormat="1">
      <c r="F108" s="165"/>
      <c r="H108" s="166"/>
    </row>
    <row r="109" spans="6:8" s="154" customFormat="1">
      <c r="F109" s="165"/>
      <c r="H109" s="166"/>
    </row>
    <row r="110" spans="6:8" s="154" customFormat="1">
      <c r="F110" s="165"/>
      <c r="H110" s="166"/>
    </row>
    <row r="111" spans="6:8" s="154" customFormat="1">
      <c r="F111" s="165"/>
      <c r="H111" s="166"/>
    </row>
    <row r="112" spans="6:8" s="154" customFormat="1">
      <c r="F112" s="165"/>
      <c r="H112" s="166"/>
    </row>
    <row r="113" spans="6:8" s="154" customFormat="1">
      <c r="F113" s="165"/>
      <c r="H113" s="166"/>
    </row>
    <row r="114" spans="6:8" s="154" customFormat="1">
      <c r="F114" s="165"/>
      <c r="H114" s="166"/>
    </row>
    <row r="115" spans="6:8" s="154" customFormat="1">
      <c r="F115" s="165"/>
      <c r="H115" s="166"/>
    </row>
    <row r="116" spans="6:8" s="154" customFormat="1">
      <c r="F116" s="165"/>
      <c r="H116" s="166"/>
    </row>
    <row r="117" spans="6:8" s="154" customFormat="1">
      <c r="F117" s="165"/>
      <c r="H117" s="166"/>
    </row>
    <row r="118" spans="6:8" s="154" customFormat="1">
      <c r="F118" s="165"/>
      <c r="H118" s="166"/>
    </row>
    <row r="119" spans="6:8" s="154" customFormat="1">
      <c r="F119" s="165"/>
      <c r="H119" s="166"/>
    </row>
    <row r="120" spans="6:8" s="154" customFormat="1">
      <c r="F120" s="165"/>
      <c r="H120" s="166"/>
    </row>
    <row r="121" spans="6:8" s="154" customFormat="1">
      <c r="F121" s="165"/>
      <c r="H121" s="166"/>
    </row>
    <row r="122" spans="6:8" s="154" customFormat="1">
      <c r="F122" s="165"/>
      <c r="H122" s="166"/>
    </row>
    <row r="123" spans="6:8" s="154" customFormat="1">
      <c r="F123" s="165"/>
      <c r="H123" s="166"/>
    </row>
    <row r="124" spans="6:8" s="154" customFormat="1">
      <c r="F124" s="165"/>
      <c r="H124" s="166"/>
    </row>
    <row r="125" spans="6:8" s="154" customFormat="1">
      <c r="F125" s="165"/>
      <c r="H125" s="166"/>
    </row>
    <row r="126" spans="6:8" s="154" customFormat="1">
      <c r="F126" s="165"/>
      <c r="H126" s="166"/>
    </row>
    <row r="127" spans="6:8" s="154" customFormat="1">
      <c r="F127" s="165"/>
      <c r="H127" s="166"/>
    </row>
    <row r="128" spans="6:8" s="154" customFormat="1">
      <c r="F128" s="165"/>
      <c r="H128" s="166"/>
    </row>
    <row r="129" spans="6:8" s="154" customFormat="1">
      <c r="F129" s="165"/>
      <c r="H129" s="166"/>
    </row>
    <row r="130" spans="6:8" s="154" customFormat="1">
      <c r="F130" s="165"/>
      <c r="H130" s="166"/>
    </row>
    <row r="131" spans="6:8" s="154" customFormat="1">
      <c r="F131" s="165"/>
      <c r="H131" s="166"/>
    </row>
    <row r="132" spans="6:8" s="154" customFormat="1">
      <c r="F132" s="165"/>
      <c r="H132" s="166"/>
    </row>
    <row r="133" spans="6:8" s="154" customFormat="1">
      <c r="F133" s="165"/>
      <c r="H133" s="166"/>
    </row>
    <row r="134" spans="6:8" s="154" customFormat="1">
      <c r="F134" s="165"/>
      <c r="H134" s="166"/>
    </row>
    <row r="135" spans="6:8" s="154" customFormat="1">
      <c r="F135" s="165"/>
      <c r="H135" s="166"/>
    </row>
    <row r="136" spans="6:8" s="154" customFormat="1">
      <c r="F136" s="165"/>
      <c r="H136" s="166"/>
    </row>
    <row r="137" spans="6:8" s="154" customFormat="1">
      <c r="F137" s="165"/>
      <c r="H137" s="166"/>
    </row>
    <row r="138" spans="6:8" s="154" customFormat="1">
      <c r="F138" s="165"/>
      <c r="H138" s="166"/>
    </row>
    <row r="139" spans="6:8" s="154" customFormat="1">
      <c r="F139" s="165"/>
      <c r="H139" s="166"/>
    </row>
    <row r="140" spans="6:8" s="154" customFormat="1">
      <c r="F140" s="165"/>
      <c r="H140" s="166"/>
    </row>
    <row r="141" spans="6:8" s="154" customFormat="1">
      <c r="F141" s="165"/>
      <c r="H141" s="166"/>
    </row>
    <row r="142" spans="6:8" s="154" customFormat="1">
      <c r="F142" s="165"/>
      <c r="H142" s="166"/>
    </row>
    <row r="143" spans="6:8" s="154" customFormat="1">
      <c r="F143" s="165"/>
      <c r="H143" s="166"/>
    </row>
    <row r="144" spans="6:8" s="154" customFormat="1">
      <c r="F144" s="165"/>
      <c r="H144" s="166"/>
    </row>
    <row r="145" spans="6:8" s="154" customFormat="1">
      <c r="F145" s="165"/>
      <c r="H145" s="166"/>
    </row>
    <row r="146" spans="6:8" s="154" customFormat="1">
      <c r="F146" s="165"/>
      <c r="H146" s="166"/>
    </row>
    <row r="147" spans="6:8" s="154" customFormat="1">
      <c r="F147" s="165"/>
      <c r="H147" s="166"/>
    </row>
    <row r="148" spans="6:8" s="154" customFormat="1">
      <c r="F148" s="165"/>
      <c r="H148" s="166"/>
    </row>
    <row r="149" spans="6:8" s="154" customFormat="1">
      <c r="F149" s="165"/>
      <c r="H149" s="166"/>
    </row>
    <row r="150" spans="6:8" s="154" customFormat="1">
      <c r="F150" s="165"/>
      <c r="H150" s="166"/>
    </row>
    <row r="151" spans="6:8" s="154" customFormat="1">
      <c r="F151" s="165"/>
      <c r="H151" s="166"/>
    </row>
    <row r="152" spans="6:8" s="154" customFormat="1">
      <c r="F152" s="165"/>
      <c r="H152" s="166"/>
    </row>
    <row r="153" spans="6:8" s="154" customFormat="1">
      <c r="F153" s="165"/>
      <c r="H153" s="166"/>
    </row>
    <row r="154" spans="6:8" s="154" customFormat="1">
      <c r="F154" s="165"/>
      <c r="H154" s="166"/>
    </row>
    <row r="155" spans="6:8" s="154" customFormat="1">
      <c r="F155" s="165"/>
      <c r="H155" s="166"/>
    </row>
    <row r="156" spans="6:8" s="154" customFormat="1">
      <c r="F156" s="165"/>
      <c r="H156" s="166"/>
    </row>
    <row r="157" spans="6:8" s="154" customFormat="1">
      <c r="F157" s="165"/>
      <c r="H157" s="166"/>
    </row>
    <row r="158" spans="6:8" s="154" customFormat="1">
      <c r="F158" s="165"/>
      <c r="H158" s="166"/>
    </row>
    <row r="159" spans="6:8" s="154" customFormat="1">
      <c r="F159" s="165"/>
      <c r="H159" s="166"/>
    </row>
    <row r="160" spans="6:8" s="154" customFormat="1">
      <c r="F160" s="165"/>
      <c r="H160" s="166"/>
    </row>
    <row r="161" spans="6:8" s="154" customFormat="1">
      <c r="F161" s="165"/>
      <c r="H161" s="166"/>
    </row>
    <row r="162" spans="6:8" s="154" customFormat="1">
      <c r="F162" s="165"/>
      <c r="H162" s="166"/>
    </row>
    <row r="163" spans="6:8" s="154" customFormat="1">
      <c r="F163" s="165"/>
      <c r="H163" s="166"/>
    </row>
    <row r="164" spans="6:8" s="154" customFormat="1">
      <c r="F164" s="165"/>
      <c r="H164" s="166"/>
    </row>
    <row r="165" spans="6:8" s="154" customFormat="1">
      <c r="F165" s="165"/>
      <c r="H165" s="166"/>
    </row>
    <row r="166" spans="6:8" s="154" customFormat="1">
      <c r="F166" s="165"/>
      <c r="H166" s="166"/>
    </row>
    <row r="167" spans="6:8" s="154" customFormat="1">
      <c r="F167" s="165"/>
      <c r="H167" s="166"/>
    </row>
    <row r="168" spans="6:8" s="154" customFormat="1">
      <c r="F168" s="165"/>
      <c r="H168" s="166"/>
    </row>
    <row r="169" spans="6:8" s="154" customFormat="1">
      <c r="F169" s="165"/>
      <c r="H169" s="166"/>
    </row>
    <row r="170" spans="6:8" s="154" customFormat="1">
      <c r="F170" s="165"/>
      <c r="H170" s="166"/>
    </row>
    <row r="171" spans="6:8" s="154" customFormat="1">
      <c r="F171" s="165"/>
      <c r="H171" s="166"/>
    </row>
    <row r="172" spans="6:8" s="154" customFormat="1">
      <c r="F172" s="165"/>
      <c r="H172" s="166"/>
    </row>
    <row r="173" spans="6:8" s="154" customFormat="1">
      <c r="F173" s="165"/>
      <c r="H173" s="166"/>
    </row>
    <row r="174" spans="6:8" s="154" customFormat="1">
      <c r="F174" s="165"/>
      <c r="H174" s="166"/>
    </row>
    <row r="175" spans="6:8" s="154" customFormat="1">
      <c r="F175" s="165"/>
      <c r="H175" s="166"/>
    </row>
    <row r="176" spans="6:8" s="154" customFormat="1">
      <c r="F176" s="165"/>
      <c r="H176" s="166"/>
    </row>
    <row r="177" spans="6:8" s="154" customFormat="1">
      <c r="F177" s="165"/>
      <c r="H177" s="166"/>
    </row>
    <row r="178" spans="6:8" s="154" customFormat="1">
      <c r="F178" s="165"/>
      <c r="H178" s="166"/>
    </row>
    <row r="179" spans="6:8" s="154" customFormat="1">
      <c r="F179" s="165"/>
      <c r="H179" s="166"/>
    </row>
    <row r="180" spans="6:8" s="154" customFormat="1">
      <c r="F180" s="165"/>
      <c r="H180" s="166"/>
    </row>
    <row r="181" spans="6:8" s="154" customFormat="1">
      <c r="F181" s="165"/>
      <c r="H181" s="166"/>
    </row>
    <row r="182" spans="6:8" s="154" customFormat="1">
      <c r="F182" s="165"/>
      <c r="H182" s="166"/>
    </row>
    <row r="183" spans="6:8" s="154" customFormat="1">
      <c r="F183" s="165"/>
      <c r="H183" s="166"/>
    </row>
    <row r="184" spans="6:8" s="154" customFormat="1">
      <c r="F184" s="165"/>
      <c r="H184" s="166"/>
    </row>
    <row r="185" spans="6:8" s="154" customFormat="1">
      <c r="F185" s="165"/>
      <c r="H185" s="166"/>
    </row>
    <row r="186" spans="6:8" s="154" customFormat="1">
      <c r="F186" s="165"/>
      <c r="H186" s="166"/>
    </row>
    <row r="187" spans="6:8" s="154" customFormat="1">
      <c r="F187" s="165"/>
      <c r="H187" s="166"/>
    </row>
    <row r="188" spans="6:8" s="154" customFormat="1">
      <c r="F188" s="165"/>
      <c r="H188" s="166"/>
    </row>
    <row r="189" spans="6:8" s="154" customFormat="1">
      <c r="F189" s="165"/>
      <c r="H189" s="166"/>
    </row>
    <row r="190" spans="6:8" s="154" customFormat="1">
      <c r="F190" s="165"/>
      <c r="H190" s="166"/>
    </row>
    <row r="191" spans="6:8" s="154" customFormat="1">
      <c r="F191" s="165"/>
      <c r="H191" s="166"/>
    </row>
    <row r="192" spans="6:8" s="154" customFormat="1">
      <c r="F192" s="165"/>
      <c r="H192" s="166"/>
    </row>
    <row r="193" spans="6:8" s="154" customFormat="1">
      <c r="F193" s="165"/>
      <c r="H193" s="166"/>
    </row>
    <row r="194" spans="6:8" s="154" customFormat="1">
      <c r="F194" s="165"/>
      <c r="H194" s="166"/>
    </row>
    <row r="195" spans="6:8" s="154" customFormat="1">
      <c r="F195" s="165"/>
      <c r="H195" s="166"/>
    </row>
    <row r="196" spans="6:8" s="154" customFormat="1">
      <c r="F196" s="165"/>
      <c r="H196" s="166"/>
    </row>
    <row r="197" spans="6:8" s="154" customFormat="1">
      <c r="F197" s="165"/>
      <c r="H197" s="166"/>
    </row>
    <row r="198" spans="6:8" s="154" customFormat="1">
      <c r="F198" s="165"/>
      <c r="H198" s="166"/>
    </row>
    <row r="199" spans="6:8" s="154" customFormat="1">
      <c r="F199" s="165"/>
      <c r="H199" s="166"/>
    </row>
    <row r="200" spans="6:8" s="154" customFormat="1">
      <c r="F200" s="165"/>
      <c r="H200" s="166"/>
    </row>
    <row r="201" spans="6:8" s="154" customFormat="1">
      <c r="F201" s="165"/>
      <c r="H201" s="166"/>
    </row>
    <row r="202" spans="6:8" s="154" customFormat="1">
      <c r="F202" s="165"/>
      <c r="H202" s="166"/>
    </row>
    <row r="203" spans="6:8" s="154" customFormat="1">
      <c r="F203" s="165"/>
      <c r="H203" s="166"/>
    </row>
    <row r="204" spans="6:8" s="154" customFormat="1">
      <c r="F204" s="165"/>
      <c r="H204" s="166"/>
    </row>
    <row r="205" spans="6:8" s="154" customFormat="1">
      <c r="F205" s="165"/>
      <c r="H205" s="166"/>
    </row>
    <row r="206" spans="6:8" s="154" customFormat="1">
      <c r="F206" s="165"/>
      <c r="H206" s="166"/>
    </row>
    <row r="207" spans="6:8" s="154" customFormat="1">
      <c r="F207" s="165"/>
      <c r="H207" s="166"/>
    </row>
    <row r="208" spans="6:8" s="154" customFormat="1">
      <c r="F208" s="165"/>
      <c r="H208" s="166"/>
    </row>
    <row r="209" spans="6:8" s="154" customFormat="1">
      <c r="F209" s="165"/>
      <c r="H209" s="166"/>
    </row>
    <row r="210" spans="6:8" s="154" customFormat="1">
      <c r="F210" s="165"/>
      <c r="H210" s="166"/>
    </row>
    <row r="211" spans="6:8" s="154" customFormat="1">
      <c r="F211" s="165"/>
      <c r="H211" s="166"/>
    </row>
    <row r="212" spans="6:8" s="154" customFormat="1">
      <c r="F212" s="165"/>
      <c r="H212" s="166"/>
    </row>
    <row r="213" spans="6:8" s="154" customFormat="1">
      <c r="F213" s="165"/>
      <c r="H213" s="166"/>
    </row>
    <row r="214" spans="6:8" s="154" customFormat="1">
      <c r="F214" s="165"/>
      <c r="H214" s="166"/>
    </row>
    <row r="215" spans="6:8" s="154" customFormat="1">
      <c r="F215" s="165"/>
      <c r="H215" s="166"/>
    </row>
    <row r="216" spans="6:8" s="154" customFormat="1">
      <c r="F216" s="165"/>
      <c r="H216" s="166"/>
    </row>
    <row r="217" spans="6:8" s="154" customFormat="1">
      <c r="F217" s="165"/>
      <c r="H217" s="166"/>
    </row>
    <row r="218" spans="6:8" s="154" customFormat="1">
      <c r="F218" s="165"/>
      <c r="H218" s="166"/>
    </row>
    <row r="219" spans="6:8" s="154" customFormat="1">
      <c r="F219" s="165"/>
      <c r="H219" s="166"/>
    </row>
    <row r="220" spans="6:8" s="154" customFormat="1">
      <c r="F220" s="165"/>
      <c r="H220" s="166"/>
    </row>
    <row r="221" spans="6:8" s="154" customFormat="1">
      <c r="F221" s="165"/>
      <c r="H221" s="166"/>
    </row>
    <row r="222" spans="6:8" s="154" customFormat="1">
      <c r="F222" s="165"/>
      <c r="H222" s="166"/>
    </row>
    <row r="223" spans="6:8" s="154" customFormat="1">
      <c r="F223" s="165"/>
      <c r="H223" s="166"/>
    </row>
    <row r="224" spans="6:8" s="154" customFormat="1">
      <c r="F224" s="165"/>
      <c r="H224" s="166"/>
    </row>
    <row r="225" spans="6:8" s="154" customFormat="1">
      <c r="F225" s="165"/>
      <c r="H225" s="166"/>
    </row>
    <row r="226" spans="6:8" s="154" customFormat="1">
      <c r="F226" s="165"/>
      <c r="H226" s="166"/>
    </row>
    <row r="227" spans="6:8" s="154" customFormat="1">
      <c r="F227" s="165"/>
      <c r="H227" s="166"/>
    </row>
    <row r="228" spans="6:8" s="154" customFormat="1">
      <c r="F228" s="165"/>
      <c r="H228" s="166"/>
    </row>
    <row r="229" spans="6:8" s="154" customFormat="1">
      <c r="F229" s="165"/>
      <c r="H229" s="166"/>
    </row>
    <row r="230" spans="6:8" s="154" customFormat="1">
      <c r="F230" s="165"/>
      <c r="H230" s="166"/>
    </row>
    <row r="231" spans="6:8" s="154" customFormat="1">
      <c r="F231" s="165"/>
      <c r="H231" s="166"/>
    </row>
    <row r="232" spans="6:8" s="154" customFormat="1">
      <c r="F232" s="165"/>
      <c r="H232" s="166"/>
    </row>
    <row r="233" spans="6:8" s="154" customFormat="1">
      <c r="F233" s="165"/>
      <c r="H233" s="166"/>
    </row>
    <row r="234" spans="6:8" s="154" customFormat="1">
      <c r="F234" s="165"/>
      <c r="H234" s="166"/>
    </row>
    <row r="235" spans="6:8" s="154" customFormat="1">
      <c r="F235" s="165"/>
      <c r="H235" s="166"/>
    </row>
    <row r="236" spans="6:8" s="154" customFormat="1">
      <c r="F236" s="165"/>
      <c r="H236" s="166"/>
    </row>
    <row r="237" spans="6:8" s="154" customFormat="1">
      <c r="F237" s="165"/>
      <c r="H237" s="166"/>
    </row>
    <row r="238" spans="6:8" s="154" customFormat="1">
      <c r="F238" s="165"/>
      <c r="H238" s="166"/>
    </row>
    <row r="239" spans="6:8" s="154" customFormat="1">
      <c r="F239" s="165"/>
      <c r="H239" s="166"/>
    </row>
    <row r="240" spans="6:8" s="154" customFormat="1">
      <c r="F240" s="165"/>
      <c r="H240" s="166"/>
    </row>
    <row r="241" spans="6:8" s="154" customFormat="1">
      <c r="F241" s="165"/>
      <c r="H241" s="166"/>
    </row>
    <row r="242" spans="6:8" s="154" customFormat="1">
      <c r="F242" s="165"/>
      <c r="H242" s="166"/>
    </row>
    <row r="243" spans="6:8" s="154" customFormat="1">
      <c r="F243" s="165"/>
      <c r="H243" s="166"/>
    </row>
    <row r="244" spans="6:8" s="154" customFormat="1">
      <c r="F244" s="165"/>
      <c r="H244" s="166"/>
    </row>
    <row r="245" spans="6:8" s="154" customFormat="1">
      <c r="F245" s="165"/>
      <c r="H245" s="166"/>
    </row>
    <row r="246" spans="6:8" s="154" customFormat="1">
      <c r="F246" s="165"/>
      <c r="H246" s="166"/>
    </row>
    <row r="247" spans="6:8" s="154" customFormat="1">
      <c r="F247" s="165"/>
      <c r="H247" s="166"/>
    </row>
    <row r="248" spans="6:8" s="154" customFormat="1">
      <c r="F248" s="165"/>
      <c r="H248" s="166"/>
    </row>
    <row r="249" spans="6:8" s="154" customFormat="1">
      <c r="F249" s="165"/>
      <c r="H249" s="166"/>
    </row>
    <row r="250" spans="6:8" s="154" customFormat="1">
      <c r="F250" s="165"/>
      <c r="H250" s="166"/>
    </row>
    <row r="251" spans="6:8" s="154" customFormat="1">
      <c r="F251" s="165"/>
      <c r="H251" s="166"/>
    </row>
    <row r="252" spans="6:8" s="154" customFormat="1">
      <c r="F252" s="165"/>
      <c r="H252" s="166"/>
    </row>
    <row r="253" spans="6:8" s="154" customFormat="1">
      <c r="F253" s="165"/>
      <c r="H253" s="166"/>
    </row>
    <row r="254" spans="6:8" s="154" customFormat="1">
      <c r="F254" s="165"/>
      <c r="H254" s="166"/>
    </row>
    <row r="255" spans="6:8" s="154" customFormat="1">
      <c r="F255" s="165"/>
      <c r="H255" s="166"/>
    </row>
    <row r="256" spans="6:8" s="154" customFormat="1">
      <c r="F256" s="165"/>
      <c r="H256" s="166"/>
    </row>
    <row r="257" spans="6:8" s="154" customFormat="1">
      <c r="F257" s="165"/>
      <c r="H257" s="166"/>
    </row>
    <row r="258" spans="6:8" s="154" customFormat="1">
      <c r="F258" s="165"/>
      <c r="H258" s="166"/>
    </row>
    <row r="259" spans="6:8" s="154" customFormat="1">
      <c r="F259" s="165"/>
      <c r="H259" s="166"/>
    </row>
    <row r="260" spans="6:8" s="154" customFormat="1">
      <c r="F260" s="165"/>
      <c r="H260" s="166"/>
    </row>
    <row r="261" spans="6:8" s="154" customFormat="1">
      <c r="F261" s="165"/>
      <c r="H261" s="166"/>
    </row>
    <row r="262" spans="6:8" s="154" customFormat="1">
      <c r="F262" s="165"/>
      <c r="H262" s="166"/>
    </row>
    <row r="263" spans="6:8" s="154" customFormat="1">
      <c r="F263" s="165"/>
      <c r="H263" s="166"/>
    </row>
    <row r="264" spans="6:8" s="154" customFormat="1">
      <c r="F264" s="165"/>
      <c r="H264" s="166"/>
    </row>
    <row r="265" spans="6:8" s="154" customFormat="1">
      <c r="F265" s="165"/>
      <c r="H265" s="166"/>
    </row>
    <row r="266" spans="6:8" s="154" customFormat="1">
      <c r="F266" s="165"/>
      <c r="H266" s="166"/>
    </row>
    <row r="267" spans="6:8" s="154" customFormat="1">
      <c r="F267" s="165"/>
      <c r="H267" s="166"/>
    </row>
    <row r="268" spans="6:8" s="154" customFormat="1">
      <c r="F268" s="165"/>
      <c r="H268" s="166"/>
    </row>
    <row r="269" spans="6:8" s="154" customFormat="1">
      <c r="F269" s="165"/>
      <c r="H269" s="166"/>
    </row>
    <row r="270" spans="6:8" s="154" customFormat="1">
      <c r="F270" s="165"/>
      <c r="H270" s="166"/>
    </row>
    <row r="271" spans="6:8" s="154" customFormat="1">
      <c r="F271" s="165"/>
      <c r="H271" s="166"/>
    </row>
    <row r="272" spans="6:8" s="154" customFormat="1">
      <c r="F272" s="165"/>
      <c r="H272" s="166"/>
    </row>
    <row r="273" spans="6:8" s="154" customFormat="1">
      <c r="F273" s="165"/>
      <c r="H273" s="166"/>
    </row>
    <row r="274" spans="6:8" s="154" customFormat="1">
      <c r="F274" s="165"/>
      <c r="H274" s="166"/>
    </row>
    <row r="275" spans="6:8" s="154" customFormat="1">
      <c r="F275" s="165"/>
      <c r="H275" s="166"/>
    </row>
    <row r="276" spans="6:8" s="154" customFormat="1">
      <c r="F276" s="165"/>
      <c r="H276" s="166"/>
    </row>
    <row r="277" spans="6:8" s="154" customFormat="1">
      <c r="F277" s="165"/>
      <c r="H277" s="166"/>
    </row>
    <row r="278" spans="6:8" s="154" customFormat="1">
      <c r="F278" s="165"/>
      <c r="H278" s="166"/>
    </row>
    <row r="279" spans="6:8" s="154" customFormat="1">
      <c r="F279" s="165"/>
      <c r="H279" s="166"/>
    </row>
    <row r="280" spans="6:8" s="154" customFormat="1">
      <c r="F280" s="165"/>
      <c r="H280" s="166"/>
    </row>
    <row r="281" spans="6:8" s="154" customFormat="1">
      <c r="F281" s="165"/>
      <c r="H281" s="166"/>
    </row>
    <row r="282" spans="6:8" s="154" customFormat="1">
      <c r="F282" s="165"/>
      <c r="H282" s="166"/>
    </row>
    <row r="283" spans="6:8" s="154" customFormat="1">
      <c r="F283" s="165"/>
      <c r="H283" s="166"/>
    </row>
    <row r="284" spans="6:8" s="154" customFormat="1">
      <c r="F284" s="165"/>
      <c r="H284" s="166"/>
    </row>
    <row r="285" spans="6:8" s="154" customFormat="1">
      <c r="F285" s="165"/>
      <c r="H285" s="166"/>
    </row>
    <row r="286" spans="6:8" s="154" customFormat="1">
      <c r="F286" s="165"/>
      <c r="H286" s="166"/>
    </row>
    <row r="287" spans="6:8" s="154" customFormat="1">
      <c r="F287" s="165"/>
      <c r="H287" s="166"/>
    </row>
    <row r="288" spans="6:8" s="154" customFormat="1">
      <c r="F288" s="165"/>
      <c r="H288" s="166"/>
    </row>
    <row r="289" spans="6:8" s="154" customFormat="1">
      <c r="F289" s="165"/>
      <c r="H289" s="166"/>
    </row>
    <row r="290" spans="6:8" s="154" customFormat="1">
      <c r="F290" s="165"/>
      <c r="H290" s="166"/>
    </row>
    <row r="291" spans="6:8" s="154" customFormat="1">
      <c r="F291" s="165"/>
      <c r="H291" s="166"/>
    </row>
    <row r="292" spans="6:8" s="154" customFormat="1">
      <c r="F292" s="165"/>
      <c r="H292" s="166"/>
    </row>
    <row r="293" spans="6:8" s="154" customFormat="1">
      <c r="F293" s="165"/>
      <c r="H293" s="166"/>
    </row>
    <row r="294" spans="6:8" s="154" customFormat="1">
      <c r="F294" s="165"/>
      <c r="H294" s="166"/>
    </row>
    <row r="295" spans="6:8" s="154" customFormat="1">
      <c r="F295" s="165"/>
      <c r="H295" s="166"/>
    </row>
    <row r="296" spans="6:8" s="154" customFormat="1">
      <c r="F296" s="165"/>
      <c r="H296" s="166"/>
    </row>
    <row r="297" spans="6:8" s="154" customFormat="1">
      <c r="F297" s="165"/>
      <c r="H297" s="166"/>
    </row>
    <row r="298" spans="6:8" s="154" customFormat="1">
      <c r="F298" s="165"/>
      <c r="H298" s="166"/>
    </row>
    <row r="299" spans="6:8" s="154" customFormat="1">
      <c r="F299" s="165"/>
      <c r="H299" s="166"/>
    </row>
    <row r="300" spans="6:8" s="154" customFormat="1">
      <c r="F300" s="165"/>
      <c r="H300" s="166"/>
    </row>
    <row r="301" spans="6:8" s="154" customFormat="1">
      <c r="F301" s="165"/>
      <c r="H301" s="166"/>
    </row>
    <row r="302" spans="6:8" s="154" customFormat="1">
      <c r="F302" s="165"/>
      <c r="H302" s="166"/>
    </row>
    <row r="303" spans="6:8" s="154" customFormat="1">
      <c r="F303" s="165"/>
      <c r="H303" s="166"/>
    </row>
    <row r="304" spans="6:8" s="154" customFormat="1">
      <c r="F304" s="165"/>
      <c r="H304" s="166"/>
    </row>
    <row r="305" spans="6:8" s="154" customFormat="1">
      <c r="F305" s="165"/>
      <c r="H305" s="166"/>
    </row>
    <row r="306" spans="6:8" s="154" customFormat="1">
      <c r="F306" s="165"/>
      <c r="H306" s="166"/>
    </row>
    <row r="307" spans="6:8" s="154" customFormat="1">
      <c r="F307" s="165"/>
      <c r="H307" s="166"/>
    </row>
    <row r="308" spans="6:8" s="154" customFormat="1">
      <c r="F308" s="165"/>
      <c r="H308" s="166"/>
    </row>
    <row r="309" spans="6:8" s="154" customFormat="1">
      <c r="F309" s="165"/>
      <c r="H309" s="166"/>
    </row>
    <row r="310" spans="6:8" s="154" customFormat="1">
      <c r="F310" s="165"/>
      <c r="H310" s="166"/>
    </row>
    <row r="311" spans="6:8" s="154" customFormat="1">
      <c r="F311" s="165"/>
      <c r="H311" s="166"/>
    </row>
    <row r="312" spans="6:8" s="154" customFormat="1">
      <c r="F312" s="165"/>
      <c r="H312" s="166"/>
    </row>
    <row r="313" spans="6:8" s="154" customFormat="1">
      <c r="F313" s="165"/>
      <c r="H313" s="166"/>
    </row>
    <row r="314" spans="6:8" s="154" customFormat="1">
      <c r="F314" s="165"/>
      <c r="H314" s="166"/>
    </row>
    <row r="315" spans="6:8" s="154" customFormat="1">
      <c r="F315" s="165"/>
      <c r="H315" s="166"/>
    </row>
    <row r="316" spans="6:8" s="154" customFormat="1">
      <c r="F316" s="165"/>
      <c r="H316" s="166"/>
    </row>
    <row r="317" spans="6:8" s="154" customFormat="1">
      <c r="F317" s="165"/>
      <c r="H317" s="166"/>
    </row>
    <row r="318" spans="6:8" s="154" customFormat="1">
      <c r="F318" s="165"/>
      <c r="H318" s="166"/>
    </row>
    <row r="319" spans="6:8" s="154" customFormat="1">
      <c r="F319" s="165"/>
      <c r="H319" s="166"/>
    </row>
    <row r="320" spans="6:8" s="154" customFormat="1">
      <c r="F320" s="165"/>
      <c r="H320" s="166"/>
    </row>
    <row r="321" spans="6:8" s="154" customFormat="1">
      <c r="F321" s="165"/>
      <c r="H321" s="166"/>
    </row>
    <row r="322" spans="6:8" s="154" customFormat="1">
      <c r="F322" s="165"/>
      <c r="H322" s="166"/>
    </row>
    <row r="323" spans="6:8" s="154" customFormat="1">
      <c r="F323" s="165"/>
      <c r="H323" s="166"/>
    </row>
    <row r="324" spans="6:8" s="154" customFormat="1">
      <c r="F324" s="165"/>
      <c r="H324" s="166"/>
    </row>
    <row r="325" spans="6:8" s="154" customFormat="1">
      <c r="F325" s="165"/>
      <c r="H325" s="166"/>
    </row>
    <row r="326" spans="6:8" s="154" customFormat="1">
      <c r="F326" s="165"/>
      <c r="H326" s="166"/>
    </row>
    <row r="327" spans="6:8" s="154" customFormat="1">
      <c r="F327" s="165"/>
      <c r="H327" s="166"/>
    </row>
    <row r="328" spans="6:8" s="154" customFormat="1">
      <c r="F328" s="165"/>
      <c r="H328" s="166"/>
    </row>
    <row r="329" spans="6:8" s="154" customFormat="1">
      <c r="F329" s="165"/>
      <c r="H329" s="166"/>
    </row>
    <row r="330" spans="6:8" s="154" customFormat="1">
      <c r="F330" s="165"/>
      <c r="H330" s="166"/>
    </row>
    <row r="331" spans="6:8" s="154" customFormat="1">
      <c r="F331" s="165"/>
      <c r="H331" s="166"/>
    </row>
    <row r="332" spans="6:8" s="154" customFormat="1">
      <c r="F332" s="165"/>
      <c r="H332" s="166"/>
    </row>
    <row r="333" spans="6:8" s="154" customFormat="1">
      <c r="F333" s="165"/>
      <c r="H333" s="166"/>
    </row>
    <row r="334" spans="6:8" s="154" customFormat="1">
      <c r="F334" s="165"/>
      <c r="H334" s="166"/>
    </row>
    <row r="335" spans="6:8" s="154" customFormat="1">
      <c r="F335" s="165"/>
      <c r="H335" s="166"/>
    </row>
    <row r="336" spans="6:8" s="154" customFormat="1">
      <c r="F336" s="165"/>
      <c r="H336" s="166"/>
    </row>
    <row r="337" spans="6:8" s="154" customFormat="1">
      <c r="F337" s="165"/>
      <c r="H337" s="166"/>
    </row>
    <row r="338" spans="6:8" s="154" customFormat="1">
      <c r="F338" s="165"/>
      <c r="H338" s="166"/>
    </row>
    <row r="339" spans="6:8" s="154" customFormat="1">
      <c r="F339" s="165"/>
      <c r="H339" s="166"/>
    </row>
    <row r="340" spans="6:8" s="154" customFormat="1">
      <c r="F340" s="165"/>
      <c r="H340" s="166"/>
    </row>
    <row r="341" spans="6:8" s="154" customFormat="1">
      <c r="F341" s="165"/>
      <c r="H341" s="166"/>
    </row>
    <row r="342" spans="6:8" s="154" customFormat="1">
      <c r="F342" s="165"/>
      <c r="H342" s="166"/>
    </row>
    <row r="343" spans="6:8" s="154" customFormat="1">
      <c r="F343" s="165"/>
      <c r="H343" s="166"/>
    </row>
    <row r="344" spans="6:8" s="154" customFormat="1">
      <c r="F344" s="165"/>
      <c r="H344" s="166"/>
    </row>
    <row r="345" spans="6:8" s="154" customFormat="1">
      <c r="F345" s="165"/>
      <c r="H345" s="166"/>
    </row>
    <row r="346" spans="6:8" s="154" customFormat="1">
      <c r="F346" s="165"/>
      <c r="H346" s="166"/>
    </row>
    <row r="347" spans="6:8" s="154" customFormat="1">
      <c r="F347" s="165"/>
      <c r="H347" s="166"/>
    </row>
    <row r="348" spans="6:8" s="154" customFormat="1">
      <c r="F348" s="165"/>
      <c r="H348" s="166"/>
    </row>
    <row r="349" spans="6:8" s="154" customFormat="1">
      <c r="F349" s="165"/>
      <c r="H349" s="166"/>
    </row>
    <row r="350" spans="6:8" s="154" customFormat="1">
      <c r="F350" s="165"/>
      <c r="H350" s="166"/>
    </row>
    <row r="351" spans="6:8" s="154" customFormat="1">
      <c r="F351" s="165"/>
      <c r="H351" s="166"/>
    </row>
    <row r="352" spans="6:8" s="154" customFormat="1">
      <c r="F352" s="165"/>
      <c r="H352" s="166"/>
    </row>
    <row r="353" spans="6:8" s="154" customFormat="1">
      <c r="F353" s="165"/>
      <c r="H353" s="166"/>
    </row>
    <row r="354" spans="6:8" s="154" customFormat="1">
      <c r="F354" s="165"/>
      <c r="H354" s="166"/>
    </row>
    <row r="355" spans="6:8" s="154" customFormat="1">
      <c r="F355" s="165"/>
      <c r="H355" s="166"/>
    </row>
    <row r="356" spans="6:8" s="154" customFormat="1">
      <c r="F356" s="165"/>
      <c r="H356" s="166"/>
    </row>
    <row r="357" spans="6:8" s="154" customFormat="1">
      <c r="F357" s="165"/>
      <c r="H357" s="166"/>
    </row>
    <row r="358" spans="6:8" s="154" customFormat="1">
      <c r="F358" s="165"/>
      <c r="H358" s="166"/>
    </row>
    <row r="359" spans="6:8" s="154" customFormat="1">
      <c r="F359" s="165"/>
      <c r="H359" s="166"/>
    </row>
    <row r="360" spans="6:8" s="154" customFormat="1">
      <c r="F360" s="165"/>
      <c r="H360" s="166"/>
    </row>
    <row r="361" spans="6:8" s="154" customFormat="1">
      <c r="F361" s="165"/>
      <c r="H361" s="166"/>
    </row>
    <row r="362" spans="6:8" s="154" customFormat="1">
      <c r="F362" s="165"/>
      <c r="H362" s="166"/>
    </row>
    <row r="363" spans="6:8" s="154" customFormat="1">
      <c r="F363" s="165"/>
      <c r="H363" s="166"/>
    </row>
    <row r="364" spans="6:8" s="154" customFormat="1">
      <c r="F364" s="165"/>
      <c r="H364" s="166"/>
    </row>
    <row r="365" spans="6:8" s="154" customFormat="1">
      <c r="F365" s="165"/>
      <c r="H365" s="166"/>
    </row>
    <row r="366" spans="6:8" s="154" customFormat="1">
      <c r="F366" s="165"/>
      <c r="H366" s="166"/>
    </row>
    <row r="367" spans="6:8" s="154" customFormat="1">
      <c r="F367" s="165"/>
      <c r="H367" s="166"/>
    </row>
    <row r="368" spans="6:8" s="154" customFormat="1">
      <c r="F368" s="165"/>
      <c r="H368" s="166"/>
    </row>
    <row r="369" spans="6:8" s="154" customFormat="1">
      <c r="F369" s="165"/>
      <c r="H369" s="166"/>
    </row>
    <row r="370" spans="6:8" s="154" customFormat="1">
      <c r="F370" s="165"/>
      <c r="H370" s="166"/>
    </row>
    <row r="371" spans="6:8" s="154" customFormat="1">
      <c r="F371" s="165"/>
      <c r="H371" s="166"/>
    </row>
    <row r="372" spans="6:8" s="154" customFormat="1">
      <c r="F372" s="165"/>
      <c r="H372" s="166"/>
    </row>
    <row r="373" spans="6:8" s="154" customFormat="1">
      <c r="F373" s="165"/>
      <c r="H373" s="166"/>
    </row>
    <row r="374" spans="6:8" s="154" customFormat="1">
      <c r="F374" s="165"/>
      <c r="H374" s="166"/>
    </row>
    <row r="375" spans="6:8" s="154" customFormat="1">
      <c r="F375" s="165"/>
      <c r="H375" s="166"/>
    </row>
    <row r="376" spans="6:8" s="154" customFormat="1">
      <c r="F376" s="165"/>
      <c r="H376" s="166"/>
    </row>
    <row r="377" spans="6:8" s="154" customFormat="1">
      <c r="F377" s="165"/>
      <c r="H377" s="166"/>
    </row>
    <row r="378" spans="6:8" s="154" customFormat="1">
      <c r="F378" s="165"/>
      <c r="H378" s="166"/>
    </row>
    <row r="379" spans="6:8" s="154" customFormat="1">
      <c r="F379" s="165"/>
      <c r="H379" s="166"/>
    </row>
    <row r="380" spans="6:8" s="154" customFormat="1">
      <c r="F380" s="165"/>
      <c r="H380" s="166"/>
    </row>
    <row r="381" spans="6:8" s="154" customFormat="1">
      <c r="F381" s="165"/>
      <c r="H381" s="166"/>
    </row>
    <row r="382" spans="6:8" s="154" customFormat="1">
      <c r="F382" s="165"/>
      <c r="H382" s="166"/>
    </row>
    <row r="383" spans="6:8" s="154" customFormat="1">
      <c r="F383" s="165"/>
      <c r="H383" s="166"/>
    </row>
    <row r="384" spans="6:8" s="154" customFormat="1">
      <c r="F384" s="165"/>
      <c r="H384" s="166"/>
    </row>
    <row r="385" spans="6:8" s="154" customFormat="1">
      <c r="F385" s="165"/>
      <c r="H385" s="166"/>
    </row>
    <row r="386" spans="6:8" s="154" customFormat="1">
      <c r="F386" s="165"/>
      <c r="H386" s="166"/>
    </row>
    <row r="387" spans="6:8" s="154" customFormat="1">
      <c r="F387" s="165"/>
      <c r="H387" s="166"/>
    </row>
    <row r="388" spans="6:8" s="154" customFormat="1">
      <c r="F388" s="165"/>
      <c r="H388" s="166"/>
    </row>
    <row r="389" spans="6:8" s="154" customFormat="1">
      <c r="F389" s="165"/>
      <c r="H389" s="166"/>
    </row>
    <row r="390" spans="6:8" s="154" customFormat="1">
      <c r="F390" s="165"/>
      <c r="H390" s="166"/>
    </row>
    <row r="391" spans="6:8" s="154" customFormat="1">
      <c r="F391" s="165"/>
      <c r="H391" s="166"/>
    </row>
    <row r="392" spans="6:8" s="154" customFormat="1">
      <c r="F392" s="165"/>
      <c r="H392" s="166"/>
    </row>
    <row r="393" spans="6:8" s="154" customFormat="1">
      <c r="F393" s="165"/>
      <c r="H393" s="166"/>
    </row>
    <row r="394" spans="6:8" s="154" customFormat="1">
      <c r="F394" s="165"/>
      <c r="H394" s="166"/>
    </row>
    <row r="395" spans="6:8" s="154" customFormat="1">
      <c r="F395" s="165"/>
      <c r="H395" s="166"/>
    </row>
    <row r="396" spans="6:8" s="154" customFormat="1">
      <c r="F396" s="165"/>
      <c r="H396" s="166"/>
    </row>
    <row r="397" spans="6:8" s="154" customFormat="1">
      <c r="F397" s="165"/>
      <c r="H397" s="166"/>
    </row>
    <row r="398" spans="6:8" s="154" customFormat="1">
      <c r="F398" s="165"/>
      <c r="H398" s="166"/>
    </row>
    <row r="399" spans="6:8" s="154" customFormat="1">
      <c r="F399" s="165"/>
      <c r="H399" s="166"/>
    </row>
    <row r="400" spans="6:8" s="154" customFormat="1">
      <c r="F400" s="165"/>
      <c r="H400" s="166"/>
    </row>
    <row r="401" spans="6:8" s="154" customFormat="1">
      <c r="F401" s="165"/>
      <c r="H401" s="166"/>
    </row>
    <row r="402" spans="6:8" s="154" customFormat="1">
      <c r="F402" s="165"/>
      <c r="H402" s="166"/>
    </row>
    <row r="403" spans="6:8" s="154" customFormat="1">
      <c r="F403" s="165"/>
      <c r="H403" s="166"/>
    </row>
    <row r="404" spans="6:8" s="154" customFormat="1">
      <c r="F404" s="165"/>
      <c r="H404" s="166"/>
    </row>
    <row r="405" spans="6:8" s="154" customFormat="1">
      <c r="F405" s="165"/>
      <c r="H405" s="166"/>
    </row>
    <row r="406" spans="6:8" s="154" customFormat="1">
      <c r="F406" s="165"/>
      <c r="H406" s="166"/>
    </row>
    <row r="407" spans="6:8" s="154" customFormat="1">
      <c r="F407" s="165"/>
      <c r="H407" s="166"/>
    </row>
    <row r="408" spans="6:8" s="154" customFormat="1">
      <c r="F408" s="165"/>
      <c r="H408" s="166"/>
    </row>
    <row r="409" spans="6:8" s="154" customFormat="1">
      <c r="F409" s="165"/>
      <c r="H409" s="166"/>
    </row>
    <row r="410" spans="6:8" s="154" customFormat="1">
      <c r="F410" s="165"/>
      <c r="H410" s="166"/>
    </row>
    <row r="411" spans="6:8" s="154" customFormat="1">
      <c r="F411" s="165"/>
      <c r="H411" s="166"/>
    </row>
    <row r="412" spans="6:8" s="154" customFormat="1">
      <c r="F412" s="165"/>
      <c r="H412" s="166"/>
    </row>
    <row r="413" spans="6:8" s="154" customFormat="1">
      <c r="F413" s="165"/>
      <c r="H413" s="166"/>
    </row>
    <row r="414" spans="6:8" s="154" customFormat="1">
      <c r="F414" s="165"/>
      <c r="H414" s="166"/>
    </row>
    <row r="415" spans="6:8" s="154" customFormat="1">
      <c r="F415" s="165"/>
      <c r="H415" s="166"/>
    </row>
    <row r="416" spans="6:8" s="154" customFormat="1">
      <c r="F416" s="165"/>
      <c r="H416" s="166"/>
    </row>
    <row r="417" spans="6:8" s="154" customFormat="1">
      <c r="F417" s="165"/>
      <c r="H417" s="166"/>
    </row>
    <row r="418" spans="6:8" s="154" customFormat="1">
      <c r="F418" s="165"/>
      <c r="H418" s="166"/>
    </row>
    <row r="419" spans="6:8" s="154" customFormat="1">
      <c r="F419" s="165"/>
      <c r="H419" s="166"/>
    </row>
    <row r="420" spans="6:8" s="154" customFormat="1">
      <c r="F420" s="165"/>
      <c r="H420" s="166"/>
    </row>
    <row r="421" spans="6:8" s="154" customFormat="1">
      <c r="F421" s="165"/>
      <c r="H421" s="166"/>
    </row>
    <row r="422" spans="6:8" s="154" customFormat="1">
      <c r="F422" s="165"/>
      <c r="H422" s="166"/>
    </row>
    <row r="423" spans="6:8" s="154" customFormat="1">
      <c r="F423" s="165"/>
      <c r="H423" s="166"/>
    </row>
    <row r="424" spans="6:8" s="154" customFormat="1">
      <c r="F424" s="165"/>
      <c r="H424" s="166"/>
    </row>
    <row r="425" spans="6:8" s="154" customFormat="1">
      <c r="F425" s="165"/>
      <c r="H425" s="166"/>
    </row>
    <row r="426" spans="6:8" s="154" customFormat="1">
      <c r="F426" s="165"/>
      <c r="H426" s="166"/>
    </row>
    <row r="427" spans="6:8" s="154" customFormat="1">
      <c r="F427" s="165"/>
      <c r="H427" s="166"/>
    </row>
    <row r="428" spans="6:8" s="154" customFormat="1">
      <c r="F428" s="165"/>
      <c r="H428" s="166"/>
    </row>
    <row r="429" spans="6:8" s="154" customFormat="1">
      <c r="F429" s="165"/>
      <c r="H429" s="166"/>
    </row>
    <row r="430" spans="6:8" s="154" customFormat="1">
      <c r="F430" s="165"/>
      <c r="H430" s="166"/>
    </row>
    <row r="431" spans="6:8" s="154" customFormat="1">
      <c r="F431" s="165"/>
      <c r="H431" s="166"/>
    </row>
    <row r="432" spans="6:8" s="154" customFormat="1">
      <c r="F432" s="165"/>
      <c r="H432" s="166"/>
    </row>
    <row r="433" spans="6:8" s="154" customFormat="1">
      <c r="F433" s="165"/>
      <c r="H433" s="166"/>
    </row>
    <row r="434" spans="6:8" s="154" customFormat="1">
      <c r="F434" s="165"/>
      <c r="H434" s="166"/>
    </row>
    <row r="435" spans="6:8" s="154" customFormat="1">
      <c r="F435" s="165"/>
      <c r="H435" s="166"/>
    </row>
    <row r="436" spans="6:8" s="154" customFormat="1">
      <c r="F436" s="165"/>
      <c r="H436" s="166"/>
    </row>
    <row r="437" spans="6:8" s="154" customFormat="1">
      <c r="F437" s="165"/>
      <c r="H437" s="166"/>
    </row>
    <row r="438" spans="6:8" s="154" customFormat="1">
      <c r="F438" s="165"/>
      <c r="H438" s="166"/>
    </row>
    <row r="439" spans="6:8" s="154" customFormat="1">
      <c r="F439" s="165"/>
      <c r="H439" s="166"/>
    </row>
    <row r="440" spans="6:8" s="154" customFormat="1">
      <c r="F440" s="165"/>
      <c r="H440" s="166"/>
    </row>
    <row r="441" spans="6:8" s="154" customFormat="1">
      <c r="F441" s="165"/>
      <c r="H441" s="166"/>
    </row>
    <row r="442" spans="6:8" s="154" customFormat="1">
      <c r="F442" s="165"/>
      <c r="H442" s="166"/>
    </row>
    <row r="443" spans="6:8" s="154" customFormat="1">
      <c r="F443" s="165"/>
      <c r="H443" s="166"/>
    </row>
    <row r="444" spans="6:8" s="154" customFormat="1">
      <c r="F444" s="165"/>
      <c r="H444" s="166"/>
    </row>
    <row r="445" spans="6:8" s="154" customFormat="1">
      <c r="F445" s="165"/>
      <c r="H445" s="166"/>
    </row>
    <row r="446" spans="6:8" s="154" customFormat="1">
      <c r="F446" s="165"/>
      <c r="H446" s="166"/>
    </row>
    <row r="447" spans="6:8" s="154" customFormat="1">
      <c r="F447" s="165"/>
      <c r="H447" s="166"/>
    </row>
    <row r="448" spans="6:8" s="154" customFormat="1">
      <c r="F448" s="165"/>
      <c r="H448" s="166"/>
    </row>
    <row r="449" spans="6:8" s="154" customFormat="1">
      <c r="F449" s="165"/>
      <c r="H449" s="166"/>
    </row>
    <row r="450" spans="6:8" s="154" customFormat="1">
      <c r="F450" s="165"/>
      <c r="H450" s="166"/>
    </row>
    <row r="451" spans="6:8" s="154" customFormat="1">
      <c r="F451" s="165"/>
      <c r="H451" s="166"/>
    </row>
    <row r="452" spans="6:8" s="154" customFormat="1">
      <c r="F452" s="165"/>
      <c r="H452" s="166"/>
    </row>
    <row r="453" spans="6:8" s="154" customFormat="1">
      <c r="F453" s="165"/>
      <c r="H453" s="166"/>
    </row>
    <row r="454" spans="6:8" s="154" customFormat="1">
      <c r="F454" s="165"/>
      <c r="H454" s="166"/>
    </row>
    <row r="455" spans="6:8" s="154" customFormat="1">
      <c r="F455" s="165"/>
      <c r="H455" s="166"/>
    </row>
    <row r="456" spans="6:8" s="154" customFormat="1">
      <c r="F456" s="165"/>
      <c r="H456" s="166"/>
    </row>
    <row r="457" spans="6:8" s="154" customFormat="1">
      <c r="F457" s="165"/>
      <c r="H457" s="166"/>
    </row>
    <row r="458" spans="6:8" s="154" customFormat="1">
      <c r="F458" s="165"/>
      <c r="H458" s="166"/>
    </row>
    <row r="459" spans="6:8" s="154" customFormat="1">
      <c r="F459" s="165"/>
      <c r="H459" s="166"/>
    </row>
    <row r="460" spans="6:8" s="154" customFormat="1">
      <c r="F460" s="165"/>
      <c r="H460" s="166"/>
    </row>
    <row r="461" spans="6:8" s="154" customFormat="1">
      <c r="F461" s="165"/>
      <c r="H461" s="166"/>
    </row>
    <row r="462" spans="6:8" s="154" customFormat="1">
      <c r="F462" s="165"/>
      <c r="H462" s="166"/>
    </row>
    <row r="463" spans="6:8" s="154" customFormat="1">
      <c r="F463" s="165"/>
      <c r="H463" s="166"/>
    </row>
    <row r="464" spans="6:8" s="154" customFormat="1">
      <c r="F464" s="165"/>
      <c r="H464" s="166"/>
    </row>
    <row r="465" spans="6:8" s="154" customFormat="1">
      <c r="F465" s="165"/>
      <c r="H465" s="166"/>
    </row>
    <row r="466" spans="6:8" s="154" customFormat="1">
      <c r="F466" s="165"/>
      <c r="H466" s="166"/>
    </row>
    <row r="467" spans="6:8" s="154" customFormat="1">
      <c r="F467" s="165"/>
      <c r="H467" s="166"/>
    </row>
    <row r="468" spans="6:8" s="154" customFormat="1">
      <c r="F468" s="165"/>
      <c r="H468" s="166"/>
    </row>
    <row r="469" spans="6:8" s="154" customFormat="1">
      <c r="F469" s="165"/>
      <c r="H469" s="166"/>
    </row>
    <row r="470" spans="6:8" s="154" customFormat="1">
      <c r="F470" s="165"/>
      <c r="H470" s="166"/>
    </row>
    <row r="471" spans="6:8" s="154" customFormat="1">
      <c r="F471" s="165"/>
      <c r="H471" s="166"/>
    </row>
    <row r="472" spans="6:8" s="154" customFormat="1">
      <c r="F472" s="165"/>
      <c r="H472" s="166"/>
    </row>
    <row r="473" spans="6:8" s="154" customFormat="1">
      <c r="F473" s="165"/>
      <c r="H473" s="166"/>
    </row>
    <row r="474" spans="6:8" s="154" customFormat="1">
      <c r="F474" s="165"/>
      <c r="H474" s="166"/>
    </row>
    <row r="475" spans="6:8" s="154" customFormat="1">
      <c r="F475" s="165"/>
      <c r="H475" s="166"/>
    </row>
    <row r="476" spans="6:8" s="154" customFormat="1">
      <c r="F476" s="165"/>
      <c r="H476" s="166"/>
    </row>
    <row r="477" spans="6:8" s="154" customFormat="1">
      <c r="F477" s="165"/>
      <c r="H477" s="166"/>
    </row>
    <row r="478" spans="6:8" s="154" customFormat="1">
      <c r="F478" s="165"/>
      <c r="H478" s="166"/>
    </row>
    <row r="479" spans="6:8" s="154" customFormat="1">
      <c r="F479" s="165"/>
      <c r="H479" s="166"/>
    </row>
    <row r="480" spans="6:8" s="154" customFormat="1">
      <c r="F480" s="165"/>
      <c r="H480" s="166"/>
    </row>
    <row r="481" spans="6:8" s="154" customFormat="1">
      <c r="F481" s="165"/>
      <c r="H481" s="166"/>
    </row>
    <row r="482" spans="6:8" s="154" customFormat="1">
      <c r="F482" s="165"/>
      <c r="H482" s="166"/>
    </row>
    <row r="483" spans="6:8" s="154" customFormat="1">
      <c r="F483" s="165"/>
      <c r="H483" s="166"/>
    </row>
    <row r="484" spans="6:8" s="154" customFormat="1">
      <c r="F484" s="165"/>
      <c r="H484" s="166"/>
    </row>
    <row r="485" spans="6:8" s="154" customFormat="1">
      <c r="F485" s="165"/>
      <c r="H485" s="166"/>
    </row>
    <row r="486" spans="6:8" s="154" customFormat="1">
      <c r="F486" s="165"/>
      <c r="H486" s="166"/>
    </row>
    <row r="487" spans="6:8" s="154" customFormat="1">
      <c r="F487" s="165"/>
      <c r="H487" s="166"/>
    </row>
    <row r="488" spans="6:8" s="154" customFormat="1">
      <c r="F488" s="165"/>
      <c r="H488" s="166"/>
    </row>
    <row r="489" spans="6:8" s="154" customFormat="1">
      <c r="F489" s="165"/>
      <c r="H489" s="166"/>
    </row>
    <row r="490" spans="6:8" s="154" customFormat="1">
      <c r="F490" s="165"/>
      <c r="H490" s="166"/>
    </row>
    <row r="491" spans="6:8" s="154" customFormat="1">
      <c r="F491" s="165"/>
      <c r="H491" s="166"/>
    </row>
    <row r="492" spans="6:8" s="154" customFormat="1">
      <c r="F492" s="165"/>
      <c r="H492" s="166"/>
    </row>
    <row r="493" spans="6:8" s="154" customFormat="1">
      <c r="F493" s="165"/>
      <c r="H493" s="166"/>
    </row>
    <row r="494" spans="6:8" s="154" customFormat="1">
      <c r="F494" s="165"/>
      <c r="H494" s="166"/>
    </row>
    <row r="495" spans="6:8" s="154" customFormat="1">
      <c r="F495" s="165"/>
      <c r="H495" s="166"/>
    </row>
    <row r="496" spans="6:8" s="154" customFormat="1">
      <c r="F496" s="165"/>
      <c r="H496" s="166"/>
    </row>
    <row r="497" spans="6:8" s="154" customFormat="1">
      <c r="F497" s="165"/>
      <c r="H497" s="166"/>
    </row>
    <row r="498" spans="6:8" s="154" customFormat="1">
      <c r="F498" s="165"/>
      <c r="H498" s="166"/>
    </row>
    <row r="499" spans="6:8" s="154" customFormat="1">
      <c r="F499" s="165"/>
      <c r="H499" s="166"/>
    </row>
    <row r="500" spans="6:8" s="154" customFormat="1">
      <c r="F500" s="165"/>
      <c r="H500" s="166"/>
    </row>
    <row r="501" spans="6:8" s="154" customFormat="1">
      <c r="F501" s="165"/>
      <c r="H501" s="166"/>
    </row>
    <row r="502" spans="6:8" s="154" customFormat="1">
      <c r="F502" s="165"/>
      <c r="H502" s="166"/>
    </row>
    <row r="503" spans="6:8" s="154" customFormat="1">
      <c r="F503" s="165"/>
      <c r="H503" s="166"/>
    </row>
    <row r="504" spans="6:8" s="154" customFormat="1">
      <c r="F504" s="165"/>
      <c r="H504" s="166"/>
    </row>
    <row r="505" spans="6:8" s="154" customFormat="1">
      <c r="F505" s="165"/>
      <c r="H505" s="166"/>
    </row>
    <row r="506" spans="6:8" s="154" customFormat="1">
      <c r="F506" s="165"/>
      <c r="H506" s="166"/>
    </row>
    <row r="507" spans="6:8" s="154" customFormat="1">
      <c r="F507" s="165"/>
      <c r="H507" s="166"/>
    </row>
    <row r="508" spans="6:8" s="154" customFormat="1">
      <c r="F508" s="165"/>
      <c r="H508" s="166"/>
    </row>
    <row r="509" spans="6:8" s="154" customFormat="1">
      <c r="F509" s="165"/>
      <c r="H509" s="166"/>
    </row>
    <row r="510" spans="6:8" s="154" customFormat="1">
      <c r="F510" s="165"/>
      <c r="H510" s="166"/>
    </row>
    <row r="511" spans="6:8" s="154" customFormat="1">
      <c r="F511" s="165"/>
      <c r="H511" s="166"/>
    </row>
    <row r="512" spans="6:8" s="154" customFormat="1">
      <c r="F512" s="165"/>
      <c r="H512" s="166"/>
    </row>
    <row r="513" spans="6:8" s="154" customFormat="1">
      <c r="F513" s="165"/>
      <c r="H513" s="166"/>
    </row>
    <row r="514" spans="6:8" s="154" customFormat="1">
      <c r="F514" s="165"/>
      <c r="H514" s="166"/>
    </row>
    <row r="515" spans="6:8" s="154" customFormat="1">
      <c r="F515" s="165"/>
      <c r="H515" s="166"/>
    </row>
    <row r="516" spans="6:8" s="154" customFormat="1">
      <c r="F516" s="165"/>
      <c r="H516" s="166"/>
    </row>
    <row r="517" spans="6:8" s="154" customFormat="1">
      <c r="F517" s="165"/>
      <c r="H517" s="166"/>
    </row>
    <row r="518" spans="6:8" s="154" customFormat="1">
      <c r="F518" s="165"/>
      <c r="H518" s="166"/>
    </row>
    <row r="519" spans="6:8" s="154" customFormat="1">
      <c r="F519" s="165"/>
      <c r="H519" s="166"/>
    </row>
    <row r="520" spans="6:8" s="154" customFormat="1">
      <c r="F520" s="165"/>
      <c r="H520" s="166"/>
    </row>
    <row r="521" spans="6:8" s="154" customFormat="1">
      <c r="F521" s="165"/>
      <c r="H521" s="166"/>
    </row>
    <row r="522" spans="6:8" s="154" customFormat="1">
      <c r="F522" s="165"/>
      <c r="H522" s="166"/>
    </row>
    <row r="523" spans="6:8" s="154" customFormat="1">
      <c r="F523" s="165"/>
      <c r="H523" s="166"/>
    </row>
    <row r="524" spans="6:8" s="154" customFormat="1">
      <c r="F524" s="165"/>
      <c r="H524" s="166"/>
    </row>
    <row r="525" spans="6:8" s="154" customFormat="1">
      <c r="F525" s="165"/>
      <c r="H525" s="166"/>
    </row>
    <row r="526" spans="6:8" s="154" customFormat="1">
      <c r="F526" s="165"/>
      <c r="H526" s="166"/>
    </row>
    <row r="527" spans="6:8" s="154" customFormat="1">
      <c r="F527" s="165"/>
      <c r="H527" s="166"/>
    </row>
    <row r="528" spans="6:8" s="154" customFormat="1">
      <c r="F528" s="165"/>
      <c r="H528" s="166"/>
    </row>
    <row r="529" spans="6:8" s="154" customFormat="1">
      <c r="F529" s="165"/>
      <c r="H529" s="166"/>
    </row>
    <row r="530" spans="6:8" s="154" customFormat="1">
      <c r="F530" s="165"/>
      <c r="H530" s="166"/>
    </row>
    <row r="531" spans="6:8" s="154" customFormat="1">
      <c r="F531" s="165"/>
      <c r="H531" s="166"/>
    </row>
    <row r="532" spans="6:8" s="154" customFormat="1">
      <c r="F532" s="165"/>
      <c r="H532" s="166"/>
    </row>
    <row r="533" spans="6:8" s="154" customFormat="1">
      <c r="F533" s="165"/>
      <c r="H533" s="166"/>
    </row>
    <row r="534" spans="6:8" s="154" customFormat="1">
      <c r="F534" s="165"/>
      <c r="H534" s="166"/>
    </row>
    <row r="535" spans="6:8" s="154" customFormat="1">
      <c r="F535" s="165"/>
      <c r="H535" s="166"/>
    </row>
    <row r="536" spans="6:8" s="154" customFormat="1">
      <c r="F536" s="165"/>
      <c r="H536" s="166"/>
    </row>
    <row r="537" spans="6:8" s="154" customFormat="1">
      <c r="F537" s="165"/>
      <c r="H537" s="166"/>
    </row>
    <row r="538" spans="6:8" s="154" customFormat="1">
      <c r="F538" s="165"/>
      <c r="H538" s="166"/>
    </row>
    <row r="539" spans="6:8" s="154" customFormat="1">
      <c r="F539" s="165"/>
      <c r="H539" s="166"/>
    </row>
    <row r="540" spans="6:8" s="154" customFormat="1">
      <c r="F540" s="165"/>
      <c r="H540" s="166"/>
    </row>
    <row r="541" spans="6:8" s="154" customFormat="1">
      <c r="F541" s="165"/>
      <c r="H541" s="166"/>
    </row>
    <row r="542" spans="6:8" s="154" customFormat="1">
      <c r="F542" s="165"/>
      <c r="H542" s="166"/>
    </row>
    <row r="543" spans="6:8" s="154" customFormat="1">
      <c r="F543" s="165"/>
      <c r="H543" s="166"/>
    </row>
    <row r="544" spans="6:8" s="154" customFormat="1">
      <c r="F544" s="165"/>
      <c r="H544" s="166"/>
    </row>
    <row r="545" spans="6:8" s="154" customFormat="1">
      <c r="F545" s="165"/>
      <c r="H545" s="166"/>
    </row>
    <row r="546" spans="6:8" s="154" customFormat="1">
      <c r="F546" s="165"/>
      <c r="H546" s="166"/>
    </row>
    <row r="547" spans="6:8" s="154" customFormat="1">
      <c r="F547" s="165"/>
      <c r="H547" s="166"/>
    </row>
    <row r="548" spans="6:8" s="154" customFormat="1">
      <c r="F548" s="165"/>
      <c r="H548" s="166"/>
    </row>
    <row r="549" spans="6:8" s="154" customFormat="1">
      <c r="F549" s="165"/>
      <c r="H549" s="166"/>
    </row>
    <row r="550" spans="6:8" s="154" customFormat="1">
      <c r="F550" s="165"/>
      <c r="H550" s="166"/>
    </row>
    <row r="551" spans="6:8" s="154" customFormat="1">
      <c r="F551" s="165"/>
      <c r="H551" s="166"/>
    </row>
    <row r="552" spans="6:8" s="154" customFormat="1">
      <c r="F552" s="165"/>
      <c r="H552" s="166"/>
    </row>
    <row r="553" spans="6:8" s="154" customFormat="1">
      <c r="F553" s="165"/>
      <c r="H553" s="166"/>
    </row>
    <row r="554" spans="6:8" s="154" customFormat="1">
      <c r="F554" s="165"/>
      <c r="H554" s="166"/>
    </row>
    <row r="555" spans="6:8" s="154" customFormat="1">
      <c r="F555" s="165"/>
      <c r="H555" s="166"/>
    </row>
    <row r="556" spans="6:8" s="154" customFormat="1">
      <c r="F556" s="165"/>
      <c r="H556" s="166"/>
    </row>
    <row r="557" spans="6:8" s="154" customFormat="1">
      <c r="F557" s="165"/>
      <c r="H557" s="166"/>
    </row>
    <row r="558" spans="6:8" s="154" customFormat="1">
      <c r="F558" s="165"/>
      <c r="H558" s="166"/>
    </row>
    <row r="559" spans="6:8" s="154" customFormat="1">
      <c r="F559" s="165"/>
      <c r="H559" s="166"/>
    </row>
    <row r="560" spans="6:8" s="154" customFormat="1">
      <c r="F560" s="165"/>
      <c r="H560" s="166"/>
    </row>
    <row r="561" spans="6:8" s="154" customFormat="1">
      <c r="F561" s="165"/>
      <c r="H561" s="166"/>
    </row>
    <row r="562" spans="6:8" s="154" customFormat="1">
      <c r="F562" s="165"/>
      <c r="H562" s="166"/>
    </row>
    <row r="563" spans="6:8" s="154" customFormat="1">
      <c r="F563" s="165"/>
      <c r="H563" s="166"/>
    </row>
    <row r="564" spans="6:8" s="154" customFormat="1">
      <c r="F564" s="165"/>
      <c r="H564" s="166"/>
    </row>
    <row r="565" spans="6:8" s="154" customFormat="1">
      <c r="F565" s="165"/>
      <c r="H565" s="166"/>
    </row>
    <row r="566" spans="6:8" s="154" customFormat="1">
      <c r="F566" s="165"/>
      <c r="H566" s="166"/>
    </row>
    <row r="567" spans="6:8" s="154" customFormat="1">
      <c r="F567" s="165"/>
      <c r="H567" s="166"/>
    </row>
    <row r="568" spans="6:8" s="154" customFormat="1">
      <c r="F568" s="165"/>
      <c r="H568" s="166"/>
    </row>
    <row r="569" spans="6:8" s="154" customFormat="1">
      <c r="F569" s="165"/>
      <c r="H569" s="166"/>
    </row>
    <row r="570" spans="6:8" s="154" customFormat="1">
      <c r="F570" s="165"/>
      <c r="H570" s="166"/>
    </row>
    <row r="571" spans="6:8" s="154" customFormat="1">
      <c r="F571" s="165"/>
      <c r="H571" s="166"/>
    </row>
    <row r="572" spans="6:8" s="154" customFormat="1">
      <c r="F572" s="165"/>
      <c r="H572" s="166"/>
    </row>
    <row r="573" spans="6:8" s="154" customFormat="1">
      <c r="F573" s="165"/>
      <c r="H573" s="166"/>
    </row>
    <row r="574" spans="6:8" s="154" customFormat="1">
      <c r="F574" s="165"/>
      <c r="H574" s="166"/>
    </row>
    <row r="575" spans="6:8" s="154" customFormat="1">
      <c r="F575" s="165"/>
      <c r="H575" s="166"/>
    </row>
    <row r="576" spans="6:8" s="154" customFormat="1">
      <c r="F576" s="165"/>
      <c r="H576" s="166"/>
    </row>
    <row r="577" spans="6:8" s="154" customFormat="1">
      <c r="F577" s="165"/>
      <c r="H577" s="166"/>
    </row>
    <row r="578" spans="6:8" s="154" customFormat="1">
      <c r="F578" s="165"/>
      <c r="H578" s="166"/>
    </row>
    <row r="579" spans="6:8" s="154" customFormat="1">
      <c r="F579" s="165"/>
      <c r="H579" s="166"/>
    </row>
    <row r="580" spans="6:8" s="154" customFormat="1">
      <c r="F580" s="165"/>
      <c r="H580" s="166"/>
    </row>
    <row r="581" spans="6:8" s="154" customFormat="1">
      <c r="F581" s="165"/>
      <c r="H581" s="166"/>
    </row>
    <row r="582" spans="6:8" s="154" customFormat="1">
      <c r="F582" s="165"/>
      <c r="H582" s="166"/>
    </row>
    <row r="583" spans="6:8" s="154" customFormat="1">
      <c r="F583" s="165"/>
      <c r="H583" s="166"/>
    </row>
    <row r="584" spans="6:8" s="154" customFormat="1">
      <c r="F584" s="165"/>
      <c r="H584" s="166"/>
    </row>
    <row r="585" spans="6:8" s="154" customFormat="1">
      <c r="F585" s="165"/>
      <c r="H585" s="166"/>
    </row>
    <row r="586" spans="6:8" s="154" customFormat="1">
      <c r="F586" s="165"/>
      <c r="H586" s="166"/>
    </row>
    <row r="587" spans="6:8" s="154" customFormat="1">
      <c r="F587" s="165"/>
      <c r="H587" s="166"/>
    </row>
    <row r="588" spans="6:8" s="154" customFormat="1">
      <c r="F588" s="165"/>
      <c r="H588" s="166"/>
    </row>
    <row r="589" spans="6:8" s="154" customFormat="1">
      <c r="F589" s="165"/>
      <c r="H589" s="166"/>
    </row>
    <row r="590" spans="6:8" s="154" customFormat="1">
      <c r="F590" s="165"/>
      <c r="H590" s="166"/>
    </row>
    <row r="591" spans="6:8" s="154" customFormat="1">
      <c r="F591" s="165"/>
      <c r="H591" s="166"/>
    </row>
    <row r="592" spans="6:8" s="154" customFormat="1">
      <c r="F592" s="165"/>
      <c r="H592" s="166"/>
    </row>
    <row r="593" spans="6:8" s="154" customFormat="1">
      <c r="F593" s="165"/>
      <c r="H593" s="166"/>
    </row>
    <row r="594" spans="6:8" s="154" customFormat="1">
      <c r="F594" s="165"/>
      <c r="H594" s="166"/>
    </row>
    <row r="595" spans="6:8" s="154" customFormat="1">
      <c r="F595" s="165"/>
      <c r="H595" s="166"/>
    </row>
    <row r="596" spans="6:8" s="154" customFormat="1">
      <c r="F596" s="165"/>
      <c r="H596" s="166"/>
    </row>
    <row r="597" spans="6:8" s="154" customFormat="1">
      <c r="F597" s="165"/>
      <c r="H597" s="166"/>
    </row>
    <row r="598" spans="6:8" s="154" customFormat="1">
      <c r="F598" s="165"/>
      <c r="H598" s="166"/>
    </row>
    <row r="599" spans="6:8" s="154" customFormat="1">
      <c r="F599" s="165"/>
      <c r="H599" s="166"/>
    </row>
    <row r="600" spans="6:8" s="154" customFormat="1">
      <c r="F600" s="165"/>
      <c r="H600" s="166"/>
    </row>
    <row r="601" spans="6:8" s="154" customFormat="1">
      <c r="F601" s="165"/>
      <c r="H601" s="166"/>
    </row>
    <row r="602" spans="6:8" s="154" customFormat="1">
      <c r="F602" s="165"/>
      <c r="H602" s="166"/>
    </row>
    <row r="603" spans="6:8" s="154" customFormat="1">
      <c r="F603" s="165"/>
      <c r="H603" s="166"/>
    </row>
    <row r="604" spans="6:8" s="154" customFormat="1">
      <c r="F604" s="165"/>
      <c r="H604" s="166"/>
    </row>
    <row r="605" spans="6:8" s="154" customFormat="1">
      <c r="F605" s="165"/>
      <c r="H605" s="166"/>
    </row>
    <row r="606" spans="6:8" s="154" customFormat="1">
      <c r="F606" s="165"/>
      <c r="H606" s="166"/>
    </row>
    <row r="607" spans="6:8" s="154" customFormat="1">
      <c r="F607" s="165"/>
      <c r="H607" s="166"/>
    </row>
    <row r="608" spans="6:8" s="154" customFormat="1">
      <c r="F608" s="165"/>
      <c r="H608" s="166"/>
    </row>
    <row r="609" spans="6:8" s="154" customFormat="1">
      <c r="F609" s="165"/>
      <c r="H609" s="166"/>
    </row>
    <row r="610" spans="6:8" s="154" customFormat="1">
      <c r="F610" s="165"/>
      <c r="H610" s="166"/>
    </row>
    <row r="611" spans="6:8" s="154" customFormat="1">
      <c r="F611" s="165"/>
      <c r="H611" s="166"/>
    </row>
    <row r="612" spans="6:8" s="154" customFormat="1">
      <c r="F612" s="165"/>
      <c r="H612" s="166"/>
    </row>
    <row r="613" spans="6:8" s="154" customFormat="1">
      <c r="F613" s="165"/>
      <c r="H613" s="166"/>
    </row>
    <row r="614" spans="6:8" s="154" customFormat="1">
      <c r="F614" s="165"/>
      <c r="H614" s="166"/>
    </row>
    <row r="615" spans="6:8" s="154" customFormat="1">
      <c r="F615" s="165"/>
      <c r="H615" s="166"/>
    </row>
    <row r="616" spans="6:8" s="154" customFormat="1">
      <c r="F616" s="165"/>
      <c r="H616" s="166"/>
    </row>
    <row r="617" spans="6:8" s="154" customFormat="1">
      <c r="F617" s="165"/>
      <c r="H617" s="166"/>
    </row>
    <row r="618" spans="6:8" s="154" customFormat="1">
      <c r="F618" s="165"/>
      <c r="H618" s="166"/>
    </row>
    <row r="619" spans="6:8" s="154" customFormat="1">
      <c r="F619" s="165"/>
      <c r="H619" s="166"/>
    </row>
    <row r="620" spans="6:8" s="154" customFormat="1">
      <c r="F620" s="165"/>
      <c r="H620" s="166"/>
    </row>
    <row r="621" spans="6:8" s="154" customFormat="1">
      <c r="F621" s="165"/>
      <c r="H621" s="166"/>
    </row>
    <row r="622" spans="6:8" s="154" customFormat="1">
      <c r="F622" s="165"/>
      <c r="H622" s="166"/>
    </row>
    <row r="623" spans="6:8" s="154" customFormat="1">
      <c r="F623" s="165"/>
      <c r="H623" s="166"/>
    </row>
    <row r="624" spans="6:8" s="154" customFormat="1">
      <c r="F624" s="165"/>
      <c r="H624" s="166"/>
    </row>
    <row r="625" spans="6:8" s="154" customFormat="1">
      <c r="F625" s="165"/>
      <c r="H625" s="166"/>
    </row>
    <row r="626" spans="6:8" s="154" customFormat="1">
      <c r="F626" s="165"/>
      <c r="H626" s="166"/>
    </row>
    <row r="627" spans="6:8" s="154" customFormat="1">
      <c r="F627" s="165"/>
      <c r="H627" s="166"/>
    </row>
    <row r="628" spans="6:8" s="154" customFormat="1">
      <c r="F628" s="165"/>
      <c r="H628" s="166"/>
    </row>
    <row r="629" spans="6:8" s="154" customFormat="1">
      <c r="F629" s="165"/>
      <c r="H629" s="166"/>
    </row>
    <row r="630" spans="6:8" s="154" customFormat="1">
      <c r="F630" s="165"/>
      <c r="H630" s="166"/>
    </row>
    <row r="631" spans="6:8" s="154" customFormat="1">
      <c r="F631" s="165"/>
      <c r="H631" s="166"/>
    </row>
    <row r="632" spans="6:8" s="154" customFormat="1">
      <c r="F632" s="165"/>
      <c r="H632" s="166"/>
    </row>
    <row r="633" spans="6:8" s="154" customFormat="1">
      <c r="F633" s="165"/>
      <c r="H633" s="166"/>
    </row>
    <row r="634" spans="6:8" s="154" customFormat="1">
      <c r="F634" s="165"/>
      <c r="H634" s="166"/>
    </row>
    <row r="635" spans="6:8" s="154" customFormat="1">
      <c r="F635" s="165"/>
      <c r="H635" s="166"/>
    </row>
    <row r="636" spans="6:8" s="154" customFormat="1">
      <c r="F636" s="165"/>
      <c r="H636" s="166"/>
    </row>
    <row r="637" spans="6:8" s="154" customFormat="1">
      <c r="F637" s="165"/>
      <c r="H637" s="166"/>
    </row>
    <row r="638" spans="6:8" s="154" customFormat="1">
      <c r="F638" s="165"/>
      <c r="H638" s="166"/>
    </row>
    <row r="639" spans="6:8" s="154" customFormat="1">
      <c r="F639" s="165"/>
      <c r="H639" s="166"/>
    </row>
    <row r="640" spans="6:8" s="154" customFormat="1">
      <c r="F640" s="165"/>
      <c r="H640" s="166"/>
    </row>
    <row r="641" spans="6:8" s="154" customFormat="1">
      <c r="F641" s="165"/>
      <c r="H641" s="166"/>
    </row>
    <row r="642" spans="6:8" s="154" customFormat="1">
      <c r="F642" s="165"/>
      <c r="H642" s="166"/>
    </row>
    <row r="643" spans="6:8" s="154" customFormat="1">
      <c r="F643" s="165"/>
      <c r="H643" s="166"/>
    </row>
    <row r="644" spans="6:8" s="154" customFormat="1">
      <c r="F644" s="165"/>
      <c r="H644" s="166"/>
    </row>
    <row r="645" spans="6:8" s="154" customFormat="1">
      <c r="F645" s="165"/>
      <c r="H645" s="166"/>
    </row>
    <row r="646" spans="6:8" s="154" customFormat="1">
      <c r="F646" s="165"/>
      <c r="H646" s="166"/>
    </row>
    <row r="647" spans="6:8" s="154" customFormat="1">
      <c r="F647" s="165"/>
      <c r="H647" s="166"/>
    </row>
    <row r="648" spans="6:8" s="154" customFormat="1">
      <c r="F648" s="165"/>
      <c r="H648" s="166"/>
    </row>
    <row r="649" spans="6:8" s="154" customFormat="1">
      <c r="F649" s="165"/>
      <c r="H649" s="166"/>
    </row>
    <row r="650" spans="6:8" s="154" customFormat="1">
      <c r="F650" s="165"/>
      <c r="H650" s="166"/>
    </row>
    <row r="651" spans="6:8" s="154" customFormat="1">
      <c r="F651" s="165"/>
      <c r="H651" s="166"/>
    </row>
    <row r="652" spans="6:8" s="154" customFormat="1">
      <c r="F652" s="165"/>
      <c r="H652" s="166"/>
    </row>
    <row r="653" spans="6:8" s="154" customFormat="1">
      <c r="F653" s="165"/>
      <c r="H653" s="166"/>
    </row>
    <row r="654" spans="6:8" s="154" customFormat="1">
      <c r="F654" s="165"/>
      <c r="H654" s="166"/>
    </row>
    <row r="655" spans="6:8" s="154" customFormat="1">
      <c r="F655" s="165"/>
      <c r="H655" s="166"/>
    </row>
    <row r="656" spans="6:8" s="154" customFormat="1">
      <c r="F656" s="165"/>
      <c r="H656" s="166"/>
    </row>
    <row r="657" spans="6:8" s="154" customFormat="1">
      <c r="F657" s="165"/>
      <c r="H657" s="166"/>
    </row>
    <row r="658" spans="6:8" s="154" customFormat="1">
      <c r="F658" s="165"/>
      <c r="H658" s="166"/>
    </row>
    <row r="659" spans="6:8" s="154" customFormat="1">
      <c r="F659" s="165"/>
      <c r="H659" s="166"/>
    </row>
    <row r="660" spans="6:8" s="154" customFormat="1">
      <c r="F660" s="165"/>
      <c r="H660" s="166"/>
    </row>
    <row r="661" spans="6:8" s="154" customFormat="1">
      <c r="F661" s="165"/>
      <c r="H661" s="166"/>
    </row>
    <row r="662" spans="6:8" s="154" customFormat="1">
      <c r="F662" s="165"/>
      <c r="H662" s="166"/>
    </row>
    <row r="663" spans="6:8" s="154" customFormat="1">
      <c r="F663" s="165"/>
      <c r="H663" s="166"/>
    </row>
    <row r="664" spans="6:8" s="154" customFormat="1">
      <c r="F664" s="165"/>
      <c r="H664" s="166"/>
    </row>
    <row r="665" spans="6:8" s="154" customFormat="1">
      <c r="F665" s="165"/>
      <c r="H665" s="166"/>
    </row>
    <row r="666" spans="6:8" s="154" customFormat="1">
      <c r="F666" s="165"/>
      <c r="H666" s="166"/>
    </row>
    <row r="667" spans="6:8" s="154" customFormat="1">
      <c r="F667" s="165"/>
      <c r="H667" s="166"/>
    </row>
    <row r="668" spans="6:8" s="154" customFormat="1">
      <c r="F668" s="165"/>
      <c r="H668" s="166"/>
    </row>
    <row r="669" spans="6:8" s="154" customFormat="1">
      <c r="F669" s="165"/>
      <c r="H669" s="166"/>
    </row>
    <row r="670" spans="6:8" s="154" customFormat="1">
      <c r="F670" s="165"/>
      <c r="H670" s="166"/>
    </row>
    <row r="671" spans="6:8" s="154" customFormat="1">
      <c r="F671" s="165"/>
      <c r="H671" s="166"/>
    </row>
    <row r="672" spans="6:8" s="154" customFormat="1">
      <c r="F672" s="165"/>
      <c r="H672" s="166"/>
    </row>
    <row r="673" spans="6:8" s="154" customFormat="1">
      <c r="F673" s="165"/>
      <c r="H673" s="166"/>
    </row>
    <row r="674" spans="6:8" s="154" customFormat="1">
      <c r="F674" s="165"/>
      <c r="H674" s="166"/>
    </row>
    <row r="675" spans="6:8" s="154" customFormat="1">
      <c r="F675" s="165"/>
      <c r="H675" s="166"/>
    </row>
    <row r="676" spans="6:8" s="154" customFormat="1">
      <c r="F676" s="165"/>
      <c r="H676" s="166"/>
    </row>
    <row r="677" spans="6:8" s="154" customFormat="1">
      <c r="F677" s="165"/>
      <c r="H677" s="166"/>
    </row>
    <row r="678" spans="6:8" s="154" customFormat="1">
      <c r="F678" s="165"/>
      <c r="H678" s="166"/>
    </row>
    <row r="679" spans="6:8" s="154" customFormat="1">
      <c r="F679" s="165"/>
      <c r="H679" s="166"/>
    </row>
    <row r="680" spans="6:8" s="154" customFormat="1">
      <c r="F680" s="165"/>
      <c r="H680" s="166"/>
    </row>
    <row r="681" spans="6:8" s="154" customFormat="1">
      <c r="F681" s="165"/>
      <c r="H681" s="166"/>
    </row>
    <row r="682" spans="6:8" s="154" customFormat="1">
      <c r="F682" s="165"/>
      <c r="H682" s="166"/>
    </row>
    <row r="683" spans="6:8" s="154" customFormat="1">
      <c r="F683" s="165"/>
      <c r="H683" s="166"/>
    </row>
    <row r="684" spans="6:8" s="154" customFormat="1">
      <c r="F684" s="165"/>
      <c r="H684" s="166"/>
    </row>
    <row r="685" spans="6:8" s="154" customFormat="1">
      <c r="F685" s="165"/>
      <c r="H685" s="166"/>
    </row>
    <row r="686" spans="6:8" s="154" customFormat="1">
      <c r="F686" s="165"/>
      <c r="H686" s="166"/>
    </row>
    <row r="687" spans="6:8" s="154" customFormat="1">
      <c r="F687" s="165"/>
      <c r="H687" s="166"/>
    </row>
    <row r="688" spans="6:8" s="154" customFormat="1">
      <c r="F688" s="165"/>
      <c r="H688" s="166"/>
    </row>
    <row r="689" spans="6:8" s="154" customFormat="1">
      <c r="F689" s="165"/>
      <c r="H689" s="166"/>
    </row>
    <row r="690" spans="6:8" s="154" customFormat="1">
      <c r="F690" s="165"/>
      <c r="H690" s="166"/>
    </row>
    <row r="691" spans="6:8" s="154" customFormat="1">
      <c r="F691" s="165"/>
      <c r="H691" s="166"/>
    </row>
    <row r="692" spans="6:8" s="154" customFormat="1">
      <c r="F692" s="165"/>
      <c r="H692" s="166"/>
    </row>
    <row r="693" spans="6:8" s="154" customFormat="1">
      <c r="F693" s="165"/>
      <c r="H693" s="166"/>
    </row>
    <row r="694" spans="6:8" s="154" customFormat="1">
      <c r="F694" s="165"/>
      <c r="H694" s="166"/>
    </row>
    <row r="695" spans="6:8" s="154" customFormat="1">
      <c r="F695" s="165"/>
      <c r="H695" s="166"/>
    </row>
    <row r="696" spans="6:8" s="154" customFormat="1">
      <c r="F696" s="165"/>
      <c r="H696" s="166"/>
    </row>
    <row r="697" spans="6:8" s="154" customFormat="1">
      <c r="F697" s="165"/>
      <c r="H697" s="166"/>
    </row>
    <row r="698" spans="6:8" s="154" customFormat="1">
      <c r="F698" s="165"/>
      <c r="H698" s="166"/>
    </row>
    <row r="699" spans="6:8" s="154" customFormat="1">
      <c r="F699" s="165"/>
      <c r="H699" s="166"/>
    </row>
    <row r="700" spans="6:8" s="154" customFormat="1">
      <c r="F700" s="165"/>
      <c r="H700" s="166"/>
    </row>
    <row r="701" spans="6:8" s="154" customFormat="1">
      <c r="F701" s="165"/>
      <c r="H701" s="166"/>
    </row>
    <row r="702" spans="6:8" s="154" customFormat="1">
      <c r="F702" s="165"/>
      <c r="H702" s="166"/>
    </row>
    <row r="703" spans="6:8" s="154" customFormat="1">
      <c r="F703" s="165"/>
      <c r="H703" s="166"/>
    </row>
    <row r="704" spans="6:8" s="154" customFormat="1">
      <c r="F704" s="165"/>
      <c r="H704" s="166"/>
    </row>
    <row r="705" spans="6:8" s="154" customFormat="1">
      <c r="F705" s="165"/>
      <c r="H705" s="166"/>
    </row>
    <row r="706" spans="6:8" s="154" customFormat="1">
      <c r="F706" s="165"/>
      <c r="H706" s="166"/>
    </row>
    <row r="707" spans="6:8" s="154" customFormat="1">
      <c r="F707" s="165"/>
      <c r="H707" s="166"/>
    </row>
    <row r="708" spans="6:8" s="154" customFormat="1">
      <c r="F708" s="165"/>
      <c r="H708" s="166"/>
    </row>
    <row r="709" spans="6:8" s="154" customFormat="1">
      <c r="F709" s="165"/>
      <c r="H709" s="166"/>
    </row>
    <row r="710" spans="6:8" s="154" customFormat="1">
      <c r="F710" s="165"/>
      <c r="H710" s="166"/>
    </row>
    <row r="711" spans="6:8" s="154" customFormat="1">
      <c r="F711" s="165"/>
      <c r="H711" s="166"/>
    </row>
    <row r="712" spans="6:8" s="154" customFormat="1">
      <c r="F712" s="165"/>
      <c r="H712" s="166"/>
    </row>
    <row r="713" spans="6:8" s="154" customFormat="1">
      <c r="F713" s="165"/>
      <c r="H713" s="166"/>
    </row>
    <row r="714" spans="6:8" s="154" customFormat="1">
      <c r="F714" s="165"/>
      <c r="H714" s="166"/>
    </row>
    <row r="715" spans="6:8" s="154" customFormat="1">
      <c r="F715" s="165"/>
      <c r="H715" s="166"/>
    </row>
    <row r="716" spans="6:8" s="154" customFormat="1">
      <c r="F716" s="165"/>
      <c r="H716" s="166"/>
    </row>
    <row r="717" spans="6:8" s="154" customFormat="1">
      <c r="F717" s="165"/>
      <c r="H717" s="166"/>
    </row>
    <row r="718" spans="6:8" s="154" customFormat="1">
      <c r="F718" s="165"/>
      <c r="H718" s="166"/>
    </row>
    <row r="719" spans="6:8" s="154" customFormat="1">
      <c r="F719" s="165"/>
      <c r="H719" s="166"/>
    </row>
    <row r="720" spans="6:8" s="154" customFormat="1">
      <c r="F720" s="165"/>
      <c r="H720" s="166"/>
    </row>
    <row r="721" spans="6:8" s="154" customFormat="1">
      <c r="F721" s="165"/>
      <c r="H721" s="166"/>
    </row>
    <row r="722" spans="6:8" s="154" customFormat="1">
      <c r="F722" s="165"/>
      <c r="H722" s="166"/>
    </row>
    <row r="723" spans="6:8" s="154" customFormat="1">
      <c r="F723" s="165"/>
      <c r="H723" s="166"/>
    </row>
    <row r="724" spans="6:8" s="154" customFormat="1">
      <c r="F724" s="165"/>
      <c r="H724" s="166"/>
    </row>
    <row r="725" spans="6:8" s="154" customFormat="1">
      <c r="F725" s="165"/>
      <c r="H725" s="166"/>
    </row>
    <row r="726" spans="6:8" s="154" customFormat="1">
      <c r="F726" s="165"/>
      <c r="H726" s="166"/>
    </row>
    <row r="727" spans="6:8" s="154" customFormat="1">
      <c r="F727" s="165"/>
      <c r="H727" s="166"/>
    </row>
    <row r="728" spans="6:8" s="154" customFormat="1">
      <c r="F728" s="165"/>
      <c r="H728" s="166"/>
    </row>
    <row r="729" spans="6:8" s="154" customFormat="1">
      <c r="F729" s="165"/>
      <c r="H729" s="166"/>
    </row>
    <row r="730" spans="6:8" s="154" customFormat="1">
      <c r="F730" s="165"/>
      <c r="H730" s="166"/>
    </row>
    <row r="731" spans="6:8" s="154" customFormat="1">
      <c r="F731" s="165"/>
      <c r="H731" s="166"/>
    </row>
    <row r="732" spans="6:8" s="154" customFormat="1">
      <c r="F732" s="165"/>
      <c r="H732" s="166"/>
    </row>
    <row r="733" spans="6:8" s="154" customFormat="1">
      <c r="F733" s="165"/>
      <c r="H733" s="166"/>
    </row>
    <row r="734" spans="6:8" s="154" customFormat="1">
      <c r="F734" s="165"/>
      <c r="H734" s="166"/>
    </row>
    <row r="735" spans="6:8" s="154" customFormat="1">
      <c r="F735" s="165"/>
      <c r="H735" s="166"/>
    </row>
    <row r="736" spans="6:8" s="154" customFormat="1">
      <c r="F736" s="165"/>
      <c r="H736" s="166"/>
    </row>
    <row r="737" spans="6:8" s="154" customFormat="1">
      <c r="F737" s="165"/>
      <c r="H737" s="166"/>
    </row>
    <row r="738" spans="6:8" s="154" customFormat="1">
      <c r="F738" s="165"/>
      <c r="H738" s="166"/>
    </row>
    <row r="739" spans="6:8" s="154" customFormat="1">
      <c r="F739" s="165"/>
      <c r="H739" s="166"/>
    </row>
    <row r="740" spans="6:8" s="154" customFormat="1">
      <c r="F740" s="165"/>
      <c r="H740" s="166"/>
    </row>
    <row r="741" spans="6:8" s="154" customFormat="1">
      <c r="F741" s="165"/>
      <c r="H741" s="166"/>
    </row>
    <row r="742" spans="6:8" s="154" customFormat="1">
      <c r="F742" s="165"/>
      <c r="H742" s="166"/>
    </row>
    <row r="743" spans="6:8" s="154" customFormat="1">
      <c r="F743" s="165"/>
      <c r="H743" s="166"/>
    </row>
    <row r="744" spans="6:8" s="154" customFormat="1">
      <c r="F744" s="165"/>
      <c r="H744" s="166"/>
    </row>
    <row r="745" spans="6:8" s="154" customFormat="1">
      <c r="F745" s="165"/>
      <c r="H745" s="166"/>
    </row>
    <row r="746" spans="6:8" s="154" customFormat="1">
      <c r="F746" s="165"/>
      <c r="H746" s="166"/>
    </row>
    <row r="747" spans="6:8" s="154" customFormat="1">
      <c r="F747" s="165"/>
      <c r="H747" s="166"/>
    </row>
    <row r="748" spans="6:8" s="154" customFormat="1">
      <c r="F748" s="165"/>
      <c r="H748" s="166"/>
    </row>
    <row r="749" spans="6:8" s="154" customFormat="1">
      <c r="F749" s="165"/>
      <c r="H749" s="166"/>
    </row>
    <row r="750" spans="6:8" s="154" customFormat="1">
      <c r="F750" s="165"/>
      <c r="H750" s="166"/>
    </row>
    <row r="751" spans="6:8" s="154" customFormat="1">
      <c r="F751" s="165"/>
      <c r="H751" s="166"/>
    </row>
    <row r="752" spans="6:8" s="154" customFormat="1">
      <c r="F752" s="165"/>
      <c r="H752" s="166"/>
    </row>
    <row r="753" spans="6:8" s="154" customFormat="1">
      <c r="F753" s="165"/>
      <c r="H753" s="166"/>
    </row>
    <row r="754" spans="6:8" s="154" customFormat="1">
      <c r="F754" s="165"/>
      <c r="H754" s="166"/>
    </row>
    <row r="755" spans="6:8" s="154" customFormat="1">
      <c r="F755" s="165"/>
      <c r="H755" s="166"/>
    </row>
    <row r="756" spans="6:8" s="154" customFormat="1">
      <c r="F756" s="165"/>
      <c r="H756" s="166"/>
    </row>
    <row r="757" spans="6:8" s="154" customFormat="1">
      <c r="F757" s="165"/>
      <c r="H757" s="166"/>
    </row>
    <row r="758" spans="6:8" s="154" customFormat="1">
      <c r="F758" s="165"/>
      <c r="H758" s="166"/>
    </row>
    <row r="759" spans="6:8" s="154" customFormat="1">
      <c r="F759" s="165"/>
      <c r="H759" s="166"/>
    </row>
    <row r="760" spans="6:8" s="154" customFormat="1">
      <c r="F760" s="165"/>
      <c r="H760" s="166"/>
    </row>
    <row r="761" spans="6:8" s="154" customFormat="1">
      <c r="F761" s="165"/>
      <c r="H761" s="166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MIGCS</vt:lpstr>
      <vt:lpstr>MICHF</vt:lpstr>
      <vt:lpstr>MACMF</vt:lpstr>
      <vt:lpstr>MILPF</vt:lpstr>
      <vt:lpstr>MISTB</vt:lpstr>
      <vt:lpstr>MAIPF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Vratika Trivedi</cp:lastModifiedBy>
  <dcterms:created xsi:type="dcterms:W3CDTF">2015-08-04T16:40:43Z</dcterms:created>
  <dcterms:modified xsi:type="dcterms:W3CDTF">2015-08-06T11:40:01Z</dcterms:modified>
</cp:coreProperties>
</file>