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270" windowWidth="14940" windowHeight="9150"/>
  </bookViews>
  <sheets>
    <sheet name="MIIOF" sheetId="7" r:id="rId1"/>
    <sheet name="MAEBF" sheetId="2" r:id="rId2"/>
    <sheet name="MICCF" sheetId="4" r:id="rId3"/>
    <sheet name="MICHF" sheetId="5" r:id="rId4"/>
    <sheet name="MIGCS" sheetId="6" r:id="rId5"/>
    <sheet name="MACMF" sheetId="1" r:id="rId6"/>
    <sheet name="MILPF" sheetId="8" r:id="rId7"/>
    <sheet name="MISTB" sheetId="9" r:id="rId8"/>
    <sheet name="MAFM368" sheetId="3" r:id="rId9"/>
  </sheets>
  <calcPr calcId="145621"/>
</workbook>
</file>

<file path=xl/calcChain.xml><?xml version="1.0" encoding="utf-8"?>
<calcChain xmlns="http://schemas.openxmlformats.org/spreadsheetml/2006/main">
  <c r="G44" i="6" l="1"/>
  <c r="F44" i="6"/>
  <c r="G18" i="6"/>
  <c r="F18" i="6"/>
  <c r="G52" i="4"/>
  <c r="F52" i="4"/>
  <c r="G38" i="4"/>
  <c r="F38" i="4"/>
</calcChain>
</file>

<file path=xl/sharedStrings.xml><?xml version="1.0" encoding="utf-8"?>
<sst xmlns="http://schemas.openxmlformats.org/spreadsheetml/2006/main" count="1447" uniqueCount="378">
  <si>
    <t>Mirae Asset Cash Management Fund</t>
  </si>
  <si>
    <t/>
  </si>
  <si>
    <t>Monthly Portfolio Statement as on May 31,2014</t>
  </si>
  <si>
    <t>Name of the Instrument</t>
  </si>
  <si>
    <t>ISIN</t>
  </si>
  <si>
    <t>Rating</t>
  </si>
  <si>
    <t>Quantity</t>
  </si>
  <si>
    <t>Market/Fair Value
 (Rs. in Lacs)</t>
  </si>
  <si>
    <t>% to Net
 Assets</t>
  </si>
  <si>
    <t>Money Market Instruments</t>
  </si>
  <si>
    <t>Certificate of Deposit</t>
  </si>
  <si>
    <t>INE040A16AC2</t>
  </si>
  <si>
    <t>CARE A1+</t>
  </si>
  <si>
    <t>Indian Bank (11/06/2014) ** #</t>
  </si>
  <si>
    <t>INE562A16FG5</t>
  </si>
  <si>
    <t>FITCH A1+</t>
  </si>
  <si>
    <t>State Bank of Patiala (02/07/2014) ** #</t>
  </si>
  <si>
    <t>INE652A16JG6</t>
  </si>
  <si>
    <t>CRISIL A1+</t>
  </si>
  <si>
    <t>Oriental Bank of Commerce (02/07/2014) ** #</t>
  </si>
  <si>
    <t>INE141A16PV6</t>
  </si>
  <si>
    <t>INE008A16VY9</t>
  </si>
  <si>
    <t>Indian Bank (09/06/2014) ** #</t>
  </si>
  <si>
    <t>INE562A16FF7</t>
  </si>
  <si>
    <t>Canara Bank (02/06/2014) ** #</t>
  </si>
  <si>
    <t>INE476A16LC5</t>
  </si>
  <si>
    <t>State Bank of Mysore (09/06/2014) ** #</t>
  </si>
  <si>
    <t>INE651A16GA7</t>
  </si>
  <si>
    <t>Union Bank of India (06/06/2014) ** #</t>
  </si>
  <si>
    <t>INE692A16CB8</t>
  </si>
  <si>
    <t>Sub Total</t>
  </si>
  <si>
    <t>Total</t>
  </si>
  <si>
    <t>CBLO / Reverse Repo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</si>
  <si>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</si>
  <si>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</si>
  <si>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</si>
  <si>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</si>
  <si>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</si>
  <si>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</si>
  <si>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Industry</t>
  </si>
  <si>
    <t>Equity &amp; Equity related</t>
  </si>
  <si>
    <t>(a) Listed / awaiting listing on Stock Exchanges</t>
  </si>
  <si>
    <t>ICICI Bank Ltd</t>
  </si>
  <si>
    <t>INE090A01013</t>
  </si>
  <si>
    <t>Banks</t>
  </si>
  <si>
    <t>Sundaram Finance Ltd</t>
  </si>
  <si>
    <t>INE660A01013</t>
  </si>
  <si>
    <t>Finance</t>
  </si>
  <si>
    <t>The Federal Bank  Ltd</t>
  </si>
  <si>
    <t>INE171A01029</t>
  </si>
  <si>
    <t>Tech Mahindra Ltd</t>
  </si>
  <si>
    <t>INE669C01028</t>
  </si>
  <si>
    <t>Software</t>
  </si>
  <si>
    <t>Motherson Sumi Systems Ltd</t>
  </si>
  <si>
    <t>INE775A01035</t>
  </si>
  <si>
    <t>Auto Ancillaries</t>
  </si>
  <si>
    <t>Hindustan Petroleum Corporation Ltd</t>
  </si>
  <si>
    <t>INE094A01015</t>
  </si>
  <si>
    <t>Petroleum Products</t>
  </si>
  <si>
    <t>Divi's Laboratories Ltd</t>
  </si>
  <si>
    <t>INE361B01024</t>
  </si>
  <si>
    <t>Pharmaceuticals</t>
  </si>
  <si>
    <t>Gateway Distriparks Ltd</t>
  </si>
  <si>
    <t>INE852F01015</t>
  </si>
  <si>
    <t>Transportation</t>
  </si>
  <si>
    <t>Prism CEMENT Ltd</t>
  </si>
  <si>
    <t>INE010A01011</t>
  </si>
  <si>
    <t>Cement</t>
  </si>
  <si>
    <t>IPCA Laboratories Ltd</t>
  </si>
  <si>
    <t>INE571A01020</t>
  </si>
  <si>
    <t>Amara Raja Batteries Ltd</t>
  </si>
  <si>
    <t>INE885A01032</t>
  </si>
  <si>
    <t>CESC Ltd</t>
  </si>
  <si>
    <t>INE486A01013</t>
  </si>
  <si>
    <t>Power</t>
  </si>
  <si>
    <t>Gulf Oil Corporation Ltd</t>
  </si>
  <si>
    <t>INE077F01027</t>
  </si>
  <si>
    <t>HSIL Ltd</t>
  </si>
  <si>
    <t>INE415A01038</t>
  </si>
  <si>
    <t>Consumer Durables</t>
  </si>
  <si>
    <t>VST Tillers Tractors Ltd</t>
  </si>
  <si>
    <t>INE764D01017</t>
  </si>
  <si>
    <t>Auto</t>
  </si>
  <si>
    <t>Vinati Organics Ltd</t>
  </si>
  <si>
    <t>INE410B01029</t>
  </si>
  <si>
    <t>Chemicals</t>
  </si>
  <si>
    <t>FAG Bearings India Ltd</t>
  </si>
  <si>
    <t>INE513A01014</t>
  </si>
  <si>
    <t>Industrial Products</t>
  </si>
  <si>
    <t>Transport Corporation Of India Ltd</t>
  </si>
  <si>
    <t>INE688A01022</t>
  </si>
  <si>
    <t>Godfrey Phillips India Ltd</t>
  </si>
  <si>
    <t>INE260B01010</t>
  </si>
  <si>
    <t>Consumer Non Durables</t>
  </si>
  <si>
    <t>HT Media Ltd</t>
  </si>
  <si>
    <t>INE501G01024</t>
  </si>
  <si>
    <t>Media &amp; Entertainment</t>
  </si>
  <si>
    <t>Torrent Pharmaceuticals Ltd</t>
  </si>
  <si>
    <t>INE685A01028</t>
  </si>
  <si>
    <t>Eicher Motors Ltd</t>
  </si>
  <si>
    <t>INE066A01013</t>
  </si>
  <si>
    <t>Yes Bank Ltd</t>
  </si>
  <si>
    <t>INE528G01019</t>
  </si>
  <si>
    <t>Oil India Ltd</t>
  </si>
  <si>
    <t>INE274J01014</t>
  </si>
  <si>
    <t>Oil</t>
  </si>
  <si>
    <t>Adani Ports and Special Economic Zone Ltd</t>
  </si>
  <si>
    <t>INE742F01042</t>
  </si>
  <si>
    <t>Indian Bank</t>
  </si>
  <si>
    <t>INE562A01011</t>
  </si>
  <si>
    <t>Carborundum Universal Ltd</t>
  </si>
  <si>
    <t>INE120A01034</t>
  </si>
  <si>
    <t>JK Cement Ltd</t>
  </si>
  <si>
    <t>INE823G01014</t>
  </si>
  <si>
    <t>PTC India Financial Services Ltd</t>
  </si>
  <si>
    <t>INE560K01014</t>
  </si>
  <si>
    <t>Info Edge (India) Ltd</t>
  </si>
  <si>
    <t>INE663F01024</t>
  </si>
  <si>
    <t>Cadila Healthcare Ltd</t>
  </si>
  <si>
    <t>INE010B01019</t>
  </si>
  <si>
    <t>Aurobindo Pharma Ltd</t>
  </si>
  <si>
    <t>INE406A01037</t>
  </si>
  <si>
    <t>Crompton  Greaves Ltd</t>
  </si>
  <si>
    <t>INE067A01029</t>
  </si>
  <si>
    <t>Industrial Capital Goods</t>
  </si>
  <si>
    <t>Tata Chemicals Ltd</t>
  </si>
  <si>
    <t>INE092A01019</t>
  </si>
  <si>
    <t>Petronet LNG Ltd</t>
  </si>
  <si>
    <t>INE347G01014</t>
  </si>
  <si>
    <t>Gas</t>
  </si>
  <si>
    <t>Exide Industries Ltd</t>
  </si>
  <si>
    <t>INE302A01020</t>
  </si>
  <si>
    <t>Britannia Industries Ltd</t>
  </si>
  <si>
    <t>INE216A01022</t>
  </si>
  <si>
    <t>Bajaj Finance Ltd</t>
  </si>
  <si>
    <t>INE296A01016</t>
  </si>
  <si>
    <t>ING Vysya Bank Ltd</t>
  </si>
  <si>
    <t>INE166A01011</t>
  </si>
  <si>
    <t>Glenmark Pharmaceuticals Ltd</t>
  </si>
  <si>
    <t>INE935A01035</t>
  </si>
  <si>
    <t>Gujarat Mineral Development Corporation Ltd</t>
  </si>
  <si>
    <t>INE131A01031</t>
  </si>
  <si>
    <t>Minerals/Mining</t>
  </si>
  <si>
    <t>Colgate Palmolive (India) Ltd</t>
  </si>
  <si>
    <t>INE259A01022</t>
  </si>
  <si>
    <t>Akzo Nobel India Ltd</t>
  </si>
  <si>
    <t>INE133A01011</t>
  </si>
  <si>
    <t>LIC Housing Finance Ltd</t>
  </si>
  <si>
    <t>INE115A01026</t>
  </si>
  <si>
    <t>Eclerx Services Ltd</t>
  </si>
  <si>
    <t>INE738I01010</t>
  </si>
  <si>
    <t>NIIT Technologies Ltd</t>
  </si>
  <si>
    <t>INE591G01017</t>
  </si>
  <si>
    <t>Bank of Baroda</t>
  </si>
  <si>
    <t>INE028A01013</t>
  </si>
  <si>
    <t>VIP Industries Ltd</t>
  </si>
  <si>
    <t>INE054A01027</t>
  </si>
  <si>
    <t>The Jammu &amp; Kashmir Bank Ltd</t>
  </si>
  <si>
    <t>INE168A01017</t>
  </si>
  <si>
    <t>Gujarat State Petronet Ltd</t>
  </si>
  <si>
    <t>INE246F01010</t>
  </si>
  <si>
    <t>Aditya Birla Nuvo Ltd</t>
  </si>
  <si>
    <t>INE069A01017</t>
  </si>
  <si>
    <t>Services</t>
  </si>
  <si>
    <t>Tamil Nadu Newsprint &amp; Papers Ltd</t>
  </si>
  <si>
    <t>INE107A01015</t>
  </si>
  <si>
    <t>Paper</t>
  </si>
  <si>
    <t>Solar Industries India Ltd</t>
  </si>
  <si>
    <t>INE343H01011</t>
  </si>
  <si>
    <t>Titan Company Limited</t>
  </si>
  <si>
    <t>INE280A01028</t>
  </si>
  <si>
    <t>Tata Global Beverages Ltd</t>
  </si>
  <si>
    <t>INE192A01025</t>
  </si>
  <si>
    <t>Zee Entertainment Enterprises Ltd</t>
  </si>
  <si>
    <t>INE256A01028</t>
  </si>
  <si>
    <t>$0.00%</t>
  </si>
  <si>
    <t>(b) Unlisted</t>
  </si>
  <si>
    <t>NIL</t>
  </si>
  <si>
    <t xml:space="preserve">$  Less Than 0.01% of Net Asset Value </t>
  </si>
  <si>
    <t>Axis Bank Ltd (23/02/2015) ** #</t>
  </si>
  <si>
    <t>INE238A16VV8</t>
  </si>
  <si>
    <t>Indusind Bank Ltd (23/02/2015) ** #</t>
  </si>
  <si>
    <t>INE095A16MG2</t>
  </si>
  <si>
    <t>ICRA A1+</t>
  </si>
  <si>
    <t>Oriental Bank of Commerce (20/02/2015) ** #</t>
  </si>
  <si>
    <t>INE141A16OL0</t>
  </si>
  <si>
    <t>Commercial Paper</t>
  </si>
  <si>
    <t>Tata Capital Ltd (23/02/2015) ** #</t>
  </si>
  <si>
    <t>INE976I14HW8</t>
  </si>
  <si>
    <t>Others</t>
  </si>
  <si>
    <t>Mutual Fund Units</t>
  </si>
  <si>
    <t>Mirae Asset Cash Management Fund - DIRECT GROWTH</t>
  </si>
  <si>
    <t>INF769K01CM1</t>
  </si>
  <si>
    <t>Mirae Asset India China Consumption Fund</t>
  </si>
  <si>
    <t>ITC Ltd</t>
  </si>
  <si>
    <t>INE154A01025</t>
  </si>
  <si>
    <t>Tata Motors Ltd</t>
  </si>
  <si>
    <t>IN9155A01020</t>
  </si>
  <si>
    <t>Tencent Holdings</t>
  </si>
  <si>
    <t>KYG875721634</t>
  </si>
  <si>
    <t>Internet Software &amp; Services</t>
  </si>
  <si>
    <t>Galaxy Entertainment Group Ltd</t>
  </si>
  <si>
    <t>HK0027032686</t>
  </si>
  <si>
    <t>Casinos &amp; Gaming</t>
  </si>
  <si>
    <t>Sun Art Retail Group Ltd</t>
  </si>
  <si>
    <t>HK0000083920</t>
  </si>
  <si>
    <t>Hypermarkets and Supercenters</t>
  </si>
  <si>
    <t>Housing Development Finance Corporation Ltd</t>
  </si>
  <si>
    <t>INE001A01036</t>
  </si>
  <si>
    <t>Maruti Suzuki India Ltd</t>
  </si>
  <si>
    <t>INE585B01010</t>
  </si>
  <si>
    <t>Samsonite  International  S A</t>
  </si>
  <si>
    <t>LU0633102719</t>
  </si>
  <si>
    <t>Apparel, Accessories and Luxury Goods</t>
  </si>
  <si>
    <t>Prada Spa</t>
  </si>
  <si>
    <t>IT0003874101</t>
  </si>
  <si>
    <t>Bharti Airtel Ltd</t>
  </si>
  <si>
    <t>INE397D01024</t>
  </si>
  <si>
    <t>Telecom - Services</t>
  </si>
  <si>
    <t>Brilliance China Automotive Holdings Ltd</t>
  </si>
  <si>
    <t>BMG1368B1028</t>
  </si>
  <si>
    <t>Automobile Manufacturers</t>
  </si>
  <si>
    <t>Hengan International Group Co Ltd</t>
  </si>
  <si>
    <t>KYG4402L1510</t>
  </si>
  <si>
    <t>Personal Products</t>
  </si>
  <si>
    <t>Ping An Ins Grp-H</t>
  </si>
  <si>
    <t>CNE1000003X6</t>
  </si>
  <si>
    <t>Life &amp; Health Insurance</t>
  </si>
  <si>
    <t>HDFC Bank Ltd</t>
  </si>
  <si>
    <t>INE040A01026</t>
  </si>
  <si>
    <t>United Spirits Ltd</t>
  </si>
  <si>
    <t>INE854D01016</t>
  </si>
  <si>
    <t>Nestle India Ltd</t>
  </si>
  <si>
    <t>INE239A01016</t>
  </si>
  <si>
    <t>Shandong Weigao Gr Medical Polymerco Ltd</t>
  </si>
  <si>
    <t>CNE100000171</t>
  </si>
  <si>
    <t>Health Care Supplies</t>
  </si>
  <si>
    <t>State Bank of India</t>
  </si>
  <si>
    <t>INE062A01012</t>
  </si>
  <si>
    <t>Ind &amp; Comm Bk - H</t>
  </si>
  <si>
    <t>CNE1000003G1</t>
  </si>
  <si>
    <t>Diversified Banks</t>
  </si>
  <si>
    <t>Mirae Asset China Advantage Fund</t>
  </si>
  <si>
    <t>Industry / Rating</t>
  </si>
  <si>
    <t>International  Mutual Fund Units</t>
  </si>
  <si>
    <t>Mirae Asset China Sector Leader Eq Class X Cap USD</t>
  </si>
  <si>
    <t>LU0587760769</t>
  </si>
  <si>
    <t>Mirae Asset Global Commodity Stocks Fund</t>
  </si>
  <si>
    <t>Reliance Industries Ltd</t>
  </si>
  <si>
    <t>INE002A01018</t>
  </si>
  <si>
    <t>BHP Billiton Ltd</t>
  </si>
  <si>
    <t>AU000000BHP4</t>
  </si>
  <si>
    <t>Diversified Metals &amp; Mining</t>
  </si>
  <si>
    <t>Oil &amp; Natural Gas Corporation Ltd</t>
  </si>
  <si>
    <t>INE213A01029</t>
  </si>
  <si>
    <t>Cnooc Ltd</t>
  </si>
  <si>
    <t>HK0883013259</t>
  </si>
  <si>
    <t>Oil &amp; Gas Exploration &amp; Production</t>
  </si>
  <si>
    <t>Petrochina Company Ltd</t>
  </si>
  <si>
    <t>CNE1000003W8</t>
  </si>
  <si>
    <t>Integrated Oil &amp; Gas</t>
  </si>
  <si>
    <t>China Petroleum -H-</t>
  </si>
  <si>
    <t>CNE1000002Q2</t>
  </si>
  <si>
    <t>Rio Tinto Ltd</t>
  </si>
  <si>
    <t>AU000000RIO1</t>
  </si>
  <si>
    <t>Sesa Sterlite Ltd</t>
  </si>
  <si>
    <t>INE205A01025</t>
  </si>
  <si>
    <t>Woodside Petroleum Ltd</t>
  </si>
  <si>
    <t>AU000000WPL2</t>
  </si>
  <si>
    <t>Coal India Ltd</t>
  </si>
  <si>
    <t>INE522F01014</t>
  </si>
  <si>
    <t>Origin Energy Ltd</t>
  </si>
  <si>
    <t>AU000000ORG5</t>
  </si>
  <si>
    <t>Santos Ltd-AUD</t>
  </si>
  <si>
    <t>AU000000STO6</t>
  </si>
  <si>
    <t>POSCO (Pohang Iron &amp; Steel Co Ltd )</t>
  </si>
  <si>
    <t>KR7005490008</t>
  </si>
  <si>
    <t>Steel</t>
  </si>
  <si>
    <t>LG Chemicals Ltd</t>
  </si>
  <si>
    <t>KR7051910008</t>
  </si>
  <si>
    <t>Commodity Chemicals</t>
  </si>
  <si>
    <t>Hindalco Industries Ltd</t>
  </si>
  <si>
    <t>INE038A01020</t>
  </si>
  <si>
    <t>Non - Ferrous Metals</t>
  </si>
  <si>
    <t>SK Innovation Co Ltd</t>
  </si>
  <si>
    <t>KR7096770003</t>
  </si>
  <si>
    <t>Oil &amp; Gas Refining &amp; Marketing</t>
  </si>
  <si>
    <t>Tata Steel Ltd</t>
  </si>
  <si>
    <t>INE081A01012</t>
  </si>
  <si>
    <t>Ferrous Metals</t>
  </si>
  <si>
    <t>AMCOR LIMITED</t>
  </si>
  <si>
    <t>AU000000AMC4</t>
  </si>
  <si>
    <t>Paper Packaging</t>
  </si>
  <si>
    <t>Oil Search Ltd</t>
  </si>
  <si>
    <t>PG0008579883</t>
  </si>
  <si>
    <t>China Shenhua - H</t>
  </si>
  <si>
    <t>CNE1000002R0</t>
  </si>
  <si>
    <t>Coal &amp; Consumable Fuels</t>
  </si>
  <si>
    <t>Kunlun Energy Company Ltd</t>
  </si>
  <si>
    <t>BMG5320C1082</t>
  </si>
  <si>
    <t>Orica Ltd</t>
  </si>
  <si>
    <t>AU000000ORI1</t>
  </si>
  <si>
    <t>FORTESCUE METALS GROUP LTD</t>
  </si>
  <si>
    <t>AU000000FMG4</t>
  </si>
  <si>
    <t>Bharat Petroleum Corporation Ltd</t>
  </si>
  <si>
    <t>INE029A01011</t>
  </si>
  <si>
    <t>Cairn India Ltd</t>
  </si>
  <si>
    <t>INE910H01017</t>
  </si>
  <si>
    <t>Anhui Conch -H-</t>
  </si>
  <si>
    <t>CNE1000001W2</t>
  </si>
  <si>
    <t>Construction Materials</t>
  </si>
  <si>
    <t>Jiangxi Copper Company Ltd</t>
  </si>
  <si>
    <t>CNE1000003K3</t>
  </si>
  <si>
    <t>PT Semen Gresik ( Persero) TBK</t>
  </si>
  <si>
    <t>ID1000106800</t>
  </si>
  <si>
    <t>China National Building Materia Ltd</t>
  </si>
  <si>
    <t>CNE1000002N9</t>
  </si>
  <si>
    <t>Orora Ltd</t>
  </si>
  <si>
    <t>AU000000ORA8</t>
  </si>
  <si>
    <t>Mirae Asset India Opportunities Fund</t>
  </si>
  <si>
    <t>Infosys Ltd</t>
  </si>
  <si>
    <t>INE009A01021</t>
  </si>
  <si>
    <t>Tata Consultancy Services Ltd</t>
  </si>
  <si>
    <t>INE467B01029</t>
  </si>
  <si>
    <t>Larsen &amp; Toubro Ltd</t>
  </si>
  <si>
    <t>INE018A01030</t>
  </si>
  <si>
    <t>Construction Project</t>
  </si>
  <si>
    <t>Sun Pharmaceuticals Industries Ltd</t>
  </si>
  <si>
    <t>INE044A01036</t>
  </si>
  <si>
    <t>Axis Bank Ltd</t>
  </si>
  <si>
    <t>INE238A01026</t>
  </si>
  <si>
    <t>Lupin Ltd</t>
  </si>
  <si>
    <t>INE326A01037</t>
  </si>
  <si>
    <t>CMC Ltd</t>
  </si>
  <si>
    <t>INE314A01017</t>
  </si>
  <si>
    <t>Dr. Reddy's Laboratories Ltd</t>
  </si>
  <si>
    <t>INE089A01023</t>
  </si>
  <si>
    <t>MIRAE ASSET FIXED MAT PLAN Sr I 368 day Dir Growth</t>
  </si>
  <si>
    <t>INF769K01CV2</t>
  </si>
  <si>
    <t>Mirae Asset Ultra Short Term Bond Fund</t>
  </si>
  <si>
    <t>Corporation Bank (25/08/2014) ** #</t>
  </si>
  <si>
    <t>INE112A16DY7</t>
  </si>
  <si>
    <t>Punjab National Bank (11/09/2014) ** #</t>
  </si>
  <si>
    <t>INE160A16JZ0</t>
  </si>
  <si>
    <t>State Bank of Patiala (08/09/2014) ** #</t>
  </si>
  <si>
    <t>INE652A16HP1</t>
  </si>
  <si>
    <t>Indian Bank (25/03/2015) ** #</t>
  </si>
  <si>
    <t>INE562A16FR2</t>
  </si>
  <si>
    <t>Mirae Asset Short Term Bond Fund</t>
  </si>
  <si>
    <t>Oriental Bank of Commerce (03/03/2015) ** #</t>
  </si>
  <si>
    <t>INE141A16OQ9</t>
  </si>
  <si>
    <t>EQUITY &amp; EQUITY RELATED</t>
  </si>
  <si>
    <t>(a) Listed/Awaiting listing on Stock Exchanges</t>
  </si>
  <si>
    <t>DEBT INSTRUMENTS</t>
  </si>
  <si>
    <t xml:space="preserve">(a) Listed/Awaiting Listing on Stock Exchanges </t>
  </si>
  <si>
    <t xml:space="preserve">(b) Privately placed/Unlisted </t>
  </si>
  <si>
    <t>(c) Securitised Debt Instruments</t>
  </si>
  <si>
    <t>(a) Listed/Awaiting Listing on Stock Exchanges</t>
  </si>
  <si>
    <t>* Industry classification as recommended by AMFI.</t>
  </si>
  <si>
    <t>India Equity Share*</t>
  </si>
  <si>
    <t>FOREIGN SECURITIES/OVERSEAS ETFS@@</t>
  </si>
  <si>
    <t>International Equity Shares</t>
  </si>
  <si>
    <t>@@ Industry Classification as per GICS Sub-Industry Classification</t>
  </si>
  <si>
    <t>HDFC Bank Ltd (03/06/2014) ** #</t>
  </si>
  <si>
    <t>IDBI Bank Ltd (25/07/2014) ** #</t>
  </si>
  <si>
    <r>
      <t>Industry</t>
    </r>
    <r>
      <rPr>
        <sz val="9"/>
        <rFont val="Tahoma"/>
        <family val="2"/>
      </rPr>
      <t>*</t>
    </r>
  </si>
  <si>
    <t>Portfolio Turnover Ratio^</t>
  </si>
  <si>
    <t>^Basis last rolling 12 month</t>
  </si>
  <si>
    <t>(An Open - Ended Equity Oriented Scheme)</t>
  </si>
  <si>
    <t>(An Open - Ended Fund of Funds Scheme)</t>
  </si>
  <si>
    <t>(An Open - Ended Liquid Scheme)</t>
  </si>
  <si>
    <t>Average maturity in days</t>
  </si>
  <si>
    <t>(An Open - Ended Debt Scheme)</t>
  </si>
  <si>
    <t xml:space="preserve"> (An Open - Ended Debt Scheme)</t>
  </si>
  <si>
    <t>Mirae Asset Fixed Maturity Plan - Series I - 368 Days</t>
  </si>
  <si>
    <t xml:space="preserve"> (An Closed - Ended Debt Scheme)</t>
  </si>
  <si>
    <t>Mirae Asset Emerging Blue Chip Fund</t>
  </si>
  <si>
    <t xml:space="preserve"> (An Open - Ended Equity Fund)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</si>
</sst>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(#,##0.00\)"/>
  </numFmts>
  <fonts count="16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b/>
      <sz val="9"/>
      <color indexed="72"/>
      <name val="Tahoma"/>
      <family val="2"/>
    </font>
    <font>
      <sz val="9"/>
      <color indexed="72"/>
      <name val="Tahoma"/>
      <family val="2"/>
    </font>
    <font>
      <b/>
      <sz val="10"/>
      <color indexed="72"/>
      <name val="Tahoma"/>
      <family val="2"/>
    </font>
    <font>
      <sz val="9"/>
      <name val="Tahoma"/>
      <family val="2"/>
    </font>
    <font>
      <sz val="9"/>
      <color indexed="9"/>
      <name val="Tahoma"/>
      <family val="2"/>
    </font>
    <font>
      <b/>
      <sz val="9"/>
      <color theme="1"/>
      <name val="Tahoma"/>
      <family val="2"/>
    </font>
    <font>
      <b/>
      <sz val="15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9"/>
      <name val="Tahoma"/>
      <family val="2"/>
    </font>
    <font>
      <b/>
      <sz val="10"/>
      <name val="Tahoma"/>
      <family val="2"/>
    </font>
    <font>
      <sz val="9"/>
      <color theme="1"/>
      <name val="Tahoma"/>
      <family val="2"/>
    </font>
    <font>
      <b/>
      <sz val="14"/>
      <name val="Tahoma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115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" fontId="2" fillId="0" borderId="0" xfId="0" applyNumberFormat="1" applyFont="1" applyFill="1" applyBorder="1" applyAlignment="1" applyProtection="1">
      <alignment horizontal="left" vertical="top" wrapText="1"/>
    </xf>
    <xf numFmtId="1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" fontId="2" fillId="0" borderId="0" xfId="0" applyNumberFormat="1" applyFont="1" applyFill="1" applyBorder="1" applyAlignment="1"/>
    <xf numFmtId="10" fontId="2" fillId="0" borderId="0" xfId="0" applyNumberFormat="1" applyFont="1" applyFill="1" applyBorder="1" applyAlignment="1"/>
    <xf numFmtId="0" fontId="3" fillId="0" borderId="2" xfId="0" applyNumberFormat="1" applyFont="1" applyFill="1" applyBorder="1" applyAlignment="1" applyProtection="1">
      <alignment horizontal="left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4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" fontId="4" fillId="0" borderId="2" xfId="0" applyNumberFormat="1" applyFont="1" applyFill="1" applyBorder="1" applyAlignment="1" applyProtection="1">
      <alignment horizontal="left" vertical="top" wrapText="1"/>
    </xf>
    <xf numFmtId="3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1" xfId="0" applyNumberFormat="1" applyFont="1" applyFill="1" applyBorder="1" applyAlignment="1" applyProtection="1">
      <alignment horizontal="left" vertical="top" wrapText="1"/>
    </xf>
    <xf numFmtId="0" fontId="8" fillId="0" borderId="1" xfId="0" applyFont="1" applyBorder="1"/>
    <xf numFmtId="0" fontId="6" fillId="0" borderId="1" xfId="0" applyFont="1" applyBorder="1"/>
    <xf numFmtId="0" fontId="8" fillId="0" borderId="2" xfId="0" applyFont="1" applyBorder="1"/>
    <xf numFmtId="0" fontId="6" fillId="0" borderId="2" xfId="0" applyFont="1" applyBorder="1"/>
    <xf numFmtId="10" fontId="4" fillId="0" borderId="3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10" fontId="4" fillId="0" borderId="3" xfId="0" applyNumberFormat="1" applyFont="1" applyFill="1" applyBorder="1" applyAlignment="1" applyProtection="1">
      <alignment horizontal="right" vertical="top" wrapText="1"/>
    </xf>
    <xf numFmtId="10" fontId="3" fillId="0" borderId="3" xfId="0" applyNumberFormat="1" applyFont="1" applyFill="1" applyBorder="1" applyAlignment="1" applyProtection="1">
      <alignment horizontal="right" vertical="top" wrapText="1"/>
    </xf>
    <xf numFmtId="4" fontId="3" fillId="0" borderId="3" xfId="0" applyNumberFormat="1" applyFont="1" applyFill="1" applyBorder="1" applyAlignment="1" applyProtection="1">
      <alignment horizontal="righ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top" wrapText="1"/>
    </xf>
    <xf numFmtId="4" fontId="4" fillId="0" borderId="9" xfId="0" applyNumberFormat="1" applyFont="1" applyFill="1" applyBorder="1" applyAlignment="1" applyProtection="1">
      <alignment horizontal="left" vertical="top" wrapText="1"/>
    </xf>
    <xf numFmtId="10" fontId="4" fillId="0" borderId="10" xfId="0" applyNumberFormat="1" applyFont="1" applyFill="1" applyBorder="1" applyAlignment="1" applyProtection="1">
      <alignment horizontal="left" vertical="top" wrapText="1"/>
    </xf>
    <xf numFmtId="0" fontId="3" fillId="0" borderId="11" xfId="0" applyNumberFormat="1" applyFont="1" applyFill="1" applyBorder="1" applyAlignment="1" applyProtection="1">
      <alignment horizontal="left" vertical="center" wrapText="1"/>
    </xf>
    <xf numFmtId="0" fontId="3" fillId="0" borderId="12" xfId="0" applyNumberFormat="1" applyFont="1" applyFill="1" applyBorder="1" applyAlignment="1" applyProtection="1">
      <alignment horizontal="left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4" fontId="3" fillId="0" borderId="12" xfId="0" applyNumberFormat="1" applyFont="1" applyFill="1" applyBorder="1" applyAlignment="1" applyProtection="1">
      <alignment horizontal="center" vertical="center" wrapText="1"/>
    </xf>
    <xf numFmtId="1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left" vertical="top" wrapText="1"/>
    </xf>
    <xf numFmtId="0" fontId="4" fillId="0" borderId="15" xfId="0" applyNumberFormat="1" applyFont="1" applyFill="1" applyBorder="1" applyAlignment="1" applyProtection="1">
      <alignment horizontal="left" vertical="top" wrapText="1"/>
    </xf>
    <xf numFmtId="4" fontId="3" fillId="0" borderId="15" xfId="0" applyNumberFormat="1" applyFont="1" applyFill="1" applyBorder="1" applyAlignment="1" applyProtection="1">
      <alignment horizontal="right" vertical="top" wrapText="1"/>
    </xf>
    <xf numFmtId="10" fontId="3" fillId="0" borderId="16" xfId="0" applyNumberFormat="1" applyFont="1" applyFill="1" applyBorder="1" applyAlignment="1" applyProtection="1">
      <alignment horizontal="righ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0" fontId="4" fillId="0" borderId="18" xfId="0" applyNumberFormat="1" applyFont="1" applyFill="1" applyBorder="1" applyAlignment="1" applyProtection="1">
      <alignment horizontal="left" vertical="top" wrapText="1"/>
    </xf>
    <xf numFmtId="4" fontId="3" fillId="0" borderId="18" xfId="0" applyNumberFormat="1" applyFont="1" applyFill="1" applyBorder="1" applyAlignment="1" applyProtection="1">
      <alignment horizontal="right" vertical="top" wrapText="1"/>
    </xf>
    <xf numFmtId="10" fontId="3" fillId="0" borderId="19" xfId="0" applyNumberFormat="1" applyFont="1" applyFill="1" applyBorder="1" applyAlignment="1" applyProtection="1">
      <alignment horizontal="right" vertical="top" wrapText="1"/>
    </xf>
    <xf numFmtId="0" fontId="3" fillId="0" borderId="20" xfId="0" applyNumberFormat="1" applyFont="1" applyFill="1" applyBorder="1" applyAlignment="1" applyProtection="1">
      <alignment horizontal="left" vertical="top" wrapText="1"/>
    </xf>
    <xf numFmtId="2" fontId="3" fillId="0" borderId="7" xfId="0" applyNumberFormat="1" applyFont="1" applyFill="1" applyBorder="1" applyAlignment="1" applyProtection="1">
      <alignment horizontal="center" vertical="top" wrapText="1"/>
    </xf>
    <xf numFmtId="0" fontId="10" fillId="0" borderId="1" xfId="0" applyFont="1" applyBorder="1"/>
    <xf numFmtId="0" fontId="2" fillId="0" borderId="1" xfId="0" applyFont="1" applyBorder="1"/>
    <xf numFmtId="0" fontId="4" fillId="0" borderId="5" xfId="0" applyNumberFormat="1" applyFont="1" applyFill="1" applyBorder="1" applyAlignment="1" applyProtection="1">
      <alignment horizontal="left" vertical="top" wrapText="1"/>
    </xf>
    <xf numFmtId="4" fontId="3" fillId="0" borderId="5" xfId="0" applyNumberFormat="1" applyFont="1" applyFill="1" applyBorder="1" applyAlignment="1" applyProtection="1">
      <alignment horizontal="right" vertical="top" wrapText="1"/>
    </xf>
    <xf numFmtId="0" fontId="11" fillId="0" borderId="1" xfId="0" applyFont="1" applyBorder="1"/>
    <xf numFmtId="0" fontId="12" fillId="0" borderId="20" xfId="0" applyNumberFormat="1" applyFont="1" applyFill="1" applyBorder="1" applyAlignment="1" applyProtection="1">
      <alignment horizontal="left" vertical="top" wrapText="1"/>
    </xf>
    <xf numFmtId="2" fontId="12" fillId="0" borderId="7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13" fillId="0" borderId="0" xfId="0" applyNumberFormat="1" applyFont="1" applyFill="1" applyBorder="1" applyAlignment="1"/>
    <xf numFmtId="0" fontId="12" fillId="0" borderId="1" xfId="0" applyNumberFormat="1" applyFont="1" applyFill="1" applyBorder="1" applyAlignment="1" applyProtection="1">
      <alignment horizontal="left" vertical="top" wrapText="1"/>
    </xf>
    <xf numFmtId="0" fontId="12" fillId="0" borderId="1" xfId="0" applyFont="1" applyBorder="1"/>
    <xf numFmtId="4" fontId="12" fillId="0" borderId="2" xfId="0" applyNumberFormat="1" applyFont="1" applyFill="1" applyBorder="1" applyAlignment="1" applyProtection="1">
      <alignment horizontal="right" vertical="top" wrapText="1"/>
    </xf>
    <xf numFmtId="2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10" fontId="3" fillId="0" borderId="3" xfId="0" applyNumberFormat="1" applyFont="1" applyFill="1" applyBorder="1" applyAlignment="1" applyProtection="1">
      <alignment horizontal="center" vertical="center" wrapText="1"/>
    </xf>
    <xf numFmtId="10" fontId="12" fillId="0" borderId="3" xfId="0" applyNumberFormat="1" applyFont="1" applyFill="1" applyBorder="1" applyAlignment="1" applyProtection="1">
      <alignment horizontal="right" vertical="top" wrapText="1"/>
    </xf>
    <xf numFmtId="10" fontId="6" fillId="0" borderId="3" xfId="0" applyNumberFormat="1" applyFont="1" applyFill="1" applyBorder="1" applyAlignment="1" applyProtection="1">
      <alignment horizontal="right" vertical="top" wrapText="1"/>
    </xf>
    <xf numFmtId="0" fontId="3" fillId="0" borderId="8" xfId="0" applyNumberFormat="1" applyFont="1" applyFill="1" applyBorder="1" applyAlignment="1" applyProtection="1">
      <alignment horizontal="left" vertical="center" wrapText="1"/>
    </xf>
    <xf numFmtId="0" fontId="3" fillId="0" borderId="9" xfId="0" applyNumberFormat="1" applyFont="1" applyFill="1" applyBorder="1" applyAlignment="1" applyProtection="1">
      <alignment horizontal="left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4" fontId="3" fillId="0" borderId="9" xfId="0" applyNumberFormat="1" applyFont="1" applyFill="1" applyBorder="1" applyAlignment="1" applyProtection="1">
      <alignment horizontal="center" vertical="center" wrapText="1"/>
    </xf>
    <xf numFmtId="10" fontId="3" fillId="0" borderId="10" xfId="0" applyNumberFormat="1" applyFont="1" applyFill="1" applyBorder="1" applyAlignment="1" applyProtection="1">
      <alignment horizontal="center" vertical="center" wrapText="1"/>
    </xf>
    <xf numFmtId="0" fontId="8" fillId="0" borderId="8" xfId="0" applyFont="1" applyBorder="1"/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8" fillId="0" borderId="2" xfId="0" applyNumberFormat="1" applyFont="1" applyFill="1" applyBorder="1" applyAlignment="1" applyProtection="1">
      <alignment horizontal="right" vertical="center" wrapText="1"/>
    </xf>
    <xf numFmtId="0" fontId="8" fillId="0" borderId="3" xfId="0" applyNumberFormat="1" applyFont="1" applyFill="1" applyBorder="1" applyAlignment="1" applyProtection="1">
      <alignment horizontal="right" vertical="center" wrapText="1"/>
    </xf>
    <xf numFmtId="0" fontId="14" fillId="0" borderId="1" xfId="0" applyFont="1" applyBorder="1"/>
    <xf numFmtId="164" fontId="6" fillId="0" borderId="2" xfId="0" applyNumberFormat="1" applyFont="1" applyFill="1" applyBorder="1" applyAlignment="1" applyProtection="1">
      <alignment horizontal="right" vertical="top" wrapText="1"/>
    </xf>
    <xf numFmtId="0" fontId="3" fillId="0" borderId="1" xfId="1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4" fontId="6" fillId="0" borderId="2" xfId="0" applyNumberFormat="1" applyFont="1" applyFill="1" applyBorder="1" applyAlignment="1" applyProtection="1">
      <alignment horizontal="center" vertical="center" wrapText="1"/>
    </xf>
    <xf numFmtId="0" fontId="12" fillId="0" borderId="2" xfId="0" applyNumberFormat="1" applyFont="1" applyFill="1" applyBorder="1" applyAlignment="1" applyProtection="1">
      <alignment horizontal="center" vertical="center" wrapText="1"/>
    </xf>
    <xf numFmtId="0" fontId="12" fillId="0" borderId="3" xfId="0" applyNumberFormat="1" applyFont="1" applyFill="1" applyBorder="1" applyAlignment="1" applyProtection="1">
      <alignment horizontal="center" vertical="center" wrapText="1"/>
    </xf>
    <xf numFmtId="10" fontId="6" fillId="0" borderId="3" xfId="0" applyNumberFormat="1" applyFont="1" applyFill="1" applyBorder="1" applyAlignment="1" applyProtection="1">
      <alignment horizontal="center" vertical="center" wrapText="1"/>
    </xf>
    <xf numFmtId="0" fontId="11" fillId="0" borderId="8" xfId="0" applyFont="1" applyBorder="1"/>
    <xf numFmtId="0" fontId="10" fillId="0" borderId="9" xfId="0" applyFont="1" applyBorder="1"/>
    <xf numFmtId="0" fontId="8" fillId="0" borderId="7" xfId="1" applyNumberFormat="1" applyFont="1" applyFill="1" applyBorder="1" applyAlignment="1" applyProtection="1">
      <alignment horizontal="center" wrapText="1"/>
    </xf>
    <xf numFmtId="2" fontId="3" fillId="0" borderId="27" xfId="1" applyNumberFormat="1" applyFont="1" applyFill="1" applyBorder="1" applyAlignment="1" applyProtection="1">
      <alignment horizontal="center" vertical="top" wrapText="1"/>
    </xf>
    <xf numFmtId="4" fontId="6" fillId="0" borderId="0" xfId="0" applyNumberFormat="1" applyFont="1" applyFill="1" applyBorder="1" applyAlignment="1" applyProtection="1">
      <alignment horizontal="left" vertical="top" wrapText="1"/>
    </xf>
    <xf numFmtId="10" fontId="6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/>
    <xf numFmtId="4" fontId="6" fillId="0" borderId="0" xfId="0" applyNumberFormat="1" applyFont="1" applyFill="1" applyBorder="1" applyAlignment="1"/>
    <xf numFmtId="10" fontId="6" fillId="0" borderId="0" xfId="0" applyNumberFormat="1" applyFont="1" applyFill="1" applyBorder="1" applyAlignment="1"/>
    <xf numFmtId="0" fontId="8" fillId="0" borderId="9" xfId="0" applyFont="1" applyBorder="1"/>
    <xf numFmtId="0" fontId="8" fillId="0" borderId="7" xfId="0" applyNumberFormat="1" applyFont="1" applyFill="1" applyBorder="1" applyAlignment="1" applyProtection="1">
      <alignment horizontal="center" wrapText="1"/>
    </xf>
    <xf numFmtId="2" fontId="3" fillId="0" borderId="27" xfId="0" applyNumberFormat="1" applyFont="1" applyFill="1" applyBorder="1" applyAlignment="1" applyProtection="1">
      <alignment horizontal="center" vertical="top" wrapText="1"/>
    </xf>
    <xf numFmtId="4" fontId="12" fillId="0" borderId="2" xfId="0" applyNumberFormat="1" applyFont="1" applyFill="1" applyBorder="1" applyAlignment="1" applyProtection="1">
      <alignment horizontal="center" vertical="center" wrapText="1"/>
    </xf>
    <xf numFmtId="10" fontId="12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10" fontId="3" fillId="0" borderId="6" xfId="0" applyNumberFormat="1" applyFont="1" applyFill="1" applyBorder="1" applyAlignment="1" applyProtection="1">
      <alignment horizontal="right" vertical="top" wrapText="1"/>
    </xf>
    <xf numFmtId="0" fontId="9" fillId="0" borderId="21" xfId="0" applyNumberFormat="1" applyFont="1" applyFill="1" applyBorder="1" applyAlignment="1" applyProtection="1">
      <alignment horizontal="center" vertical="top" wrapText="1"/>
    </xf>
    <xf numFmtId="0" fontId="9" fillId="0" borderId="22" xfId="0" applyNumberFormat="1" applyFont="1" applyFill="1" applyBorder="1" applyAlignment="1" applyProtection="1">
      <alignment horizontal="center" vertical="top" wrapText="1"/>
    </xf>
    <xf numFmtId="0" fontId="9" fillId="0" borderId="23" xfId="0" applyNumberFormat="1" applyFont="1" applyFill="1" applyBorder="1" applyAlignment="1" applyProtection="1">
      <alignment horizontal="center" vertical="top" wrapText="1"/>
    </xf>
    <xf numFmtId="0" fontId="3" fillId="0" borderId="24" xfId="0" applyNumberFormat="1" applyFont="1" applyFill="1" applyBorder="1" applyAlignment="1" applyProtection="1">
      <alignment horizontal="center" vertical="top" wrapText="1"/>
    </xf>
    <xf numFmtId="0" fontId="3" fillId="0" borderId="25" xfId="0" applyNumberFormat="1" applyFont="1" applyFill="1" applyBorder="1" applyAlignment="1" applyProtection="1">
      <alignment horizontal="center" vertical="top" wrapText="1"/>
    </xf>
    <xf numFmtId="0" fontId="3" fillId="0" borderId="26" xfId="0" applyNumberFormat="1" applyFont="1" applyFill="1" applyBorder="1" applyAlignment="1" applyProtection="1">
      <alignment horizontal="center" vertical="top" wrapText="1"/>
    </xf>
    <xf numFmtId="0" fontId="9" fillId="0" borderId="21" xfId="1" applyNumberFormat="1" applyFont="1" applyFill="1" applyBorder="1" applyAlignment="1" applyProtection="1">
      <alignment horizontal="center" vertical="top" wrapText="1"/>
    </xf>
    <xf numFmtId="0" fontId="9" fillId="0" borderId="22" xfId="1" applyNumberFormat="1" applyFont="1" applyFill="1" applyBorder="1" applyAlignment="1" applyProtection="1">
      <alignment horizontal="center" vertical="top" wrapText="1"/>
    </xf>
    <xf numFmtId="0" fontId="9" fillId="0" borderId="23" xfId="1" applyNumberFormat="1" applyFont="1" applyFill="1" applyBorder="1" applyAlignment="1" applyProtection="1">
      <alignment horizontal="center" vertical="top" wrapText="1"/>
    </xf>
    <xf numFmtId="0" fontId="3" fillId="0" borderId="24" xfId="1" applyNumberFormat="1" applyFont="1" applyFill="1" applyBorder="1" applyAlignment="1" applyProtection="1">
      <alignment horizontal="center" vertical="top" wrapText="1"/>
    </xf>
    <xf numFmtId="0" fontId="3" fillId="0" borderId="25" xfId="1" applyNumberFormat="1" applyFont="1" applyFill="1" applyBorder="1" applyAlignment="1" applyProtection="1">
      <alignment horizontal="center" vertical="top" wrapText="1"/>
    </xf>
    <xf numFmtId="0" fontId="3" fillId="0" borderId="26" xfId="1" applyNumberFormat="1" applyFont="1" applyFill="1" applyBorder="1" applyAlignment="1" applyProtection="1">
      <alignment horizontal="center" vertical="top" wrapText="1"/>
    </xf>
    <xf numFmtId="0" fontId="15" fillId="0" borderId="21" xfId="0" applyNumberFormat="1" applyFont="1" applyFill="1" applyBorder="1" applyAlignment="1" applyProtection="1">
      <alignment horizontal="center" vertical="top" wrapText="1"/>
    </xf>
    <xf numFmtId="0" fontId="15" fillId="0" borderId="22" xfId="0" applyNumberFormat="1" applyFont="1" applyFill="1" applyBorder="1" applyAlignment="1" applyProtection="1">
      <alignment horizontal="center" vertical="top" wrapText="1"/>
    </xf>
    <xf numFmtId="0" fontId="15" fillId="0" borderId="23" xfId="0" applyNumberFormat="1" applyFont="1" applyFill="1" applyBorder="1" applyAlignment="1" applyProtection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tabSelected="1" zoomScaleNormal="100" workbookViewId="0">
      <selection activeCell="B92" sqref="B92"/>
    </sheetView>
  </sheetViews>
  <sheetFormatPr defaultRowHeight="12.75" x14ac:dyDescent="0.2"/>
  <cols>
    <col min="1" max="1" width="11.42578125" style="5" bestFit="1" customWidth="1"/>
    <col min="2" max="2" width="47.28515625" style="5" customWidth="1"/>
    <col min="3" max="3" width="18.42578125" style="5" customWidth="1"/>
    <col min="4" max="4" width="21.140625" style="5" bestFit="1" customWidth="1"/>
    <col min="5" max="5" width="22.42578125" style="5" customWidth="1"/>
    <col min="6" max="6" width="22.42578125" style="10" customWidth="1"/>
    <col min="7" max="7" width="22.42578125" style="11" customWidth="1"/>
    <col min="8" max="16384" width="9.140625" style="5"/>
  </cols>
  <sheetData>
    <row r="1" spans="1:7" ht="18.75" x14ac:dyDescent="0.2">
      <c r="A1" s="1"/>
      <c r="B1" s="100" t="s">
        <v>319</v>
      </c>
      <c r="C1" s="101"/>
      <c r="D1" s="101"/>
      <c r="E1" s="101"/>
      <c r="F1" s="101"/>
      <c r="G1" s="102"/>
    </row>
    <row r="2" spans="1:7" ht="13.5" thickBot="1" x14ac:dyDescent="0.25">
      <c r="A2" s="1"/>
      <c r="B2" s="103" t="s">
        <v>368</v>
      </c>
      <c r="C2" s="104"/>
      <c r="D2" s="104"/>
      <c r="E2" s="104"/>
      <c r="F2" s="104"/>
      <c r="G2" s="105"/>
    </row>
    <row r="3" spans="1:7" x14ac:dyDescent="0.2">
      <c r="A3" s="1"/>
      <c r="B3" s="6" t="s">
        <v>1</v>
      </c>
      <c r="C3" s="1"/>
      <c r="D3" s="1"/>
      <c r="E3" s="1"/>
      <c r="F3" s="3"/>
      <c r="G3" s="4"/>
    </row>
    <row r="4" spans="1:7" ht="13.5" thickBot="1" x14ac:dyDescent="0.25">
      <c r="A4" s="7"/>
      <c r="B4" s="8" t="s">
        <v>2</v>
      </c>
      <c r="C4" s="1"/>
      <c r="D4" s="1"/>
      <c r="E4" s="1"/>
      <c r="F4" s="3"/>
      <c r="G4" s="4"/>
    </row>
    <row r="5" spans="1:7" ht="23.25" thickBot="1" x14ac:dyDescent="0.25">
      <c r="A5" s="1"/>
      <c r="B5" s="35" t="s">
        <v>3</v>
      </c>
      <c r="C5" s="36" t="s">
        <v>4</v>
      </c>
      <c r="D5" s="37" t="s">
        <v>365</v>
      </c>
      <c r="E5" s="37" t="s">
        <v>6</v>
      </c>
      <c r="F5" s="38" t="s">
        <v>7</v>
      </c>
      <c r="G5" s="39" t="s">
        <v>8</v>
      </c>
    </row>
    <row r="6" spans="1:7" x14ac:dyDescent="0.2">
      <c r="A6" s="1"/>
      <c r="B6" s="31" t="s">
        <v>40</v>
      </c>
      <c r="C6" s="32" t="s">
        <v>1</v>
      </c>
      <c r="D6" s="32" t="s">
        <v>1</v>
      </c>
      <c r="E6" s="32" t="s">
        <v>1</v>
      </c>
      <c r="F6" s="33" t="s">
        <v>1</v>
      </c>
      <c r="G6" s="34" t="s">
        <v>1</v>
      </c>
    </row>
    <row r="7" spans="1:7" x14ac:dyDescent="0.2">
      <c r="A7" s="1"/>
      <c r="B7" s="21" t="s">
        <v>41</v>
      </c>
      <c r="C7" s="16" t="s">
        <v>1</v>
      </c>
      <c r="D7" s="16" t="s">
        <v>1</v>
      </c>
      <c r="E7" s="16" t="s">
        <v>1</v>
      </c>
      <c r="F7" s="17" t="s">
        <v>1</v>
      </c>
      <c r="G7" s="26" t="s">
        <v>1</v>
      </c>
    </row>
    <row r="8" spans="1:7" x14ac:dyDescent="0.2">
      <c r="A8" s="9"/>
      <c r="B8" s="27" t="s">
        <v>42</v>
      </c>
      <c r="C8" s="16" t="s">
        <v>43</v>
      </c>
      <c r="D8" s="16" t="s">
        <v>44</v>
      </c>
      <c r="E8" s="18">
        <v>267300</v>
      </c>
      <c r="F8" s="19">
        <v>3790.4476500000001</v>
      </c>
      <c r="G8" s="28">
        <v>7.7095892497376431E-2</v>
      </c>
    </row>
    <row r="9" spans="1:7" x14ac:dyDescent="0.2">
      <c r="A9" s="9"/>
      <c r="B9" s="27" t="s">
        <v>320</v>
      </c>
      <c r="C9" s="16" t="s">
        <v>321</v>
      </c>
      <c r="D9" s="16" t="s">
        <v>52</v>
      </c>
      <c r="E9" s="18">
        <v>91453</v>
      </c>
      <c r="F9" s="19">
        <v>2688.1694819999998</v>
      </c>
      <c r="G9" s="28">
        <v>5.4676081702117713E-2</v>
      </c>
    </row>
    <row r="10" spans="1:7" x14ac:dyDescent="0.2">
      <c r="A10" s="9"/>
      <c r="B10" s="27" t="s">
        <v>228</v>
      </c>
      <c r="C10" s="16" t="s">
        <v>229</v>
      </c>
      <c r="D10" s="16" t="s">
        <v>44</v>
      </c>
      <c r="E10" s="18">
        <v>291000</v>
      </c>
      <c r="F10" s="19">
        <v>2306.9025000000001</v>
      </c>
      <c r="G10" s="28">
        <v>4.6921293621329643E-2</v>
      </c>
    </row>
    <row r="11" spans="1:7" x14ac:dyDescent="0.2">
      <c r="A11" s="9"/>
      <c r="B11" s="27" t="s">
        <v>237</v>
      </c>
      <c r="C11" s="16" t="s">
        <v>238</v>
      </c>
      <c r="D11" s="16" t="s">
        <v>44</v>
      </c>
      <c r="E11" s="18">
        <v>83735</v>
      </c>
      <c r="F11" s="19">
        <v>2128.7530375000001</v>
      </c>
      <c r="G11" s="28">
        <v>4.3297818750395761E-2</v>
      </c>
    </row>
    <row r="12" spans="1:7" x14ac:dyDescent="0.2">
      <c r="A12" s="9"/>
      <c r="B12" s="27" t="s">
        <v>194</v>
      </c>
      <c r="C12" s="16" t="s">
        <v>195</v>
      </c>
      <c r="D12" s="16" t="s">
        <v>93</v>
      </c>
      <c r="E12" s="18">
        <v>546000</v>
      </c>
      <c r="F12" s="19">
        <v>1865.9549999999999</v>
      </c>
      <c r="G12" s="28">
        <v>3.7952632345401749E-2</v>
      </c>
    </row>
    <row r="13" spans="1:7" x14ac:dyDescent="0.2">
      <c r="A13" s="9"/>
      <c r="B13" s="27" t="s">
        <v>248</v>
      </c>
      <c r="C13" s="16" t="s">
        <v>249</v>
      </c>
      <c r="D13" s="16" t="s">
        <v>58</v>
      </c>
      <c r="E13" s="18">
        <v>158900</v>
      </c>
      <c r="F13" s="19">
        <v>1691.8082999999999</v>
      </c>
      <c r="G13" s="28">
        <v>3.4410571749479028E-2</v>
      </c>
    </row>
    <row r="14" spans="1:7" x14ac:dyDescent="0.2">
      <c r="A14" s="9"/>
      <c r="B14" s="27" t="s">
        <v>207</v>
      </c>
      <c r="C14" s="16" t="s">
        <v>208</v>
      </c>
      <c r="D14" s="16" t="s">
        <v>47</v>
      </c>
      <c r="E14" s="18">
        <v>176275</v>
      </c>
      <c r="F14" s="19">
        <v>1545.5791999999999</v>
      </c>
      <c r="G14" s="28">
        <v>3.1436341786538348E-2</v>
      </c>
    </row>
    <row r="15" spans="1:7" x14ac:dyDescent="0.2">
      <c r="A15" s="9"/>
      <c r="B15" s="27" t="s">
        <v>322</v>
      </c>
      <c r="C15" s="16" t="s">
        <v>323</v>
      </c>
      <c r="D15" s="16" t="s">
        <v>52</v>
      </c>
      <c r="E15" s="18">
        <v>71900</v>
      </c>
      <c r="F15" s="19">
        <v>1539.6306500000001</v>
      </c>
      <c r="G15" s="28">
        <v>3.1315351124310026E-2</v>
      </c>
    </row>
    <row r="16" spans="1:7" x14ac:dyDescent="0.2">
      <c r="A16" s="9"/>
      <c r="B16" s="27" t="s">
        <v>324</v>
      </c>
      <c r="C16" s="16" t="s">
        <v>325</v>
      </c>
      <c r="D16" s="16" t="s">
        <v>326</v>
      </c>
      <c r="E16" s="18">
        <v>98250</v>
      </c>
      <c r="F16" s="19">
        <v>1518.4537499999999</v>
      </c>
      <c r="G16" s="28">
        <v>3.0884623105726868E-2</v>
      </c>
    </row>
    <row r="17" spans="1:7" x14ac:dyDescent="0.2">
      <c r="A17" s="9"/>
      <c r="B17" s="27" t="s">
        <v>196</v>
      </c>
      <c r="C17" s="16" t="s">
        <v>197</v>
      </c>
      <c r="D17" s="16" t="s">
        <v>82</v>
      </c>
      <c r="E17" s="18">
        <v>477550</v>
      </c>
      <c r="F17" s="19">
        <v>1227.064725</v>
      </c>
      <c r="G17" s="28">
        <v>2.4957909688034546E-2</v>
      </c>
    </row>
    <row r="18" spans="1:7" x14ac:dyDescent="0.2">
      <c r="A18" s="9"/>
      <c r="B18" s="27" t="s">
        <v>53</v>
      </c>
      <c r="C18" s="16" t="s">
        <v>54</v>
      </c>
      <c r="D18" s="16" t="s">
        <v>55</v>
      </c>
      <c r="E18" s="18">
        <v>391365</v>
      </c>
      <c r="F18" s="19">
        <v>1172.3338575</v>
      </c>
      <c r="G18" s="28">
        <v>2.3844710016996177E-2</v>
      </c>
    </row>
    <row r="19" spans="1:7" x14ac:dyDescent="0.2">
      <c r="A19" s="9"/>
      <c r="B19" s="27" t="s">
        <v>50</v>
      </c>
      <c r="C19" s="16" t="s">
        <v>51</v>
      </c>
      <c r="D19" s="16" t="s">
        <v>52</v>
      </c>
      <c r="E19" s="18">
        <v>60850</v>
      </c>
      <c r="F19" s="19">
        <v>1170.1455000000001</v>
      </c>
      <c r="G19" s="28">
        <v>2.380019987198314E-2</v>
      </c>
    </row>
    <row r="20" spans="1:7" x14ac:dyDescent="0.2">
      <c r="A20" s="9"/>
      <c r="B20" s="27" t="s">
        <v>253</v>
      </c>
      <c r="C20" s="16" t="s">
        <v>254</v>
      </c>
      <c r="D20" s="16" t="s">
        <v>105</v>
      </c>
      <c r="E20" s="18">
        <v>308096</v>
      </c>
      <c r="F20" s="19">
        <v>1165.065024</v>
      </c>
      <c r="G20" s="28">
        <v>2.3696865419776288E-2</v>
      </c>
    </row>
    <row r="21" spans="1:7" x14ac:dyDescent="0.2">
      <c r="A21" s="9"/>
      <c r="B21" s="27" t="s">
        <v>56</v>
      </c>
      <c r="C21" s="16" t="s">
        <v>57</v>
      </c>
      <c r="D21" s="16" t="s">
        <v>58</v>
      </c>
      <c r="E21" s="18">
        <v>280500</v>
      </c>
      <c r="F21" s="19">
        <v>1123.8232499999999</v>
      </c>
      <c r="G21" s="28">
        <v>2.2858027459646407E-2</v>
      </c>
    </row>
    <row r="22" spans="1:7" x14ac:dyDescent="0.2">
      <c r="A22" s="9"/>
      <c r="B22" s="27" t="s">
        <v>59</v>
      </c>
      <c r="C22" s="16" t="s">
        <v>60</v>
      </c>
      <c r="D22" s="16" t="s">
        <v>61</v>
      </c>
      <c r="E22" s="18">
        <v>85106</v>
      </c>
      <c r="F22" s="19">
        <v>1085.271712</v>
      </c>
      <c r="G22" s="28">
        <v>2.2073907613206496E-2</v>
      </c>
    </row>
    <row r="23" spans="1:7" x14ac:dyDescent="0.2">
      <c r="A23" s="9"/>
      <c r="B23" s="27" t="s">
        <v>327</v>
      </c>
      <c r="C23" s="16" t="s">
        <v>328</v>
      </c>
      <c r="D23" s="16" t="s">
        <v>61</v>
      </c>
      <c r="E23" s="18">
        <v>177700</v>
      </c>
      <c r="F23" s="19">
        <v>1085.1250500000001</v>
      </c>
      <c r="G23" s="28">
        <v>2.2070924578264584E-2</v>
      </c>
    </row>
    <row r="24" spans="1:7" x14ac:dyDescent="0.2">
      <c r="A24" s="9"/>
      <c r="B24" s="27" t="s">
        <v>70</v>
      </c>
      <c r="C24" s="16" t="s">
        <v>71</v>
      </c>
      <c r="D24" s="16" t="s">
        <v>55</v>
      </c>
      <c r="E24" s="18">
        <v>248429</v>
      </c>
      <c r="F24" s="19">
        <v>1011.7271025</v>
      </c>
      <c r="G24" s="28">
        <v>2.0578045427173265E-2</v>
      </c>
    </row>
    <row r="25" spans="1:7" x14ac:dyDescent="0.2">
      <c r="A25" s="9"/>
      <c r="B25" s="27" t="s">
        <v>216</v>
      </c>
      <c r="C25" s="16" t="s">
        <v>217</v>
      </c>
      <c r="D25" s="16" t="s">
        <v>218</v>
      </c>
      <c r="E25" s="18">
        <v>277791</v>
      </c>
      <c r="F25" s="19">
        <v>955.87883099999999</v>
      </c>
      <c r="G25" s="28">
        <v>1.9442118293150377E-2</v>
      </c>
    </row>
    <row r="26" spans="1:7" x14ac:dyDescent="0.2">
      <c r="A26" s="9"/>
      <c r="B26" s="27" t="s">
        <v>62</v>
      </c>
      <c r="C26" s="16" t="s">
        <v>63</v>
      </c>
      <c r="D26" s="16" t="s">
        <v>64</v>
      </c>
      <c r="E26" s="18">
        <v>426289</v>
      </c>
      <c r="F26" s="19">
        <v>945.72214650000001</v>
      </c>
      <c r="G26" s="28">
        <v>1.9235536187645827E-2</v>
      </c>
    </row>
    <row r="27" spans="1:7" x14ac:dyDescent="0.2">
      <c r="A27" s="9"/>
      <c r="B27" s="27" t="s">
        <v>48</v>
      </c>
      <c r="C27" s="16" t="s">
        <v>49</v>
      </c>
      <c r="D27" s="16" t="s">
        <v>44</v>
      </c>
      <c r="E27" s="18">
        <v>810800</v>
      </c>
      <c r="F27" s="19">
        <v>942.96040000000005</v>
      </c>
      <c r="G27" s="28">
        <v>1.9179363584584285E-2</v>
      </c>
    </row>
    <row r="28" spans="1:7" x14ac:dyDescent="0.2">
      <c r="A28" s="9"/>
      <c r="B28" s="27" t="s">
        <v>209</v>
      </c>
      <c r="C28" s="16" t="s">
        <v>210</v>
      </c>
      <c r="D28" s="16" t="s">
        <v>82</v>
      </c>
      <c r="E28" s="18">
        <v>41150</v>
      </c>
      <c r="F28" s="19">
        <v>934.84569999999997</v>
      </c>
      <c r="G28" s="28">
        <v>1.9014314467272652E-2</v>
      </c>
    </row>
    <row r="29" spans="1:7" x14ac:dyDescent="0.2">
      <c r="A29" s="9"/>
      <c r="B29" s="27" t="s">
        <v>329</v>
      </c>
      <c r="C29" s="16" t="s">
        <v>330</v>
      </c>
      <c r="D29" s="16" t="s">
        <v>44</v>
      </c>
      <c r="E29" s="18">
        <v>49500</v>
      </c>
      <c r="F29" s="19">
        <v>908.89425000000006</v>
      </c>
      <c r="G29" s="28">
        <v>1.8486474385019821E-2</v>
      </c>
    </row>
    <row r="30" spans="1:7" x14ac:dyDescent="0.2">
      <c r="A30" s="9"/>
      <c r="B30" s="27" t="s">
        <v>65</v>
      </c>
      <c r="C30" s="16" t="s">
        <v>66</v>
      </c>
      <c r="D30" s="16" t="s">
        <v>67</v>
      </c>
      <c r="E30" s="18">
        <v>1483451</v>
      </c>
      <c r="F30" s="19">
        <v>879.68644300000005</v>
      </c>
      <c r="G30" s="28">
        <v>1.7892401558672749E-2</v>
      </c>
    </row>
    <row r="31" spans="1:7" x14ac:dyDescent="0.2">
      <c r="A31" s="9"/>
      <c r="B31" s="27" t="s">
        <v>287</v>
      </c>
      <c r="C31" s="16" t="s">
        <v>288</v>
      </c>
      <c r="D31" s="16" t="s">
        <v>289</v>
      </c>
      <c r="E31" s="18">
        <v>176400</v>
      </c>
      <c r="F31" s="19">
        <v>838.07640000000004</v>
      </c>
      <c r="G31" s="28">
        <v>1.7046073183199947E-2</v>
      </c>
    </row>
    <row r="32" spans="1:7" x14ac:dyDescent="0.2">
      <c r="A32" s="9"/>
      <c r="B32" s="27" t="s">
        <v>72</v>
      </c>
      <c r="C32" s="16" t="s">
        <v>73</v>
      </c>
      <c r="D32" s="16" t="s">
        <v>74</v>
      </c>
      <c r="E32" s="18">
        <v>143850</v>
      </c>
      <c r="F32" s="19">
        <v>830.66182500000002</v>
      </c>
      <c r="G32" s="28">
        <v>1.6895264273567929E-2</v>
      </c>
    </row>
    <row r="33" spans="1:7" x14ac:dyDescent="0.2">
      <c r="A33" s="9"/>
      <c r="B33" s="27" t="s">
        <v>45</v>
      </c>
      <c r="C33" s="16" t="s">
        <v>46</v>
      </c>
      <c r="D33" s="16" t="s">
        <v>47</v>
      </c>
      <c r="E33" s="18">
        <v>73289</v>
      </c>
      <c r="F33" s="19">
        <v>653.26150150000001</v>
      </c>
      <c r="G33" s="28">
        <v>1.3287026531633727E-2</v>
      </c>
    </row>
    <row r="34" spans="1:7" x14ac:dyDescent="0.2">
      <c r="A34" s="9"/>
      <c r="B34" s="27" t="s">
        <v>153</v>
      </c>
      <c r="C34" s="16" t="s">
        <v>154</v>
      </c>
      <c r="D34" s="16" t="s">
        <v>44</v>
      </c>
      <c r="E34" s="18">
        <v>76700</v>
      </c>
      <c r="F34" s="19">
        <v>646.31254999999999</v>
      </c>
      <c r="G34" s="28">
        <v>1.3145688181316851E-2</v>
      </c>
    </row>
    <row r="35" spans="1:7" x14ac:dyDescent="0.2">
      <c r="A35" s="9"/>
      <c r="B35" s="27" t="s">
        <v>118</v>
      </c>
      <c r="C35" s="16" t="s">
        <v>119</v>
      </c>
      <c r="D35" s="16" t="s">
        <v>61</v>
      </c>
      <c r="E35" s="18">
        <v>67555</v>
      </c>
      <c r="F35" s="19">
        <v>630.89614500000005</v>
      </c>
      <c r="G35" s="28">
        <v>1.2832125876195444E-2</v>
      </c>
    </row>
    <row r="36" spans="1:7" x14ac:dyDescent="0.2">
      <c r="A36" s="9"/>
      <c r="B36" s="27" t="s">
        <v>130</v>
      </c>
      <c r="C36" s="16" t="s">
        <v>131</v>
      </c>
      <c r="D36" s="16" t="s">
        <v>55</v>
      </c>
      <c r="E36" s="18">
        <v>440500</v>
      </c>
      <c r="F36" s="19">
        <v>619.12275</v>
      </c>
      <c r="G36" s="28">
        <v>1.2592660652279439E-2</v>
      </c>
    </row>
    <row r="37" spans="1:7" x14ac:dyDescent="0.2">
      <c r="A37" s="9"/>
      <c r="B37" s="27" t="s">
        <v>77</v>
      </c>
      <c r="C37" s="16" t="s">
        <v>78</v>
      </c>
      <c r="D37" s="16" t="s">
        <v>79</v>
      </c>
      <c r="E37" s="18">
        <v>283600</v>
      </c>
      <c r="F37" s="19">
        <v>600.38120000000004</v>
      </c>
      <c r="G37" s="28">
        <v>1.2211466488040234E-2</v>
      </c>
    </row>
    <row r="38" spans="1:7" x14ac:dyDescent="0.2">
      <c r="A38" s="9"/>
      <c r="B38" s="27" t="s">
        <v>122</v>
      </c>
      <c r="C38" s="16" t="s">
        <v>123</v>
      </c>
      <c r="D38" s="16" t="s">
        <v>124</v>
      </c>
      <c r="E38" s="18">
        <v>328500</v>
      </c>
      <c r="F38" s="19">
        <v>599.84100000000001</v>
      </c>
      <c r="G38" s="28">
        <v>1.2200479078379773E-2</v>
      </c>
    </row>
    <row r="39" spans="1:7" x14ac:dyDescent="0.2">
      <c r="A39" s="9"/>
      <c r="B39" s="27" t="s">
        <v>112</v>
      </c>
      <c r="C39" s="16" t="s">
        <v>113</v>
      </c>
      <c r="D39" s="16" t="s">
        <v>67</v>
      </c>
      <c r="E39" s="18">
        <v>178582</v>
      </c>
      <c r="F39" s="19">
        <v>595.838843</v>
      </c>
      <c r="G39" s="28">
        <v>1.2119077118949039E-2</v>
      </c>
    </row>
    <row r="40" spans="1:7" x14ac:dyDescent="0.2">
      <c r="A40" s="9"/>
      <c r="B40" s="27" t="s">
        <v>269</v>
      </c>
      <c r="C40" s="16" t="s">
        <v>270</v>
      </c>
      <c r="D40" s="16" t="s">
        <v>142</v>
      </c>
      <c r="E40" s="18">
        <v>160000</v>
      </c>
      <c r="F40" s="19">
        <v>593.44000000000005</v>
      </c>
      <c r="G40" s="28">
        <v>1.2070285799526362E-2</v>
      </c>
    </row>
    <row r="41" spans="1:7" x14ac:dyDescent="0.2">
      <c r="A41" s="9"/>
      <c r="B41" s="27" t="s">
        <v>120</v>
      </c>
      <c r="C41" s="16" t="s">
        <v>121</v>
      </c>
      <c r="D41" s="16" t="s">
        <v>61</v>
      </c>
      <c r="E41" s="18">
        <v>87500</v>
      </c>
      <c r="F41" s="19">
        <v>586.07500000000005</v>
      </c>
      <c r="G41" s="28">
        <v>1.1920485221686122E-2</v>
      </c>
    </row>
    <row r="42" spans="1:7" x14ac:dyDescent="0.2">
      <c r="A42" s="9"/>
      <c r="B42" s="27" t="s">
        <v>89</v>
      </c>
      <c r="C42" s="16" t="s">
        <v>90</v>
      </c>
      <c r="D42" s="16" t="s">
        <v>64</v>
      </c>
      <c r="E42" s="18">
        <v>339138</v>
      </c>
      <c r="F42" s="19">
        <v>563.98649399999999</v>
      </c>
      <c r="G42" s="28">
        <v>1.1471215573019783E-2</v>
      </c>
    </row>
    <row r="43" spans="1:7" x14ac:dyDescent="0.2">
      <c r="A43" s="9"/>
      <c r="B43" s="27" t="s">
        <v>94</v>
      </c>
      <c r="C43" s="16" t="s">
        <v>95</v>
      </c>
      <c r="D43" s="16" t="s">
        <v>96</v>
      </c>
      <c r="E43" s="18">
        <v>492809</v>
      </c>
      <c r="F43" s="19">
        <v>561.80226000000005</v>
      </c>
      <c r="G43" s="28">
        <v>1.1426789298024766E-2</v>
      </c>
    </row>
    <row r="44" spans="1:7" x14ac:dyDescent="0.2">
      <c r="A44" s="9"/>
      <c r="B44" s="27" t="s">
        <v>83</v>
      </c>
      <c r="C44" s="16" t="s">
        <v>84</v>
      </c>
      <c r="D44" s="16" t="s">
        <v>85</v>
      </c>
      <c r="E44" s="18">
        <v>189219</v>
      </c>
      <c r="F44" s="19">
        <v>509.47215749999998</v>
      </c>
      <c r="G44" s="28">
        <v>1.0362420038969918E-2</v>
      </c>
    </row>
    <row r="45" spans="1:7" x14ac:dyDescent="0.2">
      <c r="A45" s="9"/>
      <c r="B45" s="27" t="s">
        <v>143</v>
      </c>
      <c r="C45" s="16" t="s">
        <v>144</v>
      </c>
      <c r="D45" s="16" t="s">
        <v>93</v>
      </c>
      <c r="E45" s="18">
        <v>35780</v>
      </c>
      <c r="F45" s="19">
        <v>496.21492999999998</v>
      </c>
      <c r="G45" s="28">
        <v>1.0092774371616285E-2</v>
      </c>
    </row>
    <row r="46" spans="1:7" x14ac:dyDescent="0.2">
      <c r="A46" s="9"/>
      <c r="B46" s="27" t="s">
        <v>106</v>
      </c>
      <c r="C46" s="16" t="s">
        <v>107</v>
      </c>
      <c r="D46" s="16" t="s">
        <v>64</v>
      </c>
      <c r="E46" s="18">
        <v>218000</v>
      </c>
      <c r="F46" s="19">
        <v>495.95</v>
      </c>
      <c r="G46" s="28">
        <v>1.0087385822113607E-2</v>
      </c>
    </row>
    <row r="47" spans="1:7" x14ac:dyDescent="0.2">
      <c r="A47" s="9"/>
      <c r="B47" s="27" t="s">
        <v>91</v>
      </c>
      <c r="C47" s="16" t="s">
        <v>92</v>
      </c>
      <c r="D47" s="16" t="s">
        <v>93</v>
      </c>
      <c r="E47" s="18">
        <v>14534</v>
      </c>
      <c r="F47" s="19">
        <v>449.46395000000001</v>
      </c>
      <c r="G47" s="28">
        <v>9.1418817961108571E-3</v>
      </c>
    </row>
    <row r="48" spans="1:7" x14ac:dyDescent="0.2">
      <c r="A48" s="9"/>
      <c r="B48" s="27" t="s">
        <v>68</v>
      </c>
      <c r="C48" s="16" t="s">
        <v>69</v>
      </c>
      <c r="D48" s="16" t="s">
        <v>61</v>
      </c>
      <c r="E48" s="18">
        <v>56500</v>
      </c>
      <c r="F48" s="19">
        <v>445.55900000000003</v>
      </c>
      <c r="G48" s="28">
        <v>9.0624569805728746E-3</v>
      </c>
    </row>
    <row r="49" spans="1:7" x14ac:dyDescent="0.2">
      <c r="A49" s="9"/>
      <c r="B49" s="27" t="s">
        <v>110</v>
      </c>
      <c r="C49" s="16" t="s">
        <v>111</v>
      </c>
      <c r="D49" s="16" t="s">
        <v>88</v>
      </c>
      <c r="E49" s="18">
        <v>239294</v>
      </c>
      <c r="F49" s="19">
        <v>394.476159</v>
      </c>
      <c r="G49" s="28">
        <v>8.0234564239508692E-3</v>
      </c>
    </row>
    <row r="50" spans="1:7" x14ac:dyDescent="0.2">
      <c r="A50" s="9"/>
      <c r="B50" s="27" t="s">
        <v>125</v>
      </c>
      <c r="C50" s="16" t="s">
        <v>126</v>
      </c>
      <c r="D50" s="16" t="s">
        <v>85</v>
      </c>
      <c r="E50" s="18">
        <v>126000</v>
      </c>
      <c r="F50" s="19">
        <v>382.41</v>
      </c>
      <c r="G50" s="28">
        <v>7.7780365202832239E-3</v>
      </c>
    </row>
    <row r="51" spans="1:7" x14ac:dyDescent="0.2">
      <c r="A51" s="9"/>
      <c r="B51" s="27" t="s">
        <v>331</v>
      </c>
      <c r="C51" s="16" t="s">
        <v>332</v>
      </c>
      <c r="D51" s="16" t="s">
        <v>61</v>
      </c>
      <c r="E51" s="18">
        <v>37220</v>
      </c>
      <c r="F51" s="19">
        <v>348.36059</v>
      </c>
      <c r="G51" s="28">
        <v>7.0854878043131999E-3</v>
      </c>
    </row>
    <row r="52" spans="1:7" x14ac:dyDescent="0.2">
      <c r="A52" s="9"/>
      <c r="B52" s="27" t="s">
        <v>306</v>
      </c>
      <c r="C52" s="16" t="s">
        <v>307</v>
      </c>
      <c r="D52" s="16" t="s">
        <v>105</v>
      </c>
      <c r="E52" s="18">
        <v>98000</v>
      </c>
      <c r="F52" s="19">
        <v>330.89699999999999</v>
      </c>
      <c r="G52" s="28">
        <v>6.7302867353159117E-3</v>
      </c>
    </row>
    <row r="53" spans="1:7" x14ac:dyDescent="0.2">
      <c r="A53" s="9"/>
      <c r="B53" s="27" t="s">
        <v>80</v>
      </c>
      <c r="C53" s="16" t="s">
        <v>81</v>
      </c>
      <c r="D53" s="16" t="s">
        <v>82</v>
      </c>
      <c r="E53" s="18">
        <v>25955</v>
      </c>
      <c r="F53" s="19">
        <v>322.21834749999999</v>
      </c>
      <c r="G53" s="28">
        <v>6.5537670938529604E-3</v>
      </c>
    </row>
    <row r="54" spans="1:7" x14ac:dyDescent="0.2">
      <c r="A54" s="9"/>
      <c r="B54" s="27" t="s">
        <v>108</v>
      </c>
      <c r="C54" s="16" t="s">
        <v>109</v>
      </c>
      <c r="D54" s="16" t="s">
        <v>44</v>
      </c>
      <c r="E54" s="18">
        <v>183578</v>
      </c>
      <c r="F54" s="19">
        <v>313.55122399999999</v>
      </c>
      <c r="G54" s="28">
        <v>6.3774819467365016E-3</v>
      </c>
    </row>
    <row r="55" spans="1:7" x14ac:dyDescent="0.2">
      <c r="A55" s="9"/>
      <c r="B55" s="27" t="s">
        <v>114</v>
      </c>
      <c r="C55" s="16" t="s">
        <v>115</v>
      </c>
      <c r="D55" s="16" t="s">
        <v>47</v>
      </c>
      <c r="E55" s="18">
        <v>1068899</v>
      </c>
      <c r="F55" s="19">
        <v>288.06828050000001</v>
      </c>
      <c r="G55" s="28">
        <v>5.8591710626400761E-3</v>
      </c>
    </row>
    <row r="56" spans="1:7" x14ac:dyDescent="0.2">
      <c r="A56" s="9"/>
      <c r="B56" s="27" t="s">
        <v>161</v>
      </c>
      <c r="C56" s="16" t="s">
        <v>162</v>
      </c>
      <c r="D56" s="16" t="s">
        <v>163</v>
      </c>
      <c r="E56" s="18">
        <v>17253</v>
      </c>
      <c r="F56" s="19">
        <v>224.82384300000001</v>
      </c>
      <c r="G56" s="28">
        <v>4.5728094492414467E-3</v>
      </c>
    </row>
    <row r="57" spans="1:7" x14ac:dyDescent="0.2">
      <c r="A57" s="9"/>
      <c r="B57" s="27" t="s">
        <v>333</v>
      </c>
      <c r="C57" s="16" t="s">
        <v>334</v>
      </c>
      <c r="D57" s="16" t="s">
        <v>52</v>
      </c>
      <c r="E57" s="18">
        <v>1539</v>
      </c>
      <c r="F57" s="19">
        <v>23.439739500000002</v>
      </c>
      <c r="G57" s="28">
        <v>4.7675309185671197E-4</v>
      </c>
    </row>
    <row r="58" spans="1:7" x14ac:dyDescent="0.2">
      <c r="A58" s="9"/>
      <c r="B58" s="27" t="s">
        <v>173</v>
      </c>
      <c r="C58" s="16" t="s">
        <v>174</v>
      </c>
      <c r="D58" s="16" t="s">
        <v>96</v>
      </c>
      <c r="E58" s="18">
        <v>5230</v>
      </c>
      <c r="F58" s="19">
        <v>13.951025</v>
      </c>
      <c r="G58" s="28">
        <v>2.8375717670924992E-4</v>
      </c>
    </row>
    <row r="59" spans="1:7" x14ac:dyDescent="0.2">
      <c r="A59" s="9"/>
      <c r="B59" s="27" t="s">
        <v>169</v>
      </c>
      <c r="C59" s="16" t="s">
        <v>170</v>
      </c>
      <c r="D59" s="16" t="s">
        <v>79</v>
      </c>
      <c r="E59" s="18">
        <v>2700</v>
      </c>
      <c r="F59" s="19">
        <v>8.3699999999999992</v>
      </c>
      <c r="G59" s="28">
        <v>1.7024179721966104E-4</v>
      </c>
    </row>
    <row r="60" spans="1:7" x14ac:dyDescent="0.2">
      <c r="A60" s="9"/>
      <c r="B60" s="27" t="s">
        <v>335</v>
      </c>
      <c r="C60" s="16" t="s">
        <v>336</v>
      </c>
      <c r="D60" s="16" t="s">
        <v>61</v>
      </c>
      <c r="E60" s="18">
        <v>139</v>
      </c>
      <c r="F60" s="19">
        <v>3.4203035000000002</v>
      </c>
      <c r="G60" s="28">
        <v>6.9567337500202746E-5</v>
      </c>
    </row>
    <row r="61" spans="1:7" x14ac:dyDescent="0.2">
      <c r="A61" s="9"/>
      <c r="B61" s="27" t="s">
        <v>230</v>
      </c>
      <c r="C61" s="16" t="s">
        <v>231</v>
      </c>
      <c r="D61" s="16" t="s">
        <v>93</v>
      </c>
      <c r="E61" s="18">
        <v>50</v>
      </c>
      <c r="F61" s="19">
        <v>1.4090499999999999</v>
      </c>
      <c r="G61" s="28" t="s">
        <v>175</v>
      </c>
    </row>
    <row r="62" spans="1:7" x14ac:dyDescent="0.2">
      <c r="A62" s="1"/>
      <c r="B62" s="21" t="s">
        <v>30</v>
      </c>
      <c r="C62" s="16" t="s">
        <v>1</v>
      </c>
      <c r="D62" s="16" t="s">
        <v>1</v>
      </c>
      <c r="E62" s="16" t="s">
        <v>1</v>
      </c>
      <c r="F62" s="20">
        <v>47055.995129000003</v>
      </c>
      <c r="G62" s="29">
        <v>0.95709643736207595</v>
      </c>
    </row>
    <row r="63" spans="1:7" x14ac:dyDescent="0.2">
      <c r="A63" s="1"/>
      <c r="B63" s="21"/>
      <c r="C63" s="16"/>
      <c r="D63" s="16"/>
      <c r="E63" s="16"/>
      <c r="F63" s="20"/>
      <c r="G63" s="29"/>
    </row>
    <row r="64" spans="1:7" x14ac:dyDescent="0.2">
      <c r="A64" s="1"/>
      <c r="B64" s="21" t="s">
        <v>176</v>
      </c>
      <c r="C64" s="16" t="s">
        <v>1</v>
      </c>
      <c r="D64" s="16" t="s">
        <v>1</v>
      </c>
      <c r="E64" s="20" t="s">
        <v>177</v>
      </c>
      <c r="F64" s="20" t="s">
        <v>177</v>
      </c>
      <c r="G64" s="29" t="s">
        <v>177</v>
      </c>
    </row>
    <row r="65" spans="1:7" x14ac:dyDescent="0.2">
      <c r="A65" s="1"/>
      <c r="B65" s="21" t="s">
        <v>30</v>
      </c>
      <c r="C65" s="16" t="s">
        <v>1</v>
      </c>
      <c r="D65" s="16" t="s">
        <v>1</v>
      </c>
      <c r="E65" s="20" t="s">
        <v>177</v>
      </c>
      <c r="F65" s="20" t="s">
        <v>177</v>
      </c>
      <c r="G65" s="29" t="s">
        <v>177</v>
      </c>
    </row>
    <row r="66" spans="1:7" x14ac:dyDescent="0.2">
      <c r="A66" s="1"/>
      <c r="B66" s="21" t="s">
        <v>31</v>
      </c>
      <c r="C66" s="16" t="s">
        <v>1</v>
      </c>
      <c r="D66" s="16" t="s">
        <v>1</v>
      </c>
      <c r="E66" s="16" t="s">
        <v>1</v>
      </c>
      <c r="F66" s="20">
        <v>47055.995129000003</v>
      </c>
      <c r="G66" s="29">
        <v>0.95709643736207595</v>
      </c>
    </row>
    <row r="67" spans="1:7" x14ac:dyDescent="0.2">
      <c r="A67" s="1"/>
      <c r="B67" s="21"/>
      <c r="C67" s="16"/>
      <c r="D67" s="16"/>
      <c r="E67" s="16"/>
      <c r="F67" s="20"/>
      <c r="G67" s="29"/>
    </row>
    <row r="68" spans="1:7" x14ac:dyDescent="0.2">
      <c r="A68" s="1"/>
      <c r="B68" s="21" t="s">
        <v>190</v>
      </c>
      <c r="C68" s="16" t="s">
        <v>1</v>
      </c>
      <c r="D68" s="16" t="s">
        <v>1</v>
      </c>
      <c r="E68" s="16" t="s">
        <v>1</v>
      </c>
      <c r="F68" s="17" t="s">
        <v>1</v>
      </c>
      <c r="G68" s="26" t="s">
        <v>1</v>
      </c>
    </row>
    <row r="69" spans="1:7" x14ac:dyDescent="0.2">
      <c r="A69" s="9"/>
      <c r="B69" s="27" t="s">
        <v>337</v>
      </c>
      <c r="C69" s="16" t="s">
        <v>338</v>
      </c>
      <c r="D69" s="16" t="s">
        <v>1</v>
      </c>
      <c r="E69" s="18">
        <v>2500440</v>
      </c>
      <c r="F69" s="19">
        <v>257.50031209999997</v>
      </c>
      <c r="G69" s="28">
        <v>5.2374332038862166E-3</v>
      </c>
    </row>
    <row r="70" spans="1:7" x14ac:dyDescent="0.2">
      <c r="A70" s="1"/>
      <c r="B70" s="21" t="s">
        <v>30</v>
      </c>
      <c r="C70" s="16" t="s">
        <v>1</v>
      </c>
      <c r="D70" s="16" t="s">
        <v>1</v>
      </c>
      <c r="E70" s="16" t="s">
        <v>1</v>
      </c>
      <c r="F70" s="20">
        <v>257.50031209999997</v>
      </c>
      <c r="G70" s="29">
        <v>5.2374332038862166E-3</v>
      </c>
    </row>
    <row r="71" spans="1:7" x14ac:dyDescent="0.2">
      <c r="A71" s="1"/>
      <c r="B71" s="21" t="s">
        <v>31</v>
      </c>
      <c r="C71" s="16" t="s">
        <v>1</v>
      </c>
      <c r="D71" s="16" t="s">
        <v>1</v>
      </c>
      <c r="E71" s="16" t="s">
        <v>1</v>
      </c>
      <c r="F71" s="20">
        <v>257.50031209999997</v>
      </c>
      <c r="G71" s="29">
        <v>5.2374332038862166E-3</v>
      </c>
    </row>
    <row r="72" spans="1:7" x14ac:dyDescent="0.2">
      <c r="A72" s="1"/>
      <c r="B72" s="21"/>
      <c r="C72" s="16"/>
      <c r="D72" s="16"/>
      <c r="E72" s="16"/>
      <c r="F72" s="20"/>
      <c r="G72" s="29"/>
    </row>
    <row r="73" spans="1:7" x14ac:dyDescent="0.2">
      <c r="A73" s="1"/>
      <c r="B73" s="22" t="s">
        <v>353</v>
      </c>
      <c r="C73" s="16"/>
      <c r="D73" s="16"/>
      <c r="E73" s="16"/>
      <c r="F73" s="20"/>
      <c r="G73" s="29"/>
    </row>
    <row r="74" spans="1:7" x14ac:dyDescent="0.2">
      <c r="A74" s="1"/>
      <c r="B74" s="23" t="s">
        <v>357</v>
      </c>
      <c r="C74" s="16"/>
      <c r="D74" s="16"/>
      <c r="E74" s="20" t="s">
        <v>177</v>
      </c>
      <c r="F74" s="20" t="s">
        <v>177</v>
      </c>
      <c r="G74" s="30" t="s">
        <v>177</v>
      </c>
    </row>
    <row r="75" spans="1:7" x14ac:dyDescent="0.2">
      <c r="A75" s="1"/>
      <c r="B75" s="23" t="s">
        <v>355</v>
      </c>
      <c r="C75" s="16"/>
      <c r="D75" s="16"/>
      <c r="E75" s="20" t="s">
        <v>177</v>
      </c>
      <c r="F75" s="20" t="s">
        <v>177</v>
      </c>
      <c r="G75" s="30" t="s">
        <v>177</v>
      </c>
    </row>
    <row r="76" spans="1:7" x14ac:dyDescent="0.2">
      <c r="A76" s="1"/>
      <c r="B76" s="23" t="s">
        <v>356</v>
      </c>
      <c r="C76" s="16"/>
      <c r="D76" s="16"/>
      <c r="E76" s="20" t="s">
        <v>177</v>
      </c>
      <c r="F76" s="20" t="s">
        <v>177</v>
      </c>
      <c r="G76" s="30" t="s">
        <v>177</v>
      </c>
    </row>
    <row r="77" spans="1:7" x14ac:dyDescent="0.2">
      <c r="A77" s="1"/>
      <c r="B77" s="21"/>
      <c r="C77" s="16"/>
      <c r="D77" s="16"/>
      <c r="E77" s="16"/>
      <c r="F77" s="20"/>
      <c r="G77" s="29"/>
    </row>
    <row r="78" spans="1:7" x14ac:dyDescent="0.2">
      <c r="A78" s="1"/>
      <c r="B78" s="21" t="s">
        <v>9</v>
      </c>
      <c r="C78" s="16"/>
      <c r="D78" s="16"/>
      <c r="E78" s="16"/>
      <c r="F78" s="20"/>
      <c r="G78" s="29"/>
    </row>
    <row r="79" spans="1:7" x14ac:dyDescent="0.2">
      <c r="A79" s="1"/>
      <c r="B79" s="21" t="s">
        <v>32</v>
      </c>
      <c r="C79" s="16" t="s">
        <v>1</v>
      </c>
      <c r="D79" s="16" t="s">
        <v>1</v>
      </c>
      <c r="E79" s="16" t="s">
        <v>1</v>
      </c>
      <c r="F79" s="17" t="s">
        <v>1</v>
      </c>
      <c r="G79" s="26" t="s">
        <v>1</v>
      </c>
    </row>
    <row r="80" spans="1:7" x14ac:dyDescent="0.2">
      <c r="A80" s="9"/>
      <c r="B80" s="27" t="s">
        <v>33</v>
      </c>
      <c r="C80" s="16" t="s">
        <v>1</v>
      </c>
      <c r="D80" s="16" t="s">
        <v>34</v>
      </c>
      <c r="E80" s="18"/>
      <c r="F80" s="19">
        <v>1266.3152143</v>
      </c>
      <c r="G80" s="28">
        <v>2.5756245869657374E-2</v>
      </c>
    </row>
    <row r="81" spans="1:7" x14ac:dyDescent="0.2">
      <c r="A81" s="1"/>
      <c r="B81" s="21" t="s">
        <v>30</v>
      </c>
      <c r="C81" s="16" t="s">
        <v>1</v>
      </c>
      <c r="D81" s="16" t="s">
        <v>1</v>
      </c>
      <c r="E81" s="16" t="s">
        <v>1</v>
      </c>
      <c r="F81" s="20">
        <v>1266.3152143</v>
      </c>
      <c r="G81" s="29">
        <v>2.5756245869657374E-2</v>
      </c>
    </row>
    <row r="82" spans="1:7" x14ac:dyDescent="0.2">
      <c r="A82" s="1"/>
      <c r="B82" s="21" t="s">
        <v>31</v>
      </c>
      <c r="C82" s="16" t="s">
        <v>1</v>
      </c>
      <c r="D82" s="16" t="s">
        <v>1</v>
      </c>
      <c r="E82" s="16" t="s">
        <v>1</v>
      </c>
      <c r="F82" s="20">
        <v>1266.3152143</v>
      </c>
      <c r="G82" s="29">
        <v>2.5756245869657374E-2</v>
      </c>
    </row>
    <row r="83" spans="1:7" x14ac:dyDescent="0.2">
      <c r="A83" s="1"/>
      <c r="B83" s="21"/>
      <c r="C83" s="16"/>
      <c r="D83" s="16"/>
      <c r="E83" s="16"/>
      <c r="F83" s="20"/>
      <c r="G83" s="29"/>
    </row>
    <row r="84" spans="1:7" x14ac:dyDescent="0.2">
      <c r="A84" s="1"/>
      <c r="B84" s="21" t="s">
        <v>189</v>
      </c>
      <c r="C84" s="16"/>
      <c r="D84" s="16"/>
      <c r="E84" s="16"/>
      <c r="F84" s="20"/>
      <c r="G84" s="29"/>
    </row>
    <row r="85" spans="1:7" ht="13.5" thickBot="1" x14ac:dyDescent="0.25">
      <c r="A85" s="1"/>
      <c r="B85" s="44" t="s">
        <v>35</v>
      </c>
      <c r="C85" s="45" t="s">
        <v>1</v>
      </c>
      <c r="D85" s="45" t="s">
        <v>1</v>
      </c>
      <c r="E85" s="45" t="s">
        <v>1</v>
      </c>
      <c r="F85" s="46">
        <v>585.55376565510005</v>
      </c>
      <c r="G85" s="47">
        <v>1.190988356438042E-2</v>
      </c>
    </row>
    <row r="86" spans="1:7" ht="14.25" thickTop="1" thickBot="1" x14ac:dyDescent="0.25">
      <c r="A86" s="1"/>
      <c r="B86" s="40" t="s">
        <v>36</v>
      </c>
      <c r="C86" s="41" t="s">
        <v>1</v>
      </c>
      <c r="D86" s="41" t="s">
        <v>1</v>
      </c>
      <c r="E86" s="41" t="s">
        <v>1</v>
      </c>
      <c r="F86" s="42">
        <v>49165.364421055099</v>
      </c>
      <c r="G86" s="43">
        <v>1</v>
      </c>
    </row>
    <row r="87" spans="1:7" x14ac:dyDescent="0.2">
      <c r="A87" s="1"/>
      <c r="B87" s="7" t="s">
        <v>1</v>
      </c>
      <c r="C87" s="1"/>
      <c r="D87" s="1"/>
      <c r="E87" s="1"/>
      <c r="F87" s="3"/>
      <c r="G87" s="4"/>
    </row>
    <row r="88" spans="1:7" x14ac:dyDescent="0.2">
      <c r="A88" s="1"/>
      <c r="B88" s="2" t="s">
        <v>34</v>
      </c>
      <c r="C88" s="1"/>
      <c r="D88" s="1"/>
      <c r="E88" s="1"/>
      <c r="F88" s="3"/>
      <c r="G88" s="4"/>
    </row>
    <row r="89" spans="1:7" x14ac:dyDescent="0.2">
      <c r="A89" s="1"/>
      <c r="B89" s="2" t="s">
        <v>178</v>
      </c>
      <c r="C89" s="1"/>
      <c r="D89" s="1"/>
      <c r="E89" s="1"/>
      <c r="F89" s="3"/>
      <c r="G89" s="4"/>
    </row>
    <row r="90" spans="1:7" x14ac:dyDescent="0.2">
      <c r="A90" s="1"/>
      <c r="B90" s="2" t="s">
        <v>358</v>
      </c>
      <c r="C90" s="1"/>
      <c r="D90" s="1"/>
      <c r="E90" s="1"/>
      <c r="F90" s="3"/>
      <c r="G90" s="4"/>
    </row>
    <row r="91" spans="1:7" ht="13.5" thickBot="1" x14ac:dyDescent="0.25">
      <c r="A91" s="1"/>
      <c r="B91" s="2" t="s">
        <v>1</v>
      </c>
      <c r="C91" s="1"/>
      <c r="D91" s="1"/>
      <c r="E91" s="1"/>
      <c r="F91" s="3"/>
      <c r="G91" s="4"/>
    </row>
    <row r="92" spans="1:7" ht="13.5" thickBot="1" x14ac:dyDescent="0.25">
      <c r="B92" s="48" t="s">
        <v>366</v>
      </c>
      <c r="C92" s="49">
        <v>0.48230000000000001</v>
      </c>
    </row>
    <row r="93" spans="1:7" x14ac:dyDescent="0.2">
      <c r="B93" s="7" t="s">
        <v>367</v>
      </c>
      <c r="C93" s="7"/>
    </row>
  </sheetData>
  <mergeCells count="2">
    <mergeCell ref="B1:G1"/>
    <mergeCell ref="B2:G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Views>
    <sheetView showGridLines="0" zoomScaleNormal="100" workbookViewId="0">
      <selection activeCell="C5" sqref="C5"/>
    </sheetView>
  </sheetViews>
  <sheetFormatPr defaultRowHeight="12.75" x14ac:dyDescent="0.2"/>
  <cols>
    <col min="1" max="1" width="11.42578125" style="5" bestFit="1" customWidth="1"/>
    <col min="2" max="2" width="46.7109375" style="5" bestFit="1" customWidth="1"/>
    <col min="3" max="5" width="18.7109375" style="5" customWidth="1"/>
    <col min="6" max="6" width="18.7109375" style="10" customWidth="1"/>
    <col min="7" max="7" width="18.7109375" style="11" customWidth="1"/>
    <col min="8" max="16384" width="9.140625" style="5"/>
  </cols>
  <sheetData>
    <row r="1" spans="1:7" ht="18.75" x14ac:dyDescent="0.2">
      <c r="A1" s="1"/>
      <c r="B1" s="100" t="s">
        <v>376</v>
      </c>
      <c r="C1" s="101"/>
      <c r="D1" s="101"/>
      <c r="E1" s="101"/>
      <c r="F1" s="101"/>
      <c r="G1" s="102"/>
    </row>
    <row r="2" spans="1:7" ht="15.95" customHeight="1" thickBot="1" x14ac:dyDescent="0.25">
      <c r="A2" s="1"/>
      <c r="B2" s="103" t="s">
        <v>377</v>
      </c>
      <c r="C2" s="104"/>
      <c r="D2" s="104"/>
      <c r="E2" s="104"/>
      <c r="F2" s="104"/>
      <c r="G2" s="105"/>
    </row>
    <row r="3" spans="1:7" ht="12.95" customHeight="1" x14ac:dyDescent="0.2">
      <c r="A3" s="1"/>
      <c r="B3" s="6" t="s">
        <v>1</v>
      </c>
      <c r="C3" s="1"/>
      <c r="D3" s="1"/>
      <c r="E3" s="1"/>
      <c r="F3" s="3"/>
      <c r="G3" s="4"/>
    </row>
    <row r="4" spans="1:7" ht="12.95" customHeight="1" thickBot="1" x14ac:dyDescent="0.25">
      <c r="A4" s="7"/>
      <c r="B4" s="8" t="s">
        <v>2</v>
      </c>
      <c r="C4" s="1"/>
      <c r="D4" s="1"/>
      <c r="E4" s="1"/>
      <c r="F4" s="3"/>
      <c r="G4" s="4"/>
    </row>
    <row r="5" spans="1:7" ht="27.95" customHeight="1" thickBot="1" x14ac:dyDescent="0.25">
      <c r="A5" s="1"/>
      <c r="B5" s="35" t="s">
        <v>3</v>
      </c>
      <c r="C5" s="36" t="s">
        <v>4</v>
      </c>
      <c r="D5" s="37" t="s">
        <v>365</v>
      </c>
      <c r="E5" s="37" t="s">
        <v>6</v>
      </c>
      <c r="F5" s="38" t="s">
        <v>7</v>
      </c>
      <c r="G5" s="39" t="s">
        <v>8</v>
      </c>
    </row>
    <row r="6" spans="1:7" ht="12.95" customHeight="1" x14ac:dyDescent="0.2">
      <c r="A6" s="1"/>
      <c r="B6" s="31" t="s">
        <v>40</v>
      </c>
      <c r="C6" s="32" t="s">
        <v>1</v>
      </c>
      <c r="D6" s="32" t="s">
        <v>1</v>
      </c>
      <c r="E6" s="32" t="s">
        <v>1</v>
      </c>
      <c r="F6" s="33" t="s">
        <v>1</v>
      </c>
      <c r="G6" s="34" t="s">
        <v>1</v>
      </c>
    </row>
    <row r="7" spans="1:7" ht="12.95" customHeight="1" x14ac:dyDescent="0.2">
      <c r="A7" s="1"/>
      <c r="B7" s="21" t="s">
        <v>41</v>
      </c>
      <c r="C7" s="16" t="s">
        <v>1</v>
      </c>
      <c r="D7" s="16" t="s">
        <v>1</v>
      </c>
      <c r="E7" s="16" t="s">
        <v>1</v>
      </c>
      <c r="F7" s="17" t="s">
        <v>1</v>
      </c>
      <c r="G7" s="26" t="s">
        <v>1</v>
      </c>
    </row>
    <row r="8" spans="1:7" ht="12.95" customHeight="1" x14ac:dyDescent="0.2">
      <c r="A8" s="9"/>
      <c r="B8" s="27" t="s">
        <v>42</v>
      </c>
      <c r="C8" s="16" t="s">
        <v>43</v>
      </c>
      <c r="D8" s="16" t="s">
        <v>44</v>
      </c>
      <c r="E8" s="18">
        <v>97600</v>
      </c>
      <c r="F8" s="19">
        <v>1384.0168000000001</v>
      </c>
      <c r="G8" s="28">
        <v>4.3769110767742141E-2</v>
      </c>
    </row>
    <row r="9" spans="1:7" ht="12.95" customHeight="1" x14ac:dyDescent="0.2">
      <c r="A9" s="9"/>
      <c r="B9" s="27" t="s">
        <v>45</v>
      </c>
      <c r="C9" s="16" t="s">
        <v>46</v>
      </c>
      <c r="D9" s="16" t="s">
        <v>47</v>
      </c>
      <c r="E9" s="18">
        <v>130934</v>
      </c>
      <c r="F9" s="19">
        <v>1167.080209</v>
      </c>
      <c r="G9" s="28">
        <v>3.690855699335488E-2</v>
      </c>
    </row>
    <row r="10" spans="1:7" ht="12.95" customHeight="1" x14ac:dyDescent="0.2">
      <c r="A10" s="9"/>
      <c r="B10" s="27" t="s">
        <v>48</v>
      </c>
      <c r="C10" s="16" t="s">
        <v>49</v>
      </c>
      <c r="D10" s="16" t="s">
        <v>44</v>
      </c>
      <c r="E10" s="18">
        <v>989595</v>
      </c>
      <c r="F10" s="19">
        <v>1150.898985</v>
      </c>
      <c r="G10" s="28">
        <v>3.6396830701005217E-2</v>
      </c>
    </row>
    <row r="11" spans="1:7" ht="12.95" customHeight="1" x14ac:dyDescent="0.2">
      <c r="A11" s="9"/>
      <c r="B11" s="27" t="s">
        <v>50</v>
      </c>
      <c r="C11" s="16" t="s">
        <v>51</v>
      </c>
      <c r="D11" s="16" t="s">
        <v>52</v>
      </c>
      <c r="E11" s="18">
        <v>59050</v>
      </c>
      <c r="F11" s="19">
        <v>1135.5315000000001</v>
      </c>
      <c r="G11" s="28">
        <v>3.5910838657276692E-2</v>
      </c>
    </row>
    <row r="12" spans="1:7" ht="12.95" customHeight="1" x14ac:dyDescent="0.2">
      <c r="A12" s="9"/>
      <c r="B12" s="27" t="s">
        <v>53</v>
      </c>
      <c r="C12" s="16" t="s">
        <v>54</v>
      </c>
      <c r="D12" s="16" t="s">
        <v>55</v>
      </c>
      <c r="E12" s="18">
        <v>301684</v>
      </c>
      <c r="F12" s="19">
        <v>903.69442200000003</v>
      </c>
      <c r="G12" s="28">
        <v>2.8579061509013987E-2</v>
      </c>
    </row>
    <row r="13" spans="1:7" ht="12.95" customHeight="1" x14ac:dyDescent="0.2">
      <c r="A13" s="9"/>
      <c r="B13" s="27" t="s">
        <v>56</v>
      </c>
      <c r="C13" s="16" t="s">
        <v>57</v>
      </c>
      <c r="D13" s="16" t="s">
        <v>58</v>
      </c>
      <c r="E13" s="18">
        <v>218838</v>
      </c>
      <c r="F13" s="19">
        <v>876.77444700000001</v>
      </c>
      <c r="G13" s="28">
        <v>2.7727725479249139E-2</v>
      </c>
    </row>
    <row r="14" spans="1:7" ht="12.95" customHeight="1" x14ac:dyDescent="0.2">
      <c r="A14" s="9"/>
      <c r="B14" s="27" t="s">
        <v>59</v>
      </c>
      <c r="C14" s="16" t="s">
        <v>60</v>
      </c>
      <c r="D14" s="16" t="s">
        <v>61</v>
      </c>
      <c r="E14" s="18">
        <v>64967</v>
      </c>
      <c r="F14" s="19">
        <v>828.45918400000005</v>
      </c>
      <c r="G14" s="28">
        <v>2.6199769967423275E-2</v>
      </c>
    </row>
    <row r="15" spans="1:7" ht="12.95" customHeight="1" x14ac:dyDescent="0.2">
      <c r="A15" s="9"/>
      <c r="B15" s="27" t="s">
        <v>62</v>
      </c>
      <c r="C15" s="16" t="s">
        <v>63</v>
      </c>
      <c r="D15" s="16" t="s">
        <v>64</v>
      </c>
      <c r="E15" s="18">
        <v>360309</v>
      </c>
      <c r="F15" s="19">
        <v>799.34551650000003</v>
      </c>
      <c r="G15" s="28">
        <v>2.5279059078897419E-2</v>
      </c>
    </row>
    <row r="16" spans="1:7" ht="12.95" customHeight="1" x14ac:dyDescent="0.2">
      <c r="A16" s="9"/>
      <c r="B16" s="27" t="s">
        <v>65</v>
      </c>
      <c r="C16" s="16" t="s">
        <v>66</v>
      </c>
      <c r="D16" s="16" t="s">
        <v>67</v>
      </c>
      <c r="E16" s="18">
        <v>1321959</v>
      </c>
      <c r="F16" s="19">
        <v>783.92168700000002</v>
      </c>
      <c r="G16" s="28">
        <v>2.4791285157476618E-2</v>
      </c>
    </row>
    <row r="17" spans="1:7" ht="12.95" customHeight="1" x14ac:dyDescent="0.2">
      <c r="A17" s="9"/>
      <c r="B17" s="27" t="s">
        <v>68</v>
      </c>
      <c r="C17" s="16" t="s">
        <v>69</v>
      </c>
      <c r="D17" s="16" t="s">
        <v>61</v>
      </c>
      <c r="E17" s="18">
        <v>97304</v>
      </c>
      <c r="F17" s="19">
        <v>767.33934399999998</v>
      </c>
      <c r="G17" s="28">
        <v>2.4266873598631597E-2</v>
      </c>
    </row>
    <row r="18" spans="1:7" ht="12.95" customHeight="1" x14ac:dyDescent="0.2">
      <c r="A18" s="9"/>
      <c r="B18" s="27" t="s">
        <v>70</v>
      </c>
      <c r="C18" s="16" t="s">
        <v>71</v>
      </c>
      <c r="D18" s="16" t="s">
        <v>55</v>
      </c>
      <c r="E18" s="18">
        <v>183178</v>
      </c>
      <c r="F18" s="19">
        <v>745.99240499999996</v>
      </c>
      <c r="G18" s="28">
        <v>2.3591783139004781E-2</v>
      </c>
    </row>
    <row r="19" spans="1:7" ht="12.95" customHeight="1" x14ac:dyDescent="0.2">
      <c r="A19" s="9"/>
      <c r="B19" s="27" t="s">
        <v>72</v>
      </c>
      <c r="C19" s="16" t="s">
        <v>73</v>
      </c>
      <c r="D19" s="16" t="s">
        <v>74</v>
      </c>
      <c r="E19" s="18">
        <v>126524</v>
      </c>
      <c r="F19" s="19">
        <v>730.61283800000001</v>
      </c>
      <c r="G19" s="28">
        <v>2.310540900569736E-2</v>
      </c>
    </row>
    <row r="20" spans="1:7" ht="12.95" customHeight="1" x14ac:dyDescent="0.2">
      <c r="A20" s="9"/>
      <c r="B20" s="27" t="s">
        <v>75</v>
      </c>
      <c r="C20" s="16" t="s">
        <v>76</v>
      </c>
      <c r="D20" s="16" t="s">
        <v>58</v>
      </c>
      <c r="E20" s="18">
        <v>430685</v>
      </c>
      <c r="F20" s="19">
        <v>687.37325999999996</v>
      </c>
      <c r="G20" s="28">
        <v>2.1737970489754184E-2</v>
      </c>
    </row>
    <row r="21" spans="1:7" ht="12.95" customHeight="1" x14ac:dyDescent="0.2">
      <c r="A21" s="9"/>
      <c r="B21" s="27" t="s">
        <v>77</v>
      </c>
      <c r="C21" s="16" t="s">
        <v>78</v>
      </c>
      <c r="D21" s="16" t="s">
        <v>79</v>
      </c>
      <c r="E21" s="18">
        <v>314000</v>
      </c>
      <c r="F21" s="19">
        <v>664.73800000000006</v>
      </c>
      <c r="G21" s="28">
        <v>2.1022137269957542E-2</v>
      </c>
    </row>
    <row r="22" spans="1:7" ht="12.95" customHeight="1" x14ac:dyDescent="0.2">
      <c r="A22" s="9"/>
      <c r="B22" s="27" t="s">
        <v>80</v>
      </c>
      <c r="C22" s="16" t="s">
        <v>81</v>
      </c>
      <c r="D22" s="16" t="s">
        <v>82</v>
      </c>
      <c r="E22" s="18">
        <v>53326</v>
      </c>
      <c r="F22" s="19">
        <v>662.01562699999999</v>
      </c>
      <c r="G22" s="28">
        <v>2.0936043051023125E-2</v>
      </c>
    </row>
    <row r="23" spans="1:7" ht="12.95" customHeight="1" x14ac:dyDescent="0.2">
      <c r="A23" s="9"/>
      <c r="B23" s="27" t="s">
        <v>83</v>
      </c>
      <c r="C23" s="16" t="s">
        <v>84</v>
      </c>
      <c r="D23" s="16" t="s">
        <v>85</v>
      </c>
      <c r="E23" s="18">
        <v>241718</v>
      </c>
      <c r="F23" s="19">
        <v>650.82571499999995</v>
      </c>
      <c r="G23" s="28">
        <v>2.0582165484067806E-2</v>
      </c>
    </row>
    <row r="24" spans="1:7" ht="12.95" customHeight="1" x14ac:dyDescent="0.2">
      <c r="A24" s="9"/>
      <c r="B24" s="27" t="s">
        <v>86</v>
      </c>
      <c r="C24" s="16" t="s">
        <v>87</v>
      </c>
      <c r="D24" s="16" t="s">
        <v>88</v>
      </c>
      <c r="E24" s="18">
        <v>27467</v>
      </c>
      <c r="F24" s="19">
        <v>643.34580749999998</v>
      </c>
      <c r="G24" s="28">
        <v>2.0345615682143461E-2</v>
      </c>
    </row>
    <row r="25" spans="1:7" ht="12.95" customHeight="1" x14ac:dyDescent="0.2">
      <c r="A25" s="9"/>
      <c r="B25" s="27" t="s">
        <v>89</v>
      </c>
      <c r="C25" s="16" t="s">
        <v>90</v>
      </c>
      <c r="D25" s="16" t="s">
        <v>64</v>
      </c>
      <c r="E25" s="18">
        <v>377140</v>
      </c>
      <c r="F25" s="19">
        <v>627.18381999999997</v>
      </c>
      <c r="G25" s="28">
        <v>1.9834497738261306E-2</v>
      </c>
    </row>
    <row r="26" spans="1:7" ht="12.95" customHeight="1" x14ac:dyDescent="0.2">
      <c r="A26" s="9"/>
      <c r="B26" s="27" t="s">
        <v>91</v>
      </c>
      <c r="C26" s="16" t="s">
        <v>92</v>
      </c>
      <c r="D26" s="16" t="s">
        <v>93</v>
      </c>
      <c r="E26" s="18">
        <v>20224</v>
      </c>
      <c r="F26" s="19">
        <v>625.42719999999997</v>
      </c>
      <c r="G26" s="28">
        <v>1.9778945164508708E-2</v>
      </c>
    </row>
    <row r="27" spans="1:7" ht="12.95" customHeight="1" x14ac:dyDescent="0.2">
      <c r="A27" s="9"/>
      <c r="B27" s="27" t="s">
        <v>94</v>
      </c>
      <c r="C27" s="16" t="s">
        <v>95</v>
      </c>
      <c r="D27" s="16" t="s">
        <v>96</v>
      </c>
      <c r="E27" s="18">
        <v>548236</v>
      </c>
      <c r="F27" s="19">
        <v>624.98904000000005</v>
      </c>
      <c r="G27" s="28">
        <v>1.9765088487643231E-2</v>
      </c>
    </row>
    <row r="28" spans="1:7" ht="12.95" customHeight="1" x14ac:dyDescent="0.2">
      <c r="A28" s="9"/>
      <c r="B28" s="27" t="s">
        <v>97</v>
      </c>
      <c r="C28" s="16" t="s">
        <v>98</v>
      </c>
      <c r="D28" s="16" t="s">
        <v>61</v>
      </c>
      <c r="E28" s="18">
        <v>100019</v>
      </c>
      <c r="F28" s="19">
        <v>611.46615650000001</v>
      </c>
      <c r="G28" s="28">
        <v>1.93374314058717E-2</v>
      </c>
    </row>
    <row r="29" spans="1:7" ht="12.95" customHeight="1" x14ac:dyDescent="0.2">
      <c r="A29" s="9"/>
      <c r="B29" s="27" t="s">
        <v>99</v>
      </c>
      <c r="C29" s="16" t="s">
        <v>100</v>
      </c>
      <c r="D29" s="16" t="s">
        <v>82</v>
      </c>
      <c r="E29" s="18">
        <v>8808</v>
      </c>
      <c r="F29" s="19">
        <v>587.97363600000006</v>
      </c>
      <c r="G29" s="28">
        <v>1.859448758324039E-2</v>
      </c>
    </row>
    <row r="30" spans="1:7" ht="12.95" customHeight="1" x14ac:dyDescent="0.2">
      <c r="A30" s="9"/>
      <c r="B30" s="27" t="s">
        <v>101</v>
      </c>
      <c r="C30" s="16" t="s">
        <v>102</v>
      </c>
      <c r="D30" s="16" t="s">
        <v>44</v>
      </c>
      <c r="E30" s="18">
        <v>100000</v>
      </c>
      <c r="F30" s="19">
        <v>569.4</v>
      </c>
      <c r="G30" s="28">
        <v>1.8007101988322956E-2</v>
      </c>
    </row>
    <row r="31" spans="1:7" ht="12.95" customHeight="1" x14ac:dyDescent="0.2">
      <c r="A31" s="9"/>
      <c r="B31" s="27" t="s">
        <v>103</v>
      </c>
      <c r="C31" s="16" t="s">
        <v>104</v>
      </c>
      <c r="D31" s="16" t="s">
        <v>105</v>
      </c>
      <c r="E31" s="18">
        <v>92000</v>
      </c>
      <c r="F31" s="19">
        <v>524.44600000000003</v>
      </c>
      <c r="G31" s="28">
        <v>1.6585445397555357E-2</v>
      </c>
    </row>
    <row r="32" spans="1:7" ht="12.95" customHeight="1" x14ac:dyDescent="0.2">
      <c r="A32" s="9"/>
      <c r="B32" s="27" t="s">
        <v>106</v>
      </c>
      <c r="C32" s="16" t="s">
        <v>107</v>
      </c>
      <c r="D32" s="16" t="s">
        <v>64</v>
      </c>
      <c r="E32" s="18">
        <v>227000</v>
      </c>
      <c r="F32" s="19">
        <v>516.42499999999995</v>
      </c>
      <c r="G32" s="28">
        <v>1.6331783709728983E-2</v>
      </c>
    </row>
    <row r="33" spans="1:7" ht="12.95" customHeight="1" x14ac:dyDescent="0.2">
      <c r="A33" s="9"/>
      <c r="B33" s="27" t="s">
        <v>108</v>
      </c>
      <c r="C33" s="16" t="s">
        <v>109</v>
      </c>
      <c r="D33" s="16" t="s">
        <v>44</v>
      </c>
      <c r="E33" s="18">
        <v>291577</v>
      </c>
      <c r="F33" s="19">
        <v>498.01351599999998</v>
      </c>
      <c r="G33" s="28">
        <v>1.574952612254181E-2</v>
      </c>
    </row>
    <row r="34" spans="1:7" ht="12.95" customHeight="1" x14ac:dyDescent="0.2">
      <c r="A34" s="9"/>
      <c r="B34" s="27" t="s">
        <v>110</v>
      </c>
      <c r="C34" s="16" t="s">
        <v>111</v>
      </c>
      <c r="D34" s="16" t="s">
        <v>88</v>
      </c>
      <c r="E34" s="18">
        <v>299652</v>
      </c>
      <c r="F34" s="19">
        <v>493.97632199999998</v>
      </c>
      <c r="G34" s="28">
        <v>1.5621851088989568E-2</v>
      </c>
    </row>
    <row r="35" spans="1:7" ht="12.95" customHeight="1" x14ac:dyDescent="0.2">
      <c r="A35" s="9"/>
      <c r="B35" s="27" t="s">
        <v>112</v>
      </c>
      <c r="C35" s="16" t="s">
        <v>113</v>
      </c>
      <c r="D35" s="16" t="s">
        <v>67</v>
      </c>
      <c r="E35" s="18">
        <v>145321</v>
      </c>
      <c r="F35" s="19">
        <v>484.8635165</v>
      </c>
      <c r="G35" s="28">
        <v>1.5333661383969811E-2</v>
      </c>
    </row>
    <row r="36" spans="1:7" ht="12.95" customHeight="1" x14ac:dyDescent="0.2">
      <c r="A36" s="9"/>
      <c r="B36" s="27" t="s">
        <v>114</v>
      </c>
      <c r="C36" s="16" t="s">
        <v>115</v>
      </c>
      <c r="D36" s="16" t="s">
        <v>47</v>
      </c>
      <c r="E36" s="18">
        <v>1765781</v>
      </c>
      <c r="F36" s="19">
        <v>475.87797949999998</v>
      </c>
      <c r="G36" s="28">
        <v>1.5049496506592134E-2</v>
      </c>
    </row>
    <row r="37" spans="1:7" ht="12.95" customHeight="1" x14ac:dyDescent="0.2">
      <c r="A37" s="9"/>
      <c r="B37" s="27" t="s">
        <v>116</v>
      </c>
      <c r="C37" s="16" t="s">
        <v>117</v>
      </c>
      <c r="D37" s="16" t="s">
        <v>52</v>
      </c>
      <c r="E37" s="18">
        <v>66278</v>
      </c>
      <c r="F37" s="19">
        <v>470.50752199999999</v>
      </c>
      <c r="G37" s="28">
        <v>1.4879657419963306E-2</v>
      </c>
    </row>
    <row r="38" spans="1:7" ht="12.95" customHeight="1" x14ac:dyDescent="0.2">
      <c r="A38" s="9"/>
      <c r="B38" s="27" t="s">
        <v>118</v>
      </c>
      <c r="C38" s="16" t="s">
        <v>119</v>
      </c>
      <c r="D38" s="16" t="s">
        <v>61</v>
      </c>
      <c r="E38" s="18">
        <v>49422</v>
      </c>
      <c r="F38" s="19">
        <v>461.55205799999999</v>
      </c>
      <c r="G38" s="28">
        <v>1.4596443592072975E-2</v>
      </c>
    </row>
    <row r="39" spans="1:7" ht="12.95" customHeight="1" x14ac:dyDescent="0.2">
      <c r="A39" s="9"/>
      <c r="B39" s="27" t="s">
        <v>120</v>
      </c>
      <c r="C39" s="16" t="s">
        <v>121</v>
      </c>
      <c r="D39" s="16" t="s">
        <v>61</v>
      </c>
      <c r="E39" s="18">
        <v>68500</v>
      </c>
      <c r="F39" s="19">
        <v>458.81299999999999</v>
      </c>
      <c r="G39" s="28">
        <v>1.4509821715083282E-2</v>
      </c>
    </row>
    <row r="40" spans="1:7" ht="12.95" customHeight="1" x14ac:dyDescent="0.2">
      <c r="A40" s="9"/>
      <c r="B40" s="27" t="s">
        <v>122</v>
      </c>
      <c r="C40" s="16" t="s">
        <v>123</v>
      </c>
      <c r="D40" s="16" t="s">
        <v>124</v>
      </c>
      <c r="E40" s="18">
        <v>250527</v>
      </c>
      <c r="F40" s="19">
        <v>457.46230200000002</v>
      </c>
      <c r="G40" s="28">
        <v>1.4467106301241652E-2</v>
      </c>
    </row>
    <row r="41" spans="1:7" ht="12.95" customHeight="1" x14ac:dyDescent="0.2">
      <c r="A41" s="9"/>
      <c r="B41" s="27" t="s">
        <v>125</v>
      </c>
      <c r="C41" s="16" t="s">
        <v>126</v>
      </c>
      <c r="D41" s="16" t="s">
        <v>85</v>
      </c>
      <c r="E41" s="18">
        <v>138000</v>
      </c>
      <c r="F41" s="19">
        <v>418.83</v>
      </c>
      <c r="G41" s="28">
        <v>1.3245371488881811E-2</v>
      </c>
    </row>
    <row r="42" spans="1:7" ht="12.95" customHeight="1" x14ac:dyDescent="0.2">
      <c r="A42" s="9"/>
      <c r="B42" s="27" t="s">
        <v>127</v>
      </c>
      <c r="C42" s="16" t="s">
        <v>128</v>
      </c>
      <c r="D42" s="16" t="s">
        <v>129</v>
      </c>
      <c r="E42" s="18">
        <v>255000</v>
      </c>
      <c r="F42" s="19">
        <v>396.14249999999998</v>
      </c>
      <c r="G42" s="28">
        <v>1.2527886194958248E-2</v>
      </c>
    </row>
    <row r="43" spans="1:7" ht="12.95" customHeight="1" x14ac:dyDescent="0.2">
      <c r="A43" s="9"/>
      <c r="B43" s="27" t="s">
        <v>130</v>
      </c>
      <c r="C43" s="16" t="s">
        <v>131</v>
      </c>
      <c r="D43" s="16" t="s">
        <v>55</v>
      </c>
      <c r="E43" s="18">
        <v>281533</v>
      </c>
      <c r="F43" s="19">
        <v>395.69463150000001</v>
      </c>
      <c r="G43" s="28">
        <v>1.2513722489730188E-2</v>
      </c>
    </row>
    <row r="44" spans="1:7" ht="12.95" customHeight="1" x14ac:dyDescent="0.2">
      <c r="A44" s="9"/>
      <c r="B44" s="27" t="s">
        <v>132</v>
      </c>
      <c r="C44" s="16" t="s">
        <v>133</v>
      </c>
      <c r="D44" s="16" t="s">
        <v>93</v>
      </c>
      <c r="E44" s="18">
        <v>44290</v>
      </c>
      <c r="F44" s="19">
        <v>390.23919000000001</v>
      </c>
      <c r="G44" s="28">
        <v>1.2341195809923673E-2</v>
      </c>
    </row>
    <row r="45" spans="1:7" ht="12.95" customHeight="1" x14ac:dyDescent="0.2">
      <c r="A45" s="9"/>
      <c r="B45" s="27" t="s">
        <v>134</v>
      </c>
      <c r="C45" s="16" t="s">
        <v>135</v>
      </c>
      <c r="D45" s="16" t="s">
        <v>47</v>
      </c>
      <c r="E45" s="18">
        <v>19000</v>
      </c>
      <c r="F45" s="19">
        <v>383.9615</v>
      </c>
      <c r="G45" s="28">
        <v>1.2142665771144125E-2</v>
      </c>
    </row>
    <row r="46" spans="1:7" ht="12.95" customHeight="1" x14ac:dyDescent="0.2">
      <c r="A46" s="9"/>
      <c r="B46" s="27" t="s">
        <v>136</v>
      </c>
      <c r="C46" s="16" t="s">
        <v>137</v>
      </c>
      <c r="D46" s="16" t="s">
        <v>44</v>
      </c>
      <c r="E46" s="18">
        <v>56877</v>
      </c>
      <c r="F46" s="19">
        <v>357.87008400000002</v>
      </c>
      <c r="G46" s="28">
        <v>1.1317532667997371E-2</v>
      </c>
    </row>
    <row r="47" spans="1:7" ht="12.95" customHeight="1" x14ac:dyDescent="0.2">
      <c r="A47" s="9"/>
      <c r="B47" s="27" t="s">
        <v>138</v>
      </c>
      <c r="C47" s="16" t="s">
        <v>139</v>
      </c>
      <c r="D47" s="16" t="s">
        <v>61</v>
      </c>
      <c r="E47" s="18">
        <v>60475</v>
      </c>
      <c r="F47" s="19">
        <v>334.12437499999999</v>
      </c>
      <c r="G47" s="28">
        <v>1.0566581835984658E-2</v>
      </c>
    </row>
    <row r="48" spans="1:7" ht="12.95" customHeight="1" x14ac:dyDescent="0.2">
      <c r="A48" s="9"/>
      <c r="B48" s="27" t="s">
        <v>140</v>
      </c>
      <c r="C48" s="16" t="s">
        <v>141</v>
      </c>
      <c r="D48" s="16" t="s">
        <v>142</v>
      </c>
      <c r="E48" s="18">
        <v>216399</v>
      </c>
      <c r="F48" s="19">
        <v>326.22149250000001</v>
      </c>
      <c r="G48" s="28">
        <v>1.0316655578205887E-2</v>
      </c>
    </row>
    <row r="49" spans="1:7" ht="12.95" customHeight="1" x14ac:dyDescent="0.2">
      <c r="A49" s="9"/>
      <c r="B49" s="27" t="s">
        <v>143</v>
      </c>
      <c r="C49" s="16" t="s">
        <v>144</v>
      </c>
      <c r="D49" s="16" t="s">
        <v>93</v>
      </c>
      <c r="E49" s="18">
        <v>23425</v>
      </c>
      <c r="F49" s="19">
        <v>324.86961250000002</v>
      </c>
      <c r="G49" s="28">
        <v>1.0273902783973407E-2</v>
      </c>
    </row>
    <row r="50" spans="1:7" ht="12.95" customHeight="1" x14ac:dyDescent="0.2">
      <c r="A50" s="9"/>
      <c r="B50" s="27" t="s">
        <v>145</v>
      </c>
      <c r="C50" s="16" t="s">
        <v>146</v>
      </c>
      <c r="D50" s="16" t="s">
        <v>93</v>
      </c>
      <c r="E50" s="18">
        <v>33136</v>
      </c>
      <c r="F50" s="19">
        <v>322.57896</v>
      </c>
      <c r="G50" s="28">
        <v>1.0201461594673606E-2</v>
      </c>
    </row>
    <row r="51" spans="1:7" ht="12.95" customHeight="1" x14ac:dyDescent="0.2">
      <c r="A51" s="9"/>
      <c r="B51" s="27" t="s">
        <v>147</v>
      </c>
      <c r="C51" s="16" t="s">
        <v>148</v>
      </c>
      <c r="D51" s="16" t="s">
        <v>47</v>
      </c>
      <c r="E51" s="18">
        <v>94803</v>
      </c>
      <c r="F51" s="19">
        <v>301.80535049999997</v>
      </c>
      <c r="G51" s="28">
        <v>9.5445025062786387E-3</v>
      </c>
    </row>
    <row r="52" spans="1:7" ht="12.95" customHeight="1" x14ac:dyDescent="0.2">
      <c r="A52" s="9"/>
      <c r="B52" s="27" t="s">
        <v>149</v>
      </c>
      <c r="C52" s="16" t="s">
        <v>150</v>
      </c>
      <c r="D52" s="16" t="s">
        <v>52</v>
      </c>
      <c r="E52" s="18">
        <v>26999</v>
      </c>
      <c r="F52" s="19">
        <v>295.69304799999998</v>
      </c>
      <c r="G52" s="28">
        <v>9.3512027969337459E-3</v>
      </c>
    </row>
    <row r="53" spans="1:7" ht="12.95" customHeight="1" x14ac:dyDescent="0.2">
      <c r="A53" s="9"/>
      <c r="B53" s="27" t="s">
        <v>151</v>
      </c>
      <c r="C53" s="16" t="s">
        <v>152</v>
      </c>
      <c r="D53" s="16" t="s">
        <v>52</v>
      </c>
      <c r="E53" s="18">
        <v>70000</v>
      </c>
      <c r="F53" s="19">
        <v>273.98</v>
      </c>
      <c r="G53" s="28">
        <v>8.6645342514238208E-3</v>
      </c>
    </row>
    <row r="54" spans="1:7" ht="12.95" customHeight="1" x14ac:dyDescent="0.2">
      <c r="A54" s="9"/>
      <c r="B54" s="27" t="s">
        <v>153</v>
      </c>
      <c r="C54" s="16" t="s">
        <v>154</v>
      </c>
      <c r="D54" s="16" t="s">
        <v>44</v>
      </c>
      <c r="E54" s="18">
        <v>30300</v>
      </c>
      <c r="F54" s="19">
        <v>255.32294999999999</v>
      </c>
      <c r="G54" s="28">
        <v>8.0745107141016546E-3</v>
      </c>
    </row>
    <row r="55" spans="1:7" ht="12.95" customHeight="1" x14ac:dyDescent="0.2">
      <c r="A55" s="9"/>
      <c r="B55" s="27" t="s">
        <v>155</v>
      </c>
      <c r="C55" s="16" t="s">
        <v>156</v>
      </c>
      <c r="D55" s="16" t="s">
        <v>79</v>
      </c>
      <c r="E55" s="18">
        <v>241395</v>
      </c>
      <c r="F55" s="19">
        <v>248.5161525</v>
      </c>
      <c r="G55" s="28">
        <v>7.8592478114034442E-3</v>
      </c>
    </row>
    <row r="56" spans="1:7" ht="12.95" customHeight="1" x14ac:dyDescent="0.2">
      <c r="A56" s="9"/>
      <c r="B56" s="27" t="s">
        <v>157</v>
      </c>
      <c r="C56" s="16" t="s">
        <v>158</v>
      </c>
      <c r="D56" s="16" t="s">
        <v>44</v>
      </c>
      <c r="E56" s="18">
        <v>15217</v>
      </c>
      <c r="F56" s="19">
        <v>227.9582685</v>
      </c>
      <c r="G56" s="28">
        <v>7.2091109763979767E-3</v>
      </c>
    </row>
    <row r="57" spans="1:7" ht="12.95" customHeight="1" x14ac:dyDescent="0.2">
      <c r="A57" s="9"/>
      <c r="B57" s="27" t="s">
        <v>159</v>
      </c>
      <c r="C57" s="16" t="s">
        <v>160</v>
      </c>
      <c r="D57" s="16" t="s">
        <v>129</v>
      </c>
      <c r="E57" s="18">
        <v>263305</v>
      </c>
      <c r="F57" s="19">
        <v>191.81769249999999</v>
      </c>
      <c r="G57" s="28">
        <v>6.0661762416794364E-3</v>
      </c>
    </row>
    <row r="58" spans="1:7" ht="12.95" customHeight="1" x14ac:dyDescent="0.2">
      <c r="A58" s="9"/>
      <c r="B58" s="27" t="s">
        <v>161</v>
      </c>
      <c r="C58" s="16" t="s">
        <v>162</v>
      </c>
      <c r="D58" s="16" t="s">
        <v>163</v>
      </c>
      <c r="E58" s="18">
        <v>14100</v>
      </c>
      <c r="F58" s="19">
        <v>183.7371</v>
      </c>
      <c r="G58" s="28">
        <v>5.8106299591476887E-3</v>
      </c>
    </row>
    <row r="59" spans="1:7" ht="12.95" customHeight="1" x14ac:dyDescent="0.2">
      <c r="A59" s="9"/>
      <c r="B59" s="27" t="s">
        <v>164</v>
      </c>
      <c r="C59" s="16" t="s">
        <v>165</v>
      </c>
      <c r="D59" s="16" t="s">
        <v>166</v>
      </c>
      <c r="E59" s="18">
        <v>124452</v>
      </c>
      <c r="F59" s="19">
        <v>179.08642800000001</v>
      </c>
      <c r="G59" s="28">
        <v>5.6635538702501861E-3</v>
      </c>
    </row>
    <row r="60" spans="1:7" ht="12.95" customHeight="1" x14ac:dyDescent="0.2">
      <c r="A60" s="9"/>
      <c r="B60" s="27" t="s">
        <v>167</v>
      </c>
      <c r="C60" s="16" t="s">
        <v>168</v>
      </c>
      <c r="D60" s="16" t="s">
        <v>85</v>
      </c>
      <c r="E60" s="18">
        <v>9672</v>
      </c>
      <c r="F60" s="19">
        <v>141.52070399999999</v>
      </c>
      <c r="G60" s="28">
        <v>4.4755492630615817E-3</v>
      </c>
    </row>
    <row r="61" spans="1:7" ht="12.95" customHeight="1" x14ac:dyDescent="0.2">
      <c r="A61" s="9"/>
      <c r="B61" s="27" t="s">
        <v>169</v>
      </c>
      <c r="C61" s="16" t="s">
        <v>170</v>
      </c>
      <c r="D61" s="16" t="s">
        <v>79</v>
      </c>
      <c r="E61" s="18">
        <v>30065</v>
      </c>
      <c r="F61" s="19">
        <v>93.201499999999996</v>
      </c>
      <c r="G61" s="28">
        <v>2.9474691183081873E-3</v>
      </c>
    </row>
    <row r="62" spans="1:7" ht="12.95" customHeight="1" x14ac:dyDescent="0.2">
      <c r="A62" s="9"/>
      <c r="B62" s="27" t="s">
        <v>171</v>
      </c>
      <c r="C62" s="16" t="s">
        <v>172</v>
      </c>
      <c r="D62" s="16" t="s">
        <v>93</v>
      </c>
      <c r="E62" s="18">
        <v>50000</v>
      </c>
      <c r="F62" s="19">
        <v>74.55</v>
      </c>
      <c r="G62" s="28">
        <v>2.3576210980496598E-3</v>
      </c>
    </row>
    <row r="63" spans="1:7" ht="12.95" customHeight="1" x14ac:dyDescent="0.2">
      <c r="A63" s="9"/>
      <c r="B63" s="27" t="s">
        <v>173</v>
      </c>
      <c r="C63" s="16" t="s">
        <v>174</v>
      </c>
      <c r="D63" s="16" t="s">
        <v>96</v>
      </c>
      <c r="E63" s="18">
        <v>589</v>
      </c>
      <c r="F63" s="19">
        <v>1.5711575</v>
      </c>
      <c r="G63" s="28" t="s">
        <v>175</v>
      </c>
    </row>
    <row r="64" spans="1:7" ht="12.95" customHeight="1" x14ac:dyDescent="0.2">
      <c r="A64" s="1"/>
      <c r="B64" s="21" t="s">
        <v>30</v>
      </c>
      <c r="C64" s="16" t="s">
        <v>1</v>
      </c>
      <c r="D64" s="16" t="s">
        <v>1</v>
      </c>
      <c r="E64" s="16" t="s">
        <v>1</v>
      </c>
      <c r="F64" s="20">
        <v>29189.635512500001</v>
      </c>
      <c r="G64" s="29">
        <v>0.92311335383835813</v>
      </c>
    </row>
    <row r="65" spans="1:7" ht="12.95" customHeight="1" x14ac:dyDescent="0.2">
      <c r="A65" s="1"/>
      <c r="B65" s="21"/>
      <c r="C65" s="16"/>
      <c r="D65" s="16"/>
      <c r="E65" s="16"/>
      <c r="F65" s="20"/>
      <c r="G65" s="29"/>
    </row>
    <row r="66" spans="1:7" ht="12.95" customHeight="1" x14ac:dyDescent="0.2">
      <c r="A66" s="1"/>
      <c r="B66" s="21" t="s">
        <v>176</v>
      </c>
      <c r="C66" s="16" t="s">
        <v>1</v>
      </c>
      <c r="D66" s="16" t="s">
        <v>1</v>
      </c>
      <c r="E66" s="20" t="s">
        <v>177</v>
      </c>
      <c r="F66" s="20" t="s">
        <v>177</v>
      </c>
      <c r="G66" s="30" t="s">
        <v>177</v>
      </c>
    </row>
    <row r="67" spans="1:7" ht="12.95" customHeight="1" x14ac:dyDescent="0.2">
      <c r="A67" s="1"/>
      <c r="B67" s="21" t="s">
        <v>30</v>
      </c>
      <c r="C67" s="16" t="s">
        <v>1</v>
      </c>
      <c r="D67" s="16" t="s">
        <v>1</v>
      </c>
      <c r="E67" s="20" t="s">
        <v>177</v>
      </c>
      <c r="F67" s="20" t="s">
        <v>177</v>
      </c>
      <c r="G67" s="30" t="s">
        <v>177</v>
      </c>
    </row>
    <row r="68" spans="1:7" ht="12.95" customHeight="1" x14ac:dyDescent="0.2">
      <c r="A68" s="1"/>
      <c r="B68" s="21" t="s">
        <v>31</v>
      </c>
      <c r="C68" s="16" t="s">
        <v>1</v>
      </c>
      <c r="D68" s="16" t="s">
        <v>1</v>
      </c>
      <c r="E68" s="16" t="s">
        <v>1</v>
      </c>
      <c r="F68" s="20">
        <v>29189.635512500001</v>
      </c>
      <c r="G68" s="29">
        <v>0.92311335383835813</v>
      </c>
    </row>
    <row r="69" spans="1:7" ht="12.95" customHeight="1" x14ac:dyDescent="0.2">
      <c r="A69" s="1"/>
      <c r="B69" s="21"/>
      <c r="C69" s="16"/>
      <c r="D69" s="16"/>
      <c r="E69" s="16"/>
      <c r="F69" s="20"/>
      <c r="G69" s="29"/>
    </row>
    <row r="70" spans="1:7" ht="12.95" customHeight="1" x14ac:dyDescent="0.2">
      <c r="A70" s="1"/>
      <c r="B70" s="54" t="s">
        <v>353</v>
      </c>
      <c r="C70" s="15"/>
      <c r="D70" s="16"/>
      <c r="E70" s="16"/>
      <c r="F70" s="20"/>
      <c r="G70" s="29"/>
    </row>
    <row r="71" spans="1:7" ht="12.95" customHeight="1" x14ac:dyDescent="0.2">
      <c r="A71" s="9"/>
      <c r="B71" s="51" t="s">
        <v>357</v>
      </c>
      <c r="C71" s="15"/>
      <c r="D71" s="16"/>
      <c r="E71" s="20" t="s">
        <v>177</v>
      </c>
      <c r="F71" s="20" t="s">
        <v>177</v>
      </c>
      <c r="G71" s="30" t="s">
        <v>177</v>
      </c>
    </row>
    <row r="72" spans="1:7" ht="12.95" customHeight="1" x14ac:dyDescent="0.2">
      <c r="A72" s="1"/>
      <c r="B72" s="51" t="s">
        <v>355</v>
      </c>
      <c r="C72" s="15"/>
      <c r="D72" s="16"/>
      <c r="E72" s="20" t="s">
        <v>177</v>
      </c>
      <c r="F72" s="20" t="s">
        <v>177</v>
      </c>
      <c r="G72" s="30" t="s">
        <v>177</v>
      </c>
    </row>
    <row r="73" spans="1:7" ht="12.95" customHeight="1" x14ac:dyDescent="0.2">
      <c r="A73" s="1"/>
      <c r="B73" s="51" t="s">
        <v>356</v>
      </c>
      <c r="C73" s="15"/>
      <c r="D73" s="16"/>
      <c r="E73" s="20" t="s">
        <v>177</v>
      </c>
      <c r="F73" s="20" t="s">
        <v>177</v>
      </c>
      <c r="G73" s="30" t="s">
        <v>177</v>
      </c>
    </row>
    <row r="74" spans="1:7" ht="12.95" customHeight="1" x14ac:dyDescent="0.2">
      <c r="A74" s="1"/>
      <c r="B74" s="21"/>
      <c r="C74" s="15"/>
      <c r="D74" s="16"/>
      <c r="E74" s="16"/>
      <c r="F74" s="20"/>
      <c r="G74" s="29"/>
    </row>
    <row r="75" spans="1:7" ht="12.95" customHeight="1" x14ac:dyDescent="0.2">
      <c r="A75" s="1"/>
      <c r="B75" s="21" t="s">
        <v>9</v>
      </c>
      <c r="C75" s="15"/>
      <c r="D75" s="16"/>
      <c r="E75" s="16"/>
      <c r="F75" s="20"/>
      <c r="G75" s="29"/>
    </row>
    <row r="76" spans="1:7" ht="12.95" customHeight="1" x14ac:dyDescent="0.2">
      <c r="A76" s="1"/>
      <c r="B76" s="21" t="s">
        <v>32</v>
      </c>
      <c r="C76" s="16" t="s">
        <v>1</v>
      </c>
      <c r="D76" s="16" t="s">
        <v>1</v>
      </c>
      <c r="E76" s="16" t="s">
        <v>1</v>
      </c>
      <c r="F76" s="17" t="s">
        <v>1</v>
      </c>
      <c r="G76" s="26" t="s">
        <v>1</v>
      </c>
    </row>
    <row r="77" spans="1:7" ht="12.95" customHeight="1" x14ac:dyDescent="0.2">
      <c r="A77" s="9"/>
      <c r="B77" s="27" t="s">
        <v>33</v>
      </c>
      <c r="C77" s="16" t="s">
        <v>1</v>
      </c>
      <c r="D77" s="16" t="s">
        <v>34</v>
      </c>
      <c r="E77" s="18"/>
      <c r="F77" s="19">
        <v>1853.6402668999999</v>
      </c>
      <c r="G77" s="28">
        <v>5.8620810213787289E-2</v>
      </c>
    </row>
    <row r="78" spans="1:7" ht="12.95" customHeight="1" x14ac:dyDescent="0.2">
      <c r="A78" s="1"/>
      <c r="B78" s="21" t="s">
        <v>30</v>
      </c>
      <c r="C78" s="16" t="s">
        <v>1</v>
      </c>
      <c r="D78" s="16" t="s">
        <v>1</v>
      </c>
      <c r="E78" s="16" t="s">
        <v>1</v>
      </c>
      <c r="F78" s="20">
        <v>1853.6402668999999</v>
      </c>
      <c r="G78" s="29">
        <v>5.8620810213787289E-2</v>
      </c>
    </row>
    <row r="79" spans="1:7" ht="12.95" customHeight="1" x14ac:dyDescent="0.2">
      <c r="A79" s="1"/>
      <c r="B79" s="21" t="s">
        <v>31</v>
      </c>
      <c r="C79" s="16" t="s">
        <v>1</v>
      </c>
      <c r="D79" s="16" t="s">
        <v>1</v>
      </c>
      <c r="E79" s="16" t="s">
        <v>1</v>
      </c>
      <c r="F79" s="20">
        <v>1853.6402668999999</v>
      </c>
      <c r="G79" s="29">
        <v>5.8620810213787289E-2</v>
      </c>
    </row>
    <row r="80" spans="1:7" ht="12.95" customHeight="1" x14ac:dyDescent="0.2">
      <c r="A80" s="1"/>
      <c r="B80" s="21"/>
      <c r="C80" s="16"/>
      <c r="D80" s="16"/>
      <c r="E80" s="16"/>
      <c r="F80" s="20"/>
      <c r="G80" s="29"/>
    </row>
    <row r="81" spans="1:7" ht="12.95" customHeight="1" x14ac:dyDescent="0.2">
      <c r="A81" s="1"/>
      <c r="B81" s="21" t="s">
        <v>189</v>
      </c>
      <c r="C81" s="16"/>
      <c r="D81" s="16"/>
      <c r="E81" s="16"/>
      <c r="F81" s="20"/>
      <c r="G81" s="29"/>
    </row>
    <row r="82" spans="1:7" ht="12.95" customHeight="1" thickBot="1" x14ac:dyDescent="0.25">
      <c r="A82" s="1"/>
      <c r="B82" s="44" t="s">
        <v>35</v>
      </c>
      <c r="C82" s="45" t="s">
        <v>1</v>
      </c>
      <c r="D82" s="45" t="s">
        <v>1</v>
      </c>
      <c r="E82" s="45" t="s">
        <v>1</v>
      </c>
      <c r="F82" s="46">
        <v>577.5813895791</v>
      </c>
      <c r="G82" s="47">
        <v>1.8265835947854615E-2</v>
      </c>
    </row>
    <row r="83" spans="1:7" ht="12.95" customHeight="1" thickTop="1" thickBot="1" x14ac:dyDescent="0.25">
      <c r="A83" s="1"/>
      <c r="B83" s="40" t="s">
        <v>36</v>
      </c>
      <c r="C83" s="41" t="s">
        <v>1</v>
      </c>
      <c r="D83" s="41" t="s">
        <v>1</v>
      </c>
      <c r="E83" s="41" t="s">
        <v>1</v>
      </c>
      <c r="F83" s="42">
        <v>31620.857168979099</v>
      </c>
      <c r="G83" s="43">
        <v>1</v>
      </c>
    </row>
    <row r="84" spans="1:7" ht="12.95" customHeight="1" x14ac:dyDescent="0.2">
      <c r="A84" s="1"/>
      <c r="B84" s="7" t="s">
        <v>1</v>
      </c>
      <c r="C84" s="1"/>
      <c r="D84" s="1"/>
      <c r="E84" s="1"/>
      <c r="F84" s="3"/>
      <c r="G84" s="4"/>
    </row>
    <row r="85" spans="1:7" ht="12.95" customHeight="1" x14ac:dyDescent="0.2">
      <c r="A85" s="1"/>
      <c r="B85" s="2" t="s">
        <v>34</v>
      </c>
      <c r="C85" s="1"/>
      <c r="D85" s="1"/>
      <c r="E85" s="1"/>
      <c r="F85" s="3"/>
      <c r="G85" s="4"/>
    </row>
    <row r="86" spans="1:7" ht="12.95" customHeight="1" x14ac:dyDescent="0.2">
      <c r="A86" s="1"/>
      <c r="B86" s="2" t="s">
        <v>178</v>
      </c>
      <c r="C86" s="1"/>
      <c r="D86" s="1"/>
      <c r="E86" s="1"/>
      <c r="F86" s="3"/>
      <c r="G86" s="4"/>
    </row>
    <row r="87" spans="1:7" ht="12.95" customHeight="1" x14ac:dyDescent="0.2">
      <c r="A87" s="1"/>
      <c r="B87" s="2" t="s">
        <v>358</v>
      </c>
      <c r="C87" s="1"/>
      <c r="D87" s="1"/>
      <c r="E87" s="1"/>
      <c r="F87" s="3"/>
      <c r="G87" s="4"/>
    </row>
    <row r="88" spans="1:7" ht="12.95" customHeight="1" thickBot="1" x14ac:dyDescent="0.25">
      <c r="A88" s="1"/>
      <c r="B88" s="2" t="s">
        <v>1</v>
      </c>
      <c r="C88" s="1"/>
      <c r="D88" s="1"/>
      <c r="E88" s="1"/>
      <c r="F88" s="3"/>
      <c r="G88" s="4"/>
    </row>
    <row r="89" spans="1:7" ht="13.5" thickBot="1" x14ac:dyDescent="0.25">
      <c r="B89" s="55" t="s">
        <v>366</v>
      </c>
      <c r="C89" s="56">
        <v>0.84950000000000003</v>
      </c>
    </row>
    <row r="90" spans="1:7" x14ac:dyDescent="0.2">
      <c r="B90" s="57" t="s">
        <v>367</v>
      </c>
      <c r="C90" s="57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showGridLines="0" zoomScaleNormal="100" workbookViewId="0">
      <selection activeCell="B76" sqref="B76"/>
    </sheetView>
  </sheetViews>
  <sheetFormatPr defaultRowHeight="12.75" x14ac:dyDescent="0.2"/>
  <cols>
    <col min="1" max="1" width="8.140625" style="5" customWidth="1"/>
    <col min="2" max="2" width="50.5703125" style="5" customWidth="1"/>
    <col min="3" max="3" width="15.140625" style="5" customWidth="1"/>
    <col min="4" max="4" width="32.85546875" style="5" bestFit="1" customWidth="1"/>
    <col min="5" max="5" width="16.7109375" style="5" customWidth="1"/>
    <col min="6" max="6" width="16.7109375" style="10" customWidth="1"/>
    <col min="7" max="7" width="16.7109375" style="11" customWidth="1"/>
    <col min="8" max="16384" width="9.140625" style="5"/>
  </cols>
  <sheetData>
    <row r="1" spans="1:7" ht="18.75" x14ac:dyDescent="0.2">
      <c r="A1" s="1"/>
      <c r="B1" s="100" t="s">
        <v>193</v>
      </c>
      <c r="C1" s="101"/>
      <c r="D1" s="101"/>
      <c r="E1" s="101"/>
      <c r="F1" s="101"/>
      <c r="G1" s="102"/>
    </row>
    <row r="2" spans="1:7" ht="15.95" customHeight="1" thickBot="1" x14ac:dyDescent="0.25">
      <c r="A2" s="1"/>
      <c r="B2" s="103" t="s">
        <v>368</v>
      </c>
      <c r="C2" s="104"/>
      <c r="D2" s="104"/>
      <c r="E2" s="104"/>
      <c r="F2" s="104"/>
      <c r="G2" s="105"/>
    </row>
    <row r="3" spans="1:7" ht="12.95" customHeight="1" x14ac:dyDescent="0.2">
      <c r="A3" s="1"/>
      <c r="B3" s="6" t="s">
        <v>1</v>
      </c>
      <c r="C3" s="1"/>
      <c r="D3" s="1"/>
      <c r="E3" s="1"/>
      <c r="F3" s="3"/>
      <c r="G3" s="4"/>
    </row>
    <row r="4" spans="1:7" ht="12.95" customHeight="1" thickBot="1" x14ac:dyDescent="0.25">
      <c r="A4" s="7"/>
      <c r="B4" s="8" t="s">
        <v>2</v>
      </c>
      <c r="C4" s="1"/>
      <c r="D4" s="1"/>
      <c r="E4" s="1"/>
      <c r="F4" s="3"/>
      <c r="G4" s="4"/>
    </row>
    <row r="5" spans="1:7" ht="27.95" customHeight="1" thickBot="1" x14ac:dyDescent="0.25">
      <c r="A5" s="1"/>
      <c r="B5" s="35" t="s">
        <v>3</v>
      </c>
      <c r="C5" s="36" t="s">
        <v>4</v>
      </c>
      <c r="D5" s="37" t="s">
        <v>39</v>
      </c>
      <c r="E5" s="37" t="s">
        <v>6</v>
      </c>
      <c r="F5" s="38" t="s">
        <v>7</v>
      </c>
      <c r="G5" s="39" t="s">
        <v>8</v>
      </c>
    </row>
    <row r="6" spans="1:7" x14ac:dyDescent="0.2">
      <c r="A6" s="1"/>
      <c r="B6" s="67" t="s">
        <v>40</v>
      </c>
      <c r="C6" s="68"/>
      <c r="D6" s="69"/>
      <c r="E6" s="69"/>
      <c r="F6" s="70"/>
      <c r="G6" s="71"/>
    </row>
    <row r="7" spans="1:7" x14ac:dyDescent="0.2">
      <c r="A7" s="1"/>
      <c r="B7" s="63" t="s">
        <v>41</v>
      </c>
      <c r="C7" s="12"/>
      <c r="D7" s="13"/>
      <c r="E7" s="13"/>
      <c r="F7" s="14"/>
      <c r="G7" s="64"/>
    </row>
    <row r="8" spans="1:7" x14ac:dyDescent="0.2">
      <c r="A8" s="1"/>
      <c r="B8" s="63" t="s">
        <v>359</v>
      </c>
      <c r="C8" s="12"/>
      <c r="D8" s="13"/>
      <c r="E8" s="13"/>
      <c r="F8" s="14"/>
      <c r="G8" s="64"/>
    </row>
    <row r="9" spans="1:7" ht="12.95" customHeight="1" x14ac:dyDescent="0.2">
      <c r="A9" s="9"/>
      <c r="B9" s="27" t="s">
        <v>42</v>
      </c>
      <c r="C9" s="16" t="s">
        <v>43</v>
      </c>
      <c r="D9" s="16" t="s">
        <v>44</v>
      </c>
      <c r="E9" s="18">
        <v>13050</v>
      </c>
      <c r="F9" s="19">
        <v>185.05552499999999</v>
      </c>
      <c r="G9" s="28">
        <v>9.8106602179439645E-2</v>
      </c>
    </row>
    <row r="10" spans="1:7" ht="12.95" customHeight="1" x14ac:dyDescent="0.2">
      <c r="A10" s="9"/>
      <c r="B10" s="27" t="s">
        <v>194</v>
      </c>
      <c r="C10" s="16" t="s">
        <v>195</v>
      </c>
      <c r="D10" s="16" t="s">
        <v>93</v>
      </c>
      <c r="E10" s="18">
        <v>33000</v>
      </c>
      <c r="F10" s="19">
        <v>112.7775</v>
      </c>
      <c r="G10" s="28">
        <v>5.9788635477334463E-2</v>
      </c>
    </row>
    <row r="11" spans="1:7" ht="12.95" customHeight="1" x14ac:dyDescent="0.2">
      <c r="A11" s="9"/>
      <c r="B11" s="27" t="s">
        <v>70</v>
      </c>
      <c r="C11" s="16" t="s">
        <v>71</v>
      </c>
      <c r="D11" s="16" t="s">
        <v>55</v>
      </c>
      <c r="E11" s="18">
        <v>18185</v>
      </c>
      <c r="F11" s="19">
        <v>74.058412500000003</v>
      </c>
      <c r="G11" s="28">
        <v>3.9261833512824543E-2</v>
      </c>
    </row>
    <row r="12" spans="1:7" ht="12.95" customHeight="1" x14ac:dyDescent="0.2">
      <c r="A12" s="9"/>
      <c r="B12" s="27" t="s">
        <v>48</v>
      </c>
      <c r="C12" s="16" t="s">
        <v>49</v>
      </c>
      <c r="D12" s="16" t="s">
        <v>44</v>
      </c>
      <c r="E12" s="18">
        <v>63000</v>
      </c>
      <c r="F12" s="19">
        <v>73.269000000000005</v>
      </c>
      <c r="G12" s="28">
        <v>3.8843328968888466E-2</v>
      </c>
    </row>
    <row r="13" spans="1:7" ht="12.95" customHeight="1" x14ac:dyDescent="0.2">
      <c r="A13" s="9"/>
      <c r="B13" s="27" t="s">
        <v>62</v>
      </c>
      <c r="C13" s="16" t="s">
        <v>63</v>
      </c>
      <c r="D13" s="16" t="s">
        <v>64</v>
      </c>
      <c r="E13" s="18">
        <v>32479</v>
      </c>
      <c r="F13" s="19">
        <v>72.054661499999995</v>
      </c>
      <c r="G13" s="28">
        <v>3.8199551247954829E-2</v>
      </c>
    </row>
    <row r="14" spans="1:7" ht="12.95" customHeight="1" x14ac:dyDescent="0.2">
      <c r="A14" s="9"/>
      <c r="B14" s="27" t="s">
        <v>196</v>
      </c>
      <c r="C14" s="16" t="s">
        <v>197</v>
      </c>
      <c r="D14" s="16" t="s">
        <v>82</v>
      </c>
      <c r="E14" s="18">
        <v>26550</v>
      </c>
      <c r="F14" s="19">
        <v>68.220224999999999</v>
      </c>
      <c r="G14" s="28">
        <v>3.6166736846505197E-2</v>
      </c>
    </row>
    <row r="15" spans="1:7" ht="12.95" customHeight="1" x14ac:dyDescent="0.2">
      <c r="A15" s="9"/>
      <c r="B15" s="27" t="s">
        <v>56</v>
      </c>
      <c r="C15" s="16" t="s">
        <v>57</v>
      </c>
      <c r="D15" s="16" t="s">
        <v>58</v>
      </c>
      <c r="E15" s="18">
        <v>15100</v>
      </c>
      <c r="F15" s="19">
        <v>60.498150000000003</v>
      </c>
      <c r="G15" s="28">
        <v>3.2072903171316107E-2</v>
      </c>
    </row>
    <row r="16" spans="1:7" ht="12.95" customHeight="1" x14ac:dyDescent="0.2">
      <c r="A16" s="9"/>
      <c r="B16" s="27" t="s">
        <v>75</v>
      </c>
      <c r="C16" s="16" t="s">
        <v>76</v>
      </c>
      <c r="D16" s="16" t="s">
        <v>58</v>
      </c>
      <c r="E16" s="18">
        <v>33000</v>
      </c>
      <c r="F16" s="19">
        <v>52.667999999999999</v>
      </c>
      <c r="G16" s="28">
        <v>2.7921773876174338E-2</v>
      </c>
    </row>
    <row r="17" spans="1:7" ht="12.95" customHeight="1" x14ac:dyDescent="0.2">
      <c r="A17" s="9"/>
      <c r="B17" s="27" t="s">
        <v>207</v>
      </c>
      <c r="C17" s="16" t="s">
        <v>208</v>
      </c>
      <c r="D17" s="16" t="s">
        <v>47</v>
      </c>
      <c r="E17" s="18">
        <v>6000</v>
      </c>
      <c r="F17" s="19">
        <v>52.607999999999997</v>
      </c>
      <c r="G17" s="28">
        <v>2.7889965065652382E-2</v>
      </c>
    </row>
    <row r="18" spans="1:7" ht="12.95" customHeight="1" x14ac:dyDescent="0.2">
      <c r="A18" s="9"/>
      <c r="B18" s="27" t="s">
        <v>116</v>
      </c>
      <c r="C18" s="16" t="s">
        <v>117</v>
      </c>
      <c r="D18" s="16" t="s">
        <v>52</v>
      </c>
      <c r="E18" s="18">
        <v>7250</v>
      </c>
      <c r="F18" s="19">
        <v>51.467750000000002</v>
      </c>
      <c r="G18" s="28">
        <v>2.7285465129024682E-2</v>
      </c>
    </row>
    <row r="19" spans="1:7" ht="12.95" customHeight="1" x14ac:dyDescent="0.2">
      <c r="A19" s="9"/>
      <c r="B19" s="27" t="s">
        <v>209</v>
      </c>
      <c r="C19" s="16" t="s">
        <v>210</v>
      </c>
      <c r="D19" s="16" t="s">
        <v>82</v>
      </c>
      <c r="E19" s="18">
        <v>2250</v>
      </c>
      <c r="F19" s="19">
        <v>51.115499999999997</v>
      </c>
      <c r="G19" s="28">
        <v>2.709872090391869E-2</v>
      </c>
    </row>
    <row r="20" spans="1:7" ht="12.95" customHeight="1" x14ac:dyDescent="0.2">
      <c r="A20" s="9"/>
      <c r="B20" s="27" t="s">
        <v>77</v>
      </c>
      <c r="C20" s="16" t="s">
        <v>78</v>
      </c>
      <c r="D20" s="16" t="s">
        <v>79</v>
      </c>
      <c r="E20" s="18">
        <v>23400</v>
      </c>
      <c r="F20" s="19">
        <v>49.537799999999997</v>
      </c>
      <c r="G20" s="28">
        <v>2.6262308231243814E-2</v>
      </c>
    </row>
    <row r="21" spans="1:7" ht="12.95" customHeight="1" x14ac:dyDescent="0.2">
      <c r="A21" s="9"/>
      <c r="B21" s="27" t="s">
        <v>91</v>
      </c>
      <c r="C21" s="16" t="s">
        <v>92</v>
      </c>
      <c r="D21" s="16" t="s">
        <v>93</v>
      </c>
      <c r="E21" s="18">
        <v>1439</v>
      </c>
      <c r="F21" s="19">
        <v>44.501075</v>
      </c>
      <c r="G21" s="28">
        <v>2.3592104378307038E-2</v>
      </c>
    </row>
    <row r="22" spans="1:7" ht="12.95" customHeight="1" x14ac:dyDescent="0.2">
      <c r="A22" s="9"/>
      <c r="B22" s="27" t="s">
        <v>216</v>
      </c>
      <c r="C22" s="16" t="s">
        <v>217</v>
      </c>
      <c r="D22" s="16" t="s">
        <v>218</v>
      </c>
      <c r="E22" s="18">
        <v>12578</v>
      </c>
      <c r="F22" s="19">
        <v>43.280898000000001</v>
      </c>
      <c r="G22" s="28">
        <v>2.2945231395036195E-2</v>
      </c>
    </row>
    <row r="23" spans="1:7" ht="12.95" customHeight="1" x14ac:dyDescent="0.2">
      <c r="A23" s="9"/>
      <c r="B23" s="27" t="s">
        <v>143</v>
      </c>
      <c r="C23" s="16" t="s">
        <v>144</v>
      </c>
      <c r="D23" s="16" t="s">
        <v>93</v>
      </c>
      <c r="E23" s="18">
        <v>3000</v>
      </c>
      <c r="F23" s="19">
        <v>41.605499999999999</v>
      </c>
      <c r="G23" s="28">
        <v>2.2057024436188417E-2</v>
      </c>
    </row>
    <row r="24" spans="1:7" ht="12.95" customHeight="1" x14ac:dyDescent="0.2">
      <c r="A24" s="9"/>
      <c r="B24" s="27" t="s">
        <v>65</v>
      </c>
      <c r="C24" s="16" t="s">
        <v>66</v>
      </c>
      <c r="D24" s="16" t="s">
        <v>67</v>
      </c>
      <c r="E24" s="18">
        <v>66624</v>
      </c>
      <c r="F24" s="19">
        <v>39.508032</v>
      </c>
      <c r="G24" s="28">
        <v>2.094505839972393E-2</v>
      </c>
    </row>
    <row r="25" spans="1:7" ht="12.95" customHeight="1" x14ac:dyDescent="0.2">
      <c r="A25" s="9"/>
      <c r="B25" s="27" t="s">
        <v>132</v>
      </c>
      <c r="C25" s="16" t="s">
        <v>133</v>
      </c>
      <c r="D25" s="16" t="s">
        <v>93</v>
      </c>
      <c r="E25" s="18">
        <v>4296</v>
      </c>
      <c r="F25" s="19">
        <v>37.852055999999997</v>
      </c>
      <c r="G25" s="28">
        <v>2.0067147952842108E-2</v>
      </c>
    </row>
    <row r="26" spans="1:7" ht="12.95" customHeight="1" x14ac:dyDescent="0.2">
      <c r="A26" s="9"/>
      <c r="B26" s="27" t="s">
        <v>94</v>
      </c>
      <c r="C26" s="16" t="s">
        <v>95</v>
      </c>
      <c r="D26" s="16" t="s">
        <v>96</v>
      </c>
      <c r="E26" s="18">
        <v>31087</v>
      </c>
      <c r="F26" s="19">
        <v>35.43918</v>
      </c>
      <c r="G26" s="28">
        <v>1.8787969361225794E-2</v>
      </c>
    </row>
    <row r="27" spans="1:7" ht="12.95" customHeight="1" x14ac:dyDescent="0.2">
      <c r="A27" s="9"/>
      <c r="B27" s="27" t="s">
        <v>68</v>
      </c>
      <c r="C27" s="16" t="s">
        <v>69</v>
      </c>
      <c r="D27" s="16" t="s">
        <v>61</v>
      </c>
      <c r="E27" s="18">
        <v>4150</v>
      </c>
      <c r="F27" s="19">
        <v>32.726900000000001</v>
      </c>
      <c r="G27" s="28">
        <v>1.7350062684517543E-2</v>
      </c>
    </row>
    <row r="28" spans="1:7" ht="12.95" customHeight="1" x14ac:dyDescent="0.2">
      <c r="A28" s="9"/>
      <c r="B28" s="27" t="s">
        <v>228</v>
      </c>
      <c r="C28" s="16" t="s">
        <v>229</v>
      </c>
      <c r="D28" s="16" t="s">
        <v>44</v>
      </c>
      <c r="E28" s="18">
        <v>4000</v>
      </c>
      <c r="F28" s="19">
        <v>31.71</v>
      </c>
      <c r="G28" s="28">
        <v>1.6810956360854567E-2</v>
      </c>
    </row>
    <row r="29" spans="1:7" ht="12.95" customHeight="1" x14ac:dyDescent="0.2">
      <c r="A29" s="9"/>
      <c r="B29" s="27" t="s">
        <v>112</v>
      </c>
      <c r="C29" s="16" t="s">
        <v>113</v>
      </c>
      <c r="D29" s="16" t="s">
        <v>67</v>
      </c>
      <c r="E29" s="18">
        <v>8850</v>
      </c>
      <c r="F29" s="19">
        <v>29.528025</v>
      </c>
      <c r="G29" s="28">
        <v>1.5654189205210427E-2</v>
      </c>
    </row>
    <row r="30" spans="1:7" ht="12.95" customHeight="1" x14ac:dyDescent="0.2">
      <c r="A30" s="9"/>
      <c r="B30" s="27" t="s">
        <v>230</v>
      </c>
      <c r="C30" s="16" t="s">
        <v>231</v>
      </c>
      <c r="D30" s="16" t="s">
        <v>93</v>
      </c>
      <c r="E30" s="18">
        <v>1000</v>
      </c>
      <c r="F30" s="19">
        <v>28.181000000000001</v>
      </c>
      <c r="G30" s="28">
        <v>1.494006815532143E-2</v>
      </c>
    </row>
    <row r="31" spans="1:7" ht="12.95" customHeight="1" x14ac:dyDescent="0.2">
      <c r="A31" s="9"/>
      <c r="B31" s="27" t="s">
        <v>232</v>
      </c>
      <c r="C31" s="16" t="s">
        <v>233</v>
      </c>
      <c r="D31" s="16" t="s">
        <v>93</v>
      </c>
      <c r="E31" s="18">
        <v>525</v>
      </c>
      <c r="F31" s="19">
        <v>26.045249999999999</v>
      </c>
      <c r="G31" s="28">
        <v>1.380780703745025E-2</v>
      </c>
    </row>
    <row r="32" spans="1:7" ht="12.95" customHeight="1" x14ac:dyDescent="0.2">
      <c r="A32" s="9"/>
      <c r="B32" s="27" t="s">
        <v>145</v>
      </c>
      <c r="C32" s="16" t="s">
        <v>146</v>
      </c>
      <c r="D32" s="16" t="s">
        <v>93</v>
      </c>
      <c r="E32" s="18">
        <v>2601</v>
      </c>
      <c r="F32" s="19">
        <v>25.320734999999999</v>
      </c>
      <c r="G32" s="28">
        <v>1.3423707698194981E-2</v>
      </c>
    </row>
    <row r="33" spans="1:7" ht="12.95" customHeight="1" x14ac:dyDescent="0.2">
      <c r="A33" s="9"/>
      <c r="B33" s="27" t="s">
        <v>155</v>
      </c>
      <c r="C33" s="16" t="s">
        <v>156</v>
      </c>
      <c r="D33" s="16" t="s">
        <v>79</v>
      </c>
      <c r="E33" s="18">
        <v>21542</v>
      </c>
      <c r="F33" s="19">
        <v>22.177489000000001</v>
      </c>
      <c r="G33" s="28">
        <v>1.1757325757563298E-2</v>
      </c>
    </row>
    <row r="34" spans="1:7" ht="12.95" customHeight="1" x14ac:dyDescent="0.2">
      <c r="A34" s="9"/>
      <c r="B34" s="27" t="s">
        <v>118</v>
      </c>
      <c r="C34" s="16" t="s">
        <v>119</v>
      </c>
      <c r="D34" s="16" t="s">
        <v>61</v>
      </c>
      <c r="E34" s="18">
        <v>2299</v>
      </c>
      <c r="F34" s="19">
        <v>21.470361</v>
      </c>
      <c r="G34" s="28">
        <v>1.1382444081450451E-2</v>
      </c>
    </row>
    <row r="35" spans="1:7" ht="12.95" customHeight="1" x14ac:dyDescent="0.2">
      <c r="A35" s="9"/>
      <c r="B35" s="27" t="s">
        <v>169</v>
      </c>
      <c r="C35" s="16" t="s">
        <v>170</v>
      </c>
      <c r="D35" s="16" t="s">
        <v>79</v>
      </c>
      <c r="E35" s="18">
        <v>6150</v>
      </c>
      <c r="F35" s="19">
        <v>19.065000000000001</v>
      </c>
      <c r="G35" s="28">
        <v>1.0107249543352013E-2</v>
      </c>
    </row>
    <row r="36" spans="1:7" ht="12.95" customHeight="1" x14ac:dyDescent="0.2">
      <c r="A36" s="9"/>
      <c r="B36" s="27" t="s">
        <v>173</v>
      </c>
      <c r="C36" s="16" t="s">
        <v>174</v>
      </c>
      <c r="D36" s="16" t="s">
        <v>96</v>
      </c>
      <c r="E36" s="18">
        <v>6398</v>
      </c>
      <c r="F36" s="19">
        <v>17.066665</v>
      </c>
      <c r="G36" s="28">
        <v>9.0478385537787458E-3</v>
      </c>
    </row>
    <row r="37" spans="1:7" ht="12.95" customHeight="1" x14ac:dyDescent="0.2">
      <c r="A37" s="9"/>
      <c r="B37" s="27" t="s">
        <v>237</v>
      </c>
      <c r="C37" s="16" t="s">
        <v>238</v>
      </c>
      <c r="D37" s="16" t="s">
        <v>44</v>
      </c>
      <c r="E37" s="18">
        <v>195</v>
      </c>
      <c r="F37" s="19">
        <v>4.9573875000000003</v>
      </c>
      <c r="G37" s="28">
        <v>2.628143327857014E-3</v>
      </c>
    </row>
    <row r="38" spans="1:7" ht="12.95" customHeight="1" x14ac:dyDescent="0.2">
      <c r="A38" s="9"/>
      <c r="B38" s="59" t="s">
        <v>30</v>
      </c>
      <c r="C38" s="16"/>
      <c r="D38" s="16"/>
      <c r="E38" s="18"/>
      <c r="F38" s="61">
        <f>SUM(F9:F37)</f>
        <v>1403.7660775000002</v>
      </c>
      <c r="G38" s="65">
        <f>SUM(G9:G37)</f>
        <v>0.74420215293915148</v>
      </c>
    </row>
    <row r="39" spans="1:7" ht="12.95" customHeight="1" x14ac:dyDescent="0.2">
      <c r="A39" s="9"/>
      <c r="B39" s="27"/>
      <c r="C39" s="16"/>
      <c r="D39" s="16"/>
      <c r="E39" s="18"/>
      <c r="F39" s="19"/>
      <c r="G39" s="28"/>
    </row>
    <row r="40" spans="1:7" ht="12.95" customHeight="1" x14ac:dyDescent="0.2">
      <c r="A40" s="9"/>
      <c r="B40" s="59" t="s">
        <v>360</v>
      </c>
      <c r="C40" s="16"/>
      <c r="D40" s="16"/>
      <c r="E40" s="18"/>
      <c r="F40" s="19"/>
      <c r="G40" s="28"/>
    </row>
    <row r="41" spans="1:7" ht="12.95" customHeight="1" x14ac:dyDescent="0.2">
      <c r="A41" s="9"/>
      <c r="B41" s="59" t="s">
        <v>361</v>
      </c>
      <c r="C41" s="16"/>
      <c r="D41" s="16"/>
      <c r="E41" s="18"/>
      <c r="F41" s="19"/>
      <c r="G41" s="28"/>
    </row>
    <row r="42" spans="1:7" ht="12.95" customHeight="1" x14ac:dyDescent="0.2">
      <c r="A42" s="9"/>
      <c r="B42" s="27" t="s">
        <v>198</v>
      </c>
      <c r="C42" s="16" t="s">
        <v>199</v>
      </c>
      <c r="D42" s="16" t="s">
        <v>200</v>
      </c>
      <c r="E42" s="18">
        <v>7500</v>
      </c>
      <c r="F42" s="19">
        <v>62.506757299999997</v>
      </c>
      <c r="G42" s="28">
        <v>3.3137759988294782E-2</v>
      </c>
    </row>
    <row r="43" spans="1:7" ht="12.95" customHeight="1" x14ac:dyDescent="0.2">
      <c r="A43" s="9"/>
      <c r="B43" s="27" t="s">
        <v>201</v>
      </c>
      <c r="C43" s="16" t="s">
        <v>202</v>
      </c>
      <c r="D43" s="16" t="s">
        <v>203</v>
      </c>
      <c r="E43" s="18">
        <v>13000</v>
      </c>
      <c r="F43" s="19">
        <v>61.4087429</v>
      </c>
      <c r="G43" s="28">
        <v>3.2555651121628434E-2</v>
      </c>
    </row>
    <row r="44" spans="1:7" ht="12.95" customHeight="1" x14ac:dyDescent="0.2">
      <c r="A44" s="9"/>
      <c r="B44" s="27" t="s">
        <v>204</v>
      </c>
      <c r="C44" s="16" t="s">
        <v>205</v>
      </c>
      <c r="D44" s="16" t="s">
        <v>206</v>
      </c>
      <c r="E44" s="18">
        <v>80000</v>
      </c>
      <c r="F44" s="19">
        <v>55.571728800000002</v>
      </c>
      <c r="G44" s="28">
        <v>2.9461176529613525E-2</v>
      </c>
    </row>
    <row r="45" spans="1:7" ht="12.95" customHeight="1" x14ac:dyDescent="0.2">
      <c r="A45" s="9"/>
      <c r="B45" s="27" t="s">
        <v>211</v>
      </c>
      <c r="C45" s="16" t="s">
        <v>212</v>
      </c>
      <c r="D45" s="16" t="s">
        <v>213</v>
      </c>
      <c r="E45" s="18">
        <v>27300</v>
      </c>
      <c r="F45" s="19">
        <v>50.688233500000003</v>
      </c>
      <c r="G45" s="28">
        <v>2.6872206918237357E-2</v>
      </c>
    </row>
    <row r="46" spans="1:7" ht="12.95" customHeight="1" x14ac:dyDescent="0.2">
      <c r="A46" s="9"/>
      <c r="B46" s="27" t="s">
        <v>214</v>
      </c>
      <c r="C46" s="16" t="s">
        <v>215</v>
      </c>
      <c r="D46" s="16" t="s">
        <v>213</v>
      </c>
      <c r="E46" s="18">
        <v>11000</v>
      </c>
      <c r="F46" s="19">
        <v>48.648138000000003</v>
      </c>
      <c r="G46" s="28">
        <v>2.5790656731467385E-2</v>
      </c>
    </row>
    <row r="47" spans="1:7" ht="12.95" customHeight="1" x14ac:dyDescent="0.2">
      <c r="A47" s="9"/>
      <c r="B47" s="27" t="s">
        <v>219</v>
      </c>
      <c r="C47" s="16" t="s">
        <v>220</v>
      </c>
      <c r="D47" s="16" t="s">
        <v>221</v>
      </c>
      <c r="E47" s="18">
        <v>42000</v>
      </c>
      <c r="F47" s="19">
        <v>41.184690099999997</v>
      </c>
      <c r="G47" s="28">
        <v>2.1833933396607351E-2</v>
      </c>
    </row>
    <row r="48" spans="1:7" ht="12.95" customHeight="1" x14ac:dyDescent="0.2">
      <c r="A48" s="9"/>
      <c r="B48" s="27" t="s">
        <v>222</v>
      </c>
      <c r="C48" s="16" t="s">
        <v>223</v>
      </c>
      <c r="D48" s="16" t="s">
        <v>224</v>
      </c>
      <c r="E48" s="18">
        <v>6500</v>
      </c>
      <c r="F48" s="19">
        <v>40.765690900000003</v>
      </c>
      <c r="G48" s="28">
        <v>2.1611802293913154E-2</v>
      </c>
    </row>
    <row r="49" spans="1:7" ht="12.95" customHeight="1" x14ac:dyDescent="0.2">
      <c r="A49" s="9"/>
      <c r="B49" s="27" t="s">
        <v>225</v>
      </c>
      <c r="C49" s="16" t="s">
        <v>226</v>
      </c>
      <c r="D49" s="16" t="s">
        <v>227</v>
      </c>
      <c r="E49" s="18">
        <v>7000</v>
      </c>
      <c r="F49" s="19">
        <v>31.998732199999999</v>
      </c>
      <c r="G49" s="28">
        <v>1.6964026824877701E-2</v>
      </c>
    </row>
    <row r="50" spans="1:7" ht="12.95" customHeight="1" x14ac:dyDescent="0.2">
      <c r="A50" s="9"/>
      <c r="B50" s="27" t="s">
        <v>234</v>
      </c>
      <c r="C50" s="16" t="s">
        <v>235</v>
      </c>
      <c r="D50" s="16" t="s">
        <v>236</v>
      </c>
      <c r="E50" s="18">
        <v>16000</v>
      </c>
      <c r="F50" s="19">
        <v>9.1989205999999992</v>
      </c>
      <c r="G50" s="28">
        <v>4.8767787061988685E-3</v>
      </c>
    </row>
    <row r="51" spans="1:7" ht="12.95" customHeight="1" x14ac:dyDescent="0.2">
      <c r="A51" s="9"/>
      <c r="B51" s="27" t="s">
        <v>239</v>
      </c>
      <c r="C51" s="16" t="s">
        <v>240</v>
      </c>
      <c r="D51" s="16" t="s">
        <v>241</v>
      </c>
      <c r="E51" s="18">
        <v>10000</v>
      </c>
      <c r="F51" s="19">
        <v>3.8430504000000001</v>
      </c>
      <c r="G51" s="28">
        <v>2.0373810333322198E-3</v>
      </c>
    </row>
    <row r="52" spans="1:7" ht="12.95" customHeight="1" x14ac:dyDescent="0.2">
      <c r="A52" s="1"/>
      <c r="B52" s="21" t="s">
        <v>30</v>
      </c>
      <c r="C52" s="16" t="s">
        <v>1</v>
      </c>
      <c r="D52" s="16" t="s">
        <v>1</v>
      </c>
      <c r="E52" s="16" t="s">
        <v>1</v>
      </c>
      <c r="F52" s="20">
        <f>SUM(F42:F51)</f>
        <v>405.81468469999999</v>
      </c>
      <c r="G52" s="29">
        <f>SUM(G42:G51)</f>
        <v>0.21514137354417082</v>
      </c>
    </row>
    <row r="53" spans="1:7" ht="12.95" customHeight="1" x14ac:dyDescent="0.2">
      <c r="A53" s="1"/>
      <c r="B53" s="21"/>
      <c r="C53" s="16"/>
      <c r="D53" s="16"/>
      <c r="E53" s="16"/>
      <c r="F53" s="20"/>
      <c r="G53" s="29"/>
    </row>
    <row r="54" spans="1:7" ht="12.95" customHeight="1" x14ac:dyDescent="0.2">
      <c r="A54" s="1"/>
      <c r="B54" s="21" t="s">
        <v>176</v>
      </c>
      <c r="C54" s="16" t="s">
        <v>1</v>
      </c>
      <c r="D54" s="16" t="s">
        <v>1</v>
      </c>
      <c r="E54" s="20" t="s">
        <v>177</v>
      </c>
      <c r="F54" s="20" t="s">
        <v>177</v>
      </c>
      <c r="G54" s="30" t="s">
        <v>177</v>
      </c>
    </row>
    <row r="55" spans="1:7" ht="12.95" customHeight="1" x14ac:dyDescent="0.2">
      <c r="A55" s="1"/>
      <c r="B55" s="21" t="s">
        <v>30</v>
      </c>
      <c r="C55" s="16" t="s">
        <v>1</v>
      </c>
      <c r="D55" s="16" t="s">
        <v>1</v>
      </c>
      <c r="E55" s="20" t="s">
        <v>177</v>
      </c>
      <c r="F55" s="20" t="s">
        <v>177</v>
      </c>
      <c r="G55" s="30" t="s">
        <v>177</v>
      </c>
    </row>
    <row r="56" spans="1:7" ht="12.95" customHeight="1" x14ac:dyDescent="0.2">
      <c r="A56" s="1"/>
      <c r="B56" s="21" t="s">
        <v>31</v>
      </c>
      <c r="C56" s="16" t="s">
        <v>1</v>
      </c>
      <c r="D56" s="16" t="s">
        <v>1</v>
      </c>
      <c r="E56" s="16" t="s">
        <v>1</v>
      </c>
      <c r="F56" s="20">
        <v>1809.5807622</v>
      </c>
      <c r="G56" s="29">
        <v>0.95934352648332211</v>
      </c>
    </row>
    <row r="57" spans="1:7" ht="12.95" customHeight="1" x14ac:dyDescent="0.2">
      <c r="A57" s="1"/>
      <c r="B57" s="21"/>
      <c r="C57" s="16"/>
      <c r="D57" s="16"/>
      <c r="E57" s="16"/>
      <c r="F57" s="20"/>
      <c r="G57" s="29"/>
    </row>
    <row r="58" spans="1:7" ht="12.95" customHeight="1" x14ac:dyDescent="0.2">
      <c r="A58" s="1"/>
      <c r="B58" s="54" t="s">
        <v>353</v>
      </c>
      <c r="C58" s="16"/>
      <c r="D58" s="16"/>
      <c r="E58" s="16"/>
      <c r="F58" s="62"/>
      <c r="G58" s="29"/>
    </row>
    <row r="59" spans="1:7" ht="12.95" customHeight="1" x14ac:dyDescent="0.2">
      <c r="A59" s="9"/>
      <c r="B59" s="51" t="s">
        <v>357</v>
      </c>
      <c r="C59" s="16"/>
      <c r="D59" s="16"/>
      <c r="E59" s="20" t="s">
        <v>177</v>
      </c>
      <c r="F59" s="20" t="s">
        <v>177</v>
      </c>
      <c r="G59" s="30" t="s">
        <v>177</v>
      </c>
    </row>
    <row r="60" spans="1:7" ht="12.95" customHeight="1" x14ac:dyDescent="0.2">
      <c r="A60" s="1"/>
      <c r="B60" s="51" t="s">
        <v>355</v>
      </c>
      <c r="C60" s="16"/>
      <c r="D60" s="16"/>
      <c r="E60" s="20" t="s">
        <v>177</v>
      </c>
      <c r="F60" s="20" t="s">
        <v>177</v>
      </c>
      <c r="G60" s="30" t="s">
        <v>177</v>
      </c>
    </row>
    <row r="61" spans="1:7" ht="12.95" customHeight="1" x14ac:dyDescent="0.2">
      <c r="A61" s="1"/>
      <c r="B61" s="51" t="s">
        <v>356</v>
      </c>
      <c r="C61" s="16"/>
      <c r="D61" s="16"/>
      <c r="E61" s="20" t="s">
        <v>177</v>
      </c>
      <c r="F61" s="20" t="s">
        <v>177</v>
      </c>
      <c r="G61" s="30" t="s">
        <v>177</v>
      </c>
    </row>
    <row r="62" spans="1:7" ht="12.95" customHeight="1" x14ac:dyDescent="0.2">
      <c r="A62" s="1"/>
      <c r="B62" s="51"/>
      <c r="C62" s="16"/>
      <c r="D62" s="16"/>
      <c r="E62" s="16"/>
      <c r="F62" s="62"/>
      <c r="G62" s="66"/>
    </row>
    <row r="63" spans="1:7" ht="12.95" customHeight="1" x14ac:dyDescent="0.2">
      <c r="A63" s="1"/>
      <c r="B63" s="60" t="s">
        <v>9</v>
      </c>
      <c r="C63" s="16"/>
      <c r="D63" s="16"/>
      <c r="E63" s="16"/>
      <c r="F63" s="62"/>
      <c r="G63" s="66"/>
    </row>
    <row r="64" spans="1:7" ht="12.95" customHeight="1" x14ac:dyDescent="0.2">
      <c r="A64" s="1"/>
      <c r="B64" s="21" t="s">
        <v>32</v>
      </c>
      <c r="C64" s="16" t="s">
        <v>1</v>
      </c>
      <c r="D64" s="16" t="s">
        <v>1</v>
      </c>
      <c r="E64" s="16" t="s">
        <v>1</v>
      </c>
      <c r="F64" s="17" t="s">
        <v>1</v>
      </c>
      <c r="G64" s="26" t="s">
        <v>1</v>
      </c>
    </row>
    <row r="65" spans="1:7" ht="12.95" customHeight="1" x14ac:dyDescent="0.2">
      <c r="A65" s="9"/>
      <c r="B65" s="27" t="s">
        <v>33</v>
      </c>
      <c r="C65" s="16" t="s">
        <v>1</v>
      </c>
      <c r="D65" s="16" t="s">
        <v>34</v>
      </c>
      <c r="E65" s="18"/>
      <c r="F65" s="19">
        <v>96.830635799999996</v>
      </c>
      <c r="G65" s="28">
        <v>5.1334455781381329E-2</v>
      </c>
    </row>
    <row r="66" spans="1:7" ht="12.95" customHeight="1" x14ac:dyDescent="0.2">
      <c r="A66" s="1"/>
      <c r="B66" s="21" t="s">
        <v>30</v>
      </c>
      <c r="C66" s="16" t="s">
        <v>1</v>
      </c>
      <c r="D66" s="16" t="s">
        <v>1</v>
      </c>
      <c r="E66" s="16" t="s">
        <v>1</v>
      </c>
      <c r="F66" s="20">
        <v>96.830635799999996</v>
      </c>
      <c r="G66" s="29">
        <v>5.1334455781381329E-2</v>
      </c>
    </row>
    <row r="67" spans="1:7" ht="12.95" customHeight="1" x14ac:dyDescent="0.2">
      <c r="A67" s="1"/>
      <c r="B67" s="21" t="s">
        <v>31</v>
      </c>
      <c r="C67" s="16" t="s">
        <v>1</v>
      </c>
      <c r="D67" s="16" t="s">
        <v>1</v>
      </c>
      <c r="E67" s="16" t="s">
        <v>1</v>
      </c>
      <c r="F67" s="20">
        <v>96.830635799999996</v>
      </c>
      <c r="G67" s="29">
        <v>5.1334455781381329E-2</v>
      </c>
    </row>
    <row r="68" spans="1:7" ht="12.95" customHeight="1" x14ac:dyDescent="0.2">
      <c r="A68" s="1"/>
      <c r="B68" s="21"/>
      <c r="C68" s="16"/>
      <c r="D68" s="16"/>
      <c r="E68" s="16"/>
      <c r="F68" s="20"/>
      <c r="G68" s="29"/>
    </row>
    <row r="69" spans="1:7" ht="12.95" customHeight="1" x14ac:dyDescent="0.2">
      <c r="A69" s="1"/>
      <c r="B69" s="21" t="s">
        <v>189</v>
      </c>
      <c r="C69" s="16"/>
      <c r="D69" s="16"/>
      <c r="E69" s="16"/>
      <c r="F69" s="20"/>
      <c r="G69" s="29"/>
    </row>
    <row r="70" spans="1:7" ht="12.95" customHeight="1" thickBot="1" x14ac:dyDescent="0.25">
      <c r="A70" s="1"/>
      <c r="B70" s="44" t="s">
        <v>35</v>
      </c>
      <c r="C70" s="45" t="s">
        <v>1</v>
      </c>
      <c r="D70" s="45" t="s">
        <v>1</v>
      </c>
      <c r="E70" s="45" t="s">
        <v>1</v>
      </c>
      <c r="F70" s="46">
        <v>-20.141555920199998</v>
      </c>
      <c r="G70" s="47">
        <v>-1.0677982264703468E-2</v>
      </c>
    </row>
    <row r="71" spans="1:7" ht="12.95" customHeight="1" thickTop="1" thickBot="1" x14ac:dyDescent="0.25">
      <c r="A71" s="1"/>
      <c r="B71" s="40" t="s">
        <v>36</v>
      </c>
      <c r="C71" s="41" t="s">
        <v>1</v>
      </c>
      <c r="D71" s="41" t="s">
        <v>1</v>
      </c>
      <c r="E71" s="41" t="s">
        <v>1</v>
      </c>
      <c r="F71" s="42">
        <v>1886.2698420797999</v>
      </c>
      <c r="G71" s="43">
        <v>1</v>
      </c>
    </row>
    <row r="72" spans="1:7" ht="12.95" customHeight="1" x14ac:dyDescent="0.2">
      <c r="A72" s="1"/>
      <c r="B72" s="7" t="s">
        <v>1</v>
      </c>
      <c r="C72" s="1"/>
      <c r="D72" s="1"/>
      <c r="E72" s="1"/>
      <c r="F72" s="3"/>
      <c r="G72" s="4"/>
    </row>
    <row r="73" spans="1:7" ht="12.95" customHeight="1" x14ac:dyDescent="0.2">
      <c r="A73" s="1"/>
      <c r="B73" s="2" t="s">
        <v>358</v>
      </c>
      <c r="C73" s="1"/>
      <c r="D73" s="1"/>
      <c r="E73" s="1"/>
      <c r="F73" s="3"/>
      <c r="G73" s="4"/>
    </row>
    <row r="74" spans="1:7" ht="12.95" customHeight="1" x14ac:dyDescent="0.2">
      <c r="A74" s="1"/>
      <c r="B74" s="58" t="s">
        <v>362</v>
      </c>
      <c r="C74" s="1"/>
      <c r="D74" s="1"/>
      <c r="E74" s="1"/>
      <c r="F74" s="3"/>
      <c r="G74" s="4"/>
    </row>
    <row r="75" spans="1:7" ht="12.95" customHeight="1" thickBot="1" x14ac:dyDescent="0.25">
      <c r="A75" s="1"/>
      <c r="B75" s="2" t="s">
        <v>1</v>
      </c>
      <c r="C75" s="1"/>
      <c r="D75" s="1"/>
      <c r="E75" s="1"/>
      <c r="F75" s="3"/>
      <c r="G75" s="4"/>
    </row>
    <row r="76" spans="1:7" ht="13.5" thickBot="1" x14ac:dyDescent="0.25">
      <c r="B76" s="48" t="s">
        <v>366</v>
      </c>
      <c r="C76" s="49">
        <v>0.65700000000000003</v>
      </c>
    </row>
    <row r="77" spans="1:7" x14ac:dyDescent="0.2">
      <c r="B77" s="7" t="s">
        <v>367</v>
      </c>
      <c r="C77" s="7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showGridLines="0" zoomScaleNormal="100" workbookViewId="0">
      <selection activeCell="B4" sqref="B4"/>
    </sheetView>
  </sheetViews>
  <sheetFormatPr defaultColWidth="3.5703125" defaultRowHeight="12.75" x14ac:dyDescent="0.2"/>
  <cols>
    <col min="1" max="1" width="11.42578125" style="5" bestFit="1" customWidth="1"/>
    <col min="2" max="2" width="47.28515625" style="5" customWidth="1"/>
    <col min="3" max="5" width="18.5703125" style="5" customWidth="1"/>
    <col min="6" max="6" width="18.5703125" style="10" customWidth="1"/>
    <col min="7" max="7" width="18.5703125" style="11" customWidth="1"/>
    <col min="8" max="16384" width="3.5703125" style="5"/>
  </cols>
  <sheetData>
    <row r="1" spans="1:7" ht="18.75" x14ac:dyDescent="0.2">
      <c r="A1" s="1"/>
      <c r="B1" s="100" t="s">
        <v>242</v>
      </c>
      <c r="C1" s="101"/>
      <c r="D1" s="101"/>
      <c r="E1" s="101"/>
      <c r="F1" s="101"/>
      <c r="G1" s="102"/>
    </row>
    <row r="2" spans="1:7" ht="13.5" thickBot="1" x14ac:dyDescent="0.25">
      <c r="A2" s="1"/>
      <c r="B2" s="103" t="s">
        <v>369</v>
      </c>
      <c r="C2" s="104"/>
      <c r="D2" s="104"/>
      <c r="E2" s="104"/>
      <c r="F2" s="104"/>
      <c r="G2" s="105"/>
    </row>
    <row r="3" spans="1:7" x14ac:dyDescent="0.2">
      <c r="A3" s="1"/>
      <c r="B3" s="6" t="s">
        <v>1</v>
      </c>
      <c r="C3" s="1"/>
      <c r="D3" s="1"/>
      <c r="E3" s="1"/>
      <c r="F3" s="3"/>
      <c r="G3" s="4"/>
    </row>
    <row r="4" spans="1:7" ht="13.5" thickBot="1" x14ac:dyDescent="0.25">
      <c r="A4" s="7"/>
      <c r="B4" s="8" t="s">
        <v>2</v>
      </c>
      <c r="C4" s="1"/>
      <c r="D4" s="1"/>
      <c r="E4" s="1"/>
      <c r="F4" s="3"/>
      <c r="G4" s="4"/>
    </row>
    <row r="5" spans="1:7" ht="23.25" thickBot="1" x14ac:dyDescent="0.25">
      <c r="A5" s="1"/>
      <c r="B5" s="35" t="s">
        <v>3</v>
      </c>
      <c r="C5" s="36" t="s">
        <v>4</v>
      </c>
      <c r="D5" s="37" t="s">
        <v>243</v>
      </c>
      <c r="E5" s="37" t="s">
        <v>6</v>
      </c>
      <c r="F5" s="38" t="s">
        <v>7</v>
      </c>
      <c r="G5" s="39" t="s">
        <v>8</v>
      </c>
    </row>
    <row r="6" spans="1:7" x14ac:dyDescent="0.2">
      <c r="A6" s="1"/>
      <c r="B6" s="72" t="s">
        <v>351</v>
      </c>
      <c r="C6" s="68"/>
      <c r="D6" s="69"/>
      <c r="E6" s="69"/>
      <c r="F6" s="69"/>
      <c r="G6" s="73"/>
    </row>
    <row r="7" spans="1:7" x14ac:dyDescent="0.2">
      <c r="A7" s="1"/>
      <c r="B7" s="23" t="s">
        <v>352</v>
      </c>
      <c r="C7" s="12"/>
      <c r="D7" s="13"/>
      <c r="E7" s="74" t="s">
        <v>177</v>
      </c>
      <c r="F7" s="74" t="s">
        <v>177</v>
      </c>
      <c r="G7" s="75" t="s">
        <v>177</v>
      </c>
    </row>
    <row r="8" spans="1:7" x14ac:dyDescent="0.2">
      <c r="A8" s="1"/>
      <c r="B8" s="23" t="s">
        <v>176</v>
      </c>
      <c r="C8" s="12"/>
      <c r="D8" s="13"/>
      <c r="E8" s="74" t="s">
        <v>177</v>
      </c>
      <c r="F8" s="74" t="s">
        <v>177</v>
      </c>
      <c r="G8" s="75" t="s">
        <v>177</v>
      </c>
    </row>
    <row r="9" spans="1:7" x14ac:dyDescent="0.2">
      <c r="A9" s="1"/>
      <c r="B9" s="63"/>
      <c r="C9" s="12"/>
      <c r="D9" s="13"/>
      <c r="E9" s="13"/>
      <c r="F9" s="14"/>
      <c r="G9" s="64"/>
    </row>
    <row r="10" spans="1:7" x14ac:dyDescent="0.2">
      <c r="A10" s="1"/>
      <c r="B10" s="21" t="s">
        <v>244</v>
      </c>
      <c r="C10" s="16" t="s">
        <v>1</v>
      </c>
      <c r="D10" s="16" t="s">
        <v>1</v>
      </c>
      <c r="E10" s="16" t="s">
        <v>1</v>
      </c>
      <c r="F10" s="17" t="s">
        <v>1</v>
      </c>
      <c r="G10" s="26" t="s">
        <v>1</v>
      </c>
    </row>
    <row r="11" spans="1:7" x14ac:dyDescent="0.2">
      <c r="A11" s="9"/>
      <c r="B11" s="27" t="s">
        <v>245</v>
      </c>
      <c r="C11" s="16" t="s">
        <v>246</v>
      </c>
      <c r="D11" s="16" t="s">
        <v>1</v>
      </c>
      <c r="E11" s="18">
        <v>412689.21662329999</v>
      </c>
      <c r="F11" s="19">
        <v>2343.6714268999999</v>
      </c>
      <c r="G11" s="28">
        <v>0.9929704396192367</v>
      </c>
    </row>
    <row r="12" spans="1:7" x14ac:dyDescent="0.2">
      <c r="A12" s="1"/>
      <c r="B12" s="21" t="s">
        <v>30</v>
      </c>
      <c r="C12" s="16" t="s">
        <v>1</v>
      </c>
      <c r="D12" s="16" t="s">
        <v>1</v>
      </c>
      <c r="E12" s="16" t="s">
        <v>1</v>
      </c>
      <c r="F12" s="20">
        <v>2343.6714268999999</v>
      </c>
      <c r="G12" s="29">
        <v>0.9929704396192367</v>
      </c>
    </row>
    <row r="13" spans="1:7" x14ac:dyDescent="0.2">
      <c r="A13" s="1"/>
      <c r="B13" s="21" t="s">
        <v>31</v>
      </c>
      <c r="C13" s="16" t="s">
        <v>1</v>
      </c>
      <c r="D13" s="16" t="s">
        <v>1</v>
      </c>
      <c r="E13" s="16" t="s">
        <v>1</v>
      </c>
      <c r="F13" s="20">
        <v>2343.6714268999999</v>
      </c>
      <c r="G13" s="29">
        <v>0.9929704396192367</v>
      </c>
    </row>
    <row r="14" spans="1:7" x14ac:dyDescent="0.2">
      <c r="A14" s="1"/>
      <c r="B14" s="21"/>
      <c r="C14" s="16"/>
      <c r="D14" s="16"/>
      <c r="E14" s="16"/>
      <c r="F14" s="20"/>
      <c r="G14" s="29"/>
    </row>
    <row r="15" spans="1:7" x14ac:dyDescent="0.2">
      <c r="A15" s="1"/>
      <c r="B15" s="22" t="s">
        <v>353</v>
      </c>
      <c r="C15" s="16"/>
      <c r="D15" s="16"/>
      <c r="E15" s="16"/>
      <c r="F15" s="20"/>
      <c r="G15" s="29"/>
    </row>
    <row r="16" spans="1:7" x14ac:dyDescent="0.2">
      <c r="A16" s="1"/>
      <c r="B16" s="76" t="s">
        <v>357</v>
      </c>
      <c r="C16" s="16"/>
      <c r="D16" s="16"/>
      <c r="E16" s="74" t="s">
        <v>177</v>
      </c>
      <c r="F16" s="74" t="s">
        <v>177</v>
      </c>
      <c r="G16" s="75" t="s">
        <v>177</v>
      </c>
    </row>
    <row r="17" spans="1:7" x14ac:dyDescent="0.2">
      <c r="A17" s="1"/>
      <c r="B17" s="76" t="s">
        <v>355</v>
      </c>
      <c r="C17" s="16"/>
      <c r="D17" s="16"/>
      <c r="E17" s="74" t="s">
        <v>177</v>
      </c>
      <c r="F17" s="74" t="s">
        <v>177</v>
      </c>
      <c r="G17" s="75" t="s">
        <v>177</v>
      </c>
    </row>
    <row r="18" spans="1:7" x14ac:dyDescent="0.2">
      <c r="A18" s="1"/>
      <c r="B18" s="76" t="s">
        <v>356</v>
      </c>
      <c r="C18" s="16"/>
      <c r="D18" s="16"/>
      <c r="E18" s="74" t="s">
        <v>177</v>
      </c>
      <c r="F18" s="74" t="s">
        <v>177</v>
      </c>
      <c r="G18" s="75" t="s">
        <v>177</v>
      </c>
    </row>
    <row r="19" spans="1:7" x14ac:dyDescent="0.2">
      <c r="A19" s="1"/>
      <c r="B19" s="22"/>
      <c r="C19" s="16"/>
      <c r="D19" s="16"/>
      <c r="E19" s="16"/>
      <c r="F19" s="20"/>
      <c r="G19" s="29"/>
    </row>
    <row r="20" spans="1:7" x14ac:dyDescent="0.2">
      <c r="A20" s="1"/>
      <c r="B20" s="21" t="s">
        <v>32</v>
      </c>
      <c r="C20" s="16" t="s">
        <v>1</v>
      </c>
      <c r="D20" s="16" t="s">
        <v>1</v>
      </c>
      <c r="E20" s="16" t="s">
        <v>1</v>
      </c>
      <c r="F20" s="17" t="s">
        <v>1</v>
      </c>
      <c r="G20" s="26" t="s">
        <v>1</v>
      </c>
    </row>
    <row r="21" spans="1:7" x14ac:dyDescent="0.2">
      <c r="A21" s="9"/>
      <c r="B21" s="27" t="s">
        <v>33</v>
      </c>
      <c r="C21" s="16" t="s">
        <v>1</v>
      </c>
      <c r="D21" s="16" t="s">
        <v>34</v>
      </c>
      <c r="E21" s="18"/>
      <c r="F21" s="19">
        <v>23.1646283</v>
      </c>
      <c r="G21" s="28">
        <v>9.81442657987768E-3</v>
      </c>
    </row>
    <row r="22" spans="1:7" x14ac:dyDescent="0.2">
      <c r="A22" s="1"/>
      <c r="B22" s="21" t="s">
        <v>30</v>
      </c>
      <c r="C22" s="16" t="s">
        <v>1</v>
      </c>
      <c r="D22" s="16" t="s">
        <v>1</v>
      </c>
      <c r="E22" s="16" t="s">
        <v>1</v>
      </c>
      <c r="F22" s="20">
        <v>23.1646283</v>
      </c>
      <c r="G22" s="29">
        <v>9.81442657987768E-3</v>
      </c>
    </row>
    <row r="23" spans="1:7" x14ac:dyDescent="0.2">
      <c r="A23" s="1"/>
      <c r="B23" s="21" t="s">
        <v>31</v>
      </c>
      <c r="C23" s="16" t="s">
        <v>1</v>
      </c>
      <c r="D23" s="16" t="s">
        <v>1</v>
      </c>
      <c r="E23" s="16" t="s">
        <v>1</v>
      </c>
      <c r="F23" s="20">
        <v>23.1646283</v>
      </c>
      <c r="G23" s="29">
        <v>9.81442657987768E-3</v>
      </c>
    </row>
    <row r="24" spans="1:7" x14ac:dyDescent="0.2">
      <c r="A24" s="1"/>
      <c r="B24" s="21"/>
      <c r="C24" s="16"/>
      <c r="D24" s="16"/>
      <c r="E24" s="16"/>
      <c r="F24" s="20"/>
      <c r="G24" s="29"/>
    </row>
    <row r="25" spans="1:7" x14ac:dyDescent="0.2">
      <c r="A25" s="1"/>
      <c r="B25" s="21" t="s">
        <v>189</v>
      </c>
      <c r="C25" s="16"/>
      <c r="D25" s="16"/>
      <c r="E25" s="16"/>
      <c r="F25" s="20"/>
      <c r="G25" s="29"/>
    </row>
    <row r="26" spans="1:7" ht="13.5" thickBot="1" x14ac:dyDescent="0.25">
      <c r="A26" s="1"/>
      <c r="B26" s="44" t="s">
        <v>35</v>
      </c>
      <c r="C26" s="45" t="s">
        <v>1</v>
      </c>
      <c r="D26" s="45" t="s">
        <v>1</v>
      </c>
      <c r="E26" s="45" t="s">
        <v>1</v>
      </c>
      <c r="F26" s="46">
        <v>-6.5730167568000004</v>
      </c>
      <c r="G26" s="47">
        <v>-2.7848661991143253E-3</v>
      </c>
    </row>
    <row r="27" spans="1:7" ht="14.25" thickTop="1" thickBot="1" x14ac:dyDescent="0.25">
      <c r="A27" s="1"/>
      <c r="B27" s="40" t="s">
        <v>36</v>
      </c>
      <c r="C27" s="41" t="s">
        <v>1</v>
      </c>
      <c r="D27" s="41" t="s">
        <v>1</v>
      </c>
      <c r="E27" s="41" t="s">
        <v>1</v>
      </c>
      <c r="F27" s="42">
        <v>2360.2630384432</v>
      </c>
      <c r="G27" s="43">
        <v>1</v>
      </c>
    </row>
    <row r="28" spans="1:7" x14ac:dyDescent="0.2">
      <c r="A28" s="1"/>
      <c r="B28" s="7" t="s">
        <v>1</v>
      </c>
      <c r="C28" s="1"/>
      <c r="D28" s="1"/>
      <c r="E28" s="1"/>
      <c r="F28" s="3"/>
      <c r="G28" s="4"/>
    </row>
    <row r="29" spans="1:7" x14ac:dyDescent="0.2">
      <c r="A29" s="1"/>
      <c r="B29" s="2" t="s">
        <v>34</v>
      </c>
      <c r="C29" s="1"/>
      <c r="D29" s="1"/>
      <c r="E29" s="1"/>
      <c r="F29" s="3"/>
      <c r="G29" s="4"/>
    </row>
    <row r="30" spans="1:7" x14ac:dyDescent="0.2">
      <c r="A30" s="1"/>
      <c r="B30" s="2" t="s">
        <v>1</v>
      </c>
      <c r="C30" s="1"/>
      <c r="D30" s="1"/>
      <c r="E30" s="1"/>
      <c r="F30" s="3"/>
      <c r="G30" s="4"/>
    </row>
    <row r="31" spans="1:7" x14ac:dyDescent="0.2">
      <c r="A31" s="1"/>
      <c r="B31" s="2" t="s">
        <v>1</v>
      </c>
      <c r="C31" s="1"/>
      <c r="D31" s="1"/>
      <c r="E31" s="1"/>
      <c r="F31" s="3"/>
      <c r="G31" s="4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showGridLines="0" zoomScaleNormal="100" workbookViewId="0">
      <selection activeCell="C69" sqref="C69"/>
    </sheetView>
  </sheetViews>
  <sheetFormatPr defaultRowHeight="12.75" x14ac:dyDescent="0.2"/>
  <cols>
    <col min="1" max="1" width="12.5703125" style="5" bestFit="1" customWidth="1"/>
    <col min="2" max="2" width="56.42578125" style="5" bestFit="1" customWidth="1"/>
    <col min="3" max="3" width="16.140625" style="5" customWidth="1"/>
    <col min="4" max="4" width="28.5703125" style="5" bestFit="1" customWidth="1"/>
    <col min="5" max="5" width="17.42578125" style="5" customWidth="1"/>
    <col min="6" max="6" width="17.42578125" style="10" customWidth="1"/>
    <col min="7" max="7" width="17.42578125" style="11" customWidth="1"/>
    <col min="8" max="16384" width="9.140625" style="5"/>
  </cols>
  <sheetData>
    <row r="1" spans="1:7" ht="18.75" x14ac:dyDescent="0.2">
      <c r="A1" s="1"/>
      <c r="B1" s="100" t="s">
        <v>247</v>
      </c>
      <c r="C1" s="101"/>
      <c r="D1" s="101"/>
      <c r="E1" s="101"/>
      <c r="F1" s="101"/>
      <c r="G1" s="102"/>
    </row>
    <row r="2" spans="1:7" ht="15.95" customHeight="1" thickBot="1" x14ac:dyDescent="0.25">
      <c r="A2" s="1"/>
      <c r="B2" s="103" t="s">
        <v>368</v>
      </c>
      <c r="C2" s="104"/>
      <c r="D2" s="104"/>
      <c r="E2" s="104"/>
      <c r="F2" s="104"/>
      <c r="G2" s="105"/>
    </row>
    <row r="3" spans="1:7" ht="12.95" customHeight="1" x14ac:dyDescent="0.2">
      <c r="A3" s="1"/>
      <c r="B3" s="6" t="s">
        <v>1</v>
      </c>
      <c r="C3" s="1"/>
      <c r="D3" s="1"/>
      <c r="E3" s="1"/>
      <c r="F3" s="3"/>
      <c r="G3" s="4"/>
    </row>
    <row r="4" spans="1:7" ht="12.95" customHeight="1" thickBot="1" x14ac:dyDescent="0.25">
      <c r="A4" s="7"/>
      <c r="B4" s="8" t="s">
        <v>2</v>
      </c>
      <c r="C4" s="1"/>
      <c r="D4" s="1"/>
      <c r="E4" s="1"/>
      <c r="F4" s="3"/>
      <c r="G4" s="4"/>
    </row>
    <row r="5" spans="1:7" ht="27.95" customHeight="1" thickBot="1" x14ac:dyDescent="0.25">
      <c r="A5" s="1"/>
      <c r="B5" s="35" t="s">
        <v>3</v>
      </c>
      <c r="C5" s="36" t="s">
        <v>4</v>
      </c>
      <c r="D5" s="37" t="s">
        <v>39</v>
      </c>
      <c r="E5" s="37" t="s">
        <v>6</v>
      </c>
      <c r="F5" s="38" t="s">
        <v>7</v>
      </c>
      <c r="G5" s="39" t="s">
        <v>8</v>
      </c>
    </row>
    <row r="6" spans="1:7" x14ac:dyDescent="0.2">
      <c r="A6" s="1"/>
      <c r="B6" s="67" t="s">
        <v>40</v>
      </c>
      <c r="C6" s="68"/>
      <c r="D6" s="69"/>
      <c r="E6" s="69"/>
      <c r="F6" s="70"/>
      <c r="G6" s="71"/>
    </row>
    <row r="7" spans="1:7" x14ac:dyDescent="0.2">
      <c r="A7" s="1"/>
      <c r="B7" s="63" t="s">
        <v>41</v>
      </c>
      <c r="C7" s="12"/>
      <c r="D7" s="13"/>
      <c r="E7" s="13"/>
      <c r="F7" s="14"/>
      <c r="G7" s="64"/>
    </row>
    <row r="8" spans="1:7" x14ac:dyDescent="0.2">
      <c r="A8" s="1"/>
      <c r="B8" s="63" t="s">
        <v>359</v>
      </c>
      <c r="C8" s="12"/>
      <c r="D8" s="13"/>
      <c r="E8" s="13"/>
      <c r="F8" s="14"/>
      <c r="G8" s="64"/>
    </row>
    <row r="9" spans="1:7" ht="12.95" customHeight="1" x14ac:dyDescent="0.2">
      <c r="A9" s="9"/>
      <c r="B9" s="27" t="s">
        <v>248</v>
      </c>
      <c r="C9" s="16" t="s">
        <v>249</v>
      </c>
      <c r="D9" s="16" t="s">
        <v>58</v>
      </c>
      <c r="E9" s="18">
        <v>11800</v>
      </c>
      <c r="F9" s="19">
        <v>125.63460000000001</v>
      </c>
      <c r="G9" s="28">
        <v>9.6133013299970885E-2</v>
      </c>
    </row>
    <row r="10" spans="1:7" ht="12.95" customHeight="1" x14ac:dyDescent="0.2">
      <c r="A10" s="9"/>
      <c r="B10" s="27" t="s">
        <v>253</v>
      </c>
      <c r="C10" s="16" t="s">
        <v>254</v>
      </c>
      <c r="D10" s="16" t="s">
        <v>105</v>
      </c>
      <c r="E10" s="18">
        <v>32000</v>
      </c>
      <c r="F10" s="19">
        <v>121.008</v>
      </c>
      <c r="G10" s="28">
        <v>9.2592834087129483E-2</v>
      </c>
    </row>
    <row r="11" spans="1:7" ht="12.95" customHeight="1" x14ac:dyDescent="0.2">
      <c r="A11" s="9"/>
      <c r="B11" s="27" t="s">
        <v>265</v>
      </c>
      <c r="C11" s="16" t="s">
        <v>266</v>
      </c>
      <c r="D11" s="16" t="s">
        <v>142</v>
      </c>
      <c r="E11" s="18">
        <v>21000</v>
      </c>
      <c r="F11" s="19">
        <v>58.894500000000001</v>
      </c>
      <c r="G11" s="28">
        <v>4.5064860729410017E-2</v>
      </c>
    </row>
    <row r="12" spans="1:7" ht="12.95" customHeight="1" x14ac:dyDescent="0.2">
      <c r="A12" s="9"/>
      <c r="B12" s="27" t="s">
        <v>269</v>
      </c>
      <c r="C12" s="16" t="s">
        <v>270</v>
      </c>
      <c r="D12" s="16" t="s">
        <v>142</v>
      </c>
      <c r="E12" s="18">
        <v>12000</v>
      </c>
      <c r="F12" s="19">
        <v>44.508000000000003</v>
      </c>
      <c r="G12" s="28">
        <v>3.4056606666914242E-2</v>
      </c>
    </row>
    <row r="13" spans="1:7" ht="12.95" customHeight="1" x14ac:dyDescent="0.2">
      <c r="A13" s="9"/>
      <c r="B13" s="27" t="s">
        <v>281</v>
      </c>
      <c r="C13" s="16" t="s">
        <v>282</v>
      </c>
      <c r="D13" s="16" t="s">
        <v>283</v>
      </c>
      <c r="E13" s="18">
        <v>20000</v>
      </c>
      <c r="F13" s="19">
        <v>29.6</v>
      </c>
      <c r="G13" s="28">
        <v>2.2649311524684586E-2</v>
      </c>
    </row>
    <row r="14" spans="1:7" ht="12.95" customHeight="1" x14ac:dyDescent="0.2">
      <c r="A14" s="9"/>
      <c r="B14" s="27" t="s">
        <v>287</v>
      </c>
      <c r="C14" s="16" t="s">
        <v>288</v>
      </c>
      <c r="D14" s="16" t="s">
        <v>289</v>
      </c>
      <c r="E14" s="18">
        <v>6000</v>
      </c>
      <c r="F14" s="19">
        <v>28.506</v>
      </c>
      <c r="G14" s="28">
        <v>2.1812205213603341E-2</v>
      </c>
    </row>
    <row r="15" spans="1:7" ht="12.95" customHeight="1" x14ac:dyDescent="0.2">
      <c r="A15" s="9"/>
      <c r="B15" s="27" t="s">
        <v>304</v>
      </c>
      <c r="C15" s="16" t="s">
        <v>305</v>
      </c>
      <c r="D15" s="16" t="s">
        <v>58</v>
      </c>
      <c r="E15" s="18">
        <v>4000</v>
      </c>
      <c r="F15" s="19">
        <v>20.876000000000001</v>
      </c>
      <c r="G15" s="28">
        <v>1.5973886060449846E-2</v>
      </c>
    </row>
    <row r="16" spans="1:7" ht="12.95" customHeight="1" x14ac:dyDescent="0.2">
      <c r="A16" s="9"/>
      <c r="B16" s="27" t="s">
        <v>306</v>
      </c>
      <c r="C16" s="16" t="s">
        <v>307</v>
      </c>
      <c r="D16" s="16" t="s">
        <v>105</v>
      </c>
      <c r="E16" s="18">
        <v>6000</v>
      </c>
      <c r="F16" s="19">
        <v>20.259</v>
      </c>
      <c r="G16" s="28">
        <v>1.5501770343871117E-2</v>
      </c>
    </row>
    <row r="17" spans="1:7" ht="12.95" customHeight="1" x14ac:dyDescent="0.2">
      <c r="A17" s="9"/>
      <c r="B17" s="27" t="s">
        <v>140</v>
      </c>
      <c r="C17" s="16" t="s">
        <v>141</v>
      </c>
      <c r="D17" s="16" t="s">
        <v>142</v>
      </c>
      <c r="E17" s="18">
        <v>7000</v>
      </c>
      <c r="F17" s="19">
        <v>10.5525</v>
      </c>
      <c r="G17" s="28">
        <v>8.074556076494396E-3</v>
      </c>
    </row>
    <row r="18" spans="1:7" ht="12.95" customHeight="1" x14ac:dyDescent="0.2">
      <c r="A18" s="9"/>
      <c r="B18" s="59" t="s">
        <v>30</v>
      </c>
      <c r="C18" s="16"/>
      <c r="D18" s="16"/>
      <c r="E18" s="18"/>
      <c r="F18" s="61">
        <f>SUM(F9:F17)</f>
        <v>459.83860000000004</v>
      </c>
      <c r="G18" s="65">
        <f>SUM(G9:G17)</f>
        <v>0.35185904400252788</v>
      </c>
    </row>
    <row r="19" spans="1:7" ht="12.95" customHeight="1" x14ac:dyDescent="0.2">
      <c r="A19" s="9"/>
      <c r="B19" s="27"/>
      <c r="C19" s="16"/>
      <c r="D19" s="16"/>
      <c r="E19" s="18"/>
      <c r="F19" s="19"/>
      <c r="G19" s="28"/>
    </row>
    <row r="20" spans="1:7" ht="12.95" customHeight="1" x14ac:dyDescent="0.2">
      <c r="A20" s="9"/>
      <c r="B20" s="59" t="s">
        <v>360</v>
      </c>
      <c r="C20" s="16"/>
      <c r="D20" s="16"/>
      <c r="E20" s="18"/>
      <c r="F20" s="19"/>
      <c r="G20" s="28"/>
    </row>
    <row r="21" spans="1:7" ht="12.95" customHeight="1" x14ac:dyDescent="0.2">
      <c r="A21" s="9"/>
      <c r="B21" s="59" t="s">
        <v>361</v>
      </c>
      <c r="C21" s="16"/>
      <c r="D21" s="16"/>
      <c r="E21" s="18"/>
      <c r="F21" s="19"/>
      <c r="G21" s="28"/>
    </row>
    <row r="22" spans="1:7" ht="12.95" customHeight="1" x14ac:dyDescent="0.2">
      <c r="A22" s="9"/>
      <c r="B22" s="27" t="s">
        <v>250</v>
      </c>
      <c r="C22" s="16" t="s">
        <v>251</v>
      </c>
      <c r="D22" s="16" t="s">
        <v>252</v>
      </c>
      <c r="E22" s="18">
        <v>6000</v>
      </c>
      <c r="F22" s="19">
        <v>122.0930292</v>
      </c>
      <c r="G22" s="28">
        <v>9.3423076126459864E-2</v>
      </c>
    </row>
    <row r="23" spans="1:7" ht="12.95" customHeight="1" x14ac:dyDescent="0.2">
      <c r="A23" s="9"/>
      <c r="B23" s="27" t="s">
        <v>255</v>
      </c>
      <c r="C23" s="16" t="s">
        <v>256</v>
      </c>
      <c r="D23" s="16" t="s">
        <v>257</v>
      </c>
      <c r="E23" s="18">
        <v>79000</v>
      </c>
      <c r="F23" s="19">
        <v>80.116925699999996</v>
      </c>
      <c r="G23" s="28">
        <v>6.1303824614165836E-2</v>
      </c>
    </row>
    <row r="24" spans="1:7" ht="12.95" customHeight="1" x14ac:dyDescent="0.2">
      <c r="A24" s="9"/>
      <c r="B24" s="27" t="s">
        <v>258</v>
      </c>
      <c r="C24" s="16" t="s">
        <v>259</v>
      </c>
      <c r="D24" s="16" t="s">
        <v>260</v>
      </c>
      <c r="E24" s="18">
        <v>110000</v>
      </c>
      <c r="F24" s="19">
        <v>77.585392499999998</v>
      </c>
      <c r="G24" s="28">
        <v>5.9366747449237402E-2</v>
      </c>
    </row>
    <row r="25" spans="1:7" ht="12.95" customHeight="1" x14ac:dyDescent="0.2">
      <c r="A25" s="9"/>
      <c r="B25" s="27" t="s">
        <v>261</v>
      </c>
      <c r="C25" s="16" t="s">
        <v>262</v>
      </c>
      <c r="D25" s="16" t="s">
        <v>260</v>
      </c>
      <c r="E25" s="18">
        <v>130000</v>
      </c>
      <c r="F25" s="19">
        <v>69.685788900000006</v>
      </c>
      <c r="G25" s="28">
        <v>5.332213316349687E-2</v>
      </c>
    </row>
    <row r="26" spans="1:7" ht="12.95" customHeight="1" x14ac:dyDescent="0.2">
      <c r="A26" s="9"/>
      <c r="B26" s="27" t="s">
        <v>263</v>
      </c>
      <c r="C26" s="16" t="s">
        <v>264</v>
      </c>
      <c r="D26" s="16" t="s">
        <v>252</v>
      </c>
      <c r="E26" s="18">
        <v>1905</v>
      </c>
      <c r="F26" s="19">
        <v>62.111241</v>
      </c>
      <c r="G26" s="28">
        <v>4.7526244817356816E-2</v>
      </c>
    </row>
    <row r="27" spans="1:7" ht="12.95" customHeight="1" x14ac:dyDescent="0.2">
      <c r="A27" s="9"/>
      <c r="B27" s="27" t="s">
        <v>267</v>
      </c>
      <c r="C27" s="16" t="s">
        <v>268</v>
      </c>
      <c r="D27" s="16" t="s">
        <v>257</v>
      </c>
      <c r="E27" s="18">
        <v>2300</v>
      </c>
      <c r="F27" s="19">
        <v>53.327591599999998</v>
      </c>
      <c r="G27" s="28">
        <v>4.0805176858430846E-2</v>
      </c>
    </row>
    <row r="28" spans="1:7" ht="12.95" customHeight="1" x14ac:dyDescent="0.2">
      <c r="A28" s="9"/>
      <c r="B28" s="27" t="s">
        <v>271</v>
      </c>
      <c r="C28" s="16" t="s">
        <v>272</v>
      </c>
      <c r="D28" s="16" t="s">
        <v>260</v>
      </c>
      <c r="E28" s="18">
        <v>5085</v>
      </c>
      <c r="F28" s="19">
        <v>42.189145600000003</v>
      </c>
      <c r="G28" s="28">
        <v>3.2282266947793112E-2</v>
      </c>
    </row>
    <row r="29" spans="1:7" ht="12.95" customHeight="1" x14ac:dyDescent="0.2">
      <c r="A29" s="9"/>
      <c r="B29" s="27" t="s">
        <v>273</v>
      </c>
      <c r="C29" s="16" t="s">
        <v>274</v>
      </c>
      <c r="D29" s="16" t="s">
        <v>257</v>
      </c>
      <c r="E29" s="18">
        <v>5167</v>
      </c>
      <c r="F29" s="19">
        <v>41.2501575</v>
      </c>
      <c r="G29" s="28">
        <v>3.1563772556074475E-2</v>
      </c>
    </row>
    <row r="30" spans="1:7" ht="12.95" customHeight="1" x14ac:dyDescent="0.2">
      <c r="A30" s="9"/>
      <c r="B30" s="27" t="s">
        <v>275</v>
      </c>
      <c r="C30" s="16" t="s">
        <v>276</v>
      </c>
      <c r="D30" s="16" t="s">
        <v>277</v>
      </c>
      <c r="E30" s="18">
        <v>200</v>
      </c>
      <c r="F30" s="19">
        <v>33.443080000000002</v>
      </c>
      <c r="G30" s="28">
        <v>2.5589957340032048E-2</v>
      </c>
    </row>
    <row r="31" spans="1:7" ht="12.95" customHeight="1" x14ac:dyDescent="0.2">
      <c r="A31" s="9"/>
      <c r="B31" s="27" t="s">
        <v>278</v>
      </c>
      <c r="C31" s="16" t="s">
        <v>279</v>
      </c>
      <c r="D31" s="16" t="s">
        <v>280</v>
      </c>
      <c r="E31" s="18">
        <v>200</v>
      </c>
      <c r="F31" s="19">
        <v>30.087199999999999</v>
      </c>
      <c r="G31" s="28">
        <v>2.3022106949509801E-2</v>
      </c>
    </row>
    <row r="32" spans="1:7" ht="12.95" customHeight="1" x14ac:dyDescent="0.2">
      <c r="A32" s="9"/>
      <c r="B32" s="27" t="s">
        <v>284</v>
      </c>
      <c r="C32" s="16" t="s">
        <v>285</v>
      </c>
      <c r="D32" s="16" t="s">
        <v>286</v>
      </c>
      <c r="E32" s="18">
        <v>475</v>
      </c>
      <c r="F32" s="19">
        <v>29.269927500000001</v>
      </c>
      <c r="G32" s="28">
        <v>2.2396746832852445E-2</v>
      </c>
    </row>
    <row r="33" spans="1:7" ht="12.95" customHeight="1" x14ac:dyDescent="0.2">
      <c r="A33" s="9"/>
      <c r="B33" s="27" t="s">
        <v>290</v>
      </c>
      <c r="C33" s="16" t="s">
        <v>291</v>
      </c>
      <c r="D33" s="16" t="s">
        <v>292</v>
      </c>
      <c r="E33" s="18">
        <v>4664</v>
      </c>
      <c r="F33" s="19">
        <v>27.207864699999998</v>
      </c>
      <c r="G33" s="28">
        <v>2.0818898767289491E-2</v>
      </c>
    </row>
    <row r="34" spans="1:7" ht="12.95" customHeight="1" x14ac:dyDescent="0.2">
      <c r="A34" s="9"/>
      <c r="B34" s="27" t="s">
        <v>293</v>
      </c>
      <c r="C34" s="16" t="s">
        <v>294</v>
      </c>
      <c r="D34" s="16" t="s">
        <v>257</v>
      </c>
      <c r="E34" s="18">
        <v>5043</v>
      </c>
      <c r="F34" s="19">
        <v>26.146959500000001</v>
      </c>
      <c r="G34" s="28">
        <v>2.0007115916851729E-2</v>
      </c>
    </row>
    <row r="35" spans="1:7" ht="12.95" customHeight="1" x14ac:dyDescent="0.2">
      <c r="A35" s="9"/>
      <c r="B35" s="27" t="s">
        <v>295</v>
      </c>
      <c r="C35" s="16" t="s">
        <v>296</v>
      </c>
      <c r="D35" s="16" t="s">
        <v>297</v>
      </c>
      <c r="E35" s="18">
        <v>16000</v>
      </c>
      <c r="F35" s="19">
        <v>25.925339999999998</v>
      </c>
      <c r="G35" s="28">
        <v>1.9837537231194809E-2</v>
      </c>
    </row>
    <row r="36" spans="1:7" ht="12.95" customHeight="1" x14ac:dyDescent="0.2">
      <c r="A36" s="9"/>
      <c r="B36" s="27" t="s">
        <v>298</v>
      </c>
      <c r="C36" s="16" t="s">
        <v>299</v>
      </c>
      <c r="D36" s="16" t="s">
        <v>257</v>
      </c>
      <c r="E36" s="18">
        <v>26000</v>
      </c>
      <c r="F36" s="19">
        <v>25.059128600000001</v>
      </c>
      <c r="G36" s="28">
        <v>1.9174730074274768E-2</v>
      </c>
    </row>
    <row r="37" spans="1:7" ht="12.95" customHeight="1" x14ac:dyDescent="0.2">
      <c r="A37" s="9"/>
      <c r="B37" s="27" t="s">
        <v>300</v>
      </c>
      <c r="C37" s="16" t="s">
        <v>301</v>
      </c>
      <c r="D37" s="16" t="s">
        <v>280</v>
      </c>
      <c r="E37" s="18">
        <v>1945</v>
      </c>
      <c r="F37" s="19">
        <v>21.024401999999998</v>
      </c>
      <c r="G37" s="28">
        <v>1.6087440220209515E-2</v>
      </c>
    </row>
    <row r="38" spans="1:7" ht="12.95" customHeight="1" x14ac:dyDescent="0.2">
      <c r="A38" s="9"/>
      <c r="B38" s="27" t="s">
        <v>302</v>
      </c>
      <c r="C38" s="16" t="s">
        <v>303</v>
      </c>
      <c r="D38" s="16" t="s">
        <v>277</v>
      </c>
      <c r="E38" s="18">
        <v>8648</v>
      </c>
      <c r="F38" s="19">
        <v>20.968859200000001</v>
      </c>
      <c r="G38" s="28">
        <v>1.6044940011420556E-2</v>
      </c>
    </row>
    <row r="39" spans="1:7" ht="12.95" customHeight="1" x14ac:dyDescent="0.2">
      <c r="A39" s="9"/>
      <c r="B39" s="27" t="s">
        <v>308</v>
      </c>
      <c r="C39" s="16" t="s">
        <v>309</v>
      </c>
      <c r="D39" s="16" t="s">
        <v>310</v>
      </c>
      <c r="E39" s="18">
        <v>9000</v>
      </c>
      <c r="F39" s="19">
        <v>19.146626099999999</v>
      </c>
      <c r="G39" s="28">
        <v>1.4650604702214754E-2</v>
      </c>
    </row>
    <row r="40" spans="1:7" ht="12.95" customHeight="1" x14ac:dyDescent="0.2">
      <c r="A40" s="9"/>
      <c r="B40" s="27" t="s">
        <v>311</v>
      </c>
      <c r="C40" s="16" t="s">
        <v>312</v>
      </c>
      <c r="D40" s="16" t="s">
        <v>252</v>
      </c>
      <c r="E40" s="18">
        <v>16000</v>
      </c>
      <c r="F40" s="19">
        <v>15.6650054</v>
      </c>
      <c r="G40" s="28">
        <v>1.1986540112853591E-2</v>
      </c>
    </row>
    <row r="41" spans="1:7" ht="12.95" customHeight="1" x14ac:dyDescent="0.2">
      <c r="A41" s="9"/>
      <c r="B41" s="27" t="s">
        <v>313</v>
      </c>
      <c r="C41" s="16" t="s">
        <v>314</v>
      </c>
      <c r="D41" s="16" t="s">
        <v>310</v>
      </c>
      <c r="E41" s="18">
        <v>20000</v>
      </c>
      <c r="F41" s="19">
        <v>14.907590000000001</v>
      </c>
      <c r="G41" s="28">
        <v>1.1406981418657862E-2</v>
      </c>
    </row>
    <row r="42" spans="1:7" ht="12.95" customHeight="1" x14ac:dyDescent="0.2">
      <c r="A42" s="9"/>
      <c r="B42" s="27" t="s">
        <v>315</v>
      </c>
      <c r="C42" s="16" t="s">
        <v>316</v>
      </c>
      <c r="D42" s="16" t="s">
        <v>310</v>
      </c>
      <c r="E42" s="18">
        <v>16000</v>
      </c>
      <c r="F42" s="19">
        <v>8.5523121999999994</v>
      </c>
      <c r="G42" s="28">
        <v>6.5440534889919123E-3</v>
      </c>
    </row>
    <row r="43" spans="1:7" ht="12.95" customHeight="1" x14ac:dyDescent="0.2">
      <c r="A43" s="9"/>
      <c r="B43" s="27" t="s">
        <v>317</v>
      </c>
      <c r="C43" s="16" t="s">
        <v>318</v>
      </c>
      <c r="D43" s="16" t="s">
        <v>292</v>
      </c>
      <c r="E43" s="18">
        <v>4578</v>
      </c>
      <c r="F43" s="19">
        <v>3.4987355999999998</v>
      </c>
      <c r="G43" s="28">
        <v>2.6771605590170354E-3</v>
      </c>
    </row>
    <row r="44" spans="1:7" ht="12.95" customHeight="1" x14ac:dyDescent="0.2">
      <c r="A44" s="1"/>
      <c r="B44" s="21" t="s">
        <v>30</v>
      </c>
      <c r="C44" s="16" t="s">
        <v>1</v>
      </c>
      <c r="D44" s="16" t="s">
        <v>1</v>
      </c>
      <c r="E44" s="16" t="s">
        <v>1</v>
      </c>
      <c r="F44" s="20">
        <f>SUM(F22:F43)</f>
        <v>849.26230280000016</v>
      </c>
      <c r="G44" s="29">
        <f>SUM(G22:G43)</f>
        <v>0.64983805615838541</v>
      </c>
    </row>
    <row r="45" spans="1:7" ht="12.95" customHeight="1" x14ac:dyDescent="0.2">
      <c r="A45" s="1"/>
      <c r="B45" s="21"/>
      <c r="C45" s="16"/>
      <c r="D45" s="16"/>
      <c r="E45" s="16"/>
      <c r="F45" s="20"/>
      <c r="G45" s="29"/>
    </row>
    <row r="46" spans="1:7" ht="12.95" customHeight="1" x14ac:dyDescent="0.2">
      <c r="A46" s="1"/>
      <c r="B46" s="21" t="s">
        <v>176</v>
      </c>
      <c r="C46" s="16" t="s">
        <v>1</v>
      </c>
      <c r="D46" s="16" t="s">
        <v>1</v>
      </c>
      <c r="E46" s="20" t="s">
        <v>177</v>
      </c>
      <c r="F46" s="20" t="s">
        <v>177</v>
      </c>
      <c r="G46" s="30" t="s">
        <v>177</v>
      </c>
    </row>
    <row r="47" spans="1:7" ht="12.95" customHeight="1" x14ac:dyDescent="0.2">
      <c r="A47" s="1"/>
      <c r="B47" s="21" t="s">
        <v>30</v>
      </c>
      <c r="C47" s="16" t="s">
        <v>1</v>
      </c>
      <c r="D47" s="16" t="s">
        <v>1</v>
      </c>
      <c r="E47" s="20" t="s">
        <v>177</v>
      </c>
      <c r="F47" s="20" t="s">
        <v>177</v>
      </c>
      <c r="G47" s="30" t="s">
        <v>177</v>
      </c>
    </row>
    <row r="48" spans="1:7" ht="12.95" customHeight="1" x14ac:dyDescent="0.2">
      <c r="A48" s="1"/>
      <c r="B48" s="21" t="s">
        <v>31</v>
      </c>
      <c r="C48" s="16" t="s">
        <v>1</v>
      </c>
      <c r="D48" s="16" t="s">
        <v>1</v>
      </c>
      <c r="E48" s="16" t="s">
        <v>1</v>
      </c>
      <c r="F48" s="20">
        <v>1309.1009028000001</v>
      </c>
      <c r="G48" s="29">
        <v>1.0016971001609134</v>
      </c>
    </row>
    <row r="49" spans="1:7" ht="12.95" customHeight="1" x14ac:dyDescent="0.2">
      <c r="A49" s="1"/>
      <c r="B49" s="21"/>
      <c r="C49" s="16"/>
      <c r="D49" s="16"/>
      <c r="E49" s="16"/>
      <c r="F49" s="20"/>
      <c r="G49" s="29"/>
    </row>
    <row r="50" spans="1:7" ht="12.95" customHeight="1" x14ac:dyDescent="0.2">
      <c r="A50" s="1"/>
      <c r="B50" s="50" t="s">
        <v>353</v>
      </c>
      <c r="C50" s="15"/>
      <c r="D50" s="16"/>
      <c r="E50" s="16"/>
      <c r="F50" s="62"/>
      <c r="G50" s="29"/>
    </row>
    <row r="51" spans="1:7" ht="12.95" customHeight="1" x14ac:dyDescent="0.2">
      <c r="A51" s="9"/>
      <c r="B51" s="51" t="s">
        <v>357</v>
      </c>
      <c r="C51" s="15"/>
      <c r="D51" s="16"/>
      <c r="E51" s="20" t="s">
        <v>177</v>
      </c>
      <c r="F51" s="20" t="s">
        <v>177</v>
      </c>
      <c r="G51" s="30" t="s">
        <v>177</v>
      </c>
    </row>
    <row r="52" spans="1:7" ht="12.95" customHeight="1" x14ac:dyDescent="0.2">
      <c r="A52" s="1"/>
      <c r="B52" s="51" t="s">
        <v>355</v>
      </c>
      <c r="C52" s="15"/>
      <c r="D52" s="16"/>
      <c r="E52" s="20" t="s">
        <v>177</v>
      </c>
      <c r="F52" s="20" t="s">
        <v>177</v>
      </c>
      <c r="G52" s="30" t="s">
        <v>177</v>
      </c>
    </row>
    <row r="53" spans="1:7" ht="12.95" customHeight="1" x14ac:dyDescent="0.2">
      <c r="A53" s="1"/>
      <c r="B53" s="51" t="s">
        <v>356</v>
      </c>
      <c r="C53" s="15"/>
      <c r="D53" s="16"/>
      <c r="E53" s="20" t="s">
        <v>177</v>
      </c>
      <c r="F53" s="20" t="s">
        <v>177</v>
      </c>
      <c r="G53" s="30" t="s">
        <v>177</v>
      </c>
    </row>
    <row r="54" spans="1:7" ht="12.95" customHeight="1" x14ac:dyDescent="0.2">
      <c r="A54" s="1"/>
      <c r="B54" s="51"/>
      <c r="C54" s="15"/>
      <c r="D54" s="16"/>
      <c r="E54" s="77"/>
      <c r="F54" s="62"/>
      <c r="G54" s="66"/>
    </row>
    <row r="55" spans="1:7" ht="12.95" customHeight="1" x14ac:dyDescent="0.2">
      <c r="A55" s="1"/>
      <c r="B55" s="21" t="s">
        <v>9</v>
      </c>
      <c r="C55" s="15"/>
      <c r="D55" s="16"/>
      <c r="E55" s="77"/>
      <c r="F55" s="62"/>
      <c r="G55" s="66"/>
    </row>
    <row r="56" spans="1:7" ht="12.95" customHeight="1" x14ac:dyDescent="0.2">
      <c r="A56" s="1"/>
      <c r="B56" s="21" t="s">
        <v>32</v>
      </c>
      <c r="C56" s="16" t="s">
        <v>1</v>
      </c>
      <c r="D56" s="16" t="s">
        <v>1</v>
      </c>
      <c r="E56" s="16" t="s">
        <v>1</v>
      </c>
      <c r="F56" s="17" t="s">
        <v>1</v>
      </c>
      <c r="G56" s="26" t="s">
        <v>1</v>
      </c>
    </row>
    <row r="57" spans="1:7" ht="12.95" customHeight="1" x14ac:dyDescent="0.2">
      <c r="A57" s="9"/>
      <c r="B57" s="27" t="s">
        <v>33</v>
      </c>
      <c r="C57" s="16" t="s">
        <v>1</v>
      </c>
      <c r="D57" s="16" t="s">
        <v>34</v>
      </c>
      <c r="E57" s="18"/>
      <c r="F57" s="19">
        <v>14.145025199999999</v>
      </c>
      <c r="G57" s="28">
        <v>1.082348250943628E-2</v>
      </c>
    </row>
    <row r="58" spans="1:7" ht="12.95" customHeight="1" x14ac:dyDescent="0.2">
      <c r="A58" s="1"/>
      <c r="B58" s="21" t="s">
        <v>30</v>
      </c>
      <c r="C58" s="16" t="s">
        <v>1</v>
      </c>
      <c r="D58" s="16" t="s">
        <v>1</v>
      </c>
      <c r="E58" s="16" t="s">
        <v>1</v>
      </c>
      <c r="F58" s="20">
        <v>14.145025199999999</v>
      </c>
      <c r="G58" s="29">
        <v>1.082348250943628E-2</v>
      </c>
    </row>
    <row r="59" spans="1:7" ht="12.95" customHeight="1" x14ac:dyDescent="0.2">
      <c r="A59" s="1"/>
      <c r="B59" s="21" t="s">
        <v>31</v>
      </c>
      <c r="C59" s="16" t="s">
        <v>1</v>
      </c>
      <c r="D59" s="16" t="s">
        <v>1</v>
      </c>
      <c r="E59" s="16" t="s">
        <v>1</v>
      </c>
      <c r="F59" s="20">
        <v>14.145025199999999</v>
      </c>
      <c r="G59" s="29">
        <v>1.082348250943628E-2</v>
      </c>
    </row>
    <row r="60" spans="1:7" ht="12.95" customHeight="1" x14ac:dyDescent="0.2">
      <c r="A60" s="1"/>
      <c r="B60" s="21"/>
      <c r="C60" s="16"/>
      <c r="D60" s="16"/>
      <c r="E60" s="16"/>
      <c r="F60" s="20"/>
      <c r="G60" s="29"/>
    </row>
    <row r="61" spans="1:7" ht="12.95" customHeight="1" x14ac:dyDescent="0.2">
      <c r="A61" s="1"/>
      <c r="B61" s="21" t="s">
        <v>189</v>
      </c>
      <c r="C61" s="16"/>
      <c r="D61" s="16"/>
      <c r="E61" s="16"/>
      <c r="F61" s="20"/>
      <c r="G61" s="29"/>
    </row>
    <row r="62" spans="1:7" ht="12.95" customHeight="1" thickBot="1" x14ac:dyDescent="0.25">
      <c r="A62" s="1"/>
      <c r="B62" s="44" t="s">
        <v>35</v>
      </c>
      <c r="C62" s="45" t="s">
        <v>1</v>
      </c>
      <c r="D62" s="45" t="s">
        <v>1</v>
      </c>
      <c r="E62" s="45" t="s">
        <v>1</v>
      </c>
      <c r="F62" s="46">
        <v>-16.362936535100001</v>
      </c>
      <c r="G62" s="47">
        <v>-1.2520582670349719E-2</v>
      </c>
    </row>
    <row r="63" spans="1:7" ht="12.95" customHeight="1" thickTop="1" thickBot="1" x14ac:dyDescent="0.25">
      <c r="A63" s="1"/>
      <c r="B63" s="40" t="s">
        <v>36</v>
      </c>
      <c r="C63" s="41" t="s">
        <v>1</v>
      </c>
      <c r="D63" s="41" t="s">
        <v>1</v>
      </c>
      <c r="E63" s="41" t="s">
        <v>1</v>
      </c>
      <c r="F63" s="42">
        <v>1306.8829914649</v>
      </c>
      <c r="G63" s="43">
        <v>1</v>
      </c>
    </row>
    <row r="64" spans="1:7" ht="12.95" customHeight="1" x14ac:dyDescent="0.2">
      <c r="A64" s="1"/>
      <c r="B64" s="7" t="s">
        <v>1</v>
      </c>
      <c r="C64" s="1"/>
      <c r="D64" s="1"/>
      <c r="E64" s="1"/>
      <c r="F64" s="3"/>
      <c r="G64" s="4"/>
    </row>
    <row r="65" spans="1:7" ht="12.95" customHeight="1" x14ac:dyDescent="0.2">
      <c r="A65" s="1"/>
      <c r="B65" s="2" t="s">
        <v>358</v>
      </c>
      <c r="C65" s="1"/>
      <c r="D65" s="1"/>
      <c r="E65" s="1"/>
      <c r="F65" s="3"/>
      <c r="G65" s="4"/>
    </row>
    <row r="66" spans="1:7" ht="12.95" customHeight="1" x14ac:dyDescent="0.2">
      <c r="A66" s="1"/>
      <c r="B66" s="2" t="s">
        <v>362</v>
      </c>
      <c r="C66" s="1"/>
      <c r="D66" s="1"/>
      <c r="E66" s="1"/>
      <c r="F66" s="3"/>
      <c r="G66" s="4"/>
    </row>
    <row r="67" spans="1:7" ht="12.95" customHeight="1" thickBot="1" x14ac:dyDescent="0.25">
      <c r="A67" s="1"/>
      <c r="B67" s="2" t="s">
        <v>1</v>
      </c>
      <c r="C67" s="1"/>
      <c r="D67" s="1"/>
      <c r="E67" s="1"/>
      <c r="F67" s="3"/>
      <c r="G67" s="4"/>
    </row>
    <row r="68" spans="1:7" ht="13.5" thickBot="1" x14ac:dyDescent="0.25">
      <c r="B68" s="48" t="s">
        <v>366</v>
      </c>
      <c r="C68" s="49">
        <v>7.2700000000000001E-2</v>
      </c>
    </row>
    <row r="69" spans="1:7" x14ac:dyDescent="0.2">
      <c r="B69" s="7" t="s">
        <v>367</v>
      </c>
      <c r="C69" s="7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showGridLines="0" zoomScaleNormal="100" workbookViewId="0">
      <selection activeCell="B42" sqref="B42"/>
    </sheetView>
  </sheetViews>
  <sheetFormatPr defaultRowHeight="12.75" x14ac:dyDescent="0.2"/>
  <cols>
    <col min="1" max="1" width="11.42578125" style="5" bestFit="1" customWidth="1"/>
    <col min="2" max="2" width="50.28515625" style="5" customWidth="1"/>
    <col min="3" max="5" width="19.28515625" style="5" customWidth="1"/>
    <col min="6" max="6" width="19.28515625" style="10" customWidth="1"/>
    <col min="7" max="7" width="19.28515625" style="11" customWidth="1"/>
    <col min="8" max="16384" width="9.140625" style="5"/>
  </cols>
  <sheetData>
    <row r="1" spans="1:7" ht="18.75" x14ac:dyDescent="0.2">
      <c r="A1" s="1"/>
      <c r="B1" s="106" t="s">
        <v>0</v>
      </c>
      <c r="C1" s="107"/>
      <c r="D1" s="107"/>
      <c r="E1" s="107"/>
      <c r="F1" s="107"/>
      <c r="G1" s="108"/>
    </row>
    <row r="2" spans="1:7" ht="13.5" thickBot="1" x14ac:dyDescent="0.25">
      <c r="A2" s="1"/>
      <c r="B2" s="109" t="s">
        <v>370</v>
      </c>
      <c r="C2" s="110"/>
      <c r="D2" s="110"/>
      <c r="E2" s="110"/>
      <c r="F2" s="110"/>
      <c r="G2" s="111"/>
    </row>
    <row r="3" spans="1:7" x14ac:dyDescent="0.2">
      <c r="A3" s="1"/>
      <c r="B3" s="6" t="s">
        <v>1</v>
      </c>
      <c r="C3" s="1"/>
      <c r="D3" s="1"/>
      <c r="E3" s="1"/>
      <c r="F3" s="3"/>
      <c r="G3" s="4"/>
    </row>
    <row r="4" spans="1:7" ht="13.5" thickBot="1" x14ac:dyDescent="0.25">
      <c r="A4" s="7"/>
      <c r="B4" s="8" t="s">
        <v>2</v>
      </c>
      <c r="C4" s="1"/>
      <c r="D4" s="1"/>
      <c r="E4" s="1"/>
      <c r="F4" s="3"/>
      <c r="G4" s="4"/>
    </row>
    <row r="5" spans="1:7" ht="23.25" thickBot="1" x14ac:dyDescent="0.25">
      <c r="A5" s="1"/>
      <c r="B5" s="35" t="s">
        <v>3</v>
      </c>
      <c r="C5" s="36" t="s">
        <v>4</v>
      </c>
      <c r="D5" s="37" t="s">
        <v>5</v>
      </c>
      <c r="E5" s="37" t="s">
        <v>6</v>
      </c>
      <c r="F5" s="38" t="s">
        <v>7</v>
      </c>
      <c r="G5" s="39" t="s">
        <v>8</v>
      </c>
    </row>
    <row r="6" spans="1:7" ht="14.25" x14ac:dyDescent="0.2">
      <c r="A6" s="1"/>
      <c r="B6" s="84" t="s">
        <v>351</v>
      </c>
      <c r="C6" s="85"/>
      <c r="D6" s="69"/>
      <c r="E6" s="69"/>
      <c r="F6" s="70"/>
      <c r="G6" s="71"/>
    </row>
    <row r="7" spans="1:7" x14ac:dyDescent="0.2">
      <c r="A7" s="1"/>
      <c r="B7" s="51" t="s">
        <v>352</v>
      </c>
      <c r="C7" s="12"/>
      <c r="D7" s="13"/>
      <c r="E7" s="81" t="s">
        <v>177</v>
      </c>
      <c r="F7" s="81" t="s">
        <v>177</v>
      </c>
      <c r="G7" s="82" t="s">
        <v>177</v>
      </c>
    </row>
    <row r="8" spans="1:7" x14ac:dyDescent="0.2">
      <c r="A8" s="9"/>
      <c r="B8" s="51" t="s">
        <v>176</v>
      </c>
      <c r="C8" s="12"/>
      <c r="D8" s="13"/>
      <c r="E8" s="81" t="s">
        <v>177</v>
      </c>
      <c r="F8" s="81" t="s">
        <v>177</v>
      </c>
      <c r="G8" s="82" t="s">
        <v>177</v>
      </c>
    </row>
    <row r="9" spans="1:7" x14ac:dyDescent="0.2">
      <c r="A9" s="1"/>
      <c r="B9" s="51"/>
      <c r="C9" s="12"/>
      <c r="D9" s="13"/>
      <c r="E9" s="79"/>
      <c r="F9" s="80"/>
      <c r="G9" s="83"/>
    </row>
    <row r="10" spans="1:7" x14ac:dyDescent="0.2">
      <c r="A10" s="1"/>
      <c r="B10" s="54" t="s">
        <v>353</v>
      </c>
      <c r="C10" s="12"/>
      <c r="D10" s="13"/>
      <c r="E10" s="79"/>
      <c r="F10" s="80"/>
      <c r="G10" s="83"/>
    </row>
    <row r="11" spans="1:7" x14ac:dyDescent="0.2">
      <c r="A11" s="1"/>
      <c r="B11" s="51" t="s">
        <v>354</v>
      </c>
      <c r="C11" s="12"/>
      <c r="D11" s="13"/>
      <c r="E11" s="81" t="s">
        <v>177</v>
      </c>
      <c r="F11" s="81" t="s">
        <v>177</v>
      </c>
      <c r="G11" s="82" t="s">
        <v>177</v>
      </c>
    </row>
    <row r="12" spans="1:7" x14ac:dyDescent="0.2">
      <c r="A12" s="9"/>
      <c r="B12" s="51" t="s">
        <v>355</v>
      </c>
      <c r="C12" s="12"/>
      <c r="D12" s="13"/>
      <c r="E12" s="81" t="s">
        <v>177</v>
      </c>
      <c r="F12" s="81" t="s">
        <v>177</v>
      </c>
      <c r="G12" s="82" t="s">
        <v>177</v>
      </c>
    </row>
    <row r="13" spans="1:7" x14ac:dyDescent="0.2">
      <c r="A13" s="1"/>
      <c r="B13" s="51" t="s">
        <v>356</v>
      </c>
      <c r="C13" s="12"/>
      <c r="D13" s="13"/>
      <c r="E13" s="81" t="s">
        <v>177</v>
      </c>
      <c r="F13" s="81" t="s">
        <v>177</v>
      </c>
      <c r="G13" s="82" t="s">
        <v>177</v>
      </c>
    </row>
    <row r="14" spans="1:7" x14ac:dyDescent="0.2">
      <c r="A14" s="1"/>
      <c r="B14" s="51"/>
      <c r="C14" s="12"/>
      <c r="D14" s="13"/>
      <c r="E14" s="13"/>
      <c r="F14" s="14"/>
      <c r="G14" s="64"/>
    </row>
    <row r="15" spans="1:7" x14ac:dyDescent="0.2">
      <c r="A15" s="1"/>
      <c r="B15" s="21" t="s">
        <v>9</v>
      </c>
      <c r="C15" s="16" t="s">
        <v>1</v>
      </c>
      <c r="D15" s="16" t="s">
        <v>1</v>
      </c>
      <c r="E15" s="16" t="s">
        <v>1</v>
      </c>
      <c r="F15" s="17" t="s">
        <v>1</v>
      </c>
      <c r="G15" s="26" t="s">
        <v>1</v>
      </c>
    </row>
    <row r="16" spans="1:7" x14ac:dyDescent="0.2">
      <c r="A16" s="1"/>
      <c r="B16" s="21" t="s">
        <v>10</v>
      </c>
      <c r="C16" s="16" t="s">
        <v>1</v>
      </c>
      <c r="D16" s="16" t="s">
        <v>1</v>
      </c>
      <c r="E16" s="16" t="s">
        <v>1</v>
      </c>
      <c r="F16" s="17" t="s">
        <v>1</v>
      </c>
      <c r="G16" s="26" t="s">
        <v>1</v>
      </c>
    </row>
    <row r="17" spans="1:7" x14ac:dyDescent="0.2">
      <c r="A17" s="9"/>
      <c r="B17" s="27" t="s">
        <v>363</v>
      </c>
      <c r="C17" s="16" t="s">
        <v>11</v>
      </c>
      <c r="D17" s="16" t="s">
        <v>12</v>
      </c>
      <c r="E17" s="18">
        <v>500000</v>
      </c>
      <c r="F17" s="19">
        <v>499.77329500000002</v>
      </c>
      <c r="G17" s="28">
        <v>0.13952783823325463</v>
      </c>
    </row>
    <row r="18" spans="1:7" x14ac:dyDescent="0.2">
      <c r="A18" s="9"/>
      <c r="B18" s="27" t="s">
        <v>13</v>
      </c>
      <c r="C18" s="16" t="s">
        <v>14</v>
      </c>
      <c r="D18" s="16" t="s">
        <v>15</v>
      </c>
      <c r="E18" s="18">
        <v>500000</v>
      </c>
      <c r="F18" s="19">
        <v>498.82710500000002</v>
      </c>
      <c r="G18" s="28">
        <v>0.13926367877019663</v>
      </c>
    </row>
    <row r="19" spans="1:7" x14ac:dyDescent="0.2">
      <c r="A19" s="9"/>
      <c r="B19" s="27" t="s">
        <v>16</v>
      </c>
      <c r="C19" s="16" t="s">
        <v>17</v>
      </c>
      <c r="D19" s="16" t="s">
        <v>18</v>
      </c>
      <c r="E19" s="18">
        <v>500000</v>
      </c>
      <c r="F19" s="19">
        <v>496.21929</v>
      </c>
      <c r="G19" s="28">
        <v>0.13853562308354325</v>
      </c>
    </row>
    <row r="20" spans="1:7" x14ac:dyDescent="0.2">
      <c r="A20" s="9"/>
      <c r="B20" s="27" t="s">
        <v>19</v>
      </c>
      <c r="C20" s="16" t="s">
        <v>20</v>
      </c>
      <c r="D20" s="16" t="s">
        <v>18</v>
      </c>
      <c r="E20" s="18">
        <v>500000</v>
      </c>
      <c r="F20" s="19">
        <v>496.20818000000003</v>
      </c>
      <c r="G20" s="28">
        <v>0.13853252136862915</v>
      </c>
    </row>
    <row r="21" spans="1:7" x14ac:dyDescent="0.2">
      <c r="A21" s="9"/>
      <c r="B21" s="27" t="s">
        <v>364</v>
      </c>
      <c r="C21" s="16" t="s">
        <v>21</v>
      </c>
      <c r="D21" s="16" t="s">
        <v>18</v>
      </c>
      <c r="E21" s="18">
        <v>500000</v>
      </c>
      <c r="F21" s="19">
        <v>493.68494500000003</v>
      </c>
      <c r="G21" s="28">
        <v>0.13782807891756843</v>
      </c>
    </row>
    <row r="22" spans="1:7" x14ac:dyDescent="0.2">
      <c r="A22" s="9"/>
      <c r="B22" s="27" t="s">
        <v>22</v>
      </c>
      <c r="C22" s="16" t="s">
        <v>23</v>
      </c>
      <c r="D22" s="16" t="s">
        <v>15</v>
      </c>
      <c r="E22" s="18">
        <v>400000</v>
      </c>
      <c r="F22" s="19">
        <v>399.27854400000001</v>
      </c>
      <c r="G22" s="28">
        <v>0.11147148648116831</v>
      </c>
    </row>
    <row r="23" spans="1:7" x14ac:dyDescent="0.2">
      <c r="A23" s="9"/>
      <c r="B23" s="27" t="s">
        <v>24</v>
      </c>
      <c r="C23" s="16" t="s">
        <v>25</v>
      </c>
      <c r="D23" s="16" t="s">
        <v>18</v>
      </c>
      <c r="E23" s="18">
        <v>250000</v>
      </c>
      <c r="F23" s="19">
        <v>249.94070249999999</v>
      </c>
      <c r="G23" s="28">
        <v>6.9779010313718387E-2</v>
      </c>
    </row>
    <row r="24" spans="1:7" x14ac:dyDescent="0.2">
      <c r="A24" s="9"/>
      <c r="B24" s="27" t="s">
        <v>26</v>
      </c>
      <c r="C24" s="16" t="s">
        <v>27</v>
      </c>
      <c r="D24" s="16" t="s">
        <v>18</v>
      </c>
      <c r="E24" s="18">
        <v>250000</v>
      </c>
      <c r="F24" s="19">
        <v>249.5318575</v>
      </c>
      <c r="G24" s="28">
        <v>6.9664868042426206E-2</v>
      </c>
    </row>
    <row r="25" spans="1:7" x14ac:dyDescent="0.2">
      <c r="A25" s="9"/>
      <c r="B25" s="27" t="s">
        <v>28</v>
      </c>
      <c r="C25" s="16" t="s">
        <v>29</v>
      </c>
      <c r="D25" s="16" t="s">
        <v>18</v>
      </c>
      <c r="E25" s="18">
        <v>40000</v>
      </c>
      <c r="F25" s="19">
        <v>39.9543252</v>
      </c>
      <c r="G25" s="28">
        <v>1.1154538825897948E-2</v>
      </c>
    </row>
    <row r="26" spans="1:7" x14ac:dyDescent="0.2">
      <c r="A26" s="1"/>
      <c r="B26" s="21" t="s">
        <v>30</v>
      </c>
      <c r="C26" s="16" t="s">
        <v>1</v>
      </c>
      <c r="D26" s="16" t="s">
        <v>1</v>
      </c>
      <c r="E26" s="16" t="s">
        <v>1</v>
      </c>
      <c r="F26" s="20">
        <v>3423.4182442000001</v>
      </c>
      <c r="G26" s="29">
        <v>0.95575764403640295</v>
      </c>
    </row>
    <row r="27" spans="1:7" x14ac:dyDescent="0.2">
      <c r="A27" s="1"/>
      <c r="B27" s="21" t="s">
        <v>31</v>
      </c>
      <c r="C27" s="16" t="s">
        <v>1</v>
      </c>
      <c r="D27" s="16" t="s">
        <v>1</v>
      </c>
      <c r="E27" s="16" t="s">
        <v>1</v>
      </c>
      <c r="F27" s="20">
        <v>3423.4182442000001</v>
      </c>
      <c r="G27" s="29">
        <v>0.95575764403640295</v>
      </c>
    </row>
    <row r="28" spans="1:7" x14ac:dyDescent="0.2">
      <c r="A28" s="1"/>
      <c r="B28" s="21"/>
      <c r="C28" s="16"/>
      <c r="D28" s="16"/>
      <c r="E28" s="16"/>
      <c r="F28" s="20"/>
      <c r="G28" s="29"/>
    </row>
    <row r="29" spans="1:7" x14ac:dyDescent="0.2">
      <c r="A29" s="1"/>
      <c r="B29" s="21" t="s">
        <v>32</v>
      </c>
      <c r="C29" s="16" t="s">
        <v>1</v>
      </c>
      <c r="D29" s="16" t="s">
        <v>1</v>
      </c>
      <c r="E29" s="16" t="s">
        <v>1</v>
      </c>
      <c r="F29" s="17" t="s">
        <v>1</v>
      </c>
      <c r="G29" s="26" t="s">
        <v>1</v>
      </c>
    </row>
    <row r="30" spans="1:7" x14ac:dyDescent="0.2">
      <c r="A30" s="9"/>
      <c r="B30" s="27" t="s">
        <v>33</v>
      </c>
      <c r="C30" s="16" t="s">
        <v>1</v>
      </c>
      <c r="D30" s="16" t="s">
        <v>34</v>
      </c>
      <c r="E30" s="18"/>
      <c r="F30" s="19">
        <v>154.1201183</v>
      </c>
      <c r="G30" s="28">
        <v>4.302760301478787E-2</v>
      </c>
    </row>
    <row r="31" spans="1:7" x14ac:dyDescent="0.2">
      <c r="A31" s="1"/>
      <c r="B31" s="21" t="s">
        <v>30</v>
      </c>
      <c r="C31" s="16"/>
      <c r="D31" s="16" t="s">
        <v>1</v>
      </c>
      <c r="E31" s="16" t="s">
        <v>1</v>
      </c>
      <c r="F31" s="20">
        <v>154.1201183</v>
      </c>
      <c r="G31" s="29">
        <v>4.302760301478787E-2</v>
      </c>
    </row>
    <row r="32" spans="1:7" x14ac:dyDescent="0.2">
      <c r="A32" s="1"/>
      <c r="B32" s="21" t="s">
        <v>31</v>
      </c>
      <c r="C32" s="16" t="s">
        <v>1</v>
      </c>
      <c r="D32" s="16" t="s">
        <v>1</v>
      </c>
      <c r="E32" s="16" t="s">
        <v>1</v>
      </c>
      <c r="F32" s="20">
        <v>154.1201183</v>
      </c>
      <c r="G32" s="29">
        <v>4.302760301478787E-2</v>
      </c>
    </row>
    <row r="33" spans="1:7" x14ac:dyDescent="0.2">
      <c r="A33" s="1"/>
      <c r="B33" s="21"/>
      <c r="C33" s="16"/>
      <c r="D33" s="16"/>
      <c r="E33" s="16"/>
      <c r="F33" s="20"/>
      <c r="G33" s="29"/>
    </row>
    <row r="34" spans="1:7" x14ac:dyDescent="0.2">
      <c r="A34" s="1"/>
      <c r="B34" s="78" t="s">
        <v>189</v>
      </c>
      <c r="C34" s="16"/>
      <c r="D34" s="16"/>
      <c r="E34" s="16"/>
      <c r="F34" s="20"/>
      <c r="G34" s="29"/>
    </row>
    <row r="35" spans="1:7" ht="13.5" thickBot="1" x14ac:dyDescent="0.25">
      <c r="A35" s="1"/>
      <c r="B35" s="44" t="s">
        <v>35</v>
      </c>
      <c r="C35" s="45" t="s">
        <v>1</v>
      </c>
      <c r="D35" s="45" t="s">
        <v>1</v>
      </c>
      <c r="E35" s="45" t="s">
        <v>1</v>
      </c>
      <c r="F35" s="46">
        <v>4.3511107999999998</v>
      </c>
      <c r="G35" s="47">
        <v>1.214752948809198E-3</v>
      </c>
    </row>
    <row r="36" spans="1:7" ht="14.25" thickTop="1" thickBot="1" x14ac:dyDescent="0.25">
      <c r="A36" s="1"/>
      <c r="B36" s="40" t="s">
        <v>36</v>
      </c>
      <c r="C36" s="41" t="s">
        <v>1</v>
      </c>
      <c r="D36" s="41" t="s">
        <v>1</v>
      </c>
      <c r="E36" s="41" t="s">
        <v>1</v>
      </c>
      <c r="F36" s="42">
        <v>3581.8894733000002</v>
      </c>
      <c r="G36" s="43">
        <v>1</v>
      </c>
    </row>
    <row r="37" spans="1:7" x14ac:dyDescent="0.2">
      <c r="A37" s="1"/>
      <c r="B37" s="7" t="s">
        <v>1</v>
      </c>
      <c r="C37" s="1"/>
      <c r="D37" s="1"/>
      <c r="E37" s="1"/>
      <c r="F37" s="3"/>
      <c r="G37" s="4"/>
    </row>
    <row r="38" spans="1:7" x14ac:dyDescent="0.2">
      <c r="A38" s="1"/>
      <c r="B38" s="2" t="s">
        <v>34</v>
      </c>
      <c r="C38" s="1"/>
      <c r="D38" s="1"/>
      <c r="E38" s="1"/>
      <c r="F38" s="3"/>
      <c r="G38" s="4"/>
    </row>
    <row r="39" spans="1:7" x14ac:dyDescent="0.2">
      <c r="A39" s="1"/>
      <c r="B39" s="2" t="s">
        <v>37</v>
      </c>
      <c r="C39" s="1"/>
      <c r="D39" s="1"/>
      <c r="E39" s="1"/>
      <c r="F39" s="3"/>
      <c r="G39" s="4"/>
    </row>
    <row r="40" spans="1:7" x14ac:dyDescent="0.2">
      <c r="A40" s="1"/>
      <c r="B40" s="2" t="s">
        <v>38</v>
      </c>
      <c r="C40" s="1"/>
      <c r="D40" s="1"/>
      <c r="E40" s="1"/>
      <c r="F40" s="3"/>
      <c r="G40" s="4"/>
    </row>
    <row r="41" spans="1:7" ht="13.5" thickBot="1" x14ac:dyDescent="0.25">
      <c r="A41" s="1"/>
      <c r="B41" s="2" t="s">
        <v>1</v>
      </c>
      <c r="C41" s="1"/>
      <c r="D41" s="1"/>
      <c r="E41" s="1"/>
      <c r="F41" s="3"/>
      <c r="G41" s="4"/>
    </row>
    <row r="42" spans="1:7" ht="13.5" thickBot="1" x14ac:dyDescent="0.25">
      <c r="A42" s="1"/>
      <c r="B42" s="86" t="s">
        <v>371</v>
      </c>
      <c r="C42" s="87">
        <v>21.32</v>
      </c>
      <c r="D42" s="1"/>
      <c r="E42" s="1"/>
      <c r="F42" s="3"/>
      <c r="G42" s="4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showGridLines="0" zoomScaleNormal="100" workbookViewId="0">
      <selection activeCell="B46" sqref="B46"/>
    </sheetView>
  </sheetViews>
  <sheetFormatPr defaultRowHeight="11.25" x14ac:dyDescent="0.15"/>
  <cols>
    <col min="1" max="1" width="11.42578125" style="90" bestFit="1" customWidth="1"/>
    <col min="2" max="2" width="48.7109375" style="90" customWidth="1"/>
    <col min="3" max="5" width="19.5703125" style="90" customWidth="1"/>
    <col min="6" max="6" width="19.5703125" style="91" customWidth="1"/>
    <col min="7" max="7" width="19.5703125" style="92" customWidth="1"/>
    <col min="8" max="16384" width="9.140625" style="90"/>
  </cols>
  <sheetData>
    <row r="1" spans="1:7" ht="18" x14ac:dyDescent="0.15">
      <c r="A1" s="57"/>
      <c r="B1" s="112" t="s">
        <v>339</v>
      </c>
      <c r="C1" s="113"/>
      <c r="D1" s="113"/>
      <c r="E1" s="113"/>
      <c r="F1" s="113"/>
      <c r="G1" s="114"/>
    </row>
    <row r="2" spans="1:7" ht="12" thickBot="1" x14ac:dyDescent="0.2">
      <c r="A2" s="57"/>
      <c r="B2" s="103" t="s">
        <v>372</v>
      </c>
      <c r="C2" s="104"/>
      <c r="D2" s="104"/>
      <c r="E2" s="104"/>
      <c r="F2" s="104"/>
      <c r="G2" s="105"/>
    </row>
    <row r="3" spans="1:7" x14ac:dyDescent="0.15">
      <c r="A3" s="57"/>
      <c r="B3" s="6" t="s">
        <v>1</v>
      </c>
      <c r="C3" s="57"/>
      <c r="D3" s="57"/>
      <c r="E3" s="57"/>
      <c r="F3" s="88"/>
      <c r="G3" s="89"/>
    </row>
    <row r="4" spans="1:7" ht="12" thickBot="1" x14ac:dyDescent="0.2">
      <c r="A4" s="7"/>
      <c r="B4" s="2" t="s">
        <v>2</v>
      </c>
      <c r="C4" s="57"/>
      <c r="D4" s="57"/>
      <c r="E4" s="57"/>
      <c r="F4" s="88"/>
      <c r="G4" s="89"/>
    </row>
    <row r="5" spans="1:7" ht="23.25" thickBot="1" x14ac:dyDescent="0.2">
      <c r="A5" s="57"/>
      <c r="B5" s="35" t="s">
        <v>3</v>
      </c>
      <c r="C5" s="36" t="s">
        <v>4</v>
      </c>
      <c r="D5" s="37" t="s">
        <v>5</v>
      </c>
      <c r="E5" s="37" t="s">
        <v>6</v>
      </c>
      <c r="F5" s="38" t="s">
        <v>7</v>
      </c>
      <c r="G5" s="39" t="s">
        <v>8</v>
      </c>
    </row>
    <row r="6" spans="1:7" x14ac:dyDescent="0.15">
      <c r="A6" s="57"/>
      <c r="B6" s="72" t="s">
        <v>351</v>
      </c>
      <c r="C6" s="93"/>
      <c r="D6" s="69"/>
      <c r="E6" s="69"/>
      <c r="F6" s="70"/>
      <c r="G6" s="73"/>
    </row>
    <row r="7" spans="1:7" x14ac:dyDescent="0.15">
      <c r="A7" s="57"/>
      <c r="B7" s="23" t="s">
        <v>352</v>
      </c>
      <c r="C7" s="25"/>
      <c r="D7" s="13"/>
      <c r="E7" s="81" t="s">
        <v>177</v>
      </c>
      <c r="F7" s="81" t="s">
        <v>177</v>
      </c>
      <c r="G7" s="82" t="s">
        <v>177</v>
      </c>
    </row>
    <row r="8" spans="1:7" x14ac:dyDescent="0.15">
      <c r="A8" s="9"/>
      <c r="B8" s="23" t="s">
        <v>176</v>
      </c>
      <c r="C8" s="25"/>
      <c r="D8" s="13"/>
      <c r="E8" s="81" t="s">
        <v>177</v>
      </c>
      <c r="F8" s="81" t="s">
        <v>177</v>
      </c>
      <c r="G8" s="82" t="s">
        <v>177</v>
      </c>
    </row>
    <row r="9" spans="1:7" x14ac:dyDescent="0.15">
      <c r="A9" s="9"/>
      <c r="B9" s="63"/>
      <c r="C9" s="12"/>
      <c r="D9" s="13"/>
      <c r="E9" s="13"/>
      <c r="F9" s="14"/>
      <c r="G9" s="64"/>
    </row>
    <row r="10" spans="1:7" x14ac:dyDescent="0.15">
      <c r="A10" s="9"/>
      <c r="B10" s="22" t="s">
        <v>353</v>
      </c>
      <c r="C10" s="24"/>
      <c r="D10" s="13"/>
      <c r="E10" s="13"/>
      <c r="F10" s="14"/>
      <c r="G10" s="64"/>
    </row>
    <row r="11" spans="1:7" x14ac:dyDescent="0.15">
      <c r="A11" s="9"/>
      <c r="B11" s="23" t="s">
        <v>357</v>
      </c>
      <c r="C11" s="25"/>
      <c r="D11" s="13"/>
      <c r="E11" s="81" t="s">
        <v>177</v>
      </c>
      <c r="F11" s="81" t="s">
        <v>177</v>
      </c>
      <c r="G11" s="82" t="s">
        <v>177</v>
      </c>
    </row>
    <row r="12" spans="1:7" x14ac:dyDescent="0.15">
      <c r="A12" s="9"/>
      <c r="B12" s="23" t="s">
        <v>355</v>
      </c>
      <c r="C12" s="25"/>
      <c r="D12" s="13"/>
      <c r="E12" s="81" t="s">
        <v>177</v>
      </c>
      <c r="F12" s="81" t="s">
        <v>177</v>
      </c>
      <c r="G12" s="82" t="s">
        <v>177</v>
      </c>
    </row>
    <row r="13" spans="1:7" x14ac:dyDescent="0.15">
      <c r="A13" s="57"/>
      <c r="B13" s="23" t="s">
        <v>356</v>
      </c>
      <c r="C13" s="25"/>
      <c r="D13" s="13"/>
      <c r="E13" s="81" t="s">
        <v>177</v>
      </c>
      <c r="F13" s="81" t="s">
        <v>177</v>
      </c>
      <c r="G13" s="82" t="s">
        <v>177</v>
      </c>
    </row>
    <row r="14" spans="1:7" x14ac:dyDescent="0.15">
      <c r="A14" s="57"/>
      <c r="B14" s="23"/>
      <c r="C14" s="25"/>
      <c r="D14" s="13"/>
      <c r="E14" s="79"/>
      <c r="F14" s="80"/>
      <c r="G14" s="83"/>
    </row>
    <row r="15" spans="1:7" x14ac:dyDescent="0.15">
      <c r="A15" s="57"/>
      <c r="B15" s="21" t="s">
        <v>9</v>
      </c>
      <c r="C15" s="16" t="s">
        <v>1</v>
      </c>
      <c r="D15" s="16" t="s">
        <v>1</v>
      </c>
      <c r="E15" s="16" t="s">
        <v>1</v>
      </c>
      <c r="F15" s="17" t="s">
        <v>1</v>
      </c>
      <c r="G15" s="26" t="s">
        <v>1</v>
      </c>
    </row>
    <row r="16" spans="1:7" x14ac:dyDescent="0.15">
      <c r="A16" s="57"/>
      <c r="B16" s="21" t="s">
        <v>10</v>
      </c>
      <c r="C16" s="16" t="s">
        <v>1</v>
      </c>
      <c r="D16" s="16" t="s">
        <v>1</v>
      </c>
      <c r="E16" s="16" t="s">
        <v>1</v>
      </c>
      <c r="F16" s="17" t="s">
        <v>1</v>
      </c>
      <c r="G16" s="26" t="s">
        <v>1</v>
      </c>
    </row>
    <row r="17" spans="1:7" x14ac:dyDescent="0.15">
      <c r="A17" s="9"/>
      <c r="B17" s="27" t="s">
        <v>340</v>
      </c>
      <c r="C17" s="16" t="s">
        <v>341</v>
      </c>
      <c r="D17" s="16" t="s">
        <v>18</v>
      </c>
      <c r="E17" s="18">
        <v>500000</v>
      </c>
      <c r="F17" s="19">
        <v>490.2</v>
      </c>
      <c r="G17" s="28">
        <v>0.150918132821657</v>
      </c>
    </row>
    <row r="18" spans="1:7" x14ac:dyDescent="0.15">
      <c r="A18" s="9"/>
      <c r="B18" s="27" t="s">
        <v>342</v>
      </c>
      <c r="C18" s="16" t="s">
        <v>343</v>
      </c>
      <c r="D18" s="16" t="s">
        <v>12</v>
      </c>
      <c r="E18" s="18">
        <v>500000</v>
      </c>
      <c r="F18" s="19">
        <v>488.21249999999998</v>
      </c>
      <c r="G18" s="28">
        <v>0.15030624014727301</v>
      </c>
    </row>
    <row r="19" spans="1:7" x14ac:dyDescent="0.15">
      <c r="A19" s="9"/>
      <c r="B19" s="27" t="s">
        <v>344</v>
      </c>
      <c r="C19" s="16" t="s">
        <v>345</v>
      </c>
      <c r="D19" s="16" t="s">
        <v>18</v>
      </c>
      <c r="E19" s="18">
        <v>450000</v>
      </c>
      <c r="F19" s="19">
        <v>439.73685</v>
      </c>
      <c r="G19" s="28">
        <v>0.13538201618701973</v>
      </c>
    </row>
    <row r="20" spans="1:7" x14ac:dyDescent="0.15">
      <c r="A20" s="9"/>
      <c r="B20" s="27" t="s">
        <v>28</v>
      </c>
      <c r="C20" s="16" t="s">
        <v>29</v>
      </c>
      <c r="D20" s="16" t="s">
        <v>18</v>
      </c>
      <c r="E20" s="18">
        <v>360000</v>
      </c>
      <c r="F20" s="19">
        <v>359.58892680000002</v>
      </c>
      <c r="G20" s="28">
        <v>0.11070683275397696</v>
      </c>
    </row>
    <row r="21" spans="1:7" x14ac:dyDescent="0.15">
      <c r="A21" s="9"/>
      <c r="B21" s="27" t="s">
        <v>24</v>
      </c>
      <c r="C21" s="16" t="s">
        <v>25</v>
      </c>
      <c r="D21" s="16" t="s">
        <v>18</v>
      </c>
      <c r="E21" s="18">
        <v>250000</v>
      </c>
      <c r="F21" s="19">
        <v>249.94070249999999</v>
      </c>
      <c r="G21" s="28">
        <v>7.6949376045355483E-2</v>
      </c>
    </row>
    <row r="22" spans="1:7" x14ac:dyDescent="0.15">
      <c r="A22" s="9"/>
      <c r="B22" s="27" t="s">
        <v>26</v>
      </c>
      <c r="C22" s="16" t="s">
        <v>27</v>
      </c>
      <c r="D22" s="16" t="s">
        <v>18</v>
      </c>
      <c r="E22" s="18">
        <v>250000</v>
      </c>
      <c r="F22" s="19">
        <v>249.5318575</v>
      </c>
      <c r="G22" s="28">
        <v>7.6823504719338617E-2</v>
      </c>
    </row>
    <row r="23" spans="1:7" x14ac:dyDescent="0.15">
      <c r="A23" s="9"/>
      <c r="B23" s="27" t="s">
        <v>22</v>
      </c>
      <c r="C23" s="16" t="s">
        <v>23</v>
      </c>
      <c r="D23" s="16" t="s">
        <v>15</v>
      </c>
      <c r="E23" s="18">
        <v>100000</v>
      </c>
      <c r="F23" s="19">
        <v>99.819636000000003</v>
      </c>
      <c r="G23" s="28">
        <v>3.0731524039284894E-2</v>
      </c>
    </row>
    <row r="24" spans="1:7" x14ac:dyDescent="0.15">
      <c r="A24" s="9"/>
      <c r="B24" s="27" t="s">
        <v>346</v>
      </c>
      <c r="C24" s="16" t="s">
        <v>347</v>
      </c>
      <c r="D24" s="16" t="s">
        <v>15</v>
      </c>
      <c r="E24" s="18">
        <v>80000</v>
      </c>
      <c r="F24" s="19">
        <v>74.637360000000001</v>
      </c>
      <c r="G24" s="28">
        <v>2.2978643431125725E-2</v>
      </c>
    </row>
    <row r="25" spans="1:7" x14ac:dyDescent="0.15">
      <c r="A25" s="57"/>
      <c r="B25" s="21" t="s">
        <v>30</v>
      </c>
      <c r="C25" s="16" t="s">
        <v>1</v>
      </c>
      <c r="D25" s="16" t="s">
        <v>1</v>
      </c>
      <c r="E25" s="16" t="s">
        <v>1</v>
      </c>
      <c r="F25" s="20">
        <v>2451.6678327999998</v>
      </c>
      <c r="G25" s="29">
        <v>0.75479627014503137</v>
      </c>
    </row>
    <row r="26" spans="1:7" x14ac:dyDescent="0.15">
      <c r="A26" s="57"/>
      <c r="B26" s="21" t="s">
        <v>31</v>
      </c>
      <c r="C26" s="16" t="s">
        <v>1</v>
      </c>
      <c r="D26" s="16" t="s">
        <v>1</v>
      </c>
      <c r="E26" s="16" t="s">
        <v>1</v>
      </c>
      <c r="F26" s="20">
        <v>2451.6678327999998</v>
      </c>
      <c r="G26" s="29">
        <v>0.75479627014503137</v>
      </c>
    </row>
    <row r="27" spans="1:7" x14ac:dyDescent="0.15">
      <c r="A27" s="57"/>
      <c r="B27" s="21"/>
      <c r="C27" s="16"/>
      <c r="D27" s="16"/>
      <c r="E27" s="16"/>
      <c r="F27" s="17"/>
      <c r="G27" s="26"/>
    </row>
    <row r="28" spans="1:7" x14ac:dyDescent="0.15">
      <c r="A28" s="57"/>
      <c r="B28" s="21" t="s">
        <v>190</v>
      </c>
      <c r="C28" s="16" t="s">
        <v>1</v>
      </c>
      <c r="D28" s="16" t="s">
        <v>1</v>
      </c>
      <c r="E28" s="16" t="s">
        <v>1</v>
      </c>
      <c r="F28" s="17" t="s">
        <v>1</v>
      </c>
      <c r="G28" s="26" t="s">
        <v>1</v>
      </c>
    </row>
    <row r="29" spans="1:7" x14ac:dyDescent="0.15">
      <c r="A29" s="9"/>
      <c r="B29" s="27" t="s">
        <v>337</v>
      </c>
      <c r="C29" s="16" t="s">
        <v>338</v>
      </c>
      <c r="D29" s="16" t="s">
        <v>1</v>
      </c>
      <c r="E29" s="18">
        <v>1300000</v>
      </c>
      <c r="F29" s="19">
        <v>133.8766</v>
      </c>
      <c r="G29" s="28">
        <v>4.1216659527767943E-2</v>
      </c>
    </row>
    <row r="30" spans="1:7" x14ac:dyDescent="0.15">
      <c r="A30" s="57"/>
      <c r="B30" s="21" t="s">
        <v>30</v>
      </c>
      <c r="C30" s="16" t="s">
        <v>1</v>
      </c>
      <c r="D30" s="16" t="s">
        <v>1</v>
      </c>
      <c r="E30" s="16" t="s">
        <v>1</v>
      </c>
      <c r="F30" s="20">
        <v>133.8766</v>
      </c>
      <c r="G30" s="29">
        <v>4.1216659527767943E-2</v>
      </c>
    </row>
    <row r="31" spans="1:7" x14ac:dyDescent="0.15">
      <c r="A31" s="57"/>
      <c r="B31" s="21" t="s">
        <v>31</v>
      </c>
      <c r="C31" s="16" t="s">
        <v>1</v>
      </c>
      <c r="D31" s="16" t="s">
        <v>1</v>
      </c>
      <c r="E31" s="16" t="s">
        <v>1</v>
      </c>
      <c r="F31" s="20">
        <v>133.8766</v>
      </c>
      <c r="G31" s="29">
        <v>4.1216659527767943E-2</v>
      </c>
    </row>
    <row r="32" spans="1:7" x14ac:dyDescent="0.15">
      <c r="A32" s="57"/>
      <c r="B32" s="21"/>
      <c r="C32" s="16"/>
      <c r="D32" s="16"/>
      <c r="E32" s="16"/>
      <c r="F32" s="20"/>
      <c r="G32" s="29"/>
    </row>
    <row r="33" spans="1:7" x14ac:dyDescent="0.15">
      <c r="A33" s="57"/>
      <c r="B33" s="21" t="s">
        <v>32</v>
      </c>
      <c r="C33" s="16" t="s">
        <v>1</v>
      </c>
      <c r="D33" s="16" t="s">
        <v>1</v>
      </c>
      <c r="E33" s="16" t="s">
        <v>1</v>
      </c>
      <c r="F33" s="17" t="s">
        <v>1</v>
      </c>
      <c r="G33" s="26" t="s">
        <v>1</v>
      </c>
    </row>
    <row r="34" spans="1:7" x14ac:dyDescent="0.15">
      <c r="A34" s="9"/>
      <c r="B34" s="27" t="s">
        <v>33</v>
      </c>
      <c r="C34" s="16" t="s">
        <v>1</v>
      </c>
      <c r="D34" s="16" t="s">
        <v>34</v>
      </c>
      <c r="E34" s="18"/>
      <c r="F34" s="19">
        <v>741.66805309999995</v>
      </c>
      <c r="G34" s="28">
        <v>0.22833773510266334</v>
      </c>
    </row>
    <row r="35" spans="1:7" x14ac:dyDescent="0.15">
      <c r="A35" s="57"/>
      <c r="B35" s="21" t="s">
        <v>30</v>
      </c>
      <c r="C35" s="16" t="s">
        <v>1</v>
      </c>
      <c r="D35" s="16" t="s">
        <v>1</v>
      </c>
      <c r="E35" s="16" t="s">
        <v>1</v>
      </c>
      <c r="F35" s="20">
        <v>741.66805309999995</v>
      </c>
      <c r="G35" s="29">
        <v>0.22833773510266334</v>
      </c>
    </row>
    <row r="36" spans="1:7" x14ac:dyDescent="0.15">
      <c r="A36" s="57"/>
      <c r="B36" s="21" t="s">
        <v>31</v>
      </c>
      <c r="C36" s="16" t="s">
        <v>1</v>
      </c>
      <c r="D36" s="16" t="s">
        <v>1</v>
      </c>
      <c r="E36" s="16" t="s">
        <v>1</v>
      </c>
      <c r="F36" s="20">
        <v>741.66805309999995</v>
      </c>
      <c r="G36" s="29">
        <v>0.22833773510266334</v>
      </c>
    </row>
    <row r="37" spans="1:7" x14ac:dyDescent="0.15">
      <c r="A37" s="57"/>
      <c r="B37" s="21"/>
      <c r="C37" s="16"/>
      <c r="D37" s="16"/>
      <c r="E37" s="16"/>
      <c r="F37" s="20"/>
      <c r="G37" s="29"/>
    </row>
    <row r="38" spans="1:7" x14ac:dyDescent="0.15">
      <c r="A38" s="57"/>
      <c r="B38" s="21" t="s">
        <v>189</v>
      </c>
      <c r="C38" s="16"/>
      <c r="D38" s="16"/>
      <c r="E38" s="16"/>
      <c r="F38" s="20"/>
      <c r="G38" s="29"/>
    </row>
    <row r="39" spans="1:7" ht="12" thickBot="1" x14ac:dyDescent="0.2">
      <c r="A39" s="57"/>
      <c r="B39" s="44" t="s">
        <v>35</v>
      </c>
      <c r="C39" s="45" t="s">
        <v>1</v>
      </c>
      <c r="D39" s="45" t="s">
        <v>1</v>
      </c>
      <c r="E39" s="45" t="s">
        <v>1</v>
      </c>
      <c r="F39" s="46">
        <v>-79.093848100000002</v>
      </c>
      <c r="G39" s="47">
        <v>-2.4350664775462688E-2</v>
      </c>
    </row>
    <row r="40" spans="1:7" ht="12.75" thickTop="1" thickBot="1" x14ac:dyDescent="0.2">
      <c r="A40" s="57"/>
      <c r="B40" s="40" t="s">
        <v>36</v>
      </c>
      <c r="C40" s="41" t="s">
        <v>1</v>
      </c>
      <c r="D40" s="41" t="s">
        <v>1</v>
      </c>
      <c r="E40" s="41" t="s">
        <v>1</v>
      </c>
      <c r="F40" s="42">
        <v>3248.1186378000002</v>
      </c>
      <c r="G40" s="43">
        <v>1</v>
      </c>
    </row>
    <row r="41" spans="1:7" x14ac:dyDescent="0.15">
      <c r="A41" s="57"/>
      <c r="B41" s="7" t="s">
        <v>1</v>
      </c>
      <c r="C41" s="57"/>
      <c r="D41" s="57"/>
      <c r="E41" s="57"/>
      <c r="F41" s="88"/>
      <c r="G41" s="89"/>
    </row>
    <row r="42" spans="1:7" x14ac:dyDescent="0.15">
      <c r="A42" s="57"/>
      <c r="B42" s="2" t="s">
        <v>34</v>
      </c>
      <c r="C42" s="57"/>
      <c r="D42" s="57"/>
      <c r="E42" s="57"/>
      <c r="F42" s="88"/>
      <c r="G42" s="89"/>
    </row>
    <row r="43" spans="1:7" x14ac:dyDescent="0.15">
      <c r="A43" s="57"/>
      <c r="B43" s="2" t="s">
        <v>37</v>
      </c>
      <c r="C43" s="57"/>
      <c r="D43" s="57"/>
      <c r="E43" s="57"/>
      <c r="F43" s="88"/>
      <c r="G43" s="89"/>
    </row>
    <row r="44" spans="1:7" x14ac:dyDescent="0.15">
      <c r="A44" s="57"/>
      <c r="B44" s="2" t="s">
        <v>38</v>
      </c>
      <c r="C44" s="57"/>
      <c r="D44" s="57"/>
      <c r="E44" s="57"/>
      <c r="F44" s="88"/>
      <c r="G44" s="89"/>
    </row>
    <row r="45" spans="1:7" ht="12" thickBot="1" x14ac:dyDescent="0.2">
      <c r="A45" s="57"/>
      <c r="B45" s="2" t="s">
        <v>1</v>
      </c>
      <c r="C45" s="57"/>
      <c r="D45" s="57"/>
      <c r="E45" s="57"/>
      <c r="F45" s="88"/>
      <c r="G45" s="89"/>
    </row>
    <row r="46" spans="1:7" ht="12" thickBot="1" x14ac:dyDescent="0.2">
      <c r="A46" s="57"/>
      <c r="B46" s="94" t="s">
        <v>371</v>
      </c>
      <c r="C46" s="95">
        <v>64.48</v>
      </c>
      <c r="D46" s="57"/>
      <c r="E46" s="57"/>
      <c r="F46" s="88"/>
      <c r="G46" s="89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showGridLines="0" zoomScaleNormal="100" workbookViewId="0">
      <selection activeCell="B43" sqref="B43"/>
    </sheetView>
  </sheetViews>
  <sheetFormatPr defaultRowHeight="11.25" x14ac:dyDescent="0.15"/>
  <cols>
    <col min="1" max="1" width="11.42578125" style="90" bestFit="1" customWidth="1"/>
    <col min="2" max="2" width="50.140625" style="90" customWidth="1"/>
    <col min="3" max="5" width="21" style="90" customWidth="1"/>
    <col min="6" max="6" width="21" style="91" customWidth="1"/>
    <col min="7" max="7" width="21" style="92" customWidth="1"/>
    <col min="8" max="16384" width="9.140625" style="90"/>
  </cols>
  <sheetData>
    <row r="1" spans="1:7" ht="18" x14ac:dyDescent="0.15">
      <c r="A1" s="57"/>
      <c r="B1" s="112" t="s">
        <v>348</v>
      </c>
      <c r="C1" s="113"/>
      <c r="D1" s="113"/>
      <c r="E1" s="113"/>
      <c r="F1" s="113"/>
      <c r="G1" s="114"/>
    </row>
    <row r="2" spans="1:7" ht="12" thickBot="1" x14ac:dyDescent="0.2">
      <c r="A2" s="57"/>
      <c r="B2" s="103" t="s">
        <v>373</v>
      </c>
      <c r="C2" s="104"/>
      <c r="D2" s="104"/>
      <c r="E2" s="104"/>
      <c r="F2" s="104"/>
      <c r="G2" s="105"/>
    </row>
    <row r="3" spans="1:7" x14ac:dyDescent="0.15">
      <c r="A3" s="57"/>
      <c r="B3" s="6" t="s">
        <v>1</v>
      </c>
      <c r="C3" s="57"/>
      <c r="D3" s="57"/>
      <c r="E3" s="57"/>
      <c r="F3" s="88"/>
      <c r="G3" s="89"/>
    </row>
    <row r="4" spans="1:7" ht="12" thickBot="1" x14ac:dyDescent="0.2">
      <c r="A4" s="7"/>
      <c r="B4" s="2" t="s">
        <v>2</v>
      </c>
      <c r="C4" s="57"/>
      <c r="D4" s="57"/>
      <c r="E4" s="57"/>
      <c r="F4" s="88"/>
      <c r="G4" s="89"/>
    </row>
    <row r="5" spans="1:7" ht="23.25" thickBot="1" x14ac:dyDescent="0.2">
      <c r="A5" s="57"/>
      <c r="B5" s="35" t="s">
        <v>3</v>
      </c>
      <c r="C5" s="36" t="s">
        <v>4</v>
      </c>
      <c r="D5" s="37" t="s">
        <v>5</v>
      </c>
      <c r="E5" s="37" t="s">
        <v>6</v>
      </c>
      <c r="F5" s="38" t="s">
        <v>7</v>
      </c>
      <c r="G5" s="39" t="s">
        <v>8</v>
      </c>
    </row>
    <row r="6" spans="1:7" x14ac:dyDescent="0.15">
      <c r="A6" s="57"/>
      <c r="B6" s="72" t="s">
        <v>351</v>
      </c>
      <c r="C6" s="93"/>
      <c r="D6" s="69"/>
      <c r="E6" s="69"/>
      <c r="F6" s="70"/>
      <c r="G6" s="73"/>
    </row>
    <row r="7" spans="1:7" x14ac:dyDescent="0.15">
      <c r="A7" s="57"/>
      <c r="B7" s="23" t="s">
        <v>352</v>
      </c>
      <c r="C7" s="25"/>
      <c r="D7" s="13"/>
      <c r="E7" s="81" t="s">
        <v>177</v>
      </c>
      <c r="F7" s="81" t="s">
        <v>177</v>
      </c>
      <c r="G7" s="82" t="s">
        <v>177</v>
      </c>
    </row>
    <row r="8" spans="1:7" x14ac:dyDescent="0.15">
      <c r="A8" s="9"/>
      <c r="B8" s="23" t="s">
        <v>176</v>
      </c>
      <c r="C8" s="25"/>
      <c r="D8" s="13"/>
      <c r="E8" s="81" t="s">
        <v>177</v>
      </c>
      <c r="F8" s="81" t="s">
        <v>177</v>
      </c>
      <c r="G8" s="82" t="s">
        <v>177</v>
      </c>
    </row>
    <row r="9" spans="1:7" x14ac:dyDescent="0.15">
      <c r="A9" s="9"/>
      <c r="B9" s="63"/>
      <c r="C9" s="12"/>
      <c r="D9" s="13"/>
      <c r="E9" s="13"/>
      <c r="F9" s="14"/>
      <c r="G9" s="64"/>
    </row>
    <row r="10" spans="1:7" x14ac:dyDescent="0.15">
      <c r="A10" s="9"/>
      <c r="B10" s="22" t="s">
        <v>353</v>
      </c>
      <c r="C10" s="24"/>
      <c r="D10" s="13"/>
      <c r="E10" s="13"/>
      <c r="F10" s="14"/>
      <c r="G10" s="64"/>
    </row>
    <row r="11" spans="1:7" x14ac:dyDescent="0.15">
      <c r="A11" s="9"/>
      <c r="B11" s="23" t="s">
        <v>357</v>
      </c>
      <c r="C11" s="25"/>
      <c r="D11" s="13"/>
      <c r="E11" s="81" t="s">
        <v>177</v>
      </c>
      <c r="F11" s="81" t="s">
        <v>177</v>
      </c>
      <c r="G11" s="97" t="s">
        <v>177</v>
      </c>
    </row>
    <row r="12" spans="1:7" x14ac:dyDescent="0.15">
      <c r="A12" s="9"/>
      <c r="B12" s="23" t="s">
        <v>355</v>
      </c>
      <c r="C12" s="25"/>
      <c r="D12" s="13"/>
      <c r="E12" s="81" t="s">
        <v>177</v>
      </c>
      <c r="F12" s="81" t="s">
        <v>177</v>
      </c>
      <c r="G12" s="97" t="s">
        <v>177</v>
      </c>
    </row>
    <row r="13" spans="1:7" x14ac:dyDescent="0.15">
      <c r="A13" s="57"/>
      <c r="B13" s="23" t="s">
        <v>356</v>
      </c>
      <c r="C13" s="25"/>
      <c r="D13" s="13"/>
      <c r="E13" s="81" t="s">
        <v>177</v>
      </c>
      <c r="F13" s="81" t="s">
        <v>177</v>
      </c>
      <c r="G13" s="97" t="s">
        <v>177</v>
      </c>
    </row>
    <row r="14" spans="1:7" x14ac:dyDescent="0.15">
      <c r="A14" s="57"/>
      <c r="B14" s="23"/>
      <c r="C14" s="25"/>
      <c r="D14" s="13"/>
      <c r="E14" s="81"/>
      <c r="F14" s="96"/>
      <c r="G14" s="97"/>
    </row>
    <row r="15" spans="1:7" x14ac:dyDescent="0.15">
      <c r="A15" s="57"/>
      <c r="B15" s="21" t="s">
        <v>9</v>
      </c>
      <c r="C15" s="16" t="s">
        <v>1</v>
      </c>
      <c r="D15" s="16" t="s">
        <v>1</v>
      </c>
      <c r="E15" s="16" t="s">
        <v>1</v>
      </c>
      <c r="F15" s="17" t="s">
        <v>1</v>
      </c>
      <c r="G15" s="26" t="s">
        <v>1</v>
      </c>
    </row>
    <row r="16" spans="1:7" x14ac:dyDescent="0.15">
      <c r="A16" s="57"/>
      <c r="B16" s="21" t="s">
        <v>10</v>
      </c>
      <c r="C16" s="16" t="s">
        <v>1</v>
      </c>
      <c r="D16" s="16" t="s">
        <v>1</v>
      </c>
      <c r="E16" s="16" t="s">
        <v>1</v>
      </c>
      <c r="F16" s="17" t="s">
        <v>1</v>
      </c>
      <c r="G16" s="26" t="s">
        <v>1</v>
      </c>
    </row>
    <row r="17" spans="1:7" x14ac:dyDescent="0.15">
      <c r="A17" s="9"/>
      <c r="B17" s="27" t="s">
        <v>349</v>
      </c>
      <c r="C17" s="16" t="s">
        <v>350</v>
      </c>
      <c r="D17" s="16" t="s">
        <v>18</v>
      </c>
      <c r="E17" s="18">
        <v>500000</v>
      </c>
      <c r="F17" s="19">
        <v>468.7285</v>
      </c>
      <c r="G17" s="28">
        <v>0.33038186831404437</v>
      </c>
    </row>
    <row r="18" spans="1:7" x14ac:dyDescent="0.15">
      <c r="A18" s="9"/>
      <c r="B18" s="27" t="s">
        <v>346</v>
      </c>
      <c r="C18" s="16" t="s">
        <v>347</v>
      </c>
      <c r="D18" s="16" t="s">
        <v>15</v>
      </c>
      <c r="E18" s="18">
        <v>420000</v>
      </c>
      <c r="F18" s="19">
        <v>391.84613999999999</v>
      </c>
      <c r="G18" s="28">
        <v>0.2761915689463017</v>
      </c>
    </row>
    <row r="19" spans="1:7" x14ac:dyDescent="0.15">
      <c r="A19" s="9"/>
      <c r="B19" s="27" t="s">
        <v>28</v>
      </c>
      <c r="C19" s="16" t="s">
        <v>29</v>
      </c>
      <c r="D19" s="16" t="s">
        <v>18</v>
      </c>
      <c r="E19" s="18">
        <v>100000</v>
      </c>
      <c r="F19" s="19">
        <v>99.885812999999999</v>
      </c>
      <c r="G19" s="28">
        <v>7.0404213776220692E-2</v>
      </c>
    </row>
    <row r="20" spans="1:7" x14ac:dyDescent="0.15">
      <c r="A20" s="9"/>
      <c r="B20" s="27" t="s">
        <v>344</v>
      </c>
      <c r="C20" s="16" t="s">
        <v>345</v>
      </c>
      <c r="D20" s="16" t="s">
        <v>18</v>
      </c>
      <c r="E20" s="18">
        <v>50000</v>
      </c>
      <c r="F20" s="19">
        <v>48.859650000000002</v>
      </c>
      <c r="G20" s="28">
        <v>3.4438576814019836E-2</v>
      </c>
    </row>
    <row r="21" spans="1:7" x14ac:dyDescent="0.15">
      <c r="A21" s="9"/>
      <c r="B21" s="27" t="s">
        <v>179</v>
      </c>
      <c r="C21" s="16" t="s">
        <v>180</v>
      </c>
      <c r="D21" s="16" t="s">
        <v>18</v>
      </c>
      <c r="E21" s="18">
        <v>40000</v>
      </c>
      <c r="F21" s="19">
        <v>37.536999999999999</v>
      </c>
      <c r="G21" s="28">
        <v>2.6457841140242768E-2</v>
      </c>
    </row>
    <row r="22" spans="1:7" x14ac:dyDescent="0.15">
      <c r="A22" s="57"/>
      <c r="B22" s="21" t="s">
        <v>30</v>
      </c>
      <c r="C22" s="16" t="s">
        <v>1</v>
      </c>
      <c r="D22" s="16" t="s">
        <v>1</v>
      </c>
      <c r="E22" s="16" t="s">
        <v>1</v>
      </c>
      <c r="F22" s="20">
        <v>1046.8571030000001</v>
      </c>
      <c r="G22" s="29">
        <v>0.73787406899082941</v>
      </c>
    </row>
    <row r="23" spans="1:7" x14ac:dyDescent="0.15">
      <c r="A23" s="57"/>
      <c r="B23" s="21" t="s">
        <v>31</v>
      </c>
      <c r="C23" s="16" t="s">
        <v>1</v>
      </c>
      <c r="D23" s="16" t="s">
        <v>1</v>
      </c>
      <c r="E23" s="16" t="s">
        <v>1</v>
      </c>
      <c r="F23" s="20">
        <v>1046.8571030000001</v>
      </c>
      <c r="G23" s="29">
        <v>0.73787406899082941</v>
      </c>
    </row>
    <row r="24" spans="1:7" x14ac:dyDescent="0.15">
      <c r="A24" s="57"/>
      <c r="B24" s="21"/>
      <c r="C24" s="16" t="s">
        <v>1</v>
      </c>
      <c r="D24" s="16" t="s">
        <v>1</v>
      </c>
      <c r="E24" s="16" t="s">
        <v>1</v>
      </c>
      <c r="F24" s="17" t="s">
        <v>1</v>
      </c>
      <c r="G24" s="26" t="s">
        <v>1</v>
      </c>
    </row>
    <row r="25" spans="1:7" x14ac:dyDescent="0.15">
      <c r="A25" s="57"/>
      <c r="B25" s="21" t="s">
        <v>190</v>
      </c>
      <c r="C25" s="16" t="s">
        <v>1</v>
      </c>
      <c r="D25" s="16" t="s">
        <v>1</v>
      </c>
      <c r="E25" s="16" t="s">
        <v>1</v>
      </c>
      <c r="F25" s="17" t="s">
        <v>1</v>
      </c>
      <c r="G25" s="26" t="s">
        <v>1</v>
      </c>
    </row>
    <row r="26" spans="1:7" x14ac:dyDescent="0.15">
      <c r="A26" s="9"/>
      <c r="B26" s="27" t="s">
        <v>337</v>
      </c>
      <c r="C26" s="16" t="s">
        <v>338</v>
      </c>
      <c r="D26" s="16" t="s">
        <v>1</v>
      </c>
      <c r="E26" s="18">
        <v>2200440</v>
      </c>
      <c r="F26" s="19">
        <v>226.60571210000001</v>
      </c>
      <c r="G26" s="28">
        <v>0.15972235213824729</v>
      </c>
    </row>
    <row r="27" spans="1:7" x14ac:dyDescent="0.15">
      <c r="A27" s="57"/>
      <c r="B27" s="21" t="s">
        <v>30</v>
      </c>
      <c r="C27" s="16" t="s">
        <v>1</v>
      </c>
      <c r="D27" s="16" t="s">
        <v>1</v>
      </c>
      <c r="E27" s="16" t="s">
        <v>1</v>
      </c>
      <c r="F27" s="20">
        <v>226.60571210000001</v>
      </c>
      <c r="G27" s="29">
        <v>0.15972235213824729</v>
      </c>
    </row>
    <row r="28" spans="1:7" x14ac:dyDescent="0.15">
      <c r="A28" s="57"/>
      <c r="B28" s="21" t="s">
        <v>31</v>
      </c>
      <c r="C28" s="16" t="s">
        <v>1</v>
      </c>
      <c r="D28" s="16" t="s">
        <v>1</v>
      </c>
      <c r="E28" s="16" t="s">
        <v>1</v>
      </c>
      <c r="F28" s="20">
        <v>226.60571210000001</v>
      </c>
      <c r="G28" s="29">
        <v>0.15972235213824729</v>
      </c>
    </row>
    <row r="29" spans="1:7" x14ac:dyDescent="0.15">
      <c r="A29" s="57"/>
      <c r="B29" s="21"/>
      <c r="C29" s="16"/>
      <c r="D29" s="16"/>
      <c r="E29" s="16"/>
      <c r="F29" s="20"/>
      <c r="G29" s="29"/>
    </row>
    <row r="30" spans="1:7" x14ac:dyDescent="0.15">
      <c r="A30" s="57"/>
      <c r="B30" s="21" t="s">
        <v>32</v>
      </c>
      <c r="C30" s="16" t="s">
        <v>1</v>
      </c>
      <c r="D30" s="16" t="s">
        <v>1</v>
      </c>
      <c r="E30" s="16" t="s">
        <v>1</v>
      </c>
      <c r="F30" s="17" t="s">
        <v>1</v>
      </c>
      <c r="G30" s="26" t="s">
        <v>1</v>
      </c>
    </row>
    <row r="31" spans="1:7" x14ac:dyDescent="0.15">
      <c r="A31" s="9"/>
      <c r="B31" s="27" t="s">
        <v>33</v>
      </c>
      <c r="C31" s="16" t="s">
        <v>1</v>
      </c>
      <c r="D31" s="16" t="s">
        <v>34</v>
      </c>
      <c r="E31" s="18"/>
      <c r="F31" s="19">
        <v>145.63097400000001</v>
      </c>
      <c r="G31" s="28">
        <v>0.10264755242003423</v>
      </c>
    </row>
    <row r="32" spans="1:7" x14ac:dyDescent="0.15">
      <c r="A32" s="57"/>
      <c r="B32" s="21" t="s">
        <v>30</v>
      </c>
      <c r="C32" s="16" t="s">
        <v>1</v>
      </c>
      <c r="D32" s="16" t="s">
        <v>1</v>
      </c>
      <c r="E32" s="16" t="s">
        <v>1</v>
      </c>
      <c r="F32" s="20">
        <v>145.63097400000001</v>
      </c>
      <c r="G32" s="29">
        <v>0.10264755242003423</v>
      </c>
    </row>
    <row r="33" spans="1:7" x14ac:dyDescent="0.15">
      <c r="A33" s="57"/>
      <c r="B33" s="21" t="s">
        <v>31</v>
      </c>
      <c r="C33" s="16" t="s">
        <v>1</v>
      </c>
      <c r="D33" s="16" t="s">
        <v>1</v>
      </c>
      <c r="E33" s="16" t="s">
        <v>1</v>
      </c>
      <c r="F33" s="20">
        <v>145.63097400000001</v>
      </c>
      <c r="G33" s="29">
        <v>0.10264755242003423</v>
      </c>
    </row>
    <row r="34" spans="1:7" x14ac:dyDescent="0.15">
      <c r="A34" s="57"/>
      <c r="B34" s="98"/>
      <c r="C34" s="52"/>
      <c r="D34" s="52"/>
      <c r="E34" s="52"/>
      <c r="F34" s="53"/>
      <c r="G34" s="99"/>
    </row>
    <row r="35" spans="1:7" x14ac:dyDescent="0.15">
      <c r="A35" s="57"/>
      <c r="B35" s="21" t="s">
        <v>189</v>
      </c>
      <c r="C35" s="52"/>
      <c r="D35" s="52"/>
      <c r="E35" s="52"/>
      <c r="F35" s="53"/>
      <c r="G35" s="99"/>
    </row>
    <row r="36" spans="1:7" ht="12" thickBot="1" x14ac:dyDescent="0.2">
      <c r="A36" s="57"/>
      <c r="B36" s="44" t="s">
        <v>35</v>
      </c>
      <c r="C36" s="45" t="s">
        <v>1</v>
      </c>
      <c r="D36" s="45" t="s">
        <v>1</v>
      </c>
      <c r="E36" s="45" t="s">
        <v>1</v>
      </c>
      <c r="F36" s="46">
        <v>-0.34613690000000003</v>
      </c>
      <c r="G36" s="47">
        <v>-2.4397354911090651E-4</v>
      </c>
    </row>
    <row r="37" spans="1:7" ht="12.75" thickTop="1" thickBot="1" x14ac:dyDescent="0.2">
      <c r="A37" s="57"/>
      <c r="B37" s="40" t="s">
        <v>36</v>
      </c>
      <c r="C37" s="41" t="s">
        <v>1</v>
      </c>
      <c r="D37" s="41" t="s">
        <v>1</v>
      </c>
      <c r="E37" s="41" t="s">
        <v>1</v>
      </c>
      <c r="F37" s="42">
        <v>1418.7476521999999</v>
      </c>
      <c r="G37" s="43">
        <v>1</v>
      </c>
    </row>
    <row r="38" spans="1:7" x14ac:dyDescent="0.15">
      <c r="A38" s="57"/>
      <c r="B38" s="7" t="s">
        <v>1</v>
      </c>
      <c r="C38" s="57"/>
      <c r="D38" s="57"/>
      <c r="E38" s="57"/>
      <c r="F38" s="88"/>
      <c r="G38" s="89"/>
    </row>
    <row r="39" spans="1:7" x14ac:dyDescent="0.15">
      <c r="A39" s="57"/>
      <c r="B39" s="2" t="s">
        <v>34</v>
      </c>
      <c r="C39" s="57"/>
      <c r="D39" s="57"/>
      <c r="E39" s="57"/>
      <c r="F39" s="88"/>
      <c r="G39" s="89"/>
    </row>
    <row r="40" spans="1:7" x14ac:dyDescent="0.15">
      <c r="A40" s="57"/>
      <c r="B40" s="2" t="s">
        <v>37</v>
      </c>
      <c r="C40" s="57"/>
      <c r="D40" s="57"/>
      <c r="E40" s="57"/>
      <c r="F40" s="88"/>
      <c r="G40" s="89"/>
    </row>
    <row r="41" spans="1:7" x14ac:dyDescent="0.15">
      <c r="A41" s="57"/>
      <c r="B41" s="2" t="s">
        <v>38</v>
      </c>
      <c r="C41" s="57"/>
      <c r="D41" s="57"/>
      <c r="E41" s="57"/>
      <c r="F41" s="88"/>
      <c r="G41" s="89"/>
    </row>
    <row r="42" spans="1:7" ht="12" thickBot="1" x14ac:dyDescent="0.2">
      <c r="A42" s="57"/>
      <c r="B42" s="2" t="s">
        <v>1</v>
      </c>
      <c r="C42" s="57"/>
      <c r="D42" s="57"/>
      <c r="E42" s="57"/>
      <c r="F42" s="88"/>
      <c r="G42" s="89"/>
    </row>
    <row r="43" spans="1:7" ht="12" thickBot="1" x14ac:dyDescent="0.2">
      <c r="A43" s="57"/>
      <c r="B43" s="94" t="s">
        <v>371</v>
      </c>
      <c r="C43" s="95">
        <v>228.33</v>
      </c>
      <c r="D43" s="57"/>
      <c r="E43" s="57"/>
      <c r="F43" s="88"/>
      <c r="G43" s="89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showGridLines="0" zoomScaleNormal="100" workbookViewId="0">
      <selection activeCell="B40" sqref="B40"/>
    </sheetView>
  </sheetViews>
  <sheetFormatPr defaultRowHeight="11.25" x14ac:dyDescent="0.15"/>
  <cols>
    <col min="1" max="1" width="11.42578125" style="90" bestFit="1" customWidth="1"/>
    <col min="2" max="2" width="54" style="90" customWidth="1"/>
    <col min="3" max="5" width="19.42578125" style="90" customWidth="1"/>
    <col min="6" max="6" width="19.42578125" style="91" customWidth="1"/>
    <col min="7" max="7" width="19.42578125" style="92" customWidth="1"/>
    <col min="8" max="16384" width="9.140625" style="90"/>
  </cols>
  <sheetData>
    <row r="1" spans="1:7" ht="18" x14ac:dyDescent="0.15">
      <c r="A1" s="57"/>
      <c r="B1" s="112" t="s">
        <v>374</v>
      </c>
      <c r="C1" s="113"/>
      <c r="D1" s="113"/>
      <c r="E1" s="113"/>
      <c r="F1" s="113"/>
      <c r="G1" s="114"/>
    </row>
    <row r="2" spans="1:7" ht="15.95" customHeight="1" thickBot="1" x14ac:dyDescent="0.2">
      <c r="A2" s="57"/>
      <c r="B2" s="103" t="s">
        <v>375</v>
      </c>
      <c r="C2" s="104"/>
      <c r="D2" s="104"/>
      <c r="E2" s="104"/>
      <c r="F2" s="104"/>
      <c r="G2" s="105"/>
    </row>
    <row r="3" spans="1:7" ht="12.95" customHeight="1" x14ac:dyDescent="0.15">
      <c r="A3" s="57"/>
      <c r="B3" s="6" t="s">
        <v>1</v>
      </c>
      <c r="C3" s="57"/>
      <c r="D3" s="57"/>
      <c r="E3" s="57"/>
      <c r="F3" s="88"/>
      <c r="G3" s="89"/>
    </row>
    <row r="4" spans="1:7" ht="12.95" customHeight="1" thickBot="1" x14ac:dyDescent="0.2">
      <c r="A4" s="7"/>
      <c r="B4" s="2" t="s">
        <v>2</v>
      </c>
      <c r="C4" s="57"/>
      <c r="D4" s="57"/>
      <c r="E4" s="57"/>
      <c r="F4" s="88"/>
      <c r="G4" s="89"/>
    </row>
    <row r="5" spans="1:7" ht="27.95" customHeight="1" thickBot="1" x14ac:dyDescent="0.2">
      <c r="A5" s="57"/>
      <c r="B5" s="35" t="s">
        <v>3</v>
      </c>
      <c r="C5" s="36" t="s">
        <v>4</v>
      </c>
      <c r="D5" s="37" t="s">
        <v>5</v>
      </c>
      <c r="E5" s="37" t="s">
        <v>6</v>
      </c>
      <c r="F5" s="38" t="s">
        <v>7</v>
      </c>
      <c r="G5" s="39" t="s">
        <v>8</v>
      </c>
    </row>
    <row r="6" spans="1:7" ht="12.95" customHeight="1" x14ac:dyDescent="0.15">
      <c r="A6" s="57"/>
      <c r="B6" s="72" t="s">
        <v>351</v>
      </c>
      <c r="C6" s="93"/>
      <c r="D6" s="69"/>
      <c r="E6" s="69"/>
      <c r="F6" s="70"/>
      <c r="G6" s="71"/>
    </row>
    <row r="7" spans="1:7" ht="12.95" customHeight="1" x14ac:dyDescent="0.15">
      <c r="A7" s="57"/>
      <c r="B7" s="23" t="s">
        <v>352</v>
      </c>
      <c r="C7" s="12"/>
      <c r="D7" s="13"/>
      <c r="E7" s="81" t="s">
        <v>177</v>
      </c>
      <c r="F7" s="81" t="s">
        <v>177</v>
      </c>
      <c r="G7" s="82" t="s">
        <v>177</v>
      </c>
    </row>
    <row r="8" spans="1:7" ht="12.95" customHeight="1" x14ac:dyDescent="0.15">
      <c r="A8" s="9"/>
      <c r="B8" s="23" t="s">
        <v>176</v>
      </c>
      <c r="C8" s="12"/>
      <c r="D8" s="13"/>
      <c r="E8" s="81" t="s">
        <v>177</v>
      </c>
      <c r="F8" s="81" t="s">
        <v>177</v>
      </c>
      <c r="G8" s="82" t="s">
        <v>177</v>
      </c>
    </row>
    <row r="9" spans="1:7" ht="12.95" customHeight="1" x14ac:dyDescent="0.15">
      <c r="A9" s="57"/>
      <c r="B9" s="23"/>
      <c r="C9" s="12"/>
      <c r="D9" s="13"/>
      <c r="E9" s="79"/>
      <c r="F9" s="14"/>
      <c r="G9" s="83"/>
    </row>
    <row r="10" spans="1:7" ht="12.95" customHeight="1" x14ac:dyDescent="0.15">
      <c r="A10" s="57"/>
      <c r="B10" s="22" t="s">
        <v>353</v>
      </c>
      <c r="C10" s="12"/>
      <c r="D10" s="13"/>
      <c r="E10" s="79"/>
      <c r="F10" s="14"/>
      <c r="G10" s="83"/>
    </row>
    <row r="11" spans="1:7" ht="12.95" customHeight="1" x14ac:dyDescent="0.15">
      <c r="A11" s="57"/>
      <c r="B11" s="23" t="s">
        <v>354</v>
      </c>
      <c r="C11" s="12"/>
      <c r="D11" s="13"/>
      <c r="E11" s="81" t="s">
        <v>177</v>
      </c>
      <c r="F11" s="81" t="s">
        <v>177</v>
      </c>
      <c r="G11" s="82" t="s">
        <v>177</v>
      </c>
    </row>
    <row r="12" spans="1:7" ht="12.95" customHeight="1" x14ac:dyDescent="0.15">
      <c r="A12" s="9"/>
      <c r="B12" s="23" t="s">
        <v>355</v>
      </c>
      <c r="C12" s="12"/>
      <c r="D12" s="13"/>
      <c r="E12" s="81" t="s">
        <v>177</v>
      </c>
      <c r="F12" s="81" t="s">
        <v>177</v>
      </c>
      <c r="G12" s="82" t="s">
        <v>177</v>
      </c>
    </row>
    <row r="13" spans="1:7" ht="12.95" customHeight="1" x14ac:dyDescent="0.15">
      <c r="A13" s="57"/>
      <c r="B13" s="23" t="s">
        <v>356</v>
      </c>
      <c r="C13" s="12"/>
      <c r="D13" s="13"/>
      <c r="E13" s="81" t="s">
        <v>177</v>
      </c>
      <c r="F13" s="81" t="s">
        <v>177</v>
      </c>
      <c r="G13" s="82" t="s">
        <v>177</v>
      </c>
    </row>
    <row r="14" spans="1:7" ht="12.95" customHeight="1" x14ac:dyDescent="0.15">
      <c r="A14" s="57"/>
      <c r="B14" s="23"/>
      <c r="C14" s="12"/>
      <c r="D14" s="13"/>
      <c r="E14" s="13"/>
      <c r="F14" s="14"/>
      <c r="G14" s="64"/>
    </row>
    <row r="15" spans="1:7" ht="12.95" customHeight="1" x14ac:dyDescent="0.15">
      <c r="A15" s="57"/>
      <c r="B15" s="21" t="s">
        <v>9</v>
      </c>
      <c r="C15" s="16" t="s">
        <v>1</v>
      </c>
      <c r="D15" s="16" t="s">
        <v>1</v>
      </c>
      <c r="E15" s="16" t="s">
        <v>1</v>
      </c>
      <c r="F15" s="17" t="s">
        <v>1</v>
      </c>
      <c r="G15" s="26" t="s">
        <v>1</v>
      </c>
    </row>
    <row r="16" spans="1:7" ht="12.95" customHeight="1" x14ac:dyDescent="0.15">
      <c r="A16" s="57"/>
      <c r="B16" s="21" t="s">
        <v>10</v>
      </c>
      <c r="C16" s="16" t="s">
        <v>1</v>
      </c>
      <c r="D16" s="16" t="s">
        <v>1</v>
      </c>
      <c r="E16" s="16" t="s">
        <v>1</v>
      </c>
      <c r="F16" s="17" t="s">
        <v>1</v>
      </c>
      <c r="G16" s="26" t="s">
        <v>1</v>
      </c>
    </row>
    <row r="17" spans="1:7" ht="12.95" customHeight="1" x14ac:dyDescent="0.15">
      <c r="A17" s="9"/>
      <c r="B17" s="27" t="s">
        <v>179</v>
      </c>
      <c r="C17" s="16" t="s">
        <v>180</v>
      </c>
      <c r="D17" s="16" t="s">
        <v>18</v>
      </c>
      <c r="E17" s="18">
        <v>610000</v>
      </c>
      <c r="F17" s="19">
        <v>572.43925000000002</v>
      </c>
      <c r="G17" s="28">
        <v>0.27612828833104125</v>
      </c>
    </row>
    <row r="18" spans="1:7" ht="12.95" customHeight="1" x14ac:dyDescent="0.15">
      <c r="A18" s="9"/>
      <c r="B18" s="27" t="s">
        <v>181</v>
      </c>
      <c r="C18" s="16" t="s">
        <v>182</v>
      </c>
      <c r="D18" s="16" t="s">
        <v>183</v>
      </c>
      <c r="E18" s="18">
        <v>600000</v>
      </c>
      <c r="F18" s="19">
        <v>562.74540000000002</v>
      </c>
      <c r="G18" s="28">
        <v>0.27145225291271891</v>
      </c>
    </row>
    <row r="19" spans="1:7" ht="12.95" customHeight="1" x14ac:dyDescent="0.15">
      <c r="A19" s="9"/>
      <c r="B19" s="27" t="s">
        <v>184</v>
      </c>
      <c r="C19" s="16" t="s">
        <v>185</v>
      </c>
      <c r="D19" s="16" t="s">
        <v>18</v>
      </c>
      <c r="E19" s="18">
        <v>500000</v>
      </c>
      <c r="F19" s="19">
        <v>469.71249999999998</v>
      </c>
      <c r="G19" s="28">
        <v>0.22657584823663682</v>
      </c>
    </row>
    <row r="20" spans="1:7" ht="12.95" customHeight="1" x14ac:dyDescent="0.15">
      <c r="A20" s="57"/>
      <c r="B20" s="21" t="s">
        <v>30</v>
      </c>
      <c r="C20" s="16" t="s">
        <v>1</v>
      </c>
      <c r="D20" s="16" t="s">
        <v>1</v>
      </c>
      <c r="E20" s="16" t="s">
        <v>1</v>
      </c>
      <c r="F20" s="20">
        <v>1604.89715</v>
      </c>
      <c r="G20" s="29">
        <v>0.774156389480397</v>
      </c>
    </row>
    <row r="21" spans="1:7" ht="12.95" customHeight="1" x14ac:dyDescent="0.15">
      <c r="A21" s="57"/>
      <c r="B21" s="21"/>
      <c r="C21" s="16"/>
      <c r="D21" s="16"/>
      <c r="E21" s="16"/>
      <c r="F21" s="20"/>
      <c r="G21" s="29"/>
    </row>
    <row r="22" spans="1:7" ht="12.95" customHeight="1" x14ac:dyDescent="0.15">
      <c r="A22" s="57"/>
      <c r="B22" s="21" t="s">
        <v>186</v>
      </c>
      <c r="C22" s="16" t="s">
        <v>1</v>
      </c>
      <c r="D22" s="16" t="s">
        <v>1</v>
      </c>
      <c r="E22" s="16" t="s">
        <v>1</v>
      </c>
      <c r="F22" s="17" t="s">
        <v>1</v>
      </c>
      <c r="G22" s="26" t="s">
        <v>1</v>
      </c>
    </row>
    <row r="23" spans="1:7" ht="12.95" customHeight="1" x14ac:dyDescent="0.15">
      <c r="A23" s="9"/>
      <c r="B23" s="27" t="s">
        <v>187</v>
      </c>
      <c r="C23" s="16" t="s">
        <v>188</v>
      </c>
      <c r="D23" s="16" t="s">
        <v>18</v>
      </c>
      <c r="E23" s="18">
        <v>500000</v>
      </c>
      <c r="F23" s="19">
        <v>467.95949999999999</v>
      </c>
      <c r="G23" s="28">
        <v>0.22573025127688204</v>
      </c>
    </row>
    <row r="24" spans="1:7" ht="12.95" customHeight="1" x14ac:dyDescent="0.15">
      <c r="A24" s="57"/>
      <c r="B24" s="21" t="s">
        <v>30</v>
      </c>
      <c r="C24" s="16" t="s">
        <v>1</v>
      </c>
      <c r="D24" s="16" t="s">
        <v>1</v>
      </c>
      <c r="E24" s="16" t="s">
        <v>1</v>
      </c>
      <c r="F24" s="20">
        <v>467.95949999999999</v>
      </c>
      <c r="G24" s="29">
        <v>0.22573025127688204</v>
      </c>
    </row>
    <row r="25" spans="1:7" ht="12.95" customHeight="1" x14ac:dyDescent="0.15">
      <c r="A25" s="57"/>
      <c r="B25" s="21" t="s">
        <v>31</v>
      </c>
      <c r="C25" s="16" t="s">
        <v>1</v>
      </c>
      <c r="D25" s="16" t="s">
        <v>1</v>
      </c>
      <c r="E25" s="16" t="s">
        <v>1</v>
      </c>
      <c r="F25" s="20">
        <v>2072.8566500000002</v>
      </c>
      <c r="G25" s="29">
        <v>0.99988664075727895</v>
      </c>
    </row>
    <row r="26" spans="1:7" ht="12.95" customHeight="1" x14ac:dyDescent="0.15">
      <c r="A26" s="57"/>
      <c r="B26" s="21"/>
      <c r="C26" s="16" t="s">
        <v>1</v>
      </c>
      <c r="D26" s="16" t="s">
        <v>1</v>
      </c>
      <c r="E26" s="16" t="s">
        <v>1</v>
      </c>
      <c r="F26" s="17" t="s">
        <v>1</v>
      </c>
      <c r="G26" s="26" t="s">
        <v>1</v>
      </c>
    </row>
    <row r="27" spans="1:7" ht="12.95" customHeight="1" x14ac:dyDescent="0.15">
      <c r="A27" s="57"/>
      <c r="B27" s="21" t="s">
        <v>190</v>
      </c>
      <c r="C27" s="16" t="s">
        <v>1</v>
      </c>
      <c r="D27" s="16" t="s">
        <v>1</v>
      </c>
      <c r="E27" s="16" t="s">
        <v>1</v>
      </c>
      <c r="F27" s="17" t="s">
        <v>1</v>
      </c>
      <c r="G27" s="26" t="s">
        <v>1</v>
      </c>
    </row>
    <row r="28" spans="1:7" ht="12.95" customHeight="1" x14ac:dyDescent="0.15">
      <c r="A28" s="9"/>
      <c r="B28" s="27" t="s">
        <v>191</v>
      </c>
      <c r="C28" s="16" t="s">
        <v>192</v>
      </c>
      <c r="D28" s="16" t="s">
        <v>1</v>
      </c>
      <c r="E28" s="18">
        <v>21.183677100000001</v>
      </c>
      <c r="F28" s="19">
        <v>0.29305940000000003</v>
      </c>
      <c r="G28" s="28">
        <v>1.413634556004361E-4</v>
      </c>
    </row>
    <row r="29" spans="1:7" ht="12.95" customHeight="1" x14ac:dyDescent="0.15">
      <c r="A29" s="57"/>
      <c r="B29" s="21" t="s">
        <v>30</v>
      </c>
      <c r="C29" s="16" t="s">
        <v>1</v>
      </c>
      <c r="D29" s="16" t="s">
        <v>1</v>
      </c>
      <c r="E29" s="16" t="s">
        <v>1</v>
      </c>
      <c r="F29" s="20">
        <v>0.29305940000000003</v>
      </c>
      <c r="G29" s="29">
        <v>1.413634556004361E-4</v>
      </c>
    </row>
    <row r="30" spans="1:7" ht="12.95" customHeight="1" x14ac:dyDescent="0.15">
      <c r="A30" s="57"/>
      <c r="B30" s="21" t="s">
        <v>31</v>
      </c>
      <c r="C30" s="16" t="s">
        <v>1</v>
      </c>
      <c r="D30" s="16" t="s">
        <v>1</v>
      </c>
      <c r="E30" s="16" t="s">
        <v>1</v>
      </c>
      <c r="F30" s="20">
        <v>0.29305940000000003</v>
      </c>
      <c r="G30" s="29">
        <v>1.413634556004361E-4</v>
      </c>
    </row>
    <row r="31" spans="1:7" ht="12.95" customHeight="1" x14ac:dyDescent="0.15">
      <c r="A31" s="57"/>
      <c r="B31" s="21"/>
      <c r="C31" s="16"/>
      <c r="D31" s="16"/>
      <c r="E31" s="16"/>
      <c r="F31" s="20"/>
      <c r="G31" s="29"/>
    </row>
    <row r="32" spans="1:7" ht="12.95" customHeight="1" x14ac:dyDescent="0.15">
      <c r="A32" s="57"/>
      <c r="B32" s="21" t="s">
        <v>189</v>
      </c>
      <c r="C32" s="16"/>
      <c r="D32" s="16"/>
      <c r="E32" s="16"/>
      <c r="F32" s="20"/>
      <c r="G32" s="29"/>
    </row>
    <row r="33" spans="1:7" ht="12.95" customHeight="1" thickBot="1" x14ac:dyDescent="0.2">
      <c r="A33" s="57"/>
      <c r="B33" s="44" t="s">
        <v>35</v>
      </c>
      <c r="C33" s="45" t="s">
        <v>1</v>
      </c>
      <c r="D33" s="45" t="s">
        <v>1</v>
      </c>
      <c r="E33" s="45" t="s">
        <v>1</v>
      </c>
      <c r="F33" s="46">
        <v>-5.8055299999999997E-2</v>
      </c>
      <c r="G33" s="47">
        <v>-2.8004212879436723E-5</v>
      </c>
    </row>
    <row r="34" spans="1:7" ht="12.95" customHeight="1" thickTop="1" thickBot="1" x14ac:dyDescent="0.2">
      <c r="A34" s="57"/>
      <c r="B34" s="40" t="s">
        <v>36</v>
      </c>
      <c r="C34" s="41" t="s">
        <v>1</v>
      </c>
      <c r="D34" s="41" t="s">
        <v>1</v>
      </c>
      <c r="E34" s="41" t="s">
        <v>1</v>
      </c>
      <c r="F34" s="42">
        <v>2073.0916541000001</v>
      </c>
      <c r="G34" s="43">
        <v>1</v>
      </c>
    </row>
    <row r="35" spans="1:7" ht="12.95" customHeight="1" x14ac:dyDescent="0.15">
      <c r="A35" s="57"/>
      <c r="B35" s="7" t="s">
        <v>1</v>
      </c>
      <c r="C35" s="57"/>
      <c r="D35" s="57"/>
      <c r="E35" s="57"/>
      <c r="F35" s="88"/>
      <c r="G35" s="89"/>
    </row>
    <row r="36" spans="1:7" ht="12.95" customHeight="1" x14ac:dyDescent="0.15">
      <c r="A36" s="57"/>
      <c r="B36" s="2" t="s">
        <v>34</v>
      </c>
      <c r="C36" s="57"/>
      <c r="D36" s="57"/>
      <c r="E36" s="57"/>
      <c r="F36" s="88"/>
      <c r="G36" s="89"/>
    </row>
    <row r="37" spans="1:7" ht="12.95" customHeight="1" x14ac:dyDescent="0.15">
      <c r="A37" s="57"/>
      <c r="B37" s="2" t="s">
        <v>37</v>
      </c>
      <c r="C37" s="57"/>
      <c r="D37" s="57"/>
      <c r="E37" s="57"/>
      <c r="F37" s="88"/>
      <c r="G37" s="89"/>
    </row>
    <row r="38" spans="1:7" ht="12.95" customHeight="1" x14ac:dyDescent="0.15">
      <c r="A38" s="57"/>
      <c r="B38" s="2" t="s">
        <v>38</v>
      </c>
      <c r="C38" s="57"/>
      <c r="D38" s="57"/>
      <c r="E38" s="57"/>
      <c r="F38" s="88"/>
      <c r="G38" s="89"/>
    </row>
    <row r="39" spans="1:7" ht="12.95" customHeight="1" thickBot="1" x14ac:dyDescent="0.2">
      <c r="A39" s="57"/>
      <c r="B39" s="2" t="s">
        <v>1</v>
      </c>
      <c r="C39" s="57"/>
      <c r="D39" s="57"/>
      <c r="E39" s="57"/>
      <c r="F39" s="88"/>
      <c r="G39" s="89"/>
    </row>
    <row r="40" spans="1:7" ht="12.95" customHeight="1" thickBot="1" x14ac:dyDescent="0.2">
      <c r="A40" s="57"/>
      <c r="B40" s="94" t="s">
        <v>371</v>
      </c>
      <c r="C40" s="95">
        <v>268.3</v>
      </c>
      <c r="D40" s="57"/>
      <c r="E40" s="57"/>
      <c r="F40" s="88"/>
      <c r="G40" s="89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MIIOF</vt:lpstr>
      <vt:lpstr>MAEBF</vt:lpstr>
      <vt:lpstr>MICCF</vt:lpstr>
      <vt:lpstr>MICHF</vt:lpstr>
      <vt:lpstr>MIGCS</vt:lpstr>
      <vt:lpstr>MACMF</vt:lpstr>
      <vt:lpstr>MILPF</vt:lpstr>
      <vt:lpstr>MISTB</vt:lpstr>
      <vt:lpstr>MAFM368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Anshul-a Jain</dc:creator>
  <cp:lastModifiedBy>Sachin Shardul</cp:lastModifiedBy>
  <dcterms:created xsi:type="dcterms:W3CDTF">2014-06-03T09:10:52Z</dcterms:created>
  <dcterms:modified xsi:type="dcterms:W3CDTF">2014-06-06T12:09:16Z</dcterms:modified>
</cp:coreProperties>
</file>