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codeName="ThisWorkbook" defaultThemeVersion="166925"/>
  <mc:AlternateContent xmlns:mc="http://schemas.openxmlformats.org/markup-compatibility/2006">
    <mc:Choice Requires="x15">
      <x15ac:absPath xmlns:x15ac="http://schemas.microsoft.com/office/spreadsheetml/2010/11/ac" url="C:\Users\trainee.product\Desktop\Monthly Portfolio Fintune done\"/>
    </mc:Choice>
  </mc:AlternateContent>
  <xr:revisionPtr revIDLastSave="0" documentId="8_{66F1D24C-3963-470D-9C01-F5B32E65D087}" xr6:coauthVersionLast="36" xr6:coauthVersionMax="36" xr10:uidLastSave="{00000000-0000-0000-0000-000000000000}"/>
  <bookViews>
    <workbookView xWindow="0" yWindow="0" windowWidth="20490" windowHeight="7125" xr2:uid="{3A0D3C9C-497A-4982-A187-78540DD243B4}"/>
  </bookViews>
  <sheets>
    <sheet name="MAETF" sheetId="1" r:id="rId1"/>
  </sheets>
  <externalReferences>
    <externalReference r:id="rId2"/>
  </externalReferences>
  <definedNames>
    <definedName name="JR_PAGE_ANCHOR_0_16">MAETF!$A$1</definedName>
    <definedName name="JR_PAGE_ANCHOR_0_52">#REF!</definedName>
    <definedName name="JR_PAGE_ANCHOR_0_60">#REF!</definedName>
    <definedName name="JR_PAGE_ANCHOR_0_61">#REF!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0" i="1" l="1"/>
</calcChain>
</file>

<file path=xl/sharedStrings.xml><?xml version="1.0" encoding="utf-8"?>
<sst xmlns="http://schemas.openxmlformats.org/spreadsheetml/2006/main" count="310" uniqueCount="262">
  <si>
    <t>Mirae Asset Nifty 100 ESG Sector Leaders ETF (MAESGETF)</t>
  </si>
  <si>
    <t>(An open ended scheme replicating/tracking Nifty100 ESG Sector Leaders Total Return Index)</t>
  </si>
  <si>
    <r>
      <t xml:space="preserve">NSE Symbol: </t>
    </r>
    <r>
      <rPr>
        <sz val="10"/>
        <color rgb="FF000000"/>
        <rFont val="Arial"/>
        <family val="2"/>
      </rPr>
      <t>ESG</t>
    </r>
    <r>
      <rPr>
        <b/>
        <sz val="10"/>
        <color rgb="FF000000"/>
        <rFont val="Arial"/>
        <family val="2"/>
      </rPr>
      <t xml:space="preserve">  BSE Scrip Code: </t>
    </r>
    <r>
      <rPr>
        <sz val="10"/>
        <color rgb="FF000000"/>
        <rFont val="Arial"/>
        <family val="2"/>
      </rPr>
      <t>543246</t>
    </r>
  </si>
  <si>
    <t>Mirae Asset Nifty 100 ESG Sector Leaders ETF</t>
  </si>
  <si>
    <t>Monthly Portfolio Statement as on September 30,2024</t>
  </si>
  <si>
    <t>Name of the Instrument</t>
  </si>
  <si>
    <t>ISIN</t>
  </si>
  <si>
    <t>Industry</t>
  </si>
  <si>
    <t>Quantity</t>
  </si>
  <si>
    <t>Market/Fair Value(Rs. in Lacs)</t>
  </si>
  <si>
    <t>% to Net Assets</t>
  </si>
  <si>
    <t>YTM</t>
  </si>
  <si>
    <t>ESG Score*</t>
  </si>
  <si>
    <t>Equity &amp; Equity related</t>
  </si>
  <si>
    <t>(a) Listed / awaiting listing on Stock Exchanges</t>
  </si>
  <si>
    <t>HDFB03</t>
  </si>
  <si>
    <t>HDFC Bank Limited</t>
  </si>
  <si>
    <t>INE040A01034</t>
  </si>
  <si>
    <t>Banks</t>
  </si>
  <si>
    <t>RIND01</t>
  </si>
  <si>
    <t>Reliance Industries Limited</t>
  </si>
  <si>
    <t>INE002A01018</t>
  </si>
  <si>
    <t>Petroleum Products</t>
  </si>
  <si>
    <t>IBCL05</t>
  </si>
  <si>
    <t>ICICI Bank Limited</t>
  </si>
  <si>
    <t>INE090A01021</t>
  </si>
  <si>
    <t>INFS02</t>
  </si>
  <si>
    <t>Infosys Limited</t>
  </si>
  <si>
    <t>INE009A01021</t>
  </si>
  <si>
    <t>IT - Software</t>
  </si>
  <si>
    <t>BTVL02</t>
  </si>
  <si>
    <t>Bharti Airtel Limited</t>
  </si>
  <si>
    <t>INE397D01024</t>
  </si>
  <si>
    <t>Telecom - Services</t>
  </si>
  <si>
    <t>TCSL01</t>
  </si>
  <si>
    <t>Tata Consultancy Services Limited</t>
  </si>
  <si>
    <t>INE467B01029</t>
  </si>
  <si>
    <t>LARS02</t>
  </si>
  <si>
    <t>Larsen &amp; Toubro Limited</t>
  </si>
  <si>
    <t>INE018A01030</t>
  </si>
  <si>
    <t>Construction</t>
  </si>
  <si>
    <t>UTIB02</t>
  </si>
  <si>
    <t>Axis Bank Limited</t>
  </si>
  <si>
    <t>INE238A01034</t>
  </si>
  <si>
    <t>MAHI02</t>
  </si>
  <si>
    <t>Mahindra &amp; Mahindra Limited</t>
  </si>
  <si>
    <t>INE101A01026</t>
  </si>
  <si>
    <t>Automobiles</t>
  </si>
  <si>
    <t>HLEL02</t>
  </si>
  <si>
    <t>Hindustan Unilever Limited</t>
  </si>
  <si>
    <t>INE030A01027</t>
  </si>
  <si>
    <t>Diversified FMCG</t>
  </si>
  <si>
    <t>BAFL02</t>
  </si>
  <si>
    <t>Bajaj Finance Limited</t>
  </si>
  <si>
    <t>INE296A01024</t>
  </si>
  <si>
    <t>Finance</t>
  </si>
  <si>
    <t>NTPC01</t>
  </si>
  <si>
    <t>NTPC Limited</t>
  </si>
  <si>
    <t>INE733E01010</t>
  </si>
  <si>
    <t>Power</t>
  </si>
  <si>
    <t>SPIL03</t>
  </si>
  <si>
    <t>Sun Pharmaceutical Industries Limited</t>
  </si>
  <si>
    <t>INE044A01036</t>
  </si>
  <si>
    <t>Pharmaceuticals &amp; Biotechnology</t>
  </si>
  <si>
    <t>HCLT02</t>
  </si>
  <si>
    <t>HCL Technologies Limited</t>
  </si>
  <si>
    <t>INE860A01027</t>
  </si>
  <si>
    <t>MAUD01</t>
  </si>
  <si>
    <t>Maruti Suzuki India Limited</t>
  </si>
  <si>
    <t>INE585B01010</t>
  </si>
  <si>
    <t>TELC03</t>
  </si>
  <si>
    <t>Tata Motors Limited</t>
  </si>
  <si>
    <t>INE155A01022</t>
  </si>
  <si>
    <t>ZMPL01</t>
  </si>
  <si>
    <t>Zomato Limited</t>
  </si>
  <si>
    <t>INE758T01015</t>
  </si>
  <si>
    <t>Retailing</t>
  </si>
  <si>
    <t>LAKM02</t>
  </si>
  <si>
    <t>Trent Limited</t>
  </si>
  <si>
    <t>INE849A01020</t>
  </si>
  <si>
    <t>TWAT02</t>
  </si>
  <si>
    <t>Titan Company Limited</t>
  </si>
  <si>
    <t>INE280A01028</t>
  </si>
  <si>
    <t>Consumer Durables</t>
  </si>
  <si>
    <t>ASPA02</t>
  </si>
  <si>
    <t>Asian Paints Limited</t>
  </si>
  <si>
    <t>INE021A01026</t>
  </si>
  <si>
    <t>TISC03</t>
  </si>
  <si>
    <t>Tata Steel Limited</t>
  </si>
  <si>
    <t>INE081A01020</t>
  </si>
  <si>
    <t>Ferrous Metals</t>
  </si>
  <si>
    <t>ULCC01</t>
  </si>
  <si>
    <t>UltraTech Cement Limited</t>
  </si>
  <si>
    <t>INE481G01011</t>
  </si>
  <si>
    <t>Cement &amp; Cement Products</t>
  </si>
  <si>
    <t>BFSL02</t>
  </si>
  <si>
    <t>Bajaj Finserv Limited</t>
  </si>
  <si>
    <t>INE918I01026</t>
  </si>
  <si>
    <t>MUND02</t>
  </si>
  <si>
    <t>Adani Ports and Special Economic Zone Limited</t>
  </si>
  <si>
    <t>INE742F01042</t>
  </si>
  <si>
    <t>Transport Infrastructure</t>
  </si>
  <si>
    <t>GRAS02</t>
  </si>
  <si>
    <t>Grasim Industries Limited</t>
  </si>
  <si>
    <t>INE047A01021</t>
  </si>
  <si>
    <t>TEMA02</t>
  </si>
  <si>
    <t>Tech Mahindra Limited</t>
  </si>
  <si>
    <t>INE669C01036</t>
  </si>
  <si>
    <t>SHTR01</t>
  </si>
  <si>
    <t>Shriram Finance Limited</t>
  </si>
  <si>
    <t>INE721A01013</t>
  </si>
  <si>
    <t>JVSL04</t>
  </si>
  <si>
    <t>JSW Steel Limited</t>
  </si>
  <si>
    <t>INE019A01038</t>
  </si>
  <si>
    <t>NEST02</t>
  </si>
  <si>
    <t>Nestle India Limited</t>
  </si>
  <si>
    <t>INE239A01024</t>
  </si>
  <si>
    <t>Food Products</t>
  </si>
  <si>
    <t>IIBL01</t>
  </si>
  <si>
    <t>IndusInd Bank Limited</t>
  </si>
  <si>
    <t>INE095A01012</t>
  </si>
  <si>
    <t>CIPL03</t>
  </si>
  <si>
    <t>Cipla Limited</t>
  </si>
  <si>
    <t>INE059A01026</t>
  </si>
  <si>
    <t>ADAN02</t>
  </si>
  <si>
    <t>Adani Enterprises Limited</t>
  </si>
  <si>
    <t>INE423A01024</t>
  </si>
  <si>
    <t>Metals &amp; Minerals Trading</t>
  </si>
  <si>
    <t>DRRL02</t>
  </si>
  <si>
    <t>Dr. Reddy's Laboratories Limited</t>
  </si>
  <si>
    <t>INE089A01023</t>
  </si>
  <si>
    <t>TPOW02</t>
  </si>
  <si>
    <t>Tata Power Company Limited</t>
  </si>
  <si>
    <t>INE245A01021</t>
  </si>
  <si>
    <t>INAV01</t>
  </si>
  <si>
    <t>InterGlobe Aviation Limited</t>
  </si>
  <si>
    <t>INE646L01027</t>
  </si>
  <si>
    <t>Transport Services</t>
  </si>
  <si>
    <t>TTEA02</t>
  </si>
  <si>
    <t>Tata Consumer Products Limited</t>
  </si>
  <si>
    <t>INE192A01025</t>
  </si>
  <si>
    <t>Agricultural Food &amp; other Products</t>
  </si>
  <si>
    <t>WIPR02</t>
  </si>
  <si>
    <t>Wipro Limited</t>
  </si>
  <si>
    <t>INE075A01022</t>
  </si>
  <si>
    <t>HDLI01</t>
  </si>
  <si>
    <t>HDFC Life Insurance Company Limited</t>
  </si>
  <si>
    <t>INE795G01014</t>
  </si>
  <si>
    <t>Insurance</t>
  </si>
  <si>
    <t>HERO02</t>
  </si>
  <si>
    <t>Hero MotoCorp Limited</t>
  </si>
  <si>
    <t>INE158A01026</t>
  </si>
  <si>
    <t>APOL02</t>
  </si>
  <si>
    <t>Apollo Hospitals Enterprise Limited</t>
  </si>
  <si>
    <t>INE437A01024</t>
  </si>
  <si>
    <t>Healthcare Services</t>
  </si>
  <si>
    <t>DIVI02</t>
  </si>
  <si>
    <t>Divi's Laboratories Limited</t>
  </si>
  <si>
    <t>INE361B01024</t>
  </si>
  <si>
    <t>AGEL01</t>
  </si>
  <si>
    <t>Adani Green Energy Limited</t>
  </si>
  <si>
    <t>INE364U01010</t>
  </si>
  <si>
    <t>EIML02</t>
  </si>
  <si>
    <t>Eicher Motors Limited</t>
  </si>
  <si>
    <t>INE066A01021</t>
  </si>
  <si>
    <t>RELC01</t>
  </si>
  <si>
    <t>REC Limited</t>
  </si>
  <si>
    <t>INE020B01018</t>
  </si>
  <si>
    <t>CHOL02</t>
  </si>
  <si>
    <t>Cholamandalam Investment and Finance Company Ltd</t>
  </si>
  <si>
    <t>INE121A01024</t>
  </si>
  <si>
    <t>IOIC01</t>
  </si>
  <si>
    <t>Indian Oil Corporation Limited</t>
  </si>
  <si>
    <t>INE242A01010</t>
  </si>
  <si>
    <t>SAEL02</t>
  </si>
  <si>
    <t>TVS Motor Company Limited</t>
  </si>
  <si>
    <t>INE494B01023</t>
  </si>
  <si>
    <t>GAIL01</t>
  </si>
  <si>
    <t>GAIL (India) Limited</t>
  </si>
  <si>
    <t>INE129A01019</t>
  </si>
  <si>
    <t>Gas</t>
  </si>
  <si>
    <t>SIEM02</t>
  </si>
  <si>
    <t>Siemens Limited</t>
  </si>
  <si>
    <t>INE003A01024</t>
  </si>
  <si>
    <t>Electrical Equipment</t>
  </si>
  <si>
    <t>IEIN01</t>
  </si>
  <si>
    <t>Info Edge (India) Limited</t>
  </si>
  <si>
    <t>INE663F01024</t>
  </si>
  <si>
    <t>ADAP01</t>
  </si>
  <si>
    <t>Adani Power Limited</t>
  </si>
  <si>
    <t>INE814H01011</t>
  </si>
  <si>
    <t>DLFL01</t>
  </si>
  <si>
    <t>DLF Limited</t>
  </si>
  <si>
    <t>INE271C01023</t>
  </si>
  <si>
    <t>Realty</t>
  </si>
  <si>
    <t>LTIL01</t>
  </si>
  <si>
    <t>LTIMindtree Limited</t>
  </si>
  <si>
    <t>INE214T01019</t>
  </si>
  <si>
    <t>GCPL02</t>
  </si>
  <si>
    <t>Godrej Consumer Products Limited</t>
  </si>
  <si>
    <t>INE102D01028</t>
  </si>
  <si>
    <t>Personal Products</t>
  </si>
  <si>
    <t>ILOM01</t>
  </si>
  <si>
    <t>ICICI Lombard General Insurance Company Limited</t>
  </si>
  <si>
    <t>INE765G01017</t>
  </si>
  <si>
    <t>PIDI02</t>
  </si>
  <si>
    <t>Pidilite Industries Limited</t>
  </si>
  <si>
    <t>INE318A01026</t>
  </si>
  <si>
    <t>Chemicals &amp; Petrochemicals</t>
  </si>
  <si>
    <t>COLG02</t>
  </si>
  <si>
    <t>Colgate Palmolive (India) Limited</t>
  </si>
  <si>
    <t>INE259A01022</t>
  </si>
  <si>
    <t>ASEA02</t>
  </si>
  <si>
    <t>ABB India Limited</t>
  </si>
  <si>
    <t>INE117A01022</t>
  </si>
  <si>
    <t>JSPL03</t>
  </si>
  <si>
    <t>Jindal Steel &amp; Power Limited</t>
  </si>
  <si>
    <t>INE749A01030</t>
  </si>
  <si>
    <t>DABU02</t>
  </si>
  <si>
    <t>Dabur India Limited</t>
  </si>
  <si>
    <t>INE016A01026</t>
  </si>
  <si>
    <t>MARC02</t>
  </si>
  <si>
    <t>Marico Limited</t>
  </si>
  <si>
    <t>INE196A01026</t>
  </si>
  <si>
    <t>MOTI02</t>
  </si>
  <si>
    <t>Bosch Limited</t>
  </si>
  <si>
    <t>INE323A01026</t>
  </si>
  <si>
    <t>Auto Components</t>
  </si>
  <si>
    <t>TOPH02</t>
  </si>
  <si>
    <t>Torrent Pharmaceuticals Limited</t>
  </si>
  <si>
    <t>INE685A01028</t>
  </si>
  <si>
    <t>ADTL01</t>
  </si>
  <si>
    <t>Adani Energy Solutions Limited</t>
  </si>
  <si>
    <t>INE931S01010</t>
  </si>
  <si>
    <t>IPLI01</t>
  </si>
  <si>
    <t>ICICI Prudential Life Insurance Company Limited</t>
  </si>
  <si>
    <t>INE726G01019</t>
  </si>
  <si>
    <t>IRCT02</t>
  </si>
  <si>
    <t>Indian Railway Catering And Tourism Corporation Limited</t>
  </si>
  <si>
    <t>INE335Y01020</t>
  </si>
  <si>
    <t>Leisure Services</t>
  </si>
  <si>
    <t>CHEL02</t>
  </si>
  <si>
    <t>Zydus Lifesciences Limited</t>
  </si>
  <si>
    <t>INE010B01027</t>
  </si>
  <si>
    <t>SBCP01</t>
  </si>
  <si>
    <t>SBI Cards and Payment Services Limited</t>
  </si>
  <si>
    <t>INE018E01016</t>
  </si>
  <si>
    <t>ADGL01</t>
  </si>
  <si>
    <t>Adani Total Gas Limited</t>
  </si>
  <si>
    <t>INE399L01023</t>
  </si>
  <si>
    <t>Sub Total</t>
  </si>
  <si>
    <t>Weighted Average Fund Score</t>
  </si>
  <si>
    <t>(b) Unlisted</t>
  </si>
  <si>
    <t>NIL</t>
  </si>
  <si>
    <t>Total</t>
  </si>
  <si>
    <t>TREPS / Reverse Repo</t>
  </si>
  <si>
    <t>TRP_011024</t>
  </si>
  <si>
    <t>TREPS</t>
  </si>
  <si>
    <t xml:space="preserve"> </t>
  </si>
  <si>
    <t>Net Receivables / (Payables)</t>
  </si>
  <si>
    <t>GRAND TOTAL</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</si>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</sst>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2">
    <font>
      <sz val="11"/>
      <color rgb="FF000000"/>
      <name val="Calibri"/>
      <scheme val="minor"/>
    </font>
    <font>
      <b/>
      <sz val="11"/>
      <color theme="1"/>
      <name val="Calibri"/>
      <family val="2"/>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b/>
      <sz val="10"/>
      <color rgb="FF000000"/>
      <name val="SansSerif"/>
    </font>
    <font>
      <sz val="10"/>
      <color rgb="FF000000"/>
      <name val="SansSerif"/>
    </font>
    <font>
      <sz val="9"/>
      <color rgb="FFFFFFFF"/>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FFFFFF"/>
      </bottom>
      <diagonal/>
    </border>
    <border>
      <left/>
      <right/>
      <top/>
      <bottom style="thin">
        <color rgb="FFFFFFFF"/>
      </bottom>
      <diagonal/>
    </border>
    <border>
      <left/>
      <right style="medium">
        <color rgb="FF000000"/>
      </right>
      <top/>
      <bottom style="thin">
        <color rgb="FFFFFFFF"/>
      </bottom>
      <diagonal/>
    </border>
    <border>
      <left style="medium">
        <color rgb="FF000000"/>
      </left>
      <right/>
      <top style="thin">
        <color rgb="FFFFFFFF"/>
      </top>
      <bottom style="medium">
        <color rgb="FF000000"/>
      </bottom>
      <diagonal/>
    </border>
    <border>
      <left/>
      <right/>
      <top style="thin">
        <color rgb="FFFFFFFF"/>
      </top>
      <bottom style="medium">
        <color rgb="FF000000"/>
      </bottom>
      <diagonal/>
    </border>
    <border>
      <left/>
      <right style="medium">
        <color rgb="FF000000"/>
      </right>
      <top style="thin">
        <color rgb="FFFFFFFF"/>
      </top>
      <bottom style="medium">
        <color rgb="FF000000"/>
      </bottom>
      <diagonal/>
    </border>
    <border>
      <left/>
      <right/>
      <top style="thin">
        <color rgb="FFFFFFFF"/>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indexed="64"/>
      </right>
      <top style="thin">
        <color indexed="64"/>
      </top>
      <bottom style="thin">
        <color indexed="64"/>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64">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Border="1" applyAlignment="1">
      <alignment horizontal="center" wrapText="1"/>
    </xf>
    <xf numFmtId="0" fontId="3" fillId="2" borderId="5" xfId="0" applyFont="1" applyFill="1" applyBorder="1" applyAlignment="1">
      <alignment horizontal="center" wrapText="1"/>
    </xf>
    <xf numFmtId="0" fontId="5" fillId="0" borderId="0" xfId="0" applyFont="1" applyAlignment="1">
      <alignment horizontal="left" vertical="top"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8" fillId="0" borderId="12" xfId="0" applyFont="1" applyBorder="1" applyAlignment="1">
      <alignment horizontal="left" vertical="center" wrapText="1"/>
    </xf>
    <xf numFmtId="0" fontId="4" fillId="0" borderId="12" xfId="0" applyFont="1" applyBorder="1" applyAlignment="1">
      <alignment wrapText="1"/>
    </xf>
    <xf numFmtId="4" fontId="4" fillId="0" borderId="12" xfId="0" applyNumberFormat="1" applyFont="1" applyBorder="1" applyAlignment="1">
      <alignment wrapText="1"/>
    </xf>
    <xf numFmtId="10" fontId="4" fillId="0" borderId="12" xfId="0" applyNumberFormat="1" applyFont="1" applyBorder="1" applyAlignment="1">
      <alignment wrapText="1"/>
    </xf>
    <xf numFmtId="9" fontId="4" fillId="0" borderId="0" xfId="0" applyNumberFormat="1" applyFont="1"/>
    <xf numFmtId="0" fontId="0" fillId="0" borderId="0" xfId="0" applyAlignment="1" applyProtection="1">
      <alignment wrapText="1"/>
      <protection locked="0"/>
    </xf>
    <xf numFmtId="0" fontId="8" fillId="0" borderId="0" xfId="0" applyFont="1" applyAlignment="1">
      <alignment horizontal="center" vertical="center" wrapText="1"/>
    </xf>
    <xf numFmtId="2" fontId="0" fillId="0" borderId="0" xfId="0" applyNumberFormat="1" applyAlignment="1" applyProtection="1">
      <alignment wrapText="1"/>
      <protection locked="0"/>
    </xf>
    <xf numFmtId="10" fontId="0" fillId="0" borderId="0" xfId="0" applyNumberFormat="1" applyAlignment="1" applyProtection="1">
      <alignment wrapText="1"/>
      <protection locked="0"/>
    </xf>
    <xf numFmtId="0" fontId="9" fillId="0" borderId="0" xfId="0" applyFont="1" applyAlignment="1">
      <alignment horizontal="left" vertical="top" wrapText="1"/>
    </xf>
    <xf numFmtId="0" fontId="8" fillId="0" borderId="13" xfId="0" applyFont="1" applyBorder="1" applyAlignment="1">
      <alignment horizontal="left" vertical="center" wrapText="1"/>
    </xf>
    <xf numFmtId="0" fontId="8" fillId="0" borderId="14" xfId="0" applyFont="1" applyBorder="1" applyAlignment="1">
      <alignment horizontal="left" vertical="center" wrapText="1"/>
    </xf>
    <xf numFmtId="0" fontId="8" fillId="0" borderId="14" xfId="0" applyFont="1" applyBorder="1" applyAlignment="1">
      <alignment horizontal="center" vertical="center" wrapText="1"/>
    </xf>
    <xf numFmtId="2" fontId="8" fillId="0" borderId="14" xfId="0" applyNumberFormat="1" applyFont="1" applyBorder="1" applyAlignment="1">
      <alignment horizontal="center" vertical="center" wrapText="1"/>
    </xf>
    <xf numFmtId="10" fontId="8" fillId="0" borderId="14" xfId="0" applyNumberFormat="1" applyFont="1" applyBorder="1" applyAlignment="1">
      <alignment horizontal="center" vertical="center" wrapText="1"/>
    </xf>
    <xf numFmtId="0" fontId="8" fillId="0" borderId="15" xfId="0" applyFont="1" applyBorder="1" applyAlignment="1">
      <alignment horizontal="center" vertical="center" wrapText="1"/>
    </xf>
    <xf numFmtId="2" fontId="8" fillId="0" borderId="16" xfId="0" applyNumberFormat="1" applyFont="1" applyBorder="1" applyAlignment="1">
      <alignment horizontal="center" vertical="center" wrapText="1"/>
    </xf>
    <xf numFmtId="0" fontId="8" fillId="0" borderId="17" xfId="0" applyFont="1" applyBorder="1" applyAlignment="1">
      <alignment horizontal="left" vertical="top" wrapText="1"/>
    </xf>
    <xf numFmtId="0" fontId="5" fillId="0" borderId="18" xfId="0" applyFont="1" applyBorder="1" applyAlignment="1">
      <alignment horizontal="left" vertical="top" wrapText="1"/>
    </xf>
    <xf numFmtId="2" fontId="5" fillId="0" borderId="18" xfId="0" applyNumberFormat="1" applyFont="1" applyBorder="1" applyAlignment="1">
      <alignment horizontal="left" vertical="top" wrapText="1"/>
    </xf>
    <xf numFmtId="10" fontId="5" fillId="0" borderId="19" xfId="0" applyNumberFormat="1" applyFont="1" applyBorder="1" applyAlignment="1">
      <alignment horizontal="left" vertical="top" wrapText="1"/>
    </xf>
    <xf numFmtId="0" fontId="10" fillId="0" borderId="20" xfId="0" applyFont="1" applyBorder="1" applyAlignment="1">
      <alignment horizontal="right" vertical="top" wrapText="1"/>
    </xf>
    <xf numFmtId="2" fontId="0" fillId="0" borderId="0" xfId="0" applyNumberFormat="1"/>
    <xf numFmtId="0" fontId="11" fillId="0" borderId="0" xfId="0" applyFont="1" applyAlignment="1">
      <alignment horizontal="left" vertical="top" wrapText="1"/>
    </xf>
    <xf numFmtId="0" fontId="5" fillId="0" borderId="17" xfId="0" applyFont="1" applyBorder="1" applyAlignment="1">
      <alignment horizontal="left" vertical="top" wrapText="1"/>
    </xf>
    <xf numFmtId="3" fontId="5" fillId="0" borderId="18" xfId="0" applyNumberFormat="1" applyFont="1" applyBorder="1" applyAlignment="1">
      <alignment horizontal="right" vertical="top" wrapText="1"/>
    </xf>
    <xf numFmtId="2" fontId="5" fillId="0" borderId="18" xfId="0" applyNumberFormat="1" applyFont="1" applyBorder="1" applyAlignment="1">
      <alignment horizontal="right" vertical="top" wrapText="1"/>
    </xf>
    <xf numFmtId="10" fontId="5" fillId="0" borderId="18" xfId="0" applyNumberFormat="1" applyFont="1" applyBorder="1" applyAlignment="1">
      <alignment horizontal="right" vertical="top" wrapText="1"/>
    </xf>
    <xf numFmtId="164" fontId="10" fillId="0" borderId="20" xfId="0" applyNumberFormat="1" applyFont="1" applyBorder="1" applyAlignment="1">
      <alignment horizontal="right" vertical="top" wrapText="1"/>
    </xf>
    <xf numFmtId="165" fontId="0" fillId="0" borderId="0" xfId="0" applyNumberFormat="1" applyAlignment="1">
      <alignment vertical="center"/>
    </xf>
    <xf numFmtId="2" fontId="8" fillId="0" borderId="21" xfId="0" applyNumberFormat="1" applyFont="1" applyBorder="1" applyAlignment="1">
      <alignment horizontal="right" vertical="top" wrapText="1"/>
    </xf>
    <xf numFmtId="10" fontId="8" fillId="0" borderId="22" xfId="0" applyNumberFormat="1" applyFont="1" applyBorder="1" applyAlignment="1">
      <alignment horizontal="right" vertical="top" wrapText="1"/>
    </xf>
    <xf numFmtId="0" fontId="8" fillId="0" borderId="23" xfId="0" applyFont="1" applyBorder="1" applyAlignment="1">
      <alignment horizontal="right" vertical="top" wrapText="1"/>
    </xf>
    <xf numFmtId="165" fontId="0" fillId="0" borderId="16" xfId="0" applyNumberFormat="1" applyBorder="1" applyAlignment="1">
      <alignment vertical="center"/>
    </xf>
    <xf numFmtId="0" fontId="1" fillId="0" borderId="0" xfId="0" applyFont="1"/>
    <xf numFmtId="0" fontId="8" fillId="0" borderId="24" xfId="0" applyFont="1" applyBorder="1" applyAlignment="1">
      <alignment horizontal="left" vertical="top" wrapText="1"/>
    </xf>
    <xf numFmtId="0" fontId="5" fillId="0" borderId="22" xfId="0" applyFont="1" applyBorder="1" applyAlignment="1">
      <alignment horizontal="left" vertical="top" wrapText="1"/>
    </xf>
    <xf numFmtId="2" fontId="8" fillId="0" borderId="22" xfId="0" applyNumberFormat="1" applyFont="1" applyBorder="1" applyAlignment="1">
      <alignment horizontal="right" vertical="top" wrapText="1"/>
    </xf>
    <xf numFmtId="0" fontId="5" fillId="0" borderId="21" xfId="0" applyFont="1" applyBorder="1" applyAlignment="1">
      <alignment horizontal="left" vertical="top" wrapText="1"/>
    </xf>
    <xf numFmtId="10" fontId="10" fillId="0" borderId="20" xfId="0" applyNumberFormat="1" applyFont="1" applyBorder="1" applyAlignment="1">
      <alignment horizontal="right" vertical="top" wrapText="1"/>
    </xf>
    <xf numFmtId="0" fontId="8" fillId="0" borderId="25" xfId="0" applyFont="1" applyBorder="1" applyAlignment="1">
      <alignment horizontal="left" vertical="top" wrapText="1"/>
    </xf>
    <xf numFmtId="0" fontId="5" fillId="0" borderId="26" xfId="0" applyFont="1" applyBorder="1" applyAlignment="1">
      <alignment horizontal="left" vertical="top" wrapText="1"/>
    </xf>
    <xf numFmtId="2" fontId="8" fillId="0" borderId="26" xfId="0" applyNumberFormat="1" applyFont="1" applyBorder="1" applyAlignment="1">
      <alignment horizontal="right" vertical="top" wrapText="1"/>
    </xf>
    <xf numFmtId="10"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0" xfId="0" applyFont="1" applyAlignment="1">
      <alignment horizontal="left" vertical="top" wrapText="1"/>
    </xf>
    <xf numFmtId="0" fontId="6" fillId="0" borderId="0" xfId="0" applyFont="1" applyAlignment="1">
      <alignment horizontal="center" vertical="center" wrapText="1"/>
    </xf>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DF45C973-003F-4FC9-9A2D-B518AB12452E}"/>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94</xdr:row>
      <xdr:rowOff>0</xdr:rowOff>
    </xdr:from>
    <xdr:ext cx="6191250" cy="1381125"/>
    <xdr:pic>
      <xdr:nvPicPr>
        <xdr:cNvPr id="3" name="Picture 2">
          <a:extLst>
            <a:ext uri="{FF2B5EF4-FFF2-40B4-BE49-F238E27FC236}">
              <a16:creationId xmlns:a16="http://schemas.microsoft.com/office/drawing/2014/main" id="{F9693D0F-9476-49B1-9B58-22E9A9D35B10}"/>
            </a:ext>
          </a:extLst>
        </xdr:cNvPr>
        <xdr:cNvPicPr>
          <a:picLocks noChangeAspect="1"/>
        </xdr:cNvPicPr>
      </xdr:nvPicPr>
      <xdr:blipFill>
        <a:blip xmlns:r="http://schemas.openxmlformats.org/officeDocument/2006/relationships" r:embed="rId2"/>
        <a:stretch>
          <a:fillRect/>
        </a:stretch>
      </xdr:blipFill>
      <xdr:spPr>
        <a:xfrm>
          <a:off x="219075" y="15468600"/>
          <a:ext cx="6191250" cy="138112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203009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PHA"/>
      <sheetName val="ALPHAFOF"/>
      <sheetName val="EVETF"/>
      <sheetName val="ITETF"/>
      <sheetName val="MAAF"/>
      <sheetName val="MAAIF"/>
      <sheetName val="MABAF"/>
      <sheetName val="MABFF"/>
      <sheetName val="MABPF"/>
      <sheetName val="MACBF"/>
      <sheetName val="MACIF"/>
      <sheetName val="MACMF"/>
      <sheetName val="MAEAF"/>
      <sheetName val="MAEBF"/>
      <sheetName val="MAESF"/>
      <sheetName val="MAETF"/>
      <sheetName val="MAFCF"/>
      <sheetName val="MAFF"/>
      <sheetName val="MAFGF"/>
      <sheetName val="MAFPF"/>
      <sheetName val="MAFTF"/>
      <sheetName val="MAGEF"/>
      <sheetName val="MAHCF"/>
      <sheetName val="MAHSF"/>
      <sheetName val="MAHTF"/>
      <sheetName val="MAIPF"/>
      <sheetName val="MAMAAF"/>
      <sheetName val="MAMCF"/>
      <sheetName val="MAMFOF"/>
      <sheetName val="MAMMF"/>
      <sheetName val="MAMPF"/>
      <sheetName val="MAN1DLTF"/>
      <sheetName val="MAN50ETF"/>
      <sheetName val="MANBT"/>
      <sheetName val="MANG813F"/>
      <sheetName val="MANJF"/>
      <sheetName val="MANMF"/>
      <sheetName val="MANNF"/>
      <sheetName val="MANPF"/>
      <sheetName val="MANSJ28F"/>
      <sheetName val="MANTF"/>
      <sheetName val="MANV30F"/>
      <sheetName val="MAONF"/>
      <sheetName val="MASEF"/>
      <sheetName val="MASHT"/>
      <sheetName val="MASLF"/>
      <sheetName val="MASPF"/>
      <sheetName val="MATPF"/>
      <sheetName val="MATSF"/>
      <sheetName val="MAUSF"/>
      <sheetName val="MDBF"/>
      <sheetName val="MICCF"/>
      <sheetName val="MIDSMALL"/>
      <sheetName val="MIIOF"/>
      <sheetName val="MILPF"/>
      <sheetName val="MNSFOF"/>
      <sheetName val="MTETF"/>
      <sheetName val="MULTIETF"/>
      <sheetName val="SENSEX"/>
      <sheetName val="SMQETF"/>
      <sheetName val="SMQ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D607B-C340-4A1F-AEDD-42B07DC32266}">
  <sheetPr codeName="Sheet16">
    <outlinePr summaryBelow="0"/>
  </sheetPr>
  <dimension ref="A1:J106"/>
  <sheetViews>
    <sheetView tabSelected="1" workbookViewId="0">
      <selection activeCell="D17" sqref="D17"/>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8" customWidth="1"/>
    <col min="7" max="7" width="16.7109375" style="63" customWidth="1"/>
    <col min="8" max="8" width="16.7109375" customWidth="1"/>
  </cols>
  <sheetData>
    <row r="1" spans="1:9" ht="13.15" customHeight="1">
      <c r="A1" s="1"/>
      <c r="B1" s="2" t="s">
        <v>0</v>
      </c>
      <c r="C1" s="3"/>
      <c r="D1" s="3"/>
      <c r="E1" s="3"/>
      <c r="F1" s="3"/>
      <c r="G1" s="3"/>
      <c r="H1" s="3"/>
      <c r="I1" s="4"/>
    </row>
    <row r="2" spans="1:9" ht="13.15" customHeight="1">
      <c r="A2" s="5"/>
      <c r="B2" s="6"/>
      <c r="C2" s="7"/>
      <c r="D2" s="7"/>
      <c r="E2" s="7"/>
      <c r="F2" s="7"/>
      <c r="G2" s="7"/>
      <c r="H2" s="7"/>
      <c r="I2" s="8"/>
    </row>
    <row r="3" spans="1:9" ht="13.15" customHeight="1">
      <c r="A3" s="9"/>
      <c r="B3" s="10" t="s">
        <v>1</v>
      </c>
      <c r="C3" s="11"/>
      <c r="D3" s="11"/>
      <c r="E3" s="11"/>
      <c r="F3" s="11"/>
      <c r="G3" s="11"/>
      <c r="H3" s="11"/>
      <c r="I3" s="12"/>
    </row>
    <row r="4" spans="1:9" ht="13.15" customHeight="1" thickBot="1">
      <c r="A4" s="5"/>
      <c r="B4" s="13" t="s">
        <v>2</v>
      </c>
      <c r="C4" s="14"/>
      <c r="D4" s="14"/>
      <c r="E4" s="14"/>
      <c r="F4" s="14"/>
      <c r="G4" s="14"/>
      <c r="H4" s="14"/>
      <c r="I4" s="15"/>
    </row>
    <row r="5" spans="1:9">
      <c r="A5" s="5"/>
      <c r="B5" s="16" t="s">
        <v>3</v>
      </c>
      <c r="C5" s="17"/>
      <c r="D5" s="17"/>
      <c r="E5" s="17"/>
      <c r="F5" s="18"/>
      <c r="G5" s="19"/>
      <c r="H5" s="17"/>
      <c r="I5" s="20"/>
    </row>
    <row r="6" spans="1:9" ht="13.15" customHeight="1">
      <c r="A6" s="21"/>
      <c r="B6" s="22"/>
      <c r="C6" s="21"/>
      <c r="D6" s="21"/>
      <c r="E6" s="21"/>
      <c r="F6" s="23"/>
      <c r="G6" s="24"/>
      <c r="H6" s="21"/>
    </row>
    <row r="7" spans="1:9" ht="13.15" customHeight="1" thickBot="1">
      <c r="A7" s="9"/>
      <c r="B7" s="25" t="s">
        <v>4</v>
      </c>
      <c r="C7" s="21"/>
      <c r="D7" s="21"/>
      <c r="E7" s="21"/>
      <c r="F7" s="23"/>
      <c r="G7" s="24"/>
      <c r="H7" s="21"/>
    </row>
    <row r="8" spans="1:9" ht="28.15" customHeight="1">
      <c r="A8" s="21"/>
      <c r="B8" s="26" t="s">
        <v>5</v>
      </c>
      <c r="C8" s="27" t="s">
        <v>6</v>
      </c>
      <c r="D8" s="28" t="s">
        <v>7</v>
      </c>
      <c r="E8" s="28" t="s">
        <v>8</v>
      </c>
      <c r="F8" s="29" t="s">
        <v>9</v>
      </c>
      <c r="G8" s="30" t="s">
        <v>10</v>
      </c>
      <c r="H8" s="31" t="s">
        <v>11</v>
      </c>
      <c r="I8" s="32" t="s">
        <v>12</v>
      </c>
    </row>
    <row r="9" spans="1:9" ht="13.15" customHeight="1">
      <c r="A9" s="21"/>
      <c r="B9" s="33" t="s">
        <v>13</v>
      </c>
      <c r="C9" s="34"/>
      <c r="D9" s="34"/>
      <c r="E9" s="34"/>
      <c r="F9" s="35"/>
      <c r="G9" s="36"/>
      <c r="H9" s="37"/>
      <c r="I9" s="38"/>
    </row>
    <row r="10" spans="1:9" ht="13.15" customHeight="1">
      <c r="A10" s="21"/>
      <c r="B10" s="33" t="s">
        <v>14</v>
      </c>
      <c r="C10" s="34"/>
      <c r="D10" s="34"/>
      <c r="E10" s="34"/>
      <c r="F10" s="35"/>
      <c r="G10" s="36"/>
      <c r="H10" s="37"/>
      <c r="I10" s="38"/>
    </row>
    <row r="11" spans="1:9" ht="13.15" customHeight="1">
      <c r="A11" s="39" t="s">
        <v>15</v>
      </c>
      <c r="B11" s="40" t="s">
        <v>16</v>
      </c>
      <c r="C11" s="34" t="s">
        <v>17</v>
      </c>
      <c r="D11" s="34" t="s">
        <v>18</v>
      </c>
      <c r="E11" s="41">
        <v>72854</v>
      </c>
      <c r="F11" s="42">
        <v>1261.8677070000001</v>
      </c>
      <c r="G11" s="43">
        <v>9.2587484725378005E-2</v>
      </c>
      <c r="H11" s="44"/>
      <c r="I11" s="45">
        <v>80.2</v>
      </c>
    </row>
    <row r="12" spans="1:9" ht="13.15" customHeight="1">
      <c r="A12" s="39" t="s">
        <v>19</v>
      </c>
      <c r="B12" s="40" t="s">
        <v>20</v>
      </c>
      <c r="C12" s="34" t="s">
        <v>21</v>
      </c>
      <c r="D12" s="34" t="s">
        <v>22</v>
      </c>
      <c r="E12" s="41">
        <v>42191</v>
      </c>
      <c r="F12" s="42">
        <v>1245.9635165</v>
      </c>
      <c r="G12" s="43">
        <v>9.1420540689312005E-2</v>
      </c>
      <c r="H12" s="44"/>
      <c r="I12" s="45">
        <v>69</v>
      </c>
    </row>
    <row r="13" spans="1:9" ht="13.15" customHeight="1">
      <c r="A13" s="39" t="s">
        <v>23</v>
      </c>
      <c r="B13" s="40" t="s">
        <v>24</v>
      </c>
      <c r="C13" s="34" t="s">
        <v>25</v>
      </c>
      <c r="D13" s="34" t="s">
        <v>18</v>
      </c>
      <c r="E13" s="41">
        <v>87755</v>
      </c>
      <c r="F13" s="42">
        <v>1117.1211499999999</v>
      </c>
      <c r="G13" s="43">
        <v>8.1966942206582002E-2</v>
      </c>
      <c r="H13" s="44"/>
      <c r="I13" s="45">
        <v>75.8</v>
      </c>
    </row>
    <row r="14" spans="1:9" ht="13.15" customHeight="1">
      <c r="A14" s="39" t="s">
        <v>26</v>
      </c>
      <c r="B14" s="40" t="s">
        <v>27</v>
      </c>
      <c r="C14" s="34" t="s">
        <v>28</v>
      </c>
      <c r="D14" s="34" t="s">
        <v>29</v>
      </c>
      <c r="E14" s="41">
        <v>45051</v>
      </c>
      <c r="F14" s="42">
        <v>844.97655599999996</v>
      </c>
      <c r="G14" s="43">
        <v>6.1998776526225E-2</v>
      </c>
      <c r="H14" s="44"/>
      <c r="I14" s="45">
        <v>77.2</v>
      </c>
    </row>
    <row r="15" spans="1:9" ht="13.15" customHeight="1">
      <c r="A15" s="39" t="s">
        <v>30</v>
      </c>
      <c r="B15" s="40" t="s">
        <v>31</v>
      </c>
      <c r="C15" s="34" t="s">
        <v>32</v>
      </c>
      <c r="D15" s="34" t="s">
        <v>33</v>
      </c>
      <c r="E15" s="41">
        <v>33359</v>
      </c>
      <c r="F15" s="42">
        <v>570.28878450000002</v>
      </c>
      <c r="G15" s="43">
        <v>4.1844009345069003E-2</v>
      </c>
      <c r="H15" s="44"/>
      <c r="I15" s="45">
        <v>74.5</v>
      </c>
    </row>
    <row r="16" spans="1:9" ht="13.15" customHeight="1">
      <c r="A16" s="39" t="s">
        <v>34</v>
      </c>
      <c r="B16" s="40" t="s">
        <v>35</v>
      </c>
      <c r="C16" s="34" t="s">
        <v>36</v>
      </c>
      <c r="D16" s="34" t="s">
        <v>29</v>
      </c>
      <c r="E16" s="41">
        <v>12635</v>
      </c>
      <c r="F16" s="42">
        <v>539.32497499999999</v>
      </c>
      <c r="G16" s="43">
        <v>3.9572090329138998E-2</v>
      </c>
      <c r="H16" s="44"/>
      <c r="I16" s="45">
        <v>72.599999999999994</v>
      </c>
    </row>
    <row r="17" spans="1:9" ht="13.15" customHeight="1">
      <c r="A17" s="39" t="s">
        <v>37</v>
      </c>
      <c r="B17" s="40" t="s">
        <v>38</v>
      </c>
      <c r="C17" s="34" t="s">
        <v>39</v>
      </c>
      <c r="D17" s="34" t="s">
        <v>40</v>
      </c>
      <c r="E17" s="41">
        <v>14575</v>
      </c>
      <c r="F17" s="42">
        <v>535.71141250000005</v>
      </c>
      <c r="G17" s="43">
        <v>3.9306951074906997E-2</v>
      </c>
      <c r="H17" s="44"/>
      <c r="I17" s="45">
        <v>71.7</v>
      </c>
    </row>
    <row r="18" spans="1:9" ht="13.15" customHeight="1">
      <c r="A18" s="39" t="s">
        <v>41</v>
      </c>
      <c r="B18" s="40" t="s">
        <v>42</v>
      </c>
      <c r="C18" s="34" t="s">
        <v>43</v>
      </c>
      <c r="D18" s="34" t="s">
        <v>18</v>
      </c>
      <c r="E18" s="41">
        <v>35456</v>
      </c>
      <c r="F18" s="42">
        <v>436.88883199999998</v>
      </c>
      <c r="G18" s="43">
        <v>3.2056005423624002E-2</v>
      </c>
      <c r="H18" s="44"/>
      <c r="I18" s="45">
        <v>80.3</v>
      </c>
    </row>
    <row r="19" spans="1:9" ht="13.15" customHeight="1">
      <c r="A19" s="39" t="s">
        <v>44</v>
      </c>
      <c r="B19" s="40" t="s">
        <v>45</v>
      </c>
      <c r="C19" s="34" t="s">
        <v>46</v>
      </c>
      <c r="D19" s="34" t="s">
        <v>47</v>
      </c>
      <c r="E19" s="41">
        <v>12097</v>
      </c>
      <c r="F19" s="42">
        <v>374.39005300000002</v>
      </c>
      <c r="G19" s="43">
        <v>2.7470259458403999E-2</v>
      </c>
      <c r="H19" s="44"/>
      <c r="I19" s="45">
        <v>72.400000000000006</v>
      </c>
    </row>
    <row r="20" spans="1:9" ht="13.15" customHeight="1">
      <c r="A20" s="39" t="s">
        <v>48</v>
      </c>
      <c r="B20" s="40" t="s">
        <v>49</v>
      </c>
      <c r="C20" s="34" t="s">
        <v>50</v>
      </c>
      <c r="D20" s="34" t="s">
        <v>51</v>
      </c>
      <c r="E20" s="41">
        <v>11135</v>
      </c>
      <c r="F20" s="42">
        <v>329.40670499999999</v>
      </c>
      <c r="G20" s="43">
        <v>2.4169679672786999E-2</v>
      </c>
      <c r="H20" s="44"/>
      <c r="I20" s="45">
        <v>72</v>
      </c>
    </row>
    <row r="21" spans="1:9" ht="13.15" customHeight="1">
      <c r="A21" s="39" t="s">
        <v>52</v>
      </c>
      <c r="B21" s="40" t="s">
        <v>53</v>
      </c>
      <c r="C21" s="34" t="s">
        <v>54</v>
      </c>
      <c r="D21" s="34" t="s">
        <v>55</v>
      </c>
      <c r="E21" s="41">
        <v>3474</v>
      </c>
      <c r="F21" s="42">
        <v>267.60221999999999</v>
      </c>
      <c r="G21" s="43">
        <v>1.9634876397330001E-2</v>
      </c>
      <c r="H21" s="44"/>
      <c r="I21" s="45">
        <v>78.8</v>
      </c>
    </row>
    <row r="22" spans="1:9" ht="13.15" customHeight="1">
      <c r="A22" s="39" t="s">
        <v>56</v>
      </c>
      <c r="B22" s="40" t="s">
        <v>57</v>
      </c>
      <c r="C22" s="34" t="s">
        <v>58</v>
      </c>
      <c r="D22" s="34" t="s">
        <v>59</v>
      </c>
      <c r="E22" s="41">
        <v>59259</v>
      </c>
      <c r="F22" s="42">
        <v>262.63588800000002</v>
      </c>
      <c r="G22" s="43">
        <v>1.9270479887584999E-2</v>
      </c>
      <c r="H22" s="44"/>
      <c r="I22" s="45">
        <v>66.099999999999994</v>
      </c>
    </row>
    <row r="23" spans="1:9" ht="13.15" customHeight="1">
      <c r="A23" s="39" t="s">
        <v>60</v>
      </c>
      <c r="B23" s="40" t="s">
        <v>61</v>
      </c>
      <c r="C23" s="34" t="s">
        <v>62</v>
      </c>
      <c r="D23" s="34" t="s">
        <v>63</v>
      </c>
      <c r="E23" s="41">
        <v>13466</v>
      </c>
      <c r="F23" s="42">
        <v>259.44942200000003</v>
      </c>
      <c r="G23" s="43">
        <v>1.9036678142389001E-2</v>
      </c>
      <c r="H23" s="44"/>
      <c r="I23" s="45">
        <v>64.900000000000006</v>
      </c>
    </row>
    <row r="24" spans="1:9" ht="13.15" customHeight="1">
      <c r="A24" s="39" t="s">
        <v>64</v>
      </c>
      <c r="B24" s="40" t="s">
        <v>65</v>
      </c>
      <c r="C24" s="34" t="s">
        <v>66</v>
      </c>
      <c r="D24" s="34" t="s">
        <v>29</v>
      </c>
      <c r="E24" s="41">
        <v>13199</v>
      </c>
      <c r="F24" s="42">
        <v>237.067239</v>
      </c>
      <c r="G24" s="43">
        <v>1.7394421973111002E-2</v>
      </c>
      <c r="H24" s="44"/>
      <c r="I24" s="45">
        <v>79.900000000000006</v>
      </c>
    </row>
    <row r="25" spans="1:9" ht="13.15" customHeight="1">
      <c r="A25" s="39" t="s">
        <v>67</v>
      </c>
      <c r="B25" s="40" t="s">
        <v>68</v>
      </c>
      <c r="C25" s="34" t="s">
        <v>69</v>
      </c>
      <c r="D25" s="34" t="s">
        <v>47</v>
      </c>
      <c r="E25" s="41">
        <v>1646</v>
      </c>
      <c r="F25" s="42">
        <v>217.89748</v>
      </c>
      <c r="G25" s="43">
        <v>1.5987872174937998E-2</v>
      </c>
      <c r="H25" s="44"/>
      <c r="I25" s="45">
        <v>68.5</v>
      </c>
    </row>
    <row r="26" spans="1:9" ht="13.15" customHeight="1">
      <c r="A26" s="39" t="s">
        <v>70</v>
      </c>
      <c r="B26" s="40" t="s">
        <v>71</v>
      </c>
      <c r="C26" s="34" t="s">
        <v>72</v>
      </c>
      <c r="D26" s="34" t="s">
        <v>47</v>
      </c>
      <c r="E26" s="41">
        <v>21972</v>
      </c>
      <c r="F26" s="42">
        <v>214.15009800000001</v>
      </c>
      <c r="G26" s="43">
        <v>1.5712914133171999E-2</v>
      </c>
      <c r="H26" s="44"/>
      <c r="I26" s="45">
        <v>78.8</v>
      </c>
    </row>
    <row r="27" spans="1:9" ht="13.15" customHeight="1">
      <c r="A27" s="39" t="s">
        <v>73</v>
      </c>
      <c r="B27" s="40" t="s">
        <v>74</v>
      </c>
      <c r="C27" s="34" t="s">
        <v>75</v>
      </c>
      <c r="D27" s="34" t="s">
        <v>76</v>
      </c>
      <c r="E27" s="41">
        <v>77063</v>
      </c>
      <c r="F27" s="42">
        <v>210.613179</v>
      </c>
      <c r="G27" s="43">
        <v>1.5453398470737E-2</v>
      </c>
      <c r="H27" s="44"/>
      <c r="I27" s="45">
        <v>68.2</v>
      </c>
    </row>
    <row r="28" spans="1:9" ht="13.15" customHeight="1">
      <c r="A28" s="39" t="s">
        <v>77</v>
      </c>
      <c r="B28" s="40" t="s">
        <v>78</v>
      </c>
      <c r="C28" s="34" t="s">
        <v>79</v>
      </c>
      <c r="D28" s="34" t="s">
        <v>76</v>
      </c>
      <c r="E28" s="41">
        <v>2748</v>
      </c>
      <c r="F28" s="42">
        <v>208.15138200000001</v>
      </c>
      <c r="G28" s="43">
        <v>1.5272768131383001E-2</v>
      </c>
      <c r="H28" s="44"/>
      <c r="I28" s="45">
        <v>67.5</v>
      </c>
    </row>
    <row r="29" spans="1:9" ht="13.15" customHeight="1">
      <c r="A29" s="39" t="s">
        <v>80</v>
      </c>
      <c r="B29" s="40" t="s">
        <v>81</v>
      </c>
      <c r="C29" s="34" t="s">
        <v>82</v>
      </c>
      <c r="D29" s="34" t="s">
        <v>83</v>
      </c>
      <c r="E29" s="41">
        <v>5204</v>
      </c>
      <c r="F29" s="42">
        <v>198.998358</v>
      </c>
      <c r="G29" s="43">
        <v>1.4601179925194999E-2</v>
      </c>
      <c r="H29" s="44"/>
      <c r="I29" s="45">
        <v>69.400000000000006</v>
      </c>
    </row>
    <row r="30" spans="1:9" ht="13.15" customHeight="1">
      <c r="A30" s="39" t="s">
        <v>84</v>
      </c>
      <c r="B30" s="40" t="s">
        <v>85</v>
      </c>
      <c r="C30" s="34" t="s">
        <v>86</v>
      </c>
      <c r="D30" s="34" t="s">
        <v>83</v>
      </c>
      <c r="E30" s="41">
        <v>5622</v>
      </c>
      <c r="F30" s="42">
        <v>187.162002</v>
      </c>
      <c r="G30" s="43">
        <v>1.3732706610381999E-2</v>
      </c>
      <c r="H30" s="44"/>
      <c r="I30" s="45">
        <v>74.2</v>
      </c>
    </row>
    <row r="31" spans="1:9" ht="13.15" customHeight="1">
      <c r="A31" s="39" t="s">
        <v>87</v>
      </c>
      <c r="B31" s="40" t="s">
        <v>88</v>
      </c>
      <c r="C31" s="34" t="s">
        <v>89</v>
      </c>
      <c r="D31" s="34" t="s">
        <v>90</v>
      </c>
      <c r="E31" s="41">
        <v>102759</v>
      </c>
      <c r="F31" s="42">
        <v>173.20029450000001</v>
      </c>
      <c r="G31" s="43">
        <v>1.270828909599E-2</v>
      </c>
      <c r="H31" s="44"/>
      <c r="I31" s="45">
        <v>69.599999999999994</v>
      </c>
    </row>
    <row r="32" spans="1:9" ht="13.15" customHeight="1">
      <c r="A32" s="39" t="s">
        <v>91</v>
      </c>
      <c r="B32" s="40" t="s">
        <v>92</v>
      </c>
      <c r="C32" s="34" t="s">
        <v>93</v>
      </c>
      <c r="D32" s="34" t="s">
        <v>94</v>
      </c>
      <c r="E32" s="41">
        <v>1440</v>
      </c>
      <c r="F32" s="42">
        <v>169.94880000000001</v>
      </c>
      <c r="G32" s="43">
        <v>1.2469715990677E-2</v>
      </c>
      <c r="H32" s="44"/>
      <c r="I32" s="45">
        <v>70.8</v>
      </c>
    </row>
    <row r="33" spans="1:9" ht="13.15" customHeight="1">
      <c r="A33" s="39" t="s">
        <v>95</v>
      </c>
      <c r="B33" s="40" t="s">
        <v>96</v>
      </c>
      <c r="C33" s="34" t="s">
        <v>97</v>
      </c>
      <c r="D33" s="34" t="s">
        <v>55</v>
      </c>
      <c r="E33" s="41">
        <v>6770</v>
      </c>
      <c r="F33" s="42">
        <v>133.59917999999999</v>
      </c>
      <c r="G33" s="43">
        <v>9.8026219142900006E-3</v>
      </c>
      <c r="H33" s="44"/>
      <c r="I33" s="45">
        <v>78.599999999999994</v>
      </c>
    </row>
    <row r="34" spans="1:9" ht="13.15" customHeight="1">
      <c r="A34" s="39" t="s">
        <v>98</v>
      </c>
      <c r="B34" s="40" t="s">
        <v>99</v>
      </c>
      <c r="C34" s="34" t="s">
        <v>100</v>
      </c>
      <c r="D34" s="34" t="s">
        <v>101</v>
      </c>
      <c r="E34" s="41">
        <v>9160</v>
      </c>
      <c r="F34" s="42">
        <v>132.65512000000001</v>
      </c>
      <c r="G34" s="43">
        <v>9.7333530516786997E-3</v>
      </c>
      <c r="H34" s="44"/>
      <c r="I34" s="45">
        <v>70.099999999999994</v>
      </c>
    </row>
    <row r="35" spans="1:9" ht="13.15" customHeight="1">
      <c r="A35" s="39" t="s">
        <v>102</v>
      </c>
      <c r="B35" s="40" t="s">
        <v>103</v>
      </c>
      <c r="C35" s="34" t="s">
        <v>104</v>
      </c>
      <c r="D35" s="34" t="s">
        <v>94</v>
      </c>
      <c r="E35" s="41">
        <v>4599</v>
      </c>
      <c r="F35" s="42">
        <v>128.56734449999999</v>
      </c>
      <c r="G35" s="43">
        <v>9.4334191920770992E-3</v>
      </c>
      <c r="H35" s="44"/>
      <c r="I35" s="45">
        <v>67.400000000000006</v>
      </c>
    </row>
    <row r="36" spans="1:9" ht="13.15" customHeight="1">
      <c r="A36" s="39" t="s">
        <v>105</v>
      </c>
      <c r="B36" s="40" t="s">
        <v>106</v>
      </c>
      <c r="C36" s="34" t="s">
        <v>107</v>
      </c>
      <c r="D36" s="34" t="s">
        <v>29</v>
      </c>
      <c r="E36" s="41">
        <v>7927</v>
      </c>
      <c r="F36" s="42">
        <v>125.024644</v>
      </c>
      <c r="G36" s="43">
        <v>9.1734793215100998E-3</v>
      </c>
      <c r="H36" s="44"/>
      <c r="I36" s="45">
        <v>78.8</v>
      </c>
    </row>
    <row r="37" spans="1:9" ht="13.15" customHeight="1">
      <c r="A37" s="39" t="s">
        <v>108</v>
      </c>
      <c r="B37" s="40" t="s">
        <v>109</v>
      </c>
      <c r="C37" s="34" t="s">
        <v>110</v>
      </c>
      <c r="D37" s="34" t="s">
        <v>55</v>
      </c>
      <c r="E37" s="41">
        <v>3469</v>
      </c>
      <c r="F37" s="42">
        <v>124.0843955</v>
      </c>
      <c r="G37" s="43">
        <v>9.1044901214941999E-3</v>
      </c>
      <c r="H37" s="44"/>
      <c r="I37" s="45">
        <v>80.099999999999994</v>
      </c>
    </row>
    <row r="38" spans="1:9" ht="13.15" customHeight="1">
      <c r="A38" s="39" t="s">
        <v>111</v>
      </c>
      <c r="B38" s="40" t="s">
        <v>112</v>
      </c>
      <c r="C38" s="34" t="s">
        <v>113</v>
      </c>
      <c r="D38" s="34" t="s">
        <v>90</v>
      </c>
      <c r="E38" s="41">
        <v>11894</v>
      </c>
      <c r="F38" s="42">
        <v>122.51414699999999</v>
      </c>
      <c r="G38" s="43">
        <v>8.9892756990928996E-3</v>
      </c>
      <c r="H38" s="44"/>
      <c r="I38" s="45">
        <v>67</v>
      </c>
    </row>
    <row r="39" spans="1:9" ht="13.15" customHeight="1">
      <c r="A39" s="39" t="s">
        <v>114</v>
      </c>
      <c r="B39" s="40" t="s">
        <v>115</v>
      </c>
      <c r="C39" s="34" t="s">
        <v>116</v>
      </c>
      <c r="D39" s="34" t="s">
        <v>117</v>
      </c>
      <c r="E39" s="41">
        <v>4449</v>
      </c>
      <c r="F39" s="42">
        <v>119.6758755</v>
      </c>
      <c r="G39" s="43">
        <v>8.7810221573825006E-3</v>
      </c>
      <c r="H39" s="44"/>
      <c r="I39" s="45">
        <v>69.599999999999994</v>
      </c>
    </row>
    <row r="40" spans="1:9" ht="13.15" customHeight="1">
      <c r="A40" s="39" t="s">
        <v>118</v>
      </c>
      <c r="B40" s="40" t="s">
        <v>119</v>
      </c>
      <c r="C40" s="34" t="s">
        <v>120</v>
      </c>
      <c r="D40" s="34" t="s">
        <v>18</v>
      </c>
      <c r="E40" s="41">
        <v>8255</v>
      </c>
      <c r="F40" s="42">
        <v>119.49938</v>
      </c>
      <c r="G40" s="43">
        <v>8.7680720879578997E-3</v>
      </c>
      <c r="H40" s="44"/>
      <c r="I40" s="45">
        <v>80.2</v>
      </c>
    </row>
    <row r="41" spans="1:9" ht="13.15" customHeight="1">
      <c r="A41" s="39" t="s">
        <v>121</v>
      </c>
      <c r="B41" s="40" t="s">
        <v>122</v>
      </c>
      <c r="C41" s="34" t="s">
        <v>123</v>
      </c>
      <c r="D41" s="34" t="s">
        <v>63</v>
      </c>
      <c r="E41" s="41">
        <v>6546</v>
      </c>
      <c r="F41" s="42">
        <v>108.27738600000001</v>
      </c>
      <c r="G41" s="43">
        <v>7.9446765827876995E-3</v>
      </c>
      <c r="H41" s="44"/>
      <c r="I41" s="45">
        <v>71.099999999999994</v>
      </c>
    </row>
    <row r="42" spans="1:9" ht="13.15" customHeight="1">
      <c r="A42" s="39" t="s">
        <v>124</v>
      </c>
      <c r="B42" s="40" t="s">
        <v>125</v>
      </c>
      <c r="C42" s="34" t="s">
        <v>126</v>
      </c>
      <c r="D42" s="34" t="s">
        <v>127</v>
      </c>
      <c r="E42" s="41">
        <v>3270</v>
      </c>
      <c r="F42" s="42">
        <v>102.542295</v>
      </c>
      <c r="G42" s="43">
        <v>7.5238736353665002E-3</v>
      </c>
      <c r="H42" s="44"/>
      <c r="I42" s="45">
        <v>62.5</v>
      </c>
    </row>
    <row r="43" spans="1:9" ht="13.15" customHeight="1">
      <c r="A43" s="39" t="s">
        <v>128</v>
      </c>
      <c r="B43" s="40" t="s">
        <v>129</v>
      </c>
      <c r="C43" s="34" t="s">
        <v>130</v>
      </c>
      <c r="D43" s="34" t="s">
        <v>63</v>
      </c>
      <c r="E43" s="41">
        <v>1518</v>
      </c>
      <c r="F43" s="42">
        <v>102.489288</v>
      </c>
      <c r="G43" s="43">
        <v>7.5199843332031001E-3</v>
      </c>
      <c r="H43" s="44"/>
      <c r="I43" s="45">
        <v>74.900000000000006</v>
      </c>
    </row>
    <row r="44" spans="1:9" ht="13.15" customHeight="1">
      <c r="A44" s="39" t="s">
        <v>131</v>
      </c>
      <c r="B44" s="40" t="s">
        <v>132</v>
      </c>
      <c r="C44" s="34" t="s">
        <v>133</v>
      </c>
      <c r="D44" s="34" t="s">
        <v>59</v>
      </c>
      <c r="E44" s="41">
        <v>21121</v>
      </c>
      <c r="F44" s="42">
        <v>101.929946</v>
      </c>
      <c r="G44" s="43">
        <v>7.4789435263150003E-3</v>
      </c>
      <c r="H44" s="44"/>
      <c r="I44" s="45">
        <v>72</v>
      </c>
    </row>
    <row r="45" spans="1:9" ht="13.15" customHeight="1">
      <c r="A45" s="39" t="s">
        <v>134</v>
      </c>
      <c r="B45" s="40" t="s">
        <v>135</v>
      </c>
      <c r="C45" s="34" t="s">
        <v>136</v>
      </c>
      <c r="D45" s="34" t="s">
        <v>137</v>
      </c>
      <c r="E45" s="41">
        <v>2070</v>
      </c>
      <c r="F45" s="42">
        <v>99.100215000000006</v>
      </c>
      <c r="G45" s="43">
        <v>7.2713166298613999E-3</v>
      </c>
      <c r="H45" s="44"/>
      <c r="I45" s="45">
        <v>72.2</v>
      </c>
    </row>
    <row r="46" spans="1:9" ht="13.15" customHeight="1">
      <c r="A46" s="39" t="s">
        <v>138</v>
      </c>
      <c r="B46" s="40" t="s">
        <v>139</v>
      </c>
      <c r="C46" s="34" t="s">
        <v>140</v>
      </c>
      <c r="D46" s="34" t="s">
        <v>141</v>
      </c>
      <c r="E46" s="41">
        <v>8145</v>
      </c>
      <c r="F46" s="42">
        <v>97.491577500000005</v>
      </c>
      <c r="G46" s="43">
        <v>7.1532854772028004E-3</v>
      </c>
      <c r="H46" s="44"/>
      <c r="I46" s="45">
        <v>63.1</v>
      </c>
    </row>
    <row r="47" spans="1:9" ht="13.15" customHeight="1">
      <c r="A47" s="39" t="s">
        <v>142</v>
      </c>
      <c r="B47" s="40" t="s">
        <v>143</v>
      </c>
      <c r="C47" s="34" t="s">
        <v>144</v>
      </c>
      <c r="D47" s="34" t="s">
        <v>29</v>
      </c>
      <c r="E47" s="41">
        <v>17611</v>
      </c>
      <c r="F47" s="42">
        <v>95.3547595</v>
      </c>
      <c r="G47" s="43">
        <v>6.9964999418899998E-3</v>
      </c>
      <c r="H47" s="44"/>
      <c r="I47" s="45">
        <v>78.8</v>
      </c>
    </row>
    <row r="48" spans="1:9" ht="13.15" customHeight="1">
      <c r="A48" s="39" t="s">
        <v>145</v>
      </c>
      <c r="B48" s="40" t="s">
        <v>146</v>
      </c>
      <c r="C48" s="34" t="s">
        <v>147</v>
      </c>
      <c r="D48" s="34" t="s">
        <v>148</v>
      </c>
      <c r="E48" s="41">
        <v>13145</v>
      </c>
      <c r="F48" s="42">
        <v>94.381100000000004</v>
      </c>
      <c r="G48" s="43">
        <v>6.9250592642469003E-3</v>
      </c>
      <c r="H48" s="44"/>
      <c r="I48" s="45">
        <v>76.900000000000006</v>
      </c>
    </row>
    <row r="49" spans="1:9" ht="13.15" customHeight="1">
      <c r="A49" s="39" t="s">
        <v>149</v>
      </c>
      <c r="B49" s="40" t="s">
        <v>150</v>
      </c>
      <c r="C49" s="34" t="s">
        <v>151</v>
      </c>
      <c r="D49" s="34" t="s">
        <v>47</v>
      </c>
      <c r="E49" s="41">
        <v>1620</v>
      </c>
      <c r="F49" s="42">
        <v>92.540880000000001</v>
      </c>
      <c r="G49" s="43">
        <v>6.790036123393E-3</v>
      </c>
      <c r="H49" s="44"/>
      <c r="I49" s="45">
        <v>77</v>
      </c>
    </row>
    <row r="50" spans="1:9" ht="13.15" customHeight="1">
      <c r="A50" s="39" t="s">
        <v>152</v>
      </c>
      <c r="B50" s="40" t="s">
        <v>153</v>
      </c>
      <c r="C50" s="34" t="s">
        <v>154</v>
      </c>
      <c r="D50" s="34" t="s">
        <v>155</v>
      </c>
      <c r="E50" s="41">
        <v>1255</v>
      </c>
      <c r="F50" s="42">
        <v>90.349332500000003</v>
      </c>
      <c r="G50" s="43">
        <v>6.6292349002887996E-3</v>
      </c>
      <c r="H50" s="44"/>
      <c r="I50" s="45">
        <v>71.400000000000006</v>
      </c>
    </row>
    <row r="51" spans="1:9" ht="13.15" customHeight="1">
      <c r="A51" s="39" t="s">
        <v>156</v>
      </c>
      <c r="B51" s="40" t="s">
        <v>157</v>
      </c>
      <c r="C51" s="34" t="s">
        <v>158</v>
      </c>
      <c r="D51" s="34" t="s">
        <v>63</v>
      </c>
      <c r="E51" s="41">
        <v>1589</v>
      </c>
      <c r="F51" s="42">
        <v>86.494831500000004</v>
      </c>
      <c r="G51" s="43">
        <v>6.3464171766227997E-3</v>
      </c>
      <c r="H51" s="44"/>
      <c r="I51" s="45">
        <v>72.8</v>
      </c>
    </row>
    <row r="52" spans="1:9" ht="13.15" customHeight="1">
      <c r="A52" s="39" t="s">
        <v>159</v>
      </c>
      <c r="B52" s="40" t="s">
        <v>160</v>
      </c>
      <c r="C52" s="34" t="s">
        <v>161</v>
      </c>
      <c r="D52" s="34" t="s">
        <v>59</v>
      </c>
      <c r="E52" s="41">
        <v>4543</v>
      </c>
      <c r="F52" s="42">
        <v>86.439661000000001</v>
      </c>
      <c r="G52" s="43">
        <v>6.3423691311757999E-3</v>
      </c>
      <c r="H52" s="44"/>
      <c r="I52" s="45">
        <v>71</v>
      </c>
    </row>
    <row r="53" spans="1:9" ht="13.15" customHeight="1">
      <c r="A53" s="39" t="s">
        <v>162</v>
      </c>
      <c r="B53" s="40" t="s">
        <v>163</v>
      </c>
      <c r="C53" s="34" t="s">
        <v>164</v>
      </c>
      <c r="D53" s="34" t="s">
        <v>47</v>
      </c>
      <c r="E53" s="41">
        <v>1708</v>
      </c>
      <c r="F53" s="42">
        <v>85.848349999999996</v>
      </c>
      <c r="G53" s="43">
        <v>6.2989826510585004E-3</v>
      </c>
      <c r="H53" s="44"/>
      <c r="I53" s="45">
        <v>73.2</v>
      </c>
    </row>
    <row r="54" spans="1:9" ht="13.15" customHeight="1">
      <c r="A54" s="39" t="s">
        <v>165</v>
      </c>
      <c r="B54" s="40" t="s">
        <v>166</v>
      </c>
      <c r="C54" s="34" t="s">
        <v>167</v>
      </c>
      <c r="D54" s="34" t="s">
        <v>55</v>
      </c>
      <c r="E54" s="41">
        <v>15435</v>
      </c>
      <c r="F54" s="42">
        <v>85.587074999999999</v>
      </c>
      <c r="G54" s="43">
        <v>6.2798120241081001E-3</v>
      </c>
      <c r="H54" s="44"/>
      <c r="I54" s="45">
        <v>76.3</v>
      </c>
    </row>
    <row r="55" spans="1:9" ht="13.15" customHeight="1">
      <c r="A55" s="39" t="s">
        <v>168</v>
      </c>
      <c r="B55" s="40" t="s">
        <v>169</v>
      </c>
      <c r="C55" s="34" t="s">
        <v>170</v>
      </c>
      <c r="D55" s="34" t="s">
        <v>55</v>
      </c>
      <c r="E55" s="41">
        <v>5238</v>
      </c>
      <c r="F55" s="42">
        <v>84.227040000000002</v>
      </c>
      <c r="G55" s="43">
        <v>6.1800216743829002E-3</v>
      </c>
      <c r="H55" s="44"/>
      <c r="I55" s="45">
        <v>79.599999999999994</v>
      </c>
    </row>
    <row r="56" spans="1:9" ht="13.15" customHeight="1">
      <c r="A56" s="39" t="s">
        <v>171</v>
      </c>
      <c r="B56" s="40" t="s">
        <v>172</v>
      </c>
      <c r="C56" s="34" t="s">
        <v>173</v>
      </c>
      <c r="D56" s="34" t="s">
        <v>22</v>
      </c>
      <c r="E56" s="41">
        <v>45791</v>
      </c>
      <c r="F56" s="42">
        <v>82.492486499999998</v>
      </c>
      <c r="G56" s="43">
        <v>6.0527516406101E-3</v>
      </c>
      <c r="H56" s="44"/>
      <c r="I56" s="45">
        <v>69.599999999999994</v>
      </c>
    </row>
    <row r="57" spans="1:9" ht="13.15" customHeight="1">
      <c r="A57" s="39" t="s">
        <v>174</v>
      </c>
      <c r="B57" s="40" t="s">
        <v>175</v>
      </c>
      <c r="C57" s="34" t="s">
        <v>176</v>
      </c>
      <c r="D57" s="34" t="s">
        <v>47</v>
      </c>
      <c r="E57" s="41">
        <v>2903</v>
      </c>
      <c r="F57" s="42">
        <v>82.440845499999995</v>
      </c>
      <c r="G57" s="43">
        <v>6.0489625664685003E-3</v>
      </c>
      <c r="H57" s="44"/>
      <c r="I57" s="45">
        <v>71.400000000000006</v>
      </c>
    </row>
    <row r="58" spans="1:9" ht="13.15" customHeight="1">
      <c r="A58" s="39" t="s">
        <v>177</v>
      </c>
      <c r="B58" s="40" t="s">
        <v>178</v>
      </c>
      <c r="C58" s="34" t="s">
        <v>179</v>
      </c>
      <c r="D58" s="34" t="s">
        <v>180</v>
      </c>
      <c r="E58" s="41">
        <v>33622</v>
      </c>
      <c r="F58" s="42">
        <v>80.790303800000004</v>
      </c>
      <c r="G58" s="43">
        <v>5.9278567614862998E-3</v>
      </c>
      <c r="H58" s="44"/>
      <c r="I58" s="45">
        <v>73.3</v>
      </c>
    </row>
    <row r="59" spans="1:9" ht="13.15" customHeight="1">
      <c r="A59" s="39" t="s">
        <v>181</v>
      </c>
      <c r="B59" s="40" t="s">
        <v>182</v>
      </c>
      <c r="C59" s="34" t="s">
        <v>183</v>
      </c>
      <c r="D59" s="34" t="s">
        <v>184</v>
      </c>
      <c r="E59" s="41">
        <v>1110</v>
      </c>
      <c r="F59" s="42">
        <v>80.474999999999994</v>
      </c>
      <c r="G59" s="43">
        <v>5.9047218594640996E-3</v>
      </c>
      <c r="H59" s="44"/>
      <c r="I59" s="45">
        <v>60.6</v>
      </c>
    </row>
    <row r="60" spans="1:9" ht="13.15" customHeight="1">
      <c r="A60" s="39" t="s">
        <v>185</v>
      </c>
      <c r="B60" s="40" t="s">
        <v>186</v>
      </c>
      <c r="C60" s="34" t="s">
        <v>187</v>
      </c>
      <c r="D60" s="34" t="s">
        <v>76</v>
      </c>
      <c r="E60" s="41">
        <v>968</v>
      </c>
      <c r="F60" s="42">
        <v>78.414776000000003</v>
      </c>
      <c r="G60" s="43">
        <v>5.7535562839663001E-3</v>
      </c>
      <c r="H60" s="44"/>
      <c r="I60" s="45">
        <v>70.599999999999994</v>
      </c>
    </row>
    <row r="61" spans="1:9" ht="13.15" customHeight="1">
      <c r="A61" s="39" t="s">
        <v>188</v>
      </c>
      <c r="B61" s="40" t="s">
        <v>189</v>
      </c>
      <c r="C61" s="34" t="s">
        <v>190</v>
      </c>
      <c r="D61" s="34" t="s">
        <v>59</v>
      </c>
      <c r="E61" s="41">
        <v>11544</v>
      </c>
      <c r="F61" s="42">
        <v>75.745956000000007</v>
      </c>
      <c r="G61" s="43">
        <v>5.5577359696702003E-3</v>
      </c>
      <c r="H61" s="44"/>
      <c r="I61" s="45">
        <v>65.7</v>
      </c>
    </row>
    <row r="62" spans="1:9" ht="13.15" customHeight="1">
      <c r="A62" s="39" t="s">
        <v>191</v>
      </c>
      <c r="B62" s="40" t="s">
        <v>192</v>
      </c>
      <c r="C62" s="34" t="s">
        <v>193</v>
      </c>
      <c r="D62" s="34" t="s">
        <v>194</v>
      </c>
      <c r="E62" s="41">
        <v>8026</v>
      </c>
      <c r="F62" s="42">
        <v>71.844739000000004</v>
      </c>
      <c r="G62" s="43">
        <v>5.2714905357042E-3</v>
      </c>
      <c r="H62" s="44"/>
      <c r="I62" s="45">
        <v>68.3</v>
      </c>
    </row>
    <row r="63" spans="1:9" ht="13.15" customHeight="1">
      <c r="A63" s="39" t="s">
        <v>195</v>
      </c>
      <c r="B63" s="40" t="s">
        <v>196</v>
      </c>
      <c r="C63" s="34" t="s">
        <v>197</v>
      </c>
      <c r="D63" s="34" t="s">
        <v>29</v>
      </c>
      <c r="E63" s="41">
        <v>1145</v>
      </c>
      <c r="F63" s="42">
        <v>71.497807499999993</v>
      </c>
      <c r="G63" s="43">
        <v>5.2460350027836002E-3</v>
      </c>
      <c r="H63" s="44"/>
      <c r="I63" s="45">
        <v>77</v>
      </c>
    </row>
    <row r="64" spans="1:9" ht="13.15" customHeight="1">
      <c r="A64" s="39" t="s">
        <v>198</v>
      </c>
      <c r="B64" s="40" t="s">
        <v>199</v>
      </c>
      <c r="C64" s="34" t="s">
        <v>200</v>
      </c>
      <c r="D64" s="34" t="s">
        <v>201</v>
      </c>
      <c r="E64" s="41">
        <v>4719</v>
      </c>
      <c r="F64" s="42">
        <v>65.754546000000005</v>
      </c>
      <c r="G64" s="43">
        <v>4.8246325582520996E-3</v>
      </c>
      <c r="H64" s="44"/>
      <c r="I64" s="45">
        <v>74.8</v>
      </c>
    </row>
    <row r="65" spans="1:10" ht="13.15" customHeight="1">
      <c r="A65" s="39" t="s">
        <v>202</v>
      </c>
      <c r="B65" s="40" t="s">
        <v>203</v>
      </c>
      <c r="C65" s="34" t="s">
        <v>204</v>
      </c>
      <c r="D65" s="34" t="s">
        <v>148</v>
      </c>
      <c r="E65" s="41">
        <v>3013</v>
      </c>
      <c r="F65" s="42">
        <v>65.514672000000004</v>
      </c>
      <c r="G65" s="43">
        <v>4.8070321947688999E-3</v>
      </c>
      <c r="H65" s="44"/>
      <c r="I65" s="45">
        <v>74.7</v>
      </c>
    </row>
    <row r="66" spans="1:10" ht="13.15" customHeight="1">
      <c r="A66" s="39" t="s">
        <v>205</v>
      </c>
      <c r="B66" s="40" t="s">
        <v>206</v>
      </c>
      <c r="C66" s="34" t="s">
        <v>207</v>
      </c>
      <c r="D66" s="34" t="s">
        <v>208</v>
      </c>
      <c r="E66" s="41">
        <v>1903</v>
      </c>
      <c r="F66" s="42">
        <v>63.929381999999997</v>
      </c>
      <c r="G66" s="43">
        <v>4.6907141268398003E-3</v>
      </c>
      <c r="H66" s="44"/>
      <c r="I66" s="45">
        <v>63.6</v>
      </c>
    </row>
    <row r="67" spans="1:10" ht="13.15" customHeight="1">
      <c r="A67" s="39" t="s">
        <v>209</v>
      </c>
      <c r="B67" s="40" t="s">
        <v>210</v>
      </c>
      <c r="C67" s="34" t="s">
        <v>211</v>
      </c>
      <c r="D67" s="34" t="s">
        <v>201</v>
      </c>
      <c r="E67" s="41">
        <v>1662</v>
      </c>
      <c r="F67" s="42">
        <v>63.230789999999999</v>
      </c>
      <c r="G67" s="43">
        <v>4.6394560783371997E-3</v>
      </c>
      <c r="H67" s="44"/>
      <c r="I67" s="45">
        <v>72.5</v>
      </c>
    </row>
    <row r="68" spans="1:10" ht="13.15" customHeight="1">
      <c r="A68" s="39" t="s">
        <v>212</v>
      </c>
      <c r="B68" s="40" t="s">
        <v>213</v>
      </c>
      <c r="C68" s="34" t="s">
        <v>214</v>
      </c>
      <c r="D68" s="34" t="s">
        <v>184</v>
      </c>
      <c r="E68" s="41">
        <v>660</v>
      </c>
      <c r="F68" s="42">
        <v>53.162999999999997</v>
      </c>
      <c r="G68" s="43">
        <v>3.9007484090051998E-3</v>
      </c>
      <c r="H68" s="44"/>
      <c r="I68" s="45">
        <v>70.599999999999994</v>
      </c>
    </row>
    <row r="69" spans="1:10" ht="13.15" customHeight="1">
      <c r="A69" s="39" t="s">
        <v>215</v>
      </c>
      <c r="B69" s="40" t="s">
        <v>216</v>
      </c>
      <c r="C69" s="34" t="s">
        <v>217</v>
      </c>
      <c r="D69" s="34" t="s">
        <v>90</v>
      </c>
      <c r="E69" s="41">
        <v>4580</v>
      </c>
      <c r="F69" s="42">
        <v>47.615969999999997</v>
      </c>
      <c r="G69" s="43">
        <v>3.4937441307063E-3</v>
      </c>
      <c r="H69" s="44"/>
      <c r="I69" s="45">
        <v>69.8</v>
      </c>
    </row>
    <row r="70" spans="1:10" ht="13.15" customHeight="1">
      <c r="A70" s="39" t="s">
        <v>218</v>
      </c>
      <c r="B70" s="40" t="s">
        <v>219</v>
      </c>
      <c r="C70" s="34" t="s">
        <v>220</v>
      </c>
      <c r="D70" s="34" t="s">
        <v>201</v>
      </c>
      <c r="E70" s="41">
        <v>7294</v>
      </c>
      <c r="F70" s="42">
        <v>45.602088000000002</v>
      </c>
      <c r="G70" s="43">
        <v>3.3459788238684E-3</v>
      </c>
      <c r="H70" s="44"/>
      <c r="I70" s="45">
        <v>77.099999999999994</v>
      </c>
    </row>
    <row r="71" spans="1:10" ht="13.15" customHeight="1">
      <c r="A71" s="39" t="s">
        <v>221</v>
      </c>
      <c r="B71" s="40" t="s">
        <v>222</v>
      </c>
      <c r="C71" s="34" t="s">
        <v>223</v>
      </c>
      <c r="D71" s="34" t="s">
        <v>141</v>
      </c>
      <c r="E71" s="41">
        <v>6457</v>
      </c>
      <c r="F71" s="42">
        <v>44.901978</v>
      </c>
      <c r="G71" s="43">
        <v>3.2946093945918002E-3</v>
      </c>
      <c r="H71" s="44"/>
      <c r="I71" s="45">
        <v>74</v>
      </c>
    </row>
    <row r="72" spans="1:10" ht="13.15" customHeight="1">
      <c r="A72" s="39" t="s">
        <v>224</v>
      </c>
      <c r="B72" s="40" t="s">
        <v>225</v>
      </c>
      <c r="C72" s="34" t="s">
        <v>226</v>
      </c>
      <c r="D72" s="34" t="s">
        <v>227</v>
      </c>
      <c r="E72" s="41">
        <v>106</v>
      </c>
      <c r="F72" s="42">
        <v>39.939633999999998</v>
      </c>
      <c r="G72" s="43">
        <v>2.9305054978415001E-3</v>
      </c>
      <c r="H72" s="44"/>
      <c r="I72" s="45">
        <v>70.099999999999994</v>
      </c>
    </row>
    <row r="73" spans="1:10" ht="13.15" customHeight="1">
      <c r="A73" s="39" t="s">
        <v>228</v>
      </c>
      <c r="B73" s="40" t="s">
        <v>229</v>
      </c>
      <c r="C73" s="34" t="s">
        <v>230</v>
      </c>
      <c r="D73" s="34" t="s">
        <v>63</v>
      </c>
      <c r="E73" s="41">
        <v>1139</v>
      </c>
      <c r="F73" s="42">
        <v>38.686704499999998</v>
      </c>
      <c r="G73" s="43">
        <v>2.8385738394753998E-3</v>
      </c>
      <c r="H73" s="44"/>
      <c r="I73" s="45">
        <v>70</v>
      </c>
    </row>
    <row r="74" spans="1:10" ht="13.15" customHeight="1">
      <c r="A74" s="39" t="s">
        <v>231</v>
      </c>
      <c r="B74" s="40" t="s">
        <v>232</v>
      </c>
      <c r="C74" s="34" t="s">
        <v>233</v>
      </c>
      <c r="D74" s="34" t="s">
        <v>59</v>
      </c>
      <c r="E74" s="41">
        <v>3756</v>
      </c>
      <c r="F74" s="42">
        <v>37.922454000000002</v>
      </c>
      <c r="G74" s="43">
        <v>2.7824982056331E-3</v>
      </c>
      <c r="H74" s="44"/>
      <c r="I74" s="45">
        <v>70.8</v>
      </c>
    </row>
    <row r="75" spans="1:10" ht="13.15" customHeight="1">
      <c r="A75" s="39" t="s">
        <v>234</v>
      </c>
      <c r="B75" s="40" t="s">
        <v>235</v>
      </c>
      <c r="C75" s="34" t="s">
        <v>236</v>
      </c>
      <c r="D75" s="34" t="s">
        <v>148</v>
      </c>
      <c r="E75" s="41">
        <v>4855</v>
      </c>
      <c r="F75" s="42">
        <v>37.876282500000002</v>
      </c>
      <c r="G75" s="43">
        <v>2.7791104471324999E-3</v>
      </c>
      <c r="H75" s="44"/>
      <c r="I75" s="45">
        <v>76.2</v>
      </c>
    </row>
    <row r="76" spans="1:10" ht="13.15" customHeight="1">
      <c r="A76" s="39" t="s">
        <v>237</v>
      </c>
      <c r="B76" s="40" t="s">
        <v>238</v>
      </c>
      <c r="C76" s="34" t="s">
        <v>239</v>
      </c>
      <c r="D76" s="34" t="s">
        <v>240</v>
      </c>
      <c r="E76" s="41">
        <v>3791</v>
      </c>
      <c r="F76" s="42">
        <v>35.201330499999997</v>
      </c>
      <c r="G76" s="43">
        <v>2.5828402073386002E-3</v>
      </c>
      <c r="H76" s="44"/>
      <c r="I76" s="45">
        <v>67.599999999999994</v>
      </c>
    </row>
    <row r="77" spans="1:10" ht="13.15" customHeight="1">
      <c r="A77" s="39" t="s">
        <v>241</v>
      </c>
      <c r="B77" s="40" t="s">
        <v>242</v>
      </c>
      <c r="C77" s="34" t="s">
        <v>243</v>
      </c>
      <c r="D77" s="34" t="s">
        <v>63</v>
      </c>
      <c r="E77" s="41">
        <v>3137</v>
      </c>
      <c r="F77" s="42">
        <v>33.520413499999997</v>
      </c>
      <c r="G77" s="43">
        <v>2.4595056642650001E-3</v>
      </c>
      <c r="H77" s="44"/>
      <c r="I77" s="45">
        <v>70.3</v>
      </c>
    </row>
    <row r="78" spans="1:10" ht="13.15" customHeight="1">
      <c r="A78" s="39" t="s">
        <v>244</v>
      </c>
      <c r="B78" s="40" t="s">
        <v>245</v>
      </c>
      <c r="C78" s="34" t="s">
        <v>246</v>
      </c>
      <c r="D78" s="34" t="s">
        <v>55</v>
      </c>
      <c r="E78" s="41">
        <v>3677</v>
      </c>
      <c r="F78" s="42">
        <v>28.448948999999999</v>
      </c>
      <c r="G78" s="43">
        <v>2.0873952288174001E-3</v>
      </c>
      <c r="H78" s="44"/>
      <c r="I78" s="45">
        <v>78.3</v>
      </c>
    </row>
    <row r="79" spans="1:10" ht="13.15" customHeight="1">
      <c r="A79" s="39" t="s">
        <v>247</v>
      </c>
      <c r="B79" s="40" t="s">
        <v>248</v>
      </c>
      <c r="C79" s="34" t="s">
        <v>249</v>
      </c>
      <c r="D79" s="34" t="s">
        <v>180</v>
      </c>
      <c r="E79" s="41">
        <v>3429</v>
      </c>
      <c r="F79" s="42">
        <v>26.969085</v>
      </c>
      <c r="G79" s="43">
        <v>1.9788126216743998E-3</v>
      </c>
      <c r="H79" s="44"/>
      <c r="I79" s="45">
        <v>72.400000000000006</v>
      </c>
    </row>
    <row r="80" spans="1:10" ht="13.15" customHeight="1">
      <c r="A80" s="21"/>
      <c r="B80" s="33" t="s">
        <v>250</v>
      </c>
      <c r="C80" s="34"/>
      <c r="D80" s="34"/>
      <c r="E80" s="34"/>
      <c r="F80" s="46">
        <v>13633.4690708</v>
      </c>
      <c r="G80" s="47">
        <v>1.0003335550504</v>
      </c>
      <c r="H80" s="48"/>
      <c r="I80" s="49">
        <f>SUMPRODUCT(I8:I79,G8:G79)</f>
        <v>73.527577119481847</v>
      </c>
      <c r="J80" s="50" t="s">
        <v>251</v>
      </c>
    </row>
    <row r="81" spans="1:8" ht="13.15" customHeight="1">
      <c r="A81" s="21"/>
      <c r="B81" s="51" t="s">
        <v>252</v>
      </c>
      <c r="C81" s="52"/>
      <c r="D81" s="52"/>
      <c r="E81" s="52"/>
      <c r="F81" s="53" t="s">
        <v>253</v>
      </c>
      <c r="G81" s="47" t="s">
        <v>253</v>
      </c>
      <c r="H81" s="48"/>
    </row>
    <row r="82" spans="1:8" ht="13.15" customHeight="1">
      <c r="A82" s="21"/>
      <c r="B82" s="51" t="s">
        <v>250</v>
      </c>
      <c r="C82" s="52"/>
      <c r="D82" s="52"/>
      <c r="E82" s="52"/>
      <c r="F82" s="53" t="s">
        <v>253</v>
      </c>
      <c r="G82" s="47" t="s">
        <v>253</v>
      </c>
      <c r="H82" s="48"/>
    </row>
    <row r="83" spans="1:8" ht="13.15" customHeight="1">
      <c r="A83" s="21"/>
      <c r="B83" s="51" t="s">
        <v>254</v>
      </c>
      <c r="C83" s="54"/>
      <c r="D83" s="52"/>
      <c r="E83" s="54"/>
      <c r="F83" s="46">
        <v>13633.4690708</v>
      </c>
      <c r="G83" s="47">
        <v>1.0003335550504</v>
      </c>
      <c r="H83" s="48"/>
    </row>
    <row r="84" spans="1:8" ht="13.15" customHeight="1">
      <c r="A84" s="21"/>
      <c r="B84" s="33" t="s">
        <v>255</v>
      </c>
      <c r="C84" s="34"/>
      <c r="D84" s="34"/>
      <c r="E84" s="34"/>
      <c r="F84" s="35"/>
      <c r="G84" s="36"/>
      <c r="H84" s="37"/>
    </row>
    <row r="85" spans="1:8" ht="13.15" customHeight="1">
      <c r="A85" s="39" t="s">
        <v>256</v>
      </c>
      <c r="B85" s="40" t="s">
        <v>257</v>
      </c>
      <c r="C85" s="34"/>
      <c r="D85" s="34" t="s">
        <v>258</v>
      </c>
      <c r="E85" s="41"/>
      <c r="F85" s="42">
        <v>0.98816000000000004</v>
      </c>
      <c r="G85" s="43">
        <v>7.2504628178293002E-5</v>
      </c>
      <c r="H85" s="55">
        <v>6.5877869137783998E-2</v>
      </c>
    </row>
    <row r="86" spans="1:8" ht="13.15" customHeight="1">
      <c r="A86" s="21"/>
      <c r="B86" s="33" t="s">
        <v>250</v>
      </c>
      <c r="C86" s="34"/>
      <c r="D86" s="34"/>
      <c r="E86" s="34"/>
      <c r="F86" s="46">
        <v>0.98816000000000004</v>
      </c>
      <c r="G86" s="47">
        <v>7.2504628178293002E-5</v>
      </c>
      <c r="H86" s="48"/>
    </row>
    <row r="87" spans="1:8" ht="13.15" customHeight="1">
      <c r="A87" s="21"/>
      <c r="B87" s="51" t="s">
        <v>254</v>
      </c>
      <c r="C87" s="54"/>
      <c r="D87" s="52"/>
      <c r="E87" s="54"/>
      <c r="F87" s="46">
        <v>0.98816000000000004</v>
      </c>
      <c r="G87" s="47">
        <v>7.2504628178293002E-5</v>
      </c>
      <c r="H87" s="48"/>
    </row>
    <row r="88" spans="1:8" ht="13.15" customHeight="1">
      <c r="A88" s="21"/>
      <c r="B88" s="51" t="s">
        <v>259</v>
      </c>
      <c r="C88" s="34"/>
      <c r="D88" s="52"/>
      <c r="E88" s="34"/>
      <c r="F88" s="46">
        <v>-5.5341561231001002</v>
      </c>
      <c r="G88" s="47">
        <v>-4.0605967858037999E-4</v>
      </c>
      <c r="H88" s="48"/>
    </row>
    <row r="89" spans="1:8" ht="13.15" customHeight="1" thickBot="1">
      <c r="A89" s="21"/>
      <c r="B89" s="56" t="s">
        <v>260</v>
      </c>
      <c r="C89" s="57"/>
      <c r="D89" s="57"/>
      <c r="E89" s="57"/>
      <c r="F89" s="58">
        <v>13628.923074677001</v>
      </c>
      <c r="G89" s="59">
        <v>1</v>
      </c>
      <c r="H89" s="60"/>
    </row>
    <row r="90" spans="1:8" ht="13.15" customHeight="1">
      <c r="A90" s="21"/>
      <c r="B90" s="9"/>
      <c r="C90" s="21"/>
      <c r="D90" s="21"/>
      <c r="E90" s="21"/>
      <c r="F90" s="23"/>
      <c r="G90" s="24"/>
      <c r="H90" s="21"/>
    </row>
    <row r="91" spans="1:8" ht="13.15" customHeight="1">
      <c r="A91" s="21"/>
      <c r="B91" s="61" t="s">
        <v>258</v>
      </c>
      <c r="C91" s="21"/>
      <c r="D91" s="21"/>
      <c r="E91" s="21"/>
      <c r="F91" s="23"/>
      <c r="G91" s="24"/>
      <c r="H91" s="21"/>
    </row>
    <row r="92" spans="1:8" ht="13.15" customHeight="1">
      <c r="A92" s="21"/>
      <c r="B92" s="61"/>
      <c r="C92" s="21"/>
      <c r="D92" s="21"/>
      <c r="E92" s="21"/>
      <c r="F92" s="23"/>
      <c r="G92" s="24"/>
      <c r="H92" s="21"/>
    </row>
    <row r="93" spans="1:8" ht="13.15" customHeight="1">
      <c r="A93" s="21"/>
      <c r="B93" s="61"/>
      <c r="C93" s="21"/>
      <c r="D93" s="21"/>
      <c r="E93" s="21"/>
      <c r="F93" s="23"/>
      <c r="G93" s="24"/>
      <c r="H93" s="21"/>
    </row>
    <row r="104" spans="2:8">
      <c r="B104" s="62" t="s">
        <v>261</v>
      </c>
      <c r="C104" s="62"/>
      <c r="D104" s="62"/>
      <c r="E104" s="62"/>
      <c r="F104" s="62"/>
      <c r="G104" s="62"/>
      <c r="H104" s="62"/>
    </row>
    <row r="105" spans="2:8">
      <c r="B105" s="62"/>
      <c r="C105" s="62"/>
      <c r="D105" s="62"/>
      <c r="E105" s="62"/>
      <c r="F105" s="62"/>
      <c r="G105" s="62"/>
      <c r="H105" s="62"/>
    </row>
    <row r="106" spans="2:8">
      <c r="B106" s="62"/>
      <c r="C106" s="62"/>
      <c r="D106" s="62"/>
      <c r="E106" s="62"/>
      <c r="F106" s="62"/>
      <c r="G106" s="62"/>
      <c r="H106" s="62"/>
    </row>
  </sheetData>
  <mergeCells count="5">
    <mergeCell ref="B1:I2"/>
    <mergeCell ref="B3:I3"/>
    <mergeCell ref="B4:I4"/>
    <mergeCell ref="B5:H5"/>
    <mergeCell ref="B104:H106"/>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MAETF</vt:lpstr>
      <vt:lpstr>JR_PAGE_ANCHOR_0_16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Vachhani</dc:creator>
  <cp:lastModifiedBy>Nihal Vachhani</cp:lastModifiedBy>
  <dcterms:created xsi:type="dcterms:W3CDTF">2024-10-08T09:54:09Z</dcterms:created>
  <dcterms:modified xsi:type="dcterms:W3CDTF">2024-10-08T09:54:09Z</dcterms:modified>
</cp:coreProperties>
</file>