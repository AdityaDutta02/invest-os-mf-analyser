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Kanvinde.Revati\Documents\Dec Monthly Portfolio\"/>
    </mc:Choice>
  </mc:AlternateContent>
  <xr:revisionPtr revIDLastSave="0" documentId="8_{B996C5CF-3E53-46E7-B89D-9CF70BC504F7}" xr6:coauthVersionLast="36" xr6:coauthVersionMax="36" xr10:uidLastSave="{00000000-0000-0000-0000-000000000000}"/>
  <bookViews>
    <workbookView xWindow="0" yWindow="0" windowWidth="20490" windowHeight="7245" xr2:uid="{24A26D72-F6B5-4F30-8D49-DFC3EC5E266C}"/>
  </bookViews>
  <sheets>
    <sheet name="MAETF" sheetId="1" r:id="rId1"/>
  </sheets>
  <externalReferences>
    <externalReference r:id="rId2"/>
  </externalReferences>
  <definedNames>
    <definedName name="JR_PAGE_ANCHOR_0_11">#REF!</definedName>
    <definedName name="JR_PAGE_ANCHOR_0_12">#REF!</definedName>
    <definedName name="JR_PAGE_ANCHOR_0_13">#REF!</definedName>
    <definedName name="JR_PAGE_ANCHOR_0_14">#REF!</definedName>
    <definedName name="JR_PAGE_ANCHOR_0_16">#REF!</definedName>
    <definedName name="JR_PAGE_ANCHOR_0_18">#REF!</definedName>
    <definedName name="JR_PAGE_ANCHOR_0_19">#REF!</definedName>
    <definedName name="JR_PAGE_ANCHOR_0_20">MAETF!$A$1</definedName>
    <definedName name="JR_PAGE_ANCHOR_0_21">#REF!</definedName>
    <definedName name="JR_PAGE_ANCHOR_0_22">#REF!</definedName>
    <definedName name="JR_PAGE_ANCHOR_0_27">#REF!</definedName>
    <definedName name="JR_PAGE_ANCHOR_0_30">#REF!</definedName>
    <definedName name="JR_PAGE_ANCHOR_0_31">#REF!</definedName>
    <definedName name="JR_PAGE_ANCHOR_0_32">#REF!</definedName>
    <definedName name="JR_PAGE_ANCHOR_0_33">#REF!</definedName>
    <definedName name="JR_PAGE_ANCHOR_0_35">#REF!</definedName>
    <definedName name="JR_PAGE_ANCHOR_0_36">#REF!</definedName>
    <definedName name="JR_PAGE_ANCHOR_0_48">#REF!</definedName>
    <definedName name="JR_PAGE_ANCHOR_0_5">#REF!</definedName>
    <definedName name="JR_PAGE_ANCHOR_0_50">#REF!</definedName>
    <definedName name="JR_PAGE_ANCHOR_0_54">#REF!</definedName>
    <definedName name="JR_PAGE_ANCHOR_0_55">#REF!</definedName>
    <definedName name="JR_PAGE_ANCHOR_0_56">#REF!</definedName>
    <definedName name="JR_PAGE_ANCHOR_0_59">#REF!</definedName>
    <definedName name="JR_PAGE_ANCHOR_0_61">#REF!</definedName>
    <definedName name="JR_PAGE_ANCHOR_0_62">#REF!</definedName>
    <definedName name="JR_PAGE_ANCHOR_0_9">#REF!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1" i="1" l="1"/>
</calcChain>
</file>

<file path=xl/sharedStrings.xml><?xml version="1.0" encoding="utf-8"?>
<sst xmlns="http://schemas.openxmlformats.org/spreadsheetml/2006/main" count="313" uniqueCount="264">
  <si>
    <t>Mirae Asset Nifty 100 ESG Sector Leaders ETF (MAESGETF)</t>
  </si>
  <si>
    <t>(An open ended scheme replicating/tracking Nifty100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</si>
  <si>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</si>
  <si>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</si>
  <si>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December 31,2024</t>
  </si>
  <si>
    <t>Name of the Instrument</t>
  </si>
  <si>
    <t>ISIN</t>
  </si>
  <si>
    <t>Industry</t>
  </si>
  <si>
    <t>Quantity</t>
  </si>
  <si>
    <t>Market/Fair Value(Rs. in Lacs)</t>
  </si>
  <si>
    <t>% to Net Assets</t>
  </si>
  <si>
    <t>YTM</t>
  </si>
  <si>
    <t>ESG Score*</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</si>
  <si>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</si>
  <si>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</si>
  <si>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</si>
  <si>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</si>
  <si>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</si>
  <si>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</si>
  <si>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</si>
  <si>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</si>
  <si>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</si>
  <si>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</si>
  <si>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</si>
  <si>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</si>
  <si>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</si>
  <si>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BTVL02</t>
  </si>
  <si>
    <t>Bharti Airtel Limited</t>
  </si>
  <si>
    <t>INE397D01024</t>
  </si>
  <si>
    <t>Telecom - Services</t>
  </si>
  <si>
    <t>LARS02</t>
  </si>
  <si>
    <t>Larsen &amp; Toubro Limited</t>
  </si>
  <si>
    <t>INE018A01030</t>
  </si>
  <si>
    <t>Construction</t>
  </si>
  <si>
    <t>TCSL01</t>
  </si>
  <si>
    <t>Tata Consultancy Services Limited</t>
  </si>
  <si>
    <t>INE467B01029</t>
  </si>
  <si>
    <t>IT - Software</t>
  </si>
  <si>
    <t>UTIB02</t>
  </si>
  <si>
    <t>Axis Bank Limited</t>
  </si>
  <si>
    <t>INE238A01034</t>
  </si>
  <si>
    <t>MAHI02</t>
  </si>
  <si>
    <t>Mahindra &amp; Mahindra Limited</t>
  </si>
  <si>
    <t>INE101A01026</t>
  </si>
  <si>
    <t>Automobiles</t>
  </si>
  <si>
    <t>HLEL02</t>
  </si>
  <si>
    <t>Hindustan Unilever Limited</t>
  </si>
  <si>
    <t>INE030A01027</t>
  </si>
  <si>
    <t>Diversified FMCG</t>
  </si>
  <si>
    <t>SPIL03</t>
  </si>
  <si>
    <t>Sun Pharmaceutical Industries Limited</t>
  </si>
  <si>
    <t>INE044A01036</t>
  </si>
  <si>
    <t>Pharmaceuticals &amp; Biotechnology</t>
  </si>
  <si>
    <t>HCLT02</t>
  </si>
  <si>
    <t>HCL Technologies Limited</t>
  </si>
  <si>
    <t>INE860A01027</t>
  </si>
  <si>
    <t>ZMPL01</t>
  </si>
  <si>
    <t>Zomato Limited</t>
  </si>
  <si>
    <t>INE758T01015</t>
  </si>
  <si>
    <t>Retailing</t>
  </si>
  <si>
    <t>BAFL02</t>
  </si>
  <si>
    <t>Bajaj Finance Limited</t>
  </si>
  <si>
    <t>INE296A01024</t>
  </si>
  <si>
    <t>Finance</t>
  </si>
  <si>
    <t>LAKM02</t>
  </si>
  <si>
    <t>Trent Limited</t>
  </si>
  <si>
    <t>INE849A01020</t>
  </si>
  <si>
    <t>NTPC01</t>
  </si>
  <si>
    <t>NTPC Limited</t>
  </si>
  <si>
    <t>INE733E01010</t>
  </si>
  <si>
    <t>Power</t>
  </si>
  <si>
    <t>TELC03</t>
  </si>
  <si>
    <t>Tata Motors Limited</t>
  </si>
  <si>
    <t>INE155A01022</t>
  </si>
  <si>
    <t>MAUD01</t>
  </si>
  <si>
    <t>Maruti Suzuki India Limited</t>
  </si>
  <si>
    <t>INE585B01010</t>
  </si>
  <si>
    <t>TWAT02</t>
  </si>
  <si>
    <t>Titan Company Limited</t>
  </si>
  <si>
    <t>INE280A01028</t>
  </si>
  <si>
    <t>Consumer Durables</t>
  </si>
  <si>
    <t>ULCC01</t>
  </si>
  <si>
    <t>UltraTech Cement Limited</t>
  </si>
  <si>
    <t>INE481G01011</t>
  </si>
  <si>
    <t>Cement &amp; Cement Products</t>
  </si>
  <si>
    <t>TISC03</t>
  </si>
  <si>
    <t>Tata Steel Limited</t>
  </si>
  <si>
    <t>INE081A01020</t>
  </si>
  <si>
    <t>Ferrous Metals</t>
  </si>
  <si>
    <t>TEMA02</t>
  </si>
  <si>
    <t>Tech Mahindra Limited</t>
  </si>
  <si>
    <t>INE669C01036</t>
  </si>
  <si>
    <t>ASPA02</t>
  </si>
  <si>
    <t>Asian Paints Limited</t>
  </si>
  <si>
    <t>INE021A01026</t>
  </si>
  <si>
    <t>GRAS02</t>
  </si>
  <si>
    <t>Grasim Industries Limited</t>
  </si>
  <si>
    <t>INE047A01021</t>
  </si>
  <si>
    <t>MUND02</t>
  </si>
  <si>
    <t>Adani Ports and Special Economic Zone Limited</t>
  </si>
  <si>
    <t>INE742F01042</t>
  </si>
  <si>
    <t>Transport Infrastructure</t>
  </si>
  <si>
    <t>INAV01</t>
  </si>
  <si>
    <t>InterGlobe Aviation Limited</t>
  </si>
  <si>
    <t>INE646L01027</t>
  </si>
  <si>
    <t>Transport Services</t>
  </si>
  <si>
    <t>HINI02</t>
  </si>
  <si>
    <t>Hindalco Industries Limited</t>
  </si>
  <si>
    <t>INE038A01020</t>
  </si>
  <si>
    <t>Non - Ferrous Metals</t>
  </si>
  <si>
    <t>JVSL04</t>
  </si>
  <si>
    <t>JSW Steel Limited</t>
  </si>
  <si>
    <t>INE019A01038</t>
  </si>
  <si>
    <t>BFSL02</t>
  </si>
  <si>
    <t>Bajaj Finserv Limited</t>
  </si>
  <si>
    <t>INE918I01026</t>
  </si>
  <si>
    <t>VNBL03</t>
  </si>
  <si>
    <t>Varun Beverages Limited</t>
  </si>
  <si>
    <t>INE200M01039</t>
  </si>
  <si>
    <t>Beverages</t>
  </si>
  <si>
    <t>WIPR02</t>
  </si>
  <si>
    <t>Wipro Limited</t>
  </si>
  <si>
    <t>INE075A01022</t>
  </si>
  <si>
    <t>DRRL03</t>
  </si>
  <si>
    <t>Dr. Reddy's Laboratories Limited</t>
  </si>
  <si>
    <t>INE089A01031</t>
  </si>
  <si>
    <t>CIPL03</t>
  </si>
  <si>
    <t>Cipla Limited</t>
  </si>
  <si>
    <t>INE059A01026</t>
  </si>
  <si>
    <t>SHTR01</t>
  </si>
  <si>
    <t>Shriram Finance Limited</t>
  </si>
  <si>
    <t>INE721A01013</t>
  </si>
  <si>
    <t>NEST02</t>
  </si>
  <si>
    <t>Nestle India Limited</t>
  </si>
  <si>
    <t>INE239A01024</t>
  </si>
  <si>
    <t>Food Products</t>
  </si>
  <si>
    <t>DIVI02</t>
  </si>
  <si>
    <t>Divi's Laboratories Limited</t>
  </si>
  <si>
    <t>INE361B01024</t>
  </si>
  <si>
    <t>APOL02</t>
  </si>
  <si>
    <t>Apollo Hospitals Enterprise Limited</t>
  </si>
  <si>
    <t>INE437A01024</t>
  </si>
  <si>
    <t>Healthcare Services</t>
  </si>
  <si>
    <t>IEIN01</t>
  </si>
  <si>
    <t>Info Edge (India) Limited</t>
  </si>
  <si>
    <t>INE663F01024</t>
  </si>
  <si>
    <t>EIML02</t>
  </si>
  <si>
    <t>Eicher Motors Limited</t>
  </si>
  <si>
    <t>INE066A01021</t>
  </si>
  <si>
    <t>TPOW02</t>
  </si>
  <si>
    <t>Tata Power Company Limited</t>
  </si>
  <si>
    <t>INE245A01021</t>
  </si>
  <si>
    <t>HDLI01</t>
  </si>
  <si>
    <t>HDFC Life Insurance Company Limited</t>
  </si>
  <si>
    <t>INE795G01014</t>
  </si>
  <si>
    <t>Insurance</t>
  </si>
  <si>
    <t>IIBL01</t>
  </si>
  <si>
    <t>IndusInd Bank Limited</t>
  </si>
  <si>
    <t>INE095A01012</t>
  </si>
  <si>
    <t>RELC01</t>
  </si>
  <si>
    <t>REC Limited</t>
  </si>
  <si>
    <t>INE020B01018</t>
  </si>
  <si>
    <t>SLIF01</t>
  </si>
  <si>
    <t>SBI Life Insurance Company Limited</t>
  </si>
  <si>
    <t>INE123W01016</t>
  </si>
  <si>
    <t>SIEM02</t>
  </si>
  <si>
    <t>Siemens Limited</t>
  </si>
  <si>
    <t>INE003A01024</t>
  </si>
  <si>
    <t>Electrical Equipment</t>
  </si>
  <si>
    <t>SAEL02</t>
  </si>
  <si>
    <t>TVS Motor Company Limited</t>
  </si>
  <si>
    <t>INE494B01023</t>
  </si>
  <si>
    <t>HERO02</t>
  </si>
  <si>
    <t>Hero MotoCorp Limited</t>
  </si>
  <si>
    <t>INE158A01026</t>
  </si>
  <si>
    <t>DLFL01</t>
  </si>
  <si>
    <t>DLF Limited</t>
  </si>
  <si>
    <t>INE271C01023</t>
  </si>
  <si>
    <t>Realty</t>
  </si>
  <si>
    <t>AVSP01</t>
  </si>
  <si>
    <t>Avenue Supermarts Limited</t>
  </si>
  <si>
    <t>INE192R01011</t>
  </si>
  <si>
    <t>LTIL01</t>
  </si>
  <si>
    <t>LTIMindtree Limited</t>
  </si>
  <si>
    <t>INE214T01019</t>
  </si>
  <si>
    <t>IOIC01</t>
  </si>
  <si>
    <t>Indian Oil Corporation Limited</t>
  </si>
  <si>
    <t>INE242A01010</t>
  </si>
  <si>
    <t>CHOL02</t>
  </si>
  <si>
    <t>Cholamandalam Investment and Finance Company Ltd</t>
  </si>
  <si>
    <t>INE121A01024</t>
  </si>
  <si>
    <t>PIDI02</t>
  </si>
  <si>
    <t>Pidilite Industries Limited</t>
  </si>
  <si>
    <t>INE318A01026</t>
  </si>
  <si>
    <t>Chemicals &amp; Petrochemicals</t>
  </si>
  <si>
    <t>ILOM01</t>
  </si>
  <si>
    <t>ICICI Lombard General Insurance Company Limited</t>
  </si>
  <si>
    <t>INE765G01017</t>
  </si>
  <si>
    <t>ADAP01</t>
  </si>
  <si>
    <t>Adani Power Limited</t>
  </si>
  <si>
    <t>INE814H01011</t>
  </si>
  <si>
    <t>GCPL02</t>
  </si>
  <si>
    <t>Godrej Consumer Products Limited</t>
  </si>
  <si>
    <t>INE102D01028</t>
  </si>
  <si>
    <t>Personal Products</t>
  </si>
  <si>
    <t>MACR01</t>
  </si>
  <si>
    <t>Macrotech Developers Limited</t>
  </si>
  <si>
    <t>INE670K01029</t>
  </si>
  <si>
    <t>ASEA02</t>
  </si>
  <si>
    <t>ABB India Limited</t>
  </si>
  <si>
    <t>INE117A01022</t>
  </si>
  <si>
    <t>JSPL03</t>
  </si>
  <si>
    <t>Jindal Steel &amp; Power Limited</t>
  </si>
  <si>
    <t>INE749A01030</t>
  </si>
  <si>
    <t>JSWE01</t>
  </si>
  <si>
    <t>JSW Energy Limited</t>
  </si>
  <si>
    <t>INE121E01018</t>
  </si>
  <si>
    <t>AGEL01</t>
  </si>
  <si>
    <t>Adani Green Energy Limited</t>
  </si>
  <si>
    <t>INE364U01010</t>
  </si>
  <si>
    <t>TOPH02</t>
  </si>
  <si>
    <t>Torrent Pharmaceuticals Limited</t>
  </si>
  <si>
    <t>INE685A01028</t>
  </si>
  <si>
    <t>DABU02</t>
  </si>
  <si>
    <t>Dabur India Limited</t>
  </si>
  <si>
    <t>INE016A01026</t>
  </si>
  <si>
    <t>BHAH02</t>
  </si>
  <si>
    <t>Bharat Heavy Electricals Limited</t>
  </si>
  <si>
    <t>INE257A01026</t>
  </si>
  <si>
    <t>ADTL01</t>
  </si>
  <si>
    <t>Adani Energy Solutions Limited</t>
  </si>
  <si>
    <t>INE931S01010</t>
  </si>
  <si>
    <t>IPLI01</t>
  </si>
  <si>
    <t>ICICI Prudential Life Insurance Company Limited</t>
  </si>
  <si>
    <t>INE726G01019</t>
  </si>
  <si>
    <t>NHPC01</t>
  </si>
  <si>
    <t>NHPC Limited</t>
  </si>
  <si>
    <t>INE848E01016</t>
  </si>
  <si>
    <t>CHEL02</t>
  </si>
  <si>
    <t>Zydus Lifesciences Limited</t>
  </si>
  <si>
    <t>INE010B01027</t>
  </si>
  <si>
    <t>IRCT02</t>
  </si>
  <si>
    <t>Indian Railway Catering And Tourism Corporation Limited</t>
  </si>
  <si>
    <t>INE335Y01020</t>
  </si>
  <si>
    <t>Leisure Services</t>
  </si>
  <si>
    <t>UNBI01</t>
  </si>
  <si>
    <t>Union Bank of India</t>
  </si>
  <si>
    <t>INE692A01016</t>
  </si>
  <si>
    <t>ADGL01</t>
  </si>
  <si>
    <t>Adani Total Gas Limited</t>
  </si>
  <si>
    <t>INE399L01023</t>
  </si>
  <si>
    <t>Gas</t>
  </si>
  <si>
    <t>Sub Total</t>
  </si>
  <si>
    <t>Weighted Average Fund Score</t>
  </si>
  <si>
    <t>(b) Unlisted</t>
  </si>
  <si>
    <t>NIL</t>
  </si>
  <si>
    <t>Total</t>
  </si>
  <si>
    <t>TREPS / Reverse Repo</t>
  </si>
  <si>
    <t>TRP_010125</t>
  </si>
  <si>
    <t>TREPS</t>
  </si>
  <si>
    <t>Net Receivables / (Payables)</t>
  </si>
  <si>
    <t>GRAND TOTAL</t>
  </si>
  <si>
    <t xml:space="preserve">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</si>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</sst>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4">
    <font>
      <sz val="11"/>
      <color rgb="FF000000"/>
      <name val="Calibri"/>
      <family val="2"/>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sz val="10"/>
      <color rgb="FF000000"/>
      <name val="Calibri"/>
      <family val="2"/>
    </font>
    <font>
      <b/>
      <sz val="10"/>
      <color rgb="FF000000"/>
      <name val="Arial"/>
      <family val="2"/>
    </font>
    <font>
      <b/>
      <sz val="11"/>
      <color rgb="FF000000"/>
      <name val="Calibri"/>
      <family val="2"/>
    </font>
    <font>
      <b/>
      <sz val="9"/>
      <color rgb="FF000000"/>
      <name val="Arial"/>
      <family val="2"/>
    </font>
    <font>
      <b/>
      <sz val="10"/>
      <color rgb="FF000000"/>
      <name val="SansSerif"/>
    </font>
    <font>
      <sz val="10"/>
      <color rgb="FF000000"/>
      <name val="SansSerif"/>
    </font>
    <font>
      <sz val="9"/>
      <color rgb="FFFFFFFF"/>
      <name val="Arial"/>
      <family val="2"/>
    </font>
    <font>
      <b/>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2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FFFFFF"/>
      </bottom>
      <diagonal/>
    </border>
    <border>
      <left/>
      <right/>
      <top/>
      <bottom style="thin">
        <color rgb="FFFFFFFF"/>
      </bottom>
      <diagonal/>
    </border>
    <border>
      <left/>
      <right style="medium">
        <color rgb="FF000000"/>
      </right>
      <top/>
      <bottom style="thin">
        <color rgb="FFFFFFF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56">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vertical="center" wrapText="1"/>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vertical="center" wrapText="1"/>
    </xf>
    <xf numFmtId="0" fontId="4" fillId="0" borderId="0" xfId="0" applyFont="1" applyAlignment="1">
      <alignment horizontal="left" vertical="top"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6"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8" fillId="0" borderId="11" xfId="0" applyFont="1" applyBorder="1" applyAlignment="1">
      <alignment horizontal="center" vertical="center"/>
    </xf>
    <xf numFmtId="0" fontId="7" fillId="0" borderId="12" xfId="0" applyFont="1" applyBorder="1" applyAlignment="1">
      <alignment horizontal="left" vertical="center" wrapText="1"/>
    </xf>
    <xf numFmtId="0" fontId="5" fillId="0" borderId="12" xfId="0" applyFont="1" applyBorder="1" applyAlignment="1">
      <alignment wrapText="1"/>
    </xf>
    <xf numFmtId="4" fontId="5" fillId="0" borderId="12" xfId="0" applyNumberFormat="1" applyFont="1" applyBorder="1" applyAlignment="1">
      <alignment wrapText="1"/>
    </xf>
    <xf numFmtId="10" fontId="5" fillId="0" borderId="12" xfId="0" applyNumberFormat="1" applyFont="1" applyBorder="1" applyAlignment="1">
      <alignment wrapText="1"/>
    </xf>
    <xf numFmtId="9" fontId="3" fillId="0" borderId="0" xfId="0" applyNumberFormat="1" applyFont="1"/>
    <xf numFmtId="0" fontId="0" fillId="0" borderId="0" xfId="0" applyAlignment="1" applyProtection="1">
      <alignment wrapText="1"/>
      <protection locked="0"/>
    </xf>
    <xf numFmtId="0" fontId="9" fillId="0" borderId="0" xfId="0" applyFont="1" applyAlignment="1">
      <alignment horizontal="center" vertical="center" wrapText="1"/>
    </xf>
    <xf numFmtId="0" fontId="10" fillId="0" borderId="0" xfId="0" applyFont="1" applyAlignment="1">
      <alignment horizontal="left" vertical="top"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2" fontId="9" fillId="0" borderId="16" xfId="0" applyNumberFormat="1" applyFont="1" applyBorder="1" applyAlignment="1">
      <alignment horizontal="center" vertical="center" wrapText="1"/>
    </xf>
    <xf numFmtId="0" fontId="9"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19" xfId="0" applyFont="1" applyBorder="1" applyAlignment="1">
      <alignment horizontal="left" vertical="top" wrapText="1"/>
    </xf>
    <xf numFmtId="0" fontId="11" fillId="0" borderId="20" xfId="0" applyFont="1" applyBorder="1" applyAlignment="1">
      <alignment horizontal="right" vertical="top" wrapText="1"/>
    </xf>
    <xf numFmtId="0" fontId="12" fillId="0" borderId="0" xfId="0" applyFont="1" applyAlignment="1">
      <alignment horizontal="left" vertical="top" wrapText="1"/>
    </xf>
    <xf numFmtId="0" fontId="4" fillId="0" borderId="17" xfId="0" applyFont="1" applyBorder="1" applyAlignment="1">
      <alignment horizontal="left" vertical="top" wrapText="1"/>
    </xf>
    <xf numFmtId="3" fontId="4" fillId="0" borderId="18" xfId="0" applyNumberFormat="1" applyFont="1" applyBorder="1" applyAlignment="1">
      <alignment horizontal="right" vertical="top" wrapText="1"/>
    </xf>
    <xf numFmtId="4" fontId="4" fillId="0" borderId="18" xfId="0" applyNumberFormat="1" applyFont="1" applyBorder="1" applyAlignment="1">
      <alignment horizontal="right" vertical="top" wrapText="1"/>
    </xf>
    <xf numFmtId="164" fontId="4" fillId="0" borderId="18" xfId="0" applyNumberFormat="1" applyFont="1" applyBorder="1" applyAlignment="1">
      <alignment horizontal="right" vertical="top" wrapText="1"/>
    </xf>
    <xf numFmtId="164" fontId="11" fillId="0" borderId="20" xfId="0" applyNumberFormat="1" applyFont="1" applyBorder="1" applyAlignment="1">
      <alignment horizontal="right" vertical="top" wrapText="1"/>
    </xf>
    <xf numFmtId="165" fontId="0" fillId="0" borderId="0" xfId="0" applyNumberFormat="1"/>
    <xf numFmtId="4" fontId="9" fillId="0" borderId="16" xfId="0" applyNumberFormat="1" applyFont="1" applyBorder="1" applyAlignment="1">
      <alignment horizontal="right" vertical="top" wrapText="1"/>
    </xf>
    <xf numFmtId="164" fontId="9" fillId="0" borderId="21" xfId="0" applyNumberFormat="1" applyFont="1" applyBorder="1" applyAlignment="1">
      <alignment horizontal="right" vertical="top" wrapText="1"/>
    </xf>
    <xf numFmtId="0" fontId="9" fillId="0" borderId="22" xfId="0" applyFont="1" applyBorder="1" applyAlignment="1">
      <alignment horizontal="right" vertical="top" wrapText="1"/>
    </xf>
    <xf numFmtId="165" fontId="13" fillId="0" borderId="23" xfId="0" applyNumberFormat="1" applyFont="1" applyBorder="1" applyAlignment="1">
      <alignment vertical="center"/>
    </xf>
    <xf numFmtId="0" fontId="13" fillId="0" borderId="0" xfId="0" applyFont="1"/>
    <xf numFmtId="0" fontId="9" fillId="0" borderId="23" xfId="0" applyFont="1" applyBorder="1" applyAlignment="1">
      <alignment horizontal="left" vertical="top" wrapText="1"/>
    </xf>
    <xf numFmtId="0" fontId="4" fillId="0" borderId="21" xfId="0" applyFont="1" applyBorder="1" applyAlignment="1">
      <alignment horizontal="left" vertical="top" wrapText="1"/>
    </xf>
    <xf numFmtId="0" fontId="9" fillId="0" borderId="21" xfId="0" applyFont="1" applyBorder="1" applyAlignment="1">
      <alignment horizontal="right" vertical="top" wrapText="1"/>
    </xf>
    <xf numFmtId="0" fontId="4" fillId="0" borderId="16" xfId="0" applyFont="1" applyBorder="1" applyAlignment="1">
      <alignment horizontal="left" vertical="top" wrapText="1"/>
    </xf>
    <xf numFmtId="0" fontId="9" fillId="0" borderId="24" xfId="0" applyFont="1" applyBorder="1" applyAlignment="1">
      <alignment horizontal="left" vertical="top" wrapText="1"/>
    </xf>
    <xf numFmtId="0" fontId="4" fillId="0" borderId="25" xfId="0" applyFont="1" applyBorder="1" applyAlignment="1">
      <alignment horizontal="left" vertical="top" wrapText="1"/>
    </xf>
    <xf numFmtId="4" fontId="9" fillId="0" borderId="25" xfId="0" applyNumberFormat="1" applyFont="1" applyBorder="1" applyAlignment="1">
      <alignment horizontal="right" vertical="top" wrapText="1"/>
    </xf>
    <xf numFmtId="164" fontId="9" fillId="0" borderId="26" xfId="0" applyNumberFormat="1" applyFont="1" applyBorder="1" applyAlignment="1">
      <alignment horizontal="right" vertical="top" wrapText="1"/>
    </xf>
    <xf numFmtId="0" fontId="9" fillId="0" borderId="27" xfId="0" applyFont="1" applyBorder="1" applyAlignment="1">
      <alignment horizontal="right" vertical="top" wrapText="1"/>
    </xf>
    <xf numFmtId="0" fontId="9" fillId="0" borderId="0" xfId="0" applyFont="1" applyAlignment="1">
      <alignment horizontal="left" vertical="top"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3ED90B51-6D57-411A-8021-1674DC65D8DF}"/>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92</xdr:row>
      <xdr:rowOff>0</xdr:rowOff>
    </xdr:from>
    <xdr:ext cx="6191250" cy="1476375"/>
    <xdr:pic>
      <xdr:nvPicPr>
        <xdr:cNvPr id="3" name="Picture 2">
          <a:extLst>
            <a:ext uri="{FF2B5EF4-FFF2-40B4-BE49-F238E27FC236}">
              <a16:creationId xmlns:a16="http://schemas.microsoft.com/office/drawing/2014/main" id="{D63E8E66-28F6-499B-92FE-5E5614A36597}"/>
            </a:ext>
          </a:extLst>
        </xdr:cNvPr>
        <xdr:cNvPicPr>
          <a:picLocks noChangeAspect="1"/>
        </xdr:cNvPicPr>
      </xdr:nvPicPr>
      <xdr:blipFill>
        <a:blip xmlns:r="http://schemas.openxmlformats.org/officeDocument/2006/relationships" r:embed="rId2"/>
        <a:stretch>
          <a:fillRect/>
        </a:stretch>
      </xdr:blipFill>
      <xdr:spPr>
        <a:xfrm>
          <a:off x="219075" y="15440025"/>
          <a:ext cx="6191250" cy="14763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1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DGROWTH"/>
      <sheetName val="ALPHA"/>
      <sheetName val="ALPHAFOF"/>
      <sheetName val="B2CETF"/>
      <sheetName val="EVETF"/>
      <sheetName val="ITETF"/>
      <sheetName val="LM250"/>
      <sheetName val="MAAIF"/>
      <sheetName val="MACIF"/>
      <sheetName val="MAEAF"/>
      <sheetName val="MAETF"/>
      <sheetName val="MAFGF"/>
      <sheetName val="MAFPF"/>
      <sheetName val="MAFTF"/>
      <sheetName val="MAGEF"/>
      <sheetName val="MAHSF"/>
      <sheetName val="MAHTF"/>
      <sheetName val="MAMFOF"/>
      <sheetName val="MAN1DLTF"/>
      <sheetName val="MAN50ETF"/>
      <sheetName val="MANBT"/>
      <sheetName val="MANG813F"/>
      <sheetName val="MANJF"/>
      <sheetName val="MANMF"/>
      <sheetName val="MANNF"/>
      <sheetName val="MANPF"/>
      <sheetName val="MANSJ28F"/>
      <sheetName val="MANTF"/>
      <sheetName val="MANV30F"/>
      <sheetName val="MASEF"/>
      <sheetName val="MASLF"/>
      <sheetName val="MASPF"/>
      <sheetName val="MATPF"/>
      <sheetName val="METALETF"/>
      <sheetName val="MGOLDFOF"/>
      <sheetName val="MIDSMALL"/>
      <sheetName val="MNSFOF"/>
      <sheetName val="MTETF"/>
      <sheetName val="MULTIETF"/>
      <sheetName val="N50IF"/>
      <sheetName val="PSUBETF"/>
      <sheetName val="SENSEX"/>
      <sheetName val="SMQETF"/>
      <sheetName val="SMQFOF"/>
      <sheetName val="TM7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C6F5-0FD3-4FB4-9360-8D4174C2C32F}">
  <sheetPr codeName="Sheet11">
    <outlinePr summaryBelow="0"/>
  </sheetPr>
  <dimension ref="A1:J105"/>
  <sheetViews>
    <sheetView tabSelected="1" topLeftCell="A16" workbookViewId="0">
      <selection activeCell="I81" sqref="I81"/>
    </sheetView>
  </sheetViews>
  <sheetFormatPr defaultRowHeight="15"/>
  <cols>
    <col min="1" max="1" width="3.28515625" customWidth="1"/>
    <col min="2" max="2" width="50" customWidth="1"/>
    <col min="3" max="3" width="41.7109375" customWidth="1"/>
    <col min="4" max="4" width="33.28515625" customWidth="1"/>
    <col min="5" max="8" width="16.7109375" customWidth="1"/>
  </cols>
  <sheetData>
    <row r="1" spans="1:9" ht="23.25">
      <c r="A1" s="1"/>
      <c r="B1" s="2" t="s">
        <v>0</v>
      </c>
      <c r="C1" s="3"/>
      <c r="D1" s="3"/>
      <c r="E1" s="3"/>
      <c r="F1" s="3"/>
      <c r="G1" s="3"/>
      <c r="H1" s="3"/>
      <c r="I1" s="4"/>
    </row>
    <row r="2" spans="1:9" ht="23.25">
      <c r="A2" s="5"/>
      <c r="B2" s="6"/>
      <c r="C2" s="7"/>
      <c r="D2" s="7"/>
      <c r="E2" s="7"/>
      <c r="F2" s="7"/>
      <c r="G2" s="7"/>
      <c r="H2" s="7"/>
      <c r="I2" s="8"/>
    </row>
    <row r="3" spans="1:9">
      <c r="A3" s="9"/>
      <c r="B3" s="10" t="s">
        <v>1</v>
      </c>
      <c r="C3" s="11"/>
      <c r="D3" s="11"/>
      <c r="E3" s="11"/>
      <c r="F3" s="11"/>
      <c r="G3" s="11"/>
      <c r="H3" s="11"/>
      <c r="I3" s="12"/>
    </row>
    <row r="4" spans="1:9" ht="15.75" thickBot="1">
      <c r="A4" s="5"/>
      <c r="B4" s="13" t="s">
        <v>2</v>
      </c>
      <c r="C4" s="14"/>
      <c r="D4" s="14"/>
      <c r="E4" s="14"/>
      <c r="F4" s="14"/>
      <c r="G4" s="14"/>
      <c r="H4" s="14"/>
      <c r="I4" s="15"/>
    </row>
    <row r="5" spans="1:9">
      <c r="A5" s="5"/>
      <c r="B5" s="16" t="s">
        <v>3</v>
      </c>
      <c r="C5" s="17"/>
      <c r="D5" s="17"/>
      <c r="E5" s="17"/>
      <c r="F5" s="18"/>
      <c r="G5" s="19"/>
      <c r="H5" s="17"/>
      <c r="I5" s="20"/>
    </row>
    <row r="6" spans="1:9" ht="13.15" customHeight="1">
      <c r="A6" s="21"/>
      <c r="B6" s="22"/>
      <c r="C6" s="21"/>
      <c r="D6" s="21"/>
      <c r="E6" s="21"/>
      <c r="F6" s="21"/>
      <c r="G6" s="21"/>
      <c r="H6" s="21"/>
    </row>
    <row r="7" spans="1:9" ht="13.15" customHeight="1" thickBot="1">
      <c r="A7" s="9"/>
      <c r="B7" s="23" t="s">
        <v>4</v>
      </c>
      <c r="C7" s="21"/>
      <c r="D7" s="21"/>
      <c r="E7" s="21"/>
      <c r="F7" s="21"/>
      <c r="G7" s="21"/>
      <c r="H7" s="21"/>
    </row>
    <row r="8" spans="1:9" ht="28.15" customHeight="1">
      <c r="A8" s="21"/>
      <c r="B8" s="24" t="s">
        <v>5</v>
      </c>
      <c r="C8" s="25" t="s">
        <v>6</v>
      </c>
      <c r="D8" s="26" t="s">
        <v>7</v>
      </c>
      <c r="E8" s="26" t="s">
        <v>8</v>
      </c>
      <c r="F8" s="26" t="s">
        <v>9</v>
      </c>
      <c r="G8" s="26" t="s">
        <v>10</v>
      </c>
      <c r="H8" s="27" t="s">
        <v>11</v>
      </c>
      <c r="I8" s="28" t="s">
        <v>12</v>
      </c>
    </row>
    <row r="9" spans="1:9" ht="13.15" customHeight="1">
      <c r="A9" s="21"/>
      <c r="B9" s="29" t="s">
        <v>13</v>
      </c>
      <c r="C9" s="30"/>
      <c r="D9" s="30"/>
      <c r="E9" s="30"/>
      <c r="F9" s="30"/>
      <c r="G9" s="31"/>
      <c r="H9" s="32"/>
    </row>
    <row r="10" spans="1:9" ht="13.15" customHeight="1">
      <c r="A10" s="21"/>
      <c r="B10" s="29" t="s">
        <v>14</v>
      </c>
      <c r="C10" s="30"/>
      <c r="D10" s="30"/>
      <c r="E10" s="30"/>
      <c r="F10" s="30"/>
      <c r="G10" s="31"/>
      <c r="H10" s="32"/>
    </row>
    <row r="11" spans="1:9" ht="13.15" customHeight="1">
      <c r="A11" s="33" t="s">
        <v>15</v>
      </c>
      <c r="B11" s="34" t="s">
        <v>16</v>
      </c>
      <c r="C11" s="30" t="s">
        <v>17</v>
      </c>
      <c r="D11" s="30" t="s">
        <v>18</v>
      </c>
      <c r="E11" s="35">
        <v>68084</v>
      </c>
      <c r="F11" s="36">
        <v>1207.027194</v>
      </c>
      <c r="G11" s="37">
        <v>9.9461543871285002E-2</v>
      </c>
      <c r="H11" s="38"/>
      <c r="I11" s="39">
        <v>80.2</v>
      </c>
    </row>
    <row r="12" spans="1:9" ht="13.15" customHeight="1">
      <c r="A12" s="33" t="s">
        <v>19</v>
      </c>
      <c r="B12" s="34" t="s">
        <v>20</v>
      </c>
      <c r="C12" s="30" t="s">
        <v>21</v>
      </c>
      <c r="D12" s="30" t="s">
        <v>18</v>
      </c>
      <c r="E12" s="35">
        <v>91374</v>
      </c>
      <c r="F12" s="36">
        <v>1171.094871</v>
      </c>
      <c r="G12" s="37">
        <v>9.6500645941042004E-2</v>
      </c>
      <c r="H12" s="38"/>
      <c r="I12" s="39">
        <v>75.8</v>
      </c>
    </row>
    <row r="13" spans="1:9" ht="13.15" customHeight="1">
      <c r="A13" s="33" t="s">
        <v>22</v>
      </c>
      <c r="B13" s="34" t="s">
        <v>23</v>
      </c>
      <c r="C13" s="30" t="s">
        <v>24</v>
      </c>
      <c r="D13" s="30" t="s">
        <v>25</v>
      </c>
      <c r="E13" s="35">
        <v>87910</v>
      </c>
      <c r="F13" s="36">
        <v>1068.5020950000001</v>
      </c>
      <c r="G13" s="37">
        <v>8.8046788445763996E-2</v>
      </c>
      <c r="H13" s="38"/>
      <c r="I13" s="39">
        <v>69</v>
      </c>
    </row>
    <row r="14" spans="1:9" ht="13.15" customHeight="1">
      <c r="A14" s="33" t="s">
        <v>26</v>
      </c>
      <c r="B14" s="34" t="s">
        <v>27</v>
      </c>
      <c r="C14" s="30" t="s">
        <v>28</v>
      </c>
      <c r="D14" s="30" t="s">
        <v>29</v>
      </c>
      <c r="E14" s="35">
        <v>34731</v>
      </c>
      <c r="F14" s="36">
        <v>551.44145249999997</v>
      </c>
      <c r="G14" s="37">
        <v>4.5439919243670003E-2</v>
      </c>
      <c r="H14" s="38"/>
      <c r="I14" s="39">
        <v>74.5</v>
      </c>
    </row>
    <row r="15" spans="1:9" ht="13.15" customHeight="1">
      <c r="A15" s="33" t="s">
        <v>30</v>
      </c>
      <c r="B15" s="34" t="s">
        <v>31</v>
      </c>
      <c r="C15" s="30" t="s">
        <v>32</v>
      </c>
      <c r="D15" s="30" t="s">
        <v>33</v>
      </c>
      <c r="E15" s="35">
        <v>15244</v>
      </c>
      <c r="F15" s="36">
        <v>549.95016599999997</v>
      </c>
      <c r="G15" s="37">
        <v>4.5317034143499003E-2</v>
      </c>
      <c r="H15" s="38"/>
      <c r="I15" s="39">
        <v>71.7</v>
      </c>
    </row>
    <row r="16" spans="1:9" ht="13.15" customHeight="1">
      <c r="A16" s="33" t="s">
        <v>34</v>
      </c>
      <c r="B16" s="34" t="s">
        <v>35</v>
      </c>
      <c r="C16" s="30" t="s">
        <v>36</v>
      </c>
      <c r="D16" s="30" t="s">
        <v>37</v>
      </c>
      <c r="E16" s="35">
        <v>13234</v>
      </c>
      <c r="F16" s="36">
        <v>541.90583200000003</v>
      </c>
      <c r="G16" s="37">
        <v>4.4654164339874E-2</v>
      </c>
      <c r="H16" s="38"/>
      <c r="I16" s="39">
        <v>72.599999999999994</v>
      </c>
    </row>
    <row r="17" spans="1:9" ht="13.15" customHeight="1">
      <c r="A17" s="33" t="s">
        <v>38</v>
      </c>
      <c r="B17" s="34" t="s">
        <v>39</v>
      </c>
      <c r="C17" s="30" t="s">
        <v>40</v>
      </c>
      <c r="D17" s="30" t="s">
        <v>18</v>
      </c>
      <c r="E17" s="35">
        <v>36930</v>
      </c>
      <c r="F17" s="36">
        <v>393.19371000000001</v>
      </c>
      <c r="G17" s="37">
        <v>3.2399977093703999E-2</v>
      </c>
      <c r="H17" s="38"/>
      <c r="I17" s="39">
        <v>80.3</v>
      </c>
    </row>
    <row r="18" spans="1:9" ht="13.15" customHeight="1">
      <c r="A18" s="33" t="s">
        <v>41</v>
      </c>
      <c r="B18" s="34" t="s">
        <v>42</v>
      </c>
      <c r="C18" s="30" t="s">
        <v>43</v>
      </c>
      <c r="D18" s="30" t="s">
        <v>44</v>
      </c>
      <c r="E18" s="35">
        <v>11465</v>
      </c>
      <c r="F18" s="36">
        <v>344.76401499999997</v>
      </c>
      <c r="G18" s="37">
        <v>2.8409269794101001E-2</v>
      </c>
      <c r="H18" s="38"/>
      <c r="I18" s="39">
        <v>74.900000000000006</v>
      </c>
    </row>
    <row r="19" spans="1:9" ht="13.15" customHeight="1">
      <c r="A19" s="33" t="s">
        <v>45</v>
      </c>
      <c r="B19" s="34" t="s">
        <v>46</v>
      </c>
      <c r="C19" s="30" t="s">
        <v>47</v>
      </c>
      <c r="D19" s="30" t="s">
        <v>48</v>
      </c>
      <c r="E19" s="35">
        <v>11496</v>
      </c>
      <c r="F19" s="36">
        <v>267.49467600000003</v>
      </c>
      <c r="G19" s="37">
        <v>2.2042116022373999E-2</v>
      </c>
      <c r="H19" s="38"/>
      <c r="I19" s="39">
        <v>72</v>
      </c>
    </row>
    <row r="20" spans="1:9" ht="13.15" customHeight="1">
      <c r="A20" s="33" t="s">
        <v>49</v>
      </c>
      <c r="B20" s="34" t="s">
        <v>50</v>
      </c>
      <c r="C20" s="30" t="s">
        <v>51</v>
      </c>
      <c r="D20" s="30" t="s">
        <v>52</v>
      </c>
      <c r="E20" s="35">
        <v>13978</v>
      </c>
      <c r="F20" s="36">
        <v>263.67400300000003</v>
      </c>
      <c r="G20" s="37">
        <v>2.1727284644012999E-2</v>
      </c>
      <c r="H20" s="38"/>
      <c r="I20" s="39">
        <v>64.900000000000006</v>
      </c>
    </row>
    <row r="21" spans="1:9" ht="13.15" customHeight="1">
      <c r="A21" s="33" t="s">
        <v>53</v>
      </c>
      <c r="B21" s="34" t="s">
        <v>54</v>
      </c>
      <c r="C21" s="30" t="s">
        <v>55</v>
      </c>
      <c r="D21" s="30" t="s">
        <v>37</v>
      </c>
      <c r="E21" s="35">
        <v>13708</v>
      </c>
      <c r="F21" s="36">
        <v>262.83719200000002</v>
      </c>
      <c r="G21" s="37">
        <v>2.1658329682267E-2</v>
      </c>
      <c r="H21" s="38"/>
      <c r="I21" s="39">
        <v>79.900000000000006</v>
      </c>
    </row>
    <row r="22" spans="1:9" ht="13.15" customHeight="1">
      <c r="A22" s="33" t="s">
        <v>56</v>
      </c>
      <c r="B22" s="34" t="s">
        <v>57</v>
      </c>
      <c r="C22" s="30" t="s">
        <v>58</v>
      </c>
      <c r="D22" s="30" t="s">
        <v>59</v>
      </c>
      <c r="E22" s="35">
        <v>89772</v>
      </c>
      <c r="F22" s="36">
        <v>249.61104599999999</v>
      </c>
      <c r="G22" s="37">
        <v>2.0568467824004E-2</v>
      </c>
      <c r="H22" s="38"/>
      <c r="I22" s="39">
        <v>68.2</v>
      </c>
    </row>
    <row r="23" spans="1:9" ht="13.15" customHeight="1">
      <c r="A23" s="33" t="s">
        <v>60</v>
      </c>
      <c r="B23" s="34" t="s">
        <v>61</v>
      </c>
      <c r="C23" s="30" t="s">
        <v>62</v>
      </c>
      <c r="D23" s="30" t="s">
        <v>63</v>
      </c>
      <c r="E23" s="35">
        <v>3624</v>
      </c>
      <c r="F23" s="36">
        <v>247.26552000000001</v>
      </c>
      <c r="G23" s="37">
        <v>2.0375191617543999E-2</v>
      </c>
      <c r="H23" s="38"/>
      <c r="I23" s="39">
        <v>78.8</v>
      </c>
    </row>
    <row r="24" spans="1:9" ht="13.15" customHeight="1">
      <c r="A24" s="33" t="s">
        <v>64</v>
      </c>
      <c r="B24" s="34" t="s">
        <v>65</v>
      </c>
      <c r="C24" s="30" t="s">
        <v>66</v>
      </c>
      <c r="D24" s="30" t="s">
        <v>59</v>
      </c>
      <c r="E24" s="35">
        <v>2875</v>
      </c>
      <c r="F24" s="36">
        <v>204.7963125</v>
      </c>
      <c r="G24" s="37">
        <v>1.6875640848565999E-2</v>
      </c>
      <c r="H24" s="38"/>
      <c r="I24" s="39">
        <v>67.5</v>
      </c>
    </row>
    <row r="25" spans="1:9" ht="13.15" customHeight="1">
      <c r="A25" s="33" t="s">
        <v>67</v>
      </c>
      <c r="B25" s="34" t="s">
        <v>68</v>
      </c>
      <c r="C25" s="30" t="s">
        <v>69</v>
      </c>
      <c r="D25" s="30" t="s">
        <v>70</v>
      </c>
      <c r="E25" s="35">
        <v>61318</v>
      </c>
      <c r="F25" s="36">
        <v>204.40355299999999</v>
      </c>
      <c r="G25" s="37">
        <v>1.6843276651275999E-2</v>
      </c>
      <c r="H25" s="38"/>
      <c r="I25" s="39">
        <v>63.7</v>
      </c>
    </row>
    <row r="26" spans="1:9" ht="13.15" customHeight="1">
      <c r="A26" s="33" t="s">
        <v>71</v>
      </c>
      <c r="B26" s="34" t="s">
        <v>72</v>
      </c>
      <c r="C26" s="30" t="s">
        <v>73</v>
      </c>
      <c r="D26" s="30" t="s">
        <v>44</v>
      </c>
      <c r="E26" s="35">
        <v>27145</v>
      </c>
      <c r="F26" s="36">
        <v>200.91371749999999</v>
      </c>
      <c r="G26" s="37">
        <v>1.6555706968992001E-2</v>
      </c>
      <c r="H26" s="38"/>
      <c r="I26" s="39">
        <v>78.8</v>
      </c>
    </row>
    <row r="27" spans="1:9" ht="13.15" customHeight="1">
      <c r="A27" s="33" t="s">
        <v>74</v>
      </c>
      <c r="B27" s="34" t="s">
        <v>75</v>
      </c>
      <c r="C27" s="30" t="s">
        <v>76</v>
      </c>
      <c r="D27" s="30" t="s">
        <v>44</v>
      </c>
      <c r="E27" s="35">
        <v>1704</v>
      </c>
      <c r="F27" s="36">
        <v>185.02713600000001</v>
      </c>
      <c r="G27" s="37">
        <v>1.5246619708421999E-2</v>
      </c>
      <c r="H27" s="38"/>
      <c r="I27" s="39">
        <v>74</v>
      </c>
    </row>
    <row r="28" spans="1:9" ht="13.15" customHeight="1">
      <c r="A28" s="33" t="s">
        <v>77</v>
      </c>
      <c r="B28" s="34" t="s">
        <v>78</v>
      </c>
      <c r="C28" s="30" t="s">
        <v>79</v>
      </c>
      <c r="D28" s="30" t="s">
        <v>80</v>
      </c>
      <c r="E28" s="35">
        <v>5357</v>
      </c>
      <c r="F28" s="36">
        <v>174.27124549999999</v>
      </c>
      <c r="G28" s="37">
        <v>1.4360312026077999E-2</v>
      </c>
      <c r="H28" s="38"/>
      <c r="I28" s="39">
        <v>69.400000000000006</v>
      </c>
    </row>
    <row r="29" spans="1:9" ht="13.15" customHeight="1">
      <c r="A29" s="33" t="s">
        <v>81</v>
      </c>
      <c r="B29" s="34" t="s">
        <v>82</v>
      </c>
      <c r="C29" s="30" t="s">
        <v>83</v>
      </c>
      <c r="D29" s="30" t="s">
        <v>84</v>
      </c>
      <c r="E29" s="35">
        <v>1476</v>
      </c>
      <c r="F29" s="36">
        <v>168.65292600000001</v>
      </c>
      <c r="G29" s="37">
        <v>1.3897350848227E-2</v>
      </c>
      <c r="H29" s="38"/>
      <c r="I29" s="39">
        <v>70.8</v>
      </c>
    </row>
    <row r="30" spans="1:9" ht="13.15" customHeight="1">
      <c r="A30" s="33" t="s">
        <v>85</v>
      </c>
      <c r="B30" s="34" t="s">
        <v>86</v>
      </c>
      <c r="C30" s="30" t="s">
        <v>87</v>
      </c>
      <c r="D30" s="30" t="s">
        <v>88</v>
      </c>
      <c r="E30" s="35">
        <v>107304</v>
      </c>
      <c r="F30" s="36">
        <v>148.133172</v>
      </c>
      <c r="G30" s="37">
        <v>1.2206480565566001E-2</v>
      </c>
      <c r="H30" s="38"/>
      <c r="I30" s="39">
        <v>69.599999999999994</v>
      </c>
    </row>
    <row r="31" spans="1:9" ht="13.15" customHeight="1">
      <c r="A31" s="33" t="s">
        <v>89</v>
      </c>
      <c r="B31" s="34" t="s">
        <v>90</v>
      </c>
      <c r="C31" s="30" t="s">
        <v>91</v>
      </c>
      <c r="D31" s="30" t="s">
        <v>37</v>
      </c>
      <c r="E31" s="35">
        <v>8220</v>
      </c>
      <c r="F31" s="36">
        <v>140.24964</v>
      </c>
      <c r="G31" s="37">
        <v>1.1556861180205999E-2</v>
      </c>
      <c r="H31" s="38"/>
      <c r="I31" s="39">
        <v>78.8</v>
      </c>
    </row>
    <row r="32" spans="1:9" ht="13.15" customHeight="1">
      <c r="A32" s="33" t="s">
        <v>92</v>
      </c>
      <c r="B32" s="34" t="s">
        <v>93</v>
      </c>
      <c r="C32" s="30" t="s">
        <v>94</v>
      </c>
      <c r="D32" s="30" t="s">
        <v>80</v>
      </c>
      <c r="E32" s="35">
        <v>5856</v>
      </c>
      <c r="F32" s="36">
        <v>133.595856</v>
      </c>
      <c r="G32" s="37">
        <v>1.100857558025E-2</v>
      </c>
      <c r="H32" s="38"/>
      <c r="I32" s="39">
        <v>74.2</v>
      </c>
    </row>
    <row r="33" spans="1:9" ht="13.15" customHeight="1">
      <c r="A33" s="33" t="s">
        <v>95</v>
      </c>
      <c r="B33" s="34" t="s">
        <v>96</v>
      </c>
      <c r="C33" s="30" t="s">
        <v>97</v>
      </c>
      <c r="D33" s="30" t="s">
        <v>84</v>
      </c>
      <c r="E33" s="35">
        <v>4811</v>
      </c>
      <c r="F33" s="36">
        <v>117.518297</v>
      </c>
      <c r="G33" s="37">
        <v>9.6837513776381005E-3</v>
      </c>
      <c r="H33" s="38"/>
      <c r="I33" s="39">
        <v>67.099999999999994</v>
      </c>
    </row>
    <row r="34" spans="1:9" ht="13.15" customHeight="1">
      <c r="A34" s="33" t="s">
        <v>98</v>
      </c>
      <c r="B34" s="34" t="s">
        <v>99</v>
      </c>
      <c r="C34" s="30" t="s">
        <v>100</v>
      </c>
      <c r="D34" s="30" t="s">
        <v>101</v>
      </c>
      <c r="E34" s="35">
        <v>9544</v>
      </c>
      <c r="F34" s="36">
        <v>117.496184</v>
      </c>
      <c r="G34" s="37">
        <v>9.6819292205810002E-3</v>
      </c>
      <c r="H34" s="38"/>
      <c r="I34" s="39">
        <v>70.099999999999994</v>
      </c>
    </row>
    <row r="35" spans="1:9" ht="13.15" customHeight="1">
      <c r="A35" s="33" t="s">
        <v>102</v>
      </c>
      <c r="B35" s="34" t="s">
        <v>103</v>
      </c>
      <c r="C35" s="30" t="s">
        <v>104</v>
      </c>
      <c r="D35" s="30" t="s">
        <v>105</v>
      </c>
      <c r="E35" s="35">
        <v>2540</v>
      </c>
      <c r="F35" s="36">
        <v>115.67795</v>
      </c>
      <c r="G35" s="37">
        <v>9.5321029683985998E-3</v>
      </c>
      <c r="H35" s="38"/>
      <c r="I35" s="39">
        <v>70.900000000000006</v>
      </c>
    </row>
    <row r="36" spans="1:9" ht="13.15" customHeight="1">
      <c r="A36" s="33" t="s">
        <v>106</v>
      </c>
      <c r="B36" s="34" t="s">
        <v>107</v>
      </c>
      <c r="C36" s="30" t="s">
        <v>108</v>
      </c>
      <c r="D36" s="30" t="s">
        <v>109</v>
      </c>
      <c r="E36" s="35">
        <v>18824</v>
      </c>
      <c r="F36" s="36">
        <v>113.405188</v>
      </c>
      <c r="G36" s="37">
        <v>9.3448226664339003E-3</v>
      </c>
      <c r="H36" s="38"/>
      <c r="I36" s="39">
        <v>66.099999999999994</v>
      </c>
    </row>
    <row r="37" spans="1:9" ht="13.15" customHeight="1">
      <c r="A37" s="33" t="s">
        <v>110</v>
      </c>
      <c r="B37" s="34" t="s">
        <v>111</v>
      </c>
      <c r="C37" s="30" t="s">
        <v>112</v>
      </c>
      <c r="D37" s="30" t="s">
        <v>88</v>
      </c>
      <c r="E37" s="35">
        <v>12427</v>
      </c>
      <c r="F37" s="36">
        <v>112.029405</v>
      </c>
      <c r="G37" s="37">
        <v>9.2314552941890008E-3</v>
      </c>
      <c r="H37" s="38"/>
      <c r="I37" s="39">
        <v>67</v>
      </c>
    </row>
    <row r="38" spans="1:9" ht="13.15" customHeight="1">
      <c r="A38" s="33" t="s">
        <v>113</v>
      </c>
      <c r="B38" s="34" t="s">
        <v>114</v>
      </c>
      <c r="C38" s="30" t="s">
        <v>115</v>
      </c>
      <c r="D38" s="30" t="s">
        <v>63</v>
      </c>
      <c r="E38" s="35">
        <v>7082</v>
      </c>
      <c r="F38" s="36">
        <v>111.052842</v>
      </c>
      <c r="G38" s="37">
        <v>9.1509844778309007E-3</v>
      </c>
      <c r="H38" s="38"/>
      <c r="I38" s="39">
        <v>78.599999999999994</v>
      </c>
    </row>
    <row r="39" spans="1:9" ht="13.15" customHeight="1">
      <c r="A39" s="33" t="s">
        <v>116</v>
      </c>
      <c r="B39" s="34" t="s">
        <v>117</v>
      </c>
      <c r="C39" s="30" t="s">
        <v>118</v>
      </c>
      <c r="D39" s="30" t="s">
        <v>119</v>
      </c>
      <c r="E39" s="35">
        <v>17345</v>
      </c>
      <c r="F39" s="36">
        <v>110.74782500000001</v>
      </c>
      <c r="G39" s="37">
        <v>9.1258504444986007E-3</v>
      </c>
      <c r="H39" s="38"/>
      <c r="I39" s="39">
        <v>64.5</v>
      </c>
    </row>
    <row r="40" spans="1:9" ht="13.15" customHeight="1">
      <c r="A40" s="33" t="s">
        <v>120</v>
      </c>
      <c r="B40" s="34" t="s">
        <v>121</v>
      </c>
      <c r="C40" s="30" t="s">
        <v>122</v>
      </c>
      <c r="D40" s="30" t="s">
        <v>37</v>
      </c>
      <c r="E40" s="35">
        <v>36669</v>
      </c>
      <c r="F40" s="36">
        <v>110.6853765</v>
      </c>
      <c r="G40" s="37">
        <v>9.1207045585953994E-3</v>
      </c>
      <c r="H40" s="38"/>
      <c r="I40" s="39">
        <v>78.8</v>
      </c>
    </row>
    <row r="41" spans="1:9" ht="13.15" customHeight="1">
      <c r="A41" s="33" t="s">
        <v>123</v>
      </c>
      <c r="B41" s="34" t="s">
        <v>124</v>
      </c>
      <c r="C41" s="30" t="s">
        <v>125</v>
      </c>
      <c r="D41" s="30" t="s">
        <v>52</v>
      </c>
      <c r="E41" s="35">
        <v>7898</v>
      </c>
      <c r="F41" s="36">
        <v>109.66373</v>
      </c>
      <c r="G41" s="37">
        <v>9.0365187683449002E-3</v>
      </c>
      <c r="H41" s="38"/>
      <c r="I41" s="39">
        <v>74.900000000000006</v>
      </c>
    </row>
    <row r="42" spans="1:9" ht="13.15" customHeight="1">
      <c r="A42" s="33" t="s">
        <v>126</v>
      </c>
      <c r="B42" s="34" t="s">
        <v>127</v>
      </c>
      <c r="C42" s="30" t="s">
        <v>128</v>
      </c>
      <c r="D42" s="30" t="s">
        <v>52</v>
      </c>
      <c r="E42" s="35">
        <v>7118</v>
      </c>
      <c r="F42" s="36">
        <v>108.83422</v>
      </c>
      <c r="G42" s="37">
        <v>8.9681654241396003E-3</v>
      </c>
      <c r="H42" s="38"/>
      <c r="I42" s="39">
        <v>70.2</v>
      </c>
    </row>
    <row r="43" spans="1:9" ht="13.15" customHeight="1">
      <c r="A43" s="33" t="s">
        <v>129</v>
      </c>
      <c r="B43" s="34" t="s">
        <v>130</v>
      </c>
      <c r="C43" s="30" t="s">
        <v>131</v>
      </c>
      <c r="D43" s="30" t="s">
        <v>63</v>
      </c>
      <c r="E43" s="35">
        <v>3619</v>
      </c>
      <c r="F43" s="36">
        <v>104.5583385</v>
      </c>
      <c r="G43" s="37">
        <v>8.6158239213841008E-3</v>
      </c>
      <c r="H43" s="38"/>
      <c r="I43" s="39">
        <v>80.099999999999994</v>
      </c>
    </row>
    <row r="44" spans="1:9" ht="13.15" customHeight="1">
      <c r="A44" s="33" t="s">
        <v>132</v>
      </c>
      <c r="B44" s="34" t="s">
        <v>133</v>
      </c>
      <c r="C44" s="30" t="s">
        <v>134</v>
      </c>
      <c r="D44" s="30" t="s">
        <v>135</v>
      </c>
      <c r="E44" s="35">
        <v>4637</v>
      </c>
      <c r="F44" s="36">
        <v>100.6252185</v>
      </c>
      <c r="G44" s="37">
        <v>8.2917266770340999E-3</v>
      </c>
      <c r="H44" s="38"/>
      <c r="I44" s="39">
        <v>69.599999999999994</v>
      </c>
    </row>
    <row r="45" spans="1:9" ht="13.15" customHeight="1">
      <c r="A45" s="33" t="s">
        <v>136</v>
      </c>
      <c r="B45" s="34" t="s">
        <v>137</v>
      </c>
      <c r="C45" s="30" t="s">
        <v>138</v>
      </c>
      <c r="D45" s="30" t="s">
        <v>52</v>
      </c>
      <c r="E45" s="35">
        <v>1644</v>
      </c>
      <c r="F45" s="36">
        <v>100.26427200000001</v>
      </c>
      <c r="G45" s="37">
        <v>8.2619839369172995E-3</v>
      </c>
      <c r="H45" s="38"/>
      <c r="I45" s="39">
        <v>72.8</v>
      </c>
    </row>
    <row r="46" spans="1:9" ht="13.15" customHeight="1">
      <c r="A46" s="33" t="s">
        <v>139</v>
      </c>
      <c r="B46" s="34" t="s">
        <v>140</v>
      </c>
      <c r="C46" s="30" t="s">
        <v>141</v>
      </c>
      <c r="D46" s="30" t="s">
        <v>142</v>
      </c>
      <c r="E46" s="35">
        <v>1311</v>
      </c>
      <c r="F46" s="36">
        <v>95.655148499999996</v>
      </c>
      <c r="G46" s="37">
        <v>7.8821826022976993E-3</v>
      </c>
      <c r="H46" s="38"/>
      <c r="I46" s="39">
        <v>67.900000000000006</v>
      </c>
    </row>
    <row r="47" spans="1:9" ht="13.15" customHeight="1">
      <c r="A47" s="33" t="s">
        <v>143</v>
      </c>
      <c r="B47" s="34" t="s">
        <v>144</v>
      </c>
      <c r="C47" s="30" t="s">
        <v>145</v>
      </c>
      <c r="D47" s="30" t="s">
        <v>59</v>
      </c>
      <c r="E47" s="35">
        <v>1012</v>
      </c>
      <c r="F47" s="36">
        <v>87.813770000000005</v>
      </c>
      <c r="G47" s="37">
        <v>7.2360367527543002E-3</v>
      </c>
      <c r="H47" s="38"/>
      <c r="I47" s="39">
        <v>71.2</v>
      </c>
    </row>
    <row r="48" spans="1:9" ht="13.15" customHeight="1">
      <c r="A48" s="33" t="s">
        <v>146</v>
      </c>
      <c r="B48" s="34" t="s">
        <v>147</v>
      </c>
      <c r="C48" s="30" t="s">
        <v>148</v>
      </c>
      <c r="D48" s="30" t="s">
        <v>44</v>
      </c>
      <c r="E48" s="35">
        <v>1781</v>
      </c>
      <c r="F48" s="36">
        <v>85.878039000000001</v>
      </c>
      <c r="G48" s="37">
        <v>7.0765285041112002E-3</v>
      </c>
      <c r="H48" s="38"/>
      <c r="I48" s="39">
        <v>73.2</v>
      </c>
    </row>
    <row r="49" spans="1:9" ht="13.15" customHeight="1">
      <c r="A49" s="33" t="s">
        <v>149</v>
      </c>
      <c r="B49" s="34" t="s">
        <v>150</v>
      </c>
      <c r="C49" s="30" t="s">
        <v>151</v>
      </c>
      <c r="D49" s="30" t="s">
        <v>70</v>
      </c>
      <c r="E49" s="35">
        <v>21859</v>
      </c>
      <c r="F49" s="36">
        <v>85.774715999999998</v>
      </c>
      <c r="G49" s="37">
        <v>7.0680144746440004E-3</v>
      </c>
      <c r="H49" s="38"/>
      <c r="I49" s="39">
        <v>69.5</v>
      </c>
    </row>
    <row r="50" spans="1:9" ht="13.15" customHeight="1">
      <c r="A50" s="33" t="s">
        <v>152</v>
      </c>
      <c r="B50" s="34" t="s">
        <v>153</v>
      </c>
      <c r="C50" s="30" t="s">
        <v>154</v>
      </c>
      <c r="D50" s="30" t="s">
        <v>155</v>
      </c>
      <c r="E50" s="35">
        <v>13841</v>
      </c>
      <c r="F50" s="36">
        <v>85.405890499999998</v>
      </c>
      <c r="G50" s="37">
        <v>7.0376224885881997E-3</v>
      </c>
      <c r="H50" s="38"/>
      <c r="I50" s="39">
        <v>76.900000000000006</v>
      </c>
    </row>
    <row r="51" spans="1:9" ht="13.15" customHeight="1">
      <c r="A51" s="33" t="s">
        <v>156</v>
      </c>
      <c r="B51" s="34" t="s">
        <v>157</v>
      </c>
      <c r="C51" s="30" t="s">
        <v>158</v>
      </c>
      <c r="D51" s="30" t="s">
        <v>18</v>
      </c>
      <c r="E51" s="35">
        <v>8553</v>
      </c>
      <c r="F51" s="36">
        <v>82.121629499999997</v>
      </c>
      <c r="G51" s="37">
        <v>6.7669925714163998E-3</v>
      </c>
      <c r="H51" s="38"/>
      <c r="I51" s="39">
        <v>80.2</v>
      </c>
    </row>
    <row r="52" spans="1:9" ht="13.15" customHeight="1">
      <c r="A52" s="33" t="s">
        <v>159</v>
      </c>
      <c r="B52" s="34" t="s">
        <v>160</v>
      </c>
      <c r="C52" s="30" t="s">
        <v>161</v>
      </c>
      <c r="D52" s="30" t="s">
        <v>63</v>
      </c>
      <c r="E52" s="35">
        <v>16151</v>
      </c>
      <c r="F52" s="36">
        <v>80.868056999999993</v>
      </c>
      <c r="G52" s="37">
        <v>6.6636955978069002E-3</v>
      </c>
      <c r="H52" s="38"/>
      <c r="I52" s="39">
        <v>76.3</v>
      </c>
    </row>
    <row r="53" spans="1:9" ht="13.15" customHeight="1">
      <c r="A53" s="33" t="s">
        <v>162</v>
      </c>
      <c r="B53" s="34" t="s">
        <v>163</v>
      </c>
      <c r="C53" s="30" t="s">
        <v>164</v>
      </c>
      <c r="D53" s="30" t="s">
        <v>155</v>
      </c>
      <c r="E53" s="35">
        <v>5795</v>
      </c>
      <c r="F53" s="36">
        <v>80.573679999999996</v>
      </c>
      <c r="G53" s="37">
        <v>6.6394383225393998E-3</v>
      </c>
      <c r="H53" s="38"/>
      <c r="I53" s="39">
        <v>74.3</v>
      </c>
    </row>
    <row r="54" spans="1:9" ht="13.15" customHeight="1">
      <c r="A54" s="33" t="s">
        <v>165</v>
      </c>
      <c r="B54" s="34" t="s">
        <v>166</v>
      </c>
      <c r="C54" s="30" t="s">
        <v>167</v>
      </c>
      <c r="D54" s="30" t="s">
        <v>168</v>
      </c>
      <c r="E54" s="35">
        <v>1143</v>
      </c>
      <c r="F54" s="36">
        <v>74.707051500000006</v>
      </c>
      <c r="G54" s="37">
        <v>6.1560159681552E-3</v>
      </c>
      <c r="H54" s="38"/>
      <c r="I54" s="39">
        <v>60.6</v>
      </c>
    </row>
    <row r="55" spans="1:9" ht="13.15" customHeight="1">
      <c r="A55" s="33" t="s">
        <v>169</v>
      </c>
      <c r="B55" s="34" t="s">
        <v>170</v>
      </c>
      <c r="C55" s="30" t="s">
        <v>171</v>
      </c>
      <c r="D55" s="30" t="s">
        <v>44</v>
      </c>
      <c r="E55" s="35">
        <v>3037</v>
      </c>
      <c r="F55" s="36">
        <v>71.931344999999993</v>
      </c>
      <c r="G55" s="37">
        <v>5.9272919964038998E-3</v>
      </c>
      <c r="H55" s="38"/>
      <c r="I55" s="39">
        <v>71.400000000000006</v>
      </c>
    </row>
    <row r="56" spans="1:9" ht="13.15" customHeight="1">
      <c r="A56" s="33" t="s">
        <v>172</v>
      </c>
      <c r="B56" s="34" t="s">
        <v>173</v>
      </c>
      <c r="C56" s="30" t="s">
        <v>174</v>
      </c>
      <c r="D56" s="30" t="s">
        <v>44</v>
      </c>
      <c r="E56" s="35">
        <v>1678</v>
      </c>
      <c r="F56" s="36">
        <v>69.814868000000004</v>
      </c>
      <c r="G56" s="37">
        <v>5.7528899025368002E-3</v>
      </c>
      <c r="H56" s="38"/>
      <c r="I56" s="39">
        <v>75.5</v>
      </c>
    </row>
    <row r="57" spans="1:9" ht="13.15" customHeight="1">
      <c r="A57" s="33" t="s">
        <v>175</v>
      </c>
      <c r="B57" s="34" t="s">
        <v>176</v>
      </c>
      <c r="C57" s="30" t="s">
        <v>177</v>
      </c>
      <c r="D57" s="30" t="s">
        <v>178</v>
      </c>
      <c r="E57" s="35">
        <v>8297</v>
      </c>
      <c r="F57" s="36">
        <v>68.441952999999998</v>
      </c>
      <c r="G57" s="37">
        <v>5.6397588594395004E-3</v>
      </c>
      <c r="H57" s="38"/>
      <c r="I57" s="39">
        <v>70.5</v>
      </c>
    </row>
    <row r="58" spans="1:9" ht="13.15" customHeight="1">
      <c r="A58" s="33" t="s">
        <v>179</v>
      </c>
      <c r="B58" s="34" t="s">
        <v>180</v>
      </c>
      <c r="C58" s="30" t="s">
        <v>181</v>
      </c>
      <c r="D58" s="30" t="s">
        <v>59</v>
      </c>
      <c r="E58" s="35">
        <v>1915</v>
      </c>
      <c r="F58" s="36">
        <v>68.209427500000004</v>
      </c>
      <c r="G58" s="37">
        <v>5.6205982760372001E-3</v>
      </c>
      <c r="H58" s="38"/>
      <c r="I58" s="39">
        <v>69.2</v>
      </c>
    </row>
    <row r="59" spans="1:9" ht="13.15" customHeight="1">
      <c r="A59" s="33" t="s">
        <v>182</v>
      </c>
      <c r="B59" s="34" t="s">
        <v>183</v>
      </c>
      <c r="C59" s="30" t="s">
        <v>184</v>
      </c>
      <c r="D59" s="30" t="s">
        <v>37</v>
      </c>
      <c r="E59" s="35">
        <v>1197</v>
      </c>
      <c r="F59" s="36">
        <v>66.863223000000005</v>
      </c>
      <c r="G59" s="37">
        <v>5.5096682335311004E-3</v>
      </c>
      <c r="H59" s="38"/>
      <c r="I59" s="39">
        <v>77</v>
      </c>
    </row>
    <row r="60" spans="1:9" ht="13.15" customHeight="1">
      <c r="A60" s="33" t="s">
        <v>185</v>
      </c>
      <c r="B60" s="34" t="s">
        <v>186</v>
      </c>
      <c r="C60" s="30" t="s">
        <v>187</v>
      </c>
      <c r="D60" s="30" t="s">
        <v>25</v>
      </c>
      <c r="E60" s="35">
        <v>48510</v>
      </c>
      <c r="F60" s="36">
        <v>66.172490999999994</v>
      </c>
      <c r="G60" s="37">
        <v>5.4527504843182003E-3</v>
      </c>
      <c r="H60" s="38"/>
      <c r="I60" s="39">
        <v>69.599999999999994</v>
      </c>
    </row>
    <row r="61" spans="1:9" ht="13.15" customHeight="1">
      <c r="A61" s="33" t="s">
        <v>188</v>
      </c>
      <c r="B61" s="34" t="s">
        <v>189</v>
      </c>
      <c r="C61" s="30" t="s">
        <v>190</v>
      </c>
      <c r="D61" s="30" t="s">
        <v>63</v>
      </c>
      <c r="E61" s="35">
        <v>5410</v>
      </c>
      <c r="F61" s="36">
        <v>64.159895000000006</v>
      </c>
      <c r="G61" s="37">
        <v>5.2869084002755001E-3</v>
      </c>
      <c r="H61" s="38"/>
      <c r="I61" s="39">
        <v>79.599999999999994</v>
      </c>
    </row>
    <row r="62" spans="1:9" ht="13.15" customHeight="1">
      <c r="A62" s="33" t="s">
        <v>191</v>
      </c>
      <c r="B62" s="34" t="s">
        <v>192</v>
      </c>
      <c r="C62" s="30" t="s">
        <v>193</v>
      </c>
      <c r="D62" s="30" t="s">
        <v>194</v>
      </c>
      <c r="E62" s="35">
        <v>1990</v>
      </c>
      <c r="F62" s="36">
        <v>57.794575000000002</v>
      </c>
      <c r="G62" s="37">
        <v>4.7623928321242999E-3</v>
      </c>
      <c r="H62" s="38"/>
      <c r="I62" s="39">
        <v>63.6</v>
      </c>
    </row>
    <row r="63" spans="1:9" ht="13.15" customHeight="1">
      <c r="A63" s="33" t="s">
        <v>195</v>
      </c>
      <c r="B63" s="34" t="s">
        <v>196</v>
      </c>
      <c r="C63" s="30" t="s">
        <v>197</v>
      </c>
      <c r="D63" s="30" t="s">
        <v>155</v>
      </c>
      <c r="E63" s="35">
        <v>3093</v>
      </c>
      <c r="F63" s="36">
        <v>55.2951075</v>
      </c>
      <c r="G63" s="37">
        <v>4.5564315268266002E-3</v>
      </c>
      <c r="H63" s="38"/>
      <c r="I63" s="39">
        <v>74.7</v>
      </c>
    </row>
    <row r="64" spans="1:9" ht="13.15" customHeight="1">
      <c r="A64" s="33" t="s">
        <v>198</v>
      </c>
      <c r="B64" s="34" t="s">
        <v>199</v>
      </c>
      <c r="C64" s="30" t="s">
        <v>200</v>
      </c>
      <c r="D64" s="30" t="s">
        <v>70</v>
      </c>
      <c r="E64" s="35">
        <v>10178</v>
      </c>
      <c r="F64" s="36">
        <v>53.887421000000003</v>
      </c>
      <c r="G64" s="37">
        <v>4.4404352400214996E-3</v>
      </c>
      <c r="H64" s="38"/>
      <c r="I64" s="39">
        <v>65.7</v>
      </c>
    </row>
    <row r="65" spans="1:9" ht="13.15" customHeight="1">
      <c r="A65" s="33" t="s">
        <v>201</v>
      </c>
      <c r="B65" s="34" t="s">
        <v>202</v>
      </c>
      <c r="C65" s="30" t="s">
        <v>203</v>
      </c>
      <c r="D65" s="30" t="s">
        <v>204</v>
      </c>
      <c r="E65" s="35">
        <v>4873</v>
      </c>
      <c r="F65" s="36">
        <v>52.728296499999999</v>
      </c>
      <c r="G65" s="37">
        <v>4.3449209774745999E-3</v>
      </c>
      <c r="H65" s="38"/>
      <c r="I65" s="39">
        <v>76</v>
      </c>
    </row>
    <row r="66" spans="1:9" ht="13.15" customHeight="1">
      <c r="A66" s="33" t="s">
        <v>205</v>
      </c>
      <c r="B66" s="34" t="s">
        <v>206</v>
      </c>
      <c r="C66" s="30" t="s">
        <v>207</v>
      </c>
      <c r="D66" s="30" t="s">
        <v>178</v>
      </c>
      <c r="E66" s="35">
        <v>3605</v>
      </c>
      <c r="F66" s="36">
        <v>50.087870000000002</v>
      </c>
      <c r="G66" s="37">
        <v>4.1273443582615999E-3</v>
      </c>
      <c r="H66" s="38"/>
      <c r="I66" s="39">
        <v>75.2</v>
      </c>
    </row>
    <row r="67" spans="1:9" ht="13.15" customHeight="1">
      <c r="A67" s="33" t="s">
        <v>208</v>
      </c>
      <c r="B67" s="34" t="s">
        <v>209</v>
      </c>
      <c r="C67" s="30" t="s">
        <v>210</v>
      </c>
      <c r="D67" s="30" t="s">
        <v>168</v>
      </c>
      <c r="E67" s="35">
        <v>678</v>
      </c>
      <c r="F67" s="36">
        <v>46.865054999999998</v>
      </c>
      <c r="G67" s="37">
        <v>3.8617777189142001E-3</v>
      </c>
      <c r="H67" s="38"/>
      <c r="I67" s="39">
        <v>70.599999999999994</v>
      </c>
    </row>
    <row r="68" spans="1:9" ht="13.15" customHeight="1">
      <c r="A68" s="33" t="s">
        <v>211</v>
      </c>
      <c r="B68" s="34" t="s">
        <v>212</v>
      </c>
      <c r="C68" s="30" t="s">
        <v>213</v>
      </c>
      <c r="D68" s="30" t="s">
        <v>88</v>
      </c>
      <c r="E68" s="35">
        <v>4913</v>
      </c>
      <c r="F68" s="36">
        <v>45.725290999999999</v>
      </c>
      <c r="G68" s="37">
        <v>3.7678588017162002E-3</v>
      </c>
      <c r="H68" s="38"/>
      <c r="I68" s="39">
        <v>66.900000000000006</v>
      </c>
    </row>
    <row r="69" spans="1:9" ht="13.15" customHeight="1">
      <c r="A69" s="33" t="s">
        <v>214</v>
      </c>
      <c r="B69" s="34" t="s">
        <v>215</v>
      </c>
      <c r="C69" s="30" t="s">
        <v>216</v>
      </c>
      <c r="D69" s="30" t="s">
        <v>70</v>
      </c>
      <c r="E69" s="35">
        <v>6909</v>
      </c>
      <c r="F69" s="36">
        <v>44.400688500000001</v>
      </c>
      <c r="G69" s="37">
        <v>3.6587088088074998E-3</v>
      </c>
      <c r="H69" s="38"/>
      <c r="I69" s="39">
        <v>70.3</v>
      </c>
    </row>
    <row r="70" spans="1:9" ht="13.15" customHeight="1">
      <c r="A70" s="33" t="s">
        <v>217</v>
      </c>
      <c r="B70" s="34" t="s">
        <v>218</v>
      </c>
      <c r="C70" s="30" t="s">
        <v>219</v>
      </c>
      <c r="D70" s="30" t="s">
        <v>70</v>
      </c>
      <c r="E70" s="35">
        <v>3963</v>
      </c>
      <c r="F70" s="36">
        <v>41.242941000000002</v>
      </c>
      <c r="G70" s="37">
        <v>3.3985038663945002E-3</v>
      </c>
      <c r="H70" s="38"/>
      <c r="I70" s="39">
        <v>67.599999999999994</v>
      </c>
    </row>
    <row r="71" spans="1:9" ht="13.15" customHeight="1">
      <c r="A71" s="33" t="s">
        <v>220</v>
      </c>
      <c r="B71" s="34" t="s">
        <v>221</v>
      </c>
      <c r="C71" s="30" t="s">
        <v>222</v>
      </c>
      <c r="D71" s="30" t="s">
        <v>52</v>
      </c>
      <c r="E71" s="35">
        <v>1215</v>
      </c>
      <c r="F71" s="36">
        <v>40.824607499999999</v>
      </c>
      <c r="G71" s="37">
        <v>3.3640323184709001E-3</v>
      </c>
      <c r="H71" s="38"/>
      <c r="I71" s="39">
        <v>70</v>
      </c>
    </row>
    <row r="72" spans="1:9" ht="13.15" customHeight="1">
      <c r="A72" s="33" t="s">
        <v>223</v>
      </c>
      <c r="B72" s="34" t="s">
        <v>224</v>
      </c>
      <c r="C72" s="30" t="s">
        <v>225</v>
      </c>
      <c r="D72" s="30" t="s">
        <v>204</v>
      </c>
      <c r="E72" s="35">
        <v>7646</v>
      </c>
      <c r="F72" s="36">
        <v>38.765219999999999</v>
      </c>
      <c r="G72" s="37">
        <v>3.1943345177938001E-3</v>
      </c>
      <c r="H72" s="38"/>
      <c r="I72" s="39">
        <v>75.7</v>
      </c>
    </row>
    <row r="73" spans="1:9" ht="13.15" customHeight="1">
      <c r="A73" s="33" t="s">
        <v>226</v>
      </c>
      <c r="B73" s="34" t="s">
        <v>227</v>
      </c>
      <c r="C73" s="30" t="s">
        <v>228</v>
      </c>
      <c r="D73" s="30" t="s">
        <v>168</v>
      </c>
      <c r="E73" s="35">
        <v>16620</v>
      </c>
      <c r="F73" s="36">
        <v>38.126280000000001</v>
      </c>
      <c r="G73" s="37">
        <v>3.1416845367850999E-3</v>
      </c>
      <c r="H73" s="38"/>
      <c r="I73" s="39">
        <v>67.400000000000006</v>
      </c>
    </row>
    <row r="74" spans="1:9" ht="13.15" customHeight="1">
      <c r="A74" s="33" t="s">
        <v>229</v>
      </c>
      <c r="B74" s="34" t="s">
        <v>230</v>
      </c>
      <c r="C74" s="30" t="s">
        <v>231</v>
      </c>
      <c r="D74" s="30" t="s">
        <v>70</v>
      </c>
      <c r="E74" s="35">
        <v>4680</v>
      </c>
      <c r="F74" s="36">
        <v>37.730159999999998</v>
      </c>
      <c r="G74" s="37">
        <v>3.1090434273269001E-3</v>
      </c>
      <c r="H74" s="38"/>
      <c r="I74" s="39">
        <v>70.8</v>
      </c>
    </row>
    <row r="75" spans="1:9" ht="13.15" customHeight="1">
      <c r="A75" s="33" t="s">
        <v>232</v>
      </c>
      <c r="B75" s="34" t="s">
        <v>233</v>
      </c>
      <c r="C75" s="30" t="s">
        <v>234</v>
      </c>
      <c r="D75" s="30" t="s">
        <v>155</v>
      </c>
      <c r="E75" s="35">
        <v>5049</v>
      </c>
      <c r="F75" s="36">
        <v>33.063376499999997</v>
      </c>
      <c r="G75" s="37">
        <v>2.7244907891341998E-3</v>
      </c>
      <c r="H75" s="38"/>
      <c r="I75" s="39">
        <v>76.2</v>
      </c>
    </row>
    <row r="76" spans="1:9" ht="13.15" customHeight="1">
      <c r="A76" s="33" t="s">
        <v>235</v>
      </c>
      <c r="B76" s="34" t="s">
        <v>236</v>
      </c>
      <c r="C76" s="30" t="s">
        <v>237</v>
      </c>
      <c r="D76" s="30" t="s">
        <v>70</v>
      </c>
      <c r="E76" s="35">
        <v>40922</v>
      </c>
      <c r="F76" s="36">
        <v>33.019961799999997</v>
      </c>
      <c r="G76" s="37">
        <v>2.7209133278225002E-3</v>
      </c>
      <c r="H76" s="38"/>
      <c r="I76" s="39">
        <v>66</v>
      </c>
    </row>
    <row r="77" spans="1:9" ht="13.15" customHeight="1">
      <c r="A77" s="33" t="s">
        <v>238</v>
      </c>
      <c r="B77" s="34" t="s">
        <v>239</v>
      </c>
      <c r="C77" s="30" t="s">
        <v>240</v>
      </c>
      <c r="D77" s="30" t="s">
        <v>52</v>
      </c>
      <c r="E77" s="35">
        <v>3236</v>
      </c>
      <c r="F77" s="36">
        <v>31.444212</v>
      </c>
      <c r="G77" s="37">
        <v>2.5910682765743999E-3</v>
      </c>
      <c r="H77" s="38"/>
      <c r="I77" s="39">
        <v>67.8</v>
      </c>
    </row>
    <row r="78" spans="1:9" ht="13.15" customHeight="1">
      <c r="A78" s="33" t="s">
        <v>241</v>
      </c>
      <c r="B78" s="34" t="s">
        <v>242</v>
      </c>
      <c r="C78" s="30" t="s">
        <v>243</v>
      </c>
      <c r="D78" s="30" t="s">
        <v>244</v>
      </c>
      <c r="E78" s="35">
        <v>3900</v>
      </c>
      <c r="F78" s="36">
        <v>30.6891</v>
      </c>
      <c r="G78" s="37">
        <v>2.5288454818527002E-3</v>
      </c>
      <c r="H78" s="38"/>
      <c r="I78" s="39">
        <v>61.5</v>
      </c>
    </row>
    <row r="79" spans="1:9" ht="13.15" customHeight="1">
      <c r="A79" s="33" t="s">
        <v>245</v>
      </c>
      <c r="B79" s="34" t="s">
        <v>246</v>
      </c>
      <c r="C79" s="30" t="s">
        <v>247</v>
      </c>
      <c r="D79" s="30" t="s">
        <v>18</v>
      </c>
      <c r="E79" s="35">
        <v>24985</v>
      </c>
      <c r="F79" s="36">
        <v>30.074444499999998</v>
      </c>
      <c r="G79" s="37">
        <v>2.4781965940042002E-3</v>
      </c>
      <c r="H79" s="38"/>
      <c r="I79" s="39">
        <v>77.900000000000006</v>
      </c>
    </row>
    <row r="80" spans="1:9" ht="13.15" customHeight="1">
      <c r="A80" s="33" t="s">
        <v>248</v>
      </c>
      <c r="B80" s="34" t="s">
        <v>249</v>
      </c>
      <c r="C80" s="30" t="s">
        <v>250</v>
      </c>
      <c r="D80" s="30" t="s">
        <v>251</v>
      </c>
      <c r="E80" s="35">
        <v>3585</v>
      </c>
      <c r="F80" s="36">
        <v>27.283642499999999</v>
      </c>
      <c r="G80" s="37">
        <v>2.2482287217483999E-3</v>
      </c>
      <c r="H80" s="38"/>
      <c r="I80" s="39">
        <v>72.400000000000006</v>
      </c>
    </row>
    <row r="81" spans="1:10" ht="13.15" customHeight="1">
      <c r="A81" s="21"/>
      <c r="B81" s="29" t="s">
        <v>252</v>
      </c>
      <c r="C81" s="30"/>
      <c r="D81" s="30"/>
      <c r="E81" s="30"/>
      <c r="F81" s="40">
        <v>12134.8036123</v>
      </c>
      <c r="G81" s="41">
        <v>0.99993298233362005</v>
      </c>
      <c r="H81" s="42"/>
      <c r="I81" s="43">
        <f>SUMPRODUCT(I9:I80,G9:G80)</f>
        <v>73.311078866273277</v>
      </c>
      <c r="J81" s="44" t="s">
        <v>253</v>
      </c>
    </row>
    <row r="82" spans="1:10" ht="13.15" customHeight="1">
      <c r="A82" s="21"/>
      <c r="B82" s="45" t="s">
        <v>254</v>
      </c>
      <c r="C82" s="46"/>
      <c r="D82" s="46"/>
      <c r="E82" s="46"/>
      <c r="F82" s="47" t="s">
        <v>255</v>
      </c>
      <c r="G82" s="47" t="s">
        <v>255</v>
      </c>
      <c r="H82" s="42"/>
    </row>
    <row r="83" spans="1:10" ht="13.15" customHeight="1">
      <c r="A83" s="21"/>
      <c r="B83" s="45" t="s">
        <v>252</v>
      </c>
      <c r="C83" s="46"/>
      <c r="D83" s="46"/>
      <c r="E83" s="46"/>
      <c r="F83" s="47" t="s">
        <v>255</v>
      </c>
      <c r="G83" s="47" t="s">
        <v>255</v>
      </c>
      <c r="H83" s="42"/>
    </row>
    <row r="84" spans="1:10" ht="13.15" customHeight="1">
      <c r="A84" s="21"/>
      <c r="B84" s="45" t="s">
        <v>256</v>
      </c>
      <c r="C84" s="48"/>
      <c r="D84" s="46"/>
      <c r="E84" s="48"/>
      <c r="F84" s="40">
        <v>12134.8036123</v>
      </c>
      <c r="G84" s="41">
        <v>0.99993298233362005</v>
      </c>
      <c r="H84" s="42"/>
    </row>
    <row r="85" spans="1:10" ht="13.15" customHeight="1">
      <c r="A85" s="21"/>
      <c r="B85" s="29" t="s">
        <v>257</v>
      </c>
      <c r="C85" s="30"/>
      <c r="D85" s="30"/>
      <c r="E85" s="30"/>
      <c r="F85" s="30"/>
      <c r="G85" s="31"/>
      <c r="H85" s="32"/>
    </row>
    <row r="86" spans="1:10" ht="13.15" customHeight="1">
      <c r="A86" s="33" t="s">
        <v>258</v>
      </c>
      <c r="B86" s="34" t="s">
        <v>259</v>
      </c>
      <c r="C86" s="30"/>
      <c r="D86" s="30"/>
      <c r="E86" s="35"/>
      <c r="F86" s="36">
        <v>32.480829999999997</v>
      </c>
      <c r="G86" s="37">
        <v>2.6764877494720998E-3</v>
      </c>
      <c r="H86" s="38">
        <v>6.6649004966930006E-2</v>
      </c>
    </row>
    <row r="87" spans="1:10" ht="13.15" customHeight="1">
      <c r="A87" s="21"/>
      <c r="B87" s="29" t="s">
        <v>252</v>
      </c>
      <c r="C87" s="30"/>
      <c r="D87" s="30"/>
      <c r="E87" s="30"/>
      <c r="F87" s="40">
        <v>32.480829999999997</v>
      </c>
      <c r="G87" s="41">
        <v>2.6764877494720998E-3</v>
      </c>
      <c r="H87" s="42"/>
    </row>
    <row r="88" spans="1:10" ht="13.15" customHeight="1">
      <c r="A88" s="21"/>
      <c r="B88" s="45" t="s">
        <v>256</v>
      </c>
      <c r="C88" s="48"/>
      <c r="D88" s="46"/>
      <c r="E88" s="48"/>
      <c r="F88" s="40">
        <v>32.480829999999997</v>
      </c>
      <c r="G88" s="41">
        <v>2.6764877494720998E-3</v>
      </c>
      <c r="H88" s="42"/>
    </row>
    <row r="89" spans="1:10" ht="13.15" customHeight="1">
      <c r="A89" s="21"/>
      <c r="B89" s="45" t="s">
        <v>260</v>
      </c>
      <c r="C89" s="30"/>
      <c r="D89" s="46"/>
      <c r="E89" s="30"/>
      <c r="F89" s="40">
        <v>-31.667529274399001</v>
      </c>
      <c r="G89" s="41">
        <v>-2.6094700830914998E-3</v>
      </c>
      <c r="H89" s="42"/>
    </row>
    <row r="90" spans="1:10" ht="13.15" customHeight="1" thickBot="1">
      <c r="A90" s="21"/>
      <c r="B90" s="49" t="s">
        <v>261</v>
      </c>
      <c r="C90" s="50"/>
      <c r="D90" s="50"/>
      <c r="E90" s="50"/>
      <c r="F90" s="51">
        <v>12135.616913026</v>
      </c>
      <c r="G90" s="52">
        <v>1</v>
      </c>
      <c r="H90" s="53"/>
    </row>
    <row r="91" spans="1:10" ht="13.15" customHeight="1">
      <c r="A91" s="21"/>
      <c r="B91" s="9"/>
      <c r="C91" s="21"/>
      <c r="D91" s="21"/>
      <c r="E91" s="21"/>
      <c r="F91" s="21"/>
      <c r="G91" s="21"/>
      <c r="H91" s="21"/>
    </row>
    <row r="92" spans="1:10" ht="13.15" customHeight="1">
      <c r="A92" s="21"/>
      <c r="B92" s="54" t="s">
        <v>262</v>
      </c>
      <c r="C92" s="21"/>
      <c r="D92" s="21"/>
      <c r="E92" s="21"/>
      <c r="F92" s="21"/>
      <c r="G92" s="21"/>
      <c r="H92" s="21"/>
    </row>
    <row r="93" spans="1:10" ht="13.15" customHeight="1">
      <c r="A93" s="21"/>
      <c r="B93" s="54"/>
      <c r="C93" s="21"/>
      <c r="D93" s="21"/>
      <c r="E93" s="21"/>
      <c r="F93" s="21"/>
      <c r="G93" s="21"/>
      <c r="H93" s="21"/>
    </row>
    <row r="94" spans="1:10" ht="13.15" customHeight="1">
      <c r="A94" s="21"/>
      <c r="B94" s="54"/>
      <c r="C94" s="21"/>
      <c r="D94" s="21"/>
      <c r="E94" s="21"/>
      <c r="F94" s="21"/>
      <c r="G94" s="21"/>
      <c r="H94" s="21"/>
    </row>
    <row r="103" spans="2:8">
      <c r="B103" s="55" t="s">
        <v>263</v>
      </c>
      <c r="C103" s="55"/>
      <c r="D103" s="55"/>
      <c r="E103" s="55"/>
      <c r="F103" s="55"/>
      <c r="G103" s="55"/>
      <c r="H103" s="55"/>
    </row>
    <row r="104" spans="2:8">
      <c r="B104" s="55"/>
      <c r="C104" s="55"/>
      <c r="D104" s="55"/>
      <c r="E104" s="55"/>
      <c r="F104" s="55"/>
      <c r="G104" s="55"/>
      <c r="H104" s="55"/>
    </row>
    <row r="105" spans="2:8">
      <c r="B105" s="55"/>
      <c r="C105" s="55"/>
      <c r="D105" s="55"/>
      <c r="E105" s="55"/>
      <c r="F105" s="55"/>
      <c r="G105" s="55"/>
      <c r="H105" s="55"/>
    </row>
  </sheetData>
  <mergeCells count="5">
    <mergeCell ref="B1:H2"/>
    <mergeCell ref="B3:H3"/>
    <mergeCell ref="B4:H4"/>
    <mergeCell ref="B5:H5"/>
    <mergeCell ref="B103:H10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MAETF</vt:lpstr>
      <vt:lpstr>JR_PAGE_ANCHOR_0_20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Revati Kanvinde</dc:creator>
  <cp:lastModifiedBy>Revati Kanvinde</cp:lastModifiedBy>
  <dcterms:created xsi:type="dcterms:W3CDTF">2025-01-08T11:39:12Z</dcterms:created>
  <dcterms:modified xsi:type="dcterms:W3CDTF">2025-01-08T11:39:12Z</dcterms:modified>
</cp:coreProperties>
</file>