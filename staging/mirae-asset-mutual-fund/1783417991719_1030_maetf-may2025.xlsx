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16E00F4D-4EB3-4A5D-BB7E-778336866288}" xr6:coauthVersionLast="36" xr6:coauthVersionMax="36" xr10:uidLastSave="{00000000-0000-0000-0000-000000000000}"/>
  <bookViews>
    <workbookView xWindow="0" yWindow="0" windowWidth="20490" windowHeight="7425" xr2:uid="{C7F7DD34-1D2C-4675-83D8-C48359B9B514}"/>
  </bookViews>
  <sheets>
    <sheet name="MAETF" sheetId="1" r:id="rId1"/>
  </sheets>
  <externalReferences>
    <externalReference r:id="rId2"/>
  </externalReferences>
  <definedNames>
    <definedName name="XDO_?AUM?20?">MAETF!$F$104</definedName>
    <definedName name="XDO_?AUM?77?">#REF!</definedName>
    <definedName name="XDO_?AUM?78?">#REF!</definedName>
    <definedName name="XDO_?AUM?79?">#REF!</definedName>
    <definedName name="XDO_?AUM?80?">#REF!</definedName>
    <definedName name="XDO_?AUM?81?">#REF!</definedName>
    <definedName name="XDO_?CLASS_3?20?">MAETF!$B$5:$B$77</definedName>
    <definedName name="XDO_?CLASS_3?77?">#REF!</definedName>
    <definedName name="XDO_?CLASS_3?78?">#REF!</definedName>
    <definedName name="XDO_?CLASS_3?79?">#REF!</definedName>
    <definedName name="XDO_?CLASS_3?80?">#REF!</definedName>
    <definedName name="XDO_?CLASS_3?81?">#REF!</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CLASS_4?61?">MAETF!$B$6:$B$77</definedName>
    <definedName name="XDO_?CLASS_4?62?">MAETF!$B$6:$B$96</definedName>
    <definedName name="XDO_?CLASS_4?63?">MAETF!$B$6:$B$101</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ISIN?85?">MAETF!$C$7:$C$77</definedName>
    <definedName name="XDO_?FINAL_ISIN?86?">MAETF!$C$7:$C$96</definedName>
    <definedName name="XDO_?FINAL_ISIN?87?">MAETF!$C$7:$C$101</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MV?85?">MAETF!$F$7:$F$77</definedName>
    <definedName name="XDO_?FINAL_MV?86?">MAETF!$F$7:$F$96</definedName>
    <definedName name="XDO_?FINAL_MV?87?">MAETF!$F$7:$F$101</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NAME?85?">MAETF!$B$7:$B$77</definedName>
    <definedName name="XDO_?FINAL_NAME?86?">MAETF!$B$7:$B$96</definedName>
    <definedName name="XDO_?FINAL_NAME?87?">MAETF!$B$7:$B$101</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PER_NET?85?">MAETF!$G$7:$G$77</definedName>
    <definedName name="XDO_?FINAL_PER_NET?86?">MAETF!$G$7:$G$96</definedName>
    <definedName name="XDO_?FINAL_PER_NET?87?">MAETF!$G$7:$G$101</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FINAL_QUANTITE?85?">MAETF!$E$7:$E$77</definedName>
    <definedName name="XDO_?FINAL_QUANTITE?86?">MAETF!$E$7:$E$96</definedName>
    <definedName name="XDO_?FINAL_QUANTITE?87?">MAETF!$E$7:$E$101</definedName>
    <definedName name="XDO_?LONG_DESC?20?">MAETF!$B$1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OVAL?85?">MAETF!$A$7:$A$77</definedName>
    <definedName name="XDO_?NOVAL?86?">MAETF!$A$7:$A$96</definedName>
    <definedName name="XDO_?NOVAL?87?">MAETF!$A$7:$A$101</definedName>
    <definedName name="XDO_?NPTF?20?">MAETF!$C$1</definedName>
    <definedName name="XDO_?NPTF?77?">#REF!</definedName>
    <definedName name="XDO_?NPTF?78?">#REF!</definedName>
    <definedName name="XDO_?NPTF?79?">#REF!</definedName>
    <definedName name="XDO_?NPTF?80?">#REF!</definedName>
    <definedName name="XDO_?NPTF?81?">#REF!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RATING?85?">MAETF!$D$7:$D$77</definedName>
    <definedName name="XDO_?RATING?86?">MAETF!$D$7:$D$96</definedName>
    <definedName name="XDO_?RATING?87?">MAETF!$D$7:$D$101</definedName>
    <definedName name="XDO_?TDATE?20?">MAETF!$E$1</definedName>
    <definedName name="XDO_?TDATE?77?">#REF!</definedName>
    <definedName name="XDO_?TDATE?78?">#REF!</definedName>
    <definedName name="XDO_?TDATE?79?">#REF!</definedName>
    <definedName name="XDO_?TDATE?80?">#REF!</definedName>
    <definedName name="XDO_?TDATE?81?">#REF!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YTM?85?">MAETF!$H$7:$H$77</definedName>
    <definedName name="XDO_?YTM?86?">MAETF!$H$7:$H$96</definedName>
    <definedName name="XDO_?YTM?87?">MAETF!$H$7:$H$101</definedName>
    <definedName name="XDO_GROUP_?G_3?20?">MAETF!$5:$103</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61?">MAETF!$6:$78</definedName>
    <definedName name="XDO_GROUP_?G_4?62?">MAETF!$95:$97</definedName>
    <definedName name="XDO_GROUP_?G_4?63?">MAETF!$100:$101</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 name="XDO_GROUP_?G_5?85?">MAETF!$7:$77</definedName>
    <definedName name="XDO_GROUP_?G_5?86?">MAETF!$96:$96</definedName>
    <definedName name="XDO_GROUP_?G_5?87?">MAETF!$101:$101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3" i="1" l="1"/>
</calcChain>
</file>

<file path=xl/sharedStrings.xml><?xml version="1.0" encoding="utf-8"?>
<sst xmlns="http://schemas.openxmlformats.org/spreadsheetml/2006/main" count="275" uniqueCount="210">
  <si>
    <t>Mirae Asset Nifty 100 ESG Sector Leaders ETF (MAESGETF)</t>
  </si>
  <si>
    <t>(Exchange Traded Fund (ETF) - An open ended scheme replicating/tracking Nifty 100 ESG Sector Leaders Total Return Index)</t>
  </si>
  <si>
    <r>
      <t xml:space="preserve">NSE Symbol: </t>
    </r>
    <r>
      <rPr>
        <sz val="10"/>
        <color rgb="FF000000"/>
        <rFont val="Arial"/>
      </rPr>
      <t>ESG</t>
    </r>
    <r>
      <rPr>
        <b/>
        <sz val="10"/>
        <color rgb="FF000000"/>
        <rFont val="Arial"/>
      </rPr>
      <t xml:space="preserve">   BSE Scrip Code: </t>
    </r>
    <r>
      <rPr>
        <sz val="10"/>
        <color rgb="FF000000"/>
        <rFont val="Arial"/>
      </rPr>
      <t>543246</t>
    </r>
  </si>
  <si>
    <t>Mirae Asset Nifty 100 ESG Sector Leaders ETF</t>
  </si>
  <si>
    <t>Monthly Portfolio Statement as on May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</si>
  <si>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</si>
  <si>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</si>
  <si>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</si>
  <si>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</si>
  <si>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</si>
  <si>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</si>
  <si>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</si>
  <si>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</si>
  <si>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</si>
  <si>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</si>
  <si>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</si>
  <si>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</si>
  <si>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</si>
  <si>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</si>
  <si>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</si>
  <si>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</si>
  <si>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</si>
  <si>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</si>
  <si>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</si>
  <si>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</si>
  <si>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</si>
  <si>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</si>
  <si>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</si>
  <si>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</si>
  <si>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Tata Consultancy Services Ltd.</t>
  </si>
  <si>
    <t>INE467B01029</t>
  </si>
  <si>
    <t>IT - Software</t>
  </si>
  <si>
    <t>Axis Bank Ltd.</t>
  </si>
  <si>
    <t>INE238A01034</t>
  </si>
  <si>
    <t>Mahindra &amp; Mahindra Ltd.</t>
  </si>
  <si>
    <t>INE101A01026</t>
  </si>
  <si>
    <t>Automobiles</t>
  </si>
  <si>
    <t>Bajaj Finance Ltd.</t>
  </si>
  <si>
    <t>INE296A01024</t>
  </si>
  <si>
    <t>Finance</t>
  </si>
  <si>
    <t>Hindustan Unilever Ltd.</t>
  </si>
  <si>
    <t>INE030A01027</t>
  </si>
  <si>
    <t>Diversified FMCG</t>
  </si>
  <si>
    <t>Sun Pharmaceutical Industries Ltd.</t>
  </si>
  <si>
    <t>INE044A01036</t>
  </si>
  <si>
    <t>Pharmaceuticals &amp; Biotechnology</t>
  </si>
  <si>
    <t>HCL Technologies Ltd.</t>
  </si>
  <si>
    <t>INE860A01027</t>
  </si>
  <si>
    <t>Eternal Ltd.</t>
  </si>
  <si>
    <t>INE758T01015</t>
  </si>
  <si>
    <t>Retailing</t>
  </si>
  <si>
    <t>Maruti Suzuki India Ltd.</t>
  </si>
  <si>
    <t>INE585B01010</t>
  </si>
  <si>
    <t>NTPC Ltd.</t>
  </si>
  <si>
    <t>INE733E01010</t>
  </si>
  <si>
    <t>Power</t>
  </si>
  <si>
    <t>Tata Motors Ltd.</t>
  </si>
  <si>
    <t>INE155A01022</t>
  </si>
  <si>
    <t>Titan Company Ltd.</t>
  </si>
  <si>
    <t>INE280A01028</t>
  </si>
  <si>
    <t>Consumer Durables</t>
  </si>
  <si>
    <t>Tata Steel Ltd.</t>
  </si>
  <si>
    <t>INE081A01020</t>
  </si>
  <si>
    <t>Ferrous Metals</t>
  </si>
  <si>
    <t>Ultratech Cement Ltd.</t>
  </si>
  <si>
    <t>INE481G01011</t>
  </si>
  <si>
    <t>Cement &amp; Cement Products</t>
  </si>
  <si>
    <t>Trent Ltd.</t>
  </si>
  <si>
    <t>INE849A01020</t>
  </si>
  <si>
    <t>Bajaj Finserv Ltd.</t>
  </si>
  <si>
    <t>INE918I01026</t>
  </si>
  <si>
    <t>Adani Ports and Special Economic Zone Ltd.</t>
  </si>
  <si>
    <t>INE742F01042</t>
  </si>
  <si>
    <t>Transport Infrastructure</t>
  </si>
  <si>
    <t>Interglobe Aviation Ltd.</t>
  </si>
  <si>
    <t>INE646L01027</t>
  </si>
  <si>
    <t>Transport Services</t>
  </si>
  <si>
    <t>Asian Paints Ltd.</t>
  </si>
  <si>
    <t>INE021A01026</t>
  </si>
  <si>
    <t>Tech Mahindra Ltd.</t>
  </si>
  <si>
    <t>INE669C01036</t>
  </si>
  <si>
    <t>JSW Steel Ltd.</t>
  </si>
  <si>
    <t>INE019A01038</t>
  </si>
  <si>
    <t>Grasim Industries Ltd.</t>
  </si>
  <si>
    <t>INE047A01021</t>
  </si>
  <si>
    <t>Hindalco Industries Ltd.</t>
  </si>
  <si>
    <t>INE038A01020</t>
  </si>
  <si>
    <t>Non - Ferrous Metals</t>
  </si>
  <si>
    <t>Shriram Finance Ltd.</t>
  </si>
  <si>
    <t>INE721A01047</t>
  </si>
  <si>
    <t>Nestle India Ltd.</t>
  </si>
  <si>
    <t>INE239A01024</t>
  </si>
  <si>
    <t>Food Products</t>
  </si>
  <si>
    <t>Divi's Laboratories Ltd.</t>
  </si>
  <si>
    <t>INE361B01024</t>
  </si>
  <si>
    <t>HDFC Life Insurance Company Ltd.</t>
  </si>
  <si>
    <t>INE795G01014</t>
  </si>
  <si>
    <t>Insurance</t>
  </si>
  <si>
    <t>SBI Life Insurance Co. Ltd.</t>
  </si>
  <si>
    <t>INE123W01016</t>
  </si>
  <si>
    <t>Cipla Ltd.</t>
  </si>
  <si>
    <t>INE059A01026</t>
  </si>
  <si>
    <t>Dr. Reddy's Laboratories Ltd.</t>
  </si>
  <si>
    <t>INE089A01031</t>
  </si>
  <si>
    <t>Eicher Motors Ltd.</t>
  </si>
  <si>
    <t>INE066A01021</t>
  </si>
  <si>
    <t>Wipro Ltd.</t>
  </si>
  <si>
    <t>INE075A01022</t>
  </si>
  <si>
    <t>Apollo Hospitals Enterprise Ltd.</t>
  </si>
  <si>
    <t>INE437A01024</t>
  </si>
  <si>
    <t>Healthcare Services</t>
  </si>
  <si>
    <t>Cholamandalam Investment &amp; Finance Co. Ltd.</t>
  </si>
  <si>
    <t>INE121A01024</t>
  </si>
  <si>
    <t>Tata Power Company Ltd.</t>
  </si>
  <si>
    <t>INE245A01021</t>
  </si>
  <si>
    <t>TVS Motor Company Ltd.</t>
  </si>
  <si>
    <t>INE494B01023</t>
  </si>
  <si>
    <t>Varun Beverages Ltd.</t>
  </si>
  <si>
    <t>INE200M01039</t>
  </si>
  <si>
    <t>Beverages</t>
  </si>
  <si>
    <t>Avenue Supermarts Ltd.</t>
  </si>
  <si>
    <t>INE192R01011</t>
  </si>
  <si>
    <t>Hero MotoCorp Ltd.</t>
  </si>
  <si>
    <t>INE158A01026</t>
  </si>
  <si>
    <t>Info Edge (India) Ltd.</t>
  </si>
  <si>
    <t>INE663F01032</t>
  </si>
  <si>
    <t>IndusInd Bank Ltd.</t>
  </si>
  <si>
    <t>INE095A01012</t>
  </si>
  <si>
    <t>Indian Oil Corporation Ltd.</t>
  </si>
  <si>
    <t>INE242A01010</t>
  </si>
  <si>
    <t>DLF Ltd.</t>
  </si>
  <si>
    <t>INE271C01023</t>
  </si>
  <si>
    <t>Realty</t>
  </si>
  <si>
    <t>REC Ltd.</t>
  </si>
  <si>
    <t>INE020B01018</t>
  </si>
  <si>
    <t>Pidilite Industries Ltd.</t>
  </si>
  <si>
    <t>INE318A01026</t>
  </si>
  <si>
    <t>Chemicals &amp; Petrochemicals</t>
  </si>
  <si>
    <t>LTIMindtree Ltd.</t>
  </si>
  <si>
    <t>INE214T01019</t>
  </si>
  <si>
    <t>Godrej Consumer Products Ltd.</t>
  </si>
  <si>
    <t>INE102D01028</t>
  </si>
  <si>
    <t>Personal Products</t>
  </si>
  <si>
    <t>ICICI Lombard General Insurance Company Ltd.</t>
  </si>
  <si>
    <t>INE765G01017</t>
  </si>
  <si>
    <t>Adani Power Ltd.</t>
  </si>
  <si>
    <t>INE814H01011</t>
  </si>
  <si>
    <t>Macrotech Developers Ltd.</t>
  </si>
  <si>
    <t>INE670K01029</t>
  </si>
  <si>
    <t>Jindal Steel &amp; Power Ltd.</t>
  </si>
  <si>
    <t>INE749A01030</t>
  </si>
  <si>
    <t>Bharat Heavy Electricals Ltd.</t>
  </si>
  <si>
    <t>INE257A01026</t>
  </si>
  <si>
    <t>Electrical Equipment</t>
  </si>
  <si>
    <t>Adani Energy Solutions Ltd.</t>
  </si>
  <si>
    <t>INE931S01010</t>
  </si>
  <si>
    <t>ABB India Ltd.</t>
  </si>
  <si>
    <t>INE117A01022</t>
  </si>
  <si>
    <t>Adani Green Energy Ltd.</t>
  </si>
  <si>
    <t>INE364U01010</t>
  </si>
  <si>
    <t>Torrent Pharmaceuticals Ltd.</t>
  </si>
  <si>
    <t>INE685A01028</t>
  </si>
  <si>
    <t>Siemens Ltd.</t>
  </si>
  <si>
    <t>INE003A01024</t>
  </si>
  <si>
    <t>Dabur India Ltd.</t>
  </si>
  <si>
    <t>INE016A01026</t>
  </si>
  <si>
    <t>Union Bank of India</t>
  </si>
  <si>
    <t>INE692A01016</t>
  </si>
  <si>
    <t>NHPC Ltd.</t>
  </si>
  <si>
    <t>INE848E01016</t>
  </si>
  <si>
    <t>JSW Energy Ltd.</t>
  </si>
  <si>
    <t>INE121E01018</t>
  </si>
  <si>
    <t>ICICI Prudential Life Insurance Company Ltd.</t>
  </si>
  <si>
    <t>INE726G01019</t>
  </si>
  <si>
    <t>Zydus Lifesciences Ltd.</t>
  </si>
  <si>
    <t>INE010B01027</t>
  </si>
  <si>
    <t>Indian Railway Catering &amp; Tourism Corporation Ltd.</t>
  </si>
  <si>
    <t>INE335Y01020</t>
  </si>
  <si>
    <t>Leisure Services</t>
  </si>
  <si>
    <t>Siemens Energy India Ltd. A**</t>
  </si>
  <si>
    <t>INE1NPP01017</t>
  </si>
  <si>
    <t>Adani Total Gas Ltd.</t>
  </si>
  <si>
    <t>INE399L01023</t>
  </si>
  <si>
    <t>Gas</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</si>
  <si>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</si>
  <si>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</si>
  <si>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</si>
  <si>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</si>
  <si>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</si>
  <si>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</si>
  <si>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</si>
  <si>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</si>
  <si>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</si>
  <si>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</si>
  <si>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</si>
  <si>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</si>
  <si>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</si>
  <si>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</si>
  <si>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</si>
  <si>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</si>
  <si>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</si>
  <si>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</si>
  <si>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</si>
  <si>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</si>
  <si>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</si>
  <si>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Details of the Equity shares have been lent under Securities Lending and Borrowing as follows:-</t>
  </si>
  <si>
    <t>Sr. No</t>
  </si>
  <si>
    <t>Name of security lent</t>
  </si>
  <si>
    <t>Quantity of lending</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</si>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</sst>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
    <numFmt numFmtId="165" formatCode="_(* #,##0_);_(* \(#,##0\);_(* &quot;-&quot;??_);_(@_)"/>
  </numFmts>
  <fonts count="12" x14ac:knownFonts="1">
    <font>
      <sz val="11"/>
      <color rgb="FF000000"/>
      <name val="Calibri"/>
      <scheme val="minor"/>
    </font>
    <font>
      <u/>
      <sz val="11"/>
      <color rgb="FF0563C1"/>
      <name val="Calibri"/>
    </font>
    <font>
      <b/>
      <sz val="18"/>
      <color rgb="FF000000"/>
      <name val="Arial"/>
    </font>
    <font>
      <sz val="9"/>
      <color rgb="FF000000"/>
      <name val="Arial"/>
    </font>
    <font>
      <sz val="11"/>
      <color rgb="FF000000"/>
      <name val="Calibri"/>
    </font>
    <font>
      <sz val="10"/>
      <color rgb="FF000000"/>
      <name val="Arial"/>
    </font>
    <font>
      <b/>
      <sz val="10"/>
      <color rgb="FF000000"/>
      <name val="Arial"/>
    </font>
    <font>
      <b/>
      <sz val="9"/>
      <color rgb="FF000000"/>
      <name val="Arial"/>
    </font>
    <font>
      <sz val="9"/>
      <color rgb="FFFFFFFF"/>
      <name val="Arial"/>
    </font>
    <font>
      <b/>
      <sz val="9"/>
      <color rgb="FF000000"/>
      <name val="Arial"/>
      <family val="2"/>
    </font>
    <font>
      <b/>
      <sz val="11"/>
      <color rgb="FF000000"/>
      <name val="Calibri"/>
      <family val="2"/>
      <scheme val="minor"/>
    </font>
    <font>
      <sz val="10"/>
      <color rgb="FF000000"/>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3">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2" fontId="2" fillId="2" borderId="3" xfId="0" applyNumberFormat="1"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2" fontId="2" fillId="2" borderId="5" xfId="0" applyNumberFormat="1"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2" fontId="5" fillId="2" borderId="5"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2" fontId="6" fillId="2" borderId="8" xfId="0" applyNumberFormat="1"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2" fontId="4"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2"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2"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5"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7" fillId="0" borderId="12"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3" fillId="0" borderId="13" xfId="0" applyFont="1" applyBorder="1" applyAlignment="1">
      <alignment vertical="top"/>
    </xf>
    <xf numFmtId="165" fontId="3" fillId="0" borderId="13" xfId="0" applyNumberFormat="1" applyFont="1" applyBorder="1" applyAlignment="1">
      <alignment vertical="top"/>
    </xf>
    <xf numFmtId="43" fontId="3" fillId="0" borderId="13" xfId="0" applyNumberFormat="1" applyFont="1" applyBorder="1" applyAlignment="1">
      <alignment horizontal="right" vertical="top"/>
    </xf>
    <xf numFmtId="10" fontId="3" fillId="0" borderId="14" xfId="0" applyNumberFormat="1" applyFont="1" applyBorder="1" applyAlignment="1">
      <alignment horizontal="right" vertical="top"/>
    </xf>
    <xf numFmtId="10" fontId="3" fillId="0" borderId="15" xfId="0" applyNumberFormat="1" applyFont="1" applyBorder="1" applyAlignment="1">
      <alignment vertical="top"/>
    </xf>
    <xf numFmtId="0" fontId="7" fillId="2" borderId="16" xfId="0" applyFont="1" applyFill="1" applyBorder="1" applyAlignment="1">
      <alignment vertical="top"/>
    </xf>
    <xf numFmtId="0" fontId="3" fillId="0" borderId="17" xfId="0" applyFont="1" applyBorder="1" applyAlignment="1">
      <alignment vertical="top"/>
    </xf>
    <xf numFmtId="0" fontId="7" fillId="0" borderId="17" xfId="0" applyFont="1" applyBorder="1" applyAlignment="1">
      <alignment vertical="top"/>
    </xf>
    <xf numFmtId="43" fontId="7" fillId="2" borderId="18" xfId="0" applyNumberFormat="1" applyFont="1" applyFill="1" applyBorder="1" applyAlignment="1">
      <alignment horizontal="right" vertical="top"/>
    </xf>
    <xf numFmtId="10" fontId="7" fillId="2" borderId="19" xfId="0" applyNumberFormat="1" applyFont="1" applyFill="1" applyBorder="1" applyAlignment="1">
      <alignment horizontal="right" vertical="top"/>
    </xf>
    <xf numFmtId="2" fontId="9" fillId="0" borderId="0" xfId="0" applyNumberFormat="1" applyFont="1" applyAlignment="1">
      <alignment vertical="top"/>
    </xf>
    <xf numFmtId="0" fontId="10" fillId="0" borderId="0" xfId="0" applyFont="1"/>
    <xf numFmtId="43" fontId="7" fillId="2" borderId="20" xfId="0" applyNumberFormat="1" applyFont="1" applyFill="1" applyBorder="1" applyAlignment="1">
      <alignment horizontal="right" vertical="top"/>
    </xf>
    <xf numFmtId="10" fontId="7" fillId="2" borderId="21" xfId="0" applyNumberFormat="1" applyFont="1" applyFill="1" applyBorder="1" applyAlignment="1">
      <alignment horizontal="right" vertical="top"/>
    </xf>
    <xf numFmtId="165" fontId="3" fillId="0" borderId="14" xfId="0" applyNumberFormat="1" applyFont="1" applyBorder="1" applyAlignment="1">
      <alignment vertical="top"/>
    </xf>
    <xf numFmtId="10" fontId="7" fillId="2" borderId="18" xfId="0" applyNumberFormat="1" applyFont="1" applyFill="1" applyBorder="1" applyAlignment="1">
      <alignment horizontal="right" vertical="top"/>
    </xf>
    <xf numFmtId="10" fontId="3" fillId="0" borderId="22" xfId="0" applyNumberFormat="1" applyFont="1" applyBorder="1" applyAlignment="1">
      <alignment vertical="top"/>
    </xf>
    <xf numFmtId="0" fontId="7" fillId="0" borderId="23" xfId="0" applyFont="1" applyBorder="1" applyAlignment="1">
      <alignment vertical="top"/>
    </xf>
    <xf numFmtId="0" fontId="3" fillId="0" borderId="20" xfId="0" applyFont="1" applyBorder="1" applyAlignment="1">
      <alignment vertical="top"/>
    </xf>
    <xf numFmtId="165" fontId="3" fillId="0" borderId="20" xfId="0" applyNumberFormat="1" applyFont="1" applyBorder="1" applyAlignment="1">
      <alignment vertical="top"/>
    </xf>
    <xf numFmtId="43" fontId="7" fillId="2" borderId="24" xfId="0" applyNumberFormat="1" applyFont="1" applyFill="1" applyBorder="1" applyAlignment="1">
      <alignment horizontal="right" vertical="top"/>
    </xf>
    <xf numFmtId="10" fontId="7" fillId="2" borderId="25" xfId="0" applyNumberFormat="1" applyFont="1" applyFill="1" applyBorder="1" applyAlignment="1">
      <alignment horizontal="right" vertical="top"/>
    </xf>
    <xf numFmtId="10" fontId="3" fillId="0" borderId="26" xfId="0" applyNumberFormat="1" applyFont="1" applyBorder="1" applyAlignment="1">
      <alignment vertical="top"/>
    </xf>
    <xf numFmtId="0" fontId="7" fillId="0" borderId="27" xfId="0" applyFont="1" applyBorder="1" applyAlignment="1">
      <alignment vertical="top"/>
    </xf>
    <xf numFmtId="0" fontId="3" fillId="0" borderId="28" xfId="0" applyFont="1" applyBorder="1" applyAlignment="1">
      <alignment vertical="top"/>
    </xf>
    <xf numFmtId="165" fontId="3" fillId="0" borderId="28" xfId="0" applyNumberFormat="1" applyFont="1" applyBorder="1" applyAlignment="1">
      <alignment vertical="top"/>
    </xf>
    <xf numFmtId="10" fontId="3" fillId="0" borderId="29" xfId="0" applyNumberFormat="1" applyFont="1" applyBorder="1" applyAlignment="1">
      <alignment vertical="top"/>
    </xf>
    <xf numFmtId="0" fontId="7" fillId="0" borderId="16" xfId="0" applyFont="1" applyBorder="1" applyAlignment="1">
      <alignment vertical="top"/>
    </xf>
    <xf numFmtId="0" fontId="3" fillId="0" borderId="30" xfId="0" applyFont="1" applyBorder="1" applyAlignment="1">
      <alignment vertical="top"/>
    </xf>
    <xf numFmtId="165" fontId="3" fillId="0" borderId="30" xfId="0" applyNumberFormat="1" applyFont="1" applyBorder="1" applyAlignment="1">
      <alignment vertical="top"/>
    </xf>
    <xf numFmtId="10" fontId="3" fillId="0" borderId="31" xfId="0" applyNumberFormat="1" applyFont="1" applyBorder="1" applyAlignment="1">
      <alignment vertical="top"/>
    </xf>
    <xf numFmtId="165" fontId="3" fillId="0" borderId="32" xfId="0" applyNumberFormat="1" applyFont="1" applyBorder="1" applyAlignment="1">
      <alignment vertical="top"/>
    </xf>
    <xf numFmtId="10" fontId="3" fillId="0" borderId="33" xfId="0" applyNumberFormat="1" applyFont="1" applyBorder="1" applyAlignment="1">
      <alignment vertical="top"/>
    </xf>
    <xf numFmtId="0" fontId="7" fillId="0" borderId="34" xfId="0" applyFont="1" applyBorder="1" applyAlignment="1">
      <alignment vertical="top"/>
    </xf>
    <xf numFmtId="0" fontId="3" fillId="0" borderId="35" xfId="0" applyFont="1" applyBorder="1" applyAlignment="1">
      <alignment vertical="top"/>
    </xf>
    <xf numFmtId="165" fontId="3" fillId="0" borderId="36" xfId="0" applyNumberFormat="1" applyFont="1" applyBorder="1" applyAlignment="1">
      <alignment vertical="top"/>
    </xf>
    <xf numFmtId="10" fontId="7" fillId="2" borderId="20" xfId="0" applyNumberFormat="1" applyFont="1" applyFill="1" applyBorder="1" applyAlignment="1">
      <alignment horizontal="right" vertical="top"/>
    </xf>
    <xf numFmtId="10" fontId="3" fillId="0" borderId="37" xfId="0" applyNumberFormat="1" applyFont="1" applyBorder="1" applyAlignment="1">
      <alignment vertical="top"/>
    </xf>
    <xf numFmtId="0" fontId="7" fillId="0" borderId="38" xfId="0" applyFont="1" applyBorder="1" applyAlignment="1">
      <alignment vertical="top"/>
    </xf>
    <xf numFmtId="0" fontId="3" fillId="0" borderId="18" xfId="0" applyFont="1" applyBorder="1" applyAlignment="1">
      <alignment vertical="top"/>
    </xf>
    <xf numFmtId="165" fontId="3" fillId="0" borderId="18" xfId="0" applyNumberFormat="1" applyFont="1" applyBorder="1" applyAlignment="1">
      <alignment vertical="top"/>
    </xf>
    <xf numFmtId="10" fontId="3" fillId="0" borderId="39" xfId="0" applyNumberFormat="1" applyFont="1" applyBorder="1" applyAlignment="1">
      <alignment vertical="top"/>
    </xf>
    <xf numFmtId="0" fontId="3" fillId="0" borderId="40" xfId="0" applyFont="1" applyBorder="1" applyAlignment="1">
      <alignment vertical="top"/>
    </xf>
    <xf numFmtId="0" fontId="3" fillId="0" borderId="24" xfId="0" applyFont="1" applyBorder="1" applyAlignment="1">
      <alignment vertical="top"/>
    </xf>
    <xf numFmtId="165" fontId="3" fillId="0" borderId="24" xfId="0" applyNumberFormat="1" applyFont="1" applyBorder="1" applyAlignment="1">
      <alignment vertical="top"/>
    </xf>
    <xf numFmtId="43" fontId="3" fillId="0" borderId="24" xfId="0" applyNumberFormat="1" applyFont="1" applyBorder="1" applyAlignment="1">
      <alignment horizontal="right" vertical="top"/>
    </xf>
    <xf numFmtId="10" fontId="3" fillId="0" borderId="25" xfId="0" applyNumberFormat="1" applyFont="1" applyBorder="1" applyAlignment="1">
      <alignment horizontal="right" vertical="top"/>
    </xf>
    <xf numFmtId="10" fontId="3" fillId="0" borderId="41" xfId="0" applyNumberFormat="1" applyFont="1" applyBorder="1" applyAlignment="1">
      <alignment vertical="top"/>
    </xf>
    <xf numFmtId="0" fontId="7" fillId="0" borderId="42" xfId="0" applyFont="1" applyBorder="1" applyAlignment="1">
      <alignment vertical="top"/>
    </xf>
    <xf numFmtId="43" fontId="3" fillId="0" borderId="20" xfId="0" applyNumberFormat="1" applyFont="1" applyBorder="1" applyAlignment="1">
      <alignment horizontal="right" vertical="top"/>
    </xf>
    <xf numFmtId="10" fontId="3" fillId="0" borderId="21" xfId="0" applyNumberFormat="1" applyFont="1" applyBorder="1" applyAlignment="1">
      <alignment horizontal="right" vertical="top"/>
    </xf>
    <xf numFmtId="0" fontId="7" fillId="0" borderId="18" xfId="0" applyFont="1" applyBorder="1" applyAlignment="1">
      <alignment vertical="top"/>
    </xf>
    <xf numFmtId="165" fontId="7" fillId="0" borderId="18" xfId="0" applyNumberFormat="1" applyFont="1" applyBorder="1" applyAlignment="1">
      <alignment vertical="top"/>
    </xf>
    <xf numFmtId="43" fontId="7" fillId="0" borderId="18" xfId="0" applyNumberFormat="1" applyFont="1" applyBorder="1" applyAlignment="1">
      <alignment horizontal="right" vertical="top"/>
    </xf>
    <xf numFmtId="10" fontId="7" fillId="0" borderId="18" xfId="0" applyNumberFormat="1" applyFont="1" applyBorder="1" applyAlignment="1">
      <alignment horizontal="right" vertical="top"/>
    </xf>
    <xf numFmtId="10" fontId="7" fillId="0" borderId="39" xfId="0" applyNumberFormat="1" applyFont="1" applyBorder="1" applyAlignment="1">
      <alignment vertical="top"/>
    </xf>
    <xf numFmtId="0" fontId="7" fillId="0" borderId="0" xfId="0" applyFont="1"/>
    <xf numFmtId="0" fontId="3" fillId="0" borderId="43" xfId="0" applyFont="1" applyBorder="1" applyAlignment="1">
      <alignment vertical="top"/>
    </xf>
    <xf numFmtId="0" fontId="3" fillId="0" borderId="44" xfId="0" applyFont="1" applyBorder="1" applyAlignment="1">
      <alignment vertical="top"/>
    </xf>
    <xf numFmtId="165" fontId="3" fillId="0" borderId="44" xfId="0" applyNumberFormat="1" applyFont="1" applyBorder="1" applyAlignment="1">
      <alignment vertical="top"/>
    </xf>
    <xf numFmtId="43" fontId="3" fillId="0" borderId="44" xfId="0" applyNumberFormat="1" applyFont="1" applyBorder="1" applyAlignment="1">
      <alignment horizontal="right" vertical="top"/>
    </xf>
    <xf numFmtId="10" fontId="3" fillId="0" borderId="45" xfId="0" applyNumberFormat="1" applyFont="1" applyBorder="1" applyAlignment="1">
      <alignment horizontal="right" vertical="top"/>
    </xf>
    <xf numFmtId="10" fontId="3" fillId="0" borderId="46" xfId="0" applyNumberFormat="1" applyFont="1" applyBorder="1" applyAlignment="1">
      <alignment vertical="top"/>
    </xf>
    <xf numFmtId="0" fontId="3" fillId="0" borderId="47" xfId="0" applyFont="1" applyBorder="1" applyAlignment="1">
      <alignment vertical="top"/>
    </xf>
    <xf numFmtId="0" fontId="7" fillId="2" borderId="48" xfId="0" applyFont="1" applyFill="1" applyBorder="1" applyAlignment="1">
      <alignment vertical="top"/>
    </xf>
    <xf numFmtId="0" fontId="7" fillId="2" borderId="49" xfId="0" applyFont="1" applyFill="1" applyBorder="1" applyAlignment="1">
      <alignment vertical="top"/>
    </xf>
    <xf numFmtId="165" fontId="7" fillId="2" borderId="49" xfId="0" applyNumberFormat="1" applyFont="1" applyFill="1" applyBorder="1" applyAlignment="1">
      <alignment vertical="top"/>
    </xf>
    <xf numFmtId="165" fontId="3" fillId="0" borderId="49" xfId="0" applyNumberFormat="1" applyFont="1" applyBorder="1" applyAlignment="1">
      <alignment vertical="top"/>
    </xf>
    <xf numFmtId="43" fontId="7" fillId="0" borderId="49" xfId="0" applyNumberFormat="1" applyFont="1" applyBorder="1" applyAlignment="1">
      <alignment horizontal="right" vertical="top"/>
    </xf>
    <xf numFmtId="10" fontId="7" fillId="0" borderId="50" xfId="0" applyNumberFormat="1" applyFont="1" applyBorder="1" applyAlignment="1">
      <alignment horizontal="right" vertical="top"/>
    </xf>
    <xf numFmtId="10" fontId="3" fillId="0" borderId="51" xfId="0" applyNumberFormat="1" applyFont="1" applyBorder="1" applyAlignment="1">
      <alignment vertical="top"/>
    </xf>
    <xf numFmtId="165" fontId="3" fillId="0" borderId="0" xfId="0" applyNumberFormat="1" applyFont="1" applyAlignment="1">
      <alignment vertical="top"/>
    </xf>
    <xf numFmtId="10" fontId="7" fillId="0" borderId="0" xfId="0" applyNumberFormat="1" applyFont="1"/>
    <xf numFmtId="0" fontId="7" fillId="0" borderId="0" xfId="0" applyFont="1" applyAlignment="1">
      <alignment vertical="center"/>
    </xf>
    <xf numFmtId="0" fontId="7" fillId="0" borderId="18" xfId="0" applyFont="1" applyBorder="1" applyAlignment="1">
      <alignment vertical="center"/>
    </xf>
    <xf numFmtId="10" fontId="7" fillId="0" borderId="0" xfId="0" applyNumberFormat="1" applyFont="1" applyAlignment="1">
      <alignment vertical="center"/>
    </xf>
    <xf numFmtId="14" fontId="3" fillId="0" borderId="0" xfId="0" applyNumberFormat="1" applyFont="1"/>
    <xf numFmtId="0" fontId="3" fillId="0" borderId="18" xfId="0" applyFont="1" applyBorder="1"/>
    <xf numFmtId="0" fontId="3" fillId="0" borderId="0" xfId="0" applyFont="1"/>
    <xf numFmtId="10" fontId="3" fillId="0" borderId="0" xfId="0" applyNumberFormat="1" applyFont="1"/>
    <xf numFmtId="0" fontId="1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90D3582-68E4-4979-B095-694BB49BCC72}"/>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120</xdr:row>
      <xdr:rowOff>0</xdr:rowOff>
    </xdr:from>
    <xdr:ext cx="8715375" cy="2038350"/>
    <xdr:pic>
      <xdr:nvPicPr>
        <xdr:cNvPr id="3" name="Picture 2">
          <a:extLst>
            <a:ext uri="{FF2B5EF4-FFF2-40B4-BE49-F238E27FC236}">
              <a16:creationId xmlns:a16="http://schemas.microsoft.com/office/drawing/2014/main" id="{2F638CA5-C4CF-4B78-A5D6-E35527BA2071}"/>
            </a:ext>
          </a:extLst>
        </xdr:cNvPr>
        <xdr:cNvPicPr>
          <a:picLocks noChangeAspect="1"/>
        </xdr:cNvPicPr>
      </xdr:nvPicPr>
      <xdr:blipFill>
        <a:blip xmlns:r="http://schemas.openxmlformats.org/officeDocument/2006/relationships" r:embed="rId2"/>
        <a:stretch>
          <a:fillRect/>
        </a:stretch>
      </xdr:blipFill>
      <xdr:spPr>
        <a:xfrm>
          <a:off x="247650" y="217170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B52E-1722-4B95-B3E4-828517726FD9}">
  <sheetPr codeName="Sheet48"/>
  <dimension ref="A1:IU136"/>
  <sheetViews>
    <sheetView showGridLines="0" tabSelected="1" topLeftCell="C1" zoomScale="90" zoomScaleNormal="90" workbookViewId="0">
      <pane ySplit="9" topLeftCell="A10" activePane="bottomLeft" state="frozen"/>
      <selection pane="bottomLeft" activeCell="M84" sqref="M84"/>
    </sheetView>
  </sheetViews>
  <sheetFormatPr defaultColWidth="15.85546875" defaultRowHeight="15" x14ac:dyDescent="0.25"/>
  <cols>
    <col min="1" max="1" width="3.7109375" style="5" customWidth="1"/>
    <col min="2" max="2" width="83.140625" style="5" customWidth="1"/>
    <col min="3" max="3" width="47.7109375" style="5" customWidth="1"/>
    <col min="4" max="4" width="38" style="5" customWidth="1"/>
    <col min="5" max="5" width="19.140625" style="113" customWidth="1"/>
    <col min="6" max="6" width="19.140625" style="24" customWidth="1"/>
    <col min="7" max="8" width="19.140625" style="25" customWidth="1"/>
    <col min="9" max="9" width="10.42578125" style="26" customWidth="1"/>
    <col min="10" max="255" width="15.85546875" style="5"/>
  </cols>
  <sheetData>
    <row r="1" spans="1:9" ht="14.1" customHeight="1" x14ac:dyDescent="0.25">
      <c r="A1" s="1"/>
      <c r="B1" s="2" t="s">
        <v>0</v>
      </c>
      <c r="C1" s="3"/>
      <c r="D1" s="3"/>
      <c r="E1" s="3"/>
      <c r="F1" s="3"/>
      <c r="G1" s="3"/>
      <c r="H1" s="3"/>
      <c r="I1" s="4"/>
    </row>
    <row r="2" spans="1:9" ht="14.1" customHeight="1" x14ac:dyDescent="0.25">
      <c r="A2" s="6"/>
      <c r="B2" s="7"/>
      <c r="C2" s="8"/>
      <c r="D2" s="8"/>
      <c r="E2" s="8"/>
      <c r="F2" s="8"/>
      <c r="G2" s="8"/>
      <c r="H2" s="8"/>
      <c r="I2" s="9"/>
    </row>
    <row r="3" spans="1:9" x14ac:dyDescent="0.25">
      <c r="A3" s="10"/>
      <c r="B3" s="11" t="s">
        <v>1</v>
      </c>
      <c r="C3" s="12"/>
      <c r="D3" s="12"/>
      <c r="E3" s="12"/>
      <c r="F3" s="12"/>
      <c r="G3" s="12"/>
      <c r="H3" s="12"/>
      <c r="I3" s="13"/>
    </row>
    <row r="4" spans="1:9" x14ac:dyDescent="0.25">
      <c r="A4" s="6"/>
      <c r="B4" s="11"/>
      <c r="C4" s="12"/>
      <c r="D4" s="12"/>
      <c r="E4" s="12"/>
      <c r="F4" s="12"/>
      <c r="G4" s="12"/>
      <c r="H4" s="12"/>
      <c r="I4" s="13"/>
    </row>
    <row r="5" spans="1:9" ht="15.75" thickBot="1" x14ac:dyDescent="0.3">
      <c r="A5" s="6"/>
      <c r="B5" s="14" t="s">
        <v>2</v>
      </c>
      <c r="C5" s="15"/>
      <c r="D5" s="15"/>
      <c r="E5" s="15"/>
      <c r="F5" s="15"/>
      <c r="G5" s="15"/>
      <c r="H5" s="15"/>
      <c r="I5" s="16"/>
    </row>
    <row r="6" spans="1:9" x14ac:dyDescent="0.25">
      <c r="A6" s="6"/>
      <c r="B6" s="17" t="s">
        <v>3</v>
      </c>
      <c r="C6" s="6"/>
      <c r="D6" s="6"/>
      <c r="E6" s="6"/>
      <c r="F6" s="18"/>
      <c r="G6" s="19"/>
      <c r="H6" s="6"/>
      <c r="I6" s="20"/>
    </row>
    <row r="7" spans="1:9" x14ac:dyDescent="0.25">
      <c r="B7" s="21"/>
      <c r="C7" s="22"/>
      <c r="E7" s="23"/>
    </row>
    <row r="8" spans="1:9" ht="15" customHeight="1" thickBot="1" x14ac:dyDescent="0.3">
      <c r="A8" s="27"/>
      <c r="B8" s="28" t="s">
        <v>4</v>
      </c>
      <c r="D8" s="28"/>
      <c r="E8" s="29"/>
      <c r="F8" s="30"/>
      <c r="G8" s="31"/>
      <c r="H8" s="31"/>
      <c r="I8" s="32"/>
    </row>
    <row r="9" spans="1:9" ht="23.1" customHeight="1" x14ac:dyDescent="0.25">
      <c r="B9" s="33" t="s">
        <v>5</v>
      </c>
      <c r="C9" s="34" t="s">
        <v>6</v>
      </c>
      <c r="D9" s="34" t="s">
        <v>7</v>
      </c>
      <c r="E9" s="35" t="s">
        <v>8</v>
      </c>
      <c r="F9" s="36" t="s">
        <v>9</v>
      </c>
      <c r="G9" s="37" t="s">
        <v>10</v>
      </c>
      <c r="H9" s="38" t="s">
        <v>11</v>
      </c>
      <c r="I9" s="39" t="s">
        <v>12</v>
      </c>
    </row>
    <row r="10" spans="1:9" x14ac:dyDescent="0.25">
      <c r="A10" s="40"/>
      <c r="B10" s="41" t="s">
        <v>13</v>
      </c>
      <c r="C10" s="42"/>
      <c r="D10" s="42"/>
      <c r="E10" s="43"/>
      <c r="F10" s="44"/>
      <c r="G10" s="45"/>
      <c r="H10" s="46"/>
    </row>
    <row r="11" spans="1:9" x14ac:dyDescent="0.25">
      <c r="B11" s="47" t="s">
        <v>14</v>
      </c>
      <c r="C11" s="42"/>
      <c r="D11" s="42"/>
      <c r="E11" s="43"/>
      <c r="F11" s="44"/>
      <c r="G11" s="45"/>
      <c r="H11" s="46"/>
    </row>
    <row r="12" spans="1:9" x14ac:dyDescent="0.25">
      <c r="A12" s="22"/>
      <c r="B12" s="48" t="s">
        <v>15</v>
      </c>
      <c r="C12" s="42" t="s">
        <v>16</v>
      </c>
      <c r="D12" s="42" t="s">
        <v>17</v>
      </c>
      <c r="E12" s="43">
        <v>64502</v>
      </c>
      <c r="F12" s="44">
        <v>1254.5</v>
      </c>
      <c r="G12" s="45">
        <v>0.10394991305008</v>
      </c>
      <c r="H12" s="46"/>
      <c r="I12" s="26">
        <v>80.2</v>
      </c>
    </row>
    <row r="13" spans="1:9" x14ac:dyDescent="0.25">
      <c r="A13" s="22"/>
      <c r="B13" s="48" t="s">
        <v>18</v>
      </c>
      <c r="C13" s="42" t="s">
        <v>19</v>
      </c>
      <c r="D13" s="42" t="s">
        <v>17</v>
      </c>
      <c r="E13" s="43">
        <v>86566</v>
      </c>
      <c r="F13" s="44">
        <v>1251.57</v>
      </c>
      <c r="G13" s="45">
        <v>0.1037072799987</v>
      </c>
      <c r="H13" s="46"/>
      <c r="I13" s="26">
        <v>75.8</v>
      </c>
    </row>
    <row r="14" spans="1:9" x14ac:dyDescent="0.25">
      <c r="A14" s="22"/>
      <c r="B14" s="48" t="s">
        <v>20</v>
      </c>
      <c r="C14" s="42" t="s">
        <v>21</v>
      </c>
      <c r="D14" s="42" t="s">
        <v>22</v>
      </c>
      <c r="E14" s="43">
        <v>83284</v>
      </c>
      <c r="F14" s="44">
        <v>1183.3800000000001</v>
      </c>
      <c r="G14" s="45">
        <v>9.8057036302539993E-2</v>
      </c>
      <c r="H14" s="46"/>
      <c r="I14" s="26">
        <v>69</v>
      </c>
    </row>
    <row r="15" spans="1:9" x14ac:dyDescent="0.25">
      <c r="A15" s="22"/>
      <c r="B15" s="48" t="s">
        <v>23</v>
      </c>
      <c r="C15" s="42" t="s">
        <v>24</v>
      </c>
      <c r="D15" s="42" t="s">
        <v>25</v>
      </c>
      <c r="E15" s="43">
        <v>32904</v>
      </c>
      <c r="F15" s="44">
        <v>610.76</v>
      </c>
      <c r="G15" s="45">
        <v>5.0608927979509999E-2</v>
      </c>
      <c r="H15" s="46"/>
      <c r="I15" s="26">
        <v>74.5</v>
      </c>
    </row>
    <row r="16" spans="1:9" x14ac:dyDescent="0.25">
      <c r="A16" s="22"/>
      <c r="B16" s="48" t="s">
        <v>26</v>
      </c>
      <c r="C16" s="42" t="s">
        <v>27</v>
      </c>
      <c r="D16" s="42" t="s">
        <v>28</v>
      </c>
      <c r="E16" s="43">
        <v>14442</v>
      </c>
      <c r="F16" s="44">
        <v>530.76</v>
      </c>
      <c r="G16" s="45">
        <v>4.3979488558940003E-2</v>
      </c>
      <c r="H16" s="46"/>
      <c r="I16" s="26">
        <v>71.7</v>
      </c>
    </row>
    <row r="17" spans="1:9" x14ac:dyDescent="0.25">
      <c r="A17" s="22"/>
      <c r="B17" s="48" t="s">
        <v>29</v>
      </c>
      <c r="C17" s="42" t="s">
        <v>30</v>
      </c>
      <c r="D17" s="42" t="s">
        <v>31</v>
      </c>
      <c r="E17" s="43">
        <v>12537</v>
      </c>
      <c r="F17" s="44">
        <v>434.21</v>
      </c>
      <c r="G17" s="45">
        <v>3.5979071513979999E-2</v>
      </c>
      <c r="H17" s="46"/>
      <c r="I17" s="26">
        <v>72.599999999999994</v>
      </c>
    </row>
    <row r="18" spans="1:9" x14ac:dyDescent="0.25">
      <c r="A18" s="22"/>
      <c r="B18" s="48" t="s">
        <v>32</v>
      </c>
      <c r="C18" s="42" t="s">
        <v>33</v>
      </c>
      <c r="D18" s="42" t="s">
        <v>17</v>
      </c>
      <c r="E18" s="43">
        <v>34987</v>
      </c>
      <c r="F18" s="44">
        <v>417.12</v>
      </c>
      <c r="G18" s="45">
        <v>3.4562845949799997E-2</v>
      </c>
      <c r="H18" s="46"/>
      <c r="I18" s="26">
        <v>80.3</v>
      </c>
    </row>
    <row r="19" spans="1:9" x14ac:dyDescent="0.25">
      <c r="A19" s="22"/>
      <c r="B19" s="48" t="s">
        <v>34</v>
      </c>
      <c r="C19" s="42" t="s">
        <v>35</v>
      </c>
      <c r="D19" s="42" t="s">
        <v>36</v>
      </c>
      <c r="E19" s="43">
        <v>10861</v>
      </c>
      <c r="F19" s="44">
        <v>323.31</v>
      </c>
      <c r="G19" s="45">
        <v>2.679002654077E-2</v>
      </c>
      <c r="H19" s="46"/>
      <c r="I19" s="26">
        <v>74.900000000000006</v>
      </c>
    </row>
    <row r="20" spans="1:9" x14ac:dyDescent="0.25">
      <c r="A20" s="22"/>
      <c r="B20" s="48" t="s">
        <v>37</v>
      </c>
      <c r="C20" s="42" t="s">
        <v>38</v>
      </c>
      <c r="D20" s="42" t="s">
        <v>39</v>
      </c>
      <c r="E20" s="43">
        <v>3433</v>
      </c>
      <c r="F20" s="44">
        <v>315.17</v>
      </c>
      <c r="G20" s="45">
        <v>2.6115227380960001E-2</v>
      </c>
      <c r="H20" s="46"/>
      <c r="I20" s="26">
        <v>78.8</v>
      </c>
    </row>
    <row r="21" spans="1:9" x14ac:dyDescent="0.25">
      <c r="A21" s="22"/>
      <c r="B21" s="48" t="s">
        <v>40</v>
      </c>
      <c r="C21" s="42" t="s">
        <v>41</v>
      </c>
      <c r="D21" s="42" t="s">
        <v>42</v>
      </c>
      <c r="E21" s="43">
        <v>10891</v>
      </c>
      <c r="F21" s="44">
        <v>255.75</v>
      </c>
      <c r="G21" s="45">
        <v>2.1192149513190001E-2</v>
      </c>
      <c r="H21" s="46"/>
      <c r="I21" s="26">
        <v>72</v>
      </c>
    </row>
    <row r="22" spans="1:9" x14ac:dyDescent="0.25">
      <c r="A22" s="22"/>
      <c r="B22" s="48" t="s">
        <v>43</v>
      </c>
      <c r="C22" s="42" t="s">
        <v>44</v>
      </c>
      <c r="D22" s="42" t="s">
        <v>45</v>
      </c>
      <c r="E22" s="43">
        <v>13243</v>
      </c>
      <c r="F22" s="44">
        <v>222.16</v>
      </c>
      <c r="G22" s="45">
        <v>1.8408926750559999E-2</v>
      </c>
      <c r="H22" s="46"/>
      <c r="I22" s="26">
        <v>64.900000000000006</v>
      </c>
    </row>
    <row r="23" spans="1:9" x14ac:dyDescent="0.25">
      <c r="A23" s="22"/>
      <c r="B23" s="48" t="s">
        <v>46</v>
      </c>
      <c r="C23" s="42" t="s">
        <v>47</v>
      </c>
      <c r="D23" s="42" t="s">
        <v>31</v>
      </c>
      <c r="E23" s="43">
        <v>12987</v>
      </c>
      <c r="F23" s="44">
        <v>212.55</v>
      </c>
      <c r="G23" s="45">
        <v>1.7611853349900002E-2</v>
      </c>
      <c r="H23" s="46"/>
      <c r="I23" s="26">
        <v>79.900000000000006</v>
      </c>
    </row>
    <row r="24" spans="1:9" x14ac:dyDescent="0.25">
      <c r="A24" s="22"/>
      <c r="B24" s="48" t="s">
        <v>48</v>
      </c>
      <c r="C24" s="42" t="s">
        <v>49</v>
      </c>
      <c r="D24" s="42" t="s">
        <v>50</v>
      </c>
      <c r="E24" s="43">
        <v>85049</v>
      </c>
      <c r="F24" s="44">
        <v>202.68</v>
      </c>
      <c r="G24" s="45">
        <v>1.6794425469279999E-2</v>
      </c>
      <c r="H24" s="46"/>
      <c r="I24" s="26">
        <v>68.2</v>
      </c>
    </row>
    <row r="25" spans="1:9" x14ac:dyDescent="0.25">
      <c r="A25" s="22"/>
      <c r="B25" s="48" t="s">
        <v>51</v>
      </c>
      <c r="C25" s="42" t="s">
        <v>52</v>
      </c>
      <c r="D25" s="42" t="s">
        <v>36</v>
      </c>
      <c r="E25" s="43">
        <v>1614</v>
      </c>
      <c r="F25" s="44">
        <v>198.83</v>
      </c>
      <c r="G25" s="45">
        <v>1.6475274481449999E-2</v>
      </c>
      <c r="H25" s="46"/>
      <c r="I25" s="26">
        <v>74</v>
      </c>
    </row>
    <row r="26" spans="1:9" x14ac:dyDescent="0.25">
      <c r="A26" s="22"/>
      <c r="B26" s="48" t="s">
        <v>53</v>
      </c>
      <c r="C26" s="42" t="s">
        <v>54</v>
      </c>
      <c r="D26" s="42" t="s">
        <v>55</v>
      </c>
      <c r="E26" s="43">
        <v>58092</v>
      </c>
      <c r="F26" s="44">
        <v>193.97</v>
      </c>
      <c r="G26" s="45">
        <v>1.6072610524279999E-2</v>
      </c>
      <c r="H26" s="46"/>
      <c r="I26" s="26">
        <v>63.7</v>
      </c>
    </row>
    <row r="27" spans="1:9" x14ac:dyDescent="0.25">
      <c r="A27" s="22"/>
      <c r="B27" s="48" t="s">
        <v>56</v>
      </c>
      <c r="C27" s="42" t="s">
        <v>57</v>
      </c>
      <c r="D27" s="42" t="s">
        <v>36</v>
      </c>
      <c r="E27" s="43">
        <v>25716</v>
      </c>
      <c r="F27" s="44">
        <v>185.03</v>
      </c>
      <c r="G27" s="45">
        <v>1.533161442055E-2</v>
      </c>
      <c r="H27" s="46"/>
      <c r="I27" s="26">
        <v>78.8</v>
      </c>
    </row>
    <row r="28" spans="1:9" x14ac:dyDescent="0.25">
      <c r="A28" s="22"/>
      <c r="B28" s="48" t="s">
        <v>58</v>
      </c>
      <c r="C28" s="42" t="s">
        <v>59</v>
      </c>
      <c r="D28" s="42" t="s">
        <v>60</v>
      </c>
      <c r="E28" s="43">
        <v>5075</v>
      </c>
      <c r="F28" s="44">
        <v>180.42</v>
      </c>
      <c r="G28" s="45">
        <v>1.4949591470690001E-2</v>
      </c>
      <c r="H28" s="46"/>
      <c r="I28" s="26">
        <v>69.400000000000006</v>
      </c>
    </row>
    <row r="29" spans="1:9" x14ac:dyDescent="0.25">
      <c r="A29" s="22"/>
      <c r="B29" s="48" t="s">
        <v>61</v>
      </c>
      <c r="C29" s="42" t="s">
        <v>62</v>
      </c>
      <c r="D29" s="42" t="s">
        <v>63</v>
      </c>
      <c r="E29" s="43">
        <v>101658</v>
      </c>
      <c r="F29" s="44">
        <v>163.69</v>
      </c>
      <c r="G29" s="45">
        <v>1.3563602593309999E-2</v>
      </c>
      <c r="H29" s="46"/>
      <c r="I29" s="26">
        <v>69</v>
      </c>
    </row>
    <row r="30" spans="1:9" x14ac:dyDescent="0.25">
      <c r="A30" s="22"/>
      <c r="B30" s="48" t="s">
        <v>64</v>
      </c>
      <c r="C30" s="42" t="s">
        <v>65</v>
      </c>
      <c r="D30" s="42" t="s">
        <v>66</v>
      </c>
      <c r="E30" s="43">
        <v>1399</v>
      </c>
      <c r="F30" s="44">
        <v>156.83000000000001</v>
      </c>
      <c r="G30" s="45">
        <v>1.299502143629E-2</v>
      </c>
      <c r="H30" s="46"/>
      <c r="I30" s="26">
        <v>70.8</v>
      </c>
    </row>
    <row r="31" spans="1:9" x14ac:dyDescent="0.25">
      <c r="A31" s="22"/>
      <c r="B31" s="48" t="s">
        <v>67</v>
      </c>
      <c r="C31" s="42" t="s">
        <v>68</v>
      </c>
      <c r="D31" s="42" t="s">
        <v>50</v>
      </c>
      <c r="E31" s="43">
        <v>2724</v>
      </c>
      <c r="F31" s="44">
        <v>153.72999999999999</v>
      </c>
      <c r="G31" s="45">
        <v>1.2738236440570001E-2</v>
      </c>
      <c r="H31" s="46"/>
      <c r="I31" s="26">
        <v>67.5</v>
      </c>
    </row>
    <row r="32" spans="1:9" x14ac:dyDescent="0.25">
      <c r="A32" s="22"/>
      <c r="B32" s="48" t="s">
        <v>69</v>
      </c>
      <c r="C32" s="42" t="s">
        <v>70</v>
      </c>
      <c r="D32" s="42" t="s">
        <v>39</v>
      </c>
      <c r="E32" s="43">
        <v>6709</v>
      </c>
      <c r="F32" s="44">
        <v>135.35</v>
      </c>
      <c r="G32" s="45">
        <v>1.121510855221E-2</v>
      </c>
      <c r="H32" s="46"/>
      <c r="I32" s="26">
        <v>78.599999999999994</v>
      </c>
    </row>
    <row r="33" spans="1:9" x14ac:dyDescent="0.25">
      <c r="A33" s="22"/>
      <c r="B33" s="48" t="s">
        <v>71</v>
      </c>
      <c r="C33" s="42" t="s">
        <v>72</v>
      </c>
      <c r="D33" s="42" t="s">
        <v>73</v>
      </c>
      <c r="E33" s="43">
        <v>9042</v>
      </c>
      <c r="F33" s="44">
        <v>129.55000000000001</v>
      </c>
      <c r="G33" s="45">
        <v>1.0735042019140001E-2</v>
      </c>
      <c r="H33" s="46"/>
      <c r="I33" s="26">
        <v>70.099999999999994</v>
      </c>
    </row>
    <row r="34" spans="1:9" x14ac:dyDescent="0.25">
      <c r="A34" s="22"/>
      <c r="B34" s="48" t="s">
        <v>74</v>
      </c>
      <c r="C34" s="42" t="s">
        <v>75</v>
      </c>
      <c r="D34" s="42" t="s">
        <v>76</v>
      </c>
      <c r="E34" s="43">
        <v>2406</v>
      </c>
      <c r="F34" s="44">
        <v>128.24</v>
      </c>
      <c r="G34" s="45">
        <v>1.062616377562E-2</v>
      </c>
      <c r="H34" s="46"/>
      <c r="I34" s="26">
        <v>70.900000000000006</v>
      </c>
    </row>
    <row r="35" spans="1:9" x14ac:dyDescent="0.25">
      <c r="A35" s="22"/>
      <c r="B35" s="48" t="s">
        <v>77</v>
      </c>
      <c r="C35" s="42" t="s">
        <v>78</v>
      </c>
      <c r="D35" s="42" t="s">
        <v>60</v>
      </c>
      <c r="E35" s="43">
        <v>5548</v>
      </c>
      <c r="F35" s="44">
        <v>125.33</v>
      </c>
      <c r="G35" s="45">
        <v>1.0385456263679999E-2</v>
      </c>
      <c r="H35" s="46"/>
      <c r="I35" s="26">
        <v>74.2</v>
      </c>
    </row>
    <row r="36" spans="1:9" x14ac:dyDescent="0.25">
      <c r="A36" s="22"/>
      <c r="B36" s="48" t="s">
        <v>79</v>
      </c>
      <c r="C36" s="42" t="s">
        <v>80</v>
      </c>
      <c r="D36" s="42" t="s">
        <v>31</v>
      </c>
      <c r="E36" s="43">
        <v>7787</v>
      </c>
      <c r="F36" s="44">
        <v>122.56</v>
      </c>
      <c r="G36" s="45">
        <v>1.015549234708E-2</v>
      </c>
      <c r="H36" s="46"/>
      <c r="I36" s="26">
        <v>78.8</v>
      </c>
    </row>
    <row r="37" spans="1:9" x14ac:dyDescent="0.25">
      <c r="A37" s="22"/>
      <c r="B37" s="48" t="s">
        <v>81</v>
      </c>
      <c r="C37" s="42" t="s">
        <v>82</v>
      </c>
      <c r="D37" s="42" t="s">
        <v>63</v>
      </c>
      <c r="E37" s="43">
        <v>11773</v>
      </c>
      <c r="F37" s="44">
        <v>116.96</v>
      </c>
      <c r="G37" s="45">
        <v>9.6918947363100003E-3</v>
      </c>
      <c r="H37" s="46"/>
      <c r="I37" s="26">
        <v>67</v>
      </c>
    </row>
    <row r="38" spans="1:9" x14ac:dyDescent="0.25">
      <c r="A38" s="22"/>
      <c r="B38" s="48" t="s">
        <v>83</v>
      </c>
      <c r="C38" s="42" t="s">
        <v>84</v>
      </c>
      <c r="D38" s="42" t="s">
        <v>66</v>
      </c>
      <c r="E38" s="43">
        <v>4558</v>
      </c>
      <c r="F38" s="44">
        <v>116.04</v>
      </c>
      <c r="G38" s="45">
        <v>9.6150661431799993E-3</v>
      </c>
      <c r="H38" s="46"/>
      <c r="I38" s="26">
        <v>67.099999999999994</v>
      </c>
    </row>
    <row r="39" spans="1:9" x14ac:dyDescent="0.25">
      <c r="A39" s="22"/>
      <c r="B39" s="48" t="s">
        <v>85</v>
      </c>
      <c r="C39" s="42" t="s">
        <v>86</v>
      </c>
      <c r="D39" s="42" t="s">
        <v>87</v>
      </c>
      <c r="E39" s="43">
        <v>17834</v>
      </c>
      <c r="F39" s="44">
        <v>112.98</v>
      </c>
      <c r="G39" s="45">
        <v>9.3615778817899998E-3</v>
      </c>
      <c r="H39" s="46"/>
      <c r="I39" s="26">
        <v>64.7</v>
      </c>
    </row>
    <row r="40" spans="1:9" x14ac:dyDescent="0.25">
      <c r="A40" s="22"/>
      <c r="B40" s="48" t="s">
        <v>88</v>
      </c>
      <c r="C40" s="42" t="s">
        <v>89</v>
      </c>
      <c r="D40" s="42" t="s">
        <v>39</v>
      </c>
      <c r="E40" s="43">
        <v>17146</v>
      </c>
      <c r="F40" s="44">
        <v>109.62</v>
      </c>
      <c r="G40" s="45">
        <v>9.0835406082399994E-3</v>
      </c>
      <c r="H40" s="46"/>
      <c r="I40" s="26">
        <v>80.099999999999994</v>
      </c>
    </row>
    <row r="41" spans="1:9" x14ac:dyDescent="0.25">
      <c r="A41" s="22"/>
      <c r="B41" s="48" t="s">
        <v>90</v>
      </c>
      <c r="C41" s="42" t="s">
        <v>91</v>
      </c>
      <c r="D41" s="42" t="s">
        <v>92</v>
      </c>
      <c r="E41" s="43">
        <v>4393</v>
      </c>
      <c r="F41" s="44">
        <v>105.27</v>
      </c>
      <c r="G41" s="45">
        <v>8.7224389867000002E-3</v>
      </c>
      <c r="H41" s="46"/>
      <c r="I41" s="26">
        <v>69.599999999999994</v>
      </c>
    </row>
    <row r="42" spans="1:9" x14ac:dyDescent="0.25">
      <c r="A42" s="22"/>
      <c r="B42" s="48" t="s">
        <v>93</v>
      </c>
      <c r="C42" s="42" t="s">
        <v>94</v>
      </c>
      <c r="D42" s="42" t="s">
        <v>45</v>
      </c>
      <c r="E42" s="43">
        <v>1557</v>
      </c>
      <c r="F42" s="44">
        <v>102.95</v>
      </c>
      <c r="G42" s="45">
        <v>8.5305126360900006E-3</v>
      </c>
      <c r="H42" s="46"/>
      <c r="I42" s="26">
        <v>72.8</v>
      </c>
    </row>
    <row r="43" spans="1:9" x14ac:dyDescent="0.25">
      <c r="A43" s="22"/>
      <c r="B43" s="48" t="s">
        <v>95</v>
      </c>
      <c r="C43" s="42" t="s">
        <v>96</v>
      </c>
      <c r="D43" s="42" t="s">
        <v>97</v>
      </c>
      <c r="E43" s="43">
        <v>13113</v>
      </c>
      <c r="F43" s="44">
        <v>101.87</v>
      </c>
      <c r="G43" s="45">
        <v>8.4409806448800008E-3</v>
      </c>
      <c r="H43" s="46"/>
      <c r="I43" s="26">
        <v>76.900000000000006</v>
      </c>
    </row>
    <row r="44" spans="1:9" x14ac:dyDescent="0.25">
      <c r="A44" s="22"/>
      <c r="B44" s="48" t="s">
        <v>98</v>
      </c>
      <c r="C44" s="42" t="s">
        <v>99</v>
      </c>
      <c r="D44" s="42" t="s">
        <v>97</v>
      </c>
      <c r="E44" s="43">
        <v>5490</v>
      </c>
      <c r="F44" s="44">
        <v>99.49</v>
      </c>
      <c r="G44" s="45">
        <v>8.2438891535999998E-3</v>
      </c>
      <c r="H44" s="46"/>
      <c r="I44" s="26">
        <v>74.3</v>
      </c>
    </row>
    <row r="45" spans="1:9" x14ac:dyDescent="0.25">
      <c r="A45" s="22"/>
      <c r="B45" s="48" t="s">
        <v>100</v>
      </c>
      <c r="C45" s="42" t="s">
        <v>101</v>
      </c>
      <c r="D45" s="42" t="s">
        <v>45</v>
      </c>
      <c r="E45" s="43">
        <v>6743</v>
      </c>
      <c r="F45" s="44">
        <v>98.83</v>
      </c>
      <c r="G45" s="45">
        <v>8.1893969175100001E-3</v>
      </c>
      <c r="H45" s="46"/>
      <c r="I45" s="26">
        <v>70.2</v>
      </c>
    </row>
    <row r="46" spans="1:9" x14ac:dyDescent="0.25">
      <c r="A46" s="22"/>
      <c r="B46" s="48" t="s">
        <v>102</v>
      </c>
      <c r="C46" s="42" t="s">
        <v>103</v>
      </c>
      <c r="D46" s="42" t="s">
        <v>45</v>
      </c>
      <c r="E46" s="43">
        <v>7482</v>
      </c>
      <c r="F46" s="44">
        <v>93.61</v>
      </c>
      <c r="G46" s="45">
        <v>7.7570771835500001E-3</v>
      </c>
      <c r="H46" s="46"/>
      <c r="I46" s="26">
        <v>74.900000000000006</v>
      </c>
    </row>
    <row r="47" spans="1:9" x14ac:dyDescent="0.25">
      <c r="A47" s="22"/>
      <c r="B47" s="48" t="s">
        <v>104</v>
      </c>
      <c r="C47" s="42" t="s">
        <v>105</v>
      </c>
      <c r="D47" s="42" t="s">
        <v>36</v>
      </c>
      <c r="E47" s="43">
        <v>1688</v>
      </c>
      <c r="F47" s="44">
        <v>90.03</v>
      </c>
      <c r="G47" s="45">
        <v>7.4599929126000003E-3</v>
      </c>
      <c r="H47" s="46"/>
      <c r="I47" s="26">
        <v>73.2</v>
      </c>
    </row>
    <row r="48" spans="1:9" x14ac:dyDescent="0.25">
      <c r="A48" s="22"/>
      <c r="B48" s="48" t="s">
        <v>106</v>
      </c>
      <c r="C48" s="42" t="s">
        <v>107</v>
      </c>
      <c r="D48" s="42" t="s">
        <v>31</v>
      </c>
      <c r="E48" s="43">
        <v>34739</v>
      </c>
      <c r="F48" s="44">
        <v>86.73</v>
      </c>
      <c r="G48" s="45">
        <v>7.1868295872400002E-3</v>
      </c>
      <c r="H48" s="46"/>
      <c r="I48" s="26">
        <v>78.8</v>
      </c>
    </row>
    <row r="49" spans="1:9" x14ac:dyDescent="0.25">
      <c r="A49" s="22"/>
      <c r="B49" s="48" t="s">
        <v>108</v>
      </c>
      <c r="C49" s="42" t="s">
        <v>109</v>
      </c>
      <c r="D49" s="42" t="s">
        <v>110</v>
      </c>
      <c r="E49" s="43">
        <v>1242</v>
      </c>
      <c r="F49" s="44">
        <v>85.46</v>
      </c>
      <c r="G49" s="45">
        <v>7.0810109859699997E-3</v>
      </c>
      <c r="H49" s="46"/>
      <c r="I49" s="26">
        <v>67.900000000000006</v>
      </c>
    </row>
    <row r="50" spans="1:9" x14ac:dyDescent="0.25">
      <c r="A50" s="22"/>
      <c r="B50" s="48" t="s">
        <v>111</v>
      </c>
      <c r="C50" s="42" t="s">
        <v>112</v>
      </c>
      <c r="D50" s="42" t="s">
        <v>39</v>
      </c>
      <c r="E50" s="43">
        <v>5125</v>
      </c>
      <c r="F50" s="44">
        <v>82.05</v>
      </c>
      <c r="G50" s="45">
        <v>6.7989034643999996E-3</v>
      </c>
      <c r="H50" s="46"/>
      <c r="I50" s="26">
        <v>79.599999999999994</v>
      </c>
    </row>
    <row r="51" spans="1:9" x14ac:dyDescent="0.25">
      <c r="A51" s="22"/>
      <c r="B51" s="48" t="s">
        <v>113</v>
      </c>
      <c r="C51" s="42" t="s">
        <v>114</v>
      </c>
      <c r="D51" s="42" t="s">
        <v>55</v>
      </c>
      <c r="E51" s="43">
        <v>20709</v>
      </c>
      <c r="F51" s="44">
        <v>81.34</v>
      </c>
      <c r="G51" s="45">
        <v>6.7403784337799998E-3</v>
      </c>
      <c r="H51" s="46"/>
      <c r="I51" s="26">
        <v>69.5</v>
      </c>
    </row>
    <row r="52" spans="1:9" x14ac:dyDescent="0.25">
      <c r="A52" s="22"/>
      <c r="B52" s="48" t="s">
        <v>115</v>
      </c>
      <c r="C52" s="42" t="s">
        <v>116</v>
      </c>
      <c r="D52" s="42" t="s">
        <v>36</v>
      </c>
      <c r="E52" s="43">
        <v>2877</v>
      </c>
      <c r="F52" s="44">
        <v>80</v>
      </c>
      <c r="G52" s="45">
        <v>6.6292330950099999E-3</v>
      </c>
      <c r="H52" s="46"/>
      <c r="I52" s="26">
        <v>71.400000000000006</v>
      </c>
    </row>
    <row r="53" spans="1:9" x14ac:dyDescent="0.25">
      <c r="A53" s="22"/>
      <c r="B53" s="48" t="s">
        <v>117</v>
      </c>
      <c r="C53" s="42" t="s">
        <v>118</v>
      </c>
      <c r="D53" s="42" t="s">
        <v>119</v>
      </c>
      <c r="E53" s="43">
        <v>16432</v>
      </c>
      <c r="F53" s="44">
        <v>78.209999999999994</v>
      </c>
      <c r="G53" s="45">
        <v>6.48045397517E-3</v>
      </c>
      <c r="H53" s="46"/>
      <c r="I53" s="26">
        <v>66.400000000000006</v>
      </c>
    </row>
    <row r="54" spans="1:9" x14ac:dyDescent="0.25">
      <c r="A54" s="22"/>
      <c r="B54" s="48" t="s">
        <v>120</v>
      </c>
      <c r="C54" s="42" t="s">
        <v>121</v>
      </c>
      <c r="D54" s="42" t="s">
        <v>50</v>
      </c>
      <c r="E54" s="43">
        <v>1814</v>
      </c>
      <c r="F54" s="44">
        <v>72.599999999999994</v>
      </c>
      <c r="G54" s="45">
        <v>6.0155991871600001E-3</v>
      </c>
      <c r="H54" s="46"/>
      <c r="I54" s="26">
        <v>69.2</v>
      </c>
    </row>
    <row r="55" spans="1:9" x14ac:dyDescent="0.25">
      <c r="A55" s="22"/>
      <c r="B55" s="48" t="s">
        <v>122</v>
      </c>
      <c r="C55" s="42" t="s">
        <v>123</v>
      </c>
      <c r="D55" s="42" t="s">
        <v>36</v>
      </c>
      <c r="E55" s="43">
        <v>1590</v>
      </c>
      <c r="F55" s="44">
        <v>68.52</v>
      </c>
      <c r="G55" s="45">
        <v>5.6775050193199998E-3</v>
      </c>
      <c r="H55" s="46"/>
      <c r="I55" s="26">
        <v>75.5</v>
      </c>
    </row>
    <row r="56" spans="1:9" x14ac:dyDescent="0.25">
      <c r="A56" s="22"/>
      <c r="B56" s="48" t="s">
        <v>124</v>
      </c>
      <c r="C56" s="42" t="s">
        <v>125</v>
      </c>
      <c r="D56" s="42" t="s">
        <v>50</v>
      </c>
      <c r="E56" s="43">
        <v>4797</v>
      </c>
      <c r="F56" s="44">
        <v>68.48</v>
      </c>
      <c r="G56" s="45">
        <v>5.6741329637299996E-3</v>
      </c>
      <c r="H56" s="46"/>
      <c r="I56" s="26">
        <v>71.2</v>
      </c>
    </row>
    <row r="57" spans="1:9" x14ac:dyDescent="0.25">
      <c r="A57" s="22"/>
      <c r="B57" s="48" t="s">
        <v>126</v>
      </c>
      <c r="C57" s="42" t="s">
        <v>127</v>
      </c>
      <c r="D57" s="42" t="s">
        <v>17</v>
      </c>
      <c r="E57" s="43">
        <v>8103</v>
      </c>
      <c r="F57" s="44">
        <v>66.2</v>
      </c>
      <c r="G57" s="45">
        <v>5.4852318511899997E-3</v>
      </c>
      <c r="H57" s="46"/>
      <c r="I57" s="26">
        <v>72</v>
      </c>
    </row>
    <row r="58" spans="1:9" x14ac:dyDescent="0.25">
      <c r="A58" s="22"/>
      <c r="B58" s="48" t="s">
        <v>128</v>
      </c>
      <c r="C58" s="42" t="s">
        <v>129</v>
      </c>
      <c r="D58" s="42" t="s">
        <v>22</v>
      </c>
      <c r="E58" s="43">
        <v>45958</v>
      </c>
      <c r="F58" s="44">
        <v>65.25</v>
      </c>
      <c r="G58" s="45">
        <v>5.4064398591199998E-3</v>
      </c>
      <c r="H58" s="46"/>
      <c r="I58" s="26">
        <v>61.4</v>
      </c>
    </row>
    <row r="59" spans="1:9" x14ac:dyDescent="0.25">
      <c r="A59" s="22"/>
      <c r="B59" s="48" t="s">
        <v>130</v>
      </c>
      <c r="C59" s="42" t="s">
        <v>131</v>
      </c>
      <c r="D59" s="42" t="s">
        <v>132</v>
      </c>
      <c r="E59" s="43">
        <v>7861</v>
      </c>
      <c r="F59" s="44">
        <v>62.72</v>
      </c>
      <c r="G59" s="45">
        <v>5.1970000237200002E-3</v>
      </c>
      <c r="H59" s="46"/>
      <c r="I59" s="26">
        <v>70.5</v>
      </c>
    </row>
    <row r="60" spans="1:9" x14ac:dyDescent="0.25">
      <c r="A60" s="22"/>
      <c r="B60" s="48" t="s">
        <v>133</v>
      </c>
      <c r="C60" s="42" t="s">
        <v>134</v>
      </c>
      <c r="D60" s="42" t="s">
        <v>39</v>
      </c>
      <c r="E60" s="43">
        <v>15301</v>
      </c>
      <c r="F60" s="44">
        <v>61.56</v>
      </c>
      <c r="G60" s="45">
        <v>5.1006264760000003E-3</v>
      </c>
      <c r="H60" s="46"/>
      <c r="I60" s="26">
        <v>76.3</v>
      </c>
    </row>
    <row r="61" spans="1:9" x14ac:dyDescent="0.25">
      <c r="A61" s="22"/>
      <c r="B61" s="48" t="s">
        <v>135</v>
      </c>
      <c r="C61" s="42" t="s">
        <v>136</v>
      </c>
      <c r="D61" s="42" t="s">
        <v>137</v>
      </c>
      <c r="E61" s="43">
        <v>1885</v>
      </c>
      <c r="F61" s="44">
        <v>58.57</v>
      </c>
      <c r="G61" s="45">
        <v>4.8532675750899996E-3</v>
      </c>
      <c r="H61" s="46"/>
      <c r="I61" s="26">
        <v>63.6</v>
      </c>
    </row>
    <row r="62" spans="1:9" x14ac:dyDescent="0.25">
      <c r="A62" s="22"/>
      <c r="B62" s="48" t="s">
        <v>138</v>
      </c>
      <c r="C62" s="42" t="s">
        <v>139</v>
      </c>
      <c r="D62" s="42" t="s">
        <v>31</v>
      </c>
      <c r="E62" s="43">
        <v>1134</v>
      </c>
      <c r="F62" s="44">
        <v>57.48</v>
      </c>
      <c r="G62" s="45">
        <v>4.7629985707699999E-3</v>
      </c>
      <c r="H62" s="46"/>
      <c r="I62" s="26">
        <v>77</v>
      </c>
    </row>
    <row r="63" spans="1:9" x14ac:dyDescent="0.25">
      <c r="A63" s="22"/>
      <c r="B63" s="48" t="s">
        <v>140</v>
      </c>
      <c r="C63" s="42" t="s">
        <v>141</v>
      </c>
      <c r="D63" s="42" t="s">
        <v>142</v>
      </c>
      <c r="E63" s="43">
        <v>4617</v>
      </c>
      <c r="F63" s="44">
        <v>56.85</v>
      </c>
      <c r="G63" s="45">
        <v>4.71099558206E-3</v>
      </c>
      <c r="H63" s="46"/>
      <c r="I63" s="26">
        <v>76</v>
      </c>
    </row>
    <row r="64" spans="1:9" x14ac:dyDescent="0.25">
      <c r="A64" s="22"/>
      <c r="B64" s="48" t="s">
        <v>143</v>
      </c>
      <c r="C64" s="42" t="s">
        <v>144</v>
      </c>
      <c r="D64" s="42" t="s">
        <v>97</v>
      </c>
      <c r="E64" s="43">
        <v>2930</v>
      </c>
      <c r="F64" s="44">
        <v>54.95</v>
      </c>
      <c r="G64" s="45">
        <v>4.5531840431900002E-3</v>
      </c>
      <c r="H64" s="46"/>
      <c r="I64" s="26">
        <v>74.7</v>
      </c>
    </row>
    <row r="65" spans="1:9" x14ac:dyDescent="0.25">
      <c r="A65" s="22"/>
      <c r="B65" s="48" t="s">
        <v>145</v>
      </c>
      <c r="C65" s="42" t="s">
        <v>146</v>
      </c>
      <c r="D65" s="42" t="s">
        <v>55</v>
      </c>
      <c r="E65" s="43">
        <v>9643</v>
      </c>
      <c r="F65" s="44">
        <v>52.44</v>
      </c>
      <c r="G65" s="45">
        <v>4.34515269872E-3</v>
      </c>
      <c r="H65" s="46"/>
      <c r="I65" s="26">
        <v>65.7</v>
      </c>
    </row>
    <row r="66" spans="1:9" x14ac:dyDescent="0.25">
      <c r="A66" s="22"/>
      <c r="B66" s="48" t="s">
        <v>147</v>
      </c>
      <c r="C66" s="42" t="s">
        <v>148</v>
      </c>
      <c r="D66" s="42" t="s">
        <v>132</v>
      </c>
      <c r="E66" s="43">
        <v>3415</v>
      </c>
      <c r="F66" s="44">
        <v>48.68</v>
      </c>
      <c r="G66" s="45">
        <v>4.0337743756799996E-3</v>
      </c>
      <c r="H66" s="46"/>
      <c r="I66" s="26">
        <v>76.7</v>
      </c>
    </row>
    <row r="67" spans="1:9" x14ac:dyDescent="0.25">
      <c r="A67" s="22"/>
      <c r="B67" s="48" t="s">
        <v>149</v>
      </c>
      <c r="C67" s="42" t="s">
        <v>150</v>
      </c>
      <c r="D67" s="42" t="s">
        <v>63</v>
      </c>
      <c r="E67" s="43">
        <v>4654</v>
      </c>
      <c r="F67" s="44">
        <v>44.16</v>
      </c>
      <c r="G67" s="45">
        <v>3.6593209220799998E-3</v>
      </c>
      <c r="H67" s="46"/>
      <c r="I67" s="26">
        <v>66.900000000000006</v>
      </c>
    </row>
    <row r="68" spans="1:9" x14ac:dyDescent="0.25">
      <c r="A68" s="22"/>
      <c r="B68" s="48" t="s">
        <v>151</v>
      </c>
      <c r="C68" s="42" t="s">
        <v>152</v>
      </c>
      <c r="D68" s="42" t="s">
        <v>153</v>
      </c>
      <c r="E68" s="43">
        <v>15746</v>
      </c>
      <c r="F68" s="44">
        <v>40.909999999999997</v>
      </c>
      <c r="G68" s="45">
        <v>3.3901054994700001E-3</v>
      </c>
      <c r="H68" s="46"/>
      <c r="I68" s="26">
        <v>64.8</v>
      </c>
    </row>
    <row r="69" spans="1:9" x14ac:dyDescent="0.25">
      <c r="A69" s="22"/>
      <c r="B69" s="48" t="s">
        <v>154</v>
      </c>
      <c r="C69" s="42" t="s">
        <v>155</v>
      </c>
      <c r="D69" s="42" t="s">
        <v>55</v>
      </c>
      <c r="E69" s="43">
        <v>4434</v>
      </c>
      <c r="F69" s="44">
        <v>38.450000000000003</v>
      </c>
      <c r="G69" s="45">
        <v>3.1861677037100002E-3</v>
      </c>
      <c r="H69" s="46"/>
      <c r="I69" s="26">
        <v>70.8</v>
      </c>
    </row>
    <row r="70" spans="1:9" x14ac:dyDescent="0.25">
      <c r="A70" s="22"/>
      <c r="B70" s="48" t="s">
        <v>156</v>
      </c>
      <c r="C70" s="42" t="s">
        <v>157</v>
      </c>
      <c r="D70" s="42" t="s">
        <v>153</v>
      </c>
      <c r="E70" s="43">
        <v>642</v>
      </c>
      <c r="F70" s="44">
        <v>38.33</v>
      </c>
      <c r="G70" s="45">
        <v>3.17640427905E-3</v>
      </c>
      <c r="H70" s="46"/>
      <c r="I70" s="26">
        <v>74.2</v>
      </c>
    </row>
    <row r="71" spans="1:9" x14ac:dyDescent="0.25">
      <c r="A71" s="22"/>
      <c r="B71" s="48" t="s">
        <v>158</v>
      </c>
      <c r="C71" s="42" t="s">
        <v>159</v>
      </c>
      <c r="D71" s="42" t="s">
        <v>55</v>
      </c>
      <c r="E71" s="43">
        <v>3755</v>
      </c>
      <c r="F71" s="44">
        <v>38.090000000000003</v>
      </c>
      <c r="G71" s="45">
        <v>3.1561050347E-3</v>
      </c>
      <c r="H71" s="46"/>
      <c r="I71" s="26">
        <v>67.599999999999994</v>
      </c>
    </row>
    <row r="72" spans="1:9" x14ac:dyDescent="0.25">
      <c r="A72" s="22"/>
      <c r="B72" s="48" t="s">
        <v>160</v>
      </c>
      <c r="C72" s="42" t="s">
        <v>161</v>
      </c>
      <c r="D72" s="42" t="s">
        <v>45</v>
      </c>
      <c r="E72" s="43">
        <v>1151</v>
      </c>
      <c r="F72" s="44">
        <v>36.54</v>
      </c>
      <c r="G72" s="45">
        <v>3.0278314019000002E-3</v>
      </c>
      <c r="H72" s="46"/>
      <c r="I72" s="26">
        <v>68.7</v>
      </c>
    </row>
    <row r="73" spans="1:9" x14ac:dyDescent="0.25">
      <c r="A73" s="22"/>
      <c r="B73" s="48" t="s">
        <v>162</v>
      </c>
      <c r="C73" s="42" t="s">
        <v>163</v>
      </c>
      <c r="D73" s="42" t="s">
        <v>153</v>
      </c>
      <c r="E73" s="43">
        <v>1083</v>
      </c>
      <c r="F73" s="44">
        <v>35.369999999999997</v>
      </c>
      <c r="G73" s="45">
        <v>2.9305228845500002E-3</v>
      </c>
      <c r="H73" s="46"/>
      <c r="I73" s="26">
        <v>61.5</v>
      </c>
    </row>
    <row r="74" spans="1:9" x14ac:dyDescent="0.25">
      <c r="A74" s="22"/>
      <c r="B74" s="48" t="s">
        <v>164</v>
      </c>
      <c r="C74" s="42" t="s">
        <v>165</v>
      </c>
      <c r="D74" s="42" t="s">
        <v>142</v>
      </c>
      <c r="E74" s="43">
        <v>7243</v>
      </c>
      <c r="F74" s="44">
        <v>34.979999999999997</v>
      </c>
      <c r="G74" s="45">
        <v>2.8985068345699998E-3</v>
      </c>
      <c r="H74" s="46"/>
      <c r="I74" s="26">
        <v>75.7</v>
      </c>
    </row>
    <row r="75" spans="1:9" x14ac:dyDescent="0.25">
      <c r="A75" s="22"/>
      <c r="B75" s="48" t="s">
        <v>166</v>
      </c>
      <c r="C75" s="42" t="s">
        <v>167</v>
      </c>
      <c r="D75" s="42" t="s">
        <v>17</v>
      </c>
      <c r="E75" s="43">
        <v>23670</v>
      </c>
      <c r="F75" s="44">
        <v>34.75</v>
      </c>
      <c r="G75" s="45">
        <v>2.87904465878E-3</v>
      </c>
      <c r="H75" s="46"/>
      <c r="I75" s="26">
        <v>77.900000000000006</v>
      </c>
    </row>
    <row r="76" spans="1:9" x14ac:dyDescent="0.25">
      <c r="A76" s="22"/>
      <c r="B76" s="48" t="s">
        <v>168</v>
      </c>
      <c r="C76" s="42" t="s">
        <v>169</v>
      </c>
      <c r="D76" s="42" t="s">
        <v>55</v>
      </c>
      <c r="E76" s="43">
        <v>38769</v>
      </c>
      <c r="F76" s="44">
        <v>33.89</v>
      </c>
      <c r="G76" s="45">
        <v>2.8080147997800002E-3</v>
      </c>
      <c r="H76" s="46"/>
      <c r="I76" s="26">
        <v>62.1</v>
      </c>
    </row>
    <row r="77" spans="1:9" x14ac:dyDescent="0.25">
      <c r="A77" s="22"/>
      <c r="B77" s="48" t="s">
        <v>170</v>
      </c>
      <c r="C77" s="42" t="s">
        <v>171</v>
      </c>
      <c r="D77" s="42" t="s">
        <v>55</v>
      </c>
      <c r="E77" s="43">
        <v>6546</v>
      </c>
      <c r="F77" s="44">
        <v>31.94</v>
      </c>
      <c r="G77" s="45">
        <v>2.6467017008200001E-3</v>
      </c>
      <c r="H77" s="46"/>
      <c r="I77" s="26">
        <v>70.3</v>
      </c>
    </row>
    <row r="78" spans="1:9" x14ac:dyDescent="0.25">
      <c r="A78" s="22"/>
      <c r="B78" s="48" t="s">
        <v>172</v>
      </c>
      <c r="C78" s="42" t="s">
        <v>173</v>
      </c>
      <c r="D78" s="42" t="s">
        <v>97</v>
      </c>
      <c r="E78" s="43">
        <v>4783</v>
      </c>
      <c r="F78" s="44">
        <v>31.68</v>
      </c>
      <c r="G78" s="45">
        <v>2.6252724304599998E-3</v>
      </c>
      <c r="H78" s="46"/>
      <c r="I78" s="26">
        <v>76.2</v>
      </c>
    </row>
    <row r="79" spans="1:9" x14ac:dyDescent="0.25">
      <c r="A79" s="22"/>
      <c r="B79" s="48" t="s">
        <v>174</v>
      </c>
      <c r="C79" s="42" t="s">
        <v>175</v>
      </c>
      <c r="D79" s="42" t="s">
        <v>45</v>
      </c>
      <c r="E79" s="43">
        <v>3066</v>
      </c>
      <c r="F79" s="44">
        <v>28.51</v>
      </c>
      <c r="G79" s="45">
        <v>2.3627010387199999E-3</v>
      </c>
      <c r="H79" s="46"/>
      <c r="I79" s="26">
        <v>67.8</v>
      </c>
    </row>
    <row r="80" spans="1:9" x14ac:dyDescent="0.25">
      <c r="A80" s="22"/>
      <c r="B80" s="48" t="s">
        <v>176</v>
      </c>
      <c r="C80" s="42" t="s">
        <v>177</v>
      </c>
      <c r="D80" s="42" t="s">
        <v>178</v>
      </c>
      <c r="E80" s="43">
        <v>3695</v>
      </c>
      <c r="F80" s="44">
        <v>27.93</v>
      </c>
      <c r="G80" s="45">
        <v>2.31467441575E-3</v>
      </c>
      <c r="H80" s="46"/>
      <c r="I80" s="26">
        <v>61.5</v>
      </c>
    </row>
    <row r="81" spans="1:10" x14ac:dyDescent="0.25">
      <c r="A81" s="22"/>
      <c r="B81" s="48" t="s">
        <v>179</v>
      </c>
      <c r="C81" s="42" t="s">
        <v>180</v>
      </c>
      <c r="D81" s="42" t="s">
        <v>153</v>
      </c>
      <c r="E81" s="43">
        <v>1106</v>
      </c>
      <c r="F81" s="44">
        <v>27.41</v>
      </c>
      <c r="G81" s="45">
        <v>2.2711006959699998E-3</v>
      </c>
      <c r="H81" s="46"/>
      <c r="I81" s="26">
        <v>61.5</v>
      </c>
    </row>
    <row r="82" spans="1:10" x14ac:dyDescent="0.25">
      <c r="A82" s="22"/>
      <c r="B82" s="48" t="s">
        <v>181</v>
      </c>
      <c r="C82" s="42" t="s">
        <v>182</v>
      </c>
      <c r="D82" s="42" t="s">
        <v>183</v>
      </c>
      <c r="E82" s="43">
        <v>3396</v>
      </c>
      <c r="F82" s="44">
        <v>23.22</v>
      </c>
      <c r="G82" s="45">
        <v>1.92406036811E-3</v>
      </c>
      <c r="H82" s="46"/>
      <c r="I82" s="26">
        <v>72.400000000000006</v>
      </c>
    </row>
    <row r="83" spans="1:10" x14ac:dyDescent="0.25">
      <c r="B83" s="49" t="s">
        <v>184</v>
      </c>
      <c r="C83" s="42"/>
      <c r="D83" s="42"/>
      <c r="E83" s="43"/>
      <c r="F83" s="50">
        <v>12069.35</v>
      </c>
      <c r="G83" s="51">
        <v>1.0000860069233</v>
      </c>
      <c r="H83" s="46"/>
      <c r="I83" s="52">
        <f>SUMPRODUCT(I12:I82,G12:G82)</f>
        <v>73.36797708052562</v>
      </c>
      <c r="J83" s="53" t="s">
        <v>185</v>
      </c>
    </row>
    <row r="84" spans="1:10" x14ac:dyDescent="0.25">
      <c r="B84" s="49" t="s">
        <v>186</v>
      </c>
      <c r="C84" s="42"/>
      <c r="D84" s="42"/>
      <c r="E84" s="43"/>
      <c r="F84" s="54"/>
      <c r="G84" s="55"/>
      <c r="H84" s="46"/>
    </row>
    <row r="85" spans="1:10" x14ac:dyDescent="0.25">
      <c r="B85" s="49" t="s">
        <v>184</v>
      </c>
      <c r="C85" s="42"/>
      <c r="D85" s="42"/>
      <c r="E85" s="56"/>
      <c r="F85" s="50" t="s">
        <v>187</v>
      </c>
      <c r="G85" s="57" t="s">
        <v>187</v>
      </c>
      <c r="H85" s="58"/>
    </row>
    <row r="86" spans="1:10" x14ac:dyDescent="0.25">
      <c r="B86" s="59" t="s">
        <v>188</v>
      </c>
      <c r="C86" s="60"/>
      <c r="D86" s="60"/>
      <c r="E86" s="61"/>
      <c r="F86" s="62">
        <v>12069.35</v>
      </c>
      <c r="G86" s="63">
        <v>1.0000860069233</v>
      </c>
      <c r="H86" s="64"/>
    </row>
    <row r="87" spans="1:10" x14ac:dyDescent="0.25">
      <c r="B87" s="65" t="s">
        <v>189</v>
      </c>
      <c r="C87" s="66"/>
      <c r="D87" s="66"/>
      <c r="E87" s="67"/>
      <c r="F87" s="50"/>
      <c r="G87" s="57"/>
      <c r="H87" s="68"/>
    </row>
    <row r="88" spans="1:10" x14ac:dyDescent="0.25">
      <c r="B88" s="69" t="s">
        <v>190</v>
      </c>
      <c r="C88" s="70"/>
      <c r="D88" s="70"/>
      <c r="E88" s="71"/>
      <c r="F88" s="50"/>
      <c r="G88" s="57"/>
      <c r="H88" s="72"/>
    </row>
    <row r="89" spans="1:10" x14ac:dyDescent="0.25">
      <c r="B89" s="69" t="s">
        <v>184</v>
      </c>
      <c r="C89" s="70"/>
      <c r="D89" s="70"/>
      <c r="E89" s="73"/>
      <c r="F89" s="50" t="s">
        <v>187</v>
      </c>
      <c r="G89" s="57" t="s">
        <v>187</v>
      </c>
      <c r="H89" s="74"/>
    </row>
    <row r="90" spans="1:10" x14ac:dyDescent="0.25">
      <c r="B90" s="69" t="s">
        <v>191</v>
      </c>
      <c r="C90" s="70"/>
      <c r="D90" s="70"/>
      <c r="E90" s="71"/>
      <c r="F90" s="62"/>
      <c r="G90" s="63"/>
      <c r="H90" s="72"/>
    </row>
    <row r="91" spans="1:10" x14ac:dyDescent="0.25">
      <c r="B91" s="69" t="s">
        <v>184</v>
      </c>
      <c r="C91" s="70"/>
      <c r="D91" s="70"/>
      <c r="E91" s="73"/>
      <c r="F91" s="50" t="s">
        <v>187</v>
      </c>
      <c r="G91" s="57" t="s">
        <v>187</v>
      </c>
      <c r="H91" s="74"/>
    </row>
    <row r="92" spans="1:10" x14ac:dyDescent="0.25">
      <c r="B92" s="69" t="s">
        <v>192</v>
      </c>
      <c r="C92" s="70"/>
      <c r="D92" s="70"/>
      <c r="E92" s="71"/>
      <c r="F92" s="62"/>
      <c r="G92" s="63"/>
      <c r="H92" s="72"/>
    </row>
    <row r="93" spans="1:10" x14ac:dyDescent="0.25">
      <c r="B93" s="75" t="s">
        <v>184</v>
      </c>
      <c r="C93" s="76"/>
      <c r="D93" s="76"/>
      <c r="E93" s="77"/>
      <c r="F93" s="54" t="s">
        <v>187</v>
      </c>
      <c r="G93" s="78" t="s">
        <v>187</v>
      </c>
      <c r="H93" s="79"/>
    </row>
    <row r="94" spans="1:10" x14ac:dyDescent="0.25">
      <c r="B94" s="80" t="s">
        <v>188</v>
      </c>
      <c r="C94" s="81"/>
      <c r="D94" s="81"/>
      <c r="E94" s="82"/>
      <c r="F94" s="50" t="s">
        <v>187</v>
      </c>
      <c r="G94" s="57" t="s">
        <v>187</v>
      </c>
      <c r="H94" s="83"/>
    </row>
    <row r="95" spans="1:10" x14ac:dyDescent="0.25">
      <c r="B95" s="84"/>
      <c r="C95" s="85"/>
      <c r="D95" s="85"/>
      <c r="E95" s="86"/>
      <c r="F95" s="87"/>
      <c r="G95" s="88"/>
      <c r="H95" s="89"/>
    </row>
    <row r="96" spans="1:10" x14ac:dyDescent="0.25">
      <c r="B96" s="90" t="s">
        <v>193</v>
      </c>
      <c r="C96" s="60"/>
      <c r="D96" s="60"/>
      <c r="E96" s="61"/>
      <c r="F96" s="91"/>
      <c r="G96" s="92"/>
      <c r="H96" s="64"/>
    </row>
    <row r="97" spans="1:255" s="98" customFormat="1" ht="15" customHeight="1" x14ac:dyDescent="0.2">
      <c r="A97" s="21"/>
      <c r="B97" s="80" t="s">
        <v>188</v>
      </c>
      <c r="C97" s="93"/>
      <c r="D97" s="93"/>
      <c r="E97" s="94"/>
      <c r="F97" s="95" t="s">
        <v>187</v>
      </c>
      <c r="G97" s="96" t="s">
        <v>187</v>
      </c>
      <c r="H97" s="97"/>
      <c r="I97" s="26"/>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21"/>
      <c r="IO97" s="21"/>
      <c r="IP97" s="21"/>
      <c r="IQ97" s="21"/>
      <c r="IR97" s="21"/>
      <c r="IS97" s="21"/>
      <c r="IT97" s="21"/>
      <c r="IU97" s="21"/>
    </row>
    <row r="98" spans="1:255" x14ac:dyDescent="0.25">
      <c r="B98" s="99"/>
      <c r="C98" s="100"/>
      <c r="D98" s="100"/>
      <c r="E98" s="101"/>
      <c r="F98" s="102"/>
      <c r="G98" s="103"/>
      <c r="H98" s="104"/>
    </row>
    <row r="99" spans="1:255" x14ac:dyDescent="0.25">
      <c r="A99" s="40"/>
      <c r="B99" s="41" t="s">
        <v>194</v>
      </c>
      <c r="C99" s="42"/>
      <c r="D99" s="42"/>
      <c r="E99" s="43"/>
      <c r="F99" s="44"/>
      <c r="G99" s="45"/>
      <c r="H99" s="46"/>
    </row>
    <row r="100" spans="1:255" x14ac:dyDescent="0.25">
      <c r="B100" s="47" t="s">
        <v>195</v>
      </c>
      <c r="C100" s="42"/>
      <c r="D100" s="42"/>
      <c r="E100" s="43"/>
      <c r="F100" s="44"/>
      <c r="G100" s="45"/>
      <c r="H100" s="46"/>
    </row>
    <row r="101" spans="1:255" x14ac:dyDescent="0.25">
      <c r="A101" s="22"/>
      <c r="B101" s="48" t="s">
        <v>196</v>
      </c>
      <c r="C101" s="42"/>
      <c r="D101" s="42"/>
      <c r="E101" s="43"/>
      <c r="F101" s="44">
        <v>0.14000000000000001</v>
      </c>
      <c r="G101" s="45">
        <v>1.1600630079937E-5</v>
      </c>
      <c r="H101" s="46">
        <v>5.7849999999999999E-2</v>
      </c>
    </row>
    <row r="102" spans="1:255" x14ac:dyDescent="0.25">
      <c r="B102" s="49" t="s">
        <v>184</v>
      </c>
      <c r="C102" s="42"/>
      <c r="D102" s="42"/>
      <c r="E102" s="43"/>
      <c r="F102" s="50">
        <v>0.14000000000000001</v>
      </c>
      <c r="G102" s="51">
        <v>1.1600630079937E-5</v>
      </c>
      <c r="H102" s="46"/>
    </row>
    <row r="103" spans="1:255" x14ac:dyDescent="0.25">
      <c r="B103" s="80" t="s">
        <v>188</v>
      </c>
      <c r="C103" s="81"/>
      <c r="D103" s="81"/>
      <c r="E103" s="82"/>
      <c r="F103" s="50">
        <v>0.14000000000000001</v>
      </c>
      <c r="G103" s="51">
        <v>1.1600630079937E-5</v>
      </c>
      <c r="H103" s="83"/>
    </row>
    <row r="104" spans="1:255" x14ac:dyDescent="0.25">
      <c r="B104" s="105"/>
      <c r="C104" s="100"/>
      <c r="D104" s="100"/>
      <c r="E104" s="101"/>
      <c r="F104" s="102"/>
      <c r="G104" s="103"/>
      <c r="H104" s="104"/>
    </row>
    <row r="105" spans="1:255" x14ac:dyDescent="0.25">
      <c r="B105" s="47" t="s">
        <v>197</v>
      </c>
      <c r="C105" s="42"/>
      <c r="D105" s="42"/>
      <c r="E105" s="43"/>
      <c r="F105" s="44"/>
      <c r="G105" s="45"/>
      <c r="H105" s="46"/>
    </row>
    <row r="106" spans="1:255" x14ac:dyDescent="0.25">
      <c r="A106" s="22"/>
      <c r="B106" s="48" t="s">
        <v>198</v>
      </c>
      <c r="C106" s="42"/>
      <c r="D106" s="42"/>
      <c r="E106" s="43"/>
      <c r="F106" s="44">
        <v>-1.18</v>
      </c>
      <c r="G106" s="45">
        <v>-9.7907284060000006E-5</v>
      </c>
      <c r="H106" s="46"/>
    </row>
    <row r="107" spans="1:255" x14ac:dyDescent="0.25">
      <c r="B107" s="80" t="s">
        <v>188</v>
      </c>
      <c r="C107" s="81"/>
      <c r="D107" s="81"/>
      <c r="E107" s="82"/>
      <c r="F107" s="50">
        <v>-1.18</v>
      </c>
      <c r="G107" s="51">
        <v>-9.7907284060000006E-5</v>
      </c>
      <c r="H107" s="83"/>
    </row>
    <row r="108" spans="1:255" x14ac:dyDescent="0.25">
      <c r="B108" s="105"/>
      <c r="C108" s="100"/>
      <c r="D108" s="100"/>
      <c r="E108" s="101"/>
      <c r="F108" s="102"/>
      <c r="G108" s="103"/>
      <c r="H108" s="104"/>
    </row>
    <row r="109" spans="1:255" ht="15" customHeight="1" thickBot="1" x14ac:dyDescent="0.3">
      <c r="B109" s="106" t="s">
        <v>199</v>
      </c>
      <c r="C109" s="107"/>
      <c r="D109" s="108"/>
      <c r="E109" s="109"/>
      <c r="F109" s="110">
        <v>12068.31</v>
      </c>
      <c r="G109" s="111">
        <v>1</v>
      </c>
      <c r="H109" s="112"/>
    </row>
    <row r="110" spans="1:255" x14ac:dyDescent="0.25">
      <c r="B110" s="5" t="s">
        <v>200</v>
      </c>
    </row>
    <row r="111" spans="1:255" x14ac:dyDescent="0.25">
      <c r="B111" s="5" t="s">
        <v>201</v>
      </c>
    </row>
    <row r="112" spans="1:255" x14ac:dyDescent="0.25">
      <c r="B112" s="5" t="s">
        <v>202</v>
      </c>
    </row>
    <row r="113" spans="1:9" x14ac:dyDescent="0.25">
      <c r="B113" s="5" t="s">
        <v>203</v>
      </c>
    </row>
    <row r="114" spans="1:9" x14ac:dyDescent="0.25">
      <c r="B114" s="5" t="s">
        <v>204</v>
      </c>
    </row>
    <row r="116" spans="1:9" s="98" customFormat="1" ht="11.45" customHeight="1" x14ac:dyDescent="0.2">
      <c r="B116" s="98" t="s">
        <v>205</v>
      </c>
      <c r="G116" s="114"/>
      <c r="H116" s="114"/>
      <c r="I116" s="26"/>
    </row>
    <row r="117" spans="1:9" s="115" customFormat="1" ht="11.45" customHeight="1" x14ac:dyDescent="0.25">
      <c r="B117" s="116" t="s">
        <v>206</v>
      </c>
      <c r="C117" s="116" t="s">
        <v>207</v>
      </c>
      <c r="D117" s="116" t="s">
        <v>208</v>
      </c>
      <c r="G117" s="117"/>
      <c r="H117" s="117"/>
      <c r="I117" s="26"/>
    </row>
    <row r="118" spans="1:9" s="120" customFormat="1" ht="11.45" customHeight="1" x14ac:dyDescent="0.2">
      <c r="A118" s="118"/>
      <c r="B118" s="119">
        <v>1</v>
      </c>
      <c r="C118" s="119" t="s">
        <v>126</v>
      </c>
      <c r="D118" s="119">
        <v>1634</v>
      </c>
      <c r="G118" s="121"/>
      <c r="H118" s="121"/>
      <c r="I118" s="26"/>
    </row>
    <row r="119" spans="1:9" s="120" customFormat="1" ht="11.45" customHeight="1" x14ac:dyDescent="0.2">
      <c r="G119" s="121"/>
      <c r="H119" s="121"/>
      <c r="I119" s="26"/>
    </row>
    <row r="134" spans="2:8" x14ac:dyDescent="0.25">
      <c r="B134" s="122" t="s">
        <v>209</v>
      </c>
      <c r="C134" s="122"/>
      <c r="D134" s="122"/>
      <c r="E134" s="122"/>
      <c r="F134" s="122"/>
      <c r="G134" s="122"/>
      <c r="H134" s="122"/>
    </row>
    <row r="135" spans="2:8" x14ac:dyDescent="0.25">
      <c r="B135" s="122"/>
      <c r="C135" s="122"/>
      <c r="D135" s="122"/>
      <c r="E135" s="122"/>
      <c r="F135" s="122"/>
      <c r="G135" s="122"/>
      <c r="H135" s="122"/>
    </row>
    <row r="136" spans="2:8" x14ac:dyDescent="0.25">
      <c r="B136" s="122"/>
      <c r="C136" s="122"/>
      <c r="D136" s="122"/>
      <c r="E136" s="122"/>
      <c r="F136" s="122"/>
      <c r="G136" s="122"/>
      <c r="H136" s="122"/>
    </row>
  </sheetData>
  <mergeCells count="4">
    <mergeCell ref="B1:H2"/>
    <mergeCell ref="B3:H4"/>
    <mergeCell ref="B5:H5"/>
    <mergeCell ref="B134:H13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XDO_?CLASS_4?61?</vt:lpstr>
      <vt:lpstr>XDO_?CLASS_4?62?</vt:lpstr>
      <vt:lpstr>XDO_?CLASS_4?63?</vt:lpstr>
      <vt:lpstr>XDO_?FINAL_ISIN?85?</vt:lpstr>
      <vt:lpstr>XDO_?FINAL_ISIN?86?</vt:lpstr>
      <vt:lpstr>XDO_?FINAL_ISIN?87?</vt:lpstr>
      <vt:lpstr>XDO_?FINAL_MV?85?</vt:lpstr>
      <vt:lpstr>XDO_?FINAL_MV?86?</vt:lpstr>
      <vt:lpstr>XDO_?FINAL_MV?87?</vt:lpstr>
      <vt:lpstr>XDO_?FINAL_NAME?85?</vt:lpstr>
      <vt:lpstr>XDO_?FINAL_NAME?86?</vt:lpstr>
      <vt:lpstr>XDO_?FINAL_NAME?87?</vt:lpstr>
      <vt:lpstr>XDO_?FINAL_PER_NET?85?</vt:lpstr>
      <vt:lpstr>XDO_?FINAL_PER_NET?86?</vt:lpstr>
      <vt:lpstr>XDO_?FINAL_PER_NET?87?</vt:lpstr>
      <vt:lpstr>XDO_?FINAL_QUANTITE?85?</vt:lpstr>
      <vt:lpstr>XDO_?FINAL_QUANTITE?86?</vt:lpstr>
      <vt:lpstr>XDO_?FINAL_QUANTITE?87?</vt:lpstr>
      <vt:lpstr>XDO_?LONG_DESC?20?</vt:lpstr>
      <vt:lpstr>XDO_?NOVAL?85?</vt:lpstr>
      <vt:lpstr>XDO_?NOVAL?86?</vt:lpstr>
      <vt:lpstr>XDO_?NOVAL?87?</vt:lpstr>
      <vt:lpstr>XDO_?NPTF?20?</vt:lpstr>
      <vt:lpstr>XDO_?RATING?85?</vt:lpstr>
      <vt:lpstr>XDO_?RATING?86?</vt:lpstr>
      <vt:lpstr>XDO_?RATING?87?</vt:lpstr>
      <vt:lpstr>XDO_?TDATE?20?</vt:lpstr>
      <vt:lpstr>XDO_?YTM?85?</vt:lpstr>
      <vt:lpstr>XDO_?YTM?86?</vt:lpstr>
      <vt:lpstr>XDO_?YTM?87?</vt:lpstr>
      <vt:lpstr>XDO_GROUP_?G_3?20?</vt:lpstr>
      <vt:lpstr>XDO_GROUP_?G_4?61?</vt:lpstr>
      <vt:lpstr>XDO_GROUP_?G_4?62?</vt:lpstr>
      <vt:lpstr>XDO_GROUP_?G_4?63?</vt:lpstr>
      <vt:lpstr>XDO_GROUP_?G_5?85?</vt:lpstr>
      <vt:lpstr>XDO_GROUP_?G_5?86?</vt:lpstr>
      <vt:lpstr>XDO_GROUP_?G_5?87?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2025-06-09T11:26:57Z</dcterms:created>
  <dcterms:modified xsi:type="dcterms:W3CDTF">2025-06-09T11:26:58Z</dcterms:modified>
</cp:coreProperties>
</file>