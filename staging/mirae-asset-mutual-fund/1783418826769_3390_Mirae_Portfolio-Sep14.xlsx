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/>
</workbook>
</file>

<file path=xl/calcChain.xml><?xml version="1.0" encoding="utf-8"?>
<calcChain xmlns="http://schemas.openxmlformats.org/spreadsheetml/2006/main">
  <c r="G35" i="9" l="1"/>
  <c r="F35" i="9"/>
  <c r="G37" i="8"/>
  <c r="F37" i="8"/>
  <c r="G34" i="3"/>
  <c r="F34" i="3"/>
  <c r="G33" i="1"/>
  <c r="F33" i="1"/>
  <c r="G64" i="6"/>
  <c r="F64" i="6"/>
  <c r="G28" i="5"/>
  <c r="F28" i="5"/>
  <c r="G74" i="4"/>
  <c r="F74" i="4"/>
  <c r="G90" i="2"/>
  <c r="F90" i="2"/>
  <c r="G88" i="7"/>
  <c r="F88" i="7"/>
  <c r="G44" i="6" l="1"/>
  <c r="F44" i="6"/>
  <c r="G18" i="6"/>
  <c r="F18" i="6"/>
  <c r="G55" i="4"/>
  <c r="F55" i="4"/>
  <c r="G40" i="4"/>
  <c r="F40" i="4"/>
  <c r="G44" i="4"/>
  <c r="F44" i="4"/>
</calcChain>
</file>

<file path=xl/sharedStrings.xml><?xml version="1.0" encoding="utf-8"?>
<sst xmlns="http://schemas.openxmlformats.org/spreadsheetml/2006/main" count="1437" uniqueCount="393">
  <si>
    <t>Mirae Asset Cash Management Fund</t>
  </si>
  <si>
    <t/>
  </si>
  <si>
    <t>Monthly Portfolio Statement as on September 30,2014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</si>
  <si>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</si>
  <si>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</si>
  <si>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</si>
  <si>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</si>
  <si>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</si>
  <si>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</si>
  <si>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</si>
  <si>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</si>
  <si>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Bank of Baroda (10/12/2014) ** #</t>
  </si>
  <si>
    <t>INE028A16821</t>
  </si>
  <si>
    <t>ICRA A1+</t>
  </si>
  <si>
    <t>Canara Bank (10/10/2014) ** #</t>
  </si>
  <si>
    <t>INE476A16OJ4</t>
  </si>
  <si>
    <t>CRISIL A1+</t>
  </si>
  <si>
    <t>Oriental Bank of Commerce (20/10/2014) ** #</t>
  </si>
  <si>
    <t>INE141A16QO9</t>
  </si>
  <si>
    <t>Indusind Bank Ltd (20/10/2014) ** #</t>
  </si>
  <si>
    <t>INE095A16OR5</t>
  </si>
  <si>
    <t>Vijaya Bank (27/10/2014) ** #</t>
  </si>
  <si>
    <t>INE705A16KQ9</t>
  </si>
  <si>
    <t>CARE A1+</t>
  </si>
  <si>
    <t>Corporation Bank (05/11/2014) ** #</t>
  </si>
  <si>
    <t>INE112A16GT0</t>
  </si>
  <si>
    <t>Oriental Bank of Commerce (10/11/2014) ** #</t>
  </si>
  <si>
    <t>INE141A16RF5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</si>
  <si>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</si>
  <si>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</si>
  <si>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</si>
  <si>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</si>
  <si>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</si>
  <si>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</si>
  <si>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</si>
  <si>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</si>
  <si>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</si>
  <si>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</si>
  <si>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</si>
  <si>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</si>
  <si>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</si>
  <si>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Sundaram Finance Ltd</t>
  </si>
  <si>
    <t>INE660A01013</t>
  </si>
  <si>
    <t>Finance</t>
  </si>
  <si>
    <t>Tech Mahindra Ltd</t>
  </si>
  <si>
    <t>INE669C01028</t>
  </si>
  <si>
    <t>Software</t>
  </si>
  <si>
    <t>ICICI Bank Ltd</t>
  </si>
  <si>
    <t>INE090A01013</t>
  </si>
  <si>
    <t>Banks</t>
  </si>
  <si>
    <t>Hindustan Petroleum Corporation Ltd</t>
  </si>
  <si>
    <t>INE094A01015</t>
  </si>
  <si>
    <t>Petroleum Products</t>
  </si>
  <si>
    <t>Divi's Laboratories Ltd</t>
  </si>
  <si>
    <t>INE361B01024</t>
  </si>
  <si>
    <t>Pharmaceuticals</t>
  </si>
  <si>
    <t>JK Cement Ltd</t>
  </si>
  <si>
    <t>INE823G01014</t>
  </si>
  <si>
    <t>Cement</t>
  </si>
  <si>
    <t>Motherson Sumi Systems Ltd</t>
  </si>
  <si>
    <t>INE775A01035</t>
  </si>
  <si>
    <t>Auto Ancillaries</t>
  </si>
  <si>
    <t>HSIL Ltd</t>
  </si>
  <si>
    <t>INE415A01038</t>
  </si>
  <si>
    <t>Consumer Durables</t>
  </si>
  <si>
    <t>The Federal Bank  Ltd</t>
  </si>
  <si>
    <t>INE171A01029</t>
  </si>
  <si>
    <t>IPCA Laboratories Ltd</t>
  </si>
  <si>
    <t>INE571A01020</t>
  </si>
  <si>
    <t>Yes Bank Ltd</t>
  </si>
  <si>
    <t>INE528G01019</t>
  </si>
  <si>
    <t>Natco Pharma Ltd</t>
  </si>
  <si>
    <t>INE987B01018</t>
  </si>
  <si>
    <t>Gateway Distriparks Ltd</t>
  </si>
  <si>
    <t>INE852F01015</t>
  </si>
  <si>
    <t>Transportation</t>
  </si>
  <si>
    <t>Amara Raja Batteries Ltd</t>
  </si>
  <si>
    <t>INE885A01032</t>
  </si>
  <si>
    <t>Atul Ltd</t>
  </si>
  <si>
    <t>INE100A01010</t>
  </si>
  <si>
    <t>Chemicals</t>
  </si>
  <si>
    <t>Vinati Organics Ltd</t>
  </si>
  <si>
    <t>INE410B01029</t>
  </si>
  <si>
    <t>FAG Bearings India Ltd</t>
  </si>
  <si>
    <t>INE513A01014</t>
  </si>
  <si>
    <t>Industrial Products</t>
  </si>
  <si>
    <t>CESC Ltd</t>
  </si>
  <si>
    <t>INE486A01013</t>
  </si>
  <si>
    <t>Power</t>
  </si>
  <si>
    <t>Carborundum Universal Ltd</t>
  </si>
  <si>
    <t>INE120A01034</t>
  </si>
  <si>
    <t>Torrent Pharmaceuticals Ltd</t>
  </si>
  <si>
    <t>INE685A01028</t>
  </si>
  <si>
    <t>Coromandel International Ltd</t>
  </si>
  <si>
    <t>INE169A01031</t>
  </si>
  <si>
    <t>Fertilisers</t>
  </si>
  <si>
    <t>Tata Chemicals Ltd</t>
  </si>
  <si>
    <t>INE092A01019</t>
  </si>
  <si>
    <t>Eicher Motors Ltd</t>
  </si>
  <si>
    <t>INE066A01013</t>
  </si>
  <si>
    <t>Auto</t>
  </si>
  <si>
    <t>Bharat Forge Ltd</t>
  </si>
  <si>
    <t>INE465A01025</t>
  </si>
  <si>
    <t>Prism CEMENT Ltd</t>
  </si>
  <si>
    <t>INE010A01011</t>
  </si>
  <si>
    <t>VST Tillers Tractors Ltd</t>
  </si>
  <si>
    <t>INE764D01017</t>
  </si>
  <si>
    <t>Info Edge (India) Ltd</t>
  </si>
  <si>
    <t>INE663F01024</t>
  </si>
  <si>
    <t>Glenmark Pharmaceuticals Ltd</t>
  </si>
  <si>
    <t>INE935A01035</t>
  </si>
  <si>
    <t>Cadila Healthcare Ltd</t>
  </si>
  <si>
    <t>INE010B01019</t>
  </si>
  <si>
    <t>Pidilite Industries Ltd</t>
  </si>
  <si>
    <t>INE318A01026</t>
  </si>
  <si>
    <t>Bank of Baroda</t>
  </si>
  <si>
    <t>INE028A01013</t>
  </si>
  <si>
    <t>Gulf Oil Lubricants India Ltd</t>
  </si>
  <si>
    <t>INE635Q01029</t>
  </si>
  <si>
    <t>Akzo Nobel India Ltd</t>
  </si>
  <si>
    <t>INE133A01011</t>
  </si>
  <si>
    <t>Consumer Non Durables</t>
  </si>
  <si>
    <t>Karur Vysya Bank Ltd</t>
  </si>
  <si>
    <t>INE036D01010</t>
  </si>
  <si>
    <t>Colgate Palmolive (India) Ltd</t>
  </si>
  <si>
    <t>INE259A01022</t>
  </si>
  <si>
    <t>Exide Industries Ltd</t>
  </si>
  <si>
    <t>INE302A01020</t>
  </si>
  <si>
    <t>Britannia Industries Ltd</t>
  </si>
  <si>
    <t>INE216A01022</t>
  </si>
  <si>
    <t>Oil India Ltd</t>
  </si>
  <si>
    <t>INE274J01014</t>
  </si>
  <si>
    <t>Oil</t>
  </si>
  <si>
    <t>Titan Company Limited</t>
  </si>
  <si>
    <t>INE280A01028</t>
  </si>
  <si>
    <t>Crompton  Greaves Ltd</t>
  </si>
  <si>
    <t>INE067A01029</t>
  </si>
  <si>
    <t>Industrial Capital Goods</t>
  </si>
  <si>
    <t>Sharda Cropchem Limited</t>
  </si>
  <si>
    <t>INE221J01015</t>
  </si>
  <si>
    <t>Pesticides</t>
  </si>
  <si>
    <t>Bajaj Finance Ltd</t>
  </si>
  <si>
    <t>INE296A01016</t>
  </si>
  <si>
    <t>Gulf Oil Corporation Ltd</t>
  </si>
  <si>
    <t>INE077F01035</t>
  </si>
  <si>
    <t>LIC Housing Finance Ltd</t>
  </si>
  <si>
    <t>INE115A01026</t>
  </si>
  <si>
    <t>Sun TV Network Ltd</t>
  </si>
  <si>
    <t>INE424H01027</t>
  </si>
  <si>
    <t>Media &amp; Entertainment</t>
  </si>
  <si>
    <t>Thermax Ltd</t>
  </si>
  <si>
    <t>INE152A01029</t>
  </si>
  <si>
    <t>Transport Corporation Of India Ltd</t>
  </si>
  <si>
    <t>INE688A01022</t>
  </si>
  <si>
    <t>Indian Bank</t>
  </si>
  <si>
    <t>INE562A01011</t>
  </si>
  <si>
    <t>Solar Industries India Ltd</t>
  </si>
  <si>
    <t>INE343H01011</t>
  </si>
  <si>
    <t>Godfrey Phillips India Ltd</t>
  </si>
  <si>
    <t>INE260B01010</t>
  </si>
  <si>
    <t>Eclerx Services Ltd</t>
  </si>
  <si>
    <t>INE738I01010</t>
  </si>
  <si>
    <t>ING Vysya Bank Ltd</t>
  </si>
  <si>
    <t>INE166A01011</t>
  </si>
  <si>
    <t>HT Media Ltd</t>
  </si>
  <si>
    <t>INE501G01024</t>
  </si>
  <si>
    <t>Gujarat Mineral Development Corporation Ltd</t>
  </si>
  <si>
    <t>INE131A01031</t>
  </si>
  <si>
    <t>Minerals/Mining</t>
  </si>
  <si>
    <t>Multi Commodity Exchange of India Ltd</t>
  </si>
  <si>
    <t>INE745G01035</t>
  </si>
  <si>
    <t>NIIT Technologies Ltd</t>
  </si>
  <si>
    <t>INE591G01017</t>
  </si>
  <si>
    <t>Gayatri Projects Ltd</t>
  </si>
  <si>
    <t>INE336H01015</t>
  </si>
  <si>
    <t>Construction</t>
  </si>
  <si>
    <t>Gujarat State Petronet Ltd</t>
  </si>
  <si>
    <t>INE246F01010</t>
  </si>
  <si>
    <t>Gas</t>
  </si>
  <si>
    <t>Petronet LNG Ltd</t>
  </si>
  <si>
    <t>INE347G01014</t>
  </si>
  <si>
    <t>VIP Industries Ltd</t>
  </si>
  <si>
    <t>INE054A01027</t>
  </si>
  <si>
    <t>Aurobindo Pharma Ltd</t>
  </si>
  <si>
    <t>INE406A01037</t>
  </si>
  <si>
    <t>Tamil Nadu Newsprint &amp; Papers Ltd</t>
  </si>
  <si>
    <t>INE107A01015</t>
  </si>
  <si>
    <t>Paper</t>
  </si>
  <si>
    <t>(b) Unlisted</t>
  </si>
  <si>
    <t>NIL</t>
  </si>
  <si>
    <t>Axis Bank Ltd (23/02/2015) ** #</t>
  </si>
  <si>
    <t>INE238A16VV8</t>
  </si>
  <si>
    <t>Indusind Bank Ltd (23/02/2015) ** #</t>
  </si>
  <si>
    <t>INE095A16MG2</t>
  </si>
  <si>
    <t>Oriental Bank of Commerce (20/02/2015) ** #</t>
  </si>
  <si>
    <t>INE141A16OL0</t>
  </si>
  <si>
    <t>Commercial Paper</t>
  </si>
  <si>
    <t>Tata Capital Ltd (23/02/2015) ** #</t>
  </si>
  <si>
    <t>INE976I14HW8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</si>
  <si>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</si>
  <si>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</si>
  <si>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</si>
  <si>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</si>
  <si>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</si>
  <si>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Tata Motors Ltd</t>
  </si>
  <si>
    <t>IN9155A01020</t>
  </si>
  <si>
    <t>HDFC Bank Ltd</t>
  </si>
  <si>
    <t>INE040A01026</t>
  </si>
  <si>
    <t>Tencent Holdings</t>
  </si>
  <si>
    <t>KYG875721634</t>
  </si>
  <si>
    <t>Internet Software &amp; Services</t>
  </si>
  <si>
    <t>ITC Ltd</t>
  </si>
  <si>
    <t>INE154A01025</t>
  </si>
  <si>
    <t>Bharti Airtel Ltd</t>
  </si>
  <si>
    <t>INE397D01024</t>
  </si>
  <si>
    <t>Telecom - Services</t>
  </si>
  <si>
    <t>Maruti Suzuki India Ltd</t>
  </si>
  <si>
    <t>INE585B01010</t>
  </si>
  <si>
    <t>Lenovo Group Ltd</t>
  </si>
  <si>
    <t>HK0992009065</t>
  </si>
  <si>
    <t>Computer Hardware</t>
  </si>
  <si>
    <t>Procter &amp; Gamble Hygiene and Health Care Ltd</t>
  </si>
  <si>
    <t>INE179A01014</t>
  </si>
  <si>
    <t>Housing Development Finance Corporation Ltd</t>
  </si>
  <si>
    <t>INE001A01036</t>
  </si>
  <si>
    <t>AIA GROUP LTD</t>
  </si>
  <si>
    <t>HK0000069689</t>
  </si>
  <si>
    <t>Life &amp; Health Insurance</t>
  </si>
  <si>
    <t>Vipshop Holding Ltd</t>
  </si>
  <si>
    <t>US92763W1036</t>
  </si>
  <si>
    <t>Miscellaneous</t>
  </si>
  <si>
    <t>Hero MotoCorp Ltd</t>
  </si>
  <si>
    <t>INE158A01026</t>
  </si>
  <si>
    <t>Sands China Ltd</t>
  </si>
  <si>
    <t>KYG7800X1079</t>
  </si>
  <si>
    <t>Casinos &amp; Gaming</t>
  </si>
  <si>
    <t>Sihuan Pharmaceutical Holdings Group Ord Shs</t>
  </si>
  <si>
    <t>BMG8162K1137</t>
  </si>
  <si>
    <t>State Bank of India</t>
  </si>
  <si>
    <t>INE062A01012</t>
  </si>
  <si>
    <t>Brilliance China Automotive Holdings Ltd</t>
  </si>
  <si>
    <t>BMG1368B1028</t>
  </si>
  <si>
    <t>Automobile Manufacturers</t>
  </si>
  <si>
    <t>Samsonite  International  S A</t>
  </si>
  <si>
    <t>LU0633102719</t>
  </si>
  <si>
    <t>Apparel, Accessories and Luxury Goods</t>
  </si>
  <si>
    <t>Nestle India Ltd</t>
  </si>
  <si>
    <t>INE239A01016</t>
  </si>
  <si>
    <t>Melco International Development Ltd</t>
  </si>
  <si>
    <t>HK0200030994</t>
  </si>
  <si>
    <t>United Spirits Ltd</t>
  </si>
  <si>
    <t>INE854D01016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</si>
  <si>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</si>
  <si>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</si>
  <si>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</si>
  <si>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</si>
  <si>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</si>
  <si>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</si>
  <si>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</si>
  <si>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</si>
  <si>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Reliance Industries Ltd</t>
  </si>
  <si>
    <t>INE002A01018</t>
  </si>
  <si>
    <t>BHP Billiton Ltd</t>
  </si>
  <si>
    <t>AU000000BHP4</t>
  </si>
  <si>
    <t>Diversified Metals &amp; Mining</t>
  </si>
  <si>
    <t>Petrochina Company Ltd</t>
  </si>
  <si>
    <t>CNE1000003W8</t>
  </si>
  <si>
    <t>Integrated Oil &amp; Gas</t>
  </si>
  <si>
    <t>Cnooc Ltd</t>
  </si>
  <si>
    <t>HK0883013259</t>
  </si>
  <si>
    <t>Oil &amp; Gas Exploration &amp; Production</t>
  </si>
  <si>
    <t>China Petroleum -H-</t>
  </si>
  <si>
    <t>CNE1000002Q2</t>
  </si>
  <si>
    <t>Rio Tinto Ltd</t>
  </si>
  <si>
    <t>AU000000RIO1</t>
  </si>
  <si>
    <t>Sesa Sterlite Ltd</t>
  </si>
  <si>
    <t>INE205A01025</t>
  </si>
  <si>
    <t>Woodside Petroleum Ltd</t>
  </si>
  <si>
    <t>AU000000WPL2</t>
  </si>
  <si>
    <t>Santos Ltd-AUD</t>
  </si>
  <si>
    <t>AU000000STO6</t>
  </si>
  <si>
    <t>Origin Energy Ltd</t>
  </si>
  <si>
    <t>AU000000ORG5</t>
  </si>
  <si>
    <t>Coal India Ltd</t>
  </si>
  <si>
    <t>INE522F01014</t>
  </si>
  <si>
    <t>AMCOR LIMITED</t>
  </si>
  <si>
    <t>AU000000AMC4</t>
  </si>
  <si>
    <t>Paper Packaging</t>
  </si>
  <si>
    <t>China Shenhua - H</t>
  </si>
  <si>
    <t>CNE1000002R0</t>
  </si>
  <si>
    <t>Coal &amp; Consumable Fuels</t>
  </si>
  <si>
    <t>Oil Search Ltd</t>
  </si>
  <si>
    <t>PG0008579883</t>
  </si>
  <si>
    <t>SK Innovation Co Ltd</t>
  </si>
  <si>
    <t>KR7096770003</t>
  </si>
  <si>
    <t>Oil &amp; Gas Refining &amp; Marketing</t>
  </si>
  <si>
    <t>Orica Ltd</t>
  </si>
  <si>
    <t>AU000000ORI1</t>
  </si>
  <si>
    <t>Commodity Chemicals</t>
  </si>
  <si>
    <t>Kunlun Energy Company Ltd</t>
  </si>
  <si>
    <t>BMG5320C1082</t>
  </si>
  <si>
    <t>POSCO (Pohang Iron &amp; Steel Co Ltd )</t>
  </si>
  <si>
    <t>KR7005490008</t>
  </si>
  <si>
    <t>Steel</t>
  </si>
  <si>
    <t>Hindalco Industries Ltd</t>
  </si>
  <si>
    <t>INE038A01020</t>
  </si>
  <si>
    <t>Non - Ferrous Metals</t>
  </si>
  <si>
    <t>Anhui Conch -H-</t>
  </si>
  <si>
    <t>CNE1000001W2</t>
  </si>
  <si>
    <t>Construction Materials</t>
  </si>
  <si>
    <t>Bharat Petroleum Corporation Ltd</t>
  </si>
  <si>
    <t>INE029A01011</t>
  </si>
  <si>
    <t>PT Semen Indonesia ( Persero) TBK</t>
  </si>
  <si>
    <t>ID1000106800</t>
  </si>
  <si>
    <t>Cairn India Ltd</t>
  </si>
  <si>
    <t>INE910H01017</t>
  </si>
  <si>
    <t>LG Chemicals Ltd</t>
  </si>
  <si>
    <t>KR7051910008</t>
  </si>
  <si>
    <t>Jiangxi Copper Company Ltd</t>
  </si>
  <si>
    <t>CNE1000003K3</t>
  </si>
  <si>
    <t>Dongkuk Steel Mill Co Ltd</t>
  </si>
  <si>
    <t>KR7001230002</t>
  </si>
  <si>
    <t>China National Building Materia Ltd</t>
  </si>
  <si>
    <t>CNE1000002N9</t>
  </si>
  <si>
    <t>Hindustan Zinc Ltd</t>
  </si>
  <si>
    <t>INE267A01025</t>
  </si>
  <si>
    <t>Orora Ltd</t>
  </si>
  <si>
    <t>AU000000ORA8</t>
  </si>
  <si>
    <t>Mirae Asset India Opportunities Fund</t>
  </si>
  <si>
    <t>Infosys Ltd</t>
  </si>
  <si>
    <t>INE009A01021</t>
  </si>
  <si>
    <t>Tata Consultancy Services Ltd</t>
  </si>
  <si>
    <t>INE467B01029</t>
  </si>
  <si>
    <t>Sun Pharmaceuticals Industries Ltd</t>
  </si>
  <si>
    <t>INE044A01036</t>
  </si>
  <si>
    <t>Larsen &amp; Toubro Ltd</t>
  </si>
  <si>
    <t>INE018A01030</t>
  </si>
  <si>
    <t>Construction Project</t>
  </si>
  <si>
    <t>Axis Bank Ltd</t>
  </si>
  <si>
    <t>INE238A01034</t>
  </si>
  <si>
    <t>Tata Steel Ltd</t>
  </si>
  <si>
    <t>INE081A01012</t>
  </si>
  <si>
    <t>Ferrous Metals</t>
  </si>
  <si>
    <t>Lupin Ltd</t>
  </si>
  <si>
    <t>INE326A01037</t>
  </si>
  <si>
    <t>Adani Ports and Special Economic Zone Ltd</t>
  </si>
  <si>
    <t>INE742F01042</t>
  </si>
  <si>
    <t>$0.00%</t>
  </si>
  <si>
    <t>INF769K01CV2</t>
  </si>
  <si>
    <t xml:space="preserve">$  Less Than 0.01% of Net Asset Value </t>
  </si>
  <si>
    <t>Mirae Asset Ultra Short Term Bond Fund</t>
  </si>
  <si>
    <t>Canara Bank (10/12/2014) ** #</t>
  </si>
  <si>
    <t>INE476A16LV5</t>
  </si>
  <si>
    <t>Oriental Bank of Commerce (03/03/2015) ** #</t>
  </si>
  <si>
    <t>INE141A16OQ9</t>
  </si>
  <si>
    <t>Bank of India (13/03/2015) ** #</t>
  </si>
  <si>
    <t>INE084A16AR8</t>
  </si>
  <si>
    <t>Indian Bank (26/03/2015) ** #</t>
  </si>
  <si>
    <t>INE562A16FV4</t>
  </si>
  <si>
    <t>FITCH A1+</t>
  </si>
  <si>
    <t>Canara Bank (20/01/2015) ** #</t>
  </si>
  <si>
    <t>INE476A16LR3</t>
  </si>
  <si>
    <t>Punjab National Bank (02/03/2015) ** #</t>
  </si>
  <si>
    <t>INE160A16JT3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</si>
  <si>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</si>
  <si>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</si>
  <si>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</si>
  <si>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</si>
  <si>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</si>
  <si>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</si>
  <si>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</si>
  <si>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</si>
  <si>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* Industry classification as recommended by AMFI.</t>
  </si>
  <si>
    <t>FOREIGN SECURITIES/OVERSEAS ETFS@@</t>
  </si>
  <si>
    <t>American Depository Receipt</t>
  </si>
  <si>
    <t>International Equity Shares</t>
  </si>
  <si>
    <t>India Equity Share*</t>
  </si>
  <si>
    <t>@@ Industry Classification as per GICS Sub-Industry Classification</t>
  </si>
  <si>
    <t>MIRAE ASSET FIXED MAT PLAN Series I 368 day Direct Growth</t>
  </si>
  <si>
    <r>
      <t>Industry</t>
    </r>
    <r>
      <rPr>
        <sz val="10"/>
        <rFont val="Tahoma"/>
        <family val="2"/>
      </rPr>
      <t>*</t>
    </r>
  </si>
  <si>
    <t>(An Open - Ended Equity Oriented Scheme)</t>
  </si>
  <si>
    <t>Portfolio Turnover Ratio^</t>
  </si>
  <si>
    <t>^Basis last rolling 12 month</t>
  </si>
  <si>
    <t xml:space="preserve"> (An Open - Ended Equity Fund)</t>
  </si>
  <si>
    <t>OTHERS</t>
  </si>
  <si>
    <t>(An Open - Ended Fund of Funds Scheme)</t>
  </si>
  <si>
    <t>% to Net  Assets</t>
  </si>
  <si>
    <t>Average maturity in days</t>
  </si>
  <si>
    <t>(An Open - Ended Liquid Scheme)</t>
  </si>
  <si>
    <t>Mirae Asset Fixed Maturity Plan - Series I - 368 Days</t>
  </si>
  <si>
    <t xml:space="preserve"> (A Closed - Ended Debt Scheme)</t>
  </si>
  <si>
    <t>% to Net Assets</t>
  </si>
  <si>
    <t>(An Open -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</si>
</sst>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"/>
  </numFmts>
  <fonts count="21">
    <font>
      <sz val="10"/>
      <name val="Arial"/>
    </font>
    <font>
      <sz val="10"/>
      <name val="SansSerif"/>
    </font>
    <font>
      <sz val="9"/>
      <color indexed="72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color indexed="72"/>
      <name val="Arial"/>
      <family val="2"/>
    </font>
    <font>
      <sz val="10"/>
      <name val="Tahoma"/>
      <family val="2"/>
    </font>
    <font>
      <b/>
      <sz val="10"/>
      <color indexed="72"/>
      <name val="Tahoma"/>
      <family val="2"/>
    </font>
    <font>
      <sz val="10"/>
      <color indexed="72"/>
      <name val="Tahoma"/>
      <family val="2"/>
    </font>
    <font>
      <sz val="10"/>
      <color indexed="9"/>
      <name val="Tahoma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b/>
      <sz val="9"/>
      <color theme="1"/>
      <name val="Tahoma"/>
      <family val="2"/>
    </font>
    <font>
      <sz val="9"/>
      <name val="Tahoma"/>
      <family val="2"/>
    </font>
    <font>
      <b/>
      <sz val="10"/>
      <name val="Tahoma"/>
      <family val="2"/>
    </font>
    <font>
      <sz val="9"/>
      <color indexed="72"/>
      <name val="Tahoma"/>
      <family val="2"/>
    </font>
    <font>
      <b/>
      <sz val="10"/>
      <color theme="1"/>
      <name val="Tahoma"/>
      <family val="2"/>
    </font>
    <font>
      <b/>
      <sz val="9"/>
      <name val="Tahoma"/>
      <family val="2"/>
    </font>
    <font>
      <sz val="10"/>
      <color theme="1"/>
      <name val="Tahoma"/>
      <family val="2"/>
    </font>
    <font>
      <b/>
      <sz val="1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" fontId="1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/>
    <xf numFmtId="10" fontId="1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left" vertical="top" wrapText="1"/>
    </xf>
    <xf numFmtId="10" fontId="7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/>
    <xf numFmtId="0" fontId="8" fillId="0" borderId="0" xfId="0" applyNumberFormat="1" applyFont="1" applyFill="1" applyBorder="1" applyAlignment="1" applyProtection="1">
      <alignment horizontal="center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/>
    <xf numFmtId="10" fontId="7" fillId="0" borderId="0" xfId="0" applyNumberFormat="1" applyFont="1" applyFill="1" applyBorder="1" applyAlignment="1"/>
    <xf numFmtId="0" fontId="13" fillId="0" borderId="1" xfId="0" applyFont="1" applyBorder="1"/>
    <xf numFmtId="0" fontId="14" fillId="0" borderId="1" xfId="0" applyFont="1" applyBorder="1"/>
    <xf numFmtId="4" fontId="8" fillId="0" borderId="2" xfId="0" applyNumberFormat="1" applyFont="1" applyFill="1" applyBorder="1" applyAlignment="1" applyProtection="1">
      <alignment horizontal="right" vertical="top" wrapText="1"/>
    </xf>
    <xf numFmtId="0" fontId="12" fillId="0" borderId="1" xfId="0" applyNumberFormat="1" applyFont="1" applyFill="1" applyBorder="1" applyAlignment="1" applyProtection="1">
      <alignment horizontal="left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4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4" fontId="9" fillId="0" borderId="2" xfId="0" applyNumberFormat="1" applyFont="1" applyFill="1" applyBorder="1" applyAlignment="1" applyProtection="1">
      <alignment horizontal="left" vertical="top" wrapText="1"/>
    </xf>
    <xf numFmtId="3" fontId="9" fillId="0" borderId="2" xfId="0" applyNumberFormat="1" applyFont="1" applyFill="1" applyBorder="1" applyAlignment="1" applyProtection="1">
      <alignment horizontal="right" vertical="top" wrapText="1"/>
    </xf>
    <xf numFmtId="4" fontId="9" fillId="0" borderId="2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" fontId="15" fillId="0" borderId="2" xfId="0" applyNumberFormat="1" applyFont="1" applyFill="1" applyBorder="1" applyAlignment="1" applyProtection="1">
      <alignment horizontal="right" vertical="top" wrapText="1"/>
    </xf>
    <xf numFmtId="10" fontId="9" fillId="0" borderId="3" xfId="0" applyNumberFormat="1" applyFont="1" applyFill="1" applyBorder="1" applyAlignment="1" applyProtection="1">
      <alignment horizontal="left" vertical="top" wrapText="1"/>
    </xf>
    <xf numFmtId="0" fontId="9" fillId="0" borderId="1" xfId="0" applyNumberFormat="1" applyFont="1" applyFill="1" applyBorder="1" applyAlignment="1" applyProtection="1">
      <alignment horizontal="left" vertical="top" wrapText="1"/>
    </xf>
    <xf numFmtId="10" fontId="9" fillId="0" borderId="3" xfId="0" applyNumberFormat="1" applyFont="1" applyFill="1" applyBorder="1" applyAlignment="1" applyProtection="1">
      <alignment horizontal="right" vertical="top" wrapText="1"/>
    </xf>
    <xf numFmtId="10" fontId="8" fillId="0" borderId="3" xfId="0" applyNumberFormat="1" applyFont="1" applyFill="1" applyBorder="1" applyAlignment="1" applyProtection="1">
      <alignment horizontal="right" vertical="top" wrapText="1"/>
    </xf>
    <xf numFmtId="4" fontId="8" fillId="0" borderId="3" xfId="0" applyNumberFormat="1" applyFont="1" applyFill="1" applyBorder="1" applyAlignment="1" applyProtection="1">
      <alignment horizontal="right" vertical="top" wrapText="1"/>
    </xf>
    <xf numFmtId="10" fontId="7" fillId="0" borderId="3" xfId="0" applyNumberFormat="1" applyFont="1" applyFill="1" applyBorder="1" applyAlignment="1" applyProtection="1">
      <alignment horizontal="right" vertical="top" wrapText="1"/>
    </xf>
    <xf numFmtId="10" fontId="15" fillId="0" borderId="3" xfId="0" applyNumberFormat="1" applyFont="1" applyFill="1" applyBorder="1" applyAlignment="1" applyProtection="1">
      <alignment horizontal="right" vertical="top" wrapText="1"/>
    </xf>
    <xf numFmtId="10" fontId="8" fillId="0" borderId="3" xfId="1" applyNumberFormat="1" applyFont="1" applyFill="1" applyBorder="1" applyAlignment="1" applyProtection="1">
      <alignment horizontal="right" vertical="top" wrapText="1"/>
    </xf>
    <xf numFmtId="0" fontId="8" fillId="0" borderId="11" xfId="0" applyNumberFormat="1" applyFont="1" applyFill="1" applyBorder="1" applyAlignment="1" applyProtection="1">
      <alignment horizontal="left" vertical="top" wrapText="1"/>
    </xf>
    <xf numFmtId="0" fontId="9" fillId="0" borderId="12" xfId="0" applyNumberFormat="1" applyFont="1" applyFill="1" applyBorder="1" applyAlignment="1" applyProtection="1">
      <alignment horizontal="left" vertical="top" wrapText="1"/>
    </xf>
    <xf numFmtId="4" fontId="9" fillId="0" borderId="12" xfId="0" applyNumberFormat="1" applyFont="1" applyFill="1" applyBorder="1" applyAlignment="1" applyProtection="1">
      <alignment horizontal="left" vertical="top" wrapText="1"/>
    </xf>
    <xf numFmtId="10" fontId="9" fillId="0" borderId="13" xfId="0" applyNumberFormat="1" applyFont="1" applyFill="1" applyBorder="1" applyAlignment="1" applyProtection="1">
      <alignment horizontal="left" vertical="top" wrapText="1"/>
    </xf>
    <xf numFmtId="0" fontId="8" fillId="0" borderId="14" xfId="0" applyNumberFormat="1" applyFont="1" applyFill="1" applyBorder="1" applyAlignment="1" applyProtection="1">
      <alignment horizontal="left" vertical="center" wrapText="1"/>
    </xf>
    <xf numFmtId="0" fontId="8" fillId="0" borderId="15" xfId="0" applyNumberFormat="1" applyFont="1" applyFill="1" applyBorder="1" applyAlignment="1" applyProtection="1">
      <alignment horizontal="left" vertical="center" wrapText="1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4" fontId="8" fillId="0" borderId="15" xfId="0" applyNumberFormat="1" applyFont="1" applyFill="1" applyBorder="1" applyAlignment="1" applyProtection="1">
      <alignment horizontal="center" vertical="center" wrapText="1"/>
    </xf>
    <xf numFmtId="10" fontId="8" fillId="0" borderId="16" xfId="0" applyNumberFormat="1" applyFont="1" applyFill="1" applyBorder="1" applyAlignment="1" applyProtection="1">
      <alignment horizontal="center" vertical="center" wrapText="1"/>
    </xf>
    <xf numFmtId="0" fontId="8" fillId="0" borderId="17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 applyProtection="1">
      <alignment horizontal="left" vertical="top" wrapText="1"/>
    </xf>
    <xf numFmtId="4" fontId="8" fillId="0" borderId="18" xfId="0" applyNumberFormat="1" applyFont="1" applyFill="1" applyBorder="1" applyAlignment="1" applyProtection="1">
      <alignment horizontal="right" vertical="top" wrapText="1"/>
    </xf>
    <xf numFmtId="10" fontId="8" fillId="0" borderId="19" xfId="0" applyNumberFormat="1" applyFont="1" applyFill="1" applyBorder="1" applyAlignment="1" applyProtection="1">
      <alignment horizontal="right" vertical="top" wrapText="1"/>
    </xf>
    <xf numFmtId="0" fontId="8" fillId="0" borderId="20" xfId="0" applyNumberFormat="1" applyFont="1" applyFill="1" applyBorder="1" applyAlignment="1" applyProtection="1">
      <alignment horizontal="left" vertical="top" wrapText="1"/>
    </xf>
    <xf numFmtId="0" fontId="9" fillId="0" borderId="21" xfId="0" applyNumberFormat="1" applyFont="1" applyFill="1" applyBorder="1" applyAlignment="1" applyProtection="1">
      <alignment horizontal="left" vertical="top" wrapText="1"/>
    </xf>
    <xf numFmtId="4" fontId="8" fillId="0" borderId="21" xfId="0" applyNumberFormat="1" applyFont="1" applyFill="1" applyBorder="1" applyAlignment="1" applyProtection="1">
      <alignment horizontal="right" vertical="top" wrapText="1"/>
    </xf>
    <xf numFmtId="10" fontId="8" fillId="0" borderId="22" xfId="0" applyNumberFormat="1" applyFont="1" applyFill="1" applyBorder="1" applyAlignment="1" applyProtection="1">
      <alignment horizontal="right" vertical="top" wrapText="1"/>
    </xf>
    <xf numFmtId="0" fontId="12" fillId="0" borderId="23" xfId="0" applyNumberFormat="1" applyFont="1" applyFill="1" applyBorder="1" applyAlignment="1" applyProtection="1">
      <alignment horizontal="left" vertical="top" wrapText="1"/>
    </xf>
    <xf numFmtId="2" fontId="12" fillId="0" borderId="10" xfId="0" applyNumberFormat="1" applyFont="1" applyFill="1" applyBorder="1" applyAlignment="1" applyProtection="1">
      <alignment horizontal="center" vertical="top" wrapText="1"/>
    </xf>
    <xf numFmtId="0" fontId="16" fillId="0" borderId="0" xfId="0" applyNumberFormat="1" applyFont="1" applyFill="1" applyBorder="1" applyAlignment="1" applyProtection="1">
      <alignment horizontal="left" vertical="top" wrapText="1"/>
    </xf>
    <xf numFmtId="0" fontId="7" fillId="0" borderId="1" xfId="0" applyFont="1" applyBorder="1"/>
    <xf numFmtId="0" fontId="17" fillId="0" borderId="1" xfId="0" applyFont="1" applyBorder="1"/>
    <xf numFmtId="0" fontId="12" fillId="2" borderId="1" xfId="0" applyNumberFormat="1" applyFont="1" applyFill="1" applyBorder="1" applyAlignment="1" applyProtection="1">
      <alignment horizontal="left" vertical="top" wrapText="1"/>
    </xf>
    <xf numFmtId="0" fontId="17" fillId="0" borderId="2" xfId="0" applyFont="1" applyBorder="1"/>
    <xf numFmtId="0" fontId="7" fillId="0" borderId="2" xfId="0" applyFont="1" applyBorder="1"/>
    <xf numFmtId="0" fontId="18" fillId="0" borderId="23" xfId="0" applyNumberFormat="1" applyFont="1" applyFill="1" applyBorder="1" applyAlignment="1" applyProtection="1">
      <alignment horizontal="left" vertical="top" wrapText="1"/>
    </xf>
    <xf numFmtId="2" fontId="18" fillId="0" borderId="10" xfId="0" applyNumberFormat="1" applyFont="1" applyFill="1" applyBorder="1" applyAlignment="1" applyProtection="1">
      <alignment horizontal="center" vertical="top" wrapText="1"/>
    </xf>
    <xf numFmtId="0" fontId="14" fillId="0" borderId="0" xfId="0" applyNumberFormat="1" applyFont="1" applyFill="1" applyBorder="1" applyAlignment="1" applyProtection="1">
      <alignment horizontal="left" vertical="top" wrapText="1"/>
    </xf>
    <xf numFmtId="0" fontId="15" fillId="0" borderId="0" xfId="0" applyNumberFormat="1" applyFont="1" applyFill="1" applyBorder="1" applyAlignment="1"/>
    <xf numFmtId="0" fontId="18" fillId="0" borderId="1" xfId="0" applyNumberFormat="1" applyFont="1" applyFill="1" applyBorder="1" applyAlignment="1" applyProtection="1">
      <alignment horizontal="left" vertical="top" wrapText="1"/>
    </xf>
    <xf numFmtId="0" fontId="18" fillId="0" borderId="1" xfId="0" applyFont="1" applyFill="1" applyBorder="1"/>
    <xf numFmtId="2" fontId="8" fillId="0" borderId="2" xfId="0" applyNumberFormat="1" applyFont="1" applyFill="1" applyBorder="1" applyAlignment="1" applyProtection="1">
      <alignment horizontal="right" vertical="top" wrapText="1"/>
    </xf>
    <xf numFmtId="2" fontId="9" fillId="0" borderId="2" xfId="0" applyNumberFormat="1" applyFont="1" applyFill="1" applyBorder="1" applyAlignment="1" applyProtection="1">
      <alignment horizontal="right" vertical="top" wrapText="1"/>
    </xf>
    <xf numFmtId="0" fontId="15" fillId="0" borderId="1" xfId="0" applyNumberFormat="1" applyFont="1" applyFill="1" applyBorder="1" applyAlignment="1" applyProtection="1">
      <alignment horizontal="left" vertical="center" wrapText="1"/>
    </xf>
    <xf numFmtId="10" fontId="8" fillId="0" borderId="3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left" vertical="top" wrapText="1"/>
    </xf>
    <xf numFmtId="0" fontId="15" fillId="0" borderId="11" xfId="0" applyNumberFormat="1" applyFont="1" applyFill="1" applyBorder="1" applyAlignment="1" applyProtection="1">
      <alignment horizontal="left" vertical="center" wrapText="1"/>
    </xf>
    <xf numFmtId="0" fontId="8" fillId="0" borderId="12" xfId="0" applyNumberFormat="1" applyFont="1" applyFill="1" applyBorder="1" applyAlignment="1" applyProtection="1">
      <alignment horizontal="left" vertical="center" wrapText="1"/>
    </xf>
    <xf numFmtId="0" fontId="8" fillId="0" borderId="12" xfId="0" applyNumberFormat="1" applyFont="1" applyFill="1" applyBorder="1" applyAlignment="1" applyProtection="1">
      <alignment horizontal="center" vertical="center" wrapText="1"/>
    </xf>
    <xf numFmtId="4" fontId="8" fillId="0" borderId="12" xfId="0" applyNumberFormat="1" applyFont="1" applyFill="1" applyBorder="1" applyAlignment="1" applyProtection="1">
      <alignment horizontal="center" vertical="center" wrapText="1"/>
    </xf>
    <xf numFmtId="10" fontId="8" fillId="0" borderId="13" xfId="0" applyNumberFormat="1" applyFont="1" applyFill="1" applyBorder="1" applyAlignment="1" applyProtection="1">
      <alignment horizontal="center" vertical="center" wrapText="1"/>
    </xf>
    <xf numFmtId="0" fontId="17" fillId="0" borderId="11" xfId="0" applyFont="1" applyBorder="1"/>
    <xf numFmtId="0" fontId="17" fillId="0" borderId="2" xfId="0" applyNumberFormat="1" applyFont="1" applyFill="1" applyBorder="1" applyAlignment="1" applyProtection="1">
      <alignment horizontal="right" vertical="center" wrapText="1"/>
    </xf>
    <xf numFmtId="0" fontId="19" fillId="0" borderId="1" xfId="0" applyFont="1" applyBorder="1"/>
    <xf numFmtId="0" fontId="8" fillId="2" borderId="1" xfId="0" applyNumberFormat="1" applyFont="1" applyFill="1" applyBorder="1" applyAlignment="1" applyProtection="1">
      <alignment horizontal="left" vertical="top" wrapText="1"/>
    </xf>
    <xf numFmtId="0" fontId="17" fillId="0" borderId="3" xfId="0" applyNumberFormat="1" applyFont="1" applyFill="1" applyBorder="1" applyAlignment="1" applyProtection="1">
      <alignment horizontal="right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10" fontId="8" fillId="0" borderId="22" xfId="1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right" vertical="top" wrapText="1"/>
    </xf>
    <xf numFmtId="0" fontId="8" fillId="0" borderId="11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4" fontId="7" fillId="0" borderId="2" xfId="0" applyNumberFormat="1" applyFont="1" applyFill="1" applyBorder="1" applyAlignment="1" applyProtection="1">
      <alignment horizontal="center" vertical="center" wrapText="1"/>
    </xf>
    <xf numFmtId="10" fontId="7" fillId="0" borderId="3" xfId="0" applyNumberFormat="1" applyFont="1" applyFill="1" applyBorder="1" applyAlignment="1" applyProtection="1">
      <alignment horizontal="center" vertical="center" wrapText="1"/>
    </xf>
    <xf numFmtId="0" fontId="17" fillId="0" borderId="12" xfId="0" applyFont="1" applyBorder="1"/>
    <xf numFmtId="0" fontId="13" fillId="0" borderId="10" xfId="2" applyNumberFormat="1" applyFont="1" applyFill="1" applyBorder="1" applyAlignment="1" applyProtection="1">
      <alignment horizontal="center" wrapText="1"/>
    </xf>
    <xf numFmtId="2" fontId="12" fillId="0" borderId="24" xfId="2" applyNumberFormat="1" applyFont="1" applyFill="1" applyBorder="1" applyAlignment="1" applyProtection="1">
      <alignment horizontal="center" vertical="top" wrapText="1"/>
    </xf>
    <xf numFmtId="0" fontId="15" fillId="0" borderId="2" xfId="0" applyNumberFormat="1" applyFont="1" applyFill="1" applyBorder="1" applyAlignment="1" applyProtection="1">
      <alignment horizontal="center" vertical="center" wrapText="1"/>
    </xf>
    <xf numFmtId="0" fontId="15" fillId="0" borderId="3" xfId="0" applyNumberFormat="1" applyFont="1" applyFill="1" applyBorder="1" applyAlignment="1" applyProtection="1">
      <alignment horizontal="center" vertical="center" wrapText="1"/>
    </xf>
    <xf numFmtId="0" fontId="13" fillId="2" borderId="10" xfId="0" applyNumberFormat="1" applyFont="1" applyFill="1" applyBorder="1" applyAlignment="1" applyProtection="1">
      <alignment horizontal="center" wrapText="1"/>
    </xf>
    <xf numFmtId="2" fontId="12" fillId="2" borderId="24" xfId="0" applyNumberFormat="1" applyFont="1" applyFill="1" applyBorder="1" applyAlignment="1" applyProtection="1">
      <alignment horizontal="center" vertical="top" wrapText="1"/>
    </xf>
    <xf numFmtId="0" fontId="8" fillId="0" borderId="13" xfId="0" applyNumberFormat="1" applyFont="1" applyFill="1" applyBorder="1" applyAlignment="1" applyProtection="1">
      <alignment horizontal="center" vertical="center" wrapText="1"/>
    </xf>
    <xf numFmtId="0" fontId="13" fillId="0" borderId="10" xfId="0" applyNumberFormat="1" applyFont="1" applyFill="1" applyBorder="1" applyAlignment="1" applyProtection="1">
      <alignment horizontal="center" wrapText="1"/>
    </xf>
    <xf numFmtId="2" fontId="12" fillId="0" borderId="24" xfId="0" applyNumberFormat="1" applyFont="1" applyFill="1" applyBorder="1" applyAlignment="1" applyProtection="1">
      <alignment horizontal="center" vertical="top" wrapText="1"/>
    </xf>
    <xf numFmtId="0" fontId="11" fillId="0" borderId="4" xfId="0" applyNumberFormat="1" applyFont="1" applyFill="1" applyBorder="1" applyAlignment="1" applyProtection="1">
      <alignment horizontal="center" vertical="top" wrapText="1"/>
    </xf>
    <xf numFmtId="0" fontId="11" fillId="0" borderId="5" xfId="0" applyNumberFormat="1" applyFont="1" applyFill="1" applyBorder="1" applyAlignment="1" applyProtection="1">
      <alignment horizontal="center" vertical="top" wrapText="1"/>
    </xf>
    <xf numFmtId="0" fontId="11" fillId="0" borderId="6" xfId="0" applyNumberFormat="1" applyFont="1" applyFill="1" applyBorder="1" applyAlignment="1" applyProtection="1">
      <alignment horizontal="center" vertical="top" wrapText="1"/>
    </xf>
    <xf numFmtId="0" fontId="12" fillId="0" borderId="7" xfId="0" applyNumberFormat="1" applyFont="1" applyFill="1" applyBorder="1" applyAlignment="1" applyProtection="1">
      <alignment horizontal="center" vertical="top" wrapText="1"/>
    </xf>
    <xf numFmtId="0" fontId="12" fillId="0" borderId="8" xfId="0" applyNumberFormat="1" applyFont="1" applyFill="1" applyBorder="1" applyAlignment="1" applyProtection="1">
      <alignment horizontal="center" vertical="top" wrapText="1"/>
    </xf>
    <xf numFmtId="0" fontId="12" fillId="0" borderId="9" xfId="0" applyNumberFormat="1" applyFont="1" applyFill="1" applyBorder="1" applyAlignment="1" applyProtection="1">
      <alignment horizontal="center" vertical="top" wrapText="1"/>
    </xf>
    <xf numFmtId="0" fontId="11" fillId="0" borderId="4" xfId="2" applyNumberFormat="1" applyFont="1" applyFill="1" applyBorder="1" applyAlignment="1" applyProtection="1">
      <alignment horizontal="center" vertical="top" wrapText="1"/>
    </xf>
    <xf numFmtId="0" fontId="11" fillId="0" borderId="5" xfId="2" applyNumberFormat="1" applyFont="1" applyFill="1" applyBorder="1" applyAlignment="1" applyProtection="1">
      <alignment horizontal="center" vertical="top" wrapText="1"/>
    </xf>
    <xf numFmtId="0" fontId="11" fillId="0" borderId="6" xfId="2" applyNumberFormat="1" applyFont="1" applyFill="1" applyBorder="1" applyAlignment="1" applyProtection="1">
      <alignment horizontal="center" vertical="top" wrapText="1"/>
    </xf>
    <xf numFmtId="0" fontId="12" fillId="0" borderId="7" xfId="2" applyNumberFormat="1" applyFont="1" applyFill="1" applyBorder="1" applyAlignment="1" applyProtection="1">
      <alignment horizontal="center" vertical="top" wrapText="1"/>
    </xf>
    <xf numFmtId="0" fontId="12" fillId="0" borderId="8" xfId="2" applyNumberFormat="1" applyFont="1" applyFill="1" applyBorder="1" applyAlignment="1" applyProtection="1">
      <alignment horizontal="center" vertical="top" wrapText="1"/>
    </xf>
    <xf numFmtId="0" fontId="12" fillId="0" borderId="9" xfId="2" applyNumberFormat="1" applyFont="1" applyFill="1" applyBorder="1" applyAlignment="1" applyProtection="1">
      <alignment horizontal="center" vertical="top" wrapText="1"/>
    </xf>
    <xf numFmtId="0" fontId="20" fillId="0" borderId="4" xfId="0" applyNumberFormat="1" applyFont="1" applyFill="1" applyBorder="1" applyAlignment="1" applyProtection="1">
      <alignment horizontal="center" vertical="top" wrapText="1"/>
    </xf>
    <xf numFmtId="0" fontId="20" fillId="0" borderId="5" xfId="0" applyNumberFormat="1" applyFont="1" applyFill="1" applyBorder="1" applyAlignment="1" applyProtection="1">
      <alignment horizontal="center" vertical="top" wrapText="1"/>
    </xf>
    <xf numFmtId="0" fontId="20" fillId="0" borderId="6" xfId="0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tabSelected="1" zoomScaleNormal="100" workbookViewId="0">
      <selection activeCell="C97" sqref="C97"/>
    </sheetView>
  </sheetViews>
  <sheetFormatPr defaultRowHeight="12.75"/>
  <cols>
    <col min="1" max="1" width="11.42578125" style="13" bestFit="1" customWidth="1"/>
    <col min="2" max="2" width="56.140625" style="13" customWidth="1"/>
    <col min="3" max="3" width="13.28515625" style="13" bestFit="1" customWidth="1"/>
    <col min="4" max="4" width="21.140625" style="13" bestFit="1" customWidth="1"/>
    <col min="5" max="5" width="17.85546875" style="13" customWidth="1"/>
    <col min="6" max="6" width="17.85546875" style="17" customWidth="1"/>
    <col min="7" max="7" width="17.85546875" style="18" customWidth="1"/>
    <col min="8" max="16384" width="9.140625" style="13"/>
  </cols>
  <sheetData>
    <row r="1" spans="1:7" ht="18.75">
      <c r="A1" s="9"/>
      <c r="B1" s="107" t="s">
        <v>328</v>
      </c>
      <c r="C1" s="108"/>
      <c r="D1" s="108"/>
      <c r="E1" s="108"/>
      <c r="F1" s="108"/>
      <c r="G1" s="109"/>
    </row>
    <row r="2" spans="1:7" ht="13.5" thickBot="1">
      <c r="A2" s="9"/>
      <c r="B2" s="110" t="s">
        <v>380</v>
      </c>
      <c r="C2" s="111"/>
      <c r="D2" s="111"/>
      <c r="E2" s="111"/>
      <c r="F2" s="111"/>
      <c r="G2" s="112"/>
    </row>
    <row r="3" spans="1:7">
      <c r="A3" s="9"/>
      <c r="B3" s="14" t="s">
        <v>1</v>
      </c>
      <c r="C3" s="9"/>
      <c r="D3" s="9"/>
      <c r="E3" s="9"/>
      <c r="F3" s="11"/>
      <c r="G3" s="12"/>
    </row>
    <row r="4" spans="1:7" ht="13.5" thickBot="1">
      <c r="A4" s="15"/>
      <c r="B4" s="10" t="s">
        <v>2</v>
      </c>
      <c r="C4" s="9"/>
      <c r="D4" s="9"/>
      <c r="E4" s="9"/>
      <c r="F4" s="11"/>
      <c r="G4" s="12"/>
    </row>
    <row r="5" spans="1:7" ht="39" thickBot="1">
      <c r="A5" s="9"/>
      <c r="B5" s="47" t="s">
        <v>3</v>
      </c>
      <c r="C5" s="48" t="s">
        <v>4</v>
      </c>
      <c r="D5" s="49" t="s">
        <v>379</v>
      </c>
      <c r="E5" s="49" t="s">
        <v>6</v>
      </c>
      <c r="F5" s="50" t="s">
        <v>7</v>
      </c>
      <c r="G5" s="51" t="s">
        <v>8</v>
      </c>
    </row>
    <row r="6" spans="1:7">
      <c r="A6" s="9"/>
      <c r="B6" s="43" t="s">
        <v>39</v>
      </c>
      <c r="C6" s="44" t="s">
        <v>1</v>
      </c>
      <c r="D6" s="44" t="s">
        <v>1</v>
      </c>
      <c r="E6" s="44" t="s">
        <v>1</v>
      </c>
      <c r="F6" s="45" t="s">
        <v>1</v>
      </c>
      <c r="G6" s="46" t="s">
        <v>1</v>
      </c>
    </row>
    <row r="7" spans="1:7">
      <c r="A7" s="9"/>
      <c r="B7" s="24" t="s">
        <v>40</v>
      </c>
      <c r="C7" s="29" t="s">
        <v>1</v>
      </c>
      <c r="D7" s="29" t="s">
        <v>1</v>
      </c>
      <c r="E7" s="29" t="s">
        <v>1</v>
      </c>
      <c r="F7" s="30" t="s">
        <v>1</v>
      </c>
      <c r="G7" s="35" t="s">
        <v>1</v>
      </c>
    </row>
    <row r="8" spans="1:7">
      <c r="A8" s="16"/>
      <c r="B8" s="36" t="s">
        <v>47</v>
      </c>
      <c r="C8" s="29" t="s">
        <v>48</v>
      </c>
      <c r="D8" s="29" t="s">
        <v>49</v>
      </c>
      <c r="E8" s="31">
        <v>308900</v>
      </c>
      <c r="F8" s="32">
        <v>4428.2359500000002</v>
      </c>
      <c r="G8" s="37">
        <v>6.3698793738435538E-2</v>
      </c>
    </row>
    <row r="9" spans="1:7">
      <c r="A9" s="16"/>
      <c r="B9" s="36" t="s">
        <v>329</v>
      </c>
      <c r="C9" s="29" t="s">
        <v>330</v>
      </c>
      <c r="D9" s="29" t="s">
        <v>46</v>
      </c>
      <c r="E9" s="31">
        <v>91453</v>
      </c>
      <c r="F9" s="32">
        <v>3427.4298075000002</v>
      </c>
      <c r="G9" s="37">
        <v>4.9302509357232502E-2</v>
      </c>
    </row>
    <row r="10" spans="1:7">
      <c r="A10" s="16"/>
      <c r="B10" s="36" t="s">
        <v>206</v>
      </c>
      <c r="C10" s="29" t="s">
        <v>207</v>
      </c>
      <c r="D10" s="29" t="s">
        <v>49</v>
      </c>
      <c r="E10" s="31">
        <v>356000</v>
      </c>
      <c r="F10" s="32">
        <v>3106.634</v>
      </c>
      <c r="G10" s="37">
        <v>4.4687961667176063E-2</v>
      </c>
    </row>
    <row r="11" spans="1:7">
      <c r="A11" s="16"/>
      <c r="B11" s="36" t="s">
        <v>238</v>
      </c>
      <c r="C11" s="29" t="s">
        <v>239</v>
      </c>
      <c r="D11" s="29" t="s">
        <v>49</v>
      </c>
      <c r="E11" s="31">
        <v>108435</v>
      </c>
      <c r="F11" s="32">
        <v>2651.9947950000001</v>
      </c>
      <c r="G11" s="37">
        <v>3.814811842673145E-2</v>
      </c>
    </row>
    <row r="12" spans="1:7">
      <c r="A12" s="16"/>
      <c r="B12" s="36" t="s">
        <v>331</v>
      </c>
      <c r="C12" s="29" t="s">
        <v>332</v>
      </c>
      <c r="D12" s="29" t="s">
        <v>46</v>
      </c>
      <c r="E12" s="31">
        <v>84400</v>
      </c>
      <c r="F12" s="32">
        <v>2309.6904</v>
      </c>
      <c r="G12" s="37">
        <v>3.3224176410302772E-2</v>
      </c>
    </row>
    <row r="13" spans="1:7">
      <c r="A13" s="16"/>
      <c r="B13" s="36" t="s">
        <v>204</v>
      </c>
      <c r="C13" s="29" t="s">
        <v>205</v>
      </c>
      <c r="D13" s="29" t="s">
        <v>100</v>
      </c>
      <c r="E13" s="31">
        <v>659550</v>
      </c>
      <c r="F13" s="32">
        <v>2276.1070500000001</v>
      </c>
      <c r="G13" s="37">
        <v>3.27410903894019E-2</v>
      </c>
    </row>
    <row r="14" spans="1:7">
      <c r="A14" s="16"/>
      <c r="B14" s="36" t="s">
        <v>223</v>
      </c>
      <c r="C14" s="29" t="s">
        <v>224</v>
      </c>
      <c r="D14" s="29" t="s">
        <v>43</v>
      </c>
      <c r="E14" s="31">
        <v>209275</v>
      </c>
      <c r="F14" s="32">
        <v>2208.3744375000001</v>
      </c>
      <c r="G14" s="37">
        <v>3.176677787269807E-2</v>
      </c>
    </row>
    <row r="15" spans="1:7">
      <c r="A15" s="16"/>
      <c r="B15" s="36" t="s">
        <v>333</v>
      </c>
      <c r="C15" s="29" t="s">
        <v>334</v>
      </c>
      <c r="D15" s="29" t="s">
        <v>55</v>
      </c>
      <c r="E15" s="31">
        <v>236200</v>
      </c>
      <c r="F15" s="32">
        <v>2024.8244999999999</v>
      </c>
      <c r="G15" s="37">
        <v>2.9126469239298524E-2</v>
      </c>
    </row>
    <row r="16" spans="1:7">
      <c r="A16" s="16"/>
      <c r="B16" s="36" t="s">
        <v>211</v>
      </c>
      <c r="C16" s="29" t="s">
        <v>212</v>
      </c>
      <c r="D16" s="29" t="s">
        <v>121</v>
      </c>
      <c r="E16" s="31">
        <v>500000</v>
      </c>
      <c r="F16" s="32">
        <v>1851</v>
      </c>
      <c r="G16" s="37">
        <v>2.6626057992651497E-2</v>
      </c>
    </row>
    <row r="17" spans="1:7">
      <c r="A17" s="16"/>
      <c r="B17" s="36" t="s">
        <v>44</v>
      </c>
      <c r="C17" s="29" t="s">
        <v>45</v>
      </c>
      <c r="D17" s="29" t="s">
        <v>46</v>
      </c>
      <c r="E17" s="31">
        <v>74100</v>
      </c>
      <c r="F17" s="32">
        <v>1844.8677</v>
      </c>
      <c r="G17" s="37">
        <v>2.6537846768757204E-2</v>
      </c>
    </row>
    <row r="18" spans="1:7">
      <c r="A18" s="16"/>
      <c r="B18" s="36" t="s">
        <v>213</v>
      </c>
      <c r="C18" s="29" t="s">
        <v>214</v>
      </c>
      <c r="D18" s="29" t="s">
        <v>215</v>
      </c>
      <c r="E18" s="31">
        <v>455291</v>
      </c>
      <c r="F18" s="32">
        <v>1844.8391320000001</v>
      </c>
      <c r="G18" s="37">
        <v>2.653743582698263E-2</v>
      </c>
    </row>
    <row r="19" spans="1:7">
      <c r="A19" s="16"/>
      <c r="B19" s="36" t="s">
        <v>50</v>
      </c>
      <c r="C19" s="29" t="s">
        <v>51</v>
      </c>
      <c r="D19" s="29" t="s">
        <v>52</v>
      </c>
      <c r="E19" s="31">
        <v>362000</v>
      </c>
      <c r="F19" s="32">
        <v>1745.383</v>
      </c>
      <c r="G19" s="37">
        <v>2.510679037136037E-2</v>
      </c>
    </row>
    <row r="20" spans="1:7">
      <c r="A20" s="16"/>
      <c r="B20" s="36" t="s">
        <v>335</v>
      </c>
      <c r="C20" s="29" t="s">
        <v>336</v>
      </c>
      <c r="D20" s="29" t="s">
        <v>337</v>
      </c>
      <c r="E20" s="31">
        <v>113750</v>
      </c>
      <c r="F20" s="32">
        <v>1658.7593750000001</v>
      </c>
      <c r="G20" s="37">
        <v>2.3860736528689547E-2</v>
      </c>
    </row>
    <row r="21" spans="1:7">
      <c r="A21" s="16"/>
      <c r="B21" s="36" t="s">
        <v>53</v>
      </c>
      <c r="C21" s="29" t="s">
        <v>54</v>
      </c>
      <c r="D21" s="29" t="s">
        <v>55</v>
      </c>
      <c r="E21" s="31">
        <v>91606</v>
      </c>
      <c r="F21" s="32">
        <v>1649.228621</v>
      </c>
      <c r="G21" s="37">
        <v>2.3723639603396358E-2</v>
      </c>
    </row>
    <row r="22" spans="1:7">
      <c r="A22" s="16"/>
      <c r="B22" s="36" t="s">
        <v>59</v>
      </c>
      <c r="C22" s="29" t="s">
        <v>60</v>
      </c>
      <c r="D22" s="29" t="s">
        <v>61</v>
      </c>
      <c r="E22" s="31">
        <v>398865</v>
      </c>
      <c r="F22" s="32">
        <v>1578.1093725000001</v>
      </c>
      <c r="G22" s="37">
        <v>2.2700611383539633E-2</v>
      </c>
    </row>
    <row r="23" spans="1:7">
      <c r="A23" s="16"/>
      <c r="B23" s="36" t="s">
        <v>260</v>
      </c>
      <c r="C23" s="29" t="s">
        <v>261</v>
      </c>
      <c r="D23" s="29" t="s">
        <v>52</v>
      </c>
      <c r="E23" s="31">
        <v>161900</v>
      </c>
      <c r="F23" s="32">
        <v>1531.0882999999999</v>
      </c>
      <c r="G23" s="37">
        <v>2.2024227913382061E-2</v>
      </c>
    </row>
    <row r="24" spans="1:7">
      <c r="A24" s="16"/>
      <c r="B24" s="36" t="s">
        <v>231</v>
      </c>
      <c r="C24" s="29" t="s">
        <v>232</v>
      </c>
      <c r="D24" s="29" t="s">
        <v>100</v>
      </c>
      <c r="E24" s="31">
        <v>52600</v>
      </c>
      <c r="F24" s="32">
        <v>1493.6033</v>
      </c>
      <c r="G24" s="37">
        <v>2.1485017873482254E-2</v>
      </c>
    </row>
    <row r="25" spans="1:7">
      <c r="A25" s="16"/>
      <c r="B25" s="36" t="s">
        <v>216</v>
      </c>
      <c r="C25" s="29" t="s">
        <v>217</v>
      </c>
      <c r="D25" s="29" t="s">
        <v>100</v>
      </c>
      <c r="E25" s="31">
        <v>46150</v>
      </c>
      <c r="F25" s="32">
        <v>1413.505275</v>
      </c>
      <c r="G25" s="37">
        <v>2.033283275260335E-2</v>
      </c>
    </row>
    <row r="26" spans="1:7">
      <c r="A26" s="16"/>
      <c r="B26" s="36" t="s">
        <v>56</v>
      </c>
      <c r="C26" s="29" t="s">
        <v>57</v>
      </c>
      <c r="D26" s="29" t="s">
        <v>58</v>
      </c>
      <c r="E26" s="31">
        <v>253949</v>
      </c>
      <c r="F26" s="32">
        <v>1413.0992105</v>
      </c>
      <c r="G26" s="37">
        <v>2.0326991641352266E-2</v>
      </c>
    </row>
    <row r="27" spans="1:7">
      <c r="A27" s="16"/>
      <c r="B27" s="36" t="s">
        <v>76</v>
      </c>
      <c r="C27" s="29" t="s">
        <v>77</v>
      </c>
      <c r="D27" s="29" t="s">
        <v>61</v>
      </c>
      <c r="E27" s="31">
        <v>219178</v>
      </c>
      <c r="F27" s="32">
        <v>1311.6707409999999</v>
      </c>
      <c r="G27" s="37">
        <v>1.8867974725624074E-2</v>
      </c>
    </row>
    <row r="28" spans="1:7">
      <c r="A28" s="16"/>
      <c r="B28" s="36" t="s">
        <v>115</v>
      </c>
      <c r="C28" s="29" t="s">
        <v>116</v>
      </c>
      <c r="D28" s="29" t="s">
        <v>49</v>
      </c>
      <c r="E28" s="31">
        <v>141200</v>
      </c>
      <c r="F28" s="32">
        <v>1274.0476000000001</v>
      </c>
      <c r="G28" s="37">
        <v>1.8326777570501596E-2</v>
      </c>
    </row>
    <row r="29" spans="1:7">
      <c r="A29" s="16"/>
      <c r="B29" s="36" t="s">
        <v>62</v>
      </c>
      <c r="C29" s="29" t="s">
        <v>63</v>
      </c>
      <c r="D29" s="29" t="s">
        <v>64</v>
      </c>
      <c r="E29" s="31">
        <v>335213</v>
      </c>
      <c r="F29" s="32">
        <v>1195.7047709999999</v>
      </c>
      <c r="G29" s="37">
        <v>1.7199840396940076E-2</v>
      </c>
    </row>
    <row r="30" spans="1:7">
      <c r="A30" s="16"/>
      <c r="B30" s="36" t="s">
        <v>338</v>
      </c>
      <c r="C30" s="29" t="s">
        <v>339</v>
      </c>
      <c r="D30" s="29" t="s">
        <v>49</v>
      </c>
      <c r="E30" s="31">
        <v>310500</v>
      </c>
      <c r="F30" s="32">
        <v>1172.7584999999999</v>
      </c>
      <c r="G30" s="37">
        <v>1.6869765441585617E-2</v>
      </c>
    </row>
    <row r="31" spans="1:7">
      <c r="A31" s="16"/>
      <c r="B31" s="36" t="s">
        <v>41</v>
      </c>
      <c r="C31" s="29" t="s">
        <v>42</v>
      </c>
      <c r="D31" s="29" t="s">
        <v>43</v>
      </c>
      <c r="E31" s="31">
        <v>85589</v>
      </c>
      <c r="F31" s="32">
        <v>1116.7652720000001</v>
      </c>
      <c r="G31" s="37">
        <v>1.6064320311426915E-2</v>
      </c>
    </row>
    <row r="32" spans="1:7">
      <c r="A32" s="16"/>
      <c r="B32" s="36" t="s">
        <v>86</v>
      </c>
      <c r="C32" s="29" t="s">
        <v>87</v>
      </c>
      <c r="D32" s="29" t="s">
        <v>88</v>
      </c>
      <c r="E32" s="31">
        <v>144850</v>
      </c>
      <c r="F32" s="32">
        <v>1086.4474250000001</v>
      </c>
      <c r="G32" s="37">
        <v>1.5628207533234406E-2</v>
      </c>
    </row>
    <row r="33" spans="1:7">
      <c r="A33" s="16"/>
      <c r="B33" s="36" t="s">
        <v>73</v>
      </c>
      <c r="C33" s="29" t="s">
        <v>74</v>
      </c>
      <c r="D33" s="29" t="s">
        <v>75</v>
      </c>
      <c r="E33" s="31">
        <v>411789</v>
      </c>
      <c r="F33" s="32">
        <v>1056.0328904999999</v>
      </c>
      <c r="G33" s="37">
        <v>1.5190703935494538E-2</v>
      </c>
    </row>
    <row r="34" spans="1:7">
      <c r="A34" s="16"/>
      <c r="B34" s="36" t="s">
        <v>111</v>
      </c>
      <c r="C34" s="29" t="s">
        <v>112</v>
      </c>
      <c r="D34" s="29" t="s">
        <v>55</v>
      </c>
      <c r="E34" s="31">
        <v>78205</v>
      </c>
      <c r="F34" s="32">
        <v>1033.9092025</v>
      </c>
      <c r="G34" s="37">
        <v>1.4872461580173453E-2</v>
      </c>
    </row>
    <row r="35" spans="1:7">
      <c r="A35" s="16"/>
      <c r="B35" s="36" t="s">
        <v>65</v>
      </c>
      <c r="C35" s="29" t="s">
        <v>66</v>
      </c>
      <c r="D35" s="29" t="s">
        <v>49</v>
      </c>
      <c r="E35" s="31">
        <v>810800</v>
      </c>
      <c r="F35" s="32">
        <v>1020.3918</v>
      </c>
      <c r="G35" s="37">
        <v>1.4678017958955186E-2</v>
      </c>
    </row>
    <row r="36" spans="1:7">
      <c r="A36" s="16"/>
      <c r="B36" s="36" t="s">
        <v>340</v>
      </c>
      <c r="C36" s="29" t="s">
        <v>341</v>
      </c>
      <c r="D36" s="29" t="s">
        <v>342</v>
      </c>
      <c r="E36" s="31">
        <v>206400</v>
      </c>
      <c r="F36" s="32">
        <v>947.47919999999999</v>
      </c>
      <c r="G36" s="37">
        <v>1.3629192936807696E-2</v>
      </c>
    </row>
    <row r="37" spans="1:7">
      <c r="A37" s="16"/>
      <c r="B37" s="36" t="s">
        <v>67</v>
      </c>
      <c r="C37" s="29" t="s">
        <v>68</v>
      </c>
      <c r="D37" s="29" t="s">
        <v>55</v>
      </c>
      <c r="E37" s="31">
        <v>118300</v>
      </c>
      <c r="F37" s="32">
        <v>936.87684999999999</v>
      </c>
      <c r="G37" s="37">
        <v>1.3476681437100301E-2</v>
      </c>
    </row>
    <row r="38" spans="1:7">
      <c r="A38" s="16"/>
      <c r="B38" s="36" t="s">
        <v>103</v>
      </c>
      <c r="C38" s="29" t="s">
        <v>104</v>
      </c>
      <c r="D38" s="29" t="s">
        <v>58</v>
      </c>
      <c r="E38" s="31">
        <v>1277602</v>
      </c>
      <c r="F38" s="32">
        <v>932.64945999999998</v>
      </c>
      <c r="G38" s="37">
        <v>1.3415871749743437E-2</v>
      </c>
    </row>
    <row r="39" spans="1:7">
      <c r="A39" s="16"/>
      <c r="B39" s="36" t="s">
        <v>126</v>
      </c>
      <c r="C39" s="29" t="s">
        <v>127</v>
      </c>
      <c r="D39" s="29" t="s">
        <v>61</v>
      </c>
      <c r="E39" s="31">
        <v>540500</v>
      </c>
      <c r="F39" s="32">
        <v>916.68799999999999</v>
      </c>
      <c r="G39" s="37">
        <v>1.3186271123267269E-2</v>
      </c>
    </row>
    <row r="40" spans="1:7">
      <c r="A40" s="16"/>
      <c r="B40" s="36" t="s">
        <v>107</v>
      </c>
      <c r="C40" s="29" t="s">
        <v>108</v>
      </c>
      <c r="D40" s="29" t="s">
        <v>46</v>
      </c>
      <c r="E40" s="31">
        <v>102881</v>
      </c>
      <c r="F40" s="32">
        <v>875.41442900000004</v>
      </c>
      <c r="G40" s="37">
        <v>1.2592563670533709E-2</v>
      </c>
    </row>
    <row r="41" spans="1:7">
      <c r="A41" s="16"/>
      <c r="B41" s="36" t="s">
        <v>124</v>
      </c>
      <c r="C41" s="29" t="s">
        <v>125</v>
      </c>
      <c r="D41" s="29" t="s">
        <v>121</v>
      </c>
      <c r="E41" s="31">
        <v>49829</v>
      </c>
      <c r="F41" s="32">
        <v>868.29523949999998</v>
      </c>
      <c r="G41" s="37">
        <v>1.2490156348822378E-2</v>
      </c>
    </row>
    <row r="42" spans="1:7">
      <c r="A42" s="16"/>
      <c r="B42" s="36" t="s">
        <v>81</v>
      </c>
      <c r="C42" s="29" t="s">
        <v>82</v>
      </c>
      <c r="D42" s="29" t="s">
        <v>80</v>
      </c>
      <c r="E42" s="31">
        <v>206368</v>
      </c>
      <c r="F42" s="32">
        <v>867.98380799999995</v>
      </c>
      <c r="G42" s="37">
        <v>1.2485676503776598E-2</v>
      </c>
    </row>
    <row r="43" spans="1:7">
      <c r="A43" s="16"/>
      <c r="B43" s="36" t="s">
        <v>258</v>
      </c>
      <c r="C43" s="29" t="s">
        <v>259</v>
      </c>
      <c r="D43" s="29" t="s">
        <v>132</v>
      </c>
      <c r="E43" s="31">
        <v>197096</v>
      </c>
      <c r="F43" s="32">
        <v>805.23570800000005</v>
      </c>
      <c r="G43" s="37">
        <v>1.1583064645576331E-2</v>
      </c>
    </row>
    <row r="44" spans="1:7">
      <c r="A44" s="16"/>
      <c r="B44" s="36" t="s">
        <v>89</v>
      </c>
      <c r="C44" s="29" t="s">
        <v>90</v>
      </c>
      <c r="D44" s="29" t="s">
        <v>85</v>
      </c>
      <c r="E44" s="31">
        <v>399858</v>
      </c>
      <c r="F44" s="32">
        <v>795.31756199999995</v>
      </c>
      <c r="G44" s="37">
        <v>1.1440395207123826E-2</v>
      </c>
    </row>
    <row r="45" spans="1:7">
      <c r="A45" s="16"/>
      <c r="B45" s="36" t="s">
        <v>71</v>
      </c>
      <c r="C45" s="29" t="s">
        <v>72</v>
      </c>
      <c r="D45" s="29" t="s">
        <v>55</v>
      </c>
      <c r="E45" s="31">
        <v>52845</v>
      </c>
      <c r="F45" s="32">
        <v>768.23418749999996</v>
      </c>
      <c r="G45" s="37">
        <v>1.1050809307570235E-2</v>
      </c>
    </row>
    <row r="46" spans="1:7">
      <c r="A46" s="16"/>
      <c r="B46" s="36" t="s">
        <v>96</v>
      </c>
      <c r="C46" s="29" t="s">
        <v>97</v>
      </c>
      <c r="D46" s="29" t="s">
        <v>80</v>
      </c>
      <c r="E46" s="31">
        <v>182000</v>
      </c>
      <c r="F46" s="32">
        <v>726.90800000000002</v>
      </c>
      <c r="G46" s="37">
        <v>1.0456344982886178E-2</v>
      </c>
    </row>
    <row r="47" spans="1:7">
      <c r="A47" s="16"/>
      <c r="B47" s="36" t="s">
        <v>343</v>
      </c>
      <c r="C47" s="29" t="s">
        <v>344</v>
      </c>
      <c r="D47" s="29" t="s">
        <v>55</v>
      </c>
      <c r="E47" s="31">
        <v>50420</v>
      </c>
      <c r="F47" s="32">
        <v>703.68673000000001</v>
      </c>
      <c r="G47" s="37">
        <v>1.0122314252641434E-2</v>
      </c>
    </row>
    <row r="48" spans="1:7">
      <c r="A48" s="16"/>
      <c r="B48" s="36" t="s">
        <v>101</v>
      </c>
      <c r="C48" s="29" t="s">
        <v>102</v>
      </c>
      <c r="D48" s="29" t="s">
        <v>85</v>
      </c>
      <c r="E48" s="31">
        <v>80000</v>
      </c>
      <c r="F48" s="32">
        <v>658.64</v>
      </c>
      <c r="G48" s="37">
        <v>9.4743310838897796E-3</v>
      </c>
    </row>
    <row r="49" spans="1:7">
      <c r="A49" s="16"/>
      <c r="B49" s="36" t="s">
        <v>138</v>
      </c>
      <c r="C49" s="29" t="s">
        <v>139</v>
      </c>
      <c r="D49" s="29" t="s">
        <v>140</v>
      </c>
      <c r="E49" s="31">
        <v>247565</v>
      </c>
      <c r="F49" s="32">
        <v>645.64952000000005</v>
      </c>
      <c r="G49" s="37">
        <v>9.2874670785778515E-3</v>
      </c>
    </row>
    <row r="50" spans="1:7">
      <c r="A50" s="16"/>
      <c r="B50" s="36" t="s">
        <v>147</v>
      </c>
      <c r="C50" s="29" t="s">
        <v>148</v>
      </c>
      <c r="D50" s="29" t="s">
        <v>149</v>
      </c>
      <c r="E50" s="31">
        <v>190000</v>
      </c>
      <c r="F50" s="32">
        <v>642.48500000000001</v>
      </c>
      <c r="G50" s="37">
        <v>9.2419464448453247E-3</v>
      </c>
    </row>
    <row r="51" spans="1:7">
      <c r="A51" s="16"/>
      <c r="B51" s="36" t="s">
        <v>133</v>
      </c>
      <c r="C51" s="29" t="s">
        <v>134</v>
      </c>
      <c r="D51" s="29" t="s">
        <v>64</v>
      </c>
      <c r="E51" s="31">
        <v>155700</v>
      </c>
      <c r="F51" s="32">
        <v>635.17814999999996</v>
      </c>
      <c r="G51" s="37">
        <v>9.1368396853404067E-3</v>
      </c>
    </row>
    <row r="52" spans="1:7">
      <c r="A52" s="16"/>
      <c r="B52" s="36" t="s">
        <v>135</v>
      </c>
      <c r="C52" s="29" t="s">
        <v>136</v>
      </c>
      <c r="D52" s="29" t="s">
        <v>137</v>
      </c>
      <c r="E52" s="31">
        <v>314000</v>
      </c>
      <c r="F52" s="32">
        <v>631.45399999999995</v>
      </c>
      <c r="G52" s="37">
        <v>9.0832689485098646E-3</v>
      </c>
    </row>
    <row r="53" spans="1:7">
      <c r="A53" s="16"/>
      <c r="B53" s="36" t="s">
        <v>143</v>
      </c>
      <c r="C53" s="29" t="s">
        <v>144</v>
      </c>
      <c r="D53" s="29" t="s">
        <v>52</v>
      </c>
      <c r="E53" s="31">
        <v>359083</v>
      </c>
      <c r="F53" s="32">
        <v>556.93773299999998</v>
      </c>
      <c r="G53" s="37">
        <v>8.0113756764742597E-3</v>
      </c>
    </row>
    <row r="54" spans="1:7">
      <c r="A54" s="16"/>
      <c r="B54" s="36" t="s">
        <v>105</v>
      </c>
      <c r="C54" s="29" t="s">
        <v>106</v>
      </c>
      <c r="D54" s="29" t="s">
        <v>100</v>
      </c>
      <c r="E54" s="31">
        <v>32930</v>
      </c>
      <c r="F54" s="32">
        <v>509.4271</v>
      </c>
      <c r="G54" s="37">
        <v>7.3279500311335894E-3</v>
      </c>
    </row>
    <row r="55" spans="1:7">
      <c r="A55" s="16"/>
      <c r="B55" s="36" t="s">
        <v>152</v>
      </c>
      <c r="C55" s="29" t="s">
        <v>153</v>
      </c>
      <c r="D55" s="29" t="s">
        <v>75</v>
      </c>
      <c r="E55" s="31">
        <v>234138</v>
      </c>
      <c r="F55" s="32">
        <v>471.08565599999997</v>
      </c>
      <c r="G55" s="37">
        <v>6.7764203112708121E-3</v>
      </c>
    </row>
    <row r="56" spans="1:7">
      <c r="A56" s="16"/>
      <c r="B56" s="36" t="s">
        <v>164</v>
      </c>
      <c r="C56" s="29" t="s">
        <v>165</v>
      </c>
      <c r="D56" s="29" t="s">
        <v>149</v>
      </c>
      <c r="E56" s="31">
        <v>411850</v>
      </c>
      <c r="F56" s="32">
        <v>457.15350000000001</v>
      </c>
      <c r="G56" s="37">
        <v>6.5760105902450596E-3</v>
      </c>
    </row>
    <row r="57" spans="1:7">
      <c r="A57" s="16"/>
      <c r="B57" s="36" t="s">
        <v>250</v>
      </c>
      <c r="C57" s="29" t="s">
        <v>251</v>
      </c>
      <c r="D57" s="29" t="s">
        <v>121</v>
      </c>
      <c r="E57" s="31">
        <v>18723</v>
      </c>
      <c r="F57" s="32">
        <v>449.87624399999999</v>
      </c>
      <c r="G57" s="37">
        <v>6.4713295312048809E-3</v>
      </c>
    </row>
    <row r="58" spans="1:7">
      <c r="A58" s="16"/>
      <c r="B58" s="36" t="s">
        <v>158</v>
      </c>
      <c r="C58" s="29" t="s">
        <v>159</v>
      </c>
      <c r="D58" s="29" t="s">
        <v>121</v>
      </c>
      <c r="E58" s="31">
        <v>10034</v>
      </c>
      <c r="F58" s="32">
        <v>285.07095700000002</v>
      </c>
      <c r="G58" s="37">
        <v>4.1006568520273699E-3</v>
      </c>
    </row>
    <row r="59" spans="1:7">
      <c r="A59" s="16"/>
      <c r="B59" s="36" t="s">
        <v>169</v>
      </c>
      <c r="C59" s="29" t="s">
        <v>170</v>
      </c>
      <c r="D59" s="29" t="s">
        <v>43</v>
      </c>
      <c r="E59" s="31">
        <v>33000</v>
      </c>
      <c r="F59" s="32">
        <v>263.85149999999999</v>
      </c>
      <c r="G59" s="37">
        <v>3.7954215777677397E-3</v>
      </c>
    </row>
    <row r="60" spans="1:7">
      <c r="A60" s="16"/>
      <c r="B60" s="36" t="s">
        <v>154</v>
      </c>
      <c r="C60" s="29" t="s">
        <v>155</v>
      </c>
      <c r="D60" s="29" t="s">
        <v>49</v>
      </c>
      <c r="E60" s="31">
        <v>141078</v>
      </c>
      <c r="F60" s="32">
        <v>217.189581</v>
      </c>
      <c r="G60" s="37">
        <v>3.1242044187496918E-3</v>
      </c>
    </row>
    <row r="61" spans="1:7">
      <c r="A61" s="16"/>
      <c r="B61" s="36" t="s">
        <v>345</v>
      </c>
      <c r="C61" s="29" t="s">
        <v>346</v>
      </c>
      <c r="D61" s="29" t="s">
        <v>75</v>
      </c>
      <c r="E61" s="31">
        <v>50500</v>
      </c>
      <c r="F61" s="32">
        <v>140.16274999999999</v>
      </c>
      <c r="G61" s="37">
        <v>2.0161974661855827E-3</v>
      </c>
    </row>
    <row r="62" spans="1:7">
      <c r="A62" s="16"/>
      <c r="B62" s="36" t="s">
        <v>314</v>
      </c>
      <c r="C62" s="29" t="s">
        <v>315</v>
      </c>
      <c r="D62" s="29" t="s">
        <v>132</v>
      </c>
      <c r="E62" s="31">
        <v>5000</v>
      </c>
      <c r="F62" s="32">
        <v>15.592499999999999</v>
      </c>
      <c r="G62" s="37">
        <v>2.2429325189109587E-4</v>
      </c>
    </row>
    <row r="63" spans="1:7">
      <c r="A63" s="16"/>
      <c r="B63" s="36" t="s">
        <v>283</v>
      </c>
      <c r="C63" s="29" t="s">
        <v>284</v>
      </c>
      <c r="D63" s="29" t="s">
        <v>168</v>
      </c>
      <c r="E63" s="31">
        <v>1000</v>
      </c>
      <c r="F63" s="32">
        <v>3.4135</v>
      </c>
      <c r="G63" s="37" t="s">
        <v>347</v>
      </c>
    </row>
    <row r="64" spans="1:7">
      <c r="A64" s="9"/>
      <c r="B64" s="24" t="s">
        <v>28</v>
      </c>
      <c r="C64" s="29" t="s">
        <v>1</v>
      </c>
      <c r="D64" s="29" t="s">
        <v>1</v>
      </c>
      <c r="E64" s="29" t="s">
        <v>1</v>
      </c>
      <c r="F64" s="21">
        <v>67452.439293000003</v>
      </c>
      <c r="G64" s="38">
        <v>0.97028231245879126</v>
      </c>
    </row>
    <row r="65" spans="1:7">
      <c r="A65" s="9"/>
      <c r="B65" s="24"/>
      <c r="C65" s="29"/>
      <c r="D65" s="29"/>
      <c r="E65" s="29"/>
      <c r="F65" s="21"/>
      <c r="G65" s="38"/>
    </row>
    <row r="66" spans="1:7">
      <c r="A66" s="9"/>
      <c r="B66" s="24" t="s">
        <v>188</v>
      </c>
      <c r="C66" s="29" t="s">
        <v>1</v>
      </c>
      <c r="D66" s="29" t="s">
        <v>1</v>
      </c>
      <c r="E66" s="21" t="s">
        <v>189</v>
      </c>
      <c r="F66" s="21" t="s">
        <v>189</v>
      </c>
      <c r="G66" s="38" t="s">
        <v>189</v>
      </c>
    </row>
    <row r="67" spans="1:7">
      <c r="A67" s="9"/>
      <c r="B67" s="24" t="s">
        <v>28</v>
      </c>
      <c r="C67" s="29" t="s">
        <v>1</v>
      </c>
      <c r="D67" s="29" t="s">
        <v>1</v>
      </c>
      <c r="E67" s="21" t="s">
        <v>189</v>
      </c>
      <c r="F67" s="21" t="s">
        <v>189</v>
      </c>
      <c r="G67" s="38" t="s">
        <v>189</v>
      </c>
    </row>
    <row r="68" spans="1:7">
      <c r="A68" s="9"/>
      <c r="B68" s="24" t="s">
        <v>29</v>
      </c>
      <c r="C68" s="29" t="s">
        <v>1</v>
      </c>
      <c r="D68" s="29" t="s">
        <v>1</v>
      </c>
      <c r="E68" s="29" t="s">
        <v>1</v>
      </c>
      <c r="F68" s="21">
        <v>67452.439293000003</v>
      </c>
      <c r="G68" s="38">
        <v>0.97028231245879126</v>
      </c>
    </row>
    <row r="69" spans="1:7">
      <c r="A69" s="9"/>
      <c r="B69" s="24"/>
      <c r="C69" s="29"/>
      <c r="D69" s="29"/>
      <c r="E69" s="29"/>
      <c r="F69" s="21"/>
      <c r="G69" s="38"/>
    </row>
    <row r="70" spans="1:7">
      <c r="A70" s="9"/>
      <c r="B70" s="19" t="s">
        <v>367</v>
      </c>
      <c r="C70" s="29"/>
      <c r="D70" s="29"/>
      <c r="E70" s="29"/>
      <c r="F70" s="21"/>
      <c r="G70" s="38"/>
    </row>
    <row r="71" spans="1:7">
      <c r="A71" s="9"/>
      <c r="B71" s="20" t="s">
        <v>371</v>
      </c>
      <c r="C71" s="29"/>
      <c r="D71" s="29"/>
      <c r="E71" s="21" t="s">
        <v>189</v>
      </c>
      <c r="F71" s="21" t="s">
        <v>189</v>
      </c>
      <c r="G71" s="39" t="s">
        <v>189</v>
      </c>
    </row>
    <row r="72" spans="1:7">
      <c r="A72" s="9"/>
      <c r="B72" s="20" t="s">
        <v>369</v>
      </c>
      <c r="C72" s="29"/>
      <c r="D72" s="29"/>
      <c r="E72" s="21" t="s">
        <v>189</v>
      </c>
      <c r="F72" s="21" t="s">
        <v>189</v>
      </c>
      <c r="G72" s="39" t="s">
        <v>189</v>
      </c>
    </row>
    <row r="73" spans="1:7">
      <c r="A73" s="9"/>
      <c r="B73" s="20" t="s">
        <v>370</v>
      </c>
      <c r="C73" s="29"/>
      <c r="D73" s="29"/>
      <c r="E73" s="21" t="s">
        <v>189</v>
      </c>
      <c r="F73" s="21" t="s">
        <v>189</v>
      </c>
      <c r="G73" s="39" t="s">
        <v>189</v>
      </c>
    </row>
    <row r="74" spans="1:7">
      <c r="A74" s="9"/>
      <c r="B74" s="24"/>
      <c r="C74" s="29"/>
      <c r="D74" s="29"/>
      <c r="E74" s="29"/>
      <c r="F74" s="21"/>
      <c r="G74" s="38"/>
    </row>
    <row r="75" spans="1:7">
      <c r="A75" s="9"/>
      <c r="B75" s="22" t="s">
        <v>9</v>
      </c>
      <c r="C75" s="29"/>
      <c r="D75" s="29"/>
      <c r="E75" s="29"/>
      <c r="F75" s="21"/>
      <c r="G75" s="38"/>
    </row>
    <row r="76" spans="1:7">
      <c r="A76" s="9"/>
      <c r="B76" s="22"/>
      <c r="C76" s="29"/>
      <c r="D76" s="29"/>
      <c r="E76" s="29"/>
      <c r="F76" s="21"/>
      <c r="G76" s="38"/>
    </row>
    <row r="77" spans="1:7">
      <c r="A77" s="9"/>
      <c r="B77" s="24" t="s">
        <v>199</v>
      </c>
      <c r="C77" s="29" t="s">
        <v>1</v>
      </c>
      <c r="D77" s="29" t="s">
        <v>1</v>
      </c>
      <c r="E77" s="29" t="s">
        <v>1</v>
      </c>
      <c r="F77" s="30" t="s">
        <v>1</v>
      </c>
      <c r="G77" s="35" t="s">
        <v>1</v>
      </c>
    </row>
    <row r="78" spans="1:7">
      <c r="A78" s="9"/>
      <c r="B78" s="24" t="s">
        <v>200</v>
      </c>
      <c r="C78" s="29" t="s">
        <v>1</v>
      </c>
      <c r="D78" s="29" t="s">
        <v>1</v>
      </c>
      <c r="E78" s="29" t="s">
        <v>1</v>
      </c>
      <c r="F78" s="30" t="s">
        <v>1</v>
      </c>
      <c r="G78" s="35" t="s">
        <v>1</v>
      </c>
    </row>
    <row r="79" spans="1:7">
      <c r="A79" s="16"/>
      <c r="B79" s="36" t="s">
        <v>378</v>
      </c>
      <c r="C79" s="29" t="s">
        <v>348</v>
      </c>
      <c r="D79" s="29" t="s">
        <v>1</v>
      </c>
      <c r="E79" s="31">
        <v>2500440</v>
      </c>
      <c r="F79" s="32">
        <v>265.23167260000002</v>
      </c>
      <c r="G79" s="37">
        <v>3.8152749303811749E-3</v>
      </c>
    </row>
    <row r="80" spans="1:7">
      <c r="A80" s="9"/>
      <c r="B80" s="24" t="s">
        <v>28</v>
      </c>
      <c r="C80" s="29" t="s">
        <v>1</v>
      </c>
      <c r="D80" s="29" t="s">
        <v>1</v>
      </c>
      <c r="E80" s="29" t="s">
        <v>1</v>
      </c>
      <c r="F80" s="21">
        <v>265.23167260000002</v>
      </c>
      <c r="G80" s="38">
        <v>3.8152749303811749E-3</v>
      </c>
    </row>
    <row r="81" spans="1:7">
      <c r="A81" s="9"/>
      <c r="B81" s="24"/>
      <c r="C81" s="29"/>
      <c r="D81" s="29"/>
      <c r="E81" s="29"/>
      <c r="F81" s="21"/>
      <c r="G81" s="38"/>
    </row>
    <row r="82" spans="1:7">
      <c r="A82" s="9"/>
      <c r="B82" s="24" t="s">
        <v>30</v>
      </c>
      <c r="C82" s="29" t="s">
        <v>1</v>
      </c>
      <c r="D82" s="29" t="s">
        <v>1</v>
      </c>
      <c r="E82" s="29" t="s">
        <v>1</v>
      </c>
      <c r="F82" s="30" t="s">
        <v>1</v>
      </c>
      <c r="G82" s="35" t="s">
        <v>1</v>
      </c>
    </row>
    <row r="83" spans="1:7">
      <c r="A83" s="16"/>
      <c r="B83" s="36" t="s">
        <v>31</v>
      </c>
      <c r="C83" s="29" t="s">
        <v>1</v>
      </c>
      <c r="D83" s="29" t="s">
        <v>32</v>
      </c>
      <c r="E83" s="31"/>
      <c r="F83" s="32">
        <v>1715.7498499999999</v>
      </c>
      <c r="G83" s="37">
        <v>2.4680526746074072E-2</v>
      </c>
    </row>
    <row r="84" spans="1:7">
      <c r="A84" s="9"/>
      <c r="B84" s="24" t="s">
        <v>28</v>
      </c>
      <c r="C84" s="29" t="s">
        <v>1</v>
      </c>
      <c r="D84" s="29" t="s">
        <v>1</v>
      </c>
      <c r="E84" s="29" t="s">
        <v>1</v>
      </c>
      <c r="F84" s="21">
        <v>1715.7498499999999</v>
      </c>
      <c r="G84" s="38">
        <v>2.4680526746074072E-2</v>
      </c>
    </row>
    <row r="85" spans="1:7">
      <c r="A85" s="9"/>
      <c r="B85" s="24"/>
      <c r="C85" s="29"/>
      <c r="D85" s="29"/>
      <c r="E85" s="29"/>
      <c r="F85" s="21"/>
      <c r="G85" s="38"/>
    </row>
    <row r="86" spans="1:7">
      <c r="A86" s="9"/>
      <c r="B86" s="24" t="s">
        <v>33</v>
      </c>
      <c r="C86" s="29" t="s">
        <v>1</v>
      </c>
      <c r="D86" s="29" t="s">
        <v>1</v>
      </c>
      <c r="E86" s="29" t="s">
        <v>1</v>
      </c>
      <c r="F86" s="33">
        <v>84.943506706199997</v>
      </c>
      <c r="G86" s="40">
        <v>1.2218858647535433E-3</v>
      </c>
    </row>
    <row r="87" spans="1:7">
      <c r="A87" s="9"/>
      <c r="B87" s="24" t="s">
        <v>28</v>
      </c>
      <c r="C87" s="29"/>
      <c r="D87" s="29"/>
      <c r="E87" s="29"/>
      <c r="F87" s="34">
        <v>84.943506706199997</v>
      </c>
      <c r="G87" s="41">
        <v>1.2218858647535433E-3</v>
      </c>
    </row>
    <row r="88" spans="1:7">
      <c r="A88" s="9"/>
      <c r="B88" s="24" t="s">
        <v>29</v>
      </c>
      <c r="C88" s="29"/>
      <c r="D88" s="29"/>
      <c r="E88" s="29"/>
      <c r="F88" s="21">
        <f>F80+F84+F87</f>
        <v>2065.9250293062</v>
      </c>
      <c r="G88" s="42">
        <f>G80+G84+G87</f>
        <v>2.9717687541208789E-2</v>
      </c>
    </row>
    <row r="89" spans="1:7" ht="13.5" thickBot="1">
      <c r="A89" s="9"/>
      <c r="B89" s="56"/>
      <c r="C89" s="57"/>
      <c r="D89" s="57"/>
      <c r="E89" s="57"/>
      <c r="F89" s="58"/>
      <c r="G89" s="59"/>
    </row>
    <row r="90" spans="1:7" ht="14.25" thickTop="1" thickBot="1">
      <c r="A90" s="9"/>
      <c r="B90" s="52" t="s">
        <v>34</v>
      </c>
      <c r="C90" s="53" t="s">
        <v>1</v>
      </c>
      <c r="D90" s="53" t="s">
        <v>1</v>
      </c>
      <c r="E90" s="53" t="s">
        <v>1</v>
      </c>
      <c r="F90" s="54">
        <v>69518.364322306195</v>
      </c>
      <c r="G90" s="55">
        <v>1</v>
      </c>
    </row>
    <row r="91" spans="1:7">
      <c r="A91" s="9"/>
      <c r="B91" s="15" t="s">
        <v>1</v>
      </c>
      <c r="C91" s="9"/>
      <c r="D91" s="9"/>
      <c r="E91" s="9"/>
      <c r="F91" s="11"/>
      <c r="G91" s="12"/>
    </row>
    <row r="92" spans="1:7">
      <c r="A92" s="9"/>
      <c r="B92" s="10" t="s">
        <v>32</v>
      </c>
      <c r="C92" s="9"/>
      <c r="D92" s="9"/>
      <c r="E92" s="9"/>
      <c r="F92" s="11"/>
      <c r="G92" s="12"/>
    </row>
    <row r="93" spans="1:7">
      <c r="A93" s="9"/>
      <c r="B93" s="10" t="s">
        <v>349</v>
      </c>
      <c r="C93" s="9"/>
      <c r="D93" s="9"/>
      <c r="E93" s="9"/>
      <c r="F93" s="11"/>
      <c r="G93" s="12"/>
    </row>
    <row r="94" spans="1:7">
      <c r="A94" s="9"/>
      <c r="B94" s="10" t="s">
        <v>372</v>
      </c>
      <c r="C94" s="9"/>
      <c r="D94" s="9"/>
      <c r="E94" s="9"/>
      <c r="F94" s="11"/>
      <c r="G94" s="12"/>
    </row>
    <row r="95" spans="1:7" ht="13.5" thickBot="1">
      <c r="A95" s="9"/>
      <c r="B95" s="10" t="s">
        <v>1</v>
      </c>
      <c r="C95" s="9"/>
      <c r="D95" s="9"/>
      <c r="E95" s="9"/>
      <c r="F95" s="11"/>
      <c r="G95" s="12"/>
    </row>
    <row r="96" spans="1:7" ht="13.5" thickBot="1">
      <c r="B96" s="60" t="s">
        <v>381</v>
      </c>
      <c r="C96" s="61">
        <v>0.39410000000000001</v>
      </c>
    </row>
    <row r="97" spans="2:3">
      <c r="B97" s="62" t="s">
        <v>382</v>
      </c>
      <c r="C97" s="62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zoomScaleNormal="100" workbookViewId="0">
      <selection activeCell="B113" sqref="B113"/>
    </sheetView>
  </sheetViews>
  <sheetFormatPr defaultRowHeight="12.75"/>
  <cols>
    <col min="1" max="1" width="11.42578125" bestFit="1" customWidth="1"/>
    <col min="2" max="2" width="53.42578125" customWidth="1"/>
    <col min="3" max="3" width="16.5703125" customWidth="1"/>
    <col min="4" max="4" width="21.140625" bestFit="1" customWidth="1"/>
    <col min="5" max="5" width="19.28515625" customWidth="1"/>
    <col min="6" max="6" width="19.28515625" style="5" customWidth="1"/>
    <col min="7" max="7" width="19.28515625" style="7" customWidth="1"/>
  </cols>
  <sheetData>
    <row r="1" spans="1:7" ht="18.75">
      <c r="A1" s="1"/>
      <c r="B1" s="107" t="s">
        <v>37</v>
      </c>
      <c r="C1" s="108"/>
      <c r="D1" s="108"/>
      <c r="E1" s="108"/>
      <c r="F1" s="108"/>
      <c r="G1" s="109"/>
    </row>
    <row r="2" spans="1:7" ht="13.5" thickBot="1">
      <c r="A2" s="1"/>
      <c r="B2" s="110" t="s">
        <v>383</v>
      </c>
      <c r="C2" s="111"/>
      <c r="D2" s="111"/>
      <c r="E2" s="111"/>
      <c r="F2" s="111"/>
      <c r="G2" s="112"/>
    </row>
    <row r="3" spans="1:7">
      <c r="A3" s="1"/>
      <c r="B3" s="8" t="s">
        <v>1</v>
      </c>
      <c r="C3" s="1"/>
      <c r="D3" s="1"/>
      <c r="E3" s="1"/>
      <c r="F3" s="4"/>
      <c r="G3" s="6"/>
    </row>
    <row r="4" spans="1:7" ht="13.5" thickBot="1">
      <c r="A4" s="2"/>
      <c r="B4" s="10" t="s">
        <v>2</v>
      </c>
      <c r="C4" s="9"/>
      <c r="D4" s="9"/>
      <c r="E4" s="9"/>
      <c r="F4" s="11"/>
      <c r="G4" s="12"/>
    </row>
    <row r="5" spans="1:7" ht="26.25" thickBot="1">
      <c r="A5" s="1"/>
      <c r="B5" s="47" t="s">
        <v>3</v>
      </c>
      <c r="C5" s="48" t="s">
        <v>4</v>
      </c>
      <c r="D5" s="49" t="s">
        <v>379</v>
      </c>
      <c r="E5" s="49" t="s">
        <v>6</v>
      </c>
      <c r="F5" s="50" t="s">
        <v>7</v>
      </c>
      <c r="G5" s="51" t="s">
        <v>8</v>
      </c>
    </row>
    <row r="6" spans="1:7">
      <c r="A6" s="1"/>
      <c r="B6" s="43" t="s">
        <v>39</v>
      </c>
      <c r="C6" s="44" t="s">
        <v>1</v>
      </c>
      <c r="D6" s="44" t="s">
        <v>1</v>
      </c>
      <c r="E6" s="44" t="s">
        <v>1</v>
      </c>
      <c r="F6" s="45" t="s">
        <v>1</v>
      </c>
      <c r="G6" s="46" t="s">
        <v>1</v>
      </c>
    </row>
    <row r="7" spans="1:7">
      <c r="A7" s="1"/>
      <c r="B7" s="24" t="s">
        <v>40</v>
      </c>
      <c r="C7" s="29" t="s">
        <v>1</v>
      </c>
      <c r="D7" s="29" t="s">
        <v>1</v>
      </c>
      <c r="E7" s="29" t="s">
        <v>1</v>
      </c>
      <c r="F7" s="30" t="s">
        <v>1</v>
      </c>
      <c r="G7" s="35" t="s">
        <v>1</v>
      </c>
    </row>
    <row r="8" spans="1:7">
      <c r="A8" s="3"/>
      <c r="B8" s="36" t="s">
        <v>41</v>
      </c>
      <c r="C8" s="29" t="s">
        <v>42</v>
      </c>
      <c r="D8" s="29" t="s">
        <v>43</v>
      </c>
      <c r="E8" s="31">
        <v>168234</v>
      </c>
      <c r="F8" s="32">
        <v>2195.1172320000001</v>
      </c>
      <c r="G8" s="37">
        <v>4.2209231093853154E-2</v>
      </c>
    </row>
    <row r="9" spans="1:7">
      <c r="A9" s="3"/>
      <c r="B9" s="36" t="s">
        <v>44</v>
      </c>
      <c r="C9" s="29" t="s">
        <v>45</v>
      </c>
      <c r="D9" s="29" t="s">
        <v>46</v>
      </c>
      <c r="E9" s="31">
        <v>76800</v>
      </c>
      <c r="F9" s="32">
        <v>1912.0896</v>
      </c>
      <c r="G9" s="37">
        <v>3.676698019677941E-2</v>
      </c>
    </row>
    <row r="10" spans="1:7">
      <c r="A10" s="3"/>
      <c r="B10" s="36" t="s">
        <v>47</v>
      </c>
      <c r="C10" s="29" t="s">
        <v>48</v>
      </c>
      <c r="D10" s="29" t="s">
        <v>49</v>
      </c>
      <c r="E10" s="31">
        <v>109600</v>
      </c>
      <c r="F10" s="32">
        <v>1571.1708000000001</v>
      </c>
      <c r="G10" s="37">
        <v>3.021155791515108E-2</v>
      </c>
    </row>
    <row r="11" spans="1:7">
      <c r="A11" s="3"/>
      <c r="B11" s="36" t="s">
        <v>50</v>
      </c>
      <c r="C11" s="29" t="s">
        <v>51</v>
      </c>
      <c r="D11" s="29" t="s">
        <v>52</v>
      </c>
      <c r="E11" s="31">
        <v>309338</v>
      </c>
      <c r="F11" s="32">
        <v>1491.4731670000001</v>
      </c>
      <c r="G11" s="37">
        <v>2.8679076752008311E-2</v>
      </c>
    </row>
    <row r="12" spans="1:7">
      <c r="A12" s="3"/>
      <c r="B12" s="36" t="s">
        <v>53</v>
      </c>
      <c r="C12" s="29" t="s">
        <v>54</v>
      </c>
      <c r="D12" s="29" t="s">
        <v>55</v>
      </c>
      <c r="E12" s="31">
        <v>82467</v>
      </c>
      <c r="F12" s="32">
        <v>1484.6946344999999</v>
      </c>
      <c r="G12" s="37">
        <v>2.8548734444727979E-2</v>
      </c>
    </row>
    <row r="13" spans="1:7">
      <c r="A13" s="3"/>
      <c r="B13" s="36" t="s">
        <v>56</v>
      </c>
      <c r="C13" s="29" t="s">
        <v>57</v>
      </c>
      <c r="D13" s="29" t="s">
        <v>58</v>
      </c>
      <c r="E13" s="31">
        <v>239688</v>
      </c>
      <c r="F13" s="32">
        <v>1333.743876</v>
      </c>
      <c r="G13" s="37">
        <v>2.564614894431088E-2</v>
      </c>
    </row>
    <row r="14" spans="1:7">
      <c r="A14" s="3"/>
      <c r="B14" s="36" t="s">
        <v>59</v>
      </c>
      <c r="C14" s="29" t="s">
        <v>60</v>
      </c>
      <c r="D14" s="29" t="s">
        <v>61</v>
      </c>
      <c r="E14" s="31">
        <v>335184</v>
      </c>
      <c r="F14" s="32">
        <v>1326.1554960000001</v>
      </c>
      <c r="G14" s="37">
        <v>2.5500234329647615E-2</v>
      </c>
    </row>
    <row r="15" spans="1:7">
      <c r="A15" s="3"/>
      <c r="B15" s="36" t="s">
        <v>62</v>
      </c>
      <c r="C15" s="29" t="s">
        <v>63</v>
      </c>
      <c r="D15" s="29" t="s">
        <v>64</v>
      </c>
      <c r="E15" s="31">
        <v>371378</v>
      </c>
      <c r="F15" s="32">
        <v>1324.705326</v>
      </c>
      <c r="G15" s="37">
        <v>2.5472349458733636E-2</v>
      </c>
    </row>
    <row r="16" spans="1:7">
      <c r="A16" s="3"/>
      <c r="B16" s="36" t="s">
        <v>65</v>
      </c>
      <c r="C16" s="29" t="s">
        <v>66</v>
      </c>
      <c r="D16" s="29" t="s">
        <v>49</v>
      </c>
      <c r="E16" s="31">
        <v>997595</v>
      </c>
      <c r="F16" s="32">
        <v>1255.4733074999999</v>
      </c>
      <c r="G16" s="37">
        <v>2.4141108363560811E-2</v>
      </c>
    </row>
    <row r="17" spans="1:7">
      <c r="A17" s="3"/>
      <c r="B17" s="36" t="s">
        <v>67</v>
      </c>
      <c r="C17" s="29" t="s">
        <v>68</v>
      </c>
      <c r="D17" s="29" t="s">
        <v>55</v>
      </c>
      <c r="E17" s="31">
        <v>153749</v>
      </c>
      <c r="F17" s="32">
        <v>1217.6152055</v>
      </c>
      <c r="G17" s="37">
        <v>2.3413146616097901E-2</v>
      </c>
    </row>
    <row r="18" spans="1:7">
      <c r="A18" s="3"/>
      <c r="B18" s="36" t="s">
        <v>69</v>
      </c>
      <c r="C18" s="29" t="s">
        <v>70</v>
      </c>
      <c r="D18" s="29" t="s">
        <v>49</v>
      </c>
      <c r="E18" s="31">
        <v>211000</v>
      </c>
      <c r="F18" s="32">
        <v>1179.1735000000001</v>
      </c>
      <c r="G18" s="37">
        <v>2.2673962937232159E-2</v>
      </c>
    </row>
    <row r="19" spans="1:7">
      <c r="A19" s="3"/>
      <c r="B19" s="36" t="s">
        <v>71</v>
      </c>
      <c r="C19" s="29" t="s">
        <v>72</v>
      </c>
      <c r="D19" s="29" t="s">
        <v>55</v>
      </c>
      <c r="E19" s="31">
        <v>75421</v>
      </c>
      <c r="F19" s="32">
        <v>1096.4327874999999</v>
      </c>
      <c r="G19" s="37">
        <v>2.1082967338513919E-2</v>
      </c>
    </row>
    <row r="20" spans="1:7">
      <c r="A20" s="3"/>
      <c r="B20" s="36" t="s">
        <v>73</v>
      </c>
      <c r="C20" s="29" t="s">
        <v>74</v>
      </c>
      <c r="D20" s="29" t="s">
        <v>75</v>
      </c>
      <c r="E20" s="31">
        <v>424809</v>
      </c>
      <c r="F20" s="32">
        <v>1089.4226805000001</v>
      </c>
      <c r="G20" s="37">
        <v>2.0948172156715794E-2</v>
      </c>
    </row>
    <row r="21" spans="1:7">
      <c r="A21" s="3"/>
      <c r="B21" s="36" t="s">
        <v>76</v>
      </c>
      <c r="C21" s="29" t="s">
        <v>77</v>
      </c>
      <c r="D21" s="29" t="s">
        <v>61</v>
      </c>
      <c r="E21" s="31">
        <v>177178</v>
      </c>
      <c r="F21" s="32">
        <v>1060.321741</v>
      </c>
      <c r="G21" s="37">
        <v>2.0388599181524584E-2</v>
      </c>
    </row>
    <row r="22" spans="1:7">
      <c r="A22" s="3"/>
      <c r="B22" s="36" t="s">
        <v>78</v>
      </c>
      <c r="C22" s="29" t="s">
        <v>79</v>
      </c>
      <c r="D22" s="29" t="s">
        <v>80</v>
      </c>
      <c r="E22" s="31">
        <v>75743</v>
      </c>
      <c r="F22" s="32">
        <v>1052.5247280000001</v>
      </c>
      <c r="G22" s="37">
        <v>2.0238672827359468E-2</v>
      </c>
    </row>
    <row r="23" spans="1:7">
      <c r="A23" s="3"/>
      <c r="B23" s="36" t="s">
        <v>81</v>
      </c>
      <c r="C23" s="29" t="s">
        <v>82</v>
      </c>
      <c r="D23" s="29" t="s">
        <v>80</v>
      </c>
      <c r="E23" s="31">
        <v>240584</v>
      </c>
      <c r="F23" s="32">
        <v>1011.896304</v>
      </c>
      <c r="G23" s="37">
        <v>1.9457441414022794E-2</v>
      </c>
    </row>
    <row r="24" spans="1:7">
      <c r="A24" s="3"/>
      <c r="B24" s="36" t="s">
        <v>83</v>
      </c>
      <c r="C24" s="29" t="s">
        <v>84</v>
      </c>
      <c r="D24" s="29" t="s">
        <v>85</v>
      </c>
      <c r="E24" s="31">
        <v>33722</v>
      </c>
      <c r="F24" s="32">
        <v>978.308942</v>
      </c>
      <c r="G24" s="37">
        <v>1.8811600406615996E-2</v>
      </c>
    </row>
    <row r="25" spans="1:7">
      <c r="A25" s="3"/>
      <c r="B25" s="36" t="s">
        <v>86</v>
      </c>
      <c r="C25" s="29" t="s">
        <v>87</v>
      </c>
      <c r="D25" s="29" t="s">
        <v>88</v>
      </c>
      <c r="E25" s="31">
        <v>129524</v>
      </c>
      <c r="F25" s="32">
        <v>971.49476200000004</v>
      </c>
      <c r="G25" s="37">
        <v>1.8680572644571115E-2</v>
      </c>
    </row>
    <row r="26" spans="1:7">
      <c r="A26" s="3"/>
      <c r="B26" s="36" t="s">
        <v>89</v>
      </c>
      <c r="C26" s="29" t="s">
        <v>90</v>
      </c>
      <c r="D26" s="29" t="s">
        <v>85</v>
      </c>
      <c r="E26" s="31">
        <v>476431</v>
      </c>
      <c r="F26" s="32">
        <v>947.62125900000001</v>
      </c>
      <c r="G26" s="37">
        <v>1.8221516430872366E-2</v>
      </c>
    </row>
    <row r="27" spans="1:7">
      <c r="A27" s="3"/>
      <c r="B27" s="36" t="s">
        <v>91</v>
      </c>
      <c r="C27" s="29" t="s">
        <v>92</v>
      </c>
      <c r="D27" s="29" t="s">
        <v>55</v>
      </c>
      <c r="E27" s="31">
        <v>107019</v>
      </c>
      <c r="F27" s="32">
        <v>932.61707550000006</v>
      </c>
      <c r="G27" s="37">
        <v>1.7933005621748495E-2</v>
      </c>
    </row>
    <row r="28" spans="1:7">
      <c r="A28" s="3"/>
      <c r="B28" s="36" t="s">
        <v>93</v>
      </c>
      <c r="C28" s="29" t="s">
        <v>94</v>
      </c>
      <c r="D28" s="29" t="s">
        <v>95</v>
      </c>
      <c r="E28" s="31">
        <v>304000</v>
      </c>
      <c r="F28" s="32">
        <v>929.78399999999999</v>
      </c>
      <c r="G28" s="37">
        <v>1.7878529288210317E-2</v>
      </c>
    </row>
    <row r="29" spans="1:7">
      <c r="A29" s="3"/>
      <c r="B29" s="36" t="s">
        <v>96</v>
      </c>
      <c r="C29" s="29" t="s">
        <v>97</v>
      </c>
      <c r="D29" s="29" t="s">
        <v>80</v>
      </c>
      <c r="E29" s="31">
        <v>228000</v>
      </c>
      <c r="F29" s="32">
        <v>910.63199999999995</v>
      </c>
      <c r="G29" s="37">
        <v>1.7510261397035803E-2</v>
      </c>
    </row>
    <row r="30" spans="1:7">
      <c r="A30" s="3"/>
      <c r="B30" s="36" t="s">
        <v>98</v>
      </c>
      <c r="C30" s="29" t="s">
        <v>99</v>
      </c>
      <c r="D30" s="29" t="s">
        <v>100</v>
      </c>
      <c r="E30" s="31">
        <v>7308</v>
      </c>
      <c r="F30" s="32">
        <v>874.91376000000002</v>
      </c>
      <c r="G30" s="37">
        <v>1.6823446394881189E-2</v>
      </c>
    </row>
    <row r="31" spans="1:7">
      <c r="A31" s="3"/>
      <c r="B31" s="36" t="s">
        <v>101</v>
      </c>
      <c r="C31" s="29" t="s">
        <v>102</v>
      </c>
      <c r="D31" s="29" t="s">
        <v>85</v>
      </c>
      <c r="E31" s="31">
        <v>105000</v>
      </c>
      <c r="F31" s="32">
        <v>864.46500000000003</v>
      </c>
      <c r="G31" s="37">
        <v>1.6622530416884707E-2</v>
      </c>
    </row>
    <row r="32" spans="1:7">
      <c r="A32" s="3"/>
      <c r="B32" s="36" t="s">
        <v>103</v>
      </c>
      <c r="C32" s="29" t="s">
        <v>104</v>
      </c>
      <c r="D32" s="29" t="s">
        <v>58</v>
      </c>
      <c r="E32" s="31">
        <v>1178110</v>
      </c>
      <c r="F32" s="32">
        <v>860.02030000000002</v>
      </c>
      <c r="G32" s="37">
        <v>1.6537064653731857E-2</v>
      </c>
    </row>
    <row r="33" spans="1:7">
      <c r="A33" s="3"/>
      <c r="B33" s="36" t="s">
        <v>105</v>
      </c>
      <c r="C33" s="29" t="s">
        <v>106</v>
      </c>
      <c r="D33" s="29" t="s">
        <v>100</v>
      </c>
      <c r="E33" s="31">
        <v>55541</v>
      </c>
      <c r="F33" s="32">
        <v>859.21927000000005</v>
      </c>
      <c r="G33" s="37">
        <v>1.6521661895332343E-2</v>
      </c>
    </row>
    <row r="34" spans="1:7">
      <c r="A34" s="3"/>
      <c r="B34" s="36" t="s">
        <v>107</v>
      </c>
      <c r="C34" s="29" t="s">
        <v>108</v>
      </c>
      <c r="D34" s="29" t="s">
        <v>46</v>
      </c>
      <c r="E34" s="31">
        <v>99520</v>
      </c>
      <c r="F34" s="32">
        <v>846.81568000000004</v>
      </c>
      <c r="G34" s="37">
        <v>1.6283157095191715E-2</v>
      </c>
    </row>
    <row r="35" spans="1:7">
      <c r="A35" s="3"/>
      <c r="B35" s="36" t="s">
        <v>109</v>
      </c>
      <c r="C35" s="29" t="s">
        <v>110</v>
      </c>
      <c r="D35" s="29" t="s">
        <v>55</v>
      </c>
      <c r="E35" s="31">
        <v>115475</v>
      </c>
      <c r="F35" s="32">
        <v>833.49855000000002</v>
      </c>
      <c r="G35" s="37">
        <v>1.6027086116620452E-2</v>
      </c>
    </row>
    <row r="36" spans="1:7">
      <c r="A36" s="3"/>
      <c r="B36" s="36" t="s">
        <v>111</v>
      </c>
      <c r="C36" s="29" t="s">
        <v>112</v>
      </c>
      <c r="D36" s="29" t="s">
        <v>55</v>
      </c>
      <c r="E36" s="31">
        <v>62970</v>
      </c>
      <c r="F36" s="32">
        <v>832.49488499999995</v>
      </c>
      <c r="G36" s="37">
        <v>1.6007786952408062E-2</v>
      </c>
    </row>
    <row r="37" spans="1:7">
      <c r="A37" s="3"/>
      <c r="B37" s="36" t="s">
        <v>113</v>
      </c>
      <c r="C37" s="29" t="s">
        <v>114</v>
      </c>
      <c r="D37" s="29" t="s">
        <v>80</v>
      </c>
      <c r="E37" s="31">
        <v>209341</v>
      </c>
      <c r="F37" s="32">
        <v>831.29311099999995</v>
      </c>
      <c r="G37" s="37">
        <v>1.5984678411438538E-2</v>
      </c>
    </row>
    <row r="38" spans="1:7">
      <c r="A38" s="3"/>
      <c r="B38" s="36" t="s">
        <v>115</v>
      </c>
      <c r="C38" s="29" t="s">
        <v>116</v>
      </c>
      <c r="D38" s="29" t="s">
        <v>49</v>
      </c>
      <c r="E38" s="31">
        <v>89800</v>
      </c>
      <c r="F38" s="32">
        <v>810.2654</v>
      </c>
      <c r="G38" s="37">
        <v>1.5580343052927827E-2</v>
      </c>
    </row>
    <row r="39" spans="1:7">
      <c r="A39" s="3"/>
      <c r="B39" s="36" t="s">
        <v>117</v>
      </c>
      <c r="C39" s="29" t="s">
        <v>118</v>
      </c>
      <c r="D39" s="29" t="s">
        <v>52</v>
      </c>
      <c r="E39" s="31">
        <v>267075</v>
      </c>
      <c r="F39" s="32">
        <v>794.28105000000005</v>
      </c>
      <c r="G39" s="37">
        <v>1.5272984924988429E-2</v>
      </c>
    </row>
    <row r="40" spans="1:7">
      <c r="A40" s="3"/>
      <c r="B40" s="36" t="s">
        <v>119</v>
      </c>
      <c r="C40" s="29" t="s">
        <v>120</v>
      </c>
      <c r="D40" s="29" t="s">
        <v>121</v>
      </c>
      <c r="E40" s="31">
        <v>62136</v>
      </c>
      <c r="F40" s="32">
        <v>786.766032</v>
      </c>
      <c r="G40" s="37">
        <v>1.5128480965558683E-2</v>
      </c>
    </row>
    <row r="41" spans="1:7">
      <c r="A41" s="3"/>
      <c r="B41" s="36" t="s">
        <v>122</v>
      </c>
      <c r="C41" s="29" t="s">
        <v>123</v>
      </c>
      <c r="D41" s="29" t="s">
        <v>49</v>
      </c>
      <c r="E41" s="31">
        <v>146187</v>
      </c>
      <c r="F41" s="32">
        <v>775.30275449999999</v>
      </c>
      <c r="G41" s="37">
        <v>1.4908057143980089E-2</v>
      </c>
    </row>
    <row r="42" spans="1:7">
      <c r="A42" s="3"/>
      <c r="B42" s="36" t="s">
        <v>124</v>
      </c>
      <c r="C42" s="29" t="s">
        <v>125</v>
      </c>
      <c r="D42" s="29" t="s">
        <v>121</v>
      </c>
      <c r="E42" s="31">
        <v>44225</v>
      </c>
      <c r="F42" s="32">
        <v>770.64273749999995</v>
      </c>
      <c r="G42" s="37">
        <v>1.4818451116754347E-2</v>
      </c>
    </row>
    <row r="43" spans="1:7">
      <c r="A43" s="3"/>
      <c r="B43" s="36" t="s">
        <v>126</v>
      </c>
      <c r="C43" s="29" t="s">
        <v>127</v>
      </c>
      <c r="D43" s="29" t="s">
        <v>61</v>
      </c>
      <c r="E43" s="31">
        <v>426533</v>
      </c>
      <c r="F43" s="32">
        <v>723.39996799999994</v>
      </c>
      <c r="G43" s="37">
        <v>1.3910034497236353E-2</v>
      </c>
    </row>
    <row r="44" spans="1:7">
      <c r="A44" s="3"/>
      <c r="B44" s="36" t="s">
        <v>128</v>
      </c>
      <c r="C44" s="29" t="s">
        <v>129</v>
      </c>
      <c r="D44" s="29" t="s">
        <v>121</v>
      </c>
      <c r="E44" s="31">
        <v>50390</v>
      </c>
      <c r="F44" s="32">
        <v>701.45399499999996</v>
      </c>
      <c r="G44" s="37">
        <v>1.3488042162415823E-2</v>
      </c>
    </row>
    <row r="45" spans="1:7">
      <c r="A45" s="3"/>
      <c r="B45" s="36" t="s">
        <v>130</v>
      </c>
      <c r="C45" s="29" t="s">
        <v>131</v>
      </c>
      <c r="D45" s="29" t="s">
        <v>132</v>
      </c>
      <c r="E45" s="31">
        <v>111500</v>
      </c>
      <c r="F45" s="32">
        <v>678.58900000000006</v>
      </c>
      <c r="G45" s="37">
        <v>1.3048378237480264E-2</v>
      </c>
    </row>
    <row r="46" spans="1:7">
      <c r="A46" s="3"/>
      <c r="B46" s="36" t="s">
        <v>133</v>
      </c>
      <c r="C46" s="29" t="s">
        <v>134</v>
      </c>
      <c r="D46" s="29" t="s">
        <v>64</v>
      </c>
      <c r="E46" s="31">
        <v>165565</v>
      </c>
      <c r="F46" s="32">
        <v>675.42241750000005</v>
      </c>
      <c r="G46" s="37">
        <v>1.2987489000872854E-2</v>
      </c>
    </row>
    <row r="47" spans="1:7">
      <c r="A47" s="3"/>
      <c r="B47" s="36" t="s">
        <v>135</v>
      </c>
      <c r="C47" s="29" t="s">
        <v>136</v>
      </c>
      <c r="D47" s="29" t="s">
        <v>137</v>
      </c>
      <c r="E47" s="31">
        <v>320027</v>
      </c>
      <c r="F47" s="32">
        <v>643.574297</v>
      </c>
      <c r="G47" s="37">
        <v>1.2375091330947687E-2</v>
      </c>
    </row>
    <row r="48" spans="1:7">
      <c r="A48" s="3"/>
      <c r="B48" s="36" t="s">
        <v>138</v>
      </c>
      <c r="C48" s="29" t="s">
        <v>139</v>
      </c>
      <c r="D48" s="29" t="s">
        <v>140</v>
      </c>
      <c r="E48" s="31">
        <v>238962</v>
      </c>
      <c r="F48" s="32">
        <v>623.212896</v>
      </c>
      <c r="G48" s="37">
        <v>1.1983568241576936E-2</v>
      </c>
    </row>
    <row r="49" spans="1:7">
      <c r="A49" s="3"/>
      <c r="B49" s="36" t="s">
        <v>141</v>
      </c>
      <c r="C49" s="29" t="s">
        <v>142</v>
      </c>
      <c r="D49" s="29" t="s">
        <v>43</v>
      </c>
      <c r="E49" s="31">
        <v>22220</v>
      </c>
      <c r="F49" s="32">
        <v>604.67286000000001</v>
      </c>
      <c r="G49" s="37">
        <v>1.1627067617098053E-2</v>
      </c>
    </row>
    <row r="50" spans="1:7">
      <c r="A50" s="3"/>
      <c r="B50" s="36" t="s">
        <v>143</v>
      </c>
      <c r="C50" s="29" t="s">
        <v>144</v>
      </c>
      <c r="D50" s="29" t="s">
        <v>52</v>
      </c>
      <c r="E50" s="31">
        <v>381804</v>
      </c>
      <c r="F50" s="32">
        <v>592.17800399999999</v>
      </c>
      <c r="G50" s="37">
        <v>1.1386807891239175E-2</v>
      </c>
    </row>
    <row r="51" spans="1:7">
      <c r="A51" s="3"/>
      <c r="B51" s="36" t="s">
        <v>145</v>
      </c>
      <c r="C51" s="29" t="s">
        <v>146</v>
      </c>
      <c r="D51" s="29" t="s">
        <v>43</v>
      </c>
      <c r="E51" s="31">
        <v>174803</v>
      </c>
      <c r="F51" s="32">
        <v>568.98376499999995</v>
      </c>
      <c r="G51" s="37">
        <v>1.0940813035144372E-2</v>
      </c>
    </row>
    <row r="52" spans="1:7">
      <c r="A52" s="3"/>
      <c r="B52" s="36" t="s">
        <v>147</v>
      </c>
      <c r="C52" s="29" t="s">
        <v>148</v>
      </c>
      <c r="D52" s="29" t="s">
        <v>149</v>
      </c>
      <c r="E52" s="31">
        <v>165000</v>
      </c>
      <c r="F52" s="32">
        <v>557.94749999999999</v>
      </c>
      <c r="G52" s="37">
        <v>1.0728600105006888E-2</v>
      </c>
    </row>
    <row r="53" spans="1:7">
      <c r="A53" s="3"/>
      <c r="B53" s="36" t="s">
        <v>150</v>
      </c>
      <c r="C53" s="29" t="s">
        <v>151</v>
      </c>
      <c r="D53" s="29" t="s">
        <v>137</v>
      </c>
      <c r="E53" s="31">
        <v>60084</v>
      </c>
      <c r="F53" s="32">
        <v>551.60116200000004</v>
      </c>
      <c r="G53" s="37">
        <v>1.0606568332244739E-2</v>
      </c>
    </row>
    <row r="54" spans="1:7">
      <c r="A54" s="3"/>
      <c r="B54" s="36" t="s">
        <v>152</v>
      </c>
      <c r="C54" s="29" t="s">
        <v>153</v>
      </c>
      <c r="D54" s="29" t="s">
        <v>75</v>
      </c>
      <c r="E54" s="31">
        <v>271637</v>
      </c>
      <c r="F54" s="32">
        <v>546.53364399999998</v>
      </c>
      <c r="G54" s="37">
        <v>1.0509126594183498E-2</v>
      </c>
    </row>
    <row r="55" spans="1:7">
      <c r="A55" s="3"/>
      <c r="B55" s="36" t="s">
        <v>154</v>
      </c>
      <c r="C55" s="29" t="s">
        <v>155</v>
      </c>
      <c r="D55" s="29" t="s">
        <v>49</v>
      </c>
      <c r="E55" s="31">
        <v>349077</v>
      </c>
      <c r="F55" s="32">
        <v>537.40404149999995</v>
      </c>
      <c r="G55" s="37">
        <v>1.0333576288213544E-2</v>
      </c>
    </row>
    <row r="56" spans="1:7">
      <c r="A56" s="3"/>
      <c r="B56" s="36" t="s">
        <v>156</v>
      </c>
      <c r="C56" s="29" t="s">
        <v>157</v>
      </c>
      <c r="D56" s="29" t="s">
        <v>80</v>
      </c>
      <c r="E56" s="31">
        <v>21536</v>
      </c>
      <c r="F56" s="32">
        <v>516.39020800000003</v>
      </c>
      <c r="G56" s="37">
        <v>9.9295077758630151E-3</v>
      </c>
    </row>
    <row r="57" spans="1:7">
      <c r="A57" s="3"/>
      <c r="B57" s="36" t="s">
        <v>158</v>
      </c>
      <c r="C57" s="29" t="s">
        <v>159</v>
      </c>
      <c r="D57" s="29" t="s">
        <v>121</v>
      </c>
      <c r="E57" s="31">
        <v>16253</v>
      </c>
      <c r="F57" s="32">
        <v>461.75585649999999</v>
      </c>
      <c r="G57" s="37">
        <v>8.8789607096249126E-3</v>
      </c>
    </row>
    <row r="58" spans="1:7">
      <c r="A58" s="3"/>
      <c r="B58" s="36" t="s">
        <v>160</v>
      </c>
      <c r="C58" s="29" t="s">
        <v>161</v>
      </c>
      <c r="D58" s="29" t="s">
        <v>46</v>
      </c>
      <c r="E58" s="31">
        <v>31999</v>
      </c>
      <c r="F58" s="32">
        <v>445.90606500000001</v>
      </c>
      <c r="G58" s="37">
        <v>8.5741899655114653E-3</v>
      </c>
    </row>
    <row r="59" spans="1:7">
      <c r="A59" s="3"/>
      <c r="B59" s="36" t="s">
        <v>162</v>
      </c>
      <c r="C59" s="29" t="s">
        <v>163</v>
      </c>
      <c r="D59" s="29" t="s">
        <v>49</v>
      </c>
      <c r="E59" s="31">
        <v>72877</v>
      </c>
      <c r="F59" s="32">
        <v>433.0715725</v>
      </c>
      <c r="G59" s="37">
        <v>8.3273994743215066E-3</v>
      </c>
    </row>
    <row r="60" spans="1:7">
      <c r="A60" s="3"/>
      <c r="B60" s="36" t="s">
        <v>164</v>
      </c>
      <c r="C60" s="29" t="s">
        <v>165</v>
      </c>
      <c r="D60" s="29" t="s">
        <v>149</v>
      </c>
      <c r="E60" s="31">
        <v>373444</v>
      </c>
      <c r="F60" s="32">
        <v>414.52283999999997</v>
      </c>
      <c r="G60" s="37">
        <v>7.9707316275308224E-3</v>
      </c>
    </row>
    <row r="61" spans="1:7">
      <c r="A61" s="3"/>
      <c r="B61" s="36" t="s">
        <v>166</v>
      </c>
      <c r="C61" s="29" t="s">
        <v>167</v>
      </c>
      <c r="D61" s="29" t="s">
        <v>168</v>
      </c>
      <c r="E61" s="31">
        <v>216399</v>
      </c>
      <c r="F61" s="32">
        <v>313.345752</v>
      </c>
      <c r="G61" s="37">
        <v>6.0252286600632901E-3</v>
      </c>
    </row>
    <row r="62" spans="1:7">
      <c r="A62" s="3"/>
      <c r="B62" s="36" t="s">
        <v>169</v>
      </c>
      <c r="C62" s="29" t="s">
        <v>170</v>
      </c>
      <c r="D62" s="29" t="s">
        <v>43</v>
      </c>
      <c r="E62" s="31">
        <v>37000</v>
      </c>
      <c r="F62" s="32">
        <v>295.83350000000002</v>
      </c>
      <c r="G62" s="37">
        <v>5.6884909765964635E-3</v>
      </c>
    </row>
    <row r="63" spans="1:7">
      <c r="A63" s="3"/>
      <c r="B63" s="36" t="s">
        <v>171</v>
      </c>
      <c r="C63" s="29" t="s">
        <v>172</v>
      </c>
      <c r="D63" s="29" t="s">
        <v>46</v>
      </c>
      <c r="E63" s="31">
        <v>70000</v>
      </c>
      <c r="F63" s="32">
        <v>280.17500000000001</v>
      </c>
      <c r="G63" s="37">
        <v>5.3873985176388552E-3</v>
      </c>
    </row>
    <row r="64" spans="1:7">
      <c r="A64" s="3"/>
      <c r="B64" s="36" t="s">
        <v>173</v>
      </c>
      <c r="C64" s="29" t="s">
        <v>174</v>
      </c>
      <c r="D64" s="29" t="s">
        <v>175</v>
      </c>
      <c r="E64" s="31">
        <v>147620</v>
      </c>
      <c r="F64" s="32">
        <v>258.11356999999998</v>
      </c>
      <c r="G64" s="37">
        <v>4.9631860958346489E-3</v>
      </c>
    </row>
    <row r="65" spans="1:7">
      <c r="A65" s="3"/>
      <c r="B65" s="36" t="s">
        <v>176</v>
      </c>
      <c r="C65" s="29" t="s">
        <v>177</v>
      </c>
      <c r="D65" s="29" t="s">
        <v>178</v>
      </c>
      <c r="E65" s="31">
        <v>263305</v>
      </c>
      <c r="F65" s="32">
        <v>246.58513249999999</v>
      </c>
      <c r="G65" s="37">
        <v>4.7415093327466068E-3</v>
      </c>
    </row>
    <row r="66" spans="1:7">
      <c r="A66" s="3"/>
      <c r="B66" s="36" t="s">
        <v>179</v>
      </c>
      <c r="C66" s="29" t="s">
        <v>180</v>
      </c>
      <c r="D66" s="29" t="s">
        <v>178</v>
      </c>
      <c r="E66" s="31">
        <v>101000</v>
      </c>
      <c r="F66" s="32">
        <v>189.88</v>
      </c>
      <c r="G66" s="37">
        <v>3.6511438584073018E-3</v>
      </c>
    </row>
    <row r="67" spans="1:7">
      <c r="A67" s="3"/>
      <c r="B67" s="36" t="s">
        <v>181</v>
      </c>
      <c r="C67" s="29" t="s">
        <v>182</v>
      </c>
      <c r="D67" s="29" t="s">
        <v>64</v>
      </c>
      <c r="E67" s="31">
        <v>131395</v>
      </c>
      <c r="F67" s="32">
        <v>143.48334</v>
      </c>
      <c r="G67" s="37">
        <v>2.7589968170674464E-3</v>
      </c>
    </row>
    <row r="68" spans="1:7">
      <c r="A68" s="3"/>
      <c r="B68" s="36" t="s">
        <v>183</v>
      </c>
      <c r="C68" s="29" t="s">
        <v>184</v>
      </c>
      <c r="D68" s="29" t="s">
        <v>55</v>
      </c>
      <c r="E68" s="31">
        <v>11000</v>
      </c>
      <c r="F68" s="32">
        <v>106.50749999999999</v>
      </c>
      <c r="G68" s="37">
        <v>2.0479998130362108E-3</v>
      </c>
    </row>
    <row r="69" spans="1:7">
      <c r="A69" s="3"/>
      <c r="B69" s="36" t="s">
        <v>185</v>
      </c>
      <c r="C69" s="29" t="s">
        <v>186</v>
      </c>
      <c r="D69" s="29" t="s">
        <v>187</v>
      </c>
      <c r="E69" s="31">
        <v>39452</v>
      </c>
      <c r="F69" s="32">
        <v>59.789506000000003</v>
      </c>
      <c r="G69" s="37">
        <v>1.1496739394833923E-3</v>
      </c>
    </row>
    <row r="70" spans="1:7">
      <c r="A70" s="1"/>
      <c r="B70" s="24" t="s">
        <v>28</v>
      </c>
      <c r="C70" s="29" t="s">
        <v>1</v>
      </c>
      <c r="D70" s="29" t="s">
        <v>1</v>
      </c>
      <c r="E70" s="29" t="s">
        <v>1</v>
      </c>
      <c r="F70" s="21">
        <v>50182.780346500003</v>
      </c>
      <c r="G70" s="38">
        <v>0.96494917979737793</v>
      </c>
    </row>
    <row r="71" spans="1:7">
      <c r="A71" s="1"/>
      <c r="B71" s="24"/>
      <c r="C71" s="29"/>
      <c r="D71" s="29"/>
      <c r="E71" s="29"/>
      <c r="F71" s="21"/>
      <c r="G71" s="38"/>
    </row>
    <row r="72" spans="1:7">
      <c r="A72" s="1"/>
      <c r="B72" s="24" t="s">
        <v>188</v>
      </c>
      <c r="C72" s="29" t="s">
        <v>1</v>
      </c>
      <c r="D72" s="29" t="s">
        <v>1</v>
      </c>
      <c r="E72" s="21" t="s">
        <v>189</v>
      </c>
      <c r="F72" s="21" t="s">
        <v>189</v>
      </c>
      <c r="G72" s="38" t="s">
        <v>189</v>
      </c>
    </row>
    <row r="73" spans="1:7">
      <c r="A73" s="1"/>
      <c r="B73" s="24" t="s">
        <v>28</v>
      </c>
      <c r="C73" s="29" t="s">
        <v>1</v>
      </c>
      <c r="D73" s="29" t="s">
        <v>1</v>
      </c>
      <c r="E73" s="21" t="s">
        <v>189</v>
      </c>
      <c r="F73" s="21" t="s">
        <v>189</v>
      </c>
      <c r="G73" s="38" t="s">
        <v>189</v>
      </c>
    </row>
    <row r="74" spans="1:7">
      <c r="A74" s="1"/>
      <c r="B74" s="24" t="s">
        <v>29</v>
      </c>
      <c r="C74" s="29" t="s">
        <v>1</v>
      </c>
      <c r="D74" s="29" t="s">
        <v>1</v>
      </c>
      <c r="E74" s="29" t="s">
        <v>1</v>
      </c>
      <c r="F74" s="21">
        <v>50182.780346500003</v>
      </c>
      <c r="G74" s="38">
        <v>0.96494917979737793</v>
      </c>
    </row>
    <row r="75" spans="1:7">
      <c r="A75" s="1"/>
      <c r="B75" s="24"/>
      <c r="C75" s="29"/>
      <c r="D75" s="29"/>
      <c r="E75" s="29"/>
      <c r="F75" s="21"/>
      <c r="G75" s="38"/>
    </row>
    <row r="76" spans="1:7">
      <c r="A76" s="1"/>
      <c r="B76" s="64" t="s">
        <v>367</v>
      </c>
      <c r="C76" s="28"/>
      <c r="D76" s="29"/>
      <c r="E76" s="29"/>
      <c r="F76" s="21"/>
      <c r="G76" s="38"/>
    </row>
    <row r="77" spans="1:7">
      <c r="A77" s="3"/>
      <c r="B77" s="63" t="s">
        <v>371</v>
      </c>
      <c r="C77" s="28"/>
      <c r="D77" s="29"/>
      <c r="E77" s="21" t="s">
        <v>189</v>
      </c>
      <c r="F77" s="21" t="s">
        <v>189</v>
      </c>
      <c r="G77" s="39" t="s">
        <v>189</v>
      </c>
    </row>
    <row r="78" spans="1:7">
      <c r="A78" s="1"/>
      <c r="B78" s="63" t="s">
        <v>369</v>
      </c>
      <c r="C78" s="28"/>
      <c r="D78" s="29"/>
      <c r="E78" s="21" t="s">
        <v>189</v>
      </c>
      <c r="F78" s="21" t="s">
        <v>189</v>
      </c>
      <c r="G78" s="39" t="s">
        <v>189</v>
      </c>
    </row>
    <row r="79" spans="1:7">
      <c r="A79" s="1"/>
      <c r="B79" s="63" t="s">
        <v>370</v>
      </c>
      <c r="C79" s="28"/>
      <c r="D79" s="29"/>
      <c r="E79" s="21" t="s">
        <v>189</v>
      </c>
      <c r="F79" s="21" t="s">
        <v>189</v>
      </c>
      <c r="G79" s="39" t="s">
        <v>189</v>
      </c>
    </row>
    <row r="80" spans="1:7">
      <c r="A80" s="1"/>
      <c r="B80" s="24"/>
      <c r="C80" s="28"/>
      <c r="D80" s="29"/>
      <c r="E80" s="29"/>
      <c r="F80" s="21"/>
      <c r="G80" s="38"/>
    </row>
    <row r="81" spans="1:7">
      <c r="A81" s="1"/>
      <c r="B81" s="65" t="s">
        <v>9</v>
      </c>
      <c r="C81" s="28"/>
      <c r="D81" s="29"/>
      <c r="E81" s="29"/>
      <c r="F81" s="21"/>
      <c r="G81" s="38"/>
    </row>
    <row r="82" spans="1:7">
      <c r="A82" s="1"/>
      <c r="B82" s="65"/>
      <c r="C82" s="28"/>
      <c r="D82" s="29"/>
      <c r="E82" s="29"/>
      <c r="F82" s="21"/>
      <c r="G82" s="38"/>
    </row>
    <row r="83" spans="1:7">
      <c r="A83" s="1"/>
      <c r="B83" s="65" t="s">
        <v>384</v>
      </c>
      <c r="C83" s="28"/>
      <c r="D83" s="29"/>
      <c r="E83" s="29"/>
      <c r="F83" s="21"/>
      <c r="G83" s="38"/>
    </row>
    <row r="84" spans="1:7">
      <c r="A84" s="1"/>
      <c r="B84" s="24" t="s">
        <v>30</v>
      </c>
      <c r="C84" s="29" t="s">
        <v>1</v>
      </c>
      <c r="D84" s="29" t="s">
        <v>1</v>
      </c>
      <c r="E84" s="29" t="s">
        <v>1</v>
      </c>
      <c r="F84" s="30" t="s">
        <v>1</v>
      </c>
      <c r="G84" s="35" t="s">
        <v>1</v>
      </c>
    </row>
    <row r="85" spans="1:7">
      <c r="A85" s="3"/>
      <c r="B85" s="36" t="s">
        <v>31</v>
      </c>
      <c r="C85" s="29" t="s">
        <v>1</v>
      </c>
      <c r="D85" s="29" t="s">
        <v>32</v>
      </c>
      <c r="E85" s="31"/>
      <c r="F85" s="32">
        <v>1446.0352</v>
      </c>
      <c r="G85" s="37">
        <v>2.780536412218651E-2</v>
      </c>
    </row>
    <row r="86" spans="1:7">
      <c r="A86" s="1"/>
      <c r="B86" s="24" t="s">
        <v>28</v>
      </c>
      <c r="C86" s="29" t="s">
        <v>1</v>
      </c>
      <c r="D86" s="29" t="s">
        <v>1</v>
      </c>
      <c r="E86" s="29" t="s">
        <v>1</v>
      </c>
      <c r="F86" s="21">
        <v>1446.0352</v>
      </c>
      <c r="G86" s="38">
        <v>2.780536412218651E-2</v>
      </c>
    </row>
    <row r="87" spans="1:7">
      <c r="A87" s="1"/>
      <c r="B87" s="24"/>
      <c r="C87" s="29"/>
      <c r="D87" s="29"/>
      <c r="E87" s="29"/>
      <c r="F87" s="21"/>
      <c r="G87" s="38"/>
    </row>
    <row r="88" spans="1:7">
      <c r="A88" s="1"/>
      <c r="B88" s="24" t="s">
        <v>33</v>
      </c>
      <c r="C88" s="29" t="s">
        <v>1</v>
      </c>
      <c r="D88" s="29" t="s">
        <v>1</v>
      </c>
      <c r="E88" s="29" t="s">
        <v>1</v>
      </c>
      <c r="F88" s="33">
        <v>376.80443551550002</v>
      </c>
      <c r="G88" s="40">
        <v>7.245456080435534E-3</v>
      </c>
    </row>
    <row r="89" spans="1:7">
      <c r="A89" s="1"/>
      <c r="B89" s="65" t="s">
        <v>28</v>
      </c>
      <c r="C89" s="29"/>
      <c r="D89" s="29"/>
      <c r="E89" s="29"/>
      <c r="F89" s="21">
        <v>376.80443551550002</v>
      </c>
      <c r="G89" s="38">
        <v>7.245456080435534E-3</v>
      </c>
    </row>
    <row r="90" spans="1:7">
      <c r="A90" s="1"/>
      <c r="B90" s="65" t="s">
        <v>29</v>
      </c>
      <c r="C90" s="29"/>
      <c r="D90" s="29"/>
      <c r="E90" s="29"/>
      <c r="F90" s="21">
        <f>F86+F89</f>
        <v>1822.8396355155</v>
      </c>
      <c r="G90" s="42">
        <f>G86+G89</f>
        <v>3.5050820202622041E-2</v>
      </c>
    </row>
    <row r="91" spans="1:7" ht="13.5" thickBot="1">
      <c r="A91" s="1"/>
      <c r="B91" s="56"/>
      <c r="C91" s="57"/>
      <c r="D91" s="57"/>
      <c r="E91" s="57"/>
      <c r="F91" s="58"/>
      <c r="G91" s="59"/>
    </row>
    <row r="92" spans="1:7" ht="14.25" thickTop="1" thickBot="1">
      <c r="A92" s="1"/>
      <c r="B92" s="52" t="s">
        <v>34</v>
      </c>
      <c r="C92" s="53" t="s">
        <v>1</v>
      </c>
      <c r="D92" s="53" t="s">
        <v>1</v>
      </c>
      <c r="E92" s="53" t="s">
        <v>1</v>
      </c>
      <c r="F92" s="54">
        <v>52005.619982015502</v>
      </c>
      <c r="G92" s="55">
        <v>1</v>
      </c>
    </row>
    <row r="93" spans="1:7">
      <c r="A93" s="1"/>
      <c r="B93" s="62" t="s">
        <v>1</v>
      </c>
      <c r="C93" s="9"/>
      <c r="D93" s="9"/>
      <c r="E93" s="9"/>
      <c r="F93" s="11"/>
      <c r="G93" s="12"/>
    </row>
    <row r="94" spans="1:7">
      <c r="A94" s="1"/>
      <c r="B94" s="23" t="s">
        <v>372</v>
      </c>
      <c r="C94" s="9"/>
      <c r="D94" s="9"/>
      <c r="E94" s="9"/>
      <c r="F94" s="11"/>
      <c r="G94" s="12"/>
    </row>
    <row r="95" spans="1:7" ht="13.5" thickBot="1">
      <c r="A95" s="1"/>
      <c r="B95" s="23" t="s">
        <v>1</v>
      </c>
      <c r="C95" s="9"/>
      <c r="D95" s="9"/>
      <c r="E95" s="9"/>
      <c r="F95" s="11"/>
      <c r="G95" s="12"/>
    </row>
    <row r="96" spans="1:7" ht="13.5" thickBot="1">
      <c r="A96" s="1"/>
      <c r="B96" s="68" t="s">
        <v>381</v>
      </c>
      <c r="C96" s="69">
        <v>0.66410000000000002</v>
      </c>
      <c r="D96" s="9"/>
      <c r="E96" s="9"/>
      <c r="F96" s="11"/>
      <c r="G96" s="12"/>
    </row>
    <row r="97" spans="2:7">
      <c r="B97" s="70" t="s">
        <v>382</v>
      </c>
      <c r="C97" s="70"/>
      <c r="D97" s="13"/>
      <c r="E97" s="13"/>
      <c r="F97" s="17"/>
      <c r="G97" s="18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showGridLines="0" zoomScaleNormal="100" workbookViewId="0">
      <selection activeCell="C44" sqref="C44"/>
    </sheetView>
  </sheetViews>
  <sheetFormatPr defaultRowHeight="12.75"/>
  <cols>
    <col min="1" max="1" width="12.42578125" style="13" bestFit="1" customWidth="1"/>
    <col min="2" max="2" width="53" style="13" customWidth="1"/>
    <col min="3" max="3" width="15.7109375" style="13" customWidth="1"/>
    <col min="4" max="4" width="32.7109375" style="13" customWidth="1"/>
    <col min="5" max="5" width="16.28515625" style="13" customWidth="1"/>
    <col min="6" max="6" width="19.28515625" style="17" customWidth="1"/>
    <col min="7" max="7" width="16.28515625" style="18" customWidth="1"/>
    <col min="8" max="16384" width="9.140625" style="13"/>
  </cols>
  <sheetData>
    <row r="1" spans="1:7" ht="18.75">
      <c r="A1" s="9"/>
      <c r="B1" s="107" t="s">
        <v>203</v>
      </c>
      <c r="C1" s="108"/>
      <c r="D1" s="108"/>
      <c r="E1" s="108"/>
      <c r="F1" s="108"/>
      <c r="G1" s="109"/>
    </row>
    <row r="2" spans="1:7" ht="13.5" thickBot="1">
      <c r="A2" s="9"/>
      <c r="B2" s="110" t="s">
        <v>380</v>
      </c>
      <c r="C2" s="111"/>
      <c r="D2" s="111"/>
      <c r="E2" s="111"/>
      <c r="F2" s="111"/>
      <c r="G2" s="112"/>
    </row>
    <row r="3" spans="1:7">
      <c r="A3" s="9"/>
      <c r="B3" s="14" t="s">
        <v>1</v>
      </c>
      <c r="C3" s="9"/>
      <c r="D3" s="9"/>
      <c r="E3" s="9"/>
      <c r="F3" s="11"/>
      <c r="G3" s="12"/>
    </row>
    <row r="4" spans="1:7" ht="13.5" thickBot="1">
      <c r="A4" s="15"/>
      <c r="B4" s="10" t="s">
        <v>2</v>
      </c>
      <c r="C4" s="9"/>
      <c r="D4" s="9"/>
      <c r="E4" s="9"/>
      <c r="F4" s="11"/>
      <c r="G4" s="12"/>
    </row>
    <row r="5" spans="1:7" ht="26.25" thickBot="1">
      <c r="A5" s="9"/>
      <c r="B5" s="47" t="s">
        <v>3</v>
      </c>
      <c r="C5" s="48" t="s">
        <v>4</v>
      </c>
      <c r="D5" s="49" t="s">
        <v>38</v>
      </c>
      <c r="E5" s="49" t="s">
        <v>6</v>
      </c>
      <c r="F5" s="50" t="s">
        <v>7</v>
      </c>
      <c r="G5" s="51" t="s">
        <v>8</v>
      </c>
    </row>
    <row r="6" spans="1:7">
      <c r="A6" s="9"/>
      <c r="B6" s="79" t="s">
        <v>39</v>
      </c>
      <c r="C6" s="80"/>
      <c r="D6" s="81"/>
      <c r="E6" s="81"/>
      <c r="F6" s="82"/>
      <c r="G6" s="83"/>
    </row>
    <row r="7" spans="1:7">
      <c r="A7" s="9"/>
      <c r="B7" s="76" t="s">
        <v>40</v>
      </c>
      <c r="C7" s="25"/>
      <c r="D7" s="26"/>
      <c r="E7" s="26"/>
      <c r="F7" s="27"/>
      <c r="G7" s="77"/>
    </row>
    <row r="8" spans="1:7">
      <c r="A8" s="9"/>
      <c r="B8" s="76" t="s">
        <v>376</v>
      </c>
      <c r="C8" s="25"/>
      <c r="D8" s="26"/>
      <c r="E8" s="26"/>
      <c r="F8" s="27"/>
      <c r="G8" s="77"/>
    </row>
    <row r="9" spans="1:7">
      <c r="A9" s="16"/>
      <c r="B9" s="36" t="s">
        <v>47</v>
      </c>
      <c r="C9" s="29" t="s">
        <v>48</v>
      </c>
      <c r="D9" s="29" t="s">
        <v>49</v>
      </c>
      <c r="E9" s="31">
        <v>14450</v>
      </c>
      <c r="F9" s="32">
        <v>207.147975</v>
      </c>
      <c r="G9" s="37">
        <v>8.7511541721168318E-2</v>
      </c>
    </row>
    <row r="10" spans="1:7">
      <c r="A10" s="16"/>
      <c r="B10" s="36" t="s">
        <v>204</v>
      </c>
      <c r="C10" s="29" t="s">
        <v>205</v>
      </c>
      <c r="D10" s="29" t="s">
        <v>100</v>
      </c>
      <c r="E10" s="31">
        <v>29550</v>
      </c>
      <c r="F10" s="32">
        <v>101.97705000000001</v>
      </c>
      <c r="G10" s="37">
        <v>4.3081130122931049E-2</v>
      </c>
    </row>
    <row r="11" spans="1:7">
      <c r="A11" s="16"/>
      <c r="B11" s="36" t="s">
        <v>206</v>
      </c>
      <c r="C11" s="29" t="s">
        <v>207</v>
      </c>
      <c r="D11" s="29" t="s">
        <v>49</v>
      </c>
      <c r="E11" s="31">
        <v>11000</v>
      </c>
      <c r="F11" s="32">
        <v>95.991500000000002</v>
      </c>
      <c r="G11" s="37">
        <v>4.0552480211923522E-2</v>
      </c>
    </row>
    <row r="12" spans="1:7">
      <c r="A12" s="16"/>
      <c r="B12" s="36" t="s">
        <v>62</v>
      </c>
      <c r="C12" s="29" t="s">
        <v>63</v>
      </c>
      <c r="D12" s="29" t="s">
        <v>64</v>
      </c>
      <c r="E12" s="31">
        <v>25809</v>
      </c>
      <c r="F12" s="32">
        <v>92.060703000000004</v>
      </c>
      <c r="G12" s="37">
        <v>3.8891879350809899E-2</v>
      </c>
    </row>
    <row r="13" spans="1:7">
      <c r="A13" s="16"/>
      <c r="B13" s="36" t="s">
        <v>211</v>
      </c>
      <c r="C13" s="29" t="s">
        <v>212</v>
      </c>
      <c r="D13" s="29" t="s">
        <v>121</v>
      </c>
      <c r="E13" s="31">
        <v>24000</v>
      </c>
      <c r="F13" s="32">
        <v>88.847999999999999</v>
      </c>
      <c r="G13" s="37">
        <v>3.7534643816056437E-2</v>
      </c>
    </row>
    <row r="14" spans="1:7">
      <c r="A14" s="16"/>
      <c r="B14" s="36" t="s">
        <v>213</v>
      </c>
      <c r="C14" s="29" t="s">
        <v>214</v>
      </c>
      <c r="D14" s="29" t="s">
        <v>215</v>
      </c>
      <c r="E14" s="31">
        <v>20078</v>
      </c>
      <c r="F14" s="32">
        <v>81.356055999999995</v>
      </c>
      <c r="G14" s="37">
        <v>3.4369604090571999E-2</v>
      </c>
    </row>
    <row r="15" spans="1:7">
      <c r="A15" s="16"/>
      <c r="B15" s="36" t="s">
        <v>65</v>
      </c>
      <c r="C15" s="29" t="s">
        <v>66</v>
      </c>
      <c r="D15" s="29" t="s">
        <v>49</v>
      </c>
      <c r="E15" s="31">
        <v>63000</v>
      </c>
      <c r="F15" s="32">
        <v>79.285499999999999</v>
      </c>
      <c r="G15" s="37">
        <v>3.349487891993002E-2</v>
      </c>
    </row>
    <row r="16" spans="1:7">
      <c r="A16" s="16"/>
      <c r="B16" s="36" t="s">
        <v>216</v>
      </c>
      <c r="C16" s="29" t="s">
        <v>217</v>
      </c>
      <c r="D16" s="29" t="s">
        <v>100</v>
      </c>
      <c r="E16" s="31">
        <v>2250</v>
      </c>
      <c r="F16" s="32">
        <v>68.914124999999999</v>
      </c>
      <c r="G16" s="37">
        <v>2.9113397440237148E-2</v>
      </c>
    </row>
    <row r="17" spans="1:7">
      <c r="A17" s="16"/>
      <c r="B17" s="36" t="s">
        <v>124</v>
      </c>
      <c r="C17" s="29" t="s">
        <v>125</v>
      </c>
      <c r="D17" s="29" t="s">
        <v>121</v>
      </c>
      <c r="E17" s="31">
        <v>3800</v>
      </c>
      <c r="F17" s="32">
        <v>66.216899999999995</v>
      </c>
      <c r="G17" s="37">
        <v>2.7973930264085036E-2</v>
      </c>
    </row>
    <row r="18" spans="1:7">
      <c r="A18" s="16"/>
      <c r="B18" s="36" t="s">
        <v>128</v>
      </c>
      <c r="C18" s="29" t="s">
        <v>129</v>
      </c>
      <c r="D18" s="29" t="s">
        <v>121</v>
      </c>
      <c r="E18" s="31">
        <v>4696</v>
      </c>
      <c r="F18" s="32">
        <v>65.370667999999995</v>
      </c>
      <c r="G18" s="37">
        <v>2.7616431876887251E-2</v>
      </c>
    </row>
    <row r="19" spans="1:7">
      <c r="A19" s="16"/>
      <c r="B19" s="36" t="s">
        <v>221</v>
      </c>
      <c r="C19" s="29" t="s">
        <v>222</v>
      </c>
      <c r="D19" s="29" t="s">
        <v>121</v>
      </c>
      <c r="E19" s="31">
        <v>1200</v>
      </c>
      <c r="F19" s="32">
        <v>64.53</v>
      </c>
      <c r="G19" s="37">
        <v>2.726128405197778E-2</v>
      </c>
    </row>
    <row r="20" spans="1:7">
      <c r="A20" s="16"/>
      <c r="B20" s="36" t="s">
        <v>223</v>
      </c>
      <c r="C20" s="29" t="s">
        <v>224</v>
      </c>
      <c r="D20" s="29" t="s">
        <v>43</v>
      </c>
      <c r="E20" s="31">
        <v>6000</v>
      </c>
      <c r="F20" s="32">
        <v>63.314999999999998</v>
      </c>
      <c r="G20" s="37">
        <v>2.6747996276940543E-2</v>
      </c>
    </row>
    <row r="21" spans="1:7">
      <c r="A21" s="16"/>
      <c r="B21" s="36" t="s">
        <v>76</v>
      </c>
      <c r="C21" s="29" t="s">
        <v>77</v>
      </c>
      <c r="D21" s="29" t="s">
        <v>61</v>
      </c>
      <c r="E21" s="31">
        <v>10185</v>
      </c>
      <c r="F21" s="32">
        <v>60.952132499999998</v>
      </c>
      <c r="G21" s="37">
        <v>2.57497814606584E-2</v>
      </c>
    </row>
    <row r="22" spans="1:7">
      <c r="A22" s="16"/>
      <c r="B22" s="36" t="s">
        <v>56</v>
      </c>
      <c r="C22" s="29" t="s">
        <v>57</v>
      </c>
      <c r="D22" s="29" t="s">
        <v>58</v>
      </c>
      <c r="E22" s="31">
        <v>10850</v>
      </c>
      <c r="F22" s="32">
        <v>60.374825000000001</v>
      </c>
      <c r="G22" s="37">
        <v>2.5505892668734688E-2</v>
      </c>
    </row>
    <row r="23" spans="1:7">
      <c r="A23" s="16"/>
      <c r="B23" s="36" t="s">
        <v>107</v>
      </c>
      <c r="C23" s="29" t="s">
        <v>108</v>
      </c>
      <c r="D23" s="29" t="s">
        <v>46</v>
      </c>
      <c r="E23" s="31">
        <v>7051</v>
      </c>
      <c r="F23" s="32">
        <v>59.996958999999997</v>
      </c>
      <c r="G23" s="37">
        <v>2.5346259748239033E-2</v>
      </c>
    </row>
    <row r="24" spans="1:7">
      <c r="A24" s="16"/>
      <c r="B24" s="36" t="s">
        <v>231</v>
      </c>
      <c r="C24" s="29" t="s">
        <v>232</v>
      </c>
      <c r="D24" s="29" t="s">
        <v>100</v>
      </c>
      <c r="E24" s="31">
        <v>2100</v>
      </c>
      <c r="F24" s="32">
        <v>59.630549999999999</v>
      </c>
      <c r="G24" s="37">
        <v>2.5191466941355396E-2</v>
      </c>
    </row>
    <row r="25" spans="1:7">
      <c r="A25" s="16"/>
      <c r="B25" s="36" t="s">
        <v>73</v>
      </c>
      <c r="C25" s="29" t="s">
        <v>74</v>
      </c>
      <c r="D25" s="29" t="s">
        <v>75</v>
      </c>
      <c r="E25" s="31">
        <v>22479</v>
      </c>
      <c r="F25" s="32">
        <v>57.647395500000002</v>
      </c>
      <c r="G25" s="37">
        <v>2.435366532747878E-2</v>
      </c>
    </row>
    <row r="26" spans="1:7">
      <c r="A26" s="16"/>
      <c r="B26" s="36" t="s">
        <v>117</v>
      </c>
      <c r="C26" s="29" t="s">
        <v>118</v>
      </c>
      <c r="D26" s="29" t="s">
        <v>52</v>
      </c>
      <c r="E26" s="31">
        <v>16500</v>
      </c>
      <c r="F26" s="32">
        <v>49.070999999999998</v>
      </c>
      <c r="G26" s="37">
        <v>2.0730489225392865E-2</v>
      </c>
    </row>
    <row r="27" spans="1:7">
      <c r="A27" s="16"/>
      <c r="B27" s="36" t="s">
        <v>238</v>
      </c>
      <c r="C27" s="29" t="s">
        <v>239</v>
      </c>
      <c r="D27" s="29" t="s">
        <v>49</v>
      </c>
      <c r="E27" s="31">
        <v>1995</v>
      </c>
      <c r="F27" s="32">
        <v>48.791715000000003</v>
      </c>
      <c r="G27" s="37">
        <v>2.0612502742881528E-2</v>
      </c>
    </row>
    <row r="28" spans="1:7">
      <c r="A28" s="16"/>
      <c r="B28" s="36" t="s">
        <v>50</v>
      </c>
      <c r="C28" s="29" t="s">
        <v>51</v>
      </c>
      <c r="D28" s="29" t="s">
        <v>52</v>
      </c>
      <c r="E28" s="31">
        <v>10100</v>
      </c>
      <c r="F28" s="32">
        <v>48.697150000000001</v>
      </c>
      <c r="G28" s="37">
        <v>2.0572552900538815E-2</v>
      </c>
    </row>
    <row r="29" spans="1:7">
      <c r="A29" s="16"/>
      <c r="B29" s="36" t="s">
        <v>133</v>
      </c>
      <c r="C29" s="29" t="s">
        <v>134</v>
      </c>
      <c r="D29" s="29" t="s">
        <v>64</v>
      </c>
      <c r="E29" s="31">
        <v>11850</v>
      </c>
      <c r="F29" s="32">
        <v>48.342075000000001</v>
      </c>
      <c r="G29" s="37">
        <v>2.0422548244801081E-2</v>
      </c>
    </row>
    <row r="30" spans="1:7">
      <c r="A30" s="16"/>
      <c r="B30" s="36" t="s">
        <v>119</v>
      </c>
      <c r="C30" s="29" t="s">
        <v>120</v>
      </c>
      <c r="D30" s="29" t="s">
        <v>121</v>
      </c>
      <c r="E30" s="31">
        <v>3101</v>
      </c>
      <c r="F30" s="32">
        <v>39.264862000000001</v>
      </c>
      <c r="G30" s="37">
        <v>1.6587797245369726E-2</v>
      </c>
    </row>
    <row r="31" spans="1:7">
      <c r="A31" s="16"/>
      <c r="B31" s="36" t="s">
        <v>246</v>
      </c>
      <c r="C31" s="29" t="s">
        <v>247</v>
      </c>
      <c r="D31" s="29" t="s">
        <v>121</v>
      </c>
      <c r="E31" s="31">
        <v>525</v>
      </c>
      <c r="F31" s="32">
        <v>31.3354125</v>
      </c>
      <c r="G31" s="37">
        <v>1.3237929351439566E-2</v>
      </c>
    </row>
    <row r="32" spans="1:7">
      <c r="A32" s="16"/>
      <c r="B32" s="36" t="s">
        <v>103</v>
      </c>
      <c r="C32" s="29" t="s">
        <v>104</v>
      </c>
      <c r="D32" s="29" t="s">
        <v>58</v>
      </c>
      <c r="E32" s="31">
        <v>42624</v>
      </c>
      <c r="F32" s="32">
        <v>31.11552</v>
      </c>
      <c r="G32" s="37">
        <v>1.3145033769486994E-2</v>
      </c>
    </row>
    <row r="33" spans="1:7">
      <c r="A33" s="16"/>
      <c r="B33" s="36" t="s">
        <v>67</v>
      </c>
      <c r="C33" s="29" t="s">
        <v>68</v>
      </c>
      <c r="D33" s="29" t="s">
        <v>55</v>
      </c>
      <c r="E33" s="31">
        <v>3850</v>
      </c>
      <c r="F33" s="32">
        <v>30.490075000000001</v>
      </c>
      <c r="G33" s="37">
        <v>1.2880808853883565E-2</v>
      </c>
    </row>
    <row r="34" spans="1:7">
      <c r="A34" s="16"/>
      <c r="B34" s="36" t="s">
        <v>143</v>
      </c>
      <c r="C34" s="29" t="s">
        <v>144</v>
      </c>
      <c r="D34" s="29" t="s">
        <v>52</v>
      </c>
      <c r="E34" s="31">
        <v>19500</v>
      </c>
      <c r="F34" s="32">
        <v>30.244499999999999</v>
      </c>
      <c r="G34" s="37">
        <v>1.2777063466760297E-2</v>
      </c>
    </row>
    <row r="35" spans="1:7">
      <c r="A35" s="16"/>
      <c r="B35" s="36" t="s">
        <v>113</v>
      </c>
      <c r="C35" s="29" t="s">
        <v>114</v>
      </c>
      <c r="D35" s="29" t="s">
        <v>80</v>
      </c>
      <c r="E35" s="31">
        <v>7000</v>
      </c>
      <c r="F35" s="32">
        <v>27.797000000000001</v>
      </c>
      <c r="G35" s="37">
        <v>1.1743094882888987E-2</v>
      </c>
    </row>
    <row r="36" spans="1:7">
      <c r="A36" s="16"/>
      <c r="B36" s="36" t="s">
        <v>147</v>
      </c>
      <c r="C36" s="29" t="s">
        <v>148</v>
      </c>
      <c r="D36" s="29" t="s">
        <v>149</v>
      </c>
      <c r="E36" s="31">
        <v>8000</v>
      </c>
      <c r="F36" s="32">
        <v>27.052</v>
      </c>
      <c r="G36" s="37">
        <v>1.1428362872680968E-2</v>
      </c>
    </row>
    <row r="37" spans="1:7">
      <c r="A37" s="16"/>
      <c r="B37" s="36" t="s">
        <v>250</v>
      </c>
      <c r="C37" s="29" t="s">
        <v>251</v>
      </c>
      <c r="D37" s="29" t="s">
        <v>121</v>
      </c>
      <c r="E37" s="31">
        <v>1053</v>
      </c>
      <c r="F37" s="32">
        <v>25.301483999999999</v>
      </c>
      <c r="G37" s="37">
        <v>1.0688841504115466E-2</v>
      </c>
    </row>
    <row r="38" spans="1:7">
      <c r="A38" s="16"/>
      <c r="B38" s="36" t="s">
        <v>158</v>
      </c>
      <c r="C38" s="29" t="s">
        <v>159</v>
      </c>
      <c r="D38" s="29" t="s">
        <v>121</v>
      </c>
      <c r="E38" s="31">
        <v>639</v>
      </c>
      <c r="F38" s="32">
        <v>18.1543095</v>
      </c>
      <c r="G38" s="37">
        <v>7.6694527823805781E-3</v>
      </c>
    </row>
    <row r="39" spans="1:7">
      <c r="A39" s="16"/>
      <c r="B39" s="36" t="s">
        <v>181</v>
      </c>
      <c r="C39" s="29" t="s">
        <v>182</v>
      </c>
      <c r="D39" s="29" t="s">
        <v>64</v>
      </c>
      <c r="E39" s="31">
        <v>6542</v>
      </c>
      <c r="F39" s="32">
        <v>7.1438639999999998</v>
      </c>
      <c r="G39" s="37">
        <v>3.0179901709700635E-3</v>
      </c>
    </row>
    <row r="40" spans="1:7">
      <c r="A40" s="16"/>
      <c r="B40" s="36"/>
      <c r="C40" s="29"/>
      <c r="D40" s="29"/>
      <c r="E40" s="31"/>
      <c r="F40" s="34">
        <f>SUM(F9:F39)</f>
        <v>1836.4163060000001</v>
      </c>
      <c r="G40" s="41">
        <f>SUM(G9:G39)</f>
        <v>0.77581073230357556</v>
      </c>
    </row>
    <row r="41" spans="1:7">
      <c r="A41" s="16"/>
      <c r="B41" s="78" t="s">
        <v>373</v>
      </c>
      <c r="C41" s="29"/>
      <c r="D41" s="29"/>
      <c r="E41" s="31"/>
      <c r="F41" s="32"/>
      <c r="G41" s="37"/>
    </row>
    <row r="42" spans="1:7">
      <c r="A42" s="16"/>
      <c r="B42" s="78" t="s">
        <v>374</v>
      </c>
      <c r="C42" s="29"/>
      <c r="D42" s="29"/>
      <c r="E42" s="31"/>
      <c r="F42" s="32"/>
      <c r="G42" s="37"/>
    </row>
    <row r="43" spans="1:7">
      <c r="A43" s="16"/>
      <c r="B43" s="36" t="s">
        <v>228</v>
      </c>
      <c r="C43" s="29" t="s">
        <v>229</v>
      </c>
      <c r="D43" s="29" t="s">
        <v>230</v>
      </c>
      <c r="E43" s="31">
        <v>500</v>
      </c>
      <c r="F43" s="32">
        <v>60.368907299999996</v>
      </c>
      <c r="G43" s="37">
        <v>2.550339268267186E-2</v>
      </c>
    </row>
    <row r="44" spans="1:7">
      <c r="A44" s="16"/>
      <c r="B44" s="72" t="s">
        <v>28</v>
      </c>
      <c r="C44" s="29"/>
      <c r="D44" s="29"/>
      <c r="E44" s="31"/>
      <c r="F44" s="34">
        <f>SUM(F43)</f>
        <v>60.368907299999996</v>
      </c>
      <c r="G44" s="41">
        <f>SUM(G43)</f>
        <v>2.550339268267186E-2</v>
      </c>
    </row>
    <row r="45" spans="1:7">
      <c r="A45" s="16"/>
      <c r="B45" s="36"/>
      <c r="C45" s="29"/>
      <c r="D45" s="29"/>
      <c r="E45" s="31"/>
      <c r="F45" s="34"/>
      <c r="G45" s="41"/>
    </row>
    <row r="46" spans="1:7">
      <c r="A46" s="16"/>
      <c r="B46" s="78" t="s">
        <v>375</v>
      </c>
      <c r="C46" s="29"/>
      <c r="D46" s="29"/>
      <c r="E46" s="31"/>
      <c r="F46" s="32"/>
      <c r="G46" s="37"/>
    </row>
    <row r="47" spans="1:7">
      <c r="A47" s="16"/>
      <c r="B47" s="36" t="s">
        <v>208</v>
      </c>
      <c r="C47" s="29" t="s">
        <v>209</v>
      </c>
      <c r="D47" s="29" t="s">
        <v>210</v>
      </c>
      <c r="E47" s="31">
        <v>10000</v>
      </c>
      <c r="F47" s="32">
        <v>91.836359999999999</v>
      </c>
      <c r="G47" s="37">
        <v>3.879710361474803E-2</v>
      </c>
    </row>
    <row r="48" spans="1:7">
      <c r="A48" s="16"/>
      <c r="B48" s="36" t="s">
        <v>218</v>
      </c>
      <c r="C48" s="29" t="s">
        <v>219</v>
      </c>
      <c r="D48" s="29" t="s">
        <v>220</v>
      </c>
      <c r="E48" s="31">
        <v>72000</v>
      </c>
      <c r="F48" s="32">
        <v>66.179427799999999</v>
      </c>
      <c r="G48" s="37">
        <v>2.7958099793168371E-2</v>
      </c>
    </row>
    <row r="49" spans="1:7">
      <c r="A49" s="16"/>
      <c r="B49" s="36" t="s">
        <v>225</v>
      </c>
      <c r="C49" s="29" t="s">
        <v>226</v>
      </c>
      <c r="D49" s="29" t="s">
        <v>227</v>
      </c>
      <c r="E49" s="31">
        <v>19000</v>
      </c>
      <c r="F49" s="32">
        <v>60.655729200000003</v>
      </c>
      <c r="G49" s="37">
        <v>2.5624563196978815E-2</v>
      </c>
    </row>
    <row r="50" spans="1:7">
      <c r="A50" s="16"/>
      <c r="B50" s="36" t="s">
        <v>233</v>
      </c>
      <c r="C50" s="29" t="s">
        <v>234</v>
      </c>
      <c r="D50" s="29" t="s">
        <v>235</v>
      </c>
      <c r="E50" s="31">
        <v>16000</v>
      </c>
      <c r="F50" s="32">
        <v>51.523775999999998</v>
      </c>
      <c r="G50" s="37">
        <v>2.1766686703339151E-2</v>
      </c>
    </row>
    <row r="51" spans="1:7">
      <c r="A51" s="16"/>
      <c r="B51" s="36" t="s">
        <v>236</v>
      </c>
      <c r="C51" s="29" t="s">
        <v>237</v>
      </c>
      <c r="D51" s="29" t="s">
        <v>55</v>
      </c>
      <c r="E51" s="31">
        <v>110000</v>
      </c>
      <c r="F51" s="32">
        <v>50.903582399999998</v>
      </c>
      <c r="G51" s="37">
        <v>2.1504680289317478E-2</v>
      </c>
    </row>
    <row r="52" spans="1:7">
      <c r="A52" s="16"/>
      <c r="B52" s="36" t="s">
        <v>240</v>
      </c>
      <c r="C52" s="29" t="s">
        <v>241</v>
      </c>
      <c r="D52" s="29" t="s">
        <v>242</v>
      </c>
      <c r="E52" s="31">
        <v>42000</v>
      </c>
      <c r="F52" s="32">
        <v>45.2836742</v>
      </c>
      <c r="G52" s="37">
        <v>1.9130499074591936E-2</v>
      </c>
    </row>
    <row r="53" spans="1:7" ht="13.5" customHeight="1">
      <c r="A53" s="16"/>
      <c r="B53" s="36" t="s">
        <v>243</v>
      </c>
      <c r="C53" s="29" t="s">
        <v>244</v>
      </c>
      <c r="D53" s="29" t="s">
        <v>245</v>
      </c>
      <c r="E53" s="31">
        <v>22500</v>
      </c>
      <c r="F53" s="32">
        <v>44.725499999999997</v>
      </c>
      <c r="G53" s="37">
        <v>1.8894693318870791E-2</v>
      </c>
    </row>
    <row r="54" spans="1:7">
      <c r="A54" s="16"/>
      <c r="B54" s="36" t="s">
        <v>248</v>
      </c>
      <c r="C54" s="29" t="s">
        <v>249</v>
      </c>
      <c r="D54" s="29" t="s">
        <v>235</v>
      </c>
      <c r="E54" s="31">
        <v>20000</v>
      </c>
      <c r="F54" s="32">
        <v>28.560710400000001</v>
      </c>
      <c r="G54" s="37">
        <v>1.2065731271357134E-2</v>
      </c>
    </row>
    <row r="55" spans="1:7">
      <c r="A55" s="9"/>
      <c r="B55" s="24" t="s">
        <v>28</v>
      </c>
      <c r="C55" s="29" t="s">
        <v>1</v>
      </c>
      <c r="D55" s="29" t="s">
        <v>1</v>
      </c>
      <c r="E55" s="29" t="s">
        <v>1</v>
      </c>
      <c r="F55" s="21">
        <f>SUM(F47:F54)</f>
        <v>439.66876000000002</v>
      </c>
      <c r="G55" s="38">
        <f>SUM(G47:G54)</f>
        <v>0.1857420572623717</v>
      </c>
    </row>
    <row r="56" spans="1:7">
      <c r="A56" s="9"/>
      <c r="B56" s="24"/>
      <c r="C56" s="29"/>
      <c r="D56" s="29"/>
      <c r="E56" s="29"/>
      <c r="F56" s="21"/>
      <c r="G56" s="38"/>
    </row>
    <row r="57" spans="1:7">
      <c r="A57" s="9"/>
      <c r="B57" s="24" t="s">
        <v>188</v>
      </c>
      <c r="C57" s="29" t="s">
        <v>1</v>
      </c>
      <c r="D57" s="29" t="s">
        <v>1</v>
      </c>
      <c r="E57" s="21" t="s">
        <v>189</v>
      </c>
      <c r="F57" s="21" t="s">
        <v>189</v>
      </c>
      <c r="G57" s="38" t="s">
        <v>189</v>
      </c>
    </row>
    <row r="58" spans="1:7">
      <c r="A58" s="9"/>
      <c r="B58" s="24" t="s">
        <v>28</v>
      </c>
      <c r="C58" s="29" t="s">
        <v>1</v>
      </c>
      <c r="D58" s="29" t="s">
        <v>1</v>
      </c>
      <c r="E58" s="21" t="s">
        <v>189</v>
      </c>
      <c r="F58" s="21" t="s">
        <v>189</v>
      </c>
      <c r="G58" s="38" t="s">
        <v>189</v>
      </c>
    </row>
    <row r="59" spans="1:7">
      <c r="A59" s="9"/>
      <c r="B59" s="24" t="s">
        <v>29</v>
      </c>
      <c r="C59" s="29" t="s">
        <v>1</v>
      </c>
      <c r="D59" s="29" t="s">
        <v>1</v>
      </c>
      <c r="E59" s="29" t="s">
        <v>1</v>
      </c>
      <c r="F59" s="21">
        <v>2336.4539733000001</v>
      </c>
      <c r="G59" s="38">
        <v>0.98705618224861935</v>
      </c>
    </row>
    <row r="60" spans="1:7">
      <c r="A60" s="9"/>
      <c r="B60" s="64"/>
      <c r="C60" s="29"/>
      <c r="D60" s="29"/>
      <c r="E60" s="29"/>
      <c r="F60" s="74"/>
      <c r="G60" s="38"/>
    </row>
    <row r="61" spans="1:7">
      <c r="A61" s="9"/>
      <c r="B61" s="64" t="s">
        <v>367</v>
      </c>
      <c r="C61" s="29"/>
      <c r="D61" s="29"/>
      <c r="E61" s="29"/>
      <c r="F61" s="74"/>
      <c r="G61" s="38"/>
    </row>
    <row r="62" spans="1:7">
      <c r="A62" s="16"/>
      <c r="B62" s="63" t="s">
        <v>371</v>
      </c>
      <c r="C62" s="29"/>
      <c r="D62" s="29"/>
      <c r="E62" s="21" t="s">
        <v>189</v>
      </c>
      <c r="F62" s="21" t="s">
        <v>189</v>
      </c>
      <c r="G62" s="39" t="s">
        <v>189</v>
      </c>
    </row>
    <row r="63" spans="1:7">
      <c r="A63" s="9"/>
      <c r="B63" s="63" t="s">
        <v>369</v>
      </c>
      <c r="C63" s="29"/>
      <c r="D63" s="29"/>
      <c r="E63" s="21" t="s">
        <v>189</v>
      </c>
      <c r="F63" s="21" t="s">
        <v>189</v>
      </c>
      <c r="G63" s="39" t="s">
        <v>189</v>
      </c>
    </row>
    <row r="64" spans="1:7">
      <c r="A64" s="9"/>
      <c r="B64" s="63" t="s">
        <v>370</v>
      </c>
      <c r="C64" s="29"/>
      <c r="D64" s="29"/>
      <c r="E64" s="21" t="s">
        <v>189</v>
      </c>
      <c r="F64" s="21" t="s">
        <v>189</v>
      </c>
      <c r="G64" s="39" t="s">
        <v>189</v>
      </c>
    </row>
    <row r="65" spans="1:7">
      <c r="A65" s="9"/>
      <c r="B65" s="63"/>
      <c r="C65" s="29"/>
      <c r="D65" s="29"/>
      <c r="E65" s="29"/>
      <c r="F65" s="75"/>
      <c r="G65" s="40"/>
    </row>
    <row r="66" spans="1:7">
      <c r="A66" s="9"/>
      <c r="B66" s="73" t="s">
        <v>9</v>
      </c>
      <c r="C66" s="29"/>
      <c r="D66" s="29"/>
      <c r="E66" s="29"/>
      <c r="F66" s="75"/>
      <c r="G66" s="40"/>
    </row>
    <row r="67" spans="1:7">
      <c r="A67" s="9"/>
      <c r="B67" s="63"/>
      <c r="C67" s="29"/>
      <c r="D67" s="29"/>
      <c r="E67" s="29"/>
      <c r="F67" s="75"/>
      <c r="G67" s="40"/>
    </row>
    <row r="68" spans="1:7">
      <c r="A68" s="9"/>
      <c r="B68" s="24" t="s">
        <v>30</v>
      </c>
      <c r="C68" s="29" t="s">
        <v>1</v>
      </c>
      <c r="D68" s="29" t="s">
        <v>1</v>
      </c>
      <c r="E68" s="29" t="s">
        <v>1</v>
      </c>
      <c r="F68" s="30" t="s">
        <v>1</v>
      </c>
      <c r="G68" s="35" t="s">
        <v>1</v>
      </c>
    </row>
    <row r="69" spans="1:7">
      <c r="A69" s="16"/>
      <c r="B69" s="36" t="s">
        <v>31</v>
      </c>
      <c r="C69" s="29" t="s">
        <v>1</v>
      </c>
      <c r="D69" s="29" t="s">
        <v>32</v>
      </c>
      <c r="E69" s="31"/>
      <c r="F69" s="32">
        <v>27.416399999999999</v>
      </c>
      <c r="G69" s="37">
        <v>1.158230695928473E-2</v>
      </c>
    </row>
    <row r="70" spans="1:7">
      <c r="A70" s="9"/>
      <c r="B70" s="24" t="s">
        <v>28</v>
      </c>
      <c r="C70" s="29" t="s">
        <v>1</v>
      </c>
      <c r="D70" s="29" t="s">
        <v>1</v>
      </c>
      <c r="E70" s="29" t="s">
        <v>1</v>
      </c>
      <c r="F70" s="21">
        <v>27.416399999999999</v>
      </c>
      <c r="G70" s="38">
        <v>1.158230695928473E-2</v>
      </c>
    </row>
    <row r="71" spans="1:7">
      <c r="A71" s="9"/>
      <c r="B71" s="24"/>
      <c r="C71" s="29"/>
      <c r="D71" s="29"/>
      <c r="E71" s="29"/>
      <c r="F71" s="21"/>
      <c r="G71" s="38"/>
    </row>
    <row r="72" spans="1:7">
      <c r="A72" s="9"/>
      <c r="B72" s="24" t="s">
        <v>33</v>
      </c>
      <c r="C72" s="29" t="s">
        <v>1</v>
      </c>
      <c r="D72" s="29" t="s">
        <v>1</v>
      </c>
      <c r="E72" s="29" t="s">
        <v>1</v>
      </c>
      <c r="F72" s="33">
        <v>3.2228229326000002</v>
      </c>
      <c r="G72" s="40">
        <v>1.3615107920958922E-3</v>
      </c>
    </row>
    <row r="73" spans="1:7">
      <c r="A73" s="9"/>
      <c r="B73" s="24" t="s">
        <v>28</v>
      </c>
      <c r="C73" s="29"/>
      <c r="D73" s="29"/>
      <c r="E73" s="29"/>
      <c r="F73" s="21">
        <v>3.2228229326000002</v>
      </c>
      <c r="G73" s="38">
        <v>1.3615107920958922E-3</v>
      </c>
    </row>
    <row r="74" spans="1:7">
      <c r="A74" s="9"/>
      <c r="B74" s="24" t="s">
        <v>29</v>
      </c>
      <c r="C74" s="29"/>
      <c r="D74" s="29"/>
      <c r="E74" s="29"/>
      <c r="F74" s="21">
        <f>F70+F73</f>
        <v>30.639222932599999</v>
      </c>
      <c r="G74" s="42">
        <f>G70+G73</f>
        <v>1.2943817751380622E-2</v>
      </c>
    </row>
    <row r="75" spans="1:7" ht="13.5" thickBot="1">
      <c r="A75" s="9"/>
      <c r="B75" s="56"/>
      <c r="C75" s="57"/>
      <c r="D75" s="57"/>
      <c r="E75" s="57"/>
      <c r="F75" s="58"/>
      <c r="G75" s="59"/>
    </row>
    <row r="76" spans="1:7" ht="14.25" thickTop="1" thickBot="1">
      <c r="A76" s="9"/>
      <c r="B76" s="52" t="s">
        <v>34</v>
      </c>
      <c r="C76" s="53" t="s">
        <v>1</v>
      </c>
      <c r="D76" s="53" t="s">
        <v>1</v>
      </c>
      <c r="E76" s="53" t="s">
        <v>1</v>
      </c>
      <c r="F76" s="54">
        <v>2367.0931962325999</v>
      </c>
      <c r="G76" s="55">
        <v>1</v>
      </c>
    </row>
    <row r="77" spans="1:7">
      <c r="A77" s="9"/>
      <c r="B77" s="15" t="s">
        <v>1</v>
      </c>
      <c r="C77" s="9"/>
      <c r="D77" s="9"/>
      <c r="E77" s="9"/>
      <c r="F77" s="11"/>
      <c r="G77" s="12"/>
    </row>
    <row r="78" spans="1:7">
      <c r="A78" s="9"/>
      <c r="B78" s="10" t="s">
        <v>372</v>
      </c>
      <c r="C78" s="9"/>
      <c r="D78" s="9"/>
      <c r="E78" s="9"/>
      <c r="F78" s="11"/>
      <c r="G78" s="12"/>
    </row>
    <row r="79" spans="1:7">
      <c r="A79" s="9"/>
      <c r="B79" s="71" t="s">
        <v>377</v>
      </c>
      <c r="C79" s="9"/>
      <c r="D79" s="9"/>
      <c r="E79" s="9"/>
      <c r="F79" s="11"/>
      <c r="G79" s="12"/>
    </row>
    <row r="80" spans="1:7" ht="13.5" thickBot="1">
      <c r="A80" s="9"/>
      <c r="B80" s="10" t="s">
        <v>1</v>
      </c>
      <c r="C80" s="9"/>
      <c r="D80" s="9"/>
      <c r="E80" s="9"/>
      <c r="F80" s="11"/>
      <c r="G80" s="12"/>
    </row>
    <row r="81" spans="2:3" ht="13.5" thickBot="1">
      <c r="B81" s="60" t="s">
        <v>381</v>
      </c>
      <c r="C81" s="61">
        <v>0.6855</v>
      </c>
    </row>
    <row r="82" spans="2:3">
      <c r="B82" s="62" t="s">
        <v>382</v>
      </c>
      <c r="C82" s="62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zoomScaleNormal="100" workbookViewId="0">
      <selection activeCell="B11" sqref="B11"/>
    </sheetView>
  </sheetViews>
  <sheetFormatPr defaultRowHeight="12.75"/>
  <cols>
    <col min="1" max="1" width="11.42578125" style="13" bestFit="1" customWidth="1"/>
    <col min="2" max="2" width="53.7109375" style="13" customWidth="1"/>
    <col min="3" max="3" width="15.140625" style="13" customWidth="1"/>
    <col min="4" max="5" width="19" style="13" customWidth="1"/>
    <col min="6" max="6" width="19" style="17" customWidth="1"/>
    <col min="7" max="7" width="19" style="18" customWidth="1"/>
    <col min="8" max="16384" width="9.140625" style="13"/>
  </cols>
  <sheetData>
    <row r="1" spans="1:7" ht="18.75">
      <c r="A1" s="9"/>
      <c r="B1" s="107" t="s">
        <v>252</v>
      </c>
      <c r="C1" s="108"/>
      <c r="D1" s="108"/>
      <c r="E1" s="108"/>
      <c r="F1" s="108"/>
      <c r="G1" s="109"/>
    </row>
    <row r="2" spans="1:7" ht="13.5" thickBot="1">
      <c r="A2" s="9"/>
      <c r="B2" s="110" t="s">
        <v>385</v>
      </c>
      <c r="C2" s="111"/>
      <c r="D2" s="111"/>
      <c r="E2" s="111"/>
      <c r="F2" s="111"/>
      <c r="G2" s="112"/>
    </row>
    <row r="3" spans="1:7">
      <c r="A3" s="9"/>
      <c r="B3" s="14" t="s">
        <v>1</v>
      </c>
      <c r="C3" s="9"/>
      <c r="D3" s="9"/>
      <c r="E3" s="9"/>
      <c r="F3" s="11"/>
      <c r="G3" s="12"/>
    </row>
    <row r="4" spans="1:7" ht="13.5" thickBot="1">
      <c r="A4" s="15"/>
      <c r="B4" s="10" t="s">
        <v>2</v>
      </c>
      <c r="C4" s="9"/>
      <c r="D4" s="9"/>
      <c r="E4" s="9"/>
      <c r="F4" s="11"/>
      <c r="G4" s="12"/>
    </row>
    <row r="5" spans="1:7" ht="26.25" thickBot="1">
      <c r="A5" s="9"/>
      <c r="B5" s="47" t="s">
        <v>3</v>
      </c>
      <c r="C5" s="48" t="s">
        <v>4</v>
      </c>
      <c r="D5" s="49" t="s">
        <v>253</v>
      </c>
      <c r="E5" s="49" t="s">
        <v>6</v>
      </c>
      <c r="F5" s="50" t="s">
        <v>7</v>
      </c>
      <c r="G5" s="51" t="s">
        <v>8</v>
      </c>
    </row>
    <row r="6" spans="1:7">
      <c r="A6" s="9"/>
      <c r="B6" s="84" t="s">
        <v>365</v>
      </c>
      <c r="C6" s="80"/>
      <c r="D6" s="81"/>
      <c r="E6" s="81"/>
      <c r="F6" s="82"/>
      <c r="G6" s="83"/>
    </row>
    <row r="7" spans="1:7">
      <c r="A7" s="9"/>
      <c r="B7" s="63" t="s">
        <v>366</v>
      </c>
      <c r="C7" s="25"/>
      <c r="D7" s="26"/>
      <c r="E7" s="85" t="s">
        <v>189</v>
      </c>
      <c r="F7" s="85" t="s">
        <v>189</v>
      </c>
      <c r="G7" s="88" t="s">
        <v>189</v>
      </c>
    </row>
    <row r="8" spans="1:7">
      <c r="A8" s="9"/>
      <c r="B8" s="63" t="s">
        <v>188</v>
      </c>
      <c r="C8" s="25"/>
      <c r="D8" s="26"/>
      <c r="E8" s="85" t="s">
        <v>189</v>
      </c>
      <c r="F8" s="85" t="s">
        <v>189</v>
      </c>
      <c r="G8" s="88" t="s">
        <v>189</v>
      </c>
    </row>
    <row r="9" spans="1:7">
      <c r="A9" s="9"/>
      <c r="B9" s="89"/>
      <c r="C9" s="25"/>
      <c r="D9" s="26"/>
      <c r="E9" s="26"/>
      <c r="F9" s="27"/>
      <c r="G9" s="77"/>
    </row>
    <row r="10" spans="1:7">
      <c r="A10" s="9"/>
      <c r="B10" s="64" t="s">
        <v>367</v>
      </c>
      <c r="C10" s="25"/>
      <c r="D10" s="26"/>
      <c r="E10" s="26"/>
      <c r="F10" s="27"/>
      <c r="G10" s="77"/>
    </row>
    <row r="11" spans="1:7">
      <c r="A11" s="9"/>
      <c r="B11" s="86" t="s">
        <v>371</v>
      </c>
      <c r="C11" s="25"/>
      <c r="D11" s="26"/>
      <c r="E11" s="85" t="s">
        <v>189</v>
      </c>
      <c r="F11" s="85" t="s">
        <v>189</v>
      </c>
      <c r="G11" s="88" t="s">
        <v>189</v>
      </c>
    </row>
    <row r="12" spans="1:7">
      <c r="A12" s="9"/>
      <c r="B12" s="86" t="s">
        <v>369</v>
      </c>
      <c r="C12" s="25"/>
      <c r="D12" s="26"/>
      <c r="E12" s="85" t="s">
        <v>189</v>
      </c>
      <c r="F12" s="85" t="s">
        <v>189</v>
      </c>
      <c r="G12" s="88" t="s">
        <v>189</v>
      </c>
    </row>
    <row r="13" spans="1:7">
      <c r="A13" s="9"/>
      <c r="B13" s="86" t="s">
        <v>370</v>
      </c>
      <c r="C13" s="25"/>
      <c r="D13" s="26"/>
      <c r="E13" s="85" t="s">
        <v>189</v>
      </c>
      <c r="F13" s="85" t="s">
        <v>189</v>
      </c>
      <c r="G13" s="88" t="s">
        <v>189</v>
      </c>
    </row>
    <row r="14" spans="1:7">
      <c r="A14" s="9"/>
      <c r="B14" s="89"/>
      <c r="C14" s="25"/>
      <c r="D14" s="26"/>
      <c r="E14" s="26"/>
      <c r="F14" s="27"/>
      <c r="G14" s="77"/>
    </row>
    <row r="15" spans="1:7">
      <c r="A15" s="9"/>
      <c r="B15" s="24" t="s">
        <v>9</v>
      </c>
      <c r="C15" s="25"/>
      <c r="D15" s="26"/>
      <c r="E15" s="26"/>
      <c r="F15" s="27"/>
      <c r="G15" s="77"/>
    </row>
    <row r="16" spans="1:7">
      <c r="A16" s="9"/>
      <c r="B16" s="89"/>
      <c r="C16" s="25"/>
      <c r="D16" s="26"/>
      <c r="E16" s="26"/>
      <c r="F16" s="27"/>
      <c r="G16" s="77"/>
    </row>
    <row r="17" spans="1:7">
      <c r="A17" s="9"/>
      <c r="B17" s="24" t="s">
        <v>199</v>
      </c>
      <c r="C17" s="29" t="s">
        <v>1</v>
      </c>
      <c r="D17" s="29" t="s">
        <v>1</v>
      </c>
      <c r="E17" s="29" t="s">
        <v>1</v>
      </c>
      <c r="F17" s="30" t="s">
        <v>1</v>
      </c>
      <c r="G17" s="35" t="s">
        <v>1</v>
      </c>
    </row>
    <row r="18" spans="1:7">
      <c r="A18" s="9"/>
      <c r="B18" s="24" t="s">
        <v>254</v>
      </c>
      <c r="C18" s="29" t="s">
        <v>1</v>
      </c>
      <c r="D18" s="29" t="s">
        <v>1</v>
      </c>
      <c r="E18" s="29" t="s">
        <v>1</v>
      </c>
      <c r="F18" s="30" t="s">
        <v>1</v>
      </c>
      <c r="G18" s="35" t="s">
        <v>1</v>
      </c>
    </row>
    <row r="19" spans="1:7">
      <c r="A19" s="16"/>
      <c r="B19" s="36" t="s">
        <v>255</v>
      </c>
      <c r="C19" s="29" t="s">
        <v>256</v>
      </c>
      <c r="D19" s="29" t="s">
        <v>1</v>
      </c>
      <c r="E19" s="31">
        <v>370023.36777329998</v>
      </c>
      <c r="F19" s="32">
        <v>2216.0078567</v>
      </c>
      <c r="G19" s="37">
        <v>0.9987619477360612</v>
      </c>
    </row>
    <row r="20" spans="1:7">
      <c r="A20" s="9"/>
      <c r="B20" s="24" t="s">
        <v>28</v>
      </c>
      <c r="C20" s="29" t="s">
        <v>1</v>
      </c>
      <c r="D20" s="29" t="s">
        <v>1</v>
      </c>
      <c r="E20" s="29" t="s">
        <v>1</v>
      </c>
      <c r="F20" s="21">
        <v>2216.0078567</v>
      </c>
      <c r="G20" s="38">
        <v>0.9987619477360612</v>
      </c>
    </row>
    <row r="21" spans="1:7">
      <c r="A21" s="9"/>
      <c r="B21" s="24"/>
      <c r="C21" s="29"/>
      <c r="D21" s="29"/>
      <c r="E21" s="29"/>
      <c r="F21" s="21"/>
      <c r="G21" s="38"/>
    </row>
    <row r="22" spans="1:7">
      <c r="A22" s="9"/>
      <c r="B22" s="24" t="s">
        <v>30</v>
      </c>
      <c r="C22" s="29" t="s">
        <v>1</v>
      </c>
      <c r="D22" s="29" t="s">
        <v>1</v>
      </c>
      <c r="E22" s="29" t="s">
        <v>1</v>
      </c>
      <c r="F22" s="30" t="s">
        <v>1</v>
      </c>
      <c r="G22" s="35" t="s">
        <v>1</v>
      </c>
    </row>
    <row r="23" spans="1:7">
      <c r="A23" s="16"/>
      <c r="B23" s="36" t="s">
        <v>31</v>
      </c>
      <c r="C23" s="29" t="s">
        <v>1</v>
      </c>
      <c r="D23" s="29" t="s">
        <v>32</v>
      </c>
      <c r="E23" s="31"/>
      <c r="F23" s="32">
        <v>17.20965</v>
      </c>
      <c r="G23" s="37">
        <v>7.7564452228306513E-3</v>
      </c>
    </row>
    <row r="24" spans="1:7">
      <c r="A24" s="9"/>
      <c r="B24" s="24" t="s">
        <v>28</v>
      </c>
      <c r="C24" s="29" t="s">
        <v>1</v>
      </c>
      <c r="D24" s="29" t="s">
        <v>1</v>
      </c>
      <c r="E24" s="29" t="s">
        <v>1</v>
      </c>
      <c r="F24" s="21">
        <v>17.20965</v>
      </c>
      <c r="G24" s="38">
        <v>7.7564452228306513E-3</v>
      </c>
    </row>
    <row r="25" spans="1:7">
      <c r="A25" s="9"/>
      <c r="B25" s="24"/>
      <c r="C25" s="29"/>
      <c r="D25" s="29"/>
      <c r="E25" s="29"/>
      <c r="F25" s="21"/>
      <c r="G25" s="38"/>
    </row>
    <row r="26" spans="1:7">
      <c r="A26" s="9"/>
      <c r="B26" s="24" t="s">
        <v>33</v>
      </c>
      <c r="C26" s="29" t="s">
        <v>1</v>
      </c>
      <c r="D26" s="29" t="s">
        <v>1</v>
      </c>
      <c r="E26" s="29" t="s">
        <v>1</v>
      </c>
      <c r="F26" s="33">
        <v>-14.4627156078</v>
      </c>
      <c r="G26" s="40">
        <v>-6.5183929588918076E-3</v>
      </c>
    </row>
    <row r="27" spans="1:7">
      <c r="A27" s="9"/>
      <c r="B27" s="87" t="s">
        <v>28</v>
      </c>
      <c r="C27" s="29"/>
      <c r="D27" s="29"/>
      <c r="E27" s="29"/>
      <c r="F27" s="34">
        <v>-14.4627156078</v>
      </c>
      <c r="G27" s="41">
        <v>-6.5183929588918076E-3</v>
      </c>
    </row>
    <row r="28" spans="1:7">
      <c r="A28" s="9"/>
      <c r="B28" s="24" t="s">
        <v>29</v>
      </c>
      <c r="C28" s="29"/>
      <c r="D28" s="29"/>
      <c r="E28" s="29"/>
      <c r="F28" s="21">
        <f>F20+F24+F27</f>
        <v>2218.7547910921999</v>
      </c>
      <c r="G28" s="42">
        <f>G20+G24+G27</f>
        <v>1</v>
      </c>
    </row>
    <row r="29" spans="1:7" ht="13.5" thickBot="1">
      <c r="A29" s="9"/>
      <c r="B29" s="56"/>
      <c r="C29" s="57"/>
      <c r="D29" s="57"/>
      <c r="E29" s="57"/>
      <c r="F29" s="58"/>
      <c r="G29" s="90"/>
    </row>
    <row r="30" spans="1:7" ht="14.25" thickTop="1" thickBot="1">
      <c r="A30" s="9"/>
      <c r="B30" s="52" t="s">
        <v>34</v>
      </c>
      <c r="C30" s="53" t="s">
        <v>1</v>
      </c>
      <c r="D30" s="53" t="s">
        <v>1</v>
      </c>
      <c r="E30" s="53" t="s">
        <v>1</v>
      </c>
      <c r="F30" s="54">
        <v>2218.7547910921999</v>
      </c>
      <c r="G30" s="55">
        <v>1</v>
      </c>
    </row>
    <row r="31" spans="1:7">
      <c r="A31" s="9"/>
      <c r="B31" s="15" t="s">
        <v>1</v>
      </c>
      <c r="C31" s="9"/>
      <c r="D31" s="9"/>
      <c r="E31" s="9"/>
      <c r="F31" s="11"/>
      <c r="G31" s="12"/>
    </row>
    <row r="32" spans="1:7">
      <c r="A32" s="9"/>
      <c r="B32" s="10" t="s">
        <v>32</v>
      </c>
      <c r="C32" s="9"/>
      <c r="D32" s="9"/>
      <c r="E32" s="9"/>
      <c r="F32" s="11"/>
      <c r="G32" s="12"/>
    </row>
    <row r="33" spans="1:7">
      <c r="A33" s="9"/>
      <c r="B33" s="10" t="s">
        <v>1</v>
      </c>
      <c r="C33" s="9"/>
      <c r="D33" s="9"/>
      <c r="E33" s="9"/>
      <c r="F33" s="11"/>
      <c r="G33" s="12"/>
    </row>
    <row r="34" spans="1:7">
      <c r="A34" s="9"/>
      <c r="B34" s="10" t="s">
        <v>1</v>
      </c>
      <c r="C34" s="9"/>
      <c r="D34" s="9"/>
      <c r="E34" s="9"/>
      <c r="F34" s="11"/>
      <c r="G34" s="12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showGridLines="0" zoomScaleNormal="100" workbookViewId="0">
      <selection activeCell="B4" sqref="B4"/>
    </sheetView>
  </sheetViews>
  <sheetFormatPr defaultRowHeight="12.75"/>
  <cols>
    <col min="1" max="1" width="12.5703125" style="13" bestFit="1" customWidth="1"/>
    <col min="2" max="2" width="53.140625" style="13" customWidth="1"/>
    <col min="3" max="3" width="14.42578125" style="13" bestFit="1" customWidth="1"/>
    <col min="4" max="4" width="28.5703125" style="13" bestFit="1" customWidth="1"/>
    <col min="5" max="5" width="17.42578125" style="13" customWidth="1"/>
    <col min="6" max="6" width="17.42578125" style="17" customWidth="1"/>
    <col min="7" max="7" width="17.42578125" style="18" customWidth="1"/>
    <col min="8" max="16384" width="9.140625" style="13"/>
  </cols>
  <sheetData>
    <row r="1" spans="1:7" ht="18.75">
      <c r="A1" s="9"/>
      <c r="B1" s="107" t="s">
        <v>257</v>
      </c>
      <c r="C1" s="108"/>
      <c r="D1" s="108"/>
      <c r="E1" s="108"/>
      <c r="F1" s="108"/>
      <c r="G1" s="109"/>
    </row>
    <row r="2" spans="1:7" ht="13.5" thickBot="1">
      <c r="A2" s="9"/>
      <c r="B2" s="110" t="s">
        <v>380</v>
      </c>
      <c r="C2" s="111"/>
      <c r="D2" s="111"/>
      <c r="E2" s="111"/>
      <c r="F2" s="111"/>
      <c r="G2" s="112"/>
    </row>
    <row r="3" spans="1:7" ht="12.95" customHeight="1">
      <c r="A3" s="9"/>
      <c r="B3" s="14" t="s">
        <v>1</v>
      </c>
      <c r="C3" s="9"/>
      <c r="D3" s="9"/>
      <c r="E3" s="9"/>
      <c r="F3" s="11"/>
      <c r="G3" s="12"/>
    </row>
    <row r="4" spans="1:7" ht="12.95" customHeight="1" thickBot="1">
      <c r="A4" s="15"/>
      <c r="B4" s="10" t="s">
        <v>2</v>
      </c>
      <c r="C4" s="9"/>
      <c r="D4" s="9"/>
      <c r="E4" s="9"/>
      <c r="F4" s="11"/>
      <c r="G4" s="12"/>
    </row>
    <row r="5" spans="1:7" ht="27.95" customHeight="1" thickBot="1">
      <c r="A5" s="9"/>
      <c r="B5" s="47" t="s">
        <v>3</v>
      </c>
      <c r="C5" s="48" t="s">
        <v>4</v>
      </c>
      <c r="D5" s="49" t="s">
        <v>38</v>
      </c>
      <c r="E5" s="49" t="s">
        <v>6</v>
      </c>
      <c r="F5" s="50" t="s">
        <v>7</v>
      </c>
      <c r="G5" s="51" t="s">
        <v>8</v>
      </c>
    </row>
    <row r="6" spans="1:7">
      <c r="A6" s="9"/>
      <c r="B6" s="93" t="s">
        <v>39</v>
      </c>
      <c r="C6" s="80"/>
      <c r="D6" s="81"/>
      <c r="E6" s="81"/>
      <c r="F6" s="82"/>
      <c r="G6" s="83"/>
    </row>
    <row r="7" spans="1:7">
      <c r="A7" s="9"/>
      <c r="B7" s="89" t="s">
        <v>40</v>
      </c>
      <c r="C7" s="25"/>
      <c r="D7" s="26"/>
      <c r="E7" s="26"/>
      <c r="F7" s="27"/>
      <c r="G7" s="77"/>
    </row>
    <row r="8" spans="1:7">
      <c r="A8" s="9"/>
      <c r="B8" s="89" t="s">
        <v>376</v>
      </c>
      <c r="C8" s="25"/>
      <c r="D8" s="26"/>
      <c r="E8" s="26"/>
      <c r="F8" s="27"/>
      <c r="G8" s="77"/>
    </row>
    <row r="9" spans="1:7" ht="12.95" customHeight="1">
      <c r="A9" s="16"/>
      <c r="B9" s="36" t="s">
        <v>258</v>
      </c>
      <c r="C9" s="29" t="s">
        <v>259</v>
      </c>
      <c r="D9" s="29" t="s">
        <v>132</v>
      </c>
      <c r="E9" s="31">
        <v>29000</v>
      </c>
      <c r="F9" s="32">
        <v>118.4795</v>
      </c>
      <c r="G9" s="37">
        <v>0.10363226856790164</v>
      </c>
    </row>
    <row r="10" spans="1:7" ht="12.95" customHeight="1">
      <c r="A10" s="16"/>
      <c r="B10" s="36" t="s">
        <v>260</v>
      </c>
      <c r="C10" s="29" t="s">
        <v>261</v>
      </c>
      <c r="D10" s="29" t="s">
        <v>52</v>
      </c>
      <c r="E10" s="31">
        <v>11800</v>
      </c>
      <c r="F10" s="32">
        <v>111.5926</v>
      </c>
      <c r="G10" s="37">
        <v>9.760839886554569E-2</v>
      </c>
    </row>
    <row r="11" spans="1:7" ht="12.95" customHeight="1">
      <c r="A11" s="16"/>
      <c r="B11" s="36" t="s">
        <v>275</v>
      </c>
      <c r="C11" s="29" t="s">
        <v>276</v>
      </c>
      <c r="D11" s="29" t="s">
        <v>168</v>
      </c>
      <c r="E11" s="31">
        <v>20000</v>
      </c>
      <c r="F11" s="32">
        <v>54.5</v>
      </c>
      <c r="G11" s="37">
        <v>4.7670344970654331E-2</v>
      </c>
    </row>
    <row r="12" spans="1:7" ht="12.95" customHeight="1">
      <c r="A12" s="16"/>
      <c r="B12" s="36" t="s">
        <v>283</v>
      </c>
      <c r="C12" s="29" t="s">
        <v>284</v>
      </c>
      <c r="D12" s="29" t="s">
        <v>168</v>
      </c>
      <c r="E12" s="31">
        <v>10500</v>
      </c>
      <c r="F12" s="32">
        <v>35.841749999999998</v>
      </c>
      <c r="G12" s="37">
        <v>3.1350249300035778E-2</v>
      </c>
    </row>
    <row r="13" spans="1:7" ht="12.95" customHeight="1">
      <c r="A13" s="16"/>
      <c r="B13" s="36" t="s">
        <v>304</v>
      </c>
      <c r="C13" s="29" t="s">
        <v>305</v>
      </c>
      <c r="D13" s="29" t="s">
        <v>306</v>
      </c>
      <c r="E13" s="31">
        <v>12000</v>
      </c>
      <c r="F13" s="32">
        <v>18.809999999999999</v>
      </c>
      <c r="G13" s="37">
        <v>1.6452829154091887E-2</v>
      </c>
    </row>
    <row r="14" spans="1:7" ht="12.95" customHeight="1">
      <c r="A14" s="16"/>
      <c r="B14" s="36" t="s">
        <v>310</v>
      </c>
      <c r="C14" s="29" t="s">
        <v>311</v>
      </c>
      <c r="D14" s="29" t="s">
        <v>52</v>
      </c>
      <c r="E14" s="31">
        <v>2400</v>
      </c>
      <c r="F14" s="32">
        <v>15.7296</v>
      </c>
      <c r="G14" s="37">
        <v>1.3758448775236777E-2</v>
      </c>
    </row>
    <row r="15" spans="1:7" ht="12.95" customHeight="1">
      <c r="A15" s="16"/>
      <c r="B15" s="36" t="s">
        <v>314</v>
      </c>
      <c r="C15" s="29" t="s">
        <v>315</v>
      </c>
      <c r="D15" s="29" t="s">
        <v>132</v>
      </c>
      <c r="E15" s="31">
        <v>5000</v>
      </c>
      <c r="F15" s="32">
        <v>15.592499999999999</v>
      </c>
      <c r="G15" s="37">
        <v>1.3638529430365644E-2</v>
      </c>
    </row>
    <row r="16" spans="1:7" ht="12.95" customHeight="1">
      <c r="A16" s="16"/>
      <c r="B16" s="36" t="s">
        <v>130</v>
      </c>
      <c r="C16" s="29" t="s">
        <v>131</v>
      </c>
      <c r="D16" s="29" t="s">
        <v>132</v>
      </c>
      <c r="E16" s="31">
        <v>2500</v>
      </c>
      <c r="F16" s="32">
        <v>15.215</v>
      </c>
      <c r="G16" s="37">
        <v>1.3308335756486342E-2</v>
      </c>
    </row>
    <row r="17" spans="1:7" ht="12.95" customHeight="1">
      <c r="A17" s="16"/>
      <c r="B17" s="36" t="s">
        <v>324</v>
      </c>
      <c r="C17" s="29" t="s">
        <v>325</v>
      </c>
      <c r="D17" s="29" t="s">
        <v>306</v>
      </c>
      <c r="E17" s="31">
        <v>5000</v>
      </c>
      <c r="F17" s="32">
        <v>8.0474999999999994</v>
      </c>
      <c r="G17" s="37">
        <v>7.0390293789236828E-3</v>
      </c>
    </row>
    <row r="18" spans="1:7" ht="12.95" customHeight="1">
      <c r="A18" s="16"/>
      <c r="B18" s="36"/>
      <c r="C18" s="29"/>
      <c r="D18" s="29"/>
      <c r="E18" s="31"/>
      <c r="F18" s="34">
        <f>SUM(F9:F17)</f>
        <v>393.80844999999994</v>
      </c>
      <c r="G18" s="41">
        <f>SUM(G9:G17)</f>
        <v>0.34445843419924183</v>
      </c>
    </row>
    <row r="19" spans="1:7" ht="12.95" customHeight="1">
      <c r="A19" s="16"/>
      <c r="B19" s="36"/>
      <c r="C19" s="29"/>
      <c r="D19" s="29"/>
      <c r="E19" s="31"/>
      <c r="F19" s="32"/>
      <c r="G19" s="37"/>
    </row>
    <row r="20" spans="1:7" ht="12.95" customHeight="1">
      <c r="A20" s="16"/>
      <c r="B20" s="78" t="s">
        <v>373</v>
      </c>
      <c r="C20" s="29"/>
      <c r="D20" s="29"/>
      <c r="E20" s="31"/>
      <c r="F20" s="32"/>
      <c r="G20" s="37"/>
    </row>
    <row r="21" spans="1:7" ht="12.95" customHeight="1">
      <c r="A21" s="16"/>
      <c r="B21" s="78" t="s">
        <v>375</v>
      </c>
      <c r="C21" s="29"/>
      <c r="D21" s="29"/>
      <c r="E21" s="31"/>
      <c r="F21" s="32"/>
      <c r="G21" s="37"/>
    </row>
    <row r="22" spans="1:7" ht="12.95" customHeight="1">
      <c r="A22" s="16"/>
      <c r="B22" s="36" t="s">
        <v>262</v>
      </c>
      <c r="C22" s="29" t="s">
        <v>263</v>
      </c>
      <c r="D22" s="29" t="s">
        <v>264</v>
      </c>
      <c r="E22" s="31">
        <v>6000</v>
      </c>
      <c r="F22" s="32">
        <v>109.3140702</v>
      </c>
      <c r="G22" s="37">
        <v>9.5615402506061001E-2</v>
      </c>
    </row>
    <row r="23" spans="1:7" ht="12.95" customHeight="1">
      <c r="A23" s="16"/>
      <c r="B23" s="36" t="s">
        <v>265</v>
      </c>
      <c r="C23" s="29" t="s">
        <v>266</v>
      </c>
      <c r="D23" s="29" t="s">
        <v>267</v>
      </c>
      <c r="E23" s="31">
        <v>102000</v>
      </c>
      <c r="F23" s="32">
        <v>80.696728800000002</v>
      </c>
      <c r="G23" s="37">
        <v>7.0584236695400662E-2</v>
      </c>
    </row>
    <row r="24" spans="1:7" ht="12.95" customHeight="1">
      <c r="A24" s="16"/>
      <c r="B24" s="36" t="s">
        <v>268</v>
      </c>
      <c r="C24" s="29" t="s">
        <v>269</v>
      </c>
      <c r="D24" s="29" t="s">
        <v>270</v>
      </c>
      <c r="E24" s="31">
        <v>63000</v>
      </c>
      <c r="F24" s="32">
        <v>66.723289899999997</v>
      </c>
      <c r="G24" s="37">
        <v>5.836187609376102E-2</v>
      </c>
    </row>
    <row r="25" spans="1:7" ht="12.95" customHeight="1">
      <c r="A25" s="16"/>
      <c r="B25" s="36" t="s">
        <v>271</v>
      </c>
      <c r="C25" s="29" t="s">
        <v>272</v>
      </c>
      <c r="D25" s="29" t="s">
        <v>267</v>
      </c>
      <c r="E25" s="31">
        <v>116000</v>
      </c>
      <c r="F25" s="32">
        <v>62.7190656</v>
      </c>
      <c r="G25" s="37">
        <v>5.4859440245671541E-2</v>
      </c>
    </row>
    <row r="26" spans="1:7" ht="12.95" customHeight="1">
      <c r="A26" s="16"/>
      <c r="B26" s="36" t="s">
        <v>273</v>
      </c>
      <c r="C26" s="29" t="s">
        <v>274</v>
      </c>
      <c r="D26" s="29" t="s">
        <v>264</v>
      </c>
      <c r="E26" s="31">
        <v>1779</v>
      </c>
      <c r="F26" s="32">
        <v>57.014597799999997</v>
      </c>
      <c r="G26" s="37">
        <v>4.9869826522735951E-2</v>
      </c>
    </row>
    <row r="27" spans="1:7" ht="12.95" customHeight="1">
      <c r="A27" s="16"/>
      <c r="B27" s="36" t="s">
        <v>277</v>
      </c>
      <c r="C27" s="29" t="s">
        <v>278</v>
      </c>
      <c r="D27" s="29" t="s">
        <v>270</v>
      </c>
      <c r="E27" s="31">
        <v>2300</v>
      </c>
      <c r="F27" s="32">
        <v>50.230035800000003</v>
      </c>
      <c r="G27" s="37">
        <v>4.3935470357326915E-2</v>
      </c>
    </row>
    <row r="28" spans="1:7" ht="12.95" customHeight="1">
      <c r="A28" s="16"/>
      <c r="B28" s="36" t="s">
        <v>279</v>
      </c>
      <c r="C28" s="29" t="s">
        <v>280</v>
      </c>
      <c r="D28" s="29" t="s">
        <v>270</v>
      </c>
      <c r="E28" s="31">
        <v>5237</v>
      </c>
      <c r="F28" s="32">
        <v>38.508863900000001</v>
      </c>
      <c r="G28" s="37">
        <v>3.3683134431944532E-2</v>
      </c>
    </row>
    <row r="29" spans="1:7" ht="12.95" customHeight="1">
      <c r="A29" s="16"/>
      <c r="B29" s="36" t="s">
        <v>281</v>
      </c>
      <c r="C29" s="29" t="s">
        <v>282</v>
      </c>
      <c r="D29" s="29" t="s">
        <v>267</v>
      </c>
      <c r="E29" s="31">
        <v>4466</v>
      </c>
      <c r="F29" s="32">
        <v>35.962521700000003</v>
      </c>
      <c r="G29" s="37">
        <v>3.1455886522085176E-2</v>
      </c>
    </row>
    <row r="30" spans="1:7" ht="12.95" customHeight="1">
      <c r="A30" s="16"/>
      <c r="B30" s="36" t="s">
        <v>285</v>
      </c>
      <c r="C30" s="29" t="s">
        <v>286</v>
      </c>
      <c r="D30" s="29" t="s">
        <v>287</v>
      </c>
      <c r="E30" s="31">
        <v>4761</v>
      </c>
      <c r="F30" s="32">
        <v>29.0160111</v>
      </c>
      <c r="G30" s="37">
        <v>2.5379876308428168E-2</v>
      </c>
    </row>
    <row r="31" spans="1:7" ht="12.95" customHeight="1">
      <c r="A31" s="16"/>
      <c r="B31" s="36" t="s">
        <v>288</v>
      </c>
      <c r="C31" s="29" t="s">
        <v>289</v>
      </c>
      <c r="D31" s="29" t="s">
        <v>290</v>
      </c>
      <c r="E31" s="31">
        <v>16000</v>
      </c>
      <c r="F31" s="32">
        <v>27.542956799999999</v>
      </c>
      <c r="G31" s="37">
        <v>2.4091417470969347E-2</v>
      </c>
    </row>
    <row r="32" spans="1:7" ht="12.95" customHeight="1">
      <c r="A32" s="16"/>
      <c r="B32" s="36" t="s">
        <v>291</v>
      </c>
      <c r="C32" s="29" t="s">
        <v>292</v>
      </c>
      <c r="D32" s="29" t="s">
        <v>270</v>
      </c>
      <c r="E32" s="31">
        <v>5043</v>
      </c>
      <c r="F32" s="32">
        <v>24.1971068</v>
      </c>
      <c r="G32" s="37">
        <v>2.1164851898124139E-2</v>
      </c>
    </row>
    <row r="33" spans="1:7" ht="12.95" customHeight="1">
      <c r="A33" s="16"/>
      <c r="B33" s="36" t="s">
        <v>293</v>
      </c>
      <c r="C33" s="29" t="s">
        <v>294</v>
      </c>
      <c r="D33" s="29" t="s">
        <v>295</v>
      </c>
      <c r="E33" s="31">
        <v>475</v>
      </c>
      <c r="F33" s="32">
        <v>22.547219299999998</v>
      </c>
      <c r="G33" s="37">
        <v>1.9721719672660464E-2</v>
      </c>
    </row>
    <row r="34" spans="1:7" ht="12.95" customHeight="1">
      <c r="A34" s="16"/>
      <c r="B34" s="36" t="s">
        <v>296</v>
      </c>
      <c r="C34" s="29" t="s">
        <v>297</v>
      </c>
      <c r="D34" s="29" t="s">
        <v>298</v>
      </c>
      <c r="E34" s="31">
        <v>1985</v>
      </c>
      <c r="F34" s="32">
        <v>20.180500500000001</v>
      </c>
      <c r="G34" s="37">
        <v>1.7651585697531415E-2</v>
      </c>
    </row>
    <row r="35" spans="1:7" ht="12.95" customHeight="1">
      <c r="A35" s="16"/>
      <c r="B35" s="36" t="s">
        <v>299</v>
      </c>
      <c r="C35" s="29" t="s">
        <v>300</v>
      </c>
      <c r="D35" s="29" t="s">
        <v>270</v>
      </c>
      <c r="E35" s="31">
        <v>22000</v>
      </c>
      <c r="F35" s="32">
        <v>19.591756799999999</v>
      </c>
      <c r="G35" s="37">
        <v>1.7136620279580968E-2</v>
      </c>
    </row>
    <row r="36" spans="1:7" ht="12.95" customHeight="1">
      <c r="A36" s="16"/>
      <c r="B36" s="36" t="s">
        <v>301</v>
      </c>
      <c r="C36" s="29" t="s">
        <v>302</v>
      </c>
      <c r="D36" s="29" t="s">
        <v>303</v>
      </c>
      <c r="E36" s="31">
        <v>100</v>
      </c>
      <c r="F36" s="32">
        <v>19.227105000000002</v>
      </c>
      <c r="G36" s="37">
        <v>1.6817664736458581E-2</v>
      </c>
    </row>
    <row r="37" spans="1:7" ht="12.95" customHeight="1">
      <c r="A37" s="16"/>
      <c r="B37" s="36" t="s">
        <v>307</v>
      </c>
      <c r="C37" s="29" t="s">
        <v>308</v>
      </c>
      <c r="D37" s="29" t="s">
        <v>309</v>
      </c>
      <c r="E37" s="31">
        <v>9000</v>
      </c>
      <c r="F37" s="32">
        <v>17.747078399999999</v>
      </c>
      <c r="G37" s="37">
        <v>1.5523107331178863E-2</v>
      </c>
    </row>
    <row r="38" spans="1:7" ht="12.95" customHeight="1">
      <c r="A38" s="16"/>
      <c r="B38" s="36" t="s">
        <v>312</v>
      </c>
      <c r="C38" s="29" t="s">
        <v>313</v>
      </c>
      <c r="D38" s="29" t="s">
        <v>309</v>
      </c>
      <c r="E38" s="31">
        <v>20000</v>
      </c>
      <c r="F38" s="32">
        <v>15.631695000000001</v>
      </c>
      <c r="G38" s="37">
        <v>1.3672812717909219E-2</v>
      </c>
    </row>
    <row r="39" spans="1:7" ht="12.95" customHeight="1">
      <c r="A39" s="16"/>
      <c r="B39" s="36" t="s">
        <v>316</v>
      </c>
      <c r="C39" s="29" t="s">
        <v>317</v>
      </c>
      <c r="D39" s="29" t="s">
        <v>298</v>
      </c>
      <c r="E39" s="31">
        <v>100</v>
      </c>
      <c r="F39" s="32">
        <v>14.954414999999999</v>
      </c>
      <c r="G39" s="37">
        <v>1.3080405906134452E-2</v>
      </c>
    </row>
    <row r="40" spans="1:7" ht="12.95" customHeight="1">
      <c r="A40" s="16"/>
      <c r="B40" s="36" t="s">
        <v>318</v>
      </c>
      <c r="C40" s="29" t="s">
        <v>319</v>
      </c>
      <c r="D40" s="29" t="s">
        <v>264</v>
      </c>
      <c r="E40" s="31">
        <v>12000</v>
      </c>
      <c r="F40" s="32">
        <v>12.193960300000001</v>
      </c>
      <c r="G40" s="37">
        <v>1.0665876955219514E-2</v>
      </c>
    </row>
    <row r="41" spans="1:7" ht="12.95" customHeight="1">
      <c r="A41" s="16"/>
      <c r="B41" s="36" t="s">
        <v>320</v>
      </c>
      <c r="C41" s="29" t="s">
        <v>321</v>
      </c>
      <c r="D41" s="29" t="s">
        <v>303</v>
      </c>
      <c r="E41" s="31">
        <v>2700</v>
      </c>
      <c r="F41" s="32">
        <v>9.8611343999999992</v>
      </c>
      <c r="G41" s="37">
        <v>8.6253885990823197E-3</v>
      </c>
    </row>
    <row r="42" spans="1:7" ht="12.95" customHeight="1">
      <c r="A42" s="16"/>
      <c r="B42" s="36" t="s">
        <v>322</v>
      </c>
      <c r="C42" s="29" t="s">
        <v>323</v>
      </c>
      <c r="D42" s="29" t="s">
        <v>309</v>
      </c>
      <c r="E42" s="31">
        <v>16000</v>
      </c>
      <c r="F42" s="32">
        <v>8.9562317</v>
      </c>
      <c r="G42" s="37">
        <v>7.8338835738735752E-3</v>
      </c>
    </row>
    <row r="43" spans="1:7" ht="12.95" customHeight="1">
      <c r="A43" s="16"/>
      <c r="B43" s="36" t="s">
        <v>326</v>
      </c>
      <c r="C43" s="29" t="s">
        <v>327</v>
      </c>
      <c r="D43" s="29" t="s">
        <v>287</v>
      </c>
      <c r="E43" s="31">
        <v>4578</v>
      </c>
      <c r="F43" s="32">
        <v>4.0385852</v>
      </c>
      <c r="G43" s="37">
        <v>3.5324908197684221E-3</v>
      </c>
    </row>
    <row r="44" spans="1:7" ht="12.95" customHeight="1">
      <c r="A44" s="9"/>
      <c r="B44" s="24" t="s">
        <v>28</v>
      </c>
      <c r="C44" s="29" t="s">
        <v>1</v>
      </c>
      <c r="D44" s="29" t="s">
        <v>1</v>
      </c>
      <c r="E44" s="29" t="s">
        <v>1</v>
      </c>
      <c r="F44" s="21">
        <f>SUM(F22:F43)</f>
        <v>746.85492999999997</v>
      </c>
      <c r="G44" s="38">
        <f>SUM(G22:G43)</f>
        <v>0.65326297534190636</v>
      </c>
    </row>
    <row r="45" spans="1:7" ht="12.95" customHeight="1">
      <c r="A45" s="9"/>
      <c r="B45" s="24"/>
      <c r="C45" s="29"/>
      <c r="D45" s="29"/>
      <c r="E45" s="29"/>
      <c r="F45" s="21"/>
      <c r="G45" s="38"/>
    </row>
    <row r="46" spans="1:7" ht="12.95" customHeight="1">
      <c r="A46" s="9"/>
      <c r="B46" s="24" t="s">
        <v>188</v>
      </c>
      <c r="C46" s="29" t="s">
        <v>1</v>
      </c>
      <c r="D46" s="29" t="s">
        <v>1</v>
      </c>
      <c r="E46" s="21" t="s">
        <v>189</v>
      </c>
      <c r="F46" s="21" t="s">
        <v>189</v>
      </c>
      <c r="G46" s="38" t="s">
        <v>189</v>
      </c>
    </row>
    <row r="47" spans="1:7" ht="12.95" customHeight="1">
      <c r="A47" s="9"/>
      <c r="B47" s="24" t="s">
        <v>28</v>
      </c>
      <c r="C47" s="29" t="s">
        <v>1</v>
      </c>
      <c r="D47" s="29" t="s">
        <v>1</v>
      </c>
      <c r="E47" s="21" t="s">
        <v>189</v>
      </c>
      <c r="F47" s="21" t="s">
        <v>189</v>
      </c>
      <c r="G47" s="38" t="s">
        <v>189</v>
      </c>
    </row>
    <row r="48" spans="1:7" ht="12.95" customHeight="1">
      <c r="A48" s="9"/>
      <c r="B48" s="24" t="s">
        <v>29</v>
      </c>
      <c r="C48" s="29" t="s">
        <v>1</v>
      </c>
      <c r="D48" s="29" t="s">
        <v>1</v>
      </c>
      <c r="E48" s="29" t="s">
        <v>1</v>
      </c>
      <c r="F48" s="21">
        <v>1140.66338</v>
      </c>
      <c r="G48" s="38">
        <v>0.99772140954114807</v>
      </c>
    </row>
    <row r="49" spans="1:7" ht="12.95" customHeight="1">
      <c r="A49" s="9"/>
      <c r="B49" s="24"/>
      <c r="C49" s="29"/>
      <c r="D49" s="29"/>
      <c r="E49" s="29"/>
      <c r="F49" s="21"/>
      <c r="G49" s="38"/>
    </row>
    <row r="50" spans="1:7" ht="12.95" customHeight="1">
      <c r="A50" s="9"/>
      <c r="B50" s="64" t="s">
        <v>367</v>
      </c>
      <c r="C50" s="28"/>
      <c r="D50" s="29"/>
      <c r="E50" s="29"/>
      <c r="F50" s="74"/>
      <c r="G50" s="38"/>
    </row>
    <row r="51" spans="1:7" ht="12.95" customHeight="1">
      <c r="A51" s="16"/>
      <c r="B51" s="63" t="s">
        <v>371</v>
      </c>
      <c r="C51" s="28"/>
      <c r="D51" s="29"/>
      <c r="E51" s="21" t="s">
        <v>189</v>
      </c>
      <c r="F51" s="21" t="s">
        <v>189</v>
      </c>
      <c r="G51" s="39" t="s">
        <v>189</v>
      </c>
    </row>
    <row r="52" spans="1:7" ht="12.95" customHeight="1">
      <c r="A52" s="9"/>
      <c r="B52" s="63" t="s">
        <v>369</v>
      </c>
      <c r="C52" s="28"/>
      <c r="D52" s="29"/>
      <c r="E52" s="21" t="s">
        <v>189</v>
      </c>
      <c r="F52" s="21" t="s">
        <v>189</v>
      </c>
      <c r="G52" s="39" t="s">
        <v>189</v>
      </c>
    </row>
    <row r="53" spans="1:7" ht="12.95" customHeight="1">
      <c r="A53" s="9"/>
      <c r="B53" s="63" t="s">
        <v>370</v>
      </c>
      <c r="C53" s="28"/>
      <c r="D53" s="29"/>
      <c r="E53" s="21" t="s">
        <v>189</v>
      </c>
      <c r="F53" s="21" t="s">
        <v>189</v>
      </c>
      <c r="G53" s="39" t="s">
        <v>189</v>
      </c>
    </row>
    <row r="54" spans="1:7" ht="12.95" customHeight="1">
      <c r="A54" s="9"/>
      <c r="B54" s="63"/>
      <c r="C54" s="28"/>
      <c r="D54" s="29"/>
      <c r="E54" s="91"/>
      <c r="F54" s="91"/>
      <c r="G54" s="92"/>
    </row>
    <row r="55" spans="1:7" ht="12.95" customHeight="1">
      <c r="A55" s="9"/>
      <c r="B55" s="24" t="s">
        <v>9</v>
      </c>
      <c r="C55" s="28"/>
      <c r="D55" s="29"/>
      <c r="E55" s="91"/>
      <c r="F55" s="91"/>
      <c r="G55" s="92"/>
    </row>
    <row r="56" spans="1:7" ht="12.95" customHeight="1">
      <c r="A56" s="9"/>
      <c r="B56" s="24"/>
      <c r="C56" s="28"/>
      <c r="D56" s="29"/>
      <c r="E56" s="91"/>
      <c r="F56" s="91"/>
      <c r="G56" s="92"/>
    </row>
    <row r="57" spans="1:7" ht="12.95" customHeight="1">
      <c r="A57" s="9"/>
      <c r="B57" s="87" t="s">
        <v>384</v>
      </c>
      <c r="C57" s="28"/>
      <c r="D57" s="29"/>
      <c r="E57" s="91"/>
      <c r="F57" s="91"/>
      <c r="G57" s="92"/>
    </row>
    <row r="58" spans="1:7" ht="12.95" customHeight="1">
      <c r="A58" s="9"/>
      <c r="B58" s="24" t="s">
        <v>30</v>
      </c>
      <c r="C58" s="29" t="s">
        <v>1</v>
      </c>
      <c r="D58" s="29" t="s">
        <v>1</v>
      </c>
      <c r="E58" s="29" t="s">
        <v>1</v>
      </c>
      <c r="F58" s="30" t="s">
        <v>1</v>
      </c>
      <c r="G58" s="35" t="s">
        <v>1</v>
      </c>
    </row>
    <row r="59" spans="1:7" ht="12.95" customHeight="1">
      <c r="A59" s="16"/>
      <c r="B59" s="36" t="s">
        <v>31</v>
      </c>
      <c r="C59" s="29" t="s">
        <v>1</v>
      </c>
      <c r="D59" s="29" t="s">
        <v>32</v>
      </c>
      <c r="E59" s="31"/>
      <c r="F59" s="32">
        <v>9.2370000000000001</v>
      </c>
      <c r="G59" s="37">
        <v>8.0794674586042951E-3</v>
      </c>
    </row>
    <row r="60" spans="1:7" ht="12.95" customHeight="1">
      <c r="A60" s="9"/>
      <c r="B60" s="24" t="s">
        <v>28</v>
      </c>
      <c r="C60" s="29" t="s">
        <v>1</v>
      </c>
      <c r="D60" s="29" t="s">
        <v>1</v>
      </c>
      <c r="E60" s="29" t="s">
        <v>1</v>
      </c>
      <c r="F60" s="21">
        <v>9.2370000000000001</v>
      </c>
      <c r="G60" s="38">
        <v>8.0794674586042951E-3</v>
      </c>
    </row>
    <row r="61" spans="1:7" ht="12.95" customHeight="1">
      <c r="A61" s="9"/>
      <c r="B61" s="24"/>
      <c r="C61" s="29"/>
      <c r="D61" s="29"/>
      <c r="E61" s="29"/>
      <c r="F61" s="21"/>
      <c r="G61" s="38"/>
    </row>
    <row r="62" spans="1:7" ht="12.95" customHeight="1">
      <c r="A62" s="9"/>
      <c r="B62" s="24" t="s">
        <v>33</v>
      </c>
      <c r="C62" s="29" t="s">
        <v>1</v>
      </c>
      <c r="D62" s="29" t="s">
        <v>1</v>
      </c>
      <c r="E62" s="29" t="s">
        <v>1</v>
      </c>
      <c r="F62" s="33">
        <v>-6.6319594851000003</v>
      </c>
      <c r="G62" s="40">
        <v>-5.8008769997523199E-3</v>
      </c>
    </row>
    <row r="63" spans="1:7" ht="12.95" customHeight="1">
      <c r="A63" s="9"/>
      <c r="B63" s="24" t="s">
        <v>28</v>
      </c>
      <c r="C63" s="29"/>
      <c r="D63" s="29"/>
      <c r="E63" s="29"/>
      <c r="F63" s="34">
        <v>-6.6319594851000003</v>
      </c>
      <c r="G63" s="41">
        <v>-5.8008769997523199E-3</v>
      </c>
    </row>
    <row r="64" spans="1:7" ht="12.95" customHeight="1">
      <c r="A64" s="9"/>
      <c r="B64" s="24" t="s">
        <v>29</v>
      </c>
      <c r="C64" s="29"/>
      <c r="D64" s="29"/>
      <c r="E64" s="29"/>
      <c r="F64" s="21">
        <f>F60+F63</f>
        <v>2.6050405148999998</v>
      </c>
      <c r="G64" s="42">
        <f>G60+G63</f>
        <v>2.2785904588519751E-3</v>
      </c>
    </row>
    <row r="65" spans="1:7" ht="12.95" customHeight="1" thickBot="1">
      <c r="A65" s="9"/>
      <c r="B65" s="56"/>
      <c r="C65" s="57"/>
      <c r="D65" s="57"/>
      <c r="E65" s="57"/>
      <c r="F65" s="58"/>
      <c r="G65" s="59"/>
    </row>
    <row r="66" spans="1:7" ht="12.95" customHeight="1" thickTop="1" thickBot="1">
      <c r="A66" s="9"/>
      <c r="B66" s="52" t="s">
        <v>34</v>
      </c>
      <c r="C66" s="53" t="s">
        <v>1</v>
      </c>
      <c r="D66" s="53" t="s">
        <v>1</v>
      </c>
      <c r="E66" s="53" t="s">
        <v>1</v>
      </c>
      <c r="F66" s="54">
        <v>1143.2684205149001</v>
      </c>
      <c r="G66" s="55">
        <v>1</v>
      </c>
    </row>
    <row r="67" spans="1:7" ht="12.95" customHeight="1">
      <c r="A67" s="9"/>
      <c r="B67" s="15" t="s">
        <v>1</v>
      </c>
      <c r="C67" s="9"/>
      <c r="D67" s="9"/>
      <c r="E67" s="9"/>
      <c r="F67" s="11"/>
      <c r="G67" s="12"/>
    </row>
    <row r="68" spans="1:7" ht="12.95" customHeight="1">
      <c r="A68" s="9"/>
      <c r="B68" s="10" t="s">
        <v>372</v>
      </c>
      <c r="C68" s="9"/>
      <c r="D68" s="9"/>
      <c r="E68" s="9"/>
      <c r="F68" s="11"/>
      <c r="G68" s="12"/>
    </row>
    <row r="69" spans="1:7" ht="12.95" customHeight="1">
      <c r="A69" s="9"/>
      <c r="B69" s="71" t="s">
        <v>377</v>
      </c>
      <c r="C69" s="9"/>
      <c r="D69" s="9"/>
      <c r="E69" s="9"/>
      <c r="F69" s="11"/>
      <c r="G69" s="12"/>
    </row>
    <row r="70" spans="1:7" ht="12.95" customHeight="1" thickBot="1">
      <c r="A70" s="9"/>
      <c r="B70" s="10" t="s">
        <v>1</v>
      </c>
      <c r="C70" s="9"/>
      <c r="D70" s="9"/>
      <c r="E70" s="9"/>
      <c r="F70" s="11"/>
      <c r="G70" s="12"/>
    </row>
    <row r="71" spans="1:7" ht="13.5" thickBot="1">
      <c r="B71" s="68" t="s">
        <v>381</v>
      </c>
      <c r="C71" s="69">
        <v>0.11509999999999999</v>
      </c>
    </row>
    <row r="72" spans="1:7">
      <c r="B72" s="70" t="s">
        <v>382</v>
      </c>
      <c r="C72" s="70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zoomScaleNormal="100" workbookViewId="0">
      <selection activeCell="C41" sqref="C41"/>
    </sheetView>
  </sheetViews>
  <sheetFormatPr defaultRowHeight="12.75"/>
  <cols>
    <col min="1" max="1" width="11.42578125" style="13" bestFit="1" customWidth="1"/>
    <col min="2" max="2" width="53" style="13" customWidth="1"/>
    <col min="3" max="3" width="13.5703125" style="13" bestFit="1" customWidth="1"/>
    <col min="4" max="5" width="19.5703125" style="13" customWidth="1"/>
    <col min="6" max="6" width="19.5703125" style="17" customWidth="1"/>
    <col min="7" max="7" width="19.5703125" style="18" customWidth="1"/>
    <col min="8" max="16384" width="9.140625" style="13"/>
  </cols>
  <sheetData>
    <row r="1" spans="1:7" ht="18.75">
      <c r="A1" s="9"/>
      <c r="B1" s="113" t="s">
        <v>0</v>
      </c>
      <c r="C1" s="114"/>
      <c r="D1" s="114"/>
      <c r="E1" s="114"/>
      <c r="F1" s="114"/>
      <c r="G1" s="115"/>
    </row>
    <row r="2" spans="1:7" ht="13.5" thickBot="1">
      <c r="A2" s="9"/>
      <c r="B2" s="116" t="s">
        <v>388</v>
      </c>
      <c r="C2" s="117"/>
      <c r="D2" s="117"/>
      <c r="E2" s="117"/>
      <c r="F2" s="117"/>
      <c r="G2" s="118"/>
    </row>
    <row r="3" spans="1:7" ht="12.95" customHeight="1">
      <c r="A3" s="9"/>
      <c r="B3" s="14" t="s">
        <v>1</v>
      </c>
      <c r="C3" s="9"/>
      <c r="D3" s="9"/>
      <c r="E3" s="9"/>
      <c r="F3" s="11"/>
      <c r="G3" s="12"/>
    </row>
    <row r="4" spans="1:7" ht="12.95" customHeight="1" thickBot="1">
      <c r="A4" s="15"/>
      <c r="B4" s="10" t="s">
        <v>2</v>
      </c>
      <c r="C4" s="9"/>
      <c r="D4" s="9"/>
      <c r="E4" s="9"/>
      <c r="F4" s="11"/>
      <c r="G4" s="12"/>
    </row>
    <row r="5" spans="1:7" ht="26.25" thickBot="1">
      <c r="A5" s="9"/>
      <c r="B5" s="47" t="s">
        <v>3</v>
      </c>
      <c r="C5" s="48" t="s">
        <v>4</v>
      </c>
      <c r="D5" s="49" t="s">
        <v>5</v>
      </c>
      <c r="E5" s="49" t="s">
        <v>6</v>
      </c>
      <c r="F5" s="50" t="s">
        <v>7</v>
      </c>
      <c r="G5" s="51" t="s">
        <v>386</v>
      </c>
    </row>
    <row r="6" spans="1:7" ht="12.95" customHeight="1">
      <c r="A6" s="9"/>
      <c r="B6" s="84" t="s">
        <v>365</v>
      </c>
      <c r="C6" s="97"/>
      <c r="D6" s="81"/>
      <c r="E6" s="81"/>
      <c r="F6" s="82"/>
      <c r="G6" s="83"/>
    </row>
    <row r="7" spans="1:7" ht="12.95" customHeight="1">
      <c r="A7" s="9"/>
      <c r="B7" s="63" t="s">
        <v>366</v>
      </c>
      <c r="C7" s="25"/>
      <c r="D7" s="26"/>
      <c r="E7" s="100" t="s">
        <v>189</v>
      </c>
      <c r="F7" s="100" t="s">
        <v>189</v>
      </c>
      <c r="G7" s="101" t="s">
        <v>189</v>
      </c>
    </row>
    <row r="8" spans="1:7" ht="12.95" customHeight="1">
      <c r="A8" s="16"/>
      <c r="B8" s="63" t="s">
        <v>188</v>
      </c>
      <c r="C8" s="25"/>
      <c r="D8" s="26"/>
      <c r="E8" s="100" t="s">
        <v>189</v>
      </c>
      <c r="F8" s="100" t="s">
        <v>189</v>
      </c>
      <c r="G8" s="101" t="s">
        <v>189</v>
      </c>
    </row>
    <row r="9" spans="1:7" ht="12.95" customHeight="1">
      <c r="A9" s="9"/>
      <c r="B9" s="63"/>
      <c r="C9" s="25"/>
      <c r="D9" s="26"/>
      <c r="E9" s="94"/>
      <c r="F9" s="95"/>
      <c r="G9" s="96"/>
    </row>
    <row r="10" spans="1:7" ht="12.95" customHeight="1">
      <c r="A10" s="9"/>
      <c r="B10" s="64" t="s">
        <v>367</v>
      </c>
      <c r="C10" s="25"/>
      <c r="D10" s="26"/>
      <c r="E10" s="94"/>
      <c r="F10" s="95"/>
      <c r="G10" s="96"/>
    </row>
    <row r="11" spans="1:7" ht="12.95" customHeight="1">
      <c r="A11" s="9"/>
      <c r="B11" s="63" t="s">
        <v>368</v>
      </c>
      <c r="C11" s="25"/>
      <c r="D11" s="26"/>
      <c r="E11" s="100" t="s">
        <v>189</v>
      </c>
      <c r="F11" s="100" t="s">
        <v>189</v>
      </c>
      <c r="G11" s="101" t="s">
        <v>189</v>
      </c>
    </row>
    <row r="12" spans="1:7" ht="12.95" customHeight="1">
      <c r="A12" s="16"/>
      <c r="B12" s="63" t="s">
        <v>369</v>
      </c>
      <c r="C12" s="25"/>
      <c r="D12" s="26"/>
      <c r="E12" s="100" t="s">
        <v>189</v>
      </c>
      <c r="F12" s="100" t="s">
        <v>189</v>
      </c>
      <c r="G12" s="101" t="s">
        <v>189</v>
      </c>
    </row>
    <row r="13" spans="1:7" ht="12.95" customHeight="1">
      <c r="A13" s="9"/>
      <c r="B13" s="63" t="s">
        <v>370</v>
      </c>
      <c r="C13" s="25"/>
      <c r="D13" s="26"/>
      <c r="E13" s="100" t="s">
        <v>189</v>
      </c>
      <c r="F13" s="100" t="s">
        <v>189</v>
      </c>
      <c r="G13" s="101" t="s">
        <v>189</v>
      </c>
    </row>
    <row r="14" spans="1:7" ht="12.95" customHeight="1">
      <c r="A14" s="9"/>
      <c r="B14" s="63"/>
      <c r="C14" s="25"/>
      <c r="D14" s="26"/>
      <c r="E14" s="94"/>
      <c r="F14" s="94"/>
      <c r="G14" s="96"/>
    </row>
    <row r="15" spans="1:7" ht="12.95" customHeight="1">
      <c r="A15" s="9"/>
      <c r="B15" s="24" t="s">
        <v>9</v>
      </c>
      <c r="C15" s="29" t="s">
        <v>1</v>
      </c>
      <c r="D15" s="29" t="s">
        <v>1</v>
      </c>
      <c r="E15" s="29" t="s">
        <v>1</v>
      </c>
      <c r="F15" s="30" t="s">
        <v>1</v>
      </c>
      <c r="G15" s="35" t="s">
        <v>1</v>
      </c>
    </row>
    <row r="16" spans="1:7" ht="12.95" customHeight="1">
      <c r="A16" s="9"/>
      <c r="B16" s="24" t="s">
        <v>10</v>
      </c>
      <c r="C16" s="29" t="s">
        <v>1</v>
      </c>
      <c r="D16" s="29" t="s">
        <v>1</v>
      </c>
      <c r="E16" s="29" t="s">
        <v>1</v>
      </c>
      <c r="F16" s="30" t="s">
        <v>1</v>
      </c>
      <c r="G16" s="35" t="s">
        <v>1</v>
      </c>
    </row>
    <row r="17" spans="1:7" ht="12.95" customHeight="1">
      <c r="A17" s="16"/>
      <c r="B17" s="36" t="s">
        <v>11</v>
      </c>
      <c r="C17" s="29" t="s">
        <v>12</v>
      </c>
      <c r="D17" s="29" t="s">
        <v>13</v>
      </c>
      <c r="E17" s="31">
        <v>990000</v>
      </c>
      <c r="F17" s="32">
        <v>974.19366000000002</v>
      </c>
      <c r="G17" s="37">
        <v>0.23188977914973766</v>
      </c>
    </row>
    <row r="18" spans="1:7" ht="12.95" customHeight="1">
      <c r="A18" s="16"/>
      <c r="B18" s="36" t="s">
        <v>14</v>
      </c>
      <c r="C18" s="29" t="s">
        <v>15</v>
      </c>
      <c r="D18" s="29" t="s">
        <v>16</v>
      </c>
      <c r="E18" s="31">
        <v>500000</v>
      </c>
      <c r="F18" s="32">
        <v>498.93749000000003</v>
      </c>
      <c r="G18" s="37">
        <v>0.11876335180176029</v>
      </c>
    </row>
    <row r="19" spans="1:7" ht="12.95" customHeight="1">
      <c r="A19" s="16"/>
      <c r="B19" s="36" t="s">
        <v>17</v>
      </c>
      <c r="C19" s="29" t="s">
        <v>18</v>
      </c>
      <c r="D19" s="29" t="s">
        <v>13</v>
      </c>
      <c r="E19" s="31">
        <v>500000</v>
      </c>
      <c r="F19" s="32">
        <v>497.727465</v>
      </c>
      <c r="G19" s="37">
        <v>0.11847532649269016</v>
      </c>
    </row>
    <row r="20" spans="1:7" ht="12.95" customHeight="1">
      <c r="A20" s="16"/>
      <c r="B20" s="36" t="s">
        <v>19</v>
      </c>
      <c r="C20" s="29" t="s">
        <v>20</v>
      </c>
      <c r="D20" s="29" t="s">
        <v>13</v>
      </c>
      <c r="E20" s="31">
        <v>500000</v>
      </c>
      <c r="F20" s="32">
        <v>497.71256</v>
      </c>
      <c r="G20" s="37">
        <v>0.11847177861786799</v>
      </c>
    </row>
    <row r="21" spans="1:7" ht="12.95" customHeight="1">
      <c r="A21" s="16"/>
      <c r="B21" s="36" t="s">
        <v>21</v>
      </c>
      <c r="C21" s="29" t="s">
        <v>22</v>
      </c>
      <c r="D21" s="29" t="s">
        <v>23</v>
      </c>
      <c r="E21" s="31">
        <v>500000</v>
      </c>
      <c r="F21" s="32">
        <v>496.9</v>
      </c>
      <c r="G21" s="37">
        <v>0.11827836290733472</v>
      </c>
    </row>
    <row r="22" spans="1:7" ht="12.95" customHeight="1">
      <c r="A22" s="16"/>
      <c r="B22" s="36" t="s">
        <v>24</v>
      </c>
      <c r="C22" s="29" t="s">
        <v>25</v>
      </c>
      <c r="D22" s="29" t="s">
        <v>16</v>
      </c>
      <c r="E22" s="31">
        <v>500000</v>
      </c>
      <c r="F22" s="32">
        <v>495.87678499999998</v>
      </c>
      <c r="G22" s="37">
        <v>0.11803480445472407</v>
      </c>
    </row>
    <row r="23" spans="1:7" ht="12.95" customHeight="1">
      <c r="A23" s="16"/>
      <c r="B23" s="36" t="s">
        <v>26</v>
      </c>
      <c r="C23" s="29" t="s">
        <v>27</v>
      </c>
      <c r="D23" s="29" t="s">
        <v>16</v>
      </c>
      <c r="E23" s="31">
        <v>500000</v>
      </c>
      <c r="F23" s="32">
        <v>495.28327000000002</v>
      </c>
      <c r="G23" s="37">
        <v>0.11789352857917376</v>
      </c>
    </row>
    <row r="24" spans="1:7" ht="12.95" customHeight="1">
      <c r="A24" s="9"/>
      <c r="B24" s="24" t="s">
        <v>28</v>
      </c>
      <c r="C24" s="29" t="s">
        <v>1</v>
      </c>
      <c r="D24" s="29" t="s">
        <v>1</v>
      </c>
      <c r="E24" s="29" t="s">
        <v>1</v>
      </c>
      <c r="F24" s="21">
        <v>3956.63123</v>
      </c>
      <c r="G24" s="38">
        <v>0.94180693200328869</v>
      </c>
    </row>
    <row r="25" spans="1:7" ht="12.95" customHeight="1">
      <c r="A25" s="9"/>
      <c r="B25" s="24"/>
      <c r="C25" s="29"/>
      <c r="D25" s="29"/>
      <c r="E25" s="29"/>
      <c r="F25" s="21"/>
      <c r="G25" s="38"/>
    </row>
    <row r="26" spans="1:7" ht="12.95" customHeight="1">
      <c r="A26" s="9"/>
      <c r="B26" s="65" t="s">
        <v>384</v>
      </c>
      <c r="C26" s="29" t="s">
        <v>1</v>
      </c>
      <c r="D26" s="29" t="s">
        <v>1</v>
      </c>
      <c r="E26" s="29" t="s">
        <v>1</v>
      </c>
      <c r="F26" s="21"/>
      <c r="G26" s="38"/>
    </row>
    <row r="27" spans="1:7" ht="12.95" customHeight="1">
      <c r="A27" s="9"/>
      <c r="B27" s="24" t="s">
        <v>30</v>
      </c>
      <c r="C27" s="29" t="s">
        <v>1</v>
      </c>
      <c r="D27" s="29" t="s">
        <v>1</v>
      </c>
      <c r="E27" s="29" t="s">
        <v>1</v>
      </c>
      <c r="F27" s="30" t="s">
        <v>1</v>
      </c>
      <c r="G27" s="35" t="s">
        <v>1</v>
      </c>
    </row>
    <row r="28" spans="1:7" ht="12.95" customHeight="1">
      <c r="A28" s="16"/>
      <c r="B28" s="36" t="s">
        <v>31</v>
      </c>
      <c r="C28" s="29" t="s">
        <v>1</v>
      </c>
      <c r="D28" s="29" t="s">
        <v>32</v>
      </c>
      <c r="E28" s="31"/>
      <c r="F28" s="32">
        <v>247.77875</v>
      </c>
      <c r="G28" s="37">
        <v>5.8979402119593002E-2</v>
      </c>
    </row>
    <row r="29" spans="1:7" ht="12.95" customHeight="1">
      <c r="A29" s="9"/>
      <c r="B29" s="24" t="s">
        <v>28</v>
      </c>
      <c r="C29" s="29" t="s">
        <v>1</v>
      </c>
      <c r="D29" s="29" t="s">
        <v>1</v>
      </c>
      <c r="E29" s="29" t="s">
        <v>1</v>
      </c>
      <c r="F29" s="21">
        <v>247.77875</v>
      </c>
      <c r="G29" s="38">
        <v>5.8979402119593002E-2</v>
      </c>
    </row>
    <row r="30" spans="1:7" ht="12.95" customHeight="1">
      <c r="A30" s="9"/>
      <c r="B30" s="24"/>
      <c r="C30" s="29"/>
      <c r="D30" s="29"/>
      <c r="E30" s="29"/>
      <c r="F30" s="21"/>
      <c r="G30" s="38"/>
    </row>
    <row r="31" spans="1:7" ht="12.95" customHeight="1">
      <c r="A31" s="9"/>
      <c r="B31" s="24" t="s">
        <v>33</v>
      </c>
      <c r="C31" s="29" t="s">
        <v>1</v>
      </c>
      <c r="D31" s="29" t="s">
        <v>1</v>
      </c>
      <c r="E31" s="29" t="s">
        <v>1</v>
      </c>
      <c r="F31" s="33">
        <v>-3.3034734000000001</v>
      </c>
      <c r="G31" s="40">
        <v>-7.8633412288164905E-4</v>
      </c>
    </row>
    <row r="32" spans="1:7" ht="12.95" customHeight="1">
      <c r="A32" s="9"/>
      <c r="B32" s="65" t="s">
        <v>28</v>
      </c>
      <c r="C32" s="29"/>
      <c r="D32" s="29"/>
      <c r="E32" s="29"/>
      <c r="F32" s="21">
        <v>-3.3034734000000001</v>
      </c>
      <c r="G32" s="38">
        <v>-7.8633412288164905E-4</v>
      </c>
    </row>
    <row r="33" spans="1:7" ht="12.95" customHeight="1">
      <c r="A33" s="9"/>
      <c r="B33" s="24" t="s">
        <v>29</v>
      </c>
      <c r="C33" s="29"/>
      <c r="D33" s="29"/>
      <c r="E33" s="29"/>
      <c r="F33" s="21">
        <f>F29+F32</f>
        <v>244.4752766</v>
      </c>
      <c r="G33" s="42">
        <f>G29+G32</f>
        <v>5.8193067996711353E-2</v>
      </c>
    </row>
    <row r="34" spans="1:7" ht="12.95" customHeight="1" thickBot="1">
      <c r="A34" s="9"/>
      <c r="B34" s="56"/>
      <c r="C34" s="57"/>
      <c r="D34" s="57"/>
      <c r="E34" s="57"/>
      <c r="F34" s="58"/>
      <c r="G34" s="59"/>
    </row>
    <row r="35" spans="1:7" ht="12.95" customHeight="1" thickTop="1" thickBot="1">
      <c r="A35" s="9"/>
      <c r="B35" s="52" t="s">
        <v>34</v>
      </c>
      <c r="C35" s="53" t="s">
        <v>1</v>
      </c>
      <c r="D35" s="53" t="s">
        <v>1</v>
      </c>
      <c r="E35" s="53" t="s">
        <v>1</v>
      </c>
      <c r="F35" s="54">
        <v>4201.1065066000001</v>
      </c>
      <c r="G35" s="55">
        <v>1</v>
      </c>
    </row>
    <row r="36" spans="1:7" ht="12.95" customHeight="1">
      <c r="A36" s="9"/>
      <c r="B36" s="15" t="s">
        <v>1</v>
      </c>
      <c r="C36" s="9"/>
      <c r="D36" s="9"/>
      <c r="E36" s="9"/>
      <c r="F36" s="11"/>
      <c r="G36" s="12"/>
    </row>
    <row r="37" spans="1:7" ht="12.95" customHeight="1">
      <c r="A37" s="9"/>
      <c r="B37" s="10" t="s">
        <v>32</v>
      </c>
      <c r="C37" s="9"/>
      <c r="D37" s="9"/>
      <c r="E37" s="9"/>
      <c r="F37" s="11"/>
      <c r="G37" s="12"/>
    </row>
    <row r="38" spans="1:7" ht="12.95" customHeight="1">
      <c r="A38" s="9"/>
      <c r="B38" s="10" t="s">
        <v>35</v>
      </c>
      <c r="C38" s="9"/>
      <c r="D38" s="9"/>
      <c r="E38" s="9"/>
      <c r="F38" s="11"/>
      <c r="G38" s="12"/>
    </row>
    <row r="39" spans="1:7" ht="12.95" customHeight="1">
      <c r="A39" s="9"/>
      <c r="B39" s="10" t="s">
        <v>36</v>
      </c>
      <c r="C39" s="9"/>
      <c r="D39" s="9"/>
      <c r="E39" s="9"/>
      <c r="F39" s="11"/>
      <c r="G39" s="12"/>
    </row>
    <row r="40" spans="1:7" ht="12.95" customHeight="1" thickBot="1">
      <c r="A40" s="9"/>
      <c r="B40" s="10" t="s">
        <v>1</v>
      </c>
      <c r="C40" s="9"/>
      <c r="D40" s="9"/>
      <c r="E40" s="9"/>
      <c r="F40" s="11"/>
      <c r="G40" s="12"/>
    </row>
    <row r="41" spans="1:7" ht="12.95" customHeight="1" thickBot="1">
      <c r="A41" s="9"/>
      <c r="B41" s="98" t="s">
        <v>387</v>
      </c>
      <c r="C41" s="99">
        <v>34.729999999999997</v>
      </c>
      <c r="D41" s="9"/>
      <c r="E41" s="9"/>
      <c r="F41" s="11"/>
      <c r="G41" s="12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zoomScaleNormal="100" workbookViewId="0">
      <selection activeCell="B4" sqref="B4"/>
    </sheetView>
  </sheetViews>
  <sheetFormatPr defaultRowHeight="12.75"/>
  <cols>
    <col min="1" max="1" width="11.42578125" style="13" bestFit="1" customWidth="1"/>
    <col min="2" max="2" width="55.85546875" style="13" customWidth="1"/>
    <col min="3" max="5" width="19" style="13" customWidth="1"/>
    <col min="6" max="6" width="19" style="17" customWidth="1"/>
    <col min="7" max="7" width="19" style="18" customWidth="1"/>
    <col min="8" max="16384" width="9.140625" style="13"/>
  </cols>
  <sheetData>
    <row r="1" spans="1:7" ht="18">
      <c r="A1" s="9"/>
      <c r="B1" s="119" t="s">
        <v>350</v>
      </c>
      <c r="C1" s="120"/>
      <c r="D1" s="120"/>
      <c r="E1" s="120"/>
      <c r="F1" s="120"/>
      <c r="G1" s="121"/>
    </row>
    <row r="2" spans="1:7" ht="13.5" thickBot="1">
      <c r="A2" s="9"/>
      <c r="B2" s="110" t="s">
        <v>392</v>
      </c>
      <c r="C2" s="111"/>
      <c r="D2" s="111"/>
      <c r="E2" s="111"/>
      <c r="F2" s="111"/>
      <c r="G2" s="112"/>
    </row>
    <row r="3" spans="1:7">
      <c r="A3" s="9"/>
      <c r="B3" s="14" t="s">
        <v>1</v>
      </c>
      <c r="C3" s="9"/>
      <c r="D3" s="9"/>
      <c r="E3" s="9"/>
      <c r="F3" s="11"/>
      <c r="G3" s="12"/>
    </row>
    <row r="4" spans="1:7" ht="13.5" thickBot="1">
      <c r="A4" s="15"/>
      <c r="B4" s="10" t="s">
        <v>2</v>
      </c>
      <c r="C4" s="9"/>
      <c r="D4" s="9"/>
      <c r="E4" s="9"/>
      <c r="F4" s="11"/>
      <c r="G4" s="12"/>
    </row>
    <row r="5" spans="1:7" ht="26.25" thickBot="1">
      <c r="A5" s="9"/>
      <c r="B5" s="47" t="s">
        <v>3</v>
      </c>
      <c r="C5" s="48" t="s">
        <v>4</v>
      </c>
      <c r="D5" s="49" t="s">
        <v>5</v>
      </c>
      <c r="E5" s="49" t="s">
        <v>6</v>
      </c>
      <c r="F5" s="50" t="s">
        <v>7</v>
      </c>
      <c r="G5" s="51" t="s">
        <v>8</v>
      </c>
    </row>
    <row r="6" spans="1:7">
      <c r="A6" s="9"/>
      <c r="B6" s="84" t="s">
        <v>365</v>
      </c>
      <c r="C6" s="97"/>
      <c r="D6" s="81"/>
      <c r="E6" s="81"/>
      <c r="F6" s="82"/>
      <c r="G6" s="104"/>
    </row>
    <row r="7" spans="1:7">
      <c r="A7" s="9"/>
      <c r="B7" s="63" t="s">
        <v>366</v>
      </c>
      <c r="C7" s="67"/>
      <c r="D7" s="26"/>
      <c r="E7" s="100" t="s">
        <v>189</v>
      </c>
      <c r="F7" s="100" t="s">
        <v>189</v>
      </c>
      <c r="G7" s="101" t="s">
        <v>189</v>
      </c>
    </row>
    <row r="8" spans="1:7">
      <c r="A8" s="16"/>
      <c r="B8" s="63" t="s">
        <v>188</v>
      </c>
      <c r="C8" s="67"/>
      <c r="D8" s="26"/>
      <c r="E8" s="100" t="s">
        <v>189</v>
      </c>
      <c r="F8" s="100" t="s">
        <v>189</v>
      </c>
      <c r="G8" s="101" t="s">
        <v>189</v>
      </c>
    </row>
    <row r="9" spans="1:7">
      <c r="A9" s="16"/>
      <c r="B9" s="89"/>
      <c r="C9" s="25"/>
      <c r="D9" s="26"/>
      <c r="E9" s="26"/>
      <c r="F9" s="27"/>
      <c r="G9" s="77"/>
    </row>
    <row r="10" spans="1:7">
      <c r="A10" s="16"/>
      <c r="B10" s="64" t="s">
        <v>367</v>
      </c>
      <c r="C10" s="66"/>
      <c r="D10" s="26"/>
      <c r="E10" s="26"/>
      <c r="F10" s="27"/>
      <c r="G10" s="77"/>
    </row>
    <row r="11" spans="1:7">
      <c r="A11" s="16"/>
      <c r="B11" s="63" t="s">
        <v>371</v>
      </c>
      <c r="C11" s="67"/>
      <c r="D11" s="26"/>
      <c r="E11" s="100" t="s">
        <v>189</v>
      </c>
      <c r="F11" s="100" t="s">
        <v>189</v>
      </c>
      <c r="G11" s="101" t="s">
        <v>189</v>
      </c>
    </row>
    <row r="12" spans="1:7">
      <c r="A12" s="16"/>
      <c r="B12" s="63" t="s">
        <v>369</v>
      </c>
      <c r="C12" s="67"/>
      <c r="D12" s="26"/>
      <c r="E12" s="100" t="s">
        <v>189</v>
      </c>
      <c r="F12" s="100" t="s">
        <v>189</v>
      </c>
      <c r="G12" s="101" t="s">
        <v>189</v>
      </c>
    </row>
    <row r="13" spans="1:7">
      <c r="A13" s="9"/>
      <c r="B13" s="63" t="s">
        <v>370</v>
      </c>
      <c r="C13" s="67"/>
      <c r="D13" s="26"/>
      <c r="E13" s="100" t="s">
        <v>189</v>
      </c>
      <c r="F13" s="100" t="s">
        <v>189</v>
      </c>
      <c r="G13" s="101" t="s">
        <v>189</v>
      </c>
    </row>
    <row r="14" spans="1:7">
      <c r="A14" s="9"/>
      <c r="B14" s="63"/>
      <c r="C14" s="67"/>
      <c r="D14" s="26"/>
      <c r="E14" s="100"/>
      <c r="F14" s="100"/>
      <c r="G14" s="101"/>
    </row>
    <row r="15" spans="1:7">
      <c r="A15" s="9"/>
      <c r="B15" s="24" t="s">
        <v>9</v>
      </c>
      <c r="C15" s="29" t="s">
        <v>1</v>
      </c>
      <c r="D15" s="29" t="s">
        <v>1</v>
      </c>
      <c r="E15" s="29" t="s">
        <v>1</v>
      </c>
      <c r="F15" s="30" t="s">
        <v>1</v>
      </c>
      <c r="G15" s="35" t="s">
        <v>1</v>
      </c>
    </row>
    <row r="16" spans="1:7">
      <c r="A16" s="9"/>
      <c r="B16" s="24" t="s">
        <v>10</v>
      </c>
      <c r="C16" s="29" t="s">
        <v>1</v>
      </c>
      <c r="D16" s="29" t="s">
        <v>1</v>
      </c>
      <c r="E16" s="29" t="s">
        <v>1</v>
      </c>
      <c r="F16" s="30" t="s">
        <v>1</v>
      </c>
      <c r="G16" s="35" t="s">
        <v>1</v>
      </c>
    </row>
    <row r="17" spans="1:7">
      <c r="A17" s="16"/>
      <c r="B17" s="36" t="s">
        <v>351</v>
      </c>
      <c r="C17" s="29" t="s">
        <v>352</v>
      </c>
      <c r="D17" s="29" t="s">
        <v>16</v>
      </c>
      <c r="E17" s="31">
        <v>500000</v>
      </c>
      <c r="F17" s="32">
        <v>492.01949999999999</v>
      </c>
      <c r="G17" s="37">
        <v>0.13731482239258655</v>
      </c>
    </row>
    <row r="18" spans="1:7">
      <c r="A18" s="16"/>
      <c r="B18" s="36" t="s">
        <v>353</v>
      </c>
      <c r="C18" s="29" t="s">
        <v>354</v>
      </c>
      <c r="D18" s="29" t="s">
        <v>16</v>
      </c>
      <c r="E18" s="31">
        <v>500000</v>
      </c>
      <c r="F18" s="32">
        <v>482.28550000000001</v>
      </c>
      <c r="G18" s="37">
        <v>0.1345982177027939</v>
      </c>
    </row>
    <row r="19" spans="1:7">
      <c r="A19" s="16"/>
      <c r="B19" s="36" t="s">
        <v>355</v>
      </c>
      <c r="C19" s="29" t="s">
        <v>356</v>
      </c>
      <c r="D19" s="29" t="s">
        <v>16</v>
      </c>
      <c r="E19" s="31">
        <v>500000</v>
      </c>
      <c r="F19" s="32">
        <v>481.20749999999998</v>
      </c>
      <c r="G19" s="37">
        <v>0.13429736503630568</v>
      </c>
    </row>
    <row r="20" spans="1:7">
      <c r="A20" s="16"/>
      <c r="B20" s="36" t="s">
        <v>357</v>
      </c>
      <c r="C20" s="29" t="s">
        <v>358</v>
      </c>
      <c r="D20" s="29" t="s">
        <v>359</v>
      </c>
      <c r="E20" s="31">
        <v>500000</v>
      </c>
      <c r="F20" s="32">
        <v>479.75850000000003</v>
      </c>
      <c r="G20" s="37">
        <v>0.13389297216641563</v>
      </c>
    </row>
    <row r="21" spans="1:7">
      <c r="A21" s="16"/>
      <c r="B21" s="36" t="s">
        <v>360</v>
      </c>
      <c r="C21" s="29" t="s">
        <v>361</v>
      </c>
      <c r="D21" s="29" t="s">
        <v>13</v>
      </c>
      <c r="E21" s="31">
        <v>460000</v>
      </c>
      <c r="F21" s="32">
        <v>448.06392</v>
      </c>
      <c r="G21" s="37">
        <v>0.12504751863559496</v>
      </c>
    </row>
    <row r="22" spans="1:7">
      <c r="A22" s="16"/>
      <c r="B22" s="36" t="s">
        <v>362</v>
      </c>
      <c r="C22" s="29" t="s">
        <v>363</v>
      </c>
      <c r="D22" s="29" t="s">
        <v>16</v>
      </c>
      <c r="E22" s="31">
        <v>300000</v>
      </c>
      <c r="F22" s="32">
        <v>289.4529</v>
      </c>
      <c r="G22" s="37">
        <v>8.0781703884742609E-2</v>
      </c>
    </row>
    <row r="23" spans="1:7">
      <c r="A23" s="9"/>
      <c r="B23" s="24" t="s">
        <v>28</v>
      </c>
      <c r="C23" s="29" t="s">
        <v>1</v>
      </c>
      <c r="D23" s="29" t="s">
        <v>1</v>
      </c>
      <c r="E23" s="29" t="s">
        <v>1</v>
      </c>
      <c r="F23" s="21">
        <v>2672.78782</v>
      </c>
      <c r="G23" s="38">
        <v>0.7459325998184394</v>
      </c>
    </row>
    <row r="24" spans="1:7">
      <c r="A24" s="9"/>
      <c r="B24" s="24" t="s">
        <v>29</v>
      </c>
      <c r="C24" s="29" t="s">
        <v>1</v>
      </c>
      <c r="D24" s="29" t="s">
        <v>1</v>
      </c>
      <c r="E24" s="29" t="s">
        <v>1</v>
      </c>
      <c r="F24" s="21">
        <v>2672.78782</v>
      </c>
      <c r="G24" s="38">
        <v>0.7459325998184394</v>
      </c>
    </row>
    <row r="25" spans="1:7">
      <c r="A25" s="9"/>
      <c r="B25" s="24"/>
      <c r="C25" s="29"/>
      <c r="D25" s="29"/>
      <c r="E25" s="29"/>
      <c r="F25" s="21"/>
      <c r="G25" s="38"/>
    </row>
    <row r="26" spans="1:7">
      <c r="A26" s="9"/>
      <c r="B26" s="24" t="s">
        <v>199</v>
      </c>
      <c r="C26" s="29" t="s">
        <v>1</v>
      </c>
      <c r="D26" s="29" t="s">
        <v>1</v>
      </c>
      <c r="E26" s="29" t="s">
        <v>1</v>
      </c>
      <c r="F26" s="30" t="s">
        <v>1</v>
      </c>
      <c r="G26" s="35" t="s">
        <v>1</v>
      </c>
    </row>
    <row r="27" spans="1:7">
      <c r="A27" s="9"/>
      <c r="B27" s="24" t="s">
        <v>200</v>
      </c>
      <c r="C27" s="29" t="s">
        <v>1</v>
      </c>
      <c r="D27" s="29" t="s">
        <v>1</v>
      </c>
      <c r="E27" s="29" t="s">
        <v>1</v>
      </c>
      <c r="F27" s="30" t="s">
        <v>1</v>
      </c>
      <c r="G27" s="35" t="s">
        <v>1</v>
      </c>
    </row>
    <row r="28" spans="1:7">
      <c r="A28" s="16"/>
      <c r="B28" s="36" t="s">
        <v>378</v>
      </c>
      <c r="C28" s="29" t="s">
        <v>348</v>
      </c>
      <c r="D28" s="29" t="s">
        <v>1</v>
      </c>
      <c r="E28" s="31">
        <v>1300000</v>
      </c>
      <c r="F28" s="32">
        <v>137.89619999999999</v>
      </c>
      <c r="G28" s="37">
        <v>3.8484637725969391E-2</v>
      </c>
    </row>
    <row r="29" spans="1:7">
      <c r="A29" s="9"/>
      <c r="B29" s="24" t="s">
        <v>28</v>
      </c>
      <c r="C29" s="29" t="s">
        <v>1</v>
      </c>
      <c r="D29" s="29" t="s">
        <v>1</v>
      </c>
      <c r="E29" s="29" t="s">
        <v>1</v>
      </c>
      <c r="F29" s="21">
        <v>137.89619999999999</v>
      </c>
      <c r="G29" s="38">
        <v>3.8484637725969391E-2</v>
      </c>
    </row>
    <row r="30" spans="1:7">
      <c r="A30" s="9"/>
      <c r="B30" s="24"/>
      <c r="C30" s="29"/>
      <c r="D30" s="29"/>
      <c r="E30" s="29"/>
      <c r="F30" s="21"/>
      <c r="G30" s="38"/>
    </row>
    <row r="31" spans="1:7">
      <c r="A31" s="9"/>
      <c r="B31" s="24" t="s">
        <v>30</v>
      </c>
      <c r="C31" s="29" t="s">
        <v>1</v>
      </c>
      <c r="D31" s="29" t="s">
        <v>1</v>
      </c>
      <c r="E31" s="29" t="s">
        <v>1</v>
      </c>
      <c r="F31" s="30" t="s">
        <v>1</v>
      </c>
      <c r="G31" s="35" t="s">
        <v>1</v>
      </c>
    </row>
    <row r="32" spans="1:7">
      <c r="A32" s="16"/>
      <c r="B32" s="36" t="s">
        <v>31</v>
      </c>
      <c r="C32" s="29" t="s">
        <v>1</v>
      </c>
      <c r="D32" s="29" t="s">
        <v>32</v>
      </c>
      <c r="E32" s="31"/>
      <c r="F32" s="32">
        <v>736.86355000000003</v>
      </c>
      <c r="G32" s="37">
        <v>0.20564690524627749</v>
      </c>
    </row>
    <row r="33" spans="1:7">
      <c r="A33" s="9"/>
      <c r="B33" s="24" t="s">
        <v>28</v>
      </c>
      <c r="C33" s="29" t="s">
        <v>1</v>
      </c>
      <c r="D33" s="29" t="s">
        <v>1</v>
      </c>
      <c r="E33" s="29" t="s">
        <v>1</v>
      </c>
      <c r="F33" s="21">
        <v>736.86355000000003</v>
      </c>
      <c r="G33" s="38">
        <v>0.20564690524627749</v>
      </c>
    </row>
    <row r="34" spans="1:7">
      <c r="A34" s="9"/>
      <c r="B34" s="24"/>
      <c r="C34" s="29"/>
      <c r="D34" s="29"/>
      <c r="E34" s="29"/>
      <c r="F34" s="21"/>
      <c r="G34" s="38"/>
    </row>
    <row r="35" spans="1:7">
      <c r="A35" s="9"/>
      <c r="B35" s="24" t="s">
        <v>33</v>
      </c>
      <c r="C35" s="29" t="s">
        <v>1</v>
      </c>
      <c r="D35" s="29" t="s">
        <v>1</v>
      </c>
      <c r="E35" s="29" t="s">
        <v>1</v>
      </c>
      <c r="F35" s="33">
        <v>35.601659099999999</v>
      </c>
      <c r="G35" s="40">
        <v>9.9358572093137653E-3</v>
      </c>
    </row>
    <row r="36" spans="1:7">
      <c r="A36" s="9"/>
      <c r="B36" s="87" t="s">
        <v>28</v>
      </c>
      <c r="C36" s="29"/>
      <c r="D36" s="29"/>
      <c r="E36" s="29"/>
      <c r="F36" s="21">
        <v>35.601659099999999</v>
      </c>
      <c r="G36" s="38">
        <v>9.9358572093137653E-3</v>
      </c>
    </row>
    <row r="37" spans="1:7">
      <c r="A37" s="9"/>
      <c r="B37" s="24" t="s">
        <v>29</v>
      </c>
      <c r="C37" s="29"/>
      <c r="D37" s="29"/>
      <c r="E37" s="29"/>
      <c r="F37" s="21">
        <f>F29+F33+F36</f>
        <v>910.36140910000006</v>
      </c>
      <c r="G37" s="42">
        <f>G29+G33+G36</f>
        <v>0.25406740018156065</v>
      </c>
    </row>
    <row r="38" spans="1:7" ht="13.5" thickBot="1">
      <c r="A38" s="9"/>
      <c r="B38" s="56"/>
      <c r="C38" s="57"/>
      <c r="D38" s="57"/>
      <c r="E38" s="57"/>
      <c r="F38" s="58"/>
      <c r="G38" s="59"/>
    </row>
    <row r="39" spans="1:7" ht="14.25" thickTop="1" thickBot="1">
      <c r="A39" s="9"/>
      <c r="B39" s="52" t="s">
        <v>34</v>
      </c>
      <c r="C39" s="53" t="s">
        <v>1</v>
      </c>
      <c r="D39" s="53" t="s">
        <v>1</v>
      </c>
      <c r="E39" s="53" t="s">
        <v>1</v>
      </c>
      <c r="F39" s="54">
        <v>3583.1492291</v>
      </c>
      <c r="G39" s="55">
        <v>1</v>
      </c>
    </row>
    <row r="40" spans="1:7">
      <c r="A40" s="9"/>
      <c r="B40" s="15" t="s">
        <v>1</v>
      </c>
      <c r="C40" s="9"/>
      <c r="D40" s="9"/>
      <c r="E40" s="9"/>
      <c r="F40" s="11"/>
      <c r="G40" s="12"/>
    </row>
    <row r="41" spans="1:7">
      <c r="A41" s="9"/>
      <c r="B41" s="10" t="s">
        <v>32</v>
      </c>
      <c r="C41" s="9"/>
      <c r="D41" s="9"/>
      <c r="E41" s="9"/>
      <c r="F41" s="11"/>
      <c r="G41" s="12"/>
    </row>
    <row r="42" spans="1:7">
      <c r="A42" s="9"/>
      <c r="B42" s="10" t="s">
        <v>35</v>
      </c>
      <c r="C42" s="9"/>
      <c r="D42" s="9"/>
      <c r="E42" s="9"/>
      <c r="F42" s="11"/>
      <c r="G42" s="12"/>
    </row>
    <row r="43" spans="1:7">
      <c r="A43" s="9"/>
      <c r="B43" s="10" t="s">
        <v>36</v>
      </c>
      <c r="C43" s="9"/>
      <c r="D43" s="9"/>
      <c r="E43" s="9"/>
      <c r="F43" s="11"/>
      <c r="G43" s="12"/>
    </row>
    <row r="44" spans="1:7" ht="13.5" thickBot="1">
      <c r="A44" s="9"/>
      <c r="B44" s="10" t="s">
        <v>1</v>
      </c>
      <c r="C44" s="9"/>
      <c r="D44" s="9"/>
      <c r="E44" s="9"/>
      <c r="F44" s="11"/>
      <c r="G44" s="12"/>
    </row>
    <row r="45" spans="1:7" ht="13.5" thickBot="1">
      <c r="A45" s="9"/>
      <c r="B45" s="105" t="s">
        <v>387</v>
      </c>
      <c r="C45" s="106">
        <v>109.56</v>
      </c>
      <c r="D45" s="9"/>
      <c r="E45" s="9"/>
      <c r="F45" s="11"/>
      <c r="G45" s="12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zoomScaleNormal="100" workbookViewId="0">
      <selection activeCell="C43" sqref="C43"/>
    </sheetView>
  </sheetViews>
  <sheetFormatPr defaultRowHeight="12.75"/>
  <cols>
    <col min="1" max="1" width="11.42578125" style="13" bestFit="1" customWidth="1"/>
    <col min="2" max="2" width="54.140625" style="13" customWidth="1"/>
    <col min="3" max="5" width="19.85546875" style="13" customWidth="1"/>
    <col min="6" max="6" width="19.85546875" style="17" customWidth="1"/>
    <col min="7" max="7" width="19.85546875" style="18" customWidth="1"/>
    <col min="8" max="16384" width="9.140625" style="13"/>
  </cols>
  <sheetData>
    <row r="1" spans="1:7" ht="18">
      <c r="A1" s="9"/>
      <c r="B1" s="119" t="s">
        <v>364</v>
      </c>
      <c r="C1" s="120"/>
      <c r="D1" s="120"/>
      <c r="E1" s="120"/>
      <c r="F1" s="120"/>
      <c r="G1" s="121"/>
    </row>
    <row r="2" spans="1:7" ht="13.5" thickBot="1">
      <c r="A2" s="9"/>
      <c r="B2" s="110" t="s">
        <v>392</v>
      </c>
      <c r="C2" s="111"/>
      <c r="D2" s="111"/>
      <c r="E2" s="111"/>
      <c r="F2" s="111"/>
      <c r="G2" s="112"/>
    </row>
    <row r="3" spans="1:7">
      <c r="A3" s="9"/>
      <c r="B3" s="14" t="s">
        <v>1</v>
      </c>
      <c r="C3" s="9"/>
      <c r="D3" s="9"/>
      <c r="E3" s="9"/>
      <c r="F3" s="11"/>
      <c r="G3" s="12"/>
    </row>
    <row r="4" spans="1:7" ht="13.5" thickBot="1">
      <c r="A4" s="15"/>
      <c r="B4" s="10" t="s">
        <v>2</v>
      </c>
      <c r="C4" s="9"/>
      <c r="D4" s="9"/>
      <c r="E4" s="9"/>
      <c r="F4" s="11"/>
      <c r="G4" s="12"/>
    </row>
    <row r="5" spans="1:7" ht="26.25" thickBot="1">
      <c r="A5" s="9"/>
      <c r="B5" s="47" t="s">
        <v>3</v>
      </c>
      <c r="C5" s="48" t="s">
        <v>4</v>
      </c>
      <c r="D5" s="49" t="s">
        <v>5</v>
      </c>
      <c r="E5" s="49" t="s">
        <v>6</v>
      </c>
      <c r="F5" s="50" t="s">
        <v>7</v>
      </c>
      <c r="G5" s="51" t="s">
        <v>8</v>
      </c>
    </row>
    <row r="6" spans="1:7">
      <c r="A6" s="9"/>
      <c r="B6" s="84" t="s">
        <v>365</v>
      </c>
      <c r="C6" s="97"/>
      <c r="D6" s="81"/>
      <c r="E6" s="81"/>
      <c r="F6" s="82"/>
      <c r="G6" s="104"/>
    </row>
    <row r="7" spans="1:7">
      <c r="A7" s="9"/>
      <c r="B7" s="63" t="s">
        <v>366</v>
      </c>
      <c r="C7" s="67"/>
      <c r="D7" s="26"/>
      <c r="E7" s="100" t="s">
        <v>189</v>
      </c>
      <c r="F7" s="100" t="s">
        <v>189</v>
      </c>
      <c r="G7" s="101" t="s">
        <v>189</v>
      </c>
    </row>
    <row r="8" spans="1:7">
      <c r="A8" s="16"/>
      <c r="B8" s="63" t="s">
        <v>188</v>
      </c>
      <c r="C8" s="67"/>
      <c r="D8" s="26"/>
      <c r="E8" s="100" t="s">
        <v>189</v>
      </c>
      <c r="F8" s="100" t="s">
        <v>189</v>
      </c>
      <c r="G8" s="101" t="s">
        <v>189</v>
      </c>
    </row>
    <row r="9" spans="1:7">
      <c r="A9" s="16"/>
      <c r="B9" s="89"/>
      <c r="C9" s="25"/>
      <c r="D9" s="26"/>
      <c r="E9" s="26"/>
      <c r="F9" s="27"/>
      <c r="G9" s="77"/>
    </row>
    <row r="10" spans="1:7">
      <c r="A10" s="16"/>
      <c r="B10" s="64" t="s">
        <v>367</v>
      </c>
      <c r="C10" s="66"/>
      <c r="D10" s="26"/>
      <c r="E10" s="26"/>
      <c r="F10" s="27"/>
      <c r="G10" s="77"/>
    </row>
    <row r="11" spans="1:7">
      <c r="A11" s="16"/>
      <c r="B11" s="63" t="s">
        <v>371</v>
      </c>
      <c r="C11" s="67"/>
      <c r="D11" s="26"/>
      <c r="E11" s="100" t="s">
        <v>189</v>
      </c>
      <c r="F11" s="100" t="s">
        <v>189</v>
      </c>
      <c r="G11" s="101" t="s">
        <v>189</v>
      </c>
    </row>
    <row r="12" spans="1:7">
      <c r="A12" s="16"/>
      <c r="B12" s="63" t="s">
        <v>369</v>
      </c>
      <c r="C12" s="67"/>
      <c r="D12" s="26"/>
      <c r="E12" s="100" t="s">
        <v>189</v>
      </c>
      <c r="F12" s="100" t="s">
        <v>189</v>
      </c>
      <c r="G12" s="101" t="s">
        <v>189</v>
      </c>
    </row>
    <row r="13" spans="1:7">
      <c r="A13" s="9"/>
      <c r="B13" s="63" t="s">
        <v>370</v>
      </c>
      <c r="C13" s="67"/>
      <c r="D13" s="26"/>
      <c r="E13" s="100" t="s">
        <v>189</v>
      </c>
      <c r="F13" s="100" t="s">
        <v>189</v>
      </c>
      <c r="G13" s="101" t="s">
        <v>189</v>
      </c>
    </row>
    <row r="14" spans="1:7">
      <c r="A14" s="9"/>
      <c r="B14" s="63"/>
      <c r="C14" s="67"/>
      <c r="D14" s="26"/>
      <c r="E14" s="94"/>
      <c r="F14" s="95"/>
      <c r="G14" s="96"/>
    </row>
    <row r="15" spans="1:7">
      <c r="A15" s="9"/>
      <c r="B15" s="24" t="s">
        <v>9</v>
      </c>
      <c r="C15" s="29" t="s">
        <v>1</v>
      </c>
      <c r="D15" s="29" t="s">
        <v>1</v>
      </c>
      <c r="E15" s="29" t="s">
        <v>1</v>
      </c>
      <c r="F15" s="30" t="s">
        <v>1</v>
      </c>
      <c r="G15" s="35" t="s">
        <v>1</v>
      </c>
    </row>
    <row r="16" spans="1:7">
      <c r="A16" s="9"/>
      <c r="B16" s="24" t="s">
        <v>10</v>
      </c>
      <c r="C16" s="29" t="s">
        <v>1</v>
      </c>
      <c r="D16" s="29" t="s">
        <v>1</v>
      </c>
      <c r="E16" s="29" t="s">
        <v>1</v>
      </c>
      <c r="F16" s="30" t="s">
        <v>1</v>
      </c>
      <c r="G16" s="35" t="s">
        <v>1</v>
      </c>
    </row>
    <row r="17" spans="1:7">
      <c r="A17" s="16"/>
      <c r="B17" s="36" t="s">
        <v>362</v>
      </c>
      <c r="C17" s="29" t="s">
        <v>363</v>
      </c>
      <c r="D17" s="29" t="s">
        <v>16</v>
      </c>
      <c r="E17" s="31">
        <v>200000</v>
      </c>
      <c r="F17" s="32">
        <v>192.96860000000001</v>
      </c>
      <c r="G17" s="37">
        <v>0.19367510240926111</v>
      </c>
    </row>
    <row r="18" spans="1:7">
      <c r="A18" s="16"/>
      <c r="B18" s="36" t="s">
        <v>360</v>
      </c>
      <c r="C18" s="29" t="s">
        <v>361</v>
      </c>
      <c r="D18" s="29" t="s">
        <v>13</v>
      </c>
      <c r="E18" s="31">
        <v>40000</v>
      </c>
      <c r="F18" s="32">
        <v>38.96208</v>
      </c>
      <c r="G18" s="37">
        <v>3.9104729132500439E-2</v>
      </c>
    </row>
    <row r="19" spans="1:7">
      <c r="A19" s="16"/>
      <c r="B19" s="36" t="s">
        <v>190</v>
      </c>
      <c r="C19" s="29" t="s">
        <v>191</v>
      </c>
      <c r="D19" s="29" t="s">
        <v>16</v>
      </c>
      <c r="E19" s="31">
        <v>40000</v>
      </c>
      <c r="F19" s="32">
        <v>38.643680000000003</v>
      </c>
      <c r="G19" s="37">
        <v>3.8785163396898331E-2</v>
      </c>
    </row>
    <row r="20" spans="1:7">
      <c r="A20" s="16"/>
      <c r="B20" s="36" t="s">
        <v>11</v>
      </c>
      <c r="C20" s="29" t="s">
        <v>12</v>
      </c>
      <c r="D20" s="29" t="s">
        <v>13</v>
      </c>
      <c r="E20" s="31">
        <v>10000</v>
      </c>
      <c r="F20" s="32">
        <v>9.8403399999999994</v>
      </c>
      <c r="G20" s="37">
        <v>9.8763677470943383E-3</v>
      </c>
    </row>
    <row r="21" spans="1:7">
      <c r="A21" s="9"/>
      <c r="B21" s="24" t="s">
        <v>28</v>
      </c>
      <c r="C21" s="29" t="s">
        <v>1</v>
      </c>
      <c r="D21" s="29" t="s">
        <v>1</v>
      </c>
      <c r="E21" s="29" t="s">
        <v>1</v>
      </c>
      <c r="F21" s="21">
        <v>280.41469999999998</v>
      </c>
      <c r="G21" s="38">
        <v>0.2814413626857542</v>
      </c>
    </row>
    <row r="22" spans="1:7">
      <c r="A22" s="9"/>
      <c r="B22" s="24" t="s">
        <v>29</v>
      </c>
      <c r="C22" s="29" t="s">
        <v>1</v>
      </c>
      <c r="D22" s="29" t="s">
        <v>1</v>
      </c>
      <c r="E22" s="29" t="s">
        <v>1</v>
      </c>
      <c r="F22" s="21">
        <v>280.41469999999998</v>
      </c>
      <c r="G22" s="38">
        <v>0.2814413626857542</v>
      </c>
    </row>
    <row r="23" spans="1:7">
      <c r="A23" s="9"/>
      <c r="B23" s="24"/>
      <c r="C23" s="29"/>
      <c r="D23" s="29"/>
      <c r="E23" s="29"/>
      <c r="F23" s="21"/>
      <c r="G23" s="38"/>
    </row>
    <row r="24" spans="1:7">
      <c r="A24" s="9"/>
      <c r="B24" s="24" t="s">
        <v>199</v>
      </c>
      <c r="C24" s="29" t="s">
        <v>1</v>
      </c>
      <c r="D24" s="29" t="s">
        <v>1</v>
      </c>
      <c r="E24" s="29" t="s">
        <v>1</v>
      </c>
      <c r="F24" s="30" t="s">
        <v>1</v>
      </c>
      <c r="G24" s="35" t="s">
        <v>1</v>
      </c>
    </row>
    <row r="25" spans="1:7">
      <c r="A25" s="9"/>
      <c r="B25" s="24" t="s">
        <v>200</v>
      </c>
      <c r="C25" s="29" t="s">
        <v>1</v>
      </c>
      <c r="D25" s="29" t="s">
        <v>1</v>
      </c>
      <c r="E25" s="29" t="s">
        <v>1</v>
      </c>
      <c r="F25" s="30" t="s">
        <v>1</v>
      </c>
      <c r="G25" s="35" t="s">
        <v>1</v>
      </c>
    </row>
    <row r="26" spans="1:7">
      <c r="A26" s="16"/>
      <c r="B26" s="36" t="s">
        <v>378</v>
      </c>
      <c r="C26" s="29" t="s">
        <v>348</v>
      </c>
      <c r="D26" s="29" t="s">
        <v>1</v>
      </c>
      <c r="E26" s="31">
        <v>2200440</v>
      </c>
      <c r="F26" s="32">
        <v>233.40947259999999</v>
      </c>
      <c r="G26" s="37">
        <v>0.2342640383414536</v>
      </c>
    </row>
    <row r="27" spans="1:7">
      <c r="A27" s="9"/>
      <c r="B27" s="24" t="s">
        <v>28</v>
      </c>
      <c r="C27" s="29" t="s">
        <v>1</v>
      </c>
      <c r="D27" s="29" t="s">
        <v>1</v>
      </c>
      <c r="E27" s="29" t="s">
        <v>1</v>
      </c>
      <c r="F27" s="21">
        <v>233.40947259999999</v>
      </c>
      <c r="G27" s="38">
        <v>0.2342640383414536</v>
      </c>
    </row>
    <row r="28" spans="1:7">
      <c r="A28" s="9"/>
      <c r="B28" s="24"/>
      <c r="C28" s="29"/>
      <c r="D28" s="29"/>
      <c r="E28" s="29"/>
      <c r="F28" s="21"/>
      <c r="G28" s="38"/>
    </row>
    <row r="29" spans="1:7">
      <c r="A29" s="9"/>
      <c r="B29" s="24" t="s">
        <v>30</v>
      </c>
      <c r="C29" s="29" t="s">
        <v>1</v>
      </c>
      <c r="D29" s="29" t="s">
        <v>1</v>
      </c>
      <c r="E29" s="29" t="s">
        <v>1</v>
      </c>
      <c r="F29" s="30" t="s">
        <v>1</v>
      </c>
      <c r="G29" s="35" t="s">
        <v>1</v>
      </c>
    </row>
    <row r="30" spans="1:7">
      <c r="A30" s="16"/>
      <c r="B30" s="36" t="s">
        <v>31</v>
      </c>
      <c r="C30" s="29" t="s">
        <v>1</v>
      </c>
      <c r="D30" s="29" t="s">
        <v>32</v>
      </c>
      <c r="E30" s="31"/>
      <c r="F30" s="32">
        <v>510.53480000000002</v>
      </c>
      <c r="G30" s="37">
        <v>0.51240398527787234</v>
      </c>
    </row>
    <row r="31" spans="1:7">
      <c r="A31" s="9"/>
      <c r="B31" s="24" t="s">
        <v>28</v>
      </c>
      <c r="C31" s="29" t="s">
        <v>1</v>
      </c>
      <c r="D31" s="29" t="s">
        <v>1</v>
      </c>
      <c r="E31" s="29" t="s">
        <v>1</v>
      </c>
      <c r="F31" s="21">
        <v>510.53480000000002</v>
      </c>
      <c r="G31" s="38">
        <v>0.51240398527787234</v>
      </c>
    </row>
    <row r="32" spans="1:7">
      <c r="A32" s="9"/>
      <c r="B32" s="24"/>
      <c r="C32" s="29"/>
      <c r="D32" s="29"/>
      <c r="E32" s="29"/>
      <c r="F32" s="21"/>
      <c r="G32" s="38"/>
    </row>
    <row r="33" spans="1:7">
      <c r="A33" s="9"/>
      <c r="B33" s="24" t="s">
        <v>33</v>
      </c>
      <c r="C33" s="29" t="s">
        <v>1</v>
      </c>
      <c r="D33" s="29" t="s">
        <v>1</v>
      </c>
      <c r="E33" s="29" t="s">
        <v>1</v>
      </c>
      <c r="F33" s="21">
        <v>-28.006846800000002</v>
      </c>
      <c r="G33" s="38">
        <v>-2.8109386305080156E-2</v>
      </c>
    </row>
    <row r="34" spans="1:7">
      <c r="A34" s="9"/>
      <c r="B34" s="24" t="s">
        <v>28</v>
      </c>
      <c r="C34" s="29"/>
      <c r="D34" s="29"/>
      <c r="E34" s="29"/>
      <c r="F34" s="21">
        <v>-28.006846800000002</v>
      </c>
      <c r="G34" s="38">
        <v>-2.8109386305080156E-2</v>
      </c>
    </row>
    <row r="35" spans="1:7">
      <c r="A35" s="9"/>
      <c r="B35" s="24" t="s">
        <v>29</v>
      </c>
      <c r="C35" s="29"/>
      <c r="D35" s="29"/>
      <c r="E35" s="29"/>
      <c r="F35" s="21">
        <f>F27+F31+F34</f>
        <v>715.93742580000003</v>
      </c>
      <c r="G35" s="42">
        <f>G27+G31+G34</f>
        <v>0.71855863731424574</v>
      </c>
    </row>
    <row r="36" spans="1:7" ht="13.5" thickBot="1">
      <c r="A36" s="9"/>
      <c r="B36" s="56"/>
      <c r="C36" s="57"/>
      <c r="D36" s="57"/>
      <c r="E36" s="57"/>
      <c r="F36" s="58"/>
      <c r="G36" s="59"/>
    </row>
    <row r="37" spans="1:7" ht="14.25" thickTop="1" thickBot="1">
      <c r="A37" s="9"/>
      <c r="B37" s="52" t="s">
        <v>34</v>
      </c>
      <c r="C37" s="53" t="s">
        <v>1</v>
      </c>
      <c r="D37" s="53" t="s">
        <v>1</v>
      </c>
      <c r="E37" s="53" t="s">
        <v>1</v>
      </c>
      <c r="F37" s="54">
        <v>996.35212579999995</v>
      </c>
      <c r="G37" s="55">
        <v>1</v>
      </c>
    </row>
    <row r="38" spans="1:7">
      <c r="A38" s="9"/>
      <c r="B38" s="15" t="s">
        <v>1</v>
      </c>
      <c r="C38" s="9"/>
      <c r="D38" s="9"/>
      <c r="E38" s="9"/>
      <c r="F38" s="11"/>
      <c r="G38" s="12"/>
    </row>
    <row r="39" spans="1:7">
      <c r="A39" s="9"/>
      <c r="B39" s="10" t="s">
        <v>32</v>
      </c>
      <c r="C39" s="9"/>
      <c r="D39" s="9"/>
      <c r="E39" s="9"/>
      <c r="F39" s="11"/>
      <c r="G39" s="12"/>
    </row>
    <row r="40" spans="1:7">
      <c r="A40" s="9"/>
      <c r="B40" s="10" t="s">
        <v>35</v>
      </c>
      <c r="C40" s="9"/>
      <c r="D40" s="9"/>
      <c r="E40" s="9"/>
      <c r="F40" s="11"/>
      <c r="G40" s="12"/>
    </row>
    <row r="41" spans="1:7">
      <c r="A41" s="9"/>
      <c r="B41" s="10" t="s">
        <v>36</v>
      </c>
      <c r="C41" s="9"/>
      <c r="D41" s="9"/>
      <c r="E41" s="9"/>
      <c r="F41" s="11"/>
      <c r="G41" s="12"/>
    </row>
    <row r="42" spans="1:7" ht="13.5" thickBot="1">
      <c r="A42" s="9"/>
      <c r="B42" s="10" t="s">
        <v>1</v>
      </c>
      <c r="C42" s="9"/>
      <c r="D42" s="9"/>
      <c r="E42" s="9"/>
      <c r="F42" s="11"/>
      <c r="G42" s="12"/>
    </row>
    <row r="43" spans="1:7" ht="13.5" thickBot="1">
      <c r="A43" s="9"/>
      <c r="B43" s="105" t="s">
        <v>387</v>
      </c>
      <c r="C43" s="106">
        <v>82.1</v>
      </c>
      <c r="D43" s="9"/>
      <c r="E43" s="9"/>
      <c r="F43" s="11"/>
      <c r="G43" s="12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zoomScaleNormal="100" workbookViewId="0">
      <selection activeCell="B11" sqref="B11"/>
    </sheetView>
  </sheetViews>
  <sheetFormatPr defaultRowHeight="12.75"/>
  <cols>
    <col min="1" max="1" width="11.42578125" style="13" bestFit="1" customWidth="1"/>
    <col min="2" max="2" width="52.7109375" style="13" customWidth="1"/>
    <col min="3" max="5" width="19" style="13" customWidth="1"/>
    <col min="6" max="6" width="19" style="17" customWidth="1"/>
    <col min="7" max="7" width="19" style="18" customWidth="1"/>
    <col min="8" max="16384" width="9.140625" style="13"/>
  </cols>
  <sheetData>
    <row r="1" spans="1:7" ht="18">
      <c r="A1" s="9"/>
      <c r="B1" s="119" t="s">
        <v>389</v>
      </c>
      <c r="C1" s="120"/>
      <c r="D1" s="120"/>
      <c r="E1" s="120"/>
      <c r="F1" s="120"/>
      <c r="G1" s="121"/>
    </row>
    <row r="2" spans="1:7" ht="15.95" customHeight="1" thickBot="1">
      <c r="A2" s="9"/>
      <c r="B2" s="110" t="s">
        <v>390</v>
      </c>
      <c r="C2" s="111"/>
      <c r="D2" s="111"/>
      <c r="E2" s="111"/>
      <c r="F2" s="111"/>
      <c r="G2" s="112"/>
    </row>
    <row r="3" spans="1:7" ht="12.95" customHeight="1">
      <c r="A3" s="9"/>
      <c r="B3" s="14" t="s">
        <v>1</v>
      </c>
      <c r="C3" s="9"/>
      <c r="D3" s="9"/>
      <c r="E3" s="9"/>
      <c r="F3" s="11"/>
      <c r="G3" s="12"/>
    </row>
    <row r="4" spans="1:7" ht="12.95" customHeight="1" thickBot="1">
      <c r="A4" s="15"/>
      <c r="B4" s="10" t="s">
        <v>2</v>
      </c>
      <c r="C4" s="9"/>
      <c r="D4" s="9"/>
      <c r="E4" s="9"/>
      <c r="F4" s="11"/>
      <c r="G4" s="12"/>
    </row>
    <row r="5" spans="1:7" ht="27.95" customHeight="1" thickBot="1">
      <c r="A5" s="9"/>
      <c r="B5" s="47" t="s">
        <v>3</v>
      </c>
      <c r="C5" s="48" t="s">
        <v>4</v>
      </c>
      <c r="D5" s="49" t="s">
        <v>5</v>
      </c>
      <c r="E5" s="49" t="s">
        <v>6</v>
      </c>
      <c r="F5" s="50" t="s">
        <v>7</v>
      </c>
      <c r="G5" s="51" t="s">
        <v>391</v>
      </c>
    </row>
    <row r="6" spans="1:7" ht="12.95" customHeight="1">
      <c r="A6" s="9"/>
      <c r="B6" s="84" t="s">
        <v>365</v>
      </c>
      <c r="C6" s="97"/>
      <c r="D6" s="81"/>
      <c r="E6" s="81"/>
      <c r="F6" s="82"/>
      <c r="G6" s="83"/>
    </row>
    <row r="7" spans="1:7" ht="12.95" customHeight="1">
      <c r="A7" s="9"/>
      <c r="B7" s="63" t="s">
        <v>366</v>
      </c>
      <c r="C7" s="25"/>
      <c r="D7" s="26"/>
      <c r="E7" s="100" t="s">
        <v>189</v>
      </c>
      <c r="F7" s="100" t="s">
        <v>189</v>
      </c>
      <c r="G7" s="101" t="s">
        <v>189</v>
      </c>
    </row>
    <row r="8" spans="1:7" ht="12.95" customHeight="1">
      <c r="A8" s="16"/>
      <c r="B8" s="63" t="s">
        <v>188</v>
      </c>
      <c r="C8" s="25"/>
      <c r="D8" s="26"/>
      <c r="E8" s="100" t="s">
        <v>189</v>
      </c>
      <c r="F8" s="100" t="s">
        <v>189</v>
      </c>
      <c r="G8" s="101" t="s">
        <v>189</v>
      </c>
    </row>
    <row r="9" spans="1:7" ht="12.95" customHeight="1">
      <c r="A9" s="9"/>
      <c r="B9" s="63"/>
      <c r="C9" s="25"/>
      <c r="D9" s="26"/>
      <c r="E9" s="94"/>
      <c r="F9" s="27"/>
      <c r="G9" s="96"/>
    </row>
    <row r="10" spans="1:7" ht="12.95" customHeight="1">
      <c r="A10" s="9"/>
      <c r="B10" s="64" t="s">
        <v>367</v>
      </c>
      <c r="C10" s="25"/>
      <c r="D10" s="26"/>
      <c r="E10" s="94"/>
      <c r="F10" s="27"/>
      <c r="G10" s="96"/>
    </row>
    <row r="11" spans="1:7" ht="12.95" customHeight="1">
      <c r="A11" s="9"/>
      <c r="B11" s="63" t="s">
        <v>368</v>
      </c>
      <c r="C11" s="25"/>
      <c r="D11" s="26"/>
      <c r="E11" s="100" t="s">
        <v>189</v>
      </c>
      <c r="F11" s="100" t="s">
        <v>189</v>
      </c>
      <c r="G11" s="101" t="s">
        <v>189</v>
      </c>
    </row>
    <row r="12" spans="1:7" ht="12.95" customHeight="1">
      <c r="A12" s="16"/>
      <c r="B12" s="63" t="s">
        <v>369</v>
      </c>
      <c r="C12" s="25"/>
      <c r="D12" s="26"/>
      <c r="E12" s="100" t="s">
        <v>189</v>
      </c>
      <c r="F12" s="100" t="s">
        <v>189</v>
      </c>
      <c r="G12" s="101" t="s">
        <v>189</v>
      </c>
    </row>
    <row r="13" spans="1:7" ht="12.95" customHeight="1">
      <c r="A13" s="9"/>
      <c r="B13" s="63" t="s">
        <v>370</v>
      </c>
      <c r="C13" s="25"/>
      <c r="D13" s="26"/>
      <c r="E13" s="100" t="s">
        <v>189</v>
      </c>
      <c r="F13" s="100" t="s">
        <v>189</v>
      </c>
      <c r="G13" s="101" t="s">
        <v>189</v>
      </c>
    </row>
    <row r="14" spans="1:7" ht="12.95" customHeight="1">
      <c r="A14" s="9"/>
      <c r="B14" s="63"/>
      <c r="C14" s="25"/>
      <c r="D14" s="26"/>
      <c r="E14" s="94"/>
      <c r="F14" s="27"/>
      <c r="G14" s="96"/>
    </row>
    <row r="15" spans="1:7" ht="12.95" customHeight="1">
      <c r="A15" s="9"/>
      <c r="B15" s="24" t="s">
        <v>9</v>
      </c>
      <c r="C15" s="29" t="s">
        <v>1</v>
      </c>
      <c r="D15" s="29" t="s">
        <v>1</v>
      </c>
      <c r="E15" s="29" t="s">
        <v>1</v>
      </c>
      <c r="F15" s="30" t="s">
        <v>1</v>
      </c>
      <c r="G15" s="35" t="s">
        <v>1</v>
      </c>
    </row>
    <row r="16" spans="1:7" ht="12.95" customHeight="1">
      <c r="A16" s="9"/>
      <c r="B16" s="24" t="s">
        <v>10</v>
      </c>
      <c r="C16" s="29" t="s">
        <v>1</v>
      </c>
      <c r="D16" s="29" t="s">
        <v>1</v>
      </c>
      <c r="E16" s="29" t="s">
        <v>1</v>
      </c>
      <c r="F16" s="30" t="s">
        <v>1</v>
      </c>
      <c r="G16" s="35" t="s">
        <v>1</v>
      </c>
    </row>
    <row r="17" spans="1:7" ht="12.95" customHeight="1">
      <c r="A17" s="16"/>
      <c r="B17" s="36" t="s">
        <v>190</v>
      </c>
      <c r="C17" s="29" t="s">
        <v>191</v>
      </c>
      <c r="D17" s="29" t="s">
        <v>16</v>
      </c>
      <c r="E17" s="31">
        <v>610000</v>
      </c>
      <c r="F17" s="32">
        <v>589.31611999999996</v>
      </c>
      <c r="G17" s="37">
        <v>0.27607696044856389</v>
      </c>
    </row>
    <row r="18" spans="1:7" ht="12.95" customHeight="1">
      <c r="A18" s="16"/>
      <c r="B18" s="36" t="s">
        <v>192</v>
      </c>
      <c r="C18" s="29" t="s">
        <v>193</v>
      </c>
      <c r="D18" s="29" t="s">
        <v>13</v>
      </c>
      <c r="E18" s="31">
        <v>600000</v>
      </c>
      <c r="F18" s="32">
        <v>579.57780000000002</v>
      </c>
      <c r="G18" s="37">
        <v>0.27151484905497864</v>
      </c>
    </row>
    <row r="19" spans="1:7" ht="12.95" customHeight="1">
      <c r="A19" s="16"/>
      <c r="B19" s="36" t="s">
        <v>194</v>
      </c>
      <c r="C19" s="29" t="s">
        <v>195</v>
      </c>
      <c r="D19" s="29" t="s">
        <v>16</v>
      </c>
      <c r="E19" s="31">
        <v>500000</v>
      </c>
      <c r="F19" s="32">
        <v>483.46699999999998</v>
      </c>
      <c r="G19" s="37">
        <v>0.22648981642855084</v>
      </c>
    </row>
    <row r="20" spans="1:7" ht="12.95" customHeight="1">
      <c r="A20" s="9"/>
      <c r="B20" s="24" t="s">
        <v>28</v>
      </c>
      <c r="C20" s="29" t="s">
        <v>1</v>
      </c>
      <c r="D20" s="29" t="s">
        <v>1</v>
      </c>
      <c r="E20" s="29" t="s">
        <v>1</v>
      </c>
      <c r="F20" s="21">
        <v>1652.3609200000001</v>
      </c>
      <c r="G20" s="38">
        <v>0.7740816259320934</v>
      </c>
    </row>
    <row r="21" spans="1:7" ht="12.95" customHeight="1">
      <c r="A21" s="9"/>
      <c r="B21" s="24"/>
      <c r="C21" s="29"/>
      <c r="D21" s="29"/>
      <c r="E21" s="29"/>
      <c r="F21" s="21"/>
      <c r="G21" s="38"/>
    </row>
    <row r="22" spans="1:7" ht="12.95" customHeight="1">
      <c r="A22" s="9"/>
      <c r="B22" s="24" t="s">
        <v>196</v>
      </c>
      <c r="C22" s="29" t="s">
        <v>1</v>
      </c>
      <c r="D22" s="29" t="s">
        <v>1</v>
      </c>
      <c r="E22" s="29" t="s">
        <v>1</v>
      </c>
      <c r="F22" s="30" t="s">
        <v>1</v>
      </c>
      <c r="G22" s="35" t="s">
        <v>1</v>
      </c>
    </row>
    <row r="23" spans="1:7" ht="12.95" customHeight="1">
      <c r="A23" s="16"/>
      <c r="B23" s="36" t="s">
        <v>197</v>
      </c>
      <c r="C23" s="29" t="s">
        <v>198</v>
      </c>
      <c r="D23" s="29" t="s">
        <v>16</v>
      </c>
      <c r="E23" s="31">
        <v>500000</v>
      </c>
      <c r="F23" s="32">
        <v>482.38900000000001</v>
      </c>
      <c r="G23" s="37">
        <v>0.22598480569956628</v>
      </c>
    </row>
    <row r="24" spans="1:7" ht="12.95" customHeight="1">
      <c r="A24" s="9"/>
      <c r="B24" s="24" t="s">
        <v>28</v>
      </c>
      <c r="C24" s="29" t="s">
        <v>1</v>
      </c>
      <c r="D24" s="29" t="s">
        <v>1</v>
      </c>
      <c r="E24" s="29" t="s">
        <v>1</v>
      </c>
      <c r="F24" s="21">
        <v>482.38900000000001</v>
      </c>
      <c r="G24" s="38">
        <v>0.22598480569956628</v>
      </c>
    </row>
    <row r="25" spans="1:7" ht="12.95" customHeight="1">
      <c r="A25" s="9"/>
      <c r="B25" s="24" t="s">
        <v>29</v>
      </c>
      <c r="C25" s="29" t="s">
        <v>1</v>
      </c>
      <c r="D25" s="29" t="s">
        <v>1</v>
      </c>
      <c r="E25" s="29" t="s">
        <v>1</v>
      </c>
      <c r="F25" s="21">
        <v>2134.7499200000002</v>
      </c>
      <c r="G25" s="38">
        <v>1.0000664316316596</v>
      </c>
    </row>
    <row r="26" spans="1:7" ht="12.95" customHeight="1">
      <c r="A26" s="9"/>
      <c r="B26" s="24"/>
      <c r="C26" s="29"/>
      <c r="D26" s="29"/>
      <c r="E26" s="29"/>
      <c r="F26" s="21"/>
      <c r="G26" s="38"/>
    </row>
    <row r="27" spans="1:7" ht="12.95" customHeight="1">
      <c r="A27" s="9"/>
      <c r="B27" s="24" t="s">
        <v>199</v>
      </c>
      <c r="C27" s="29" t="s">
        <v>1</v>
      </c>
      <c r="D27" s="29" t="s">
        <v>1</v>
      </c>
      <c r="E27" s="29" t="s">
        <v>1</v>
      </c>
      <c r="F27" s="30" t="s">
        <v>1</v>
      </c>
      <c r="G27" s="35" t="s">
        <v>1</v>
      </c>
    </row>
    <row r="28" spans="1:7" ht="12.95" customHeight="1">
      <c r="A28" s="9"/>
      <c r="B28" s="24" t="s">
        <v>200</v>
      </c>
      <c r="C28" s="29" t="s">
        <v>1</v>
      </c>
      <c r="D28" s="29" t="s">
        <v>1</v>
      </c>
      <c r="E28" s="29" t="s">
        <v>1</v>
      </c>
      <c r="F28" s="30" t="s">
        <v>1</v>
      </c>
      <c r="G28" s="35" t="s">
        <v>1</v>
      </c>
    </row>
    <row r="29" spans="1:7" ht="12.95" customHeight="1">
      <c r="A29" s="16"/>
      <c r="B29" s="36" t="s">
        <v>201</v>
      </c>
      <c r="C29" s="29" t="s">
        <v>202</v>
      </c>
      <c r="D29" s="29" t="s">
        <v>1</v>
      </c>
      <c r="E29" s="31">
        <v>22.854950299999999</v>
      </c>
      <c r="F29" s="32">
        <v>0.32535989999999998</v>
      </c>
      <c r="G29" s="37">
        <v>1.5242137317378779E-4</v>
      </c>
    </row>
    <row r="30" spans="1:7" ht="12.95" customHeight="1">
      <c r="A30" s="9"/>
      <c r="B30" s="24" t="s">
        <v>28</v>
      </c>
      <c r="C30" s="29" t="s">
        <v>1</v>
      </c>
      <c r="D30" s="29" t="s">
        <v>1</v>
      </c>
      <c r="E30" s="29" t="s">
        <v>1</v>
      </c>
      <c r="F30" s="21">
        <v>0.32535989999999998</v>
      </c>
      <c r="G30" s="38">
        <v>1.5242137317378779E-4</v>
      </c>
    </row>
    <row r="31" spans="1:7" ht="12.95" customHeight="1">
      <c r="A31" s="9"/>
      <c r="B31" s="24"/>
      <c r="C31" s="29"/>
      <c r="D31" s="29"/>
      <c r="E31" s="29"/>
      <c r="F31" s="21"/>
      <c r="G31" s="38"/>
    </row>
    <row r="32" spans="1:7" ht="12.95" customHeight="1">
      <c r="A32" s="9"/>
      <c r="B32" s="24" t="s">
        <v>33</v>
      </c>
      <c r="C32" s="29" t="s">
        <v>1</v>
      </c>
      <c r="D32" s="29" t="s">
        <v>1</v>
      </c>
      <c r="E32" s="29" t="s">
        <v>1</v>
      </c>
      <c r="F32" s="33">
        <v>-0.46716540000000001</v>
      </c>
      <c r="G32" s="40">
        <v>-2.1885300483340782E-4</v>
      </c>
    </row>
    <row r="33" spans="1:7" ht="12.95" customHeight="1">
      <c r="A33" s="9"/>
      <c r="B33" s="65" t="s">
        <v>28</v>
      </c>
      <c r="C33" s="29"/>
      <c r="D33" s="29"/>
      <c r="E33" s="29"/>
      <c r="F33" s="21">
        <v>-0.46716540000000001</v>
      </c>
      <c r="G33" s="38">
        <v>-2.1885300483340782E-4</v>
      </c>
    </row>
    <row r="34" spans="1:7" ht="12.95" customHeight="1">
      <c r="A34" s="9"/>
      <c r="B34" s="65" t="s">
        <v>29</v>
      </c>
      <c r="C34" s="29"/>
      <c r="D34" s="29"/>
      <c r="E34" s="29"/>
      <c r="F34" s="21">
        <f>F30+F33</f>
        <v>-0.14180550000000003</v>
      </c>
      <c r="G34" s="42">
        <f>G30+G33</f>
        <v>-6.6431631659620024E-5</v>
      </c>
    </row>
    <row r="35" spans="1:7" ht="12.95" customHeight="1" thickBot="1">
      <c r="A35" s="9"/>
      <c r="B35" s="56"/>
      <c r="C35" s="57"/>
      <c r="D35" s="57"/>
      <c r="E35" s="57"/>
      <c r="F35" s="58"/>
      <c r="G35" s="59"/>
    </row>
    <row r="36" spans="1:7" ht="12.95" customHeight="1" thickTop="1" thickBot="1">
      <c r="A36" s="9"/>
      <c r="B36" s="52" t="s">
        <v>34</v>
      </c>
      <c r="C36" s="53" t="s">
        <v>1</v>
      </c>
      <c r="D36" s="53" t="s">
        <v>1</v>
      </c>
      <c r="E36" s="53" t="s">
        <v>1</v>
      </c>
      <c r="F36" s="54">
        <v>2134.6081144999998</v>
      </c>
      <c r="G36" s="55">
        <v>1</v>
      </c>
    </row>
    <row r="37" spans="1:7" ht="12.95" customHeight="1">
      <c r="A37" s="9"/>
      <c r="B37" s="15" t="s">
        <v>1</v>
      </c>
      <c r="C37" s="9"/>
      <c r="D37" s="9"/>
      <c r="E37" s="9"/>
      <c r="F37" s="11"/>
      <c r="G37" s="12"/>
    </row>
    <row r="38" spans="1:7" ht="12.95" customHeight="1">
      <c r="A38" s="9"/>
      <c r="B38" s="10" t="s">
        <v>32</v>
      </c>
      <c r="C38" s="9"/>
      <c r="D38" s="9"/>
      <c r="E38" s="9"/>
      <c r="F38" s="11"/>
      <c r="G38" s="12"/>
    </row>
    <row r="39" spans="1:7" ht="12.95" customHeight="1">
      <c r="A39" s="9"/>
      <c r="B39" s="10" t="s">
        <v>35</v>
      </c>
      <c r="C39" s="9"/>
      <c r="D39" s="9"/>
      <c r="E39" s="9"/>
      <c r="F39" s="11"/>
      <c r="G39" s="12"/>
    </row>
    <row r="40" spans="1:7" ht="12.95" customHeight="1">
      <c r="A40" s="9"/>
      <c r="B40" s="10" t="s">
        <v>36</v>
      </c>
      <c r="C40" s="9"/>
      <c r="D40" s="9"/>
      <c r="E40" s="9"/>
      <c r="F40" s="11"/>
      <c r="G40" s="12"/>
    </row>
    <row r="41" spans="1:7" ht="12.95" customHeight="1" thickBot="1">
      <c r="A41" s="9"/>
      <c r="B41" s="10" t="s">
        <v>1</v>
      </c>
      <c r="C41" s="9"/>
      <c r="D41" s="9"/>
      <c r="E41" s="9"/>
      <c r="F41" s="11"/>
      <c r="G41" s="12"/>
    </row>
    <row r="42" spans="1:7" ht="12.95" customHeight="1" thickBot="1">
      <c r="A42" s="9"/>
      <c r="B42" s="102" t="s">
        <v>387</v>
      </c>
      <c r="C42" s="103">
        <v>145.34</v>
      </c>
      <c r="D42" s="9"/>
      <c r="E42" s="9"/>
      <c r="F42" s="11"/>
      <c r="G42" s="12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Sachin Shardul</cp:lastModifiedBy>
  <dcterms:created xsi:type="dcterms:W3CDTF">2014-10-04T07:48:14Z</dcterms:created>
  <dcterms:modified xsi:type="dcterms:W3CDTF">2014-10-08T10:11:07Z</dcterms:modified>
</cp:coreProperties>
</file>