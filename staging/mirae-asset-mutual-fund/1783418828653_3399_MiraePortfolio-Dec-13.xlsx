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270" windowWidth="14940" windowHeight="9150"/>
  </bookViews>
  <sheets>
    <sheet name="MACMF" sheetId="1" r:id="rId1"/>
    <sheet name="MAEBF" sheetId="2" r:id="rId2"/>
    <sheet name="MICCF" sheetId="3" r:id="rId3"/>
    <sheet name="MICHF" sheetId="4" r:id="rId4"/>
    <sheet name="MIGCS" sheetId="5" r:id="rId5"/>
    <sheet name="MIIOF" sheetId="6" r:id="rId6"/>
    <sheet name="MILPF" sheetId="7" r:id="rId7"/>
    <sheet name="MISTB" sheetId="8" r:id="rId8"/>
  </sheets>
  <calcPr calcId="145621"/>
</workbook>
</file>

<file path=xl/calcChain.xml><?xml version="1.0" encoding="utf-8"?>
<calcChain xmlns="http://schemas.openxmlformats.org/spreadsheetml/2006/main">
  <c r="G45" i="5" l="1"/>
  <c r="F45" i="5"/>
  <c r="G19" i="5"/>
  <c r="F19" i="5"/>
  <c r="G56" i="3"/>
  <c r="F56" i="3"/>
  <c r="G39" i="3"/>
  <c r="F39" i="3"/>
</calcChain>
</file>

<file path=xl/sharedStrings.xml><?xml version="1.0" encoding="utf-8"?>
<sst xmlns="http://schemas.openxmlformats.org/spreadsheetml/2006/main" count="1267" uniqueCount="356">
  <si>
    <t>Mirae Asset Cash Management Fund</t>
  </si>
  <si>
    <t/>
  </si>
  <si>
    <t>Monthly Portfolio Statement as on December 31,2013</t>
  </si>
  <si>
    <t>Name of the Instrument</t>
  </si>
  <si>
    <t>ISIN</t>
  </si>
  <si>
    <t>Rating</t>
  </si>
  <si>
    <t>Quantity</t>
  </si>
  <si>
    <t>Market/Fair Value
 (Rs. in Lacs)</t>
  </si>
  <si>
    <t>% to Net
 Assets</t>
  </si>
  <si>
    <t>Money Market Instruments</t>
  </si>
  <si>
    <t>Certificate of Deposit</t>
  </si>
  <si>
    <t>Canara Bank (02/01/2014) ** #</t>
  </si>
  <si>
    <t>INE476A16KR5</t>
  </si>
  <si>
    <t>CRISIL A1+</t>
  </si>
  <si>
    <t>Andhra Bank (23/01/2014) ** #</t>
  </si>
  <si>
    <t>INE434A16DF4</t>
  </si>
  <si>
    <t>Canara Bank (28/01/2014) ** #</t>
  </si>
  <si>
    <t>INE476A16KU9</t>
  </si>
  <si>
    <t>Allahabad Bank (03/02/2014) ** #</t>
  </si>
  <si>
    <t>INE428A16LO1</t>
  </si>
  <si>
    <t>IDBI Bank Ltd (02/01/2014) ** #</t>
  </si>
  <si>
    <t>INE008A16QB7</t>
  </si>
  <si>
    <t>Andhra Bank (31/01/2014) ** #</t>
  </si>
  <si>
    <t>INE434A16ER7</t>
  </si>
  <si>
    <t>CARE A1+</t>
  </si>
  <si>
    <t>Sub Total</t>
  </si>
  <si>
    <t>Total</t>
  </si>
  <si>
    <t>CBLO / Reverse Repo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</si>
  <si>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</si>
  <si>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</si>
  <si>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</si>
  <si>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</si>
  <si>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</si>
  <si>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</si>
  <si>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Mirae Asset Emerging Blue Chip Fund</t>
  </si>
  <si>
    <t>Industry</t>
  </si>
  <si>
    <t>Equity &amp; Equity related</t>
  </si>
  <si>
    <t>(a) Listed / awaiting listing on Stock Exchanges</t>
  </si>
  <si>
    <t>Tech Mahindra Ltd</t>
  </si>
  <si>
    <t>INE669C01028</t>
  </si>
  <si>
    <t>Software</t>
  </si>
  <si>
    <t>Divi's Laboratories Ltd</t>
  </si>
  <si>
    <t>INE361B01024</t>
  </si>
  <si>
    <t>Pharmaceuticals</t>
  </si>
  <si>
    <t>ICICI Bank Ltd</t>
  </si>
  <si>
    <t>INE090A01013</t>
  </si>
  <si>
    <t>Banks</t>
  </si>
  <si>
    <t>The Federal Bank  Ltd</t>
  </si>
  <si>
    <t>INE171A01029</t>
  </si>
  <si>
    <t>Amara Raja Batteries Ltd</t>
  </si>
  <si>
    <t>INE885A01032</t>
  </si>
  <si>
    <t>Auto Ancillaries</t>
  </si>
  <si>
    <t>IPCA Laboratories Ltd</t>
  </si>
  <si>
    <t>INE571A01020</t>
  </si>
  <si>
    <t>Gateway Distriparks Ltd</t>
  </si>
  <si>
    <t>INE852F01015</t>
  </si>
  <si>
    <t>Transportation</t>
  </si>
  <si>
    <t>Sundaram Finance Ltd</t>
  </si>
  <si>
    <t>INE660A01013</t>
  </si>
  <si>
    <t>Finance</t>
  </si>
  <si>
    <t>Motherson Sumi Systems Ltd</t>
  </si>
  <si>
    <t>INE775A01035</t>
  </si>
  <si>
    <t>Hindustan Petroleum Corporation Ltd</t>
  </si>
  <si>
    <t>INE094A01015</t>
  </si>
  <si>
    <t>Petroleum Products</t>
  </si>
  <si>
    <t>Aurobindo Pharma Ltd</t>
  </si>
  <si>
    <t>INE406A01037</t>
  </si>
  <si>
    <t>Zee Entertainment Enterprises Ltd</t>
  </si>
  <si>
    <t>INE256A01028</t>
  </si>
  <si>
    <t>Media &amp; Entertainment</t>
  </si>
  <si>
    <t>Cadila Healthcare Ltd</t>
  </si>
  <si>
    <t>INE010B01019</t>
  </si>
  <si>
    <t>Vinati Organics Ltd</t>
  </si>
  <si>
    <t>INE410B01029</t>
  </si>
  <si>
    <t>Chemicals</t>
  </si>
  <si>
    <t>Godfrey Phillips India Ltd</t>
  </si>
  <si>
    <t>INE260B01010</t>
  </si>
  <si>
    <t>Consumer Non Durables</t>
  </si>
  <si>
    <t>Glenmark Pharmaceuticals Ltd</t>
  </si>
  <si>
    <t>INE935A01035</t>
  </si>
  <si>
    <t>ING Vysya Bank Ltd</t>
  </si>
  <si>
    <t>INE166A01011</t>
  </si>
  <si>
    <t>Aditya Birla Nuvo Ltd</t>
  </si>
  <si>
    <t>INE069A01017</t>
  </si>
  <si>
    <t>Services</t>
  </si>
  <si>
    <t>Himatsingka Seide Ltd</t>
  </si>
  <si>
    <t>INE049A01027</t>
  </si>
  <si>
    <t>Textile Products</t>
  </si>
  <si>
    <t>Gujarat Mineral Development Corporation Ltd</t>
  </si>
  <si>
    <t>INE131A01031</t>
  </si>
  <si>
    <t>Minerals/Mining</t>
  </si>
  <si>
    <t>CESC Ltd</t>
  </si>
  <si>
    <t>INE486A01013</t>
  </si>
  <si>
    <t>Power</t>
  </si>
  <si>
    <t>Tata Chemicals Ltd</t>
  </si>
  <si>
    <t>INE092A01019</t>
  </si>
  <si>
    <t>Akzo Nobel India Ltd</t>
  </si>
  <si>
    <t>INE133A01011</t>
  </si>
  <si>
    <t>The Jammu &amp; Kashmir Bank Ltd</t>
  </si>
  <si>
    <t>INE168A01017</t>
  </si>
  <si>
    <t>Eclerx Services Ltd</t>
  </si>
  <si>
    <t>INE738I01010</t>
  </si>
  <si>
    <t>Exide Industries Ltd</t>
  </si>
  <si>
    <t>INE302A01020</t>
  </si>
  <si>
    <t>Oil India Ltd</t>
  </si>
  <si>
    <t>INE274J01014</t>
  </si>
  <si>
    <t>Oil</t>
  </si>
  <si>
    <t>Eicher Motors Ltd</t>
  </si>
  <si>
    <t>INE066A01013</t>
  </si>
  <si>
    <t>Auto</t>
  </si>
  <si>
    <t>Lupin Ltd</t>
  </si>
  <si>
    <t>INE326A01037</t>
  </si>
  <si>
    <t>Info Edge (India) Ltd</t>
  </si>
  <si>
    <t>INE663F01024</t>
  </si>
  <si>
    <t>Britannia Industries Ltd</t>
  </si>
  <si>
    <t>INE216A01022</t>
  </si>
  <si>
    <t>VIP Industries Ltd</t>
  </si>
  <si>
    <t>INE054A01027</t>
  </si>
  <si>
    <t>Consumer Durables</t>
  </si>
  <si>
    <t>Colgate Palmolive (India) Ltd</t>
  </si>
  <si>
    <t>INE259A01022</t>
  </si>
  <si>
    <t>CMC Ltd</t>
  </si>
  <si>
    <t>INE314A01017</t>
  </si>
  <si>
    <t>Adani Ports and Special Economic Zone Ltd</t>
  </si>
  <si>
    <t>INE742F01042</t>
  </si>
  <si>
    <t>Carborundum Universal Ltd</t>
  </si>
  <si>
    <t>INE120A01034</t>
  </si>
  <si>
    <t>Industrial Products</t>
  </si>
  <si>
    <t>Gulf Oil Corporation Ltd</t>
  </si>
  <si>
    <t>INE077F01027</t>
  </si>
  <si>
    <t>Bank of Baroda</t>
  </si>
  <si>
    <t>INE028A01013</t>
  </si>
  <si>
    <t>Crompton  Greaves Ltd</t>
  </si>
  <si>
    <t>INE067A01029</t>
  </si>
  <si>
    <t>Industrial Capital Goods</t>
  </si>
  <si>
    <t>Tata Global Beverages Ltd</t>
  </si>
  <si>
    <t>INE192A01025</t>
  </si>
  <si>
    <t>JK Cement Ltd</t>
  </si>
  <si>
    <t>INE823G01014</t>
  </si>
  <si>
    <t>Cement</t>
  </si>
  <si>
    <t>Indian Bank</t>
  </si>
  <si>
    <t>INE562A01011</t>
  </si>
  <si>
    <t>Gujarat State Petronet Ltd</t>
  </si>
  <si>
    <t>INE246F01010</t>
  </si>
  <si>
    <t>Gas</t>
  </si>
  <si>
    <t>ICRA Ltd</t>
  </si>
  <si>
    <t>INE725G01011</t>
  </si>
  <si>
    <t>Oracle Financial Services Software Ltd</t>
  </si>
  <si>
    <t>INE881D01027</t>
  </si>
  <si>
    <t>NIIT Technologies Ltd</t>
  </si>
  <si>
    <t>INE591G01017</t>
  </si>
  <si>
    <t>Tamil Nadu Newsprint &amp; Papers Ltd</t>
  </si>
  <si>
    <t>INE107A01015</t>
  </si>
  <si>
    <t>Paper</t>
  </si>
  <si>
    <t>Petronet LNG Ltd</t>
  </si>
  <si>
    <t>INE347G01014</t>
  </si>
  <si>
    <t>LIC Housing Finance Ltd</t>
  </si>
  <si>
    <t>INE115A01026</t>
  </si>
  <si>
    <t>PTC India Financial Services Ltd</t>
  </si>
  <si>
    <t>INE560K01014</t>
  </si>
  <si>
    <t>Venky's (India) Ltd</t>
  </si>
  <si>
    <t>INE398A01010</t>
  </si>
  <si>
    <t>HT Media Ltd</t>
  </si>
  <si>
    <t>INE501G01024</t>
  </si>
  <si>
    <t>Cummins India Ltd</t>
  </si>
  <si>
    <t>INE298A01020</t>
  </si>
  <si>
    <t>Prism CEMENT Ltd</t>
  </si>
  <si>
    <t>INE010A01011</t>
  </si>
  <si>
    <t>Titan Company Limited</t>
  </si>
  <si>
    <t>INE280A01028</t>
  </si>
  <si>
    <t>(b) Unlisted</t>
  </si>
  <si>
    <t>NIL</t>
  </si>
  <si>
    <t>Mirae Asset India China Consumption Fund</t>
  </si>
  <si>
    <t>ITC Ltd</t>
  </si>
  <si>
    <t>INE154A01025</t>
  </si>
  <si>
    <t>Bharti Airtel Ltd</t>
  </si>
  <si>
    <t>INE397D01024</t>
  </si>
  <si>
    <t>Telecom - Services</t>
  </si>
  <si>
    <t>Tata Motors Ltd</t>
  </si>
  <si>
    <t>IN9155A01020</t>
  </si>
  <si>
    <t>Galaxy Entertainment Group Ltd</t>
  </si>
  <si>
    <t>HK0027032686</t>
  </si>
  <si>
    <t>Casinos &amp; Gaming</t>
  </si>
  <si>
    <t>Housing Development Finance Corporation Ltd</t>
  </si>
  <si>
    <t>INE001A01036</t>
  </si>
  <si>
    <t>China Mobile</t>
  </si>
  <si>
    <t>HK0941009539</t>
  </si>
  <si>
    <t>Wireless Telecommunication Services</t>
  </si>
  <si>
    <t>Maruti Suzuki India Ltd</t>
  </si>
  <si>
    <t>INE585B01010</t>
  </si>
  <si>
    <t>Sun Art Retail Group Ltd</t>
  </si>
  <si>
    <t>HK0000083920</t>
  </si>
  <si>
    <t>Hypermarkets and Supercenters</t>
  </si>
  <si>
    <t>Tencent Holdings</t>
  </si>
  <si>
    <t>KYG875721485</t>
  </si>
  <si>
    <t>Internet Software &amp; Services</t>
  </si>
  <si>
    <t>Hengan International Group Co Ltd</t>
  </si>
  <si>
    <t>KYG4402L1510</t>
  </si>
  <si>
    <t>Personal Products</t>
  </si>
  <si>
    <t>Samsonite  International  S A</t>
  </si>
  <si>
    <t>LU0633102719</t>
  </si>
  <si>
    <t>Apparel, Accessories and Luxury Goods</t>
  </si>
  <si>
    <t>Prada Spa</t>
  </si>
  <si>
    <t>IT0003874101</t>
  </si>
  <si>
    <t>United Spirits Ltd</t>
  </si>
  <si>
    <t>INE854D01016</t>
  </si>
  <si>
    <t>China Construct BK-H</t>
  </si>
  <si>
    <t>CNE1000002H1</t>
  </si>
  <si>
    <t>Diversified Banks</t>
  </si>
  <si>
    <t>Tingyi (Cayman Islands) Holdings Corp</t>
  </si>
  <si>
    <t>KYG8878S1030</t>
  </si>
  <si>
    <t>Packaged Foods &amp; Meats</t>
  </si>
  <si>
    <t>Brilliance China Automotive Holdings Ltd</t>
  </si>
  <si>
    <t>BMG1368B1028</t>
  </si>
  <si>
    <t>Automobile Manufacturers</t>
  </si>
  <si>
    <t>China Overseas Land &amp; Invest Ltd</t>
  </si>
  <si>
    <t>HK0688002218</t>
  </si>
  <si>
    <t>Real Estate Development</t>
  </si>
  <si>
    <t>Nestle India Ltd</t>
  </si>
  <si>
    <t>INE239A01016</t>
  </si>
  <si>
    <t>Ind &amp; Comm Bk - H</t>
  </si>
  <si>
    <t>CNE1000003G1</t>
  </si>
  <si>
    <t>Hero MotoCorp Ltd</t>
  </si>
  <si>
    <t>INE158A01026</t>
  </si>
  <si>
    <t>Shandong Weigao Gr Medical Polymerco Ltd</t>
  </si>
  <si>
    <t>CNE100000171</t>
  </si>
  <si>
    <t>Health Care Supplies</t>
  </si>
  <si>
    <t>Mirae Asset China Advantage Fund</t>
  </si>
  <si>
    <t>Industry / Rating</t>
  </si>
  <si>
    <t>Others</t>
  </si>
  <si>
    <t>International  Mutual Fund Units</t>
  </si>
  <si>
    <t>Mirae Asset China Sector Leader Eq Class X Cap USD</t>
  </si>
  <si>
    <t>LU0587760769</t>
  </si>
  <si>
    <t>Mirae Asset Global Commodity Stocks Fund</t>
  </si>
  <si>
    <t>Reliance Industries Ltd</t>
  </si>
  <si>
    <t>INE002A01018</t>
  </si>
  <si>
    <t>BHP Billiton Ltd</t>
  </si>
  <si>
    <t>AU000000BHP4</t>
  </si>
  <si>
    <t>Diversified Metals &amp; Mining</t>
  </si>
  <si>
    <t>Oil &amp; Natural Gas Corporation Ltd</t>
  </si>
  <si>
    <t>INE213A01029</t>
  </si>
  <si>
    <t>Cnooc Ltd</t>
  </si>
  <si>
    <t>HK0883013259</t>
  </si>
  <si>
    <t>Oil &amp; Gas Exploration &amp; Production</t>
  </si>
  <si>
    <t>Petrochina Company Ltd</t>
  </si>
  <si>
    <t>CNE1000003W8</t>
  </si>
  <si>
    <t>Integrated Oil &amp; Gas</t>
  </si>
  <si>
    <t>Rio Tinto Ltd</t>
  </si>
  <si>
    <t>AU000000RIO1</t>
  </si>
  <si>
    <t>POSCO (Pohang Iron &amp; Steel Co Ltd )</t>
  </si>
  <si>
    <t>KR7005490008</t>
  </si>
  <si>
    <t>Steel</t>
  </si>
  <si>
    <t>Woodside Petroleum Ltd</t>
  </si>
  <si>
    <t>AU000000WPL2</t>
  </si>
  <si>
    <t>China Petroleum -H-</t>
  </si>
  <si>
    <t>CNE1000002Q2</t>
  </si>
  <si>
    <t>Tata Steel Ltd</t>
  </si>
  <si>
    <t>INE081A01012</t>
  </si>
  <si>
    <t>Ferrous Metals</t>
  </si>
  <si>
    <t>LG Chemicals Ltd</t>
  </si>
  <si>
    <t>KR7051910008</t>
  </si>
  <si>
    <t>Commodity Chemicals</t>
  </si>
  <si>
    <t>Sesa Sterlite Ltd</t>
  </si>
  <si>
    <t>INE205A01025</t>
  </si>
  <si>
    <t>Santos Ltd-AUD</t>
  </si>
  <si>
    <t>AU000000STO6</t>
  </si>
  <si>
    <t>SK Innovation Co Ltd</t>
  </si>
  <si>
    <t>KR7096770003</t>
  </si>
  <si>
    <t>Oil &amp; Gas Refining &amp; Marketing</t>
  </si>
  <si>
    <t>Origin Energy Ltd</t>
  </si>
  <si>
    <t>AU000000ORG5</t>
  </si>
  <si>
    <t>Coal India Ltd</t>
  </si>
  <si>
    <t>INE522F01014</t>
  </si>
  <si>
    <t>China Shenhua - H</t>
  </si>
  <si>
    <t>CNE1000002R0</t>
  </si>
  <si>
    <t>Coal &amp; Consumable Fuels</t>
  </si>
  <si>
    <t>Kunlun Energy Company Ltd</t>
  </si>
  <si>
    <t>BMG5320C1082</t>
  </si>
  <si>
    <t>FORTESCUE METALS GROUP LTD</t>
  </si>
  <si>
    <t>AU000000FMG4</t>
  </si>
  <si>
    <t>AMCOR LIMITED</t>
  </si>
  <si>
    <t>AU000000AMC4</t>
  </si>
  <si>
    <t>Paper Packaging</t>
  </si>
  <si>
    <t>Cairn India Ltd</t>
  </si>
  <si>
    <t>INE910H01017</t>
  </si>
  <si>
    <t>Orica Ltd</t>
  </si>
  <si>
    <t>AU000000ORI1</t>
  </si>
  <si>
    <t>Hindalco Industries Ltd</t>
  </si>
  <si>
    <t>INE038A01020</t>
  </si>
  <si>
    <t>Non - Ferrous Metals</t>
  </si>
  <si>
    <t>Oil Search Ltd</t>
  </si>
  <si>
    <t>PG0008579883</t>
  </si>
  <si>
    <t>Anhui Conch -H-</t>
  </si>
  <si>
    <t>CNE1000001W2</t>
  </si>
  <si>
    <t>Construction Materials</t>
  </si>
  <si>
    <t>Jiangxi Copper Company Ltd</t>
  </si>
  <si>
    <t>CNE1000003K3</t>
  </si>
  <si>
    <t>PT Semen Gresik ( Persero) TBK</t>
  </si>
  <si>
    <t>ID1000106800</t>
  </si>
  <si>
    <t>Bharat Petroleum Corporation Ltd</t>
  </si>
  <si>
    <t>INE029A01011</t>
  </si>
  <si>
    <t>China National Building Materia Ltd</t>
  </si>
  <si>
    <t>CNE1000002N9</t>
  </si>
  <si>
    <t>JSW Steel Ltd</t>
  </si>
  <si>
    <t>INE019A01020</t>
  </si>
  <si>
    <t>Orora Ltd</t>
  </si>
  <si>
    <t>AU000000ORA8</t>
  </si>
  <si>
    <t>Mirae Asset India Opportunities Fund</t>
  </si>
  <si>
    <t>Infosys Ltd</t>
  </si>
  <si>
    <t>INE009A01021</t>
  </si>
  <si>
    <t>HDFC Bank Ltd</t>
  </si>
  <si>
    <t>INE040A01026</t>
  </si>
  <si>
    <t>Tata Consultancy Services Ltd</t>
  </si>
  <si>
    <t>INE467B01029</t>
  </si>
  <si>
    <t>Larsen &amp; Toubro Ltd</t>
  </si>
  <si>
    <t>INE018A01030</t>
  </si>
  <si>
    <t>Construction Project</t>
  </si>
  <si>
    <t>State Bank of India</t>
  </si>
  <si>
    <t>INE062A01012</t>
  </si>
  <si>
    <t>Sun Pharmaceuticals Industries Ltd</t>
  </si>
  <si>
    <t>INE044A01036</t>
  </si>
  <si>
    <t>Cipla Ltd</t>
  </si>
  <si>
    <t>INE059A01026</t>
  </si>
  <si>
    <t>Dr. Reddy's Laboratories Ltd</t>
  </si>
  <si>
    <t>INE089A01023</t>
  </si>
  <si>
    <t>INE155A01022</t>
  </si>
  <si>
    <t>Mirae Asset Ultra Short Term Bond Fund</t>
  </si>
  <si>
    <t>INE112A16DY7</t>
  </si>
  <si>
    <t>INE428A16JG1</t>
  </si>
  <si>
    <t>ICRA A1+</t>
  </si>
  <si>
    <t>Mirae Asset Short Term Bond Fund</t>
  </si>
  <si>
    <t>EQUITY &amp; EQUITY RELATED</t>
  </si>
  <si>
    <t>(a) Listed/Awaiting listing on Stock Exchanges</t>
  </si>
  <si>
    <t>DEBT INSTRUMENTS</t>
  </si>
  <si>
    <t xml:space="preserve">(a) Listed/Awaiting Listing on Stock Exchanges </t>
  </si>
  <si>
    <t xml:space="preserve">(b) Privately placed/Unlisted </t>
  </si>
  <si>
    <t>(c) Securitised Debt Instruments</t>
  </si>
  <si>
    <t>(a) Listed/Awaiting Listing on Stock Exchanges</t>
  </si>
  <si>
    <t>* Industry classification as recommended by AMFI.</t>
  </si>
  <si>
    <t>Industry*</t>
  </si>
  <si>
    <t>India Equity Share*</t>
  </si>
  <si>
    <t>FOREIGN SECURITIES/OVERSEAS ETFS@@</t>
  </si>
  <si>
    <t>International Equity Shares</t>
  </si>
  <si>
    <t>@@ Industry Classification as per GICS Sub-Industry Classification</t>
  </si>
  <si>
    <t>Tata Motors Ltd DVR Shares</t>
  </si>
  <si>
    <t>Corporation Bank (25/08/2014) ** #</t>
  </si>
  <si>
    <t>Allahabad Bank (17/03/2014) ** #</t>
  </si>
  <si>
    <t>(An Open - Ended Liquid Scheme)</t>
  </si>
  <si>
    <t>Average maturity in days</t>
  </si>
  <si>
    <t xml:space="preserve"> (An Open - Ended Equity Fund)</t>
  </si>
  <si>
    <t>Portfolio Turnover Ratio^</t>
  </si>
  <si>
    <t>^Basis last rolling 12 month</t>
  </si>
  <si>
    <t>(An Open - Ended Equity Oriented Scheme)</t>
  </si>
  <si>
    <t>(An Open - Ended Fund of Funds Scheme)</t>
  </si>
  <si>
    <t>(An Open - Ended Debt Scheme)</t>
  </si>
  <si>
    <t xml:space="preserve"> (An Open -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</si>
</sst>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\(#,##0.00\)"/>
  </numFmts>
  <fonts count="14" x14ac:knownFonts="1">
    <font>
      <sz val="10"/>
      <name val="Arial"/>
    </font>
    <font>
      <sz val="10"/>
      <name val="Arial"/>
      <family val="2"/>
    </font>
    <font>
      <b/>
      <sz val="9"/>
      <color indexed="72"/>
      <name val="Tahoma"/>
      <family val="2"/>
    </font>
    <font>
      <b/>
      <sz val="15"/>
      <name val="Tahoma"/>
      <family val="2"/>
    </font>
    <font>
      <sz val="10"/>
      <name val="Tahoma"/>
      <family val="2"/>
    </font>
    <font>
      <b/>
      <sz val="9"/>
      <color theme="1"/>
      <name val="Tahoma"/>
      <family val="2"/>
    </font>
    <font>
      <sz val="9"/>
      <color indexed="72"/>
      <name val="Tahoma"/>
      <family val="2"/>
    </font>
    <font>
      <b/>
      <sz val="10"/>
      <color indexed="72"/>
      <name val="Tahoma"/>
      <family val="2"/>
    </font>
    <font>
      <b/>
      <sz val="11"/>
      <color theme="1"/>
      <name val="Tahoma"/>
      <family val="2"/>
    </font>
    <font>
      <b/>
      <sz val="9"/>
      <name val="Tahoma"/>
      <family val="2"/>
    </font>
    <font>
      <sz val="9"/>
      <color indexed="9"/>
      <name val="Tahoma"/>
      <family val="2"/>
    </font>
    <font>
      <sz val="9"/>
      <name val="Tahoma"/>
      <family val="2"/>
    </font>
    <font>
      <sz val="9"/>
      <color theme="1"/>
      <name val="Tahoma"/>
      <family val="2"/>
    </font>
    <font>
      <b/>
      <sz val="14"/>
      <name val="Tahoma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107">
    <xf numFmtId="0" fontId="0" fillId="0" borderId="0" xfId="0" applyNumberFormat="1" applyFont="1" applyFill="1" applyBorder="1" applyAlignment="1"/>
    <xf numFmtId="0" fontId="2" fillId="0" borderId="1" xfId="1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0" xfId="1" applyNumberFormat="1" applyFont="1" applyFill="1" applyBorder="1" applyAlignment="1" applyProtection="1">
      <alignment horizontal="center" wrapText="1"/>
    </xf>
    <xf numFmtId="2" fontId="2" fillId="0" borderId="26" xfId="1" applyNumberFormat="1" applyFont="1" applyFill="1" applyBorder="1" applyAlignment="1" applyProtection="1">
      <alignment horizontal="center" vertical="top" wrapText="1"/>
    </xf>
    <xf numFmtId="0" fontId="4" fillId="0" borderId="0" xfId="0" applyNumberFormat="1" applyFont="1" applyFill="1" applyBorder="1" applyAlignment="1"/>
    <xf numFmtId="0" fontId="2" fillId="0" borderId="0" xfId="0" applyNumberFormat="1" applyFont="1" applyFill="1" applyBorder="1" applyAlignment="1" applyProtection="1">
      <alignment horizontal="center" vertical="top" wrapText="1"/>
    </xf>
    <xf numFmtId="4" fontId="4" fillId="0" borderId="0" xfId="0" applyNumberFormat="1" applyFont="1" applyFill="1" applyBorder="1" applyAlignment="1" applyProtection="1">
      <alignment horizontal="left" vertical="top" wrapText="1"/>
    </xf>
    <xf numFmtId="10" fontId="4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2" fillId="0" borderId="17" xfId="0" applyNumberFormat="1" applyFont="1" applyFill="1" applyBorder="1" applyAlignment="1" applyProtection="1">
      <alignment horizontal="left" vertical="center" wrapText="1"/>
    </xf>
    <xf numFmtId="0" fontId="2" fillId="0" borderId="18" xfId="0" applyNumberFormat="1" applyFont="1" applyFill="1" applyBorder="1" applyAlignment="1" applyProtection="1">
      <alignment horizontal="left" vertical="center" wrapText="1"/>
    </xf>
    <xf numFmtId="0" fontId="2" fillId="0" borderId="18" xfId="0" applyNumberFormat="1" applyFont="1" applyFill="1" applyBorder="1" applyAlignment="1" applyProtection="1">
      <alignment horizontal="center" vertical="center" wrapText="1"/>
    </xf>
    <xf numFmtId="4" fontId="2" fillId="0" borderId="18" xfId="0" applyNumberFormat="1" applyFont="1" applyFill="1" applyBorder="1" applyAlignment="1" applyProtection="1">
      <alignment horizontal="center" vertical="center" wrapText="1"/>
    </xf>
    <xf numFmtId="10" fontId="2" fillId="0" borderId="19" xfId="0" applyNumberFormat="1" applyFont="1" applyFill="1" applyBorder="1" applyAlignment="1" applyProtection="1">
      <alignment horizontal="center" vertical="center" wrapText="1"/>
    </xf>
    <xf numFmtId="0" fontId="8" fillId="0" borderId="15" xfId="0" applyFont="1" applyBorder="1"/>
    <xf numFmtId="0" fontId="2" fillId="0" borderId="15" xfId="0" applyNumberFormat="1" applyFont="1" applyFill="1" applyBorder="1" applyAlignment="1" applyProtection="1">
      <alignment horizontal="center" vertical="center" wrapText="1"/>
    </xf>
    <xf numFmtId="4" fontId="2" fillId="0" borderId="15" xfId="0" applyNumberFormat="1" applyFont="1" applyFill="1" applyBorder="1" applyAlignment="1" applyProtection="1">
      <alignment horizontal="center" vertical="center" wrapText="1"/>
    </xf>
    <xf numFmtId="10" fontId="2" fillId="0" borderId="16" xfId="0" applyNumberFormat="1" applyFont="1" applyFill="1" applyBorder="1" applyAlignment="1" applyProtection="1">
      <alignment horizontal="center" vertical="center" wrapText="1"/>
    </xf>
    <xf numFmtId="0" fontId="4" fillId="0" borderId="1" xfId="0" applyFont="1" applyBorder="1"/>
    <xf numFmtId="0" fontId="2" fillId="0" borderId="2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9" fillId="0" borderId="2" xfId="0" applyNumberFormat="1" applyFont="1" applyFill="1" applyBorder="1" applyAlignment="1" applyProtection="1">
      <alignment horizontal="center" vertical="center" wrapText="1"/>
    </xf>
    <xf numFmtId="0" fontId="9" fillId="0" borderId="3" xfId="0" applyNumberFormat="1" applyFont="1" applyFill="1" applyBorder="1" applyAlignment="1" applyProtection="1">
      <alignment horizontal="center" vertical="center" wrapText="1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11" fillId="0" borderId="2" xfId="0" applyNumberFormat="1" applyFont="1" applyFill="1" applyBorder="1" applyAlignment="1" applyProtection="1">
      <alignment horizontal="center" vertical="center" wrapText="1"/>
    </xf>
    <xf numFmtId="4" fontId="2" fillId="0" borderId="2" xfId="0" applyNumberFormat="1" applyFont="1" applyFill="1" applyBorder="1" applyAlignment="1" applyProtection="1">
      <alignment horizontal="center" vertical="center" wrapText="1"/>
    </xf>
    <xf numFmtId="10" fontId="11" fillId="0" borderId="3" xfId="0" applyNumberFormat="1" applyFont="1" applyFill="1" applyBorder="1" applyAlignment="1" applyProtection="1">
      <alignment horizontal="center" vertical="center" wrapText="1"/>
    </xf>
    <xf numFmtId="10" fontId="2" fillId="0" borderId="3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left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4" fontId="6" fillId="0" borderId="2" xfId="0" applyNumberFormat="1" applyFont="1" applyFill="1" applyBorder="1" applyAlignment="1" applyProtection="1">
      <alignment horizontal="left" vertical="top" wrapText="1"/>
    </xf>
    <xf numFmtId="10" fontId="6" fillId="0" borderId="3" xfId="0" applyNumberFormat="1" applyFont="1" applyFill="1" applyBorder="1" applyAlignment="1" applyProtection="1">
      <alignment horizontal="lef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3" fontId="6" fillId="0" borderId="2" xfId="0" applyNumberFormat="1" applyFont="1" applyFill="1" applyBorder="1" applyAlignment="1" applyProtection="1">
      <alignment horizontal="right" vertical="top" wrapText="1"/>
    </xf>
    <xf numFmtId="4" fontId="6" fillId="0" borderId="2" xfId="0" applyNumberFormat="1" applyFont="1" applyFill="1" applyBorder="1" applyAlignment="1" applyProtection="1">
      <alignment horizontal="right" vertical="top" wrapText="1"/>
    </xf>
    <xf numFmtId="10" fontId="6" fillId="0" borderId="3" xfId="0" applyNumberFormat="1" applyFont="1" applyFill="1" applyBorder="1" applyAlignment="1" applyProtection="1">
      <alignment horizontal="right" vertical="top" wrapText="1"/>
    </xf>
    <xf numFmtId="4" fontId="2" fillId="0" borderId="2" xfId="0" applyNumberFormat="1" applyFont="1" applyFill="1" applyBorder="1" applyAlignment="1" applyProtection="1">
      <alignment horizontal="right" vertical="top" wrapText="1"/>
    </xf>
    <xf numFmtId="10" fontId="2" fillId="0" borderId="3" xfId="0" applyNumberFormat="1" applyFont="1" applyFill="1" applyBorder="1" applyAlignment="1" applyProtection="1">
      <alignment horizontal="right" vertical="top" wrapText="1"/>
    </xf>
    <xf numFmtId="0" fontId="2" fillId="0" borderId="23" xfId="0" applyNumberFormat="1" applyFont="1" applyFill="1" applyBorder="1" applyAlignment="1" applyProtection="1">
      <alignment horizontal="left" vertical="top" wrapText="1"/>
    </xf>
    <xf numFmtId="0" fontId="6" fillId="0" borderId="24" xfId="0" applyNumberFormat="1" applyFont="1" applyFill="1" applyBorder="1" applyAlignment="1" applyProtection="1">
      <alignment horizontal="left" vertical="top" wrapText="1"/>
    </xf>
    <xf numFmtId="4" fontId="2" fillId="0" borderId="24" xfId="0" applyNumberFormat="1" applyFont="1" applyFill="1" applyBorder="1" applyAlignment="1" applyProtection="1">
      <alignment horizontal="right" vertical="top" wrapText="1"/>
    </xf>
    <xf numFmtId="10" fontId="2" fillId="0" borderId="25" xfId="0" applyNumberFormat="1" applyFont="1" applyFill="1" applyBorder="1" applyAlignment="1" applyProtection="1">
      <alignment horizontal="right" vertical="top" wrapText="1"/>
    </xf>
    <xf numFmtId="0" fontId="2" fillId="0" borderId="20" xfId="0" applyNumberFormat="1" applyFont="1" applyFill="1" applyBorder="1" applyAlignment="1" applyProtection="1">
      <alignment horizontal="left" vertical="top" wrapText="1"/>
    </xf>
    <xf numFmtId="0" fontId="6" fillId="0" borderId="21" xfId="0" applyNumberFormat="1" applyFont="1" applyFill="1" applyBorder="1" applyAlignment="1" applyProtection="1">
      <alignment horizontal="left" vertical="top" wrapText="1"/>
    </xf>
    <xf numFmtId="4" fontId="2" fillId="0" borderId="21" xfId="0" applyNumberFormat="1" applyFont="1" applyFill="1" applyBorder="1" applyAlignment="1" applyProtection="1">
      <alignment horizontal="right" vertical="top" wrapText="1"/>
    </xf>
    <xf numFmtId="10" fontId="2" fillId="0" borderId="22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/>
    <xf numFmtId="10" fontId="4" fillId="0" borderId="0" xfId="0" applyNumberFormat="1" applyFont="1" applyFill="1" applyBorder="1" applyAlignment="1"/>
    <xf numFmtId="0" fontId="5" fillId="0" borderId="14" xfId="0" applyFont="1" applyBorder="1"/>
    <xf numFmtId="0" fontId="5" fillId="0" borderId="1" xfId="0" applyFont="1" applyBorder="1"/>
    <xf numFmtId="0" fontId="2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Font="1" applyBorder="1"/>
    <xf numFmtId="0" fontId="2" fillId="0" borderId="12" xfId="0" applyNumberFormat="1" applyFont="1" applyFill="1" applyBorder="1" applyAlignment="1" applyProtection="1">
      <alignment horizontal="center" vertical="center" wrapText="1"/>
    </xf>
    <xf numFmtId="4" fontId="2" fillId="0" borderId="12" xfId="0" applyNumberFormat="1" applyFont="1" applyFill="1" applyBorder="1" applyAlignment="1" applyProtection="1">
      <alignment horizontal="center" vertical="center" wrapText="1"/>
    </xf>
    <xf numFmtId="10" fontId="11" fillId="0" borderId="3" xfId="0" applyNumberFormat="1" applyFont="1" applyFill="1" applyBorder="1" applyAlignment="1" applyProtection="1">
      <alignment horizontal="right" vertical="top" wrapText="1"/>
    </xf>
    <xf numFmtId="0" fontId="2" fillId="0" borderId="14" xfId="0" applyNumberFormat="1" applyFont="1" applyFill="1" applyBorder="1" applyAlignment="1" applyProtection="1">
      <alignment horizontal="left" vertical="top" wrapText="1"/>
    </xf>
    <xf numFmtId="0" fontId="6" fillId="0" borderId="15" xfId="0" applyNumberFormat="1" applyFont="1" applyFill="1" applyBorder="1" applyAlignment="1" applyProtection="1">
      <alignment horizontal="left" vertical="top" wrapText="1"/>
    </xf>
    <xf numFmtId="4" fontId="6" fillId="0" borderId="15" xfId="0" applyNumberFormat="1" applyFont="1" applyFill="1" applyBorder="1" applyAlignment="1" applyProtection="1">
      <alignment horizontal="left" vertical="top" wrapText="1"/>
    </xf>
    <xf numFmtId="10" fontId="6" fillId="0" borderId="16" xfId="0" applyNumberFormat="1" applyFont="1" applyFill="1" applyBorder="1" applyAlignment="1" applyProtection="1">
      <alignment horizontal="left" vertical="top" wrapText="1"/>
    </xf>
    <xf numFmtId="10" fontId="9" fillId="0" borderId="3" xfId="0" applyNumberFormat="1" applyFont="1" applyFill="1" applyBorder="1" applyAlignment="1" applyProtection="1">
      <alignment horizontal="right" vertical="top" wrapText="1"/>
    </xf>
    <xf numFmtId="0" fontId="9" fillId="0" borderId="27" xfId="0" applyNumberFormat="1" applyFont="1" applyFill="1" applyBorder="1" applyAlignment="1" applyProtection="1">
      <alignment horizontal="left" vertical="top" wrapText="1"/>
    </xf>
    <xf numFmtId="2" fontId="9" fillId="0" borderId="10" xfId="0" applyNumberFormat="1" applyFont="1" applyFill="1" applyBorder="1" applyAlignment="1" applyProtection="1">
      <alignment horizontal="center" vertical="top" wrapText="1"/>
    </xf>
    <xf numFmtId="0" fontId="11" fillId="0" borderId="0" xfId="0" applyNumberFormat="1" applyFont="1" applyFill="1" applyBorder="1" applyAlignment="1" applyProtection="1">
      <alignment horizontal="left" vertical="top" wrapText="1"/>
    </xf>
    <xf numFmtId="0" fontId="9" fillId="0" borderId="1" xfId="0" applyFont="1" applyBorder="1"/>
    <xf numFmtId="4" fontId="9" fillId="0" borderId="2" xfId="0" applyNumberFormat="1" applyFont="1" applyFill="1" applyBorder="1" applyAlignment="1" applyProtection="1">
      <alignment horizontal="right" vertical="top" wrapText="1"/>
    </xf>
    <xf numFmtId="2" fontId="2" fillId="0" borderId="2" xfId="0" applyNumberFormat="1" applyFont="1" applyFill="1" applyBorder="1" applyAlignment="1" applyProtection="1">
      <alignment horizontal="right" vertical="top" wrapText="1"/>
    </xf>
    <xf numFmtId="164" fontId="11" fillId="0" borderId="2" xfId="0" applyNumberFormat="1" applyFont="1" applyFill="1" applyBorder="1" applyAlignment="1" applyProtection="1">
      <alignment horizontal="right" vertical="top" wrapText="1"/>
    </xf>
    <xf numFmtId="0" fontId="2" fillId="0" borderId="1" xfId="0" applyNumberFormat="1" applyFont="1" applyFill="1" applyBorder="1" applyAlignment="1" applyProtection="1">
      <alignment horizontal="left" vertical="center" wrapText="1"/>
    </xf>
    <xf numFmtId="0" fontId="9" fillId="0" borderId="1" xfId="0" applyNumberFormat="1" applyFont="1" applyFill="1" applyBorder="1" applyAlignment="1" applyProtection="1">
      <alignment horizontal="left" vertical="top" wrapText="1"/>
    </xf>
    <xf numFmtId="0" fontId="2" fillId="0" borderId="14" xfId="0" applyNumberFormat="1" applyFont="1" applyFill="1" applyBorder="1" applyAlignment="1" applyProtection="1">
      <alignment horizontal="left" vertical="center" wrapText="1"/>
    </xf>
    <xf numFmtId="0" fontId="2" fillId="0" borderId="15" xfId="0" applyNumberFormat="1" applyFont="1" applyFill="1" applyBorder="1" applyAlignment="1" applyProtection="1">
      <alignment horizontal="left" vertical="center" wrapText="1"/>
    </xf>
    <xf numFmtId="0" fontId="2" fillId="0" borderId="27" xfId="0" applyNumberFormat="1" applyFont="1" applyFill="1" applyBorder="1" applyAlignment="1" applyProtection="1">
      <alignment horizontal="left" vertical="top" wrapText="1"/>
    </xf>
    <xf numFmtId="2" fontId="2" fillId="0" borderId="10" xfId="0" applyNumberFormat="1" applyFont="1" applyFill="1" applyBorder="1" applyAlignment="1" applyProtection="1">
      <alignment horizontal="center" vertical="top" wrapText="1"/>
    </xf>
    <xf numFmtId="0" fontId="9" fillId="0" borderId="15" xfId="0" applyNumberFormat="1" applyFont="1" applyFill="1" applyBorder="1" applyAlignment="1" applyProtection="1">
      <alignment horizontal="center" vertical="center" wrapText="1"/>
    </xf>
    <xf numFmtId="0" fontId="5" fillId="0" borderId="15" xfId="0" applyNumberFormat="1" applyFont="1" applyFill="1" applyBorder="1" applyAlignment="1" applyProtection="1">
      <alignment horizontal="right" vertical="center" wrapText="1"/>
    </xf>
    <xf numFmtId="0" fontId="5" fillId="0" borderId="16" xfId="0" applyNumberFormat="1" applyFont="1" applyFill="1" applyBorder="1" applyAlignment="1" applyProtection="1">
      <alignment horizontal="right" vertical="center" wrapText="1"/>
    </xf>
    <xf numFmtId="0" fontId="11" fillId="0" borderId="1" xfId="0" applyFont="1" applyBorder="1"/>
    <xf numFmtId="0" fontId="5" fillId="0" borderId="2" xfId="0" applyNumberFormat="1" applyFont="1" applyFill="1" applyBorder="1" applyAlignment="1" applyProtection="1">
      <alignment horizontal="right" vertical="center" wrapText="1"/>
    </xf>
    <xf numFmtId="0" fontId="5" fillId="0" borderId="3" xfId="0" applyNumberFormat="1" applyFont="1" applyFill="1" applyBorder="1" applyAlignment="1" applyProtection="1">
      <alignment horizontal="right" vertical="center" wrapText="1"/>
    </xf>
    <xf numFmtId="0" fontId="12" fillId="0" borderId="1" xfId="0" applyFont="1" applyBorder="1"/>
    <xf numFmtId="0" fontId="8" fillId="0" borderId="2" xfId="0" applyFont="1" applyBorder="1"/>
    <xf numFmtId="4" fontId="11" fillId="0" borderId="2" xfId="0" applyNumberFormat="1" applyFont="1" applyFill="1" applyBorder="1" applyAlignment="1" applyProtection="1">
      <alignment horizontal="center" vertical="center" wrapText="1"/>
    </xf>
    <xf numFmtId="0" fontId="2" fillId="0" borderId="16" xfId="0" applyNumberFormat="1" applyFont="1" applyFill="1" applyBorder="1" applyAlignment="1" applyProtection="1">
      <alignment horizontal="center" vertical="center" wrapText="1"/>
    </xf>
    <xf numFmtId="0" fontId="5" fillId="0" borderId="10" xfId="0" applyNumberFormat="1" applyFont="1" applyFill="1" applyBorder="1" applyAlignment="1" applyProtection="1">
      <alignment horizontal="center" wrapText="1"/>
    </xf>
    <xf numFmtId="2" fontId="2" fillId="0" borderId="26" xfId="0" applyNumberFormat="1" applyFont="1" applyFill="1" applyBorder="1" applyAlignment="1" applyProtection="1">
      <alignment horizontal="center" vertical="top" wrapText="1"/>
    </xf>
    <xf numFmtId="0" fontId="5" fillId="0" borderId="11" xfId="0" applyFont="1" applyBorder="1"/>
    <xf numFmtId="0" fontId="8" fillId="0" borderId="12" xfId="0" applyFont="1" applyBorder="1"/>
    <xf numFmtId="0" fontId="2" fillId="0" borderId="13" xfId="0" applyNumberFormat="1" applyFont="1" applyFill="1" applyBorder="1" applyAlignment="1" applyProtection="1">
      <alignment horizontal="center" vertical="center" wrapText="1"/>
    </xf>
    <xf numFmtId="0" fontId="3" fillId="0" borderId="4" xfId="1" applyNumberFormat="1" applyFont="1" applyFill="1" applyBorder="1" applyAlignment="1" applyProtection="1">
      <alignment horizontal="center" vertical="top" wrapText="1"/>
    </xf>
    <xf numFmtId="0" fontId="3" fillId="0" borderId="5" xfId="1" applyNumberFormat="1" applyFont="1" applyFill="1" applyBorder="1" applyAlignment="1" applyProtection="1">
      <alignment horizontal="center" vertical="top" wrapText="1"/>
    </xf>
    <xf numFmtId="0" fontId="3" fillId="0" borderId="6" xfId="1" applyNumberFormat="1" applyFont="1" applyFill="1" applyBorder="1" applyAlignment="1" applyProtection="1">
      <alignment horizontal="center" vertical="top" wrapText="1"/>
    </xf>
    <xf numFmtId="0" fontId="2" fillId="0" borderId="7" xfId="1" applyNumberFormat="1" applyFont="1" applyFill="1" applyBorder="1" applyAlignment="1" applyProtection="1">
      <alignment horizontal="center" vertical="top" wrapText="1"/>
    </xf>
    <xf numFmtId="0" fontId="2" fillId="0" borderId="8" xfId="1" applyNumberFormat="1" applyFont="1" applyFill="1" applyBorder="1" applyAlignment="1" applyProtection="1">
      <alignment horizontal="center" vertical="top" wrapText="1"/>
    </xf>
    <xf numFmtId="0" fontId="2" fillId="0" borderId="9" xfId="1" applyNumberFormat="1" applyFont="1" applyFill="1" applyBorder="1" applyAlignment="1" applyProtection="1">
      <alignment horizontal="center" vertical="top" wrapText="1"/>
    </xf>
    <xf numFmtId="0" fontId="3" fillId="0" borderId="4" xfId="0" applyNumberFormat="1" applyFont="1" applyFill="1" applyBorder="1" applyAlignment="1" applyProtection="1">
      <alignment horizontal="center" vertical="top" wrapText="1"/>
    </xf>
    <xf numFmtId="0" fontId="3" fillId="0" borderId="5" xfId="0" applyNumberFormat="1" applyFont="1" applyFill="1" applyBorder="1" applyAlignment="1" applyProtection="1">
      <alignment horizontal="center" vertical="top" wrapText="1"/>
    </xf>
    <xf numFmtId="0" fontId="3" fillId="0" borderId="6" xfId="0" applyNumberFormat="1" applyFont="1" applyFill="1" applyBorder="1" applyAlignment="1" applyProtection="1">
      <alignment horizontal="center" vertical="top" wrapText="1"/>
    </xf>
    <xf numFmtId="0" fontId="2" fillId="0" borderId="7" xfId="0" applyNumberFormat="1" applyFont="1" applyFill="1" applyBorder="1" applyAlignment="1" applyProtection="1">
      <alignment horizontal="center" vertical="top" wrapText="1"/>
    </xf>
    <xf numFmtId="0" fontId="2" fillId="0" borderId="8" xfId="0" applyNumberFormat="1" applyFont="1" applyFill="1" applyBorder="1" applyAlignment="1" applyProtection="1">
      <alignment horizontal="center" vertical="top" wrapText="1"/>
    </xf>
    <xf numFmtId="0" fontId="2" fillId="0" borderId="9" xfId="0" applyNumberFormat="1" applyFont="1" applyFill="1" applyBorder="1" applyAlignment="1" applyProtection="1">
      <alignment horizontal="center" vertical="top" wrapText="1"/>
    </xf>
    <xf numFmtId="0" fontId="13" fillId="0" borderId="4" xfId="0" applyNumberFormat="1" applyFont="1" applyFill="1" applyBorder="1" applyAlignment="1" applyProtection="1">
      <alignment horizontal="center" vertical="top" wrapText="1"/>
    </xf>
    <xf numFmtId="0" fontId="13" fillId="0" borderId="5" xfId="0" applyNumberFormat="1" applyFont="1" applyFill="1" applyBorder="1" applyAlignment="1" applyProtection="1">
      <alignment horizontal="center" vertical="top" wrapText="1"/>
    </xf>
    <xf numFmtId="0" fontId="13" fillId="0" borderId="6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horizontal="left" vertical="top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showGridLines="0" tabSelected="1" zoomScaleNormal="100" workbookViewId="0">
      <selection activeCell="D31" sqref="D31"/>
    </sheetView>
  </sheetViews>
  <sheetFormatPr defaultRowHeight="12.75" x14ac:dyDescent="0.2"/>
  <cols>
    <col min="1" max="1" width="11.42578125" style="6" bestFit="1" customWidth="1"/>
    <col min="2" max="2" width="52.140625" style="6" bestFit="1" customWidth="1"/>
    <col min="3" max="5" width="19.5703125" style="6" customWidth="1"/>
    <col min="6" max="6" width="19.5703125" style="49" customWidth="1"/>
    <col min="7" max="7" width="19.5703125" style="50" customWidth="1"/>
    <col min="8" max="16384" width="9.140625" style="6"/>
  </cols>
  <sheetData>
    <row r="1" spans="1:7" ht="18.75" x14ac:dyDescent="0.2">
      <c r="A1" s="3"/>
      <c r="B1" s="91" t="s">
        <v>0</v>
      </c>
      <c r="C1" s="92"/>
      <c r="D1" s="92"/>
      <c r="E1" s="92"/>
      <c r="F1" s="92"/>
      <c r="G1" s="93"/>
    </row>
    <row r="2" spans="1:7" ht="15.95" customHeight="1" thickBot="1" x14ac:dyDescent="0.25">
      <c r="A2" s="3"/>
      <c r="B2" s="94" t="s">
        <v>347</v>
      </c>
      <c r="C2" s="95"/>
      <c r="D2" s="95"/>
      <c r="E2" s="95"/>
      <c r="F2" s="95"/>
      <c r="G2" s="96"/>
    </row>
    <row r="3" spans="1:7" ht="12.95" customHeight="1" x14ac:dyDescent="0.2">
      <c r="A3" s="3"/>
      <c r="B3" s="7" t="s">
        <v>1</v>
      </c>
      <c r="C3" s="3"/>
      <c r="D3" s="3"/>
      <c r="E3" s="3"/>
      <c r="F3" s="8"/>
      <c r="G3" s="9"/>
    </row>
    <row r="4" spans="1:7" ht="12.95" customHeight="1" thickBot="1" x14ac:dyDescent="0.25">
      <c r="A4" s="10"/>
      <c r="B4" s="11" t="s">
        <v>2</v>
      </c>
      <c r="C4" s="3"/>
      <c r="D4" s="3"/>
      <c r="E4" s="3"/>
      <c r="F4" s="8"/>
      <c r="G4" s="9"/>
    </row>
    <row r="5" spans="1:7" ht="27.95" customHeight="1" thickBot="1" x14ac:dyDescent="0.25">
      <c r="A5" s="3"/>
      <c r="B5" s="12" t="s">
        <v>3</v>
      </c>
      <c r="C5" s="13" t="s">
        <v>4</v>
      </c>
      <c r="D5" s="14" t="s">
        <v>5</v>
      </c>
      <c r="E5" s="14" t="s">
        <v>6</v>
      </c>
      <c r="F5" s="15" t="s">
        <v>7</v>
      </c>
      <c r="G5" s="16" t="s">
        <v>8</v>
      </c>
    </row>
    <row r="6" spans="1:7" ht="12.95" customHeight="1" x14ac:dyDescent="0.2">
      <c r="A6" s="3"/>
      <c r="B6" s="51" t="s">
        <v>331</v>
      </c>
      <c r="C6" s="17"/>
      <c r="D6" s="18"/>
      <c r="E6" s="18"/>
      <c r="F6" s="19"/>
      <c r="G6" s="20"/>
    </row>
    <row r="7" spans="1:7" ht="12.95" customHeight="1" x14ac:dyDescent="0.2">
      <c r="A7" s="3"/>
      <c r="B7" s="21" t="s">
        <v>332</v>
      </c>
      <c r="C7" s="22"/>
      <c r="D7" s="23"/>
      <c r="E7" s="24" t="s">
        <v>171</v>
      </c>
      <c r="F7" s="24" t="s">
        <v>171</v>
      </c>
      <c r="G7" s="25" t="s">
        <v>171</v>
      </c>
    </row>
    <row r="8" spans="1:7" ht="12.95" customHeight="1" x14ac:dyDescent="0.2">
      <c r="A8" s="26"/>
      <c r="B8" s="21" t="s">
        <v>170</v>
      </c>
      <c r="C8" s="22"/>
      <c r="D8" s="23"/>
      <c r="E8" s="24" t="s">
        <v>171</v>
      </c>
      <c r="F8" s="24" t="s">
        <v>171</v>
      </c>
      <c r="G8" s="25" t="s">
        <v>171</v>
      </c>
    </row>
    <row r="9" spans="1:7" ht="12.95" customHeight="1" x14ac:dyDescent="0.2">
      <c r="A9" s="3"/>
      <c r="B9" s="21"/>
      <c r="C9" s="22"/>
      <c r="D9" s="23"/>
      <c r="E9" s="27"/>
      <c r="F9" s="28"/>
      <c r="G9" s="29"/>
    </row>
    <row r="10" spans="1:7" ht="12.95" customHeight="1" x14ac:dyDescent="0.2">
      <c r="A10" s="3"/>
      <c r="B10" s="52" t="s">
        <v>333</v>
      </c>
      <c r="C10" s="22"/>
      <c r="D10" s="23"/>
      <c r="E10" s="27"/>
      <c r="F10" s="28"/>
      <c r="G10" s="29"/>
    </row>
    <row r="11" spans="1:7" ht="12.95" customHeight="1" x14ac:dyDescent="0.2">
      <c r="A11" s="3"/>
      <c r="B11" s="21" t="s">
        <v>334</v>
      </c>
      <c r="C11" s="22"/>
      <c r="D11" s="23"/>
      <c r="E11" s="24" t="s">
        <v>171</v>
      </c>
      <c r="F11" s="24" t="s">
        <v>171</v>
      </c>
      <c r="G11" s="25" t="s">
        <v>171</v>
      </c>
    </row>
    <row r="12" spans="1:7" ht="12.95" customHeight="1" x14ac:dyDescent="0.2">
      <c r="A12" s="26"/>
      <c r="B12" s="21" t="s">
        <v>335</v>
      </c>
      <c r="C12" s="22"/>
      <c r="D12" s="23"/>
      <c r="E12" s="24" t="s">
        <v>171</v>
      </c>
      <c r="F12" s="24" t="s">
        <v>171</v>
      </c>
      <c r="G12" s="25" t="s">
        <v>171</v>
      </c>
    </row>
    <row r="13" spans="1:7" ht="12.95" customHeight="1" x14ac:dyDescent="0.2">
      <c r="A13" s="3"/>
      <c r="B13" s="21" t="s">
        <v>336</v>
      </c>
      <c r="C13" s="22"/>
      <c r="D13" s="23"/>
      <c r="E13" s="24" t="s">
        <v>171</v>
      </c>
      <c r="F13" s="24" t="s">
        <v>171</v>
      </c>
      <c r="G13" s="25" t="s">
        <v>171</v>
      </c>
    </row>
    <row r="14" spans="1:7" ht="12.95" customHeight="1" x14ac:dyDescent="0.2">
      <c r="A14" s="3"/>
      <c r="B14" s="21"/>
      <c r="C14" s="22"/>
      <c r="D14" s="23"/>
      <c r="E14" s="23"/>
      <c r="F14" s="28"/>
      <c r="G14" s="30"/>
    </row>
    <row r="15" spans="1:7" ht="12.95" customHeight="1" x14ac:dyDescent="0.2">
      <c r="A15" s="3"/>
      <c r="B15" s="31" t="s">
        <v>9</v>
      </c>
      <c r="C15" s="32" t="s">
        <v>1</v>
      </c>
      <c r="D15" s="32" t="s">
        <v>1</v>
      </c>
      <c r="E15" s="32" t="s">
        <v>1</v>
      </c>
      <c r="F15" s="33" t="s">
        <v>1</v>
      </c>
      <c r="G15" s="34" t="s">
        <v>1</v>
      </c>
    </row>
    <row r="16" spans="1:7" ht="12.95" customHeight="1" x14ac:dyDescent="0.2">
      <c r="A16" s="3"/>
      <c r="B16" s="31" t="s">
        <v>10</v>
      </c>
      <c r="C16" s="32" t="s">
        <v>1</v>
      </c>
      <c r="D16" s="32" t="s">
        <v>1</v>
      </c>
      <c r="E16" s="32" t="s">
        <v>1</v>
      </c>
      <c r="F16" s="33" t="s">
        <v>1</v>
      </c>
      <c r="G16" s="34" t="s">
        <v>1</v>
      </c>
    </row>
    <row r="17" spans="1:7" ht="12.95" customHeight="1" x14ac:dyDescent="0.2">
      <c r="A17" s="26"/>
      <c r="B17" s="35" t="s">
        <v>11</v>
      </c>
      <c r="C17" s="32" t="s">
        <v>12</v>
      </c>
      <c r="D17" s="32" t="s">
        <v>13</v>
      </c>
      <c r="E17" s="36">
        <v>370000</v>
      </c>
      <c r="F17" s="37">
        <v>369.90417739999998</v>
      </c>
      <c r="G17" s="38">
        <v>0.16173356267643813</v>
      </c>
    </row>
    <row r="18" spans="1:7" ht="12.95" customHeight="1" x14ac:dyDescent="0.2">
      <c r="A18" s="26"/>
      <c r="B18" s="35" t="s">
        <v>14</v>
      </c>
      <c r="C18" s="32" t="s">
        <v>15</v>
      </c>
      <c r="D18" s="32" t="s">
        <v>13</v>
      </c>
      <c r="E18" s="36">
        <v>300000</v>
      </c>
      <c r="F18" s="37">
        <v>298.44145800000001</v>
      </c>
      <c r="G18" s="38">
        <v>0.13048784848000092</v>
      </c>
    </row>
    <row r="19" spans="1:7" ht="12.95" customHeight="1" x14ac:dyDescent="0.2">
      <c r="A19" s="26"/>
      <c r="B19" s="35" t="s">
        <v>16</v>
      </c>
      <c r="C19" s="32" t="s">
        <v>17</v>
      </c>
      <c r="D19" s="32" t="s">
        <v>13</v>
      </c>
      <c r="E19" s="36">
        <v>300000</v>
      </c>
      <c r="F19" s="37">
        <v>298.02848999999998</v>
      </c>
      <c r="G19" s="38">
        <v>0.13030728608035236</v>
      </c>
    </row>
    <row r="20" spans="1:7" ht="12.95" customHeight="1" x14ac:dyDescent="0.2">
      <c r="A20" s="26"/>
      <c r="B20" s="35" t="s">
        <v>18</v>
      </c>
      <c r="C20" s="32" t="s">
        <v>19</v>
      </c>
      <c r="D20" s="32" t="s">
        <v>13</v>
      </c>
      <c r="E20" s="36">
        <v>300000</v>
      </c>
      <c r="F20" s="37">
        <v>297.61934100000002</v>
      </c>
      <c r="G20" s="38">
        <v>0.13012839346578223</v>
      </c>
    </row>
    <row r="21" spans="1:7" ht="12.95" customHeight="1" x14ac:dyDescent="0.2">
      <c r="A21" s="26"/>
      <c r="B21" s="35" t="s">
        <v>20</v>
      </c>
      <c r="C21" s="32" t="s">
        <v>21</v>
      </c>
      <c r="D21" s="32" t="s">
        <v>13</v>
      </c>
      <c r="E21" s="36">
        <v>250000</v>
      </c>
      <c r="F21" s="37">
        <v>249.93980250000001</v>
      </c>
      <c r="G21" s="38">
        <v>0.10928142254867737</v>
      </c>
    </row>
    <row r="22" spans="1:7" ht="12.95" customHeight="1" x14ac:dyDescent="0.2">
      <c r="A22" s="26"/>
      <c r="B22" s="35" t="s">
        <v>22</v>
      </c>
      <c r="C22" s="32" t="s">
        <v>23</v>
      </c>
      <c r="D22" s="32" t="s">
        <v>24</v>
      </c>
      <c r="E22" s="36">
        <v>240000</v>
      </c>
      <c r="F22" s="37">
        <v>238.28880000000001</v>
      </c>
      <c r="G22" s="38">
        <v>0.10418724341201027</v>
      </c>
    </row>
    <row r="23" spans="1:7" ht="12.95" customHeight="1" x14ac:dyDescent="0.2">
      <c r="A23" s="3"/>
      <c r="B23" s="31" t="s">
        <v>25</v>
      </c>
      <c r="C23" s="32" t="s">
        <v>1</v>
      </c>
      <c r="D23" s="32" t="s">
        <v>1</v>
      </c>
      <c r="E23" s="32" t="s">
        <v>1</v>
      </c>
      <c r="F23" s="39">
        <v>1752.2220689000001</v>
      </c>
      <c r="G23" s="40">
        <v>0.76612575666326133</v>
      </c>
    </row>
    <row r="24" spans="1:7" ht="12.95" customHeight="1" x14ac:dyDescent="0.2">
      <c r="A24" s="3"/>
      <c r="B24" s="31" t="s">
        <v>26</v>
      </c>
      <c r="C24" s="32" t="s">
        <v>1</v>
      </c>
      <c r="D24" s="32" t="s">
        <v>1</v>
      </c>
      <c r="E24" s="32" t="s">
        <v>1</v>
      </c>
      <c r="F24" s="39">
        <v>1752.2220689000001</v>
      </c>
      <c r="G24" s="40">
        <v>0.76612575666326133</v>
      </c>
    </row>
    <row r="25" spans="1:7" ht="12.95" customHeight="1" x14ac:dyDescent="0.2">
      <c r="A25" s="3"/>
      <c r="B25" s="31"/>
      <c r="C25" s="32"/>
      <c r="D25" s="32"/>
      <c r="E25" s="32"/>
      <c r="F25" s="39"/>
      <c r="G25" s="40"/>
    </row>
    <row r="26" spans="1:7" ht="12.95" customHeight="1" x14ac:dyDescent="0.2">
      <c r="A26" s="3"/>
      <c r="B26" s="31" t="s">
        <v>27</v>
      </c>
      <c r="C26" s="32" t="s">
        <v>1</v>
      </c>
      <c r="D26" s="32" t="s">
        <v>1</v>
      </c>
      <c r="E26" s="32" t="s">
        <v>1</v>
      </c>
      <c r="F26" s="33" t="s">
        <v>1</v>
      </c>
      <c r="G26" s="34" t="s">
        <v>1</v>
      </c>
    </row>
    <row r="27" spans="1:7" ht="12.95" customHeight="1" x14ac:dyDescent="0.2">
      <c r="A27" s="26"/>
      <c r="B27" s="35" t="s">
        <v>28</v>
      </c>
      <c r="C27" s="32" t="s">
        <v>1</v>
      </c>
      <c r="D27" s="32" t="s">
        <v>29</v>
      </c>
      <c r="E27" s="36"/>
      <c r="F27" s="37">
        <v>532.95010000000002</v>
      </c>
      <c r="G27" s="38">
        <v>0.2330222897389857</v>
      </c>
    </row>
    <row r="28" spans="1:7" ht="12.95" customHeight="1" x14ac:dyDescent="0.2">
      <c r="A28" s="3"/>
      <c r="B28" s="31" t="s">
        <v>25</v>
      </c>
      <c r="C28" s="32" t="s">
        <v>1</v>
      </c>
      <c r="D28" s="32" t="s">
        <v>1</v>
      </c>
      <c r="E28" s="32" t="s">
        <v>1</v>
      </c>
      <c r="F28" s="39">
        <v>532.95010000000002</v>
      </c>
      <c r="G28" s="40">
        <v>0.2330222897389857</v>
      </c>
    </row>
    <row r="29" spans="1:7" ht="12.95" customHeight="1" x14ac:dyDescent="0.2">
      <c r="A29" s="3"/>
      <c r="B29" s="31" t="s">
        <v>26</v>
      </c>
      <c r="C29" s="32" t="s">
        <v>1</v>
      </c>
      <c r="D29" s="32" t="s">
        <v>1</v>
      </c>
      <c r="E29" s="32" t="s">
        <v>1</v>
      </c>
      <c r="F29" s="39">
        <v>532.95010000000002</v>
      </c>
      <c r="G29" s="40">
        <v>0.2330222897389857</v>
      </c>
    </row>
    <row r="30" spans="1:7" ht="12.95" customHeight="1" x14ac:dyDescent="0.2">
      <c r="A30" s="3"/>
      <c r="B30" s="31"/>
      <c r="C30" s="32"/>
      <c r="D30" s="32"/>
      <c r="E30" s="32"/>
      <c r="F30" s="39"/>
      <c r="G30" s="40"/>
    </row>
    <row r="31" spans="1:7" ht="12.95" customHeight="1" x14ac:dyDescent="0.2">
      <c r="A31" s="3"/>
      <c r="B31" s="1" t="s">
        <v>229</v>
      </c>
      <c r="C31" s="32"/>
      <c r="D31" s="32"/>
      <c r="E31" s="32"/>
      <c r="F31" s="39"/>
      <c r="G31" s="40"/>
    </row>
    <row r="32" spans="1:7" ht="12.95" customHeight="1" thickBot="1" x14ac:dyDescent="0.25">
      <c r="A32" s="3"/>
      <c r="B32" s="41" t="s">
        <v>30</v>
      </c>
      <c r="C32" s="42" t="s">
        <v>1</v>
      </c>
      <c r="D32" s="42" t="s">
        <v>1</v>
      </c>
      <c r="E32" s="42" t="s">
        <v>1</v>
      </c>
      <c r="F32" s="43">
        <v>1.9485207</v>
      </c>
      <c r="G32" s="44">
        <v>8.5195359775302516E-4</v>
      </c>
    </row>
    <row r="33" spans="1:7" ht="12.95" customHeight="1" thickTop="1" thickBot="1" x14ac:dyDescent="0.25">
      <c r="A33" s="3"/>
      <c r="B33" s="45" t="s">
        <v>31</v>
      </c>
      <c r="C33" s="46" t="s">
        <v>1</v>
      </c>
      <c r="D33" s="46" t="s">
        <v>1</v>
      </c>
      <c r="E33" s="46" t="s">
        <v>1</v>
      </c>
      <c r="F33" s="47">
        <v>2287.1206895999999</v>
      </c>
      <c r="G33" s="48">
        <v>1</v>
      </c>
    </row>
    <row r="34" spans="1:7" ht="12.95" customHeight="1" x14ac:dyDescent="0.2">
      <c r="A34" s="3"/>
      <c r="B34" s="10" t="s">
        <v>1</v>
      </c>
      <c r="C34" s="3"/>
      <c r="D34" s="3"/>
      <c r="E34" s="3"/>
      <c r="F34" s="8"/>
      <c r="G34" s="9"/>
    </row>
    <row r="35" spans="1:7" ht="12.95" customHeight="1" x14ac:dyDescent="0.2">
      <c r="A35" s="3"/>
      <c r="B35" s="2" t="s">
        <v>29</v>
      </c>
      <c r="C35" s="3"/>
      <c r="D35" s="3"/>
      <c r="E35" s="3"/>
      <c r="F35" s="8"/>
      <c r="G35" s="9"/>
    </row>
    <row r="36" spans="1:7" ht="12.95" customHeight="1" x14ac:dyDescent="0.2">
      <c r="A36" s="3"/>
      <c r="B36" s="2" t="s">
        <v>32</v>
      </c>
      <c r="C36" s="3"/>
      <c r="D36" s="3"/>
      <c r="E36" s="3"/>
      <c r="F36" s="8"/>
      <c r="G36" s="9"/>
    </row>
    <row r="37" spans="1:7" ht="12.95" customHeight="1" x14ac:dyDescent="0.2">
      <c r="A37" s="3"/>
      <c r="B37" s="2" t="s">
        <v>33</v>
      </c>
      <c r="C37" s="3"/>
      <c r="D37" s="3"/>
      <c r="E37" s="3"/>
      <c r="F37" s="8"/>
      <c r="G37" s="9"/>
    </row>
    <row r="38" spans="1:7" ht="12.95" customHeight="1" thickBot="1" x14ac:dyDescent="0.25">
      <c r="A38" s="3"/>
      <c r="B38" s="2" t="s">
        <v>1</v>
      </c>
      <c r="C38" s="3"/>
      <c r="D38" s="3"/>
      <c r="E38" s="3"/>
      <c r="F38" s="8"/>
      <c r="G38" s="9"/>
    </row>
    <row r="39" spans="1:7" ht="12.95" customHeight="1" thickBot="1" x14ac:dyDescent="0.25">
      <c r="A39" s="3"/>
      <c r="B39" s="4" t="s">
        <v>348</v>
      </c>
      <c r="C39" s="5">
        <v>15.08</v>
      </c>
      <c r="D39" s="3"/>
      <c r="E39" s="3"/>
      <c r="F39" s="8"/>
      <c r="G39" s="9"/>
    </row>
  </sheetData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Views>
    <sheetView showGridLines="0" zoomScaleNormal="100" workbookViewId="0">
      <selection activeCell="C87" sqref="C87"/>
    </sheetView>
  </sheetViews>
  <sheetFormatPr defaultRowHeight="12.75" x14ac:dyDescent="0.2"/>
  <cols>
    <col min="1" max="1" width="11.42578125" style="6" bestFit="1" customWidth="1"/>
    <col min="2" max="2" width="52.140625" style="6" bestFit="1" customWidth="1"/>
    <col min="3" max="5" width="19.28515625" style="6" customWidth="1"/>
    <col min="6" max="6" width="19.28515625" style="49" customWidth="1"/>
    <col min="7" max="7" width="19.28515625" style="50" customWidth="1"/>
    <col min="8" max="16384" width="9.140625" style="6"/>
  </cols>
  <sheetData>
    <row r="1" spans="1:7" ht="18.75" x14ac:dyDescent="0.2">
      <c r="A1" s="3"/>
      <c r="B1" s="97" t="s">
        <v>34</v>
      </c>
      <c r="C1" s="98"/>
      <c r="D1" s="98"/>
      <c r="E1" s="98"/>
      <c r="F1" s="98"/>
      <c r="G1" s="99"/>
    </row>
    <row r="2" spans="1:7" ht="15.95" customHeight="1" thickBot="1" x14ac:dyDescent="0.25">
      <c r="A2" s="3"/>
      <c r="B2" s="100" t="s">
        <v>349</v>
      </c>
      <c r="C2" s="101"/>
      <c r="D2" s="101"/>
      <c r="E2" s="101"/>
      <c r="F2" s="101"/>
      <c r="G2" s="102"/>
    </row>
    <row r="3" spans="1:7" ht="12.95" customHeight="1" x14ac:dyDescent="0.2">
      <c r="A3" s="3"/>
      <c r="B3" s="7" t="s">
        <v>1</v>
      </c>
      <c r="C3" s="3"/>
      <c r="D3" s="3"/>
      <c r="E3" s="3"/>
      <c r="F3" s="8"/>
      <c r="G3" s="9"/>
    </row>
    <row r="4" spans="1:7" ht="12.95" customHeight="1" thickBot="1" x14ac:dyDescent="0.25">
      <c r="A4" s="10"/>
      <c r="B4" s="11" t="s">
        <v>2</v>
      </c>
      <c r="C4" s="3"/>
      <c r="D4" s="3"/>
      <c r="E4" s="3"/>
      <c r="F4" s="8"/>
      <c r="G4" s="9"/>
    </row>
    <row r="5" spans="1:7" ht="27.95" customHeight="1" thickBot="1" x14ac:dyDescent="0.25">
      <c r="A5" s="3"/>
      <c r="B5" s="12" t="s">
        <v>3</v>
      </c>
      <c r="C5" s="13" t="s">
        <v>4</v>
      </c>
      <c r="D5" s="14" t="s">
        <v>339</v>
      </c>
      <c r="E5" s="14" t="s">
        <v>6</v>
      </c>
      <c r="F5" s="15" t="s">
        <v>7</v>
      </c>
      <c r="G5" s="16" t="s">
        <v>8</v>
      </c>
    </row>
    <row r="6" spans="1:7" ht="12.95" customHeight="1" x14ac:dyDescent="0.2">
      <c r="A6" s="3"/>
      <c r="B6" s="58" t="s">
        <v>36</v>
      </c>
      <c r="C6" s="59" t="s">
        <v>1</v>
      </c>
      <c r="D6" s="59" t="s">
        <v>1</v>
      </c>
      <c r="E6" s="59" t="s">
        <v>1</v>
      </c>
      <c r="F6" s="60" t="s">
        <v>1</v>
      </c>
      <c r="G6" s="61" t="s">
        <v>1</v>
      </c>
    </row>
    <row r="7" spans="1:7" ht="12.95" customHeight="1" x14ac:dyDescent="0.2">
      <c r="A7" s="3"/>
      <c r="B7" s="31" t="s">
        <v>37</v>
      </c>
      <c r="C7" s="32" t="s">
        <v>1</v>
      </c>
      <c r="D7" s="32" t="s">
        <v>1</v>
      </c>
      <c r="E7" s="32" t="s">
        <v>1</v>
      </c>
      <c r="F7" s="33" t="s">
        <v>1</v>
      </c>
      <c r="G7" s="34" t="s">
        <v>1</v>
      </c>
    </row>
    <row r="8" spans="1:7" ht="12.95" customHeight="1" x14ac:dyDescent="0.2">
      <c r="A8" s="26"/>
      <c r="B8" s="35" t="s">
        <v>38</v>
      </c>
      <c r="C8" s="32" t="s">
        <v>39</v>
      </c>
      <c r="D8" s="32" t="s">
        <v>40</v>
      </c>
      <c r="E8" s="36">
        <v>46800</v>
      </c>
      <c r="F8" s="37">
        <v>860.11379999999997</v>
      </c>
      <c r="G8" s="38">
        <v>4.8827169514861657E-2</v>
      </c>
    </row>
    <row r="9" spans="1:7" ht="12.95" customHeight="1" x14ac:dyDescent="0.2">
      <c r="A9" s="26"/>
      <c r="B9" s="35" t="s">
        <v>41</v>
      </c>
      <c r="C9" s="32" t="s">
        <v>42</v>
      </c>
      <c r="D9" s="32" t="s">
        <v>43</v>
      </c>
      <c r="E9" s="36">
        <v>56967</v>
      </c>
      <c r="F9" s="37">
        <v>695.76645450000001</v>
      </c>
      <c r="G9" s="38">
        <v>3.9497455588581157E-2</v>
      </c>
    </row>
    <row r="10" spans="1:7" ht="12.95" customHeight="1" x14ac:dyDescent="0.2">
      <c r="A10" s="26"/>
      <c r="B10" s="35" t="s">
        <v>44</v>
      </c>
      <c r="C10" s="32" t="s">
        <v>45</v>
      </c>
      <c r="D10" s="32" t="s">
        <v>46</v>
      </c>
      <c r="E10" s="36">
        <v>60400</v>
      </c>
      <c r="F10" s="37">
        <v>663.64499999999998</v>
      </c>
      <c r="G10" s="38">
        <v>3.7673976295567353E-2</v>
      </c>
    </row>
    <row r="11" spans="1:7" ht="12.95" customHeight="1" x14ac:dyDescent="0.2">
      <c r="A11" s="26"/>
      <c r="B11" s="35" t="s">
        <v>47</v>
      </c>
      <c r="C11" s="32" t="s">
        <v>48</v>
      </c>
      <c r="D11" s="32" t="s">
        <v>46</v>
      </c>
      <c r="E11" s="36">
        <v>784595</v>
      </c>
      <c r="F11" s="37">
        <v>659.45209750000004</v>
      </c>
      <c r="G11" s="38">
        <v>3.7435952488570207E-2</v>
      </c>
    </row>
    <row r="12" spans="1:7" ht="12.95" customHeight="1" x14ac:dyDescent="0.2">
      <c r="A12" s="26"/>
      <c r="B12" s="35" t="s">
        <v>49</v>
      </c>
      <c r="C12" s="32" t="s">
        <v>50</v>
      </c>
      <c r="D12" s="32" t="s">
        <v>51</v>
      </c>
      <c r="E12" s="36">
        <v>191178</v>
      </c>
      <c r="F12" s="37">
        <v>642.35807999999997</v>
      </c>
      <c r="G12" s="38">
        <v>3.6465554745663958E-2</v>
      </c>
    </row>
    <row r="13" spans="1:7" ht="12.95" customHeight="1" x14ac:dyDescent="0.2">
      <c r="A13" s="26"/>
      <c r="B13" s="35" t="s">
        <v>52</v>
      </c>
      <c r="C13" s="32" t="s">
        <v>53</v>
      </c>
      <c r="D13" s="32" t="s">
        <v>43</v>
      </c>
      <c r="E13" s="36">
        <v>87477</v>
      </c>
      <c r="F13" s="37">
        <v>633.63964950000002</v>
      </c>
      <c r="G13" s="38">
        <v>3.5970624558603781E-2</v>
      </c>
    </row>
    <row r="14" spans="1:7" ht="12.95" customHeight="1" x14ac:dyDescent="0.2">
      <c r="A14" s="26"/>
      <c r="B14" s="35" t="s">
        <v>54</v>
      </c>
      <c r="C14" s="32" t="s">
        <v>55</v>
      </c>
      <c r="D14" s="32" t="s">
        <v>56</v>
      </c>
      <c r="E14" s="36">
        <v>377001</v>
      </c>
      <c r="F14" s="37">
        <v>528.36690150000004</v>
      </c>
      <c r="G14" s="38">
        <v>2.9994473133186227E-2</v>
      </c>
    </row>
    <row r="15" spans="1:7" ht="12.95" customHeight="1" x14ac:dyDescent="0.2">
      <c r="A15" s="26"/>
      <c r="B15" s="35" t="s">
        <v>57</v>
      </c>
      <c r="C15" s="32" t="s">
        <v>58</v>
      </c>
      <c r="D15" s="32" t="s">
        <v>59</v>
      </c>
      <c r="E15" s="36">
        <v>84715</v>
      </c>
      <c r="F15" s="37">
        <v>527.18144500000005</v>
      </c>
      <c r="G15" s="38">
        <v>2.9927176822537569E-2</v>
      </c>
    </row>
    <row r="16" spans="1:7" ht="12.95" customHeight="1" x14ac:dyDescent="0.2">
      <c r="A16" s="26"/>
      <c r="B16" s="35" t="s">
        <v>60</v>
      </c>
      <c r="C16" s="32" t="s">
        <v>61</v>
      </c>
      <c r="D16" s="32" t="s">
        <v>51</v>
      </c>
      <c r="E16" s="36">
        <v>268184</v>
      </c>
      <c r="F16" s="37">
        <v>489.43579999999997</v>
      </c>
      <c r="G16" s="38">
        <v>2.7784421983744388E-2</v>
      </c>
    </row>
    <row r="17" spans="1:7" ht="12.95" customHeight="1" x14ac:dyDescent="0.2">
      <c r="A17" s="26"/>
      <c r="B17" s="35" t="s">
        <v>62</v>
      </c>
      <c r="C17" s="32" t="s">
        <v>63</v>
      </c>
      <c r="D17" s="32" t="s">
        <v>64</v>
      </c>
      <c r="E17" s="36">
        <v>186400</v>
      </c>
      <c r="F17" s="37">
        <v>442.3272</v>
      </c>
      <c r="G17" s="38">
        <v>2.5110148419237213E-2</v>
      </c>
    </row>
    <row r="18" spans="1:7" ht="12.95" customHeight="1" x14ac:dyDescent="0.2">
      <c r="A18" s="26"/>
      <c r="B18" s="35" t="s">
        <v>65</v>
      </c>
      <c r="C18" s="32" t="s">
        <v>66</v>
      </c>
      <c r="D18" s="32" t="s">
        <v>43</v>
      </c>
      <c r="E18" s="36">
        <v>112000</v>
      </c>
      <c r="F18" s="37">
        <v>439.93599999999998</v>
      </c>
      <c r="G18" s="38">
        <v>2.4974404140115154E-2</v>
      </c>
    </row>
    <row r="19" spans="1:7" ht="12.95" customHeight="1" x14ac:dyDescent="0.2">
      <c r="A19" s="26"/>
      <c r="B19" s="35" t="s">
        <v>67</v>
      </c>
      <c r="C19" s="32" t="s">
        <v>68</v>
      </c>
      <c r="D19" s="32" t="s">
        <v>69</v>
      </c>
      <c r="E19" s="36">
        <v>153589</v>
      </c>
      <c r="F19" s="37">
        <v>424.82717400000001</v>
      </c>
      <c r="G19" s="38">
        <v>2.4116702277556329E-2</v>
      </c>
    </row>
    <row r="20" spans="1:7" ht="12.95" customHeight="1" x14ac:dyDescent="0.2">
      <c r="A20" s="26"/>
      <c r="B20" s="35" t="s">
        <v>70</v>
      </c>
      <c r="C20" s="32" t="s">
        <v>71</v>
      </c>
      <c r="D20" s="32" t="s">
        <v>43</v>
      </c>
      <c r="E20" s="36">
        <v>52217</v>
      </c>
      <c r="F20" s="37">
        <v>423.00991699999997</v>
      </c>
      <c r="G20" s="38">
        <v>2.4013539747678225E-2</v>
      </c>
    </row>
    <row r="21" spans="1:7" ht="12.95" customHeight="1" x14ac:dyDescent="0.2">
      <c r="A21" s="26"/>
      <c r="B21" s="35" t="s">
        <v>72</v>
      </c>
      <c r="C21" s="32" t="s">
        <v>73</v>
      </c>
      <c r="D21" s="32" t="s">
        <v>74</v>
      </c>
      <c r="E21" s="36">
        <v>212367</v>
      </c>
      <c r="F21" s="37">
        <v>405.62097</v>
      </c>
      <c r="G21" s="38">
        <v>2.3026399368284305E-2</v>
      </c>
    </row>
    <row r="22" spans="1:7" ht="12.95" customHeight="1" x14ac:dyDescent="0.2">
      <c r="A22" s="26"/>
      <c r="B22" s="35" t="s">
        <v>75</v>
      </c>
      <c r="C22" s="32" t="s">
        <v>76</v>
      </c>
      <c r="D22" s="32" t="s">
        <v>77</v>
      </c>
      <c r="E22" s="36">
        <v>14068</v>
      </c>
      <c r="F22" s="37">
        <v>366.33071999999999</v>
      </c>
      <c r="G22" s="38">
        <v>2.0795959981041254E-2</v>
      </c>
    </row>
    <row r="23" spans="1:7" ht="12.95" customHeight="1" x14ac:dyDescent="0.2">
      <c r="A23" s="26"/>
      <c r="B23" s="35" t="s">
        <v>78</v>
      </c>
      <c r="C23" s="32" t="s">
        <v>79</v>
      </c>
      <c r="D23" s="32" t="s">
        <v>43</v>
      </c>
      <c r="E23" s="36">
        <v>65475</v>
      </c>
      <c r="F23" s="37">
        <v>349.53828750000002</v>
      </c>
      <c r="G23" s="38">
        <v>1.984268269582112E-2</v>
      </c>
    </row>
    <row r="24" spans="1:7" ht="12.95" customHeight="1" x14ac:dyDescent="0.2">
      <c r="A24" s="26"/>
      <c r="B24" s="35" t="s">
        <v>80</v>
      </c>
      <c r="C24" s="32" t="s">
        <v>81</v>
      </c>
      <c r="D24" s="32" t="s">
        <v>46</v>
      </c>
      <c r="E24" s="36">
        <v>54877</v>
      </c>
      <c r="F24" s="37">
        <v>336.09418649999998</v>
      </c>
      <c r="G24" s="38">
        <v>1.9079484385897572E-2</v>
      </c>
    </row>
    <row r="25" spans="1:7" ht="12.95" customHeight="1" x14ac:dyDescent="0.2">
      <c r="A25" s="26"/>
      <c r="B25" s="35" t="s">
        <v>82</v>
      </c>
      <c r="C25" s="32" t="s">
        <v>83</v>
      </c>
      <c r="D25" s="32" t="s">
        <v>84</v>
      </c>
      <c r="E25" s="36">
        <v>25600</v>
      </c>
      <c r="F25" s="37">
        <v>318.13119999999998</v>
      </c>
      <c r="G25" s="38">
        <v>1.8059756779121968E-2</v>
      </c>
    </row>
    <row r="26" spans="1:7" ht="12.95" customHeight="1" x14ac:dyDescent="0.2">
      <c r="A26" s="26"/>
      <c r="B26" s="35" t="s">
        <v>85</v>
      </c>
      <c r="C26" s="32" t="s">
        <v>86</v>
      </c>
      <c r="D26" s="32" t="s">
        <v>87</v>
      </c>
      <c r="E26" s="36">
        <v>571580</v>
      </c>
      <c r="F26" s="37">
        <v>315.79795000000001</v>
      </c>
      <c r="G26" s="38">
        <v>1.7927302221050056E-2</v>
      </c>
    </row>
    <row r="27" spans="1:7" ht="12.95" customHeight="1" x14ac:dyDescent="0.2">
      <c r="A27" s="26"/>
      <c r="B27" s="35" t="s">
        <v>88</v>
      </c>
      <c r="C27" s="32" t="s">
        <v>89</v>
      </c>
      <c r="D27" s="32" t="s">
        <v>90</v>
      </c>
      <c r="E27" s="36">
        <v>257265</v>
      </c>
      <c r="F27" s="37">
        <v>305.37355500000001</v>
      </c>
      <c r="G27" s="38">
        <v>1.7335527386423667E-2</v>
      </c>
    </row>
    <row r="28" spans="1:7" ht="12.95" customHeight="1" x14ac:dyDescent="0.2">
      <c r="A28" s="26"/>
      <c r="B28" s="35" t="s">
        <v>91</v>
      </c>
      <c r="C28" s="32" t="s">
        <v>92</v>
      </c>
      <c r="D28" s="32" t="s">
        <v>93</v>
      </c>
      <c r="E28" s="36">
        <v>65524</v>
      </c>
      <c r="F28" s="37">
        <v>305.24355400000002</v>
      </c>
      <c r="G28" s="38">
        <v>1.7328147454995869E-2</v>
      </c>
    </row>
    <row r="29" spans="1:7" ht="12.95" customHeight="1" x14ac:dyDescent="0.2">
      <c r="A29" s="26"/>
      <c r="B29" s="35" t="s">
        <v>94</v>
      </c>
      <c r="C29" s="32" t="s">
        <v>95</v>
      </c>
      <c r="D29" s="32" t="s">
        <v>74</v>
      </c>
      <c r="E29" s="36">
        <v>111000</v>
      </c>
      <c r="F29" s="37">
        <v>305.13900000000001</v>
      </c>
      <c r="G29" s="38">
        <v>1.7322212105648542E-2</v>
      </c>
    </row>
    <row r="30" spans="1:7" ht="12.95" customHeight="1" x14ac:dyDescent="0.2">
      <c r="A30" s="26"/>
      <c r="B30" s="35" t="s">
        <v>96</v>
      </c>
      <c r="C30" s="32" t="s">
        <v>97</v>
      </c>
      <c r="D30" s="32" t="s">
        <v>77</v>
      </c>
      <c r="E30" s="36">
        <v>33136</v>
      </c>
      <c r="F30" s="37">
        <v>284.53883200000001</v>
      </c>
      <c r="G30" s="38">
        <v>1.6152776276377314E-2</v>
      </c>
    </row>
    <row r="31" spans="1:7" ht="12.95" customHeight="1" x14ac:dyDescent="0.2">
      <c r="A31" s="26"/>
      <c r="B31" s="35" t="s">
        <v>98</v>
      </c>
      <c r="C31" s="32" t="s">
        <v>99</v>
      </c>
      <c r="D31" s="32" t="s">
        <v>46</v>
      </c>
      <c r="E31" s="36">
        <v>19717</v>
      </c>
      <c r="F31" s="37">
        <v>283.21498800000001</v>
      </c>
      <c r="G31" s="38">
        <v>1.6077623947232923E-2</v>
      </c>
    </row>
    <row r="32" spans="1:7" ht="12.95" customHeight="1" x14ac:dyDescent="0.2">
      <c r="A32" s="26"/>
      <c r="B32" s="35" t="s">
        <v>100</v>
      </c>
      <c r="C32" s="32" t="s">
        <v>101</v>
      </c>
      <c r="D32" s="32" t="s">
        <v>40</v>
      </c>
      <c r="E32" s="36">
        <v>25550</v>
      </c>
      <c r="F32" s="37">
        <v>272.18414999999999</v>
      </c>
      <c r="G32" s="38">
        <v>1.5451422394697692E-2</v>
      </c>
    </row>
    <row r="33" spans="1:7" ht="12.95" customHeight="1" x14ac:dyDescent="0.2">
      <c r="A33" s="26"/>
      <c r="B33" s="35" t="s">
        <v>102</v>
      </c>
      <c r="C33" s="32" t="s">
        <v>103</v>
      </c>
      <c r="D33" s="32" t="s">
        <v>51</v>
      </c>
      <c r="E33" s="36">
        <v>207533</v>
      </c>
      <c r="F33" s="37">
        <v>255.47312299999999</v>
      </c>
      <c r="G33" s="38">
        <v>1.4502766358605224E-2</v>
      </c>
    </row>
    <row r="34" spans="1:7" ht="12.95" customHeight="1" x14ac:dyDescent="0.2">
      <c r="A34" s="26"/>
      <c r="B34" s="35" t="s">
        <v>104</v>
      </c>
      <c r="C34" s="32" t="s">
        <v>105</v>
      </c>
      <c r="D34" s="32" t="s">
        <v>106</v>
      </c>
      <c r="E34" s="36">
        <v>50000</v>
      </c>
      <c r="F34" s="37">
        <v>244.17500000000001</v>
      </c>
      <c r="G34" s="38">
        <v>1.3861391499928665E-2</v>
      </c>
    </row>
    <row r="35" spans="1:7" ht="12.95" customHeight="1" x14ac:dyDescent="0.2">
      <c r="A35" s="26"/>
      <c r="B35" s="35" t="s">
        <v>107</v>
      </c>
      <c r="C35" s="32" t="s">
        <v>108</v>
      </c>
      <c r="D35" s="32" t="s">
        <v>109</v>
      </c>
      <c r="E35" s="36">
        <v>4858</v>
      </c>
      <c r="F35" s="37">
        <v>241.72679299999999</v>
      </c>
      <c r="G35" s="38">
        <v>1.3722411032231867E-2</v>
      </c>
    </row>
    <row r="36" spans="1:7" ht="12.95" customHeight="1" x14ac:dyDescent="0.2">
      <c r="A36" s="26"/>
      <c r="B36" s="35" t="s">
        <v>110</v>
      </c>
      <c r="C36" s="32" t="s">
        <v>111</v>
      </c>
      <c r="D36" s="32" t="s">
        <v>43</v>
      </c>
      <c r="E36" s="36">
        <v>26164</v>
      </c>
      <c r="F36" s="37">
        <v>237.60836599999999</v>
      </c>
      <c r="G36" s="38">
        <v>1.3488615070274759E-2</v>
      </c>
    </row>
    <row r="37" spans="1:7" ht="12.95" customHeight="1" x14ac:dyDescent="0.2">
      <c r="A37" s="26"/>
      <c r="B37" s="35" t="s">
        <v>112</v>
      </c>
      <c r="C37" s="32" t="s">
        <v>113</v>
      </c>
      <c r="D37" s="32" t="s">
        <v>40</v>
      </c>
      <c r="E37" s="36">
        <v>51278</v>
      </c>
      <c r="F37" s="37">
        <v>236.87872100000001</v>
      </c>
      <c r="G37" s="38">
        <v>1.3447194388382815E-2</v>
      </c>
    </row>
    <row r="38" spans="1:7" ht="12.95" customHeight="1" x14ac:dyDescent="0.2">
      <c r="A38" s="26"/>
      <c r="B38" s="35" t="s">
        <v>114</v>
      </c>
      <c r="C38" s="32" t="s">
        <v>115</v>
      </c>
      <c r="D38" s="32" t="s">
        <v>77</v>
      </c>
      <c r="E38" s="36">
        <v>25463</v>
      </c>
      <c r="F38" s="37">
        <v>234.41237799999999</v>
      </c>
      <c r="G38" s="38">
        <v>1.3307184371402745E-2</v>
      </c>
    </row>
    <row r="39" spans="1:7" ht="12.95" customHeight="1" x14ac:dyDescent="0.2">
      <c r="A39" s="26"/>
      <c r="B39" s="35" t="s">
        <v>116</v>
      </c>
      <c r="C39" s="32" t="s">
        <v>117</v>
      </c>
      <c r="D39" s="32" t="s">
        <v>118</v>
      </c>
      <c r="E39" s="36">
        <v>336395</v>
      </c>
      <c r="F39" s="37">
        <v>216.63838000000001</v>
      </c>
      <c r="G39" s="38">
        <v>1.2298185314181698E-2</v>
      </c>
    </row>
    <row r="40" spans="1:7" ht="12.95" customHeight="1" x14ac:dyDescent="0.2">
      <c r="A40" s="26"/>
      <c r="B40" s="35" t="s">
        <v>119</v>
      </c>
      <c r="C40" s="32" t="s">
        <v>120</v>
      </c>
      <c r="D40" s="32" t="s">
        <v>77</v>
      </c>
      <c r="E40" s="36">
        <v>15925</v>
      </c>
      <c r="F40" s="37">
        <v>215.52098749999999</v>
      </c>
      <c r="G40" s="38">
        <v>1.2234752878831707E-2</v>
      </c>
    </row>
    <row r="41" spans="1:7" ht="12.95" customHeight="1" x14ac:dyDescent="0.2">
      <c r="A41" s="26"/>
      <c r="B41" s="35" t="s">
        <v>121</v>
      </c>
      <c r="C41" s="32" t="s">
        <v>122</v>
      </c>
      <c r="D41" s="32" t="s">
        <v>40</v>
      </c>
      <c r="E41" s="36">
        <v>12940</v>
      </c>
      <c r="F41" s="37">
        <v>211.51077000000001</v>
      </c>
      <c r="G41" s="38">
        <v>1.2007099782620526E-2</v>
      </c>
    </row>
    <row r="42" spans="1:7" ht="12.95" customHeight="1" x14ac:dyDescent="0.2">
      <c r="A42" s="26"/>
      <c r="B42" s="35" t="s">
        <v>123</v>
      </c>
      <c r="C42" s="32" t="s">
        <v>124</v>
      </c>
      <c r="D42" s="32" t="s">
        <v>56</v>
      </c>
      <c r="E42" s="36">
        <v>136000</v>
      </c>
      <c r="F42" s="37">
        <v>211.34399999999999</v>
      </c>
      <c r="G42" s="38">
        <v>1.1997632538797681E-2</v>
      </c>
    </row>
    <row r="43" spans="1:7" ht="12.95" customHeight="1" x14ac:dyDescent="0.2">
      <c r="A43" s="26"/>
      <c r="B43" s="35" t="s">
        <v>125</v>
      </c>
      <c r="C43" s="32" t="s">
        <v>126</v>
      </c>
      <c r="D43" s="32" t="s">
        <v>127</v>
      </c>
      <c r="E43" s="36">
        <v>141461</v>
      </c>
      <c r="F43" s="37">
        <v>208.51351399999999</v>
      </c>
      <c r="G43" s="38">
        <v>1.1836950754908803E-2</v>
      </c>
    </row>
    <row r="44" spans="1:7" ht="12.95" customHeight="1" x14ac:dyDescent="0.2">
      <c r="A44" s="26"/>
      <c r="B44" s="35" t="s">
        <v>128</v>
      </c>
      <c r="C44" s="32" t="s">
        <v>129</v>
      </c>
      <c r="D44" s="32" t="s">
        <v>64</v>
      </c>
      <c r="E44" s="36">
        <v>253685</v>
      </c>
      <c r="F44" s="37">
        <v>205.6116925</v>
      </c>
      <c r="G44" s="38">
        <v>1.167221937833704E-2</v>
      </c>
    </row>
    <row r="45" spans="1:7" ht="12.95" customHeight="1" x14ac:dyDescent="0.2">
      <c r="A45" s="26"/>
      <c r="B45" s="35" t="s">
        <v>130</v>
      </c>
      <c r="C45" s="32" t="s">
        <v>131</v>
      </c>
      <c r="D45" s="32" t="s">
        <v>46</v>
      </c>
      <c r="E45" s="36">
        <v>31300</v>
      </c>
      <c r="F45" s="37">
        <v>202.05715000000001</v>
      </c>
      <c r="G45" s="38">
        <v>1.1470434162014176E-2</v>
      </c>
    </row>
    <row r="46" spans="1:7" ht="12.95" customHeight="1" x14ac:dyDescent="0.2">
      <c r="A46" s="26"/>
      <c r="B46" s="35" t="s">
        <v>132</v>
      </c>
      <c r="C46" s="32" t="s">
        <v>133</v>
      </c>
      <c r="D46" s="32" t="s">
        <v>134</v>
      </c>
      <c r="E46" s="36">
        <v>150527</v>
      </c>
      <c r="F46" s="37">
        <v>193.72824900000001</v>
      </c>
      <c r="G46" s="38">
        <v>1.0997616889463147E-2</v>
      </c>
    </row>
    <row r="47" spans="1:7" ht="12.95" customHeight="1" x14ac:dyDescent="0.2">
      <c r="A47" s="26"/>
      <c r="B47" s="35" t="s">
        <v>135</v>
      </c>
      <c r="C47" s="32" t="s">
        <v>136</v>
      </c>
      <c r="D47" s="32" t="s">
        <v>77</v>
      </c>
      <c r="E47" s="36">
        <v>117000</v>
      </c>
      <c r="F47" s="37">
        <v>187.72649999999999</v>
      </c>
      <c r="G47" s="38">
        <v>1.0656908002094231E-2</v>
      </c>
    </row>
    <row r="48" spans="1:7" ht="12.95" customHeight="1" x14ac:dyDescent="0.2">
      <c r="A48" s="26"/>
      <c r="B48" s="35" t="s">
        <v>137</v>
      </c>
      <c r="C48" s="32" t="s">
        <v>138</v>
      </c>
      <c r="D48" s="32" t="s">
        <v>139</v>
      </c>
      <c r="E48" s="36">
        <v>96037</v>
      </c>
      <c r="F48" s="37">
        <v>185.54348400000001</v>
      </c>
      <c r="G48" s="38">
        <v>1.0532981967788473E-2</v>
      </c>
    </row>
    <row r="49" spans="1:7" ht="12.95" customHeight="1" x14ac:dyDescent="0.2">
      <c r="A49" s="26"/>
      <c r="B49" s="35" t="s">
        <v>140</v>
      </c>
      <c r="C49" s="32" t="s">
        <v>141</v>
      </c>
      <c r="D49" s="32" t="s">
        <v>46</v>
      </c>
      <c r="E49" s="36">
        <v>156577</v>
      </c>
      <c r="F49" s="37">
        <v>181.86418549999999</v>
      </c>
      <c r="G49" s="38">
        <v>1.0324114569596192E-2</v>
      </c>
    </row>
    <row r="50" spans="1:7" ht="12.95" customHeight="1" x14ac:dyDescent="0.2">
      <c r="A50" s="26"/>
      <c r="B50" s="35" t="s">
        <v>142</v>
      </c>
      <c r="C50" s="32" t="s">
        <v>143</v>
      </c>
      <c r="D50" s="32" t="s">
        <v>144</v>
      </c>
      <c r="E50" s="36">
        <v>293305</v>
      </c>
      <c r="F50" s="37">
        <v>178.91605000000001</v>
      </c>
      <c r="G50" s="38">
        <v>1.0156754027524572E-2</v>
      </c>
    </row>
    <row r="51" spans="1:7" ht="12.95" customHeight="1" x14ac:dyDescent="0.2">
      <c r="A51" s="26"/>
      <c r="B51" s="35" t="s">
        <v>145</v>
      </c>
      <c r="C51" s="32" t="s">
        <v>146</v>
      </c>
      <c r="D51" s="32" t="s">
        <v>59</v>
      </c>
      <c r="E51" s="36">
        <v>10416</v>
      </c>
      <c r="F51" s="37">
        <v>170.53075200000001</v>
      </c>
      <c r="G51" s="38">
        <v>9.6807351950414389E-3</v>
      </c>
    </row>
    <row r="52" spans="1:7" ht="12.95" customHeight="1" x14ac:dyDescent="0.2">
      <c r="A52" s="26"/>
      <c r="B52" s="35" t="s">
        <v>147</v>
      </c>
      <c r="C52" s="32" t="s">
        <v>148</v>
      </c>
      <c r="D52" s="32" t="s">
        <v>40</v>
      </c>
      <c r="E52" s="36">
        <v>5048</v>
      </c>
      <c r="F52" s="37">
        <v>166.490612</v>
      </c>
      <c r="G52" s="38">
        <v>9.4513834503725663E-3</v>
      </c>
    </row>
    <row r="53" spans="1:7" ht="12.95" customHeight="1" x14ac:dyDescent="0.2">
      <c r="A53" s="26"/>
      <c r="B53" s="35" t="s">
        <v>149</v>
      </c>
      <c r="C53" s="32" t="s">
        <v>150</v>
      </c>
      <c r="D53" s="32" t="s">
        <v>40</v>
      </c>
      <c r="E53" s="36">
        <v>45000</v>
      </c>
      <c r="F53" s="37">
        <v>162.4725</v>
      </c>
      <c r="G53" s="38">
        <v>9.2232821970806185E-3</v>
      </c>
    </row>
    <row r="54" spans="1:7" ht="12.95" customHeight="1" x14ac:dyDescent="0.2">
      <c r="A54" s="26"/>
      <c r="B54" s="35" t="s">
        <v>151</v>
      </c>
      <c r="C54" s="32" t="s">
        <v>152</v>
      </c>
      <c r="D54" s="32" t="s">
        <v>153</v>
      </c>
      <c r="E54" s="36">
        <v>124452</v>
      </c>
      <c r="F54" s="37">
        <v>148.16010600000001</v>
      </c>
      <c r="G54" s="38">
        <v>8.410792398635937E-3</v>
      </c>
    </row>
    <row r="55" spans="1:7" ht="12.95" customHeight="1" x14ac:dyDescent="0.2">
      <c r="A55" s="26"/>
      <c r="B55" s="35" t="s">
        <v>154</v>
      </c>
      <c r="C55" s="32" t="s">
        <v>155</v>
      </c>
      <c r="D55" s="32" t="s">
        <v>144</v>
      </c>
      <c r="E55" s="36">
        <v>110000</v>
      </c>
      <c r="F55" s="37">
        <v>134.255</v>
      </c>
      <c r="G55" s="38">
        <v>7.6214236339630309E-3</v>
      </c>
    </row>
    <row r="56" spans="1:7" ht="12.95" customHeight="1" x14ac:dyDescent="0.2">
      <c r="A56" s="26"/>
      <c r="B56" s="35" t="s">
        <v>156</v>
      </c>
      <c r="C56" s="32" t="s">
        <v>157</v>
      </c>
      <c r="D56" s="32" t="s">
        <v>59</v>
      </c>
      <c r="E56" s="36">
        <v>59803</v>
      </c>
      <c r="F56" s="37">
        <v>131.1180775</v>
      </c>
      <c r="G56" s="38">
        <v>7.443345981142574E-3</v>
      </c>
    </row>
    <row r="57" spans="1:7" ht="12.95" customHeight="1" x14ac:dyDescent="0.2">
      <c r="A57" s="26"/>
      <c r="B57" s="35" t="s">
        <v>158</v>
      </c>
      <c r="C57" s="32" t="s">
        <v>159</v>
      </c>
      <c r="D57" s="32" t="s">
        <v>59</v>
      </c>
      <c r="E57" s="36">
        <v>900000</v>
      </c>
      <c r="F57" s="37">
        <v>123.75</v>
      </c>
      <c r="G57" s="38">
        <v>7.0250729932063985E-3</v>
      </c>
    </row>
    <row r="58" spans="1:7" ht="12.95" customHeight="1" x14ac:dyDescent="0.2">
      <c r="A58" s="26"/>
      <c r="B58" s="35" t="s">
        <v>160</v>
      </c>
      <c r="C58" s="32" t="s">
        <v>161</v>
      </c>
      <c r="D58" s="32" t="s">
        <v>77</v>
      </c>
      <c r="E58" s="36">
        <v>22120</v>
      </c>
      <c r="F58" s="37">
        <v>103.18980000000001</v>
      </c>
      <c r="G58" s="38">
        <v>5.8579060780151078E-3</v>
      </c>
    </row>
    <row r="59" spans="1:7" ht="12.95" customHeight="1" x14ac:dyDescent="0.2">
      <c r="A59" s="26"/>
      <c r="B59" s="35" t="s">
        <v>162</v>
      </c>
      <c r="C59" s="32" t="s">
        <v>163</v>
      </c>
      <c r="D59" s="32" t="s">
        <v>69</v>
      </c>
      <c r="E59" s="36">
        <v>120236</v>
      </c>
      <c r="F59" s="37">
        <v>93.784080000000003</v>
      </c>
      <c r="G59" s="38">
        <v>5.3239596573794613E-3</v>
      </c>
    </row>
    <row r="60" spans="1:7" ht="12.95" customHeight="1" x14ac:dyDescent="0.2">
      <c r="A60" s="26"/>
      <c r="B60" s="35" t="s">
        <v>164</v>
      </c>
      <c r="C60" s="32" t="s">
        <v>165</v>
      </c>
      <c r="D60" s="32" t="s">
        <v>127</v>
      </c>
      <c r="E60" s="36">
        <v>10216</v>
      </c>
      <c r="F60" s="37">
        <v>48.949964000000001</v>
      </c>
      <c r="G60" s="38">
        <v>2.7788046069884887E-3</v>
      </c>
    </row>
    <row r="61" spans="1:7" ht="12.95" customHeight="1" x14ac:dyDescent="0.2">
      <c r="A61" s="26"/>
      <c r="B61" s="35" t="s">
        <v>166</v>
      </c>
      <c r="C61" s="32" t="s">
        <v>167</v>
      </c>
      <c r="D61" s="32" t="s">
        <v>139</v>
      </c>
      <c r="E61" s="36">
        <v>175893</v>
      </c>
      <c r="F61" s="37">
        <v>48.458521500000003</v>
      </c>
      <c r="G61" s="38">
        <v>2.7509062681241345E-3</v>
      </c>
    </row>
    <row r="62" spans="1:7" ht="12.95" customHeight="1" x14ac:dyDescent="0.2">
      <c r="A62" s="26"/>
      <c r="B62" s="35" t="s">
        <v>168</v>
      </c>
      <c r="C62" s="32" t="s">
        <v>169</v>
      </c>
      <c r="D62" s="32" t="s">
        <v>118</v>
      </c>
      <c r="E62" s="36">
        <v>1650</v>
      </c>
      <c r="F62" s="37">
        <v>3.7867500000000001</v>
      </c>
      <c r="G62" s="38">
        <v>2.149672335921158E-4</v>
      </c>
    </row>
    <row r="63" spans="1:7" ht="12.95" customHeight="1" x14ac:dyDescent="0.2">
      <c r="A63" s="3"/>
      <c r="B63" s="31" t="s">
        <v>25</v>
      </c>
      <c r="C63" s="32" t="s">
        <v>1</v>
      </c>
      <c r="D63" s="32" t="s">
        <v>1</v>
      </c>
      <c r="E63" s="32" t="s">
        <v>1</v>
      </c>
      <c r="F63" s="39">
        <v>16461.462418499999</v>
      </c>
      <c r="G63" s="40">
        <v>0.93448868739302171</v>
      </c>
    </row>
    <row r="64" spans="1:7" ht="12.95" customHeight="1" x14ac:dyDescent="0.2">
      <c r="A64" s="3"/>
      <c r="B64" s="31"/>
      <c r="C64" s="32"/>
      <c r="D64" s="32"/>
      <c r="E64" s="32"/>
      <c r="F64" s="39"/>
      <c r="G64" s="40"/>
    </row>
    <row r="65" spans="1:7" ht="12.95" customHeight="1" x14ac:dyDescent="0.2">
      <c r="A65" s="3"/>
      <c r="B65" s="31" t="s">
        <v>170</v>
      </c>
      <c r="C65" s="32" t="s">
        <v>1</v>
      </c>
      <c r="D65" s="32" t="s">
        <v>1</v>
      </c>
      <c r="E65" s="39" t="s">
        <v>171</v>
      </c>
      <c r="F65" s="39" t="s">
        <v>171</v>
      </c>
      <c r="G65" s="40" t="s">
        <v>171</v>
      </c>
    </row>
    <row r="66" spans="1:7" ht="12.95" customHeight="1" x14ac:dyDescent="0.2">
      <c r="A66" s="3"/>
      <c r="B66" s="31" t="s">
        <v>25</v>
      </c>
      <c r="C66" s="32" t="s">
        <v>1</v>
      </c>
      <c r="D66" s="32" t="s">
        <v>1</v>
      </c>
      <c r="E66" s="39" t="s">
        <v>171</v>
      </c>
      <c r="F66" s="39" t="s">
        <v>171</v>
      </c>
      <c r="G66" s="40" t="s">
        <v>171</v>
      </c>
    </row>
    <row r="67" spans="1:7" ht="12.95" customHeight="1" x14ac:dyDescent="0.2">
      <c r="A67" s="3"/>
      <c r="B67" s="31" t="s">
        <v>26</v>
      </c>
      <c r="C67" s="32" t="s">
        <v>1</v>
      </c>
      <c r="D67" s="32" t="s">
        <v>1</v>
      </c>
      <c r="E67" s="32" t="s">
        <v>1</v>
      </c>
      <c r="F67" s="39">
        <v>16461.462418499999</v>
      </c>
      <c r="G67" s="40">
        <v>0.93448868739302171</v>
      </c>
    </row>
    <row r="68" spans="1:7" ht="12.95" customHeight="1" x14ac:dyDescent="0.2">
      <c r="A68" s="3"/>
      <c r="B68" s="31"/>
      <c r="C68" s="32"/>
      <c r="D68" s="32"/>
      <c r="E68" s="32"/>
      <c r="F68" s="39"/>
      <c r="G68" s="40"/>
    </row>
    <row r="69" spans="1:7" ht="12.95" customHeight="1" x14ac:dyDescent="0.2">
      <c r="A69" s="3"/>
      <c r="B69" s="52" t="s">
        <v>333</v>
      </c>
      <c r="C69" s="53"/>
      <c r="D69" s="32"/>
      <c r="E69" s="32"/>
      <c r="F69" s="39"/>
      <c r="G69" s="40"/>
    </row>
    <row r="70" spans="1:7" ht="12.95" customHeight="1" x14ac:dyDescent="0.2">
      <c r="A70" s="26"/>
      <c r="B70" s="21" t="s">
        <v>337</v>
      </c>
      <c r="C70" s="53"/>
      <c r="D70" s="32"/>
      <c r="E70" s="39" t="s">
        <v>171</v>
      </c>
      <c r="F70" s="39" t="s">
        <v>171</v>
      </c>
      <c r="G70" s="62" t="s">
        <v>171</v>
      </c>
    </row>
    <row r="71" spans="1:7" ht="12.95" customHeight="1" x14ac:dyDescent="0.2">
      <c r="A71" s="3"/>
      <c r="B71" s="21" t="s">
        <v>335</v>
      </c>
      <c r="C71" s="53"/>
      <c r="D71" s="32"/>
      <c r="E71" s="39" t="s">
        <v>171</v>
      </c>
      <c r="F71" s="39" t="s">
        <v>171</v>
      </c>
      <c r="G71" s="62" t="s">
        <v>171</v>
      </c>
    </row>
    <row r="72" spans="1:7" ht="12.95" customHeight="1" x14ac:dyDescent="0.2">
      <c r="A72" s="3"/>
      <c r="B72" s="21" t="s">
        <v>336</v>
      </c>
      <c r="C72" s="53"/>
      <c r="D72" s="32"/>
      <c r="E72" s="39" t="s">
        <v>171</v>
      </c>
      <c r="F72" s="39" t="s">
        <v>171</v>
      </c>
      <c r="G72" s="62" t="s">
        <v>171</v>
      </c>
    </row>
    <row r="73" spans="1:7" ht="12.95" customHeight="1" x14ac:dyDescent="0.2">
      <c r="A73" s="3"/>
      <c r="B73" s="21"/>
      <c r="C73" s="53"/>
      <c r="D73" s="32"/>
      <c r="E73" s="32"/>
      <c r="F73" s="39"/>
      <c r="G73" s="57"/>
    </row>
    <row r="74" spans="1:7" ht="12.95" customHeight="1" x14ac:dyDescent="0.2">
      <c r="A74" s="3"/>
      <c r="B74" s="31" t="s">
        <v>9</v>
      </c>
      <c r="C74" s="53"/>
      <c r="D74" s="32"/>
      <c r="E74" s="32"/>
      <c r="F74" s="39"/>
      <c r="G74" s="40"/>
    </row>
    <row r="75" spans="1:7" ht="12.95" customHeight="1" x14ac:dyDescent="0.2">
      <c r="A75" s="3"/>
      <c r="B75" s="31" t="s">
        <v>27</v>
      </c>
      <c r="C75" s="32" t="s">
        <v>1</v>
      </c>
      <c r="D75" s="32" t="s">
        <v>1</v>
      </c>
      <c r="E75" s="32" t="s">
        <v>1</v>
      </c>
      <c r="F75" s="33" t="s">
        <v>1</v>
      </c>
      <c r="G75" s="34" t="s">
        <v>1</v>
      </c>
    </row>
    <row r="76" spans="1:7" ht="12.95" customHeight="1" x14ac:dyDescent="0.2">
      <c r="A76" s="26"/>
      <c r="B76" s="35" t="s">
        <v>28</v>
      </c>
      <c r="C76" s="32" t="s">
        <v>1</v>
      </c>
      <c r="D76" s="32" t="s">
        <v>29</v>
      </c>
      <c r="E76" s="36"/>
      <c r="F76" s="37">
        <v>1256.1065000000001</v>
      </c>
      <c r="G76" s="38">
        <v>7.1306988684775863E-2</v>
      </c>
    </row>
    <row r="77" spans="1:7" ht="12.95" customHeight="1" x14ac:dyDescent="0.2">
      <c r="A77" s="3"/>
      <c r="B77" s="31" t="s">
        <v>25</v>
      </c>
      <c r="C77" s="32" t="s">
        <v>1</v>
      </c>
      <c r="D77" s="32" t="s">
        <v>1</v>
      </c>
      <c r="E77" s="32" t="s">
        <v>1</v>
      </c>
      <c r="F77" s="39">
        <v>1256.1065000000001</v>
      </c>
      <c r="G77" s="40">
        <v>7.1306988684775863E-2</v>
      </c>
    </row>
    <row r="78" spans="1:7" ht="12.95" customHeight="1" x14ac:dyDescent="0.2">
      <c r="A78" s="3"/>
      <c r="B78" s="31" t="s">
        <v>26</v>
      </c>
      <c r="C78" s="32" t="s">
        <v>1</v>
      </c>
      <c r="D78" s="32" t="s">
        <v>1</v>
      </c>
      <c r="E78" s="32" t="s">
        <v>1</v>
      </c>
      <c r="F78" s="39">
        <v>1256.1065000000001</v>
      </c>
      <c r="G78" s="40">
        <v>7.1306988684775863E-2</v>
      </c>
    </row>
    <row r="79" spans="1:7" ht="12.95" customHeight="1" x14ac:dyDescent="0.2">
      <c r="A79" s="3"/>
      <c r="B79" s="31"/>
      <c r="C79" s="32"/>
      <c r="D79" s="32"/>
      <c r="E79" s="32"/>
      <c r="F79" s="39"/>
      <c r="G79" s="40"/>
    </row>
    <row r="80" spans="1:7" ht="12.95" customHeight="1" x14ac:dyDescent="0.2">
      <c r="A80" s="3"/>
      <c r="B80" s="1" t="s">
        <v>229</v>
      </c>
      <c r="C80" s="32"/>
      <c r="D80" s="32"/>
      <c r="E80" s="32"/>
      <c r="F80" s="39"/>
      <c r="G80" s="40"/>
    </row>
    <row r="81" spans="1:7" ht="12.95" customHeight="1" thickBot="1" x14ac:dyDescent="0.25">
      <c r="A81" s="3"/>
      <c r="B81" s="41" t="s">
        <v>30</v>
      </c>
      <c r="C81" s="42" t="s">
        <v>1</v>
      </c>
      <c r="D81" s="42" t="s">
        <v>1</v>
      </c>
      <c r="E81" s="42" t="s">
        <v>1</v>
      </c>
      <c r="F81" s="43">
        <v>-102.09358896640001</v>
      </c>
      <c r="G81" s="44">
        <v>-5.7956760777975649E-3</v>
      </c>
    </row>
    <row r="82" spans="1:7" ht="12.95" customHeight="1" thickTop="1" thickBot="1" x14ac:dyDescent="0.25">
      <c r="A82" s="3"/>
      <c r="B82" s="45" t="s">
        <v>31</v>
      </c>
      <c r="C82" s="46" t="s">
        <v>1</v>
      </c>
      <c r="D82" s="46" t="s">
        <v>1</v>
      </c>
      <c r="E82" s="46" t="s">
        <v>1</v>
      </c>
      <c r="F82" s="47">
        <v>17615.475329533601</v>
      </c>
      <c r="G82" s="48">
        <v>1</v>
      </c>
    </row>
    <row r="83" spans="1:7" ht="12.95" customHeight="1" x14ac:dyDescent="0.2">
      <c r="A83" s="3"/>
      <c r="B83" s="10" t="s">
        <v>1</v>
      </c>
      <c r="C83" s="3"/>
      <c r="D83" s="3"/>
      <c r="E83" s="3"/>
      <c r="F83" s="8"/>
      <c r="G83" s="9"/>
    </row>
    <row r="84" spans="1:7" ht="12.95" customHeight="1" x14ac:dyDescent="0.2">
      <c r="A84" s="3"/>
      <c r="B84" s="2" t="s">
        <v>338</v>
      </c>
      <c r="C84" s="3"/>
      <c r="D84" s="3"/>
      <c r="E84" s="3"/>
      <c r="F84" s="8"/>
      <c r="G84" s="9"/>
    </row>
    <row r="85" spans="1:7" ht="12.95" customHeight="1" thickBot="1" x14ac:dyDescent="0.25">
      <c r="A85" s="3"/>
      <c r="B85" s="2" t="s">
        <v>1</v>
      </c>
      <c r="C85" s="3"/>
      <c r="D85" s="3"/>
      <c r="E85" s="3"/>
      <c r="F85" s="8"/>
      <c r="G85" s="9"/>
    </row>
    <row r="86" spans="1:7" ht="12.95" customHeight="1" thickBot="1" x14ac:dyDescent="0.25">
      <c r="A86" s="3"/>
      <c r="B86" s="63" t="s">
        <v>350</v>
      </c>
      <c r="C86" s="64">
        <v>0.81720000000000004</v>
      </c>
      <c r="D86" s="3"/>
      <c r="E86" s="3"/>
      <c r="F86" s="8"/>
      <c r="G86" s="9"/>
    </row>
    <row r="87" spans="1:7" x14ac:dyDescent="0.2">
      <c r="B87" s="65" t="s">
        <v>351</v>
      </c>
      <c r="C87" s="65"/>
    </row>
  </sheetData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showGridLines="0" zoomScaleNormal="100" workbookViewId="0">
      <selection activeCell="B4" sqref="B4"/>
    </sheetView>
  </sheetViews>
  <sheetFormatPr defaultRowHeight="12.75" x14ac:dyDescent="0.2"/>
  <cols>
    <col min="1" max="1" width="12.42578125" style="6" bestFit="1" customWidth="1"/>
    <col min="2" max="2" width="56.42578125" style="6" bestFit="1" customWidth="1"/>
    <col min="3" max="3" width="15.5703125" style="6" customWidth="1"/>
    <col min="4" max="4" width="32.85546875" style="6" bestFit="1" customWidth="1"/>
    <col min="5" max="5" width="15.7109375" style="6" customWidth="1"/>
    <col min="6" max="6" width="19.7109375" style="49" customWidth="1"/>
    <col min="7" max="7" width="15.7109375" style="50" customWidth="1"/>
    <col min="8" max="16384" width="9.140625" style="6"/>
  </cols>
  <sheetData>
    <row r="1" spans="1:7" ht="18.75" x14ac:dyDescent="0.2">
      <c r="A1" s="3"/>
      <c r="B1" s="97" t="s">
        <v>172</v>
      </c>
      <c r="C1" s="98"/>
      <c r="D1" s="98"/>
      <c r="E1" s="98"/>
      <c r="F1" s="98"/>
      <c r="G1" s="99"/>
    </row>
    <row r="2" spans="1:7" ht="15.95" customHeight="1" thickBot="1" x14ac:dyDescent="0.25">
      <c r="A2" s="3"/>
      <c r="B2" s="100" t="s">
        <v>352</v>
      </c>
      <c r="C2" s="101"/>
      <c r="D2" s="101"/>
      <c r="E2" s="101"/>
      <c r="F2" s="101"/>
      <c r="G2" s="102"/>
    </row>
    <row r="3" spans="1:7" ht="12.95" customHeight="1" x14ac:dyDescent="0.2">
      <c r="A3" s="3"/>
      <c r="B3" s="7" t="s">
        <v>1</v>
      </c>
      <c r="C3" s="3"/>
      <c r="D3" s="3"/>
      <c r="E3" s="3"/>
      <c r="F3" s="8"/>
      <c r="G3" s="9"/>
    </row>
    <row r="4" spans="1:7" ht="12.95" customHeight="1" thickBot="1" x14ac:dyDescent="0.25">
      <c r="A4" s="10"/>
      <c r="B4" s="11" t="s">
        <v>2</v>
      </c>
      <c r="C4" s="3"/>
      <c r="D4" s="3"/>
      <c r="E4" s="3"/>
      <c r="F4" s="8"/>
      <c r="G4" s="9"/>
    </row>
    <row r="5" spans="1:7" ht="27.95" customHeight="1" thickBot="1" x14ac:dyDescent="0.25">
      <c r="A5" s="3"/>
      <c r="B5" s="12" t="s">
        <v>3</v>
      </c>
      <c r="C5" s="13" t="s">
        <v>4</v>
      </c>
      <c r="D5" s="14" t="s">
        <v>35</v>
      </c>
      <c r="E5" s="14" t="s">
        <v>6</v>
      </c>
      <c r="F5" s="15" t="s">
        <v>7</v>
      </c>
      <c r="G5" s="16" t="s">
        <v>8</v>
      </c>
    </row>
    <row r="6" spans="1:7" x14ac:dyDescent="0.2">
      <c r="A6" s="3"/>
      <c r="B6" s="72" t="s">
        <v>36</v>
      </c>
      <c r="C6" s="73"/>
      <c r="D6" s="18"/>
      <c r="E6" s="18"/>
      <c r="F6" s="19"/>
      <c r="G6" s="20"/>
    </row>
    <row r="7" spans="1:7" x14ac:dyDescent="0.2">
      <c r="A7" s="3"/>
      <c r="B7" s="70" t="s">
        <v>37</v>
      </c>
      <c r="C7" s="22"/>
      <c r="D7" s="23"/>
      <c r="E7" s="23"/>
      <c r="F7" s="28"/>
      <c r="G7" s="30"/>
    </row>
    <row r="8" spans="1:7" x14ac:dyDescent="0.2">
      <c r="A8" s="3"/>
      <c r="B8" s="70" t="s">
        <v>340</v>
      </c>
      <c r="C8" s="22"/>
      <c r="D8" s="23"/>
      <c r="E8" s="23"/>
      <c r="F8" s="28"/>
      <c r="G8" s="30"/>
    </row>
    <row r="9" spans="1:7" ht="12.95" customHeight="1" x14ac:dyDescent="0.2">
      <c r="A9" s="26"/>
      <c r="B9" s="35" t="s">
        <v>44</v>
      </c>
      <c r="C9" s="32" t="s">
        <v>45</v>
      </c>
      <c r="D9" s="32" t="s">
        <v>46</v>
      </c>
      <c r="E9" s="36">
        <v>14750</v>
      </c>
      <c r="F9" s="37">
        <v>162.06562500000001</v>
      </c>
      <c r="G9" s="38">
        <v>8.6660243180892438E-2</v>
      </c>
    </row>
    <row r="10" spans="1:7" ht="12.95" customHeight="1" x14ac:dyDescent="0.2">
      <c r="A10" s="26"/>
      <c r="B10" s="35" t="s">
        <v>173</v>
      </c>
      <c r="C10" s="32" t="s">
        <v>174</v>
      </c>
      <c r="D10" s="32" t="s">
        <v>77</v>
      </c>
      <c r="E10" s="36">
        <v>37000</v>
      </c>
      <c r="F10" s="37">
        <v>119.08450000000001</v>
      </c>
      <c r="G10" s="38">
        <v>6.3677240186344172E-2</v>
      </c>
    </row>
    <row r="11" spans="1:7" ht="12.95" customHeight="1" x14ac:dyDescent="0.2">
      <c r="A11" s="26"/>
      <c r="B11" s="35" t="s">
        <v>175</v>
      </c>
      <c r="C11" s="32" t="s">
        <v>176</v>
      </c>
      <c r="D11" s="32" t="s">
        <v>177</v>
      </c>
      <c r="E11" s="36">
        <v>26078</v>
      </c>
      <c r="F11" s="37">
        <v>86.122595000000004</v>
      </c>
      <c r="G11" s="38">
        <v>4.6051746174239669E-2</v>
      </c>
    </row>
    <row r="12" spans="1:7" ht="12.95" customHeight="1" x14ac:dyDescent="0.2">
      <c r="A12" s="26"/>
      <c r="B12" s="35" t="s">
        <v>344</v>
      </c>
      <c r="C12" s="32" t="s">
        <v>179</v>
      </c>
      <c r="D12" s="32" t="s">
        <v>109</v>
      </c>
      <c r="E12" s="36">
        <v>37550</v>
      </c>
      <c r="F12" s="37">
        <v>72.302525000000003</v>
      </c>
      <c r="G12" s="38">
        <v>3.8661834667854791E-2</v>
      </c>
    </row>
    <row r="13" spans="1:7" ht="12.95" customHeight="1" x14ac:dyDescent="0.2">
      <c r="A13" s="26"/>
      <c r="B13" s="35" t="s">
        <v>183</v>
      </c>
      <c r="C13" s="32" t="s">
        <v>184</v>
      </c>
      <c r="D13" s="32" t="s">
        <v>59</v>
      </c>
      <c r="E13" s="36">
        <v>9000</v>
      </c>
      <c r="F13" s="37">
        <v>71.518500000000003</v>
      </c>
      <c r="G13" s="38">
        <v>3.824259834207689E-2</v>
      </c>
    </row>
    <row r="14" spans="1:7" ht="12.95" customHeight="1" x14ac:dyDescent="0.2">
      <c r="A14" s="26"/>
      <c r="B14" s="35" t="s">
        <v>188</v>
      </c>
      <c r="C14" s="32" t="s">
        <v>189</v>
      </c>
      <c r="D14" s="32" t="s">
        <v>109</v>
      </c>
      <c r="E14" s="36">
        <v>3800</v>
      </c>
      <c r="F14" s="37">
        <v>67.028199999999998</v>
      </c>
      <c r="G14" s="38">
        <v>3.5841530935246099E-2</v>
      </c>
    </row>
    <row r="15" spans="1:7" ht="12.95" customHeight="1" x14ac:dyDescent="0.2">
      <c r="A15" s="26"/>
      <c r="B15" s="35" t="s">
        <v>49</v>
      </c>
      <c r="C15" s="32" t="s">
        <v>50</v>
      </c>
      <c r="D15" s="32" t="s">
        <v>51</v>
      </c>
      <c r="E15" s="36">
        <v>18185</v>
      </c>
      <c r="F15" s="37">
        <v>61.101599999999998</v>
      </c>
      <c r="G15" s="38">
        <v>3.2672440653233013E-2</v>
      </c>
    </row>
    <row r="16" spans="1:7" ht="12.95" customHeight="1" x14ac:dyDescent="0.2">
      <c r="A16" s="26"/>
      <c r="B16" s="35" t="s">
        <v>67</v>
      </c>
      <c r="C16" s="32" t="s">
        <v>68</v>
      </c>
      <c r="D16" s="32" t="s">
        <v>69</v>
      </c>
      <c r="E16" s="36">
        <v>20398</v>
      </c>
      <c r="F16" s="37">
        <v>56.420867999999999</v>
      </c>
      <c r="G16" s="38">
        <v>3.0169544845534222E-2</v>
      </c>
    </row>
    <row r="17" spans="1:7" ht="12.95" customHeight="1" x14ac:dyDescent="0.2">
      <c r="A17" s="26"/>
      <c r="B17" s="35" t="s">
        <v>54</v>
      </c>
      <c r="C17" s="32" t="s">
        <v>55</v>
      </c>
      <c r="D17" s="32" t="s">
        <v>56</v>
      </c>
      <c r="E17" s="36">
        <v>37479</v>
      </c>
      <c r="F17" s="37">
        <v>52.526818499999997</v>
      </c>
      <c r="G17" s="38">
        <v>2.8087306390411904E-2</v>
      </c>
    </row>
    <row r="18" spans="1:7" ht="12.95" customHeight="1" x14ac:dyDescent="0.2">
      <c r="A18" s="26"/>
      <c r="B18" s="35" t="s">
        <v>62</v>
      </c>
      <c r="C18" s="32" t="s">
        <v>63</v>
      </c>
      <c r="D18" s="32" t="s">
        <v>64</v>
      </c>
      <c r="E18" s="36">
        <v>20100</v>
      </c>
      <c r="F18" s="37">
        <v>47.697299999999998</v>
      </c>
      <c r="G18" s="38">
        <v>2.5504850995218639E-2</v>
      </c>
    </row>
    <row r="19" spans="1:7" ht="12.95" customHeight="1" x14ac:dyDescent="0.2">
      <c r="A19" s="26"/>
      <c r="B19" s="35" t="s">
        <v>119</v>
      </c>
      <c r="C19" s="32" t="s">
        <v>120</v>
      </c>
      <c r="D19" s="32" t="s">
        <v>77</v>
      </c>
      <c r="E19" s="36">
        <v>3000</v>
      </c>
      <c r="F19" s="37">
        <v>40.600499999999997</v>
      </c>
      <c r="G19" s="38">
        <v>2.1710027670987127E-2</v>
      </c>
    </row>
    <row r="20" spans="1:7" ht="12.95" customHeight="1" x14ac:dyDescent="0.2">
      <c r="A20" s="26"/>
      <c r="B20" s="35" t="s">
        <v>204</v>
      </c>
      <c r="C20" s="32" t="s">
        <v>205</v>
      </c>
      <c r="D20" s="32" t="s">
        <v>77</v>
      </c>
      <c r="E20" s="36">
        <v>1500</v>
      </c>
      <c r="F20" s="37">
        <v>39.128250000000001</v>
      </c>
      <c r="G20" s="38">
        <v>2.0922781498190959E-2</v>
      </c>
    </row>
    <row r="21" spans="1:7" ht="12.95" customHeight="1" x14ac:dyDescent="0.2">
      <c r="A21" s="26"/>
      <c r="B21" s="35" t="s">
        <v>47</v>
      </c>
      <c r="C21" s="32" t="s">
        <v>48</v>
      </c>
      <c r="D21" s="32" t="s">
        <v>46</v>
      </c>
      <c r="E21" s="36">
        <v>45000</v>
      </c>
      <c r="F21" s="37">
        <v>37.822499999999998</v>
      </c>
      <c r="G21" s="38">
        <v>2.0224566731589774E-2</v>
      </c>
    </row>
    <row r="22" spans="1:7" ht="12.95" customHeight="1" x14ac:dyDescent="0.2">
      <c r="A22" s="26"/>
      <c r="B22" s="35" t="s">
        <v>75</v>
      </c>
      <c r="C22" s="32" t="s">
        <v>76</v>
      </c>
      <c r="D22" s="32" t="s">
        <v>77</v>
      </c>
      <c r="E22" s="36">
        <v>1439</v>
      </c>
      <c r="F22" s="37">
        <v>37.471559999999997</v>
      </c>
      <c r="G22" s="38">
        <v>2.0036910985703486E-2</v>
      </c>
    </row>
    <row r="23" spans="1:7" ht="12.95" customHeight="1" x14ac:dyDescent="0.2">
      <c r="A23" s="26"/>
      <c r="B23" s="35" t="s">
        <v>70</v>
      </c>
      <c r="C23" s="32" t="s">
        <v>71</v>
      </c>
      <c r="D23" s="32" t="s">
        <v>43</v>
      </c>
      <c r="E23" s="36">
        <v>3799</v>
      </c>
      <c r="F23" s="37">
        <v>30.775698999999999</v>
      </c>
      <c r="G23" s="38">
        <v>1.6456479030651613E-2</v>
      </c>
    </row>
    <row r="24" spans="1:7" ht="12.95" customHeight="1" x14ac:dyDescent="0.2">
      <c r="A24" s="26"/>
      <c r="B24" s="35" t="s">
        <v>85</v>
      </c>
      <c r="C24" s="32" t="s">
        <v>86</v>
      </c>
      <c r="D24" s="32" t="s">
        <v>87</v>
      </c>
      <c r="E24" s="36">
        <v>55000</v>
      </c>
      <c r="F24" s="37">
        <v>30.387499999999999</v>
      </c>
      <c r="G24" s="38">
        <v>1.6248900034534584E-2</v>
      </c>
    </row>
    <row r="25" spans="1:7" ht="12.95" customHeight="1" x14ac:dyDescent="0.2">
      <c r="A25" s="26"/>
      <c r="B25" s="35" t="s">
        <v>114</v>
      </c>
      <c r="C25" s="32" t="s">
        <v>115</v>
      </c>
      <c r="D25" s="32" t="s">
        <v>77</v>
      </c>
      <c r="E25" s="36">
        <v>3296</v>
      </c>
      <c r="F25" s="37">
        <v>30.342976</v>
      </c>
      <c r="G25" s="38">
        <v>1.6225092020544039E-2</v>
      </c>
    </row>
    <row r="26" spans="1:7" ht="12.95" customHeight="1" x14ac:dyDescent="0.2">
      <c r="A26" s="26"/>
      <c r="B26" s="35" t="s">
        <v>218</v>
      </c>
      <c r="C26" s="32" t="s">
        <v>219</v>
      </c>
      <c r="D26" s="32" t="s">
        <v>77</v>
      </c>
      <c r="E26" s="36">
        <v>525</v>
      </c>
      <c r="F26" s="37">
        <v>27.768562500000002</v>
      </c>
      <c r="G26" s="38">
        <v>1.4848493497827256E-2</v>
      </c>
    </row>
    <row r="27" spans="1:7" ht="12.95" customHeight="1" x14ac:dyDescent="0.2">
      <c r="A27" s="26"/>
      <c r="B27" s="35" t="s">
        <v>112</v>
      </c>
      <c r="C27" s="32" t="s">
        <v>113</v>
      </c>
      <c r="D27" s="32" t="s">
        <v>40</v>
      </c>
      <c r="E27" s="36">
        <v>5750</v>
      </c>
      <c r="F27" s="37">
        <v>26.562125000000002</v>
      </c>
      <c r="G27" s="38">
        <v>1.4203383425086365E-2</v>
      </c>
    </row>
    <row r="28" spans="1:7" ht="12.95" customHeight="1" x14ac:dyDescent="0.2">
      <c r="A28" s="26"/>
      <c r="B28" s="35" t="s">
        <v>52</v>
      </c>
      <c r="C28" s="32" t="s">
        <v>53</v>
      </c>
      <c r="D28" s="32" t="s">
        <v>43</v>
      </c>
      <c r="E28" s="36">
        <v>3650</v>
      </c>
      <c r="F28" s="37">
        <v>26.438775</v>
      </c>
      <c r="G28" s="38">
        <v>1.4137425323259631E-2</v>
      </c>
    </row>
    <row r="29" spans="1:7" ht="12.95" customHeight="1" x14ac:dyDescent="0.2">
      <c r="A29" s="26"/>
      <c r="B29" s="35" t="s">
        <v>82</v>
      </c>
      <c r="C29" s="32" t="s">
        <v>83</v>
      </c>
      <c r="D29" s="32" t="s">
        <v>84</v>
      </c>
      <c r="E29" s="36">
        <v>2000</v>
      </c>
      <c r="F29" s="37">
        <v>24.853999999999999</v>
      </c>
      <c r="G29" s="38">
        <v>1.3290009426847306E-2</v>
      </c>
    </row>
    <row r="30" spans="1:7" ht="12.95" customHeight="1" x14ac:dyDescent="0.2">
      <c r="A30" s="26"/>
      <c r="B30" s="35" t="s">
        <v>96</v>
      </c>
      <c r="C30" s="32" t="s">
        <v>97</v>
      </c>
      <c r="D30" s="32" t="s">
        <v>77</v>
      </c>
      <c r="E30" s="36">
        <v>2601</v>
      </c>
      <c r="F30" s="37">
        <v>22.334786999999999</v>
      </c>
      <c r="G30" s="38">
        <v>1.1942927889942331E-2</v>
      </c>
    </row>
    <row r="31" spans="1:7" ht="12.95" customHeight="1" x14ac:dyDescent="0.2">
      <c r="A31" s="26"/>
      <c r="B31" s="35" t="s">
        <v>128</v>
      </c>
      <c r="C31" s="32" t="s">
        <v>129</v>
      </c>
      <c r="D31" s="32" t="s">
        <v>64</v>
      </c>
      <c r="E31" s="36">
        <v>27000</v>
      </c>
      <c r="F31" s="37">
        <v>21.883500000000002</v>
      </c>
      <c r="G31" s="38">
        <v>1.1701614279086385E-2</v>
      </c>
    </row>
    <row r="32" spans="1:7" ht="12.95" customHeight="1" x14ac:dyDescent="0.2">
      <c r="A32" s="26"/>
      <c r="B32" s="35" t="s">
        <v>222</v>
      </c>
      <c r="C32" s="32" t="s">
        <v>223</v>
      </c>
      <c r="D32" s="32" t="s">
        <v>109</v>
      </c>
      <c r="E32" s="36">
        <v>1000</v>
      </c>
      <c r="F32" s="37">
        <v>20.753</v>
      </c>
      <c r="G32" s="38">
        <v>1.1097109746333071E-2</v>
      </c>
    </row>
    <row r="33" spans="1:7" ht="12.95" customHeight="1" x14ac:dyDescent="0.2">
      <c r="A33" s="26"/>
      <c r="B33" s="35" t="s">
        <v>116</v>
      </c>
      <c r="C33" s="32" t="s">
        <v>117</v>
      </c>
      <c r="D33" s="32" t="s">
        <v>118</v>
      </c>
      <c r="E33" s="36">
        <v>31542</v>
      </c>
      <c r="F33" s="37">
        <v>20.313047999999998</v>
      </c>
      <c r="G33" s="38">
        <v>1.0861857222499469E-2</v>
      </c>
    </row>
    <row r="34" spans="1:7" ht="12.95" customHeight="1" x14ac:dyDescent="0.2">
      <c r="A34" s="26"/>
      <c r="B34" s="35" t="s">
        <v>137</v>
      </c>
      <c r="C34" s="32" t="s">
        <v>138</v>
      </c>
      <c r="D34" s="32" t="s">
        <v>139</v>
      </c>
      <c r="E34" s="36">
        <v>8850</v>
      </c>
      <c r="F34" s="37">
        <v>17.098199999999999</v>
      </c>
      <c r="G34" s="38">
        <v>9.1428035399581803E-3</v>
      </c>
    </row>
    <row r="35" spans="1:7" ht="12.95" customHeight="1" x14ac:dyDescent="0.2">
      <c r="A35" s="26"/>
      <c r="B35" s="35" t="s">
        <v>102</v>
      </c>
      <c r="C35" s="32" t="s">
        <v>103</v>
      </c>
      <c r="D35" s="32" t="s">
        <v>51</v>
      </c>
      <c r="E35" s="36">
        <v>13000</v>
      </c>
      <c r="F35" s="37">
        <v>16.003</v>
      </c>
      <c r="G35" s="38">
        <v>8.5571747347645225E-3</v>
      </c>
    </row>
    <row r="36" spans="1:7" ht="12.95" customHeight="1" x14ac:dyDescent="0.2">
      <c r="A36" s="26"/>
      <c r="B36" s="35" t="s">
        <v>160</v>
      </c>
      <c r="C36" s="32" t="s">
        <v>161</v>
      </c>
      <c r="D36" s="32" t="s">
        <v>77</v>
      </c>
      <c r="E36" s="36">
        <v>3018</v>
      </c>
      <c r="F36" s="37">
        <v>14.07897</v>
      </c>
      <c r="G36" s="38">
        <v>7.5283513325943678E-3</v>
      </c>
    </row>
    <row r="37" spans="1:7" ht="12.95" customHeight="1" x14ac:dyDescent="0.2">
      <c r="A37" s="26"/>
      <c r="B37" s="35" t="s">
        <v>162</v>
      </c>
      <c r="C37" s="32" t="s">
        <v>163</v>
      </c>
      <c r="D37" s="32" t="s">
        <v>69</v>
      </c>
      <c r="E37" s="36">
        <v>2087</v>
      </c>
      <c r="F37" s="37">
        <v>1.6278600000000001</v>
      </c>
      <c r="G37" s="38">
        <v>8.7045444377515312E-4</v>
      </c>
    </row>
    <row r="38" spans="1:7" ht="12.95" customHeight="1" x14ac:dyDescent="0.2">
      <c r="A38" s="26"/>
      <c r="B38" s="35" t="s">
        <v>168</v>
      </c>
      <c r="C38" s="32" t="s">
        <v>169</v>
      </c>
      <c r="D38" s="32" t="s">
        <v>118</v>
      </c>
      <c r="E38" s="36">
        <v>150</v>
      </c>
      <c r="F38" s="37">
        <v>0.34425</v>
      </c>
      <c r="G38" s="38">
        <v>1.840784479436785E-4</v>
      </c>
    </row>
    <row r="39" spans="1:7" ht="12.95" customHeight="1" x14ac:dyDescent="0.2">
      <c r="A39" s="26"/>
      <c r="B39" s="71" t="s">
        <v>25</v>
      </c>
      <c r="C39" s="32"/>
      <c r="D39" s="32"/>
      <c r="E39" s="36"/>
      <c r="F39" s="67">
        <f>SUM(F9:F38)</f>
        <v>1282.4575939999997</v>
      </c>
      <c r="G39" s="62">
        <f>SUM(G9:G38)</f>
        <v>0.68575977765317109</v>
      </c>
    </row>
    <row r="40" spans="1:7" ht="12.95" customHeight="1" x14ac:dyDescent="0.2">
      <c r="A40" s="26"/>
      <c r="B40" s="35"/>
      <c r="C40" s="32"/>
      <c r="D40" s="32"/>
      <c r="E40" s="36"/>
      <c r="F40" s="37"/>
      <c r="G40" s="38"/>
    </row>
    <row r="41" spans="1:7" ht="12.95" customHeight="1" x14ac:dyDescent="0.2">
      <c r="A41" s="26"/>
      <c r="B41" s="71" t="s">
        <v>341</v>
      </c>
      <c r="C41" s="32"/>
      <c r="D41" s="32"/>
      <c r="E41" s="36"/>
      <c r="F41" s="37"/>
      <c r="G41" s="38"/>
    </row>
    <row r="42" spans="1:7" ht="12.95" customHeight="1" x14ac:dyDescent="0.2">
      <c r="A42" s="26"/>
      <c r="B42" s="71" t="s">
        <v>342</v>
      </c>
      <c r="C42" s="32"/>
      <c r="D42" s="32"/>
      <c r="E42" s="36"/>
      <c r="F42" s="37"/>
      <c r="G42" s="38"/>
    </row>
    <row r="43" spans="1:7" ht="12.95" customHeight="1" x14ac:dyDescent="0.2">
      <c r="A43" s="26"/>
      <c r="B43" s="35" t="s">
        <v>180</v>
      </c>
      <c r="C43" s="32" t="s">
        <v>181</v>
      </c>
      <c r="D43" s="32" t="s">
        <v>182</v>
      </c>
      <c r="E43" s="36">
        <v>13000</v>
      </c>
      <c r="F43" s="37">
        <v>72.063467500000002</v>
      </c>
      <c r="G43" s="38">
        <v>3.853400508595415E-2</v>
      </c>
    </row>
    <row r="44" spans="1:7" ht="12.95" customHeight="1" x14ac:dyDescent="0.2">
      <c r="A44" s="26"/>
      <c r="B44" s="35" t="s">
        <v>185</v>
      </c>
      <c r="C44" s="32" t="s">
        <v>186</v>
      </c>
      <c r="D44" s="32" t="s">
        <v>187</v>
      </c>
      <c r="E44" s="36">
        <v>11000</v>
      </c>
      <c r="F44" s="37">
        <v>70.489333200000004</v>
      </c>
      <c r="G44" s="38">
        <v>3.7692279018273954E-2</v>
      </c>
    </row>
    <row r="45" spans="1:7" ht="12.95" customHeight="1" x14ac:dyDescent="0.2">
      <c r="A45" s="26"/>
      <c r="B45" s="35" t="s">
        <v>190</v>
      </c>
      <c r="C45" s="32" t="s">
        <v>191</v>
      </c>
      <c r="D45" s="32" t="s">
        <v>192</v>
      </c>
      <c r="E45" s="36">
        <v>70000</v>
      </c>
      <c r="F45" s="37">
        <v>61.0365574</v>
      </c>
      <c r="G45" s="38">
        <v>3.2637660868604923E-2</v>
      </c>
    </row>
    <row r="46" spans="1:7" ht="12.95" customHeight="1" x14ac:dyDescent="0.2">
      <c r="A46" s="26"/>
      <c r="B46" s="35" t="s">
        <v>193</v>
      </c>
      <c r="C46" s="32" t="s">
        <v>194</v>
      </c>
      <c r="D46" s="32" t="s">
        <v>195</v>
      </c>
      <c r="E46" s="36">
        <v>1500</v>
      </c>
      <c r="F46" s="37">
        <v>59.131655700000003</v>
      </c>
      <c r="G46" s="38">
        <v>3.161906581146251E-2</v>
      </c>
    </row>
    <row r="47" spans="1:7" ht="12.95" customHeight="1" x14ac:dyDescent="0.2">
      <c r="A47" s="26"/>
      <c r="B47" s="35" t="s">
        <v>196</v>
      </c>
      <c r="C47" s="32" t="s">
        <v>197</v>
      </c>
      <c r="D47" s="32" t="s">
        <v>198</v>
      </c>
      <c r="E47" s="36">
        <v>6500</v>
      </c>
      <c r="F47" s="37">
        <v>47.455166200000001</v>
      </c>
      <c r="G47" s="38">
        <v>2.5375376444459873E-2</v>
      </c>
    </row>
    <row r="48" spans="1:7" ht="12.95" customHeight="1" x14ac:dyDescent="0.2">
      <c r="A48" s="26"/>
      <c r="B48" s="35" t="s">
        <v>199</v>
      </c>
      <c r="C48" s="32" t="s">
        <v>200</v>
      </c>
      <c r="D48" s="32" t="s">
        <v>201</v>
      </c>
      <c r="E48" s="36">
        <v>24900</v>
      </c>
      <c r="F48" s="37">
        <v>46.836670900000001</v>
      </c>
      <c r="G48" s="38">
        <v>2.5044652682994484E-2</v>
      </c>
    </row>
    <row r="49" spans="1:7" ht="12.95" customHeight="1" x14ac:dyDescent="0.2">
      <c r="A49" s="26"/>
      <c r="B49" s="35" t="s">
        <v>202</v>
      </c>
      <c r="C49" s="32" t="s">
        <v>203</v>
      </c>
      <c r="D49" s="32" t="s">
        <v>201</v>
      </c>
      <c r="E49" s="36">
        <v>8000</v>
      </c>
      <c r="F49" s="37">
        <v>43.996056000000003</v>
      </c>
      <c r="G49" s="38">
        <v>2.3525710106385371E-2</v>
      </c>
    </row>
    <row r="50" spans="1:7" ht="12.95" customHeight="1" x14ac:dyDescent="0.2">
      <c r="A50" s="26"/>
      <c r="B50" s="35" t="s">
        <v>206</v>
      </c>
      <c r="C50" s="32" t="s">
        <v>207</v>
      </c>
      <c r="D50" s="32" t="s">
        <v>208</v>
      </c>
      <c r="E50" s="36">
        <v>69000</v>
      </c>
      <c r="F50" s="37">
        <v>32.172116000000003</v>
      </c>
      <c r="G50" s="38">
        <v>1.720317554203046E-2</v>
      </c>
    </row>
    <row r="51" spans="1:7" ht="12.95" customHeight="1" x14ac:dyDescent="0.2">
      <c r="A51" s="26"/>
      <c r="B51" s="35" t="s">
        <v>209</v>
      </c>
      <c r="C51" s="32" t="s">
        <v>210</v>
      </c>
      <c r="D51" s="32" t="s">
        <v>211</v>
      </c>
      <c r="E51" s="36">
        <v>18000</v>
      </c>
      <c r="F51" s="37">
        <v>32.136249599999999</v>
      </c>
      <c r="G51" s="38">
        <v>1.7183996947272791E-2</v>
      </c>
    </row>
    <row r="52" spans="1:7" ht="12.95" customHeight="1" x14ac:dyDescent="0.2">
      <c r="A52" s="26"/>
      <c r="B52" s="35" t="s">
        <v>212</v>
      </c>
      <c r="C52" s="32" t="s">
        <v>213</v>
      </c>
      <c r="D52" s="32" t="s">
        <v>214</v>
      </c>
      <c r="E52" s="36">
        <v>30000</v>
      </c>
      <c r="F52" s="37">
        <v>30.223377599999999</v>
      </c>
      <c r="G52" s="38">
        <v>1.6161139986125603E-2</v>
      </c>
    </row>
    <row r="53" spans="1:7" ht="12.95" customHeight="1" x14ac:dyDescent="0.2">
      <c r="A53" s="26"/>
      <c r="B53" s="35" t="s">
        <v>215</v>
      </c>
      <c r="C53" s="32" t="s">
        <v>216</v>
      </c>
      <c r="D53" s="32" t="s">
        <v>217</v>
      </c>
      <c r="E53" s="36">
        <v>16000</v>
      </c>
      <c r="F53" s="37">
        <v>27.8004064</v>
      </c>
      <c r="G53" s="38">
        <v>1.4865521168672496E-2</v>
      </c>
    </row>
    <row r="54" spans="1:7" ht="12.95" customHeight="1" x14ac:dyDescent="0.2">
      <c r="A54" s="26"/>
      <c r="B54" s="35" t="s">
        <v>220</v>
      </c>
      <c r="C54" s="32" t="s">
        <v>221</v>
      </c>
      <c r="D54" s="32" t="s">
        <v>208</v>
      </c>
      <c r="E54" s="36">
        <v>55000</v>
      </c>
      <c r="F54" s="37">
        <v>22.970404599999998</v>
      </c>
      <c r="G54" s="38">
        <v>1.228280734177584E-2</v>
      </c>
    </row>
    <row r="55" spans="1:7" ht="12.95" customHeight="1" x14ac:dyDescent="0.2">
      <c r="A55" s="26"/>
      <c r="B55" s="35" t="s">
        <v>224</v>
      </c>
      <c r="C55" s="32" t="s">
        <v>225</v>
      </c>
      <c r="D55" s="32" t="s">
        <v>226</v>
      </c>
      <c r="E55" s="36">
        <v>16000</v>
      </c>
      <c r="F55" s="37">
        <v>13.339094100000001</v>
      </c>
      <c r="G55" s="38">
        <v>7.1327225530942017E-3</v>
      </c>
    </row>
    <row r="56" spans="1:7" ht="12.95" customHeight="1" x14ac:dyDescent="0.2">
      <c r="A56" s="3"/>
      <c r="B56" s="31" t="s">
        <v>25</v>
      </c>
      <c r="C56" s="32" t="s">
        <v>1</v>
      </c>
      <c r="D56" s="32" t="s">
        <v>1</v>
      </c>
      <c r="E56" s="32" t="s">
        <v>1</v>
      </c>
      <c r="F56" s="39">
        <f>SUM(F43:F55)</f>
        <v>559.6505552000001</v>
      </c>
      <c r="G56" s="40">
        <f>SUM(G43:G55)</f>
        <v>0.29925811355710669</v>
      </c>
    </row>
    <row r="57" spans="1:7" ht="12.95" customHeight="1" x14ac:dyDescent="0.2">
      <c r="A57" s="3"/>
      <c r="B57" s="31"/>
      <c r="C57" s="32"/>
      <c r="D57" s="32"/>
      <c r="E57" s="32"/>
      <c r="F57" s="39"/>
      <c r="G57" s="40"/>
    </row>
    <row r="58" spans="1:7" ht="12.95" customHeight="1" x14ac:dyDescent="0.2">
      <c r="A58" s="3"/>
      <c r="B58" s="31" t="s">
        <v>170</v>
      </c>
      <c r="C58" s="32" t="s">
        <v>1</v>
      </c>
      <c r="D58" s="32" t="s">
        <v>1</v>
      </c>
      <c r="E58" s="39" t="s">
        <v>171</v>
      </c>
      <c r="F58" s="39" t="s">
        <v>171</v>
      </c>
      <c r="G58" s="40" t="s">
        <v>171</v>
      </c>
    </row>
    <row r="59" spans="1:7" ht="12.95" customHeight="1" x14ac:dyDescent="0.2">
      <c r="A59" s="3"/>
      <c r="B59" s="31" t="s">
        <v>25</v>
      </c>
      <c r="C59" s="32" t="s">
        <v>1</v>
      </c>
      <c r="D59" s="32" t="s">
        <v>1</v>
      </c>
      <c r="E59" s="39" t="s">
        <v>171</v>
      </c>
      <c r="F59" s="39" t="s">
        <v>171</v>
      </c>
      <c r="G59" s="40" t="s">
        <v>171</v>
      </c>
    </row>
    <row r="60" spans="1:7" ht="12.95" customHeight="1" x14ac:dyDescent="0.2">
      <c r="A60" s="3"/>
      <c r="B60" s="31" t="s">
        <v>26</v>
      </c>
      <c r="C60" s="32" t="s">
        <v>1</v>
      </c>
      <c r="D60" s="32" t="s">
        <v>1</v>
      </c>
      <c r="E60" s="32" t="s">
        <v>1</v>
      </c>
      <c r="F60" s="39">
        <v>1842.1081492000001</v>
      </c>
      <c r="G60" s="40">
        <v>0.98501789121027783</v>
      </c>
    </row>
    <row r="61" spans="1:7" ht="12.95" customHeight="1" x14ac:dyDescent="0.2">
      <c r="A61" s="3"/>
      <c r="B61" s="31"/>
      <c r="C61" s="32"/>
      <c r="D61" s="32"/>
      <c r="E61" s="32"/>
      <c r="F61" s="39"/>
      <c r="G61" s="40"/>
    </row>
    <row r="62" spans="1:7" ht="12.95" customHeight="1" x14ac:dyDescent="0.2">
      <c r="A62" s="3"/>
      <c r="B62" s="52" t="s">
        <v>333</v>
      </c>
      <c r="C62" s="53"/>
      <c r="D62" s="32"/>
      <c r="E62" s="32"/>
      <c r="F62" s="68"/>
      <c r="G62" s="40"/>
    </row>
    <row r="63" spans="1:7" ht="12.95" customHeight="1" x14ac:dyDescent="0.2">
      <c r="A63" s="26"/>
      <c r="B63" s="21" t="s">
        <v>337</v>
      </c>
      <c r="C63" s="53"/>
      <c r="D63" s="32"/>
      <c r="E63" s="39" t="s">
        <v>171</v>
      </c>
      <c r="F63" s="39" t="s">
        <v>171</v>
      </c>
      <c r="G63" s="39" t="s">
        <v>171</v>
      </c>
    </row>
    <row r="64" spans="1:7" ht="12.95" customHeight="1" x14ac:dyDescent="0.2">
      <c r="A64" s="3"/>
      <c r="B64" s="21" t="s">
        <v>335</v>
      </c>
      <c r="C64" s="53"/>
      <c r="D64" s="32"/>
      <c r="E64" s="39" t="s">
        <v>171</v>
      </c>
      <c r="F64" s="39" t="s">
        <v>171</v>
      </c>
      <c r="G64" s="39" t="s">
        <v>171</v>
      </c>
    </row>
    <row r="65" spans="1:7" ht="12.95" customHeight="1" x14ac:dyDescent="0.2">
      <c r="A65" s="3"/>
      <c r="B65" s="21" t="s">
        <v>336</v>
      </c>
      <c r="C65" s="53"/>
      <c r="D65" s="32"/>
      <c r="E65" s="39" t="s">
        <v>171</v>
      </c>
      <c r="F65" s="39" t="s">
        <v>171</v>
      </c>
      <c r="G65" s="39" t="s">
        <v>171</v>
      </c>
    </row>
    <row r="66" spans="1:7" ht="12.95" customHeight="1" x14ac:dyDescent="0.2">
      <c r="A66" s="3"/>
      <c r="B66" s="21"/>
      <c r="C66" s="53"/>
      <c r="D66" s="32"/>
      <c r="E66" s="69"/>
      <c r="F66" s="68"/>
      <c r="G66" s="57"/>
    </row>
    <row r="67" spans="1:7" ht="12.95" customHeight="1" x14ac:dyDescent="0.2">
      <c r="A67" s="3"/>
      <c r="B67" s="66" t="s">
        <v>9</v>
      </c>
      <c r="C67" s="53"/>
      <c r="D67" s="32"/>
      <c r="E67" s="69"/>
      <c r="F67" s="68"/>
      <c r="G67" s="57"/>
    </row>
    <row r="68" spans="1:7" ht="12.95" customHeight="1" x14ac:dyDescent="0.2">
      <c r="A68" s="3"/>
      <c r="B68" s="31" t="s">
        <v>27</v>
      </c>
      <c r="C68" s="32" t="s">
        <v>1</v>
      </c>
      <c r="D68" s="32" t="s">
        <v>1</v>
      </c>
      <c r="E68" s="32" t="s">
        <v>1</v>
      </c>
      <c r="F68" s="33" t="s">
        <v>1</v>
      </c>
      <c r="G68" s="34" t="s">
        <v>1</v>
      </c>
    </row>
    <row r="69" spans="1:7" ht="12.95" customHeight="1" x14ac:dyDescent="0.2">
      <c r="A69" s="26"/>
      <c r="B69" s="35" t="s">
        <v>28</v>
      </c>
      <c r="C69" s="32" t="s">
        <v>1</v>
      </c>
      <c r="D69" s="32" t="s">
        <v>29</v>
      </c>
      <c r="E69" s="36"/>
      <c r="F69" s="37">
        <v>132.7243</v>
      </c>
      <c r="G69" s="38">
        <v>7.0970757148616323E-2</v>
      </c>
    </row>
    <row r="70" spans="1:7" ht="12.95" customHeight="1" x14ac:dyDescent="0.2">
      <c r="A70" s="3"/>
      <c r="B70" s="31" t="s">
        <v>25</v>
      </c>
      <c r="C70" s="32" t="s">
        <v>1</v>
      </c>
      <c r="D70" s="32" t="s">
        <v>1</v>
      </c>
      <c r="E70" s="32" t="s">
        <v>1</v>
      </c>
      <c r="F70" s="39">
        <v>132.7243</v>
      </c>
      <c r="G70" s="40">
        <v>7.0970757148616323E-2</v>
      </c>
    </row>
    <row r="71" spans="1:7" ht="12.95" customHeight="1" x14ac:dyDescent="0.2">
      <c r="A71" s="3"/>
      <c r="B71" s="31" t="s">
        <v>26</v>
      </c>
      <c r="C71" s="32" t="s">
        <v>1</v>
      </c>
      <c r="D71" s="32" t="s">
        <v>1</v>
      </c>
      <c r="E71" s="32" t="s">
        <v>1</v>
      </c>
      <c r="F71" s="39">
        <v>132.7243</v>
      </c>
      <c r="G71" s="40">
        <v>7.0970757148616323E-2</v>
      </c>
    </row>
    <row r="72" spans="1:7" ht="12.95" customHeight="1" x14ac:dyDescent="0.2">
      <c r="A72" s="3"/>
      <c r="B72" s="31"/>
      <c r="C72" s="32"/>
      <c r="D72" s="32"/>
      <c r="E72" s="32"/>
      <c r="F72" s="39"/>
      <c r="G72" s="40"/>
    </row>
    <row r="73" spans="1:7" ht="12.95" customHeight="1" x14ac:dyDescent="0.2">
      <c r="A73" s="3"/>
      <c r="B73" s="31" t="s">
        <v>229</v>
      </c>
      <c r="C73" s="32"/>
      <c r="D73" s="32"/>
      <c r="E73" s="32"/>
      <c r="F73" s="39"/>
      <c r="G73" s="40"/>
    </row>
    <row r="74" spans="1:7" ht="12.95" customHeight="1" thickBot="1" x14ac:dyDescent="0.25">
      <c r="A74" s="3"/>
      <c r="B74" s="41" t="s">
        <v>30</v>
      </c>
      <c r="C74" s="42" t="s">
        <v>1</v>
      </c>
      <c r="D74" s="42" t="s">
        <v>1</v>
      </c>
      <c r="E74" s="42" t="s">
        <v>1</v>
      </c>
      <c r="F74" s="43">
        <v>-104.70585998990001</v>
      </c>
      <c r="G74" s="44">
        <v>-5.5988648358894118E-2</v>
      </c>
    </row>
    <row r="75" spans="1:7" ht="12.95" customHeight="1" thickTop="1" thickBot="1" x14ac:dyDescent="0.25">
      <c r="A75" s="3"/>
      <c r="B75" s="45" t="s">
        <v>31</v>
      </c>
      <c r="C75" s="46" t="s">
        <v>1</v>
      </c>
      <c r="D75" s="46" t="s">
        <v>1</v>
      </c>
      <c r="E75" s="46" t="s">
        <v>1</v>
      </c>
      <c r="F75" s="47">
        <v>1870.1265892101001</v>
      </c>
      <c r="G75" s="48">
        <v>1</v>
      </c>
    </row>
    <row r="76" spans="1:7" ht="12.95" customHeight="1" x14ac:dyDescent="0.2">
      <c r="A76" s="3"/>
      <c r="B76" s="10" t="s">
        <v>1</v>
      </c>
      <c r="C76" s="3"/>
      <c r="D76" s="3"/>
      <c r="E76" s="3"/>
      <c r="F76" s="8"/>
      <c r="G76" s="9"/>
    </row>
    <row r="77" spans="1:7" ht="12.95" customHeight="1" x14ac:dyDescent="0.2">
      <c r="A77" s="3"/>
      <c r="B77" s="2" t="s">
        <v>338</v>
      </c>
      <c r="C77" s="3"/>
      <c r="D77" s="3"/>
      <c r="E77" s="3"/>
      <c r="F77" s="8"/>
      <c r="G77" s="9"/>
    </row>
    <row r="78" spans="1:7" ht="12.95" customHeight="1" x14ac:dyDescent="0.2">
      <c r="A78" s="3"/>
      <c r="B78" s="106" t="s">
        <v>343</v>
      </c>
      <c r="C78" s="3"/>
      <c r="D78" s="3"/>
      <c r="E78" s="3"/>
      <c r="F78" s="8"/>
      <c r="G78" s="9"/>
    </row>
    <row r="79" spans="1:7" ht="12.95" customHeight="1" thickBot="1" x14ac:dyDescent="0.25">
      <c r="A79" s="3"/>
      <c r="B79" s="2" t="s">
        <v>1</v>
      </c>
      <c r="C79" s="3"/>
      <c r="D79" s="3"/>
      <c r="E79" s="3"/>
      <c r="F79" s="8"/>
      <c r="G79" s="9"/>
    </row>
    <row r="80" spans="1:7" ht="13.5" thickBot="1" x14ac:dyDescent="0.25">
      <c r="B80" s="74" t="s">
        <v>350</v>
      </c>
      <c r="C80" s="75">
        <v>0.83860000000000001</v>
      </c>
    </row>
    <row r="81" spans="2:3" x14ac:dyDescent="0.2">
      <c r="B81" s="10" t="s">
        <v>351</v>
      </c>
      <c r="C81" s="10"/>
    </row>
  </sheetData>
  <mergeCells count="2">
    <mergeCell ref="B1:G1"/>
    <mergeCell ref="B2:G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showGridLines="0" zoomScaleNormal="100" workbookViewId="0">
      <selection activeCell="B32" sqref="B32"/>
    </sheetView>
  </sheetViews>
  <sheetFormatPr defaultRowHeight="12.75" x14ac:dyDescent="0.2"/>
  <cols>
    <col min="1" max="1" width="11.42578125" style="6" bestFit="1" customWidth="1"/>
    <col min="2" max="2" width="50" style="6" bestFit="1" customWidth="1"/>
    <col min="3" max="3" width="18.85546875" style="6" customWidth="1"/>
    <col min="4" max="5" width="19.28515625" style="6" customWidth="1"/>
    <col min="6" max="6" width="19.28515625" style="49" customWidth="1"/>
    <col min="7" max="7" width="19.28515625" style="50" customWidth="1"/>
    <col min="8" max="16384" width="9.140625" style="6"/>
  </cols>
  <sheetData>
    <row r="1" spans="1:7" ht="18.75" x14ac:dyDescent="0.2">
      <c r="A1" s="3"/>
      <c r="B1" s="97" t="s">
        <v>227</v>
      </c>
      <c r="C1" s="98"/>
      <c r="D1" s="98"/>
      <c r="E1" s="98"/>
      <c r="F1" s="98"/>
      <c r="G1" s="99"/>
    </row>
    <row r="2" spans="1:7" ht="13.5" thickBot="1" x14ac:dyDescent="0.25">
      <c r="A2" s="3"/>
      <c r="B2" s="100" t="s">
        <v>353</v>
      </c>
      <c r="C2" s="101"/>
      <c r="D2" s="101"/>
      <c r="E2" s="101"/>
      <c r="F2" s="101"/>
      <c r="G2" s="102"/>
    </row>
    <row r="3" spans="1:7" x14ac:dyDescent="0.2">
      <c r="A3" s="3"/>
      <c r="B3" s="7" t="s">
        <v>1</v>
      </c>
      <c r="C3" s="3"/>
      <c r="D3" s="3"/>
      <c r="E3" s="3"/>
      <c r="F3" s="8"/>
      <c r="G3" s="9"/>
    </row>
    <row r="4" spans="1:7" ht="26.25" thickBot="1" x14ac:dyDescent="0.25">
      <c r="A4" s="10"/>
      <c r="B4" s="11" t="s">
        <v>2</v>
      </c>
      <c r="C4" s="3"/>
      <c r="D4" s="3"/>
      <c r="E4" s="3"/>
      <c r="F4" s="8"/>
      <c r="G4" s="9"/>
    </row>
    <row r="5" spans="1:7" ht="23.25" thickBot="1" x14ac:dyDescent="0.25">
      <c r="A5" s="3"/>
      <c r="B5" s="12" t="s">
        <v>3</v>
      </c>
      <c r="C5" s="13" t="s">
        <v>4</v>
      </c>
      <c r="D5" s="14" t="s">
        <v>228</v>
      </c>
      <c r="E5" s="14" t="s">
        <v>6</v>
      </c>
      <c r="F5" s="15" t="s">
        <v>7</v>
      </c>
      <c r="G5" s="16" t="s">
        <v>8</v>
      </c>
    </row>
    <row r="6" spans="1:7" x14ac:dyDescent="0.2">
      <c r="A6" s="3"/>
      <c r="B6" s="51" t="s">
        <v>331</v>
      </c>
      <c r="C6" s="76"/>
      <c r="D6" s="77"/>
      <c r="E6" s="77"/>
      <c r="F6" s="77"/>
      <c r="G6" s="78"/>
    </row>
    <row r="7" spans="1:7" x14ac:dyDescent="0.2">
      <c r="A7" s="3"/>
      <c r="B7" s="79" t="s">
        <v>332</v>
      </c>
      <c r="C7" s="24"/>
      <c r="D7" s="80"/>
      <c r="E7" s="80" t="s">
        <v>171</v>
      </c>
      <c r="F7" s="80" t="s">
        <v>171</v>
      </c>
      <c r="G7" s="81" t="s">
        <v>171</v>
      </c>
    </row>
    <row r="8" spans="1:7" x14ac:dyDescent="0.2">
      <c r="A8" s="3"/>
      <c r="B8" s="79" t="s">
        <v>170</v>
      </c>
      <c r="C8" s="24"/>
      <c r="D8" s="80"/>
      <c r="E8" s="80" t="s">
        <v>171</v>
      </c>
      <c r="F8" s="80" t="s">
        <v>171</v>
      </c>
      <c r="G8" s="81" t="s">
        <v>171</v>
      </c>
    </row>
    <row r="9" spans="1:7" x14ac:dyDescent="0.2">
      <c r="A9" s="3"/>
      <c r="B9" s="70"/>
      <c r="C9" s="22"/>
      <c r="D9" s="23"/>
      <c r="E9" s="23"/>
      <c r="F9" s="28"/>
      <c r="G9" s="30"/>
    </row>
    <row r="10" spans="1:7" x14ac:dyDescent="0.2">
      <c r="A10" s="3"/>
      <c r="B10" s="31" t="s">
        <v>230</v>
      </c>
      <c r="C10" s="32" t="s">
        <v>1</v>
      </c>
      <c r="D10" s="32" t="s">
        <v>1</v>
      </c>
      <c r="E10" s="32" t="s">
        <v>1</v>
      </c>
      <c r="F10" s="33" t="s">
        <v>1</v>
      </c>
      <c r="G10" s="34" t="s">
        <v>1</v>
      </c>
    </row>
    <row r="11" spans="1:7" x14ac:dyDescent="0.2">
      <c r="A11" s="26"/>
      <c r="B11" s="35" t="s">
        <v>231</v>
      </c>
      <c r="C11" s="32" t="s">
        <v>232</v>
      </c>
      <c r="D11" s="32" t="s">
        <v>1</v>
      </c>
      <c r="E11" s="36">
        <v>470263.3050163</v>
      </c>
      <c r="F11" s="37">
        <v>2939.8966664</v>
      </c>
      <c r="G11" s="38">
        <v>0.99168554908737261</v>
      </c>
    </row>
    <row r="12" spans="1:7" x14ac:dyDescent="0.2">
      <c r="A12" s="3"/>
      <c r="B12" s="31" t="s">
        <v>25</v>
      </c>
      <c r="C12" s="32" t="s">
        <v>1</v>
      </c>
      <c r="D12" s="32" t="s">
        <v>1</v>
      </c>
      <c r="E12" s="32" t="s">
        <v>1</v>
      </c>
      <c r="F12" s="39">
        <v>2939.8966664</v>
      </c>
      <c r="G12" s="40">
        <v>0.99168554908737261</v>
      </c>
    </row>
    <row r="13" spans="1:7" x14ac:dyDescent="0.2">
      <c r="A13" s="3"/>
      <c r="B13" s="31" t="s">
        <v>26</v>
      </c>
      <c r="C13" s="32" t="s">
        <v>1</v>
      </c>
      <c r="D13" s="32" t="s">
        <v>1</v>
      </c>
      <c r="E13" s="32" t="s">
        <v>1</v>
      </c>
      <c r="F13" s="39">
        <v>2939.8966664</v>
      </c>
      <c r="G13" s="40">
        <v>0.99168554908737261</v>
      </c>
    </row>
    <row r="14" spans="1:7" x14ac:dyDescent="0.2">
      <c r="A14" s="3"/>
      <c r="B14" s="31"/>
      <c r="C14" s="32"/>
      <c r="D14" s="32"/>
      <c r="E14" s="32"/>
      <c r="F14" s="39"/>
      <c r="G14" s="40"/>
    </row>
    <row r="15" spans="1:7" x14ac:dyDescent="0.2">
      <c r="A15" s="3"/>
      <c r="B15" s="52" t="s">
        <v>333</v>
      </c>
      <c r="C15" s="32"/>
      <c r="D15" s="32"/>
      <c r="E15" s="32"/>
      <c r="F15" s="39"/>
      <c r="G15" s="40"/>
    </row>
    <row r="16" spans="1:7" x14ac:dyDescent="0.2">
      <c r="A16" s="3"/>
      <c r="B16" s="82" t="s">
        <v>337</v>
      </c>
      <c r="C16" s="32"/>
      <c r="D16" s="32"/>
      <c r="E16" s="80" t="s">
        <v>171</v>
      </c>
      <c r="F16" s="80" t="s">
        <v>171</v>
      </c>
      <c r="G16" s="81" t="s">
        <v>171</v>
      </c>
    </row>
    <row r="17" spans="1:7" x14ac:dyDescent="0.2">
      <c r="A17" s="3"/>
      <c r="B17" s="82" t="s">
        <v>335</v>
      </c>
      <c r="C17" s="32"/>
      <c r="D17" s="32"/>
      <c r="E17" s="80" t="s">
        <v>171</v>
      </c>
      <c r="F17" s="80" t="s">
        <v>171</v>
      </c>
      <c r="G17" s="81" t="s">
        <v>171</v>
      </c>
    </row>
    <row r="18" spans="1:7" x14ac:dyDescent="0.2">
      <c r="A18" s="3"/>
      <c r="B18" s="82" t="s">
        <v>336</v>
      </c>
      <c r="C18" s="32"/>
      <c r="D18" s="32"/>
      <c r="E18" s="80" t="s">
        <v>171</v>
      </c>
      <c r="F18" s="80" t="s">
        <v>171</v>
      </c>
      <c r="G18" s="81" t="s">
        <v>171</v>
      </c>
    </row>
    <row r="19" spans="1:7" x14ac:dyDescent="0.2">
      <c r="A19" s="3"/>
      <c r="B19" s="31"/>
      <c r="C19" s="32"/>
      <c r="D19" s="32"/>
      <c r="E19" s="32"/>
      <c r="F19" s="39"/>
      <c r="G19" s="40"/>
    </row>
    <row r="20" spans="1:7" x14ac:dyDescent="0.2">
      <c r="A20" s="3"/>
      <c r="B20" s="31" t="s">
        <v>9</v>
      </c>
      <c r="C20" s="32"/>
      <c r="D20" s="32"/>
      <c r="E20" s="32"/>
      <c r="F20" s="39"/>
      <c r="G20" s="40"/>
    </row>
    <row r="21" spans="1:7" x14ac:dyDescent="0.2">
      <c r="A21" s="3"/>
      <c r="B21" s="31" t="s">
        <v>27</v>
      </c>
      <c r="C21" s="32" t="s">
        <v>1</v>
      </c>
      <c r="D21" s="32" t="s">
        <v>1</v>
      </c>
      <c r="E21" s="32" t="s">
        <v>1</v>
      </c>
      <c r="F21" s="33" t="s">
        <v>1</v>
      </c>
      <c r="G21" s="34" t="s">
        <v>1</v>
      </c>
    </row>
    <row r="22" spans="1:7" x14ac:dyDescent="0.2">
      <c r="A22" s="26"/>
      <c r="B22" s="35" t="s">
        <v>28</v>
      </c>
      <c r="C22" s="32" t="s">
        <v>1</v>
      </c>
      <c r="D22" s="32" t="s">
        <v>29</v>
      </c>
      <c r="E22" s="36"/>
      <c r="F22" s="37">
        <v>125.21720000000001</v>
      </c>
      <c r="G22" s="38">
        <v>4.2238249104598988E-2</v>
      </c>
    </row>
    <row r="23" spans="1:7" x14ac:dyDescent="0.2">
      <c r="A23" s="3"/>
      <c r="B23" s="31" t="s">
        <v>25</v>
      </c>
      <c r="C23" s="32" t="s">
        <v>1</v>
      </c>
      <c r="D23" s="32" t="s">
        <v>1</v>
      </c>
      <c r="E23" s="32" t="s">
        <v>1</v>
      </c>
      <c r="F23" s="39">
        <v>125.21720000000001</v>
      </c>
      <c r="G23" s="40">
        <v>4.2238249104598988E-2</v>
      </c>
    </row>
    <row r="24" spans="1:7" x14ac:dyDescent="0.2">
      <c r="A24" s="3"/>
      <c r="B24" s="31" t="s">
        <v>26</v>
      </c>
      <c r="C24" s="32" t="s">
        <v>1</v>
      </c>
      <c r="D24" s="32" t="s">
        <v>1</v>
      </c>
      <c r="E24" s="32" t="s">
        <v>1</v>
      </c>
      <c r="F24" s="39">
        <v>125.21720000000001</v>
      </c>
      <c r="G24" s="40">
        <v>4.2238249104598988E-2</v>
      </c>
    </row>
    <row r="25" spans="1:7" x14ac:dyDescent="0.2">
      <c r="A25" s="3"/>
      <c r="B25" s="31"/>
      <c r="C25" s="32"/>
      <c r="D25" s="32"/>
      <c r="E25" s="32"/>
      <c r="F25" s="39"/>
      <c r="G25" s="40"/>
    </row>
    <row r="26" spans="1:7" x14ac:dyDescent="0.2">
      <c r="A26" s="3"/>
      <c r="B26" s="31" t="s">
        <v>229</v>
      </c>
      <c r="C26" s="32"/>
      <c r="D26" s="32"/>
      <c r="E26" s="32"/>
      <c r="F26" s="39"/>
      <c r="G26" s="40"/>
    </row>
    <row r="27" spans="1:7" ht="13.5" thickBot="1" x14ac:dyDescent="0.25">
      <c r="A27" s="3"/>
      <c r="B27" s="41" t="s">
        <v>30</v>
      </c>
      <c r="C27" s="42" t="s">
        <v>1</v>
      </c>
      <c r="D27" s="42" t="s">
        <v>1</v>
      </c>
      <c r="E27" s="42" t="s">
        <v>1</v>
      </c>
      <c r="F27" s="43">
        <v>-100.5686341885</v>
      </c>
      <c r="G27" s="44">
        <v>-3.3923798191971555E-2</v>
      </c>
    </row>
    <row r="28" spans="1:7" ht="14.25" thickTop="1" thickBot="1" x14ac:dyDescent="0.25">
      <c r="A28" s="3"/>
      <c r="B28" s="45" t="s">
        <v>31</v>
      </c>
      <c r="C28" s="46" t="s">
        <v>1</v>
      </c>
      <c r="D28" s="46" t="s">
        <v>1</v>
      </c>
      <c r="E28" s="46" t="s">
        <v>1</v>
      </c>
      <c r="F28" s="47">
        <v>2964.5452322115002</v>
      </c>
      <c r="G28" s="48">
        <v>1</v>
      </c>
    </row>
    <row r="29" spans="1:7" x14ac:dyDescent="0.2">
      <c r="A29" s="3"/>
      <c r="B29" s="10" t="s">
        <v>1</v>
      </c>
      <c r="C29" s="3"/>
      <c r="D29" s="3"/>
      <c r="E29" s="3"/>
      <c r="F29" s="8"/>
      <c r="G29" s="9"/>
    </row>
    <row r="30" spans="1:7" x14ac:dyDescent="0.2">
      <c r="A30" s="3"/>
      <c r="B30" s="2" t="s">
        <v>29</v>
      </c>
      <c r="C30" s="3"/>
      <c r="D30" s="3"/>
      <c r="E30" s="3"/>
      <c r="F30" s="8"/>
      <c r="G30" s="9"/>
    </row>
    <row r="31" spans="1:7" x14ac:dyDescent="0.2">
      <c r="A31" s="3"/>
      <c r="B31" s="2" t="s">
        <v>1</v>
      </c>
      <c r="C31" s="3"/>
      <c r="D31" s="3"/>
      <c r="E31" s="3"/>
      <c r="F31" s="8"/>
      <c r="G31" s="9"/>
    </row>
    <row r="32" spans="1:7" x14ac:dyDescent="0.2">
      <c r="A32" s="3"/>
      <c r="B32" s="2" t="s">
        <v>1</v>
      </c>
      <c r="C32" s="3"/>
      <c r="D32" s="3"/>
      <c r="E32" s="3"/>
      <c r="F32" s="8"/>
      <c r="G32" s="9"/>
    </row>
  </sheetData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"/>
  <sheetViews>
    <sheetView showGridLines="0" zoomScaleNormal="100" workbookViewId="0">
      <selection activeCell="C70" sqref="C70"/>
    </sheetView>
  </sheetViews>
  <sheetFormatPr defaultRowHeight="12.75" x14ac:dyDescent="0.2"/>
  <cols>
    <col min="1" max="1" width="12.5703125" style="6" bestFit="1" customWidth="1"/>
    <col min="2" max="2" width="56.42578125" style="6" bestFit="1" customWidth="1"/>
    <col min="3" max="3" width="14.42578125" style="6" bestFit="1" customWidth="1"/>
    <col min="4" max="4" width="28.5703125" style="6" bestFit="1" customWidth="1"/>
    <col min="5" max="5" width="18.85546875" style="6" customWidth="1"/>
    <col min="6" max="6" width="18.85546875" style="49" customWidth="1"/>
    <col min="7" max="7" width="18.85546875" style="50" customWidth="1"/>
    <col min="8" max="16384" width="9.140625" style="6"/>
  </cols>
  <sheetData>
    <row r="1" spans="1:7" ht="18.75" x14ac:dyDescent="0.2">
      <c r="A1" s="3"/>
      <c r="B1" s="97" t="s">
        <v>233</v>
      </c>
      <c r="C1" s="98"/>
      <c r="D1" s="98"/>
      <c r="E1" s="98"/>
      <c r="F1" s="98"/>
      <c r="G1" s="99"/>
    </row>
    <row r="2" spans="1:7" ht="15.95" customHeight="1" thickBot="1" x14ac:dyDescent="0.25">
      <c r="A2" s="3"/>
      <c r="B2" s="100" t="s">
        <v>352</v>
      </c>
      <c r="C2" s="101"/>
      <c r="D2" s="101"/>
      <c r="E2" s="101"/>
      <c r="F2" s="101"/>
      <c r="G2" s="102"/>
    </row>
    <row r="3" spans="1:7" ht="12.95" customHeight="1" x14ac:dyDescent="0.2">
      <c r="A3" s="3"/>
      <c r="B3" s="7" t="s">
        <v>1</v>
      </c>
      <c r="C3" s="3"/>
      <c r="D3" s="3"/>
      <c r="E3" s="3"/>
      <c r="F3" s="8"/>
      <c r="G3" s="9"/>
    </row>
    <row r="4" spans="1:7" ht="12.95" customHeight="1" thickBot="1" x14ac:dyDescent="0.25">
      <c r="A4" s="10"/>
      <c r="B4" s="11" t="s">
        <v>2</v>
      </c>
      <c r="C4" s="3"/>
      <c r="D4" s="3"/>
      <c r="E4" s="3"/>
      <c r="F4" s="8"/>
      <c r="G4" s="9"/>
    </row>
    <row r="5" spans="1:7" ht="27.95" customHeight="1" thickBot="1" x14ac:dyDescent="0.25">
      <c r="A5" s="3"/>
      <c r="B5" s="12" t="s">
        <v>3</v>
      </c>
      <c r="C5" s="13" t="s">
        <v>4</v>
      </c>
      <c r="D5" s="14" t="s">
        <v>35</v>
      </c>
      <c r="E5" s="14" t="s">
        <v>6</v>
      </c>
      <c r="F5" s="15" t="s">
        <v>7</v>
      </c>
      <c r="G5" s="16" t="s">
        <v>8</v>
      </c>
    </row>
    <row r="6" spans="1:7" x14ac:dyDescent="0.2">
      <c r="A6" s="3"/>
      <c r="B6" s="72" t="s">
        <v>36</v>
      </c>
      <c r="C6" s="73"/>
      <c r="D6" s="18"/>
      <c r="E6" s="18"/>
      <c r="F6" s="19"/>
      <c r="G6" s="20"/>
    </row>
    <row r="7" spans="1:7" x14ac:dyDescent="0.2">
      <c r="A7" s="3"/>
      <c r="B7" s="70" t="s">
        <v>37</v>
      </c>
      <c r="C7" s="22"/>
      <c r="D7" s="23"/>
      <c r="E7" s="23"/>
      <c r="F7" s="28"/>
      <c r="G7" s="30"/>
    </row>
    <row r="8" spans="1:7" x14ac:dyDescent="0.2">
      <c r="A8" s="3"/>
      <c r="B8" s="70" t="s">
        <v>340</v>
      </c>
      <c r="C8" s="22"/>
      <c r="D8" s="23"/>
      <c r="E8" s="23"/>
      <c r="F8" s="28"/>
      <c r="G8" s="30"/>
    </row>
    <row r="9" spans="1:7" ht="12.95" customHeight="1" x14ac:dyDescent="0.2">
      <c r="A9" s="26"/>
      <c r="B9" s="35" t="s">
        <v>234</v>
      </c>
      <c r="C9" s="32" t="s">
        <v>235</v>
      </c>
      <c r="D9" s="32" t="s">
        <v>64</v>
      </c>
      <c r="E9" s="36">
        <v>18500</v>
      </c>
      <c r="F9" s="37">
        <v>165.61199999999999</v>
      </c>
      <c r="G9" s="38">
        <v>0.11086825103277349</v>
      </c>
    </row>
    <row r="10" spans="1:7" ht="12.95" customHeight="1" x14ac:dyDescent="0.2">
      <c r="A10" s="26"/>
      <c r="B10" s="35" t="s">
        <v>239</v>
      </c>
      <c r="C10" s="32" t="s">
        <v>240</v>
      </c>
      <c r="D10" s="32" t="s">
        <v>106</v>
      </c>
      <c r="E10" s="36">
        <v>32000</v>
      </c>
      <c r="F10" s="37">
        <v>92.447999999999993</v>
      </c>
      <c r="G10" s="38">
        <v>6.188892152427266E-2</v>
      </c>
    </row>
    <row r="11" spans="1:7" ht="12.95" customHeight="1" x14ac:dyDescent="0.2">
      <c r="A11" s="26"/>
      <c r="B11" s="35" t="s">
        <v>256</v>
      </c>
      <c r="C11" s="32" t="s">
        <v>257</v>
      </c>
      <c r="D11" s="32" t="s">
        <v>258</v>
      </c>
      <c r="E11" s="36">
        <v>13000</v>
      </c>
      <c r="F11" s="37">
        <v>55.146000000000001</v>
      </c>
      <c r="G11" s="38">
        <v>3.691725582357152E-2</v>
      </c>
    </row>
    <row r="12" spans="1:7" ht="12.95" customHeight="1" x14ac:dyDescent="0.2">
      <c r="A12" s="26"/>
      <c r="B12" s="35" t="s">
        <v>262</v>
      </c>
      <c r="C12" s="32" t="s">
        <v>263</v>
      </c>
      <c r="D12" s="32" t="s">
        <v>90</v>
      </c>
      <c r="E12" s="36">
        <v>21000</v>
      </c>
      <c r="F12" s="37">
        <v>42.409500000000001</v>
      </c>
      <c r="G12" s="38">
        <v>2.8390859914585943E-2</v>
      </c>
    </row>
    <row r="13" spans="1:7" ht="12.95" customHeight="1" x14ac:dyDescent="0.2">
      <c r="A13" s="26"/>
      <c r="B13" s="35" t="s">
        <v>271</v>
      </c>
      <c r="C13" s="32" t="s">
        <v>272</v>
      </c>
      <c r="D13" s="32" t="s">
        <v>90</v>
      </c>
      <c r="E13" s="36">
        <v>12000</v>
      </c>
      <c r="F13" s="37">
        <v>34.799999999999997</v>
      </c>
      <c r="G13" s="38">
        <v>2.3296712411784878E-2</v>
      </c>
    </row>
    <row r="14" spans="1:7" ht="12.95" customHeight="1" x14ac:dyDescent="0.2">
      <c r="A14" s="26"/>
      <c r="B14" s="35" t="s">
        <v>283</v>
      </c>
      <c r="C14" s="32" t="s">
        <v>284</v>
      </c>
      <c r="D14" s="32" t="s">
        <v>106</v>
      </c>
      <c r="E14" s="36">
        <v>8000</v>
      </c>
      <c r="F14" s="37">
        <v>25.9</v>
      </c>
      <c r="G14" s="38">
        <v>1.7338645157046792E-2</v>
      </c>
    </row>
    <row r="15" spans="1:7" ht="12.95" customHeight="1" x14ac:dyDescent="0.2">
      <c r="A15" s="26"/>
      <c r="B15" s="35" t="s">
        <v>287</v>
      </c>
      <c r="C15" s="32" t="s">
        <v>288</v>
      </c>
      <c r="D15" s="32" t="s">
        <v>289</v>
      </c>
      <c r="E15" s="36">
        <v>20000</v>
      </c>
      <c r="F15" s="37">
        <v>24.52</v>
      </c>
      <c r="G15" s="38">
        <v>1.6414810009682909E-2</v>
      </c>
    </row>
    <row r="16" spans="1:7" ht="12.95" customHeight="1" x14ac:dyDescent="0.2">
      <c r="A16" s="26"/>
      <c r="B16" s="35" t="s">
        <v>299</v>
      </c>
      <c r="C16" s="32" t="s">
        <v>300</v>
      </c>
      <c r="D16" s="32" t="s">
        <v>64</v>
      </c>
      <c r="E16" s="36">
        <v>4000</v>
      </c>
      <c r="F16" s="37">
        <v>13.916</v>
      </c>
      <c r="G16" s="38">
        <v>9.3160071816781147E-3</v>
      </c>
    </row>
    <row r="17" spans="1:7" ht="12.95" customHeight="1" x14ac:dyDescent="0.2">
      <c r="A17" s="26"/>
      <c r="B17" s="35" t="s">
        <v>303</v>
      </c>
      <c r="C17" s="32" t="s">
        <v>304</v>
      </c>
      <c r="D17" s="32" t="s">
        <v>258</v>
      </c>
      <c r="E17" s="36">
        <v>1000</v>
      </c>
      <c r="F17" s="37">
        <v>10.172000000000001</v>
      </c>
      <c r="G17" s="38">
        <v>6.8096022601343616E-3</v>
      </c>
    </row>
    <row r="18" spans="1:7" ht="12.95" customHeight="1" x14ac:dyDescent="0.2">
      <c r="A18" s="26"/>
      <c r="B18" s="35" t="s">
        <v>88</v>
      </c>
      <c r="C18" s="32" t="s">
        <v>89</v>
      </c>
      <c r="D18" s="32" t="s">
        <v>90</v>
      </c>
      <c r="E18" s="36">
        <v>7000</v>
      </c>
      <c r="F18" s="37">
        <v>8.3089999999999993</v>
      </c>
      <c r="G18" s="38">
        <v>5.5624248111931195E-3</v>
      </c>
    </row>
    <row r="19" spans="1:7" ht="12.95" customHeight="1" x14ac:dyDescent="0.2">
      <c r="A19" s="26"/>
      <c r="B19" s="71" t="s">
        <v>25</v>
      </c>
      <c r="C19" s="32"/>
      <c r="D19" s="32"/>
      <c r="E19" s="36"/>
      <c r="F19" s="67">
        <f>SUM(F9:F18)</f>
        <v>473.23250000000002</v>
      </c>
      <c r="G19" s="62">
        <f>SUM(G9:G18)</f>
        <v>0.31680349012672387</v>
      </c>
    </row>
    <row r="20" spans="1:7" ht="12.95" customHeight="1" x14ac:dyDescent="0.2">
      <c r="A20" s="26"/>
      <c r="B20" s="35"/>
      <c r="C20" s="32"/>
      <c r="D20" s="32"/>
      <c r="E20" s="36"/>
      <c r="F20" s="37"/>
      <c r="G20" s="38"/>
    </row>
    <row r="21" spans="1:7" ht="12.95" customHeight="1" x14ac:dyDescent="0.2">
      <c r="A21" s="26"/>
      <c r="B21" s="71" t="s">
        <v>341</v>
      </c>
      <c r="C21" s="32"/>
      <c r="D21" s="32"/>
      <c r="E21" s="36"/>
      <c r="F21" s="37"/>
      <c r="G21" s="38"/>
    </row>
    <row r="22" spans="1:7" ht="12.95" customHeight="1" x14ac:dyDescent="0.2">
      <c r="A22" s="26"/>
      <c r="B22" s="71" t="s">
        <v>342</v>
      </c>
      <c r="C22" s="32"/>
      <c r="D22" s="32"/>
      <c r="E22" s="36"/>
      <c r="F22" s="37"/>
      <c r="G22" s="38"/>
    </row>
    <row r="23" spans="1:7" ht="12.95" customHeight="1" x14ac:dyDescent="0.2">
      <c r="A23" s="26"/>
      <c r="B23" s="35" t="s">
        <v>236</v>
      </c>
      <c r="C23" s="32" t="s">
        <v>237</v>
      </c>
      <c r="D23" s="32" t="s">
        <v>238</v>
      </c>
      <c r="E23" s="36">
        <v>7550</v>
      </c>
      <c r="F23" s="37">
        <v>158.18944819999999</v>
      </c>
      <c r="G23" s="38">
        <v>0.10589925520960751</v>
      </c>
    </row>
    <row r="24" spans="1:7" ht="12.95" customHeight="1" x14ac:dyDescent="0.2">
      <c r="A24" s="26"/>
      <c r="B24" s="35" t="s">
        <v>241</v>
      </c>
      <c r="C24" s="32" t="s">
        <v>242</v>
      </c>
      <c r="D24" s="32" t="s">
        <v>243</v>
      </c>
      <c r="E24" s="36">
        <v>79000</v>
      </c>
      <c r="F24" s="37">
        <v>90.796063500000002</v>
      </c>
      <c r="G24" s="38">
        <v>6.0783039640277529E-2</v>
      </c>
    </row>
    <row r="25" spans="1:7" ht="12.95" customHeight="1" x14ac:dyDescent="0.2">
      <c r="A25" s="26"/>
      <c r="B25" s="35" t="s">
        <v>244</v>
      </c>
      <c r="C25" s="32" t="s">
        <v>245</v>
      </c>
      <c r="D25" s="32" t="s">
        <v>246</v>
      </c>
      <c r="E25" s="36">
        <v>128000</v>
      </c>
      <c r="F25" s="37">
        <v>86.716864000000001</v>
      </c>
      <c r="G25" s="38">
        <v>5.8052236835053485E-2</v>
      </c>
    </row>
    <row r="26" spans="1:7" ht="12.95" customHeight="1" x14ac:dyDescent="0.2">
      <c r="A26" s="26"/>
      <c r="B26" s="35" t="s">
        <v>247</v>
      </c>
      <c r="C26" s="32" t="s">
        <v>248</v>
      </c>
      <c r="D26" s="32" t="s">
        <v>238</v>
      </c>
      <c r="E26" s="36">
        <v>2166</v>
      </c>
      <c r="F26" s="37">
        <v>81.447304399999993</v>
      </c>
      <c r="G26" s="38">
        <v>5.4524552509250035E-2</v>
      </c>
    </row>
    <row r="27" spans="1:7" ht="12.95" customHeight="1" x14ac:dyDescent="0.2">
      <c r="A27" s="26"/>
      <c r="B27" s="35" t="s">
        <v>249</v>
      </c>
      <c r="C27" s="32" t="s">
        <v>250</v>
      </c>
      <c r="D27" s="32" t="s">
        <v>251</v>
      </c>
      <c r="E27" s="36">
        <v>390</v>
      </c>
      <c r="F27" s="37">
        <v>74.529175499999994</v>
      </c>
      <c r="G27" s="38">
        <v>4.9893240457211017E-2</v>
      </c>
    </row>
    <row r="28" spans="1:7" ht="12.95" customHeight="1" x14ac:dyDescent="0.2">
      <c r="A28" s="26"/>
      <c r="B28" s="35" t="s">
        <v>252</v>
      </c>
      <c r="C28" s="32" t="s">
        <v>253</v>
      </c>
      <c r="D28" s="32" t="s">
        <v>243</v>
      </c>
      <c r="E28" s="36">
        <v>3200</v>
      </c>
      <c r="F28" s="37">
        <v>68.653209599999997</v>
      </c>
      <c r="G28" s="38">
        <v>4.5959600005666346E-2</v>
      </c>
    </row>
    <row r="29" spans="1:7" ht="12.95" customHeight="1" x14ac:dyDescent="0.2">
      <c r="A29" s="26"/>
      <c r="B29" s="35" t="s">
        <v>254</v>
      </c>
      <c r="C29" s="32" t="s">
        <v>255</v>
      </c>
      <c r="D29" s="32" t="s">
        <v>246</v>
      </c>
      <c r="E29" s="36">
        <v>130000</v>
      </c>
      <c r="F29" s="37">
        <v>65.587598700000001</v>
      </c>
      <c r="G29" s="38">
        <v>4.3907339790041834E-2</v>
      </c>
    </row>
    <row r="30" spans="1:7" ht="12.95" customHeight="1" x14ac:dyDescent="0.2">
      <c r="A30" s="26"/>
      <c r="B30" s="35" t="s">
        <v>259</v>
      </c>
      <c r="C30" s="32" t="s">
        <v>260</v>
      </c>
      <c r="D30" s="32" t="s">
        <v>261</v>
      </c>
      <c r="E30" s="36">
        <v>300</v>
      </c>
      <c r="F30" s="37">
        <v>52.589205</v>
      </c>
      <c r="G30" s="38">
        <v>3.5205620254293087E-2</v>
      </c>
    </row>
    <row r="31" spans="1:7" ht="12.95" customHeight="1" x14ac:dyDescent="0.2">
      <c r="A31" s="26"/>
      <c r="B31" s="35" t="s">
        <v>264</v>
      </c>
      <c r="C31" s="32" t="s">
        <v>265</v>
      </c>
      <c r="D31" s="32" t="s">
        <v>243</v>
      </c>
      <c r="E31" s="36">
        <v>5110</v>
      </c>
      <c r="F31" s="37">
        <v>41.231249099999999</v>
      </c>
      <c r="G31" s="38">
        <v>2.7602084846590921E-2</v>
      </c>
    </row>
    <row r="32" spans="1:7" ht="12.95" customHeight="1" x14ac:dyDescent="0.2">
      <c r="A32" s="26"/>
      <c r="B32" s="35" t="s">
        <v>266</v>
      </c>
      <c r="C32" s="32" t="s">
        <v>267</v>
      </c>
      <c r="D32" s="32" t="s">
        <v>268</v>
      </c>
      <c r="E32" s="36">
        <v>475</v>
      </c>
      <c r="F32" s="37">
        <v>39.339476300000001</v>
      </c>
      <c r="G32" s="38">
        <v>2.6335645568716294E-2</v>
      </c>
    </row>
    <row r="33" spans="1:7" ht="12.95" customHeight="1" x14ac:dyDescent="0.2">
      <c r="A33" s="26"/>
      <c r="B33" s="35" t="s">
        <v>269</v>
      </c>
      <c r="C33" s="32" t="s">
        <v>270</v>
      </c>
      <c r="D33" s="32" t="s">
        <v>246</v>
      </c>
      <c r="E33" s="36">
        <v>5000</v>
      </c>
      <c r="F33" s="37">
        <v>38.799432000000003</v>
      </c>
      <c r="G33" s="38">
        <v>2.5974115202431133E-2</v>
      </c>
    </row>
    <row r="34" spans="1:7" ht="12.95" customHeight="1" x14ac:dyDescent="0.2">
      <c r="A34" s="26"/>
      <c r="B34" s="35" t="s">
        <v>273</v>
      </c>
      <c r="C34" s="32" t="s">
        <v>274</v>
      </c>
      <c r="D34" s="32" t="s">
        <v>275</v>
      </c>
      <c r="E34" s="36">
        <v>16000</v>
      </c>
      <c r="F34" s="37">
        <v>31.179813599999999</v>
      </c>
      <c r="G34" s="38">
        <v>2.0873193979662613E-2</v>
      </c>
    </row>
    <row r="35" spans="1:7" ht="12.95" customHeight="1" x14ac:dyDescent="0.2">
      <c r="A35" s="26"/>
      <c r="B35" s="35" t="s">
        <v>276</v>
      </c>
      <c r="C35" s="32" t="s">
        <v>277</v>
      </c>
      <c r="D35" s="32" t="s">
        <v>243</v>
      </c>
      <c r="E35" s="36">
        <v>26000</v>
      </c>
      <c r="F35" s="37">
        <v>28.3073175</v>
      </c>
      <c r="G35" s="38">
        <v>1.8950213647890381E-2</v>
      </c>
    </row>
    <row r="36" spans="1:7" ht="12.95" customHeight="1" x14ac:dyDescent="0.2">
      <c r="A36" s="26"/>
      <c r="B36" s="35" t="s">
        <v>278</v>
      </c>
      <c r="C36" s="32" t="s">
        <v>279</v>
      </c>
      <c r="D36" s="32" t="s">
        <v>251</v>
      </c>
      <c r="E36" s="36">
        <v>8480</v>
      </c>
      <c r="F36" s="37">
        <v>27.219497499999999</v>
      </c>
      <c r="G36" s="38">
        <v>1.8221977162379239E-2</v>
      </c>
    </row>
    <row r="37" spans="1:7" ht="12.95" customHeight="1" x14ac:dyDescent="0.2">
      <c r="A37" s="26"/>
      <c r="B37" s="35" t="s">
        <v>280</v>
      </c>
      <c r="C37" s="32" t="s">
        <v>281</v>
      </c>
      <c r="D37" s="32" t="s">
        <v>282</v>
      </c>
      <c r="E37" s="36">
        <v>4578</v>
      </c>
      <c r="F37" s="37">
        <v>26.6372578</v>
      </c>
      <c r="G37" s="38">
        <v>1.7832199264516482E-2</v>
      </c>
    </row>
    <row r="38" spans="1:7" ht="12.95" customHeight="1" x14ac:dyDescent="0.2">
      <c r="A38" s="26"/>
      <c r="B38" s="35" t="s">
        <v>285</v>
      </c>
      <c r="C38" s="32" t="s">
        <v>286</v>
      </c>
      <c r="D38" s="32" t="s">
        <v>261</v>
      </c>
      <c r="E38" s="36">
        <v>1945</v>
      </c>
      <c r="F38" s="37">
        <v>25.594774699999999</v>
      </c>
      <c r="G38" s="38">
        <v>1.71343133744347E-2</v>
      </c>
    </row>
    <row r="39" spans="1:7" ht="12.95" customHeight="1" x14ac:dyDescent="0.2">
      <c r="A39" s="26"/>
      <c r="B39" s="35" t="s">
        <v>290</v>
      </c>
      <c r="C39" s="32" t="s">
        <v>291</v>
      </c>
      <c r="D39" s="32" t="s">
        <v>243</v>
      </c>
      <c r="E39" s="36">
        <v>5030</v>
      </c>
      <c r="F39" s="37">
        <v>22.498320799999998</v>
      </c>
      <c r="G39" s="38">
        <v>1.5061405443266606E-2</v>
      </c>
    </row>
    <row r="40" spans="1:7" ht="12.95" customHeight="1" x14ac:dyDescent="0.2">
      <c r="A40" s="26"/>
      <c r="B40" s="35" t="s">
        <v>292</v>
      </c>
      <c r="C40" s="32" t="s">
        <v>293</v>
      </c>
      <c r="D40" s="32" t="s">
        <v>294</v>
      </c>
      <c r="E40" s="36">
        <v>9000</v>
      </c>
      <c r="F40" s="37">
        <v>20.6231513</v>
      </c>
      <c r="G40" s="38">
        <v>1.3806081174161709E-2</v>
      </c>
    </row>
    <row r="41" spans="1:7" ht="12.95" customHeight="1" x14ac:dyDescent="0.2">
      <c r="A41" s="26"/>
      <c r="B41" s="35" t="s">
        <v>295</v>
      </c>
      <c r="C41" s="32" t="s">
        <v>296</v>
      </c>
      <c r="D41" s="32" t="s">
        <v>238</v>
      </c>
      <c r="E41" s="36">
        <v>16000</v>
      </c>
      <c r="F41" s="37">
        <v>17.853472</v>
      </c>
      <c r="G41" s="38">
        <v>1.1951931113099248E-2</v>
      </c>
    </row>
    <row r="42" spans="1:7" ht="12.95" customHeight="1" x14ac:dyDescent="0.2">
      <c r="A42" s="26"/>
      <c r="B42" s="35" t="s">
        <v>297</v>
      </c>
      <c r="C42" s="32" t="s">
        <v>298</v>
      </c>
      <c r="D42" s="32" t="s">
        <v>294</v>
      </c>
      <c r="E42" s="36">
        <v>20000</v>
      </c>
      <c r="F42" s="37">
        <v>14.35942</v>
      </c>
      <c r="G42" s="38">
        <v>9.6128528201158622E-3</v>
      </c>
    </row>
    <row r="43" spans="1:7" ht="12.95" customHeight="1" x14ac:dyDescent="0.2">
      <c r="A43" s="26"/>
      <c r="B43" s="35" t="s">
        <v>301</v>
      </c>
      <c r="C43" s="32" t="s">
        <v>302</v>
      </c>
      <c r="D43" s="32" t="s">
        <v>294</v>
      </c>
      <c r="E43" s="36">
        <v>16000</v>
      </c>
      <c r="F43" s="37">
        <v>10.635568299999999</v>
      </c>
      <c r="G43" s="38">
        <v>7.119936092557351E-3</v>
      </c>
    </row>
    <row r="44" spans="1:7" ht="12.95" customHeight="1" x14ac:dyDescent="0.2">
      <c r="A44" s="26"/>
      <c r="B44" s="35" t="s">
        <v>305</v>
      </c>
      <c r="C44" s="32" t="s">
        <v>306</v>
      </c>
      <c r="D44" s="32" t="s">
        <v>282</v>
      </c>
      <c r="E44" s="36">
        <v>4578</v>
      </c>
      <c r="F44" s="37">
        <v>2.9288359000000002</v>
      </c>
      <c r="G44" s="38">
        <v>1.9606967719428487E-3</v>
      </c>
    </row>
    <row r="45" spans="1:7" ht="12.95" customHeight="1" x14ac:dyDescent="0.2">
      <c r="A45" s="3"/>
      <c r="B45" s="31" t="s">
        <v>25</v>
      </c>
      <c r="C45" s="32" t="s">
        <v>1</v>
      </c>
      <c r="D45" s="32" t="s">
        <v>1</v>
      </c>
      <c r="E45" s="32" t="s">
        <v>1</v>
      </c>
      <c r="F45" s="39">
        <f>SUM(F23:F44)</f>
        <v>1025.7164557000001</v>
      </c>
      <c r="G45" s="40">
        <f>SUM(G23:G44)</f>
        <v>0.68666153116316619</v>
      </c>
    </row>
    <row r="46" spans="1:7" ht="12.95" customHeight="1" x14ac:dyDescent="0.2">
      <c r="A46" s="3"/>
      <c r="B46" s="31"/>
      <c r="C46" s="32"/>
      <c r="D46" s="32"/>
      <c r="E46" s="32"/>
      <c r="F46" s="39"/>
      <c r="G46" s="40"/>
    </row>
    <row r="47" spans="1:7" ht="12.95" customHeight="1" x14ac:dyDescent="0.2">
      <c r="A47" s="3"/>
      <c r="B47" s="31" t="s">
        <v>170</v>
      </c>
      <c r="C47" s="32" t="s">
        <v>1</v>
      </c>
      <c r="D47" s="32" t="s">
        <v>1</v>
      </c>
      <c r="E47" s="39" t="s">
        <v>171</v>
      </c>
      <c r="F47" s="39" t="s">
        <v>171</v>
      </c>
      <c r="G47" s="40" t="s">
        <v>171</v>
      </c>
    </row>
    <row r="48" spans="1:7" ht="12.95" customHeight="1" x14ac:dyDescent="0.2">
      <c r="A48" s="3"/>
      <c r="B48" s="31" t="s">
        <v>25</v>
      </c>
      <c r="C48" s="32" t="s">
        <v>1</v>
      </c>
      <c r="D48" s="32" t="s">
        <v>1</v>
      </c>
      <c r="E48" s="39" t="s">
        <v>171</v>
      </c>
      <c r="F48" s="39" t="s">
        <v>171</v>
      </c>
      <c r="G48" s="40" t="s">
        <v>171</v>
      </c>
    </row>
    <row r="49" spans="1:7" ht="12.95" customHeight="1" x14ac:dyDescent="0.2">
      <c r="A49" s="3"/>
      <c r="B49" s="31" t="s">
        <v>26</v>
      </c>
      <c r="C49" s="32" t="s">
        <v>1</v>
      </c>
      <c r="D49" s="32" t="s">
        <v>1</v>
      </c>
      <c r="E49" s="32" t="s">
        <v>1</v>
      </c>
      <c r="F49" s="39">
        <v>1498.9489556999999</v>
      </c>
      <c r="G49" s="40">
        <v>1.0034650212898899</v>
      </c>
    </row>
    <row r="50" spans="1:7" ht="12.95" customHeight="1" x14ac:dyDescent="0.2">
      <c r="A50" s="3"/>
      <c r="B50" s="31"/>
      <c r="C50" s="32"/>
      <c r="D50" s="32"/>
      <c r="E50" s="32"/>
      <c r="F50" s="39"/>
      <c r="G50" s="40"/>
    </row>
    <row r="51" spans="1:7" ht="12.95" customHeight="1" x14ac:dyDescent="0.2">
      <c r="A51" s="3"/>
      <c r="B51" s="52" t="s">
        <v>333</v>
      </c>
      <c r="C51" s="53"/>
      <c r="D51" s="32"/>
      <c r="E51" s="32"/>
      <c r="F51" s="68"/>
      <c r="G51" s="40"/>
    </row>
    <row r="52" spans="1:7" ht="12.95" customHeight="1" x14ac:dyDescent="0.2">
      <c r="A52" s="26"/>
      <c r="B52" s="21" t="s">
        <v>337</v>
      </c>
      <c r="C52" s="53"/>
      <c r="D52" s="32"/>
      <c r="E52" s="39" t="s">
        <v>171</v>
      </c>
      <c r="F52" s="39" t="s">
        <v>171</v>
      </c>
      <c r="G52" s="39" t="s">
        <v>171</v>
      </c>
    </row>
    <row r="53" spans="1:7" ht="12.95" customHeight="1" x14ac:dyDescent="0.2">
      <c r="A53" s="3"/>
      <c r="B53" s="21" t="s">
        <v>335</v>
      </c>
      <c r="C53" s="53"/>
      <c r="D53" s="32"/>
      <c r="E53" s="39" t="s">
        <v>171</v>
      </c>
      <c r="F53" s="39" t="s">
        <v>171</v>
      </c>
      <c r="G53" s="39" t="s">
        <v>171</v>
      </c>
    </row>
    <row r="54" spans="1:7" ht="12.95" customHeight="1" x14ac:dyDescent="0.2">
      <c r="A54" s="3"/>
      <c r="B54" s="21" t="s">
        <v>336</v>
      </c>
      <c r="C54" s="53"/>
      <c r="D54" s="32"/>
      <c r="E54" s="39" t="s">
        <v>171</v>
      </c>
      <c r="F54" s="39" t="s">
        <v>171</v>
      </c>
      <c r="G54" s="39" t="s">
        <v>171</v>
      </c>
    </row>
    <row r="55" spans="1:7" ht="12.95" customHeight="1" x14ac:dyDescent="0.2">
      <c r="A55" s="3"/>
      <c r="B55" s="21"/>
      <c r="C55" s="53"/>
      <c r="D55" s="32"/>
      <c r="E55" s="69"/>
      <c r="F55" s="68"/>
      <c r="G55" s="57"/>
    </row>
    <row r="56" spans="1:7" ht="12.95" customHeight="1" x14ac:dyDescent="0.2">
      <c r="A56" s="3"/>
      <c r="B56" s="31" t="s">
        <v>9</v>
      </c>
      <c r="C56" s="53"/>
      <c r="D56" s="32"/>
      <c r="E56" s="69"/>
      <c r="F56" s="68"/>
      <c r="G56" s="57"/>
    </row>
    <row r="57" spans="1:7" ht="12.95" customHeight="1" x14ac:dyDescent="0.2">
      <c r="A57" s="3"/>
      <c r="B57" s="31" t="s">
        <v>27</v>
      </c>
      <c r="C57" s="32" t="s">
        <v>1</v>
      </c>
      <c r="D57" s="32" t="s">
        <v>1</v>
      </c>
      <c r="E57" s="32" t="s">
        <v>1</v>
      </c>
      <c r="F57" s="33" t="s">
        <v>1</v>
      </c>
      <c r="G57" s="34" t="s">
        <v>1</v>
      </c>
    </row>
    <row r="58" spans="1:7" ht="12.95" customHeight="1" x14ac:dyDescent="0.2">
      <c r="A58" s="26"/>
      <c r="B58" s="35" t="s">
        <v>28</v>
      </c>
      <c r="C58" s="32" t="s">
        <v>1</v>
      </c>
      <c r="D58" s="32" t="s">
        <v>29</v>
      </c>
      <c r="E58" s="36"/>
      <c r="F58" s="37">
        <v>6.8849</v>
      </c>
      <c r="G58" s="38">
        <v>4.6090671058591293E-3</v>
      </c>
    </row>
    <row r="59" spans="1:7" ht="12.95" customHeight="1" x14ac:dyDescent="0.2">
      <c r="A59" s="3"/>
      <c r="B59" s="31" t="s">
        <v>25</v>
      </c>
      <c r="C59" s="32" t="s">
        <v>1</v>
      </c>
      <c r="D59" s="32" t="s">
        <v>1</v>
      </c>
      <c r="E59" s="32" t="s">
        <v>1</v>
      </c>
      <c r="F59" s="39">
        <v>6.8849</v>
      </c>
      <c r="G59" s="40">
        <v>4.6090671058591293E-3</v>
      </c>
    </row>
    <row r="60" spans="1:7" ht="12.95" customHeight="1" x14ac:dyDescent="0.2">
      <c r="A60" s="3"/>
      <c r="B60" s="31" t="s">
        <v>26</v>
      </c>
      <c r="C60" s="32" t="s">
        <v>1</v>
      </c>
      <c r="D60" s="32" t="s">
        <v>1</v>
      </c>
      <c r="E60" s="32" t="s">
        <v>1</v>
      </c>
      <c r="F60" s="39">
        <v>6.8849</v>
      </c>
      <c r="G60" s="40">
        <v>4.6090671058591293E-3</v>
      </c>
    </row>
    <row r="61" spans="1:7" ht="12.95" customHeight="1" x14ac:dyDescent="0.2">
      <c r="A61" s="3"/>
      <c r="B61" s="31"/>
      <c r="C61" s="32"/>
      <c r="D61" s="32"/>
      <c r="E61" s="32"/>
      <c r="F61" s="39"/>
      <c r="G61" s="40"/>
    </row>
    <row r="62" spans="1:7" ht="12.95" customHeight="1" x14ac:dyDescent="0.2">
      <c r="A62" s="3"/>
      <c r="B62" s="31" t="s">
        <v>229</v>
      </c>
      <c r="C62" s="32"/>
      <c r="D62" s="32"/>
      <c r="E62" s="32"/>
      <c r="F62" s="39"/>
      <c r="G62" s="40"/>
    </row>
    <row r="63" spans="1:7" ht="12.95" customHeight="1" thickBot="1" x14ac:dyDescent="0.25">
      <c r="A63" s="3"/>
      <c r="B63" s="41" t="s">
        <v>30</v>
      </c>
      <c r="C63" s="42" t="s">
        <v>1</v>
      </c>
      <c r="D63" s="42" t="s">
        <v>1</v>
      </c>
      <c r="E63" s="42" t="s">
        <v>1</v>
      </c>
      <c r="F63" s="43">
        <v>-12.060855248799999</v>
      </c>
      <c r="G63" s="44">
        <v>-8.0740883957491419E-3</v>
      </c>
    </row>
    <row r="64" spans="1:7" ht="12.95" customHeight="1" thickTop="1" thickBot="1" x14ac:dyDescent="0.25">
      <c r="A64" s="3"/>
      <c r="B64" s="45" t="s">
        <v>31</v>
      </c>
      <c r="C64" s="46" t="s">
        <v>1</v>
      </c>
      <c r="D64" s="46" t="s">
        <v>1</v>
      </c>
      <c r="E64" s="46" t="s">
        <v>1</v>
      </c>
      <c r="F64" s="47">
        <v>1493.7730004512</v>
      </c>
      <c r="G64" s="48">
        <v>1</v>
      </c>
    </row>
    <row r="65" spans="1:7" ht="12.95" customHeight="1" x14ac:dyDescent="0.2">
      <c r="A65" s="3"/>
      <c r="B65" s="10" t="s">
        <v>1</v>
      </c>
      <c r="C65" s="3"/>
      <c r="D65" s="3"/>
      <c r="E65" s="3"/>
      <c r="F65" s="8"/>
      <c r="G65" s="9"/>
    </row>
    <row r="66" spans="1:7" ht="12.95" customHeight="1" x14ac:dyDescent="0.2">
      <c r="A66" s="3"/>
      <c r="B66" s="2" t="s">
        <v>338</v>
      </c>
      <c r="C66" s="3"/>
      <c r="D66" s="3"/>
      <c r="E66" s="3"/>
      <c r="F66" s="8"/>
      <c r="G66" s="9"/>
    </row>
    <row r="67" spans="1:7" ht="12.95" customHeight="1" x14ac:dyDescent="0.2">
      <c r="A67" s="3"/>
      <c r="B67" s="2" t="s">
        <v>343</v>
      </c>
      <c r="C67" s="3"/>
      <c r="D67" s="3"/>
      <c r="E67" s="3"/>
      <c r="F67" s="8"/>
      <c r="G67" s="9"/>
    </row>
    <row r="68" spans="1:7" ht="12.95" customHeight="1" thickBot="1" x14ac:dyDescent="0.25">
      <c r="A68" s="3"/>
      <c r="B68" s="2" t="s">
        <v>1</v>
      </c>
      <c r="C68" s="3"/>
      <c r="D68" s="3"/>
      <c r="E68" s="3"/>
      <c r="F68" s="8"/>
      <c r="G68" s="9"/>
    </row>
    <row r="69" spans="1:7" ht="13.5" thickBot="1" x14ac:dyDescent="0.25">
      <c r="B69" s="74" t="s">
        <v>350</v>
      </c>
      <c r="C69" s="75">
        <v>6.1600000000000002E-2</v>
      </c>
    </row>
    <row r="70" spans="1:7" x14ac:dyDescent="0.2">
      <c r="B70" s="10" t="s">
        <v>351</v>
      </c>
      <c r="C70" s="10"/>
    </row>
  </sheetData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"/>
  <sheetViews>
    <sheetView showGridLines="0" zoomScaleNormal="100" workbookViewId="0">
      <selection activeCell="C83" sqref="C83"/>
    </sheetView>
  </sheetViews>
  <sheetFormatPr defaultRowHeight="12.75" x14ac:dyDescent="0.2"/>
  <cols>
    <col min="1" max="1" width="11.42578125" style="6" bestFit="1" customWidth="1"/>
    <col min="2" max="2" width="52.140625" style="6" bestFit="1" customWidth="1"/>
    <col min="3" max="3" width="13.28515625" style="6" bestFit="1" customWidth="1"/>
    <col min="4" max="4" width="21.140625" style="6" bestFit="1" customWidth="1"/>
    <col min="5" max="5" width="18.140625" style="6" customWidth="1"/>
    <col min="6" max="6" width="18.140625" style="49" customWidth="1"/>
    <col min="7" max="7" width="18.140625" style="50" customWidth="1"/>
    <col min="8" max="16384" width="9.140625" style="6"/>
  </cols>
  <sheetData>
    <row r="1" spans="1:7" ht="18.75" x14ac:dyDescent="0.2">
      <c r="A1" s="3"/>
      <c r="B1" s="97" t="s">
        <v>307</v>
      </c>
      <c r="C1" s="98"/>
      <c r="D1" s="98"/>
      <c r="E1" s="98"/>
      <c r="F1" s="98"/>
      <c r="G1" s="99"/>
    </row>
    <row r="2" spans="1:7" ht="15.95" customHeight="1" thickBot="1" x14ac:dyDescent="0.25">
      <c r="A2" s="3"/>
      <c r="B2" s="100" t="s">
        <v>352</v>
      </c>
      <c r="C2" s="101"/>
      <c r="D2" s="101"/>
      <c r="E2" s="101"/>
      <c r="F2" s="101"/>
      <c r="G2" s="102"/>
    </row>
    <row r="3" spans="1:7" ht="12.95" customHeight="1" x14ac:dyDescent="0.2">
      <c r="A3" s="3"/>
      <c r="B3" s="7" t="s">
        <v>1</v>
      </c>
      <c r="C3" s="3"/>
      <c r="D3" s="3"/>
      <c r="E3" s="3"/>
      <c r="F3" s="8"/>
      <c r="G3" s="9"/>
    </row>
    <row r="4" spans="1:7" ht="12.95" customHeight="1" thickBot="1" x14ac:dyDescent="0.25">
      <c r="A4" s="10"/>
      <c r="B4" s="11" t="s">
        <v>2</v>
      </c>
      <c r="C4" s="3"/>
      <c r="D4" s="3"/>
      <c r="E4" s="3"/>
      <c r="F4" s="8"/>
      <c r="G4" s="9"/>
    </row>
    <row r="5" spans="1:7" ht="27.95" customHeight="1" thickBot="1" x14ac:dyDescent="0.25">
      <c r="A5" s="3"/>
      <c r="B5" s="12" t="s">
        <v>3</v>
      </c>
      <c r="C5" s="13" t="s">
        <v>4</v>
      </c>
      <c r="D5" s="14" t="s">
        <v>339</v>
      </c>
      <c r="E5" s="14" t="s">
        <v>6</v>
      </c>
      <c r="F5" s="15" t="s">
        <v>7</v>
      </c>
      <c r="G5" s="16" t="s">
        <v>8</v>
      </c>
    </row>
    <row r="6" spans="1:7" ht="12.95" customHeight="1" x14ac:dyDescent="0.2">
      <c r="A6" s="3"/>
      <c r="B6" s="58" t="s">
        <v>36</v>
      </c>
      <c r="C6" s="59" t="s">
        <v>1</v>
      </c>
      <c r="D6" s="59" t="s">
        <v>1</v>
      </c>
      <c r="E6" s="59" t="s">
        <v>1</v>
      </c>
      <c r="F6" s="60" t="s">
        <v>1</v>
      </c>
      <c r="G6" s="61" t="s">
        <v>1</v>
      </c>
    </row>
    <row r="7" spans="1:7" ht="12.95" customHeight="1" x14ac:dyDescent="0.2">
      <c r="A7" s="3"/>
      <c r="B7" s="31" t="s">
        <v>37</v>
      </c>
      <c r="C7" s="32" t="s">
        <v>1</v>
      </c>
      <c r="D7" s="32" t="s">
        <v>1</v>
      </c>
      <c r="E7" s="32" t="s">
        <v>1</v>
      </c>
      <c r="F7" s="33" t="s">
        <v>1</v>
      </c>
      <c r="G7" s="34" t="s">
        <v>1</v>
      </c>
    </row>
    <row r="8" spans="1:7" ht="12.95" customHeight="1" x14ac:dyDescent="0.2">
      <c r="A8" s="26"/>
      <c r="B8" s="35" t="s">
        <v>308</v>
      </c>
      <c r="C8" s="32" t="s">
        <v>309</v>
      </c>
      <c r="D8" s="32" t="s">
        <v>40</v>
      </c>
      <c r="E8" s="36">
        <v>77953</v>
      </c>
      <c r="F8" s="37">
        <v>2717.1687444999998</v>
      </c>
      <c r="G8" s="38">
        <v>7.909565538344962E-2</v>
      </c>
    </row>
    <row r="9" spans="1:7" ht="12.95" customHeight="1" x14ac:dyDescent="0.2">
      <c r="A9" s="26"/>
      <c r="B9" s="35" t="s">
        <v>44</v>
      </c>
      <c r="C9" s="32" t="s">
        <v>45</v>
      </c>
      <c r="D9" s="32" t="s">
        <v>46</v>
      </c>
      <c r="E9" s="36">
        <v>219300</v>
      </c>
      <c r="F9" s="37">
        <v>2409.5587500000001</v>
      </c>
      <c r="G9" s="38">
        <v>7.0141256004785324E-2</v>
      </c>
    </row>
    <row r="10" spans="1:7" ht="12.95" customHeight="1" x14ac:dyDescent="0.2">
      <c r="A10" s="26"/>
      <c r="B10" s="35" t="s">
        <v>173</v>
      </c>
      <c r="C10" s="32" t="s">
        <v>174</v>
      </c>
      <c r="D10" s="32" t="s">
        <v>77</v>
      </c>
      <c r="E10" s="36">
        <v>536000</v>
      </c>
      <c r="F10" s="37">
        <v>1725.116</v>
      </c>
      <c r="G10" s="38">
        <v>5.0217411380382923E-2</v>
      </c>
    </row>
    <row r="11" spans="1:7" ht="12.95" customHeight="1" x14ac:dyDescent="0.2">
      <c r="A11" s="26"/>
      <c r="B11" s="35" t="s">
        <v>310</v>
      </c>
      <c r="C11" s="32" t="s">
        <v>311</v>
      </c>
      <c r="D11" s="32" t="s">
        <v>46</v>
      </c>
      <c r="E11" s="36">
        <v>236000</v>
      </c>
      <c r="F11" s="37">
        <v>1571.4059999999999</v>
      </c>
      <c r="G11" s="38">
        <v>4.5742977021604347E-2</v>
      </c>
    </row>
    <row r="12" spans="1:7" ht="12.95" customHeight="1" x14ac:dyDescent="0.2">
      <c r="A12" s="26"/>
      <c r="B12" s="35" t="s">
        <v>234</v>
      </c>
      <c r="C12" s="32" t="s">
        <v>235</v>
      </c>
      <c r="D12" s="32" t="s">
        <v>64</v>
      </c>
      <c r="E12" s="36">
        <v>158900</v>
      </c>
      <c r="F12" s="37">
        <v>1422.4728</v>
      </c>
      <c r="G12" s="38">
        <v>4.1407593329958775E-2</v>
      </c>
    </row>
    <row r="13" spans="1:7" ht="12.95" customHeight="1" x14ac:dyDescent="0.2">
      <c r="A13" s="26"/>
      <c r="B13" s="35" t="s">
        <v>183</v>
      </c>
      <c r="C13" s="32" t="s">
        <v>184</v>
      </c>
      <c r="D13" s="32" t="s">
        <v>59</v>
      </c>
      <c r="E13" s="36">
        <v>176275</v>
      </c>
      <c r="F13" s="37">
        <v>1400.7692875</v>
      </c>
      <c r="G13" s="38">
        <v>4.0775813081203455E-2</v>
      </c>
    </row>
    <row r="14" spans="1:7" ht="12.95" customHeight="1" x14ac:dyDescent="0.2">
      <c r="A14" s="26"/>
      <c r="B14" s="35" t="s">
        <v>312</v>
      </c>
      <c r="C14" s="32" t="s">
        <v>313</v>
      </c>
      <c r="D14" s="32" t="s">
        <v>40</v>
      </c>
      <c r="E14" s="36">
        <v>60200</v>
      </c>
      <c r="F14" s="37">
        <v>1307.5741</v>
      </c>
      <c r="G14" s="38">
        <v>3.8062939819718762E-2</v>
      </c>
    </row>
    <row r="15" spans="1:7" ht="12.95" customHeight="1" x14ac:dyDescent="0.2">
      <c r="A15" s="26"/>
      <c r="B15" s="35" t="s">
        <v>175</v>
      </c>
      <c r="C15" s="32" t="s">
        <v>176</v>
      </c>
      <c r="D15" s="32" t="s">
        <v>177</v>
      </c>
      <c r="E15" s="36">
        <v>362291</v>
      </c>
      <c r="F15" s="37">
        <v>1196.4660275000001</v>
      </c>
      <c r="G15" s="38">
        <v>3.4828629904087638E-2</v>
      </c>
    </row>
    <row r="16" spans="1:7" ht="12.95" customHeight="1" x14ac:dyDescent="0.2">
      <c r="A16" s="26"/>
      <c r="B16" s="35" t="s">
        <v>41</v>
      </c>
      <c r="C16" s="32" t="s">
        <v>42</v>
      </c>
      <c r="D16" s="32" t="s">
        <v>43</v>
      </c>
      <c r="E16" s="36">
        <v>73606</v>
      </c>
      <c r="F16" s="37">
        <v>898.98688100000004</v>
      </c>
      <c r="G16" s="38">
        <v>2.6169135309593295E-2</v>
      </c>
    </row>
    <row r="17" spans="1:7" ht="12.95" customHeight="1" x14ac:dyDescent="0.2">
      <c r="A17" s="26"/>
      <c r="B17" s="35" t="s">
        <v>314</v>
      </c>
      <c r="C17" s="32" t="s">
        <v>315</v>
      </c>
      <c r="D17" s="32" t="s">
        <v>316</v>
      </c>
      <c r="E17" s="36">
        <v>83250</v>
      </c>
      <c r="F17" s="37">
        <v>890.98312499999997</v>
      </c>
      <c r="G17" s="38">
        <v>2.5936149291470336E-2</v>
      </c>
    </row>
    <row r="18" spans="1:7" ht="12.95" customHeight="1" x14ac:dyDescent="0.2">
      <c r="A18" s="26"/>
      <c r="B18" s="35" t="s">
        <v>49</v>
      </c>
      <c r="C18" s="32" t="s">
        <v>50</v>
      </c>
      <c r="D18" s="32" t="s">
        <v>51</v>
      </c>
      <c r="E18" s="36">
        <v>253429</v>
      </c>
      <c r="F18" s="37">
        <v>851.52143999999998</v>
      </c>
      <c r="G18" s="38">
        <v>2.4787436005286632E-2</v>
      </c>
    </row>
    <row r="19" spans="1:7" ht="12.95" customHeight="1" x14ac:dyDescent="0.2">
      <c r="A19" s="26"/>
      <c r="B19" s="35" t="s">
        <v>188</v>
      </c>
      <c r="C19" s="32" t="s">
        <v>189</v>
      </c>
      <c r="D19" s="32" t="s">
        <v>109</v>
      </c>
      <c r="E19" s="36">
        <v>45600</v>
      </c>
      <c r="F19" s="37">
        <v>804.33839999999998</v>
      </c>
      <c r="G19" s="38">
        <v>2.3413957276982526E-2</v>
      </c>
    </row>
    <row r="20" spans="1:7" ht="12.95" customHeight="1" x14ac:dyDescent="0.2">
      <c r="A20" s="26"/>
      <c r="B20" s="35" t="s">
        <v>67</v>
      </c>
      <c r="C20" s="32" t="s">
        <v>68</v>
      </c>
      <c r="D20" s="32" t="s">
        <v>69</v>
      </c>
      <c r="E20" s="36">
        <v>267730</v>
      </c>
      <c r="F20" s="37">
        <v>740.54118000000005</v>
      </c>
      <c r="G20" s="38">
        <v>2.1556846658528583E-2</v>
      </c>
    </row>
    <row r="21" spans="1:7" ht="12.95" customHeight="1" x14ac:dyDescent="0.2">
      <c r="A21" s="26"/>
      <c r="B21" s="35" t="s">
        <v>344</v>
      </c>
      <c r="C21" s="32" t="s">
        <v>179</v>
      </c>
      <c r="D21" s="32" t="s">
        <v>109</v>
      </c>
      <c r="E21" s="36">
        <v>366550</v>
      </c>
      <c r="F21" s="37">
        <v>705.79202499999997</v>
      </c>
      <c r="G21" s="38">
        <v>2.0545313166429682E-2</v>
      </c>
    </row>
    <row r="22" spans="1:7" ht="12.95" customHeight="1" x14ac:dyDescent="0.2">
      <c r="A22" s="26"/>
      <c r="B22" s="35" t="s">
        <v>38</v>
      </c>
      <c r="C22" s="32" t="s">
        <v>39</v>
      </c>
      <c r="D22" s="32" t="s">
        <v>40</v>
      </c>
      <c r="E22" s="36">
        <v>38400</v>
      </c>
      <c r="F22" s="37">
        <v>705.73440000000005</v>
      </c>
      <c r="G22" s="38">
        <v>2.0543635726575901E-2</v>
      </c>
    </row>
    <row r="23" spans="1:7" ht="12.95" customHeight="1" x14ac:dyDescent="0.2">
      <c r="A23" s="26"/>
      <c r="B23" s="35" t="s">
        <v>60</v>
      </c>
      <c r="C23" s="32" t="s">
        <v>61</v>
      </c>
      <c r="D23" s="32" t="s">
        <v>51</v>
      </c>
      <c r="E23" s="36">
        <v>363865</v>
      </c>
      <c r="F23" s="37">
        <v>664.05362500000001</v>
      </c>
      <c r="G23" s="38">
        <v>1.933032565071539E-2</v>
      </c>
    </row>
    <row r="24" spans="1:7" ht="12.95" customHeight="1" x14ac:dyDescent="0.2">
      <c r="A24" s="26"/>
      <c r="B24" s="35" t="s">
        <v>47</v>
      </c>
      <c r="C24" s="32" t="s">
        <v>48</v>
      </c>
      <c r="D24" s="32" t="s">
        <v>46</v>
      </c>
      <c r="E24" s="36">
        <v>780800</v>
      </c>
      <c r="F24" s="37">
        <v>656.26239999999996</v>
      </c>
      <c r="G24" s="38">
        <v>1.9103526321869027E-2</v>
      </c>
    </row>
    <row r="25" spans="1:7" ht="12.95" customHeight="1" x14ac:dyDescent="0.2">
      <c r="A25" s="26"/>
      <c r="B25" s="35" t="s">
        <v>54</v>
      </c>
      <c r="C25" s="32" t="s">
        <v>55</v>
      </c>
      <c r="D25" s="32" t="s">
        <v>56</v>
      </c>
      <c r="E25" s="36">
        <v>458789</v>
      </c>
      <c r="F25" s="37">
        <v>642.99278349999997</v>
      </c>
      <c r="G25" s="38">
        <v>1.8717253288264089E-2</v>
      </c>
    </row>
    <row r="26" spans="1:7" ht="12.95" customHeight="1" x14ac:dyDescent="0.2">
      <c r="A26" s="26"/>
      <c r="B26" s="35" t="s">
        <v>70</v>
      </c>
      <c r="C26" s="32" t="s">
        <v>71</v>
      </c>
      <c r="D26" s="32" t="s">
        <v>43</v>
      </c>
      <c r="E26" s="36">
        <v>77555</v>
      </c>
      <c r="F26" s="37">
        <v>628.273055</v>
      </c>
      <c r="G26" s="38">
        <v>1.828876809567875E-2</v>
      </c>
    </row>
    <row r="27" spans="1:7" ht="12.95" customHeight="1" x14ac:dyDescent="0.2">
      <c r="A27" s="26"/>
      <c r="B27" s="35" t="s">
        <v>110</v>
      </c>
      <c r="C27" s="32" t="s">
        <v>111</v>
      </c>
      <c r="D27" s="32" t="s">
        <v>43</v>
      </c>
      <c r="E27" s="36">
        <v>64220</v>
      </c>
      <c r="F27" s="37">
        <v>583.21393</v>
      </c>
      <c r="G27" s="38">
        <v>1.6977115652269094E-2</v>
      </c>
    </row>
    <row r="28" spans="1:7" ht="12.95" customHeight="1" x14ac:dyDescent="0.2">
      <c r="A28" s="26"/>
      <c r="B28" s="35" t="s">
        <v>62</v>
      </c>
      <c r="C28" s="32" t="s">
        <v>63</v>
      </c>
      <c r="D28" s="32" t="s">
        <v>64</v>
      </c>
      <c r="E28" s="36">
        <v>239500</v>
      </c>
      <c r="F28" s="37">
        <v>568.33349999999996</v>
      </c>
      <c r="G28" s="38">
        <v>1.6543952505659248E-2</v>
      </c>
    </row>
    <row r="29" spans="1:7" ht="12.95" customHeight="1" x14ac:dyDescent="0.2">
      <c r="A29" s="26"/>
      <c r="B29" s="35" t="s">
        <v>256</v>
      </c>
      <c r="C29" s="32" t="s">
        <v>257</v>
      </c>
      <c r="D29" s="32" t="s">
        <v>258</v>
      </c>
      <c r="E29" s="36">
        <v>124400</v>
      </c>
      <c r="F29" s="37">
        <v>527.70479999999998</v>
      </c>
      <c r="G29" s="38">
        <v>1.5361267896769082E-2</v>
      </c>
    </row>
    <row r="30" spans="1:7" ht="12.95" customHeight="1" x14ac:dyDescent="0.2">
      <c r="A30" s="26"/>
      <c r="B30" s="35" t="s">
        <v>65</v>
      </c>
      <c r="C30" s="32" t="s">
        <v>66</v>
      </c>
      <c r="D30" s="32" t="s">
        <v>43</v>
      </c>
      <c r="E30" s="36">
        <v>130000</v>
      </c>
      <c r="F30" s="37">
        <v>510.64</v>
      </c>
      <c r="G30" s="38">
        <v>1.4864518645284569E-2</v>
      </c>
    </row>
    <row r="31" spans="1:7" ht="12.95" customHeight="1" x14ac:dyDescent="0.2">
      <c r="A31" s="26"/>
      <c r="B31" s="35" t="s">
        <v>130</v>
      </c>
      <c r="C31" s="32" t="s">
        <v>131</v>
      </c>
      <c r="D31" s="32" t="s">
        <v>46</v>
      </c>
      <c r="E31" s="36">
        <v>78700</v>
      </c>
      <c r="F31" s="37">
        <v>508.04784999999998</v>
      </c>
      <c r="G31" s="38">
        <v>1.4789062233710125E-2</v>
      </c>
    </row>
    <row r="32" spans="1:7" ht="12.95" customHeight="1" x14ac:dyDescent="0.2">
      <c r="A32" s="26"/>
      <c r="B32" s="35" t="s">
        <v>317</v>
      </c>
      <c r="C32" s="32" t="s">
        <v>318</v>
      </c>
      <c r="D32" s="32" t="s">
        <v>46</v>
      </c>
      <c r="E32" s="36">
        <v>28100</v>
      </c>
      <c r="F32" s="37">
        <v>496.38650000000001</v>
      </c>
      <c r="G32" s="38">
        <v>1.4449605170996296E-2</v>
      </c>
    </row>
    <row r="33" spans="1:7" ht="12.95" customHeight="1" x14ac:dyDescent="0.2">
      <c r="A33" s="26"/>
      <c r="B33" s="35" t="s">
        <v>239</v>
      </c>
      <c r="C33" s="32" t="s">
        <v>240</v>
      </c>
      <c r="D33" s="32" t="s">
        <v>106</v>
      </c>
      <c r="E33" s="36">
        <v>169096</v>
      </c>
      <c r="F33" s="37">
        <v>488.51834400000001</v>
      </c>
      <c r="G33" s="38">
        <v>1.422056641264206E-2</v>
      </c>
    </row>
    <row r="34" spans="1:7" ht="12.95" customHeight="1" x14ac:dyDescent="0.2">
      <c r="A34" s="26"/>
      <c r="B34" s="35" t="s">
        <v>319</v>
      </c>
      <c r="C34" s="32" t="s">
        <v>320</v>
      </c>
      <c r="D34" s="32" t="s">
        <v>43</v>
      </c>
      <c r="E34" s="36">
        <v>80200</v>
      </c>
      <c r="F34" s="37">
        <v>455.0949</v>
      </c>
      <c r="G34" s="38">
        <v>1.3247623818000777E-2</v>
      </c>
    </row>
    <row r="35" spans="1:7" ht="12.95" customHeight="1" x14ac:dyDescent="0.2">
      <c r="A35" s="26"/>
      <c r="B35" s="35" t="s">
        <v>102</v>
      </c>
      <c r="C35" s="32" t="s">
        <v>103</v>
      </c>
      <c r="D35" s="32" t="s">
        <v>51</v>
      </c>
      <c r="E35" s="36">
        <v>339500</v>
      </c>
      <c r="F35" s="37">
        <v>417.92450000000002</v>
      </c>
      <c r="G35" s="38">
        <v>1.21656088880057E-2</v>
      </c>
    </row>
    <row r="36" spans="1:7" ht="12.95" customHeight="1" x14ac:dyDescent="0.2">
      <c r="A36" s="26"/>
      <c r="B36" s="35" t="s">
        <v>204</v>
      </c>
      <c r="C36" s="32" t="s">
        <v>205</v>
      </c>
      <c r="D36" s="32" t="s">
        <v>77</v>
      </c>
      <c r="E36" s="36">
        <v>15400</v>
      </c>
      <c r="F36" s="37">
        <v>401.7167</v>
      </c>
      <c r="G36" s="38">
        <v>1.1693806551136197E-2</v>
      </c>
    </row>
    <row r="37" spans="1:7" ht="12.95" customHeight="1" x14ac:dyDescent="0.2">
      <c r="A37" s="26"/>
      <c r="B37" s="35" t="s">
        <v>57</v>
      </c>
      <c r="C37" s="32" t="s">
        <v>58</v>
      </c>
      <c r="D37" s="32" t="s">
        <v>59</v>
      </c>
      <c r="E37" s="36">
        <v>64289</v>
      </c>
      <c r="F37" s="37">
        <v>400.070447</v>
      </c>
      <c r="G37" s="38">
        <v>1.1645884808982517E-2</v>
      </c>
    </row>
    <row r="38" spans="1:7" ht="12.95" customHeight="1" x14ac:dyDescent="0.2">
      <c r="A38" s="26"/>
      <c r="B38" s="35" t="s">
        <v>91</v>
      </c>
      <c r="C38" s="32" t="s">
        <v>92</v>
      </c>
      <c r="D38" s="32" t="s">
        <v>93</v>
      </c>
      <c r="E38" s="36">
        <v>84850</v>
      </c>
      <c r="F38" s="37">
        <v>395.27372500000001</v>
      </c>
      <c r="G38" s="38">
        <v>1.1506254220690869E-2</v>
      </c>
    </row>
    <row r="39" spans="1:7" ht="12.95" customHeight="1" x14ac:dyDescent="0.2">
      <c r="A39" s="26"/>
      <c r="B39" s="35" t="s">
        <v>283</v>
      </c>
      <c r="C39" s="32" t="s">
        <v>284</v>
      </c>
      <c r="D39" s="32" t="s">
        <v>106</v>
      </c>
      <c r="E39" s="36">
        <v>121000</v>
      </c>
      <c r="F39" s="37">
        <v>391.73750000000001</v>
      </c>
      <c r="G39" s="38">
        <v>1.1403316177360104E-2</v>
      </c>
    </row>
    <row r="40" spans="1:7" ht="12.95" customHeight="1" x14ac:dyDescent="0.2">
      <c r="A40" s="26"/>
      <c r="B40" s="35" t="s">
        <v>85</v>
      </c>
      <c r="C40" s="32" t="s">
        <v>86</v>
      </c>
      <c r="D40" s="32" t="s">
        <v>87</v>
      </c>
      <c r="E40" s="36">
        <v>701959</v>
      </c>
      <c r="F40" s="37">
        <v>387.83234750000003</v>
      </c>
      <c r="G40" s="38">
        <v>1.1289638807493016E-2</v>
      </c>
    </row>
    <row r="41" spans="1:7" ht="12.95" customHeight="1" x14ac:dyDescent="0.2">
      <c r="A41" s="26"/>
      <c r="B41" s="35" t="s">
        <v>119</v>
      </c>
      <c r="C41" s="32" t="s">
        <v>120</v>
      </c>
      <c r="D41" s="32" t="s">
        <v>77</v>
      </c>
      <c r="E41" s="36">
        <v>28280</v>
      </c>
      <c r="F41" s="37">
        <v>382.72737999999998</v>
      </c>
      <c r="G41" s="38">
        <v>1.1141035320521134E-2</v>
      </c>
    </row>
    <row r="42" spans="1:7" ht="12.95" customHeight="1" x14ac:dyDescent="0.2">
      <c r="A42" s="26"/>
      <c r="B42" s="35" t="s">
        <v>82</v>
      </c>
      <c r="C42" s="32" t="s">
        <v>83</v>
      </c>
      <c r="D42" s="32" t="s">
        <v>84</v>
      </c>
      <c r="E42" s="36">
        <v>28253</v>
      </c>
      <c r="F42" s="37">
        <v>351.100031</v>
      </c>
      <c r="G42" s="38">
        <v>1.0220376306516314E-2</v>
      </c>
    </row>
    <row r="43" spans="1:7" ht="12.95" customHeight="1" x14ac:dyDescent="0.2">
      <c r="A43" s="26"/>
      <c r="B43" s="35" t="s">
        <v>72</v>
      </c>
      <c r="C43" s="32" t="s">
        <v>73</v>
      </c>
      <c r="D43" s="32" t="s">
        <v>74</v>
      </c>
      <c r="E43" s="36">
        <v>173699</v>
      </c>
      <c r="F43" s="37">
        <v>331.76508999999999</v>
      </c>
      <c r="G43" s="38">
        <v>9.6575441919150729E-3</v>
      </c>
    </row>
    <row r="44" spans="1:7" ht="12.95" customHeight="1" x14ac:dyDescent="0.2">
      <c r="A44" s="26"/>
      <c r="B44" s="35" t="s">
        <v>321</v>
      </c>
      <c r="C44" s="32" t="s">
        <v>322</v>
      </c>
      <c r="D44" s="32" t="s">
        <v>43</v>
      </c>
      <c r="E44" s="36">
        <v>82000</v>
      </c>
      <c r="F44" s="37">
        <v>328.65600000000001</v>
      </c>
      <c r="G44" s="38">
        <v>9.5670398713078603E-3</v>
      </c>
    </row>
    <row r="45" spans="1:7" ht="12.95" customHeight="1" x14ac:dyDescent="0.2">
      <c r="A45" s="26"/>
      <c r="B45" s="35" t="s">
        <v>132</v>
      </c>
      <c r="C45" s="32" t="s">
        <v>133</v>
      </c>
      <c r="D45" s="32" t="s">
        <v>134</v>
      </c>
      <c r="E45" s="36">
        <v>248500</v>
      </c>
      <c r="F45" s="37">
        <v>319.81950000000001</v>
      </c>
      <c r="G45" s="38">
        <v>9.3098130206712912E-3</v>
      </c>
    </row>
    <row r="46" spans="1:7" ht="12.95" customHeight="1" x14ac:dyDescent="0.2">
      <c r="A46" s="26"/>
      <c r="B46" s="35" t="s">
        <v>75</v>
      </c>
      <c r="C46" s="32" t="s">
        <v>76</v>
      </c>
      <c r="D46" s="32" t="s">
        <v>77</v>
      </c>
      <c r="E46" s="36">
        <v>11977</v>
      </c>
      <c r="F46" s="37">
        <v>311.88108</v>
      </c>
      <c r="G46" s="38">
        <v>9.0787289064144759E-3</v>
      </c>
    </row>
    <row r="47" spans="1:7" ht="12.95" customHeight="1" x14ac:dyDescent="0.2">
      <c r="A47" s="26"/>
      <c r="B47" s="35" t="s">
        <v>94</v>
      </c>
      <c r="C47" s="32" t="s">
        <v>95</v>
      </c>
      <c r="D47" s="32" t="s">
        <v>74</v>
      </c>
      <c r="E47" s="36">
        <v>111000</v>
      </c>
      <c r="F47" s="37">
        <v>305.13900000000001</v>
      </c>
      <c r="G47" s="38">
        <v>8.8824697534534858E-3</v>
      </c>
    </row>
    <row r="48" spans="1:7" ht="12.95" customHeight="1" x14ac:dyDescent="0.2">
      <c r="A48" s="26"/>
      <c r="B48" s="35" t="s">
        <v>121</v>
      </c>
      <c r="C48" s="32" t="s">
        <v>122</v>
      </c>
      <c r="D48" s="32" t="s">
        <v>40</v>
      </c>
      <c r="E48" s="36">
        <v>18539</v>
      </c>
      <c r="F48" s="37">
        <v>303.0292245</v>
      </c>
      <c r="G48" s="38">
        <v>8.8210550635406029E-3</v>
      </c>
    </row>
    <row r="49" spans="1:7" ht="12.95" customHeight="1" x14ac:dyDescent="0.2">
      <c r="A49" s="26"/>
      <c r="B49" s="35" t="s">
        <v>137</v>
      </c>
      <c r="C49" s="32" t="s">
        <v>138</v>
      </c>
      <c r="D49" s="32" t="s">
        <v>139</v>
      </c>
      <c r="E49" s="36">
        <v>151733</v>
      </c>
      <c r="F49" s="37">
        <v>293.14815599999997</v>
      </c>
      <c r="G49" s="38">
        <v>8.5334212570358555E-3</v>
      </c>
    </row>
    <row r="50" spans="1:7" ht="12.95" customHeight="1" x14ac:dyDescent="0.2">
      <c r="A50" s="26"/>
      <c r="B50" s="35" t="s">
        <v>123</v>
      </c>
      <c r="C50" s="32" t="s">
        <v>124</v>
      </c>
      <c r="D50" s="32" t="s">
        <v>56</v>
      </c>
      <c r="E50" s="36">
        <v>184000</v>
      </c>
      <c r="F50" s="37">
        <v>285.93599999999998</v>
      </c>
      <c r="G50" s="38">
        <v>8.3234783866483007E-3</v>
      </c>
    </row>
    <row r="51" spans="1:7" ht="12.95" customHeight="1" x14ac:dyDescent="0.2">
      <c r="A51" s="26"/>
      <c r="B51" s="35" t="s">
        <v>323</v>
      </c>
      <c r="C51" s="32" t="s">
        <v>324</v>
      </c>
      <c r="D51" s="32" t="s">
        <v>43</v>
      </c>
      <c r="E51" s="36">
        <v>9139</v>
      </c>
      <c r="F51" s="37">
        <v>231.63709399999999</v>
      </c>
      <c r="G51" s="38">
        <v>6.7428597499266298E-3</v>
      </c>
    </row>
    <row r="52" spans="1:7" ht="12.95" customHeight="1" x14ac:dyDescent="0.2">
      <c r="A52" s="26"/>
      <c r="B52" s="35" t="s">
        <v>140</v>
      </c>
      <c r="C52" s="32" t="s">
        <v>141</v>
      </c>
      <c r="D52" s="32" t="s">
        <v>46</v>
      </c>
      <c r="E52" s="36">
        <v>185578</v>
      </c>
      <c r="F52" s="37">
        <v>215.54884699999999</v>
      </c>
      <c r="G52" s="38">
        <v>6.2745375513102988E-3</v>
      </c>
    </row>
    <row r="53" spans="1:7" ht="12.95" customHeight="1" x14ac:dyDescent="0.2">
      <c r="A53" s="26"/>
      <c r="B53" s="35" t="s">
        <v>125</v>
      </c>
      <c r="C53" s="32" t="s">
        <v>126</v>
      </c>
      <c r="D53" s="32" t="s">
        <v>127</v>
      </c>
      <c r="E53" s="36">
        <v>124462</v>
      </c>
      <c r="F53" s="37">
        <v>183.456988</v>
      </c>
      <c r="G53" s="38">
        <v>5.3403568438307762E-3</v>
      </c>
    </row>
    <row r="54" spans="1:7" ht="12.95" customHeight="1" x14ac:dyDescent="0.2">
      <c r="A54" s="26"/>
      <c r="B54" s="35" t="s">
        <v>162</v>
      </c>
      <c r="C54" s="32" t="s">
        <v>163</v>
      </c>
      <c r="D54" s="32" t="s">
        <v>69</v>
      </c>
      <c r="E54" s="36">
        <v>224809</v>
      </c>
      <c r="F54" s="37">
        <v>175.35102000000001</v>
      </c>
      <c r="G54" s="38">
        <v>5.1043954767735931E-3</v>
      </c>
    </row>
    <row r="55" spans="1:7" ht="12.95" customHeight="1" x14ac:dyDescent="0.2">
      <c r="A55" s="26"/>
      <c r="B55" s="35" t="s">
        <v>166</v>
      </c>
      <c r="C55" s="32" t="s">
        <v>167</v>
      </c>
      <c r="D55" s="32" t="s">
        <v>139</v>
      </c>
      <c r="E55" s="36">
        <v>373307</v>
      </c>
      <c r="F55" s="37">
        <v>102.8460785</v>
      </c>
      <c r="G55" s="38">
        <v>2.9938066964155774E-3</v>
      </c>
    </row>
    <row r="56" spans="1:7" ht="12.95" customHeight="1" x14ac:dyDescent="0.2">
      <c r="A56" s="26"/>
      <c r="B56" s="35" t="s">
        <v>178</v>
      </c>
      <c r="C56" s="32" t="s">
        <v>325</v>
      </c>
      <c r="D56" s="32" t="s">
        <v>109</v>
      </c>
      <c r="E56" s="36">
        <v>26000</v>
      </c>
      <c r="F56" s="37">
        <v>97.864000000000004</v>
      </c>
      <c r="G56" s="38">
        <v>2.8487804572734786E-3</v>
      </c>
    </row>
    <row r="57" spans="1:7" ht="12.95" customHeight="1" x14ac:dyDescent="0.2">
      <c r="A57" s="26"/>
      <c r="B57" s="35" t="s">
        <v>168</v>
      </c>
      <c r="C57" s="32" t="s">
        <v>169</v>
      </c>
      <c r="D57" s="32" t="s">
        <v>118</v>
      </c>
      <c r="E57" s="36">
        <v>6700</v>
      </c>
      <c r="F57" s="37">
        <v>15.3765</v>
      </c>
      <c r="G57" s="38">
        <v>4.476035385970903E-4</v>
      </c>
    </row>
    <row r="58" spans="1:7" ht="12.95" customHeight="1" x14ac:dyDescent="0.2">
      <c r="A58" s="3"/>
      <c r="B58" s="31" t="s">
        <v>25</v>
      </c>
      <c r="C58" s="32" t="s">
        <v>1</v>
      </c>
      <c r="D58" s="32" t="s">
        <v>1</v>
      </c>
      <c r="E58" s="32" t="s">
        <v>1</v>
      </c>
      <c r="F58" s="39">
        <v>32707.788056500001</v>
      </c>
      <c r="G58" s="40">
        <v>0.95211014689773654</v>
      </c>
    </row>
    <row r="59" spans="1:7" ht="12.95" customHeight="1" x14ac:dyDescent="0.2">
      <c r="A59" s="3"/>
      <c r="B59" s="31"/>
      <c r="C59" s="32"/>
      <c r="D59" s="32"/>
      <c r="E59" s="32"/>
      <c r="F59" s="39"/>
      <c r="G59" s="40"/>
    </row>
    <row r="60" spans="1:7" ht="12.95" customHeight="1" x14ac:dyDescent="0.2">
      <c r="A60" s="3"/>
      <c r="B60" s="31" t="s">
        <v>170</v>
      </c>
      <c r="C60" s="32" t="s">
        <v>1</v>
      </c>
      <c r="D60" s="32" t="s">
        <v>1</v>
      </c>
      <c r="E60" s="39" t="s">
        <v>171</v>
      </c>
      <c r="F60" s="39" t="s">
        <v>171</v>
      </c>
      <c r="G60" s="40" t="s">
        <v>171</v>
      </c>
    </row>
    <row r="61" spans="1:7" ht="12.95" customHeight="1" x14ac:dyDescent="0.2">
      <c r="A61" s="3"/>
      <c r="B61" s="31" t="s">
        <v>25</v>
      </c>
      <c r="C61" s="32" t="s">
        <v>1</v>
      </c>
      <c r="D61" s="32" t="s">
        <v>1</v>
      </c>
      <c r="E61" s="39" t="s">
        <v>171</v>
      </c>
      <c r="F61" s="39" t="s">
        <v>171</v>
      </c>
      <c r="G61" s="40" t="s">
        <v>171</v>
      </c>
    </row>
    <row r="62" spans="1:7" ht="12.95" customHeight="1" x14ac:dyDescent="0.2">
      <c r="A62" s="3"/>
      <c r="B62" s="31" t="s">
        <v>26</v>
      </c>
      <c r="C62" s="32" t="s">
        <v>1</v>
      </c>
      <c r="D62" s="32" t="s">
        <v>1</v>
      </c>
      <c r="E62" s="32" t="s">
        <v>1</v>
      </c>
      <c r="F62" s="39">
        <v>32707.788056500001</v>
      </c>
      <c r="G62" s="40">
        <v>0.95211014689773654</v>
      </c>
    </row>
    <row r="63" spans="1:7" ht="12.95" customHeight="1" x14ac:dyDescent="0.2">
      <c r="A63" s="3"/>
      <c r="B63" s="31"/>
      <c r="C63" s="32"/>
      <c r="D63" s="32"/>
      <c r="E63" s="32"/>
      <c r="F63" s="39"/>
      <c r="G63" s="40"/>
    </row>
    <row r="64" spans="1:7" ht="12.95" customHeight="1" x14ac:dyDescent="0.2">
      <c r="A64" s="3"/>
      <c r="B64" s="52" t="s">
        <v>333</v>
      </c>
      <c r="C64" s="53"/>
      <c r="D64" s="32"/>
      <c r="E64" s="32"/>
      <c r="F64" s="39"/>
      <c r="G64" s="40"/>
    </row>
    <row r="65" spans="1:7" ht="12.95" customHeight="1" x14ac:dyDescent="0.2">
      <c r="A65" s="26"/>
      <c r="B65" s="21" t="s">
        <v>337</v>
      </c>
      <c r="C65" s="53"/>
      <c r="D65" s="32"/>
      <c r="E65" s="39" t="s">
        <v>171</v>
      </c>
      <c r="F65" s="39" t="s">
        <v>171</v>
      </c>
      <c r="G65" s="39" t="s">
        <v>171</v>
      </c>
    </row>
    <row r="66" spans="1:7" ht="12.95" customHeight="1" x14ac:dyDescent="0.2">
      <c r="A66" s="3"/>
      <c r="B66" s="21" t="s">
        <v>335</v>
      </c>
      <c r="C66" s="53"/>
      <c r="D66" s="32"/>
      <c r="E66" s="39" t="s">
        <v>171</v>
      </c>
      <c r="F66" s="39" t="s">
        <v>171</v>
      </c>
      <c r="G66" s="39" t="s">
        <v>171</v>
      </c>
    </row>
    <row r="67" spans="1:7" ht="12.95" customHeight="1" x14ac:dyDescent="0.2">
      <c r="A67" s="3"/>
      <c r="B67" s="21" t="s">
        <v>336</v>
      </c>
      <c r="C67" s="53"/>
      <c r="D67" s="32"/>
      <c r="E67" s="39" t="s">
        <v>171</v>
      </c>
      <c r="F67" s="39" t="s">
        <v>171</v>
      </c>
      <c r="G67" s="39" t="s">
        <v>171</v>
      </c>
    </row>
    <row r="68" spans="1:7" ht="12.95" customHeight="1" x14ac:dyDescent="0.2">
      <c r="A68" s="3"/>
      <c r="B68" s="21"/>
      <c r="C68" s="53"/>
      <c r="D68" s="32"/>
      <c r="E68" s="27"/>
      <c r="F68" s="84"/>
      <c r="G68" s="40"/>
    </row>
    <row r="69" spans="1:7" ht="12.95" customHeight="1" x14ac:dyDescent="0.2">
      <c r="A69" s="3"/>
      <c r="B69" s="31" t="s">
        <v>9</v>
      </c>
      <c r="C69" s="53"/>
      <c r="D69" s="32"/>
      <c r="E69" s="27"/>
      <c r="F69" s="84"/>
      <c r="G69" s="40"/>
    </row>
    <row r="70" spans="1:7" ht="12.95" customHeight="1" x14ac:dyDescent="0.2">
      <c r="A70" s="3"/>
      <c r="B70" s="31" t="s">
        <v>27</v>
      </c>
      <c r="C70" s="32" t="s">
        <v>1</v>
      </c>
      <c r="D70" s="32" t="s">
        <v>1</v>
      </c>
      <c r="E70" s="32" t="s">
        <v>1</v>
      </c>
      <c r="F70" s="33" t="s">
        <v>1</v>
      </c>
      <c r="G70" s="34" t="s">
        <v>1</v>
      </c>
    </row>
    <row r="71" spans="1:7" ht="12.95" customHeight="1" x14ac:dyDescent="0.2">
      <c r="A71" s="26"/>
      <c r="B71" s="35" t="s">
        <v>28</v>
      </c>
      <c r="C71" s="32" t="s">
        <v>1</v>
      </c>
      <c r="D71" s="32" t="s">
        <v>29</v>
      </c>
      <c r="E71" s="36"/>
      <c r="F71" s="37">
        <v>1709.6909000000001</v>
      </c>
      <c r="G71" s="38">
        <v>4.9768393115939516E-2</v>
      </c>
    </row>
    <row r="72" spans="1:7" ht="12.95" customHeight="1" x14ac:dyDescent="0.2">
      <c r="A72" s="3"/>
      <c r="B72" s="31" t="s">
        <v>25</v>
      </c>
      <c r="C72" s="32" t="s">
        <v>1</v>
      </c>
      <c r="D72" s="32" t="s">
        <v>1</v>
      </c>
      <c r="E72" s="32" t="s">
        <v>1</v>
      </c>
      <c r="F72" s="39">
        <v>1709.6909000000001</v>
      </c>
      <c r="G72" s="40">
        <v>4.9768393115939516E-2</v>
      </c>
    </row>
    <row r="73" spans="1:7" ht="12.95" customHeight="1" x14ac:dyDescent="0.2">
      <c r="A73" s="3"/>
      <c r="B73" s="31" t="s">
        <v>26</v>
      </c>
      <c r="C73" s="32" t="s">
        <v>1</v>
      </c>
      <c r="D73" s="32" t="s">
        <v>1</v>
      </c>
      <c r="E73" s="32" t="s">
        <v>1</v>
      </c>
      <c r="F73" s="39">
        <v>1709.6909000000001</v>
      </c>
      <c r="G73" s="40">
        <v>4.9768393115939516E-2</v>
      </c>
    </row>
    <row r="74" spans="1:7" ht="12.95" customHeight="1" x14ac:dyDescent="0.2">
      <c r="A74" s="3"/>
      <c r="B74" s="31"/>
      <c r="C74" s="32"/>
      <c r="D74" s="32"/>
      <c r="E74" s="32"/>
      <c r="F74" s="39"/>
      <c r="G74" s="40"/>
    </row>
    <row r="75" spans="1:7" ht="12.95" customHeight="1" x14ac:dyDescent="0.2">
      <c r="A75" s="3"/>
      <c r="B75" s="31" t="s">
        <v>229</v>
      </c>
      <c r="C75" s="32"/>
      <c r="D75" s="32"/>
      <c r="E75" s="32"/>
      <c r="F75" s="39"/>
      <c r="G75" s="40"/>
    </row>
    <row r="76" spans="1:7" ht="12.95" customHeight="1" thickBot="1" x14ac:dyDescent="0.25">
      <c r="A76" s="3"/>
      <c r="B76" s="41" t="s">
        <v>30</v>
      </c>
      <c r="C76" s="42" t="s">
        <v>1</v>
      </c>
      <c r="D76" s="42" t="s">
        <v>1</v>
      </c>
      <c r="E76" s="42" t="s">
        <v>1</v>
      </c>
      <c r="F76" s="43">
        <v>-64.533382847699997</v>
      </c>
      <c r="G76" s="44">
        <v>-1.87854001367607E-3</v>
      </c>
    </row>
    <row r="77" spans="1:7" ht="12.95" customHeight="1" thickTop="1" thickBot="1" x14ac:dyDescent="0.25">
      <c r="A77" s="3"/>
      <c r="B77" s="45" t="s">
        <v>31</v>
      </c>
      <c r="C77" s="46" t="s">
        <v>1</v>
      </c>
      <c r="D77" s="46" t="s">
        <v>1</v>
      </c>
      <c r="E77" s="46" t="s">
        <v>1</v>
      </c>
      <c r="F77" s="47">
        <v>34352.945573652301</v>
      </c>
      <c r="G77" s="48">
        <v>1</v>
      </c>
    </row>
    <row r="78" spans="1:7" ht="12.95" customHeight="1" x14ac:dyDescent="0.2">
      <c r="A78" s="3"/>
      <c r="B78" s="10" t="s">
        <v>1</v>
      </c>
      <c r="C78" s="3"/>
      <c r="D78" s="3"/>
      <c r="E78" s="3"/>
      <c r="F78" s="8"/>
      <c r="G78" s="9"/>
    </row>
    <row r="79" spans="1:7" ht="12.95" customHeight="1" x14ac:dyDescent="0.2">
      <c r="A79" s="3"/>
      <c r="B79" s="2"/>
      <c r="C79" s="3"/>
      <c r="D79" s="3"/>
      <c r="E79" s="3"/>
      <c r="F79" s="8"/>
      <c r="G79" s="9"/>
    </row>
    <row r="80" spans="1:7" ht="12.95" customHeight="1" x14ac:dyDescent="0.2">
      <c r="A80" s="3"/>
      <c r="B80" s="2" t="s">
        <v>338</v>
      </c>
      <c r="C80" s="3"/>
      <c r="D80" s="3"/>
      <c r="E80" s="3"/>
      <c r="F80" s="8"/>
      <c r="G80" s="9"/>
    </row>
    <row r="81" spans="1:7" ht="12.95" customHeight="1" thickBot="1" x14ac:dyDescent="0.25">
      <c r="A81" s="3"/>
      <c r="B81" s="2" t="s">
        <v>1</v>
      </c>
      <c r="C81" s="3"/>
      <c r="D81" s="3"/>
      <c r="E81" s="3"/>
      <c r="F81" s="8"/>
      <c r="G81" s="9"/>
    </row>
    <row r="82" spans="1:7" ht="13.5" thickBot="1" x14ac:dyDescent="0.25">
      <c r="B82" s="74" t="s">
        <v>350</v>
      </c>
      <c r="C82" s="75">
        <v>0.50380000000000003</v>
      </c>
    </row>
    <row r="83" spans="1:7" x14ac:dyDescent="0.2">
      <c r="B83" s="10" t="s">
        <v>351</v>
      </c>
      <c r="C83" s="10"/>
    </row>
  </sheetData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showGridLines="0" zoomScaleNormal="100" workbookViewId="0">
      <selection activeCell="B4" sqref="B4"/>
    </sheetView>
  </sheetViews>
  <sheetFormatPr defaultRowHeight="12.75" x14ac:dyDescent="0.2"/>
  <cols>
    <col min="1" max="1" width="11.42578125" style="6" bestFit="1" customWidth="1"/>
    <col min="2" max="2" width="52.140625" style="6" bestFit="1" customWidth="1"/>
    <col min="3" max="5" width="20.28515625" style="6" customWidth="1"/>
    <col min="6" max="6" width="20.28515625" style="49" customWidth="1"/>
    <col min="7" max="7" width="20.28515625" style="50" customWidth="1"/>
    <col min="8" max="8" width="20.28515625" style="6" customWidth="1"/>
    <col min="9" max="16384" width="9.140625" style="6"/>
  </cols>
  <sheetData>
    <row r="1" spans="1:7" ht="18" x14ac:dyDescent="0.2">
      <c r="A1" s="3"/>
      <c r="B1" s="103" t="s">
        <v>326</v>
      </c>
      <c r="C1" s="104"/>
      <c r="D1" s="104"/>
      <c r="E1" s="104"/>
      <c r="F1" s="104"/>
      <c r="G1" s="105"/>
    </row>
    <row r="2" spans="1:7" ht="15.95" customHeight="1" thickBot="1" x14ac:dyDescent="0.25">
      <c r="A2" s="3"/>
      <c r="B2" s="100" t="s">
        <v>354</v>
      </c>
      <c r="C2" s="101"/>
      <c r="D2" s="101"/>
      <c r="E2" s="101"/>
      <c r="F2" s="101"/>
      <c r="G2" s="102"/>
    </row>
    <row r="3" spans="1:7" ht="12.95" customHeight="1" x14ac:dyDescent="0.2">
      <c r="A3" s="3"/>
      <c r="B3" s="7" t="s">
        <v>1</v>
      </c>
      <c r="C3" s="3"/>
      <c r="D3" s="3"/>
      <c r="E3" s="3"/>
      <c r="F3" s="8"/>
      <c r="G3" s="9"/>
    </row>
    <row r="4" spans="1:7" ht="12.95" customHeight="1" thickBot="1" x14ac:dyDescent="0.25">
      <c r="A4" s="10"/>
      <c r="B4" s="11" t="s">
        <v>2</v>
      </c>
      <c r="C4" s="3"/>
      <c r="D4" s="3"/>
      <c r="E4" s="3"/>
      <c r="F4" s="8"/>
      <c r="G4" s="9"/>
    </row>
    <row r="5" spans="1:7" ht="27.95" customHeight="1" thickBot="1" x14ac:dyDescent="0.25">
      <c r="A5" s="3"/>
      <c r="B5" s="12" t="s">
        <v>3</v>
      </c>
      <c r="C5" s="13" t="s">
        <v>4</v>
      </c>
      <c r="D5" s="14" t="s">
        <v>5</v>
      </c>
      <c r="E5" s="14" t="s">
        <v>6</v>
      </c>
      <c r="F5" s="15" t="s">
        <v>7</v>
      </c>
      <c r="G5" s="16" t="s">
        <v>8</v>
      </c>
    </row>
    <row r="6" spans="1:7" ht="12.95" customHeight="1" x14ac:dyDescent="0.2">
      <c r="A6" s="3"/>
      <c r="B6" s="51" t="s">
        <v>331</v>
      </c>
      <c r="C6" s="17"/>
      <c r="D6" s="18"/>
      <c r="E6" s="18"/>
      <c r="F6" s="19"/>
      <c r="G6" s="85"/>
    </row>
    <row r="7" spans="1:7" ht="12.95" customHeight="1" x14ac:dyDescent="0.2">
      <c r="A7" s="3"/>
      <c r="B7" s="21" t="s">
        <v>332</v>
      </c>
      <c r="C7" s="54"/>
      <c r="D7" s="23"/>
      <c r="E7" s="24" t="s">
        <v>171</v>
      </c>
      <c r="F7" s="24" t="s">
        <v>171</v>
      </c>
      <c r="G7" s="25" t="s">
        <v>171</v>
      </c>
    </row>
    <row r="8" spans="1:7" ht="12.95" customHeight="1" x14ac:dyDescent="0.2">
      <c r="A8" s="26"/>
      <c r="B8" s="21" t="s">
        <v>170</v>
      </c>
      <c r="C8" s="54"/>
      <c r="D8" s="23"/>
      <c r="E8" s="24" t="s">
        <v>171</v>
      </c>
      <c r="F8" s="24" t="s">
        <v>171</v>
      </c>
      <c r="G8" s="25" t="s">
        <v>171</v>
      </c>
    </row>
    <row r="9" spans="1:7" ht="12.95" customHeight="1" x14ac:dyDescent="0.2">
      <c r="A9" s="26"/>
      <c r="B9" s="70"/>
      <c r="C9" s="22"/>
      <c r="D9" s="23"/>
      <c r="E9" s="23"/>
      <c r="F9" s="28"/>
      <c r="G9" s="30"/>
    </row>
    <row r="10" spans="1:7" ht="12.95" customHeight="1" x14ac:dyDescent="0.2">
      <c r="A10" s="26"/>
      <c r="B10" s="52" t="s">
        <v>333</v>
      </c>
      <c r="C10" s="83"/>
      <c r="D10" s="23"/>
      <c r="E10" s="23"/>
      <c r="F10" s="28"/>
      <c r="G10" s="30"/>
    </row>
    <row r="11" spans="1:7" ht="12.95" customHeight="1" x14ac:dyDescent="0.2">
      <c r="A11" s="26"/>
      <c r="B11" s="21" t="s">
        <v>337</v>
      </c>
      <c r="C11" s="54"/>
      <c r="D11" s="23"/>
      <c r="E11" s="24" t="s">
        <v>171</v>
      </c>
      <c r="F11" s="24" t="s">
        <v>171</v>
      </c>
      <c r="G11" s="25" t="s">
        <v>171</v>
      </c>
    </row>
    <row r="12" spans="1:7" ht="12.95" customHeight="1" x14ac:dyDescent="0.2">
      <c r="A12" s="26"/>
      <c r="B12" s="21" t="s">
        <v>335</v>
      </c>
      <c r="C12" s="54"/>
      <c r="D12" s="23"/>
      <c r="E12" s="24" t="s">
        <v>171</v>
      </c>
      <c r="F12" s="24" t="s">
        <v>171</v>
      </c>
      <c r="G12" s="25" t="s">
        <v>171</v>
      </c>
    </row>
    <row r="13" spans="1:7" ht="12.95" customHeight="1" x14ac:dyDescent="0.2">
      <c r="A13" s="3"/>
      <c r="B13" s="21" t="s">
        <v>336</v>
      </c>
      <c r="C13" s="54"/>
      <c r="D13" s="23"/>
      <c r="E13" s="24" t="s">
        <v>171</v>
      </c>
      <c r="F13" s="24" t="s">
        <v>171</v>
      </c>
      <c r="G13" s="25" t="s">
        <v>171</v>
      </c>
    </row>
    <row r="14" spans="1:7" ht="12.95" customHeight="1" x14ac:dyDescent="0.2">
      <c r="A14" s="3"/>
      <c r="B14" s="21"/>
      <c r="C14" s="54"/>
      <c r="D14" s="23"/>
      <c r="E14" s="27"/>
      <c r="F14" s="84"/>
      <c r="G14" s="29"/>
    </row>
    <row r="15" spans="1:7" ht="12.95" customHeight="1" x14ac:dyDescent="0.2">
      <c r="A15" s="3"/>
      <c r="B15" s="31" t="s">
        <v>9</v>
      </c>
      <c r="C15" s="32" t="s">
        <v>1</v>
      </c>
      <c r="D15" s="32" t="s">
        <v>1</v>
      </c>
      <c r="E15" s="32" t="s">
        <v>1</v>
      </c>
      <c r="F15" s="33" t="s">
        <v>1</v>
      </c>
      <c r="G15" s="34" t="s">
        <v>1</v>
      </c>
    </row>
    <row r="16" spans="1:7" ht="12.95" customHeight="1" x14ac:dyDescent="0.2">
      <c r="A16" s="3"/>
      <c r="B16" s="31" t="s">
        <v>10</v>
      </c>
      <c r="C16" s="32" t="s">
        <v>1</v>
      </c>
      <c r="D16" s="32" t="s">
        <v>1</v>
      </c>
      <c r="E16" s="32" t="s">
        <v>1</v>
      </c>
      <c r="F16" s="33" t="s">
        <v>1</v>
      </c>
      <c r="G16" s="34" t="s">
        <v>1</v>
      </c>
    </row>
    <row r="17" spans="1:7" ht="12.95" customHeight="1" x14ac:dyDescent="0.2">
      <c r="A17" s="26"/>
      <c r="B17" s="35" t="s">
        <v>11</v>
      </c>
      <c r="C17" s="32" t="s">
        <v>12</v>
      </c>
      <c r="D17" s="32" t="s">
        <v>13</v>
      </c>
      <c r="E17" s="36">
        <v>300000</v>
      </c>
      <c r="F17" s="37">
        <v>299.92230599999999</v>
      </c>
      <c r="G17" s="38">
        <v>0.14545575086321036</v>
      </c>
    </row>
    <row r="18" spans="1:7" ht="12.95" customHeight="1" x14ac:dyDescent="0.2">
      <c r="A18" s="26"/>
      <c r="B18" s="35" t="s">
        <v>22</v>
      </c>
      <c r="C18" s="32" t="s">
        <v>23</v>
      </c>
      <c r="D18" s="32" t="s">
        <v>24</v>
      </c>
      <c r="E18" s="36">
        <v>240000</v>
      </c>
      <c r="F18" s="37">
        <v>238.28880000000001</v>
      </c>
      <c r="G18" s="38">
        <v>0.11556485007251631</v>
      </c>
    </row>
    <row r="19" spans="1:7" ht="12.95" customHeight="1" x14ac:dyDescent="0.2">
      <c r="A19" s="26"/>
      <c r="B19" s="35" t="s">
        <v>14</v>
      </c>
      <c r="C19" s="32" t="s">
        <v>15</v>
      </c>
      <c r="D19" s="32" t="s">
        <v>13</v>
      </c>
      <c r="E19" s="36">
        <v>200000</v>
      </c>
      <c r="F19" s="37">
        <v>198.960972</v>
      </c>
      <c r="G19" s="38">
        <v>9.6491714673380011E-2</v>
      </c>
    </row>
    <row r="20" spans="1:7" ht="12.95" customHeight="1" x14ac:dyDescent="0.2">
      <c r="A20" s="26"/>
      <c r="B20" s="35" t="s">
        <v>16</v>
      </c>
      <c r="C20" s="32" t="s">
        <v>17</v>
      </c>
      <c r="D20" s="32" t="s">
        <v>13</v>
      </c>
      <c r="E20" s="36">
        <v>200000</v>
      </c>
      <c r="F20" s="37">
        <v>198.68566000000001</v>
      </c>
      <c r="G20" s="38">
        <v>9.6358194382022783E-2</v>
      </c>
    </row>
    <row r="21" spans="1:7" ht="12.95" customHeight="1" x14ac:dyDescent="0.2">
      <c r="A21" s="26"/>
      <c r="B21" s="35" t="s">
        <v>18</v>
      </c>
      <c r="C21" s="32" t="s">
        <v>19</v>
      </c>
      <c r="D21" s="32" t="s">
        <v>13</v>
      </c>
      <c r="E21" s="36">
        <v>200000</v>
      </c>
      <c r="F21" s="37">
        <v>198.41289399999999</v>
      </c>
      <c r="G21" s="38">
        <v>9.622590884491454E-2</v>
      </c>
    </row>
    <row r="22" spans="1:7" ht="12.95" customHeight="1" x14ac:dyDescent="0.2">
      <c r="A22" s="26"/>
      <c r="B22" s="35" t="s">
        <v>20</v>
      </c>
      <c r="C22" s="32" t="s">
        <v>21</v>
      </c>
      <c r="D22" s="32" t="s">
        <v>13</v>
      </c>
      <c r="E22" s="36">
        <v>150000</v>
      </c>
      <c r="F22" s="37">
        <v>149.96388150000001</v>
      </c>
      <c r="G22" s="38">
        <v>7.2729198694357858E-2</v>
      </c>
    </row>
    <row r="23" spans="1:7" ht="12.95" customHeight="1" x14ac:dyDescent="0.2">
      <c r="A23" s="26"/>
      <c r="B23" s="35" t="s">
        <v>345</v>
      </c>
      <c r="C23" s="32" t="s">
        <v>327</v>
      </c>
      <c r="D23" s="32" t="s">
        <v>13</v>
      </c>
      <c r="E23" s="36">
        <v>90000</v>
      </c>
      <c r="F23" s="37">
        <v>84.931388100000007</v>
      </c>
      <c r="G23" s="38">
        <v>4.1189863443968813E-2</v>
      </c>
    </row>
    <row r="24" spans="1:7" ht="12.95" customHeight="1" x14ac:dyDescent="0.2">
      <c r="A24" s="26"/>
      <c r="B24" s="35" t="s">
        <v>346</v>
      </c>
      <c r="C24" s="32" t="s">
        <v>328</v>
      </c>
      <c r="D24" s="32" t="s">
        <v>329</v>
      </c>
      <c r="E24" s="36">
        <v>50000</v>
      </c>
      <c r="F24" s="37">
        <v>49.133764999999997</v>
      </c>
      <c r="G24" s="38">
        <v>2.3828800118693153E-2</v>
      </c>
    </row>
    <row r="25" spans="1:7" ht="12.95" customHeight="1" x14ac:dyDescent="0.2">
      <c r="A25" s="3"/>
      <c r="B25" s="31" t="s">
        <v>25</v>
      </c>
      <c r="C25" s="32" t="s">
        <v>1</v>
      </c>
      <c r="D25" s="32" t="s">
        <v>1</v>
      </c>
      <c r="E25" s="32" t="s">
        <v>1</v>
      </c>
      <c r="F25" s="39">
        <v>1418.2996665999999</v>
      </c>
      <c r="G25" s="40">
        <v>0.68784428109306384</v>
      </c>
    </row>
    <row r="26" spans="1:7" ht="12.95" customHeight="1" x14ac:dyDescent="0.2">
      <c r="A26" s="3"/>
      <c r="B26" s="31" t="s">
        <v>26</v>
      </c>
      <c r="C26" s="32" t="s">
        <v>1</v>
      </c>
      <c r="D26" s="32" t="s">
        <v>1</v>
      </c>
      <c r="E26" s="32" t="s">
        <v>1</v>
      </c>
      <c r="F26" s="39">
        <v>1418.2996665999999</v>
      </c>
      <c r="G26" s="40">
        <v>0.68784428109306384</v>
      </c>
    </row>
    <row r="27" spans="1:7" ht="12.95" customHeight="1" x14ac:dyDescent="0.2">
      <c r="A27" s="3"/>
      <c r="B27" s="31"/>
      <c r="C27" s="32"/>
      <c r="D27" s="32"/>
      <c r="E27" s="32"/>
      <c r="F27" s="39"/>
      <c r="G27" s="40"/>
    </row>
    <row r="28" spans="1:7" ht="12.95" customHeight="1" x14ac:dyDescent="0.2">
      <c r="A28" s="3"/>
      <c r="B28" s="31"/>
      <c r="C28" s="32"/>
      <c r="D28" s="32"/>
      <c r="E28" s="32"/>
      <c r="F28" s="39"/>
      <c r="G28" s="40"/>
    </row>
    <row r="29" spans="1:7" ht="12.95" customHeight="1" x14ac:dyDescent="0.2">
      <c r="A29" s="3"/>
      <c r="B29" s="31" t="s">
        <v>27</v>
      </c>
      <c r="C29" s="32" t="s">
        <v>1</v>
      </c>
      <c r="D29" s="32" t="s">
        <v>1</v>
      </c>
      <c r="E29" s="32" t="s">
        <v>1</v>
      </c>
      <c r="F29" s="33" t="s">
        <v>1</v>
      </c>
      <c r="G29" s="34" t="s">
        <v>1</v>
      </c>
    </row>
    <row r="30" spans="1:7" ht="12.95" customHeight="1" x14ac:dyDescent="0.2">
      <c r="A30" s="26"/>
      <c r="B30" s="35" t="s">
        <v>28</v>
      </c>
      <c r="C30" s="32" t="s">
        <v>1</v>
      </c>
      <c r="D30" s="32" t="s">
        <v>29</v>
      </c>
      <c r="E30" s="36"/>
      <c r="F30" s="37">
        <v>649.06569999999999</v>
      </c>
      <c r="G30" s="38">
        <v>0.31478265158795904</v>
      </c>
    </row>
    <row r="31" spans="1:7" ht="12.95" customHeight="1" x14ac:dyDescent="0.2">
      <c r="A31" s="3"/>
      <c r="B31" s="31" t="s">
        <v>25</v>
      </c>
      <c r="C31" s="32" t="s">
        <v>1</v>
      </c>
      <c r="D31" s="32" t="s">
        <v>1</v>
      </c>
      <c r="E31" s="32" t="s">
        <v>1</v>
      </c>
      <c r="F31" s="39">
        <v>649.06569999999999</v>
      </c>
      <c r="G31" s="40">
        <v>0.31478265158795904</v>
      </c>
    </row>
    <row r="32" spans="1:7" ht="12.95" customHeight="1" x14ac:dyDescent="0.2">
      <c r="A32" s="3"/>
      <c r="B32" s="31" t="s">
        <v>26</v>
      </c>
      <c r="C32" s="32" t="s">
        <v>1</v>
      </c>
      <c r="D32" s="32" t="s">
        <v>1</v>
      </c>
      <c r="E32" s="32" t="s">
        <v>1</v>
      </c>
      <c r="F32" s="39">
        <v>649.06569999999999</v>
      </c>
      <c r="G32" s="40">
        <v>0.31478265158795904</v>
      </c>
    </row>
    <row r="33" spans="1:7" ht="12.95" customHeight="1" x14ac:dyDescent="0.2">
      <c r="A33" s="3"/>
      <c r="B33" s="31"/>
      <c r="C33" s="32"/>
      <c r="D33" s="32"/>
      <c r="E33" s="32"/>
      <c r="F33" s="39"/>
      <c r="G33" s="40"/>
    </row>
    <row r="34" spans="1:7" ht="12.95" customHeight="1" x14ac:dyDescent="0.2">
      <c r="A34" s="3"/>
      <c r="B34" s="31" t="s">
        <v>229</v>
      </c>
      <c r="C34" s="32"/>
      <c r="D34" s="32"/>
      <c r="E34" s="32"/>
      <c r="F34" s="39"/>
      <c r="G34" s="40"/>
    </row>
    <row r="35" spans="1:7" ht="12.95" customHeight="1" thickBot="1" x14ac:dyDescent="0.25">
      <c r="A35" s="3"/>
      <c r="B35" s="41" t="s">
        <v>30</v>
      </c>
      <c r="C35" s="42" t="s">
        <v>1</v>
      </c>
      <c r="D35" s="42" t="s">
        <v>1</v>
      </c>
      <c r="E35" s="42" t="s">
        <v>1</v>
      </c>
      <c r="F35" s="43">
        <v>-5.4166005999999998</v>
      </c>
      <c r="G35" s="44">
        <v>-2.6269326810228321E-3</v>
      </c>
    </row>
    <row r="36" spans="1:7" ht="12.95" customHeight="1" thickTop="1" thickBot="1" x14ac:dyDescent="0.25">
      <c r="A36" s="3"/>
      <c r="B36" s="45" t="s">
        <v>31</v>
      </c>
      <c r="C36" s="46" t="s">
        <v>1</v>
      </c>
      <c r="D36" s="46" t="s">
        <v>1</v>
      </c>
      <c r="E36" s="46" t="s">
        <v>1</v>
      </c>
      <c r="F36" s="47">
        <v>2061.948766</v>
      </c>
      <c r="G36" s="48">
        <v>1</v>
      </c>
    </row>
    <row r="37" spans="1:7" ht="12.95" customHeight="1" x14ac:dyDescent="0.2">
      <c r="A37" s="3"/>
      <c r="B37" s="10" t="s">
        <v>1</v>
      </c>
      <c r="C37" s="3"/>
      <c r="D37" s="3"/>
      <c r="E37" s="3"/>
      <c r="F37" s="8"/>
      <c r="G37" s="9"/>
    </row>
    <row r="38" spans="1:7" ht="12.95" customHeight="1" x14ac:dyDescent="0.2">
      <c r="A38" s="3"/>
      <c r="B38" s="2" t="s">
        <v>29</v>
      </c>
      <c r="C38" s="3"/>
      <c r="D38" s="3"/>
      <c r="E38" s="3"/>
      <c r="F38" s="8"/>
      <c r="G38" s="9"/>
    </row>
    <row r="39" spans="1:7" ht="12.95" customHeight="1" x14ac:dyDescent="0.2">
      <c r="A39" s="3"/>
      <c r="B39" s="2" t="s">
        <v>32</v>
      </c>
      <c r="C39" s="3"/>
      <c r="D39" s="3"/>
      <c r="E39" s="3"/>
      <c r="F39" s="8"/>
      <c r="G39" s="9"/>
    </row>
    <row r="40" spans="1:7" ht="12.95" customHeight="1" x14ac:dyDescent="0.2">
      <c r="A40" s="3"/>
      <c r="B40" s="2" t="s">
        <v>33</v>
      </c>
      <c r="C40" s="3"/>
      <c r="D40" s="3"/>
      <c r="E40" s="3"/>
      <c r="F40" s="8"/>
      <c r="G40" s="9"/>
    </row>
    <row r="41" spans="1:7" ht="12.95" customHeight="1" thickBot="1" x14ac:dyDescent="0.25">
      <c r="A41" s="3"/>
      <c r="B41" s="2" t="s">
        <v>1</v>
      </c>
      <c r="C41" s="3"/>
      <c r="D41" s="3"/>
      <c r="E41" s="3"/>
      <c r="F41" s="8"/>
      <c r="G41" s="9"/>
    </row>
    <row r="42" spans="1:7" ht="12.95" customHeight="1" thickBot="1" x14ac:dyDescent="0.25">
      <c r="A42" s="3"/>
      <c r="B42" s="86" t="s">
        <v>348</v>
      </c>
      <c r="C42" s="87">
        <v>24.1</v>
      </c>
      <c r="D42" s="3"/>
      <c r="E42" s="3"/>
      <c r="F42" s="8"/>
      <c r="G42" s="9"/>
    </row>
  </sheetData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showGridLines="0" zoomScaleNormal="100" workbookViewId="0">
      <selection activeCell="B4" sqref="B4"/>
    </sheetView>
  </sheetViews>
  <sheetFormatPr defaultRowHeight="12.75" x14ac:dyDescent="0.2"/>
  <cols>
    <col min="1" max="1" width="11.42578125" style="6" bestFit="1" customWidth="1"/>
    <col min="2" max="2" width="52.140625" style="6" bestFit="1" customWidth="1"/>
    <col min="3" max="5" width="19.5703125" style="6" customWidth="1"/>
    <col min="6" max="6" width="19.5703125" style="49" customWidth="1"/>
    <col min="7" max="7" width="19.5703125" style="50" customWidth="1"/>
    <col min="8" max="16384" width="9.140625" style="6"/>
  </cols>
  <sheetData>
    <row r="1" spans="1:7" ht="18" x14ac:dyDescent="0.2">
      <c r="A1" s="3"/>
      <c r="B1" s="103" t="s">
        <v>330</v>
      </c>
      <c r="C1" s="104"/>
      <c r="D1" s="104"/>
      <c r="E1" s="104"/>
      <c r="F1" s="104"/>
      <c r="G1" s="105"/>
    </row>
    <row r="2" spans="1:7" ht="15.95" customHeight="1" thickBot="1" x14ac:dyDescent="0.25">
      <c r="A2" s="3"/>
      <c r="B2" s="100" t="s">
        <v>355</v>
      </c>
      <c r="C2" s="101"/>
      <c r="D2" s="101"/>
      <c r="E2" s="101"/>
      <c r="F2" s="101"/>
      <c r="G2" s="102"/>
    </row>
    <row r="3" spans="1:7" ht="12.95" customHeight="1" x14ac:dyDescent="0.2">
      <c r="A3" s="3"/>
      <c r="B3" s="7" t="s">
        <v>1</v>
      </c>
      <c r="C3" s="3"/>
      <c r="D3" s="3"/>
      <c r="E3" s="3"/>
      <c r="F3" s="8"/>
      <c r="G3" s="9"/>
    </row>
    <row r="4" spans="1:7" ht="12.95" customHeight="1" thickBot="1" x14ac:dyDescent="0.25">
      <c r="A4" s="10"/>
      <c r="B4" s="11" t="s">
        <v>2</v>
      </c>
      <c r="C4" s="3"/>
      <c r="D4" s="3"/>
      <c r="E4" s="3"/>
      <c r="F4" s="8"/>
      <c r="G4" s="9"/>
    </row>
    <row r="5" spans="1:7" ht="27.95" customHeight="1" thickBot="1" x14ac:dyDescent="0.25">
      <c r="A5" s="3"/>
      <c r="B5" s="12" t="s">
        <v>3</v>
      </c>
      <c r="C5" s="13" t="s">
        <v>4</v>
      </c>
      <c r="D5" s="14" t="s">
        <v>5</v>
      </c>
      <c r="E5" s="14" t="s">
        <v>6</v>
      </c>
      <c r="F5" s="15" t="s">
        <v>7</v>
      </c>
      <c r="G5" s="16" t="s">
        <v>8</v>
      </c>
    </row>
    <row r="6" spans="1:7" ht="12.95" customHeight="1" x14ac:dyDescent="0.2">
      <c r="A6" s="3"/>
      <c r="B6" s="88" t="s">
        <v>331</v>
      </c>
      <c r="C6" s="89"/>
      <c r="D6" s="55"/>
      <c r="E6" s="55"/>
      <c r="F6" s="56"/>
      <c r="G6" s="90"/>
    </row>
    <row r="7" spans="1:7" ht="12.95" customHeight="1" x14ac:dyDescent="0.2">
      <c r="A7" s="3"/>
      <c r="B7" s="21" t="s">
        <v>332</v>
      </c>
      <c r="C7" s="54"/>
      <c r="D7" s="23"/>
      <c r="E7" s="24" t="s">
        <v>171</v>
      </c>
      <c r="F7" s="24" t="s">
        <v>171</v>
      </c>
      <c r="G7" s="25" t="s">
        <v>171</v>
      </c>
    </row>
    <row r="8" spans="1:7" ht="12.95" customHeight="1" x14ac:dyDescent="0.2">
      <c r="A8" s="26"/>
      <c r="B8" s="21" t="s">
        <v>170</v>
      </c>
      <c r="C8" s="54"/>
      <c r="D8" s="23"/>
      <c r="E8" s="24" t="s">
        <v>171</v>
      </c>
      <c r="F8" s="24" t="s">
        <v>171</v>
      </c>
      <c r="G8" s="25" t="s">
        <v>171</v>
      </c>
    </row>
    <row r="9" spans="1:7" ht="12.95" customHeight="1" x14ac:dyDescent="0.2">
      <c r="A9" s="26"/>
      <c r="B9" s="70"/>
      <c r="C9" s="22"/>
      <c r="D9" s="23"/>
      <c r="E9" s="23"/>
      <c r="F9" s="28"/>
      <c r="G9" s="30"/>
    </row>
    <row r="10" spans="1:7" ht="12.95" customHeight="1" x14ac:dyDescent="0.2">
      <c r="A10" s="26"/>
      <c r="B10" s="52" t="s">
        <v>333</v>
      </c>
      <c r="C10" s="83"/>
      <c r="D10" s="23"/>
      <c r="E10" s="23"/>
      <c r="F10" s="28"/>
      <c r="G10" s="30"/>
    </row>
    <row r="11" spans="1:7" ht="12.95" customHeight="1" x14ac:dyDescent="0.2">
      <c r="A11" s="26"/>
      <c r="B11" s="21" t="s">
        <v>337</v>
      </c>
      <c r="C11" s="54"/>
      <c r="D11" s="23"/>
      <c r="E11" s="24" t="s">
        <v>171</v>
      </c>
      <c r="F11" s="24" t="s">
        <v>171</v>
      </c>
      <c r="G11" s="25" t="s">
        <v>171</v>
      </c>
    </row>
    <row r="12" spans="1:7" ht="12.95" customHeight="1" x14ac:dyDescent="0.2">
      <c r="A12" s="26"/>
      <c r="B12" s="21" t="s">
        <v>335</v>
      </c>
      <c r="C12" s="54"/>
      <c r="D12" s="23"/>
      <c r="E12" s="24" t="s">
        <v>171</v>
      </c>
      <c r="F12" s="24" t="s">
        <v>171</v>
      </c>
      <c r="G12" s="25" t="s">
        <v>171</v>
      </c>
    </row>
    <row r="13" spans="1:7" ht="12.95" customHeight="1" x14ac:dyDescent="0.2">
      <c r="A13" s="3"/>
      <c r="B13" s="21" t="s">
        <v>336</v>
      </c>
      <c r="C13" s="54"/>
      <c r="D13" s="23"/>
      <c r="E13" s="24" t="s">
        <v>171</v>
      </c>
      <c r="F13" s="24" t="s">
        <v>171</v>
      </c>
      <c r="G13" s="25" t="s">
        <v>171</v>
      </c>
    </row>
    <row r="14" spans="1:7" ht="12.95" customHeight="1" x14ac:dyDescent="0.2">
      <c r="A14" s="3"/>
      <c r="B14" s="21"/>
      <c r="C14" s="54"/>
      <c r="D14" s="23"/>
      <c r="E14" s="27"/>
      <c r="F14" s="84"/>
      <c r="G14" s="29"/>
    </row>
    <row r="15" spans="1:7" ht="12.95" customHeight="1" x14ac:dyDescent="0.2">
      <c r="A15" s="3"/>
      <c r="B15" s="31" t="s">
        <v>9</v>
      </c>
      <c r="C15" s="32" t="s">
        <v>1</v>
      </c>
      <c r="D15" s="32" t="s">
        <v>1</v>
      </c>
      <c r="E15" s="32" t="s">
        <v>1</v>
      </c>
      <c r="F15" s="33" t="s">
        <v>1</v>
      </c>
      <c r="G15" s="34" t="s">
        <v>1</v>
      </c>
    </row>
    <row r="16" spans="1:7" ht="12.95" customHeight="1" x14ac:dyDescent="0.2">
      <c r="A16" s="3"/>
      <c r="B16" s="31" t="s">
        <v>10</v>
      </c>
      <c r="C16" s="32" t="s">
        <v>1</v>
      </c>
      <c r="D16" s="32" t="s">
        <v>1</v>
      </c>
      <c r="E16" s="32" t="s">
        <v>1</v>
      </c>
      <c r="F16" s="33" t="s">
        <v>1</v>
      </c>
      <c r="G16" s="34" t="s">
        <v>1</v>
      </c>
    </row>
    <row r="17" spans="1:7" ht="12.95" customHeight="1" x14ac:dyDescent="0.2">
      <c r="A17" s="26"/>
      <c r="B17" s="35" t="s">
        <v>345</v>
      </c>
      <c r="C17" s="32" t="s">
        <v>327</v>
      </c>
      <c r="D17" s="32" t="s">
        <v>13</v>
      </c>
      <c r="E17" s="36">
        <v>410000</v>
      </c>
      <c r="F17" s="37">
        <v>386.90965690000002</v>
      </c>
      <c r="G17" s="38">
        <v>0.25021292201806711</v>
      </c>
    </row>
    <row r="18" spans="1:7" ht="12.95" customHeight="1" x14ac:dyDescent="0.2">
      <c r="A18" s="26"/>
      <c r="B18" s="35" t="s">
        <v>11</v>
      </c>
      <c r="C18" s="32" t="s">
        <v>12</v>
      </c>
      <c r="D18" s="32" t="s">
        <v>13</v>
      </c>
      <c r="E18" s="36">
        <v>330000</v>
      </c>
      <c r="F18" s="37">
        <v>329.91453660000002</v>
      </c>
      <c r="G18" s="38">
        <v>0.21335440650492213</v>
      </c>
    </row>
    <row r="19" spans="1:7" ht="12.95" customHeight="1" x14ac:dyDescent="0.2">
      <c r="A19" s="26"/>
      <c r="B19" s="35" t="s">
        <v>346</v>
      </c>
      <c r="C19" s="32" t="s">
        <v>328</v>
      </c>
      <c r="D19" s="32" t="s">
        <v>329</v>
      </c>
      <c r="E19" s="36">
        <v>230000</v>
      </c>
      <c r="F19" s="37">
        <v>226.01531900000001</v>
      </c>
      <c r="G19" s="38">
        <v>0.14616319954622348</v>
      </c>
    </row>
    <row r="20" spans="1:7" ht="12.95" customHeight="1" x14ac:dyDescent="0.2">
      <c r="A20" s="26"/>
      <c r="B20" s="35" t="s">
        <v>20</v>
      </c>
      <c r="C20" s="32" t="s">
        <v>21</v>
      </c>
      <c r="D20" s="32" t="s">
        <v>13</v>
      </c>
      <c r="E20" s="36">
        <v>100000</v>
      </c>
      <c r="F20" s="37">
        <v>99.975921</v>
      </c>
      <c r="G20" s="38">
        <v>6.4654026796035338E-2</v>
      </c>
    </row>
    <row r="21" spans="1:7" ht="12.95" customHeight="1" x14ac:dyDescent="0.2">
      <c r="A21" s="26"/>
      <c r="B21" s="35" t="s">
        <v>22</v>
      </c>
      <c r="C21" s="32" t="s">
        <v>23</v>
      </c>
      <c r="D21" s="32" t="s">
        <v>24</v>
      </c>
      <c r="E21" s="36">
        <v>20000</v>
      </c>
      <c r="F21" s="37">
        <v>19.857399999999998</v>
      </c>
      <c r="G21" s="38">
        <v>1.2841700870148444E-2</v>
      </c>
    </row>
    <row r="22" spans="1:7" ht="12.95" customHeight="1" x14ac:dyDescent="0.2">
      <c r="A22" s="3"/>
      <c r="B22" s="31" t="s">
        <v>25</v>
      </c>
      <c r="C22" s="32" t="s">
        <v>1</v>
      </c>
      <c r="D22" s="32" t="s">
        <v>1</v>
      </c>
      <c r="E22" s="32" t="s">
        <v>1</v>
      </c>
      <c r="F22" s="39">
        <v>1062.6728335</v>
      </c>
      <c r="G22" s="40">
        <v>0.68722625573539642</v>
      </c>
    </row>
    <row r="23" spans="1:7" ht="12.95" customHeight="1" x14ac:dyDescent="0.2">
      <c r="A23" s="3"/>
      <c r="B23" s="31" t="s">
        <v>26</v>
      </c>
      <c r="C23" s="32" t="s">
        <v>1</v>
      </c>
      <c r="D23" s="32" t="s">
        <v>1</v>
      </c>
      <c r="E23" s="32" t="s">
        <v>1</v>
      </c>
      <c r="F23" s="39">
        <v>1062.6728335</v>
      </c>
      <c r="G23" s="40">
        <v>0.68722625573539642</v>
      </c>
    </row>
    <row r="24" spans="1:7" ht="12.95" customHeight="1" x14ac:dyDescent="0.2">
      <c r="A24" s="3"/>
      <c r="B24" s="31"/>
      <c r="C24" s="32"/>
      <c r="D24" s="32"/>
      <c r="E24" s="32"/>
      <c r="F24" s="39"/>
      <c r="G24" s="40"/>
    </row>
    <row r="25" spans="1:7" ht="12.95" customHeight="1" x14ac:dyDescent="0.2">
      <c r="A25" s="3"/>
      <c r="B25" s="31" t="s">
        <v>27</v>
      </c>
      <c r="C25" s="32" t="s">
        <v>1</v>
      </c>
      <c r="D25" s="32" t="s">
        <v>1</v>
      </c>
      <c r="E25" s="32" t="s">
        <v>1</v>
      </c>
      <c r="F25" s="33" t="s">
        <v>1</v>
      </c>
      <c r="G25" s="34" t="s">
        <v>1</v>
      </c>
    </row>
    <row r="26" spans="1:7" ht="12.95" customHeight="1" x14ac:dyDescent="0.2">
      <c r="A26" s="26"/>
      <c r="B26" s="35" t="s">
        <v>28</v>
      </c>
      <c r="C26" s="32" t="s">
        <v>1</v>
      </c>
      <c r="D26" s="32" t="s">
        <v>29</v>
      </c>
      <c r="E26" s="36"/>
      <c r="F26" s="37">
        <v>479.68810000000002</v>
      </c>
      <c r="G26" s="38">
        <v>0.3102123687476635</v>
      </c>
    </row>
    <row r="27" spans="1:7" ht="12.95" customHeight="1" x14ac:dyDescent="0.2">
      <c r="A27" s="3"/>
      <c r="B27" s="31" t="s">
        <v>25</v>
      </c>
      <c r="C27" s="32" t="s">
        <v>1</v>
      </c>
      <c r="D27" s="32" t="s">
        <v>1</v>
      </c>
      <c r="E27" s="32" t="s">
        <v>1</v>
      </c>
      <c r="F27" s="39">
        <v>479.68810000000002</v>
      </c>
      <c r="G27" s="40">
        <v>0.3102123687476635</v>
      </c>
    </row>
    <row r="28" spans="1:7" ht="12.95" customHeight="1" x14ac:dyDescent="0.2">
      <c r="A28" s="3"/>
      <c r="B28" s="31" t="s">
        <v>26</v>
      </c>
      <c r="C28" s="32" t="s">
        <v>1</v>
      </c>
      <c r="D28" s="32" t="s">
        <v>1</v>
      </c>
      <c r="E28" s="32" t="s">
        <v>1</v>
      </c>
      <c r="F28" s="39">
        <v>479.68810000000002</v>
      </c>
      <c r="G28" s="40">
        <v>0.3102123687476635</v>
      </c>
    </row>
    <row r="29" spans="1:7" ht="12.95" customHeight="1" x14ac:dyDescent="0.2">
      <c r="A29" s="3"/>
      <c r="B29" s="31"/>
      <c r="C29" s="32"/>
      <c r="D29" s="32"/>
      <c r="E29" s="32"/>
      <c r="F29" s="39"/>
      <c r="G29" s="40"/>
    </row>
    <row r="30" spans="1:7" ht="12.95" customHeight="1" x14ac:dyDescent="0.2">
      <c r="A30" s="3"/>
      <c r="B30" s="31" t="s">
        <v>229</v>
      </c>
      <c r="C30" s="32"/>
      <c r="D30" s="32"/>
      <c r="E30" s="32"/>
      <c r="F30" s="39"/>
      <c r="G30" s="40"/>
    </row>
    <row r="31" spans="1:7" ht="12.95" customHeight="1" thickBot="1" x14ac:dyDescent="0.25">
      <c r="A31" s="3"/>
      <c r="B31" s="41" t="s">
        <v>30</v>
      </c>
      <c r="C31" s="42" t="s">
        <v>1</v>
      </c>
      <c r="D31" s="42" t="s">
        <v>1</v>
      </c>
      <c r="E31" s="42" t="s">
        <v>1</v>
      </c>
      <c r="F31" s="43">
        <v>3.9607104</v>
      </c>
      <c r="G31" s="44">
        <v>2.5613755169400176E-3</v>
      </c>
    </row>
    <row r="32" spans="1:7" ht="12.95" customHeight="1" thickTop="1" thickBot="1" x14ac:dyDescent="0.25">
      <c r="A32" s="3"/>
      <c r="B32" s="45" t="s">
        <v>31</v>
      </c>
      <c r="C32" s="46" t="s">
        <v>1</v>
      </c>
      <c r="D32" s="46" t="s">
        <v>1</v>
      </c>
      <c r="E32" s="46" t="s">
        <v>1</v>
      </c>
      <c r="F32" s="47">
        <v>1546.3216439</v>
      </c>
      <c r="G32" s="48">
        <v>1</v>
      </c>
    </row>
    <row r="33" spans="1:7" ht="12.95" customHeight="1" x14ac:dyDescent="0.2">
      <c r="A33" s="3"/>
      <c r="B33" s="10" t="s">
        <v>1</v>
      </c>
      <c r="C33" s="3"/>
      <c r="D33" s="3"/>
      <c r="E33" s="3"/>
      <c r="F33" s="8"/>
      <c r="G33" s="9"/>
    </row>
    <row r="34" spans="1:7" ht="12.95" customHeight="1" x14ac:dyDescent="0.2">
      <c r="A34" s="3"/>
      <c r="B34" s="2" t="s">
        <v>29</v>
      </c>
      <c r="C34" s="3"/>
      <c r="D34" s="3"/>
      <c r="E34" s="3"/>
      <c r="F34" s="8"/>
      <c r="G34" s="9"/>
    </row>
    <row r="35" spans="1:7" ht="12.95" customHeight="1" x14ac:dyDescent="0.2">
      <c r="A35" s="3"/>
      <c r="B35" s="2" t="s">
        <v>32</v>
      </c>
      <c r="C35" s="3"/>
      <c r="D35" s="3"/>
      <c r="E35" s="3"/>
      <c r="F35" s="8"/>
      <c r="G35" s="9"/>
    </row>
    <row r="36" spans="1:7" ht="12.95" customHeight="1" x14ac:dyDescent="0.2">
      <c r="A36" s="3"/>
      <c r="B36" s="2" t="s">
        <v>33</v>
      </c>
      <c r="C36" s="3"/>
      <c r="D36" s="3"/>
      <c r="E36" s="3"/>
      <c r="F36" s="8"/>
      <c r="G36" s="9"/>
    </row>
    <row r="37" spans="1:7" ht="12.95" customHeight="1" thickBot="1" x14ac:dyDescent="0.25">
      <c r="A37" s="3"/>
      <c r="B37" s="2" t="s">
        <v>1</v>
      </c>
      <c r="C37" s="3"/>
      <c r="D37" s="3"/>
      <c r="E37" s="3"/>
      <c r="F37" s="8"/>
      <c r="G37" s="9"/>
    </row>
    <row r="38" spans="1:7" ht="12.95" customHeight="1" thickBot="1" x14ac:dyDescent="0.25">
      <c r="A38" s="3"/>
      <c r="B38" s="86" t="s">
        <v>348</v>
      </c>
      <c r="C38" s="87">
        <v>71.67</v>
      </c>
      <c r="D38" s="3"/>
      <c r="E38" s="3"/>
      <c r="F38" s="8"/>
      <c r="G38" s="9"/>
    </row>
  </sheetData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MACMF</vt:lpstr>
      <vt:lpstr>MAEBF</vt:lpstr>
      <vt:lpstr>MICCF</vt:lpstr>
      <vt:lpstr>MICHF</vt:lpstr>
      <vt:lpstr>MIGCS</vt:lpstr>
      <vt:lpstr>MIIOF</vt:lpstr>
      <vt:lpstr>MILPF</vt:lpstr>
      <vt:lpstr>MISTB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Anshul-a Jain</dc:creator>
  <cp:lastModifiedBy>Sachin Shardul</cp:lastModifiedBy>
  <dcterms:created xsi:type="dcterms:W3CDTF">2014-01-03T09:04:57Z</dcterms:created>
  <dcterms:modified xsi:type="dcterms:W3CDTF">2014-01-08T09:34:47Z</dcterms:modified>
</cp:coreProperties>
</file>