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shah.heli\Documents\KRA\Equity Monthly Portfolio\31-08-2025\"/>
    </mc:Choice>
  </mc:AlternateContent>
  <xr:revisionPtr revIDLastSave="0" documentId="8_{C21BDF81-1611-40BD-9AF9-3933D7A54971}" xr6:coauthVersionLast="47" xr6:coauthVersionMax="47" xr10:uidLastSave="{00000000-0000-0000-0000-000000000000}"/>
  <bookViews>
    <workbookView xWindow="-120" yWindow="-120" windowWidth="20730" windowHeight="11040" xr2:uid="{E7357D2D-F810-4EE8-ABFF-10496102D9D2}"/>
  </bookViews>
  <sheets>
    <sheet name="MAETF" sheetId="1" r:id="rId1"/>
  </sheets>
  <externalReferences>
    <externalReference r:id="rId2"/>
  </externalReferences>
  <definedNames>
    <definedName name="XDO_?AUM?20?">MAETF!$F$97</definedName>
    <definedName name="XDO_?AUM?82?">#REF!</definedName>
    <definedName name="XDO_?AUM?83?">#REF!</definedName>
    <definedName name="XDO_?AUM?84?">#REF!</definedName>
    <definedName name="XDO_?AUM?85?">#REF!</definedName>
    <definedName name="XDO_?AUM?86?">#REF!</definedName>
    <definedName name="XDO_?CLASS_3?20?">MAETF!$B$5:$B$68</definedName>
    <definedName name="XDO_?CLASS_3?82?">#REF!</definedName>
    <definedName name="XDO_?CLASS_3?83?">#REF!</definedName>
    <definedName name="XDO_?CLASS_3?84?">#REF!</definedName>
    <definedName name="XDO_?CLASS_3?85?">#REF!</definedName>
    <definedName name="XDO_?CLASS_3?86?">#REF!</definedName>
    <definedName name="XDO_?CLASS_4?244?">#REF!</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CLASS_4?64?">MAETF!$B$6:$B$68</definedName>
    <definedName name="XDO_?CLASS_4?65?">MAETF!$B$6:$B$76</definedName>
    <definedName name="XDO_?CLASS_4?66?">MAETF!$B$6:$B$89</definedName>
    <definedName name="XDO_?CLASS_4?67?">MAETF!$B$6:$B$94</definedName>
    <definedName name="XDO_?FINAL_ISIN?300?">#REF!</definedName>
    <definedName name="XDO_?FINAL_ISIN?301?">#REF!</definedName>
    <definedName name="XDO_?FINAL_ISIN?302?">#REF!</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ISIN?89?">MAETF!$C$7:$C$68</definedName>
    <definedName name="XDO_?FINAL_ISIN?90?">MAETF!$C$7:$C$76</definedName>
    <definedName name="XDO_?FINAL_ISIN?91?">MAETF!$C$7:$C$89</definedName>
    <definedName name="XDO_?FINAL_ISIN?92?">MAETF!$C$7:$C$94</definedName>
    <definedName name="XDO_?FINAL_MV?300?">#REF!</definedName>
    <definedName name="XDO_?FINAL_MV?301?">#REF!</definedName>
    <definedName name="XDO_?FINAL_MV?302?">#REF!</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MV?89?">MAETF!$F$7:$F$68</definedName>
    <definedName name="XDO_?FINAL_MV?90?">MAETF!$F$7:$F$76</definedName>
    <definedName name="XDO_?FINAL_MV?91?">MAETF!$F$7:$F$89</definedName>
    <definedName name="XDO_?FINAL_MV?92?">MAETF!$F$7:$F$94</definedName>
    <definedName name="XDO_?FINAL_NAME?300?">#REF!</definedName>
    <definedName name="XDO_?FINAL_NAME?301?">#REF!</definedName>
    <definedName name="XDO_?FINAL_NAME?302?">#REF!</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NAME?89?">MAETF!$B$7:$B$68</definedName>
    <definedName name="XDO_?FINAL_NAME?90?">MAETF!$B$7:$B$76</definedName>
    <definedName name="XDO_?FINAL_NAME?91?">MAETF!$B$7:$B$89</definedName>
    <definedName name="XDO_?FINAL_NAME?92?">MAETF!$B$7:$B$94</definedName>
    <definedName name="XDO_?FINAL_PER_NET?300?">#REF!</definedName>
    <definedName name="XDO_?FINAL_PER_NET?301?">#REF!</definedName>
    <definedName name="XDO_?FINAL_PER_NET?302?">#REF!</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PER_NET?89?">MAETF!$G$7:$G$68</definedName>
    <definedName name="XDO_?FINAL_PER_NET?90?">MAETF!$G$7:$G$76</definedName>
    <definedName name="XDO_?FINAL_PER_NET?91?">MAETF!$G$7:$G$89</definedName>
    <definedName name="XDO_?FINAL_PER_NET?92?">MAETF!$G$7:$G$94</definedName>
    <definedName name="XDO_?FINAL_QUANTITE?300?">#REF!</definedName>
    <definedName name="XDO_?FINAL_QUANTITE?301?">#REF!</definedName>
    <definedName name="XDO_?FINAL_QUANTITE?302?">#REF!</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FINAL_QUANTITE?89?">MAETF!$E$7:$E$68</definedName>
    <definedName name="XDO_?FINAL_QUANTITE?90?">MAETF!$E$7:$E$76</definedName>
    <definedName name="XDO_?FINAL_QUANTITE?91?">MAETF!$E$7:$E$89</definedName>
    <definedName name="XDO_?FINAL_QUANTITE?92?">MAETF!$E$7:$E$94</definedName>
    <definedName name="XDO_?LONG_DESC?20?">MAETF!$B$1</definedName>
    <definedName name="XDO_?LONG_DESC?82?">#REF!</definedName>
    <definedName name="XDO_?LONG_DESC?83?">#REF!</definedName>
    <definedName name="XDO_?LONG_DESC?84?">#REF!</definedName>
    <definedName name="XDO_?LONG_DESC?85?">#REF!</definedName>
    <definedName name="XDO_?LONG_DESC?86?">#REF!</definedName>
    <definedName name="XDO_?NAMC?10?">[1]MAN50ETF!#REF!</definedName>
    <definedName name="XDO_?NAMC?15?">[1]MANNF!#REF!</definedName>
    <definedName name="XDO_?NAMC?18?">[1]MAEAF!#REF!</definedName>
    <definedName name="XDO_?NAMC?20?">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8?">'[1]912IBXFS'!#REF!</definedName>
    <definedName name="XDO_?NAMC?79?">[1]INTERNET!#REF!</definedName>
    <definedName name="XDO_?NAMC?80?">[1]SMARTFOF!#REF!</definedName>
    <definedName name="XDO_?NAMC?81?">[1]GLSLFOF!#REF!</definedName>
    <definedName name="XDO_?NAMC?82?">#REF!</definedName>
    <definedName name="XDO_?NAMC?83?">#REF!</definedName>
    <definedName name="XDO_?NAMC?84?">#REF!</definedName>
    <definedName name="XDO_?NAMC?85?">#REF!</definedName>
    <definedName name="XDO_?NAMC?86?">#REF!</definedName>
    <definedName name="XDO_?NDATE?10?">[1]MAN50ETF!#REF!</definedName>
    <definedName name="XDO_?NDATE?15?">[1]MANNF!#REF!</definedName>
    <definedName name="XDO_?NDATE?18?">[1]MAEAF!#REF!</definedName>
    <definedName name="XDO_?NDATE?20?">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8?">'[1]912IBXFS'!#REF!</definedName>
    <definedName name="XDO_?NDATE?79?">[1]INTERNET!#REF!</definedName>
    <definedName name="XDO_?NDATE?80?">[1]SMARTFOF!#REF!</definedName>
    <definedName name="XDO_?NDATE?81?">[1]GLSLFOF!#REF!</definedName>
    <definedName name="XDO_?NDATE?82?">#REF!</definedName>
    <definedName name="XDO_?NDATE?83?">#REF!</definedName>
    <definedName name="XDO_?NDATE?84?">#REF!</definedName>
    <definedName name="XDO_?NDATE?85?">#REF!</definedName>
    <definedName name="XDO_?NDATE?86?">#REF!</definedName>
    <definedName name="XDO_?NNPTF?10?">[1]MAN50ETF!#REF!</definedName>
    <definedName name="XDO_?NNPTF?15?">[1]MANNF!#REF!</definedName>
    <definedName name="XDO_?NNPTF?18?">[1]MAEAF!#REF!</definedName>
    <definedName name="XDO_?NNPTF?20?">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8?">'[1]912IBXFS'!#REF!</definedName>
    <definedName name="XDO_?NNPTF?79?">[1]INTERNET!#REF!</definedName>
    <definedName name="XDO_?NNPTF?80?">[1]SMARTFOF!#REF!</definedName>
    <definedName name="XDO_?NNPTF?81?">[1]GLSLFOF!#REF!</definedName>
    <definedName name="XDO_?NNPTF?82?">#REF!</definedName>
    <definedName name="XDO_?NNPTF?83?">#REF!</definedName>
    <definedName name="XDO_?NNPTF?84?">#REF!</definedName>
    <definedName name="XDO_?NNPTF?85?">#REF!</definedName>
    <definedName name="XDO_?NNPTF?86?">#REF!</definedName>
    <definedName name="XDO_?NOVAL?300?">#REF!</definedName>
    <definedName name="XDO_?NOVAL?301?">#REF!</definedName>
    <definedName name="XDO_?NOVAL?302?">#REF!</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OVAL?89?">MAETF!$A$7:$A$68</definedName>
    <definedName name="XDO_?NOVAL?90?">MAETF!$A$7:$A$76</definedName>
    <definedName name="XDO_?NOVAL?91?">MAETF!$A$7:$A$89</definedName>
    <definedName name="XDO_?NOVAL?92?">MAETF!$A$7:$A$94</definedName>
    <definedName name="XDO_?NPTF?20?">MAETF!$C$1</definedName>
    <definedName name="XDO_?NPTF?82?">#REF!</definedName>
    <definedName name="XDO_?NPTF?83?">#REF!</definedName>
    <definedName name="XDO_?NPTF?84?">#REF!</definedName>
    <definedName name="XDO_?NPTF?85?">#REF!</definedName>
    <definedName name="XDO_?NPTF?86?">#REF!</definedName>
    <definedName name="XDO_?RATING?300?">#REF!</definedName>
    <definedName name="XDO_?RATING?301?">#REF!</definedName>
    <definedName name="XDO_?RATING?302?">#REF!</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RATING?89?">MAETF!$D$7:$D$68</definedName>
    <definedName name="XDO_?RATING?90?">MAETF!$D$7:$D$76</definedName>
    <definedName name="XDO_?RATING?91?">MAETF!$D$7:$D$89</definedName>
    <definedName name="XDO_?RATING?92?">MAETF!$D$7:$D$94</definedName>
    <definedName name="XDO_?TDATE?20?">MAETF!$E$1</definedName>
    <definedName name="XDO_?TDATE?82?">#REF!</definedName>
    <definedName name="XDO_?TDATE?83?">#REF!</definedName>
    <definedName name="XDO_?TDATE?84?">#REF!</definedName>
    <definedName name="XDO_?TDATE?85?">#REF!</definedName>
    <definedName name="XDO_?TDATE?86?">#REF!</definedName>
    <definedName name="XDO_?YTM?300?">#REF!</definedName>
    <definedName name="XDO_?YTM?301?">#REF!</definedName>
    <definedName name="XDO_?YTM?302?">#REF!</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YTM?89?">MAETF!$H$7:$H$68</definedName>
    <definedName name="XDO_?YTM?90?">MAETF!$H$7:$H$76</definedName>
    <definedName name="XDO_?YTM?91?">MAETF!$H$7:$H$89</definedName>
    <definedName name="XDO_?YTM?92?">MAETF!$H$7:$H$94</definedName>
    <definedName name="XDO_GROUP_?G_3?20?">MAETF!$5:$96</definedName>
    <definedName name="XDO_GROUP_?G_3?64?">#REF!</definedName>
    <definedName name="XDO_GROUP_?G_3?66?">#REF!</definedName>
    <definedName name="XDO_GROUP_?G_3?82?">#REF!</definedName>
    <definedName name="XDO_GROUP_?G_3?83?">#REF!</definedName>
    <definedName name="XDO_GROUP_?G_3?84?">#REF!</definedName>
    <definedName name="XDO_GROUP_?G_3?85?">#REF!</definedName>
    <definedName name="XDO_GROUP_?G_3?86?">#REF!</definedName>
    <definedName name="XDO_GROUP_?G_4?192?">#REF!</definedName>
    <definedName name="XDO_GROUP_?G_4?193?">#REF!</definedName>
    <definedName name="XDO_GROUP_?G_4?194?">#REF!</definedName>
    <definedName name="XDO_GROUP_?G_4?195?">#REF!</definedName>
    <definedName name="XDO_GROUP_?G_4?198?">#REF!</definedName>
    <definedName name="XDO_GROUP_?G_4?199?">#REF!</definedName>
    <definedName name="XDO_GROUP_?G_4?200?">#REF!</definedName>
    <definedName name="XDO_GROUP_?G_4?201?">#REF!</definedName>
    <definedName name="XDO_GROUP_?G_4?244?">#REF!</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4?64?">MAETF!$6:$69</definedName>
    <definedName name="XDO_GROUP_?G_4?65?">MAETF!$75:$77</definedName>
    <definedName name="XDO_GROUP_?G_4?66?">MAETF!$88:$90</definedName>
    <definedName name="XDO_GROUP_?G_4?67?">MAETF!$93:$94</definedName>
    <definedName name="XDO_GROUP_?G_5?239?">#REF!</definedName>
    <definedName name="XDO_GROUP_?G_5?240?">#REF!</definedName>
    <definedName name="XDO_GROUP_?G_5?241?">#REF!</definedName>
    <definedName name="XDO_GROUP_?G_5?242?">#REF!</definedName>
    <definedName name="XDO_GROUP_?G_5?246?">#REF!</definedName>
    <definedName name="XDO_GROUP_?G_5?247?">#REF!</definedName>
    <definedName name="XDO_GROUP_?G_5?248?">#REF!</definedName>
    <definedName name="XDO_GROUP_?G_5?249?">#REF!</definedName>
    <definedName name="XDO_GROUP_?G_5?300?">#REF!</definedName>
    <definedName name="XDO_GROUP_?G_5?301?">#REF!</definedName>
    <definedName name="XDO_GROUP_?G_5?302?">#REF!</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 name="XDO_GROUP_?G_5?89?">MAETF!$7:$68</definedName>
    <definedName name="XDO_GROUP_?G_5?90?">MAETF!$76:$76</definedName>
    <definedName name="XDO_GROUP_?G_5?91?">MAETF!$89:$89</definedName>
    <definedName name="XDO_GROUP_?G_5?92?">MAETF!$94:$94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4" i="1" l="1"/>
</calcChain>
</file>

<file path=xl/sharedStrings.xml><?xml version="1.0" encoding="utf-8"?>
<sst xmlns="http://schemas.openxmlformats.org/spreadsheetml/2006/main" count="260" uniqueCount="209">
  <si>
    <t>Mirae Asset Nifty 100 ESG Sector Leaders ETF (MAESGETF)</t>
  </si>
  <si>
    <t>(Exchange Traded Fund (ETF) - An open ended scheme replicating/tracking Nifty 100 ESG Sector Leaders Total Return Index)</t>
  </si>
  <si>
    <r>
      <t xml:space="preserve">NSE Symbol: </t>
    </r>
    <r>
      <rPr>
        <sz val="10"/>
        <color rgb="FF000000"/>
        <rFont val="Arial"/>
        <family val="2"/>
      </rPr>
      <t>ESG</t>
    </r>
    <r>
      <rPr>
        <b/>
        <sz val="10"/>
        <color rgb="FF000000"/>
        <rFont val="Arial"/>
        <family val="2"/>
      </rPr>
      <t xml:space="preserve">   BSE Scrip Code: </t>
    </r>
    <r>
      <rPr>
        <sz val="10"/>
        <color rgb="FF000000"/>
        <rFont val="Arial"/>
        <family val="2"/>
      </rPr>
      <t>543246</t>
    </r>
  </si>
  <si>
    <t>Mirae Asset Nifty 100 ESG Sector Leaders ETF</t>
  </si>
  <si>
    <t>Monthly Portfolio Statement as on August 31, 2025</t>
  </si>
  <si>
    <t>Name of the Instrument</t>
  </si>
  <si>
    <t>ISIN</t>
  </si>
  <si>
    <t>Industry ^/ Rating</t>
  </si>
  <si>
    <t>Quantity</t>
  </si>
  <si>
    <t>Market/Fair Value 
(Rs. in Lacs)</t>
  </si>
  <si>
    <t>% to Net Assets</t>
  </si>
  <si>
    <t>YTM</t>
  </si>
  <si>
    <t>ESG Score*</t>
  </si>
  <si>
    <t>EQUITY &amp; EQUITY RELATED</t>
  </si>
  <si>
    <t>(a) Listed / awaiting listing on Stock Exchanges</t>
  </si>
  <si>
    <t>ICICI Bank Ltd.</t>
  </si>
  <si>
    <t>INE090A01021</t>
  </si>
  <si>
    <t>Banks</t>
  </si>
  <si>
    <t>HDFC Bank Ltd.</t>
  </si>
  <si>
    <t>INE040A01034</t>
  </si>
  <si>
    <t>Reliance Industries Ltd.</t>
  </si>
  <si>
    <t>INE002A01018</t>
  </si>
  <si>
    <t>Petroleum Products</t>
  </si>
  <si>
    <t>Infosys Ltd.</t>
  </si>
  <si>
    <t>INE009A01021</t>
  </si>
  <si>
    <t>IT - Software</t>
  </si>
  <si>
    <t>Bharti Airtel Ltd.</t>
  </si>
  <si>
    <t>INE397D01024</t>
  </si>
  <si>
    <t>Telecom - Services</t>
  </si>
  <si>
    <t>Tata Consultancy Services Ltd.</t>
  </si>
  <si>
    <t>INE467B01029</t>
  </si>
  <si>
    <t>Mahindra &amp; Mahindra Ltd.</t>
  </si>
  <si>
    <t>INE101A01026</t>
  </si>
  <si>
    <t>Automobiles</t>
  </si>
  <si>
    <t>Hindustan Unilever Ltd.</t>
  </si>
  <si>
    <t>INE030A01027</t>
  </si>
  <si>
    <t>Diversified FMCG</t>
  </si>
  <si>
    <t>Bajaj Finance Ltd.</t>
  </si>
  <si>
    <t>INE296A01032</t>
  </si>
  <si>
    <t>Finance</t>
  </si>
  <si>
    <t>Eternal Ltd.</t>
  </si>
  <si>
    <t>INE758T01015</t>
  </si>
  <si>
    <t>Retailing</t>
  </si>
  <si>
    <t>Maruti Suzuki India Ltd.</t>
  </si>
  <si>
    <t>INE585B01010</t>
  </si>
  <si>
    <t>Sun Pharmaceutical Industries Ltd.</t>
  </si>
  <si>
    <t>INE044A01036</t>
  </si>
  <si>
    <t>Pharmaceuticals &amp; Biotechnology</t>
  </si>
  <si>
    <t>HCL Technologies Ltd.</t>
  </si>
  <si>
    <t>INE860A01027</t>
  </si>
  <si>
    <t>Ultratech Cement Ltd.</t>
  </si>
  <si>
    <t>INE481G01011</t>
  </si>
  <si>
    <t>Cement &amp; Cement Products</t>
  </si>
  <si>
    <t>Titan Company Ltd.</t>
  </si>
  <si>
    <t>INE280A01028</t>
  </si>
  <si>
    <t>Consumer Durables</t>
  </si>
  <si>
    <t>Tata Motors Ltd.</t>
  </si>
  <si>
    <t>INE155A01022</t>
  </si>
  <si>
    <t>Tata Steel Ltd.</t>
  </si>
  <si>
    <t>INE081A01020</t>
  </si>
  <si>
    <t>Ferrous Metals</t>
  </si>
  <si>
    <t>Power Grid Corporation of India Ltd.</t>
  </si>
  <si>
    <t>INE752E01010</t>
  </si>
  <si>
    <t>Power</t>
  </si>
  <si>
    <t>Trent Ltd.</t>
  </si>
  <si>
    <t>INE849A01020</t>
  </si>
  <si>
    <t>Asian Paints Ltd.</t>
  </si>
  <si>
    <t>INE021A01026</t>
  </si>
  <si>
    <t>Grasim Industries Ltd.</t>
  </si>
  <si>
    <t>INE047A01021</t>
  </si>
  <si>
    <t>Jio Financial Services Ltd.</t>
  </si>
  <si>
    <t>INE758E01017</t>
  </si>
  <si>
    <t>Hindalco Industries Ltd.</t>
  </si>
  <si>
    <t>INE038A01020</t>
  </si>
  <si>
    <t>Non - Ferrous Metals</t>
  </si>
  <si>
    <t>JSW Steel Ltd.</t>
  </si>
  <si>
    <t>INE019A01038</t>
  </si>
  <si>
    <t>Adani Ports and Special Economic Zone Ltd.</t>
  </si>
  <si>
    <t>INE742F01042</t>
  </si>
  <si>
    <t>Transport Infrastructure</t>
  </si>
  <si>
    <t>Tech Mahindra Ltd.</t>
  </si>
  <si>
    <t>INE669C01036</t>
  </si>
  <si>
    <t>Cipla Ltd.</t>
  </si>
  <si>
    <t>INE059A01026</t>
  </si>
  <si>
    <t>HDFC Life Insurance Company Ltd.</t>
  </si>
  <si>
    <t>INE795G01014</t>
  </si>
  <si>
    <t>Insurance</t>
  </si>
  <si>
    <t>Shriram Finance Ltd.</t>
  </si>
  <si>
    <t>INE721A01047</t>
  </si>
  <si>
    <t>SBI Life Insurance Co. Ltd.</t>
  </si>
  <si>
    <t>INE123W01016</t>
  </si>
  <si>
    <t>TVS Motor Company Ltd.</t>
  </si>
  <si>
    <t>INE494B01023</t>
  </si>
  <si>
    <t>Apollo Hospitals Enterprise Ltd.</t>
  </si>
  <si>
    <t>INE437A01024</t>
  </si>
  <si>
    <t>Healthcare Services</t>
  </si>
  <si>
    <t>Dr. Reddy's Laboratories Ltd.</t>
  </si>
  <si>
    <t>INE089A01031</t>
  </si>
  <si>
    <t>Avenue Supermarts Ltd.</t>
  </si>
  <si>
    <t>INE192R01011</t>
  </si>
  <si>
    <t>Tata Consumer Products Ltd.</t>
  </si>
  <si>
    <t>INE192A01025</t>
  </si>
  <si>
    <t>Agricultural Food &amp; other Products</t>
  </si>
  <si>
    <t>The Indian Hotels Company Ltd.</t>
  </si>
  <si>
    <t>INE053A01029</t>
  </si>
  <si>
    <t>Leisure Services</t>
  </si>
  <si>
    <t>Hero MotoCorp Ltd.</t>
  </si>
  <si>
    <t>INE158A01026</t>
  </si>
  <si>
    <t>Varun Beverages Ltd.</t>
  </si>
  <si>
    <t>INE200M01039</t>
  </si>
  <si>
    <t>Beverages</t>
  </si>
  <si>
    <t>Cholamandalam Investment &amp; Finance Co. Ltd.</t>
  </si>
  <si>
    <t>INE121A01024</t>
  </si>
  <si>
    <t>Bharat Petroleum Corporation Ltd.</t>
  </si>
  <si>
    <t>INE029A01011</t>
  </si>
  <si>
    <t>Adani Enterprises Ltd.</t>
  </si>
  <si>
    <t>INE423A01024</t>
  </si>
  <si>
    <t>Metals &amp; Minerals Trading</t>
  </si>
  <si>
    <t>Info Edge (India) Ltd.</t>
  </si>
  <si>
    <t>INE663F01032</t>
  </si>
  <si>
    <t>Godrej Consumer Products Ltd.</t>
  </si>
  <si>
    <t>INE102D01028</t>
  </si>
  <si>
    <t>Personal Products</t>
  </si>
  <si>
    <t>LTIMindtree Ltd.</t>
  </si>
  <si>
    <t>INE214T01019</t>
  </si>
  <si>
    <t>DLF Ltd.</t>
  </si>
  <si>
    <t>INE271C01023</t>
  </si>
  <si>
    <t>Realty</t>
  </si>
  <si>
    <t>Adani Power Ltd.</t>
  </si>
  <si>
    <t>INE814H01011</t>
  </si>
  <si>
    <t>Pidilite Industries Ltd.</t>
  </si>
  <si>
    <t>INE318A01026</t>
  </si>
  <si>
    <t>Chemicals &amp; Petrochemicals</t>
  </si>
  <si>
    <t>GAIL (India) Ltd.</t>
  </si>
  <si>
    <t>INE129A01019</t>
  </si>
  <si>
    <t>Gas</t>
  </si>
  <si>
    <t>CG Power and Industrial Solutions Ltd.</t>
  </si>
  <si>
    <t>INE067A01029</t>
  </si>
  <si>
    <t>Electrical Equipment</t>
  </si>
  <si>
    <t>ICICI Lombard General Insurance Company Ltd.</t>
  </si>
  <si>
    <t>INE765G01017</t>
  </si>
  <si>
    <t>REC Ltd.</t>
  </si>
  <si>
    <t>INE020B01018</t>
  </si>
  <si>
    <t>Shree Cement Ltd.</t>
  </si>
  <si>
    <t>INE070A01015</t>
  </si>
  <si>
    <t>Ambuja Cements Ltd.</t>
  </si>
  <si>
    <t>INE079A01024</t>
  </si>
  <si>
    <t>Bosch Ltd.</t>
  </si>
  <si>
    <t>INE323A01026</t>
  </si>
  <si>
    <t>Auto Components</t>
  </si>
  <si>
    <t>Lodha Developers Ltd.</t>
  </si>
  <si>
    <t>INE670K01029</t>
  </si>
  <si>
    <t>Dabur India Ltd.</t>
  </si>
  <si>
    <t>INE016A01026</t>
  </si>
  <si>
    <t>Adani Green Energy Ltd.</t>
  </si>
  <si>
    <t>INE364U01010</t>
  </si>
  <si>
    <t>Adani Energy Solutions Ltd.</t>
  </si>
  <si>
    <t>INE931S01010</t>
  </si>
  <si>
    <t>Siemens Ltd.</t>
  </si>
  <si>
    <t>INE003A01024</t>
  </si>
  <si>
    <t>ABB India Ltd.</t>
  </si>
  <si>
    <t>INE117A01022</t>
  </si>
  <si>
    <t>JSW Energy Ltd.</t>
  </si>
  <si>
    <t>INE121E01018</t>
  </si>
  <si>
    <t>Zydus Lifesciences Ltd.</t>
  </si>
  <si>
    <t>INE010B01027</t>
  </si>
  <si>
    <t>Sub Total</t>
  </si>
  <si>
    <t>Weighted Average Fund Score</t>
  </si>
  <si>
    <t>(b) Unlisted</t>
  </si>
  <si>
    <t>NIL</t>
  </si>
  <si>
    <t>Total</t>
  </si>
  <si>
    <t>DEBT INSTRUMENTS</t>
  </si>
  <si>
    <t>(a) Listed / awaiting listing on Stock Exchange</t>
  </si>
  <si>
    <t>6% TVS Motor Company Ltd. NCRPS (MD 01/09/2026) A** $$</t>
  </si>
  <si>
    <t>INE494B04019</t>
  </si>
  <si>
    <t>CARE AA+</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</si>
  <si>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</si>
  <si>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</si>
  <si>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</si>
  <si>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</si>
  <si>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</si>
  <si>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</si>
  <si>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</si>
  <si>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</si>
  <si>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</si>
  <si>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</si>
  <si>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</si>
  <si>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</si>
  <si>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</si>
  <si>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A** Awaiting Listing</t>
  </si>
  <si>
    <t>$$ Non-Convertible Redeemable Preference shares</t>
  </si>
  <si>
    <t> Notes &amp; Symbols :-</t>
  </si>
  <si>
    <t>(1)  The provision made for below investment grade or default securities as of Aug 31 2025. is Rs. Nil and its percentage to Net Asset Value is Nil.</t>
  </si>
  <si>
    <t>(2)  Total value and percentage of Illiquid Equity Shares: Nil.</t>
  </si>
  <si>
    <t>(3)  Net Assets Value per unit (in Rupees) are as follows:</t>
  </si>
  <si>
    <t>Plan/Option</t>
  </si>
  <si>
    <t xml:space="preserve"> As on August 29 2025</t>
  </si>
  <si>
    <t xml:space="preserve"> As on July 31 2025</t>
  </si>
  <si>
    <t>Regular Plan - Growth Option</t>
  </si>
  <si>
    <t>(4)  No Income Distribution Cum Capital Withdrawal  was declared during the month ended Aug 31 2025.</t>
  </si>
  <si>
    <t>(5)  No Bonus declared during the month ended Aug 31 2025.</t>
  </si>
  <si>
    <t>(6)  Total outstanding exposure in derivative instruments as on Aug 31 2025.  is Nil.</t>
  </si>
  <si>
    <t>(7)  Total investments in Foreign Securities / Overseas ETFs / ADRs / GDRs as on Aug 31 2025. is Nil.</t>
  </si>
  <si>
    <t>(8)  During the period, the portfolio turnover ratio is 0.31 times.</t>
  </si>
  <si>
    <t>(9)  The Face Value per unit is Rs. 17.5/-</t>
  </si>
  <si>
    <t>(10) Investments in Fixed Deposits : Nil.</t>
  </si>
  <si>
    <t>(11) Repo in Corporate Debt is Nil.</t>
  </si>
  <si>
    <t xml:space="preserve">(12)Total value of short term deposit(s) : Nil </t>
  </si>
  <si>
    <t>*Note: This section contains information developed by Stakeholders Empowerment Services. Such information and data are proprietary of Stakeholders Empowerment Services and/or its third party suppliers (Third Party Data) and are provided for informational purposes only. They do not constitute an endorsement of any product or project, nor an investment advice and are not warranted to be complete, timely, accurate or suitable for a particular purpose. Their use is subject to conditions available at https://www.sesgovernance.com/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</si>
</sst>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0"/>
  </numFmts>
  <fonts count="10" x14ac:knownFonts="1">
    <font>
      <sz val="11"/>
      <color rgb="FF000000"/>
      <name val="Aptos Narrow"/>
      <scheme val="minor"/>
    </font>
    <font>
      <u/>
      <sz val="11"/>
      <color rgb="FF0563C1"/>
      <name val="Calibri"/>
      <family val="2"/>
    </font>
    <font>
      <b/>
      <sz val="18"/>
      <color rgb="FF000000"/>
      <name val="Arial"/>
      <family val="2"/>
    </font>
    <font>
      <sz val="9"/>
      <color rgb="FF000000"/>
      <name val="Arial"/>
      <family val="2"/>
    </font>
    <font>
      <sz val="11"/>
      <color rgb="FF000000"/>
      <name val="Calibri"/>
      <family val="2"/>
    </font>
    <font>
      <sz val="10"/>
      <color rgb="FF000000"/>
      <name val="Arial"/>
      <family val="2"/>
    </font>
    <font>
      <b/>
      <sz val="10"/>
      <color rgb="FF000000"/>
      <name val="Arial"/>
      <family val="2"/>
    </font>
    <font>
      <b/>
      <sz val="9"/>
      <color rgb="FF000000"/>
      <name val="Arial"/>
      <family val="2"/>
    </font>
    <font>
      <sz val="9"/>
      <color rgb="FFFFFFFF"/>
      <name val="Arial"/>
      <family val="2"/>
    </font>
    <font>
      <b/>
      <sz val="11"/>
      <color rgb="FF000000"/>
      <name val="Aptos Narrow"/>
      <family val="2"/>
      <scheme val="minor"/>
    </font>
  </fonts>
  <fills count="3">
    <fill>
      <patternFill patternType="none"/>
    </fill>
    <fill>
      <patternFill patternType="gray125"/>
    </fill>
    <fill>
      <patternFill patternType="solid">
        <fgColor rgb="FFFFFFFF"/>
        <bgColor rgb="FFFFFFFF"/>
      </patternFill>
    </fill>
  </fills>
  <borders count="40">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00">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vertical="center" wrapText="1"/>
    </xf>
    <xf numFmtId="0" fontId="3" fillId="0" borderId="0" xfId="0" applyFont="1" applyAlignment="1">
      <alignment vertical="top"/>
    </xf>
    <xf numFmtId="0" fontId="4"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vertical="center" wrapText="1"/>
    </xf>
    <xf numFmtId="0" fontId="3" fillId="0" borderId="0" xfId="0" applyFont="1" applyAlignment="1">
      <alignment horizontal="left" vertical="top"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wrapText="1"/>
    </xf>
    <xf numFmtId="0" fontId="6" fillId="2" borderId="8" xfId="0" applyFont="1" applyFill="1" applyBorder="1" applyAlignment="1">
      <alignment horizontal="center" vertical="center" wrapText="1"/>
    </xf>
    <xf numFmtId="0" fontId="6" fillId="0" borderId="0" xfId="0" applyFont="1" applyAlignment="1">
      <alignment horizontal="left" vertical="center" wrapText="1"/>
    </xf>
    <xf numFmtId="2" fontId="4" fillId="0" borderId="0" xfId="0" applyNumberFormat="1" applyFont="1" applyAlignment="1">
      <alignment wrapText="1"/>
    </xf>
    <xf numFmtId="10" fontId="4" fillId="0" borderId="0" xfId="0" applyNumberFormat="1" applyFont="1" applyAlignment="1">
      <alignment wrapText="1"/>
    </xf>
    <xf numFmtId="0" fontId="4" fillId="0" borderId="0" xfId="0" applyFont="1"/>
    <xf numFmtId="0" fontId="7" fillId="0" borderId="0" xfId="0" applyFont="1" applyAlignment="1">
      <alignment vertical="top"/>
    </xf>
    <xf numFmtId="0" fontId="8" fillId="0" borderId="0" xfId="0" applyFont="1" applyAlignment="1">
      <alignment vertical="top"/>
    </xf>
    <xf numFmtId="15" fontId="8"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4"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0" fontId="7" fillId="0" borderId="9" xfId="0" applyFont="1" applyBorder="1" applyAlignment="1">
      <alignment vertical="top"/>
    </xf>
    <xf numFmtId="0" fontId="7" fillId="0" borderId="10" xfId="0" applyFont="1" applyBorder="1" applyAlignment="1">
      <alignment horizontal="center" vertical="top"/>
    </xf>
    <xf numFmtId="164" fontId="7" fillId="0" borderId="10" xfId="0" applyNumberFormat="1" applyFont="1" applyBorder="1" applyAlignment="1">
      <alignment horizontal="center" vertical="top"/>
    </xf>
    <xf numFmtId="43" fontId="7" fillId="0" borderId="10" xfId="0" applyNumberFormat="1" applyFont="1" applyBorder="1" applyAlignment="1">
      <alignment horizontal="center" vertical="top" wrapText="1"/>
    </xf>
    <xf numFmtId="10"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xf>
    <xf numFmtId="2" fontId="7" fillId="0" borderId="12" xfId="0" applyNumberFormat="1" applyFont="1" applyBorder="1" applyAlignment="1">
      <alignment horizontal="center" vertical="top"/>
    </xf>
    <xf numFmtId="0" fontId="7" fillId="0" borderId="4" xfId="0" applyFont="1" applyBorder="1" applyAlignment="1">
      <alignment vertical="top"/>
    </xf>
    <xf numFmtId="0" fontId="3" fillId="0" borderId="13" xfId="0" applyFont="1" applyBorder="1" applyAlignment="1">
      <alignment vertical="top"/>
    </xf>
    <xf numFmtId="164" fontId="3" fillId="0" borderId="13" xfId="0" applyNumberFormat="1" applyFont="1" applyBorder="1" applyAlignment="1">
      <alignment vertical="top"/>
    </xf>
    <xf numFmtId="43" fontId="3" fillId="0" borderId="13" xfId="0" applyNumberFormat="1" applyFont="1" applyBorder="1" applyAlignment="1">
      <alignment horizontal="right" vertical="top"/>
    </xf>
    <xf numFmtId="10" fontId="3" fillId="0" borderId="14" xfId="0" applyNumberFormat="1" applyFont="1" applyBorder="1" applyAlignment="1">
      <alignment horizontal="right" vertical="top"/>
    </xf>
    <xf numFmtId="10" fontId="3" fillId="0" borderId="15" xfId="0" applyNumberFormat="1" applyFont="1" applyBorder="1" applyAlignment="1">
      <alignment vertical="top"/>
    </xf>
    <xf numFmtId="0" fontId="7" fillId="0" borderId="16" xfId="0" applyFont="1" applyBorder="1" applyAlignment="1">
      <alignment vertical="top"/>
    </xf>
    <xf numFmtId="0" fontId="3" fillId="0" borderId="17" xfId="0" applyFont="1" applyBorder="1" applyAlignment="1">
      <alignment vertical="top"/>
    </xf>
    <xf numFmtId="2" fontId="3" fillId="0" borderId="0" xfId="0" applyNumberFormat="1" applyFont="1" applyAlignment="1">
      <alignment vertical="top"/>
    </xf>
    <xf numFmtId="0" fontId="7" fillId="0" borderId="17" xfId="0" applyFont="1" applyBorder="1" applyAlignment="1">
      <alignment vertical="top"/>
    </xf>
    <xf numFmtId="43" fontId="7" fillId="0" borderId="18" xfId="0" applyNumberFormat="1" applyFont="1" applyBorder="1" applyAlignment="1">
      <alignment horizontal="right" vertical="top"/>
    </xf>
    <xf numFmtId="10" fontId="7" fillId="0" borderId="19" xfId="0" applyNumberFormat="1" applyFont="1" applyBorder="1" applyAlignment="1">
      <alignment horizontal="right" vertical="top"/>
    </xf>
    <xf numFmtId="0" fontId="9" fillId="0" borderId="0" xfId="0" applyFont="1"/>
    <xf numFmtId="43" fontId="7" fillId="0" borderId="20" xfId="0" applyNumberFormat="1" applyFont="1" applyBorder="1" applyAlignment="1">
      <alignment horizontal="right" vertical="top"/>
    </xf>
    <xf numFmtId="10" fontId="7" fillId="0" borderId="21" xfId="0" applyNumberFormat="1" applyFont="1" applyBorder="1" applyAlignment="1">
      <alignment horizontal="right" vertical="top"/>
    </xf>
    <xf numFmtId="164" fontId="3" fillId="0" borderId="14" xfId="0" applyNumberFormat="1" applyFont="1" applyBorder="1" applyAlignment="1">
      <alignment vertical="top"/>
    </xf>
    <xf numFmtId="10" fontId="7" fillId="0" borderId="18" xfId="0" applyNumberFormat="1" applyFont="1" applyBorder="1" applyAlignment="1">
      <alignment horizontal="right" vertical="top"/>
    </xf>
    <xf numFmtId="10" fontId="3" fillId="0" borderId="22" xfId="0" applyNumberFormat="1" applyFont="1" applyBorder="1" applyAlignment="1">
      <alignment vertical="top"/>
    </xf>
    <xf numFmtId="0" fontId="7" fillId="0" borderId="23" xfId="0" applyFont="1" applyBorder="1" applyAlignment="1">
      <alignment vertical="top"/>
    </xf>
    <xf numFmtId="0" fontId="3" fillId="0" borderId="18" xfId="0" applyFont="1" applyBorder="1" applyAlignment="1">
      <alignment vertical="top"/>
    </xf>
    <xf numFmtId="164" fontId="3" fillId="0" borderId="18" xfId="0" applyNumberFormat="1" applyFont="1" applyBorder="1" applyAlignment="1">
      <alignment vertical="top"/>
    </xf>
    <xf numFmtId="43" fontId="7" fillId="0" borderId="24" xfId="0" applyNumberFormat="1" applyFont="1" applyBorder="1" applyAlignment="1">
      <alignment horizontal="right" vertical="top"/>
    </xf>
    <xf numFmtId="10" fontId="7" fillId="0" borderId="25" xfId="0" applyNumberFormat="1" applyFont="1" applyBorder="1" applyAlignment="1">
      <alignment horizontal="right" vertical="top"/>
    </xf>
    <xf numFmtId="10" fontId="3" fillId="0" borderId="26" xfId="0" applyNumberFormat="1" applyFont="1" applyBorder="1" applyAlignment="1">
      <alignment vertical="top"/>
    </xf>
    <xf numFmtId="0" fontId="3" fillId="0" borderId="27" xfId="0" applyFont="1" applyBorder="1" applyAlignment="1">
      <alignment vertical="top"/>
    </xf>
    <xf numFmtId="0" fontId="3" fillId="0" borderId="24" xfId="0" applyFont="1" applyBorder="1" applyAlignment="1">
      <alignment vertical="top"/>
    </xf>
    <xf numFmtId="164" fontId="3" fillId="0" borderId="24" xfId="0" applyNumberFormat="1" applyFont="1" applyBorder="1" applyAlignment="1">
      <alignment vertical="top"/>
    </xf>
    <xf numFmtId="43" fontId="3" fillId="0" borderId="24" xfId="0" applyNumberFormat="1" applyFont="1" applyBorder="1" applyAlignment="1">
      <alignment horizontal="right" vertical="top"/>
    </xf>
    <xf numFmtId="10" fontId="3" fillId="0" borderId="25" xfId="0" applyNumberFormat="1" applyFont="1" applyBorder="1" applyAlignment="1">
      <alignment horizontal="right" vertical="top"/>
    </xf>
    <xf numFmtId="10" fontId="3" fillId="0" borderId="28" xfId="0" applyNumberFormat="1" applyFont="1" applyBorder="1" applyAlignment="1">
      <alignment vertical="top"/>
    </xf>
    <xf numFmtId="10" fontId="7" fillId="0" borderId="20" xfId="0" applyNumberFormat="1" applyFont="1" applyBorder="1" applyAlignment="1">
      <alignment horizontal="right" vertical="top"/>
    </xf>
    <xf numFmtId="0" fontId="3" fillId="0" borderId="29" xfId="0" applyFont="1" applyBorder="1" applyAlignment="1">
      <alignment vertical="top"/>
    </xf>
    <xf numFmtId="0" fontId="3" fillId="0" borderId="30" xfId="0" applyFont="1" applyBorder="1" applyAlignment="1">
      <alignment vertical="top"/>
    </xf>
    <xf numFmtId="164" fontId="3" fillId="0" borderId="30" xfId="0" applyNumberFormat="1" applyFont="1" applyBorder="1" applyAlignment="1">
      <alignment vertical="top"/>
    </xf>
    <xf numFmtId="43" fontId="3" fillId="0" borderId="30" xfId="0" applyNumberFormat="1" applyFont="1" applyBorder="1" applyAlignment="1">
      <alignment horizontal="right" vertical="top"/>
    </xf>
    <xf numFmtId="10" fontId="3" fillId="0" borderId="31" xfId="0" applyNumberFormat="1" applyFont="1" applyBorder="1" applyAlignment="1">
      <alignment horizontal="right" vertical="top"/>
    </xf>
    <xf numFmtId="10" fontId="3" fillId="0" borderId="32" xfId="0" applyNumberFormat="1" applyFont="1" applyBorder="1" applyAlignment="1">
      <alignment vertical="top"/>
    </xf>
    <xf numFmtId="0" fontId="7" fillId="0" borderId="33" xfId="0" applyFont="1" applyBorder="1" applyAlignment="1">
      <alignment vertical="top"/>
    </xf>
    <xf numFmtId="0" fontId="3" fillId="0" borderId="20" xfId="0" applyFont="1" applyBorder="1" applyAlignment="1">
      <alignment vertical="top"/>
    </xf>
    <xf numFmtId="164" fontId="3" fillId="0" borderId="20" xfId="0" applyNumberFormat="1" applyFont="1" applyBorder="1" applyAlignment="1">
      <alignment vertical="top"/>
    </xf>
    <xf numFmtId="43" fontId="3" fillId="0" borderId="20" xfId="0" applyNumberFormat="1" applyFont="1" applyBorder="1" applyAlignment="1">
      <alignment horizontal="right" vertical="top"/>
    </xf>
    <xf numFmtId="10" fontId="3" fillId="0" borderId="21" xfId="0" applyNumberFormat="1" applyFont="1" applyBorder="1" applyAlignment="1">
      <alignment horizontal="right" vertical="top"/>
    </xf>
    <xf numFmtId="10" fontId="3" fillId="0" borderId="34" xfId="0" applyNumberFormat="1" applyFont="1" applyBorder="1" applyAlignment="1">
      <alignment vertical="top"/>
    </xf>
    <xf numFmtId="0" fontId="7" fillId="0" borderId="18" xfId="0" applyFont="1" applyBorder="1" applyAlignment="1">
      <alignment vertical="top"/>
    </xf>
    <xf numFmtId="164" fontId="7" fillId="0" borderId="18" xfId="0" applyNumberFormat="1" applyFont="1" applyBorder="1" applyAlignment="1">
      <alignment vertical="top"/>
    </xf>
    <xf numFmtId="10" fontId="7" fillId="0" borderId="26" xfId="0" applyNumberFormat="1" applyFont="1" applyBorder="1" applyAlignment="1">
      <alignment vertical="top"/>
    </xf>
    <xf numFmtId="0" fontId="7" fillId="0" borderId="0" xfId="0" applyFont="1"/>
    <xf numFmtId="0" fontId="3" fillId="0" borderId="35" xfId="0" applyFont="1" applyBorder="1" applyAlignment="1">
      <alignment vertical="top"/>
    </xf>
    <xf numFmtId="0" fontId="7" fillId="0" borderId="36" xfId="0" applyFont="1" applyBorder="1" applyAlignment="1">
      <alignment vertical="top"/>
    </xf>
    <xf numFmtId="0" fontId="7" fillId="0" borderId="37" xfId="0" applyFont="1" applyBorder="1" applyAlignment="1">
      <alignment vertical="top"/>
    </xf>
    <xf numFmtId="164" fontId="7" fillId="0" borderId="37" xfId="0" applyNumberFormat="1" applyFont="1" applyBorder="1" applyAlignment="1">
      <alignment vertical="top"/>
    </xf>
    <xf numFmtId="164" fontId="3" fillId="0" borderId="37" xfId="0" applyNumberFormat="1" applyFont="1" applyBorder="1" applyAlignment="1">
      <alignment vertical="top"/>
    </xf>
    <xf numFmtId="43" fontId="7" fillId="0" borderId="37" xfId="0" applyNumberFormat="1" applyFont="1" applyBorder="1" applyAlignment="1">
      <alignment horizontal="right" vertical="top"/>
    </xf>
    <xf numFmtId="10" fontId="7" fillId="0" borderId="38" xfId="0" applyNumberFormat="1" applyFont="1" applyBorder="1" applyAlignment="1">
      <alignment horizontal="right" vertical="top"/>
    </xf>
    <xf numFmtId="10" fontId="3" fillId="0" borderId="39" xfId="0" applyNumberFormat="1" applyFont="1" applyBorder="1" applyAlignment="1">
      <alignment vertical="top"/>
    </xf>
    <xf numFmtId="164" fontId="3" fillId="0" borderId="0" xfId="0" applyNumberFormat="1" applyFont="1" applyAlignment="1">
      <alignment vertical="top"/>
    </xf>
    <xf numFmtId="0" fontId="7" fillId="0" borderId="0" xfId="0" applyFont="1" applyAlignment="1">
      <alignment horizontal="center" vertical="top"/>
    </xf>
    <xf numFmtId="164" fontId="7" fillId="0" borderId="0" xfId="0" applyNumberFormat="1" applyFont="1" applyAlignment="1">
      <alignment horizontal="center" vertical="top"/>
    </xf>
    <xf numFmtId="43" fontId="7" fillId="0" borderId="0" xfId="0" applyNumberFormat="1" applyFont="1" applyAlignment="1">
      <alignment vertical="top"/>
    </xf>
    <xf numFmtId="10" fontId="7" fillId="0" borderId="0" xfId="0" applyNumberFormat="1" applyFont="1" applyAlignment="1">
      <alignment vertical="top"/>
    </xf>
    <xf numFmtId="165" fontId="3" fillId="0" borderId="0" xfId="0" applyNumberFormat="1" applyFont="1" applyAlignment="1">
      <alignment horizontal="center" vertical="top"/>
    </xf>
    <xf numFmtId="0" fontId="5"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94DFAC0F-EB3C-4C29-93A1-049DDE947273}"/>
            </a:ext>
          </a:extLst>
        </xdr:cNvPr>
        <xdr:cNvPicPr>
          <a:picLocks noChangeAspect="1"/>
        </xdr:cNvPicPr>
      </xdr:nvPicPr>
      <xdr:blipFill>
        <a:blip xmlns:r="http://schemas.openxmlformats.org/officeDocument/2006/relationships" r:embed="rId1"/>
        <a:stretch>
          <a:fillRect/>
        </a:stretch>
      </xdr:blipFill>
      <xdr:spPr>
        <a:xfrm>
          <a:off x="257175" y="0"/>
          <a:ext cx="847725" cy="266700"/>
        </a:xfrm>
        <a:prstGeom prst="rect">
          <a:avLst/>
        </a:prstGeom>
      </xdr:spPr>
    </xdr:pic>
    <xdr:clientData/>
  </xdr:oneCellAnchor>
  <xdr:oneCellAnchor>
    <xdr:from>
      <xdr:col>1</xdr:col>
      <xdr:colOff>0</xdr:colOff>
      <xdr:row>127</xdr:row>
      <xdr:rowOff>0</xdr:rowOff>
    </xdr:from>
    <xdr:ext cx="8715375" cy="2038350"/>
    <xdr:pic>
      <xdr:nvPicPr>
        <xdr:cNvPr id="3" name="Picture 2">
          <a:extLst>
            <a:ext uri="{FF2B5EF4-FFF2-40B4-BE49-F238E27FC236}">
              <a16:creationId xmlns:a16="http://schemas.microsoft.com/office/drawing/2014/main" id="{D932FCCE-97E0-49DC-A11E-9E2BA5F331DC}"/>
            </a:ext>
          </a:extLst>
        </xdr:cNvPr>
        <xdr:cNvPicPr>
          <a:picLocks noChangeAspect="1"/>
        </xdr:cNvPicPr>
      </xdr:nvPicPr>
      <xdr:blipFill>
        <a:blip xmlns:r="http://schemas.openxmlformats.org/officeDocument/2006/relationships" r:embed="rId2"/>
        <a:stretch>
          <a:fillRect/>
        </a:stretch>
      </xdr:blipFill>
      <xdr:spPr>
        <a:xfrm>
          <a:off x="219075" y="24345900"/>
          <a:ext cx="8715375" cy="20383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cuments\KRA\Equity%20Monthly%20Portfolio\31-08-2025\Passive%20Monthly%20Portfolio%20%20-%2031-08-2025.xlsx" TargetMode="External"/><Relationship Id="rId1" Type="http://schemas.openxmlformats.org/officeDocument/2006/relationships/externalLinkPath" Target="Passive%20Monthly%20Portfolio%20%20-%2031-08-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0FD83-EB1C-4F50-AA59-311969780580}">
  <sheetPr codeName="Sheet52"/>
  <dimension ref="A1:HK144"/>
  <sheetViews>
    <sheetView showGridLines="0" tabSelected="1" zoomScale="90" zoomScaleNormal="90" workbookViewId="0">
      <pane ySplit="9" topLeftCell="A10" activePane="bottomLeft" state="frozen"/>
      <selection pane="bottomLeft" activeCell="D151" sqref="D151"/>
    </sheetView>
  </sheetViews>
  <sheetFormatPr defaultColWidth="13.85546875" defaultRowHeight="15" x14ac:dyDescent="0.25"/>
  <cols>
    <col min="1" max="1" width="3.28515625" style="5" customWidth="1"/>
    <col min="2" max="2" width="72.7109375" style="5" customWidth="1"/>
    <col min="3" max="3" width="41.7109375" style="5" customWidth="1"/>
    <col min="4" max="4" width="33.28515625" style="5" customWidth="1"/>
    <col min="5" max="5" width="16.7109375" style="93" customWidth="1"/>
    <col min="6" max="6" width="16.7109375" style="24" customWidth="1"/>
    <col min="7" max="8" width="16.7109375" style="25" customWidth="1"/>
    <col min="9" max="219" width="13.85546875" style="5"/>
  </cols>
  <sheetData>
    <row r="1" spans="1:9" ht="23.25" x14ac:dyDescent="0.25">
      <c r="A1" s="1"/>
      <c r="B1" s="2" t="s">
        <v>0</v>
      </c>
      <c r="C1" s="3"/>
      <c r="D1" s="3"/>
      <c r="E1" s="3"/>
      <c r="F1" s="3"/>
      <c r="G1" s="3"/>
      <c r="H1" s="3"/>
      <c r="I1" s="4"/>
    </row>
    <row r="2" spans="1:9" ht="8.4499999999999993" customHeight="1" x14ac:dyDescent="0.25">
      <c r="A2" s="6"/>
      <c r="B2" s="7"/>
      <c r="C2" s="8"/>
      <c r="D2" s="8"/>
      <c r="E2" s="8"/>
      <c r="F2" s="8"/>
      <c r="G2" s="8"/>
      <c r="H2" s="8"/>
      <c r="I2" s="9"/>
    </row>
    <row r="3" spans="1:9" x14ac:dyDescent="0.25">
      <c r="A3" s="10"/>
      <c r="B3" s="11" t="s">
        <v>1</v>
      </c>
      <c r="C3" s="12"/>
      <c r="D3" s="12"/>
      <c r="E3" s="12"/>
      <c r="F3" s="12"/>
      <c r="G3" s="12"/>
      <c r="H3" s="12"/>
      <c r="I3" s="13"/>
    </row>
    <row r="4" spans="1:9" x14ac:dyDescent="0.25">
      <c r="A4" s="6"/>
      <c r="B4" s="11"/>
      <c r="C4" s="12"/>
      <c r="D4" s="12"/>
      <c r="E4" s="12"/>
      <c r="F4" s="12"/>
      <c r="G4" s="12"/>
      <c r="H4" s="12"/>
      <c r="I4" s="13"/>
    </row>
    <row r="5" spans="1:9" ht="15.75" thickBot="1" x14ac:dyDescent="0.3">
      <c r="A5" s="6"/>
      <c r="B5" s="14" t="s">
        <v>2</v>
      </c>
      <c r="C5" s="15"/>
      <c r="D5" s="15"/>
      <c r="E5" s="15"/>
      <c r="F5" s="15"/>
      <c r="G5" s="15"/>
      <c r="H5" s="15"/>
      <c r="I5" s="16"/>
    </row>
    <row r="6" spans="1:9" x14ac:dyDescent="0.25">
      <c r="A6" s="6"/>
      <c r="B6" s="17" t="s">
        <v>3</v>
      </c>
      <c r="C6" s="6"/>
      <c r="D6" s="6"/>
      <c r="E6" s="6"/>
      <c r="F6" s="18"/>
      <c r="G6" s="19"/>
      <c r="H6" s="6"/>
      <c r="I6" s="20"/>
    </row>
    <row r="7" spans="1:9" x14ac:dyDescent="0.25">
      <c r="B7" s="21"/>
      <c r="C7" s="22"/>
      <c r="E7" s="23"/>
    </row>
    <row r="8" spans="1:9" ht="15.75" customHeight="1" thickBot="1" x14ac:dyDescent="0.3">
      <c r="A8" s="26"/>
      <c r="B8" s="27" t="s">
        <v>4</v>
      </c>
      <c r="D8" s="27"/>
      <c r="E8" s="28"/>
      <c r="F8" s="29"/>
      <c r="G8" s="30"/>
      <c r="H8" s="30"/>
    </row>
    <row r="9" spans="1:9" ht="24" customHeight="1" x14ac:dyDescent="0.25">
      <c r="B9" s="31" t="s">
        <v>5</v>
      </c>
      <c r="C9" s="32" t="s">
        <v>6</v>
      </c>
      <c r="D9" s="32" t="s">
        <v>7</v>
      </c>
      <c r="E9" s="33" t="s">
        <v>8</v>
      </c>
      <c r="F9" s="34" t="s">
        <v>9</v>
      </c>
      <c r="G9" s="35" t="s">
        <v>10</v>
      </c>
      <c r="H9" s="36" t="s">
        <v>11</v>
      </c>
      <c r="I9" s="37" t="s">
        <v>12</v>
      </c>
    </row>
    <row r="10" spans="1:9" x14ac:dyDescent="0.25">
      <c r="A10" s="22"/>
      <c r="B10" s="38" t="s">
        <v>13</v>
      </c>
      <c r="C10" s="39"/>
      <c r="D10" s="39"/>
      <c r="E10" s="40"/>
      <c r="F10" s="41"/>
      <c r="G10" s="42"/>
      <c r="H10" s="43"/>
    </row>
    <row r="11" spans="1:9" x14ac:dyDescent="0.25">
      <c r="B11" s="44" t="s">
        <v>14</v>
      </c>
      <c r="C11" s="39"/>
      <c r="D11" s="39"/>
      <c r="E11" s="40"/>
      <c r="F11" s="41"/>
      <c r="G11" s="42"/>
      <c r="H11" s="43"/>
    </row>
    <row r="12" spans="1:9" x14ac:dyDescent="0.25">
      <c r="A12" s="22"/>
      <c r="B12" s="45" t="s">
        <v>15</v>
      </c>
      <c r="C12" s="39" t="s">
        <v>16</v>
      </c>
      <c r="D12" s="39" t="s">
        <v>17</v>
      </c>
      <c r="E12" s="40">
        <v>84419</v>
      </c>
      <c r="F12" s="41">
        <v>1180.01</v>
      </c>
      <c r="G12" s="42">
        <v>0.10056277534543</v>
      </c>
      <c r="H12" s="43"/>
      <c r="I12" s="46">
        <v>76.7</v>
      </c>
    </row>
    <row r="13" spans="1:9" x14ac:dyDescent="0.25">
      <c r="A13" s="22"/>
      <c r="B13" s="45" t="s">
        <v>18</v>
      </c>
      <c r="C13" s="39" t="s">
        <v>19</v>
      </c>
      <c r="D13" s="39" t="s">
        <v>17</v>
      </c>
      <c r="E13" s="40">
        <v>121568</v>
      </c>
      <c r="F13" s="41">
        <v>1156.8399999999999</v>
      </c>
      <c r="G13" s="42">
        <v>9.8588376813370002E-2</v>
      </c>
      <c r="H13" s="43"/>
      <c r="I13" s="46">
        <v>80.099999999999994</v>
      </c>
    </row>
    <row r="14" spans="1:9" x14ac:dyDescent="0.25">
      <c r="A14" s="22"/>
      <c r="B14" s="45" t="s">
        <v>20</v>
      </c>
      <c r="C14" s="39" t="s">
        <v>21</v>
      </c>
      <c r="D14" s="39" t="s">
        <v>22</v>
      </c>
      <c r="E14" s="40">
        <v>82031</v>
      </c>
      <c r="F14" s="41">
        <v>1113.32</v>
      </c>
      <c r="G14" s="42">
        <v>9.4879823454250001E-2</v>
      </c>
      <c r="H14" s="43"/>
      <c r="I14" s="46">
        <v>69</v>
      </c>
    </row>
    <row r="15" spans="1:9" x14ac:dyDescent="0.25">
      <c r="A15" s="22"/>
      <c r="B15" s="45" t="s">
        <v>23</v>
      </c>
      <c r="C15" s="39" t="s">
        <v>24</v>
      </c>
      <c r="D15" s="39" t="s">
        <v>25</v>
      </c>
      <c r="E15" s="40">
        <v>47586</v>
      </c>
      <c r="F15" s="41">
        <v>699.32</v>
      </c>
      <c r="G15" s="42">
        <v>5.9597817319150002E-2</v>
      </c>
      <c r="H15" s="43"/>
      <c r="I15" s="46">
        <v>80.900000000000006</v>
      </c>
    </row>
    <row r="16" spans="1:9" x14ac:dyDescent="0.25">
      <c r="A16" s="22"/>
      <c r="B16" s="45" t="s">
        <v>26</v>
      </c>
      <c r="C16" s="39" t="s">
        <v>27</v>
      </c>
      <c r="D16" s="39" t="s">
        <v>28</v>
      </c>
      <c r="E16" s="40">
        <v>36007</v>
      </c>
      <c r="F16" s="41">
        <v>680.1</v>
      </c>
      <c r="G16" s="42">
        <v>5.7959539180770001E-2</v>
      </c>
      <c r="H16" s="43"/>
      <c r="I16" s="46">
        <v>74.5</v>
      </c>
    </row>
    <row r="17" spans="1:9" x14ac:dyDescent="0.25">
      <c r="A17" s="22"/>
      <c r="B17" s="45" t="s">
        <v>29</v>
      </c>
      <c r="C17" s="39" t="s">
        <v>30</v>
      </c>
      <c r="D17" s="39" t="s">
        <v>25</v>
      </c>
      <c r="E17" s="40">
        <v>13492</v>
      </c>
      <c r="F17" s="41">
        <v>416.19</v>
      </c>
      <c r="G17" s="42">
        <v>3.5468373819389998E-2</v>
      </c>
      <c r="H17" s="43"/>
      <c r="I17" s="46">
        <v>71.099999999999994</v>
      </c>
    </row>
    <row r="18" spans="1:9" x14ac:dyDescent="0.25">
      <c r="A18" s="22"/>
      <c r="B18" s="45" t="s">
        <v>31</v>
      </c>
      <c r="C18" s="39" t="s">
        <v>32</v>
      </c>
      <c r="D18" s="39" t="s">
        <v>33</v>
      </c>
      <c r="E18" s="40">
        <v>11673</v>
      </c>
      <c r="F18" s="41">
        <v>373.48</v>
      </c>
      <c r="G18" s="42">
        <v>3.1828532192269998E-2</v>
      </c>
      <c r="H18" s="43"/>
      <c r="I18" s="46">
        <v>74.900000000000006</v>
      </c>
    </row>
    <row r="19" spans="1:9" x14ac:dyDescent="0.25">
      <c r="A19" s="22"/>
      <c r="B19" s="45" t="s">
        <v>34</v>
      </c>
      <c r="C19" s="39" t="s">
        <v>35</v>
      </c>
      <c r="D19" s="39" t="s">
        <v>36</v>
      </c>
      <c r="E19" s="40">
        <v>11723</v>
      </c>
      <c r="F19" s="41">
        <v>311.81</v>
      </c>
      <c r="G19" s="42">
        <v>2.6572949229230002E-2</v>
      </c>
      <c r="H19" s="43"/>
      <c r="I19" s="46">
        <v>77.2</v>
      </c>
    </row>
    <row r="20" spans="1:9" x14ac:dyDescent="0.25">
      <c r="A20" s="22"/>
      <c r="B20" s="45" t="s">
        <v>37</v>
      </c>
      <c r="C20" s="39" t="s">
        <v>38</v>
      </c>
      <c r="D20" s="39" t="s">
        <v>39</v>
      </c>
      <c r="E20" s="40">
        <v>35106</v>
      </c>
      <c r="F20" s="41">
        <v>308.18</v>
      </c>
      <c r="G20" s="42">
        <v>2.6263564784399999E-2</v>
      </c>
      <c r="H20" s="43"/>
      <c r="I20" s="46">
        <v>78.7</v>
      </c>
    </row>
    <row r="21" spans="1:9" x14ac:dyDescent="0.25">
      <c r="A21" s="22"/>
      <c r="B21" s="45" t="s">
        <v>40</v>
      </c>
      <c r="C21" s="39" t="s">
        <v>41</v>
      </c>
      <c r="D21" s="39" t="s">
        <v>42</v>
      </c>
      <c r="E21" s="40">
        <v>91825</v>
      </c>
      <c r="F21" s="41">
        <v>288.27999999999997</v>
      </c>
      <c r="G21" s="42">
        <v>2.456820546638E-2</v>
      </c>
      <c r="H21" s="43"/>
      <c r="I21" s="46">
        <v>68.2</v>
      </c>
    </row>
    <row r="22" spans="1:9" x14ac:dyDescent="0.25">
      <c r="A22" s="22"/>
      <c r="B22" s="45" t="s">
        <v>43</v>
      </c>
      <c r="C22" s="39" t="s">
        <v>44</v>
      </c>
      <c r="D22" s="39" t="s">
        <v>33</v>
      </c>
      <c r="E22" s="40">
        <v>1733</v>
      </c>
      <c r="F22" s="41">
        <v>256.33</v>
      </c>
      <c r="G22" s="42">
        <v>2.1844801910659999E-2</v>
      </c>
      <c r="H22" s="43"/>
      <c r="I22" s="46">
        <v>74</v>
      </c>
    </row>
    <row r="23" spans="1:9" x14ac:dyDescent="0.25">
      <c r="A23" s="22"/>
      <c r="B23" s="45" t="s">
        <v>45</v>
      </c>
      <c r="C23" s="39" t="s">
        <v>46</v>
      </c>
      <c r="D23" s="39" t="s">
        <v>47</v>
      </c>
      <c r="E23" s="40">
        <v>14244</v>
      </c>
      <c r="F23" s="41">
        <v>227.12</v>
      </c>
      <c r="G23" s="42">
        <v>1.9355682950219999E-2</v>
      </c>
      <c r="H23" s="43"/>
      <c r="I23" s="46">
        <v>66.900000000000006</v>
      </c>
    </row>
    <row r="24" spans="1:9" x14ac:dyDescent="0.25">
      <c r="A24" s="22"/>
      <c r="B24" s="45" t="s">
        <v>48</v>
      </c>
      <c r="C24" s="39" t="s">
        <v>49</v>
      </c>
      <c r="D24" s="39" t="s">
        <v>25</v>
      </c>
      <c r="E24" s="40">
        <v>13995</v>
      </c>
      <c r="F24" s="41">
        <v>203.6</v>
      </c>
      <c r="G24" s="42">
        <v>1.7351147683130001E-2</v>
      </c>
      <c r="H24" s="43"/>
      <c r="I24" s="46">
        <v>79.900000000000006</v>
      </c>
    </row>
    <row r="25" spans="1:9" x14ac:dyDescent="0.25">
      <c r="A25" s="22"/>
      <c r="B25" s="45" t="s">
        <v>50</v>
      </c>
      <c r="C25" s="39" t="s">
        <v>51</v>
      </c>
      <c r="D25" s="39" t="s">
        <v>52</v>
      </c>
      <c r="E25" s="40">
        <v>1568</v>
      </c>
      <c r="F25" s="41">
        <v>198.2</v>
      </c>
      <c r="G25" s="42">
        <v>1.6890602575309999E-2</v>
      </c>
      <c r="H25" s="43"/>
      <c r="I25" s="46">
        <v>70.8</v>
      </c>
    </row>
    <row r="26" spans="1:9" x14ac:dyDescent="0.25">
      <c r="A26" s="22"/>
      <c r="B26" s="45" t="s">
        <v>53</v>
      </c>
      <c r="C26" s="39" t="s">
        <v>54</v>
      </c>
      <c r="D26" s="39" t="s">
        <v>55</v>
      </c>
      <c r="E26" s="40">
        <v>5449</v>
      </c>
      <c r="F26" s="41">
        <v>197.73</v>
      </c>
      <c r="G26" s="42">
        <v>1.6851239529980001E-2</v>
      </c>
      <c r="H26" s="43"/>
      <c r="I26" s="46">
        <v>71.099999999999994</v>
      </c>
    </row>
    <row r="27" spans="1:9" x14ac:dyDescent="0.25">
      <c r="A27" s="22"/>
      <c r="B27" s="45" t="s">
        <v>56</v>
      </c>
      <c r="C27" s="39" t="s">
        <v>57</v>
      </c>
      <c r="D27" s="39" t="s">
        <v>33</v>
      </c>
      <c r="E27" s="40">
        <v>27573</v>
      </c>
      <c r="F27" s="41">
        <v>184.46</v>
      </c>
      <c r="G27" s="42">
        <v>1.5720347780230001E-2</v>
      </c>
      <c r="H27" s="43"/>
      <c r="I27" s="46">
        <v>77.900000000000006</v>
      </c>
    </row>
    <row r="28" spans="1:9" x14ac:dyDescent="0.25">
      <c r="A28" s="22"/>
      <c r="B28" s="45" t="s">
        <v>58</v>
      </c>
      <c r="C28" s="39" t="s">
        <v>59</v>
      </c>
      <c r="D28" s="39" t="s">
        <v>60</v>
      </c>
      <c r="E28" s="40">
        <v>109248</v>
      </c>
      <c r="F28" s="41">
        <v>168.77</v>
      </c>
      <c r="G28" s="42">
        <v>1.438261207672E-2</v>
      </c>
      <c r="H28" s="43"/>
      <c r="I28" s="46">
        <v>69.3</v>
      </c>
    </row>
    <row r="29" spans="1:9" x14ac:dyDescent="0.25">
      <c r="A29" s="22"/>
      <c r="B29" s="45" t="s">
        <v>61</v>
      </c>
      <c r="C29" s="39" t="s">
        <v>62</v>
      </c>
      <c r="D29" s="39" t="s">
        <v>63</v>
      </c>
      <c r="E29" s="40">
        <v>59857</v>
      </c>
      <c r="F29" s="41">
        <v>164.76</v>
      </c>
      <c r="G29" s="42">
        <v>1.4040878626019999E-2</v>
      </c>
      <c r="H29" s="43"/>
      <c r="I29" s="46">
        <v>59.2</v>
      </c>
    </row>
    <row r="30" spans="1:9" x14ac:dyDescent="0.25">
      <c r="A30" s="22"/>
      <c r="B30" s="45" t="s">
        <v>64</v>
      </c>
      <c r="C30" s="39" t="s">
        <v>65</v>
      </c>
      <c r="D30" s="39" t="s">
        <v>42</v>
      </c>
      <c r="E30" s="40">
        <v>2936</v>
      </c>
      <c r="F30" s="41">
        <v>155.55000000000001</v>
      </c>
      <c r="G30" s="42">
        <v>1.3256229562349999E-2</v>
      </c>
      <c r="H30" s="43"/>
      <c r="I30" s="46">
        <v>68.900000000000006</v>
      </c>
    </row>
    <row r="31" spans="1:9" x14ac:dyDescent="0.25">
      <c r="A31" s="22"/>
      <c r="B31" s="45" t="s">
        <v>66</v>
      </c>
      <c r="C31" s="39" t="s">
        <v>67</v>
      </c>
      <c r="D31" s="39" t="s">
        <v>55</v>
      </c>
      <c r="E31" s="40">
        <v>5976</v>
      </c>
      <c r="F31" s="41">
        <v>150.51</v>
      </c>
      <c r="G31" s="42">
        <v>1.2826902657460001E-2</v>
      </c>
      <c r="H31" s="43"/>
      <c r="I31" s="46">
        <v>74.099999999999994</v>
      </c>
    </row>
    <row r="32" spans="1:9" x14ac:dyDescent="0.25">
      <c r="A32" s="22"/>
      <c r="B32" s="45" t="s">
        <v>68</v>
      </c>
      <c r="C32" s="39" t="s">
        <v>69</v>
      </c>
      <c r="D32" s="39" t="s">
        <v>52</v>
      </c>
      <c r="E32" s="40">
        <v>5046</v>
      </c>
      <c r="F32" s="41">
        <v>140.06</v>
      </c>
      <c r="G32" s="42">
        <v>1.193592650778E-2</v>
      </c>
      <c r="H32" s="43"/>
      <c r="I32" s="46">
        <v>67.099999999999994</v>
      </c>
    </row>
    <row r="33" spans="1:9" x14ac:dyDescent="0.25">
      <c r="A33" s="22"/>
      <c r="B33" s="45" t="s">
        <v>70</v>
      </c>
      <c r="C33" s="39" t="s">
        <v>71</v>
      </c>
      <c r="D33" s="39" t="s">
        <v>39</v>
      </c>
      <c r="E33" s="40">
        <v>43289</v>
      </c>
      <c r="F33" s="41">
        <v>134.93</v>
      </c>
      <c r="G33" s="42">
        <v>1.1499166620330001E-2</v>
      </c>
      <c r="H33" s="43"/>
      <c r="I33" s="46">
        <v>73.099999999999994</v>
      </c>
    </row>
    <row r="34" spans="1:9" x14ac:dyDescent="0.25">
      <c r="A34" s="22"/>
      <c r="B34" s="45" t="s">
        <v>72</v>
      </c>
      <c r="C34" s="39" t="s">
        <v>73</v>
      </c>
      <c r="D34" s="39" t="s">
        <v>74</v>
      </c>
      <c r="E34" s="40">
        <v>19131</v>
      </c>
      <c r="F34" s="41">
        <v>134.66999999999999</v>
      </c>
      <c r="G34" s="42">
        <v>1.147708230438E-2</v>
      </c>
      <c r="H34" s="43"/>
      <c r="I34" s="46">
        <v>64.7</v>
      </c>
    </row>
    <row r="35" spans="1:9" x14ac:dyDescent="0.25">
      <c r="A35" s="22"/>
      <c r="B35" s="45" t="s">
        <v>75</v>
      </c>
      <c r="C35" s="39" t="s">
        <v>76</v>
      </c>
      <c r="D35" s="39" t="s">
        <v>60</v>
      </c>
      <c r="E35" s="40">
        <v>12538</v>
      </c>
      <c r="F35" s="41">
        <v>128.72</v>
      </c>
      <c r="G35" s="42">
        <v>1.0969366234229999E-2</v>
      </c>
      <c r="H35" s="43"/>
      <c r="I35" s="46">
        <v>65.7</v>
      </c>
    </row>
    <row r="36" spans="1:9" x14ac:dyDescent="0.25">
      <c r="A36" s="22"/>
      <c r="B36" s="45" t="s">
        <v>77</v>
      </c>
      <c r="C36" s="39" t="s">
        <v>78</v>
      </c>
      <c r="D36" s="39" t="s">
        <v>79</v>
      </c>
      <c r="E36" s="40">
        <v>9749</v>
      </c>
      <c r="F36" s="41">
        <v>127.98</v>
      </c>
      <c r="G36" s="42">
        <v>1.090713402042E-2</v>
      </c>
      <c r="H36" s="43"/>
      <c r="I36" s="46">
        <v>74.599999999999994</v>
      </c>
    </row>
    <row r="37" spans="1:9" x14ac:dyDescent="0.25">
      <c r="A37" s="22"/>
      <c r="B37" s="45" t="s">
        <v>80</v>
      </c>
      <c r="C37" s="39" t="s">
        <v>81</v>
      </c>
      <c r="D37" s="39" t="s">
        <v>25</v>
      </c>
      <c r="E37" s="40">
        <v>8382</v>
      </c>
      <c r="F37" s="41">
        <v>124.17</v>
      </c>
      <c r="G37" s="42">
        <v>1.0582103572979999E-2</v>
      </c>
      <c r="H37" s="43"/>
      <c r="I37" s="46">
        <v>77.900000000000006</v>
      </c>
    </row>
    <row r="38" spans="1:9" x14ac:dyDescent="0.25">
      <c r="A38" s="22"/>
      <c r="B38" s="45" t="s">
        <v>82</v>
      </c>
      <c r="C38" s="39" t="s">
        <v>83</v>
      </c>
      <c r="D38" s="39" t="s">
        <v>47</v>
      </c>
      <c r="E38" s="40">
        <v>7431</v>
      </c>
      <c r="F38" s="41">
        <v>118.11</v>
      </c>
      <c r="G38" s="42">
        <v>1.0065433434379999E-2</v>
      </c>
      <c r="H38" s="43"/>
      <c r="I38" s="46">
        <v>69.3</v>
      </c>
    </row>
    <row r="39" spans="1:9" x14ac:dyDescent="0.25">
      <c r="A39" s="22"/>
      <c r="B39" s="45" t="s">
        <v>84</v>
      </c>
      <c r="C39" s="39" t="s">
        <v>85</v>
      </c>
      <c r="D39" s="39" t="s">
        <v>86</v>
      </c>
      <c r="E39" s="40">
        <v>14157</v>
      </c>
      <c r="F39" s="41">
        <v>109.3</v>
      </c>
      <c r="G39" s="42">
        <v>9.3146956758599995E-3</v>
      </c>
      <c r="H39" s="43"/>
      <c r="I39" s="46">
        <v>76</v>
      </c>
    </row>
    <row r="40" spans="1:9" x14ac:dyDescent="0.25">
      <c r="A40" s="22"/>
      <c r="B40" s="45" t="s">
        <v>87</v>
      </c>
      <c r="C40" s="39" t="s">
        <v>88</v>
      </c>
      <c r="D40" s="39" t="s">
        <v>39</v>
      </c>
      <c r="E40" s="40">
        <v>18491</v>
      </c>
      <c r="F40" s="41">
        <v>107.29</v>
      </c>
      <c r="G40" s="42">
        <v>9.1438176969300001E-3</v>
      </c>
      <c r="H40" s="43"/>
      <c r="I40" s="46">
        <v>81.099999999999994</v>
      </c>
    </row>
    <row r="41" spans="1:9" x14ac:dyDescent="0.25">
      <c r="A41" s="22"/>
      <c r="B41" s="45" t="s">
        <v>89</v>
      </c>
      <c r="C41" s="39" t="s">
        <v>90</v>
      </c>
      <c r="D41" s="39" t="s">
        <v>86</v>
      </c>
      <c r="E41" s="40">
        <v>5923</v>
      </c>
      <c r="F41" s="41">
        <v>106.94</v>
      </c>
      <c r="G41" s="42">
        <v>9.1136267180700007E-3</v>
      </c>
      <c r="H41" s="43"/>
      <c r="I41" s="46">
        <v>74.3</v>
      </c>
    </row>
    <row r="42" spans="1:9" x14ac:dyDescent="0.25">
      <c r="A42" s="22"/>
      <c r="B42" s="45" t="s">
        <v>91</v>
      </c>
      <c r="C42" s="39" t="s">
        <v>92</v>
      </c>
      <c r="D42" s="39" t="s">
        <v>33</v>
      </c>
      <c r="E42" s="40">
        <v>3102</v>
      </c>
      <c r="F42" s="41">
        <v>101.64</v>
      </c>
      <c r="G42" s="42">
        <v>8.6619810939600004E-3</v>
      </c>
      <c r="H42" s="43"/>
      <c r="I42" s="46">
        <v>71.400000000000006</v>
      </c>
    </row>
    <row r="43" spans="1:9" x14ac:dyDescent="0.25">
      <c r="A43" s="22"/>
      <c r="B43" s="45" t="s">
        <v>93</v>
      </c>
      <c r="C43" s="39" t="s">
        <v>94</v>
      </c>
      <c r="D43" s="39" t="s">
        <v>95</v>
      </c>
      <c r="E43" s="40">
        <v>1334</v>
      </c>
      <c r="F43" s="41">
        <v>101.52</v>
      </c>
      <c r="G43" s="42">
        <v>8.6515216204999992E-3</v>
      </c>
      <c r="H43" s="43"/>
      <c r="I43" s="46">
        <v>67.900000000000006</v>
      </c>
    </row>
    <row r="44" spans="1:9" x14ac:dyDescent="0.25">
      <c r="A44" s="22"/>
      <c r="B44" s="45" t="s">
        <v>96</v>
      </c>
      <c r="C44" s="39" t="s">
        <v>97</v>
      </c>
      <c r="D44" s="39" t="s">
        <v>47</v>
      </c>
      <c r="E44" s="40">
        <v>8044</v>
      </c>
      <c r="F44" s="41">
        <v>101.36</v>
      </c>
      <c r="G44" s="42">
        <v>8.6383159514799995E-3</v>
      </c>
      <c r="H44" s="43"/>
      <c r="I44" s="46">
        <v>74.900000000000006</v>
      </c>
    </row>
    <row r="45" spans="1:9" x14ac:dyDescent="0.25">
      <c r="A45" s="22"/>
      <c r="B45" s="45" t="s">
        <v>98</v>
      </c>
      <c r="C45" s="39" t="s">
        <v>99</v>
      </c>
      <c r="D45" s="39" t="s">
        <v>42</v>
      </c>
      <c r="E45" s="40">
        <v>1944</v>
      </c>
      <c r="F45" s="41">
        <v>92.45</v>
      </c>
      <c r="G45" s="42">
        <v>7.8786823311700008E-3</v>
      </c>
      <c r="H45" s="43"/>
      <c r="I45" s="46">
        <v>70</v>
      </c>
    </row>
    <row r="46" spans="1:9" x14ac:dyDescent="0.25">
      <c r="A46" s="22"/>
      <c r="B46" s="45" t="s">
        <v>100</v>
      </c>
      <c r="C46" s="39" t="s">
        <v>101</v>
      </c>
      <c r="D46" s="39" t="s">
        <v>102</v>
      </c>
      <c r="E46" s="40">
        <v>8603</v>
      </c>
      <c r="F46" s="41">
        <v>91.66</v>
      </c>
      <c r="G46" s="42">
        <v>7.8111436807799996E-3</v>
      </c>
      <c r="H46" s="43"/>
      <c r="I46" s="46">
        <v>66.8</v>
      </c>
    </row>
    <row r="47" spans="1:9" x14ac:dyDescent="0.25">
      <c r="A47" s="22"/>
      <c r="B47" s="45" t="s">
        <v>103</v>
      </c>
      <c r="C47" s="39" t="s">
        <v>104</v>
      </c>
      <c r="D47" s="39" t="s">
        <v>105</v>
      </c>
      <c r="E47" s="40">
        <v>11602</v>
      </c>
      <c r="F47" s="41">
        <v>88</v>
      </c>
      <c r="G47" s="42">
        <v>7.4991463276999999E-3</v>
      </c>
      <c r="H47" s="43"/>
      <c r="I47" s="46">
        <v>76.599999999999994</v>
      </c>
    </row>
    <row r="48" spans="1:9" x14ac:dyDescent="0.25">
      <c r="A48" s="22"/>
      <c r="B48" s="45" t="s">
        <v>106</v>
      </c>
      <c r="C48" s="39" t="s">
        <v>107</v>
      </c>
      <c r="D48" s="39" t="s">
        <v>33</v>
      </c>
      <c r="E48" s="40">
        <v>1715</v>
      </c>
      <c r="F48" s="41">
        <v>87.25</v>
      </c>
      <c r="G48" s="42">
        <v>7.4359700239400002E-3</v>
      </c>
      <c r="H48" s="43"/>
      <c r="I48" s="46">
        <v>75.5</v>
      </c>
    </row>
    <row r="49" spans="1:9" x14ac:dyDescent="0.25">
      <c r="A49" s="22"/>
      <c r="B49" s="45" t="s">
        <v>108</v>
      </c>
      <c r="C49" s="39" t="s">
        <v>109</v>
      </c>
      <c r="D49" s="39" t="s">
        <v>110</v>
      </c>
      <c r="E49" s="40">
        <v>17708</v>
      </c>
      <c r="F49" s="41">
        <v>86.26</v>
      </c>
      <c r="G49" s="42">
        <v>7.3516399864999998E-3</v>
      </c>
      <c r="H49" s="43"/>
      <c r="I49" s="46">
        <v>66.400000000000006</v>
      </c>
    </row>
    <row r="50" spans="1:9" x14ac:dyDescent="0.25">
      <c r="A50" s="22"/>
      <c r="B50" s="45" t="s">
        <v>111</v>
      </c>
      <c r="C50" s="39" t="s">
        <v>112</v>
      </c>
      <c r="D50" s="39" t="s">
        <v>39</v>
      </c>
      <c r="E50" s="40">
        <v>5563</v>
      </c>
      <c r="F50" s="41">
        <v>79.03</v>
      </c>
      <c r="G50" s="42">
        <v>6.7354009136000002E-3</v>
      </c>
      <c r="H50" s="43"/>
      <c r="I50" s="46">
        <v>79.8</v>
      </c>
    </row>
    <row r="51" spans="1:9" x14ac:dyDescent="0.25">
      <c r="A51" s="22"/>
      <c r="B51" s="45" t="s">
        <v>113</v>
      </c>
      <c r="C51" s="39" t="s">
        <v>114</v>
      </c>
      <c r="D51" s="39" t="s">
        <v>22</v>
      </c>
      <c r="E51" s="40">
        <v>25607</v>
      </c>
      <c r="F51" s="41">
        <v>78.92</v>
      </c>
      <c r="G51" s="42">
        <v>6.7257906779300001E-3</v>
      </c>
      <c r="H51" s="43"/>
      <c r="I51" s="46">
        <v>64.8</v>
      </c>
    </row>
    <row r="52" spans="1:9" x14ac:dyDescent="0.25">
      <c r="A52" s="22"/>
      <c r="B52" s="45" t="s">
        <v>115</v>
      </c>
      <c r="C52" s="39" t="s">
        <v>116</v>
      </c>
      <c r="D52" s="39" t="s">
        <v>117</v>
      </c>
      <c r="E52" s="40">
        <v>3441</v>
      </c>
      <c r="F52" s="41">
        <v>77.239999999999995</v>
      </c>
      <c r="G52" s="42">
        <v>6.5825624839699996E-3</v>
      </c>
      <c r="H52" s="43"/>
      <c r="I52" s="46">
        <v>64.8</v>
      </c>
    </row>
    <row r="53" spans="1:9" x14ac:dyDescent="0.25">
      <c r="A53" s="22"/>
      <c r="B53" s="45" t="s">
        <v>118</v>
      </c>
      <c r="C53" s="39" t="s">
        <v>119</v>
      </c>
      <c r="D53" s="39" t="s">
        <v>42</v>
      </c>
      <c r="E53" s="40">
        <v>5128</v>
      </c>
      <c r="F53" s="41">
        <v>69.64</v>
      </c>
      <c r="G53" s="42">
        <v>5.9351510576200004E-3</v>
      </c>
      <c r="H53" s="43"/>
      <c r="I53" s="46">
        <v>71.2</v>
      </c>
    </row>
    <row r="54" spans="1:9" x14ac:dyDescent="0.25">
      <c r="A54" s="22"/>
      <c r="B54" s="45" t="s">
        <v>120</v>
      </c>
      <c r="C54" s="39" t="s">
        <v>121</v>
      </c>
      <c r="D54" s="39" t="s">
        <v>122</v>
      </c>
      <c r="E54" s="40">
        <v>5315</v>
      </c>
      <c r="F54" s="41">
        <v>66.040000000000006</v>
      </c>
      <c r="G54" s="42">
        <v>5.6284217059700001E-3</v>
      </c>
      <c r="H54" s="43"/>
      <c r="I54" s="46">
        <v>76</v>
      </c>
    </row>
    <row r="55" spans="1:9" x14ac:dyDescent="0.25">
      <c r="A55" s="22"/>
      <c r="B55" s="45" t="s">
        <v>123</v>
      </c>
      <c r="C55" s="39" t="s">
        <v>124</v>
      </c>
      <c r="D55" s="39" t="s">
        <v>25</v>
      </c>
      <c r="E55" s="40">
        <v>1223</v>
      </c>
      <c r="F55" s="41">
        <v>62.78</v>
      </c>
      <c r="G55" s="42">
        <v>5.3504712463199999E-3</v>
      </c>
      <c r="H55" s="43"/>
      <c r="I55" s="46">
        <v>78.900000000000006</v>
      </c>
    </row>
    <row r="56" spans="1:9" x14ac:dyDescent="0.25">
      <c r="A56" s="22"/>
      <c r="B56" s="45" t="s">
        <v>125</v>
      </c>
      <c r="C56" s="39" t="s">
        <v>126</v>
      </c>
      <c r="D56" s="39" t="s">
        <v>127</v>
      </c>
      <c r="E56" s="40">
        <v>8475</v>
      </c>
      <c r="F56" s="41">
        <v>62.63</v>
      </c>
      <c r="G56" s="42">
        <v>5.3378398461299999E-3</v>
      </c>
      <c r="H56" s="43"/>
      <c r="I56" s="46">
        <v>70.5</v>
      </c>
    </row>
    <row r="57" spans="1:9" x14ac:dyDescent="0.25">
      <c r="A57" s="22"/>
      <c r="B57" s="45" t="s">
        <v>128</v>
      </c>
      <c r="C57" s="39" t="s">
        <v>129</v>
      </c>
      <c r="D57" s="39" t="s">
        <v>63</v>
      </c>
      <c r="E57" s="40">
        <v>10399</v>
      </c>
      <c r="F57" s="41">
        <v>62.46</v>
      </c>
      <c r="G57" s="42">
        <v>5.3231054638499999E-3</v>
      </c>
      <c r="H57" s="43"/>
      <c r="I57" s="46">
        <v>64.900000000000006</v>
      </c>
    </row>
    <row r="58" spans="1:9" x14ac:dyDescent="0.25">
      <c r="A58" s="22"/>
      <c r="B58" s="45" t="s">
        <v>130</v>
      </c>
      <c r="C58" s="39" t="s">
        <v>131</v>
      </c>
      <c r="D58" s="39" t="s">
        <v>132</v>
      </c>
      <c r="E58" s="40">
        <v>2040</v>
      </c>
      <c r="F58" s="41">
        <v>62.23</v>
      </c>
      <c r="G58" s="42">
        <v>5.3030379278800003E-3</v>
      </c>
      <c r="H58" s="43"/>
      <c r="I58" s="46">
        <v>63.6</v>
      </c>
    </row>
    <row r="59" spans="1:9" x14ac:dyDescent="0.25">
      <c r="A59" s="22"/>
      <c r="B59" s="45" t="s">
        <v>133</v>
      </c>
      <c r="C59" s="39" t="s">
        <v>134</v>
      </c>
      <c r="D59" s="39" t="s">
        <v>135</v>
      </c>
      <c r="E59" s="40">
        <v>35637</v>
      </c>
      <c r="F59" s="41">
        <v>61.68</v>
      </c>
      <c r="G59" s="42">
        <v>5.2562370337999997E-3</v>
      </c>
      <c r="H59" s="43"/>
      <c r="I59" s="46">
        <v>67.3</v>
      </c>
    </row>
    <row r="60" spans="1:9" x14ac:dyDescent="0.25">
      <c r="A60" s="22"/>
      <c r="B60" s="45" t="s">
        <v>136</v>
      </c>
      <c r="C60" s="39" t="s">
        <v>137</v>
      </c>
      <c r="D60" s="39" t="s">
        <v>138</v>
      </c>
      <c r="E60" s="40">
        <v>8463</v>
      </c>
      <c r="F60" s="41">
        <v>58.76</v>
      </c>
      <c r="G60" s="42">
        <v>5.0075295087700002E-3</v>
      </c>
      <c r="H60" s="43"/>
      <c r="I60" s="46">
        <v>67.599999999999994</v>
      </c>
    </row>
    <row r="61" spans="1:9" x14ac:dyDescent="0.25">
      <c r="A61" s="22"/>
      <c r="B61" s="45" t="s">
        <v>139</v>
      </c>
      <c r="C61" s="39" t="s">
        <v>140</v>
      </c>
      <c r="D61" s="39" t="s">
        <v>86</v>
      </c>
      <c r="E61" s="40">
        <v>3176</v>
      </c>
      <c r="F61" s="41">
        <v>58.43</v>
      </c>
      <c r="G61" s="42">
        <v>4.9791579782099997E-3</v>
      </c>
      <c r="H61" s="43"/>
      <c r="I61" s="46">
        <v>79.400000000000006</v>
      </c>
    </row>
    <row r="62" spans="1:9" x14ac:dyDescent="0.25">
      <c r="A62" s="22"/>
      <c r="B62" s="45" t="s">
        <v>141</v>
      </c>
      <c r="C62" s="39" t="s">
        <v>142</v>
      </c>
      <c r="D62" s="39" t="s">
        <v>39</v>
      </c>
      <c r="E62" s="40">
        <v>16501</v>
      </c>
      <c r="F62" s="41">
        <v>57.75</v>
      </c>
      <c r="G62" s="42">
        <v>4.9218720525700003E-3</v>
      </c>
      <c r="H62" s="43"/>
      <c r="I62" s="46">
        <v>76.3</v>
      </c>
    </row>
    <row r="63" spans="1:9" x14ac:dyDescent="0.25">
      <c r="A63" s="22"/>
      <c r="B63" s="45" t="s">
        <v>143</v>
      </c>
      <c r="C63" s="39" t="s">
        <v>144</v>
      </c>
      <c r="D63" s="39" t="s">
        <v>52</v>
      </c>
      <c r="E63" s="40">
        <v>176</v>
      </c>
      <c r="F63" s="41">
        <v>51.52</v>
      </c>
      <c r="G63" s="42">
        <v>4.3909812502499999E-3</v>
      </c>
      <c r="H63" s="43"/>
      <c r="I63" s="46">
        <v>66.400000000000006</v>
      </c>
    </row>
    <row r="64" spans="1:9" x14ac:dyDescent="0.25">
      <c r="A64" s="22"/>
      <c r="B64" s="45" t="s">
        <v>145</v>
      </c>
      <c r="C64" s="39" t="s">
        <v>146</v>
      </c>
      <c r="D64" s="39" t="s">
        <v>52</v>
      </c>
      <c r="E64" s="40">
        <v>8644</v>
      </c>
      <c r="F64" s="41">
        <v>48.68</v>
      </c>
      <c r="G64" s="42">
        <v>4.1488660688999996E-3</v>
      </c>
      <c r="H64" s="43"/>
      <c r="I64" s="46">
        <v>66.599999999999994</v>
      </c>
    </row>
    <row r="65" spans="1:10" x14ac:dyDescent="0.25">
      <c r="A65" s="22"/>
      <c r="B65" s="45" t="s">
        <v>147</v>
      </c>
      <c r="C65" s="39" t="s">
        <v>148</v>
      </c>
      <c r="D65" s="39" t="s">
        <v>149</v>
      </c>
      <c r="E65" s="40">
        <v>114</v>
      </c>
      <c r="F65" s="41">
        <v>45.55</v>
      </c>
      <c r="G65" s="42">
        <v>3.8822396604800001E-3</v>
      </c>
      <c r="H65" s="43"/>
      <c r="I65" s="46">
        <v>70.099999999999994</v>
      </c>
    </row>
    <row r="66" spans="1:10" x14ac:dyDescent="0.25">
      <c r="A66" s="22"/>
      <c r="B66" s="45" t="s">
        <v>150</v>
      </c>
      <c r="C66" s="39" t="s">
        <v>151</v>
      </c>
      <c r="D66" s="39" t="s">
        <v>127</v>
      </c>
      <c r="E66" s="40">
        <v>3699</v>
      </c>
      <c r="F66" s="41">
        <v>44.1</v>
      </c>
      <c r="G66" s="42">
        <v>3.7585634516699999E-3</v>
      </c>
      <c r="H66" s="43"/>
      <c r="I66" s="46">
        <v>76.7</v>
      </c>
    </row>
    <row r="67" spans="1:10" x14ac:dyDescent="0.25">
      <c r="A67" s="22"/>
      <c r="B67" s="45" t="s">
        <v>152</v>
      </c>
      <c r="C67" s="39" t="s">
        <v>153</v>
      </c>
      <c r="D67" s="39" t="s">
        <v>122</v>
      </c>
      <c r="E67" s="40">
        <v>7789</v>
      </c>
      <c r="F67" s="41">
        <v>40.590000000000003</v>
      </c>
      <c r="G67" s="42">
        <v>3.4590336593699998E-3</v>
      </c>
      <c r="H67" s="43"/>
      <c r="I67" s="46">
        <v>75.7</v>
      </c>
    </row>
    <row r="68" spans="1:10" x14ac:dyDescent="0.25">
      <c r="A68" s="22"/>
      <c r="B68" s="45" t="s">
        <v>154</v>
      </c>
      <c r="C68" s="39" t="s">
        <v>155</v>
      </c>
      <c r="D68" s="39" t="s">
        <v>63</v>
      </c>
      <c r="E68" s="40">
        <v>4049</v>
      </c>
      <c r="F68" s="41">
        <v>36.99</v>
      </c>
      <c r="G68" s="42">
        <v>3.1521606233299998E-3</v>
      </c>
      <c r="H68" s="43"/>
      <c r="I68" s="46">
        <v>71.2</v>
      </c>
    </row>
    <row r="69" spans="1:10" x14ac:dyDescent="0.25">
      <c r="A69" s="22"/>
      <c r="B69" s="45" t="s">
        <v>156</v>
      </c>
      <c r="C69" s="39" t="s">
        <v>157</v>
      </c>
      <c r="D69" s="39" t="s">
        <v>63</v>
      </c>
      <c r="E69" s="40">
        <v>4782</v>
      </c>
      <c r="F69" s="41">
        <v>36.54</v>
      </c>
      <c r="G69" s="42">
        <v>3.11415482448E-3</v>
      </c>
      <c r="H69" s="43"/>
      <c r="I69" s="46">
        <v>74.2</v>
      </c>
    </row>
    <row r="70" spans="1:10" x14ac:dyDescent="0.25">
      <c r="A70" s="22"/>
      <c r="B70" s="45" t="s">
        <v>158</v>
      </c>
      <c r="C70" s="39" t="s">
        <v>159</v>
      </c>
      <c r="D70" s="39" t="s">
        <v>138</v>
      </c>
      <c r="E70" s="40">
        <v>1168</v>
      </c>
      <c r="F70" s="41">
        <v>35.78</v>
      </c>
      <c r="G70" s="42">
        <v>3.0495874410899999E-3</v>
      </c>
      <c r="H70" s="43"/>
      <c r="I70" s="46">
        <v>61.5</v>
      </c>
    </row>
    <row r="71" spans="1:10" x14ac:dyDescent="0.25">
      <c r="A71" s="22"/>
      <c r="B71" s="45" t="s">
        <v>160</v>
      </c>
      <c r="C71" s="39" t="s">
        <v>161</v>
      </c>
      <c r="D71" s="39" t="s">
        <v>138</v>
      </c>
      <c r="E71" s="40">
        <v>692</v>
      </c>
      <c r="F71" s="41">
        <v>34.590000000000003</v>
      </c>
      <c r="G71" s="42">
        <v>2.9480934257500001E-3</v>
      </c>
      <c r="H71" s="43"/>
      <c r="I71" s="46">
        <v>74.2</v>
      </c>
    </row>
    <row r="72" spans="1:10" x14ac:dyDescent="0.25">
      <c r="A72" s="22"/>
      <c r="B72" s="45" t="s">
        <v>162</v>
      </c>
      <c r="C72" s="39" t="s">
        <v>163</v>
      </c>
      <c r="D72" s="39" t="s">
        <v>63</v>
      </c>
      <c r="E72" s="40">
        <v>7073</v>
      </c>
      <c r="F72" s="41">
        <v>34.549999999999997</v>
      </c>
      <c r="G72" s="42">
        <v>2.9442574531500002E-3</v>
      </c>
      <c r="H72" s="43"/>
      <c r="I72" s="46">
        <v>70.3</v>
      </c>
    </row>
    <row r="73" spans="1:10" x14ac:dyDescent="0.25">
      <c r="A73" s="22"/>
      <c r="B73" s="45" t="s">
        <v>164</v>
      </c>
      <c r="C73" s="39" t="s">
        <v>165</v>
      </c>
      <c r="D73" s="39" t="s">
        <v>47</v>
      </c>
      <c r="E73" s="40">
        <v>3299</v>
      </c>
      <c r="F73" s="41">
        <v>32.36</v>
      </c>
      <c r="G73" s="42">
        <v>2.75819818749E-3</v>
      </c>
      <c r="H73" s="43"/>
      <c r="I73" s="46">
        <v>67.8</v>
      </c>
    </row>
    <row r="74" spans="1:10" x14ac:dyDescent="0.25">
      <c r="B74" s="47" t="s">
        <v>166</v>
      </c>
      <c r="C74" s="39"/>
      <c r="D74" s="39"/>
      <c r="E74" s="40"/>
      <c r="F74" s="48">
        <v>11715.71</v>
      </c>
      <c r="G74" s="49">
        <v>0.99843987070068996</v>
      </c>
      <c r="H74" s="43"/>
      <c r="I74" s="46">
        <f>SUMPRODUCT(I12:I73,G12:G73)</f>
        <v>73.56168299633454</v>
      </c>
      <c r="J74" s="50" t="s">
        <v>167</v>
      </c>
    </row>
    <row r="75" spans="1:10" x14ac:dyDescent="0.25">
      <c r="B75" s="47" t="s">
        <v>168</v>
      </c>
      <c r="C75" s="39"/>
      <c r="D75" s="39"/>
      <c r="E75" s="40"/>
      <c r="F75" s="51"/>
      <c r="G75" s="52"/>
      <c r="H75" s="43"/>
    </row>
    <row r="76" spans="1:10" x14ac:dyDescent="0.25">
      <c r="B76" s="47" t="s">
        <v>166</v>
      </c>
      <c r="C76" s="39"/>
      <c r="D76" s="39"/>
      <c r="E76" s="53"/>
      <c r="F76" s="48" t="s">
        <v>169</v>
      </c>
      <c r="G76" s="54" t="s">
        <v>169</v>
      </c>
      <c r="H76" s="55"/>
    </row>
    <row r="77" spans="1:10" x14ac:dyDescent="0.25">
      <c r="B77" s="56" t="s">
        <v>170</v>
      </c>
      <c r="C77" s="57"/>
      <c r="D77" s="57"/>
      <c r="E77" s="58"/>
      <c r="F77" s="59">
        <v>11715.71</v>
      </c>
      <c r="G77" s="60">
        <v>0.99843987070068996</v>
      </c>
      <c r="H77" s="61"/>
    </row>
    <row r="78" spans="1:10" x14ac:dyDescent="0.25">
      <c r="B78" s="62"/>
      <c r="C78" s="63"/>
      <c r="D78" s="63"/>
      <c r="E78" s="64"/>
      <c r="F78" s="65"/>
      <c r="G78" s="66"/>
      <c r="H78" s="67"/>
    </row>
    <row r="79" spans="1:10" x14ac:dyDescent="0.25">
      <c r="A79" s="22"/>
      <c r="B79" s="38" t="s">
        <v>171</v>
      </c>
      <c r="C79" s="39"/>
      <c r="D79" s="39"/>
      <c r="E79" s="40"/>
      <c r="F79" s="41"/>
      <c r="G79" s="42"/>
      <c r="H79" s="43"/>
    </row>
    <row r="80" spans="1:10" x14ac:dyDescent="0.25">
      <c r="B80" s="44" t="s">
        <v>172</v>
      </c>
      <c r="C80" s="39"/>
      <c r="D80" s="39"/>
      <c r="E80" s="40"/>
      <c r="F80" s="41"/>
      <c r="G80" s="42"/>
      <c r="H80" s="43"/>
    </row>
    <row r="81" spans="1:219" x14ac:dyDescent="0.25">
      <c r="A81" s="22"/>
      <c r="B81" s="45" t="s">
        <v>173</v>
      </c>
      <c r="C81" s="39" t="s">
        <v>174</v>
      </c>
      <c r="D81" s="39" t="s">
        <v>175</v>
      </c>
      <c r="E81" s="40">
        <v>12408</v>
      </c>
      <c r="F81" s="41">
        <v>1.24</v>
      </c>
      <c r="G81" s="42">
        <v>1.0574352797E-4</v>
      </c>
      <c r="H81" s="43"/>
    </row>
    <row r="82" spans="1:219" x14ac:dyDescent="0.25">
      <c r="B82" s="47" t="s">
        <v>166</v>
      </c>
      <c r="C82" s="39"/>
      <c r="D82" s="39"/>
      <c r="E82" s="40"/>
      <c r="F82" s="48">
        <v>1.24</v>
      </c>
      <c r="G82" s="49">
        <v>1.0574352797E-4</v>
      </c>
      <c r="H82" s="43"/>
    </row>
    <row r="83" spans="1:219" x14ac:dyDescent="0.25">
      <c r="B83" s="47" t="s">
        <v>176</v>
      </c>
      <c r="C83" s="39"/>
      <c r="D83" s="39"/>
      <c r="E83" s="40"/>
      <c r="F83" s="51"/>
      <c r="G83" s="52"/>
      <c r="H83" s="43"/>
    </row>
    <row r="84" spans="1:219" x14ac:dyDescent="0.25">
      <c r="B84" s="47" t="s">
        <v>166</v>
      </c>
      <c r="C84" s="39"/>
      <c r="D84" s="39"/>
      <c r="E84" s="53"/>
      <c r="F84" s="48" t="s">
        <v>169</v>
      </c>
      <c r="G84" s="54" t="s">
        <v>169</v>
      </c>
      <c r="H84" s="55"/>
    </row>
    <row r="85" spans="1:219" x14ac:dyDescent="0.25">
      <c r="B85" s="47" t="s">
        <v>177</v>
      </c>
      <c r="C85" s="39"/>
      <c r="D85" s="39"/>
      <c r="E85" s="53"/>
      <c r="F85" s="51"/>
      <c r="G85" s="68"/>
      <c r="H85" s="55"/>
    </row>
    <row r="86" spans="1:219" x14ac:dyDescent="0.25">
      <c r="B86" s="47" t="s">
        <v>166</v>
      </c>
      <c r="C86" s="39"/>
      <c r="D86" s="39"/>
      <c r="E86" s="53"/>
      <c r="F86" s="48" t="s">
        <v>169</v>
      </c>
      <c r="G86" s="54" t="s">
        <v>169</v>
      </c>
      <c r="H86" s="55"/>
    </row>
    <row r="87" spans="1:219" x14ac:dyDescent="0.25">
      <c r="B87" s="56" t="s">
        <v>170</v>
      </c>
      <c r="C87" s="57"/>
      <c r="D87" s="57"/>
      <c r="E87" s="58"/>
      <c r="F87" s="59">
        <v>1.24</v>
      </c>
      <c r="G87" s="60">
        <v>1.0574352797E-4</v>
      </c>
      <c r="H87" s="61"/>
    </row>
    <row r="88" spans="1:219" x14ac:dyDescent="0.25">
      <c r="B88" s="69"/>
      <c r="C88" s="70"/>
      <c r="D88" s="70"/>
      <c r="E88" s="71"/>
      <c r="F88" s="72"/>
      <c r="G88" s="73"/>
      <c r="H88" s="74"/>
    </row>
    <row r="89" spans="1:219" ht="15" customHeight="1" x14ac:dyDescent="0.25">
      <c r="B89" s="75" t="s">
        <v>178</v>
      </c>
      <c r="C89" s="76"/>
      <c r="D89" s="76"/>
      <c r="E89" s="77"/>
      <c r="F89" s="78"/>
      <c r="G89" s="79"/>
      <c r="H89" s="80"/>
    </row>
    <row r="90" spans="1:219" s="84" customFormat="1" ht="15" customHeight="1" x14ac:dyDescent="0.2">
      <c r="A90" s="21"/>
      <c r="B90" s="56" t="s">
        <v>170</v>
      </c>
      <c r="C90" s="81"/>
      <c r="D90" s="81"/>
      <c r="E90" s="82"/>
      <c r="F90" s="48" t="s">
        <v>169</v>
      </c>
      <c r="G90" s="54" t="s">
        <v>169</v>
      </c>
      <c r="H90" s="83"/>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1"/>
      <c r="BR90" s="21"/>
      <c r="BS90" s="21"/>
      <c r="BT90" s="21"/>
      <c r="BU90" s="21"/>
      <c r="BV90" s="21"/>
      <c r="BW90" s="21"/>
      <c r="BX90" s="21"/>
      <c r="BY90" s="21"/>
      <c r="BZ90" s="21"/>
      <c r="CA90" s="21"/>
      <c r="CB90" s="21"/>
      <c r="CC90" s="21"/>
      <c r="CD90" s="21"/>
      <c r="CE90" s="21"/>
      <c r="CF90" s="21"/>
      <c r="CG90" s="21"/>
      <c r="CH90" s="21"/>
      <c r="CI90" s="21"/>
      <c r="CJ90" s="21"/>
      <c r="CK90" s="21"/>
      <c r="CL90" s="21"/>
      <c r="CM90" s="21"/>
      <c r="CN90" s="21"/>
      <c r="CO90" s="21"/>
      <c r="CP90" s="21"/>
      <c r="CQ90" s="21"/>
      <c r="CR90" s="21"/>
      <c r="CS90" s="21"/>
      <c r="CT90" s="21"/>
      <c r="CU90" s="21"/>
      <c r="CV90" s="21"/>
      <c r="CW90" s="21"/>
      <c r="CX90" s="21"/>
      <c r="CY90" s="21"/>
      <c r="CZ90" s="21"/>
      <c r="DA90" s="21"/>
      <c r="DB90" s="21"/>
      <c r="DC90" s="21"/>
      <c r="DD90" s="21"/>
      <c r="DE90" s="21"/>
      <c r="DF90" s="21"/>
      <c r="DG90" s="21"/>
      <c r="DH90" s="21"/>
      <c r="DI90" s="21"/>
      <c r="DJ90" s="21"/>
      <c r="DK90" s="21"/>
      <c r="DL90" s="21"/>
      <c r="DM90" s="21"/>
      <c r="DN90" s="21"/>
      <c r="DO90" s="21"/>
      <c r="DP90" s="21"/>
      <c r="DQ90" s="21"/>
      <c r="DR90" s="21"/>
      <c r="DS90" s="21"/>
      <c r="DT90" s="21"/>
      <c r="DU90" s="21"/>
      <c r="DV90" s="21"/>
      <c r="DW90" s="21"/>
      <c r="DX90" s="21"/>
      <c r="DY90" s="21"/>
      <c r="DZ90" s="21"/>
      <c r="EA90" s="21"/>
      <c r="EB90" s="21"/>
      <c r="EC90" s="21"/>
      <c r="ED90" s="21"/>
      <c r="EE90" s="21"/>
      <c r="EF90" s="21"/>
      <c r="EG90" s="21"/>
      <c r="EH90" s="21"/>
      <c r="EI90" s="21"/>
      <c r="EJ90" s="21"/>
      <c r="EK90" s="21"/>
      <c r="EL90" s="21"/>
      <c r="EM90" s="21"/>
      <c r="EN90" s="21"/>
      <c r="EO90" s="21"/>
      <c r="EP90" s="21"/>
      <c r="EQ90" s="21"/>
      <c r="ER90" s="21"/>
      <c r="ES90" s="21"/>
      <c r="ET90" s="21"/>
      <c r="EU90" s="21"/>
      <c r="EV90" s="21"/>
      <c r="EW90" s="21"/>
      <c r="EX90" s="21"/>
      <c r="EY90" s="21"/>
      <c r="EZ90" s="21"/>
      <c r="FA90" s="21"/>
      <c r="FB90" s="21"/>
      <c r="FC90" s="21"/>
      <c r="FD90" s="21"/>
      <c r="FE90" s="21"/>
      <c r="FF90" s="21"/>
      <c r="FG90" s="21"/>
      <c r="FH90" s="21"/>
      <c r="FI90" s="21"/>
      <c r="FJ90" s="21"/>
      <c r="FK90" s="21"/>
      <c r="FL90" s="21"/>
      <c r="FM90" s="21"/>
      <c r="FN90" s="21"/>
      <c r="FO90" s="21"/>
      <c r="FP90" s="21"/>
      <c r="FQ90" s="21"/>
      <c r="FR90" s="21"/>
      <c r="FS90" s="21"/>
      <c r="FT90" s="21"/>
      <c r="FU90" s="21"/>
      <c r="FV90" s="21"/>
      <c r="FW90" s="21"/>
      <c r="FX90" s="21"/>
      <c r="FY90" s="21"/>
      <c r="FZ90" s="21"/>
      <c r="GA90" s="21"/>
      <c r="GB90" s="21"/>
      <c r="GC90" s="21"/>
      <c r="GD90" s="21"/>
      <c r="GE90" s="21"/>
      <c r="GF90" s="21"/>
      <c r="GG90" s="21"/>
      <c r="GH90" s="21"/>
      <c r="GI90" s="21"/>
      <c r="GJ90" s="21"/>
      <c r="GK90" s="21"/>
      <c r="GL90" s="21"/>
      <c r="GM90" s="21"/>
      <c r="GN90" s="21"/>
      <c r="GO90" s="21"/>
      <c r="GP90" s="21"/>
      <c r="GQ90" s="21"/>
      <c r="GR90" s="21"/>
      <c r="GS90" s="21"/>
      <c r="GT90" s="21"/>
      <c r="GU90" s="21"/>
      <c r="GV90" s="21"/>
      <c r="GW90" s="21"/>
      <c r="GX90" s="21"/>
      <c r="GY90" s="21"/>
      <c r="GZ90" s="21"/>
      <c r="HA90" s="21"/>
      <c r="HB90" s="21"/>
      <c r="HC90" s="21"/>
      <c r="HD90" s="21"/>
      <c r="HE90" s="21"/>
      <c r="HF90" s="21"/>
      <c r="HG90" s="21"/>
      <c r="HH90" s="21"/>
      <c r="HI90" s="21"/>
      <c r="HJ90" s="21"/>
      <c r="HK90" s="21"/>
    </row>
    <row r="91" spans="1:219" ht="15" customHeight="1" x14ac:dyDescent="0.25">
      <c r="B91" s="85"/>
      <c r="C91" s="63"/>
      <c r="D91" s="63"/>
      <c r="E91" s="64"/>
      <c r="F91" s="65"/>
      <c r="G91" s="66"/>
      <c r="H91" s="67"/>
    </row>
    <row r="92" spans="1:219" ht="15" customHeight="1" x14ac:dyDescent="0.25">
      <c r="A92" s="22"/>
      <c r="B92" s="38" t="s">
        <v>179</v>
      </c>
      <c r="C92" s="39"/>
      <c r="D92" s="39"/>
      <c r="E92" s="40"/>
      <c r="F92" s="41"/>
      <c r="G92" s="42"/>
      <c r="H92" s="43"/>
    </row>
    <row r="93" spans="1:219" x14ac:dyDescent="0.25">
      <c r="B93" s="44" t="s">
        <v>180</v>
      </c>
      <c r="C93" s="39"/>
      <c r="D93" s="39"/>
      <c r="E93" s="40"/>
      <c r="F93" s="41"/>
      <c r="G93" s="42"/>
      <c r="H93" s="43"/>
    </row>
    <row r="94" spans="1:219" x14ac:dyDescent="0.25">
      <c r="A94" s="22"/>
      <c r="B94" s="45" t="s">
        <v>181</v>
      </c>
      <c r="C94" s="39"/>
      <c r="D94" s="39"/>
      <c r="E94" s="40"/>
      <c r="F94" s="41">
        <v>1.79</v>
      </c>
      <c r="G94" s="42">
        <v>1.5287899532000001E-4</v>
      </c>
      <c r="H94" s="43">
        <v>5.3801000000000002E-2</v>
      </c>
    </row>
    <row r="95" spans="1:219" x14ac:dyDescent="0.25">
      <c r="B95" s="47" t="s">
        <v>166</v>
      </c>
      <c r="C95" s="39"/>
      <c r="D95" s="39"/>
      <c r="E95" s="40"/>
      <c r="F95" s="48">
        <v>1.79</v>
      </c>
      <c r="G95" s="49">
        <v>1.5287899532000001E-4</v>
      </c>
      <c r="H95" s="43"/>
    </row>
    <row r="96" spans="1:219" x14ac:dyDescent="0.25">
      <c r="B96" s="56" t="s">
        <v>170</v>
      </c>
      <c r="C96" s="57"/>
      <c r="D96" s="57"/>
      <c r="E96" s="58"/>
      <c r="F96" s="48">
        <v>1.79</v>
      </c>
      <c r="G96" s="49">
        <v>1.5287899532000001E-4</v>
      </c>
      <c r="H96" s="61"/>
    </row>
    <row r="97" spans="1:8" x14ac:dyDescent="0.25">
      <c r="B97" s="62"/>
      <c r="C97" s="63"/>
      <c r="D97" s="63"/>
      <c r="E97" s="64"/>
      <c r="F97" s="65"/>
      <c r="G97" s="66"/>
      <c r="H97" s="67"/>
    </row>
    <row r="98" spans="1:8" x14ac:dyDescent="0.25">
      <c r="B98" s="44" t="s">
        <v>182</v>
      </c>
      <c r="C98" s="39"/>
      <c r="D98" s="39"/>
      <c r="E98" s="40"/>
      <c r="F98" s="41"/>
      <c r="G98" s="42"/>
      <c r="H98" s="43"/>
    </row>
    <row r="99" spans="1:8" x14ac:dyDescent="0.25">
      <c r="A99" s="22"/>
      <c r="B99" s="45" t="s">
        <v>183</v>
      </c>
      <c r="C99" s="39"/>
      <c r="D99" s="39"/>
      <c r="E99" s="40"/>
      <c r="F99" s="41">
        <v>15.31</v>
      </c>
      <c r="G99" s="42">
        <v>1.30150677601E-3</v>
      </c>
      <c r="H99" s="43"/>
    </row>
    <row r="100" spans="1:8" x14ac:dyDescent="0.25">
      <c r="B100" s="56" t="s">
        <v>170</v>
      </c>
      <c r="C100" s="57"/>
      <c r="D100" s="57"/>
      <c r="E100" s="58"/>
      <c r="F100" s="48">
        <v>15.31</v>
      </c>
      <c r="G100" s="49">
        <v>1.30150677601E-3</v>
      </c>
      <c r="H100" s="61"/>
    </row>
    <row r="101" spans="1:8" x14ac:dyDescent="0.25">
      <c r="B101" s="62"/>
      <c r="C101" s="63"/>
      <c r="D101" s="63"/>
      <c r="E101" s="64"/>
      <c r="F101" s="65"/>
      <c r="G101" s="66"/>
      <c r="H101" s="67"/>
    </row>
    <row r="102" spans="1:8" ht="15.75" customHeight="1" thickBot="1" x14ac:dyDescent="0.3">
      <c r="B102" s="86" t="s">
        <v>184</v>
      </c>
      <c r="C102" s="87"/>
      <c r="D102" s="88"/>
      <c r="E102" s="89"/>
      <c r="F102" s="90">
        <v>11734.05</v>
      </c>
      <c r="G102" s="91">
        <v>0.99999999999999001</v>
      </c>
      <c r="H102" s="92"/>
    </row>
    <row r="103" spans="1:8" x14ac:dyDescent="0.25">
      <c r="B103" s="5" t="s">
        <v>185</v>
      </c>
    </row>
    <row r="104" spans="1:8" x14ac:dyDescent="0.25">
      <c r="B104" s="5" t="s">
        <v>186</v>
      </c>
    </row>
    <row r="105" spans="1:8" x14ac:dyDescent="0.25">
      <c r="B105" s="5" t="s">
        <v>187</v>
      </c>
    </row>
    <row r="106" spans="1:8" x14ac:dyDescent="0.25">
      <c r="B106" s="5" t="s">
        <v>188</v>
      </c>
    </row>
    <row r="107" spans="1:8" x14ac:dyDescent="0.25">
      <c r="B107" s="5" t="s">
        <v>189</v>
      </c>
    </row>
    <row r="108" spans="1:8" x14ac:dyDescent="0.25">
      <c r="B108" s="5" t="s">
        <v>190</v>
      </c>
    </row>
    <row r="110" spans="1:8" x14ac:dyDescent="0.25">
      <c r="B110" s="21" t="s">
        <v>191</v>
      </c>
    </row>
    <row r="111" spans="1:8" x14ac:dyDescent="0.25">
      <c r="B111" s="5" t="s">
        <v>192</v>
      </c>
    </row>
    <row r="112" spans="1:8" x14ac:dyDescent="0.25">
      <c r="B112" s="5" t="s">
        <v>193</v>
      </c>
    </row>
    <row r="113" spans="2:7" x14ac:dyDescent="0.25">
      <c r="B113" s="5" t="s">
        <v>194</v>
      </c>
    </row>
    <row r="114" spans="2:7" x14ac:dyDescent="0.25">
      <c r="B114" s="21" t="s">
        <v>195</v>
      </c>
      <c r="C114" s="21"/>
      <c r="D114" s="94" t="s">
        <v>196</v>
      </c>
      <c r="E114" s="95" t="s">
        <v>197</v>
      </c>
      <c r="F114" s="96"/>
      <c r="G114" s="97"/>
    </row>
    <row r="115" spans="2:7" x14ac:dyDescent="0.25">
      <c r="B115" s="5" t="s">
        <v>198</v>
      </c>
      <c r="D115" s="98">
        <v>41.888399999999997</v>
      </c>
      <c r="E115" s="98">
        <v>42.3444</v>
      </c>
    </row>
    <row r="117" spans="2:7" x14ac:dyDescent="0.25">
      <c r="B117" s="5" t="s">
        <v>199</v>
      </c>
    </row>
    <row r="118" spans="2:7" x14ac:dyDescent="0.25">
      <c r="B118" s="5" t="s">
        <v>200</v>
      </c>
    </row>
    <row r="119" spans="2:7" x14ac:dyDescent="0.25">
      <c r="B119" s="5" t="s">
        <v>201</v>
      </c>
    </row>
    <row r="120" spans="2:7" x14ac:dyDescent="0.25">
      <c r="B120" s="5" t="s">
        <v>202</v>
      </c>
    </row>
    <row r="121" spans="2:7" x14ac:dyDescent="0.25">
      <c r="B121" s="5" t="s">
        <v>203</v>
      </c>
    </row>
    <row r="122" spans="2:7" x14ac:dyDescent="0.25">
      <c r="B122" s="5" t="s">
        <v>204</v>
      </c>
    </row>
    <row r="123" spans="2:7" x14ac:dyDescent="0.25">
      <c r="B123" s="5" t="s">
        <v>205</v>
      </c>
    </row>
    <row r="124" spans="2:7" x14ac:dyDescent="0.25">
      <c r="B124" s="5" t="s">
        <v>206</v>
      </c>
    </row>
    <row r="125" spans="2:7" x14ac:dyDescent="0.25">
      <c r="B125" s="5" t="s">
        <v>207</v>
      </c>
    </row>
    <row r="142" spans="2:8" x14ac:dyDescent="0.25">
      <c r="B142" s="99" t="s">
        <v>208</v>
      </c>
      <c r="C142" s="99"/>
      <c r="D142" s="99"/>
      <c r="E142" s="99"/>
      <c r="F142" s="99"/>
      <c r="G142" s="99"/>
      <c r="H142" s="99"/>
    </row>
    <row r="143" spans="2:8" x14ac:dyDescent="0.25">
      <c r="B143" s="99"/>
      <c r="C143" s="99"/>
      <c r="D143" s="99"/>
      <c r="E143" s="99"/>
      <c r="F143" s="99"/>
      <c r="G143" s="99"/>
      <c r="H143" s="99"/>
    </row>
    <row r="144" spans="2:8" x14ac:dyDescent="0.25">
      <c r="B144" s="99"/>
      <c r="C144" s="99"/>
      <c r="D144" s="99"/>
      <c r="E144" s="99"/>
      <c r="F144" s="99"/>
      <c r="G144" s="99"/>
      <c r="H144" s="99"/>
    </row>
  </sheetData>
  <mergeCells count="4">
    <mergeCell ref="B1:H2"/>
    <mergeCell ref="B3:H4"/>
    <mergeCell ref="B5:H5"/>
    <mergeCell ref="B142:H14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MAETF</vt:lpstr>
      <vt:lpstr>XDO_?AUM?20?</vt:lpstr>
      <vt:lpstr>XDO_?CLASS_3?20?</vt:lpstr>
      <vt:lpstr>XDO_?CLASS_4?64?</vt:lpstr>
      <vt:lpstr>XDO_?CLASS_4?65?</vt:lpstr>
      <vt:lpstr>XDO_?CLASS_4?66?</vt:lpstr>
      <vt:lpstr>XDO_?CLASS_4?67?</vt:lpstr>
      <vt:lpstr>XDO_?FINAL_ISIN?89?</vt:lpstr>
      <vt:lpstr>XDO_?FINAL_ISIN?90?</vt:lpstr>
      <vt:lpstr>XDO_?FINAL_ISIN?91?</vt:lpstr>
      <vt:lpstr>XDO_?FINAL_ISIN?92?</vt:lpstr>
      <vt:lpstr>XDO_?FINAL_MV?89?</vt:lpstr>
      <vt:lpstr>XDO_?FINAL_MV?90?</vt:lpstr>
      <vt:lpstr>XDO_?FINAL_MV?91?</vt:lpstr>
      <vt:lpstr>XDO_?FINAL_MV?92?</vt:lpstr>
      <vt:lpstr>XDO_?FINAL_NAME?89?</vt:lpstr>
      <vt:lpstr>XDO_?FINAL_NAME?90?</vt:lpstr>
      <vt:lpstr>XDO_?FINAL_NAME?91?</vt:lpstr>
      <vt:lpstr>XDO_?FINAL_NAME?92?</vt:lpstr>
      <vt:lpstr>XDO_?FINAL_PER_NET?89?</vt:lpstr>
      <vt:lpstr>XDO_?FINAL_PER_NET?90?</vt:lpstr>
      <vt:lpstr>XDO_?FINAL_PER_NET?91?</vt:lpstr>
      <vt:lpstr>XDO_?FINAL_PER_NET?92?</vt:lpstr>
      <vt:lpstr>XDO_?FINAL_QUANTITE?89?</vt:lpstr>
      <vt:lpstr>XDO_?FINAL_QUANTITE?90?</vt:lpstr>
      <vt:lpstr>XDO_?FINAL_QUANTITE?91?</vt:lpstr>
      <vt:lpstr>XDO_?FINAL_QUANTITE?92?</vt:lpstr>
      <vt:lpstr>XDO_?LONG_DESC?20?</vt:lpstr>
      <vt:lpstr>XDO_?NOVAL?89?</vt:lpstr>
      <vt:lpstr>XDO_?NOVAL?90?</vt:lpstr>
      <vt:lpstr>XDO_?NOVAL?91?</vt:lpstr>
      <vt:lpstr>XDO_?NOVAL?92?</vt:lpstr>
      <vt:lpstr>XDO_?NPTF?20?</vt:lpstr>
      <vt:lpstr>XDO_?RATING?89?</vt:lpstr>
      <vt:lpstr>XDO_?RATING?90?</vt:lpstr>
      <vt:lpstr>XDO_?RATING?91?</vt:lpstr>
      <vt:lpstr>XDO_?RATING?92?</vt:lpstr>
      <vt:lpstr>XDO_?TDATE?20?</vt:lpstr>
      <vt:lpstr>XDO_?YTM?89?</vt:lpstr>
      <vt:lpstr>XDO_?YTM?90?</vt:lpstr>
      <vt:lpstr>XDO_?YTM?91?</vt:lpstr>
      <vt:lpstr>XDO_?YTM?92?</vt:lpstr>
      <vt:lpstr>XDO_GROUP_?G_3?20?</vt:lpstr>
      <vt:lpstr>XDO_GROUP_?G_4?64?</vt:lpstr>
      <vt:lpstr>XDO_GROUP_?G_4?65?</vt:lpstr>
      <vt:lpstr>XDO_GROUP_?G_4?66?</vt:lpstr>
      <vt:lpstr>XDO_GROUP_?G_4?67?</vt:lpstr>
      <vt:lpstr>XDO_GROUP_?G_5?89?</vt:lpstr>
      <vt:lpstr>XDO_GROUP_?G_5?90?</vt:lpstr>
      <vt:lpstr>XDO_GROUP_?G_5?91?</vt:lpstr>
      <vt:lpstr>XDO_GROUP_?G_5?92?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2025-09-09T10:37:44Z</dcterms:created>
  <dcterms:modified xsi:type="dcterms:W3CDTF">2025-09-09T10:37:45Z</dcterms:modified>
</cp:coreProperties>
</file>