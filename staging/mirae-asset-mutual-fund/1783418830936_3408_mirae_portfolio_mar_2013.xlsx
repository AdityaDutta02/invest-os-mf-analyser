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70" windowWidth="14940" windowHeight="9150"/>
  </bookViews>
  <sheets>
    <sheet name="MACMF" sheetId="1" r:id="rId1"/>
    <sheet name="MAEBF" sheetId="2" r:id="rId2"/>
    <sheet name="MAICCF" sheetId="3" r:id="rId3"/>
    <sheet name="MACAF" sheetId="4" r:id="rId4"/>
    <sheet name="MAGSCF" sheetId="5" r:id="rId5"/>
    <sheet name="MAIOF" sheetId="6" r:id="rId6"/>
    <sheet name="MALF" sheetId="7" r:id="rId7"/>
    <sheet name="MAUSTBF" sheetId="8" r:id="rId8"/>
    <sheet name="MASTBF" sheetId="9" r:id="rId9"/>
  </sheets>
  <calcPr calcId="145621"/>
</workbook>
</file>

<file path=xl/calcChain.xml><?xml version="1.0" encoding="utf-8"?>
<calcChain xmlns="http://schemas.openxmlformats.org/spreadsheetml/2006/main">
  <c r="C107" i="3" l="1"/>
  <c r="C83" i="6"/>
  <c r="C64" i="5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</calcChain>
</file>

<file path=xl/sharedStrings.xml><?xml version="1.0" encoding="utf-8"?>
<sst xmlns="http://schemas.openxmlformats.org/spreadsheetml/2006/main" count="1714" uniqueCount="573">
  <si>
    <t>Mirae Asset Cash Management Fund</t>
  </si>
  <si>
    <t/>
  </si>
  <si>
    <t>Name of the Instrument</t>
  </si>
  <si>
    <t>Industry / Rating</t>
  </si>
  <si>
    <t>Quantity</t>
  </si>
  <si>
    <t>Market/Fair Value
 (Rs. in Lacs)</t>
  </si>
  <si>
    <t>% to Net
 Assets</t>
  </si>
  <si>
    <t>CBLO / Reverse Repo</t>
  </si>
  <si>
    <t>CBL_020413</t>
  </si>
  <si>
    <t>Clearing Corporation of India Ltd</t>
  </si>
  <si>
    <t xml:space="preserve"> </t>
  </si>
  <si>
    <t>Sub Total</t>
  </si>
  <si>
    <t>Total</t>
  </si>
  <si>
    <t>Net Receivables / (Payables)</t>
  </si>
  <si>
    <t>GRAND TOTAL</t>
  </si>
  <si>
    <t>Notes :</t>
  </si>
  <si>
    <t>(1)  Total NPAs provided for and its percentage to NAV : Nil</t>
  </si>
  <si>
    <t>Plan/Option</t>
  </si>
  <si>
    <t>As on March 31,2013</t>
  </si>
  <si>
    <t>DIRECT GROWTH</t>
  </si>
  <si>
    <t>DIRECT WEEKLY DIVIDEND</t>
  </si>
  <si>
    <t>DIRECT MONTHLY DIVIDEND</t>
  </si>
  <si>
    <t>DIRECT DAILY DIVIDEND</t>
  </si>
  <si>
    <t xml:space="preserve">            -</t>
  </si>
  <si>
    <t xml:space="preserve"> Dividend Option</t>
  </si>
  <si>
    <t>(4) No Bonus declared during the half-year ended March 31,2013</t>
  </si>
  <si>
    <t>(5) Total outstanding exposure in derivative instruments as on March 31,2013 is</t>
  </si>
  <si>
    <t>Nil</t>
  </si>
  <si>
    <t>(6) Total investments in Foreign Securities / Overseas ETFs as at March 31,2013 and its percentage to NAV:</t>
  </si>
  <si>
    <t>(7) Average maturity of the portfolio :</t>
  </si>
  <si>
    <t>Mirae Asset Emerging Blue Chip Fund</t>
  </si>
  <si>
    <t>Industry</t>
  </si>
  <si>
    <t>Equity &amp; Equity related</t>
  </si>
  <si>
    <t>(a) Listed / awaiting listing on Stock Exchanges</t>
  </si>
  <si>
    <t>FEBA01</t>
  </si>
  <si>
    <t>The Federal Bank  Ltd</t>
  </si>
  <si>
    <t>Banks</t>
  </si>
  <si>
    <t>AMRA03</t>
  </si>
  <si>
    <t>Amara Raja Batteries Ltd</t>
  </si>
  <si>
    <t>Auto Ancillaries</t>
  </si>
  <si>
    <t>IBCL01</t>
  </si>
  <si>
    <t>ICICI Bank Ltd</t>
  </si>
  <si>
    <t>VYSY01</t>
  </si>
  <si>
    <t>ING Vysya Bank Ltd</t>
  </si>
  <si>
    <t>IPCA02</t>
  </si>
  <si>
    <t>IPCA Laboratories Ltd</t>
  </si>
  <si>
    <t>Pharmaceuticals</t>
  </si>
  <si>
    <t>DIVI02</t>
  </si>
  <si>
    <t>Divi's Laboratories Ltd</t>
  </si>
  <si>
    <t>GTWA01</t>
  </si>
  <si>
    <t>Gateway Distriparks Ltd</t>
  </si>
  <si>
    <t>Transportation</t>
  </si>
  <si>
    <t>ZEET02</t>
  </si>
  <si>
    <t>Zee Entertainment Enterprises Ltd</t>
  </si>
  <si>
    <t>Media &amp; Entertainment</t>
  </si>
  <si>
    <t>GMDC02</t>
  </si>
  <si>
    <t>Gujarat Mineral Development Corporation Ltd</t>
  </si>
  <si>
    <t>Minerals/Mining</t>
  </si>
  <si>
    <t>TEMA01</t>
  </si>
  <si>
    <t>Tech Mahindra Ltd</t>
  </si>
  <si>
    <t>Software</t>
  </si>
  <si>
    <t>MOSU03</t>
  </si>
  <si>
    <t>Motherson Sumi Systems Ltd</t>
  </si>
  <si>
    <t>CHEL01</t>
  </si>
  <si>
    <t>Cadila Healthcare Ltd</t>
  </si>
  <si>
    <t>GCPL02</t>
  </si>
  <si>
    <t>Godrej Consumer Products Ltd</t>
  </si>
  <si>
    <t>Consumer Non Durables</t>
  </si>
  <si>
    <t>JKCE01</t>
  </si>
  <si>
    <t>JK Cement Ltd</t>
  </si>
  <si>
    <t>Cement</t>
  </si>
  <si>
    <t>TCHE01</t>
  </si>
  <si>
    <t>Tata Chemicals Ltd</t>
  </si>
  <si>
    <t>Chemicals</t>
  </si>
  <si>
    <t>CHLO02</t>
  </si>
  <si>
    <t>Exide Industries Ltd</t>
  </si>
  <si>
    <t>BKBA01</t>
  </si>
  <si>
    <t>Bank of Baroda</t>
  </si>
  <si>
    <t>IRAY01</t>
  </si>
  <si>
    <t>Aditya Birla Nuvo Ltd</t>
  </si>
  <si>
    <t>Services</t>
  </si>
  <si>
    <t>CALC01</t>
  </si>
  <si>
    <t>CESC Ltd</t>
  </si>
  <si>
    <t>Power</t>
  </si>
  <si>
    <t>SUFI01</t>
  </si>
  <si>
    <t>Sundaram Finance Ltd</t>
  </si>
  <si>
    <t>Finance</t>
  </si>
  <si>
    <t>LUPL02</t>
  </si>
  <si>
    <t>Lupin Ltd</t>
  </si>
  <si>
    <t>CMCL01</t>
  </si>
  <si>
    <t>CMC Ltd</t>
  </si>
  <si>
    <t>TWAT02</t>
  </si>
  <si>
    <t>Titan Industries Ltd</t>
  </si>
  <si>
    <t>Consumer Durables</t>
  </si>
  <si>
    <t>HPEC01</t>
  </si>
  <si>
    <t>Hindustan Petroleum Corporation Ltd</t>
  </si>
  <si>
    <t>Petroleum Products</t>
  </si>
  <si>
    <t>BRIT02</t>
  </si>
  <si>
    <t>Britannia Industries Ltd</t>
  </si>
  <si>
    <t>VENK01</t>
  </si>
  <si>
    <t>Venky's (India) Ltd</t>
  </si>
  <si>
    <t>VIPI02</t>
  </si>
  <si>
    <t>VIP Industries Ltd</t>
  </si>
  <si>
    <t>APOT02</t>
  </si>
  <si>
    <t>Apollo Tyres Ltd</t>
  </si>
  <si>
    <t>JKBL01</t>
  </si>
  <si>
    <t>The Jammu &amp; Kashmir Bank Ltd</t>
  </si>
  <si>
    <t>OIIL01</t>
  </si>
  <si>
    <t>Oil India Ltd</t>
  </si>
  <si>
    <t>Oil</t>
  </si>
  <si>
    <t>ICII01</t>
  </si>
  <si>
    <t>Akzo Nobel India Ltd</t>
  </si>
  <si>
    <t>UNBI01</t>
  </si>
  <si>
    <t>Union Bank of India</t>
  </si>
  <si>
    <t>KCUL02</t>
  </si>
  <si>
    <t>Cummins India Ltd</t>
  </si>
  <si>
    <t>Industrial Products</t>
  </si>
  <si>
    <t>POSO02</t>
  </si>
  <si>
    <t>Polaris Financial Technology Ltd</t>
  </si>
  <si>
    <t>GODF01</t>
  </si>
  <si>
    <t>Godfrey Phillips India Ltd</t>
  </si>
  <si>
    <t>GSPL01</t>
  </si>
  <si>
    <t>Gujarat State Petronet Ltd</t>
  </si>
  <si>
    <t>Gas</t>
  </si>
  <si>
    <t>INBK01</t>
  </si>
  <si>
    <t>Indian Bank</t>
  </si>
  <si>
    <t>HIMA02</t>
  </si>
  <si>
    <t>Himatsingka Seide Ltd</t>
  </si>
  <si>
    <t>Textile Products</t>
  </si>
  <si>
    <t>MARC02</t>
  </si>
  <si>
    <t>Marico Ltd</t>
  </si>
  <si>
    <t>LICH02</t>
  </si>
  <si>
    <t>LIC Housing Finance Ltd</t>
  </si>
  <si>
    <t>CROM02</t>
  </si>
  <si>
    <t>Crompton  Greaves Ltd</t>
  </si>
  <si>
    <t>Industrial Capital Goods</t>
  </si>
  <si>
    <t>PLNG01</t>
  </si>
  <si>
    <t>Petronet LNG Ltd</t>
  </si>
  <si>
    <t>GLPH03</t>
  </si>
  <si>
    <t>Glenmark Pharmaceuticals Ltd</t>
  </si>
  <si>
    <t>DHFL01</t>
  </si>
  <si>
    <t>Dewan Housing Finance Corporation Ltd</t>
  </si>
  <si>
    <t>ALBA01</t>
  </si>
  <si>
    <t>Allahabad Bank</t>
  </si>
  <si>
    <t>ICRA01</t>
  </si>
  <si>
    <t>ICRA Ltd</t>
  </si>
  <si>
    <t>RALL02</t>
  </si>
  <si>
    <t>Rallis India Ltd</t>
  </si>
  <si>
    <t>Pesticides</t>
  </si>
  <si>
    <t>HTML02</t>
  </si>
  <si>
    <t>HT Media Ltd</t>
  </si>
  <si>
    <t>HATH01</t>
  </si>
  <si>
    <t>Hathway Cable &amp; Datacom Ltd</t>
  </si>
  <si>
    <t>VORL02</t>
  </si>
  <si>
    <t>Vinati Organics Ltd</t>
  </si>
  <si>
    <t>TTEA02</t>
  </si>
  <si>
    <t>Tata Global Beverages Ltd</t>
  </si>
  <si>
    <t>IREL01</t>
  </si>
  <si>
    <t>Indiabulls Real Estate Ltd</t>
  </si>
  <si>
    <t>Construction</t>
  </si>
  <si>
    <t>TNPL01</t>
  </si>
  <si>
    <t>Tamil Nadu Newsprint &amp; Papers Ltd</t>
  </si>
  <si>
    <t>Paper</t>
  </si>
  <si>
    <t>PRIS01</t>
  </si>
  <si>
    <t>Prism CEMENT Ltd</t>
  </si>
  <si>
    <t>KELV01</t>
  </si>
  <si>
    <t>Whirlpool of India Ltd</t>
  </si>
  <si>
    <t>HIFI02</t>
  </si>
  <si>
    <t>Hinduja Ventures Ltd</t>
  </si>
  <si>
    <t>IFEL01</t>
  </si>
  <si>
    <t>Oracle Financial Services Software Ltd</t>
  </si>
  <si>
    <t>(b) Unlisted</t>
  </si>
  <si>
    <t>NIL</t>
  </si>
  <si>
    <t>(2)  Total Value and percentage of illiquid equity shares : Nil</t>
  </si>
  <si>
    <t>(3)  Net Assets Value per unit (in Rupees) are as follows:</t>
  </si>
  <si>
    <t>Regular Option - Growth Plan</t>
  </si>
  <si>
    <t>DIRECT DIVIDEND</t>
  </si>
  <si>
    <t>Regular Option - Dividend Plan</t>
  </si>
  <si>
    <t xml:space="preserve">(4) Details of Dividend declared per unit (In Rupees) during the </t>
  </si>
  <si>
    <t>(5) No Bonus declared during the half-year ended March 31,2013</t>
  </si>
  <si>
    <t>(6) Total outstanding exposure in derivative instruments as on March 31,2013 is</t>
  </si>
  <si>
    <t>(7) Total investments in Foreign Securities / Overseas ETFs as at March 31,2013 and its percentage to NAV:</t>
  </si>
  <si>
    <t>(8)  During the period, the portfolio turnover ratio is ______ times.</t>
  </si>
  <si>
    <t>Mirae Asset India China Consumption Fund</t>
  </si>
  <si>
    <t>ITCL02</t>
  </si>
  <si>
    <t>ITC Ltd</t>
  </si>
  <si>
    <t>1099448</t>
  </si>
  <si>
    <t>China Mobile</t>
  </si>
  <si>
    <t>Wireless Telecommunication Services</t>
  </si>
  <si>
    <t>TELC04</t>
  </si>
  <si>
    <t>Tata Motors Ltd</t>
  </si>
  <si>
    <t>Auto</t>
  </si>
  <si>
    <t>MCSP01</t>
  </si>
  <si>
    <t>United Spirits Ltd</t>
  </si>
  <si>
    <t>BTVL02</t>
  </si>
  <si>
    <t>Bharti Airtel Ltd</t>
  </si>
  <si>
    <t>Telecom - Services</t>
  </si>
  <si>
    <t>HDFC03</t>
  </si>
  <si>
    <t>Housing Development Finance Corporation Ltd</t>
  </si>
  <si>
    <t>MAUD01</t>
  </si>
  <si>
    <t>Maruti Suzuki India Ltd</t>
  </si>
  <si>
    <t>90880</t>
  </si>
  <si>
    <t>Ind &amp; Comm Bk - H</t>
  </si>
  <si>
    <t>Diversified Banks</t>
  </si>
  <si>
    <t>90797</t>
  </si>
  <si>
    <t>Bank Of China Ltd</t>
  </si>
  <si>
    <t>3354530</t>
  </si>
  <si>
    <t>Hengan International Group Co Ltd</t>
  </si>
  <si>
    <t>Personal Products</t>
  </si>
  <si>
    <t>3867205</t>
  </si>
  <si>
    <t>Want Want China Holdings Ltd</t>
  </si>
  <si>
    <t>Packaged Foods &amp; Meats</t>
  </si>
  <si>
    <t>90678</t>
  </si>
  <si>
    <t>China Construct BK-H</t>
  </si>
  <si>
    <t>427255</t>
  </si>
  <si>
    <t>Tingyi (Cayman Islands) Holdings Corp</t>
  </si>
  <si>
    <t>3094598</t>
  </si>
  <si>
    <t>Belle Intl Hldgs</t>
  </si>
  <si>
    <t>Apparel Retail</t>
  </si>
  <si>
    <t>420828</t>
  </si>
  <si>
    <t>China Overseas Land &amp; Invest Ltd</t>
  </si>
  <si>
    <t>Real Estate Development</t>
  </si>
  <si>
    <t>4752611</t>
  </si>
  <si>
    <t>China Unicom</t>
  </si>
  <si>
    <t>Integrated Telecommunication Services</t>
  </si>
  <si>
    <t>90197</t>
  </si>
  <si>
    <t>China Telecom Corp-H</t>
  </si>
  <si>
    <t>90476</t>
  </si>
  <si>
    <t>Ping An Ins Grp-H</t>
  </si>
  <si>
    <t>Life &amp; Health Insurance</t>
  </si>
  <si>
    <t>2467743</t>
  </si>
  <si>
    <t>Golden Eagle Retail Group Ltd</t>
  </si>
  <si>
    <t>Department Stores</t>
  </si>
  <si>
    <t>NEST01</t>
  </si>
  <si>
    <t>Nestle India Ltd</t>
  </si>
  <si>
    <t>11342851</t>
  </si>
  <si>
    <t>Guangzhou Automobile Group Ltd</t>
  </si>
  <si>
    <t>Automobile Manufacturers</t>
  </si>
  <si>
    <t>1843902</t>
  </si>
  <si>
    <t>Dongfeng Motor Group Company Ltd</t>
  </si>
  <si>
    <t>SPIL03</t>
  </si>
  <si>
    <t>Sun Pharmaceuticals Industries Ltd</t>
  </si>
  <si>
    <t>1799250</t>
  </si>
  <si>
    <t>Shandong Weigao Gr Medical Polymerco Ltd</t>
  </si>
  <si>
    <t>Health Care Supplies</t>
  </si>
  <si>
    <t>HLEL02</t>
  </si>
  <si>
    <t>Hindustan Unilever Ltd</t>
  </si>
  <si>
    <t>Regular Growth</t>
  </si>
  <si>
    <t>Regular Dividend</t>
  </si>
  <si>
    <t>Rs. 122.5965421 Lacs</t>
  </si>
  <si>
    <t>Mirae Asset China Advantage Fund</t>
  </si>
  <si>
    <t>Others</t>
  </si>
  <si>
    <t>International  Mutual Fund Units</t>
  </si>
  <si>
    <t>LU05877607</t>
  </si>
  <si>
    <t>Mirae Asset China Sector Leader Eq Class X Cap USD</t>
  </si>
  <si>
    <t>(2)  Net Assets Value per unit (in Rupees) are as follows:</t>
  </si>
  <si>
    <t xml:space="preserve">(3) Details of Dividend declared per unit (In Rupees) during the </t>
  </si>
  <si>
    <t>Rs. 3086.4333817 Lacs</t>
  </si>
  <si>
    <t>Mirae Asset Global Commodity Stocks Fund</t>
  </si>
  <si>
    <t>640390AUD</t>
  </si>
  <si>
    <t>BHP Billiton Ltd</t>
  </si>
  <si>
    <t>Diversified Metals &amp; Mining</t>
  </si>
  <si>
    <t>RIND01</t>
  </si>
  <si>
    <t>Reliance Industries Ltd</t>
  </si>
  <si>
    <t>1778506</t>
  </si>
  <si>
    <t>Cnooc Ltd</t>
  </si>
  <si>
    <t>Oil &amp; Gas Exploration &amp; Production</t>
  </si>
  <si>
    <t>89629</t>
  </si>
  <si>
    <t>Petrochina Company Ltd</t>
  </si>
  <si>
    <t>Integrated Oil &amp; Gas</t>
  </si>
  <si>
    <t>642429</t>
  </si>
  <si>
    <t>Woodside Petroleum Ltd</t>
  </si>
  <si>
    <t>ONGC02</t>
  </si>
  <si>
    <t>Oil &amp; Natural Gas Corporation Ltd</t>
  </si>
  <si>
    <t>721806</t>
  </si>
  <si>
    <t>POSCO (Pohang Iron &amp; Steel Co Ltd )</t>
  </si>
  <si>
    <t>Steel</t>
  </si>
  <si>
    <t>603520AUD</t>
  </si>
  <si>
    <t>Rio Tinto Ltd</t>
  </si>
  <si>
    <t>89774</t>
  </si>
  <si>
    <t>China Petroleum -H-</t>
  </si>
  <si>
    <t>1177560</t>
  </si>
  <si>
    <t>LG Chemicals Ltd</t>
  </si>
  <si>
    <t>Commodity Chemicals</t>
  </si>
  <si>
    <t>TISC01</t>
  </si>
  <si>
    <t>Tata Steel Ltd</t>
  </si>
  <si>
    <t>Ferrous Metals</t>
  </si>
  <si>
    <t>1051439</t>
  </si>
  <si>
    <t>Origin Energy Ltd</t>
  </si>
  <si>
    <t>COAL01</t>
  </si>
  <si>
    <t>Coal India Ltd</t>
  </si>
  <si>
    <t>ASPA01</t>
  </si>
  <si>
    <t>Asian Paints Ltd</t>
  </si>
  <si>
    <t>3051604</t>
  </si>
  <si>
    <t>SK Innovation Co Ltd</t>
  </si>
  <si>
    <t>Oil &amp; Gas Refining &amp; Marketing</t>
  </si>
  <si>
    <t>HINI02</t>
  </si>
  <si>
    <t>Hindalco Industries Ltd</t>
  </si>
  <si>
    <t>Non - Ferrous Metals</t>
  </si>
  <si>
    <t>650853</t>
  </si>
  <si>
    <t>Newcrest MMining Ltd</t>
  </si>
  <si>
    <t>Gold</t>
  </si>
  <si>
    <t>641959AUD</t>
  </si>
  <si>
    <t>Santos Ltd-AUD</t>
  </si>
  <si>
    <t>JSPL03</t>
  </si>
  <si>
    <t>Jindal Steel &amp; Power Ltd</t>
  </si>
  <si>
    <t>10692838</t>
  </si>
  <si>
    <t>Kunlun Energy Company Ltd</t>
  </si>
  <si>
    <t>SIND04</t>
  </si>
  <si>
    <t>Sterlite Industries ( India ) Ltd</t>
  </si>
  <si>
    <t>641225</t>
  </si>
  <si>
    <t>Orica Ltd</t>
  </si>
  <si>
    <t>2176548</t>
  </si>
  <si>
    <t>China Shenhua - H</t>
  </si>
  <si>
    <t>Coal &amp; Consumable Fuels</t>
  </si>
  <si>
    <t>3307339</t>
  </si>
  <si>
    <t>PT Semen Gresik ( Persero) TBK</t>
  </si>
  <si>
    <t>Construction Materials</t>
  </si>
  <si>
    <t>809900</t>
  </si>
  <si>
    <t>Oil Search Ltd</t>
  </si>
  <si>
    <t>2137308</t>
  </si>
  <si>
    <t>Shougang Fushan Resources Grp Ltd</t>
  </si>
  <si>
    <t>640267AUD</t>
  </si>
  <si>
    <t>AMCOR LIMITED</t>
  </si>
  <si>
    <t>ULCC01</t>
  </si>
  <si>
    <t>Ultratech Cement Ltd</t>
  </si>
  <si>
    <t>CAIR01</t>
  </si>
  <si>
    <t>Cairn India Ltd</t>
  </si>
  <si>
    <t>2481609</t>
  </si>
  <si>
    <t>China National Building Materia Ltd</t>
  </si>
  <si>
    <t>654226HKD</t>
  </si>
  <si>
    <t>Jiangxi Copper Company Ltd</t>
  </si>
  <si>
    <t>1655130AUD</t>
  </si>
  <si>
    <t>FORTESCUE METALS GROUP LTD</t>
  </si>
  <si>
    <t>1735703</t>
  </si>
  <si>
    <t>Zijin Mining Group-H</t>
  </si>
  <si>
    <t>89917</t>
  </si>
  <si>
    <t>Anhui Conch -H-</t>
  </si>
  <si>
    <t>1515293</t>
  </si>
  <si>
    <t>Tambang Batubara Bukit Asam Ltd</t>
  </si>
  <si>
    <t>BPCL01</t>
  </si>
  <si>
    <t>Bharat Petroleum Corporation Ltd</t>
  </si>
  <si>
    <t>871896HKD</t>
  </si>
  <si>
    <t>Yanzhou Coal Mining Co Ltd</t>
  </si>
  <si>
    <t>JVSL02</t>
  </si>
  <si>
    <t>JSW Steel Ltd</t>
  </si>
  <si>
    <t>Rs. 178.2785893 Lacs</t>
  </si>
  <si>
    <t>Mirae Asset India Opportunities Fund</t>
  </si>
  <si>
    <t>INFS02</t>
  </si>
  <si>
    <t>Infosys Ltd</t>
  </si>
  <si>
    <t>HDFB02</t>
  </si>
  <si>
    <t>HDFC Bank Ltd</t>
  </si>
  <si>
    <t>SBAI01</t>
  </si>
  <si>
    <t>State Bank of India</t>
  </si>
  <si>
    <t>LARS02</t>
  </si>
  <si>
    <t>Larsen &amp; Toubro Ltd</t>
  </si>
  <si>
    <t>Construction Project</t>
  </si>
  <si>
    <t>WIPR02</t>
  </si>
  <si>
    <t>Wipro Ltd</t>
  </si>
  <si>
    <t>CIPL03</t>
  </si>
  <si>
    <t>Cipla Ltd</t>
  </si>
  <si>
    <t>TELC03</t>
  </si>
  <si>
    <t>MMFS02</t>
  </si>
  <si>
    <t>Mahindra &amp; Mahindra Financial Services Ltd</t>
  </si>
  <si>
    <t>PGCI01</t>
  </si>
  <si>
    <t>Power Grid Corporation of India Ltd</t>
  </si>
  <si>
    <t>DRRL02</t>
  </si>
  <si>
    <t>Dr. Reddy'S Laboratories Ltd</t>
  </si>
  <si>
    <t>JAAS02</t>
  </si>
  <si>
    <t>Jaiprakash Associates Ltd</t>
  </si>
  <si>
    <t>TCSL01</t>
  </si>
  <si>
    <t>Tata Consultancy Services Ltd</t>
  </si>
  <si>
    <t>GAIL01</t>
  </si>
  <si>
    <t>GAIL (India) Ltd</t>
  </si>
  <si>
    <t>GLOS01</t>
  </si>
  <si>
    <t>Globus Spirits Ltd</t>
  </si>
  <si>
    <t>Mirae Asset Liquid Fund</t>
  </si>
  <si>
    <t>Regular Weekly</t>
  </si>
  <si>
    <t>Regular Daily Dividend</t>
  </si>
  <si>
    <t>Regular Monthly Dividend</t>
  </si>
  <si>
    <t>Institutional Growth</t>
  </si>
  <si>
    <t>Institutional Monthly</t>
  </si>
  <si>
    <t>Institutional Weekly Dividend</t>
  </si>
  <si>
    <t>Super Institutional Growth</t>
  </si>
  <si>
    <t>Super Institutional Weekly Dividend</t>
  </si>
  <si>
    <t>Regular Bonus</t>
  </si>
  <si>
    <t>Institutional - Daily Dividend Option</t>
  </si>
  <si>
    <t>Super Institutional Daily Dividend</t>
  </si>
  <si>
    <t>Mirae Asset Ultra Short Term Bond Fund</t>
  </si>
  <si>
    <t>Rating</t>
  </si>
  <si>
    <t>Money Market Instruments</t>
  </si>
  <si>
    <t>Certificate of Deposit</t>
  </si>
  <si>
    <t>YESB467</t>
  </si>
  <si>
    <t>Yes Bank Ltd (14/05/2013) ** #</t>
  </si>
  <si>
    <t>CRISIL A1+</t>
  </si>
  <si>
    <t>UTIB579</t>
  </si>
  <si>
    <t>Axis Bank Ltd (13/05/2013) ** #</t>
  </si>
  <si>
    <t>KMBK411</t>
  </si>
  <si>
    <t>Kotak Mahindra Bank Ltd (13/05/2013) ** #</t>
  </si>
  <si>
    <t>ANBA216</t>
  </si>
  <si>
    <t>Andhra Bank (29/04/2013) ** #</t>
  </si>
  <si>
    <t>CARE A1+</t>
  </si>
  <si>
    <t>**  Thinly Traded / Non Traded Security</t>
  </si>
  <si>
    <t>#  Unlisted Security</t>
  </si>
  <si>
    <t>Regular Weekly Dividend</t>
  </si>
  <si>
    <t>DIRECT QUARTERLY DIVIDEND</t>
  </si>
  <si>
    <t>Regular Quarterly Dividend</t>
  </si>
  <si>
    <t>Mirae Asset Short Term Bond Fund</t>
  </si>
  <si>
    <t>Regular  Monthly  Dividend</t>
  </si>
  <si>
    <t>Institutional Fortnightly Dividend</t>
  </si>
  <si>
    <t>Regular</t>
  </si>
  <si>
    <t>Regular Fortnightly Dividend</t>
  </si>
  <si>
    <t>DIRECT FORTNIGHTLY DIVIDEND</t>
  </si>
  <si>
    <t>Institutional Dividend</t>
  </si>
  <si>
    <t>Institutional Quarterly Dividend</t>
  </si>
  <si>
    <t>ISIN</t>
  </si>
  <si>
    <t>Monthly Yearly Portfolio Statement as on March 31,2013</t>
  </si>
  <si>
    <t>EQUITY &amp; EQUITY RELATED</t>
  </si>
  <si>
    <t>(a) Listed/Awaiting listing on Stock Exchanges</t>
  </si>
  <si>
    <t>SBAM192</t>
  </si>
  <si>
    <t>DEBT INSTRUMENTS</t>
  </si>
  <si>
    <t xml:space="preserve">(a) Listed/Awaiting Listing on Stock Exchanges </t>
  </si>
  <si>
    <t>CBL_010113</t>
  </si>
  <si>
    <t xml:space="preserve">(b) Privately placed/Unlisted </t>
  </si>
  <si>
    <t>(c) Securitised Debt Instruments</t>
  </si>
  <si>
    <t>(a) Listed/Awaiting Listing on Stock Exchanges</t>
  </si>
  <si>
    <t>FDSC522</t>
  </si>
  <si>
    <t>KMBK358</t>
  </si>
  <si>
    <t>YESB431</t>
  </si>
  <si>
    <t>UTIB551</t>
  </si>
  <si>
    <t>CANB370</t>
  </si>
  <si>
    <t>INE171A01011</t>
  </si>
  <si>
    <t>INE885A01032</t>
  </si>
  <si>
    <t>INE090A01013</t>
  </si>
  <si>
    <t>INE166A01011</t>
  </si>
  <si>
    <t>INE571A01020</t>
  </si>
  <si>
    <t>INE361B01024</t>
  </si>
  <si>
    <t>INE852F01015</t>
  </si>
  <si>
    <t>INE256A01028</t>
  </si>
  <si>
    <t>INE131A01031</t>
  </si>
  <si>
    <t>INE669C01028</t>
  </si>
  <si>
    <t>INE775A01035</t>
  </si>
  <si>
    <t>INE010B01019</t>
  </si>
  <si>
    <t>INE102D01028</t>
  </si>
  <si>
    <t>INE823G01014</t>
  </si>
  <si>
    <t>INE092A01019</t>
  </si>
  <si>
    <t>INE302A01020</t>
  </si>
  <si>
    <t>INE028A01013</t>
  </si>
  <si>
    <t>INE069A01017</t>
  </si>
  <si>
    <t>INE486A01013</t>
  </si>
  <si>
    <t>INE660A01013</t>
  </si>
  <si>
    <t>INE326A01037</t>
  </si>
  <si>
    <t>INE314A01017</t>
  </si>
  <si>
    <t>INE280A01028</t>
  </si>
  <si>
    <t>INE094A01015</t>
  </si>
  <si>
    <t>INE216A01022</t>
  </si>
  <si>
    <t>INE398A01010</t>
  </si>
  <si>
    <t>INE054A01027</t>
  </si>
  <si>
    <t>INE438A01022</t>
  </si>
  <si>
    <t>INE168A01017</t>
  </si>
  <si>
    <t>INE274J01014</t>
  </si>
  <si>
    <t>INE133A01011</t>
  </si>
  <si>
    <t>INE692A01016</t>
  </si>
  <si>
    <t>INE298A01020</t>
  </si>
  <si>
    <t>INE763A01023</t>
  </si>
  <si>
    <t>INE260B01010</t>
  </si>
  <si>
    <t>INE246F01010</t>
  </si>
  <si>
    <t>INE562A01011</t>
  </si>
  <si>
    <t>INE049A01027</t>
  </si>
  <si>
    <t>INE196A01026</t>
  </si>
  <si>
    <t>INE115A01026</t>
  </si>
  <si>
    <t>INE067A01029</t>
  </si>
  <si>
    <t>INE347G01014</t>
  </si>
  <si>
    <t>INE935A01035</t>
  </si>
  <si>
    <t>INE202B01012</t>
  </si>
  <si>
    <t>INE428A01015</t>
  </si>
  <si>
    <t>INE725G01011</t>
  </si>
  <si>
    <t>INE613A01020</t>
  </si>
  <si>
    <t>INE501G01024</t>
  </si>
  <si>
    <t>INE982F01028</t>
  </si>
  <si>
    <t>INE410B01029</t>
  </si>
  <si>
    <t>INE192A01025</t>
  </si>
  <si>
    <t>INE069I01010</t>
  </si>
  <si>
    <t>INE107A01015</t>
  </si>
  <si>
    <t>INE010A01011</t>
  </si>
  <si>
    <t>INE716A01013</t>
  </si>
  <si>
    <t>INE353A01023</t>
  </si>
  <si>
    <t>INE881D01027</t>
  </si>
  <si>
    <t>INE154A01025</t>
  </si>
  <si>
    <t>HK0941009539</t>
  </si>
  <si>
    <t>IN9155A01020</t>
  </si>
  <si>
    <t>INE854D01016</t>
  </si>
  <si>
    <t>INE397D01024</t>
  </si>
  <si>
    <t>INE001A01036</t>
  </si>
  <si>
    <t>INE585B01010</t>
  </si>
  <si>
    <t>CNE1000003G1</t>
  </si>
  <si>
    <t>CNE1000001Z5</t>
  </si>
  <si>
    <t>KYG4402L1510</t>
  </si>
  <si>
    <t>KYG9431R1039</t>
  </si>
  <si>
    <t>CNE1000002H1</t>
  </si>
  <si>
    <t>KYG8878S1030</t>
  </si>
  <si>
    <t>KYG097021045</t>
  </si>
  <si>
    <t>HK0688002218</t>
  </si>
  <si>
    <t>HK0000049939</t>
  </si>
  <si>
    <t>CNE1000002V2</t>
  </si>
  <si>
    <t>CNE1000003X6</t>
  </si>
  <si>
    <t>KYG3958R1092</t>
  </si>
  <si>
    <t>INE239A01016</t>
  </si>
  <si>
    <t>CNE100000Q35</t>
  </si>
  <si>
    <t>CNE100000312</t>
  </si>
  <si>
    <t>INE044A01036</t>
  </si>
  <si>
    <t>CNE100000171</t>
  </si>
  <si>
    <t>INE030A01027</t>
  </si>
  <si>
    <t>AU000000BHP4</t>
  </si>
  <si>
    <t>INE002A01018</t>
  </si>
  <si>
    <t>HK0883013259</t>
  </si>
  <si>
    <t>CNE1000003W8</t>
  </si>
  <si>
    <t>AU000000WPL2</t>
  </si>
  <si>
    <t>INE213A01029</t>
  </si>
  <si>
    <t>KR7005490008</t>
  </si>
  <si>
    <t>AU000000RIO1</t>
  </si>
  <si>
    <t>CNE1000002Q2</t>
  </si>
  <si>
    <t>KR7051910008</t>
  </si>
  <si>
    <t>INE081A01012</t>
  </si>
  <si>
    <t>AU000000ORG5</t>
  </si>
  <si>
    <t>INE522F01014</t>
  </si>
  <si>
    <t>INE021A01018</t>
  </si>
  <si>
    <t>KR7096770003</t>
  </si>
  <si>
    <t>INE038A01020</t>
  </si>
  <si>
    <t>AU000000NCM7</t>
  </si>
  <si>
    <t>AU000000STO6</t>
  </si>
  <si>
    <t>INE749A01030</t>
  </si>
  <si>
    <t>BMG5320C1082</t>
  </si>
  <si>
    <t>INE268A01049</t>
  </si>
  <si>
    <t>AU000000ORI1</t>
  </si>
  <si>
    <t>CNE1000002R0</t>
  </si>
  <si>
    <t>ID1000106800</t>
  </si>
  <si>
    <t>PG0008579883</t>
  </si>
  <si>
    <t>HK0639031506</t>
  </si>
  <si>
    <t>AU000000AMC4</t>
  </si>
  <si>
    <t>INE481G01011</t>
  </si>
  <si>
    <t>INE910H01017</t>
  </si>
  <si>
    <t>CNE1000002N9</t>
  </si>
  <si>
    <t>CNE1000003K3</t>
  </si>
  <si>
    <t>AU000000FMG4</t>
  </si>
  <si>
    <t>CNE100000502</t>
  </si>
  <si>
    <t>CNE1000001W2</t>
  </si>
  <si>
    <t>ID1000094006</t>
  </si>
  <si>
    <t>INE029A01011</t>
  </si>
  <si>
    <t>CNE1000004Q8</t>
  </si>
  <si>
    <t>INE019A01020</t>
  </si>
  <si>
    <t>INE009A01021</t>
  </si>
  <si>
    <t>INE040A01026</t>
  </si>
  <si>
    <t>INE062A01012</t>
  </si>
  <si>
    <t>INE018A01030</t>
  </si>
  <si>
    <t>INE075A01022</t>
  </si>
  <si>
    <t>INE059A01026</t>
  </si>
  <si>
    <t>INE155A01022</t>
  </si>
  <si>
    <t>INE774D01024</t>
  </si>
  <si>
    <t>INE752E01010</t>
  </si>
  <si>
    <t>INE089A01023</t>
  </si>
  <si>
    <t>INE455F01025</t>
  </si>
  <si>
    <t>INE467B01029</t>
  </si>
  <si>
    <t>INE129A01019</t>
  </si>
  <si>
    <t>INE615I01010</t>
  </si>
  <si>
    <t>INE528G16PA5</t>
  </si>
  <si>
    <t>INE238A16RL7</t>
  </si>
  <si>
    <t>INE237A16TM3</t>
  </si>
  <si>
    <t>INE434A16BW3</t>
  </si>
  <si>
    <t>Tata Motors Ltd DVR Shares</t>
  </si>
  <si>
    <t>LU0587760769</t>
  </si>
  <si>
    <t>Average maturity in days</t>
  </si>
  <si>
    <t>Portfolio Turnover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</si>
</sst>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###"/>
    <numFmt numFmtId="165" formatCode="0.0"/>
  </numFmts>
  <fonts count="12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b/>
      <sz val="10"/>
      <name val="SansSerif"/>
    </font>
    <font>
      <sz val="9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04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3" fillId="0" borderId="3" xfId="0" applyNumberFormat="1" applyFont="1" applyFill="1" applyBorder="1" applyAlignment="1" applyProtection="1">
      <alignment horizontal="left" vertical="top" wrapText="1"/>
    </xf>
    <xf numFmtId="0" fontId="3" fillId="0" borderId="4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164" fontId="3" fillId="0" borderId="0" xfId="0" applyNumberFormat="1" applyFont="1" applyFill="1" applyBorder="1" applyAlignment="1" applyProtection="1">
      <alignment horizontal="right" vertical="top" wrapText="1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3" fontId="3" fillId="0" borderId="4" xfId="0" applyNumberFormat="1" applyFont="1" applyFill="1" applyBorder="1" applyAlignment="1" applyProtection="1">
      <alignment horizontal="right" vertical="top" wrapText="1"/>
    </xf>
    <xf numFmtId="0" fontId="2" fillId="0" borderId="4" xfId="0" applyNumberFormat="1" applyFont="1" applyFill="1" applyBorder="1" applyAlignment="1" applyProtection="1">
      <alignment horizontal="left" vertical="top" wrapText="1"/>
    </xf>
    <xf numFmtId="0" fontId="2" fillId="0" borderId="8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center" vertical="center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10" fillId="0" borderId="13" xfId="0" applyFont="1" applyBorder="1"/>
    <xf numFmtId="0" fontId="10" fillId="0" borderId="14" xfId="0" applyFont="1" applyBorder="1"/>
    <xf numFmtId="0" fontId="2" fillId="0" borderId="14" xfId="0" applyNumberFormat="1" applyFont="1" applyFill="1" applyBorder="1" applyAlignment="1" applyProtection="1">
      <alignment horizontal="center" vertical="center" wrapText="1"/>
    </xf>
    <xf numFmtId="0" fontId="6" fillId="0" borderId="15" xfId="0" applyFont="1" applyBorder="1"/>
    <xf numFmtId="0" fontId="2" fillId="0" borderId="16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0" fillId="0" borderId="15" xfId="0" applyBorder="1"/>
    <xf numFmtId="0" fontId="10" fillId="0" borderId="15" xfId="0" applyFont="1" applyBorder="1"/>
    <xf numFmtId="0" fontId="10" fillId="0" borderId="18" xfId="0" applyFont="1" applyBorder="1"/>
    <xf numFmtId="0" fontId="2" fillId="0" borderId="16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0" fontId="2" fillId="0" borderId="16" xfId="0" applyNumberFormat="1" applyFont="1" applyFill="1" applyBorder="1" applyAlignment="1" applyProtection="1">
      <alignment horizontal="right" vertical="top" wrapText="1"/>
    </xf>
    <xf numFmtId="10" fontId="2" fillId="0" borderId="16" xfId="0" applyNumberFormat="1" applyFont="1" applyFill="1" applyBorder="1" applyAlignment="1" applyProtection="1">
      <alignment horizontal="right" vertical="top" wrapText="1"/>
    </xf>
    <xf numFmtId="0" fontId="6" fillId="0" borderId="18" xfId="0" applyFont="1" applyBorder="1"/>
    <xf numFmtId="0" fontId="0" fillId="0" borderId="18" xfId="0" applyBorder="1"/>
    <xf numFmtId="0" fontId="0" fillId="0" borderId="19" xfId="0" applyBorder="1"/>
    <xf numFmtId="0" fontId="2" fillId="0" borderId="20" xfId="0" applyNumberFormat="1" applyFont="1" applyFill="1" applyBorder="1" applyAlignment="1" applyProtection="1">
      <alignment horizontal="left" vertical="top" wrapText="1"/>
    </xf>
    <xf numFmtId="0" fontId="3" fillId="0" borderId="20" xfId="0" applyNumberFormat="1" applyFont="1" applyFill="1" applyBorder="1" applyAlignment="1" applyProtection="1">
      <alignment horizontal="left" vertical="top" wrapText="1"/>
    </xf>
    <xf numFmtId="0" fontId="2" fillId="0" borderId="21" xfId="0" applyNumberFormat="1" applyFont="1" applyFill="1" applyBorder="1" applyAlignment="1" applyProtection="1">
      <alignment horizontal="left" vertical="top" wrapText="1"/>
    </xf>
    <xf numFmtId="0" fontId="2" fillId="0" borderId="18" xfId="0" applyNumberFormat="1" applyFont="1" applyFill="1" applyBorder="1" applyAlignment="1" applyProtection="1">
      <alignment horizontal="left" vertical="top" wrapText="1"/>
    </xf>
    <xf numFmtId="0" fontId="2" fillId="0" borderId="17" xfId="0" applyNumberFormat="1" applyFont="1" applyFill="1" applyBorder="1" applyAlignment="1" applyProtection="1">
      <alignment horizontal="left" vertical="top" wrapText="1"/>
    </xf>
    <xf numFmtId="0" fontId="0" fillId="0" borderId="22" xfId="0" applyBorder="1"/>
    <xf numFmtId="0" fontId="2" fillId="0" borderId="23" xfId="0" applyNumberFormat="1" applyFont="1" applyFill="1" applyBorder="1" applyAlignment="1" applyProtection="1">
      <alignment horizontal="left" vertical="top" wrapText="1"/>
    </xf>
    <xf numFmtId="0" fontId="3" fillId="0" borderId="23" xfId="0" applyNumberFormat="1" applyFont="1" applyFill="1" applyBorder="1" applyAlignment="1" applyProtection="1">
      <alignment horizontal="left" vertical="top" wrapText="1"/>
    </xf>
    <xf numFmtId="0" fontId="8" fillId="0" borderId="23" xfId="0" applyNumberFormat="1" applyFont="1" applyFill="1" applyBorder="1" applyAlignment="1" applyProtection="1">
      <alignment horizontal="center" vertical="center" wrapText="1"/>
    </xf>
    <xf numFmtId="0" fontId="2" fillId="0" borderId="24" xfId="0" applyNumberFormat="1" applyFont="1" applyFill="1" applyBorder="1" applyAlignment="1" applyProtection="1">
      <alignment horizontal="left" vertical="top" wrapText="1"/>
    </xf>
    <xf numFmtId="0" fontId="3" fillId="0" borderId="24" xfId="0" applyNumberFormat="1" applyFont="1" applyFill="1" applyBorder="1" applyAlignment="1" applyProtection="1">
      <alignment horizontal="left" vertical="top" wrapText="1"/>
    </xf>
    <xf numFmtId="0" fontId="8" fillId="0" borderId="20" xfId="0" applyNumberFormat="1" applyFont="1" applyFill="1" applyBorder="1" applyAlignment="1" applyProtection="1">
      <alignment horizontal="center" vertical="center" wrapText="1"/>
    </xf>
    <xf numFmtId="0" fontId="10" fillId="0" borderId="22" xfId="0" applyFont="1" applyBorder="1"/>
    <xf numFmtId="0" fontId="10" fillId="0" borderId="25" xfId="0" applyFont="1" applyBorder="1"/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6" fillId="0" borderId="17" xfId="0" applyFont="1" applyBorder="1"/>
    <xf numFmtId="0" fontId="0" fillId="0" borderId="17" xfId="0" applyBorder="1"/>
    <xf numFmtId="0" fontId="2" fillId="0" borderId="18" xfId="0" applyNumberFormat="1" applyFont="1" applyFill="1" applyBorder="1" applyAlignment="1" applyProtection="1">
      <alignment horizontal="left" vertical="center" wrapText="1"/>
    </xf>
    <xf numFmtId="0" fontId="2" fillId="0" borderId="17" xfId="0" applyNumberFormat="1" applyFont="1" applyFill="1" applyBorder="1" applyAlignment="1" applyProtection="1">
      <alignment horizontal="left" vertical="center" wrapText="1"/>
    </xf>
    <xf numFmtId="0" fontId="10" fillId="0" borderId="17" xfId="0" applyFont="1" applyBorder="1"/>
    <xf numFmtId="4" fontId="3" fillId="0" borderId="4" xfId="0" applyNumberFormat="1" applyFont="1" applyFill="1" applyBorder="1" applyAlignment="1" applyProtection="1">
      <alignment horizontal="right" vertical="top" wrapText="1"/>
    </xf>
    <xf numFmtId="4" fontId="2" fillId="0" borderId="8" xfId="0" applyNumberFormat="1" applyFont="1" applyFill="1" applyBorder="1" applyAlignment="1" applyProtection="1">
      <alignment horizontal="right" vertical="top" wrapText="1"/>
    </xf>
    <xf numFmtId="4" fontId="2" fillId="0" borderId="10" xfId="0" applyNumberFormat="1" applyFont="1" applyFill="1" applyBorder="1" applyAlignment="1" applyProtection="1">
      <alignment horizontal="right" vertical="top" wrapText="1"/>
    </xf>
    <xf numFmtId="4" fontId="2" fillId="0" borderId="7" xfId="0" applyNumberFormat="1" applyFont="1" applyFill="1" applyBorder="1" applyAlignment="1" applyProtection="1">
      <alignment horizontal="right" vertical="top" wrapText="1"/>
    </xf>
    <xf numFmtId="10" fontId="3" fillId="0" borderId="4" xfId="0" applyNumberFormat="1" applyFont="1" applyFill="1" applyBorder="1" applyAlignment="1" applyProtection="1">
      <alignment horizontal="right" vertical="top" wrapText="1"/>
    </xf>
    <xf numFmtId="10" fontId="2" fillId="0" borderId="7" xfId="0" applyNumberFormat="1" applyFont="1" applyFill="1" applyBorder="1" applyAlignment="1" applyProtection="1">
      <alignment horizontal="right" vertical="top" wrapText="1"/>
    </xf>
    <xf numFmtId="10" fontId="2" fillId="0" borderId="26" xfId="0" applyNumberFormat="1" applyFont="1" applyFill="1" applyBorder="1" applyAlignment="1" applyProtection="1">
      <alignment horizontal="right" vertical="top" wrapText="1"/>
    </xf>
    <xf numFmtId="4" fontId="2" fillId="0" borderId="16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/>
    <xf numFmtId="10" fontId="3" fillId="0" borderId="5" xfId="0" applyNumberFormat="1" applyFont="1" applyFill="1" applyBorder="1" applyAlignment="1" applyProtection="1">
      <alignment horizontal="left" vertical="top" wrapText="1"/>
    </xf>
    <xf numFmtId="10" fontId="1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/>
    <xf numFmtId="4" fontId="3" fillId="0" borderId="4" xfId="0" applyNumberFormat="1" applyFont="1" applyFill="1" applyBorder="1" applyAlignment="1" applyProtection="1">
      <alignment horizontal="left" vertical="top" wrapText="1"/>
    </xf>
    <xf numFmtId="4" fontId="2" fillId="0" borderId="0" xfId="0" applyNumberFormat="1" applyFont="1" applyFill="1" applyBorder="1" applyAlignment="1" applyProtection="1">
      <alignment horizontal="right" vertical="top" wrapText="1"/>
    </xf>
    <xf numFmtId="4" fontId="8" fillId="0" borderId="23" xfId="0" applyNumberFormat="1" applyFont="1" applyFill="1" applyBorder="1" applyAlignment="1" applyProtection="1">
      <alignment horizontal="center" vertical="center" wrapText="1"/>
    </xf>
    <xf numFmtId="10" fontId="2" fillId="0" borderId="0" xfId="0" applyNumberFormat="1" applyFont="1" applyFill="1" applyBorder="1" applyAlignment="1" applyProtection="1">
      <alignment horizontal="right" vertical="top" wrapText="1"/>
    </xf>
    <xf numFmtId="10" fontId="2" fillId="0" borderId="23" xfId="0" applyNumberFormat="1" applyFont="1" applyFill="1" applyBorder="1" applyAlignment="1" applyProtection="1">
      <alignment horizontal="right" vertical="top" wrapText="1"/>
    </xf>
    <xf numFmtId="4" fontId="2" fillId="0" borderId="2" xfId="0" applyNumberFormat="1" applyFont="1" applyFill="1" applyBorder="1" applyAlignment="1" applyProtection="1">
      <alignment horizontal="center" vertical="center" wrapText="1"/>
    </xf>
    <xf numFmtId="4" fontId="2" fillId="0" borderId="27" xfId="0" applyNumberFormat="1" applyFont="1" applyFill="1" applyBorder="1" applyAlignment="1" applyProtection="1">
      <alignment horizontal="right" vertical="top" wrapText="1"/>
    </xf>
    <xf numFmtId="4" fontId="2" fillId="0" borderId="25" xfId="0" applyNumberFormat="1" applyFont="1" applyFill="1" applyBorder="1" applyAlignment="1" applyProtection="1">
      <alignment horizontal="right" vertical="top" wrapText="1"/>
    </xf>
    <xf numFmtId="4" fontId="8" fillId="0" borderId="28" xfId="0" applyNumberFormat="1" applyFont="1" applyFill="1" applyBorder="1" applyAlignment="1" applyProtection="1">
      <alignment horizontal="center" vertical="center" wrapText="1"/>
    </xf>
    <xf numFmtId="10" fontId="2" fillId="0" borderId="2" xfId="0" applyNumberFormat="1" applyFont="1" applyFill="1" applyBorder="1" applyAlignment="1" applyProtection="1">
      <alignment horizontal="center" vertical="center" wrapText="1"/>
    </xf>
    <xf numFmtId="10" fontId="2" fillId="0" borderId="27" xfId="0" applyNumberFormat="1" applyFont="1" applyFill="1" applyBorder="1" applyAlignment="1" applyProtection="1">
      <alignment horizontal="right" vertical="top" wrapText="1"/>
    </xf>
    <xf numFmtId="10" fontId="2" fillId="0" borderId="25" xfId="0" applyNumberFormat="1" applyFont="1" applyFill="1" applyBorder="1" applyAlignment="1" applyProtection="1">
      <alignment horizontal="right" vertical="top" wrapText="1"/>
    </xf>
    <xf numFmtId="10" fontId="2" fillId="0" borderId="28" xfId="0" applyNumberFormat="1" applyFont="1" applyFill="1" applyBorder="1" applyAlignment="1" applyProtection="1">
      <alignment horizontal="right" vertical="top" wrapText="1"/>
    </xf>
    <xf numFmtId="4" fontId="2" fillId="0" borderId="24" xfId="0" applyNumberFormat="1" applyFont="1" applyFill="1" applyBorder="1" applyAlignment="1" applyProtection="1">
      <alignment horizontal="center" vertical="center" wrapText="1"/>
    </xf>
    <xf numFmtId="4" fontId="2" fillId="0" borderId="16" xfId="0" applyNumberFormat="1" applyFont="1" applyFill="1" applyBorder="1" applyAlignment="1" applyProtection="1">
      <alignment horizontal="center" vertical="center" wrapText="1"/>
    </xf>
    <xf numFmtId="10" fontId="2" fillId="0" borderId="24" xfId="0" applyNumberFormat="1" applyFont="1" applyFill="1" applyBorder="1" applyAlignment="1" applyProtection="1">
      <alignment horizontal="center" vertical="center" wrapText="1"/>
    </xf>
    <xf numFmtId="10" fontId="2" fillId="0" borderId="16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ont="1" applyFill="1" applyBorder="1" applyAlignment="1"/>
    <xf numFmtId="0" fontId="11" fillId="0" borderId="16" xfId="0" applyNumberFormat="1" applyFont="1" applyFill="1" applyBorder="1" applyAlignment="1" applyProtection="1">
      <alignment horizontal="center" wrapText="1"/>
    </xf>
    <xf numFmtId="165" fontId="2" fillId="0" borderId="16" xfId="0" applyNumberFormat="1" applyFont="1" applyFill="1" applyBorder="1" applyAlignment="1" applyProtection="1">
      <alignment horizontal="center" vertical="top" wrapText="1"/>
    </xf>
    <xf numFmtId="0" fontId="2" fillId="0" borderId="29" xfId="0" applyNumberFormat="1" applyFont="1" applyFill="1" applyBorder="1" applyAlignment="1" applyProtection="1">
      <alignment horizontal="left" vertical="top" wrapText="1"/>
    </xf>
    <xf numFmtId="0" fontId="2" fillId="0" borderId="12" xfId="0" applyNumberFormat="1" applyFont="1" applyFill="1" applyBorder="1" applyAlignment="1" applyProtection="1">
      <alignment horizontal="center" vertical="top" wrapText="1"/>
    </xf>
    <xf numFmtId="2" fontId="2" fillId="0" borderId="12" xfId="0" applyNumberFormat="1" applyFont="1" applyFill="1" applyBorder="1" applyAlignment="1" applyProtection="1">
      <alignment horizontal="center" vertical="top" wrapText="1"/>
    </xf>
    <xf numFmtId="0" fontId="9" fillId="0" borderId="16" xfId="0" applyNumberFormat="1" applyFont="1" applyFill="1" applyBorder="1" applyAlignment="1" applyProtection="1">
      <alignment horizontal="center" vertical="center" wrapText="1"/>
    </xf>
    <xf numFmtId="4" fontId="9" fillId="0" borderId="16" xfId="0" applyNumberFormat="1" applyFont="1" applyFill="1" applyBorder="1" applyAlignment="1" applyProtection="1">
      <alignment horizontal="center" vertical="center" wrapText="1"/>
    </xf>
    <xf numFmtId="10" fontId="9" fillId="0" borderId="16" xfId="0" applyNumberFormat="1" applyFont="1" applyFill="1" applyBorder="1" applyAlignment="1" applyProtection="1">
      <alignment horizontal="center" vertical="center" wrapText="1"/>
    </xf>
    <xf numFmtId="10" fontId="3" fillId="0" borderId="0" xfId="0" applyNumberFormat="1" applyFont="1" applyFill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52"/>
  <sheetViews>
    <sheetView tabSelected="1" zoomScaleNormal="100" workbookViewId="0"/>
  </sheetViews>
  <sheetFormatPr defaultRowHeight="12.75"/>
  <cols>
    <col min="1" max="1" width="11.42578125" bestFit="1" customWidth="1"/>
    <col min="2" max="2" width="52.7109375" bestFit="1" customWidth="1"/>
    <col min="3" max="3" width="21.42578125" bestFit="1" customWidth="1"/>
    <col min="4" max="4" width="18.28515625" bestFit="1" customWidth="1"/>
    <col min="5" max="5" width="7.7109375" bestFit="1" customWidth="1"/>
    <col min="6" max="6" width="15.28515625" bestFit="1" customWidth="1"/>
    <col min="7" max="7" width="7.7109375" bestFit="1" customWidth="1"/>
  </cols>
  <sheetData>
    <row r="1" spans="1:7" ht="15.95" customHeight="1">
      <c r="A1" s="1"/>
      <c r="B1" s="2" t="s">
        <v>0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5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ht="12.95" customHeight="1">
      <c r="A5" s="1"/>
      <c r="B5" s="27" t="s">
        <v>417</v>
      </c>
      <c r="C5" s="28"/>
      <c r="D5" s="29"/>
      <c r="E5" s="29"/>
      <c r="F5" s="29"/>
      <c r="G5" s="29"/>
    </row>
    <row r="6" spans="1:7" ht="12.95" customHeight="1">
      <c r="A6" s="1"/>
      <c r="B6" s="30" t="s">
        <v>418</v>
      </c>
      <c r="C6" s="31"/>
      <c r="D6" s="32"/>
      <c r="E6" s="100" t="s">
        <v>172</v>
      </c>
      <c r="F6" s="100" t="s">
        <v>172</v>
      </c>
      <c r="G6" s="100" t="s">
        <v>172</v>
      </c>
    </row>
    <row r="7" spans="1:7" ht="12.95" customHeight="1">
      <c r="A7" s="11" t="s">
        <v>419</v>
      </c>
      <c r="B7" s="34" t="s">
        <v>171</v>
      </c>
      <c r="C7" s="31"/>
      <c r="D7" s="32"/>
      <c r="E7" s="100" t="s">
        <v>172</v>
      </c>
      <c r="F7" s="100" t="s">
        <v>172</v>
      </c>
      <c r="G7" s="100" t="s">
        <v>172</v>
      </c>
    </row>
    <row r="8" spans="1:7" ht="12.95" customHeight="1">
      <c r="A8" s="1"/>
      <c r="B8" s="34"/>
      <c r="C8" s="31"/>
      <c r="D8" s="32"/>
      <c r="E8" s="100"/>
      <c r="F8" s="100"/>
      <c r="G8" s="100"/>
    </row>
    <row r="9" spans="1:7" ht="12.95" customHeight="1">
      <c r="A9" s="1"/>
      <c r="B9" s="35" t="s">
        <v>420</v>
      </c>
      <c r="C9" s="31"/>
      <c r="D9" s="32"/>
      <c r="E9" s="100"/>
      <c r="F9" s="100"/>
      <c r="G9" s="100"/>
    </row>
    <row r="10" spans="1:7" ht="12.95" customHeight="1">
      <c r="A10" s="1"/>
      <c r="B10" s="30" t="s">
        <v>421</v>
      </c>
      <c r="C10" s="31"/>
      <c r="D10" s="32"/>
      <c r="E10" s="100" t="s">
        <v>172</v>
      </c>
      <c r="F10" s="100" t="s">
        <v>172</v>
      </c>
      <c r="G10" s="100" t="s">
        <v>172</v>
      </c>
    </row>
    <row r="11" spans="1:7" ht="12.95" customHeight="1">
      <c r="A11" s="11" t="s">
        <v>422</v>
      </c>
      <c r="B11" s="34" t="s">
        <v>423</v>
      </c>
      <c r="C11" s="31"/>
      <c r="D11" s="32"/>
      <c r="E11" s="100"/>
      <c r="F11" s="100"/>
      <c r="G11" s="100"/>
    </row>
    <row r="12" spans="1:7" ht="12.95" customHeight="1">
      <c r="A12" s="1"/>
      <c r="B12" s="34" t="s">
        <v>424</v>
      </c>
      <c r="C12" s="31"/>
      <c r="D12" s="32"/>
      <c r="E12" s="100"/>
      <c r="F12" s="100"/>
      <c r="G12" s="100"/>
    </row>
    <row r="13" spans="1:7" ht="12.95" customHeight="1">
      <c r="A13" s="1"/>
      <c r="B13" s="8" t="s">
        <v>7</v>
      </c>
      <c r="C13" s="22"/>
      <c r="D13" s="9" t="s">
        <v>1</v>
      </c>
      <c r="E13" s="9" t="s">
        <v>1</v>
      </c>
      <c r="F13" s="9" t="s">
        <v>1</v>
      </c>
      <c r="G13" s="10" t="s">
        <v>1</v>
      </c>
    </row>
    <row r="14" spans="1:7" ht="12.95" customHeight="1">
      <c r="A14" s="11" t="s">
        <v>8</v>
      </c>
      <c r="B14" s="12" t="s">
        <v>9</v>
      </c>
      <c r="C14" s="9"/>
      <c r="D14" s="9" t="s">
        <v>10</v>
      </c>
      <c r="E14" s="13" t="s">
        <v>1</v>
      </c>
      <c r="F14" s="64">
        <v>482.95159319999999</v>
      </c>
      <c r="G14" s="68">
        <v>0.9910522109498705</v>
      </c>
    </row>
    <row r="15" spans="1:7" ht="12.95" customHeight="1">
      <c r="A15" s="1"/>
      <c r="B15" s="8" t="s">
        <v>11</v>
      </c>
      <c r="C15" s="22"/>
      <c r="D15" s="9" t="s">
        <v>1</v>
      </c>
      <c r="E15" s="9" t="s">
        <v>1</v>
      </c>
      <c r="F15" s="65">
        <v>482.95159319999999</v>
      </c>
      <c r="G15" s="69">
        <v>0.9910522109498705</v>
      </c>
    </row>
    <row r="16" spans="1:7" ht="12.95" customHeight="1">
      <c r="A16" s="1"/>
      <c r="B16" s="14" t="s">
        <v>12</v>
      </c>
      <c r="C16" s="23"/>
      <c r="D16" s="15" t="s">
        <v>1</v>
      </c>
      <c r="E16" s="16" t="s">
        <v>1</v>
      </c>
      <c r="F16" s="65">
        <v>482.95159319999999</v>
      </c>
      <c r="G16" s="69">
        <v>0.9910522109498705</v>
      </c>
    </row>
    <row r="17" spans="1:7" ht="12.95" customHeight="1">
      <c r="A17" s="1"/>
      <c r="B17" s="14" t="s">
        <v>13</v>
      </c>
      <c r="C17" s="23"/>
      <c r="D17" s="15" t="s">
        <v>1</v>
      </c>
      <c r="E17" s="9" t="s">
        <v>1</v>
      </c>
      <c r="F17" s="65">
        <v>4.3603645999999996</v>
      </c>
      <c r="G17" s="69">
        <v>8.9477890501295024E-3</v>
      </c>
    </row>
    <row r="18" spans="1:7" ht="12.95" customHeight="1" thickBot="1">
      <c r="A18" s="1"/>
      <c r="B18" s="17" t="s">
        <v>14</v>
      </c>
      <c r="C18" s="24"/>
      <c r="D18" s="18" t="s">
        <v>1</v>
      </c>
      <c r="E18" s="18" t="s">
        <v>1</v>
      </c>
      <c r="F18" s="66">
        <v>487.31195780000002</v>
      </c>
      <c r="G18" s="70">
        <v>1</v>
      </c>
    </row>
    <row r="19" spans="1:7" ht="12.95" customHeight="1">
      <c r="A19" s="1"/>
      <c r="B19" s="4" t="s">
        <v>1</v>
      </c>
      <c r="C19" s="4"/>
      <c r="D19" s="1"/>
      <c r="E19" s="1"/>
      <c r="F19" s="1"/>
      <c r="G19" s="1"/>
    </row>
    <row r="20" spans="1:7" ht="12.95" customHeight="1">
      <c r="A20" s="1"/>
      <c r="B20" s="2" t="s">
        <v>10</v>
      </c>
      <c r="C20" s="2"/>
      <c r="D20" s="1"/>
      <c r="E20" s="1"/>
      <c r="F20" s="1"/>
      <c r="G20" s="1"/>
    </row>
    <row r="21" spans="1:7" ht="12.95" customHeight="1">
      <c r="A21" s="1"/>
      <c r="B21" s="2" t="s">
        <v>1</v>
      </c>
      <c r="C21" s="2"/>
      <c r="D21" s="1"/>
      <c r="E21" s="1"/>
      <c r="F21" s="1"/>
      <c r="G21" s="1"/>
    </row>
    <row r="22" spans="1:7" ht="12.95" customHeight="1">
      <c r="A22" s="1"/>
      <c r="B22" s="94"/>
      <c r="C22" s="95" t="s">
        <v>571</v>
      </c>
      <c r="D22" s="1"/>
      <c r="E22" s="1"/>
      <c r="F22" s="1"/>
      <c r="G22" s="1"/>
    </row>
    <row r="23" spans="1:7" ht="12.95" customHeight="1">
      <c r="A23" s="1"/>
      <c r="B23" s="38" t="s">
        <v>0</v>
      </c>
      <c r="C23" s="96">
        <v>2</v>
      </c>
      <c r="D23" s="1"/>
      <c r="E23" s="1"/>
      <c r="F23" s="1"/>
      <c r="G23" s="1"/>
    </row>
    <row r="24" spans="1:7" ht="12.95" hidden="1" customHeight="1">
      <c r="A24" s="1"/>
      <c r="B24" s="94"/>
      <c r="C24" s="95" t="s">
        <v>571</v>
      </c>
      <c r="D24" s="1"/>
      <c r="E24" s="1"/>
      <c r="F24" s="1"/>
      <c r="G24" s="1"/>
    </row>
    <row r="25" spans="1:7" ht="12.95" hidden="1" customHeight="1">
      <c r="A25" s="1"/>
      <c r="B25" s="38" t="s">
        <v>0</v>
      </c>
      <c r="C25" s="96">
        <v>1</v>
      </c>
      <c r="D25" s="1"/>
      <c r="E25" s="1"/>
      <c r="F25" s="1"/>
      <c r="G25" s="1"/>
    </row>
    <row r="26" spans="1:7" ht="12.95" hidden="1" customHeight="1">
      <c r="A26" s="1"/>
      <c r="B26" s="94"/>
      <c r="C26" s="95" t="s">
        <v>571</v>
      </c>
      <c r="D26" s="1"/>
      <c r="E26" s="1"/>
      <c r="F26" s="1"/>
      <c r="G26" s="1"/>
    </row>
    <row r="27" spans="1:7" ht="12.95" hidden="1" customHeight="1">
      <c r="A27" s="1"/>
      <c r="B27" s="38" t="s">
        <v>0</v>
      </c>
      <c r="C27" s="96">
        <v>1</v>
      </c>
      <c r="D27" s="1"/>
      <c r="E27" s="1"/>
      <c r="F27" s="1"/>
      <c r="G27" s="1"/>
    </row>
    <row r="28" spans="1:7" ht="12.95" hidden="1" customHeight="1">
      <c r="A28" s="1"/>
      <c r="B28" s="94"/>
      <c r="C28" s="95" t="s">
        <v>571</v>
      </c>
      <c r="D28" s="3" t="s">
        <v>18</v>
      </c>
      <c r="E28" s="1"/>
      <c r="F28" s="1"/>
      <c r="G28" s="1"/>
    </row>
    <row r="29" spans="1:7" ht="12.95" hidden="1" customHeight="1">
      <c r="A29" s="1"/>
      <c r="B29" s="38" t="s">
        <v>0</v>
      </c>
      <c r="C29" s="96">
        <v>1</v>
      </c>
      <c r="D29" s="19">
        <v>1255.0074</v>
      </c>
      <c r="E29" s="1"/>
      <c r="F29" s="1"/>
      <c r="G29" s="1"/>
    </row>
    <row r="30" spans="1:7" ht="12.95" hidden="1" customHeight="1">
      <c r="A30" s="1"/>
      <c r="B30" s="94"/>
      <c r="C30" s="95" t="s">
        <v>571</v>
      </c>
      <c r="D30" s="19">
        <v>1254.8408999999999</v>
      </c>
      <c r="E30" s="1"/>
      <c r="F30" s="1"/>
      <c r="G30" s="1"/>
    </row>
    <row r="31" spans="1:7" ht="12.95" hidden="1" customHeight="1">
      <c r="A31" s="1"/>
      <c r="B31" s="38" t="s">
        <v>0</v>
      </c>
      <c r="C31" s="96">
        <v>1</v>
      </c>
      <c r="D31" s="19">
        <v>1151.8688</v>
      </c>
      <c r="E31" s="1"/>
      <c r="F31" s="1"/>
      <c r="G31" s="1"/>
    </row>
    <row r="32" spans="1:7" ht="12.95" hidden="1" customHeight="1">
      <c r="A32" s="1"/>
      <c r="B32" s="94"/>
      <c r="C32" s="95" t="s">
        <v>571</v>
      </c>
      <c r="D32" s="19">
        <v>1151.7212999999999</v>
      </c>
      <c r="E32" s="1"/>
      <c r="F32" s="1"/>
      <c r="G32" s="1"/>
    </row>
    <row r="33" spans="1:7" ht="12.95" hidden="1" customHeight="1">
      <c r="A33" s="1"/>
      <c r="B33" s="38" t="s">
        <v>0</v>
      </c>
      <c r="C33" s="96">
        <v>1</v>
      </c>
      <c r="D33" s="19">
        <v>1132.8447000000001</v>
      </c>
      <c r="E33" s="1"/>
      <c r="F33" s="1"/>
      <c r="G33" s="1"/>
    </row>
    <row r="34" spans="1:7" ht="12.95" hidden="1" customHeight="1">
      <c r="A34" s="1"/>
      <c r="B34" s="94"/>
      <c r="C34" s="95" t="s">
        <v>571</v>
      </c>
      <c r="D34" s="19">
        <v>1132.6578999999999</v>
      </c>
      <c r="E34" s="1"/>
      <c r="F34" s="1"/>
      <c r="G34" s="1"/>
    </row>
    <row r="35" spans="1:7" ht="12.95" hidden="1" customHeight="1">
      <c r="A35" s="1"/>
      <c r="B35" s="38" t="s">
        <v>0</v>
      </c>
      <c r="C35" s="96">
        <v>1</v>
      </c>
      <c r="D35" s="19">
        <v>1054.7520999999999</v>
      </c>
      <c r="E35" s="1"/>
      <c r="F35" s="1"/>
      <c r="G35" s="1"/>
    </row>
    <row r="36" spans="1:7" ht="12.95" hidden="1" customHeight="1">
      <c r="A36" s="1"/>
      <c r="B36" s="94"/>
      <c r="C36" s="95" t="s">
        <v>571</v>
      </c>
      <c r="D36" s="19">
        <v>1047.9558999999999</v>
      </c>
      <c r="E36" s="1"/>
      <c r="F36" s="1"/>
      <c r="G36" s="1"/>
    </row>
    <row r="37" spans="1:7" ht="12.95" hidden="1" customHeight="1">
      <c r="A37" s="1"/>
      <c r="B37" s="38" t="s">
        <v>0</v>
      </c>
      <c r="C37" s="96">
        <v>1</v>
      </c>
      <c r="D37" s="20" t="s">
        <v>23</v>
      </c>
      <c r="E37" s="1"/>
      <c r="F37" s="1"/>
      <c r="G37" s="1"/>
    </row>
    <row r="38" spans="1:7" ht="12.95" hidden="1" customHeight="1">
      <c r="A38" s="1"/>
      <c r="B38" s="94"/>
      <c r="C38" s="95" t="s">
        <v>571</v>
      </c>
      <c r="D38" s="1"/>
      <c r="E38" s="1"/>
      <c r="F38" s="1"/>
      <c r="G38" s="1"/>
    </row>
    <row r="39" spans="1:7" ht="12.95" hidden="1" customHeight="1">
      <c r="A39" s="1"/>
      <c r="B39" s="38" t="s">
        <v>0</v>
      </c>
      <c r="C39" s="96">
        <v>1</v>
      </c>
      <c r="D39" s="1"/>
      <c r="E39" s="1"/>
      <c r="F39" s="1"/>
      <c r="G39" s="1"/>
    </row>
    <row r="40" spans="1:7" ht="12.95" hidden="1" customHeight="1">
      <c r="A40" s="1"/>
      <c r="B40" s="94"/>
      <c r="C40" s="95" t="s">
        <v>571</v>
      </c>
      <c r="D40" s="1"/>
      <c r="E40" s="1"/>
      <c r="F40" s="1"/>
      <c r="G40" s="1"/>
    </row>
    <row r="41" spans="1:7" ht="12.95" hidden="1" customHeight="1">
      <c r="A41" s="1"/>
      <c r="B41" s="38" t="s">
        <v>0</v>
      </c>
      <c r="C41" s="96">
        <v>1</v>
      </c>
      <c r="D41" s="1"/>
      <c r="E41" s="1"/>
      <c r="F41" s="1"/>
      <c r="G41" s="1"/>
    </row>
    <row r="42" spans="1:7" ht="12.95" hidden="1" customHeight="1">
      <c r="A42" s="1"/>
      <c r="B42" s="94"/>
      <c r="C42" s="95" t="s">
        <v>571</v>
      </c>
      <c r="D42" s="1"/>
      <c r="E42" s="1"/>
      <c r="F42" s="1"/>
      <c r="G42" s="1"/>
    </row>
    <row r="43" spans="1:7" ht="12.95" hidden="1" customHeight="1">
      <c r="A43" s="1"/>
      <c r="B43" s="38" t="s">
        <v>0</v>
      </c>
      <c r="C43" s="96">
        <v>1</v>
      </c>
      <c r="D43" s="4" t="s">
        <v>27</v>
      </c>
      <c r="E43" s="1"/>
      <c r="F43" s="1"/>
      <c r="G43" s="1"/>
    </row>
    <row r="44" spans="1:7" ht="12.95" hidden="1" customHeight="1">
      <c r="A44" s="1"/>
      <c r="B44" s="94"/>
      <c r="C44" s="95" t="s">
        <v>571</v>
      </c>
      <c r="D44" s="4" t="s">
        <v>27</v>
      </c>
      <c r="E44" s="1"/>
      <c r="F44" s="1"/>
      <c r="G44" s="1"/>
    </row>
    <row r="45" spans="1:7" ht="12.95" hidden="1" customHeight="1">
      <c r="A45" s="1"/>
      <c r="B45" s="38" t="s">
        <v>0</v>
      </c>
      <c r="C45" s="96">
        <v>1</v>
      </c>
      <c r="D45" s="1"/>
      <c r="E45" s="1"/>
      <c r="F45" s="1"/>
      <c r="G45" s="1"/>
    </row>
    <row r="46" spans="1:7" hidden="1">
      <c r="B46" s="94"/>
      <c r="C46" s="95" t="s">
        <v>571</v>
      </c>
    </row>
    <row r="47" spans="1:7" hidden="1">
      <c r="B47" s="38" t="s">
        <v>0</v>
      </c>
      <c r="C47" s="96">
        <v>1</v>
      </c>
    </row>
    <row r="48" spans="1:7" hidden="1">
      <c r="B48" s="94"/>
      <c r="C48" s="95" t="s">
        <v>571</v>
      </c>
    </row>
    <row r="49" spans="2:3" hidden="1">
      <c r="B49" s="38" t="s">
        <v>0</v>
      </c>
      <c r="C49" s="96">
        <v>1</v>
      </c>
    </row>
    <row r="50" spans="2:3" hidden="1">
      <c r="B50" s="94"/>
      <c r="C50" s="95" t="s">
        <v>571</v>
      </c>
    </row>
    <row r="51" spans="2:3" hidden="1">
      <c r="B51" s="38" t="s">
        <v>0</v>
      </c>
      <c r="C51" s="96">
        <v>1</v>
      </c>
    </row>
    <row r="52" spans="2:3" hidden="1">
      <c r="B52" s="94"/>
      <c r="C52" s="95" t="s">
        <v>571</v>
      </c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06"/>
  <sheetViews>
    <sheetView zoomScaleNormal="100" workbookViewId="0"/>
  </sheetViews>
  <sheetFormatPr defaultRowHeight="12.75"/>
  <cols>
    <col min="1" max="1" width="11.42578125" bestFit="1" customWidth="1"/>
    <col min="2" max="2" width="87.28515625" bestFit="1" customWidth="1"/>
    <col min="3" max="3" width="13.28515625" bestFit="1" customWidth="1"/>
    <col min="4" max="4" width="21.140625" bestFit="1" customWidth="1"/>
    <col min="5" max="5" width="7.7109375" bestFit="1" customWidth="1"/>
    <col min="6" max="6" width="15.28515625" bestFit="1" customWidth="1"/>
    <col min="7" max="7" width="7.7109375" style="76" bestFit="1" customWidth="1"/>
  </cols>
  <sheetData>
    <row r="1" spans="1:7" ht="15.95" customHeight="1">
      <c r="A1" s="1"/>
      <c r="B1" s="2" t="s">
        <v>30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31</v>
      </c>
      <c r="E4" s="7" t="s">
        <v>4</v>
      </c>
      <c r="F4" s="7" t="s">
        <v>5</v>
      </c>
      <c r="G4" s="7" t="s">
        <v>6</v>
      </c>
    </row>
    <row r="5" spans="1:7" ht="12.95" customHeight="1">
      <c r="A5" s="1"/>
      <c r="B5" s="8" t="s">
        <v>32</v>
      </c>
      <c r="C5" s="22"/>
      <c r="D5" s="9" t="s">
        <v>1</v>
      </c>
      <c r="E5" s="9" t="s">
        <v>1</v>
      </c>
      <c r="F5" s="9" t="s">
        <v>1</v>
      </c>
      <c r="G5" s="10" t="s">
        <v>1</v>
      </c>
    </row>
    <row r="6" spans="1:7" ht="12.95" customHeight="1">
      <c r="A6" s="1"/>
      <c r="B6" s="8" t="s">
        <v>33</v>
      </c>
      <c r="C6" s="22"/>
      <c r="D6" s="9" t="s">
        <v>1</v>
      </c>
      <c r="E6" s="9" t="s">
        <v>1</v>
      </c>
      <c r="F6" s="9" t="s">
        <v>1</v>
      </c>
      <c r="G6" s="74" t="s">
        <v>1</v>
      </c>
    </row>
    <row r="7" spans="1:7" ht="12.95" customHeight="1">
      <c r="A7" s="11" t="s">
        <v>34</v>
      </c>
      <c r="B7" s="12" t="s">
        <v>35</v>
      </c>
      <c r="C7" s="9" t="s">
        <v>431</v>
      </c>
      <c r="D7" s="9" t="s">
        <v>36</v>
      </c>
      <c r="E7" s="21">
        <v>119919</v>
      </c>
      <c r="F7" s="64">
        <v>576.39067350000005</v>
      </c>
      <c r="G7" s="68">
        <v>4.181374272325588E-2</v>
      </c>
    </row>
    <row r="8" spans="1:7" ht="12.95" customHeight="1">
      <c r="A8" s="11" t="s">
        <v>37</v>
      </c>
      <c r="B8" s="12" t="s">
        <v>38</v>
      </c>
      <c r="C8" s="9" t="s">
        <v>432</v>
      </c>
      <c r="D8" s="9" t="s">
        <v>39</v>
      </c>
      <c r="E8" s="21">
        <v>190457</v>
      </c>
      <c r="F8" s="64">
        <v>522.89969350000001</v>
      </c>
      <c r="G8" s="68">
        <v>3.7933287714930999E-2</v>
      </c>
    </row>
    <row r="9" spans="1:7" ht="12.95" customHeight="1">
      <c r="A9" s="11" t="s">
        <v>40</v>
      </c>
      <c r="B9" s="12" t="s">
        <v>41</v>
      </c>
      <c r="C9" s="9" t="s">
        <v>433</v>
      </c>
      <c r="D9" s="9" t="s">
        <v>36</v>
      </c>
      <c r="E9" s="21">
        <v>45900</v>
      </c>
      <c r="F9" s="64">
        <v>479.74680000000001</v>
      </c>
      <c r="G9" s="68">
        <v>3.480279988865103E-2</v>
      </c>
    </row>
    <row r="10" spans="1:7" ht="12.95" customHeight="1">
      <c r="A10" s="11" t="s">
        <v>42</v>
      </c>
      <c r="B10" s="12" t="s">
        <v>43</v>
      </c>
      <c r="C10" s="9" t="s">
        <v>434</v>
      </c>
      <c r="D10" s="9" t="s">
        <v>36</v>
      </c>
      <c r="E10" s="21">
        <v>85377</v>
      </c>
      <c r="F10" s="64">
        <v>475.5925785</v>
      </c>
      <c r="G10" s="68">
        <v>3.4501435628258609E-2</v>
      </c>
    </row>
    <row r="11" spans="1:7" ht="12.95" customHeight="1">
      <c r="A11" s="11" t="s">
        <v>44</v>
      </c>
      <c r="B11" s="12" t="s">
        <v>45</v>
      </c>
      <c r="C11" s="9" t="s">
        <v>435</v>
      </c>
      <c r="D11" s="9" t="s">
        <v>46</v>
      </c>
      <c r="E11" s="21">
        <v>87127</v>
      </c>
      <c r="F11" s="64">
        <v>461.250338</v>
      </c>
      <c r="G11" s="68">
        <v>3.3460990697565154E-2</v>
      </c>
    </row>
    <row r="12" spans="1:7" ht="12.95" customHeight="1">
      <c r="A12" s="11" t="s">
        <v>47</v>
      </c>
      <c r="B12" s="12" t="s">
        <v>48</v>
      </c>
      <c r="C12" s="9" t="s">
        <v>436</v>
      </c>
      <c r="D12" s="9" t="s">
        <v>46</v>
      </c>
      <c r="E12" s="21">
        <v>44467</v>
      </c>
      <c r="F12" s="64">
        <v>439.111625</v>
      </c>
      <c r="G12" s="68">
        <v>3.1854957685294352E-2</v>
      </c>
    </row>
    <row r="13" spans="1:7" ht="12.95" customHeight="1">
      <c r="A13" s="11" t="s">
        <v>49</v>
      </c>
      <c r="B13" s="12" t="s">
        <v>50</v>
      </c>
      <c r="C13" s="9" t="s">
        <v>437</v>
      </c>
      <c r="D13" s="9" t="s">
        <v>51</v>
      </c>
      <c r="E13" s="21">
        <v>319001</v>
      </c>
      <c r="F13" s="64">
        <v>394.92323800000003</v>
      </c>
      <c r="G13" s="68">
        <v>2.8649350914882819E-2</v>
      </c>
    </row>
    <row r="14" spans="1:7" ht="12.95" customHeight="1">
      <c r="A14" s="11" t="s">
        <v>52</v>
      </c>
      <c r="B14" s="12" t="s">
        <v>53</v>
      </c>
      <c r="C14" s="9" t="s">
        <v>438</v>
      </c>
      <c r="D14" s="9" t="s">
        <v>54</v>
      </c>
      <c r="E14" s="21">
        <v>181589</v>
      </c>
      <c r="F14" s="64">
        <v>382.15405049999998</v>
      </c>
      <c r="G14" s="68">
        <v>2.7723021698506253E-2</v>
      </c>
    </row>
    <row r="15" spans="1:7" ht="12.95" customHeight="1">
      <c r="A15" s="11" t="s">
        <v>55</v>
      </c>
      <c r="B15" s="12" t="s">
        <v>56</v>
      </c>
      <c r="C15" s="9" t="s">
        <v>439</v>
      </c>
      <c r="D15" s="9" t="s">
        <v>57</v>
      </c>
      <c r="E15" s="21">
        <v>211867</v>
      </c>
      <c r="F15" s="64">
        <v>353.81788999999998</v>
      </c>
      <c r="G15" s="68">
        <v>2.5667400434343162E-2</v>
      </c>
    </row>
    <row r="16" spans="1:7" ht="12.95" customHeight="1">
      <c r="A16" s="11" t="s">
        <v>58</v>
      </c>
      <c r="B16" s="12" t="s">
        <v>59</v>
      </c>
      <c r="C16" s="9" t="s">
        <v>440</v>
      </c>
      <c r="D16" s="9" t="s">
        <v>60</v>
      </c>
      <c r="E16" s="21">
        <v>33200</v>
      </c>
      <c r="F16" s="64">
        <v>351.75400000000002</v>
      </c>
      <c r="G16" s="68">
        <v>2.5517677391558535E-2</v>
      </c>
    </row>
    <row r="17" spans="1:7" ht="12.95" customHeight="1">
      <c r="A17" s="11" t="s">
        <v>61</v>
      </c>
      <c r="B17" s="12" t="s">
        <v>62</v>
      </c>
      <c r="C17" s="9" t="s">
        <v>441</v>
      </c>
      <c r="D17" s="9" t="s">
        <v>39</v>
      </c>
      <c r="E17" s="21">
        <v>172123</v>
      </c>
      <c r="F17" s="64">
        <v>334.1768045</v>
      </c>
      <c r="G17" s="68">
        <v>2.4242555561480257E-2</v>
      </c>
    </row>
    <row r="18" spans="1:7" ht="12.95" customHeight="1">
      <c r="A18" s="11" t="s">
        <v>63</v>
      </c>
      <c r="B18" s="12" t="s">
        <v>64</v>
      </c>
      <c r="C18" s="9" t="s">
        <v>442</v>
      </c>
      <c r="D18" s="9" t="s">
        <v>46</v>
      </c>
      <c r="E18" s="21">
        <v>43060</v>
      </c>
      <c r="F18" s="64">
        <v>319.82814999999999</v>
      </c>
      <c r="G18" s="68">
        <v>2.3201645332928671E-2</v>
      </c>
    </row>
    <row r="19" spans="1:7" ht="12.95" customHeight="1">
      <c r="A19" s="11" t="s">
        <v>65</v>
      </c>
      <c r="B19" s="12" t="s">
        <v>66</v>
      </c>
      <c r="C19" s="9" t="s">
        <v>443</v>
      </c>
      <c r="D19" s="9" t="s">
        <v>67</v>
      </c>
      <c r="E19" s="21">
        <v>39584</v>
      </c>
      <c r="F19" s="64">
        <v>307.96352000000002</v>
      </c>
      <c r="G19" s="68">
        <v>2.2340936426391129E-2</v>
      </c>
    </row>
    <row r="20" spans="1:7" ht="12.95" customHeight="1">
      <c r="A20" s="11" t="s">
        <v>68</v>
      </c>
      <c r="B20" s="12" t="s">
        <v>69</v>
      </c>
      <c r="C20" s="9" t="s">
        <v>444</v>
      </c>
      <c r="D20" s="9" t="s">
        <v>70</v>
      </c>
      <c r="E20" s="21">
        <v>111167</v>
      </c>
      <c r="F20" s="64">
        <v>295.14838500000002</v>
      </c>
      <c r="G20" s="68">
        <v>2.1411273989974569E-2</v>
      </c>
    </row>
    <row r="21" spans="1:7" ht="12.95" customHeight="1">
      <c r="A21" s="11" t="s">
        <v>71</v>
      </c>
      <c r="B21" s="12" t="s">
        <v>72</v>
      </c>
      <c r="C21" s="9" t="s">
        <v>445</v>
      </c>
      <c r="D21" s="9" t="s">
        <v>73</v>
      </c>
      <c r="E21" s="21">
        <v>89000</v>
      </c>
      <c r="F21" s="64">
        <v>286.22399999999999</v>
      </c>
      <c r="G21" s="68">
        <v>2.0763862511077202E-2</v>
      </c>
    </row>
    <row r="22" spans="1:7" ht="12.95" customHeight="1">
      <c r="A22" s="11" t="s">
        <v>74</v>
      </c>
      <c r="B22" s="12" t="s">
        <v>75</v>
      </c>
      <c r="C22" s="9" t="s">
        <v>446</v>
      </c>
      <c r="D22" s="9" t="s">
        <v>39</v>
      </c>
      <c r="E22" s="21">
        <v>217533</v>
      </c>
      <c r="F22" s="64">
        <v>281.59646850000001</v>
      </c>
      <c r="G22" s="68">
        <v>2.0428162402659742E-2</v>
      </c>
    </row>
    <row r="23" spans="1:7" ht="12.95" customHeight="1">
      <c r="A23" s="11" t="s">
        <v>76</v>
      </c>
      <c r="B23" s="12" t="s">
        <v>77</v>
      </c>
      <c r="C23" s="9" t="s">
        <v>447</v>
      </c>
      <c r="D23" s="9" t="s">
        <v>36</v>
      </c>
      <c r="E23" s="21">
        <v>40800</v>
      </c>
      <c r="F23" s="64">
        <v>275.56319999999999</v>
      </c>
      <c r="G23" s="68">
        <v>1.9990484368580096E-2</v>
      </c>
    </row>
    <row r="24" spans="1:7" ht="12.95" customHeight="1">
      <c r="A24" s="11" t="s">
        <v>78</v>
      </c>
      <c r="B24" s="12" t="s">
        <v>79</v>
      </c>
      <c r="C24" s="9" t="s">
        <v>448</v>
      </c>
      <c r="D24" s="9" t="s">
        <v>80</v>
      </c>
      <c r="E24" s="21">
        <v>27900</v>
      </c>
      <c r="F24" s="64">
        <v>272.17845</v>
      </c>
      <c r="G24" s="68">
        <v>1.9744940725718672E-2</v>
      </c>
    </row>
    <row r="25" spans="1:7" ht="12.95" customHeight="1">
      <c r="A25" s="11" t="s">
        <v>81</v>
      </c>
      <c r="B25" s="12" t="s">
        <v>82</v>
      </c>
      <c r="C25" s="9" t="s">
        <v>449</v>
      </c>
      <c r="D25" s="9" t="s">
        <v>83</v>
      </c>
      <c r="E25" s="21">
        <v>92274</v>
      </c>
      <c r="F25" s="64">
        <v>244.38768899999999</v>
      </c>
      <c r="G25" s="68">
        <v>1.7728884977485797E-2</v>
      </c>
    </row>
    <row r="26" spans="1:7" ht="12.95" customHeight="1">
      <c r="A26" s="11" t="s">
        <v>84</v>
      </c>
      <c r="B26" s="12" t="s">
        <v>85</v>
      </c>
      <c r="C26" s="9" t="s">
        <v>450</v>
      </c>
      <c r="D26" s="9" t="s">
        <v>86</v>
      </c>
      <c r="E26" s="21">
        <v>51416</v>
      </c>
      <c r="F26" s="64">
        <v>243.66042400000001</v>
      </c>
      <c r="G26" s="68">
        <v>1.7676126192516267E-2</v>
      </c>
    </row>
    <row r="27" spans="1:7" ht="12.95" customHeight="1">
      <c r="A27" s="11" t="s">
        <v>87</v>
      </c>
      <c r="B27" s="12" t="s">
        <v>88</v>
      </c>
      <c r="C27" s="9" t="s">
        <v>451</v>
      </c>
      <c r="D27" s="9" t="s">
        <v>46</v>
      </c>
      <c r="E27" s="21">
        <v>37564</v>
      </c>
      <c r="F27" s="64">
        <v>236.10852199999999</v>
      </c>
      <c r="G27" s="68">
        <v>1.7128280257775894E-2</v>
      </c>
    </row>
    <row r="28" spans="1:7" ht="12.95" customHeight="1">
      <c r="A28" s="11" t="s">
        <v>89</v>
      </c>
      <c r="B28" s="12" t="s">
        <v>90</v>
      </c>
      <c r="C28" s="9" t="s">
        <v>452</v>
      </c>
      <c r="D28" s="9" t="s">
        <v>60</v>
      </c>
      <c r="E28" s="21">
        <v>17272</v>
      </c>
      <c r="F28" s="64">
        <v>233.456988</v>
      </c>
      <c r="G28" s="68">
        <v>1.6935927109823775E-2</v>
      </c>
    </row>
    <row r="29" spans="1:7" ht="12.95" customHeight="1">
      <c r="A29" s="11" t="s">
        <v>91</v>
      </c>
      <c r="B29" s="12" t="s">
        <v>92</v>
      </c>
      <c r="C29" s="9" t="s">
        <v>453</v>
      </c>
      <c r="D29" s="9" t="s">
        <v>93</v>
      </c>
      <c r="E29" s="21">
        <v>88950</v>
      </c>
      <c r="F29" s="64">
        <v>228.06780000000001</v>
      </c>
      <c r="G29" s="68">
        <v>1.654497331601771E-2</v>
      </c>
    </row>
    <row r="30" spans="1:7" ht="12.95" customHeight="1">
      <c r="A30" s="11" t="s">
        <v>94</v>
      </c>
      <c r="B30" s="12" t="s">
        <v>95</v>
      </c>
      <c r="C30" s="9" t="s">
        <v>454</v>
      </c>
      <c r="D30" s="9" t="s">
        <v>96</v>
      </c>
      <c r="E30" s="21">
        <v>77500</v>
      </c>
      <c r="F30" s="64">
        <v>221.03</v>
      </c>
      <c r="G30" s="68">
        <v>1.6034422448234231E-2</v>
      </c>
    </row>
    <row r="31" spans="1:7" ht="12.95" customHeight="1">
      <c r="A31" s="11" t="s">
        <v>97</v>
      </c>
      <c r="B31" s="12" t="s">
        <v>98</v>
      </c>
      <c r="C31" s="9" t="s">
        <v>455</v>
      </c>
      <c r="D31" s="9" t="s">
        <v>67</v>
      </c>
      <c r="E31" s="21">
        <v>41063</v>
      </c>
      <c r="F31" s="64">
        <v>215.56021849999999</v>
      </c>
      <c r="G31" s="68">
        <v>1.5637622071495612E-2</v>
      </c>
    </row>
    <row r="32" spans="1:7" ht="12.95" customHeight="1">
      <c r="A32" s="11" t="s">
        <v>99</v>
      </c>
      <c r="B32" s="12" t="s">
        <v>100</v>
      </c>
      <c r="C32" s="9" t="s">
        <v>456</v>
      </c>
      <c r="D32" s="9" t="s">
        <v>67</v>
      </c>
      <c r="E32" s="21">
        <v>41120</v>
      </c>
      <c r="F32" s="64">
        <v>206.27848</v>
      </c>
      <c r="G32" s="68">
        <v>1.4964286704518099E-2</v>
      </c>
    </row>
    <row r="33" spans="1:7" ht="12.95" customHeight="1">
      <c r="A33" s="11" t="s">
        <v>101</v>
      </c>
      <c r="B33" s="12" t="s">
        <v>102</v>
      </c>
      <c r="C33" s="9" t="s">
        <v>457</v>
      </c>
      <c r="D33" s="9" t="s">
        <v>93</v>
      </c>
      <c r="E33" s="21">
        <v>338395</v>
      </c>
      <c r="F33" s="64">
        <v>205.74415999999999</v>
      </c>
      <c r="G33" s="68">
        <v>1.4925524940945099E-2</v>
      </c>
    </row>
    <row r="34" spans="1:7" ht="12.95" customHeight="1">
      <c r="A34" s="11" t="s">
        <v>103</v>
      </c>
      <c r="B34" s="12" t="s">
        <v>104</v>
      </c>
      <c r="C34" s="9" t="s">
        <v>458</v>
      </c>
      <c r="D34" s="9" t="s">
        <v>39</v>
      </c>
      <c r="E34" s="21">
        <v>239000</v>
      </c>
      <c r="F34" s="64">
        <v>199.44550000000001</v>
      </c>
      <c r="G34" s="68">
        <v>1.4468594319320002E-2</v>
      </c>
    </row>
    <row r="35" spans="1:7" ht="12.95" customHeight="1">
      <c r="A35" s="11" t="s">
        <v>105</v>
      </c>
      <c r="B35" s="12" t="s">
        <v>106</v>
      </c>
      <c r="C35" s="9" t="s">
        <v>459</v>
      </c>
      <c r="D35" s="9" t="s">
        <v>36</v>
      </c>
      <c r="E35" s="21">
        <v>16717</v>
      </c>
      <c r="F35" s="64">
        <v>199.216489</v>
      </c>
      <c r="G35" s="68">
        <v>1.4451980922408757E-2</v>
      </c>
    </row>
    <row r="36" spans="1:7" ht="12.95" customHeight="1">
      <c r="A36" s="11" t="s">
        <v>107</v>
      </c>
      <c r="B36" s="12" t="s">
        <v>108</v>
      </c>
      <c r="C36" s="9" t="s">
        <v>460</v>
      </c>
      <c r="D36" s="9" t="s">
        <v>109</v>
      </c>
      <c r="E36" s="21">
        <v>39000</v>
      </c>
      <c r="F36" s="64">
        <v>199.1925</v>
      </c>
      <c r="G36" s="68">
        <v>1.4450240661991118E-2</v>
      </c>
    </row>
    <row r="37" spans="1:7" ht="12.95" customHeight="1">
      <c r="A37" s="11" t="s">
        <v>110</v>
      </c>
      <c r="B37" s="12" t="s">
        <v>111</v>
      </c>
      <c r="C37" s="9" t="s">
        <v>461</v>
      </c>
      <c r="D37" s="9" t="s">
        <v>67</v>
      </c>
      <c r="E37" s="21">
        <v>19136</v>
      </c>
      <c r="F37" s="64">
        <v>195.579488</v>
      </c>
      <c r="G37" s="68">
        <v>1.4188137957749432E-2</v>
      </c>
    </row>
    <row r="38" spans="1:7" ht="12.95" customHeight="1">
      <c r="A38" s="11" t="s">
        <v>112</v>
      </c>
      <c r="B38" s="12" t="s">
        <v>113</v>
      </c>
      <c r="C38" s="9" t="s">
        <v>462</v>
      </c>
      <c r="D38" s="9" t="s">
        <v>36</v>
      </c>
      <c r="E38" s="21">
        <v>89300</v>
      </c>
      <c r="F38" s="64">
        <v>194.67400000000001</v>
      </c>
      <c r="G38" s="68">
        <v>1.4122450145625257E-2</v>
      </c>
    </row>
    <row r="39" spans="1:7" ht="12.95" customHeight="1">
      <c r="A39" s="11" t="s">
        <v>114</v>
      </c>
      <c r="B39" s="12" t="s">
        <v>115</v>
      </c>
      <c r="C39" s="9" t="s">
        <v>463</v>
      </c>
      <c r="D39" s="9" t="s">
        <v>116</v>
      </c>
      <c r="E39" s="21">
        <v>38289</v>
      </c>
      <c r="F39" s="64">
        <v>191.06210999999999</v>
      </c>
      <c r="G39" s="68">
        <v>1.38604288358639E-2</v>
      </c>
    </row>
    <row r="40" spans="1:7" ht="12.95" customHeight="1">
      <c r="A40" s="11" t="s">
        <v>117</v>
      </c>
      <c r="B40" s="12" t="s">
        <v>118</v>
      </c>
      <c r="C40" s="9" t="s">
        <v>464</v>
      </c>
      <c r="D40" s="9" t="s">
        <v>60</v>
      </c>
      <c r="E40" s="21">
        <v>169301</v>
      </c>
      <c r="F40" s="64">
        <v>188.43201300000001</v>
      </c>
      <c r="G40" s="68">
        <v>1.366963081578593E-2</v>
      </c>
    </row>
    <row r="41" spans="1:7" ht="12.95" customHeight="1">
      <c r="A41" s="11" t="s">
        <v>119</v>
      </c>
      <c r="B41" s="12" t="s">
        <v>120</v>
      </c>
      <c r="C41" s="9" t="s">
        <v>465</v>
      </c>
      <c r="D41" s="9" t="s">
        <v>67</v>
      </c>
      <c r="E41" s="21">
        <v>6813</v>
      </c>
      <c r="F41" s="64">
        <v>185.82798149999999</v>
      </c>
      <c r="G41" s="68">
        <v>1.3480723693949486E-2</v>
      </c>
    </row>
    <row r="42" spans="1:7" ht="12.95" customHeight="1">
      <c r="A42" s="11" t="s">
        <v>121</v>
      </c>
      <c r="B42" s="12" t="s">
        <v>122</v>
      </c>
      <c r="C42" s="9" t="s">
        <v>466</v>
      </c>
      <c r="D42" s="9" t="s">
        <v>123</v>
      </c>
      <c r="E42" s="21">
        <v>268305</v>
      </c>
      <c r="F42" s="64">
        <v>179.76435000000001</v>
      </c>
      <c r="G42" s="68">
        <v>1.3040843003358072E-2</v>
      </c>
    </row>
    <row r="43" spans="1:7" ht="12.95" customHeight="1">
      <c r="A43" s="11" t="s">
        <v>124</v>
      </c>
      <c r="B43" s="12" t="s">
        <v>125</v>
      </c>
      <c r="C43" s="9" t="s">
        <v>467</v>
      </c>
      <c r="D43" s="9" t="s">
        <v>36</v>
      </c>
      <c r="E43" s="21">
        <v>102000</v>
      </c>
      <c r="F43" s="64">
        <v>179.673</v>
      </c>
      <c r="G43" s="68">
        <v>1.3034216099812644E-2</v>
      </c>
    </row>
    <row r="44" spans="1:7" ht="12.95" customHeight="1">
      <c r="A44" s="11" t="s">
        <v>126</v>
      </c>
      <c r="B44" s="12" t="s">
        <v>127</v>
      </c>
      <c r="C44" s="9" t="s">
        <v>468</v>
      </c>
      <c r="D44" s="9" t="s">
        <v>128</v>
      </c>
      <c r="E44" s="21">
        <v>571580</v>
      </c>
      <c r="F44" s="64">
        <v>167.47293999999999</v>
      </c>
      <c r="G44" s="68">
        <v>1.2149173725773805E-2</v>
      </c>
    </row>
    <row r="45" spans="1:7" ht="12.95" customHeight="1">
      <c r="A45" s="11" t="s">
        <v>129</v>
      </c>
      <c r="B45" s="12" t="s">
        <v>130</v>
      </c>
      <c r="C45" s="9" t="s">
        <v>469</v>
      </c>
      <c r="D45" s="9" t="s">
        <v>67</v>
      </c>
      <c r="E45" s="21">
        <v>76740</v>
      </c>
      <c r="F45" s="64">
        <v>163.37945999999999</v>
      </c>
      <c r="G45" s="68">
        <v>1.1852215902838466E-2</v>
      </c>
    </row>
    <row r="46" spans="1:7" ht="12.95" customHeight="1">
      <c r="A46" s="11" t="s">
        <v>131</v>
      </c>
      <c r="B46" s="12" t="s">
        <v>132</v>
      </c>
      <c r="C46" s="9" t="s">
        <v>470</v>
      </c>
      <c r="D46" s="9" t="s">
        <v>86</v>
      </c>
      <c r="E46" s="21">
        <v>71803</v>
      </c>
      <c r="F46" s="64">
        <v>161.48494700000001</v>
      </c>
      <c r="G46" s="68">
        <v>1.1714780162098877E-2</v>
      </c>
    </row>
    <row r="47" spans="1:7" ht="12.95" customHeight="1">
      <c r="A47" s="11" t="s">
        <v>133</v>
      </c>
      <c r="B47" s="12" t="s">
        <v>134</v>
      </c>
      <c r="C47" s="9" t="s">
        <v>471</v>
      </c>
      <c r="D47" s="9" t="s">
        <v>135</v>
      </c>
      <c r="E47" s="21">
        <v>166527</v>
      </c>
      <c r="F47" s="64">
        <v>156.202326</v>
      </c>
      <c r="G47" s="68">
        <v>1.1331557175409679E-2</v>
      </c>
    </row>
    <row r="48" spans="1:7" ht="12.95" customHeight="1">
      <c r="A48" s="11" t="s">
        <v>136</v>
      </c>
      <c r="B48" s="12" t="s">
        <v>137</v>
      </c>
      <c r="C48" s="9" t="s">
        <v>472</v>
      </c>
      <c r="D48" s="9" t="s">
        <v>123</v>
      </c>
      <c r="E48" s="21">
        <v>115000</v>
      </c>
      <c r="F48" s="64">
        <v>155.82499999999999</v>
      </c>
      <c r="G48" s="68">
        <v>1.1304184400290001E-2</v>
      </c>
    </row>
    <row r="49" spans="1:7" ht="12.95" customHeight="1">
      <c r="A49" s="11" t="s">
        <v>138</v>
      </c>
      <c r="B49" s="12" t="s">
        <v>139</v>
      </c>
      <c r="C49" s="9" t="s">
        <v>473</v>
      </c>
      <c r="D49" s="9" t="s">
        <v>46</v>
      </c>
      <c r="E49" s="21">
        <v>31475</v>
      </c>
      <c r="F49" s="64">
        <v>145.69777500000001</v>
      </c>
      <c r="G49" s="68">
        <v>1.0569513976011311E-2</v>
      </c>
    </row>
    <row r="50" spans="1:7" ht="12.95" customHeight="1">
      <c r="A50" s="11" t="s">
        <v>140</v>
      </c>
      <c r="B50" s="12" t="s">
        <v>141</v>
      </c>
      <c r="C50" s="9" t="s">
        <v>474</v>
      </c>
      <c r="D50" s="9" t="s">
        <v>86</v>
      </c>
      <c r="E50" s="21">
        <v>89069</v>
      </c>
      <c r="F50" s="64">
        <v>144.38084900000001</v>
      </c>
      <c r="G50" s="68">
        <v>1.0473978764424361E-2</v>
      </c>
    </row>
    <row r="51" spans="1:7" ht="12.95" customHeight="1">
      <c r="A51" s="11" t="s">
        <v>142</v>
      </c>
      <c r="B51" s="12" t="s">
        <v>143</v>
      </c>
      <c r="C51" s="9" t="s">
        <v>475</v>
      </c>
      <c r="D51" s="9" t="s">
        <v>36</v>
      </c>
      <c r="E51" s="21">
        <v>114000</v>
      </c>
      <c r="F51" s="64">
        <v>144.096</v>
      </c>
      <c r="G51" s="68">
        <v>1.0453314650050942E-2</v>
      </c>
    </row>
    <row r="52" spans="1:7" ht="12.95" customHeight="1">
      <c r="A52" s="11" t="s">
        <v>144</v>
      </c>
      <c r="B52" s="12" t="s">
        <v>145</v>
      </c>
      <c r="C52" s="9" t="s">
        <v>476</v>
      </c>
      <c r="D52" s="9" t="s">
        <v>86</v>
      </c>
      <c r="E52" s="21">
        <v>13916</v>
      </c>
      <c r="F52" s="64">
        <v>140.53768400000001</v>
      </c>
      <c r="G52" s="68">
        <v>1.01951798179091E-2</v>
      </c>
    </row>
    <row r="53" spans="1:7" ht="12.95" customHeight="1">
      <c r="A53" s="11" t="s">
        <v>146</v>
      </c>
      <c r="B53" s="12" t="s">
        <v>147</v>
      </c>
      <c r="C53" s="9" t="s">
        <v>477</v>
      </c>
      <c r="D53" s="9" t="s">
        <v>148</v>
      </c>
      <c r="E53" s="21">
        <v>118829</v>
      </c>
      <c r="F53" s="64">
        <v>137.12866600000001</v>
      </c>
      <c r="G53" s="68">
        <v>9.9478756748261048E-3</v>
      </c>
    </row>
    <row r="54" spans="1:7" ht="12.95" customHeight="1">
      <c r="A54" s="11" t="s">
        <v>149</v>
      </c>
      <c r="B54" s="12" t="s">
        <v>150</v>
      </c>
      <c r="C54" s="9" t="s">
        <v>478</v>
      </c>
      <c r="D54" s="9" t="s">
        <v>54</v>
      </c>
      <c r="E54" s="21">
        <v>130236</v>
      </c>
      <c r="F54" s="64">
        <v>132.18953999999999</v>
      </c>
      <c r="G54" s="68">
        <v>9.5895712238056215E-3</v>
      </c>
    </row>
    <row r="55" spans="1:7" ht="12.95" customHeight="1">
      <c r="A55" s="11" t="s">
        <v>151</v>
      </c>
      <c r="B55" s="12" t="s">
        <v>152</v>
      </c>
      <c r="C55" s="9" t="s">
        <v>479</v>
      </c>
      <c r="D55" s="9" t="s">
        <v>54</v>
      </c>
      <c r="E55" s="21">
        <v>46400</v>
      </c>
      <c r="F55" s="64">
        <v>124.7696</v>
      </c>
      <c r="G55" s="68">
        <v>9.051298353604513E-3</v>
      </c>
    </row>
    <row r="56" spans="1:7" ht="12.95" customHeight="1">
      <c r="A56" s="11" t="s">
        <v>153</v>
      </c>
      <c r="B56" s="12" t="s">
        <v>154</v>
      </c>
      <c r="C56" s="9" t="s">
        <v>480</v>
      </c>
      <c r="D56" s="9" t="s">
        <v>73</v>
      </c>
      <c r="E56" s="21">
        <v>119467</v>
      </c>
      <c r="F56" s="64">
        <v>123.9470125</v>
      </c>
      <c r="G56" s="68">
        <v>8.9916244836518514E-3</v>
      </c>
    </row>
    <row r="57" spans="1:7" ht="12.95" customHeight="1">
      <c r="A57" s="11" t="s">
        <v>155</v>
      </c>
      <c r="B57" s="12" t="s">
        <v>156</v>
      </c>
      <c r="C57" s="9" t="s">
        <v>481</v>
      </c>
      <c r="D57" s="9" t="s">
        <v>67</v>
      </c>
      <c r="E57" s="21">
        <v>95000</v>
      </c>
      <c r="F57" s="64">
        <v>121.4575</v>
      </c>
      <c r="G57" s="68">
        <v>8.8110250396163815E-3</v>
      </c>
    </row>
    <row r="58" spans="1:7" ht="12.95" customHeight="1">
      <c r="A58" s="11" t="s">
        <v>157</v>
      </c>
      <c r="B58" s="12" t="s">
        <v>158</v>
      </c>
      <c r="C58" s="9" t="s">
        <v>482</v>
      </c>
      <c r="D58" s="9" t="s">
        <v>159</v>
      </c>
      <c r="E58" s="21">
        <v>205000</v>
      </c>
      <c r="F58" s="64">
        <v>111.8275</v>
      </c>
      <c r="G58" s="68">
        <v>8.1124253555169591E-3</v>
      </c>
    </row>
    <row r="59" spans="1:7" ht="12.95" customHeight="1">
      <c r="A59" s="11" t="s">
        <v>160</v>
      </c>
      <c r="B59" s="12" t="s">
        <v>161</v>
      </c>
      <c r="C59" s="9" t="s">
        <v>483</v>
      </c>
      <c r="D59" s="9" t="s">
        <v>162</v>
      </c>
      <c r="E59" s="21">
        <v>90452</v>
      </c>
      <c r="F59" s="64">
        <v>85.974626000000001</v>
      </c>
      <c r="G59" s="68">
        <v>6.2369518758220253E-3</v>
      </c>
    </row>
    <row r="60" spans="1:7" ht="12.95" customHeight="1">
      <c r="A60" s="11" t="s">
        <v>163</v>
      </c>
      <c r="B60" s="12" t="s">
        <v>164</v>
      </c>
      <c r="C60" s="9" t="s">
        <v>484</v>
      </c>
      <c r="D60" s="9" t="s">
        <v>70</v>
      </c>
      <c r="E60" s="21">
        <v>196521</v>
      </c>
      <c r="F60" s="64">
        <v>82.637080499999996</v>
      </c>
      <c r="G60" s="68">
        <v>5.9948326409344395E-3</v>
      </c>
    </row>
    <row r="61" spans="1:7" ht="12.95" customHeight="1">
      <c r="A61" s="11" t="s">
        <v>165</v>
      </c>
      <c r="B61" s="12" t="s">
        <v>166</v>
      </c>
      <c r="C61" s="9" t="s">
        <v>485</v>
      </c>
      <c r="D61" s="9" t="s">
        <v>93</v>
      </c>
      <c r="E61" s="21">
        <v>28452</v>
      </c>
      <c r="F61" s="64">
        <v>63.035406000000002</v>
      </c>
      <c r="G61" s="68">
        <v>4.5728468036011338E-3</v>
      </c>
    </row>
    <row r="62" spans="1:7" ht="12.95" customHeight="1">
      <c r="A62" s="11" t="s">
        <v>167</v>
      </c>
      <c r="B62" s="12" t="s">
        <v>168</v>
      </c>
      <c r="C62" s="9" t="s">
        <v>486</v>
      </c>
      <c r="D62" s="9" t="s">
        <v>54</v>
      </c>
      <c r="E62" s="21">
        <v>1316</v>
      </c>
      <c r="F62" s="64">
        <v>5.2409699999999999</v>
      </c>
      <c r="G62" s="68">
        <v>3.8020145237534339E-4</v>
      </c>
    </row>
    <row r="63" spans="1:7" ht="12.95" customHeight="1">
      <c r="A63" s="11" t="s">
        <v>169</v>
      </c>
      <c r="B63" s="12" t="s">
        <v>170</v>
      </c>
      <c r="C63" s="9" t="s">
        <v>487</v>
      </c>
      <c r="D63" s="9" t="s">
        <v>60</v>
      </c>
      <c r="E63" s="21">
        <v>73</v>
      </c>
      <c r="F63" s="64">
        <v>1.869019</v>
      </c>
      <c r="G63" s="68">
        <v>1.3558630145127942E-4</v>
      </c>
    </row>
    <row r="64" spans="1:7" ht="12.95" customHeight="1">
      <c r="A64" s="1"/>
      <c r="B64" s="8" t="s">
        <v>11</v>
      </c>
      <c r="C64" s="22"/>
      <c r="D64" s="9" t="s">
        <v>1</v>
      </c>
      <c r="E64" s="9" t="s">
        <v>1</v>
      </c>
      <c r="F64" s="65">
        <v>13126.635479</v>
      </c>
      <c r="G64" s="69">
        <v>0.95225995835074639</v>
      </c>
    </row>
    <row r="65" spans="1:7" ht="12.95" customHeight="1">
      <c r="A65" s="1"/>
      <c r="B65" s="14" t="s">
        <v>171</v>
      </c>
      <c r="C65" s="23"/>
      <c r="D65" s="15" t="s">
        <v>1</v>
      </c>
      <c r="E65" s="67" t="s">
        <v>172</v>
      </c>
      <c r="F65" s="67" t="s">
        <v>172</v>
      </c>
      <c r="G65" s="69" t="s">
        <v>172</v>
      </c>
    </row>
    <row r="66" spans="1:7" ht="12.95" customHeight="1">
      <c r="A66" s="1"/>
      <c r="B66" s="14" t="s">
        <v>11</v>
      </c>
      <c r="C66" s="23"/>
      <c r="D66" s="15" t="s">
        <v>1</v>
      </c>
      <c r="E66" s="67" t="s">
        <v>172</v>
      </c>
      <c r="F66" s="67" t="s">
        <v>172</v>
      </c>
      <c r="G66" s="69" t="s">
        <v>172</v>
      </c>
    </row>
    <row r="67" spans="1:7" ht="12.95" customHeight="1">
      <c r="A67" s="1"/>
      <c r="B67" s="14" t="s">
        <v>12</v>
      </c>
      <c r="C67" s="23"/>
      <c r="D67" s="15" t="s">
        <v>1</v>
      </c>
      <c r="E67" s="16" t="s">
        <v>1</v>
      </c>
      <c r="F67" s="65">
        <v>13126.635479</v>
      </c>
      <c r="G67" s="69">
        <v>0.95225995835074639</v>
      </c>
    </row>
    <row r="68" spans="1:7" ht="12.95" customHeight="1">
      <c r="A68" s="1"/>
      <c r="B68" s="36" t="s">
        <v>420</v>
      </c>
      <c r="C68" s="37"/>
      <c r="D68" s="38"/>
      <c r="E68" s="38"/>
      <c r="F68" s="71"/>
      <c r="G68" s="40"/>
    </row>
    <row r="69" spans="1:7" ht="12.95" customHeight="1">
      <c r="A69" s="11" t="s">
        <v>422</v>
      </c>
      <c r="B69" s="41" t="s">
        <v>425</v>
      </c>
      <c r="C69" s="37"/>
      <c r="D69" s="38"/>
      <c r="E69" s="67" t="s">
        <v>172</v>
      </c>
      <c r="F69" s="67" t="s">
        <v>172</v>
      </c>
      <c r="G69" s="69" t="s">
        <v>172</v>
      </c>
    </row>
    <row r="70" spans="1:7" ht="12.95" customHeight="1">
      <c r="A70" s="1"/>
      <c r="B70" s="42" t="s">
        <v>423</v>
      </c>
      <c r="C70" s="37"/>
      <c r="D70" s="38"/>
      <c r="E70" s="67" t="s">
        <v>172</v>
      </c>
      <c r="F70" s="67" t="s">
        <v>172</v>
      </c>
      <c r="G70" s="69" t="s">
        <v>172</v>
      </c>
    </row>
    <row r="71" spans="1:7" ht="12.95" customHeight="1">
      <c r="A71" s="1"/>
      <c r="B71" s="43" t="s">
        <v>424</v>
      </c>
      <c r="C71" s="44"/>
      <c r="D71" s="45"/>
      <c r="E71" s="67" t="s">
        <v>172</v>
      </c>
      <c r="F71" s="67" t="s">
        <v>172</v>
      </c>
      <c r="G71" s="69" t="s">
        <v>172</v>
      </c>
    </row>
    <row r="72" spans="1:7" ht="12.95" customHeight="1">
      <c r="A72" s="1"/>
      <c r="B72" s="46"/>
      <c r="C72" s="37"/>
      <c r="D72" s="38"/>
      <c r="E72" s="38"/>
      <c r="F72" s="39"/>
      <c r="G72" s="40"/>
    </row>
    <row r="73" spans="1:7" ht="12.95" customHeight="1">
      <c r="A73" s="1"/>
      <c r="B73" s="8" t="s">
        <v>7</v>
      </c>
      <c r="C73" s="22"/>
      <c r="D73" s="9" t="s">
        <v>1</v>
      </c>
      <c r="E73" s="9" t="s">
        <v>1</v>
      </c>
      <c r="F73" s="9" t="s">
        <v>1</v>
      </c>
      <c r="G73" s="74" t="s">
        <v>1</v>
      </c>
    </row>
    <row r="74" spans="1:7" ht="12.95" customHeight="1">
      <c r="A74" s="11" t="s">
        <v>8</v>
      </c>
      <c r="B74" s="12" t="s">
        <v>9</v>
      </c>
      <c r="C74" s="9"/>
      <c r="D74" s="9" t="s">
        <v>10</v>
      </c>
      <c r="E74" s="21"/>
      <c r="F74" s="64">
        <v>592.19308890000002</v>
      </c>
      <c r="G74" s="68">
        <v>4.2960114728079125E-2</v>
      </c>
    </row>
    <row r="75" spans="1:7" ht="12.95" customHeight="1">
      <c r="A75" s="1"/>
      <c r="B75" s="8" t="s">
        <v>11</v>
      </c>
      <c r="C75" s="22"/>
      <c r="D75" s="9" t="s">
        <v>1</v>
      </c>
      <c r="E75" s="9" t="s">
        <v>1</v>
      </c>
      <c r="F75" s="65">
        <v>592.19308890000002</v>
      </c>
      <c r="G75" s="69">
        <v>4.2960114728079125E-2</v>
      </c>
    </row>
    <row r="76" spans="1:7" ht="12.95" customHeight="1">
      <c r="A76" s="1"/>
      <c r="B76" s="14" t="s">
        <v>12</v>
      </c>
      <c r="C76" s="23"/>
      <c r="D76" s="15" t="s">
        <v>1</v>
      </c>
      <c r="E76" s="16" t="s">
        <v>1</v>
      </c>
      <c r="F76" s="65">
        <v>592.19308890000002</v>
      </c>
      <c r="G76" s="69">
        <v>4.2960114728079125E-2</v>
      </c>
    </row>
    <row r="77" spans="1:7" ht="12.95" customHeight="1">
      <c r="A77" s="1"/>
      <c r="B77" s="14" t="s">
        <v>13</v>
      </c>
      <c r="C77" s="23"/>
      <c r="D77" s="15" t="s">
        <v>1</v>
      </c>
      <c r="E77" s="9" t="s">
        <v>1</v>
      </c>
      <c r="F77" s="65">
        <v>65.889947130799996</v>
      </c>
      <c r="G77" s="69">
        <v>4.7799269211744756E-3</v>
      </c>
    </row>
    <row r="78" spans="1:7" ht="12.95" customHeight="1" thickBot="1">
      <c r="A78" s="1"/>
      <c r="B78" s="17" t="s">
        <v>14</v>
      </c>
      <c r="C78" s="24"/>
      <c r="D78" s="18" t="s">
        <v>1</v>
      </c>
      <c r="E78" s="18" t="s">
        <v>1</v>
      </c>
      <c r="F78" s="66">
        <v>13784.7185150308</v>
      </c>
      <c r="G78" s="70">
        <v>1</v>
      </c>
    </row>
    <row r="79" spans="1:7" ht="12.95" customHeight="1">
      <c r="A79" s="1"/>
      <c r="B79" s="4" t="s">
        <v>1</v>
      </c>
      <c r="C79" s="4"/>
      <c r="D79" s="1"/>
      <c r="E79" s="1"/>
      <c r="F79" s="1"/>
      <c r="G79" s="75"/>
    </row>
    <row r="80" spans="1:7" ht="12.95" customHeight="1" thickBot="1">
      <c r="A80" s="1"/>
      <c r="B80" s="2" t="s">
        <v>10</v>
      </c>
      <c r="C80" s="2"/>
      <c r="D80" s="1"/>
      <c r="E80" s="1"/>
      <c r="F80" s="1"/>
      <c r="G80" s="75"/>
    </row>
    <row r="81" spans="1:7" ht="12.95" customHeight="1" thickBot="1">
      <c r="A81" s="1"/>
      <c r="B81" s="97" t="s">
        <v>572</v>
      </c>
      <c r="C81" s="98">
        <v>0.83</v>
      </c>
      <c r="D81" s="1"/>
      <c r="E81" s="1"/>
      <c r="F81" s="1"/>
      <c r="G81" s="75"/>
    </row>
    <row r="82" spans="1:7" ht="12.95" hidden="1" customHeight="1">
      <c r="A82" s="1"/>
      <c r="B82" s="2" t="s">
        <v>1</v>
      </c>
      <c r="C82" s="2"/>
      <c r="D82" s="1"/>
      <c r="E82" s="1"/>
      <c r="F82" s="1"/>
      <c r="G82" s="75"/>
    </row>
    <row r="83" spans="1:7" ht="12.95" hidden="1" customHeight="1">
      <c r="A83" s="1"/>
      <c r="B83" s="4" t="s">
        <v>1</v>
      </c>
      <c r="C83" s="4"/>
      <c r="D83" s="1"/>
      <c r="E83" s="1"/>
      <c r="F83" s="1"/>
      <c r="G83" s="75"/>
    </row>
    <row r="84" spans="1:7" ht="12.95" hidden="1" customHeight="1">
      <c r="A84" s="1"/>
      <c r="B84" s="4" t="s">
        <v>1</v>
      </c>
      <c r="C84" s="4"/>
      <c r="D84" s="1"/>
      <c r="E84" s="1"/>
      <c r="F84" s="1"/>
      <c r="G84" s="75"/>
    </row>
    <row r="85" spans="1:7" ht="12.95" hidden="1" customHeight="1">
      <c r="A85" s="1"/>
      <c r="B85" s="2" t="s">
        <v>15</v>
      </c>
      <c r="C85" s="2"/>
      <c r="D85" s="1"/>
      <c r="E85" s="1"/>
      <c r="F85" s="1"/>
      <c r="G85" s="75"/>
    </row>
    <row r="86" spans="1:7" ht="12.95" hidden="1" customHeight="1">
      <c r="A86" s="1"/>
      <c r="B86" s="4" t="s">
        <v>16</v>
      </c>
      <c r="C86" s="4"/>
      <c r="D86" s="1"/>
      <c r="E86" s="1"/>
      <c r="F86" s="1"/>
      <c r="G86" s="75"/>
    </row>
    <row r="87" spans="1:7" ht="12.95" hidden="1" customHeight="1">
      <c r="A87" s="1"/>
      <c r="B87" s="4" t="s">
        <v>173</v>
      </c>
      <c r="C87" s="4"/>
      <c r="D87" s="1"/>
      <c r="E87" s="1"/>
      <c r="F87" s="1"/>
      <c r="G87" s="75"/>
    </row>
    <row r="88" spans="1:7" ht="12.95" hidden="1" customHeight="1">
      <c r="A88" s="1"/>
      <c r="B88" s="4" t="s">
        <v>174</v>
      </c>
      <c r="C88" s="4"/>
      <c r="D88" s="1"/>
      <c r="E88" s="1"/>
      <c r="F88" s="1"/>
      <c r="G88" s="75"/>
    </row>
    <row r="89" spans="1:7" ht="12.95" hidden="1" customHeight="1">
      <c r="A89" s="1"/>
      <c r="B89" s="2" t="s">
        <v>17</v>
      </c>
      <c r="C89" s="2"/>
      <c r="D89" s="3" t="s">
        <v>18</v>
      </c>
      <c r="E89" s="1"/>
      <c r="F89" s="1"/>
      <c r="G89" s="75"/>
    </row>
    <row r="90" spans="1:7" ht="12.95" hidden="1" customHeight="1">
      <c r="A90" s="1"/>
      <c r="B90" s="4" t="s">
        <v>19</v>
      </c>
      <c r="C90" s="4"/>
      <c r="D90" s="19">
        <v>12.712999999999999</v>
      </c>
      <c r="E90" s="1"/>
      <c r="F90" s="1"/>
      <c r="G90" s="75"/>
    </row>
    <row r="91" spans="1:7" ht="12.95" hidden="1" customHeight="1">
      <c r="A91" s="1"/>
      <c r="B91" s="4" t="s">
        <v>175</v>
      </c>
      <c r="C91" s="4"/>
      <c r="D91" s="19">
        <v>12.679</v>
      </c>
      <c r="E91" s="1"/>
      <c r="F91" s="1"/>
      <c r="G91" s="75"/>
    </row>
    <row r="92" spans="1:7" ht="12.95" hidden="1" customHeight="1">
      <c r="A92" s="1"/>
      <c r="B92" s="4" t="s">
        <v>176</v>
      </c>
      <c r="C92" s="4"/>
      <c r="D92" s="19">
        <v>11.613</v>
      </c>
      <c r="E92" s="1"/>
      <c r="F92" s="1"/>
      <c r="G92" s="75"/>
    </row>
    <row r="93" spans="1:7" ht="12.95" hidden="1" customHeight="1">
      <c r="A93" s="1"/>
      <c r="B93" s="4" t="s">
        <v>177</v>
      </c>
      <c r="C93" s="4"/>
      <c r="D93" s="19">
        <v>11.587999999999999</v>
      </c>
      <c r="E93" s="1"/>
      <c r="F93" s="1"/>
      <c r="G93" s="75"/>
    </row>
    <row r="94" spans="1:7" ht="12.95" hidden="1" customHeight="1">
      <c r="A94" s="1"/>
      <c r="B94" s="4" t="s">
        <v>1</v>
      </c>
      <c r="C94" s="4"/>
      <c r="D94" s="1"/>
      <c r="E94" s="1"/>
      <c r="F94" s="1"/>
      <c r="G94" s="75"/>
    </row>
    <row r="95" spans="1:7" ht="12.95" hidden="1" customHeight="1">
      <c r="A95" s="1"/>
      <c r="B95" s="4" t="s">
        <v>178</v>
      </c>
      <c r="C95" s="4"/>
      <c r="D95" s="1"/>
      <c r="E95" s="1"/>
      <c r="F95" s="1"/>
      <c r="G95" s="75"/>
    </row>
    <row r="96" spans="1:7" ht="12.95" hidden="1" customHeight="1">
      <c r="A96" s="1"/>
      <c r="B96" s="4" t="s">
        <v>24</v>
      </c>
      <c r="C96" s="4"/>
      <c r="D96" s="1"/>
      <c r="E96" s="1"/>
      <c r="F96" s="1"/>
      <c r="G96" s="75"/>
    </row>
    <row r="97" spans="1:7" ht="12.95" hidden="1" customHeight="1">
      <c r="A97" s="1"/>
      <c r="B97" s="4" t="s">
        <v>179</v>
      </c>
      <c r="C97" s="4"/>
      <c r="D97" s="1"/>
      <c r="E97" s="1"/>
      <c r="F97" s="1"/>
      <c r="G97" s="75"/>
    </row>
    <row r="98" spans="1:7" ht="12.95" hidden="1" customHeight="1">
      <c r="A98" s="1"/>
      <c r="B98" s="4" t="s">
        <v>180</v>
      </c>
      <c r="C98" s="4"/>
      <c r="D98" s="4" t="s">
        <v>27</v>
      </c>
      <c r="E98" s="1"/>
      <c r="F98" s="1"/>
      <c r="G98" s="75"/>
    </row>
    <row r="99" spans="1:7" ht="12.95" hidden="1" customHeight="1">
      <c r="A99" s="1"/>
      <c r="B99" s="4" t="s">
        <v>181</v>
      </c>
      <c r="C99" s="4"/>
      <c r="D99" s="4" t="s">
        <v>27</v>
      </c>
      <c r="E99" s="1"/>
      <c r="F99" s="1"/>
      <c r="G99" s="75"/>
    </row>
    <row r="100" spans="1:7" ht="12.95" hidden="1" customHeight="1">
      <c r="A100" s="1"/>
      <c r="B100" s="4" t="s">
        <v>1</v>
      </c>
      <c r="C100" s="4"/>
      <c r="D100" s="1"/>
      <c r="E100" s="1"/>
      <c r="F100" s="1"/>
      <c r="G100" s="75"/>
    </row>
    <row r="101" spans="1:7" ht="12.95" hidden="1" customHeight="1">
      <c r="A101" s="1"/>
      <c r="B101" s="4" t="s">
        <v>182</v>
      </c>
      <c r="C101" s="4"/>
      <c r="D101" s="1"/>
      <c r="E101" s="1"/>
      <c r="F101" s="1"/>
      <c r="G101" s="75"/>
    </row>
    <row r="102" spans="1:7" hidden="1"/>
    <row r="103" spans="1:7" hidden="1"/>
    <row r="104" spans="1:7" hidden="1"/>
    <row r="105" spans="1:7" hidden="1"/>
    <row r="106" spans="1:7" hidden="1"/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07"/>
  <sheetViews>
    <sheetView zoomScaleNormal="100" workbookViewId="0"/>
  </sheetViews>
  <sheetFormatPr defaultRowHeight="12.75"/>
  <cols>
    <col min="1" max="1" width="11.42578125" bestFit="1" customWidth="1"/>
    <col min="2" max="2" width="87.28515625" bestFit="1" customWidth="1"/>
    <col min="3" max="3" width="14.140625" bestFit="1" customWidth="1"/>
    <col min="4" max="4" width="32.7109375" bestFit="1" customWidth="1"/>
    <col min="5" max="5" width="7.7109375" bestFit="1" customWidth="1"/>
    <col min="6" max="6" width="15.28515625" style="73" bestFit="1" customWidth="1"/>
    <col min="7" max="7" width="7.7109375" style="76" bestFit="1" customWidth="1"/>
  </cols>
  <sheetData>
    <row r="1" spans="1:7" ht="15.95" customHeight="1">
      <c r="A1" s="1"/>
      <c r="B1" s="2" t="s">
        <v>183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31</v>
      </c>
      <c r="E4" s="7" t="s">
        <v>4</v>
      </c>
      <c r="F4" s="7" t="s">
        <v>5</v>
      </c>
      <c r="G4" s="7" t="s">
        <v>6</v>
      </c>
    </row>
    <row r="5" spans="1:7" ht="12.95" customHeight="1">
      <c r="A5" s="1"/>
      <c r="B5" s="8" t="s">
        <v>32</v>
      </c>
      <c r="C5" s="22"/>
      <c r="D5" s="9" t="s">
        <v>1</v>
      </c>
      <c r="E5" s="9" t="s">
        <v>1</v>
      </c>
      <c r="F5" s="9" t="s">
        <v>1</v>
      </c>
      <c r="G5" s="10" t="s">
        <v>1</v>
      </c>
    </row>
    <row r="6" spans="1:7" ht="12.95" customHeight="1">
      <c r="A6" s="1"/>
      <c r="B6" s="8" t="s">
        <v>33</v>
      </c>
      <c r="C6" s="22"/>
      <c r="D6" s="9" t="s">
        <v>1</v>
      </c>
      <c r="E6" s="9" t="s">
        <v>1</v>
      </c>
      <c r="F6" s="9" t="s">
        <v>1</v>
      </c>
      <c r="G6" s="10" t="s">
        <v>1</v>
      </c>
    </row>
    <row r="7" spans="1:7" ht="12.95" customHeight="1">
      <c r="A7" s="11" t="s">
        <v>40</v>
      </c>
      <c r="B7" s="12" t="s">
        <v>41</v>
      </c>
      <c r="C7" s="9" t="s">
        <v>433</v>
      </c>
      <c r="D7" s="9" t="s">
        <v>36</v>
      </c>
      <c r="E7" s="21">
        <v>10350</v>
      </c>
      <c r="F7" s="64">
        <v>108.1782</v>
      </c>
      <c r="G7" s="68">
        <v>6.4919173960579127E-2</v>
      </c>
    </row>
    <row r="8" spans="1:7" ht="12.95" customHeight="1">
      <c r="A8" s="11" t="s">
        <v>184</v>
      </c>
      <c r="B8" s="12" t="s">
        <v>185</v>
      </c>
      <c r="C8" s="9" t="s">
        <v>488</v>
      </c>
      <c r="D8" s="9" t="s">
        <v>67</v>
      </c>
      <c r="E8" s="21">
        <v>34500</v>
      </c>
      <c r="F8" s="64">
        <v>106.76025</v>
      </c>
      <c r="G8" s="68">
        <v>6.4068243341310158E-2</v>
      </c>
    </row>
    <row r="9" spans="1:7" ht="12.95" customHeight="1">
      <c r="A9" s="11" t="s">
        <v>186</v>
      </c>
      <c r="B9" s="12" t="s">
        <v>187</v>
      </c>
      <c r="C9" s="9" t="s">
        <v>489</v>
      </c>
      <c r="D9" s="9" t="s">
        <v>188</v>
      </c>
      <c r="E9" s="21">
        <v>15500</v>
      </c>
      <c r="F9" s="64">
        <v>89.055767700000004</v>
      </c>
      <c r="G9" s="68">
        <v>5.3443548473807327E-2</v>
      </c>
    </row>
    <row r="10" spans="1:7" ht="12.95" customHeight="1">
      <c r="A10" s="11" t="s">
        <v>52</v>
      </c>
      <c r="B10" s="12" t="s">
        <v>53</v>
      </c>
      <c r="C10" s="9" t="s">
        <v>438</v>
      </c>
      <c r="D10" s="9" t="s">
        <v>54</v>
      </c>
      <c r="E10" s="21">
        <v>31398</v>
      </c>
      <c r="F10" s="64">
        <v>66.077090999999996</v>
      </c>
      <c r="G10" s="68">
        <v>3.9653739528278505E-2</v>
      </c>
    </row>
    <row r="11" spans="1:7" ht="12.95" customHeight="1">
      <c r="A11" s="11" t="s">
        <v>37</v>
      </c>
      <c r="B11" s="12" t="s">
        <v>38</v>
      </c>
      <c r="C11" s="9" t="s">
        <v>432</v>
      </c>
      <c r="D11" s="9" t="s">
        <v>39</v>
      </c>
      <c r="E11" s="21">
        <v>22835</v>
      </c>
      <c r="F11" s="64">
        <v>62.693492499999998</v>
      </c>
      <c r="G11" s="68">
        <v>3.7623197148813375E-2</v>
      </c>
    </row>
    <row r="12" spans="1:7" ht="12.95" customHeight="1">
      <c r="A12" s="11" t="s">
        <v>189</v>
      </c>
      <c r="B12" s="12" t="s">
        <v>569</v>
      </c>
      <c r="C12" s="9" t="s">
        <v>490</v>
      </c>
      <c r="D12" s="9" t="s">
        <v>191</v>
      </c>
      <c r="E12" s="21">
        <v>41000</v>
      </c>
      <c r="F12" s="64">
        <v>62.627499999999998</v>
      </c>
      <c r="G12" s="68">
        <v>3.7583594173467197E-2</v>
      </c>
    </row>
    <row r="13" spans="1:7" ht="12.95" customHeight="1">
      <c r="A13" s="11" t="s">
        <v>192</v>
      </c>
      <c r="B13" s="12" t="s">
        <v>193</v>
      </c>
      <c r="C13" s="9" t="s">
        <v>491</v>
      </c>
      <c r="D13" s="9" t="s">
        <v>67</v>
      </c>
      <c r="E13" s="21">
        <v>2700</v>
      </c>
      <c r="F13" s="64">
        <v>51.277050000000003</v>
      </c>
      <c r="G13" s="68">
        <v>3.0772038443376892E-2</v>
      </c>
    </row>
    <row r="14" spans="1:7" ht="12.95" customHeight="1">
      <c r="A14" s="11" t="s">
        <v>194</v>
      </c>
      <c r="B14" s="12" t="s">
        <v>195</v>
      </c>
      <c r="C14" s="9" t="s">
        <v>492</v>
      </c>
      <c r="D14" s="9" t="s">
        <v>196</v>
      </c>
      <c r="E14" s="21">
        <v>16078</v>
      </c>
      <c r="F14" s="64">
        <v>46.907564999999998</v>
      </c>
      <c r="G14" s="68">
        <v>2.8149852486935197E-2</v>
      </c>
    </row>
    <row r="15" spans="1:7" ht="12.95" customHeight="1">
      <c r="A15" s="11" t="s">
        <v>197</v>
      </c>
      <c r="B15" s="12" t="s">
        <v>198</v>
      </c>
      <c r="C15" s="9" t="s">
        <v>493</v>
      </c>
      <c r="D15" s="9" t="s">
        <v>86</v>
      </c>
      <c r="E15" s="21">
        <v>5500</v>
      </c>
      <c r="F15" s="64">
        <v>45.443750000000001</v>
      </c>
      <c r="G15" s="68">
        <v>2.7271397672276557E-2</v>
      </c>
    </row>
    <row r="16" spans="1:7" ht="12.95" customHeight="1">
      <c r="A16" s="11" t="s">
        <v>199</v>
      </c>
      <c r="B16" s="12" t="s">
        <v>200</v>
      </c>
      <c r="C16" s="9" t="s">
        <v>494</v>
      </c>
      <c r="D16" s="9" t="s">
        <v>191</v>
      </c>
      <c r="E16" s="21">
        <v>3300</v>
      </c>
      <c r="F16" s="64">
        <v>42.279600000000002</v>
      </c>
      <c r="G16" s="68">
        <v>2.5372549250992357E-2</v>
      </c>
    </row>
    <row r="17" spans="1:7" ht="12.95" customHeight="1">
      <c r="A17" s="11" t="s">
        <v>49</v>
      </c>
      <c r="B17" s="12" t="s">
        <v>50</v>
      </c>
      <c r="C17" s="9" t="s">
        <v>437</v>
      </c>
      <c r="D17" s="9" t="s">
        <v>51</v>
      </c>
      <c r="E17" s="21">
        <v>34050</v>
      </c>
      <c r="F17" s="64">
        <v>42.1539</v>
      </c>
      <c r="G17" s="68">
        <v>2.5297115012237737E-2</v>
      </c>
    </row>
    <row r="18" spans="1:7" ht="12.95" customHeight="1">
      <c r="A18" s="11" t="s">
        <v>201</v>
      </c>
      <c r="B18" s="12" t="s">
        <v>202</v>
      </c>
      <c r="C18" s="9" t="s">
        <v>495</v>
      </c>
      <c r="D18" s="9" t="s">
        <v>203</v>
      </c>
      <c r="E18" s="21">
        <v>105000</v>
      </c>
      <c r="F18" s="64">
        <v>39.925166400000002</v>
      </c>
      <c r="G18" s="68">
        <v>2.3959622390894549E-2</v>
      </c>
    </row>
    <row r="19" spans="1:7" ht="12.95" customHeight="1">
      <c r="A19" s="11" t="s">
        <v>81</v>
      </c>
      <c r="B19" s="12" t="s">
        <v>82</v>
      </c>
      <c r="C19" s="9" t="s">
        <v>449</v>
      </c>
      <c r="D19" s="9" t="s">
        <v>83</v>
      </c>
      <c r="E19" s="21">
        <v>14250</v>
      </c>
      <c r="F19" s="64">
        <v>37.741124999999997</v>
      </c>
      <c r="G19" s="68">
        <v>2.2648950152091289E-2</v>
      </c>
    </row>
    <row r="20" spans="1:7" ht="12.95" customHeight="1">
      <c r="A20" s="11" t="s">
        <v>204</v>
      </c>
      <c r="B20" s="12" t="s">
        <v>205</v>
      </c>
      <c r="C20" s="9" t="s">
        <v>496</v>
      </c>
      <c r="D20" s="9" t="s">
        <v>203</v>
      </c>
      <c r="E20" s="21">
        <v>131000</v>
      </c>
      <c r="F20" s="64">
        <v>32.963425200000003</v>
      </c>
      <c r="G20" s="68">
        <v>1.9781789074835205E-2</v>
      </c>
    </row>
    <row r="21" spans="1:7" ht="12.95" customHeight="1">
      <c r="A21" s="11" t="s">
        <v>68</v>
      </c>
      <c r="B21" s="12" t="s">
        <v>69</v>
      </c>
      <c r="C21" s="9" t="s">
        <v>444</v>
      </c>
      <c r="D21" s="9" t="s">
        <v>70</v>
      </c>
      <c r="E21" s="21">
        <v>12150</v>
      </c>
      <c r="F21" s="64">
        <v>32.258249999999997</v>
      </c>
      <c r="G21" s="68">
        <v>1.9358604075625695E-2</v>
      </c>
    </row>
    <row r="22" spans="1:7" ht="12.95" customHeight="1">
      <c r="A22" s="11" t="s">
        <v>206</v>
      </c>
      <c r="B22" s="12" t="s">
        <v>207</v>
      </c>
      <c r="C22" s="9" t="s">
        <v>497</v>
      </c>
      <c r="D22" s="9" t="s">
        <v>208</v>
      </c>
      <c r="E22" s="21">
        <v>6000</v>
      </c>
      <c r="F22" s="64">
        <v>31.8520629</v>
      </c>
      <c r="G22" s="68">
        <v>1.911484580450043E-2</v>
      </c>
    </row>
    <row r="23" spans="1:7" ht="12.95" customHeight="1">
      <c r="A23" s="11" t="s">
        <v>91</v>
      </c>
      <c r="B23" s="12" t="s">
        <v>92</v>
      </c>
      <c r="C23" s="9" t="s">
        <v>453</v>
      </c>
      <c r="D23" s="9" t="s">
        <v>93</v>
      </c>
      <c r="E23" s="21">
        <v>12250</v>
      </c>
      <c r="F23" s="64">
        <v>31.408999999999999</v>
      </c>
      <c r="G23" s="68">
        <v>1.8848957876243362E-2</v>
      </c>
    </row>
    <row r="24" spans="1:7" ht="12.95" customHeight="1">
      <c r="A24" s="11" t="s">
        <v>119</v>
      </c>
      <c r="B24" s="12" t="s">
        <v>120</v>
      </c>
      <c r="C24" s="9" t="s">
        <v>465</v>
      </c>
      <c r="D24" s="9" t="s">
        <v>67</v>
      </c>
      <c r="E24" s="21">
        <v>1149</v>
      </c>
      <c r="F24" s="64">
        <v>31.3395495</v>
      </c>
      <c r="G24" s="68">
        <v>1.8807279709189842E-2</v>
      </c>
    </row>
    <row r="25" spans="1:7" ht="12.95" customHeight="1">
      <c r="A25" s="11" t="s">
        <v>209</v>
      </c>
      <c r="B25" s="12" t="s">
        <v>210</v>
      </c>
      <c r="C25" s="9" t="s">
        <v>498</v>
      </c>
      <c r="D25" s="9" t="s">
        <v>211</v>
      </c>
      <c r="E25" s="21">
        <v>37000</v>
      </c>
      <c r="F25" s="64">
        <v>30.775649099999999</v>
      </c>
      <c r="G25" s="68">
        <v>1.8468875592981215E-2</v>
      </c>
    </row>
    <row r="26" spans="1:7" ht="12.95" customHeight="1">
      <c r="A26" s="11" t="s">
        <v>212</v>
      </c>
      <c r="B26" s="12" t="s">
        <v>213</v>
      </c>
      <c r="C26" s="9" t="s">
        <v>499</v>
      </c>
      <c r="D26" s="9" t="s">
        <v>203</v>
      </c>
      <c r="E26" s="21">
        <v>69000</v>
      </c>
      <c r="F26" s="64">
        <v>30.577141600000001</v>
      </c>
      <c r="G26" s="68">
        <v>1.8349748606906576E-2</v>
      </c>
    </row>
    <row r="27" spans="1:7" ht="12.95" customHeight="1">
      <c r="A27" s="11" t="s">
        <v>34</v>
      </c>
      <c r="B27" s="12" t="s">
        <v>35</v>
      </c>
      <c r="C27" s="9" t="s">
        <v>431</v>
      </c>
      <c r="D27" s="9" t="s">
        <v>36</v>
      </c>
      <c r="E27" s="21">
        <v>6000</v>
      </c>
      <c r="F27" s="64">
        <v>28.838999999999999</v>
      </c>
      <c r="G27" s="68">
        <v>1.7306666757712197E-2</v>
      </c>
    </row>
    <row r="28" spans="1:7" ht="12.95" customHeight="1">
      <c r="A28" s="11" t="s">
        <v>65</v>
      </c>
      <c r="B28" s="12" t="s">
        <v>66</v>
      </c>
      <c r="C28" s="9" t="s">
        <v>443</v>
      </c>
      <c r="D28" s="9" t="s">
        <v>67</v>
      </c>
      <c r="E28" s="21">
        <v>3706</v>
      </c>
      <c r="F28" s="64">
        <v>28.83268</v>
      </c>
      <c r="G28" s="68">
        <v>1.7302874041809815E-2</v>
      </c>
    </row>
    <row r="29" spans="1:7" ht="12.95" customHeight="1">
      <c r="A29" s="11" t="s">
        <v>63</v>
      </c>
      <c r="B29" s="12" t="s">
        <v>64</v>
      </c>
      <c r="C29" s="9" t="s">
        <v>442</v>
      </c>
      <c r="D29" s="9" t="s">
        <v>46</v>
      </c>
      <c r="E29" s="21">
        <v>3799</v>
      </c>
      <c r="F29" s="64">
        <v>28.2170725</v>
      </c>
      <c r="G29" s="68">
        <v>1.6933439808443598E-2</v>
      </c>
    </row>
    <row r="30" spans="1:7" ht="12.95" customHeight="1">
      <c r="A30" s="11" t="s">
        <v>97</v>
      </c>
      <c r="B30" s="12" t="s">
        <v>98</v>
      </c>
      <c r="C30" s="9" t="s">
        <v>455</v>
      </c>
      <c r="D30" s="9" t="s">
        <v>67</v>
      </c>
      <c r="E30" s="21">
        <v>5000</v>
      </c>
      <c r="F30" s="64">
        <v>26.247499999999999</v>
      </c>
      <c r="G30" s="68">
        <v>1.5751473203753627E-2</v>
      </c>
    </row>
    <row r="31" spans="1:7" ht="12.95" customHeight="1">
      <c r="A31" s="11" t="s">
        <v>214</v>
      </c>
      <c r="B31" s="12" t="s">
        <v>215</v>
      </c>
      <c r="C31" s="9" t="s">
        <v>500</v>
      </c>
      <c r="D31" s="9" t="s">
        <v>211</v>
      </c>
      <c r="E31" s="21">
        <v>18000</v>
      </c>
      <c r="F31" s="64">
        <v>25.477456499999999</v>
      </c>
      <c r="G31" s="68">
        <v>1.5289359876542478E-2</v>
      </c>
    </row>
    <row r="32" spans="1:7" ht="12.95" customHeight="1">
      <c r="A32" s="11" t="s">
        <v>216</v>
      </c>
      <c r="B32" s="12" t="s">
        <v>217</v>
      </c>
      <c r="C32" s="9" t="s">
        <v>501</v>
      </c>
      <c r="D32" s="9" t="s">
        <v>218</v>
      </c>
      <c r="E32" s="21">
        <v>28000</v>
      </c>
      <c r="F32" s="64">
        <v>25.246796400000001</v>
      </c>
      <c r="G32" s="68">
        <v>1.5150937688359789E-2</v>
      </c>
    </row>
    <row r="33" spans="1:7" ht="12.95" customHeight="1">
      <c r="A33" s="11" t="s">
        <v>99</v>
      </c>
      <c r="B33" s="12" t="s">
        <v>100</v>
      </c>
      <c r="C33" s="9" t="s">
        <v>456</v>
      </c>
      <c r="D33" s="9" t="s">
        <v>67</v>
      </c>
      <c r="E33" s="21">
        <v>5018</v>
      </c>
      <c r="F33" s="64">
        <v>25.172796999999999</v>
      </c>
      <c r="G33" s="68">
        <v>1.5106529666026467E-2</v>
      </c>
    </row>
    <row r="34" spans="1:7" ht="12.95" customHeight="1">
      <c r="A34" s="11" t="s">
        <v>74</v>
      </c>
      <c r="B34" s="12" t="s">
        <v>75</v>
      </c>
      <c r="C34" s="9" t="s">
        <v>446</v>
      </c>
      <c r="D34" s="9" t="s">
        <v>39</v>
      </c>
      <c r="E34" s="21">
        <v>19000</v>
      </c>
      <c r="F34" s="64">
        <v>24.595500000000001</v>
      </c>
      <c r="G34" s="68">
        <v>1.4760086072308691E-2</v>
      </c>
    </row>
    <row r="35" spans="1:7" ht="12.95" customHeight="1">
      <c r="A35" s="11" t="s">
        <v>140</v>
      </c>
      <c r="B35" s="12" t="s">
        <v>141</v>
      </c>
      <c r="C35" s="9" t="s">
        <v>474</v>
      </c>
      <c r="D35" s="9" t="s">
        <v>86</v>
      </c>
      <c r="E35" s="21">
        <v>15000</v>
      </c>
      <c r="F35" s="64">
        <v>24.315000000000001</v>
      </c>
      <c r="G35" s="68">
        <v>1.4591754298476787E-2</v>
      </c>
    </row>
    <row r="36" spans="1:7" ht="12.95" customHeight="1">
      <c r="A36" s="11" t="s">
        <v>101</v>
      </c>
      <c r="B36" s="12" t="s">
        <v>102</v>
      </c>
      <c r="C36" s="9" t="s">
        <v>457</v>
      </c>
      <c r="D36" s="9" t="s">
        <v>93</v>
      </c>
      <c r="E36" s="21">
        <v>39542</v>
      </c>
      <c r="F36" s="64">
        <v>24.041536000000001</v>
      </c>
      <c r="G36" s="68">
        <v>1.4427644921652659E-2</v>
      </c>
    </row>
    <row r="37" spans="1:7" ht="12.95" customHeight="1">
      <c r="A37" s="11" t="s">
        <v>219</v>
      </c>
      <c r="B37" s="12" t="s">
        <v>220</v>
      </c>
      <c r="C37" s="9" t="s">
        <v>502</v>
      </c>
      <c r="D37" s="9" t="s">
        <v>221</v>
      </c>
      <c r="E37" s="21">
        <v>16000</v>
      </c>
      <c r="F37" s="64">
        <v>23.9327328</v>
      </c>
      <c r="G37" s="68">
        <v>1.4362350676894772E-2</v>
      </c>
    </row>
    <row r="38" spans="1:7" ht="12.95" customHeight="1">
      <c r="A38" s="11" t="s">
        <v>222</v>
      </c>
      <c r="B38" s="12" t="s">
        <v>223</v>
      </c>
      <c r="C38" s="9" t="s">
        <v>503</v>
      </c>
      <c r="D38" s="9" t="s">
        <v>224</v>
      </c>
      <c r="E38" s="21">
        <v>32000</v>
      </c>
      <c r="F38" s="64">
        <v>23.261721600000001</v>
      </c>
      <c r="G38" s="68">
        <v>1.3959667947636039E-2</v>
      </c>
    </row>
    <row r="39" spans="1:7" ht="12.95" customHeight="1">
      <c r="A39" s="11" t="s">
        <v>44</v>
      </c>
      <c r="B39" s="12" t="s">
        <v>45</v>
      </c>
      <c r="C39" s="9" t="s">
        <v>435</v>
      </c>
      <c r="D39" s="9" t="s">
        <v>46</v>
      </c>
      <c r="E39" s="21">
        <v>4000</v>
      </c>
      <c r="F39" s="64">
        <v>21.175999999999998</v>
      </c>
      <c r="G39" s="68">
        <v>1.2707998726076267E-2</v>
      </c>
    </row>
    <row r="40" spans="1:7" ht="12.95" customHeight="1">
      <c r="A40" s="11" t="s">
        <v>126</v>
      </c>
      <c r="B40" s="12" t="s">
        <v>127</v>
      </c>
      <c r="C40" s="9" t="s">
        <v>468</v>
      </c>
      <c r="D40" s="9" t="s">
        <v>128</v>
      </c>
      <c r="E40" s="21">
        <v>70000</v>
      </c>
      <c r="F40" s="64">
        <v>20.51</v>
      </c>
      <c r="G40" s="68">
        <v>1.2308323284464687E-2</v>
      </c>
    </row>
    <row r="41" spans="1:7" ht="12.95" customHeight="1">
      <c r="A41" s="11" t="s">
        <v>78</v>
      </c>
      <c r="B41" s="12" t="s">
        <v>79</v>
      </c>
      <c r="C41" s="9" t="s">
        <v>448</v>
      </c>
      <c r="D41" s="9" t="s">
        <v>80</v>
      </c>
      <c r="E41" s="21">
        <v>2000</v>
      </c>
      <c r="F41" s="64">
        <v>19.510999999999999</v>
      </c>
      <c r="G41" s="68">
        <v>1.170881012204732E-2</v>
      </c>
    </row>
    <row r="42" spans="1:7" ht="12.95" customHeight="1">
      <c r="A42" s="11" t="s">
        <v>225</v>
      </c>
      <c r="B42" s="12" t="s">
        <v>226</v>
      </c>
      <c r="C42" s="9" t="s">
        <v>504</v>
      </c>
      <c r="D42" s="9" t="s">
        <v>224</v>
      </c>
      <c r="E42" s="21">
        <v>70000</v>
      </c>
      <c r="F42" s="64">
        <v>19.130808900000002</v>
      </c>
      <c r="G42" s="68">
        <v>1.1480652395636972E-2</v>
      </c>
    </row>
    <row r="43" spans="1:7" ht="12.95" customHeight="1">
      <c r="A43" s="11" t="s">
        <v>227</v>
      </c>
      <c r="B43" s="12" t="s">
        <v>228</v>
      </c>
      <c r="C43" s="9" t="s">
        <v>505</v>
      </c>
      <c r="D43" s="9" t="s">
        <v>229</v>
      </c>
      <c r="E43" s="21">
        <v>4500</v>
      </c>
      <c r="F43" s="64">
        <v>18.935097299999999</v>
      </c>
      <c r="G43" s="68">
        <v>1.1363203266269842E-2</v>
      </c>
    </row>
    <row r="44" spans="1:7" ht="12.95" customHeight="1">
      <c r="A44" s="11" t="s">
        <v>230</v>
      </c>
      <c r="B44" s="12" t="s">
        <v>231</v>
      </c>
      <c r="C44" s="9" t="s">
        <v>506</v>
      </c>
      <c r="D44" s="9" t="s">
        <v>232</v>
      </c>
      <c r="E44" s="21">
        <v>19000</v>
      </c>
      <c r="F44" s="64">
        <v>18.592601999999999</v>
      </c>
      <c r="G44" s="68">
        <v>1.1157667289877363E-2</v>
      </c>
    </row>
    <row r="45" spans="1:7" ht="12.95" customHeight="1">
      <c r="A45" s="11" t="s">
        <v>149</v>
      </c>
      <c r="B45" s="12" t="s">
        <v>150</v>
      </c>
      <c r="C45" s="9" t="s">
        <v>478</v>
      </c>
      <c r="D45" s="9" t="s">
        <v>54</v>
      </c>
      <c r="E45" s="21">
        <v>16342</v>
      </c>
      <c r="F45" s="64">
        <v>16.587129999999998</v>
      </c>
      <c r="G45" s="68">
        <v>9.9541569186466488E-3</v>
      </c>
    </row>
    <row r="46" spans="1:7" ht="12.95" customHeight="1">
      <c r="A46" s="11" t="s">
        <v>157</v>
      </c>
      <c r="B46" s="12" t="s">
        <v>158</v>
      </c>
      <c r="C46" s="9" t="s">
        <v>482</v>
      </c>
      <c r="D46" s="9" t="s">
        <v>159</v>
      </c>
      <c r="E46" s="21">
        <v>30000</v>
      </c>
      <c r="F46" s="64">
        <v>16.364999999999998</v>
      </c>
      <c r="G46" s="68">
        <v>9.8208537567169487E-3</v>
      </c>
    </row>
    <row r="47" spans="1:7" ht="12.95" customHeight="1">
      <c r="A47" s="11" t="s">
        <v>110</v>
      </c>
      <c r="B47" s="12" t="s">
        <v>111</v>
      </c>
      <c r="C47" s="9" t="s">
        <v>461</v>
      </c>
      <c r="D47" s="9" t="s">
        <v>67</v>
      </c>
      <c r="E47" s="21">
        <v>1601</v>
      </c>
      <c r="F47" s="64">
        <v>16.363020500000001</v>
      </c>
      <c r="G47" s="68">
        <v>9.8196658324877142E-3</v>
      </c>
    </row>
    <row r="48" spans="1:7" ht="12.95" customHeight="1">
      <c r="A48" s="11" t="s">
        <v>144</v>
      </c>
      <c r="B48" s="12" t="s">
        <v>145</v>
      </c>
      <c r="C48" s="9" t="s">
        <v>476</v>
      </c>
      <c r="D48" s="9" t="s">
        <v>86</v>
      </c>
      <c r="E48" s="21">
        <v>1500</v>
      </c>
      <c r="F48" s="64">
        <v>15.1485</v>
      </c>
      <c r="G48" s="68">
        <v>9.0908159568363397E-3</v>
      </c>
    </row>
    <row r="49" spans="1:7" ht="12.95" customHeight="1">
      <c r="A49" s="11" t="s">
        <v>233</v>
      </c>
      <c r="B49" s="12" t="s">
        <v>234</v>
      </c>
      <c r="C49" s="9" t="s">
        <v>507</v>
      </c>
      <c r="D49" s="9" t="s">
        <v>67</v>
      </c>
      <c r="E49" s="21">
        <v>325</v>
      </c>
      <c r="F49" s="64">
        <v>14.91165</v>
      </c>
      <c r="G49" s="68">
        <v>8.9486791274884375E-3</v>
      </c>
    </row>
    <row r="50" spans="1:7" ht="12.95" customHeight="1">
      <c r="A50" s="11" t="s">
        <v>103</v>
      </c>
      <c r="B50" s="12" t="s">
        <v>104</v>
      </c>
      <c r="C50" s="9" t="s">
        <v>458</v>
      </c>
      <c r="D50" s="9" t="s">
        <v>39</v>
      </c>
      <c r="E50" s="21">
        <v>17339</v>
      </c>
      <c r="F50" s="64">
        <v>14.469395499999999</v>
      </c>
      <c r="G50" s="68">
        <v>8.6832763308034404E-3</v>
      </c>
    </row>
    <row r="51" spans="1:7" ht="12.95" customHeight="1">
      <c r="A51" s="11" t="s">
        <v>94</v>
      </c>
      <c r="B51" s="12" t="s">
        <v>95</v>
      </c>
      <c r="C51" s="9" t="s">
        <v>454</v>
      </c>
      <c r="D51" s="9" t="s">
        <v>96</v>
      </c>
      <c r="E51" s="21">
        <v>5000</v>
      </c>
      <c r="F51" s="64">
        <v>14.26</v>
      </c>
      <c r="G51" s="68">
        <v>8.5576153113830541E-3</v>
      </c>
    </row>
    <row r="52" spans="1:7" ht="12.95" customHeight="1">
      <c r="A52" s="11" t="s">
        <v>235</v>
      </c>
      <c r="B52" s="12" t="s">
        <v>236</v>
      </c>
      <c r="C52" s="9" t="s">
        <v>508</v>
      </c>
      <c r="D52" s="9" t="s">
        <v>237</v>
      </c>
      <c r="E52" s="21">
        <v>28000</v>
      </c>
      <c r="F52" s="64">
        <v>12.8582521</v>
      </c>
      <c r="G52" s="68">
        <v>7.7164077874181851E-3</v>
      </c>
    </row>
    <row r="53" spans="1:7" ht="12.95" customHeight="1">
      <c r="A53" s="11" t="s">
        <v>238</v>
      </c>
      <c r="B53" s="12" t="s">
        <v>239</v>
      </c>
      <c r="C53" s="9" t="s">
        <v>509</v>
      </c>
      <c r="D53" s="9" t="s">
        <v>237</v>
      </c>
      <c r="E53" s="21">
        <v>14000</v>
      </c>
      <c r="F53" s="64">
        <v>10.666282199999999</v>
      </c>
      <c r="G53" s="68">
        <v>6.4009775505085931E-3</v>
      </c>
    </row>
    <row r="54" spans="1:7" ht="12.95" customHeight="1">
      <c r="A54" s="11" t="s">
        <v>240</v>
      </c>
      <c r="B54" s="12" t="s">
        <v>241</v>
      </c>
      <c r="C54" s="9" t="s">
        <v>510</v>
      </c>
      <c r="D54" s="9" t="s">
        <v>46</v>
      </c>
      <c r="E54" s="21">
        <v>1200</v>
      </c>
      <c r="F54" s="64">
        <v>9.8274000000000008</v>
      </c>
      <c r="G54" s="68">
        <v>5.8975532055459906E-3</v>
      </c>
    </row>
    <row r="55" spans="1:7" ht="12.95" customHeight="1">
      <c r="A55" s="11" t="s">
        <v>151</v>
      </c>
      <c r="B55" s="12" t="s">
        <v>152</v>
      </c>
      <c r="C55" s="9" t="s">
        <v>479</v>
      </c>
      <c r="D55" s="9" t="s">
        <v>54</v>
      </c>
      <c r="E55" s="21">
        <v>3600</v>
      </c>
      <c r="F55" s="64">
        <v>9.6804000000000006</v>
      </c>
      <c r="G55" s="68">
        <v>5.809336554019111E-3</v>
      </c>
    </row>
    <row r="56" spans="1:7" ht="12.95" customHeight="1">
      <c r="A56" s="11" t="s">
        <v>242</v>
      </c>
      <c r="B56" s="12" t="s">
        <v>243</v>
      </c>
      <c r="C56" s="9" t="s">
        <v>511</v>
      </c>
      <c r="D56" s="9" t="s">
        <v>244</v>
      </c>
      <c r="E56" s="21">
        <v>16000</v>
      </c>
      <c r="F56" s="64">
        <v>7.8620146000000002</v>
      </c>
      <c r="G56" s="68">
        <v>4.7180993351526737E-3</v>
      </c>
    </row>
    <row r="57" spans="1:7" ht="12.95" customHeight="1">
      <c r="A57" s="11" t="s">
        <v>245</v>
      </c>
      <c r="B57" s="12" t="s">
        <v>246</v>
      </c>
      <c r="C57" s="9" t="s">
        <v>512</v>
      </c>
      <c r="D57" s="9" t="s">
        <v>67</v>
      </c>
      <c r="E57" s="21">
        <v>230</v>
      </c>
      <c r="F57" s="64">
        <v>1.073985</v>
      </c>
      <c r="G57" s="68">
        <v>6.4451265639521246E-4</v>
      </c>
    </row>
    <row r="58" spans="1:7" ht="12.95" customHeight="1">
      <c r="A58" s="1"/>
      <c r="B58" s="8" t="s">
        <v>11</v>
      </c>
      <c r="C58" s="22"/>
      <c r="D58" s="9" t="s">
        <v>1</v>
      </c>
      <c r="E58" s="9" t="s">
        <v>1</v>
      </c>
      <c r="F58" s="65">
        <v>1608.4038668000001</v>
      </c>
      <c r="G58" s="69">
        <v>0.96522451314273428</v>
      </c>
    </row>
    <row r="59" spans="1:7" ht="12.95" customHeight="1">
      <c r="A59" s="1"/>
      <c r="B59" s="14" t="s">
        <v>171</v>
      </c>
      <c r="C59" s="23"/>
      <c r="D59" s="15" t="s">
        <v>1</v>
      </c>
      <c r="E59" s="67" t="s">
        <v>172</v>
      </c>
      <c r="F59" s="67" t="s">
        <v>172</v>
      </c>
      <c r="G59" s="69" t="s">
        <v>172</v>
      </c>
    </row>
    <row r="60" spans="1:7" ht="12.95" customHeight="1">
      <c r="A60" s="1"/>
      <c r="B60" s="14" t="s">
        <v>11</v>
      </c>
      <c r="C60" s="23"/>
      <c r="D60" s="15" t="s">
        <v>1</v>
      </c>
      <c r="E60" s="67" t="s">
        <v>172</v>
      </c>
      <c r="F60" s="67" t="s">
        <v>172</v>
      </c>
      <c r="G60" s="69" t="s">
        <v>172</v>
      </c>
    </row>
    <row r="61" spans="1:7" ht="12.95" customHeight="1">
      <c r="A61" s="1"/>
      <c r="B61" s="14" t="s">
        <v>12</v>
      </c>
      <c r="C61" s="23"/>
      <c r="D61" s="15" t="s">
        <v>1</v>
      </c>
      <c r="E61" s="16" t="s">
        <v>1</v>
      </c>
      <c r="F61" s="65">
        <v>1608.4038668000001</v>
      </c>
      <c r="G61" s="69">
        <v>0.96522451314273428</v>
      </c>
    </row>
    <row r="62" spans="1:7" ht="12.95" customHeight="1">
      <c r="A62" s="1"/>
      <c r="B62" s="36" t="s">
        <v>420</v>
      </c>
      <c r="C62" s="37"/>
      <c r="D62" s="38"/>
      <c r="E62" s="38"/>
      <c r="F62" s="71"/>
      <c r="G62" s="40"/>
    </row>
    <row r="63" spans="1:7" ht="12.95" customHeight="1">
      <c r="A63" s="11" t="s">
        <v>422</v>
      </c>
      <c r="B63" s="41" t="s">
        <v>425</v>
      </c>
      <c r="C63" s="37"/>
      <c r="D63" s="38"/>
      <c r="E63" s="67" t="s">
        <v>172</v>
      </c>
      <c r="F63" s="67" t="s">
        <v>172</v>
      </c>
      <c r="G63" s="69" t="s">
        <v>172</v>
      </c>
    </row>
    <row r="64" spans="1:7" ht="12.95" customHeight="1">
      <c r="A64" s="1"/>
      <c r="B64" s="42" t="s">
        <v>423</v>
      </c>
      <c r="C64" s="37"/>
      <c r="D64" s="38"/>
      <c r="E64" s="67" t="s">
        <v>172</v>
      </c>
      <c r="F64" s="67" t="s">
        <v>172</v>
      </c>
      <c r="G64" s="69" t="s">
        <v>172</v>
      </c>
    </row>
    <row r="65" spans="1:7" ht="12.95" customHeight="1">
      <c r="A65" s="1"/>
      <c r="B65" s="42" t="s">
        <v>424</v>
      </c>
      <c r="C65" s="37"/>
      <c r="D65" s="38"/>
      <c r="E65" s="67" t="s">
        <v>172</v>
      </c>
      <c r="F65" s="67" t="s">
        <v>172</v>
      </c>
      <c r="G65" s="69" t="s">
        <v>172</v>
      </c>
    </row>
    <row r="66" spans="1:7" ht="12.95" customHeight="1">
      <c r="A66" s="1"/>
      <c r="B66" s="8" t="s">
        <v>7</v>
      </c>
      <c r="C66" s="22"/>
      <c r="D66" s="9" t="s">
        <v>1</v>
      </c>
      <c r="E66" s="9" t="s">
        <v>1</v>
      </c>
      <c r="F66" s="77" t="s">
        <v>1</v>
      </c>
      <c r="G66" s="74" t="s">
        <v>1</v>
      </c>
    </row>
    <row r="67" spans="1:7" ht="12.95" customHeight="1">
      <c r="A67" s="11" t="s">
        <v>8</v>
      </c>
      <c r="B67" s="12" t="s">
        <v>9</v>
      </c>
      <c r="C67" s="9"/>
      <c r="D67" s="9" t="s">
        <v>10</v>
      </c>
      <c r="E67" s="21"/>
      <c r="F67" s="64">
        <v>57.481146299999999</v>
      </c>
      <c r="G67" s="68">
        <v>3.4495198996685093E-2</v>
      </c>
    </row>
    <row r="68" spans="1:7" ht="12.95" customHeight="1">
      <c r="A68" s="1"/>
      <c r="B68" s="8" t="s">
        <v>11</v>
      </c>
      <c r="C68" s="22"/>
      <c r="D68" s="9" t="s">
        <v>1</v>
      </c>
      <c r="E68" s="9" t="s">
        <v>1</v>
      </c>
      <c r="F68" s="65">
        <v>57.481146299999999</v>
      </c>
      <c r="G68" s="69">
        <v>3.4495198996685093E-2</v>
      </c>
    </row>
    <row r="69" spans="1:7" ht="12.95" customHeight="1">
      <c r="A69" s="1"/>
      <c r="B69" s="14" t="s">
        <v>12</v>
      </c>
      <c r="C69" s="23"/>
      <c r="D69" s="15" t="s">
        <v>1</v>
      </c>
      <c r="E69" s="16" t="s">
        <v>1</v>
      </c>
      <c r="F69" s="65">
        <v>57.481146299999999</v>
      </c>
      <c r="G69" s="69">
        <v>3.4495198996685093E-2</v>
      </c>
    </row>
    <row r="70" spans="1:7" ht="12.95" customHeight="1">
      <c r="A70" s="1"/>
      <c r="B70" s="14" t="s">
        <v>13</v>
      </c>
      <c r="C70" s="23"/>
      <c r="D70" s="15" t="s">
        <v>1</v>
      </c>
      <c r="E70" s="9" t="s">
        <v>1</v>
      </c>
      <c r="F70" s="65">
        <v>0.46705825709999998</v>
      </c>
      <c r="G70" s="69">
        <v>2.8028786058058791E-4</v>
      </c>
    </row>
    <row r="71" spans="1:7" ht="12.95" customHeight="1" thickBot="1">
      <c r="A71" s="1"/>
      <c r="B71" s="17" t="s">
        <v>14</v>
      </c>
      <c r="C71" s="24"/>
      <c r="D71" s="18" t="s">
        <v>1</v>
      </c>
      <c r="E71" s="18" t="s">
        <v>1</v>
      </c>
      <c r="F71" s="66">
        <v>1666.3520713570999</v>
      </c>
      <c r="G71" s="70">
        <v>1</v>
      </c>
    </row>
    <row r="72" spans="1:7" ht="12.95" customHeight="1">
      <c r="A72" s="1"/>
      <c r="B72" s="4" t="s">
        <v>1</v>
      </c>
      <c r="C72" s="4"/>
      <c r="D72" s="1"/>
      <c r="E72" s="1"/>
      <c r="F72" s="72"/>
      <c r="G72" s="75"/>
    </row>
    <row r="73" spans="1:7" ht="12.95" customHeight="1">
      <c r="A73" s="1"/>
      <c r="B73" s="2" t="s">
        <v>10</v>
      </c>
      <c r="C73" s="2"/>
      <c r="D73" s="1"/>
      <c r="E73" s="1"/>
      <c r="F73" s="72"/>
      <c r="G73" s="75"/>
    </row>
    <row r="74" spans="1:7" ht="12.95" customHeight="1" thickBot="1">
      <c r="A74" s="1"/>
      <c r="B74" s="2" t="s">
        <v>1</v>
      </c>
      <c r="C74" s="2"/>
      <c r="D74" s="1"/>
      <c r="E74" s="1"/>
      <c r="F74" s="72"/>
      <c r="G74" s="75"/>
    </row>
    <row r="75" spans="1:7" ht="12.95" hidden="1" customHeight="1">
      <c r="A75" s="1"/>
      <c r="B75" s="2" t="s">
        <v>1</v>
      </c>
      <c r="C75" s="2"/>
      <c r="D75" s="1"/>
      <c r="E75" s="1"/>
      <c r="F75" s="72"/>
      <c r="G75" s="75"/>
    </row>
    <row r="76" spans="1:7" ht="12.95" hidden="1" customHeight="1">
      <c r="A76" s="1"/>
      <c r="B76" s="4" t="s">
        <v>1</v>
      </c>
      <c r="C76" s="4"/>
      <c r="D76" s="1"/>
      <c r="E76" s="1"/>
      <c r="F76" s="72"/>
      <c r="G76" s="75"/>
    </row>
    <row r="77" spans="1:7" ht="12.95" hidden="1" customHeight="1">
      <c r="A77" s="1"/>
      <c r="B77" s="4" t="s">
        <v>1</v>
      </c>
      <c r="C77" s="4"/>
      <c r="D77" s="1"/>
      <c r="E77" s="1"/>
      <c r="F77" s="72"/>
      <c r="G77" s="75"/>
    </row>
    <row r="78" spans="1:7" ht="12.95" hidden="1" customHeight="1">
      <c r="A78" s="1"/>
      <c r="B78" s="2" t="s">
        <v>15</v>
      </c>
      <c r="C78" s="2"/>
      <c r="D78" s="1"/>
      <c r="E78" s="1"/>
      <c r="F78" s="72"/>
      <c r="G78" s="75"/>
    </row>
    <row r="79" spans="1:7" ht="12.95" hidden="1" customHeight="1">
      <c r="A79" s="1"/>
      <c r="B79" s="4" t="s">
        <v>16</v>
      </c>
      <c r="C79" s="4"/>
      <c r="D79" s="1"/>
      <c r="E79" s="1"/>
      <c r="F79" s="72"/>
      <c r="G79" s="75"/>
    </row>
    <row r="80" spans="1:7" ht="12.95" hidden="1" customHeight="1">
      <c r="A80" s="1"/>
      <c r="B80" s="4" t="s">
        <v>173</v>
      </c>
      <c r="C80" s="4"/>
      <c r="D80" s="1"/>
      <c r="E80" s="1"/>
      <c r="F80" s="72"/>
      <c r="G80" s="75"/>
    </row>
    <row r="81" spans="1:7" ht="12.95" hidden="1" customHeight="1">
      <c r="A81" s="1"/>
      <c r="B81" s="4" t="s">
        <v>174</v>
      </c>
      <c r="C81" s="4"/>
      <c r="D81" s="1"/>
      <c r="E81" s="1"/>
      <c r="F81" s="72"/>
      <c r="G81" s="75"/>
    </row>
    <row r="82" spans="1:7" ht="12.95" hidden="1" customHeight="1">
      <c r="A82" s="1"/>
      <c r="B82" s="2" t="s">
        <v>17</v>
      </c>
      <c r="C82" s="2"/>
      <c r="D82" s="3" t="s">
        <v>18</v>
      </c>
      <c r="E82" s="1"/>
      <c r="F82" s="72"/>
      <c r="G82" s="75"/>
    </row>
    <row r="83" spans="1:7" ht="12.95" hidden="1" customHeight="1">
      <c r="A83" s="1"/>
      <c r="B83" s="4" t="s">
        <v>19</v>
      </c>
      <c r="C83" s="4"/>
      <c r="D83" s="19">
        <v>12.381</v>
      </c>
      <c r="E83" s="1"/>
      <c r="F83" s="72"/>
      <c r="G83" s="75"/>
    </row>
    <row r="84" spans="1:7" ht="12.95" hidden="1" customHeight="1">
      <c r="A84" s="1"/>
      <c r="B84" s="4" t="s">
        <v>176</v>
      </c>
      <c r="C84" s="4"/>
      <c r="D84" s="19">
        <v>12.38</v>
      </c>
      <c r="E84" s="1"/>
      <c r="F84" s="72"/>
      <c r="G84" s="75"/>
    </row>
    <row r="85" spans="1:7" ht="12.95" hidden="1" customHeight="1">
      <c r="A85" s="1"/>
      <c r="B85" s="4" t="s">
        <v>247</v>
      </c>
      <c r="C85" s="4"/>
      <c r="D85" s="19">
        <v>12.346</v>
      </c>
      <c r="E85" s="1"/>
      <c r="F85" s="72"/>
      <c r="G85" s="75"/>
    </row>
    <row r="86" spans="1:7" ht="12.95" hidden="1" customHeight="1">
      <c r="A86" s="1"/>
      <c r="B86" s="4" t="s">
        <v>248</v>
      </c>
      <c r="C86" s="4"/>
      <c r="D86" s="19">
        <v>11.039</v>
      </c>
      <c r="E86" s="1"/>
      <c r="F86" s="72"/>
      <c r="G86" s="75"/>
    </row>
    <row r="87" spans="1:7" ht="12.95" hidden="1" customHeight="1">
      <c r="A87" s="1"/>
      <c r="B87" s="4" t="s">
        <v>1</v>
      </c>
      <c r="C87" s="4"/>
      <c r="D87" s="1"/>
      <c r="E87" s="1"/>
      <c r="F87" s="72"/>
      <c r="G87" s="75"/>
    </row>
    <row r="88" spans="1:7" ht="12.95" hidden="1" customHeight="1">
      <c r="A88" s="1"/>
      <c r="B88" s="4" t="s">
        <v>178</v>
      </c>
      <c r="C88" s="4"/>
      <c r="D88" s="1"/>
      <c r="E88" s="1"/>
      <c r="F88" s="72"/>
      <c r="G88" s="75"/>
    </row>
    <row r="89" spans="1:7" ht="12.95" hidden="1" customHeight="1">
      <c r="A89" s="1"/>
      <c r="B89" s="4" t="s">
        <v>24</v>
      </c>
      <c r="C89" s="4"/>
      <c r="D89" s="1"/>
      <c r="E89" s="1"/>
      <c r="F89" s="72"/>
      <c r="G89" s="75"/>
    </row>
    <row r="90" spans="1:7" ht="12.95" hidden="1" customHeight="1">
      <c r="A90" s="1"/>
      <c r="B90" s="4" t="s">
        <v>179</v>
      </c>
      <c r="C90" s="4"/>
      <c r="D90" s="1"/>
      <c r="E90" s="1"/>
      <c r="F90" s="72"/>
      <c r="G90" s="75"/>
    </row>
    <row r="91" spans="1:7" ht="12.95" hidden="1" customHeight="1">
      <c r="A91" s="1"/>
      <c r="B91" s="4" t="s">
        <v>180</v>
      </c>
      <c r="C91" s="4"/>
      <c r="D91" s="4" t="s">
        <v>27</v>
      </c>
      <c r="E91" s="1"/>
      <c r="F91" s="72"/>
      <c r="G91" s="75"/>
    </row>
    <row r="92" spans="1:7" ht="12.95" hidden="1" customHeight="1">
      <c r="A92" s="1"/>
      <c r="B92" s="4" t="s">
        <v>181</v>
      </c>
      <c r="C92" s="4"/>
      <c r="D92" s="4" t="s">
        <v>249</v>
      </c>
      <c r="E92" s="1"/>
      <c r="F92" s="72"/>
      <c r="G92" s="75"/>
    </row>
    <row r="93" spans="1:7" ht="12.95" hidden="1" customHeight="1">
      <c r="A93" s="1"/>
      <c r="B93" s="4" t="s">
        <v>1</v>
      </c>
      <c r="C93" s="4"/>
      <c r="D93" s="1"/>
      <c r="E93" s="1"/>
      <c r="F93" s="72"/>
      <c r="G93" s="75"/>
    </row>
    <row r="94" spans="1:7" ht="12.95" hidden="1" customHeight="1">
      <c r="A94" s="1"/>
      <c r="B94" s="4" t="s">
        <v>182</v>
      </c>
      <c r="C94" s="4"/>
      <c r="D94" s="1"/>
      <c r="E94" s="1"/>
      <c r="F94" s="72"/>
      <c r="G94" s="75"/>
    </row>
    <row r="95" spans="1:7" ht="13.5" hidden="1" thickBot="1"/>
    <row r="96" spans="1:7" ht="13.5" hidden="1" thickBot="1"/>
    <row r="97" spans="2:3" ht="13.5" hidden="1" thickBot="1"/>
    <row r="98" spans="2:3" ht="13.5" hidden="1" thickBot="1"/>
    <row r="99" spans="2:3" ht="13.5" hidden="1" thickBot="1"/>
    <row r="100" spans="2:3" ht="13.5" hidden="1" thickBot="1"/>
    <row r="101" spans="2:3" ht="13.5" hidden="1" thickBot="1"/>
    <row r="102" spans="2:3" ht="13.5" hidden="1" thickBot="1"/>
    <row r="103" spans="2:3" ht="13.5" hidden="1" thickBot="1"/>
    <row r="104" spans="2:3" ht="13.5" hidden="1" thickBot="1"/>
    <row r="105" spans="2:3" ht="13.5" hidden="1" thickBot="1"/>
    <row r="106" spans="2:3" ht="13.5" hidden="1" thickBot="1"/>
    <row r="107" spans="2:3" ht="13.5" thickBot="1">
      <c r="B107" s="97" t="s">
        <v>572</v>
      </c>
      <c r="C107" s="99">
        <f>(103.78/100)</f>
        <v>1.0378000000000001</v>
      </c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54"/>
  <sheetViews>
    <sheetView zoomScaleNormal="100" workbookViewId="0"/>
  </sheetViews>
  <sheetFormatPr defaultRowHeight="12.75"/>
  <cols>
    <col min="1" max="1" width="11.42578125" bestFit="1" customWidth="1"/>
    <col min="2" max="2" width="87.28515625" bestFit="1" customWidth="1"/>
    <col min="3" max="3" width="13.42578125" bestFit="1" customWidth="1"/>
    <col min="4" max="4" width="20.140625" bestFit="1" customWidth="1"/>
    <col min="5" max="5" width="7.7109375" bestFit="1" customWidth="1"/>
    <col min="6" max="6" width="15.28515625" bestFit="1" customWidth="1"/>
    <col min="7" max="7" width="7.7109375" bestFit="1" customWidth="1"/>
  </cols>
  <sheetData>
    <row r="1" spans="1:7" ht="15.95" customHeight="1">
      <c r="A1" s="1"/>
      <c r="B1" s="2" t="s">
        <v>250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ht="12.95" customHeight="1">
      <c r="A5" s="1"/>
      <c r="B5" s="8" t="s">
        <v>251</v>
      </c>
      <c r="C5" s="22"/>
      <c r="D5" s="9" t="s">
        <v>1</v>
      </c>
      <c r="E5" s="9" t="s">
        <v>1</v>
      </c>
      <c r="F5" s="77" t="s">
        <v>1</v>
      </c>
      <c r="G5" s="74" t="s">
        <v>1</v>
      </c>
    </row>
    <row r="6" spans="1:7" ht="12.95" customHeight="1">
      <c r="A6" s="1"/>
      <c r="B6" s="8" t="s">
        <v>252</v>
      </c>
      <c r="C6" s="22"/>
      <c r="D6" s="9" t="s">
        <v>1</v>
      </c>
      <c r="E6" s="9" t="s">
        <v>1</v>
      </c>
      <c r="F6" s="77" t="s">
        <v>1</v>
      </c>
      <c r="G6" s="74" t="s">
        <v>1</v>
      </c>
    </row>
    <row r="7" spans="1:7" ht="12.95" customHeight="1">
      <c r="A7" s="11" t="s">
        <v>253</v>
      </c>
      <c r="B7" s="12" t="s">
        <v>254</v>
      </c>
      <c r="C7" s="9" t="s">
        <v>570</v>
      </c>
      <c r="D7" s="9" t="s">
        <v>1</v>
      </c>
      <c r="E7" s="21">
        <v>653015.75778800005</v>
      </c>
      <c r="F7" s="64">
        <v>3086.4333817000002</v>
      </c>
      <c r="G7" s="68">
        <v>0.99928946213099012</v>
      </c>
    </row>
    <row r="8" spans="1:7" ht="12.95" customHeight="1">
      <c r="A8" s="1"/>
      <c r="B8" s="8" t="s">
        <v>11</v>
      </c>
      <c r="C8" s="22"/>
      <c r="D8" s="9" t="s">
        <v>1</v>
      </c>
      <c r="E8" s="9" t="s">
        <v>1</v>
      </c>
      <c r="F8" s="65">
        <v>3086.4333817000002</v>
      </c>
      <c r="G8" s="69">
        <v>0.99928946213099012</v>
      </c>
    </row>
    <row r="9" spans="1:7" ht="12.95" customHeight="1">
      <c r="A9" s="1"/>
      <c r="B9" s="14" t="s">
        <v>12</v>
      </c>
      <c r="C9" s="23"/>
      <c r="D9" s="15" t="s">
        <v>1</v>
      </c>
      <c r="E9" s="16" t="s">
        <v>1</v>
      </c>
      <c r="F9" s="65">
        <v>3086.4333817000002</v>
      </c>
      <c r="G9" s="69">
        <v>0.99928946213099012</v>
      </c>
    </row>
    <row r="10" spans="1:7" ht="12.95" customHeight="1">
      <c r="A10" s="1"/>
      <c r="B10" s="8" t="s">
        <v>7</v>
      </c>
      <c r="C10" s="22"/>
      <c r="D10" s="9" t="s">
        <v>1</v>
      </c>
      <c r="E10" s="9" t="s">
        <v>1</v>
      </c>
      <c r="F10" s="77" t="s">
        <v>1</v>
      </c>
      <c r="G10" s="74" t="s">
        <v>1</v>
      </c>
    </row>
    <row r="11" spans="1:7" ht="12.95" customHeight="1">
      <c r="A11" s="11" t="s">
        <v>8</v>
      </c>
      <c r="B11" s="12" t="s">
        <v>9</v>
      </c>
      <c r="C11" s="9"/>
      <c r="D11" s="9" t="s">
        <v>10</v>
      </c>
      <c r="E11" s="21"/>
      <c r="F11" s="64">
        <v>9.4968851000000001</v>
      </c>
      <c r="G11" s="68">
        <v>3.0747908766693257E-3</v>
      </c>
    </row>
    <row r="12" spans="1:7" ht="12.95" customHeight="1">
      <c r="A12" s="1"/>
      <c r="B12" s="8" t="s">
        <v>11</v>
      </c>
      <c r="C12" s="22"/>
      <c r="D12" s="9" t="s">
        <v>1</v>
      </c>
      <c r="E12" s="9" t="s">
        <v>1</v>
      </c>
      <c r="F12" s="65">
        <v>9.4968851000000001</v>
      </c>
      <c r="G12" s="69">
        <v>3.0747908766693257E-3</v>
      </c>
    </row>
    <row r="13" spans="1:7" ht="12.95" customHeight="1">
      <c r="A13" s="1"/>
      <c r="B13" s="14" t="s">
        <v>12</v>
      </c>
      <c r="C13" s="23"/>
      <c r="D13" s="15" t="s">
        <v>1</v>
      </c>
      <c r="E13" s="16" t="s">
        <v>1</v>
      </c>
      <c r="F13" s="65">
        <v>9.4968851000000001</v>
      </c>
      <c r="G13" s="69">
        <v>3.0747908766693257E-3</v>
      </c>
    </row>
    <row r="14" spans="1:7" ht="12.95" customHeight="1">
      <c r="A14" s="1"/>
      <c r="B14" s="14" t="s">
        <v>13</v>
      </c>
      <c r="C14" s="23"/>
      <c r="D14" s="15" t="s">
        <v>1</v>
      </c>
      <c r="E14" s="9" t="s">
        <v>1</v>
      </c>
      <c r="F14" s="65">
        <v>-7.3022979649000002</v>
      </c>
      <c r="G14" s="69">
        <v>-2.3642530076594245E-3</v>
      </c>
    </row>
    <row r="15" spans="1:7" ht="12.95" customHeight="1" thickBot="1">
      <c r="A15" s="1"/>
      <c r="B15" s="17" t="s">
        <v>14</v>
      </c>
      <c r="C15" s="24"/>
      <c r="D15" s="18" t="s">
        <v>1</v>
      </c>
      <c r="E15" s="18" t="s">
        <v>1</v>
      </c>
      <c r="F15" s="66">
        <v>3088.6279688351001</v>
      </c>
      <c r="G15" s="70">
        <v>1</v>
      </c>
    </row>
    <row r="16" spans="1:7" ht="12.95" customHeight="1">
      <c r="A16" s="1"/>
      <c r="B16" s="4" t="s">
        <v>1</v>
      </c>
      <c r="C16" s="4"/>
      <c r="D16" s="1"/>
      <c r="E16" s="1"/>
      <c r="F16" s="1"/>
      <c r="G16" s="1"/>
    </row>
    <row r="17" spans="1:7" ht="12.95" customHeight="1">
      <c r="A17" s="1"/>
      <c r="B17" s="2" t="s">
        <v>10</v>
      </c>
      <c r="C17" s="2"/>
      <c r="D17" s="1"/>
      <c r="E17" s="1"/>
      <c r="F17" s="1"/>
      <c r="G17" s="1"/>
    </row>
    <row r="18" spans="1:7" ht="12.95" customHeight="1">
      <c r="A18" s="1"/>
      <c r="B18" s="2" t="s">
        <v>1</v>
      </c>
      <c r="C18" s="2"/>
      <c r="D18" s="1"/>
      <c r="E18" s="1"/>
      <c r="F18" s="1"/>
      <c r="G18" s="1"/>
    </row>
    <row r="19" spans="1:7" ht="12.95" customHeight="1">
      <c r="A19" s="1"/>
      <c r="B19" s="2" t="s">
        <v>1</v>
      </c>
      <c r="C19" s="2"/>
      <c r="D19" s="1"/>
      <c r="E19" s="1"/>
      <c r="F19" s="1"/>
      <c r="G19" s="1"/>
    </row>
    <row r="20" spans="1:7" ht="12.95" hidden="1" customHeight="1">
      <c r="A20" s="1"/>
      <c r="B20" s="4" t="s">
        <v>1</v>
      </c>
      <c r="C20" s="4"/>
      <c r="D20" s="1"/>
      <c r="E20" s="1"/>
      <c r="F20" s="1"/>
      <c r="G20" s="1"/>
    </row>
    <row r="21" spans="1:7" ht="12.95" hidden="1" customHeight="1">
      <c r="A21" s="1"/>
      <c r="B21" s="4" t="s">
        <v>1</v>
      </c>
      <c r="C21" s="4"/>
      <c r="D21" s="1"/>
      <c r="E21" s="1"/>
      <c r="F21" s="1"/>
      <c r="G21" s="1"/>
    </row>
    <row r="22" spans="1:7" ht="12.95" hidden="1" customHeight="1">
      <c r="A22" s="1"/>
      <c r="B22" s="2" t="s">
        <v>15</v>
      </c>
      <c r="C22" s="2"/>
      <c r="D22" s="1"/>
      <c r="E22" s="1"/>
      <c r="F22" s="1"/>
      <c r="G22" s="1"/>
    </row>
    <row r="23" spans="1:7" ht="12.95" hidden="1" customHeight="1">
      <c r="A23" s="1"/>
      <c r="B23" s="4" t="s">
        <v>16</v>
      </c>
      <c r="C23" s="4"/>
      <c r="D23" s="1"/>
      <c r="E23" s="1"/>
      <c r="F23" s="1"/>
      <c r="G23" s="1"/>
    </row>
    <row r="24" spans="1:7" ht="12.95" hidden="1" customHeight="1">
      <c r="A24" s="1"/>
      <c r="B24" s="4" t="s">
        <v>255</v>
      </c>
      <c r="C24" s="4"/>
      <c r="D24" s="1"/>
      <c r="E24" s="1"/>
      <c r="F24" s="1"/>
      <c r="G24" s="1"/>
    </row>
    <row r="25" spans="1:7" ht="12.95" hidden="1" customHeight="1">
      <c r="A25" s="1"/>
      <c r="B25" s="2" t="s">
        <v>17</v>
      </c>
      <c r="C25" s="2"/>
      <c r="D25" s="3" t="s">
        <v>18</v>
      </c>
      <c r="E25" s="1"/>
      <c r="F25" s="1"/>
      <c r="G25" s="1"/>
    </row>
    <row r="26" spans="1:7" ht="12.95" hidden="1" customHeight="1">
      <c r="A26" s="1"/>
      <c r="B26" s="4" t="s">
        <v>19</v>
      </c>
      <c r="C26" s="4"/>
      <c r="D26" s="19">
        <v>10.992000000000001</v>
      </c>
      <c r="E26" s="1"/>
      <c r="F26" s="1"/>
      <c r="G26" s="1"/>
    </row>
    <row r="27" spans="1:7" ht="12.95" hidden="1" customHeight="1">
      <c r="A27" s="1"/>
      <c r="B27" s="4" t="s">
        <v>176</v>
      </c>
      <c r="C27" s="4"/>
      <c r="D27" s="19">
        <v>10.992000000000001</v>
      </c>
      <c r="E27" s="1"/>
      <c r="F27" s="1"/>
      <c r="G27" s="1"/>
    </row>
    <row r="28" spans="1:7" ht="12.95" hidden="1" customHeight="1">
      <c r="A28" s="1"/>
      <c r="B28" s="4" t="s">
        <v>248</v>
      </c>
      <c r="C28" s="4"/>
      <c r="D28" s="19">
        <v>10.978999999999999</v>
      </c>
      <c r="E28" s="1"/>
      <c r="F28" s="1"/>
      <c r="G28" s="1"/>
    </row>
    <row r="29" spans="1:7" ht="12.95" hidden="1" customHeight="1">
      <c r="A29" s="1"/>
      <c r="B29" s="4" t="s">
        <v>247</v>
      </c>
      <c r="C29" s="4"/>
      <c r="D29" s="19">
        <v>10.978999999999999</v>
      </c>
      <c r="E29" s="1"/>
      <c r="F29" s="1"/>
      <c r="G29" s="1"/>
    </row>
    <row r="30" spans="1:7" ht="12.95" hidden="1" customHeight="1">
      <c r="A30" s="1"/>
      <c r="B30" s="4" t="s">
        <v>1</v>
      </c>
      <c r="C30" s="4"/>
      <c r="D30" s="1"/>
      <c r="E30" s="1"/>
      <c r="F30" s="1"/>
      <c r="G30" s="1"/>
    </row>
    <row r="31" spans="1:7" ht="12.95" hidden="1" customHeight="1">
      <c r="A31" s="1"/>
      <c r="B31" s="4" t="s">
        <v>256</v>
      </c>
      <c r="C31" s="4"/>
      <c r="D31" s="1"/>
      <c r="E31" s="1"/>
      <c r="F31" s="1"/>
      <c r="G31" s="1"/>
    </row>
    <row r="32" spans="1:7" ht="12.95" hidden="1" customHeight="1">
      <c r="A32" s="1"/>
      <c r="B32" s="4" t="s">
        <v>24</v>
      </c>
      <c r="C32" s="4"/>
      <c r="D32" s="1"/>
      <c r="E32" s="1"/>
      <c r="F32" s="1"/>
      <c r="G32" s="1"/>
    </row>
    <row r="33" spans="1:7" ht="12.95" hidden="1" customHeight="1">
      <c r="A33" s="1"/>
      <c r="B33" s="4" t="s">
        <v>1</v>
      </c>
      <c r="C33" s="4"/>
      <c r="D33" s="1"/>
      <c r="E33" s="1"/>
      <c r="F33" s="1"/>
      <c r="G33" s="1"/>
    </row>
    <row r="34" spans="1:7" ht="12.95" hidden="1" customHeight="1">
      <c r="A34" s="1"/>
      <c r="B34" s="4" t="s">
        <v>25</v>
      </c>
      <c r="C34" s="4"/>
      <c r="D34" s="1"/>
      <c r="E34" s="1"/>
      <c r="F34" s="1"/>
      <c r="G34" s="1"/>
    </row>
    <row r="35" spans="1:7" ht="12.95" hidden="1" customHeight="1">
      <c r="A35" s="1"/>
      <c r="B35" s="4" t="s">
        <v>26</v>
      </c>
      <c r="C35" s="4"/>
      <c r="D35" s="4" t="s">
        <v>27</v>
      </c>
      <c r="E35" s="1"/>
      <c r="F35" s="1"/>
      <c r="G35" s="1"/>
    </row>
    <row r="36" spans="1:7" ht="12.95" hidden="1" customHeight="1">
      <c r="A36" s="1"/>
      <c r="B36" s="4" t="s">
        <v>28</v>
      </c>
      <c r="C36" s="4"/>
      <c r="D36" s="4" t="s">
        <v>257</v>
      </c>
      <c r="E36" s="1"/>
      <c r="F36" s="1"/>
      <c r="G36" s="1"/>
    </row>
    <row r="37" spans="1:7" ht="12.95" hidden="1" customHeight="1">
      <c r="A37" s="1"/>
      <c r="B37" s="4" t="s">
        <v>29</v>
      </c>
      <c r="C37" s="4"/>
      <c r="D37" s="1"/>
      <c r="E37" s="1"/>
      <c r="F37" s="1"/>
      <c r="G37" s="1"/>
    </row>
    <row r="38" spans="1:7" hidden="1"/>
    <row r="39" spans="1:7" hidden="1"/>
    <row r="40" spans="1:7" hidden="1"/>
    <row r="41" spans="1:7" hidden="1"/>
    <row r="42" spans="1:7" hidden="1"/>
    <row r="43" spans="1:7" hidden="1"/>
    <row r="44" spans="1:7" hidden="1"/>
    <row r="45" spans="1:7" hidden="1"/>
    <row r="46" spans="1:7" hidden="1"/>
    <row r="47" spans="1:7" hidden="1"/>
    <row r="48" spans="1:7" hidden="1"/>
    <row r="49" spans="2:3" hidden="1"/>
    <row r="54" spans="2:3">
      <c r="B54" s="2"/>
      <c r="C54" s="3"/>
    </row>
  </sheetData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85"/>
  <sheetViews>
    <sheetView zoomScaleNormal="100" workbookViewId="0"/>
  </sheetViews>
  <sheetFormatPr defaultRowHeight="12.75"/>
  <cols>
    <col min="1" max="1" width="11.5703125" bestFit="1" customWidth="1"/>
    <col min="2" max="2" width="87.28515625" bestFit="1" customWidth="1"/>
    <col min="3" max="3" width="14.42578125" bestFit="1" customWidth="1"/>
    <col min="4" max="4" width="28.5703125" bestFit="1" customWidth="1"/>
    <col min="5" max="5" width="7.7109375" bestFit="1" customWidth="1"/>
    <col min="6" max="6" width="17.42578125" style="73" customWidth="1"/>
    <col min="7" max="7" width="14.42578125" style="76" customWidth="1"/>
  </cols>
  <sheetData>
    <row r="1" spans="1:7" ht="15.95" customHeight="1">
      <c r="A1" s="1"/>
      <c r="B1" s="2" t="s">
        <v>258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31</v>
      </c>
      <c r="E4" s="7" t="s">
        <v>4</v>
      </c>
      <c r="F4" s="7" t="s">
        <v>5</v>
      </c>
      <c r="G4" s="7" t="s">
        <v>6</v>
      </c>
    </row>
    <row r="5" spans="1:7" ht="12.95" customHeight="1">
      <c r="A5" s="1"/>
      <c r="B5" s="8" t="s">
        <v>32</v>
      </c>
      <c r="C5" s="22"/>
      <c r="D5" s="9" t="s">
        <v>1</v>
      </c>
      <c r="E5" s="9" t="s">
        <v>1</v>
      </c>
      <c r="F5" s="9" t="s">
        <v>1</v>
      </c>
      <c r="G5" s="10" t="s">
        <v>1</v>
      </c>
    </row>
    <row r="6" spans="1:7" ht="12.95" customHeight="1">
      <c r="A6" s="1"/>
      <c r="B6" s="8" t="s">
        <v>33</v>
      </c>
      <c r="C6" s="22"/>
      <c r="D6" s="9" t="s">
        <v>1</v>
      </c>
      <c r="E6" s="9" t="s">
        <v>1</v>
      </c>
      <c r="F6" s="77" t="s">
        <v>1</v>
      </c>
      <c r="G6" s="74" t="s">
        <v>1</v>
      </c>
    </row>
    <row r="7" spans="1:7" ht="12.95" customHeight="1">
      <c r="A7" s="11" t="s">
        <v>259</v>
      </c>
      <c r="B7" s="12" t="s">
        <v>260</v>
      </c>
      <c r="C7" s="9" t="s">
        <v>513</v>
      </c>
      <c r="D7" s="9" t="s">
        <v>261</v>
      </c>
      <c r="E7" s="21">
        <v>9200</v>
      </c>
      <c r="F7" s="64">
        <v>170.41607859999999</v>
      </c>
      <c r="G7" s="68">
        <v>9.6370725344140984E-2</v>
      </c>
    </row>
    <row r="8" spans="1:7" ht="12.95" customHeight="1">
      <c r="A8" s="11" t="s">
        <v>262</v>
      </c>
      <c r="B8" s="12" t="s">
        <v>263</v>
      </c>
      <c r="C8" s="9" t="s">
        <v>514</v>
      </c>
      <c r="D8" s="9" t="s">
        <v>96</v>
      </c>
      <c r="E8" s="21">
        <v>22000</v>
      </c>
      <c r="F8" s="64">
        <v>170.03800000000001</v>
      </c>
      <c r="G8" s="68">
        <v>9.615692093543482E-2</v>
      </c>
    </row>
    <row r="9" spans="1:7" ht="12.95" customHeight="1">
      <c r="A9" s="11" t="s">
        <v>264</v>
      </c>
      <c r="B9" s="12" t="s">
        <v>265</v>
      </c>
      <c r="C9" s="9" t="s">
        <v>515</v>
      </c>
      <c r="D9" s="9" t="s">
        <v>266</v>
      </c>
      <c r="E9" s="21">
        <v>105000</v>
      </c>
      <c r="F9" s="64">
        <v>109.50064020000001</v>
      </c>
      <c r="G9" s="68">
        <v>6.1922890189786368E-2</v>
      </c>
    </row>
    <row r="10" spans="1:7" ht="12.95" customHeight="1">
      <c r="A10" s="11" t="s">
        <v>267</v>
      </c>
      <c r="B10" s="12" t="s">
        <v>268</v>
      </c>
      <c r="C10" s="9" t="s">
        <v>516</v>
      </c>
      <c r="D10" s="9" t="s">
        <v>269</v>
      </c>
      <c r="E10" s="21">
        <v>138000</v>
      </c>
      <c r="F10" s="64">
        <v>98.194101500000002</v>
      </c>
      <c r="G10" s="68">
        <v>5.5529013833740461E-2</v>
      </c>
    </row>
    <row r="11" spans="1:7" ht="12.95" customHeight="1">
      <c r="A11" s="11" t="s">
        <v>270</v>
      </c>
      <c r="B11" s="12" t="s">
        <v>271</v>
      </c>
      <c r="C11" s="9" t="s">
        <v>517</v>
      </c>
      <c r="D11" s="9" t="s">
        <v>266</v>
      </c>
      <c r="E11" s="21">
        <v>4095</v>
      </c>
      <c r="F11" s="64">
        <v>82.938912099999996</v>
      </c>
      <c r="G11" s="68">
        <v>4.6902165476368093E-2</v>
      </c>
    </row>
    <row r="12" spans="1:7" ht="12.95" customHeight="1">
      <c r="A12" s="11" t="s">
        <v>272</v>
      </c>
      <c r="B12" s="12" t="s">
        <v>273</v>
      </c>
      <c r="C12" s="9" t="s">
        <v>518</v>
      </c>
      <c r="D12" s="9" t="s">
        <v>109</v>
      </c>
      <c r="E12" s="21">
        <v>24000</v>
      </c>
      <c r="F12" s="64">
        <v>74.736000000000004</v>
      </c>
      <c r="G12" s="68">
        <v>4.2263397846544044E-2</v>
      </c>
    </row>
    <row r="13" spans="1:7" ht="12.95" customHeight="1">
      <c r="A13" s="11" t="s">
        <v>274</v>
      </c>
      <c r="B13" s="12" t="s">
        <v>275</v>
      </c>
      <c r="C13" s="9" t="s">
        <v>519</v>
      </c>
      <c r="D13" s="9" t="s">
        <v>276</v>
      </c>
      <c r="E13" s="21">
        <v>460</v>
      </c>
      <c r="F13" s="64">
        <v>73.374876</v>
      </c>
      <c r="G13" s="68">
        <v>4.1493678766977578E-2</v>
      </c>
    </row>
    <row r="14" spans="1:7" ht="12.95" customHeight="1">
      <c r="A14" s="11" t="s">
        <v>277</v>
      </c>
      <c r="B14" s="12" t="s">
        <v>278</v>
      </c>
      <c r="C14" s="9" t="s">
        <v>520</v>
      </c>
      <c r="D14" s="9" t="s">
        <v>261</v>
      </c>
      <c r="E14" s="21">
        <v>2200</v>
      </c>
      <c r="F14" s="64">
        <v>71.153711200000004</v>
      </c>
      <c r="G14" s="68">
        <v>4.0237604430310651E-2</v>
      </c>
    </row>
    <row r="15" spans="1:7" ht="12.95" customHeight="1">
      <c r="A15" s="11" t="s">
        <v>279</v>
      </c>
      <c r="B15" s="12" t="s">
        <v>280</v>
      </c>
      <c r="C15" s="9" t="s">
        <v>521</v>
      </c>
      <c r="D15" s="9" t="s">
        <v>269</v>
      </c>
      <c r="E15" s="21">
        <v>100000</v>
      </c>
      <c r="F15" s="64">
        <v>63.885857999999999</v>
      </c>
      <c r="G15" s="68">
        <v>3.6127614983700207E-2</v>
      </c>
    </row>
    <row r="16" spans="1:7" ht="12.95" customHeight="1">
      <c r="A16" s="11" t="s">
        <v>281</v>
      </c>
      <c r="B16" s="12" t="s">
        <v>282</v>
      </c>
      <c r="C16" s="9" t="s">
        <v>522</v>
      </c>
      <c r="D16" s="9" t="s">
        <v>283</v>
      </c>
      <c r="E16" s="21">
        <v>470</v>
      </c>
      <c r="F16" s="64">
        <v>60.755490000000002</v>
      </c>
      <c r="G16" s="68">
        <v>3.4357383927849074E-2</v>
      </c>
    </row>
    <row r="17" spans="1:7" ht="12.95" customHeight="1">
      <c r="A17" s="11" t="s">
        <v>284</v>
      </c>
      <c r="B17" s="12" t="s">
        <v>285</v>
      </c>
      <c r="C17" s="9" t="s">
        <v>523</v>
      </c>
      <c r="D17" s="9" t="s">
        <v>286</v>
      </c>
      <c r="E17" s="21">
        <v>16000</v>
      </c>
      <c r="F17" s="64">
        <v>50.055999999999997</v>
      </c>
      <c r="G17" s="68">
        <v>2.8306795153695791E-2</v>
      </c>
    </row>
    <row r="18" spans="1:7" ht="12.95" customHeight="1">
      <c r="A18" s="11" t="s">
        <v>287</v>
      </c>
      <c r="B18" s="12" t="s">
        <v>288</v>
      </c>
      <c r="C18" s="9" t="s">
        <v>524</v>
      </c>
      <c r="D18" s="9" t="s">
        <v>269</v>
      </c>
      <c r="E18" s="21">
        <v>5367</v>
      </c>
      <c r="F18" s="64">
        <v>40.300322100000002</v>
      </c>
      <c r="G18" s="68">
        <v>2.2789934519591246E-2</v>
      </c>
    </row>
    <row r="19" spans="1:7" ht="12.95" customHeight="1">
      <c r="A19" s="11" t="s">
        <v>289</v>
      </c>
      <c r="B19" s="12" t="s">
        <v>290</v>
      </c>
      <c r="C19" s="9" t="s">
        <v>525</v>
      </c>
      <c r="D19" s="9" t="s">
        <v>57</v>
      </c>
      <c r="E19" s="21">
        <v>13000</v>
      </c>
      <c r="F19" s="64">
        <v>40.183</v>
      </c>
      <c r="G19" s="68">
        <v>2.2723588574016261E-2</v>
      </c>
    </row>
    <row r="20" spans="1:7" ht="12.95" customHeight="1">
      <c r="A20" s="11" t="s">
        <v>291</v>
      </c>
      <c r="B20" s="12" t="s">
        <v>292</v>
      </c>
      <c r="C20" s="9" t="s">
        <v>526</v>
      </c>
      <c r="D20" s="9" t="s">
        <v>67</v>
      </c>
      <c r="E20" s="21">
        <v>800</v>
      </c>
      <c r="F20" s="64">
        <v>39.338000000000001</v>
      </c>
      <c r="G20" s="68">
        <v>2.2245738927522875E-2</v>
      </c>
    </row>
    <row r="21" spans="1:7" ht="12.95" customHeight="1">
      <c r="A21" s="11" t="s">
        <v>293</v>
      </c>
      <c r="B21" s="12" t="s">
        <v>294</v>
      </c>
      <c r="C21" s="9" t="s">
        <v>527</v>
      </c>
      <c r="D21" s="9" t="s">
        <v>295</v>
      </c>
      <c r="E21" s="21">
        <v>475</v>
      </c>
      <c r="F21" s="64">
        <v>37.6520625</v>
      </c>
      <c r="G21" s="68">
        <v>2.1292336988605783E-2</v>
      </c>
    </row>
    <row r="22" spans="1:7" ht="12.95" customHeight="1">
      <c r="A22" s="11" t="s">
        <v>296</v>
      </c>
      <c r="B22" s="12" t="s">
        <v>297</v>
      </c>
      <c r="C22" s="9" t="s">
        <v>528</v>
      </c>
      <c r="D22" s="9" t="s">
        <v>298</v>
      </c>
      <c r="E22" s="21">
        <v>40000</v>
      </c>
      <c r="F22" s="64">
        <v>36.64</v>
      </c>
      <c r="G22" s="68">
        <v>2.0720013073985414E-2</v>
      </c>
    </row>
    <row r="23" spans="1:7" ht="12.95" customHeight="1">
      <c r="A23" s="11" t="s">
        <v>299</v>
      </c>
      <c r="B23" s="12" t="s">
        <v>300</v>
      </c>
      <c r="C23" s="9" t="s">
        <v>529</v>
      </c>
      <c r="D23" s="9" t="s">
        <v>301</v>
      </c>
      <c r="E23" s="21">
        <v>3200</v>
      </c>
      <c r="F23" s="64">
        <v>36.277988800000003</v>
      </c>
      <c r="G23" s="68">
        <v>2.0515294820794113E-2</v>
      </c>
    </row>
    <row r="24" spans="1:7" ht="12.95" customHeight="1">
      <c r="A24" s="11" t="s">
        <v>302</v>
      </c>
      <c r="B24" s="12" t="s">
        <v>303</v>
      </c>
      <c r="C24" s="9" t="s">
        <v>530</v>
      </c>
      <c r="D24" s="9" t="s">
        <v>266</v>
      </c>
      <c r="E24" s="21">
        <v>5059</v>
      </c>
      <c r="F24" s="64">
        <v>35.556143900000002</v>
      </c>
      <c r="G24" s="68">
        <v>2.0107089696192869E-2</v>
      </c>
    </row>
    <row r="25" spans="1:7" ht="12.95" customHeight="1">
      <c r="A25" s="11" t="s">
        <v>304</v>
      </c>
      <c r="B25" s="12" t="s">
        <v>305</v>
      </c>
      <c r="C25" s="9" t="s">
        <v>531</v>
      </c>
      <c r="D25" s="9" t="s">
        <v>286</v>
      </c>
      <c r="E25" s="21">
        <v>10000</v>
      </c>
      <c r="F25" s="64">
        <v>34.774999999999999</v>
      </c>
      <c r="G25" s="68">
        <v>1.9665350836458588E-2</v>
      </c>
    </row>
    <row r="26" spans="1:7" ht="12.95" customHeight="1">
      <c r="A26" s="11" t="s">
        <v>306</v>
      </c>
      <c r="B26" s="12" t="s">
        <v>307</v>
      </c>
      <c r="C26" s="9" t="s">
        <v>532</v>
      </c>
      <c r="D26" s="9" t="s">
        <v>266</v>
      </c>
      <c r="E26" s="21">
        <v>30000</v>
      </c>
      <c r="F26" s="64">
        <v>34.599015000000001</v>
      </c>
      <c r="G26" s="68">
        <v>1.9565830871916413E-2</v>
      </c>
    </row>
    <row r="27" spans="1:7" ht="12.95" customHeight="1">
      <c r="A27" s="11" t="s">
        <v>308</v>
      </c>
      <c r="B27" s="12" t="s">
        <v>309</v>
      </c>
      <c r="C27" s="9" t="s">
        <v>533</v>
      </c>
      <c r="D27" s="9" t="s">
        <v>298</v>
      </c>
      <c r="E27" s="21">
        <v>35000</v>
      </c>
      <c r="F27" s="64">
        <v>32.795000000000002</v>
      </c>
      <c r="G27" s="68">
        <v>1.8545655806805447E-2</v>
      </c>
    </row>
    <row r="28" spans="1:7" ht="12.95" customHeight="1">
      <c r="A28" s="11" t="s">
        <v>310</v>
      </c>
      <c r="B28" s="12" t="s">
        <v>311</v>
      </c>
      <c r="C28" s="9" t="s">
        <v>534</v>
      </c>
      <c r="D28" s="9" t="s">
        <v>283</v>
      </c>
      <c r="E28" s="21">
        <v>2302</v>
      </c>
      <c r="F28" s="64">
        <v>31.824605600000002</v>
      </c>
      <c r="G28" s="68">
        <v>1.7996895308581586E-2</v>
      </c>
    </row>
    <row r="29" spans="1:7" ht="12.95" customHeight="1">
      <c r="A29" s="11" t="s">
        <v>312</v>
      </c>
      <c r="B29" s="12" t="s">
        <v>313</v>
      </c>
      <c r="C29" s="9" t="s">
        <v>535</v>
      </c>
      <c r="D29" s="9" t="s">
        <v>314</v>
      </c>
      <c r="E29" s="21">
        <v>16000</v>
      </c>
      <c r="F29" s="64">
        <v>31.537526400000001</v>
      </c>
      <c r="G29" s="68">
        <v>1.783455129173472E-2</v>
      </c>
    </row>
    <row r="30" spans="1:7" ht="12.95" customHeight="1">
      <c r="A30" s="11" t="s">
        <v>315</v>
      </c>
      <c r="B30" s="12" t="s">
        <v>316</v>
      </c>
      <c r="C30" s="9" t="s">
        <v>536</v>
      </c>
      <c r="D30" s="9" t="s">
        <v>317</v>
      </c>
      <c r="E30" s="21">
        <v>30000</v>
      </c>
      <c r="F30" s="64">
        <v>29.64573</v>
      </c>
      <c r="G30" s="68">
        <v>1.6764735621938906E-2</v>
      </c>
    </row>
    <row r="31" spans="1:7" ht="12.95" customHeight="1">
      <c r="A31" s="11" t="s">
        <v>318</v>
      </c>
      <c r="B31" s="12" t="s">
        <v>319</v>
      </c>
      <c r="C31" s="9" t="s">
        <v>537</v>
      </c>
      <c r="D31" s="9" t="s">
        <v>266</v>
      </c>
      <c r="E31" s="21">
        <v>6000</v>
      </c>
      <c r="F31" s="64">
        <v>25.206869399999999</v>
      </c>
      <c r="G31" s="68">
        <v>1.4254548676917108E-2</v>
      </c>
    </row>
    <row r="32" spans="1:7" ht="12.95" customHeight="1">
      <c r="A32" s="11" t="s">
        <v>320</v>
      </c>
      <c r="B32" s="12" t="s">
        <v>321</v>
      </c>
      <c r="C32" s="9" t="s">
        <v>538</v>
      </c>
      <c r="D32" s="9" t="s">
        <v>261</v>
      </c>
      <c r="E32" s="21">
        <v>100000</v>
      </c>
      <c r="F32" s="64">
        <v>24.184362</v>
      </c>
      <c r="G32" s="68">
        <v>1.3676318144814301E-2</v>
      </c>
    </row>
    <row r="33" spans="1:7" ht="12.95" customHeight="1">
      <c r="A33" s="11" t="s">
        <v>322</v>
      </c>
      <c r="B33" s="12" t="s">
        <v>323</v>
      </c>
      <c r="C33" s="9" t="s">
        <v>539</v>
      </c>
      <c r="D33" s="9" t="s">
        <v>162</v>
      </c>
      <c r="E33" s="21">
        <v>4493</v>
      </c>
      <c r="F33" s="64">
        <v>23.575626499999998</v>
      </c>
      <c r="G33" s="68">
        <v>1.3332076673236817E-2</v>
      </c>
    </row>
    <row r="34" spans="1:7" ht="12.95" customHeight="1">
      <c r="A34" s="11" t="s">
        <v>324</v>
      </c>
      <c r="B34" s="12" t="s">
        <v>325</v>
      </c>
      <c r="C34" s="9" t="s">
        <v>540</v>
      </c>
      <c r="D34" s="9" t="s">
        <v>70</v>
      </c>
      <c r="E34" s="21">
        <v>1200</v>
      </c>
      <c r="F34" s="64">
        <v>22.427399999999999</v>
      </c>
      <c r="G34" s="68">
        <v>1.2682751670728723E-2</v>
      </c>
    </row>
    <row r="35" spans="1:7" ht="12.95" customHeight="1">
      <c r="A35" s="11" t="s">
        <v>326</v>
      </c>
      <c r="B35" s="12" t="s">
        <v>327</v>
      </c>
      <c r="C35" s="9" t="s">
        <v>541</v>
      </c>
      <c r="D35" s="9" t="s">
        <v>109</v>
      </c>
      <c r="E35" s="21">
        <v>8000</v>
      </c>
      <c r="F35" s="64">
        <v>21.795999999999999</v>
      </c>
      <c r="G35" s="68">
        <v>1.2325693366828223E-2</v>
      </c>
    </row>
    <row r="36" spans="1:7" ht="12.95" customHeight="1">
      <c r="A36" s="11" t="s">
        <v>328</v>
      </c>
      <c r="B36" s="12" t="s">
        <v>329</v>
      </c>
      <c r="C36" s="9" t="s">
        <v>542</v>
      </c>
      <c r="D36" s="9" t="s">
        <v>317</v>
      </c>
      <c r="E36" s="21">
        <v>30000</v>
      </c>
      <c r="F36" s="64">
        <v>20.486810699999999</v>
      </c>
      <c r="G36" s="68">
        <v>1.158534349203778E-2</v>
      </c>
    </row>
    <row r="37" spans="1:7" ht="12.95" customHeight="1">
      <c r="A37" s="11" t="s">
        <v>330</v>
      </c>
      <c r="B37" s="12" t="s">
        <v>331</v>
      </c>
      <c r="C37" s="9" t="s">
        <v>543</v>
      </c>
      <c r="D37" s="9" t="s">
        <v>261</v>
      </c>
      <c r="E37" s="21">
        <v>16000</v>
      </c>
      <c r="F37" s="64">
        <v>19.168553299999999</v>
      </c>
      <c r="G37" s="68">
        <v>1.0839865583662288E-2</v>
      </c>
    </row>
    <row r="38" spans="1:7" ht="12.95" customHeight="1">
      <c r="A38" s="11" t="s">
        <v>332</v>
      </c>
      <c r="B38" s="12" t="s">
        <v>333</v>
      </c>
      <c r="C38" s="9" t="s">
        <v>544</v>
      </c>
      <c r="D38" s="9" t="s">
        <v>276</v>
      </c>
      <c r="E38" s="21">
        <v>8300</v>
      </c>
      <c r="F38" s="64">
        <v>18.490691900000002</v>
      </c>
      <c r="G38" s="68">
        <v>1.0456533240039197E-2</v>
      </c>
    </row>
    <row r="39" spans="1:7" ht="12.95" customHeight="1">
      <c r="A39" s="11" t="s">
        <v>334</v>
      </c>
      <c r="B39" s="12" t="s">
        <v>335</v>
      </c>
      <c r="C39" s="9" t="s">
        <v>545</v>
      </c>
      <c r="D39" s="9" t="s">
        <v>301</v>
      </c>
      <c r="E39" s="21">
        <v>101000</v>
      </c>
      <c r="F39" s="64">
        <v>18.0725683</v>
      </c>
      <c r="G39" s="68">
        <v>1.0220083282109561E-2</v>
      </c>
    </row>
    <row r="40" spans="1:7" ht="12.95" customHeight="1">
      <c r="A40" s="11" t="s">
        <v>336</v>
      </c>
      <c r="B40" s="12" t="s">
        <v>337</v>
      </c>
      <c r="C40" s="9" t="s">
        <v>546</v>
      </c>
      <c r="D40" s="9" t="s">
        <v>317</v>
      </c>
      <c r="E40" s="21">
        <v>9000</v>
      </c>
      <c r="F40" s="64">
        <v>16.198629799999999</v>
      </c>
      <c r="G40" s="68">
        <v>9.1603663001269021E-3</v>
      </c>
    </row>
    <row r="41" spans="1:7" ht="12.95" customHeight="1">
      <c r="A41" s="11" t="s">
        <v>338</v>
      </c>
      <c r="B41" s="12" t="s">
        <v>339</v>
      </c>
      <c r="C41" s="9" t="s">
        <v>547</v>
      </c>
      <c r="D41" s="9" t="s">
        <v>314</v>
      </c>
      <c r="E41" s="21">
        <v>20000</v>
      </c>
      <c r="F41" s="64">
        <v>16.079039999999999</v>
      </c>
      <c r="G41" s="68">
        <v>9.0927379644414417E-3</v>
      </c>
    </row>
    <row r="42" spans="1:7" ht="12.95" customHeight="1">
      <c r="A42" s="11" t="s">
        <v>55</v>
      </c>
      <c r="B42" s="12" t="s">
        <v>56</v>
      </c>
      <c r="C42" s="9" t="s">
        <v>439</v>
      </c>
      <c r="D42" s="9" t="s">
        <v>57</v>
      </c>
      <c r="E42" s="21">
        <v>8000</v>
      </c>
      <c r="F42" s="64">
        <v>13.36</v>
      </c>
      <c r="G42" s="68">
        <v>7.5551139374575634E-3</v>
      </c>
    </row>
    <row r="43" spans="1:7" ht="12.95" customHeight="1">
      <c r="A43" s="11" t="s">
        <v>340</v>
      </c>
      <c r="B43" s="12" t="s">
        <v>341</v>
      </c>
      <c r="C43" s="9" t="s">
        <v>548</v>
      </c>
      <c r="D43" s="9" t="s">
        <v>96</v>
      </c>
      <c r="E43" s="21">
        <v>3000</v>
      </c>
      <c r="F43" s="64">
        <v>11.331</v>
      </c>
      <c r="G43" s="68">
        <v>6.4077092833332069E-3</v>
      </c>
    </row>
    <row r="44" spans="1:7" ht="12.95" customHeight="1">
      <c r="A44" s="11" t="s">
        <v>342</v>
      </c>
      <c r="B44" s="12" t="s">
        <v>343</v>
      </c>
      <c r="C44" s="9" t="s">
        <v>549</v>
      </c>
      <c r="D44" s="9" t="s">
        <v>314</v>
      </c>
      <c r="E44" s="21">
        <v>14000</v>
      </c>
      <c r="F44" s="64">
        <v>10.235716699999999</v>
      </c>
      <c r="G44" s="68">
        <v>5.788323794912959E-3</v>
      </c>
    </row>
    <row r="45" spans="1:7" ht="12.95" customHeight="1">
      <c r="A45" s="11" t="s">
        <v>344</v>
      </c>
      <c r="B45" s="12" t="s">
        <v>345</v>
      </c>
      <c r="C45" s="9" t="s">
        <v>550</v>
      </c>
      <c r="D45" s="9" t="s">
        <v>286</v>
      </c>
      <c r="E45" s="21">
        <v>1300</v>
      </c>
      <c r="F45" s="64">
        <v>8.7405500000000007</v>
      </c>
      <c r="G45" s="68">
        <v>4.9428032279973579E-3</v>
      </c>
    </row>
    <row r="46" spans="1:7" ht="12.95" customHeight="1">
      <c r="A46" s="1"/>
      <c r="B46" s="8" t="s">
        <v>11</v>
      </c>
      <c r="C46" s="22"/>
      <c r="D46" s="9" t="s">
        <v>1</v>
      </c>
      <c r="E46" s="9" t="s">
        <v>1</v>
      </c>
      <c r="F46" s="65">
        <v>1755.5278805</v>
      </c>
      <c r="G46" s="69">
        <v>0.99275547586533575</v>
      </c>
    </row>
    <row r="47" spans="1:7" ht="12.95" customHeight="1">
      <c r="A47" s="1"/>
      <c r="B47" s="14" t="s">
        <v>171</v>
      </c>
      <c r="C47" s="23"/>
      <c r="D47" s="15" t="s">
        <v>1</v>
      </c>
      <c r="E47" s="67" t="s">
        <v>172</v>
      </c>
      <c r="F47" s="67" t="s">
        <v>172</v>
      </c>
      <c r="G47" s="69" t="s">
        <v>172</v>
      </c>
    </row>
    <row r="48" spans="1:7" ht="12.95" customHeight="1">
      <c r="A48" s="1"/>
      <c r="B48" s="14" t="s">
        <v>11</v>
      </c>
      <c r="C48" s="23"/>
      <c r="D48" s="15" t="s">
        <v>1</v>
      </c>
      <c r="E48" s="67" t="s">
        <v>172</v>
      </c>
      <c r="F48" s="67" t="s">
        <v>172</v>
      </c>
      <c r="G48" s="69" t="s">
        <v>172</v>
      </c>
    </row>
    <row r="49" spans="1:7" ht="12.95" customHeight="1">
      <c r="A49" s="1"/>
      <c r="B49" s="14" t="s">
        <v>12</v>
      </c>
      <c r="C49" s="23"/>
      <c r="D49" s="15" t="s">
        <v>1</v>
      </c>
      <c r="E49" s="16" t="s">
        <v>1</v>
      </c>
      <c r="F49" s="65">
        <v>1755.5278805</v>
      </c>
      <c r="G49" s="69">
        <v>0.99275547586533575</v>
      </c>
    </row>
    <row r="50" spans="1:7" ht="12.95" customHeight="1">
      <c r="A50" s="1"/>
      <c r="B50" s="47"/>
      <c r="C50" s="2"/>
      <c r="D50" s="4"/>
      <c r="E50" s="4"/>
      <c r="F50" s="78"/>
      <c r="G50" s="80"/>
    </row>
    <row r="51" spans="1:7" ht="12.95" customHeight="1">
      <c r="A51" s="1"/>
      <c r="B51" s="36" t="s">
        <v>420</v>
      </c>
      <c r="C51" s="48"/>
      <c r="D51" s="38"/>
      <c r="E51" s="38"/>
      <c r="F51" s="71"/>
      <c r="G51" s="40"/>
    </row>
    <row r="52" spans="1:7" ht="12.95" customHeight="1">
      <c r="A52" s="11" t="s">
        <v>426</v>
      </c>
      <c r="B52" s="41" t="s">
        <v>425</v>
      </c>
      <c r="C52" s="48"/>
      <c r="D52" s="38"/>
      <c r="E52" s="67" t="s">
        <v>172</v>
      </c>
      <c r="F52" s="67" t="s">
        <v>172</v>
      </c>
      <c r="G52" s="69" t="s">
        <v>172</v>
      </c>
    </row>
    <row r="53" spans="1:7" ht="12.95" customHeight="1">
      <c r="A53" s="1"/>
      <c r="B53" s="42" t="s">
        <v>423</v>
      </c>
      <c r="C53" s="48"/>
      <c r="D53" s="38"/>
      <c r="E53" s="67" t="s">
        <v>172</v>
      </c>
      <c r="F53" s="67" t="s">
        <v>172</v>
      </c>
      <c r="G53" s="69" t="s">
        <v>172</v>
      </c>
    </row>
    <row r="54" spans="1:7" ht="12.95" customHeight="1">
      <c r="A54" s="1"/>
      <c r="B54" s="42" t="s">
        <v>424</v>
      </c>
      <c r="C54" s="48"/>
      <c r="D54" s="38"/>
      <c r="E54" s="67" t="s">
        <v>172</v>
      </c>
      <c r="F54" s="67" t="s">
        <v>172</v>
      </c>
      <c r="G54" s="69" t="s">
        <v>172</v>
      </c>
    </row>
    <row r="55" spans="1:7" ht="12.95" customHeight="1">
      <c r="A55" s="1"/>
      <c r="B55" s="49"/>
      <c r="C55" s="50"/>
      <c r="D55" s="51"/>
      <c r="E55" s="52"/>
      <c r="F55" s="79"/>
      <c r="G55" s="81"/>
    </row>
    <row r="56" spans="1:7" ht="12.95" customHeight="1">
      <c r="A56" s="1"/>
      <c r="B56" s="8" t="s">
        <v>7</v>
      </c>
      <c r="C56" s="22"/>
      <c r="D56" s="9" t="s">
        <v>1</v>
      </c>
      <c r="E56" s="9" t="s">
        <v>1</v>
      </c>
      <c r="F56" s="77" t="s">
        <v>1</v>
      </c>
      <c r="G56" s="74" t="s">
        <v>1</v>
      </c>
    </row>
    <row r="57" spans="1:7" ht="12.95" customHeight="1">
      <c r="A57" s="11" t="s">
        <v>8</v>
      </c>
      <c r="B57" s="12" t="s">
        <v>9</v>
      </c>
      <c r="C57" s="9"/>
      <c r="D57" s="9" t="s">
        <v>10</v>
      </c>
      <c r="E57" s="21"/>
      <c r="F57" s="64">
        <v>12.096032599999999</v>
      </c>
      <c r="G57" s="68">
        <v>6.840337161991096E-3</v>
      </c>
    </row>
    <row r="58" spans="1:7" ht="12.95" customHeight="1">
      <c r="A58" s="1"/>
      <c r="B58" s="8" t="s">
        <v>11</v>
      </c>
      <c r="C58" s="22"/>
      <c r="D58" s="9" t="s">
        <v>1</v>
      </c>
      <c r="E58" s="9" t="s">
        <v>1</v>
      </c>
      <c r="F58" s="65">
        <v>12.096032599999999</v>
      </c>
      <c r="G58" s="69">
        <v>6.840337161991096E-3</v>
      </c>
    </row>
    <row r="59" spans="1:7" ht="12.95" customHeight="1">
      <c r="A59" s="1"/>
      <c r="B59" s="14" t="s">
        <v>12</v>
      </c>
      <c r="C59" s="23"/>
      <c r="D59" s="15" t="s">
        <v>1</v>
      </c>
      <c r="E59" s="16" t="s">
        <v>1</v>
      </c>
      <c r="F59" s="65">
        <v>12.096032599999999</v>
      </c>
      <c r="G59" s="69">
        <v>6.840337161991096E-3</v>
      </c>
    </row>
    <row r="60" spans="1:7" ht="12.95" customHeight="1">
      <c r="A60" s="1"/>
      <c r="B60" s="14" t="s">
        <v>13</v>
      </c>
      <c r="C60" s="23"/>
      <c r="D60" s="15" t="s">
        <v>1</v>
      </c>
      <c r="E60" s="9" t="s">
        <v>1</v>
      </c>
      <c r="F60" s="65">
        <v>0.71473944659999999</v>
      </c>
      <c r="G60" s="69">
        <v>4.0418697267318327E-4</v>
      </c>
    </row>
    <row r="61" spans="1:7" ht="12.95" customHeight="1" thickBot="1">
      <c r="A61" s="1"/>
      <c r="B61" s="17" t="s">
        <v>14</v>
      </c>
      <c r="C61" s="24"/>
      <c r="D61" s="18" t="s">
        <v>1</v>
      </c>
      <c r="E61" s="18" t="s">
        <v>1</v>
      </c>
      <c r="F61" s="66">
        <v>1768.3386525466001</v>
      </c>
      <c r="G61" s="70">
        <v>1</v>
      </c>
    </row>
    <row r="62" spans="1:7" ht="12.95" customHeight="1">
      <c r="A62" s="1"/>
      <c r="B62" s="4" t="s">
        <v>1</v>
      </c>
      <c r="C62" s="4"/>
      <c r="D62" s="1"/>
      <c r="E62" s="1"/>
      <c r="F62" s="72"/>
      <c r="G62" s="75"/>
    </row>
    <row r="63" spans="1:7" ht="12.95" customHeight="1" thickBot="1">
      <c r="A63" s="1"/>
      <c r="B63" s="2" t="s">
        <v>10</v>
      </c>
      <c r="C63" s="2"/>
      <c r="D63" s="1"/>
      <c r="E63" s="1"/>
      <c r="F63" s="72"/>
      <c r="G63" s="75"/>
    </row>
    <row r="64" spans="1:7" ht="12.95" customHeight="1" thickBot="1">
      <c r="A64" s="1"/>
      <c r="B64" s="97" t="s">
        <v>572</v>
      </c>
      <c r="C64" s="99">
        <f>(29.7/100)</f>
        <v>0.29699999999999999</v>
      </c>
      <c r="D64" s="1"/>
      <c r="E64" s="1"/>
      <c r="F64" s="72"/>
      <c r="G64" s="75"/>
    </row>
    <row r="65" spans="1:7" ht="12.95" customHeight="1">
      <c r="A65" s="1"/>
      <c r="B65" s="2" t="s">
        <v>1</v>
      </c>
      <c r="C65" s="2"/>
      <c r="D65" s="1"/>
      <c r="E65" s="1"/>
      <c r="F65" s="72"/>
      <c r="G65" s="75"/>
    </row>
    <row r="66" spans="1:7" ht="12.95" hidden="1" customHeight="1">
      <c r="A66" s="1"/>
      <c r="B66" s="4" t="s">
        <v>1</v>
      </c>
      <c r="C66" s="4"/>
      <c r="D66" s="1"/>
      <c r="E66" s="1"/>
      <c r="F66" s="72"/>
      <c r="G66" s="75"/>
    </row>
    <row r="67" spans="1:7" ht="12.95" hidden="1" customHeight="1">
      <c r="A67" s="1"/>
      <c r="B67" s="4" t="s">
        <v>1</v>
      </c>
      <c r="C67" s="4"/>
      <c r="D67" s="1"/>
      <c r="E67" s="1"/>
      <c r="F67" s="72"/>
      <c r="G67" s="75"/>
    </row>
    <row r="68" spans="1:7" ht="12.95" hidden="1" customHeight="1">
      <c r="A68" s="1"/>
      <c r="B68" s="2" t="s">
        <v>15</v>
      </c>
      <c r="C68" s="2"/>
      <c r="D68" s="1"/>
      <c r="E68" s="1"/>
      <c r="F68" s="72"/>
      <c r="G68" s="75"/>
    </row>
    <row r="69" spans="1:7" ht="12.95" hidden="1" customHeight="1">
      <c r="A69" s="1"/>
      <c r="B69" s="4" t="s">
        <v>16</v>
      </c>
      <c r="C69" s="4"/>
      <c r="D69" s="1"/>
      <c r="E69" s="1"/>
      <c r="F69" s="72"/>
      <c r="G69" s="75"/>
    </row>
    <row r="70" spans="1:7" ht="12.95" hidden="1" customHeight="1">
      <c r="A70" s="1"/>
      <c r="B70" s="4" t="s">
        <v>173</v>
      </c>
      <c r="C70" s="4"/>
      <c r="D70" s="1"/>
      <c r="E70" s="1"/>
      <c r="F70" s="72"/>
      <c r="G70" s="75"/>
    </row>
    <row r="71" spans="1:7" ht="12.95" hidden="1" customHeight="1">
      <c r="A71" s="1"/>
      <c r="B71" s="4" t="s">
        <v>174</v>
      </c>
      <c r="C71" s="4"/>
      <c r="D71" s="1"/>
      <c r="E71" s="1"/>
      <c r="F71" s="72"/>
      <c r="G71" s="75"/>
    </row>
    <row r="72" spans="1:7" ht="12.95" hidden="1" customHeight="1">
      <c r="A72" s="1"/>
      <c r="B72" s="2" t="s">
        <v>17</v>
      </c>
      <c r="C72" s="2"/>
      <c r="D72" s="3" t="s">
        <v>18</v>
      </c>
      <c r="E72" s="1"/>
      <c r="F72" s="72"/>
      <c r="G72" s="75"/>
    </row>
    <row r="73" spans="1:7" ht="12.95" hidden="1" customHeight="1">
      <c r="A73" s="1"/>
      <c r="B73" s="4" t="s">
        <v>19</v>
      </c>
      <c r="C73" s="4"/>
      <c r="D73" s="19">
        <v>11.532999999999999</v>
      </c>
      <c r="E73" s="1"/>
      <c r="F73" s="72"/>
      <c r="G73" s="75"/>
    </row>
    <row r="74" spans="1:7" ht="12.95" hidden="1" customHeight="1">
      <c r="A74" s="1"/>
      <c r="B74" s="4" t="s">
        <v>176</v>
      </c>
      <c r="C74" s="4"/>
      <c r="D74" s="19">
        <v>11.532999999999999</v>
      </c>
      <c r="E74" s="1"/>
      <c r="F74" s="72"/>
      <c r="G74" s="75"/>
    </row>
    <row r="75" spans="1:7" ht="12.95" hidden="1" customHeight="1">
      <c r="A75" s="1"/>
      <c r="B75" s="4" t="s">
        <v>177</v>
      </c>
      <c r="C75" s="4"/>
      <c r="D75" s="19">
        <v>11.504</v>
      </c>
      <c r="E75" s="1"/>
      <c r="F75" s="72"/>
      <c r="G75" s="75"/>
    </row>
    <row r="76" spans="1:7" ht="12.95" hidden="1" customHeight="1">
      <c r="A76" s="1"/>
      <c r="B76" s="4" t="s">
        <v>175</v>
      </c>
      <c r="C76" s="4"/>
      <c r="D76" s="19">
        <v>11.504</v>
      </c>
      <c r="E76" s="1"/>
      <c r="F76" s="72"/>
      <c r="G76" s="75"/>
    </row>
    <row r="77" spans="1:7" ht="12.95" hidden="1" customHeight="1">
      <c r="A77" s="1"/>
      <c r="B77" s="4" t="s">
        <v>1</v>
      </c>
      <c r="C77" s="4"/>
      <c r="D77" s="1"/>
      <c r="E77" s="1"/>
      <c r="F77" s="72"/>
      <c r="G77" s="75"/>
    </row>
    <row r="78" spans="1:7" ht="12.95" hidden="1" customHeight="1">
      <c r="A78" s="1"/>
      <c r="B78" s="4" t="s">
        <v>178</v>
      </c>
      <c r="C78" s="4"/>
      <c r="D78" s="1"/>
      <c r="E78" s="1"/>
      <c r="F78" s="72"/>
      <c r="G78" s="75"/>
    </row>
    <row r="79" spans="1:7" ht="12.95" hidden="1" customHeight="1">
      <c r="A79" s="1"/>
      <c r="B79" s="4" t="s">
        <v>24</v>
      </c>
      <c r="C79" s="4"/>
      <c r="D79" s="1"/>
      <c r="E79" s="1"/>
      <c r="F79" s="72"/>
      <c r="G79" s="75"/>
    </row>
    <row r="80" spans="1:7" ht="12.95" hidden="1" customHeight="1">
      <c r="A80" s="1"/>
      <c r="B80" s="4" t="s">
        <v>179</v>
      </c>
      <c r="C80" s="4"/>
      <c r="D80" s="1"/>
      <c r="E80" s="1"/>
      <c r="F80" s="72"/>
      <c r="G80" s="75"/>
    </row>
    <row r="81" spans="1:7" ht="12.95" hidden="1" customHeight="1">
      <c r="A81" s="1"/>
      <c r="B81" s="4" t="s">
        <v>180</v>
      </c>
      <c r="C81" s="4"/>
      <c r="D81" s="4" t="s">
        <v>27</v>
      </c>
      <c r="E81" s="1"/>
      <c r="F81" s="72"/>
      <c r="G81" s="75"/>
    </row>
    <row r="82" spans="1:7" ht="12.95" hidden="1" customHeight="1">
      <c r="A82" s="1"/>
      <c r="B82" s="4" t="s">
        <v>181</v>
      </c>
      <c r="C82" s="4"/>
      <c r="D82" s="4" t="s">
        <v>346</v>
      </c>
      <c r="E82" s="1"/>
      <c r="F82" s="72"/>
      <c r="G82" s="75"/>
    </row>
    <row r="83" spans="1:7" ht="12.95" hidden="1" customHeight="1">
      <c r="A83" s="1"/>
      <c r="B83" s="4" t="s">
        <v>1</v>
      </c>
      <c r="C83" s="4"/>
      <c r="D83" s="1"/>
      <c r="E83" s="1"/>
      <c r="F83" s="72"/>
      <c r="G83" s="75"/>
    </row>
    <row r="84" spans="1:7" ht="12.95" hidden="1" customHeight="1">
      <c r="A84" s="1"/>
      <c r="B84" s="4" t="s">
        <v>182</v>
      </c>
      <c r="C84" s="4"/>
      <c r="D84" s="1"/>
      <c r="E84" s="1"/>
      <c r="F84" s="72"/>
      <c r="G84" s="75"/>
    </row>
    <row r="85" spans="1:7" hidden="1"/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106"/>
  <sheetViews>
    <sheetView zoomScaleNormal="100" workbookViewId="0"/>
  </sheetViews>
  <sheetFormatPr defaultRowHeight="12.75"/>
  <cols>
    <col min="1" max="1" width="11.42578125" bestFit="1" customWidth="1"/>
    <col min="2" max="2" width="52.7109375" bestFit="1" customWidth="1"/>
    <col min="3" max="3" width="13.28515625" bestFit="1" customWidth="1"/>
    <col min="4" max="4" width="21.140625" bestFit="1" customWidth="1"/>
    <col min="5" max="5" width="7.7109375" bestFit="1" customWidth="1"/>
    <col min="6" max="6" width="15.28515625" style="73" bestFit="1" customWidth="1"/>
    <col min="7" max="7" width="7.7109375" style="76" bestFit="1" customWidth="1"/>
  </cols>
  <sheetData>
    <row r="1" spans="1:7" ht="15.95" customHeight="1">
      <c r="A1" s="1"/>
      <c r="B1" s="2" t="s">
        <v>347</v>
      </c>
      <c r="C1" s="2"/>
      <c r="D1" s="1"/>
      <c r="E1" s="1"/>
      <c r="F1" s="72"/>
      <c r="G1" s="75"/>
    </row>
    <row r="2" spans="1:7" ht="12.95" customHeight="1">
      <c r="A2" s="1"/>
      <c r="B2" s="3" t="s">
        <v>1</v>
      </c>
      <c r="C2" s="3"/>
      <c r="D2" s="1"/>
      <c r="E2" s="1"/>
      <c r="F2" s="72"/>
      <c r="G2" s="75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72"/>
      <c r="G3" s="75"/>
    </row>
    <row r="4" spans="1:7" ht="27.95" customHeight="1" thickBot="1">
      <c r="A4" s="1"/>
      <c r="B4" s="6" t="s">
        <v>2</v>
      </c>
      <c r="C4" s="25" t="s">
        <v>415</v>
      </c>
      <c r="D4" s="7" t="s">
        <v>31</v>
      </c>
      <c r="E4" s="7" t="s">
        <v>4</v>
      </c>
      <c r="F4" s="82" t="s">
        <v>5</v>
      </c>
      <c r="G4" s="86" t="s">
        <v>6</v>
      </c>
    </row>
    <row r="5" spans="1:7" ht="12.95" customHeight="1">
      <c r="A5" s="1"/>
      <c r="B5" s="8" t="s">
        <v>32</v>
      </c>
      <c r="C5" s="22"/>
      <c r="D5" s="9" t="s">
        <v>1</v>
      </c>
      <c r="E5" s="9" t="s">
        <v>1</v>
      </c>
      <c r="F5" s="77" t="s">
        <v>1</v>
      </c>
      <c r="G5" s="74" t="s">
        <v>1</v>
      </c>
    </row>
    <row r="6" spans="1:7" ht="12.95" customHeight="1">
      <c r="A6" s="1"/>
      <c r="B6" s="8" t="s">
        <v>33</v>
      </c>
      <c r="C6" s="22"/>
      <c r="D6" s="9" t="s">
        <v>1</v>
      </c>
      <c r="E6" s="9" t="s">
        <v>1</v>
      </c>
      <c r="F6" s="77" t="s">
        <v>1</v>
      </c>
      <c r="G6" s="74" t="s">
        <v>1</v>
      </c>
    </row>
    <row r="7" spans="1:7" ht="12.95" customHeight="1">
      <c r="A7" s="11" t="s">
        <v>40</v>
      </c>
      <c r="B7" s="12" t="s">
        <v>41</v>
      </c>
      <c r="C7" s="9" t="s">
        <v>433</v>
      </c>
      <c r="D7" s="9" t="s">
        <v>36</v>
      </c>
      <c r="E7" s="21">
        <v>181800</v>
      </c>
      <c r="F7" s="64">
        <v>1900.1736000000001</v>
      </c>
      <c r="G7" s="68">
        <v>6.8616595138070516E-2</v>
      </c>
    </row>
    <row r="8" spans="1:7" ht="12.95" customHeight="1">
      <c r="A8" s="11" t="s">
        <v>348</v>
      </c>
      <c r="B8" s="12" t="s">
        <v>349</v>
      </c>
      <c r="C8" s="9" t="s">
        <v>551</v>
      </c>
      <c r="D8" s="9" t="s">
        <v>60</v>
      </c>
      <c r="E8" s="21">
        <v>63553</v>
      </c>
      <c r="F8" s="64">
        <v>1836.2686054999999</v>
      </c>
      <c r="G8" s="68">
        <v>6.6308941176923417E-2</v>
      </c>
    </row>
    <row r="9" spans="1:7" ht="12.95" customHeight="1">
      <c r="A9" s="11" t="s">
        <v>350</v>
      </c>
      <c r="B9" s="12" t="s">
        <v>351</v>
      </c>
      <c r="C9" s="9" t="s">
        <v>552</v>
      </c>
      <c r="D9" s="9" t="s">
        <v>36</v>
      </c>
      <c r="E9" s="21">
        <v>237000</v>
      </c>
      <c r="F9" s="64">
        <v>1482.0795000000001</v>
      </c>
      <c r="G9" s="68">
        <v>5.3518925330787656E-2</v>
      </c>
    </row>
    <row r="10" spans="1:7" ht="12.95" customHeight="1">
      <c r="A10" s="11" t="s">
        <v>184</v>
      </c>
      <c r="B10" s="12" t="s">
        <v>185</v>
      </c>
      <c r="C10" s="9" t="s">
        <v>488</v>
      </c>
      <c r="D10" s="9" t="s">
        <v>67</v>
      </c>
      <c r="E10" s="21">
        <v>402000</v>
      </c>
      <c r="F10" s="64">
        <v>1243.989</v>
      </c>
      <c r="G10" s="68">
        <v>4.4921311173470257E-2</v>
      </c>
    </row>
    <row r="11" spans="1:7" ht="12.95" customHeight="1">
      <c r="A11" s="11" t="s">
        <v>197</v>
      </c>
      <c r="B11" s="12" t="s">
        <v>198</v>
      </c>
      <c r="C11" s="9" t="s">
        <v>493</v>
      </c>
      <c r="D11" s="9" t="s">
        <v>86</v>
      </c>
      <c r="E11" s="21">
        <v>138275</v>
      </c>
      <c r="F11" s="64">
        <v>1142.4971875000001</v>
      </c>
      <c r="G11" s="68">
        <v>4.1256370976352756E-2</v>
      </c>
    </row>
    <row r="12" spans="1:7" ht="12.95" customHeight="1">
      <c r="A12" s="11" t="s">
        <v>352</v>
      </c>
      <c r="B12" s="12" t="s">
        <v>353</v>
      </c>
      <c r="C12" s="9" t="s">
        <v>553</v>
      </c>
      <c r="D12" s="9" t="s">
        <v>36</v>
      </c>
      <c r="E12" s="21">
        <v>49100</v>
      </c>
      <c r="F12" s="64">
        <v>1017.72025</v>
      </c>
      <c r="G12" s="68">
        <v>3.6750588660986502E-2</v>
      </c>
    </row>
    <row r="13" spans="1:7" ht="12.95" customHeight="1">
      <c r="A13" s="11" t="s">
        <v>262</v>
      </c>
      <c r="B13" s="12" t="s">
        <v>263</v>
      </c>
      <c r="C13" s="9" t="s">
        <v>514</v>
      </c>
      <c r="D13" s="9" t="s">
        <v>96</v>
      </c>
      <c r="E13" s="21">
        <v>118900</v>
      </c>
      <c r="F13" s="64">
        <v>918.97810000000004</v>
      </c>
      <c r="G13" s="68">
        <v>3.3184940696183378E-2</v>
      </c>
    </row>
    <row r="14" spans="1:7" ht="12.95" customHeight="1">
      <c r="A14" s="11" t="s">
        <v>52</v>
      </c>
      <c r="B14" s="12" t="s">
        <v>53</v>
      </c>
      <c r="C14" s="9" t="s">
        <v>438</v>
      </c>
      <c r="D14" s="9" t="s">
        <v>54</v>
      </c>
      <c r="E14" s="21">
        <v>392730</v>
      </c>
      <c r="F14" s="64">
        <v>826.50028499999996</v>
      </c>
      <c r="G14" s="68">
        <v>2.9845502241134646E-2</v>
      </c>
    </row>
    <row r="15" spans="1:7" ht="12.95" customHeight="1">
      <c r="A15" s="11" t="s">
        <v>37</v>
      </c>
      <c r="B15" s="12" t="s">
        <v>38</v>
      </c>
      <c r="C15" s="9" t="s">
        <v>432</v>
      </c>
      <c r="D15" s="9" t="s">
        <v>39</v>
      </c>
      <c r="E15" s="21">
        <v>291278</v>
      </c>
      <c r="F15" s="64">
        <v>799.70374900000002</v>
      </c>
      <c r="G15" s="68">
        <v>2.8877860620487601E-2</v>
      </c>
    </row>
    <row r="16" spans="1:7" ht="12.95" customHeight="1">
      <c r="A16" s="11" t="s">
        <v>34</v>
      </c>
      <c r="B16" s="12" t="s">
        <v>35</v>
      </c>
      <c r="C16" s="9" t="s">
        <v>431</v>
      </c>
      <c r="D16" s="9" t="s">
        <v>36</v>
      </c>
      <c r="E16" s="21">
        <v>150160</v>
      </c>
      <c r="F16" s="64">
        <v>721.74404000000004</v>
      </c>
      <c r="G16" s="68">
        <v>2.6062681107660569E-2</v>
      </c>
    </row>
    <row r="17" spans="1:7" ht="12.95" customHeight="1">
      <c r="A17" s="11" t="s">
        <v>194</v>
      </c>
      <c r="B17" s="12" t="s">
        <v>195</v>
      </c>
      <c r="C17" s="9" t="s">
        <v>492</v>
      </c>
      <c r="D17" s="9" t="s">
        <v>196</v>
      </c>
      <c r="E17" s="21">
        <v>232791</v>
      </c>
      <c r="F17" s="64">
        <v>679.16774250000003</v>
      </c>
      <c r="G17" s="68">
        <v>2.4525221283971013E-2</v>
      </c>
    </row>
    <row r="18" spans="1:7" ht="12.95" customHeight="1">
      <c r="A18" s="11" t="s">
        <v>87</v>
      </c>
      <c r="B18" s="12" t="s">
        <v>88</v>
      </c>
      <c r="C18" s="9" t="s">
        <v>451</v>
      </c>
      <c r="D18" s="9" t="s">
        <v>46</v>
      </c>
      <c r="E18" s="21">
        <v>98120</v>
      </c>
      <c r="F18" s="64">
        <v>616.73325999999997</v>
      </c>
      <c r="G18" s="68">
        <v>2.2270668537654862E-2</v>
      </c>
    </row>
    <row r="19" spans="1:7" ht="12.95" customHeight="1">
      <c r="A19" s="11" t="s">
        <v>47</v>
      </c>
      <c r="B19" s="12" t="s">
        <v>48</v>
      </c>
      <c r="C19" s="9" t="s">
        <v>436</v>
      </c>
      <c r="D19" s="9" t="s">
        <v>46</v>
      </c>
      <c r="E19" s="21">
        <v>57106</v>
      </c>
      <c r="F19" s="64">
        <v>563.92174999999997</v>
      </c>
      <c r="G19" s="68">
        <v>2.0363608045760775E-2</v>
      </c>
    </row>
    <row r="20" spans="1:7" ht="12.95" customHeight="1">
      <c r="A20" s="11" t="s">
        <v>199</v>
      </c>
      <c r="B20" s="12" t="s">
        <v>200</v>
      </c>
      <c r="C20" s="9" t="s">
        <v>494</v>
      </c>
      <c r="D20" s="9" t="s">
        <v>191</v>
      </c>
      <c r="E20" s="21">
        <v>43300</v>
      </c>
      <c r="F20" s="64">
        <v>554.75959999999998</v>
      </c>
      <c r="G20" s="68">
        <v>2.0032756413497135E-2</v>
      </c>
    </row>
    <row r="21" spans="1:7" ht="12.95" customHeight="1">
      <c r="A21" s="11" t="s">
        <v>49</v>
      </c>
      <c r="B21" s="12" t="s">
        <v>50</v>
      </c>
      <c r="C21" s="9" t="s">
        <v>437</v>
      </c>
      <c r="D21" s="9" t="s">
        <v>51</v>
      </c>
      <c r="E21" s="21">
        <v>436789</v>
      </c>
      <c r="F21" s="64">
        <v>540.74478199999999</v>
      </c>
      <c r="G21" s="68">
        <v>1.9526671552282486E-2</v>
      </c>
    </row>
    <row r="22" spans="1:7" ht="12.95" customHeight="1">
      <c r="A22" s="11" t="s">
        <v>272</v>
      </c>
      <c r="B22" s="12" t="s">
        <v>273</v>
      </c>
      <c r="C22" s="9" t="s">
        <v>518</v>
      </c>
      <c r="D22" s="9" t="s">
        <v>109</v>
      </c>
      <c r="E22" s="21">
        <v>169096</v>
      </c>
      <c r="F22" s="64">
        <v>526.56494399999997</v>
      </c>
      <c r="G22" s="68">
        <v>1.9014627703673376E-2</v>
      </c>
    </row>
    <row r="23" spans="1:7" ht="12.95" customHeight="1">
      <c r="A23" s="11" t="s">
        <v>354</v>
      </c>
      <c r="B23" s="12" t="s">
        <v>355</v>
      </c>
      <c r="C23" s="9" t="s">
        <v>554</v>
      </c>
      <c r="D23" s="9" t="s">
        <v>356</v>
      </c>
      <c r="E23" s="21">
        <v>37500</v>
      </c>
      <c r="F23" s="64">
        <v>512.32500000000005</v>
      </c>
      <c r="G23" s="68">
        <v>1.8500413385446453E-2</v>
      </c>
    </row>
    <row r="24" spans="1:7" ht="12.95" customHeight="1">
      <c r="A24" s="11" t="s">
        <v>63</v>
      </c>
      <c r="B24" s="12" t="s">
        <v>64</v>
      </c>
      <c r="C24" s="9" t="s">
        <v>442</v>
      </c>
      <c r="D24" s="9" t="s">
        <v>46</v>
      </c>
      <c r="E24" s="21">
        <v>68773</v>
      </c>
      <c r="F24" s="64">
        <v>510.81145750000002</v>
      </c>
      <c r="G24" s="68">
        <v>1.8445758309222491E-2</v>
      </c>
    </row>
    <row r="25" spans="1:7" ht="12.95" customHeight="1">
      <c r="A25" s="11" t="s">
        <v>189</v>
      </c>
      <c r="B25" s="12" t="s">
        <v>569</v>
      </c>
      <c r="C25" s="9" t="s">
        <v>490</v>
      </c>
      <c r="D25" s="9" t="s">
        <v>191</v>
      </c>
      <c r="E25" s="21">
        <v>332000</v>
      </c>
      <c r="F25" s="64">
        <v>507.13</v>
      </c>
      <c r="G25" s="68">
        <v>1.8312818309005923E-2</v>
      </c>
    </row>
    <row r="26" spans="1:7" ht="12.95" customHeight="1">
      <c r="A26" s="11" t="s">
        <v>61</v>
      </c>
      <c r="B26" s="12" t="s">
        <v>62</v>
      </c>
      <c r="C26" s="9" t="s">
        <v>441</v>
      </c>
      <c r="D26" s="9" t="s">
        <v>39</v>
      </c>
      <c r="E26" s="21">
        <v>257577</v>
      </c>
      <c r="F26" s="64">
        <v>500.08574549999997</v>
      </c>
      <c r="G26" s="68">
        <v>1.8058445361673094E-2</v>
      </c>
    </row>
    <row r="27" spans="1:7" ht="12.95" customHeight="1">
      <c r="A27" s="11" t="s">
        <v>74</v>
      </c>
      <c r="B27" s="12" t="s">
        <v>75</v>
      </c>
      <c r="C27" s="9" t="s">
        <v>446</v>
      </c>
      <c r="D27" s="9" t="s">
        <v>39</v>
      </c>
      <c r="E27" s="21">
        <v>364500</v>
      </c>
      <c r="F27" s="64">
        <v>471.84525000000002</v>
      </c>
      <c r="G27" s="68">
        <v>1.7038661355505448E-2</v>
      </c>
    </row>
    <row r="28" spans="1:7" ht="12.95" customHeight="1">
      <c r="A28" s="11" t="s">
        <v>76</v>
      </c>
      <c r="B28" s="12" t="s">
        <v>77</v>
      </c>
      <c r="C28" s="9" t="s">
        <v>447</v>
      </c>
      <c r="D28" s="9" t="s">
        <v>36</v>
      </c>
      <c r="E28" s="21">
        <v>69200</v>
      </c>
      <c r="F28" s="64">
        <v>467.3768</v>
      </c>
      <c r="G28" s="68">
        <v>1.6877302506743044E-2</v>
      </c>
    </row>
    <row r="29" spans="1:7" ht="12.95" customHeight="1">
      <c r="A29" s="11" t="s">
        <v>91</v>
      </c>
      <c r="B29" s="12" t="s">
        <v>92</v>
      </c>
      <c r="C29" s="9" t="s">
        <v>453</v>
      </c>
      <c r="D29" s="9" t="s">
        <v>93</v>
      </c>
      <c r="E29" s="21">
        <v>182200</v>
      </c>
      <c r="F29" s="64">
        <v>467.16079999999999</v>
      </c>
      <c r="G29" s="68">
        <v>1.6869502595961303E-2</v>
      </c>
    </row>
    <row r="30" spans="1:7" ht="12.95" customHeight="1">
      <c r="A30" s="11" t="s">
        <v>192</v>
      </c>
      <c r="B30" s="12" t="s">
        <v>193</v>
      </c>
      <c r="C30" s="9" t="s">
        <v>491</v>
      </c>
      <c r="D30" s="9" t="s">
        <v>67</v>
      </c>
      <c r="E30" s="21">
        <v>23700</v>
      </c>
      <c r="F30" s="64">
        <v>450.09854999999999</v>
      </c>
      <c r="G30" s="68">
        <v>1.6253372837925224E-2</v>
      </c>
    </row>
    <row r="31" spans="1:7" ht="12.95" customHeight="1">
      <c r="A31" s="11" t="s">
        <v>68</v>
      </c>
      <c r="B31" s="12" t="s">
        <v>69</v>
      </c>
      <c r="C31" s="9" t="s">
        <v>444</v>
      </c>
      <c r="D31" s="9" t="s">
        <v>70</v>
      </c>
      <c r="E31" s="21">
        <v>160361</v>
      </c>
      <c r="F31" s="64">
        <v>425.75845500000003</v>
      </c>
      <c r="G31" s="68">
        <v>1.5374435016540285E-2</v>
      </c>
    </row>
    <row r="32" spans="1:7" ht="12.95" customHeight="1">
      <c r="A32" s="11" t="s">
        <v>58</v>
      </c>
      <c r="B32" s="12" t="s">
        <v>59</v>
      </c>
      <c r="C32" s="9" t="s">
        <v>440</v>
      </c>
      <c r="D32" s="9" t="s">
        <v>60</v>
      </c>
      <c r="E32" s="21">
        <v>40000</v>
      </c>
      <c r="F32" s="64">
        <v>423.8</v>
      </c>
      <c r="G32" s="68">
        <v>1.5303713839364089E-2</v>
      </c>
    </row>
    <row r="33" spans="1:7" ht="12.95" customHeight="1">
      <c r="A33" s="11" t="s">
        <v>65</v>
      </c>
      <c r="B33" s="12" t="s">
        <v>66</v>
      </c>
      <c r="C33" s="9" t="s">
        <v>443</v>
      </c>
      <c r="D33" s="9" t="s">
        <v>67</v>
      </c>
      <c r="E33" s="21">
        <v>53510</v>
      </c>
      <c r="F33" s="64">
        <v>416.30779999999999</v>
      </c>
      <c r="G33" s="68">
        <v>1.5033165267331802E-2</v>
      </c>
    </row>
    <row r="34" spans="1:7" ht="12.95" customHeight="1">
      <c r="A34" s="11" t="s">
        <v>81</v>
      </c>
      <c r="B34" s="12" t="s">
        <v>82</v>
      </c>
      <c r="C34" s="9" t="s">
        <v>449</v>
      </c>
      <c r="D34" s="9" t="s">
        <v>83</v>
      </c>
      <c r="E34" s="21">
        <v>155250</v>
      </c>
      <c r="F34" s="64">
        <v>411.17962499999999</v>
      </c>
      <c r="G34" s="68">
        <v>1.4847983288289374E-2</v>
      </c>
    </row>
    <row r="35" spans="1:7" ht="12.95" customHeight="1">
      <c r="A35" s="11" t="s">
        <v>326</v>
      </c>
      <c r="B35" s="12" t="s">
        <v>327</v>
      </c>
      <c r="C35" s="9" t="s">
        <v>541</v>
      </c>
      <c r="D35" s="9" t="s">
        <v>109</v>
      </c>
      <c r="E35" s="21">
        <v>136000</v>
      </c>
      <c r="F35" s="64">
        <v>370.53199999999998</v>
      </c>
      <c r="G35" s="68">
        <v>1.3380169174910935E-2</v>
      </c>
    </row>
    <row r="36" spans="1:7" ht="12.95" customHeight="1">
      <c r="A36" s="11" t="s">
        <v>357</v>
      </c>
      <c r="B36" s="12" t="s">
        <v>358</v>
      </c>
      <c r="C36" s="9" t="s">
        <v>555</v>
      </c>
      <c r="D36" s="9" t="s">
        <v>60</v>
      </c>
      <c r="E36" s="21">
        <v>82000</v>
      </c>
      <c r="F36" s="64">
        <v>358.46300000000002</v>
      </c>
      <c r="G36" s="68">
        <v>1.2944349159981052E-2</v>
      </c>
    </row>
    <row r="37" spans="1:7" ht="12.95" customHeight="1">
      <c r="A37" s="11" t="s">
        <v>78</v>
      </c>
      <c r="B37" s="12" t="s">
        <v>79</v>
      </c>
      <c r="C37" s="9" t="s">
        <v>448</v>
      </c>
      <c r="D37" s="9" t="s">
        <v>80</v>
      </c>
      <c r="E37" s="21">
        <v>35953</v>
      </c>
      <c r="F37" s="64">
        <v>350.73949149999999</v>
      </c>
      <c r="G37" s="68">
        <v>1.2665447876545713E-2</v>
      </c>
    </row>
    <row r="38" spans="1:7" ht="12.95" customHeight="1">
      <c r="A38" s="11" t="s">
        <v>89</v>
      </c>
      <c r="B38" s="12" t="s">
        <v>90</v>
      </c>
      <c r="C38" s="9" t="s">
        <v>452</v>
      </c>
      <c r="D38" s="9" t="s">
        <v>60</v>
      </c>
      <c r="E38" s="21">
        <v>24197</v>
      </c>
      <c r="F38" s="64">
        <v>327.05875049999997</v>
      </c>
      <c r="G38" s="68">
        <v>1.1810319788371819E-2</v>
      </c>
    </row>
    <row r="39" spans="1:7" ht="12.95" customHeight="1">
      <c r="A39" s="11" t="s">
        <v>94</v>
      </c>
      <c r="B39" s="12" t="s">
        <v>95</v>
      </c>
      <c r="C39" s="9" t="s">
        <v>454</v>
      </c>
      <c r="D39" s="9" t="s">
        <v>96</v>
      </c>
      <c r="E39" s="21">
        <v>112500</v>
      </c>
      <c r="F39" s="64">
        <v>320.85000000000002</v>
      </c>
      <c r="G39" s="68">
        <v>1.1586117473713941E-2</v>
      </c>
    </row>
    <row r="40" spans="1:7" ht="12.95" customHeight="1">
      <c r="A40" s="11" t="s">
        <v>103</v>
      </c>
      <c r="B40" s="12" t="s">
        <v>104</v>
      </c>
      <c r="C40" s="9" t="s">
        <v>458</v>
      </c>
      <c r="D40" s="9" t="s">
        <v>39</v>
      </c>
      <c r="E40" s="21">
        <v>380500</v>
      </c>
      <c r="F40" s="64">
        <v>317.52724999999998</v>
      </c>
      <c r="G40" s="68">
        <v>1.1466130651723031E-2</v>
      </c>
    </row>
    <row r="41" spans="1:7" ht="12.95" customHeight="1">
      <c r="A41" s="11" t="s">
        <v>240</v>
      </c>
      <c r="B41" s="12" t="s">
        <v>241</v>
      </c>
      <c r="C41" s="9" t="s">
        <v>510</v>
      </c>
      <c r="D41" s="9" t="s">
        <v>46</v>
      </c>
      <c r="E41" s="21">
        <v>38100</v>
      </c>
      <c r="F41" s="64">
        <v>312.01994999999999</v>
      </c>
      <c r="G41" s="68">
        <v>1.1267258204277233E-2</v>
      </c>
    </row>
    <row r="42" spans="1:7" ht="12.95" customHeight="1">
      <c r="A42" s="11" t="s">
        <v>71</v>
      </c>
      <c r="B42" s="12" t="s">
        <v>72</v>
      </c>
      <c r="C42" s="9" t="s">
        <v>445</v>
      </c>
      <c r="D42" s="9" t="s">
        <v>73</v>
      </c>
      <c r="E42" s="21">
        <v>94000</v>
      </c>
      <c r="F42" s="64">
        <v>302.30399999999997</v>
      </c>
      <c r="G42" s="68">
        <v>1.091640846742596E-2</v>
      </c>
    </row>
    <row r="43" spans="1:7" ht="12.95" customHeight="1">
      <c r="A43" s="11" t="s">
        <v>117</v>
      </c>
      <c r="B43" s="12" t="s">
        <v>118</v>
      </c>
      <c r="C43" s="9" t="s">
        <v>464</v>
      </c>
      <c r="D43" s="9" t="s">
        <v>60</v>
      </c>
      <c r="E43" s="21">
        <v>270000</v>
      </c>
      <c r="F43" s="64">
        <v>300.51</v>
      </c>
      <c r="G43" s="68">
        <v>1.0851625875099817E-2</v>
      </c>
    </row>
    <row r="44" spans="1:7" ht="12.95" customHeight="1">
      <c r="A44" s="11" t="s">
        <v>359</v>
      </c>
      <c r="B44" s="12" t="s">
        <v>360</v>
      </c>
      <c r="C44" s="9" t="s">
        <v>556</v>
      </c>
      <c r="D44" s="9" t="s">
        <v>46</v>
      </c>
      <c r="E44" s="21">
        <v>72000</v>
      </c>
      <c r="F44" s="64">
        <v>273.42</v>
      </c>
      <c r="G44" s="68">
        <v>9.8733870645562275E-3</v>
      </c>
    </row>
    <row r="45" spans="1:7" ht="12.95" customHeight="1">
      <c r="A45" s="11" t="s">
        <v>149</v>
      </c>
      <c r="B45" s="12" t="s">
        <v>150</v>
      </c>
      <c r="C45" s="9" t="s">
        <v>478</v>
      </c>
      <c r="D45" s="9" t="s">
        <v>54</v>
      </c>
      <c r="E45" s="21">
        <v>264809</v>
      </c>
      <c r="F45" s="64">
        <v>268.78113500000001</v>
      </c>
      <c r="G45" s="68">
        <v>9.7058744111833111E-3</v>
      </c>
    </row>
    <row r="46" spans="1:7" ht="12.95" customHeight="1">
      <c r="A46" s="11" t="s">
        <v>124</v>
      </c>
      <c r="B46" s="12" t="s">
        <v>125</v>
      </c>
      <c r="C46" s="9" t="s">
        <v>467</v>
      </c>
      <c r="D46" s="9" t="s">
        <v>36</v>
      </c>
      <c r="E46" s="21">
        <v>150000</v>
      </c>
      <c r="F46" s="64">
        <v>264.22500000000002</v>
      </c>
      <c r="G46" s="68">
        <v>9.5413491958611998E-3</v>
      </c>
    </row>
    <row r="47" spans="1:7" ht="12.95" customHeight="1">
      <c r="A47" s="11" t="s">
        <v>133</v>
      </c>
      <c r="B47" s="12" t="s">
        <v>134</v>
      </c>
      <c r="C47" s="9" t="s">
        <v>471</v>
      </c>
      <c r="D47" s="9" t="s">
        <v>135</v>
      </c>
      <c r="E47" s="21">
        <v>267500</v>
      </c>
      <c r="F47" s="64">
        <v>250.91499999999999</v>
      </c>
      <c r="G47" s="68">
        <v>9.0607158046343561E-3</v>
      </c>
    </row>
    <row r="48" spans="1:7" ht="12.95" customHeight="1">
      <c r="A48" s="11" t="s">
        <v>361</v>
      </c>
      <c r="B48" s="12" t="s">
        <v>190</v>
      </c>
      <c r="C48" s="9" t="s">
        <v>557</v>
      </c>
      <c r="D48" s="9" t="s">
        <v>191</v>
      </c>
      <c r="E48" s="21">
        <v>91000</v>
      </c>
      <c r="F48" s="64">
        <v>244.9265</v>
      </c>
      <c r="G48" s="68">
        <v>8.8444668892803408E-3</v>
      </c>
    </row>
    <row r="49" spans="1:7" ht="12.95" customHeight="1">
      <c r="A49" s="11" t="s">
        <v>119</v>
      </c>
      <c r="B49" s="12" t="s">
        <v>120</v>
      </c>
      <c r="C49" s="9" t="s">
        <v>465</v>
      </c>
      <c r="D49" s="9" t="s">
        <v>67</v>
      </c>
      <c r="E49" s="21">
        <v>8174</v>
      </c>
      <c r="F49" s="64">
        <v>222.94993700000001</v>
      </c>
      <c r="G49" s="68">
        <v>8.050877858311118E-3</v>
      </c>
    </row>
    <row r="50" spans="1:7" ht="12.95" customHeight="1">
      <c r="A50" s="11" t="s">
        <v>362</v>
      </c>
      <c r="B50" s="12" t="s">
        <v>363</v>
      </c>
      <c r="C50" s="9" t="s">
        <v>558</v>
      </c>
      <c r="D50" s="9" t="s">
        <v>86</v>
      </c>
      <c r="E50" s="21">
        <v>111925</v>
      </c>
      <c r="F50" s="64">
        <v>218.25375</v>
      </c>
      <c r="G50" s="68">
        <v>7.8812952675037986E-3</v>
      </c>
    </row>
    <row r="51" spans="1:7" ht="12.95" customHeight="1">
      <c r="A51" s="11" t="s">
        <v>126</v>
      </c>
      <c r="B51" s="12" t="s">
        <v>127</v>
      </c>
      <c r="C51" s="9" t="s">
        <v>468</v>
      </c>
      <c r="D51" s="9" t="s">
        <v>128</v>
      </c>
      <c r="E51" s="21">
        <v>701959</v>
      </c>
      <c r="F51" s="64">
        <v>205.67398700000001</v>
      </c>
      <c r="G51" s="68">
        <v>7.4270312440988433E-3</v>
      </c>
    </row>
    <row r="52" spans="1:7" ht="12.95" customHeight="1">
      <c r="A52" s="11" t="s">
        <v>364</v>
      </c>
      <c r="B52" s="12" t="s">
        <v>365</v>
      </c>
      <c r="C52" s="9" t="s">
        <v>559</v>
      </c>
      <c r="D52" s="9" t="s">
        <v>83</v>
      </c>
      <c r="E52" s="21">
        <v>168514</v>
      </c>
      <c r="F52" s="64">
        <v>178.287812</v>
      </c>
      <c r="G52" s="68">
        <v>6.4380973475562601E-3</v>
      </c>
    </row>
    <row r="53" spans="1:7" ht="12.95" customHeight="1">
      <c r="A53" s="11" t="s">
        <v>366</v>
      </c>
      <c r="B53" s="12" t="s">
        <v>367</v>
      </c>
      <c r="C53" s="9" t="s">
        <v>560</v>
      </c>
      <c r="D53" s="9" t="s">
        <v>46</v>
      </c>
      <c r="E53" s="21">
        <v>9639</v>
      </c>
      <c r="F53" s="64">
        <v>170.27293499999999</v>
      </c>
      <c r="G53" s="68">
        <v>6.1486745441921712E-3</v>
      </c>
    </row>
    <row r="54" spans="1:7" ht="12.95" customHeight="1">
      <c r="A54" s="11" t="s">
        <v>163</v>
      </c>
      <c r="B54" s="12" t="s">
        <v>164</v>
      </c>
      <c r="C54" s="9" t="s">
        <v>484</v>
      </c>
      <c r="D54" s="9" t="s">
        <v>70</v>
      </c>
      <c r="E54" s="21">
        <v>392535</v>
      </c>
      <c r="F54" s="64">
        <v>165.0609675</v>
      </c>
      <c r="G54" s="68">
        <v>5.9604667594822464E-3</v>
      </c>
    </row>
    <row r="55" spans="1:7" ht="12.95" customHeight="1">
      <c r="A55" s="11" t="s">
        <v>368</v>
      </c>
      <c r="B55" s="12" t="s">
        <v>369</v>
      </c>
      <c r="C55" s="9" t="s">
        <v>561</v>
      </c>
      <c r="D55" s="9" t="s">
        <v>70</v>
      </c>
      <c r="E55" s="21">
        <v>250000</v>
      </c>
      <c r="F55" s="64">
        <v>163.625</v>
      </c>
      <c r="G55" s="68">
        <v>5.908612970660569E-3</v>
      </c>
    </row>
    <row r="56" spans="1:7" ht="12.95" customHeight="1">
      <c r="A56" s="11" t="s">
        <v>284</v>
      </c>
      <c r="B56" s="12" t="s">
        <v>285</v>
      </c>
      <c r="C56" s="9" t="s">
        <v>523</v>
      </c>
      <c r="D56" s="9" t="s">
        <v>286</v>
      </c>
      <c r="E56" s="21">
        <v>50400</v>
      </c>
      <c r="F56" s="64">
        <v>157.6764</v>
      </c>
      <c r="G56" s="68">
        <v>5.6938048721592921E-3</v>
      </c>
    </row>
    <row r="57" spans="1:7" ht="12.95" customHeight="1">
      <c r="A57" s="11" t="s">
        <v>146</v>
      </c>
      <c r="B57" s="12" t="s">
        <v>147</v>
      </c>
      <c r="C57" s="9" t="s">
        <v>477</v>
      </c>
      <c r="D57" s="9" t="s">
        <v>148</v>
      </c>
      <c r="E57" s="21">
        <v>128835</v>
      </c>
      <c r="F57" s="64">
        <v>148.67559</v>
      </c>
      <c r="G57" s="68">
        <v>5.3687793399212393E-3</v>
      </c>
    </row>
    <row r="58" spans="1:7" ht="12.95" customHeight="1">
      <c r="A58" s="11" t="s">
        <v>153</v>
      </c>
      <c r="B58" s="12" t="s">
        <v>154</v>
      </c>
      <c r="C58" s="9" t="s">
        <v>480</v>
      </c>
      <c r="D58" s="9" t="s">
        <v>73</v>
      </c>
      <c r="E58" s="21">
        <v>125672</v>
      </c>
      <c r="F58" s="64">
        <v>130.38470000000001</v>
      </c>
      <c r="G58" s="68">
        <v>4.7082825338162692E-3</v>
      </c>
    </row>
    <row r="59" spans="1:7" ht="12.95" customHeight="1">
      <c r="A59" s="11" t="s">
        <v>370</v>
      </c>
      <c r="B59" s="12" t="s">
        <v>371</v>
      </c>
      <c r="C59" s="9" t="s">
        <v>562</v>
      </c>
      <c r="D59" s="9" t="s">
        <v>60</v>
      </c>
      <c r="E59" s="21">
        <v>7700</v>
      </c>
      <c r="F59" s="64">
        <v>121.33275</v>
      </c>
      <c r="G59" s="68">
        <v>4.3814103004792427E-3</v>
      </c>
    </row>
    <row r="60" spans="1:7" ht="12.95" customHeight="1">
      <c r="A60" s="11" t="s">
        <v>151</v>
      </c>
      <c r="B60" s="12" t="s">
        <v>152</v>
      </c>
      <c r="C60" s="9" t="s">
        <v>479</v>
      </c>
      <c r="D60" s="9" t="s">
        <v>54</v>
      </c>
      <c r="E60" s="21">
        <v>40000</v>
      </c>
      <c r="F60" s="64">
        <v>107.56</v>
      </c>
      <c r="G60" s="68">
        <v>3.8840666837234579E-3</v>
      </c>
    </row>
    <row r="61" spans="1:7" ht="12.95" customHeight="1">
      <c r="A61" s="11" t="s">
        <v>372</v>
      </c>
      <c r="B61" s="12" t="s">
        <v>373</v>
      </c>
      <c r="C61" s="9" t="s">
        <v>563</v>
      </c>
      <c r="D61" s="9" t="s">
        <v>123</v>
      </c>
      <c r="E61" s="21">
        <v>24000</v>
      </c>
      <c r="F61" s="64">
        <v>76.38</v>
      </c>
      <c r="G61" s="68">
        <v>2.7581351180996439E-3</v>
      </c>
    </row>
    <row r="62" spans="1:7" ht="12.95" customHeight="1">
      <c r="A62" s="11" t="s">
        <v>165</v>
      </c>
      <c r="B62" s="12" t="s">
        <v>166</v>
      </c>
      <c r="C62" s="9" t="s">
        <v>485</v>
      </c>
      <c r="D62" s="9" t="s">
        <v>93</v>
      </c>
      <c r="E62" s="21">
        <v>27129</v>
      </c>
      <c r="F62" s="64">
        <v>60.104299500000003</v>
      </c>
      <c r="G62" s="68">
        <v>2.1704082115701607E-3</v>
      </c>
    </row>
    <row r="63" spans="1:7" ht="12.95" customHeight="1">
      <c r="A63" s="11" t="s">
        <v>374</v>
      </c>
      <c r="B63" s="12" t="s">
        <v>375</v>
      </c>
      <c r="C63" s="9" t="s">
        <v>564</v>
      </c>
      <c r="D63" s="9" t="s">
        <v>67</v>
      </c>
      <c r="E63" s="21">
        <v>21224</v>
      </c>
      <c r="F63" s="64">
        <v>19.993008</v>
      </c>
      <c r="G63" s="68">
        <v>7.2196147527163034E-4</v>
      </c>
    </row>
    <row r="64" spans="1:7" ht="12.95" customHeight="1">
      <c r="A64" s="11" t="s">
        <v>245</v>
      </c>
      <c r="B64" s="12" t="s">
        <v>246</v>
      </c>
      <c r="C64" s="9" t="s">
        <v>512</v>
      </c>
      <c r="D64" s="9" t="s">
        <v>67</v>
      </c>
      <c r="E64" s="21">
        <v>2853</v>
      </c>
      <c r="F64" s="64">
        <v>13.3220835</v>
      </c>
      <c r="G64" s="68">
        <v>4.8106973484689469E-4</v>
      </c>
    </row>
    <row r="65" spans="1:7" ht="12.95" customHeight="1">
      <c r="A65" s="1"/>
      <c r="B65" s="8" t="s">
        <v>11</v>
      </c>
      <c r="C65" s="22"/>
      <c r="D65" s="9" t="s">
        <v>1</v>
      </c>
      <c r="E65" s="9" t="s">
        <v>1</v>
      </c>
      <c r="F65" s="65">
        <v>27357.251175000001</v>
      </c>
      <c r="G65" s="69">
        <v>0.98788943703116328</v>
      </c>
    </row>
    <row r="66" spans="1:7" ht="12.95" customHeight="1">
      <c r="A66" s="1"/>
      <c r="B66" s="14" t="s">
        <v>171</v>
      </c>
      <c r="C66" s="23"/>
      <c r="D66" s="15" t="s">
        <v>1</v>
      </c>
      <c r="E66" s="67" t="s">
        <v>172</v>
      </c>
      <c r="F66" s="67" t="s">
        <v>172</v>
      </c>
      <c r="G66" s="69" t="s">
        <v>172</v>
      </c>
    </row>
    <row r="67" spans="1:7" ht="12.95" customHeight="1">
      <c r="A67" s="1"/>
      <c r="B67" s="14" t="s">
        <v>11</v>
      </c>
      <c r="C67" s="23"/>
      <c r="D67" s="15" t="s">
        <v>1</v>
      </c>
      <c r="E67" s="67" t="s">
        <v>172</v>
      </c>
      <c r="F67" s="67" t="s">
        <v>172</v>
      </c>
      <c r="G67" s="69" t="s">
        <v>172</v>
      </c>
    </row>
    <row r="68" spans="1:7" ht="12.95" customHeight="1">
      <c r="A68" s="1"/>
      <c r="B68" s="14" t="s">
        <v>12</v>
      </c>
      <c r="C68" s="23"/>
      <c r="D68" s="15" t="s">
        <v>1</v>
      </c>
      <c r="E68" s="16" t="s">
        <v>1</v>
      </c>
      <c r="F68" s="65">
        <v>27357.251175000001</v>
      </c>
      <c r="G68" s="69">
        <v>0.98788943703116328</v>
      </c>
    </row>
    <row r="69" spans="1:7" ht="12.95" customHeight="1">
      <c r="A69" s="1"/>
      <c r="B69" s="47"/>
      <c r="C69" s="37"/>
      <c r="D69" s="38"/>
      <c r="E69" s="38"/>
      <c r="F69" s="83"/>
      <c r="G69" s="87"/>
    </row>
    <row r="70" spans="1:7" ht="12.95" customHeight="1">
      <c r="A70" s="1"/>
      <c r="B70" s="36" t="s">
        <v>420</v>
      </c>
      <c r="C70" s="53"/>
      <c r="D70" s="54"/>
      <c r="E70" s="54"/>
      <c r="F70" s="84"/>
      <c r="G70" s="88"/>
    </row>
    <row r="71" spans="1:7" ht="12.95" customHeight="1">
      <c r="A71" s="11" t="s">
        <v>422</v>
      </c>
      <c r="B71" s="41" t="s">
        <v>425</v>
      </c>
      <c r="C71" s="37"/>
      <c r="D71" s="38"/>
      <c r="E71" s="67" t="s">
        <v>172</v>
      </c>
      <c r="F71" s="67" t="s">
        <v>172</v>
      </c>
      <c r="G71" s="69" t="s">
        <v>172</v>
      </c>
    </row>
    <row r="72" spans="1:7" ht="12.95" customHeight="1">
      <c r="A72" s="1"/>
      <c r="B72" s="42" t="s">
        <v>423</v>
      </c>
      <c r="C72" s="37"/>
      <c r="D72" s="38"/>
      <c r="E72" s="67" t="s">
        <v>172</v>
      </c>
      <c r="F72" s="67" t="s">
        <v>172</v>
      </c>
      <c r="G72" s="69" t="s">
        <v>172</v>
      </c>
    </row>
    <row r="73" spans="1:7" ht="12.95" customHeight="1">
      <c r="A73" s="1"/>
      <c r="B73" s="42" t="s">
        <v>424</v>
      </c>
      <c r="C73" s="37"/>
      <c r="D73" s="38"/>
      <c r="E73" s="67" t="s">
        <v>172</v>
      </c>
      <c r="F73" s="67" t="s">
        <v>172</v>
      </c>
      <c r="G73" s="69" t="s">
        <v>172</v>
      </c>
    </row>
    <row r="74" spans="1:7" ht="12.95" customHeight="1">
      <c r="A74" s="1"/>
      <c r="B74" s="43"/>
      <c r="C74" s="44"/>
      <c r="D74" s="45"/>
      <c r="E74" s="55"/>
      <c r="F74" s="85"/>
      <c r="G74" s="89"/>
    </row>
    <row r="75" spans="1:7" ht="12.95" customHeight="1">
      <c r="A75" s="1"/>
      <c r="B75" s="8" t="s">
        <v>7</v>
      </c>
      <c r="C75" s="22"/>
      <c r="D75" s="9" t="s">
        <v>1</v>
      </c>
      <c r="E75" s="9" t="s">
        <v>1</v>
      </c>
      <c r="F75" s="77" t="s">
        <v>1</v>
      </c>
      <c r="G75" s="74" t="s">
        <v>1</v>
      </c>
    </row>
    <row r="76" spans="1:7" ht="12.95" customHeight="1">
      <c r="A76" s="11" t="s">
        <v>8</v>
      </c>
      <c r="B76" s="12" t="s">
        <v>9</v>
      </c>
      <c r="C76" s="9"/>
      <c r="D76" s="9" t="s">
        <v>10</v>
      </c>
      <c r="E76" s="21"/>
      <c r="F76" s="64">
        <v>121.96332940000001</v>
      </c>
      <c r="G76" s="68">
        <v>4.4041809627977848E-3</v>
      </c>
    </row>
    <row r="77" spans="1:7" ht="12.95" customHeight="1">
      <c r="A77" s="1"/>
      <c r="B77" s="8" t="s">
        <v>11</v>
      </c>
      <c r="C77" s="22"/>
      <c r="D77" s="9" t="s">
        <v>1</v>
      </c>
      <c r="E77" s="9" t="s">
        <v>1</v>
      </c>
      <c r="F77" s="65">
        <v>121.96332940000001</v>
      </c>
      <c r="G77" s="69">
        <v>4.4041809627977848E-3</v>
      </c>
    </row>
    <row r="78" spans="1:7" ht="12.95" customHeight="1">
      <c r="A78" s="1"/>
      <c r="B78" s="14" t="s">
        <v>12</v>
      </c>
      <c r="C78" s="23"/>
      <c r="D78" s="15" t="s">
        <v>1</v>
      </c>
      <c r="E78" s="16" t="s">
        <v>1</v>
      </c>
      <c r="F78" s="65">
        <v>121.96332940000001</v>
      </c>
      <c r="G78" s="69">
        <v>4.4041809627977848E-3</v>
      </c>
    </row>
    <row r="79" spans="1:7" ht="12.95" customHeight="1">
      <c r="A79" s="1"/>
      <c r="B79" s="14" t="s">
        <v>13</v>
      </c>
      <c r="C79" s="23"/>
      <c r="D79" s="15" t="s">
        <v>1</v>
      </c>
      <c r="E79" s="9" t="s">
        <v>1</v>
      </c>
      <c r="F79" s="65">
        <v>213.40994273940001</v>
      </c>
      <c r="G79" s="69">
        <v>7.7063820060389631E-3</v>
      </c>
    </row>
    <row r="80" spans="1:7" ht="12.95" customHeight="1" thickBot="1">
      <c r="A80" s="1"/>
      <c r="B80" s="17" t="s">
        <v>14</v>
      </c>
      <c r="C80" s="24"/>
      <c r="D80" s="18" t="s">
        <v>1</v>
      </c>
      <c r="E80" s="18" t="s">
        <v>1</v>
      </c>
      <c r="F80" s="66">
        <v>27692.624447139398</v>
      </c>
      <c r="G80" s="70">
        <v>1</v>
      </c>
    </row>
    <row r="81" spans="1:7" ht="12.95" customHeight="1">
      <c r="A81" s="1"/>
      <c r="B81" s="4" t="s">
        <v>1</v>
      </c>
      <c r="C81" s="4"/>
      <c r="D81" s="1"/>
      <c r="E81" s="1"/>
      <c r="F81" s="72"/>
      <c r="G81" s="75"/>
    </row>
    <row r="82" spans="1:7" ht="12.95" customHeight="1" thickBot="1">
      <c r="A82" s="1"/>
      <c r="B82" s="2" t="s">
        <v>10</v>
      </c>
      <c r="C82" s="2"/>
      <c r="D82" s="1"/>
      <c r="E82" s="1"/>
      <c r="F82" s="72"/>
      <c r="G82" s="75"/>
    </row>
    <row r="83" spans="1:7" ht="12.95" customHeight="1" thickBot="1">
      <c r="A83" s="1"/>
      <c r="B83" s="97" t="s">
        <v>572</v>
      </c>
      <c r="C83" s="99">
        <f>(56.13/100)</f>
        <v>0.56130000000000002</v>
      </c>
      <c r="D83" s="1"/>
      <c r="E83" s="1"/>
      <c r="F83" s="72"/>
      <c r="G83" s="75"/>
    </row>
    <row r="84" spans="1:7" ht="12.95" hidden="1" customHeight="1">
      <c r="A84" s="1"/>
      <c r="B84" s="97" t="s">
        <v>572</v>
      </c>
      <c r="C84" s="98">
        <v>0.53</v>
      </c>
      <c r="D84" s="1"/>
      <c r="E84" s="1"/>
      <c r="F84" s="72"/>
      <c r="G84" s="75"/>
    </row>
    <row r="85" spans="1:7" ht="12.95" hidden="1" customHeight="1">
      <c r="A85" s="1"/>
      <c r="B85" s="97" t="s">
        <v>572</v>
      </c>
      <c r="C85" s="98">
        <v>0.53</v>
      </c>
      <c r="D85" s="1"/>
      <c r="E85" s="1"/>
      <c r="F85" s="72"/>
      <c r="G85" s="75"/>
    </row>
    <row r="86" spans="1:7" ht="12.95" hidden="1" customHeight="1">
      <c r="A86" s="1"/>
      <c r="B86" s="97" t="s">
        <v>572</v>
      </c>
      <c r="C86" s="98">
        <v>0.53</v>
      </c>
      <c r="D86" s="1"/>
      <c r="E86" s="1"/>
      <c r="F86" s="72"/>
      <c r="G86" s="75"/>
    </row>
    <row r="87" spans="1:7" ht="12.95" hidden="1" customHeight="1">
      <c r="A87" s="1"/>
      <c r="B87" s="97" t="s">
        <v>572</v>
      </c>
      <c r="C87" s="98">
        <v>0.53</v>
      </c>
      <c r="D87" s="1"/>
      <c r="E87" s="1"/>
      <c r="F87" s="72"/>
      <c r="G87" s="75"/>
    </row>
    <row r="88" spans="1:7" ht="12.95" hidden="1" customHeight="1">
      <c r="A88" s="1"/>
      <c r="B88" s="97" t="s">
        <v>572</v>
      </c>
      <c r="C88" s="98">
        <v>0.53</v>
      </c>
      <c r="D88" s="1"/>
      <c r="E88" s="1"/>
      <c r="F88" s="72"/>
      <c r="G88" s="75"/>
    </row>
    <row r="89" spans="1:7" ht="12.95" hidden="1" customHeight="1">
      <c r="A89" s="1"/>
      <c r="B89" s="97" t="s">
        <v>572</v>
      </c>
      <c r="C89" s="98">
        <v>0.53</v>
      </c>
      <c r="D89" s="1"/>
      <c r="E89" s="1"/>
      <c r="F89" s="72"/>
      <c r="G89" s="75"/>
    </row>
    <row r="90" spans="1:7" ht="12.95" hidden="1" customHeight="1">
      <c r="A90" s="1"/>
      <c r="B90" s="97" t="s">
        <v>572</v>
      </c>
      <c r="C90" s="98">
        <v>0.53</v>
      </c>
      <c r="D90" s="1"/>
      <c r="E90" s="1"/>
      <c r="F90" s="72"/>
      <c r="G90" s="75"/>
    </row>
    <row r="91" spans="1:7" ht="12.95" hidden="1" customHeight="1">
      <c r="A91" s="1"/>
      <c r="B91" s="97" t="s">
        <v>572</v>
      </c>
      <c r="C91" s="98">
        <v>0.53</v>
      </c>
      <c r="D91" s="3" t="s">
        <v>18</v>
      </c>
      <c r="E91" s="1"/>
      <c r="F91" s="72"/>
      <c r="G91" s="75"/>
    </row>
    <row r="92" spans="1:7" ht="12.95" hidden="1" customHeight="1">
      <c r="A92" s="1"/>
      <c r="B92" s="97" t="s">
        <v>572</v>
      </c>
      <c r="C92" s="98">
        <v>0.53</v>
      </c>
      <c r="D92" s="19">
        <v>17.559999999999999</v>
      </c>
      <c r="E92" s="1"/>
      <c r="F92" s="72"/>
      <c r="G92" s="75"/>
    </row>
    <row r="93" spans="1:7" ht="12.95" hidden="1" customHeight="1">
      <c r="A93" s="1"/>
      <c r="B93" s="97" t="s">
        <v>572</v>
      </c>
      <c r="C93" s="98">
        <v>0.53</v>
      </c>
      <c r="D93" s="19">
        <v>17.518999999999998</v>
      </c>
      <c r="E93" s="1"/>
      <c r="F93" s="72"/>
      <c r="G93" s="75"/>
    </row>
    <row r="94" spans="1:7" ht="12.95" hidden="1" customHeight="1">
      <c r="A94" s="1"/>
      <c r="B94" s="97" t="s">
        <v>572</v>
      </c>
      <c r="C94" s="98">
        <v>0.53</v>
      </c>
      <c r="D94" s="19">
        <v>13.079000000000001</v>
      </c>
      <c r="E94" s="1"/>
      <c r="F94" s="72"/>
      <c r="G94" s="75"/>
    </row>
    <row r="95" spans="1:7" ht="12.95" hidden="1" customHeight="1">
      <c r="A95" s="1"/>
      <c r="B95" s="97" t="s">
        <v>572</v>
      </c>
      <c r="C95" s="98">
        <v>0.53</v>
      </c>
      <c r="D95" s="19">
        <v>11.686</v>
      </c>
      <c r="E95" s="1"/>
      <c r="F95" s="72"/>
      <c r="G95" s="75"/>
    </row>
    <row r="96" spans="1:7" ht="12.95" hidden="1" customHeight="1">
      <c r="A96" s="1"/>
      <c r="B96" s="97" t="s">
        <v>572</v>
      </c>
      <c r="C96" s="98">
        <v>0.53</v>
      </c>
      <c r="D96" s="20" t="s">
        <v>23</v>
      </c>
      <c r="E96" s="1"/>
      <c r="F96" s="72"/>
      <c r="G96" s="75"/>
    </row>
    <row r="97" spans="1:7" ht="12.95" hidden="1" customHeight="1">
      <c r="A97" s="1"/>
      <c r="B97" s="97" t="s">
        <v>572</v>
      </c>
      <c r="C97" s="98">
        <v>0.53</v>
      </c>
      <c r="D97" s="20" t="s">
        <v>23</v>
      </c>
      <c r="E97" s="1"/>
      <c r="F97" s="72"/>
      <c r="G97" s="75"/>
    </row>
    <row r="98" spans="1:7" ht="12.95" hidden="1" customHeight="1">
      <c r="A98" s="1"/>
      <c r="B98" s="97" t="s">
        <v>572</v>
      </c>
      <c r="C98" s="98">
        <v>0.53</v>
      </c>
      <c r="D98" s="1"/>
      <c r="E98" s="1"/>
      <c r="F98" s="72"/>
      <c r="G98" s="75"/>
    </row>
    <row r="99" spans="1:7" ht="12.95" hidden="1" customHeight="1">
      <c r="A99" s="1"/>
      <c r="B99" s="97" t="s">
        <v>572</v>
      </c>
      <c r="C99" s="98">
        <v>0.53</v>
      </c>
      <c r="D99" s="1"/>
      <c r="E99" s="1"/>
      <c r="F99" s="72"/>
      <c r="G99" s="75"/>
    </row>
    <row r="100" spans="1:7" ht="12.95" hidden="1" customHeight="1">
      <c r="A100" s="1"/>
      <c r="B100" s="97" t="s">
        <v>572</v>
      </c>
      <c r="C100" s="98">
        <v>0.53</v>
      </c>
      <c r="D100" s="1"/>
      <c r="E100" s="1"/>
      <c r="F100" s="72"/>
      <c r="G100" s="75"/>
    </row>
    <row r="101" spans="1:7" ht="12.95" hidden="1" customHeight="1">
      <c r="A101" s="1"/>
      <c r="B101" s="97" t="s">
        <v>572</v>
      </c>
      <c r="C101" s="98">
        <v>0.53</v>
      </c>
      <c r="D101" s="1"/>
      <c r="E101" s="1"/>
      <c r="F101" s="72"/>
      <c r="G101" s="75"/>
    </row>
    <row r="102" spans="1:7" ht="12.95" hidden="1" customHeight="1">
      <c r="A102" s="1"/>
      <c r="B102" s="97" t="s">
        <v>572</v>
      </c>
      <c r="C102" s="98">
        <v>0.53</v>
      </c>
      <c r="D102" s="4" t="s">
        <v>27</v>
      </c>
      <c r="E102" s="1"/>
      <c r="F102" s="72"/>
      <c r="G102" s="75"/>
    </row>
    <row r="103" spans="1:7" ht="12.95" hidden="1" customHeight="1">
      <c r="A103" s="1"/>
      <c r="B103" s="97" t="s">
        <v>572</v>
      </c>
      <c r="C103" s="98">
        <v>0.53</v>
      </c>
      <c r="D103" s="4" t="s">
        <v>27</v>
      </c>
      <c r="E103" s="1"/>
      <c r="F103" s="72"/>
      <c r="G103" s="75"/>
    </row>
    <row r="104" spans="1:7" ht="12.95" hidden="1" customHeight="1">
      <c r="A104" s="1"/>
      <c r="B104" s="97" t="s">
        <v>572</v>
      </c>
      <c r="C104" s="98">
        <v>0.53</v>
      </c>
      <c r="D104" s="1"/>
      <c r="E104" s="1"/>
      <c r="F104" s="72"/>
      <c r="G104" s="75"/>
    </row>
    <row r="105" spans="1:7" ht="12.95" hidden="1" customHeight="1">
      <c r="A105" s="1"/>
      <c r="B105" s="97" t="s">
        <v>572</v>
      </c>
      <c r="C105" s="98">
        <v>0.53</v>
      </c>
      <c r="D105" s="1"/>
      <c r="E105" s="1"/>
      <c r="F105" s="72"/>
      <c r="G105" s="75"/>
    </row>
    <row r="106" spans="1:7" ht="13.5" thickBot="1">
      <c r="B106" s="97"/>
      <c r="C106" s="98"/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56"/>
  <sheetViews>
    <sheetView zoomScaleNormal="100" workbookViewId="0"/>
  </sheetViews>
  <sheetFormatPr defaultRowHeight="12.75"/>
  <cols>
    <col min="1" max="1" width="11.42578125" bestFit="1" customWidth="1"/>
    <col min="2" max="2" width="87.28515625" bestFit="1" customWidth="1"/>
    <col min="3" max="3" width="16.85546875" bestFit="1" customWidth="1"/>
    <col min="4" max="4" width="18.28515625" bestFit="1" customWidth="1"/>
    <col min="5" max="5" width="7.7109375" bestFit="1" customWidth="1"/>
    <col min="6" max="6" width="15.28515625" bestFit="1" customWidth="1"/>
    <col min="7" max="7" width="8" style="76" bestFit="1" customWidth="1"/>
  </cols>
  <sheetData>
    <row r="1" spans="1:7" ht="15.95" customHeight="1">
      <c r="A1" s="1"/>
      <c r="B1" s="2" t="s">
        <v>376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</v>
      </c>
      <c r="E4" s="7" t="s">
        <v>4</v>
      </c>
      <c r="F4" s="82" t="s">
        <v>5</v>
      </c>
      <c r="G4" s="86" t="s">
        <v>6</v>
      </c>
    </row>
    <row r="5" spans="1:7" ht="12.95" customHeight="1">
      <c r="A5" s="1"/>
      <c r="B5" s="56" t="s">
        <v>417</v>
      </c>
      <c r="C5" s="57"/>
      <c r="D5" s="58"/>
      <c r="E5" s="58"/>
      <c r="F5" s="90"/>
      <c r="G5" s="92"/>
    </row>
    <row r="6" spans="1:7" ht="12.95" customHeight="1">
      <c r="A6" s="1"/>
      <c r="B6" s="41" t="s">
        <v>418</v>
      </c>
      <c r="C6" s="59"/>
      <c r="D6" s="33"/>
      <c r="E6" s="100" t="s">
        <v>172</v>
      </c>
      <c r="F6" s="100" t="s">
        <v>172</v>
      </c>
      <c r="G6" s="102" t="s">
        <v>172</v>
      </c>
    </row>
    <row r="7" spans="1:7" ht="12.95" customHeight="1">
      <c r="A7" s="11" t="s">
        <v>419</v>
      </c>
      <c r="B7" s="42" t="s">
        <v>171</v>
      </c>
      <c r="C7" s="60"/>
      <c r="D7" s="33"/>
      <c r="E7" s="100" t="s">
        <v>172</v>
      </c>
      <c r="F7" s="100" t="s">
        <v>172</v>
      </c>
      <c r="G7" s="102" t="s">
        <v>172</v>
      </c>
    </row>
    <row r="8" spans="1:7" ht="12.95" customHeight="1">
      <c r="A8" s="11" t="s">
        <v>427</v>
      </c>
      <c r="B8" s="61"/>
      <c r="C8" s="62"/>
      <c r="D8" s="33"/>
      <c r="E8" s="33"/>
      <c r="F8" s="33"/>
      <c r="G8" s="93"/>
    </row>
    <row r="9" spans="1:7" ht="12.95" customHeight="1">
      <c r="A9" s="1"/>
      <c r="B9" s="36" t="s">
        <v>420</v>
      </c>
      <c r="C9" s="63"/>
      <c r="D9" s="33"/>
      <c r="E9" s="33"/>
      <c r="F9" s="33"/>
      <c r="G9" s="93"/>
    </row>
    <row r="10" spans="1:7" ht="12.95" customHeight="1">
      <c r="A10" s="1"/>
      <c r="B10" s="41" t="s">
        <v>425</v>
      </c>
      <c r="C10" s="59"/>
      <c r="D10" s="33"/>
      <c r="E10" s="100" t="s">
        <v>172</v>
      </c>
      <c r="F10" s="100" t="s">
        <v>172</v>
      </c>
      <c r="G10" s="102" t="s">
        <v>172</v>
      </c>
    </row>
    <row r="11" spans="1:7" ht="12.95" customHeight="1">
      <c r="A11" s="1"/>
      <c r="B11" s="42" t="s">
        <v>423</v>
      </c>
      <c r="C11" s="60"/>
      <c r="D11" s="33"/>
      <c r="E11" s="100" t="s">
        <v>172</v>
      </c>
      <c r="F11" s="100" t="s">
        <v>172</v>
      </c>
      <c r="G11" s="102" t="s">
        <v>172</v>
      </c>
    </row>
    <row r="12" spans="1:7" ht="12.95" customHeight="1">
      <c r="A12" s="11" t="s">
        <v>422</v>
      </c>
      <c r="B12" s="42" t="s">
        <v>424</v>
      </c>
      <c r="C12" s="60"/>
      <c r="D12" s="33"/>
      <c r="E12" s="100" t="s">
        <v>172</v>
      </c>
      <c r="F12" s="100" t="s">
        <v>172</v>
      </c>
      <c r="G12" s="102" t="s">
        <v>172</v>
      </c>
    </row>
    <row r="13" spans="1:7" ht="12.95" customHeight="1">
      <c r="A13" s="1"/>
      <c r="B13" s="8" t="s">
        <v>7</v>
      </c>
      <c r="C13" s="22"/>
      <c r="D13" s="9" t="s">
        <v>1</v>
      </c>
      <c r="E13" s="9" t="s">
        <v>1</v>
      </c>
      <c r="F13" s="77" t="s">
        <v>1</v>
      </c>
      <c r="G13" s="74" t="s">
        <v>1</v>
      </c>
    </row>
    <row r="14" spans="1:7" ht="12.95" customHeight="1">
      <c r="A14" s="11" t="s">
        <v>8</v>
      </c>
      <c r="B14" s="12" t="s">
        <v>9</v>
      </c>
      <c r="C14" s="9"/>
      <c r="D14" s="9" t="s">
        <v>10</v>
      </c>
      <c r="E14" s="21"/>
      <c r="F14" s="64">
        <v>108.641366</v>
      </c>
      <c r="G14" s="68">
        <v>1.0085632544180974</v>
      </c>
    </row>
    <row r="15" spans="1:7" ht="12.95" customHeight="1">
      <c r="A15" s="1"/>
      <c r="B15" s="8" t="s">
        <v>11</v>
      </c>
      <c r="C15" s="22"/>
      <c r="D15" s="9" t="s">
        <v>1</v>
      </c>
      <c r="E15" s="9" t="s">
        <v>1</v>
      </c>
      <c r="F15" s="65">
        <v>108.641366</v>
      </c>
      <c r="G15" s="69">
        <v>1.0085632544180974</v>
      </c>
    </row>
    <row r="16" spans="1:7" ht="12.95" customHeight="1">
      <c r="A16" s="1"/>
      <c r="B16" s="14" t="s">
        <v>12</v>
      </c>
      <c r="C16" s="23"/>
      <c r="D16" s="15" t="s">
        <v>1</v>
      </c>
      <c r="E16" s="16" t="s">
        <v>1</v>
      </c>
      <c r="F16" s="65">
        <v>108.641366</v>
      </c>
      <c r="G16" s="69">
        <v>1.0085632544180974</v>
      </c>
    </row>
    <row r="17" spans="1:7" ht="12.95" customHeight="1">
      <c r="A17" s="1"/>
      <c r="B17" s="14" t="s">
        <v>13</v>
      </c>
      <c r="C17" s="23"/>
      <c r="D17" s="15" t="s">
        <v>1</v>
      </c>
      <c r="E17" s="9" t="s">
        <v>1</v>
      </c>
      <c r="F17" s="65">
        <v>-0.92242469999999999</v>
      </c>
      <c r="G17" s="69">
        <v>-8.5632544180973113E-3</v>
      </c>
    </row>
    <row r="18" spans="1:7" ht="12.95" customHeight="1" thickBot="1">
      <c r="A18" s="1"/>
      <c r="B18" s="17" t="s">
        <v>14</v>
      </c>
      <c r="C18" s="24"/>
      <c r="D18" s="18" t="s">
        <v>1</v>
      </c>
      <c r="E18" s="18" t="s">
        <v>1</v>
      </c>
      <c r="F18" s="66">
        <v>107.7189413</v>
      </c>
      <c r="G18" s="70">
        <v>1</v>
      </c>
    </row>
    <row r="19" spans="1:7" ht="12.95" customHeight="1">
      <c r="A19" s="1"/>
      <c r="B19" s="4" t="s">
        <v>1</v>
      </c>
      <c r="C19" s="4"/>
      <c r="D19" s="1"/>
      <c r="E19" s="1"/>
      <c r="F19" s="1"/>
      <c r="G19" s="75"/>
    </row>
    <row r="20" spans="1:7" ht="12.95" customHeight="1">
      <c r="A20" s="1"/>
      <c r="B20" s="2" t="s">
        <v>10</v>
      </c>
      <c r="C20" s="2"/>
      <c r="D20" s="1"/>
      <c r="E20" s="1"/>
      <c r="F20" s="1"/>
      <c r="G20" s="75"/>
    </row>
    <row r="21" spans="1:7" ht="12.95" customHeight="1">
      <c r="A21" s="1"/>
      <c r="B21" s="2" t="s">
        <v>1</v>
      </c>
      <c r="C21" s="2"/>
      <c r="D21" s="1"/>
      <c r="E21" s="1"/>
      <c r="F21" s="1"/>
      <c r="G21" s="75"/>
    </row>
    <row r="22" spans="1:7" ht="12.95" customHeight="1">
      <c r="A22" s="1"/>
      <c r="B22" s="2" t="s">
        <v>1</v>
      </c>
      <c r="C22" s="2"/>
      <c r="D22" s="1"/>
      <c r="E22" s="1"/>
      <c r="F22" s="1"/>
      <c r="G22" s="75"/>
    </row>
    <row r="23" spans="1:7" ht="12.95" hidden="1" customHeight="1">
      <c r="A23" s="1"/>
      <c r="B23" s="4" t="s">
        <v>1</v>
      </c>
      <c r="C23" s="4"/>
      <c r="D23" s="1"/>
      <c r="E23" s="1"/>
      <c r="F23" s="1"/>
      <c r="G23" s="75"/>
    </row>
    <row r="24" spans="1:7" ht="12.95" hidden="1" customHeight="1">
      <c r="A24" s="1"/>
      <c r="B24" s="4" t="s">
        <v>1</v>
      </c>
      <c r="C24" s="4"/>
      <c r="D24" s="1"/>
      <c r="E24" s="1"/>
      <c r="F24" s="1"/>
      <c r="G24" s="75"/>
    </row>
    <row r="25" spans="1:7" ht="12.95" hidden="1" customHeight="1">
      <c r="A25" s="1"/>
      <c r="B25" s="2" t="s">
        <v>15</v>
      </c>
      <c r="C25" s="2"/>
      <c r="D25" s="1"/>
      <c r="E25" s="1"/>
      <c r="F25" s="1"/>
      <c r="G25" s="75"/>
    </row>
    <row r="26" spans="1:7" ht="12.95" hidden="1" customHeight="1">
      <c r="A26" s="1"/>
      <c r="B26" s="4" t="s">
        <v>16</v>
      </c>
      <c r="C26" s="4"/>
      <c r="D26" s="1"/>
      <c r="E26" s="1"/>
      <c r="F26" s="1"/>
      <c r="G26" s="75"/>
    </row>
    <row r="27" spans="1:7" ht="12.95" hidden="1" customHeight="1">
      <c r="A27" s="1"/>
      <c r="B27" s="4" t="s">
        <v>255</v>
      </c>
      <c r="C27" s="4"/>
      <c r="D27" s="1"/>
      <c r="E27" s="1"/>
      <c r="F27" s="1"/>
      <c r="G27" s="75"/>
    </row>
    <row r="28" spans="1:7" ht="12.95" hidden="1" customHeight="1">
      <c r="A28" s="1"/>
      <c r="B28" s="2" t="s">
        <v>17</v>
      </c>
      <c r="C28" s="2"/>
      <c r="D28" s="3" t="s">
        <v>18</v>
      </c>
      <c r="E28" s="1"/>
      <c r="F28" s="1"/>
      <c r="G28" s="75"/>
    </row>
    <row r="29" spans="1:7" ht="12.95" hidden="1" customHeight="1">
      <c r="A29" s="1"/>
      <c r="B29" s="4" t="s">
        <v>247</v>
      </c>
      <c r="C29" s="4"/>
      <c r="D29" s="19">
        <v>1199.675</v>
      </c>
      <c r="E29" s="1"/>
      <c r="F29" s="1"/>
      <c r="G29" s="75"/>
    </row>
    <row r="30" spans="1:7" ht="12.95" hidden="1" customHeight="1">
      <c r="A30" s="1"/>
      <c r="B30" s="4" t="s">
        <v>377</v>
      </c>
      <c r="C30" s="4"/>
      <c r="D30" s="19">
        <v>1145.1206</v>
      </c>
      <c r="E30" s="1"/>
      <c r="F30" s="1"/>
      <c r="G30" s="75"/>
    </row>
    <row r="31" spans="1:7" ht="12.95" hidden="1" customHeight="1">
      <c r="A31" s="1"/>
      <c r="B31" s="4" t="s">
        <v>378</v>
      </c>
      <c r="C31" s="4"/>
      <c r="D31" s="19">
        <v>1142.3027999999999</v>
      </c>
      <c r="E31" s="1"/>
      <c r="F31" s="1"/>
      <c r="G31" s="75"/>
    </row>
    <row r="32" spans="1:7" ht="12.95" hidden="1" customHeight="1">
      <c r="A32" s="1"/>
      <c r="B32" s="4" t="s">
        <v>19</v>
      </c>
      <c r="C32" s="4"/>
      <c r="D32" s="19">
        <v>1037.5968</v>
      </c>
      <c r="E32" s="1"/>
      <c r="F32" s="1"/>
      <c r="G32" s="75"/>
    </row>
    <row r="33" spans="1:7" ht="12.95" hidden="1" customHeight="1">
      <c r="A33" s="1"/>
      <c r="B33" s="4" t="s">
        <v>379</v>
      </c>
      <c r="C33" s="4"/>
      <c r="D33" s="19">
        <v>1037.537</v>
      </c>
      <c r="E33" s="1"/>
      <c r="F33" s="1"/>
      <c r="G33" s="75"/>
    </row>
    <row r="34" spans="1:7" ht="12.95" hidden="1" customHeight="1">
      <c r="A34" s="1"/>
      <c r="B34" s="4" t="s">
        <v>380</v>
      </c>
      <c r="C34" s="4"/>
      <c r="D34" s="19">
        <v>1037.4793999999999</v>
      </c>
      <c r="E34" s="1"/>
      <c r="F34" s="1"/>
      <c r="G34" s="75"/>
    </row>
    <row r="35" spans="1:7" ht="12.95" hidden="1" customHeight="1">
      <c r="A35" s="1"/>
      <c r="B35" s="4" t="s">
        <v>381</v>
      </c>
      <c r="C35" s="4"/>
      <c r="D35" s="19">
        <v>1028.1061999999999</v>
      </c>
      <c r="E35" s="1"/>
      <c r="F35" s="1"/>
      <c r="G35" s="75"/>
    </row>
    <row r="36" spans="1:7" ht="12.95" hidden="1" customHeight="1">
      <c r="A36" s="1"/>
      <c r="B36" s="4" t="s">
        <v>382</v>
      </c>
      <c r="C36" s="4"/>
      <c r="D36" s="19">
        <v>1020.6245</v>
      </c>
      <c r="E36" s="1"/>
      <c r="F36" s="1"/>
      <c r="G36" s="75"/>
    </row>
    <row r="37" spans="1:7" ht="12.95" hidden="1" customHeight="1">
      <c r="A37" s="1"/>
      <c r="B37" s="4" t="s">
        <v>20</v>
      </c>
      <c r="C37" s="4"/>
      <c r="D37" s="20" t="s">
        <v>23</v>
      </c>
      <c r="E37" s="1"/>
      <c r="F37" s="1"/>
      <c r="G37" s="75"/>
    </row>
    <row r="38" spans="1:7" ht="12.95" hidden="1" customHeight="1">
      <c r="A38" s="1"/>
      <c r="B38" s="4" t="s">
        <v>22</v>
      </c>
      <c r="C38" s="4"/>
      <c r="D38" s="20" t="s">
        <v>23</v>
      </c>
      <c r="E38" s="1"/>
      <c r="F38" s="1"/>
      <c r="G38" s="75"/>
    </row>
    <row r="39" spans="1:7" ht="12.95" hidden="1" customHeight="1">
      <c r="A39" s="1"/>
      <c r="B39" s="4" t="s">
        <v>383</v>
      </c>
      <c r="C39" s="4"/>
      <c r="D39" s="20" t="s">
        <v>23</v>
      </c>
      <c r="E39" s="1"/>
      <c r="F39" s="1"/>
      <c r="G39" s="75"/>
    </row>
    <row r="40" spans="1:7" ht="12.95" hidden="1" customHeight="1">
      <c r="A40" s="1"/>
      <c r="B40" s="4" t="s">
        <v>384</v>
      </c>
      <c r="C40" s="4"/>
      <c r="D40" s="20" t="s">
        <v>23</v>
      </c>
      <c r="E40" s="1"/>
      <c r="F40" s="1"/>
      <c r="G40" s="75"/>
    </row>
    <row r="41" spans="1:7" ht="12.95" hidden="1" customHeight="1">
      <c r="A41" s="1"/>
      <c r="B41" s="4" t="s">
        <v>21</v>
      </c>
      <c r="C41" s="4"/>
      <c r="D41" s="20" t="s">
        <v>23</v>
      </c>
      <c r="E41" s="1"/>
      <c r="F41" s="1"/>
      <c r="G41" s="75"/>
    </row>
    <row r="42" spans="1:7" ht="12.95" hidden="1" customHeight="1">
      <c r="A42" s="1"/>
      <c r="B42" s="4" t="s">
        <v>385</v>
      </c>
      <c r="C42" s="4"/>
      <c r="D42" s="20" t="s">
        <v>23</v>
      </c>
      <c r="E42" s="1"/>
      <c r="F42" s="1"/>
      <c r="G42" s="75"/>
    </row>
    <row r="43" spans="1:7" ht="12.95" hidden="1" customHeight="1">
      <c r="A43" s="1"/>
      <c r="B43" s="4" t="s">
        <v>386</v>
      </c>
      <c r="C43" s="4"/>
      <c r="D43" s="20" t="s">
        <v>23</v>
      </c>
      <c r="E43" s="1"/>
      <c r="F43" s="1"/>
      <c r="G43" s="75"/>
    </row>
    <row r="44" spans="1:7" ht="12.95" hidden="1" customHeight="1">
      <c r="A44" s="1"/>
      <c r="B44" s="4" t="s">
        <v>387</v>
      </c>
      <c r="C44" s="4"/>
      <c r="D44" s="20" t="s">
        <v>23</v>
      </c>
      <c r="E44" s="1"/>
      <c r="F44" s="1"/>
      <c r="G44" s="75"/>
    </row>
    <row r="45" spans="1:7" ht="12.95" hidden="1" customHeight="1">
      <c r="A45" s="1"/>
      <c r="B45" s="4" t="s">
        <v>1</v>
      </c>
      <c r="C45" s="4"/>
      <c r="D45" s="1"/>
      <c r="E45" s="1"/>
      <c r="F45" s="1"/>
      <c r="G45" s="75"/>
    </row>
    <row r="46" spans="1:7" ht="12.95" hidden="1" customHeight="1">
      <c r="A46" s="1"/>
      <c r="B46" s="4" t="s">
        <v>256</v>
      </c>
      <c r="C46" s="4"/>
      <c r="D46" s="1"/>
      <c r="E46" s="1"/>
      <c r="F46" s="1"/>
      <c r="G46" s="75"/>
    </row>
    <row r="47" spans="1:7" ht="12.95" hidden="1" customHeight="1">
      <c r="A47" s="1"/>
      <c r="B47" s="4" t="s">
        <v>24</v>
      </c>
      <c r="C47" s="4"/>
      <c r="D47" s="1"/>
      <c r="E47" s="1"/>
      <c r="F47" s="1"/>
      <c r="G47" s="75"/>
    </row>
    <row r="48" spans="1:7" ht="12.95" hidden="1" customHeight="1">
      <c r="A48" s="1"/>
      <c r="B48" s="4" t="s">
        <v>1</v>
      </c>
      <c r="C48" s="4"/>
      <c r="D48" s="1"/>
      <c r="E48" s="1"/>
      <c r="F48" s="1"/>
      <c r="G48" s="75"/>
    </row>
    <row r="49" spans="1:7" ht="12.95" hidden="1" customHeight="1">
      <c r="A49" s="1"/>
      <c r="B49" s="4" t="s">
        <v>25</v>
      </c>
      <c r="C49" s="4"/>
      <c r="D49" s="1"/>
      <c r="E49" s="1"/>
      <c r="F49" s="1"/>
      <c r="G49" s="75"/>
    </row>
    <row r="50" spans="1:7" ht="12.95" hidden="1" customHeight="1">
      <c r="A50" s="1"/>
      <c r="B50" s="4" t="s">
        <v>26</v>
      </c>
      <c r="C50" s="4"/>
      <c r="D50" s="4" t="s">
        <v>27</v>
      </c>
      <c r="E50" s="1"/>
      <c r="F50" s="1"/>
      <c r="G50" s="75"/>
    </row>
    <row r="51" spans="1:7" ht="12.95" hidden="1" customHeight="1">
      <c r="A51" s="1"/>
      <c r="B51" s="4" t="s">
        <v>28</v>
      </c>
      <c r="C51" s="4"/>
      <c r="D51" s="4" t="s">
        <v>27</v>
      </c>
      <c r="E51" s="1"/>
      <c r="F51" s="1"/>
      <c r="G51" s="75"/>
    </row>
    <row r="52" spans="1:7" ht="12.95" hidden="1" customHeight="1">
      <c r="A52" s="1"/>
      <c r="B52" s="4" t="s">
        <v>29</v>
      </c>
      <c r="C52" s="4"/>
      <c r="D52" s="1"/>
      <c r="E52" s="1"/>
      <c r="F52" s="1"/>
      <c r="G52" s="75"/>
    </row>
    <row r="53" spans="1:7" hidden="1"/>
    <row r="54" spans="1:7" hidden="1"/>
    <row r="55" spans="1:7" ht="24">
      <c r="B55" s="94"/>
      <c r="C55" s="95" t="s">
        <v>571</v>
      </c>
    </row>
    <row r="56" spans="1:7">
      <c r="B56" s="38" t="s">
        <v>376</v>
      </c>
      <c r="C56" s="96">
        <v>2</v>
      </c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68"/>
  <sheetViews>
    <sheetView zoomScaleNormal="100" workbookViewId="0"/>
  </sheetViews>
  <sheetFormatPr defaultRowHeight="12.75"/>
  <cols>
    <col min="1" max="1" width="11.42578125" bestFit="1" customWidth="1"/>
    <col min="2" max="2" width="52.7109375" bestFit="1" customWidth="1"/>
    <col min="3" max="3" width="21.42578125" bestFit="1" customWidth="1"/>
    <col min="4" max="4" width="18.28515625" bestFit="1" customWidth="1"/>
    <col min="5" max="5" width="8.85546875" bestFit="1" customWidth="1"/>
    <col min="6" max="6" width="15.28515625" style="73" bestFit="1" customWidth="1"/>
    <col min="7" max="7" width="7.7109375" style="76" bestFit="1" customWidth="1"/>
  </cols>
  <sheetData>
    <row r="1" spans="1:7" ht="15.95" customHeight="1">
      <c r="A1" s="1"/>
      <c r="B1" s="2" t="s">
        <v>388</v>
      </c>
      <c r="C1" s="2"/>
      <c r="D1" s="1"/>
      <c r="E1" s="1"/>
      <c r="F1" s="72"/>
      <c r="G1" s="75"/>
    </row>
    <row r="2" spans="1:7" ht="12.95" customHeight="1">
      <c r="A2" s="1"/>
      <c r="B2" s="3" t="s">
        <v>1</v>
      </c>
      <c r="C2" s="3"/>
      <c r="D2" s="1"/>
      <c r="E2" s="1"/>
      <c r="F2" s="72"/>
      <c r="G2" s="75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72"/>
      <c r="G3" s="75"/>
    </row>
    <row r="4" spans="1:7" ht="27.95" customHeight="1" thickBot="1">
      <c r="A4" s="1"/>
      <c r="B4" s="6" t="s">
        <v>2</v>
      </c>
      <c r="C4" s="25" t="s">
        <v>415</v>
      </c>
      <c r="D4" s="7" t="s">
        <v>389</v>
      </c>
      <c r="E4" s="7" t="s">
        <v>4</v>
      </c>
      <c r="F4" s="82" t="s">
        <v>5</v>
      </c>
      <c r="G4" s="86" t="s">
        <v>6</v>
      </c>
    </row>
    <row r="5" spans="1:7" ht="12.95" customHeight="1">
      <c r="A5" s="1"/>
      <c r="B5" s="56" t="s">
        <v>417</v>
      </c>
      <c r="C5" s="57"/>
      <c r="D5" s="58"/>
      <c r="E5" s="58"/>
      <c r="F5" s="90"/>
      <c r="G5" s="92"/>
    </row>
    <row r="6" spans="1:7" ht="12.95" customHeight="1">
      <c r="A6" s="1"/>
      <c r="B6" s="41" t="s">
        <v>418</v>
      </c>
      <c r="C6" s="59"/>
      <c r="D6" s="33"/>
      <c r="E6" s="100" t="s">
        <v>172</v>
      </c>
      <c r="F6" s="100" t="s">
        <v>172</v>
      </c>
      <c r="G6" s="102" t="s">
        <v>172</v>
      </c>
    </row>
    <row r="7" spans="1:7" ht="12.95" customHeight="1">
      <c r="A7" s="11" t="s">
        <v>419</v>
      </c>
      <c r="B7" s="42" t="s">
        <v>171</v>
      </c>
      <c r="C7" s="60"/>
      <c r="D7" s="33"/>
      <c r="E7" s="100" t="s">
        <v>172</v>
      </c>
      <c r="F7" s="100" t="s">
        <v>172</v>
      </c>
      <c r="G7" s="102" t="s">
        <v>172</v>
      </c>
    </row>
    <row r="8" spans="1:7" ht="12.95" customHeight="1">
      <c r="A8" s="11" t="s">
        <v>427</v>
      </c>
      <c r="B8" s="61"/>
      <c r="C8" s="62"/>
      <c r="D8" s="33"/>
      <c r="E8" s="33"/>
      <c r="F8" s="33"/>
      <c r="G8" s="93"/>
    </row>
    <row r="9" spans="1:7" ht="12.95" customHeight="1">
      <c r="A9" s="11" t="s">
        <v>428</v>
      </c>
      <c r="B9" s="36" t="s">
        <v>420</v>
      </c>
      <c r="C9" s="63"/>
      <c r="D9" s="33"/>
      <c r="E9" s="33"/>
      <c r="F9" s="33"/>
      <c r="G9" s="93"/>
    </row>
    <row r="10" spans="1:7" ht="12.95" customHeight="1">
      <c r="A10" s="11" t="s">
        <v>429</v>
      </c>
      <c r="B10" s="41" t="s">
        <v>425</v>
      </c>
      <c r="C10" s="59"/>
      <c r="D10" s="33"/>
      <c r="E10" s="100" t="s">
        <v>172</v>
      </c>
      <c r="F10" s="100" t="s">
        <v>172</v>
      </c>
      <c r="G10" s="102" t="s">
        <v>172</v>
      </c>
    </row>
    <row r="11" spans="1:7" ht="12.95" customHeight="1">
      <c r="A11" s="11" t="s">
        <v>430</v>
      </c>
      <c r="B11" s="42" t="s">
        <v>423</v>
      </c>
      <c r="C11" s="60"/>
      <c r="D11" s="33"/>
      <c r="E11" s="100" t="s">
        <v>172</v>
      </c>
      <c r="F11" s="100" t="s">
        <v>172</v>
      </c>
      <c r="G11" s="102" t="s">
        <v>172</v>
      </c>
    </row>
    <row r="12" spans="1:7" ht="12.95" customHeight="1">
      <c r="A12" s="1"/>
      <c r="B12" s="42" t="s">
        <v>424</v>
      </c>
      <c r="C12" s="60"/>
      <c r="D12" s="33"/>
      <c r="E12" s="100" t="s">
        <v>172</v>
      </c>
      <c r="F12" s="100" t="s">
        <v>172</v>
      </c>
      <c r="G12" s="102" t="s">
        <v>172</v>
      </c>
    </row>
    <row r="13" spans="1:7" ht="12.95" customHeight="1">
      <c r="A13" s="1"/>
      <c r="B13" s="8" t="s">
        <v>390</v>
      </c>
      <c r="C13" s="22"/>
      <c r="D13" s="9" t="s">
        <v>1</v>
      </c>
      <c r="E13" s="9" t="s">
        <v>1</v>
      </c>
      <c r="F13" s="77" t="s">
        <v>1</v>
      </c>
      <c r="G13" s="74" t="s">
        <v>1</v>
      </c>
    </row>
    <row r="14" spans="1:7" ht="12.95" customHeight="1">
      <c r="A14" s="1"/>
      <c r="B14" s="8" t="s">
        <v>391</v>
      </c>
      <c r="C14" s="22"/>
      <c r="D14" s="9" t="s">
        <v>1</v>
      </c>
      <c r="E14" s="9" t="s">
        <v>1</v>
      </c>
      <c r="F14" s="77" t="s">
        <v>1</v>
      </c>
      <c r="G14" s="74" t="s">
        <v>1</v>
      </c>
    </row>
    <row r="15" spans="1:7" ht="12.95" customHeight="1">
      <c r="A15" s="11" t="s">
        <v>392</v>
      </c>
      <c r="B15" s="12" t="s">
        <v>393</v>
      </c>
      <c r="C15" s="9" t="s">
        <v>565</v>
      </c>
      <c r="D15" s="9" t="s">
        <v>394</v>
      </c>
      <c r="E15" s="21">
        <v>1000000</v>
      </c>
      <c r="F15" s="64">
        <v>989.67769999999996</v>
      </c>
      <c r="G15" s="68">
        <v>0.27663022438858237</v>
      </c>
    </row>
    <row r="16" spans="1:7" ht="12.95" customHeight="1">
      <c r="A16" s="11" t="s">
        <v>395</v>
      </c>
      <c r="B16" s="12" t="s">
        <v>396</v>
      </c>
      <c r="C16" s="9" t="s">
        <v>566</v>
      </c>
      <c r="D16" s="9" t="s">
        <v>394</v>
      </c>
      <c r="E16" s="21">
        <v>1000000</v>
      </c>
      <c r="F16" s="64">
        <v>989.6105</v>
      </c>
      <c r="G16" s="68">
        <v>0.2766114409492072</v>
      </c>
    </row>
    <row r="17" spans="1:7" ht="12.95" customHeight="1">
      <c r="A17" s="11" t="s">
        <v>397</v>
      </c>
      <c r="B17" s="12" t="s">
        <v>398</v>
      </c>
      <c r="C17" s="9" t="s">
        <v>567</v>
      </c>
      <c r="D17" s="9" t="s">
        <v>394</v>
      </c>
      <c r="E17" s="21">
        <v>750000</v>
      </c>
      <c r="F17" s="64">
        <v>742.27488749999998</v>
      </c>
      <c r="G17" s="68">
        <v>0.20747731174213055</v>
      </c>
    </row>
    <row r="18" spans="1:7" ht="12.95" customHeight="1">
      <c r="A18" s="11" t="s">
        <v>399</v>
      </c>
      <c r="B18" s="12" t="s">
        <v>400</v>
      </c>
      <c r="C18" s="9" t="s">
        <v>568</v>
      </c>
      <c r="D18" s="9" t="s">
        <v>401</v>
      </c>
      <c r="E18" s="21">
        <v>500000</v>
      </c>
      <c r="F18" s="64">
        <v>496.47324500000002</v>
      </c>
      <c r="G18" s="68">
        <v>0.13877195087580294</v>
      </c>
    </row>
    <row r="19" spans="1:7" ht="12.95" customHeight="1">
      <c r="A19" s="1"/>
      <c r="B19" s="8" t="s">
        <v>11</v>
      </c>
      <c r="C19" s="22"/>
      <c r="D19" s="9" t="s">
        <v>1</v>
      </c>
      <c r="E19" s="9" t="s">
        <v>1</v>
      </c>
      <c r="F19" s="65">
        <v>3218.0363324999998</v>
      </c>
      <c r="G19" s="69">
        <v>0.89949092795572305</v>
      </c>
    </row>
    <row r="20" spans="1:7" ht="12.95" customHeight="1">
      <c r="A20" s="1"/>
      <c r="B20" s="14" t="s">
        <v>12</v>
      </c>
      <c r="C20" s="23"/>
      <c r="D20" s="15" t="s">
        <v>1</v>
      </c>
      <c r="E20" s="16" t="s">
        <v>1</v>
      </c>
      <c r="F20" s="65">
        <v>3218.0363324999998</v>
      </c>
      <c r="G20" s="69">
        <v>0.89949092795572305</v>
      </c>
    </row>
    <row r="21" spans="1:7" ht="12.95" customHeight="1">
      <c r="A21" s="1"/>
      <c r="B21" s="8" t="s">
        <v>7</v>
      </c>
      <c r="C21" s="22"/>
      <c r="D21" s="9" t="s">
        <v>1</v>
      </c>
      <c r="E21" s="9" t="s">
        <v>1</v>
      </c>
      <c r="F21" s="77" t="s">
        <v>1</v>
      </c>
      <c r="G21" s="74" t="s">
        <v>1</v>
      </c>
    </row>
    <row r="22" spans="1:7" ht="12.95" customHeight="1">
      <c r="A22" s="11" t="s">
        <v>8</v>
      </c>
      <c r="B22" s="12" t="s">
        <v>9</v>
      </c>
      <c r="C22" s="9"/>
      <c r="D22" s="9" t="s">
        <v>10</v>
      </c>
      <c r="E22" s="21"/>
      <c r="F22" s="64">
        <v>352.73030540000002</v>
      </c>
      <c r="G22" s="68">
        <v>9.859357600101043E-2</v>
      </c>
    </row>
    <row r="23" spans="1:7" ht="12.95" customHeight="1">
      <c r="A23" s="1"/>
      <c r="B23" s="8" t="s">
        <v>11</v>
      </c>
      <c r="C23" s="22"/>
      <c r="D23" s="9" t="s">
        <v>1</v>
      </c>
      <c r="E23" s="9" t="s">
        <v>1</v>
      </c>
      <c r="F23" s="65">
        <v>352.73030540000002</v>
      </c>
      <c r="G23" s="69">
        <v>9.859357600101043E-2</v>
      </c>
    </row>
    <row r="24" spans="1:7" ht="12.95" customHeight="1">
      <c r="A24" s="1"/>
      <c r="B24" s="14" t="s">
        <v>12</v>
      </c>
      <c r="C24" s="23"/>
      <c r="D24" s="15" t="s">
        <v>1</v>
      </c>
      <c r="E24" s="16" t="s">
        <v>1</v>
      </c>
      <c r="F24" s="65">
        <v>352.73030540000002</v>
      </c>
      <c r="G24" s="69">
        <v>9.859357600101043E-2</v>
      </c>
    </row>
    <row r="25" spans="1:7" ht="12.95" customHeight="1">
      <c r="A25" s="1"/>
      <c r="B25" s="14" t="s">
        <v>13</v>
      </c>
      <c r="C25" s="23"/>
      <c r="D25" s="15" t="s">
        <v>1</v>
      </c>
      <c r="E25" s="9" t="s">
        <v>1</v>
      </c>
      <c r="F25" s="65">
        <v>6.8529160999999998</v>
      </c>
      <c r="G25" s="69">
        <v>1.9154960432664833E-3</v>
      </c>
    </row>
    <row r="26" spans="1:7" ht="12.95" customHeight="1" thickBot="1">
      <c r="A26" s="1"/>
      <c r="B26" s="17" t="s">
        <v>14</v>
      </c>
      <c r="C26" s="24"/>
      <c r="D26" s="18" t="s">
        <v>1</v>
      </c>
      <c r="E26" s="18" t="s">
        <v>1</v>
      </c>
      <c r="F26" s="66">
        <v>3577.6195539999999</v>
      </c>
      <c r="G26" s="70">
        <v>1</v>
      </c>
    </row>
    <row r="27" spans="1:7" ht="12.95" customHeight="1">
      <c r="A27" s="1"/>
      <c r="B27" s="4" t="s">
        <v>1</v>
      </c>
      <c r="C27" s="4"/>
      <c r="D27" s="1"/>
      <c r="E27" s="1"/>
      <c r="F27" s="72"/>
      <c r="G27" s="75"/>
    </row>
    <row r="28" spans="1:7" ht="12.95" customHeight="1">
      <c r="A28" s="1"/>
      <c r="B28" s="2" t="s">
        <v>10</v>
      </c>
      <c r="C28" s="2"/>
      <c r="D28" s="1"/>
      <c r="E28" s="1"/>
      <c r="F28" s="72"/>
      <c r="G28" s="75"/>
    </row>
    <row r="29" spans="1:7" ht="12.95" customHeight="1">
      <c r="A29" s="1"/>
      <c r="B29" s="2" t="s">
        <v>402</v>
      </c>
      <c r="C29" s="2"/>
      <c r="D29" s="1"/>
      <c r="E29" s="103"/>
      <c r="F29" s="72"/>
      <c r="G29" s="75"/>
    </row>
    <row r="30" spans="1:7" ht="12.95" customHeight="1">
      <c r="A30" s="1"/>
      <c r="B30" s="2" t="s">
        <v>403</v>
      </c>
      <c r="C30" s="2"/>
      <c r="D30" s="1"/>
      <c r="E30" s="103"/>
      <c r="F30" s="72"/>
      <c r="G30" s="75"/>
    </row>
    <row r="31" spans="1:7" ht="12.95" customHeight="1">
      <c r="A31" s="1"/>
      <c r="B31" s="2" t="s">
        <v>1</v>
      </c>
      <c r="C31" s="2"/>
      <c r="D31" s="1"/>
      <c r="E31" s="103"/>
      <c r="F31" s="72"/>
      <c r="G31" s="75"/>
    </row>
    <row r="32" spans="1:7" ht="12.95" customHeight="1">
      <c r="A32" s="1"/>
      <c r="B32" s="94"/>
      <c r="C32" s="95" t="s">
        <v>571</v>
      </c>
      <c r="D32" s="1"/>
      <c r="E32" s="103"/>
      <c r="F32" s="72"/>
      <c r="G32" s="75"/>
    </row>
    <row r="33" spans="1:7" ht="12.95" hidden="1" customHeight="1">
      <c r="A33" s="1"/>
      <c r="B33" s="38" t="s">
        <v>388</v>
      </c>
      <c r="C33" s="96">
        <f>0.15*365</f>
        <v>54.75</v>
      </c>
      <c r="D33" s="1"/>
      <c r="E33" s="1"/>
      <c r="F33" s="72"/>
      <c r="G33" s="75"/>
    </row>
    <row r="34" spans="1:7" ht="12.95" hidden="1" customHeight="1">
      <c r="A34" s="1"/>
      <c r="B34" s="94"/>
      <c r="C34" s="95" t="s">
        <v>571</v>
      </c>
      <c r="D34" s="1"/>
      <c r="E34" s="1"/>
      <c r="F34" s="72"/>
      <c r="G34" s="75"/>
    </row>
    <row r="35" spans="1:7" ht="12.95" hidden="1" customHeight="1">
      <c r="A35" s="1"/>
      <c r="B35" s="38" t="s">
        <v>388</v>
      </c>
      <c r="C35" s="96">
        <f>0.15*365</f>
        <v>54.75</v>
      </c>
      <c r="D35" s="1"/>
      <c r="E35" s="1"/>
      <c r="F35" s="72"/>
      <c r="G35" s="75"/>
    </row>
    <row r="36" spans="1:7" ht="12.95" hidden="1" customHeight="1">
      <c r="A36" s="1"/>
      <c r="B36" s="94"/>
      <c r="C36" s="95" t="s">
        <v>571</v>
      </c>
      <c r="D36" s="1"/>
      <c r="E36" s="1"/>
      <c r="F36" s="72"/>
      <c r="G36" s="75"/>
    </row>
    <row r="37" spans="1:7" ht="12.95" hidden="1" customHeight="1">
      <c r="A37" s="1"/>
      <c r="B37" s="38" t="s">
        <v>388</v>
      </c>
      <c r="C37" s="96">
        <f>0.15*365</f>
        <v>54.75</v>
      </c>
      <c r="D37" s="1"/>
      <c r="E37" s="1"/>
      <c r="F37" s="72"/>
      <c r="G37" s="75"/>
    </row>
    <row r="38" spans="1:7" ht="12.95" hidden="1" customHeight="1">
      <c r="A38" s="1"/>
      <c r="B38" s="94"/>
      <c r="C38" s="95" t="s">
        <v>571</v>
      </c>
      <c r="D38" s="3" t="s">
        <v>18</v>
      </c>
      <c r="E38" s="1"/>
      <c r="F38" s="72"/>
      <c r="G38" s="75"/>
    </row>
    <row r="39" spans="1:7" ht="12.95" hidden="1" customHeight="1">
      <c r="A39" s="1"/>
      <c r="B39" s="38" t="s">
        <v>388</v>
      </c>
      <c r="C39" s="96">
        <f>0.15*365</f>
        <v>54.75</v>
      </c>
      <c r="D39" s="19">
        <v>1262.8396</v>
      </c>
      <c r="E39" s="1"/>
      <c r="F39" s="72"/>
      <c r="G39" s="75"/>
    </row>
    <row r="40" spans="1:7" ht="12.95" hidden="1" customHeight="1">
      <c r="A40" s="1"/>
      <c r="B40" s="94"/>
      <c r="C40" s="95" t="s">
        <v>571</v>
      </c>
      <c r="D40" s="19">
        <v>1206.5954999999999</v>
      </c>
      <c r="E40" s="1"/>
      <c r="F40" s="72"/>
      <c r="G40" s="75"/>
    </row>
    <row r="41" spans="1:7" ht="12.95" hidden="1" customHeight="1">
      <c r="A41" s="1"/>
      <c r="B41" s="38" t="s">
        <v>388</v>
      </c>
      <c r="C41" s="96">
        <f>0.15*365</f>
        <v>54.75</v>
      </c>
      <c r="D41" s="19">
        <v>1203.6851999999999</v>
      </c>
      <c r="E41" s="1"/>
      <c r="F41" s="72"/>
      <c r="G41" s="75"/>
    </row>
    <row r="42" spans="1:7" ht="12.95" hidden="1" customHeight="1">
      <c r="A42" s="1"/>
      <c r="B42" s="94"/>
      <c r="C42" s="95" t="s">
        <v>571</v>
      </c>
      <c r="D42" s="19">
        <v>1203.6389999999999</v>
      </c>
      <c r="E42" s="1"/>
      <c r="F42" s="72"/>
      <c r="G42" s="75"/>
    </row>
    <row r="43" spans="1:7" ht="12.95" hidden="1" customHeight="1">
      <c r="A43" s="1"/>
      <c r="B43" s="38" t="s">
        <v>388</v>
      </c>
      <c r="C43" s="96">
        <f>0.15*365</f>
        <v>54.75</v>
      </c>
      <c r="D43" s="19">
        <v>1066.3846000000001</v>
      </c>
      <c r="E43" s="1"/>
      <c r="F43" s="72"/>
      <c r="G43" s="75"/>
    </row>
    <row r="44" spans="1:7" ht="12.95" hidden="1" customHeight="1">
      <c r="A44" s="1"/>
      <c r="B44" s="94"/>
      <c r="C44" s="95" t="s">
        <v>571</v>
      </c>
      <c r="D44" s="19">
        <v>1065.1709000000001</v>
      </c>
      <c r="E44" s="1"/>
      <c r="F44" s="72"/>
      <c r="G44" s="75"/>
    </row>
    <row r="45" spans="1:7" ht="12.95" hidden="1" customHeight="1">
      <c r="A45" s="1"/>
      <c r="B45" s="38" t="s">
        <v>388</v>
      </c>
      <c r="C45" s="96">
        <f>0.15*365</f>
        <v>54.75</v>
      </c>
      <c r="D45" s="19">
        <v>1039.0537999999999</v>
      </c>
      <c r="E45" s="1"/>
      <c r="F45" s="72"/>
      <c r="G45" s="75"/>
    </row>
    <row r="46" spans="1:7" ht="12.95" hidden="1" customHeight="1">
      <c r="A46" s="1"/>
      <c r="B46" s="94"/>
      <c r="C46" s="95" t="s">
        <v>571</v>
      </c>
      <c r="D46" s="19">
        <v>1038.4464</v>
      </c>
      <c r="E46" s="1"/>
      <c r="F46" s="72"/>
      <c r="G46" s="75"/>
    </row>
    <row r="47" spans="1:7" ht="12.95" hidden="1" customHeight="1">
      <c r="A47" s="1"/>
      <c r="B47" s="38" t="s">
        <v>388</v>
      </c>
      <c r="C47" s="96">
        <f>0.15*365</f>
        <v>54.75</v>
      </c>
      <c r="D47" s="19">
        <v>1037.2338999999999</v>
      </c>
      <c r="E47" s="1"/>
      <c r="F47" s="72"/>
      <c r="G47" s="75"/>
    </row>
    <row r="48" spans="1:7" ht="12.95" hidden="1" customHeight="1">
      <c r="A48" s="1"/>
      <c r="B48" s="94"/>
      <c r="C48" s="95" t="s">
        <v>571</v>
      </c>
      <c r="D48" s="19">
        <v>1036.3527999999999</v>
      </c>
      <c r="E48" s="1"/>
      <c r="F48" s="72"/>
      <c r="G48" s="75"/>
    </row>
    <row r="49" spans="1:7" ht="12.95" hidden="1" customHeight="1">
      <c r="A49" s="1"/>
      <c r="B49" s="38" t="s">
        <v>388</v>
      </c>
      <c r="C49" s="96">
        <f>0.15*365</f>
        <v>54.75</v>
      </c>
      <c r="D49" s="19">
        <v>1035.2371000000001</v>
      </c>
      <c r="E49" s="1"/>
      <c r="F49" s="72"/>
      <c r="G49" s="75"/>
    </row>
    <row r="50" spans="1:7" ht="12.95" hidden="1" customHeight="1">
      <c r="A50" s="1"/>
      <c r="B50" s="94"/>
      <c r="C50" s="95" t="s">
        <v>571</v>
      </c>
      <c r="D50" s="19">
        <v>1018.3795</v>
      </c>
      <c r="E50" s="1"/>
      <c r="F50" s="72"/>
      <c r="G50" s="75"/>
    </row>
    <row r="51" spans="1:7" ht="12.95" hidden="1" customHeight="1">
      <c r="A51" s="1"/>
      <c r="B51" s="38" t="s">
        <v>388</v>
      </c>
      <c r="C51" s="96">
        <f>0.15*365</f>
        <v>54.75</v>
      </c>
      <c r="D51" s="20" t="s">
        <v>23</v>
      </c>
      <c r="E51" s="1"/>
      <c r="F51" s="72"/>
      <c r="G51" s="75"/>
    </row>
    <row r="52" spans="1:7" ht="12.95" hidden="1" customHeight="1">
      <c r="A52" s="1"/>
      <c r="B52" s="94"/>
      <c r="C52" s="95" t="s">
        <v>571</v>
      </c>
      <c r="D52" s="20" t="s">
        <v>23</v>
      </c>
      <c r="E52" s="1"/>
      <c r="F52" s="72"/>
      <c r="G52" s="75"/>
    </row>
    <row r="53" spans="1:7" ht="12.95" hidden="1" customHeight="1">
      <c r="A53" s="1"/>
      <c r="B53" s="38" t="s">
        <v>388</v>
      </c>
      <c r="C53" s="96">
        <f>0.15*365</f>
        <v>54.75</v>
      </c>
      <c r="D53" s="20" t="s">
        <v>23</v>
      </c>
      <c r="E53" s="1"/>
      <c r="F53" s="72"/>
      <c r="G53" s="75"/>
    </row>
    <row r="54" spans="1:7" ht="12.95" hidden="1" customHeight="1">
      <c r="A54" s="1"/>
      <c r="B54" s="94"/>
      <c r="C54" s="95" t="s">
        <v>571</v>
      </c>
      <c r="D54" s="20" t="s">
        <v>23</v>
      </c>
      <c r="E54" s="1"/>
      <c r="F54" s="72"/>
      <c r="G54" s="75"/>
    </row>
    <row r="55" spans="1:7" ht="12.95" hidden="1" customHeight="1">
      <c r="A55" s="1"/>
      <c r="B55" s="38" t="s">
        <v>388</v>
      </c>
      <c r="C55" s="96">
        <f>0.15*365</f>
        <v>54.75</v>
      </c>
      <c r="D55" s="20" t="s">
        <v>23</v>
      </c>
      <c r="E55" s="1"/>
      <c r="F55" s="72"/>
      <c r="G55" s="75"/>
    </row>
    <row r="56" spans="1:7" ht="12.95" hidden="1" customHeight="1">
      <c r="A56" s="1"/>
      <c r="B56" s="94"/>
      <c r="C56" s="95" t="s">
        <v>571</v>
      </c>
      <c r="D56" s="20" t="s">
        <v>23</v>
      </c>
      <c r="E56" s="1"/>
      <c r="F56" s="72"/>
      <c r="G56" s="75"/>
    </row>
    <row r="57" spans="1:7" ht="12.95" hidden="1" customHeight="1">
      <c r="A57" s="1"/>
      <c r="B57" s="38" t="s">
        <v>388</v>
      </c>
      <c r="C57" s="96">
        <f>0.15*365</f>
        <v>54.75</v>
      </c>
      <c r="D57" s="20" t="s">
        <v>23</v>
      </c>
      <c r="E57" s="1"/>
      <c r="F57" s="72"/>
      <c r="G57" s="75"/>
    </row>
    <row r="58" spans="1:7" ht="12.95" hidden="1" customHeight="1">
      <c r="A58" s="1"/>
      <c r="B58" s="94"/>
      <c r="C58" s="95" t="s">
        <v>571</v>
      </c>
      <c r="D58" s="20" t="s">
        <v>23</v>
      </c>
      <c r="E58" s="1"/>
      <c r="F58" s="72"/>
      <c r="G58" s="75"/>
    </row>
    <row r="59" spans="1:7" ht="12.95" hidden="1" customHeight="1">
      <c r="A59" s="1"/>
      <c r="B59" s="38" t="s">
        <v>388</v>
      </c>
      <c r="C59" s="96">
        <f>0.15*365</f>
        <v>54.75</v>
      </c>
      <c r="D59" s="1"/>
      <c r="E59" s="1"/>
      <c r="F59" s="72"/>
      <c r="G59" s="75"/>
    </row>
    <row r="60" spans="1:7" ht="12.95" hidden="1" customHeight="1">
      <c r="A60" s="1"/>
      <c r="B60" s="94"/>
      <c r="C60" s="95" t="s">
        <v>571</v>
      </c>
      <c r="D60" s="1"/>
      <c r="E60" s="1"/>
      <c r="F60" s="72"/>
      <c r="G60" s="75"/>
    </row>
    <row r="61" spans="1:7" ht="12.95" hidden="1" customHeight="1">
      <c r="A61" s="1"/>
      <c r="B61" s="38" t="s">
        <v>388</v>
      </c>
      <c r="C61" s="96">
        <f>0.15*365</f>
        <v>54.75</v>
      </c>
      <c r="D61" s="1"/>
      <c r="E61" s="1"/>
      <c r="F61" s="72"/>
      <c r="G61" s="75"/>
    </row>
    <row r="62" spans="1:7" ht="12.95" hidden="1" customHeight="1">
      <c r="A62" s="1"/>
      <c r="B62" s="94"/>
      <c r="C62" s="95" t="s">
        <v>571</v>
      </c>
      <c r="D62" s="1"/>
      <c r="E62" s="1"/>
      <c r="F62" s="72"/>
      <c r="G62" s="75"/>
    </row>
    <row r="63" spans="1:7" ht="12.95" hidden="1" customHeight="1">
      <c r="A63" s="1"/>
      <c r="B63" s="38" t="s">
        <v>388</v>
      </c>
      <c r="C63" s="96">
        <f>0.15*365</f>
        <v>54.75</v>
      </c>
      <c r="D63" s="1"/>
      <c r="E63" s="1"/>
      <c r="F63" s="72"/>
      <c r="G63" s="75"/>
    </row>
    <row r="64" spans="1:7" ht="12.95" hidden="1" customHeight="1">
      <c r="A64" s="1"/>
      <c r="B64" s="94"/>
      <c r="C64" s="95" t="s">
        <v>571</v>
      </c>
      <c r="D64" s="4" t="s">
        <v>27</v>
      </c>
      <c r="E64" s="1"/>
      <c r="F64" s="72"/>
      <c r="G64" s="75"/>
    </row>
    <row r="65" spans="1:7" ht="12.95" hidden="1" customHeight="1">
      <c r="A65" s="1"/>
      <c r="B65" s="38" t="s">
        <v>388</v>
      </c>
      <c r="C65" s="96">
        <f>0.15*365</f>
        <v>54.75</v>
      </c>
      <c r="D65" s="4" t="s">
        <v>27</v>
      </c>
      <c r="E65" s="1"/>
      <c r="F65" s="72"/>
      <c r="G65" s="75"/>
    </row>
    <row r="66" spans="1:7" ht="12.95" hidden="1" customHeight="1">
      <c r="A66" s="1"/>
      <c r="B66" s="94"/>
      <c r="C66" s="95" t="s">
        <v>571</v>
      </c>
      <c r="D66" s="1"/>
      <c r="E66" s="1"/>
      <c r="F66" s="72"/>
      <c r="G66" s="75"/>
    </row>
    <row r="67" spans="1:7">
      <c r="B67" s="38" t="s">
        <v>388</v>
      </c>
      <c r="C67" s="96">
        <v>37</v>
      </c>
    </row>
    <row r="68" spans="1:7">
      <c r="B68" s="94"/>
      <c r="C68" s="94"/>
    </row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G54"/>
  <sheetViews>
    <sheetView zoomScaleNormal="100" workbookViewId="0"/>
  </sheetViews>
  <sheetFormatPr defaultRowHeight="12.75"/>
  <cols>
    <col min="1" max="1" width="11.42578125" bestFit="1" customWidth="1"/>
    <col min="2" max="2" width="87.28515625" bestFit="1" customWidth="1"/>
    <col min="3" max="3" width="21.42578125" bestFit="1" customWidth="1"/>
    <col min="4" max="4" width="18.28515625" bestFit="1" customWidth="1"/>
    <col min="5" max="5" width="7.7109375" bestFit="1" customWidth="1"/>
    <col min="6" max="6" width="15.28515625" style="73" bestFit="1" customWidth="1"/>
    <col min="7" max="7" width="8" style="76" bestFit="1" customWidth="1"/>
  </cols>
  <sheetData>
    <row r="1" spans="1:7" ht="15.95" customHeight="1">
      <c r="A1" s="1"/>
      <c r="B1" s="2" t="s">
        <v>407</v>
      </c>
      <c r="C1" s="2"/>
      <c r="D1" s="1"/>
      <c r="E1" s="1"/>
      <c r="F1" s="1"/>
      <c r="G1" s="1"/>
    </row>
    <row r="2" spans="1:7" ht="12.95" customHeight="1">
      <c r="A2" s="1"/>
      <c r="B2" s="3" t="s">
        <v>1</v>
      </c>
      <c r="C2" s="3"/>
      <c r="D2" s="1"/>
      <c r="E2" s="1"/>
      <c r="F2" s="1"/>
      <c r="G2" s="1"/>
    </row>
    <row r="3" spans="1:7" ht="12.95" customHeight="1" thickBot="1">
      <c r="A3" s="4" t="s">
        <v>1</v>
      </c>
      <c r="B3" s="26" t="s">
        <v>416</v>
      </c>
      <c r="C3" s="5"/>
      <c r="D3" s="1"/>
      <c r="E3" s="1"/>
      <c r="F3" s="1"/>
      <c r="G3" s="1"/>
    </row>
    <row r="4" spans="1:7" ht="27.95" customHeight="1" thickBot="1">
      <c r="A4" s="1"/>
      <c r="B4" s="6" t="s">
        <v>2</v>
      </c>
      <c r="C4" s="25" t="s">
        <v>415</v>
      </c>
      <c r="D4" s="7" t="s">
        <v>3</v>
      </c>
      <c r="E4" s="7" t="s">
        <v>4</v>
      </c>
      <c r="F4" s="7" t="s">
        <v>5</v>
      </c>
      <c r="G4" s="7" t="s">
        <v>6</v>
      </c>
    </row>
    <row r="5" spans="1:7" ht="12.95" customHeight="1">
      <c r="A5" s="1"/>
      <c r="B5" s="56" t="s">
        <v>417</v>
      </c>
      <c r="C5" s="57"/>
      <c r="D5" s="58"/>
      <c r="E5" s="58"/>
      <c r="F5" s="90"/>
      <c r="G5" s="92"/>
    </row>
    <row r="6" spans="1:7" ht="12.95" customHeight="1">
      <c r="A6" s="11" t="s">
        <v>422</v>
      </c>
      <c r="B6" s="41" t="s">
        <v>418</v>
      </c>
      <c r="C6" s="59"/>
      <c r="D6" s="33"/>
      <c r="E6" s="100" t="s">
        <v>172</v>
      </c>
      <c r="F6" s="101" t="s">
        <v>172</v>
      </c>
      <c r="G6" s="102" t="s">
        <v>172</v>
      </c>
    </row>
    <row r="7" spans="1:7" ht="12.95" customHeight="1">
      <c r="A7" s="1"/>
      <c r="B7" s="42" t="s">
        <v>171</v>
      </c>
      <c r="C7" s="60"/>
      <c r="D7" s="33"/>
      <c r="E7" s="100" t="s">
        <v>172</v>
      </c>
      <c r="F7" s="101" t="s">
        <v>172</v>
      </c>
      <c r="G7" s="102" t="s">
        <v>172</v>
      </c>
    </row>
    <row r="8" spans="1:7" ht="12.95" customHeight="1">
      <c r="A8" s="1"/>
      <c r="B8" s="61"/>
      <c r="C8" s="62"/>
      <c r="D8" s="33"/>
      <c r="E8" s="33"/>
      <c r="F8" s="91"/>
      <c r="G8" s="93"/>
    </row>
    <row r="9" spans="1:7" ht="12.95" customHeight="1">
      <c r="A9" s="1"/>
      <c r="B9" s="36" t="s">
        <v>420</v>
      </c>
      <c r="C9" s="63"/>
      <c r="D9" s="33"/>
      <c r="E9" s="33"/>
      <c r="F9" s="91"/>
      <c r="G9" s="93"/>
    </row>
    <row r="10" spans="1:7" ht="12.95" customHeight="1">
      <c r="A10" s="1"/>
      <c r="B10" s="41" t="s">
        <v>421</v>
      </c>
      <c r="C10" s="59"/>
      <c r="D10" s="33"/>
      <c r="E10" s="100" t="s">
        <v>172</v>
      </c>
      <c r="F10" s="101" t="s">
        <v>172</v>
      </c>
      <c r="G10" s="102" t="s">
        <v>172</v>
      </c>
    </row>
    <row r="11" spans="1:7" ht="12.95" customHeight="1">
      <c r="A11" s="1"/>
      <c r="B11" s="42" t="s">
        <v>423</v>
      </c>
      <c r="C11" s="60"/>
      <c r="D11" s="33"/>
      <c r="E11" s="100" t="s">
        <v>172</v>
      </c>
      <c r="F11" s="101" t="s">
        <v>172</v>
      </c>
      <c r="G11" s="102" t="s">
        <v>172</v>
      </c>
    </row>
    <row r="12" spans="1:7" ht="12.95" customHeight="1">
      <c r="A12" s="1"/>
      <c r="B12" s="42" t="s">
        <v>424</v>
      </c>
      <c r="C12" s="60"/>
      <c r="D12" s="33"/>
      <c r="E12" s="100" t="s">
        <v>172</v>
      </c>
      <c r="F12" s="101" t="s">
        <v>172</v>
      </c>
      <c r="G12" s="102" t="s">
        <v>172</v>
      </c>
    </row>
    <row r="13" spans="1:7" ht="12.95" customHeight="1">
      <c r="A13" s="1"/>
      <c r="B13" s="8" t="s">
        <v>7</v>
      </c>
      <c r="C13" s="22"/>
      <c r="D13" s="9" t="s">
        <v>1</v>
      </c>
      <c r="E13" s="9" t="s">
        <v>1</v>
      </c>
      <c r="F13" s="77" t="s">
        <v>1</v>
      </c>
      <c r="G13" s="74" t="s">
        <v>1</v>
      </c>
    </row>
    <row r="14" spans="1:7" ht="12.95" customHeight="1">
      <c r="A14" s="11" t="s">
        <v>8</v>
      </c>
      <c r="B14" s="12" t="s">
        <v>9</v>
      </c>
      <c r="C14" s="9"/>
      <c r="D14" s="9" t="s">
        <v>10</v>
      </c>
      <c r="E14" s="21"/>
      <c r="F14" s="64">
        <v>191.4422074</v>
      </c>
      <c r="G14" s="68">
        <v>1.0179388274460626</v>
      </c>
    </row>
    <row r="15" spans="1:7" ht="12.95" customHeight="1">
      <c r="A15" s="1"/>
      <c r="B15" s="8" t="s">
        <v>11</v>
      </c>
      <c r="C15" s="22"/>
      <c r="D15" s="9" t="s">
        <v>1</v>
      </c>
      <c r="E15" s="9" t="s">
        <v>1</v>
      </c>
      <c r="F15" s="65">
        <v>191.4422074</v>
      </c>
      <c r="G15" s="69">
        <v>1.0179388274460626</v>
      </c>
    </row>
    <row r="16" spans="1:7" ht="12.95" customHeight="1">
      <c r="A16" s="1"/>
      <c r="B16" s="14" t="s">
        <v>12</v>
      </c>
      <c r="C16" s="23"/>
      <c r="D16" s="15" t="s">
        <v>1</v>
      </c>
      <c r="E16" s="16" t="s">
        <v>1</v>
      </c>
      <c r="F16" s="65">
        <v>191.4422074</v>
      </c>
      <c r="G16" s="69">
        <v>1.0179388274460626</v>
      </c>
    </row>
    <row r="17" spans="1:7" ht="12.95" customHeight="1">
      <c r="A17" s="1"/>
      <c r="B17" s="14" t="s">
        <v>13</v>
      </c>
      <c r="C17" s="23"/>
      <c r="D17" s="15" t="s">
        <v>1</v>
      </c>
      <c r="E17" s="9" t="s">
        <v>1</v>
      </c>
      <c r="F17" s="65">
        <v>-3.3737279999999998</v>
      </c>
      <c r="G17" s="69">
        <v>-1.793882744606266E-2</v>
      </c>
    </row>
    <row r="18" spans="1:7" ht="12.95" customHeight="1" thickBot="1">
      <c r="A18" s="1"/>
      <c r="B18" s="17" t="s">
        <v>14</v>
      </c>
      <c r="C18" s="24"/>
      <c r="D18" s="18" t="s">
        <v>1</v>
      </c>
      <c r="E18" s="18" t="s">
        <v>1</v>
      </c>
      <c r="F18" s="66">
        <v>188.0684794</v>
      </c>
      <c r="G18" s="70">
        <v>1</v>
      </c>
    </row>
    <row r="19" spans="1:7" ht="12.95" customHeight="1">
      <c r="A19" s="1"/>
      <c r="B19" s="4" t="s">
        <v>1</v>
      </c>
      <c r="C19" s="4"/>
      <c r="D19" s="1"/>
      <c r="E19" s="1"/>
      <c r="F19" s="72"/>
      <c r="G19" s="75"/>
    </row>
    <row r="20" spans="1:7" ht="12.95" customHeight="1">
      <c r="A20" s="1"/>
      <c r="B20" s="2" t="s">
        <v>10</v>
      </c>
      <c r="C20" s="2"/>
      <c r="D20" s="1"/>
      <c r="E20" s="1"/>
      <c r="F20" s="72"/>
      <c r="G20" s="75"/>
    </row>
    <row r="21" spans="1:7" ht="12.95" customHeight="1">
      <c r="A21" s="1"/>
      <c r="B21" s="94"/>
      <c r="C21" s="95" t="s">
        <v>571</v>
      </c>
      <c r="D21" s="1"/>
      <c r="E21" s="1"/>
      <c r="F21" s="72"/>
      <c r="G21" s="75"/>
    </row>
    <row r="22" spans="1:7" ht="12.95" customHeight="1">
      <c r="A22" s="1"/>
      <c r="B22" s="38" t="s">
        <v>407</v>
      </c>
      <c r="C22" s="96">
        <v>2</v>
      </c>
      <c r="D22" s="1"/>
      <c r="E22" s="1"/>
      <c r="F22" s="72"/>
      <c r="G22" s="75"/>
    </row>
    <row r="23" spans="1:7" ht="12.95" hidden="1" customHeight="1">
      <c r="A23" s="1"/>
      <c r="B23" s="4" t="s">
        <v>1</v>
      </c>
      <c r="C23" s="4"/>
      <c r="D23" s="1"/>
      <c r="E23" s="1"/>
      <c r="F23" s="72"/>
      <c r="G23" s="75"/>
    </row>
    <row r="24" spans="1:7" ht="12.95" hidden="1" customHeight="1">
      <c r="A24" s="1"/>
      <c r="B24" s="4" t="s">
        <v>1</v>
      </c>
      <c r="C24" s="4"/>
      <c r="D24" s="1"/>
      <c r="E24" s="1"/>
      <c r="F24" s="72"/>
      <c r="G24" s="75"/>
    </row>
    <row r="25" spans="1:7" ht="12.95" hidden="1" customHeight="1">
      <c r="A25" s="1"/>
      <c r="B25" s="2" t="s">
        <v>15</v>
      </c>
      <c r="C25" s="2"/>
      <c r="D25" s="1"/>
      <c r="E25" s="1"/>
      <c r="F25" s="72"/>
      <c r="G25" s="75"/>
    </row>
    <row r="26" spans="1:7" ht="12.95" hidden="1" customHeight="1">
      <c r="A26" s="1"/>
      <c r="B26" s="4" t="s">
        <v>16</v>
      </c>
      <c r="C26" s="4"/>
      <c r="D26" s="1"/>
      <c r="E26" s="1"/>
      <c r="F26" s="72"/>
      <c r="G26" s="75"/>
    </row>
    <row r="27" spans="1:7" ht="12.95" hidden="1" customHeight="1">
      <c r="A27" s="1"/>
      <c r="B27" s="4" t="s">
        <v>255</v>
      </c>
      <c r="C27" s="4"/>
      <c r="D27" s="1"/>
      <c r="E27" s="1"/>
      <c r="F27" s="72"/>
      <c r="G27" s="75"/>
    </row>
    <row r="28" spans="1:7" ht="12.95" hidden="1" customHeight="1">
      <c r="A28" s="1"/>
      <c r="B28" s="2" t="s">
        <v>17</v>
      </c>
      <c r="C28" s="2"/>
      <c r="D28" s="3" t="s">
        <v>18</v>
      </c>
      <c r="E28" s="1"/>
      <c r="F28" s="72"/>
      <c r="G28" s="75"/>
    </row>
    <row r="29" spans="1:7" ht="12.95" hidden="1" customHeight="1">
      <c r="A29" s="1"/>
      <c r="B29" s="4" t="s">
        <v>19</v>
      </c>
      <c r="C29" s="4"/>
      <c r="D29" s="19">
        <v>12.1381</v>
      </c>
      <c r="E29" s="1"/>
      <c r="F29" s="72"/>
      <c r="G29" s="75"/>
    </row>
    <row r="30" spans="1:7" ht="12.95" hidden="1" customHeight="1">
      <c r="A30" s="1"/>
      <c r="B30" s="4" t="s">
        <v>247</v>
      </c>
      <c r="C30" s="4"/>
      <c r="D30" s="19">
        <v>12.1302</v>
      </c>
      <c r="E30" s="1"/>
      <c r="F30" s="72"/>
      <c r="G30" s="75"/>
    </row>
    <row r="31" spans="1:7" ht="12.95" hidden="1" customHeight="1">
      <c r="A31" s="1"/>
      <c r="B31" s="4" t="s">
        <v>405</v>
      </c>
      <c r="C31" s="4"/>
      <c r="D31" s="19">
        <v>11.8443</v>
      </c>
      <c r="E31" s="1"/>
      <c r="F31" s="72"/>
      <c r="G31" s="75"/>
    </row>
    <row r="32" spans="1:7" ht="12.95" hidden="1" customHeight="1">
      <c r="A32" s="1"/>
      <c r="B32" s="4" t="s">
        <v>406</v>
      </c>
      <c r="C32" s="4"/>
      <c r="D32" s="19">
        <v>11.835699999999999</v>
      </c>
      <c r="E32" s="1"/>
      <c r="F32" s="72"/>
      <c r="G32" s="75"/>
    </row>
    <row r="33" spans="1:7" ht="12.95" hidden="1" customHeight="1">
      <c r="A33" s="1"/>
      <c r="B33" s="4" t="s">
        <v>21</v>
      </c>
      <c r="C33" s="4"/>
      <c r="D33" s="19">
        <v>10.351000000000001</v>
      </c>
      <c r="E33" s="1"/>
      <c r="F33" s="72"/>
      <c r="G33" s="75"/>
    </row>
    <row r="34" spans="1:7" ht="12.95" hidden="1" customHeight="1">
      <c r="A34" s="1"/>
      <c r="B34" s="4" t="s">
        <v>20</v>
      </c>
      <c r="C34" s="4"/>
      <c r="D34" s="19">
        <v>10.344099999999999</v>
      </c>
      <c r="E34" s="1"/>
      <c r="F34" s="72"/>
      <c r="G34" s="75"/>
    </row>
    <row r="35" spans="1:7" ht="12.95" hidden="1" customHeight="1">
      <c r="A35" s="1"/>
      <c r="B35" s="4" t="s">
        <v>408</v>
      </c>
      <c r="C35" s="4"/>
      <c r="D35" s="19">
        <v>10.177099999999999</v>
      </c>
      <c r="E35" s="1"/>
      <c r="F35" s="72"/>
      <c r="G35" s="75"/>
    </row>
    <row r="36" spans="1:7" ht="12.95" hidden="1" customHeight="1">
      <c r="A36" s="1"/>
      <c r="B36" s="4" t="s">
        <v>404</v>
      </c>
      <c r="C36" s="4"/>
      <c r="D36" s="19">
        <v>10.167899999999999</v>
      </c>
      <c r="E36" s="1"/>
      <c r="F36" s="72"/>
      <c r="G36" s="75"/>
    </row>
    <row r="37" spans="1:7" ht="12.95" hidden="1" customHeight="1">
      <c r="A37" s="1"/>
      <c r="B37" s="4" t="s">
        <v>382</v>
      </c>
      <c r="C37" s="4"/>
      <c r="D37" s="20" t="s">
        <v>23</v>
      </c>
      <c r="E37" s="1"/>
      <c r="F37" s="72"/>
      <c r="G37" s="75"/>
    </row>
    <row r="38" spans="1:7" ht="12.95" hidden="1" customHeight="1">
      <c r="A38" s="1"/>
      <c r="B38" s="4" t="s">
        <v>409</v>
      </c>
      <c r="C38" s="4"/>
      <c r="D38" s="20" t="s">
        <v>23</v>
      </c>
      <c r="E38" s="1"/>
      <c r="F38" s="72"/>
      <c r="G38" s="75"/>
    </row>
    <row r="39" spans="1:7" ht="12.95" hidden="1" customHeight="1">
      <c r="A39" s="1"/>
      <c r="B39" s="4" t="s">
        <v>381</v>
      </c>
      <c r="C39" s="4"/>
      <c r="D39" s="20" t="s">
        <v>23</v>
      </c>
      <c r="E39" s="1"/>
      <c r="F39" s="72"/>
      <c r="G39" s="75"/>
    </row>
    <row r="40" spans="1:7" ht="12.95" hidden="1" customHeight="1">
      <c r="A40" s="1"/>
      <c r="B40" s="4" t="s">
        <v>380</v>
      </c>
      <c r="C40" s="4"/>
      <c r="D40" s="20" t="s">
        <v>23</v>
      </c>
      <c r="E40" s="1"/>
      <c r="F40" s="72"/>
      <c r="G40" s="75"/>
    </row>
    <row r="41" spans="1:7" ht="12.95" hidden="1" customHeight="1">
      <c r="A41" s="1"/>
      <c r="B41" s="4" t="s">
        <v>410</v>
      </c>
      <c r="C41" s="4"/>
      <c r="D41" s="20" t="s">
        <v>23</v>
      </c>
      <c r="E41" s="1"/>
      <c r="F41" s="72"/>
      <c r="G41" s="75"/>
    </row>
    <row r="42" spans="1:7" ht="12.95" hidden="1" customHeight="1">
      <c r="A42" s="1"/>
      <c r="B42" s="4" t="s">
        <v>411</v>
      </c>
      <c r="C42" s="4"/>
      <c r="D42" s="20" t="s">
        <v>23</v>
      </c>
      <c r="E42" s="1"/>
      <c r="F42" s="72"/>
      <c r="G42" s="75"/>
    </row>
    <row r="43" spans="1:7" ht="12.95" hidden="1" customHeight="1">
      <c r="A43" s="1"/>
      <c r="B43" s="4" t="s">
        <v>412</v>
      </c>
      <c r="C43" s="4"/>
      <c r="D43" s="20" t="s">
        <v>23</v>
      </c>
      <c r="E43" s="1"/>
      <c r="F43" s="72"/>
      <c r="G43" s="75"/>
    </row>
    <row r="44" spans="1:7" ht="12.95" hidden="1" customHeight="1">
      <c r="A44" s="1"/>
      <c r="B44" s="4" t="s">
        <v>413</v>
      </c>
      <c r="C44" s="4"/>
      <c r="D44" s="20" t="s">
        <v>23</v>
      </c>
      <c r="E44" s="1"/>
      <c r="F44" s="72"/>
      <c r="G44" s="75"/>
    </row>
    <row r="45" spans="1:7" ht="12.95" hidden="1" customHeight="1">
      <c r="A45" s="1"/>
      <c r="B45" s="4" t="s">
        <v>414</v>
      </c>
      <c r="C45" s="4"/>
      <c r="D45" s="20" t="s">
        <v>23</v>
      </c>
      <c r="E45" s="1"/>
      <c r="F45" s="72"/>
      <c r="G45" s="75"/>
    </row>
    <row r="46" spans="1:7" ht="12.95" hidden="1" customHeight="1">
      <c r="A46" s="1"/>
      <c r="B46" s="4" t="s">
        <v>1</v>
      </c>
      <c r="C46" s="4"/>
      <c r="D46" s="1"/>
      <c r="E46" s="1"/>
      <c r="F46" s="72"/>
      <c r="G46" s="75"/>
    </row>
    <row r="47" spans="1:7" ht="12.95" hidden="1" customHeight="1">
      <c r="A47" s="1"/>
      <c r="B47" s="4" t="s">
        <v>256</v>
      </c>
      <c r="C47" s="4"/>
      <c r="D47" s="1"/>
      <c r="E47" s="1"/>
      <c r="F47" s="72"/>
      <c r="G47" s="75"/>
    </row>
    <row r="48" spans="1:7" ht="12.95" hidden="1" customHeight="1">
      <c r="A48" s="1"/>
      <c r="B48" s="4" t="s">
        <v>24</v>
      </c>
      <c r="C48" s="4"/>
      <c r="D48" s="1"/>
      <c r="E48" s="1"/>
      <c r="F48" s="72"/>
      <c r="G48" s="75"/>
    </row>
    <row r="49" spans="1:7" ht="12.95" hidden="1" customHeight="1">
      <c r="A49" s="1"/>
      <c r="B49" s="4" t="s">
        <v>1</v>
      </c>
      <c r="C49" s="4"/>
      <c r="D49" s="1"/>
      <c r="E49" s="1"/>
      <c r="F49" s="72"/>
      <c r="G49" s="75"/>
    </row>
    <row r="50" spans="1:7" ht="12.95" hidden="1" customHeight="1">
      <c r="A50" s="1"/>
      <c r="B50" s="4" t="s">
        <v>25</v>
      </c>
      <c r="C50" s="4"/>
      <c r="D50" s="1"/>
      <c r="E50" s="1"/>
      <c r="F50" s="72"/>
      <c r="G50" s="75"/>
    </row>
    <row r="51" spans="1:7" ht="12.95" hidden="1" customHeight="1">
      <c r="A51" s="1"/>
      <c r="B51" s="4" t="s">
        <v>26</v>
      </c>
      <c r="C51" s="4"/>
      <c r="D51" s="4" t="s">
        <v>27</v>
      </c>
      <c r="E51" s="1"/>
      <c r="F51" s="72"/>
      <c r="G51" s="75"/>
    </row>
    <row r="52" spans="1:7" ht="12.95" hidden="1" customHeight="1">
      <c r="A52" s="1"/>
      <c r="B52" s="4" t="s">
        <v>28</v>
      </c>
      <c r="C52" s="4"/>
      <c r="D52" s="4" t="s">
        <v>27</v>
      </c>
      <c r="E52" s="1"/>
      <c r="F52" s="72"/>
      <c r="G52" s="75"/>
    </row>
    <row r="53" spans="1:7" ht="12.95" hidden="1" customHeight="1">
      <c r="A53" s="1"/>
      <c r="B53" s="4" t="s">
        <v>29</v>
      </c>
      <c r="C53" s="4"/>
      <c r="D53" s="1"/>
      <c r="E53" s="1"/>
      <c r="F53" s="72"/>
      <c r="G53" s="75"/>
    </row>
    <row r="54" spans="1:7" hidden="1"/>
  </sheetData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MACMF</vt:lpstr>
      <vt:lpstr>MAEBF</vt:lpstr>
      <vt:lpstr>MAICCF</vt:lpstr>
      <vt:lpstr>MACAF</vt:lpstr>
      <vt:lpstr>MAGSCF</vt:lpstr>
      <vt:lpstr>MAIOF</vt:lpstr>
      <vt:lpstr>MALF</vt:lpstr>
      <vt:lpstr>MAUSTBF</vt:lpstr>
      <vt:lpstr>MASTBF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Seema Jadhav</cp:lastModifiedBy>
  <dcterms:created xsi:type="dcterms:W3CDTF">2013-04-09T05:36:58Z</dcterms:created>
  <dcterms:modified xsi:type="dcterms:W3CDTF">2013-04-09T07:05:37Z</dcterms:modified>
</cp:coreProperties>
</file>