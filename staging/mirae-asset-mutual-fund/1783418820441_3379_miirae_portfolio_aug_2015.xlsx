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360" yWindow="270" windowWidth="14940" windowHeight="9150"/>
  </bookViews>
  <sheets>
    <sheet name="MIIOF" sheetId="7" r:id="rId1"/>
    <sheet name="MAEBF" sheetId="2" r:id="rId2"/>
    <sheet name="MICCF" sheetId="4" r:id="rId3"/>
    <sheet name="MIGCS" sheetId="6" r:id="rId4"/>
    <sheet name="MICHF" sheetId="5" r:id="rId5"/>
    <sheet name="MACMF" sheetId="1" r:id="rId6"/>
    <sheet name="MILPF" sheetId="8" r:id="rId7"/>
    <sheet name="MISTB" sheetId="9" r:id="rId8"/>
    <sheet name="MAIPF" sheetId="3" r:id="rId9"/>
  </sheets>
  <calcPr calcId="145621"/>
</workbook>
</file>

<file path=xl/calcChain.xml><?xml version="1.0" encoding="utf-8"?>
<calcChain xmlns="http://schemas.openxmlformats.org/spreadsheetml/2006/main">
  <c r="G70" i="3" l="1"/>
  <c r="H70" i="3"/>
  <c r="F70" i="3"/>
  <c r="G34" i="9"/>
  <c r="H34" i="9"/>
  <c r="F34" i="9"/>
  <c r="G38" i="8"/>
  <c r="H38" i="8"/>
  <c r="F38" i="8"/>
  <c r="G38" i="1"/>
  <c r="H38" i="1"/>
  <c r="I38" i="1"/>
  <c r="F38" i="1"/>
  <c r="G28" i="5"/>
  <c r="H28" i="5"/>
  <c r="I28" i="5"/>
  <c r="F28" i="5"/>
  <c r="G62" i="6"/>
  <c r="H62" i="6"/>
  <c r="F62" i="6"/>
  <c r="G79" i="4"/>
  <c r="H79" i="4"/>
  <c r="F79" i="4"/>
  <c r="G90" i="2"/>
  <c r="H90" i="2"/>
  <c r="F90" i="2"/>
  <c r="H87" i="7"/>
  <c r="F87" i="7"/>
  <c r="H43" i="6" l="1"/>
  <c r="F43" i="6"/>
  <c r="H18" i="6"/>
  <c r="F18" i="6"/>
  <c r="H60" i="4"/>
  <c r="F60" i="4"/>
  <c r="H47" i="4"/>
  <c r="F47" i="4"/>
  <c r="H39" i="4"/>
  <c r="F39" i="4"/>
</calcChain>
</file>

<file path=xl/sharedStrings.xml><?xml version="1.0" encoding="utf-8"?>
<sst xmlns="http://schemas.openxmlformats.org/spreadsheetml/2006/main" count="1685" uniqueCount="419">
  <si>
    <t>Mirae Asset Cash Management Fund</t>
  </si>
  <si>
    <t/>
  </si>
  <si>
    <t>Monthly Portfolio Statement as on August 31,2015</t>
  </si>
  <si>
    <t>Name of the Instrument</t>
  </si>
  <si>
    <t>ISIN</t>
  </si>
  <si>
    <t>Rating</t>
  </si>
  <si>
    <t>Quantity</t>
  </si>
  <si>
    <t>Market/Fair Value
 (Rs. in Lacs)</t>
  </si>
  <si>
    <t>Market/Fair Value (Rounded, Rs. in Lacs)</t>
  </si>
  <si>
    <t>% to Net
 Assets</t>
  </si>
  <si>
    <t>Rounded, % to Net Assets</t>
  </si>
  <si>
    <t>Money Market Instruments</t>
  </si>
  <si>
    <t>Certificate of Deposit</t>
  </si>
  <si>
    <t>Oriental Bank of Commerce (05/10/2015) ** #</t>
  </si>
  <si>
    <t>INE141A16RR0</t>
  </si>
  <si>
    <t>ICRA A1+</t>
  </si>
  <si>
    <t>Vijaya Bank (02/09/2015) ** #</t>
  </si>
  <si>
    <t>INE705A16MI2</t>
  </si>
  <si>
    <t>CRISIL A1+</t>
  </si>
  <si>
    <t>Oriental Bank of Commerce (04/09/2015) ** #</t>
  </si>
  <si>
    <t>INE141A16UQ6</t>
  </si>
  <si>
    <t>Corporation Bank (16/09/2015) ** #</t>
  </si>
  <si>
    <t>INE112A16IB4</t>
  </si>
  <si>
    <t>ING Vysya Bank Ltd (01/10/2015) ** #</t>
  </si>
  <si>
    <t>INE166A16MD8</t>
  </si>
  <si>
    <t>IDBI Bank Ltd (01/10/2015) ** #</t>
  </si>
  <si>
    <t>INE008A16D02</t>
  </si>
  <si>
    <t>UCO Bank (05/10/2015) ** #</t>
  </si>
  <si>
    <t>INE691A16KO6</t>
  </si>
  <si>
    <t>IDBI Bank Ltd (07/10/2015) ** #</t>
  </si>
  <si>
    <t>INE008A16XD9</t>
  </si>
  <si>
    <t>Sub Total</t>
  </si>
  <si>
    <t>Housing Development Finance Corporation Ltd (12/10/2015) ** #</t>
  </si>
  <si>
    <t>INE001A14LK9</t>
  </si>
  <si>
    <t>Housing Development Finance Corporation Ltd (16/10/2015) ** #</t>
  </si>
  <si>
    <t>INE001A14ND0</t>
  </si>
  <si>
    <t>Total</t>
  </si>
  <si>
    <t>CBLO / Reverse Repo</t>
  </si>
  <si>
    <t>Clearing Corporation of India Ltd</t>
  </si>
  <si>
    <t xml:space="preserve"> </t>
  </si>
  <si>
    <t>Net Receivables / (Payables)</t>
  </si>
  <si>
    <t>GRAND TOTAL</t>
  </si>
  <si>
    <t>**  Thinly Traded / Non Traded Security</t>
  </si>
  <si>
    <t>#  Unlisted Security</t>
  </si>
  <si>
    <t>Mirae Asset Emerging Blue Chip Fund</t>
  </si>
  <si>
    <t>Industry</t>
  </si>
  <si>
    <t>Equity &amp; Equity related</t>
  </si>
  <si>
    <t>(a) Listed / awaiting listing on Stock Exchanges</t>
  </si>
  <si>
    <t>Kotak Mahindra Bank Ltd</t>
  </si>
  <si>
    <t>INE237A01028</t>
  </si>
  <si>
    <t>Banks</t>
  </si>
  <si>
    <t>Hindustan Petroleum Corporation Ltd</t>
  </si>
  <si>
    <t>INE094A01015</t>
  </si>
  <si>
    <t>Petroleum Products</t>
  </si>
  <si>
    <t>Amara Raja Batteries Ltd</t>
  </si>
  <si>
    <t>INE885A01032</t>
  </si>
  <si>
    <t>Auto Ancillaries</t>
  </si>
  <si>
    <t>Natco Pharma Ltd</t>
  </si>
  <si>
    <t>INE987B01018</t>
  </si>
  <si>
    <t>Pharmaceuticals</t>
  </si>
  <si>
    <t>Gateway Distriparks Ltd</t>
  </si>
  <si>
    <t>INE852F01015</t>
  </si>
  <si>
    <t>Transportation</t>
  </si>
  <si>
    <t>Sundaram Finance Ltd</t>
  </si>
  <si>
    <t>INE660A01013</t>
  </si>
  <si>
    <t>Finance</t>
  </si>
  <si>
    <t>Yes Bank Ltd</t>
  </si>
  <si>
    <t>INE528G01019</t>
  </si>
  <si>
    <t>Torrent Pharmaceuticals Ltd</t>
  </si>
  <si>
    <t>INE685A01028</t>
  </si>
  <si>
    <t>Indusind Bank Ltd</t>
  </si>
  <si>
    <t>INE095A01012</t>
  </si>
  <si>
    <t>Exide Industries Ltd</t>
  </si>
  <si>
    <t>INE302A01020</t>
  </si>
  <si>
    <t>FAG Bearings India Ltd</t>
  </si>
  <si>
    <t>INE513A01014</t>
  </si>
  <si>
    <t>Industrial Products</t>
  </si>
  <si>
    <t>ICICI Bank Ltd</t>
  </si>
  <si>
    <t>INE090A01021</t>
  </si>
  <si>
    <t>The Federal Bank  Ltd</t>
  </si>
  <si>
    <t>INE171A01029</t>
  </si>
  <si>
    <t>Info Edge (India) Ltd</t>
  </si>
  <si>
    <t>INE663F01024</t>
  </si>
  <si>
    <t>Software</t>
  </si>
  <si>
    <t>Tata Chemicals Ltd</t>
  </si>
  <si>
    <t>INE092A01019</t>
  </si>
  <si>
    <t>Chemicals</t>
  </si>
  <si>
    <t>CEAT Ltd</t>
  </si>
  <si>
    <t>INE482A01020</t>
  </si>
  <si>
    <t>IPCA Laboratories Ltd</t>
  </si>
  <si>
    <t>INE571A01020</t>
  </si>
  <si>
    <t>Bharat Forge Ltd</t>
  </si>
  <si>
    <t>INE465A01025</t>
  </si>
  <si>
    <t>Britannia Industries Ltd</t>
  </si>
  <si>
    <t>INE216A01022</t>
  </si>
  <si>
    <t>Consumer Non Durables</t>
  </si>
  <si>
    <t>Voltas Ltd</t>
  </si>
  <si>
    <t>INE226A01021</t>
  </si>
  <si>
    <t>Construction Project</t>
  </si>
  <si>
    <t>JK Cement Ltd</t>
  </si>
  <si>
    <t>INE823G01014</t>
  </si>
  <si>
    <t>Cement</t>
  </si>
  <si>
    <t>Asian Paints Ltd</t>
  </si>
  <si>
    <t>INE021A01026</t>
  </si>
  <si>
    <t>Crompton  Greaves Ltd</t>
  </si>
  <si>
    <t>INE067A01029</t>
  </si>
  <si>
    <t>Industrial Capital Goods</t>
  </si>
  <si>
    <t>Nilkamal Ltd</t>
  </si>
  <si>
    <t>INE310A01015</t>
  </si>
  <si>
    <t>AIA Engineering Ltd</t>
  </si>
  <si>
    <t>INE212H01026</t>
  </si>
  <si>
    <t>Emami Ltd</t>
  </si>
  <si>
    <t>INE548C01032</t>
  </si>
  <si>
    <t>Atul Ltd</t>
  </si>
  <si>
    <t>INE100A01010</t>
  </si>
  <si>
    <t>Zee Entertainment Enterprises Ltd</t>
  </si>
  <si>
    <t>INE256A01028</t>
  </si>
  <si>
    <t>Media &amp; Entertainment</t>
  </si>
  <si>
    <t>Ramkrishna Forgings Ltd</t>
  </si>
  <si>
    <t>INE399G01015</t>
  </si>
  <si>
    <t>Godfrey Phillips India Ltd</t>
  </si>
  <si>
    <t>INE260B01028</t>
  </si>
  <si>
    <t>Gillette India Ltd</t>
  </si>
  <si>
    <t>INE322A01010</t>
  </si>
  <si>
    <t>Welspun India Ltd</t>
  </si>
  <si>
    <t>INE192B01023</t>
  </si>
  <si>
    <t>Textile Products</t>
  </si>
  <si>
    <t>VST Tillers Tractors Ltd</t>
  </si>
  <si>
    <t>INE764D01017</t>
  </si>
  <si>
    <t>Auto</t>
  </si>
  <si>
    <t>Petronet LNG Ltd</t>
  </si>
  <si>
    <t>INE347G01014</t>
  </si>
  <si>
    <t>Gas</t>
  </si>
  <si>
    <t>Carborundum Universal Ltd</t>
  </si>
  <si>
    <t>INE120A01034</t>
  </si>
  <si>
    <t>Akzo Nobel India Ltd</t>
  </si>
  <si>
    <t>INE133A01011</t>
  </si>
  <si>
    <t>LIC Housing Finance Ltd</t>
  </si>
  <si>
    <t>INE115A01026</t>
  </si>
  <si>
    <t>Gulf Oil Lubricants India Ltd</t>
  </si>
  <si>
    <t>INE635Q01029</t>
  </si>
  <si>
    <t>KEC International Ltd</t>
  </si>
  <si>
    <t>INE389H01022</t>
  </si>
  <si>
    <t>Mphasis Ltd</t>
  </si>
  <si>
    <t>INE356A01018</t>
  </si>
  <si>
    <t>Multi Commodity Exchange of India Ltd</t>
  </si>
  <si>
    <t>INE745G01035</t>
  </si>
  <si>
    <t>Eclerx Services Ltd</t>
  </si>
  <si>
    <t>INE738I01010</t>
  </si>
  <si>
    <t>HSIL Ltd</t>
  </si>
  <si>
    <t>INE415A01038</t>
  </si>
  <si>
    <t>Consumer Durables</t>
  </si>
  <si>
    <t>NIIT Technologies Ltd</t>
  </si>
  <si>
    <t>INE591G01017</t>
  </si>
  <si>
    <t>Karur Vysya Bank Ltd</t>
  </si>
  <si>
    <t>INE036D01010</t>
  </si>
  <si>
    <t>Coromandel International Ltd</t>
  </si>
  <si>
    <t>INE169A01031</t>
  </si>
  <si>
    <t>Fertilisers</t>
  </si>
  <si>
    <t>Vinati Organics Ltd</t>
  </si>
  <si>
    <t>INE410B01029</t>
  </si>
  <si>
    <t>Blue Dart Express Ltd</t>
  </si>
  <si>
    <t>INE233B01017</t>
  </si>
  <si>
    <t>Hexaware Technologies Ltd</t>
  </si>
  <si>
    <t>INE093A01033</t>
  </si>
  <si>
    <t>Bajaj Finance Ltd</t>
  </si>
  <si>
    <t>INE296A01016</t>
  </si>
  <si>
    <t>Divi's Laboratories Ltd</t>
  </si>
  <si>
    <t>INE361B01024</t>
  </si>
  <si>
    <t>CESC Ltd</t>
  </si>
  <si>
    <t>INE486A01013</t>
  </si>
  <si>
    <t>Power</t>
  </si>
  <si>
    <t>Titan Company Limited</t>
  </si>
  <si>
    <t>INE280A01028</t>
  </si>
  <si>
    <t>IRB Infrastructure Developers Ltd</t>
  </si>
  <si>
    <t>INE821I01014</t>
  </si>
  <si>
    <t>Construction</t>
  </si>
  <si>
    <t>Triveni Turbine Ltd</t>
  </si>
  <si>
    <t>INE152M01016</t>
  </si>
  <si>
    <t>Thermax Ltd</t>
  </si>
  <si>
    <t>INE152A01029</t>
  </si>
  <si>
    <t>Glenmark Pharmaceuticals Ltd</t>
  </si>
  <si>
    <t>INE935A01035</t>
  </si>
  <si>
    <t>Prism CEMENT Ltd</t>
  </si>
  <si>
    <t>INE010A01011</t>
  </si>
  <si>
    <t>HT Media Ltd</t>
  </si>
  <si>
    <t>INE501G01024</t>
  </si>
  <si>
    <t>Gayatri Projects Ltd</t>
  </si>
  <si>
    <t>INE336H01015</t>
  </si>
  <si>
    <t>Indian Bank</t>
  </si>
  <si>
    <t>INE562A01011</t>
  </si>
  <si>
    <t>Gulf Oil Corporation Ltd</t>
  </si>
  <si>
    <t>INE077F01035</t>
  </si>
  <si>
    <t>Oil India Ltd</t>
  </si>
  <si>
    <t>INE274J01014</t>
  </si>
  <si>
    <t>Oil</t>
  </si>
  <si>
    <t>(b) Unlisted</t>
  </si>
  <si>
    <t>NIL</t>
  </si>
  <si>
    <t>Industry / Rating</t>
  </si>
  <si>
    <t>HDFC Bank Ltd</t>
  </si>
  <si>
    <t>INE040A01026</t>
  </si>
  <si>
    <t>Infosys Ltd</t>
  </si>
  <si>
    <t>INE009A01021</t>
  </si>
  <si>
    <t>ITC Ltd</t>
  </si>
  <si>
    <t>INE154A01025</t>
  </si>
  <si>
    <t>Reliance Industries Ltd</t>
  </si>
  <si>
    <t>INE002A01018</t>
  </si>
  <si>
    <t>Maruti Suzuki India Ltd</t>
  </si>
  <si>
    <t>INE585B01010</t>
  </si>
  <si>
    <t>Larsen &amp; Toubro Ltd</t>
  </si>
  <si>
    <t>INE018A01030</t>
  </si>
  <si>
    <t>Tata Consultancy Services Ltd</t>
  </si>
  <si>
    <t>INE467B01029</t>
  </si>
  <si>
    <t>Sun Pharmaceuticals Industries Ltd</t>
  </si>
  <si>
    <t>INE044A01036</t>
  </si>
  <si>
    <t>State Bank of India</t>
  </si>
  <si>
    <t>INE062A01020</t>
  </si>
  <si>
    <t>Housing Development Finance Corporation Ltd</t>
  </si>
  <si>
    <t>INE001A01036</t>
  </si>
  <si>
    <t>Axis Bank Ltd</t>
  </si>
  <si>
    <t>INE238A01034</t>
  </si>
  <si>
    <t>Tata Motors Ltd</t>
  </si>
  <si>
    <t>IN9155A01020</t>
  </si>
  <si>
    <t>Ultratech Cement Ltd</t>
  </si>
  <si>
    <t>INE481G01011</t>
  </si>
  <si>
    <t>Power Grid Corporation of India Ltd</t>
  </si>
  <si>
    <t>INE752E01010</t>
  </si>
  <si>
    <t>HCL Technologies Ltd</t>
  </si>
  <si>
    <t>INE860A01027</t>
  </si>
  <si>
    <t>Bharti Airtel Ltd</t>
  </si>
  <si>
    <t>INE397D01024</t>
  </si>
  <si>
    <t>Telecom - Services</t>
  </si>
  <si>
    <t>Dabur India Ltd</t>
  </si>
  <si>
    <t>INE016A01026</t>
  </si>
  <si>
    <t>Lupin Ltd</t>
  </si>
  <si>
    <t>INE326A01037</t>
  </si>
  <si>
    <t>Adani Ports and Special Economic Zone Ltd</t>
  </si>
  <si>
    <t>INE742F01042</t>
  </si>
  <si>
    <t>Coal India Ltd</t>
  </si>
  <si>
    <t>INE522F01014</t>
  </si>
  <si>
    <t>Minerals/Mining</t>
  </si>
  <si>
    <t>Debt Instruments</t>
  </si>
  <si>
    <t>(a) Listed / awaiting listing on Stock Exchange</t>
  </si>
  <si>
    <t>8.37% National Bank For Agriculture and Rural Development (22/06/2020) **</t>
  </si>
  <si>
    <t>INE261F08527</t>
  </si>
  <si>
    <t>CRISIL AAA</t>
  </si>
  <si>
    <t>INE115A07FU2</t>
  </si>
  <si>
    <t>8.40% Government of India (28/07/2024)</t>
  </si>
  <si>
    <t>IN0020140045</t>
  </si>
  <si>
    <t>SOVEREIGN</t>
  </si>
  <si>
    <t>8.60% Power Finance Corporation Ltd (07/08/2019) **</t>
  </si>
  <si>
    <t>INE134E08BO5</t>
  </si>
  <si>
    <t>INE752E07MM7</t>
  </si>
  <si>
    <t>7.72% Government of India (25/05/2025)</t>
  </si>
  <si>
    <t>IN0020150036</t>
  </si>
  <si>
    <t>(b) Privately placed / Unlisted</t>
  </si>
  <si>
    <t>Mirae Asset India China Consumption Fund</t>
  </si>
  <si>
    <t>Tencent Holdings</t>
  </si>
  <si>
    <t>KYG875721634</t>
  </si>
  <si>
    <t>Internet Software &amp; Services</t>
  </si>
  <si>
    <t>Glaxosmithkline Consumer Healthcare Ltd</t>
  </si>
  <si>
    <t>INE264A01014</t>
  </si>
  <si>
    <t>Procter &amp; Gamble Hygiene and Health Care Ltd</t>
  </si>
  <si>
    <t>INE179A01014</t>
  </si>
  <si>
    <t>Samsonite  International  S A</t>
  </si>
  <si>
    <t>LU0633102719</t>
  </si>
  <si>
    <t>Apparel, Accessories and Luxury Goods</t>
  </si>
  <si>
    <t>Ping An Ins Grp-H</t>
  </si>
  <si>
    <t>CNE1000003X6</t>
  </si>
  <si>
    <t>Life &amp; Health Insurance</t>
  </si>
  <si>
    <t>AIA GROUP LTD</t>
  </si>
  <si>
    <t>HK0000069689</t>
  </si>
  <si>
    <t>ALIBABA GROUP HOLDING ADR</t>
  </si>
  <si>
    <t>US01609W1027</t>
  </si>
  <si>
    <t>Vipshop Holding Ltd</t>
  </si>
  <si>
    <t>US92763W1036</t>
  </si>
  <si>
    <t>Miscellaneous</t>
  </si>
  <si>
    <t>JD Com Inc ADR</t>
  </si>
  <si>
    <t>US47215P1066</t>
  </si>
  <si>
    <t>Luye Pharma Group Ltd</t>
  </si>
  <si>
    <t>BMG570071099</t>
  </si>
  <si>
    <t>Sihuan Pharmaceutical Holdings Group Ord Shs</t>
  </si>
  <si>
    <t>BMG8162K1137</t>
  </si>
  <si>
    <t>Hero MotoCorp Ltd</t>
  </si>
  <si>
    <t>INE158A01026</t>
  </si>
  <si>
    <t>CSPC Pharmaceutical Group Ltd</t>
  </si>
  <si>
    <t>HK1093012172</t>
  </si>
  <si>
    <t>Baidu Sp ADR-A</t>
  </si>
  <si>
    <t>US0567521085</t>
  </si>
  <si>
    <t>Lenovo Group Ltd</t>
  </si>
  <si>
    <t>HK0992009065</t>
  </si>
  <si>
    <t>Computer Hardware</t>
  </si>
  <si>
    <t>China Life Insurance Co Ltd</t>
  </si>
  <si>
    <t>CNE1000002L3</t>
  </si>
  <si>
    <t>Mirae Asset China Advantage Fund</t>
  </si>
  <si>
    <t>Others</t>
  </si>
  <si>
    <t>International  Mutual Fund Units</t>
  </si>
  <si>
    <t>Mirae Asset China Sector Leader Eq Class X Cap USD</t>
  </si>
  <si>
    <t>LU0587760769</t>
  </si>
  <si>
    <t>Mirae Asset Global Commodity Stocks Fund</t>
  </si>
  <si>
    <t>BHP Billiton Ltd</t>
  </si>
  <si>
    <t>AU000000BHP4</t>
  </si>
  <si>
    <t>Diversified Metals &amp; Mining</t>
  </si>
  <si>
    <t>Oil &amp; Natural Gas Corporation Ltd</t>
  </si>
  <si>
    <t>INE213A01029</t>
  </si>
  <si>
    <t>Cnooc Ltd</t>
  </si>
  <si>
    <t>HK0883013259</t>
  </si>
  <si>
    <t>Oil &amp; Gas Exploration &amp; Production</t>
  </si>
  <si>
    <t>China Petroleum -H-</t>
  </si>
  <si>
    <t>CNE1000002Q2</t>
  </si>
  <si>
    <t>Integrated Oil &amp; Gas</t>
  </si>
  <si>
    <t>Petrochina Company Ltd</t>
  </si>
  <si>
    <t>CNE1000003W8</t>
  </si>
  <si>
    <t>Rio Tinto Ltd</t>
  </si>
  <si>
    <t>AU000000RIO1</t>
  </si>
  <si>
    <t>Woodside Petroleum Ltd</t>
  </si>
  <si>
    <t>AU000000WPL2</t>
  </si>
  <si>
    <t>AMCOR LIMITED</t>
  </si>
  <si>
    <t>AU000000AMC4</t>
  </si>
  <si>
    <t>Paper Packaging</t>
  </si>
  <si>
    <t>Bharat Petroleum Corporation Ltd</t>
  </si>
  <si>
    <t>INE029A01011</t>
  </si>
  <si>
    <t>Vedanta Ltd</t>
  </si>
  <si>
    <t>INE205A01025</t>
  </si>
  <si>
    <t>Non - Ferrous Metals</t>
  </si>
  <si>
    <t>Anhui Conch -H-</t>
  </si>
  <si>
    <t>CNE1000001W2</t>
  </si>
  <si>
    <t>Construction Materials</t>
  </si>
  <si>
    <t>Origin Energy Ltd</t>
  </si>
  <si>
    <t>AU000000ORG5</t>
  </si>
  <si>
    <t>Oil Search Ltd</t>
  </si>
  <si>
    <t>PG0008579883</t>
  </si>
  <si>
    <t>Orica Ltd</t>
  </si>
  <si>
    <t>AU000000ORI1</t>
  </si>
  <si>
    <t>Commodity Chemicals</t>
  </si>
  <si>
    <t>LG Chemicals Ltd</t>
  </si>
  <si>
    <t>KR7051910008</t>
  </si>
  <si>
    <t>Santos Ltd-AUD</t>
  </si>
  <si>
    <t>AU000000STO6</t>
  </si>
  <si>
    <t>China Shenhua - H</t>
  </si>
  <si>
    <t>CNE1000002R0</t>
  </si>
  <si>
    <t>Coal &amp; Consumable Fuels</t>
  </si>
  <si>
    <t>SK Innovation Co Ltd</t>
  </si>
  <si>
    <t>KR7096770003</t>
  </si>
  <si>
    <t>Oil &amp; Gas Refining &amp; Marketing</t>
  </si>
  <si>
    <t>POSCO (Pohang Iron &amp; Steel Co Ltd )</t>
  </si>
  <si>
    <t>KR7005490008</t>
  </si>
  <si>
    <t>Steel</t>
  </si>
  <si>
    <t>Kunlun Energy Company Ltd</t>
  </si>
  <si>
    <t>BMG5320C1082</t>
  </si>
  <si>
    <t>Jiangxi Copper Company Ltd</t>
  </si>
  <si>
    <t>CNE1000003K3</t>
  </si>
  <si>
    <t>Hindalco Industries Ltd</t>
  </si>
  <si>
    <t>INE038A01020</t>
  </si>
  <si>
    <t>PT Semen Indonesia ( Persero) TBK</t>
  </si>
  <si>
    <t>ID1000106800</t>
  </si>
  <si>
    <t>Cairn India Ltd</t>
  </si>
  <si>
    <t>INE910H01017</t>
  </si>
  <si>
    <t>China National Building Materia Ltd</t>
  </si>
  <si>
    <t>CNE1000002N9</t>
  </si>
  <si>
    <t>Orora Ltd</t>
  </si>
  <si>
    <t>AU000000ORA8</t>
  </si>
  <si>
    <t>Mirae Asset India Opportunities Fund</t>
  </si>
  <si>
    <t>Tata Steel Ltd</t>
  </si>
  <si>
    <t>INE081A01012</t>
  </si>
  <si>
    <t>Ferrous Metals</t>
  </si>
  <si>
    <t>Bank of Baroda</t>
  </si>
  <si>
    <t>INE028A01039</t>
  </si>
  <si>
    <t>$0.00%</t>
  </si>
  <si>
    <t xml:space="preserve">$  Less Than 0.01% of Net Asset Value </t>
  </si>
  <si>
    <t>Mirae Asset Ultra Short Term Bond Fund</t>
  </si>
  <si>
    <t>9.50% LIC Housing Finance Ltd (11/04/2016) **</t>
  </si>
  <si>
    <t>INE115A07AO6</t>
  </si>
  <si>
    <t>9.60% Housing Development Finance Corporation Ltd (07/04/2016) **</t>
  </si>
  <si>
    <t>INE001A07GM9</t>
  </si>
  <si>
    <t>Andhra Bank (04/03/2016) ** #</t>
  </si>
  <si>
    <t>INE434A16KM5</t>
  </si>
  <si>
    <t>CARE A1+</t>
  </si>
  <si>
    <t>Canara Bank (01/03/2016) ** #</t>
  </si>
  <si>
    <t>INE476A16PX2</t>
  </si>
  <si>
    <t>IDBI Bank Ltd (23/10/2015) ** #</t>
  </si>
  <si>
    <t>INE008A16E68</t>
  </si>
  <si>
    <t>Andhra Bank (09/08/2016) ** #</t>
  </si>
  <si>
    <t>INE434A16MC2</t>
  </si>
  <si>
    <t>Bank of India (09/06/2016) ** #</t>
  </si>
  <si>
    <t>INE084A16BS4</t>
  </si>
  <si>
    <t>Mirae Asset Short Term Bond Fund</t>
  </si>
  <si>
    <t>EQUITY &amp; EQUITY RELATED</t>
  </si>
  <si>
    <t>(a) Listed/Awaiting listing on Stock Exchanges</t>
  </si>
  <si>
    <t>DEBT INSTRUMENTS</t>
  </si>
  <si>
    <t xml:space="preserve">(a) Listed/Awaiting Listing on Stock Exchanges </t>
  </si>
  <si>
    <t xml:space="preserve">(b) Privately placed/Unlisted </t>
  </si>
  <si>
    <t>(c) Securitised Debt Instruments</t>
  </si>
  <si>
    <r>
      <t>Industry</t>
    </r>
    <r>
      <rPr>
        <sz val="9"/>
        <rFont val="Arial"/>
        <family val="2"/>
      </rPr>
      <t>*</t>
    </r>
  </si>
  <si>
    <t>* Industry classification as recommended by AMFI.</t>
  </si>
  <si>
    <t>Industry / Rating*</t>
  </si>
  <si>
    <t>American Depository Receipt</t>
  </si>
  <si>
    <t>India Equity Share*</t>
  </si>
  <si>
    <t>FOREIGN SECURITIES/OVERSEAS ETFS@@</t>
  </si>
  <si>
    <t>International Equity Shares</t>
  </si>
  <si>
    <t>(a) Listed/Awaiting Listing on Stock Exchanges</t>
  </si>
  <si>
    <t>@@ Industry Classification as per GICS Sub-Industry Classification</t>
  </si>
  <si>
    <t xml:space="preserve">9.44% LIC Housing Finance Ltd (30/08/2019) </t>
  </si>
  <si>
    <t xml:space="preserve">8.40% Power Grid Corporation of India Ltd (27/05/2020) </t>
  </si>
  <si>
    <t>(An Open - Ended Equity Oriented Scheme)</t>
  </si>
  <si>
    <t>Portfolio Turnover Ratio^</t>
  </si>
  <si>
    <t>^Basis last rolling 12 month</t>
  </si>
  <si>
    <t xml:space="preserve"> (An Open - Ended Equity Fund)</t>
  </si>
  <si>
    <t>OTHERS</t>
  </si>
  <si>
    <t>(An Open - Ended Fund of Funds Scheme)</t>
  </si>
  <si>
    <t>(An Open - Ended Liquid Scheme)</t>
  </si>
  <si>
    <t>Average maturity in days</t>
  </si>
  <si>
    <t>(An Open - Ended Debt Scheme)</t>
  </si>
  <si>
    <t>others</t>
  </si>
  <si>
    <t>Mirae Asset Prudence Fund</t>
  </si>
  <si>
    <t>(An Open - Ended Equity Oriented Asset Allocation Scheme)</t>
  </si>
  <si>
    <t>26.21 days</t>
  </si>
  <si>
    <t>162.55  days</t>
  </si>
  <si>
    <t xml:space="preserve"> 183.11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</si>
</sst>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,##0.00;\(#,##0.00\)"/>
    <numFmt numFmtId="165" formatCode="#,##0.00%;\(#,##0.00\)%"/>
    <numFmt numFmtId="166" formatCode="#,##0.00%"/>
  </numFmts>
  <fonts count="26">
    <font>
      <sz val="10"/>
      <name val="Arial"/>
    </font>
    <font>
      <sz val="10"/>
      <name val="SansSerif"/>
    </font>
    <font>
      <b/>
      <sz val="9"/>
      <color indexed="72"/>
      <name val="Arial"/>
      <family val="2"/>
    </font>
    <font>
      <sz val="9"/>
      <color indexed="72"/>
      <name val="Arial"/>
      <family val="2"/>
    </font>
    <font>
      <b/>
      <sz val="10"/>
      <color indexed="72"/>
      <name val="SansSerif"/>
    </font>
    <font>
      <sz val="10"/>
      <color indexed="72"/>
      <name val="SansSerif"/>
    </font>
    <font>
      <sz val="9"/>
      <color indexed="9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9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5"/>
      <name val="Tahoma"/>
      <family val="2"/>
    </font>
    <font>
      <b/>
      <sz val="9"/>
      <color indexed="72"/>
      <name val="Tahoma"/>
      <family val="2"/>
    </font>
    <font>
      <b/>
      <sz val="10"/>
      <color theme="1"/>
      <name val="Tahoma"/>
      <family val="2"/>
    </font>
    <font>
      <b/>
      <sz val="10"/>
      <name val="Tahoma"/>
      <family val="2"/>
    </font>
    <font>
      <b/>
      <sz val="10"/>
      <color indexed="72"/>
      <name val="Tahoma"/>
      <family val="2"/>
    </font>
    <font>
      <sz val="10"/>
      <name val="Tahoma"/>
      <family val="2"/>
    </font>
    <font>
      <b/>
      <sz val="10"/>
      <color rgb="FF000000"/>
      <name val="Calibri"/>
      <family val="2"/>
    </font>
    <font>
      <sz val="9"/>
      <color indexed="72"/>
      <name val="Tahoma"/>
      <family val="2"/>
    </font>
    <font>
      <b/>
      <sz val="14"/>
      <name val="Tahoma"/>
      <family val="2"/>
    </font>
    <font>
      <sz val="10"/>
      <color indexed="72"/>
      <name val="Tahoma"/>
      <family val="2"/>
    </font>
    <font>
      <b/>
      <sz val="9"/>
      <name val="Tahoma"/>
      <family val="2"/>
    </font>
    <font>
      <sz val="9"/>
      <name val="Tahoma"/>
      <family val="2"/>
    </font>
    <font>
      <sz val="10"/>
      <color theme="1"/>
      <name val="Tahoma"/>
      <family val="2"/>
    </font>
    <font>
      <b/>
      <sz val="9"/>
      <color theme="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/>
      <right style="medium">
        <color indexed="8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8"/>
      </right>
      <top style="medium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8"/>
      </right>
      <top/>
      <bottom style="medium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</cellStyleXfs>
  <cellXfs count="186">
    <xf numFmtId="0" fontId="0" fillId="0" borderId="0" xfId="0" applyNumberFormat="1" applyFont="1" applyFill="1" applyBorder="1" applyAlignment="1"/>
    <xf numFmtId="0" fontId="1" fillId="0" borderId="0" xfId="0" applyNumberFormat="1" applyFont="1" applyFill="1" applyBorder="1" applyAlignment="1" applyProtection="1">
      <alignment horizontal="left" vertical="top" wrapText="1"/>
    </xf>
    <xf numFmtId="165" fontId="3" fillId="0" borderId="1" xfId="0" applyNumberFormat="1" applyFont="1" applyFill="1" applyBorder="1" applyAlignment="1" applyProtection="1">
      <alignment horizontal="right" vertical="top" wrapText="1"/>
    </xf>
    <xf numFmtId="4" fontId="0" fillId="0" borderId="0" xfId="0" applyNumberFormat="1" applyFont="1" applyFill="1" applyBorder="1" applyAlignment="1"/>
    <xf numFmtId="10" fontId="0" fillId="0" borderId="0" xfId="0" applyNumberFormat="1" applyFont="1" applyFill="1" applyBorder="1" applyAlignment="1"/>
    <xf numFmtId="0" fontId="2" fillId="0" borderId="0" xfId="0" applyNumberFormat="1" applyFont="1" applyFill="1" applyBorder="1" applyAlignment="1" applyProtection="1">
      <alignment horizontal="center" vertical="center" wrapText="1"/>
    </xf>
    <xf numFmtId="0" fontId="2" fillId="0" borderId="2" xfId="0" applyNumberFormat="1" applyFont="1" applyFill="1" applyBorder="1" applyAlignment="1" applyProtection="1">
      <alignment horizontal="center" vertical="center" wrapText="1"/>
    </xf>
    <xf numFmtId="0" fontId="9" fillId="0" borderId="3" xfId="0" applyNumberFormat="1" applyFont="1" applyFill="1" applyBorder="1" applyAlignment="1" applyProtection="1">
      <alignment horizontal="center" vertical="center" wrapText="1"/>
    </xf>
    <xf numFmtId="0" fontId="2" fillId="0" borderId="3" xfId="0" applyNumberFormat="1" applyFont="1" applyFill="1" applyBorder="1" applyAlignment="1" applyProtection="1">
      <alignment horizontal="center" vertical="center" wrapText="1"/>
    </xf>
    <xf numFmtId="2" fontId="10" fillId="0" borderId="4" xfId="0" applyNumberFormat="1" applyFont="1" applyFill="1" applyBorder="1" applyAlignment="1" applyProtection="1">
      <alignment horizontal="right" vertical="top" wrapText="1"/>
    </xf>
    <xf numFmtId="164" fontId="10" fillId="0" borderId="4" xfId="0" applyNumberFormat="1" applyFont="1" applyFill="1" applyBorder="1" applyAlignment="1" applyProtection="1">
      <alignment horizontal="right" vertical="top" wrapText="1"/>
    </xf>
    <xf numFmtId="10" fontId="10" fillId="0" borderId="4" xfId="0" applyNumberFormat="1" applyFont="1" applyFill="1" applyBorder="1" applyAlignment="1" applyProtection="1">
      <alignment horizontal="right" vertical="top" wrapText="1"/>
    </xf>
    <xf numFmtId="165" fontId="2" fillId="0" borderId="3" xfId="0" applyNumberFormat="1" applyFont="1" applyFill="1" applyBorder="1" applyAlignment="1" applyProtection="1">
      <alignment horizontal="right" vertical="top" wrapText="1"/>
    </xf>
    <xf numFmtId="164" fontId="9" fillId="0" borderId="3" xfId="0" applyNumberFormat="1" applyFont="1" applyFill="1" applyBorder="1" applyAlignment="1" applyProtection="1">
      <alignment horizontal="right" vertical="top" wrapText="1"/>
    </xf>
    <xf numFmtId="0" fontId="8" fillId="0" borderId="5" xfId="0" applyFont="1" applyBorder="1"/>
    <xf numFmtId="0" fontId="2" fillId="0" borderId="4" xfId="0" applyNumberFormat="1" applyFont="1" applyFill="1" applyBorder="1" applyAlignment="1" applyProtection="1">
      <alignment horizontal="left" vertical="top" wrapText="1"/>
    </xf>
    <xf numFmtId="0" fontId="3" fillId="0" borderId="4" xfId="0" applyNumberFormat="1" applyFont="1" applyFill="1" applyBorder="1" applyAlignment="1" applyProtection="1">
      <alignment horizontal="left" vertical="top" wrapText="1"/>
    </xf>
    <xf numFmtId="4" fontId="2" fillId="0" borderId="4" xfId="0" applyNumberFormat="1" applyFont="1" applyFill="1" applyBorder="1" applyAlignment="1" applyProtection="1">
      <alignment horizontal="right" vertical="top" wrapText="1"/>
    </xf>
    <xf numFmtId="10" fontId="2" fillId="0" borderId="4" xfId="0" applyNumberFormat="1" applyFont="1" applyFill="1" applyBorder="1" applyAlignment="1" applyProtection="1">
      <alignment horizontal="right" vertical="top" wrapText="1"/>
    </xf>
    <xf numFmtId="0" fontId="7" fillId="0" borderId="5" xfId="0" applyFont="1" applyBorder="1"/>
    <xf numFmtId="4" fontId="9" fillId="0" borderId="4" xfId="0" applyNumberFormat="1" applyFont="1" applyFill="1" applyBorder="1" applyAlignment="1" applyProtection="1">
      <alignment horizontal="right" vertical="top" wrapText="1"/>
    </xf>
    <xf numFmtId="10" fontId="9" fillId="0" borderId="4" xfId="0" applyNumberFormat="1" applyFont="1" applyFill="1" applyBorder="1" applyAlignment="1" applyProtection="1">
      <alignment horizontal="right" vertical="top" wrapText="1"/>
    </xf>
    <xf numFmtId="0" fontId="0" fillId="0" borderId="5" xfId="0" applyBorder="1"/>
    <xf numFmtId="0" fontId="2" fillId="0" borderId="8" xfId="0" applyNumberFormat="1" applyFont="1" applyFill="1" applyBorder="1" applyAlignment="1" applyProtection="1">
      <alignment horizontal="left" vertical="top" wrapText="1"/>
    </xf>
    <xf numFmtId="0" fontId="3" fillId="0" borderId="8" xfId="0" applyNumberFormat="1" applyFont="1" applyFill="1" applyBorder="1" applyAlignment="1" applyProtection="1">
      <alignment horizontal="left" vertical="top" wrapText="1"/>
    </xf>
    <xf numFmtId="4" fontId="2" fillId="0" borderId="8" xfId="0" applyNumberFormat="1" applyFont="1" applyFill="1" applyBorder="1" applyAlignment="1" applyProtection="1">
      <alignment horizontal="right" vertical="top" wrapText="1"/>
    </xf>
    <xf numFmtId="0" fontId="2" fillId="0" borderId="10" xfId="0" applyNumberFormat="1" applyFont="1" applyFill="1" applyBorder="1" applyAlignment="1" applyProtection="1">
      <alignment horizontal="center" vertical="center" wrapText="1"/>
    </xf>
    <xf numFmtId="0" fontId="1" fillId="2" borderId="0" xfId="0" applyNumberFormat="1" applyFont="1" applyFill="1" applyBorder="1" applyAlignment="1" applyProtection="1">
      <alignment horizontal="left" vertical="top" wrapText="1"/>
    </xf>
    <xf numFmtId="0" fontId="3" fillId="2" borderId="0" xfId="0" applyNumberFormat="1" applyFont="1" applyFill="1" applyBorder="1" applyAlignment="1" applyProtection="1">
      <alignment horizontal="left" vertical="top" wrapText="1"/>
    </xf>
    <xf numFmtId="0" fontId="6" fillId="2" borderId="0" xfId="0" applyNumberFormat="1" applyFont="1" applyFill="1" applyBorder="1" applyAlignment="1" applyProtection="1">
      <alignment horizontal="left" vertical="top" wrapText="1"/>
    </xf>
    <xf numFmtId="0" fontId="0" fillId="2" borderId="0" xfId="0" applyNumberFormat="1" applyFont="1" applyFill="1" applyBorder="1" applyAlignment="1"/>
    <xf numFmtId="0" fontId="13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left" vertical="top" wrapText="1"/>
    </xf>
    <xf numFmtId="4" fontId="1" fillId="2" borderId="0" xfId="0" applyNumberFormat="1" applyFont="1" applyFill="1" applyBorder="1" applyAlignment="1" applyProtection="1">
      <alignment horizontal="left" vertical="top" wrapText="1"/>
    </xf>
    <xf numFmtId="10" fontId="1" fillId="2" borderId="0" xfId="0" applyNumberFormat="1" applyFont="1" applyFill="1" applyBorder="1" applyAlignment="1" applyProtection="1">
      <alignment horizontal="left" vertical="top" wrapText="1"/>
    </xf>
    <xf numFmtId="0" fontId="2" fillId="2" borderId="0" xfId="0" applyNumberFormat="1" applyFont="1" applyFill="1" applyBorder="1" applyAlignment="1" applyProtection="1">
      <alignment horizontal="left" vertical="top" wrapText="1"/>
    </xf>
    <xf numFmtId="4" fontId="0" fillId="2" borderId="0" xfId="0" applyNumberFormat="1" applyFont="1" applyFill="1" applyBorder="1" applyAlignment="1"/>
    <xf numFmtId="10" fontId="0" fillId="2" borderId="0" xfId="0" applyNumberFormat="1" applyFont="1" applyFill="1" applyBorder="1" applyAlignment="1"/>
    <xf numFmtId="0" fontId="2" fillId="0" borderId="17" xfId="0" applyNumberFormat="1" applyFont="1" applyFill="1" applyBorder="1" applyAlignment="1" applyProtection="1">
      <alignment horizontal="center" vertical="center" wrapText="1"/>
    </xf>
    <xf numFmtId="0" fontId="5" fillId="0" borderId="1" xfId="0" applyNumberFormat="1" applyFont="1" applyFill="1" applyBorder="1" applyAlignment="1" applyProtection="1">
      <alignment horizontal="right" vertical="top" wrapText="1"/>
    </xf>
    <xf numFmtId="0" fontId="3" fillId="0" borderId="1" xfId="0" applyNumberFormat="1" applyFont="1" applyFill="1" applyBorder="1" applyAlignment="1" applyProtection="1">
      <alignment horizontal="right" vertical="top" wrapText="1"/>
    </xf>
    <xf numFmtId="165" fontId="2" fillId="0" borderId="18" xfId="0" applyNumberFormat="1" applyFont="1" applyFill="1" applyBorder="1" applyAlignment="1" applyProtection="1">
      <alignment horizontal="right" vertical="top" wrapText="1"/>
    </xf>
    <xf numFmtId="0" fontId="2" fillId="0" borderId="18" xfId="0" applyNumberFormat="1" applyFont="1" applyFill="1" applyBorder="1" applyAlignment="1" applyProtection="1">
      <alignment horizontal="right" vertical="top" wrapText="1"/>
    </xf>
    <xf numFmtId="164" fontId="9" fillId="0" borderId="19" xfId="0" applyNumberFormat="1" applyFont="1" applyFill="1" applyBorder="1" applyAlignment="1" applyProtection="1">
      <alignment horizontal="right" vertical="top" wrapText="1"/>
    </xf>
    <xf numFmtId="166" fontId="2" fillId="0" borderId="20" xfId="0" applyNumberFormat="1" applyFont="1" applyFill="1" applyBorder="1" applyAlignment="1" applyProtection="1">
      <alignment horizontal="right" vertical="top" wrapText="1"/>
    </xf>
    <xf numFmtId="0" fontId="2" fillId="0" borderId="4" xfId="0" applyNumberFormat="1" applyFont="1" applyFill="1" applyBorder="1" applyAlignment="1" applyProtection="1">
      <alignment horizontal="left" vertical="center" wrapText="1"/>
    </xf>
    <xf numFmtId="0" fontId="2" fillId="0" borderId="4" xfId="0" applyNumberFormat="1" applyFont="1" applyFill="1" applyBorder="1" applyAlignment="1" applyProtection="1">
      <alignment horizontal="center" vertical="center" wrapText="1"/>
    </xf>
    <xf numFmtId="4" fontId="2" fillId="0" borderId="4" xfId="0" applyNumberFormat="1" applyFont="1" applyFill="1" applyBorder="1" applyAlignment="1" applyProtection="1">
      <alignment horizontal="center" vertical="center" wrapText="1"/>
    </xf>
    <xf numFmtId="10" fontId="2" fillId="0" borderId="4" xfId="0" applyNumberFormat="1" applyFont="1" applyFill="1" applyBorder="1" applyAlignment="1" applyProtection="1">
      <alignment horizontal="center" vertical="center" wrapText="1"/>
    </xf>
    <xf numFmtId="4" fontId="3" fillId="0" borderId="4" xfId="0" applyNumberFormat="1" applyFont="1" applyFill="1" applyBorder="1" applyAlignment="1" applyProtection="1">
      <alignment horizontal="left" vertical="top" wrapText="1"/>
    </xf>
    <xf numFmtId="0" fontId="1" fillId="0" borderId="4" xfId="0" applyNumberFormat="1" applyFont="1" applyFill="1" applyBorder="1" applyAlignment="1" applyProtection="1">
      <alignment horizontal="left" vertical="top" wrapText="1"/>
    </xf>
    <xf numFmtId="10" fontId="3" fillId="0" borderId="4" xfId="0" applyNumberFormat="1" applyFont="1" applyFill="1" applyBorder="1" applyAlignment="1" applyProtection="1">
      <alignment horizontal="left" vertical="top" wrapText="1"/>
    </xf>
    <xf numFmtId="3" fontId="3" fillId="0" borderId="4" xfId="0" applyNumberFormat="1" applyFont="1" applyFill="1" applyBorder="1" applyAlignment="1" applyProtection="1">
      <alignment horizontal="right" vertical="top" wrapText="1"/>
    </xf>
    <xf numFmtId="4" fontId="3" fillId="0" borderId="4" xfId="0" applyNumberFormat="1" applyFont="1" applyFill="1" applyBorder="1" applyAlignment="1" applyProtection="1">
      <alignment horizontal="right" vertical="top" wrapText="1"/>
    </xf>
    <xf numFmtId="164" fontId="3" fillId="0" borderId="4" xfId="0" applyNumberFormat="1" applyFont="1" applyFill="1" applyBorder="1" applyAlignment="1" applyProtection="1">
      <alignment horizontal="right" vertical="top" wrapText="1"/>
    </xf>
    <xf numFmtId="10" fontId="3" fillId="0" borderId="4" xfId="0" applyNumberFormat="1" applyFont="1" applyFill="1" applyBorder="1" applyAlignment="1" applyProtection="1">
      <alignment horizontal="right" vertical="top" wrapText="1"/>
    </xf>
    <xf numFmtId="164" fontId="2" fillId="0" borderId="4" xfId="0" applyNumberFormat="1" applyFont="1" applyFill="1" applyBorder="1" applyAlignment="1" applyProtection="1">
      <alignment horizontal="right" vertical="top" wrapText="1"/>
    </xf>
    <xf numFmtId="0" fontId="2" fillId="0" borderId="4" xfId="0" applyNumberFormat="1" applyFont="1" applyFill="1" applyBorder="1" applyAlignment="1" applyProtection="1">
      <alignment horizontal="right" vertical="top" wrapText="1"/>
    </xf>
    <xf numFmtId="0" fontId="8" fillId="0" borderId="4" xfId="0" applyFont="1" applyBorder="1"/>
    <xf numFmtId="0" fontId="7" fillId="0" borderId="4" xfId="0" applyFont="1" applyBorder="1"/>
    <xf numFmtId="0" fontId="0" fillId="0" borderId="4" xfId="0" applyBorder="1"/>
    <xf numFmtId="165" fontId="2" fillId="0" borderId="0" xfId="0" applyNumberFormat="1" applyFont="1" applyFill="1" applyBorder="1" applyAlignment="1" applyProtection="1">
      <alignment horizontal="right" vertical="top" wrapText="1"/>
    </xf>
    <xf numFmtId="164" fontId="9" fillId="0" borderId="0" xfId="0" applyNumberFormat="1" applyFont="1" applyFill="1" applyBorder="1" applyAlignment="1" applyProtection="1">
      <alignment horizontal="right" vertical="top" wrapText="1"/>
    </xf>
    <xf numFmtId="0" fontId="14" fillId="0" borderId="5" xfId="0" applyFont="1" applyBorder="1"/>
    <xf numFmtId="0" fontId="2" fillId="0" borderId="5" xfId="0" applyNumberFormat="1" applyFont="1" applyFill="1" applyBorder="1" applyAlignment="1" applyProtection="1">
      <alignment horizontal="left" vertical="top" wrapText="1"/>
    </xf>
    <xf numFmtId="0" fontId="2" fillId="0" borderId="7" xfId="0" applyNumberFormat="1" applyFont="1" applyFill="1" applyBorder="1" applyAlignment="1" applyProtection="1">
      <alignment horizontal="left" vertical="top" wrapText="1"/>
    </xf>
    <xf numFmtId="164" fontId="9" fillId="0" borderId="4" xfId="0" applyNumberFormat="1" applyFont="1" applyFill="1" applyBorder="1" applyAlignment="1" applyProtection="1">
      <alignment horizontal="right" vertical="top" wrapText="1"/>
    </xf>
    <xf numFmtId="10" fontId="3" fillId="0" borderId="6" xfId="0" applyNumberFormat="1" applyFont="1" applyFill="1" applyBorder="1" applyAlignment="1" applyProtection="1">
      <alignment horizontal="left" vertical="top" wrapText="1"/>
    </xf>
    <xf numFmtId="0" fontId="3" fillId="0" borderId="5" xfId="0" applyNumberFormat="1" applyFont="1" applyFill="1" applyBorder="1" applyAlignment="1" applyProtection="1">
      <alignment horizontal="left" vertical="top" wrapText="1"/>
    </xf>
    <xf numFmtId="10" fontId="3" fillId="0" borderId="6" xfId="0" applyNumberFormat="1" applyFont="1" applyFill="1" applyBorder="1" applyAlignment="1" applyProtection="1">
      <alignment horizontal="right" vertical="top" wrapText="1"/>
    </xf>
    <xf numFmtId="10" fontId="2" fillId="0" borderId="6" xfId="0" applyNumberFormat="1" applyFont="1" applyFill="1" applyBorder="1" applyAlignment="1" applyProtection="1">
      <alignment horizontal="right" vertical="top" wrapText="1"/>
    </xf>
    <xf numFmtId="10" fontId="9" fillId="0" borderId="6" xfId="0" applyNumberFormat="1" applyFont="1" applyFill="1" applyBorder="1" applyAlignment="1" applyProtection="1">
      <alignment horizontal="right" vertical="top" wrapText="1"/>
    </xf>
    <xf numFmtId="0" fontId="2" fillId="0" borderId="22" xfId="0" applyNumberFormat="1" applyFont="1" applyFill="1" applyBorder="1" applyAlignment="1" applyProtection="1">
      <alignment horizontal="left" vertical="top" wrapText="1"/>
    </xf>
    <xf numFmtId="0" fontId="3" fillId="0" borderId="23" xfId="0" applyNumberFormat="1" applyFont="1" applyFill="1" applyBorder="1" applyAlignment="1" applyProtection="1">
      <alignment horizontal="left" vertical="top" wrapText="1"/>
    </xf>
    <xf numFmtId="4" fontId="2" fillId="0" borderId="23" xfId="0" applyNumberFormat="1" applyFont="1" applyFill="1" applyBorder="1" applyAlignment="1" applyProtection="1">
      <alignment horizontal="right" vertical="top" wrapText="1"/>
    </xf>
    <xf numFmtId="164" fontId="2" fillId="0" borderId="23" xfId="0" applyNumberFormat="1" applyFont="1" applyFill="1" applyBorder="1" applyAlignment="1" applyProtection="1">
      <alignment horizontal="right" vertical="top" wrapText="1"/>
    </xf>
    <xf numFmtId="10" fontId="2" fillId="0" borderId="24" xfId="0" applyNumberFormat="1" applyFont="1" applyFill="1" applyBorder="1" applyAlignment="1" applyProtection="1">
      <alignment horizontal="right" vertical="top" wrapText="1"/>
    </xf>
    <xf numFmtId="0" fontId="2" fillId="0" borderId="25" xfId="0" applyNumberFormat="1" applyFont="1" applyFill="1" applyBorder="1" applyAlignment="1" applyProtection="1">
      <alignment horizontal="left" vertical="top" wrapText="1"/>
    </xf>
    <xf numFmtId="0" fontId="3" fillId="0" borderId="26" xfId="0" applyNumberFormat="1" applyFont="1" applyFill="1" applyBorder="1" applyAlignment="1" applyProtection="1">
      <alignment horizontal="left" vertical="top" wrapText="1"/>
    </xf>
    <xf numFmtId="4" fontId="3" fillId="0" borderId="26" xfId="0" applyNumberFormat="1" applyFont="1" applyFill="1" applyBorder="1" applyAlignment="1" applyProtection="1">
      <alignment horizontal="left" vertical="top" wrapText="1"/>
    </xf>
    <xf numFmtId="0" fontId="1" fillId="0" borderId="26" xfId="0" applyNumberFormat="1" applyFont="1" applyFill="1" applyBorder="1" applyAlignment="1" applyProtection="1">
      <alignment horizontal="left" vertical="top" wrapText="1"/>
    </xf>
    <xf numFmtId="10" fontId="3" fillId="0" borderId="27" xfId="0" applyNumberFormat="1" applyFont="1" applyFill="1" applyBorder="1" applyAlignment="1" applyProtection="1">
      <alignment horizontal="left" vertical="top" wrapText="1"/>
    </xf>
    <xf numFmtId="0" fontId="2" fillId="0" borderId="28" xfId="0" applyNumberFormat="1" applyFont="1" applyFill="1" applyBorder="1" applyAlignment="1" applyProtection="1">
      <alignment horizontal="left" vertical="center" wrapText="1"/>
    </xf>
    <xf numFmtId="0" fontId="2" fillId="0" borderId="29" xfId="0" applyNumberFormat="1" applyFont="1" applyFill="1" applyBorder="1" applyAlignment="1" applyProtection="1">
      <alignment horizontal="left" vertical="center" wrapText="1"/>
    </xf>
    <xf numFmtId="0" fontId="2" fillId="0" borderId="29" xfId="0" applyNumberFormat="1" applyFont="1" applyFill="1" applyBorder="1" applyAlignment="1" applyProtection="1">
      <alignment horizontal="center" vertical="center" wrapText="1"/>
    </xf>
    <xf numFmtId="4" fontId="2" fillId="0" borderId="29" xfId="0" applyNumberFormat="1" applyFont="1" applyFill="1" applyBorder="1" applyAlignment="1" applyProtection="1">
      <alignment horizontal="center" vertical="center" wrapText="1"/>
    </xf>
    <xf numFmtId="10" fontId="2" fillId="0" borderId="30" xfId="0" applyNumberFormat="1" applyFont="1" applyFill="1" applyBorder="1" applyAlignment="1" applyProtection="1">
      <alignment horizontal="center" vertical="center" wrapText="1"/>
    </xf>
    <xf numFmtId="0" fontId="15" fillId="0" borderId="4" xfId="0" applyNumberFormat="1" applyFont="1" applyFill="1" applyBorder="1" applyAlignment="1" applyProtection="1">
      <alignment horizontal="right" vertical="top" wrapText="1"/>
    </xf>
    <xf numFmtId="0" fontId="15" fillId="0" borderId="6" xfId="0" applyNumberFormat="1" applyFont="1" applyFill="1" applyBorder="1" applyAlignment="1" applyProtection="1">
      <alignment horizontal="right" vertical="top" wrapText="1"/>
    </xf>
    <xf numFmtId="0" fontId="15" fillId="0" borderId="31" xfId="0" applyNumberFormat="1" applyFont="1" applyFill="1" applyBorder="1" applyAlignment="1" applyProtection="1">
      <alignment horizontal="right" vertical="top" wrapText="1"/>
    </xf>
    <xf numFmtId="0" fontId="16" fillId="2" borderId="0" xfId="0" applyNumberFormat="1" applyFont="1" applyFill="1" applyBorder="1" applyAlignment="1" applyProtection="1">
      <alignment horizontal="left" vertical="top" wrapText="1"/>
    </xf>
    <xf numFmtId="0" fontId="17" fillId="2" borderId="0" xfId="0" applyNumberFormat="1" applyFont="1" applyFill="1" applyBorder="1" applyAlignment="1" applyProtection="1">
      <alignment horizontal="left" vertical="top" wrapText="1"/>
    </xf>
    <xf numFmtId="0" fontId="16" fillId="2" borderId="32" xfId="0" applyNumberFormat="1" applyFont="1" applyFill="1" applyBorder="1" applyAlignment="1" applyProtection="1">
      <alignment horizontal="left" vertical="top" wrapText="1"/>
    </xf>
    <xf numFmtId="2" fontId="18" fillId="2" borderId="21" xfId="0" applyNumberFormat="1" applyFont="1" applyFill="1" applyBorder="1" applyAlignment="1">
      <alignment horizontal="center" vertical="center"/>
    </xf>
    <xf numFmtId="0" fontId="19" fillId="2" borderId="0" xfId="0" applyNumberFormat="1" applyFont="1" applyFill="1" applyBorder="1" applyAlignment="1" applyProtection="1">
      <alignment horizontal="left" vertical="top" wrapText="1"/>
    </xf>
    <xf numFmtId="0" fontId="13" fillId="2" borderId="0" xfId="0" applyNumberFormat="1" applyFont="1" applyFill="1" applyBorder="1" applyAlignment="1" applyProtection="1">
      <alignment horizontal="center" vertical="top" wrapText="1"/>
    </xf>
    <xf numFmtId="4" fontId="2" fillId="0" borderId="33" xfId="0" applyNumberFormat="1" applyFont="1" applyFill="1" applyBorder="1" applyAlignment="1" applyProtection="1">
      <alignment horizontal="right" vertical="top" wrapText="1"/>
    </xf>
    <xf numFmtId="0" fontId="21" fillId="0" borderId="4" xfId="0" applyNumberFormat="1" applyFont="1" applyFill="1" applyBorder="1" applyAlignment="1" applyProtection="1">
      <alignment horizontal="left" vertical="top" wrapText="1"/>
    </xf>
    <xf numFmtId="4" fontId="16" fillId="0" borderId="4" xfId="0" applyNumberFormat="1" applyFont="1" applyFill="1" applyBorder="1" applyAlignment="1" applyProtection="1">
      <alignment horizontal="right" vertical="top" wrapText="1"/>
    </xf>
    <xf numFmtId="0" fontId="17" fillId="0" borderId="5" xfId="0" applyFont="1" applyBorder="1"/>
    <xf numFmtId="165" fontId="2" fillId="0" borderId="1" xfId="0" applyNumberFormat="1" applyFont="1" applyFill="1" applyBorder="1" applyAlignment="1" applyProtection="1">
      <alignment horizontal="right" vertical="top" wrapText="1"/>
    </xf>
    <xf numFmtId="10" fontId="16" fillId="0" borderId="4" xfId="0" applyNumberFormat="1" applyFont="1" applyFill="1" applyBorder="1" applyAlignment="1" applyProtection="1">
      <alignment horizontal="right" vertical="top" wrapText="1"/>
    </xf>
    <xf numFmtId="10" fontId="2" fillId="0" borderId="9" xfId="0" applyNumberFormat="1" applyFont="1" applyFill="1" applyBorder="1" applyAlignment="1" applyProtection="1">
      <alignment horizontal="right" vertical="top" wrapText="1"/>
    </xf>
    <xf numFmtId="0" fontId="2" fillId="0" borderId="28" xfId="0" applyNumberFormat="1" applyFont="1" applyFill="1" applyBorder="1" applyAlignment="1" applyProtection="1">
      <alignment horizontal="left" vertical="top" wrapText="1"/>
    </xf>
    <xf numFmtId="0" fontId="3" fillId="0" borderId="29" xfId="0" applyNumberFormat="1" applyFont="1" applyFill="1" applyBorder="1" applyAlignment="1" applyProtection="1">
      <alignment horizontal="left" vertical="top" wrapText="1"/>
    </xf>
    <xf numFmtId="4" fontId="2" fillId="0" borderId="29" xfId="0" applyNumberFormat="1" applyFont="1" applyFill="1" applyBorder="1" applyAlignment="1" applyProtection="1">
      <alignment horizontal="right" vertical="top" wrapText="1"/>
    </xf>
    <xf numFmtId="164" fontId="2" fillId="0" borderId="29" xfId="0" applyNumberFormat="1" applyFont="1" applyFill="1" applyBorder="1" applyAlignment="1" applyProtection="1">
      <alignment horizontal="right" vertical="top" wrapText="1"/>
    </xf>
    <xf numFmtId="10" fontId="2" fillId="0" borderId="30" xfId="0" applyNumberFormat="1" applyFont="1" applyFill="1" applyBorder="1" applyAlignment="1" applyProtection="1">
      <alignment horizontal="right" vertical="top" wrapText="1"/>
    </xf>
    <xf numFmtId="0" fontId="15" fillId="2" borderId="32" xfId="0" applyNumberFormat="1" applyFont="1" applyFill="1" applyBorder="1" applyAlignment="1" applyProtection="1">
      <alignment horizontal="left" vertical="top" wrapText="1"/>
    </xf>
    <xf numFmtId="0" fontId="22" fillId="2" borderId="0" xfId="0" applyNumberFormat="1" applyFont="1" applyFill="1" applyBorder="1" applyAlignment="1" applyProtection="1">
      <alignment horizontal="center" vertical="top" wrapText="1"/>
    </xf>
    <xf numFmtId="0" fontId="13" fillId="2" borderId="5" xfId="0" applyNumberFormat="1" applyFont="1" applyFill="1" applyBorder="1" applyAlignment="1" applyProtection="1">
      <alignment horizontal="left" vertical="top" wrapText="1"/>
    </xf>
    <xf numFmtId="0" fontId="10" fillId="0" borderId="5" xfId="0" applyNumberFormat="1" applyFont="1" applyFill="1" applyBorder="1" applyAlignment="1" applyProtection="1">
      <alignment horizontal="left" vertical="top" wrapText="1"/>
    </xf>
    <xf numFmtId="0" fontId="11" fillId="0" borderId="4" xfId="0" applyNumberFormat="1" applyFont="1" applyFill="1" applyBorder="1" applyAlignment="1" applyProtection="1">
      <alignment horizontal="right" vertical="top" wrapText="1"/>
    </xf>
    <xf numFmtId="10" fontId="10" fillId="0" borderId="6" xfId="0" applyNumberFormat="1" applyFont="1" applyFill="1" applyBorder="1" applyAlignment="1" applyProtection="1">
      <alignment horizontal="right" vertical="top" wrapText="1"/>
    </xf>
    <xf numFmtId="0" fontId="10" fillId="0" borderId="4" xfId="0" applyNumberFormat="1" applyFont="1" applyFill="1" applyBorder="1" applyAlignment="1" applyProtection="1">
      <alignment horizontal="left" vertical="top" wrapText="1"/>
    </xf>
    <xf numFmtId="2" fontId="2" fillId="0" borderId="4" xfId="0" applyNumberFormat="1" applyFont="1" applyFill="1" applyBorder="1" applyAlignment="1" applyProtection="1">
      <alignment horizontal="right" vertical="top" wrapText="1"/>
    </xf>
    <xf numFmtId="2" fontId="3" fillId="0" borderId="4" xfId="0" applyNumberFormat="1" applyFont="1" applyFill="1" applyBorder="1" applyAlignment="1" applyProtection="1">
      <alignment horizontal="right" vertical="top" wrapText="1"/>
    </xf>
    <xf numFmtId="0" fontId="15" fillId="2" borderId="0" xfId="0" applyNumberFormat="1" applyFont="1" applyFill="1" applyBorder="1" applyAlignment="1"/>
    <xf numFmtId="0" fontId="17" fillId="2" borderId="0" xfId="0" applyNumberFormat="1" applyFont="1" applyFill="1" applyBorder="1" applyAlignment="1"/>
    <xf numFmtId="0" fontId="22" fillId="2" borderId="32" xfId="0" applyNumberFormat="1" applyFont="1" applyFill="1" applyBorder="1" applyAlignment="1" applyProtection="1">
      <alignment horizontal="left" vertical="top" wrapText="1"/>
    </xf>
    <xf numFmtId="2" fontId="22" fillId="2" borderId="21" xfId="0" applyNumberFormat="1" applyFont="1" applyFill="1" applyBorder="1" applyAlignment="1" applyProtection="1">
      <alignment horizontal="center" vertical="top" wrapText="1"/>
    </xf>
    <xf numFmtId="0" fontId="23" fillId="2" borderId="0" xfId="0" applyNumberFormat="1" applyFont="1" applyFill="1" applyBorder="1" applyAlignment="1" applyProtection="1">
      <alignment horizontal="left" vertical="top" wrapText="1"/>
    </xf>
    <xf numFmtId="0" fontId="13" fillId="0" borderId="5" xfId="0" applyNumberFormat="1" applyFont="1" applyFill="1" applyBorder="1" applyAlignment="1" applyProtection="1">
      <alignment horizontal="left" vertical="top" wrapText="1"/>
    </xf>
    <xf numFmtId="0" fontId="2" fillId="0" borderId="1" xfId="0" applyNumberFormat="1" applyFont="1" applyFill="1" applyBorder="1" applyAlignment="1" applyProtection="1">
      <alignment horizontal="center" vertical="center" wrapText="1"/>
    </xf>
    <xf numFmtId="0" fontId="13" fillId="0" borderId="4" xfId="0" applyNumberFormat="1" applyFont="1" applyFill="1" applyBorder="1" applyAlignment="1" applyProtection="1">
      <alignment horizontal="left" vertical="top" wrapText="1"/>
    </xf>
    <xf numFmtId="0" fontId="2" fillId="0" borderId="26" xfId="0" applyNumberFormat="1" applyFont="1" applyFill="1" applyBorder="1" applyAlignment="1" applyProtection="1">
      <alignment horizontal="left" vertical="center" wrapText="1"/>
    </xf>
    <xf numFmtId="0" fontId="2" fillId="0" borderId="26" xfId="0" applyNumberFormat="1" applyFont="1" applyFill="1" applyBorder="1" applyAlignment="1" applyProtection="1">
      <alignment horizontal="center" vertical="center" wrapText="1"/>
    </xf>
    <xf numFmtId="4" fontId="2" fillId="0" borderId="26" xfId="0" applyNumberFormat="1" applyFont="1" applyFill="1" applyBorder="1" applyAlignment="1" applyProtection="1">
      <alignment horizontal="center" vertical="center" wrapText="1"/>
    </xf>
    <xf numFmtId="10" fontId="2" fillId="0" borderId="26" xfId="0" applyNumberFormat="1" applyFont="1" applyFill="1" applyBorder="1" applyAlignment="1" applyProtection="1">
      <alignment horizontal="center" vertical="center" wrapText="1"/>
    </xf>
    <xf numFmtId="10" fontId="2" fillId="0" borderId="8" xfId="0" applyNumberFormat="1" applyFont="1" applyFill="1" applyBorder="1" applyAlignment="1" applyProtection="1">
      <alignment horizontal="right" vertical="top" wrapText="1"/>
    </xf>
    <xf numFmtId="0" fontId="14" fillId="0" borderId="5" xfId="0" applyFont="1" applyBorder="1" applyAlignment="1"/>
    <xf numFmtId="0" fontId="16" fillId="0" borderId="4" xfId="0" applyNumberFormat="1" applyFont="1" applyFill="1" applyBorder="1" applyAlignment="1" applyProtection="1">
      <alignment horizontal="left" vertical="center" wrapText="1"/>
    </xf>
    <xf numFmtId="0" fontId="16" fillId="0" borderId="4" xfId="0" applyNumberFormat="1" applyFont="1" applyFill="1" applyBorder="1" applyAlignment="1" applyProtection="1">
      <alignment horizontal="center" vertical="center" wrapText="1"/>
    </xf>
    <xf numFmtId="4" fontId="16" fillId="0" borderId="4" xfId="0" applyNumberFormat="1" applyFont="1" applyFill="1" applyBorder="1" applyAlignment="1" applyProtection="1">
      <alignment horizontal="center" vertical="center" wrapText="1"/>
    </xf>
    <xf numFmtId="10" fontId="16" fillId="0" borderId="4" xfId="0" applyNumberFormat="1" applyFont="1" applyFill="1" applyBorder="1" applyAlignment="1" applyProtection="1">
      <alignment horizontal="center" vertical="center" wrapText="1"/>
    </xf>
    <xf numFmtId="10" fontId="2" fillId="0" borderId="6" xfId="0" applyNumberFormat="1" applyFont="1" applyFill="1" applyBorder="1" applyAlignment="1" applyProtection="1">
      <alignment horizontal="center" vertical="center" wrapText="1"/>
    </xf>
    <xf numFmtId="0" fontId="17" fillId="0" borderId="5" xfId="0" applyFont="1" applyBorder="1" applyAlignment="1"/>
    <xf numFmtId="0" fontId="14" fillId="0" borderId="4" xfId="0" applyNumberFormat="1" applyFont="1" applyFill="1" applyBorder="1" applyAlignment="1" applyProtection="1">
      <alignment horizontal="right" vertical="center"/>
    </xf>
    <xf numFmtId="0" fontId="14" fillId="0" borderId="6" xfId="0" applyNumberFormat="1" applyFont="1" applyFill="1" applyBorder="1" applyAlignment="1" applyProtection="1">
      <alignment horizontal="right" vertical="center"/>
    </xf>
    <xf numFmtId="4" fontId="16" fillId="0" borderId="6" xfId="0" applyNumberFormat="1" applyFont="1" applyFill="1" applyBorder="1" applyAlignment="1" applyProtection="1">
      <alignment horizontal="center" vertical="center" wrapText="1"/>
    </xf>
    <xf numFmtId="0" fontId="24" fillId="0" borderId="5" xfId="0" applyFont="1" applyBorder="1" applyAlignment="1"/>
    <xf numFmtId="0" fontId="14" fillId="0" borderId="25" xfId="0" applyFont="1" applyBorder="1" applyAlignment="1"/>
    <xf numFmtId="0" fontId="16" fillId="0" borderId="26" xfId="0" applyNumberFormat="1" applyFont="1" applyFill="1" applyBorder="1" applyAlignment="1" applyProtection="1">
      <alignment horizontal="left" vertical="center" wrapText="1"/>
    </xf>
    <xf numFmtId="0" fontId="16" fillId="0" borderId="26" xfId="0" applyNumberFormat="1" applyFont="1" applyFill="1" applyBorder="1" applyAlignment="1" applyProtection="1">
      <alignment horizontal="center" vertical="center" wrapText="1"/>
    </xf>
    <xf numFmtId="4" fontId="16" fillId="0" borderId="26" xfId="0" applyNumberFormat="1" applyFont="1" applyFill="1" applyBorder="1" applyAlignment="1" applyProtection="1">
      <alignment horizontal="center" vertical="center" wrapText="1"/>
    </xf>
    <xf numFmtId="10" fontId="16" fillId="0" borderId="26" xfId="0" applyNumberFormat="1" applyFont="1" applyFill="1" applyBorder="1" applyAlignment="1" applyProtection="1">
      <alignment horizontal="center" vertical="center" wrapText="1"/>
    </xf>
    <xf numFmtId="10" fontId="2" fillId="0" borderId="27" xfId="0" applyNumberFormat="1" applyFont="1" applyFill="1" applyBorder="1" applyAlignment="1" applyProtection="1">
      <alignment horizontal="center" vertical="center" wrapText="1"/>
    </xf>
    <xf numFmtId="0" fontId="22" fillId="2" borderId="0" xfId="1" applyNumberFormat="1" applyFont="1" applyFill="1" applyBorder="1" applyAlignment="1" applyProtection="1">
      <alignment horizontal="center" vertical="top" wrapText="1"/>
    </xf>
    <xf numFmtId="0" fontId="7" fillId="2" borderId="0" xfId="0" applyNumberFormat="1" applyFont="1" applyFill="1" applyBorder="1" applyAlignment="1"/>
    <xf numFmtId="165" fontId="3" fillId="0" borderId="18" xfId="0" applyNumberFormat="1" applyFont="1" applyFill="1" applyBorder="1" applyAlignment="1" applyProtection="1">
      <alignment horizontal="right" vertical="top" wrapText="1"/>
    </xf>
    <xf numFmtId="0" fontId="9" fillId="0" borderId="4" xfId="0" applyNumberFormat="1" applyFont="1" applyFill="1" applyBorder="1" applyAlignment="1" applyProtection="1">
      <alignment horizontal="center" vertical="center" wrapText="1"/>
    </xf>
    <xf numFmtId="4" fontId="9" fillId="0" borderId="4" xfId="0" applyNumberFormat="1" applyFont="1" applyFill="1" applyBorder="1" applyAlignment="1" applyProtection="1">
      <alignment horizontal="center" vertical="center" wrapText="1"/>
    </xf>
    <xf numFmtId="10" fontId="9" fillId="0" borderId="6" xfId="0" applyNumberFormat="1" applyFont="1" applyFill="1" applyBorder="1" applyAlignment="1" applyProtection="1">
      <alignment horizontal="center" vertical="center" wrapText="1"/>
    </xf>
    <xf numFmtId="0" fontId="10" fillId="0" borderId="4" xfId="0" applyNumberFormat="1" applyFont="1" applyFill="1" applyBorder="1" applyAlignment="1" applyProtection="1">
      <alignment horizontal="center" vertical="center" wrapText="1"/>
    </xf>
    <xf numFmtId="10" fontId="10" fillId="0" borderId="6" xfId="0" applyNumberFormat="1" applyFont="1" applyFill="1" applyBorder="1" applyAlignment="1" applyProtection="1">
      <alignment horizontal="center" vertical="center" wrapText="1"/>
    </xf>
    <xf numFmtId="0" fontId="8" fillId="0" borderId="25" xfId="0" applyFont="1" applyBorder="1"/>
    <xf numFmtId="0" fontId="8" fillId="0" borderId="26" xfId="0" applyFont="1" applyBorder="1"/>
    <xf numFmtId="0" fontId="22" fillId="2" borderId="0" xfId="0" applyNumberFormat="1" applyFont="1" applyFill="1" applyBorder="1" applyAlignment="1" applyProtection="1">
      <alignment horizontal="left" vertical="top" wrapText="1"/>
    </xf>
    <xf numFmtId="0" fontId="25" fillId="2" borderId="21" xfId="0" applyNumberFormat="1" applyFont="1" applyFill="1" applyBorder="1" applyAlignment="1" applyProtection="1">
      <alignment horizontal="center" wrapText="1"/>
    </xf>
    <xf numFmtId="2" fontId="13" fillId="2" borderId="34" xfId="0" applyNumberFormat="1" applyFont="1" applyFill="1" applyBorder="1" applyAlignment="1" applyProtection="1">
      <alignment horizontal="center" vertical="top" wrapText="1"/>
    </xf>
    <xf numFmtId="0" fontId="2" fillId="0" borderId="5" xfId="0" applyNumberFormat="1" applyFont="1" applyFill="1" applyBorder="1" applyAlignment="1" applyProtection="1">
      <alignment horizontal="left" vertical="center" wrapText="1"/>
    </xf>
    <xf numFmtId="0" fontId="2" fillId="0" borderId="27" xfId="0" applyNumberFormat="1" applyFont="1" applyFill="1" applyBorder="1" applyAlignment="1" applyProtection="1">
      <alignment horizontal="center" vertical="center" wrapText="1"/>
    </xf>
    <xf numFmtId="4" fontId="2" fillId="0" borderId="6" xfId="0" applyNumberFormat="1" applyFont="1" applyFill="1" applyBorder="1" applyAlignment="1" applyProtection="1">
      <alignment horizontal="right" vertical="top" wrapText="1"/>
    </xf>
    <xf numFmtId="0" fontId="9" fillId="0" borderId="5" xfId="0" applyNumberFormat="1" applyFont="1" applyFill="1" applyBorder="1" applyAlignment="1" applyProtection="1">
      <alignment horizontal="left" vertical="top" wrapText="1"/>
    </xf>
    <xf numFmtId="0" fontId="9" fillId="0" borderId="4" xfId="0" applyNumberFormat="1" applyFont="1" applyFill="1" applyBorder="1" applyAlignment="1" applyProtection="1">
      <alignment horizontal="left" vertical="top" wrapText="1"/>
    </xf>
    <xf numFmtId="0" fontId="12" fillId="2" borderId="11" xfId="0" applyNumberFormat="1" applyFont="1" applyFill="1" applyBorder="1" applyAlignment="1" applyProtection="1">
      <alignment horizontal="center" vertical="top" wrapText="1"/>
    </xf>
    <xf numFmtId="0" fontId="12" fillId="2" borderId="12" xfId="0" applyNumberFormat="1" applyFont="1" applyFill="1" applyBorder="1" applyAlignment="1" applyProtection="1">
      <alignment horizontal="center" vertical="top" wrapText="1"/>
    </xf>
    <xf numFmtId="0" fontId="12" fillId="2" borderId="13" xfId="0" applyNumberFormat="1" applyFont="1" applyFill="1" applyBorder="1" applyAlignment="1" applyProtection="1">
      <alignment horizontal="center" vertical="top" wrapText="1"/>
    </xf>
    <xf numFmtId="0" fontId="13" fillId="2" borderId="14" xfId="0" applyNumberFormat="1" applyFont="1" applyFill="1" applyBorder="1" applyAlignment="1" applyProtection="1">
      <alignment horizontal="center" vertical="center" wrapText="1"/>
    </xf>
    <xf numFmtId="0" fontId="13" fillId="2" borderId="15" xfId="0" applyNumberFormat="1" applyFont="1" applyFill="1" applyBorder="1" applyAlignment="1" applyProtection="1">
      <alignment horizontal="center" vertical="center" wrapText="1"/>
    </xf>
    <xf numFmtId="0" fontId="13" fillId="2" borderId="16" xfId="0" applyNumberFormat="1" applyFont="1" applyFill="1" applyBorder="1" applyAlignment="1" applyProtection="1">
      <alignment horizontal="center" vertical="center" wrapText="1"/>
    </xf>
    <xf numFmtId="0" fontId="20" fillId="2" borderId="11" xfId="0" applyNumberFormat="1" applyFont="1" applyFill="1" applyBorder="1" applyAlignment="1" applyProtection="1">
      <alignment horizontal="center" vertical="top" wrapText="1"/>
    </xf>
    <xf numFmtId="0" fontId="20" fillId="2" borderId="12" xfId="0" applyNumberFormat="1" applyFont="1" applyFill="1" applyBorder="1" applyAlignment="1" applyProtection="1">
      <alignment horizontal="center" vertical="top" wrapText="1"/>
    </xf>
    <xf numFmtId="0" fontId="20" fillId="2" borderId="13" xfId="0" applyNumberFormat="1" applyFont="1" applyFill="1" applyBorder="1" applyAlignment="1" applyProtection="1">
      <alignment horizontal="center" vertical="top" wrapText="1"/>
    </xf>
    <xf numFmtId="0" fontId="13" fillId="2" borderId="14" xfId="0" applyNumberFormat="1" applyFont="1" applyFill="1" applyBorder="1" applyAlignment="1" applyProtection="1">
      <alignment horizontal="center" vertical="top" wrapText="1"/>
    </xf>
    <xf numFmtId="0" fontId="13" fillId="2" borderId="15" xfId="0" applyNumberFormat="1" applyFont="1" applyFill="1" applyBorder="1" applyAlignment="1" applyProtection="1">
      <alignment horizontal="center" vertical="top" wrapText="1"/>
    </xf>
    <xf numFmtId="0" fontId="13" fillId="2" borderId="16" xfId="0" applyNumberFormat="1" applyFont="1" applyFill="1" applyBorder="1" applyAlignment="1" applyProtection="1">
      <alignment horizontal="center" vertical="top" wrapText="1"/>
    </xf>
    <xf numFmtId="0" fontId="22" fillId="2" borderId="14" xfId="0" applyNumberFormat="1" applyFont="1" applyFill="1" applyBorder="1" applyAlignment="1" applyProtection="1">
      <alignment horizontal="center" vertical="top" wrapText="1"/>
    </xf>
    <xf numFmtId="0" fontId="22" fillId="2" borderId="15" xfId="0" applyNumberFormat="1" applyFont="1" applyFill="1" applyBorder="1" applyAlignment="1" applyProtection="1">
      <alignment horizontal="center" vertical="top" wrapText="1"/>
    </xf>
    <xf numFmtId="0" fontId="22" fillId="2" borderId="16" xfId="0" applyNumberFormat="1" applyFont="1" applyFill="1" applyBorder="1" applyAlignment="1" applyProtection="1">
      <alignment horizontal="center" vertical="top" wrapText="1"/>
    </xf>
    <xf numFmtId="0" fontId="20" fillId="2" borderId="11" xfId="1" applyNumberFormat="1" applyFont="1" applyFill="1" applyBorder="1" applyAlignment="1" applyProtection="1">
      <alignment horizontal="center" vertical="top" wrapText="1"/>
    </xf>
    <xf numFmtId="0" fontId="20" fillId="2" borderId="12" xfId="1" applyNumberFormat="1" applyFont="1" applyFill="1" applyBorder="1" applyAlignment="1" applyProtection="1">
      <alignment horizontal="center" vertical="top" wrapText="1"/>
    </xf>
    <xf numFmtId="0" fontId="20" fillId="2" borderId="13" xfId="1" applyNumberFormat="1" applyFont="1" applyFill="1" applyBorder="1" applyAlignment="1" applyProtection="1">
      <alignment horizontal="center" vertical="top" wrapText="1"/>
    </xf>
    <xf numFmtId="0" fontId="22" fillId="2" borderId="14" xfId="1" applyNumberFormat="1" applyFont="1" applyFill="1" applyBorder="1" applyAlignment="1" applyProtection="1">
      <alignment horizontal="center" vertical="top" wrapText="1"/>
    </xf>
    <xf numFmtId="0" fontId="22" fillId="2" borderId="15" xfId="1" applyNumberFormat="1" applyFont="1" applyFill="1" applyBorder="1" applyAlignment="1" applyProtection="1">
      <alignment horizontal="center" vertical="top" wrapText="1"/>
    </xf>
    <xf numFmtId="0" fontId="22" fillId="2" borderId="16" xfId="1" applyNumberFormat="1" applyFont="1" applyFill="1" applyBorder="1" applyAlignment="1" applyProtection="1">
      <alignment horizontal="center" vertical="top" wrapText="1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A846"/>
  <sheetViews>
    <sheetView tabSelected="1" zoomScaleNormal="100" workbookViewId="0">
      <selection activeCell="C94" sqref="C94"/>
    </sheetView>
  </sheetViews>
  <sheetFormatPr defaultRowHeight="12.75"/>
  <cols>
    <col min="1" max="1" width="3.42578125" style="30" bestFit="1" customWidth="1"/>
    <col min="2" max="2" width="50.42578125" bestFit="1" customWidth="1"/>
    <col min="3" max="3" width="16.85546875" bestFit="1" customWidth="1"/>
    <col min="4" max="4" width="33.5703125" bestFit="1" customWidth="1"/>
    <col min="5" max="5" width="16.85546875" bestFit="1" customWidth="1"/>
    <col min="6" max="6" width="16.85546875" style="3" bestFit="1" customWidth="1"/>
    <col min="7" max="7" width="25.140625" hidden="1" customWidth="1"/>
    <col min="8" max="8" width="16.85546875" style="4" bestFit="1" customWidth="1"/>
    <col min="9" max="9" width="25.140625" hidden="1" customWidth="1"/>
    <col min="10" max="79" width="9.140625" style="30"/>
  </cols>
  <sheetData>
    <row r="1" spans="1:9" ht="27" customHeight="1">
      <c r="A1" s="27"/>
      <c r="B1" s="165" t="s">
        <v>362</v>
      </c>
      <c r="C1" s="166"/>
      <c r="D1" s="166"/>
      <c r="E1" s="166"/>
      <c r="F1" s="166"/>
      <c r="G1" s="166"/>
      <c r="H1" s="167"/>
      <c r="I1" s="1"/>
    </row>
    <row r="2" spans="1:9" ht="12.95" customHeight="1" thickBot="1">
      <c r="A2" s="27"/>
      <c r="B2" s="168" t="s">
        <v>404</v>
      </c>
      <c r="C2" s="169"/>
      <c r="D2" s="169"/>
      <c r="E2" s="169"/>
      <c r="F2" s="169"/>
      <c r="G2" s="169"/>
      <c r="H2" s="170"/>
      <c r="I2" s="1"/>
    </row>
    <row r="3" spans="1:9" s="30" customFormat="1" ht="12.95" customHeight="1">
      <c r="A3" s="27"/>
      <c r="B3" s="31"/>
      <c r="C3" s="31"/>
      <c r="D3" s="31"/>
      <c r="E3" s="31"/>
      <c r="F3" s="31"/>
      <c r="G3" s="31"/>
      <c r="H3" s="31"/>
      <c r="I3" s="27"/>
    </row>
    <row r="4" spans="1:9" s="30" customFormat="1" ht="12.95" customHeight="1">
      <c r="A4" s="28"/>
      <c r="B4" s="32" t="s">
        <v>2</v>
      </c>
      <c r="C4" s="27"/>
      <c r="D4" s="27"/>
      <c r="E4" s="27"/>
      <c r="F4" s="33"/>
      <c r="G4" s="27"/>
      <c r="H4" s="34"/>
      <c r="I4" s="27"/>
    </row>
    <row r="5" spans="1:9" s="30" customFormat="1" ht="12.95" customHeight="1" thickBot="1">
      <c r="A5" s="28"/>
      <c r="B5" s="32"/>
      <c r="C5" s="27"/>
      <c r="D5" s="27"/>
      <c r="E5" s="27"/>
      <c r="F5" s="33"/>
      <c r="G5" s="27"/>
      <c r="H5" s="34"/>
      <c r="I5" s="27"/>
    </row>
    <row r="6" spans="1:9" ht="27.95" customHeight="1" thickBot="1">
      <c r="A6" s="27"/>
      <c r="B6" s="82" t="s">
        <v>3</v>
      </c>
      <c r="C6" s="83" t="s">
        <v>4</v>
      </c>
      <c r="D6" s="84" t="s">
        <v>393</v>
      </c>
      <c r="E6" s="84" t="s">
        <v>6</v>
      </c>
      <c r="F6" s="85" t="s">
        <v>7</v>
      </c>
      <c r="G6" s="84" t="s">
        <v>8</v>
      </c>
      <c r="H6" s="86" t="s">
        <v>9</v>
      </c>
      <c r="I6" s="38" t="s">
        <v>10</v>
      </c>
    </row>
    <row r="7" spans="1:9" ht="12.95" customHeight="1">
      <c r="A7" s="27"/>
      <c r="B7" s="77" t="s">
        <v>46</v>
      </c>
      <c r="C7" s="78" t="s">
        <v>1</v>
      </c>
      <c r="D7" s="78" t="s">
        <v>1</v>
      </c>
      <c r="E7" s="78" t="s">
        <v>1</v>
      </c>
      <c r="F7" s="79" t="s">
        <v>1</v>
      </c>
      <c r="G7" s="80"/>
      <c r="H7" s="81" t="s">
        <v>1</v>
      </c>
      <c r="I7" s="39" t="s">
        <v>1</v>
      </c>
    </row>
    <row r="8" spans="1:9" ht="12.95" customHeight="1">
      <c r="A8" s="27"/>
      <c r="B8" s="64" t="s">
        <v>47</v>
      </c>
      <c r="C8" s="16" t="s">
        <v>1</v>
      </c>
      <c r="D8" s="16" t="s">
        <v>1</v>
      </c>
      <c r="E8" s="16" t="s">
        <v>1</v>
      </c>
      <c r="F8" s="49" t="s">
        <v>1</v>
      </c>
      <c r="G8" s="50"/>
      <c r="H8" s="67" t="s">
        <v>1</v>
      </c>
      <c r="I8" s="39" t="s">
        <v>1</v>
      </c>
    </row>
    <row r="9" spans="1:9" ht="12.95" customHeight="1">
      <c r="A9" s="29"/>
      <c r="B9" s="68" t="s">
        <v>199</v>
      </c>
      <c r="C9" s="16" t="s">
        <v>200</v>
      </c>
      <c r="D9" s="16" t="s">
        <v>50</v>
      </c>
      <c r="E9" s="52">
        <v>877611</v>
      </c>
      <c r="F9" s="53">
        <v>9017.0142195000008</v>
      </c>
      <c r="G9" s="54">
        <v>9017.01</v>
      </c>
      <c r="H9" s="69">
        <v>7.0512400531856645E-2</v>
      </c>
      <c r="I9" s="2">
        <v>7.0499999999999993E-2</v>
      </c>
    </row>
    <row r="10" spans="1:9" ht="12.95" customHeight="1">
      <c r="A10" s="29"/>
      <c r="B10" s="68" t="s">
        <v>77</v>
      </c>
      <c r="C10" s="16" t="s">
        <v>78</v>
      </c>
      <c r="D10" s="16" t="s">
        <v>50</v>
      </c>
      <c r="E10" s="52">
        <v>2314000</v>
      </c>
      <c r="F10" s="53">
        <v>6430.6059999999998</v>
      </c>
      <c r="G10" s="54">
        <v>6430.61</v>
      </c>
      <c r="H10" s="69">
        <v>5.0286874889690927E-2</v>
      </c>
      <c r="I10" s="2">
        <v>5.0299999999999997E-2</v>
      </c>
    </row>
    <row r="11" spans="1:9" ht="12.95" customHeight="1">
      <c r="A11" s="29"/>
      <c r="B11" s="68" t="s">
        <v>201</v>
      </c>
      <c r="C11" s="16" t="s">
        <v>202</v>
      </c>
      <c r="D11" s="16" t="s">
        <v>83</v>
      </c>
      <c r="E11" s="52">
        <v>582812</v>
      </c>
      <c r="F11" s="53">
        <v>6378.2945280000004</v>
      </c>
      <c r="G11" s="54">
        <v>6378.29</v>
      </c>
      <c r="H11" s="69">
        <v>4.9877802953428689E-2</v>
      </c>
      <c r="I11" s="2">
        <v>4.99E-2</v>
      </c>
    </row>
    <row r="12" spans="1:9" ht="12.95" customHeight="1">
      <c r="A12" s="29"/>
      <c r="B12" s="68" t="s">
        <v>209</v>
      </c>
      <c r="C12" s="16" t="s">
        <v>210</v>
      </c>
      <c r="D12" s="16" t="s">
        <v>98</v>
      </c>
      <c r="E12" s="52">
        <v>346750</v>
      </c>
      <c r="F12" s="53">
        <v>5558.0557500000004</v>
      </c>
      <c r="G12" s="54">
        <v>5558.06</v>
      </c>
      <c r="H12" s="69">
        <v>4.3463594897615754E-2</v>
      </c>
      <c r="I12" s="2">
        <v>4.3499999999999997E-2</v>
      </c>
    </row>
    <row r="13" spans="1:9" ht="12.95" customHeight="1">
      <c r="A13" s="29"/>
      <c r="B13" s="68" t="s">
        <v>207</v>
      </c>
      <c r="C13" s="16" t="s">
        <v>208</v>
      </c>
      <c r="D13" s="16" t="s">
        <v>129</v>
      </c>
      <c r="E13" s="52">
        <v>131470</v>
      </c>
      <c r="F13" s="53">
        <v>5478.6178399999999</v>
      </c>
      <c r="G13" s="54">
        <v>5478.62</v>
      </c>
      <c r="H13" s="69">
        <v>4.2842396173627915E-2</v>
      </c>
      <c r="I13" s="2">
        <v>4.2799999999999998E-2</v>
      </c>
    </row>
    <row r="14" spans="1:9" ht="12.95" customHeight="1">
      <c r="A14" s="29"/>
      <c r="B14" s="68" t="s">
        <v>70</v>
      </c>
      <c r="C14" s="16" t="s">
        <v>71</v>
      </c>
      <c r="D14" s="16" t="s">
        <v>50</v>
      </c>
      <c r="E14" s="52">
        <v>543342</v>
      </c>
      <c r="F14" s="53">
        <v>4662.1460310000002</v>
      </c>
      <c r="G14" s="54">
        <v>4662.1499999999996</v>
      </c>
      <c r="H14" s="69">
        <v>3.6457645543571802E-2</v>
      </c>
      <c r="I14" s="2">
        <v>3.6499999999999998E-2</v>
      </c>
    </row>
    <row r="15" spans="1:9" ht="12.95" customHeight="1">
      <c r="A15" s="29"/>
      <c r="B15" s="68" t="s">
        <v>211</v>
      </c>
      <c r="C15" s="16" t="s">
        <v>212</v>
      </c>
      <c r="D15" s="16" t="s">
        <v>83</v>
      </c>
      <c r="E15" s="52">
        <v>177200</v>
      </c>
      <c r="F15" s="53">
        <v>4543.4966000000004</v>
      </c>
      <c r="G15" s="54">
        <v>4543.5</v>
      </c>
      <c r="H15" s="69">
        <v>3.5529815554853787E-2</v>
      </c>
      <c r="I15" s="2">
        <v>3.5499999999999997E-2</v>
      </c>
    </row>
    <row r="16" spans="1:9" ht="12.95" customHeight="1">
      <c r="A16" s="29"/>
      <c r="B16" s="68" t="s">
        <v>51</v>
      </c>
      <c r="C16" s="16" t="s">
        <v>52</v>
      </c>
      <c r="D16" s="16" t="s">
        <v>53</v>
      </c>
      <c r="E16" s="52">
        <v>538306</v>
      </c>
      <c r="F16" s="53">
        <v>4540.6111099999998</v>
      </c>
      <c r="G16" s="54">
        <v>4540.6099999999997</v>
      </c>
      <c r="H16" s="69">
        <v>3.550725123126975E-2</v>
      </c>
      <c r="I16" s="2">
        <v>3.5499999999999997E-2</v>
      </c>
    </row>
    <row r="17" spans="1:9" ht="12.95" customHeight="1">
      <c r="A17" s="29"/>
      <c r="B17" s="68" t="s">
        <v>213</v>
      </c>
      <c r="C17" s="16" t="s">
        <v>214</v>
      </c>
      <c r="D17" s="16" t="s">
        <v>59</v>
      </c>
      <c r="E17" s="52">
        <v>478604</v>
      </c>
      <c r="F17" s="53">
        <v>4302.4106579999998</v>
      </c>
      <c r="G17" s="54">
        <v>4302.41</v>
      </c>
      <c r="H17" s="69">
        <v>3.3644540885092139E-2</v>
      </c>
      <c r="I17" s="2">
        <v>3.3599999999999998E-2</v>
      </c>
    </row>
    <row r="18" spans="1:9" ht="12.95" customHeight="1">
      <c r="A18" s="29"/>
      <c r="B18" s="68" t="s">
        <v>203</v>
      </c>
      <c r="C18" s="16" t="s">
        <v>204</v>
      </c>
      <c r="D18" s="16" t="s">
        <v>95</v>
      </c>
      <c r="E18" s="52">
        <v>1243315</v>
      </c>
      <c r="F18" s="53">
        <v>4042.6387224999999</v>
      </c>
      <c r="G18" s="54">
        <v>4042.64</v>
      </c>
      <c r="H18" s="69">
        <v>3.1613143094535327E-2</v>
      </c>
      <c r="I18" s="2">
        <v>3.1600000000000003E-2</v>
      </c>
    </row>
    <row r="19" spans="1:9" ht="12.95" customHeight="1">
      <c r="A19" s="29"/>
      <c r="B19" s="68" t="s">
        <v>205</v>
      </c>
      <c r="C19" s="16" t="s">
        <v>206</v>
      </c>
      <c r="D19" s="16" t="s">
        <v>53</v>
      </c>
      <c r="E19" s="52">
        <v>455900</v>
      </c>
      <c r="F19" s="53">
        <v>3902.0481</v>
      </c>
      <c r="G19" s="54">
        <v>3902.05</v>
      </c>
      <c r="H19" s="69">
        <v>3.0513734571556116E-2</v>
      </c>
      <c r="I19" s="2">
        <v>3.0499999999999999E-2</v>
      </c>
    </row>
    <row r="20" spans="1:9" ht="12.95" customHeight="1">
      <c r="A20" s="29"/>
      <c r="B20" s="68" t="s">
        <v>215</v>
      </c>
      <c r="C20" s="16" t="s">
        <v>216</v>
      </c>
      <c r="D20" s="16" t="s">
        <v>50</v>
      </c>
      <c r="E20" s="52">
        <v>1531350</v>
      </c>
      <c r="F20" s="53">
        <v>3787.7942250000001</v>
      </c>
      <c r="G20" s="54">
        <v>3787.79</v>
      </c>
      <c r="H20" s="69">
        <v>2.9620277513576293E-2</v>
      </c>
      <c r="I20" s="2">
        <v>2.9600000000000001E-2</v>
      </c>
    </row>
    <row r="21" spans="1:9" ht="12.95" customHeight="1">
      <c r="A21" s="29"/>
      <c r="B21" s="68" t="s">
        <v>102</v>
      </c>
      <c r="C21" s="16" t="s">
        <v>103</v>
      </c>
      <c r="D21" s="16" t="s">
        <v>95</v>
      </c>
      <c r="E21" s="52">
        <v>389100</v>
      </c>
      <c r="F21" s="53">
        <v>3301.9025999999999</v>
      </c>
      <c r="G21" s="54">
        <v>3301.9</v>
      </c>
      <c r="H21" s="69">
        <v>2.5820640067848222E-2</v>
      </c>
      <c r="I21" s="2">
        <v>2.58E-2</v>
      </c>
    </row>
    <row r="22" spans="1:9" ht="12.95" customHeight="1">
      <c r="A22" s="29"/>
      <c r="B22" s="68" t="s">
        <v>219</v>
      </c>
      <c r="C22" s="16" t="s">
        <v>220</v>
      </c>
      <c r="D22" s="16" t="s">
        <v>50</v>
      </c>
      <c r="E22" s="52">
        <v>632000</v>
      </c>
      <c r="F22" s="53">
        <v>3208.98</v>
      </c>
      <c r="G22" s="54">
        <v>3208.98</v>
      </c>
      <c r="H22" s="69">
        <v>2.5093992041110961E-2</v>
      </c>
      <c r="I22" s="2">
        <v>2.5100000000000001E-2</v>
      </c>
    </row>
    <row r="23" spans="1:9" ht="12.95" customHeight="1">
      <c r="A23" s="29"/>
      <c r="B23" s="68" t="s">
        <v>48</v>
      </c>
      <c r="C23" s="16" t="s">
        <v>49</v>
      </c>
      <c r="D23" s="16" t="s">
        <v>50</v>
      </c>
      <c r="E23" s="52">
        <v>427000</v>
      </c>
      <c r="F23" s="53">
        <v>2782.759</v>
      </c>
      <c r="G23" s="54">
        <v>2782.76</v>
      </c>
      <c r="H23" s="69">
        <v>2.1760974577071185E-2</v>
      </c>
      <c r="I23" s="2">
        <v>2.18E-2</v>
      </c>
    </row>
    <row r="24" spans="1:9" ht="12.95" customHeight="1">
      <c r="A24" s="29"/>
      <c r="B24" s="68" t="s">
        <v>54</v>
      </c>
      <c r="C24" s="16" t="s">
        <v>55</v>
      </c>
      <c r="D24" s="16" t="s">
        <v>56</v>
      </c>
      <c r="E24" s="52">
        <v>261178</v>
      </c>
      <c r="F24" s="53">
        <v>2632.8048290000002</v>
      </c>
      <c r="G24" s="54">
        <v>2632.8</v>
      </c>
      <c r="H24" s="69">
        <v>2.0588343780492398E-2</v>
      </c>
      <c r="I24" s="2">
        <v>2.06E-2</v>
      </c>
    </row>
    <row r="25" spans="1:9" ht="12.95" customHeight="1">
      <c r="A25" s="29"/>
      <c r="B25" s="68" t="s">
        <v>217</v>
      </c>
      <c r="C25" s="16" t="s">
        <v>218</v>
      </c>
      <c r="D25" s="16" t="s">
        <v>65</v>
      </c>
      <c r="E25" s="52">
        <v>219275</v>
      </c>
      <c r="F25" s="53">
        <v>2600.9304124999999</v>
      </c>
      <c r="G25" s="54">
        <v>2600.9299999999998</v>
      </c>
      <c r="H25" s="69">
        <v>2.0339088143509289E-2</v>
      </c>
      <c r="I25" s="2">
        <v>2.0299999999999999E-2</v>
      </c>
    </row>
    <row r="26" spans="1:9" ht="12.95" customHeight="1">
      <c r="A26" s="29"/>
      <c r="B26" s="68" t="s">
        <v>223</v>
      </c>
      <c r="C26" s="16" t="s">
        <v>224</v>
      </c>
      <c r="D26" s="16" t="s">
        <v>101</v>
      </c>
      <c r="E26" s="52">
        <v>79000</v>
      </c>
      <c r="F26" s="53">
        <v>2282.942</v>
      </c>
      <c r="G26" s="54">
        <v>2282.94</v>
      </c>
      <c r="H26" s="69">
        <v>1.7852441703693364E-2</v>
      </c>
      <c r="I26" s="2">
        <v>1.7899999999999999E-2</v>
      </c>
    </row>
    <row r="27" spans="1:9" ht="12.95" customHeight="1">
      <c r="A27" s="29"/>
      <c r="B27" s="68" t="s">
        <v>227</v>
      </c>
      <c r="C27" s="16" t="s">
        <v>228</v>
      </c>
      <c r="D27" s="16" t="s">
        <v>83</v>
      </c>
      <c r="E27" s="52">
        <v>219500</v>
      </c>
      <c r="F27" s="53">
        <v>2131.4547499999999</v>
      </c>
      <c r="G27" s="54">
        <v>2131.4499999999998</v>
      </c>
      <c r="H27" s="69">
        <v>1.666782233996103E-2</v>
      </c>
      <c r="I27" s="2">
        <v>1.67E-2</v>
      </c>
    </row>
    <row r="28" spans="1:9" ht="12.95" customHeight="1">
      <c r="A28" s="29"/>
      <c r="B28" s="68" t="s">
        <v>221</v>
      </c>
      <c r="C28" s="16" t="s">
        <v>222</v>
      </c>
      <c r="D28" s="16" t="s">
        <v>129</v>
      </c>
      <c r="E28" s="52">
        <v>889662</v>
      </c>
      <c r="F28" s="53">
        <v>2115.171405</v>
      </c>
      <c r="G28" s="54">
        <v>2115.17</v>
      </c>
      <c r="H28" s="69">
        <v>1.6540487757061587E-2</v>
      </c>
      <c r="I28" s="2">
        <v>1.6500000000000001E-2</v>
      </c>
    </row>
    <row r="29" spans="1:9" ht="12.95" customHeight="1">
      <c r="A29" s="29"/>
      <c r="B29" s="68" t="s">
        <v>60</v>
      </c>
      <c r="C29" s="16" t="s">
        <v>61</v>
      </c>
      <c r="D29" s="16" t="s">
        <v>62</v>
      </c>
      <c r="E29" s="52">
        <v>572655</v>
      </c>
      <c r="F29" s="53">
        <v>2066.13924</v>
      </c>
      <c r="G29" s="54">
        <v>2066.14</v>
      </c>
      <c r="H29" s="69">
        <v>1.6157059764905685E-2</v>
      </c>
      <c r="I29" s="2">
        <v>1.6199999999999999E-2</v>
      </c>
    </row>
    <row r="30" spans="1:9" ht="12.95" customHeight="1">
      <c r="A30" s="29"/>
      <c r="B30" s="68" t="s">
        <v>68</v>
      </c>
      <c r="C30" s="16" t="s">
        <v>69</v>
      </c>
      <c r="D30" s="16" t="s">
        <v>59</v>
      </c>
      <c r="E30" s="52">
        <v>114100</v>
      </c>
      <c r="F30" s="53">
        <v>1833.587</v>
      </c>
      <c r="G30" s="54">
        <v>1833.59</v>
      </c>
      <c r="H30" s="69">
        <v>1.4338518028995046E-2</v>
      </c>
      <c r="I30" s="2">
        <v>1.43E-2</v>
      </c>
    </row>
    <row r="31" spans="1:9" ht="12.95" customHeight="1">
      <c r="A31" s="29"/>
      <c r="B31" s="68" t="s">
        <v>229</v>
      </c>
      <c r="C31" s="16" t="s">
        <v>230</v>
      </c>
      <c r="D31" s="16" t="s">
        <v>231</v>
      </c>
      <c r="E31" s="52">
        <v>507291</v>
      </c>
      <c r="F31" s="53">
        <v>1797.332013</v>
      </c>
      <c r="G31" s="54">
        <v>1797.33</v>
      </c>
      <c r="H31" s="69">
        <v>1.4055006646802391E-2</v>
      </c>
      <c r="I31" s="2">
        <v>1.41E-2</v>
      </c>
    </row>
    <row r="32" spans="1:9" ht="12.95" customHeight="1">
      <c r="A32" s="29"/>
      <c r="B32" s="68" t="s">
        <v>96</v>
      </c>
      <c r="C32" s="16" t="s">
        <v>97</v>
      </c>
      <c r="D32" s="16" t="s">
        <v>98</v>
      </c>
      <c r="E32" s="52">
        <v>648665</v>
      </c>
      <c r="F32" s="53">
        <v>1770.5311174999999</v>
      </c>
      <c r="G32" s="54">
        <v>1770.53</v>
      </c>
      <c r="H32" s="69">
        <v>1.384542557793576E-2</v>
      </c>
      <c r="I32" s="2">
        <v>1.38E-2</v>
      </c>
    </row>
    <row r="33" spans="1:9" ht="12.95" customHeight="1">
      <c r="A33" s="29"/>
      <c r="B33" s="68" t="s">
        <v>115</v>
      </c>
      <c r="C33" s="16" t="s">
        <v>116</v>
      </c>
      <c r="D33" s="16" t="s">
        <v>117</v>
      </c>
      <c r="E33" s="52">
        <v>451500</v>
      </c>
      <c r="F33" s="53">
        <v>1737.3720000000001</v>
      </c>
      <c r="G33" s="54">
        <v>1737.37</v>
      </c>
      <c r="H33" s="69">
        <v>1.3586123671836231E-2</v>
      </c>
      <c r="I33" s="2">
        <v>1.3599999999999999E-2</v>
      </c>
    </row>
    <row r="34" spans="1:9" ht="12.95" customHeight="1">
      <c r="A34" s="29"/>
      <c r="B34" s="68" t="s">
        <v>91</v>
      </c>
      <c r="C34" s="16" t="s">
        <v>92</v>
      </c>
      <c r="D34" s="16" t="s">
        <v>76</v>
      </c>
      <c r="E34" s="52">
        <v>145986</v>
      </c>
      <c r="F34" s="53">
        <v>1704.9704939999999</v>
      </c>
      <c r="G34" s="54">
        <v>1704.97</v>
      </c>
      <c r="H34" s="69">
        <v>1.333274623299772E-2</v>
      </c>
      <c r="I34" s="2">
        <v>1.3299999999999999E-2</v>
      </c>
    </row>
    <row r="35" spans="1:9" ht="12.95" customHeight="1">
      <c r="A35" s="29"/>
      <c r="B35" s="68" t="s">
        <v>87</v>
      </c>
      <c r="C35" s="16" t="s">
        <v>88</v>
      </c>
      <c r="D35" s="16" t="s">
        <v>56</v>
      </c>
      <c r="E35" s="52">
        <v>154000</v>
      </c>
      <c r="F35" s="53">
        <v>1690.15</v>
      </c>
      <c r="G35" s="54">
        <v>1690.15</v>
      </c>
      <c r="H35" s="69">
        <v>1.321685103935945E-2</v>
      </c>
      <c r="I35" s="2">
        <v>1.32E-2</v>
      </c>
    </row>
    <row r="36" spans="1:9" ht="12.95" customHeight="1">
      <c r="A36" s="29"/>
      <c r="B36" s="68" t="s">
        <v>57</v>
      </c>
      <c r="C36" s="16" t="s">
        <v>58</v>
      </c>
      <c r="D36" s="16" t="s">
        <v>59</v>
      </c>
      <c r="E36" s="52">
        <v>72493</v>
      </c>
      <c r="F36" s="53">
        <v>1632.034909</v>
      </c>
      <c r="G36" s="54">
        <v>1632.03</v>
      </c>
      <c r="H36" s="69">
        <v>1.2762395221304354E-2</v>
      </c>
      <c r="I36" s="2">
        <v>1.2800000000000001E-2</v>
      </c>
    </row>
    <row r="37" spans="1:9" ht="12.95" customHeight="1">
      <c r="A37" s="29"/>
      <c r="B37" s="68" t="s">
        <v>104</v>
      </c>
      <c r="C37" s="16" t="s">
        <v>105</v>
      </c>
      <c r="D37" s="16" t="s">
        <v>106</v>
      </c>
      <c r="E37" s="52">
        <v>918000</v>
      </c>
      <c r="F37" s="53">
        <v>1569.3209999999999</v>
      </c>
      <c r="G37" s="54">
        <v>1569.32</v>
      </c>
      <c r="H37" s="69">
        <v>1.2271976978338379E-2</v>
      </c>
      <c r="I37" s="2">
        <v>1.23E-2</v>
      </c>
    </row>
    <row r="38" spans="1:9" ht="12.95" customHeight="1">
      <c r="A38" s="29"/>
      <c r="B38" s="68" t="s">
        <v>81</v>
      </c>
      <c r="C38" s="16" t="s">
        <v>82</v>
      </c>
      <c r="D38" s="16" t="s">
        <v>83</v>
      </c>
      <c r="E38" s="52">
        <v>198161</v>
      </c>
      <c r="F38" s="53">
        <v>1486.405661</v>
      </c>
      <c r="G38" s="54">
        <v>1486.41</v>
      </c>
      <c r="H38" s="69">
        <v>1.1623585010500618E-2</v>
      </c>
      <c r="I38" s="2">
        <v>1.1599999999999999E-2</v>
      </c>
    </row>
    <row r="39" spans="1:9" ht="12.95" customHeight="1">
      <c r="A39" s="29"/>
      <c r="B39" s="68" t="s">
        <v>111</v>
      </c>
      <c r="C39" s="16" t="s">
        <v>112</v>
      </c>
      <c r="D39" s="16" t="s">
        <v>95</v>
      </c>
      <c r="E39" s="52">
        <v>123531</v>
      </c>
      <c r="F39" s="53">
        <v>1472.4895200000001</v>
      </c>
      <c r="G39" s="54">
        <v>1472.49</v>
      </c>
      <c r="H39" s="69">
        <v>1.1514761792064549E-2</v>
      </c>
      <c r="I39" s="2">
        <v>1.15E-2</v>
      </c>
    </row>
    <row r="40" spans="1:9" ht="12.95" customHeight="1">
      <c r="A40" s="29"/>
      <c r="B40" s="68" t="s">
        <v>99</v>
      </c>
      <c r="C40" s="16" t="s">
        <v>100</v>
      </c>
      <c r="D40" s="16" t="s">
        <v>101</v>
      </c>
      <c r="E40" s="52">
        <v>234750</v>
      </c>
      <c r="F40" s="53">
        <v>1470.2392500000001</v>
      </c>
      <c r="G40" s="54">
        <v>1470.24</v>
      </c>
      <c r="H40" s="69">
        <v>1.1497164843043256E-2</v>
      </c>
      <c r="I40" s="2">
        <v>1.15E-2</v>
      </c>
    </row>
    <row r="41" spans="1:9" ht="12.95" customHeight="1">
      <c r="A41" s="29"/>
      <c r="B41" s="68" t="s">
        <v>72</v>
      </c>
      <c r="C41" s="16" t="s">
        <v>73</v>
      </c>
      <c r="D41" s="16" t="s">
        <v>56</v>
      </c>
      <c r="E41" s="52">
        <v>845500</v>
      </c>
      <c r="F41" s="53">
        <v>1298.6880000000001</v>
      </c>
      <c r="G41" s="54">
        <v>1298.69</v>
      </c>
      <c r="H41" s="69">
        <v>1.0155646447122236E-2</v>
      </c>
      <c r="I41" s="2">
        <v>1.0200000000000001E-2</v>
      </c>
    </row>
    <row r="42" spans="1:9" ht="12.95" customHeight="1">
      <c r="A42" s="29"/>
      <c r="B42" s="68" t="s">
        <v>66</v>
      </c>
      <c r="C42" s="16" t="s">
        <v>67</v>
      </c>
      <c r="D42" s="16" t="s">
        <v>50</v>
      </c>
      <c r="E42" s="52">
        <v>182000</v>
      </c>
      <c r="F42" s="53">
        <v>1254.799</v>
      </c>
      <c r="G42" s="54">
        <v>1254.8</v>
      </c>
      <c r="H42" s="69">
        <v>9.8124376341373245E-3</v>
      </c>
      <c r="I42" s="2">
        <v>9.7999999999999997E-3</v>
      </c>
    </row>
    <row r="43" spans="1:9" ht="12.95" customHeight="1">
      <c r="A43" s="29"/>
      <c r="B43" s="68" t="s">
        <v>167</v>
      </c>
      <c r="C43" s="16" t="s">
        <v>168</v>
      </c>
      <c r="D43" s="16" t="s">
        <v>59</v>
      </c>
      <c r="E43" s="52">
        <v>53056</v>
      </c>
      <c r="F43" s="53">
        <v>1254.2968960000001</v>
      </c>
      <c r="G43" s="54">
        <v>1254.3</v>
      </c>
      <c r="H43" s="69">
        <v>9.8085112170889759E-3</v>
      </c>
      <c r="I43" s="2">
        <v>9.7999999999999997E-3</v>
      </c>
    </row>
    <row r="44" spans="1:9" ht="12.95" customHeight="1">
      <c r="A44" s="29"/>
      <c r="B44" s="68" t="s">
        <v>124</v>
      </c>
      <c r="C44" s="16" t="s">
        <v>125</v>
      </c>
      <c r="D44" s="16" t="s">
        <v>126</v>
      </c>
      <c r="E44" s="52">
        <v>161947</v>
      </c>
      <c r="F44" s="53">
        <v>1249.9879195000001</v>
      </c>
      <c r="G44" s="54">
        <v>1249.99</v>
      </c>
      <c r="H44" s="69">
        <v>9.7748153317932327E-3</v>
      </c>
      <c r="I44" s="2">
        <v>9.7999999999999997E-3</v>
      </c>
    </row>
    <row r="45" spans="1:9" ht="12.95" customHeight="1">
      <c r="A45" s="29"/>
      <c r="B45" s="68" t="s">
        <v>283</v>
      </c>
      <c r="C45" s="16" t="s">
        <v>284</v>
      </c>
      <c r="D45" s="16" t="s">
        <v>129</v>
      </c>
      <c r="E45" s="52">
        <v>51129</v>
      </c>
      <c r="F45" s="53">
        <v>1225.6643879999999</v>
      </c>
      <c r="G45" s="54">
        <v>1225.6600000000001</v>
      </c>
      <c r="H45" s="69">
        <v>9.5846070706408684E-3</v>
      </c>
      <c r="I45" s="2">
        <v>9.5999999999999992E-3</v>
      </c>
    </row>
    <row r="46" spans="1:9" ht="12.95" customHeight="1">
      <c r="A46" s="29"/>
      <c r="B46" s="68" t="s">
        <v>84</v>
      </c>
      <c r="C46" s="16" t="s">
        <v>85</v>
      </c>
      <c r="D46" s="16" t="s">
        <v>86</v>
      </c>
      <c r="E46" s="52">
        <v>298012</v>
      </c>
      <c r="F46" s="53">
        <v>1191.4519760000001</v>
      </c>
      <c r="G46" s="54">
        <v>1191.45</v>
      </c>
      <c r="H46" s="69">
        <v>9.317068477556709E-3</v>
      </c>
      <c r="I46" s="2">
        <v>9.2999999999999992E-3</v>
      </c>
    </row>
    <row r="47" spans="1:9" ht="12.95" customHeight="1">
      <c r="A47" s="29"/>
      <c r="B47" s="68" t="s">
        <v>63</v>
      </c>
      <c r="C47" s="16" t="s">
        <v>64</v>
      </c>
      <c r="D47" s="16" t="s">
        <v>65</v>
      </c>
      <c r="E47" s="52">
        <v>81589</v>
      </c>
      <c r="F47" s="53">
        <v>1184.509102</v>
      </c>
      <c r="G47" s="54">
        <v>1184.51</v>
      </c>
      <c r="H47" s="69">
        <v>9.2627757038721004E-3</v>
      </c>
      <c r="I47" s="2">
        <v>9.2999999999999992E-3</v>
      </c>
    </row>
    <row r="48" spans="1:9" ht="12.95" customHeight="1">
      <c r="A48" s="29"/>
      <c r="B48" s="68" t="s">
        <v>89</v>
      </c>
      <c r="C48" s="16" t="s">
        <v>90</v>
      </c>
      <c r="D48" s="16" t="s">
        <v>59</v>
      </c>
      <c r="E48" s="52">
        <v>147595</v>
      </c>
      <c r="F48" s="53">
        <v>1168.4358175</v>
      </c>
      <c r="G48" s="54">
        <v>1168.44</v>
      </c>
      <c r="H48" s="69">
        <v>9.1370837789247605E-3</v>
      </c>
      <c r="I48" s="2">
        <v>9.1000000000000004E-3</v>
      </c>
    </row>
    <row r="49" spans="1:9" ht="12.95" customHeight="1">
      <c r="A49" s="29"/>
      <c r="B49" s="68" t="s">
        <v>172</v>
      </c>
      <c r="C49" s="16" t="s">
        <v>173</v>
      </c>
      <c r="D49" s="16" t="s">
        <v>151</v>
      </c>
      <c r="E49" s="52">
        <v>335200</v>
      </c>
      <c r="F49" s="53">
        <v>1132.3055999999999</v>
      </c>
      <c r="G49" s="54">
        <v>1132.31</v>
      </c>
      <c r="H49" s="69">
        <v>8.8545480852187837E-3</v>
      </c>
      <c r="I49" s="2">
        <v>8.8999999999999999E-3</v>
      </c>
    </row>
    <row r="50" spans="1:9" ht="12.95" customHeight="1">
      <c r="A50" s="29"/>
      <c r="B50" s="68" t="s">
        <v>109</v>
      </c>
      <c r="C50" s="16" t="s">
        <v>110</v>
      </c>
      <c r="D50" s="16" t="s">
        <v>76</v>
      </c>
      <c r="E50" s="52">
        <v>105604</v>
      </c>
      <c r="F50" s="53">
        <v>968.54708600000004</v>
      </c>
      <c r="G50" s="54">
        <v>968.55</v>
      </c>
      <c r="H50" s="69">
        <v>7.5739683224966227E-3</v>
      </c>
      <c r="I50" s="2">
        <v>7.6E-3</v>
      </c>
    </row>
    <row r="51" spans="1:9" ht="12.95" customHeight="1">
      <c r="A51" s="29"/>
      <c r="B51" s="68" t="s">
        <v>159</v>
      </c>
      <c r="C51" s="16" t="s">
        <v>160</v>
      </c>
      <c r="D51" s="16" t="s">
        <v>86</v>
      </c>
      <c r="E51" s="52">
        <v>185273</v>
      </c>
      <c r="F51" s="53">
        <v>906.17024300000003</v>
      </c>
      <c r="G51" s="54">
        <v>906.17</v>
      </c>
      <c r="H51" s="69">
        <v>7.0861859113280808E-3</v>
      </c>
      <c r="I51" s="2">
        <v>7.1000000000000004E-3</v>
      </c>
    </row>
    <row r="52" spans="1:9" ht="12.95" customHeight="1">
      <c r="A52" s="29"/>
      <c r="B52" s="68" t="s">
        <v>236</v>
      </c>
      <c r="C52" s="16" t="s">
        <v>237</v>
      </c>
      <c r="D52" s="16" t="s">
        <v>62</v>
      </c>
      <c r="E52" s="52">
        <v>250000</v>
      </c>
      <c r="F52" s="53">
        <v>888.625</v>
      </c>
      <c r="G52" s="54">
        <v>888.63</v>
      </c>
      <c r="H52" s="69">
        <v>6.9489833771267592E-3</v>
      </c>
      <c r="I52" s="2">
        <v>6.8999999999999999E-3</v>
      </c>
    </row>
    <row r="53" spans="1:9" ht="12.95" customHeight="1">
      <c r="A53" s="29"/>
      <c r="B53" s="68" t="s">
        <v>79</v>
      </c>
      <c r="C53" s="16" t="s">
        <v>80</v>
      </c>
      <c r="D53" s="16" t="s">
        <v>50</v>
      </c>
      <c r="E53" s="52">
        <v>1444032</v>
      </c>
      <c r="F53" s="53">
        <v>886.63564799999995</v>
      </c>
      <c r="G53" s="54">
        <v>886.64</v>
      </c>
      <c r="H53" s="69">
        <v>6.9334267880377127E-3</v>
      </c>
      <c r="I53" s="2">
        <v>6.8999999999999999E-3</v>
      </c>
    </row>
    <row r="54" spans="1:9" ht="12.95" customHeight="1">
      <c r="A54" s="29"/>
      <c r="B54" s="68" t="s">
        <v>174</v>
      </c>
      <c r="C54" s="16" t="s">
        <v>175</v>
      </c>
      <c r="D54" s="16" t="s">
        <v>176</v>
      </c>
      <c r="E54" s="52">
        <v>370000</v>
      </c>
      <c r="F54" s="53">
        <v>864.32</v>
      </c>
      <c r="G54" s="54">
        <v>864.32</v>
      </c>
      <c r="H54" s="69">
        <v>6.7589200309671688E-3</v>
      </c>
      <c r="I54" s="2">
        <v>6.7999999999999996E-3</v>
      </c>
    </row>
    <row r="55" spans="1:9" ht="12.95" customHeight="1">
      <c r="A55" s="29"/>
      <c r="B55" s="68" t="s">
        <v>133</v>
      </c>
      <c r="C55" s="16" t="s">
        <v>134</v>
      </c>
      <c r="D55" s="16" t="s">
        <v>76</v>
      </c>
      <c r="E55" s="52">
        <v>492854</v>
      </c>
      <c r="F55" s="53">
        <v>838.59108100000003</v>
      </c>
      <c r="G55" s="54">
        <v>838.59</v>
      </c>
      <c r="H55" s="69">
        <v>6.5577217409770816E-3</v>
      </c>
      <c r="I55" s="2">
        <v>6.6E-3</v>
      </c>
    </row>
    <row r="56" spans="1:9" ht="12.95" customHeight="1">
      <c r="A56" s="29"/>
      <c r="B56" s="68" t="s">
        <v>145</v>
      </c>
      <c r="C56" s="16" t="s">
        <v>146</v>
      </c>
      <c r="D56" s="16" t="s">
        <v>65</v>
      </c>
      <c r="E56" s="52">
        <v>83000</v>
      </c>
      <c r="F56" s="53">
        <v>835.43650000000002</v>
      </c>
      <c r="G56" s="54">
        <v>835.44</v>
      </c>
      <c r="H56" s="69">
        <v>6.533053145190558E-3</v>
      </c>
      <c r="I56" s="2">
        <v>6.4999999999999997E-3</v>
      </c>
    </row>
    <row r="57" spans="1:9" ht="12.95" customHeight="1">
      <c r="A57" s="29"/>
      <c r="B57" s="68" t="s">
        <v>149</v>
      </c>
      <c r="C57" s="16" t="s">
        <v>150</v>
      </c>
      <c r="D57" s="16" t="s">
        <v>151</v>
      </c>
      <c r="E57" s="52">
        <v>307560</v>
      </c>
      <c r="F57" s="53">
        <v>809.19036000000006</v>
      </c>
      <c r="G57" s="54">
        <v>809.19</v>
      </c>
      <c r="H57" s="69">
        <v>6.3278102243029596E-3</v>
      </c>
      <c r="I57" s="2">
        <v>6.3E-3</v>
      </c>
    </row>
    <row r="58" spans="1:9" ht="12.95" customHeight="1">
      <c r="A58" s="29"/>
      <c r="B58" s="68" t="s">
        <v>234</v>
      </c>
      <c r="C58" s="16" t="s">
        <v>235</v>
      </c>
      <c r="D58" s="16" t="s">
        <v>59</v>
      </c>
      <c r="E58" s="52">
        <v>40720</v>
      </c>
      <c r="F58" s="53">
        <v>788.15596000000005</v>
      </c>
      <c r="G58" s="54">
        <v>788.16</v>
      </c>
      <c r="H58" s="69">
        <v>6.1633227341380027E-3</v>
      </c>
      <c r="I58" s="2">
        <v>6.1999999999999998E-3</v>
      </c>
    </row>
    <row r="59" spans="1:9" ht="12.95" customHeight="1">
      <c r="A59" s="29"/>
      <c r="B59" s="68" t="s">
        <v>238</v>
      </c>
      <c r="C59" s="16" t="s">
        <v>239</v>
      </c>
      <c r="D59" s="16" t="s">
        <v>240</v>
      </c>
      <c r="E59" s="52">
        <v>163000</v>
      </c>
      <c r="F59" s="53">
        <v>597.15049999999997</v>
      </c>
      <c r="G59" s="54">
        <v>597.15</v>
      </c>
      <c r="H59" s="69">
        <v>4.6696738198260604E-3</v>
      </c>
      <c r="I59" s="2">
        <v>4.7000000000000002E-3</v>
      </c>
    </row>
    <row r="60" spans="1:9" ht="12.95" customHeight="1">
      <c r="A60" s="29"/>
      <c r="B60" s="68" t="s">
        <v>363</v>
      </c>
      <c r="C60" s="16" t="s">
        <v>364</v>
      </c>
      <c r="D60" s="16" t="s">
        <v>365</v>
      </c>
      <c r="E60" s="52">
        <v>263635</v>
      </c>
      <c r="F60" s="53">
        <v>594.23329000000001</v>
      </c>
      <c r="G60" s="54">
        <v>594.23</v>
      </c>
      <c r="H60" s="69">
        <v>4.6468614481309269E-3</v>
      </c>
      <c r="I60" s="2">
        <v>4.5999999999999999E-3</v>
      </c>
    </row>
    <row r="61" spans="1:9" ht="12.95" customHeight="1">
      <c r="A61" s="29"/>
      <c r="B61" s="68" t="s">
        <v>169</v>
      </c>
      <c r="C61" s="16" t="s">
        <v>170</v>
      </c>
      <c r="D61" s="16" t="s">
        <v>171</v>
      </c>
      <c r="E61" s="52">
        <v>102287</v>
      </c>
      <c r="F61" s="53">
        <v>535.93273650000003</v>
      </c>
      <c r="G61" s="54">
        <v>535.92999999999995</v>
      </c>
      <c r="H61" s="69">
        <v>4.1909553267087413E-3</v>
      </c>
      <c r="I61" s="2">
        <v>4.1999999999999997E-3</v>
      </c>
    </row>
    <row r="62" spans="1:9" ht="12.95" customHeight="1">
      <c r="A62" s="29"/>
      <c r="B62" s="68" t="s">
        <v>185</v>
      </c>
      <c r="C62" s="16" t="s">
        <v>186</v>
      </c>
      <c r="D62" s="16" t="s">
        <v>117</v>
      </c>
      <c r="E62" s="52">
        <v>514879</v>
      </c>
      <c r="F62" s="53">
        <v>420.65614299999999</v>
      </c>
      <c r="G62" s="54">
        <v>420.66</v>
      </c>
      <c r="H62" s="69">
        <v>3.2895006838579341E-3</v>
      </c>
      <c r="I62" s="2">
        <v>3.3E-3</v>
      </c>
    </row>
    <row r="63" spans="1:9" ht="12.95" customHeight="1">
      <c r="A63" s="29"/>
      <c r="B63" s="68" t="s">
        <v>120</v>
      </c>
      <c r="C63" s="16" t="s">
        <v>121</v>
      </c>
      <c r="D63" s="16" t="s">
        <v>95</v>
      </c>
      <c r="E63" s="52">
        <v>72872</v>
      </c>
      <c r="F63" s="53">
        <v>400.97818000000001</v>
      </c>
      <c r="G63" s="54">
        <v>400.98</v>
      </c>
      <c r="H63" s="69">
        <v>3.1356204331529514E-3</v>
      </c>
      <c r="I63" s="2">
        <v>3.0999999999999999E-3</v>
      </c>
    </row>
    <row r="64" spans="1:9" ht="12.95" customHeight="1">
      <c r="A64" s="29"/>
      <c r="B64" s="68" t="s">
        <v>366</v>
      </c>
      <c r="C64" s="16" t="s">
        <v>367</v>
      </c>
      <c r="D64" s="16" t="s">
        <v>50</v>
      </c>
      <c r="E64" s="52">
        <v>203500</v>
      </c>
      <c r="F64" s="53">
        <v>375.96625</v>
      </c>
      <c r="G64" s="54">
        <v>375.97</v>
      </c>
      <c r="H64" s="69">
        <v>2.9400289454051859E-3</v>
      </c>
      <c r="I64" s="2">
        <v>2.8999999999999998E-3</v>
      </c>
    </row>
    <row r="65" spans="1:9" ht="12.95" customHeight="1">
      <c r="A65" s="29"/>
      <c r="B65" s="68" t="s">
        <v>191</v>
      </c>
      <c r="C65" s="16" t="s">
        <v>192</v>
      </c>
      <c r="D65" s="16" t="s">
        <v>53</v>
      </c>
      <c r="E65" s="52">
        <v>193134</v>
      </c>
      <c r="F65" s="53">
        <v>260.151498</v>
      </c>
      <c r="G65" s="54">
        <v>260.14999999999998</v>
      </c>
      <c r="H65" s="69">
        <v>2.0343659419177103E-3</v>
      </c>
      <c r="I65" s="2">
        <v>2E-3</v>
      </c>
    </row>
    <row r="66" spans="1:9" ht="12.95" customHeight="1">
      <c r="A66" s="29"/>
      <c r="B66" s="68" t="s">
        <v>303</v>
      </c>
      <c r="C66" s="16" t="s">
        <v>304</v>
      </c>
      <c r="D66" s="16" t="s">
        <v>195</v>
      </c>
      <c r="E66" s="52">
        <v>82097</v>
      </c>
      <c r="F66" s="53">
        <v>196.45812100000001</v>
      </c>
      <c r="G66" s="54">
        <v>196.46</v>
      </c>
      <c r="H66" s="69">
        <v>1.5362883298698073E-3</v>
      </c>
      <c r="I66" s="2">
        <v>1.5E-3</v>
      </c>
    </row>
    <row r="67" spans="1:9" ht="12.95" customHeight="1">
      <c r="A67" s="29"/>
      <c r="B67" s="68" t="s">
        <v>181</v>
      </c>
      <c r="C67" s="16" t="s">
        <v>182</v>
      </c>
      <c r="D67" s="16" t="s">
        <v>59</v>
      </c>
      <c r="E67" s="52">
        <v>400</v>
      </c>
      <c r="F67" s="53">
        <v>4.6192000000000002</v>
      </c>
      <c r="G67" s="54">
        <v>4.62</v>
      </c>
      <c r="H67" s="69" t="s">
        <v>368</v>
      </c>
      <c r="I67" s="40" t="s">
        <v>368</v>
      </c>
    </row>
    <row r="68" spans="1:9" ht="12.95" customHeight="1">
      <c r="A68" s="27"/>
      <c r="B68" s="64" t="s">
        <v>31</v>
      </c>
      <c r="C68" s="16" t="s">
        <v>1</v>
      </c>
      <c r="D68" s="16" t="s">
        <v>1</v>
      </c>
      <c r="E68" s="16" t="s">
        <v>1</v>
      </c>
      <c r="F68" s="17">
        <v>126063.2074805</v>
      </c>
      <c r="G68" s="56">
        <v>126063.23</v>
      </c>
      <c r="H68" s="70">
        <v>0.985805185819976</v>
      </c>
      <c r="I68" s="41">
        <v>0.98570000000000002</v>
      </c>
    </row>
    <row r="69" spans="1:9" ht="12.95" customHeight="1">
      <c r="A69" s="27"/>
      <c r="B69" s="64"/>
      <c r="C69" s="16"/>
      <c r="D69" s="16"/>
      <c r="E69" s="16"/>
      <c r="F69" s="17"/>
      <c r="G69" s="56"/>
      <c r="H69" s="70"/>
      <c r="I69" s="41"/>
    </row>
    <row r="70" spans="1:9" ht="12.95" customHeight="1">
      <c r="A70" s="27"/>
      <c r="B70" s="64" t="s">
        <v>196</v>
      </c>
      <c r="C70" s="16" t="s">
        <v>1</v>
      </c>
      <c r="D70" s="16" t="s">
        <v>1</v>
      </c>
      <c r="E70" s="16" t="s">
        <v>1</v>
      </c>
      <c r="F70" s="87" t="s">
        <v>197</v>
      </c>
      <c r="G70" s="87" t="s">
        <v>197</v>
      </c>
      <c r="H70" s="88" t="s">
        <v>197</v>
      </c>
      <c r="I70" s="42" t="s">
        <v>197</v>
      </c>
    </row>
    <row r="71" spans="1:9" ht="12.95" customHeight="1">
      <c r="A71" s="27"/>
      <c r="B71" s="64" t="s">
        <v>31</v>
      </c>
      <c r="C71" s="16" t="s">
        <v>1</v>
      </c>
      <c r="D71" s="16" t="s">
        <v>1</v>
      </c>
      <c r="E71" s="16" t="s">
        <v>1</v>
      </c>
      <c r="F71" s="87" t="s">
        <v>197</v>
      </c>
      <c r="G71" s="87" t="s">
        <v>197</v>
      </c>
      <c r="H71" s="88" t="s">
        <v>197</v>
      </c>
      <c r="I71" s="42" t="s">
        <v>197</v>
      </c>
    </row>
    <row r="72" spans="1:9" ht="12.95" customHeight="1">
      <c r="A72" s="27"/>
      <c r="B72" s="64" t="s">
        <v>36</v>
      </c>
      <c r="C72" s="16" t="s">
        <v>1</v>
      </c>
      <c r="D72" s="16" t="s">
        <v>1</v>
      </c>
      <c r="E72" s="16" t="s">
        <v>1</v>
      </c>
      <c r="F72" s="17">
        <v>126063.2074805</v>
      </c>
      <c r="G72" s="56">
        <v>126063.23</v>
      </c>
      <c r="H72" s="70">
        <v>0.985805185819976</v>
      </c>
      <c r="I72" s="41">
        <v>0.98570000000000002</v>
      </c>
    </row>
    <row r="73" spans="1:9" ht="12.95" customHeight="1">
      <c r="A73" s="27"/>
      <c r="B73" s="64"/>
      <c r="C73" s="16"/>
      <c r="D73" s="16"/>
      <c r="E73" s="16"/>
      <c r="F73" s="17"/>
      <c r="G73" s="56"/>
      <c r="H73" s="70"/>
      <c r="I73" s="61"/>
    </row>
    <row r="74" spans="1:9" ht="12.95" customHeight="1">
      <c r="A74" s="27"/>
      <c r="B74" s="14" t="s">
        <v>389</v>
      </c>
      <c r="C74" s="15"/>
      <c r="D74" s="16"/>
      <c r="E74" s="16"/>
      <c r="F74" s="17"/>
      <c r="G74" s="17"/>
      <c r="H74" s="70"/>
      <c r="I74" s="12"/>
    </row>
    <row r="75" spans="1:9" ht="12.95" customHeight="1">
      <c r="A75" s="29"/>
      <c r="B75" s="19" t="s">
        <v>400</v>
      </c>
      <c r="C75" s="15"/>
      <c r="D75" s="16"/>
      <c r="E75" s="87" t="s">
        <v>197</v>
      </c>
      <c r="F75" s="87" t="s">
        <v>197</v>
      </c>
      <c r="G75" s="89" t="s">
        <v>197</v>
      </c>
      <c r="H75" s="88" t="s">
        <v>197</v>
      </c>
      <c r="I75" s="13" t="s">
        <v>197</v>
      </c>
    </row>
    <row r="76" spans="1:9" ht="12.95" customHeight="1">
      <c r="A76" s="27"/>
      <c r="B76" s="22" t="s">
        <v>391</v>
      </c>
      <c r="C76" s="15"/>
      <c r="D76" s="16"/>
      <c r="E76" s="87" t="s">
        <v>197</v>
      </c>
      <c r="F76" s="87" t="s">
        <v>197</v>
      </c>
      <c r="G76" s="89" t="s">
        <v>197</v>
      </c>
      <c r="H76" s="88" t="s">
        <v>197</v>
      </c>
      <c r="I76" s="13" t="s">
        <v>197</v>
      </c>
    </row>
    <row r="77" spans="1:9" ht="12.95" customHeight="1">
      <c r="A77" s="27"/>
      <c r="B77" s="22" t="s">
        <v>392</v>
      </c>
      <c r="C77" s="15"/>
      <c r="D77" s="16"/>
      <c r="E77" s="87" t="s">
        <v>197</v>
      </c>
      <c r="F77" s="87" t="s">
        <v>197</v>
      </c>
      <c r="G77" s="89" t="s">
        <v>197</v>
      </c>
      <c r="H77" s="88" t="s">
        <v>197</v>
      </c>
      <c r="I77" s="43" t="s">
        <v>197</v>
      </c>
    </row>
    <row r="78" spans="1:9" ht="12.95" customHeight="1">
      <c r="A78" s="27"/>
      <c r="B78" s="22"/>
      <c r="C78" s="15"/>
      <c r="D78" s="16"/>
      <c r="E78" s="16"/>
      <c r="F78" s="17"/>
      <c r="G78" s="20"/>
      <c r="H78" s="71"/>
      <c r="I78" s="62"/>
    </row>
    <row r="79" spans="1:9" ht="12.95" customHeight="1">
      <c r="A79" s="27"/>
      <c r="B79" s="63" t="s">
        <v>11</v>
      </c>
      <c r="C79" s="15"/>
      <c r="D79" s="16"/>
      <c r="E79" s="16"/>
      <c r="F79" s="17"/>
      <c r="G79" s="20"/>
      <c r="H79" s="71"/>
      <c r="I79" s="62"/>
    </row>
    <row r="80" spans="1:9" ht="12.95" customHeight="1">
      <c r="A80" s="27"/>
      <c r="B80" s="64" t="s">
        <v>37</v>
      </c>
      <c r="C80" s="16" t="s">
        <v>1</v>
      </c>
      <c r="D80" s="16" t="s">
        <v>1</v>
      </c>
      <c r="E80" s="16" t="s">
        <v>1</v>
      </c>
      <c r="F80" s="49" t="s">
        <v>1</v>
      </c>
      <c r="G80" s="50"/>
      <c r="H80" s="67" t="s">
        <v>1</v>
      </c>
      <c r="I80" s="39" t="s">
        <v>1</v>
      </c>
    </row>
    <row r="81" spans="1:9" ht="12.95" customHeight="1">
      <c r="A81" s="29"/>
      <c r="B81" s="68" t="s">
        <v>38</v>
      </c>
      <c r="C81" s="16" t="s">
        <v>1</v>
      </c>
      <c r="D81" s="16" t="s">
        <v>39</v>
      </c>
      <c r="E81" s="52"/>
      <c r="F81" s="53">
        <v>1661.9404300000001</v>
      </c>
      <c r="G81" s="54">
        <v>1661.94</v>
      </c>
      <c r="H81" s="69">
        <v>1.2996254237552284E-2</v>
      </c>
      <c r="I81" s="2">
        <v>1.2999999999999999E-2</v>
      </c>
    </row>
    <row r="82" spans="1:9" ht="12.95" customHeight="1">
      <c r="A82" s="27"/>
      <c r="B82" s="64" t="s">
        <v>31</v>
      </c>
      <c r="C82" s="16" t="s">
        <v>1</v>
      </c>
      <c r="D82" s="16" t="s">
        <v>1</v>
      </c>
      <c r="E82" s="16" t="s">
        <v>1</v>
      </c>
      <c r="F82" s="17">
        <v>1661.9404300000001</v>
      </c>
      <c r="G82" s="56">
        <v>1661.94</v>
      </c>
      <c r="H82" s="70">
        <v>1.2996254237552284E-2</v>
      </c>
      <c r="I82" s="41">
        <v>1.2999999999999999E-2</v>
      </c>
    </row>
    <row r="83" spans="1:9" ht="12" customHeight="1">
      <c r="A83" s="27"/>
      <c r="B83" s="64"/>
      <c r="C83" s="16"/>
      <c r="D83" s="16"/>
      <c r="E83" s="16"/>
      <c r="F83" s="17"/>
      <c r="G83" s="56"/>
      <c r="H83" s="70"/>
      <c r="I83" s="41"/>
    </row>
    <row r="84" spans="1:9" ht="12.95" customHeight="1">
      <c r="A84" s="27"/>
      <c r="B84" s="64" t="s">
        <v>295</v>
      </c>
      <c r="C84" s="16"/>
      <c r="D84" s="16"/>
      <c r="E84" s="16"/>
      <c r="F84" s="17"/>
      <c r="G84" s="56"/>
      <c r="H84" s="70"/>
      <c r="I84" s="41"/>
    </row>
    <row r="85" spans="1:9" ht="12.95" customHeight="1">
      <c r="A85" s="27"/>
      <c r="B85" s="64" t="s">
        <v>40</v>
      </c>
      <c r="C85" s="16" t="s">
        <v>1</v>
      </c>
      <c r="D85" s="16" t="s">
        <v>1</v>
      </c>
      <c r="E85" s="16" t="s">
        <v>1</v>
      </c>
      <c r="F85" s="20">
        <v>153.2699491532</v>
      </c>
      <c r="G85" s="66">
        <v>153.25</v>
      </c>
      <c r="H85" s="71">
        <v>1.1985599424717156E-3</v>
      </c>
      <c r="I85" s="41">
        <v>1.2999999999999999E-3</v>
      </c>
    </row>
    <row r="86" spans="1:9" ht="12.95" customHeight="1">
      <c r="A86" s="27"/>
      <c r="B86" s="64" t="s">
        <v>31</v>
      </c>
      <c r="C86" s="16"/>
      <c r="D86" s="16"/>
      <c r="E86" s="16"/>
      <c r="F86" s="17">
        <v>153.2699491532</v>
      </c>
      <c r="G86" s="56">
        <v>153.25</v>
      </c>
      <c r="H86" s="70">
        <v>1.1985599424717156E-3</v>
      </c>
      <c r="I86" s="61"/>
    </row>
    <row r="87" spans="1:9" ht="12.95" customHeight="1">
      <c r="A87" s="27"/>
      <c r="B87" s="64" t="s">
        <v>36</v>
      </c>
      <c r="C87" s="16"/>
      <c r="D87" s="16"/>
      <c r="E87" s="16"/>
      <c r="F87" s="17">
        <f>F82+F86</f>
        <v>1815.2103791532002</v>
      </c>
      <c r="G87" s="56"/>
      <c r="H87" s="70">
        <f>H82+H86</f>
        <v>1.4194814180023999E-2</v>
      </c>
      <c r="I87" s="61"/>
    </row>
    <row r="88" spans="1:9" ht="12.95" customHeight="1" thickBot="1">
      <c r="A88" s="27"/>
      <c r="B88" s="72" t="s">
        <v>41</v>
      </c>
      <c r="C88" s="73" t="s">
        <v>1</v>
      </c>
      <c r="D88" s="73" t="s">
        <v>1</v>
      </c>
      <c r="E88" s="73" t="s">
        <v>1</v>
      </c>
      <c r="F88" s="74">
        <v>127878.4178596532</v>
      </c>
      <c r="G88" s="75">
        <v>127878.42</v>
      </c>
      <c r="H88" s="76">
        <v>1</v>
      </c>
      <c r="I88" s="44">
        <v>1</v>
      </c>
    </row>
    <row r="89" spans="1:9" s="30" customFormat="1" ht="12.95" customHeight="1">
      <c r="A89" s="27"/>
      <c r="B89" s="28" t="s">
        <v>1</v>
      </c>
      <c r="C89" s="27"/>
      <c r="D89" s="27"/>
      <c r="E89" s="27"/>
      <c r="F89" s="33"/>
      <c r="G89" s="27"/>
      <c r="H89" s="34"/>
      <c r="I89" s="27"/>
    </row>
    <row r="90" spans="1:9" s="30" customFormat="1" ht="12.95" customHeight="1">
      <c r="A90" s="27"/>
      <c r="B90" s="35" t="s">
        <v>39</v>
      </c>
      <c r="C90" s="27"/>
      <c r="D90" s="27"/>
      <c r="E90" s="27"/>
      <c r="F90" s="33"/>
      <c r="G90" s="27"/>
      <c r="H90" s="34"/>
      <c r="I90" s="27"/>
    </row>
    <row r="91" spans="1:9" s="30" customFormat="1" ht="12.95" customHeight="1">
      <c r="A91" s="27"/>
      <c r="B91" s="90" t="s">
        <v>369</v>
      </c>
      <c r="C91" s="91"/>
      <c r="D91" s="27"/>
      <c r="E91" s="27"/>
      <c r="F91" s="33"/>
      <c r="G91" s="27"/>
      <c r="H91" s="34"/>
      <c r="I91" s="27"/>
    </row>
    <row r="92" spans="1:9" s="30" customFormat="1" ht="12.95" customHeight="1">
      <c r="A92" s="27"/>
      <c r="B92" s="90" t="s">
        <v>394</v>
      </c>
      <c r="C92" s="91"/>
      <c r="D92" s="27"/>
      <c r="E92" s="27"/>
      <c r="F92" s="33"/>
      <c r="G92" s="27"/>
      <c r="H92" s="34"/>
      <c r="I92" s="27"/>
    </row>
    <row r="93" spans="1:9" s="30" customFormat="1" ht="12.95" customHeight="1" thickBot="1">
      <c r="A93" s="27"/>
      <c r="B93" s="90" t="s">
        <v>1</v>
      </c>
      <c r="C93" s="91"/>
      <c r="D93" s="27"/>
      <c r="E93" s="27"/>
      <c r="F93" s="33"/>
      <c r="G93" s="27"/>
      <c r="H93" s="34"/>
      <c r="I93" s="27"/>
    </row>
    <row r="94" spans="1:9" s="30" customFormat="1" ht="13.5" thickBot="1">
      <c r="B94" s="92" t="s">
        <v>405</v>
      </c>
      <c r="C94" s="93">
        <v>0.59519999999999995</v>
      </c>
      <c r="F94" s="36"/>
      <c r="H94" s="37"/>
    </row>
    <row r="95" spans="1:9" s="30" customFormat="1">
      <c r="B95" s="94" t="s">
        <v>406</v>
      </c>
      <c r="C95" s="94"/>
      <c r="F95" s="36"/>
      <c r="H95" s="37"/>
    </row>
    <row r="96" spans="1:9" s="30" customFormat="1">
      <c r="F96" s="36"/>
      <c r="H96" s="37"/>
    </row>
    <row r="97" spans="6:8" s="30" customFormat="1">
      <c r="F97" s="36"/>
      <c r="H97" s="37"/>
    </row>
    <row r="98" spans="6:8" s="30" customFormat="1">
      <c r="F98" s="36"/>
      <c r="H98" s="37"/>
    </row>
    <row r="99" spans="6:8" s="30" customFormat="1">
      <c r="F99" s="36"/>
      <c r="H99" s="37"/>
    </row>
    <row r="100" spans="6:8" s="30" customFormat="1">
      <c r="F100" s="36"/>
      <c r="H100" s="37"/>
    </row>
    <row r="101" spans="6:8" s="30" customFormat="1">
      <c r="F101" s="36"/>
      <c r="H101" s="37"/>
    </row>
    <row r="102" spans="6:8" s="30" customFormat="1">
      <c r="F102" s="36"/>
      <c r="H102" s="37"/>
    </row>
    <row r="103" spans="6:8" s="30" customFormat="1">
      <c r="F103" s="36"/>
      <c r="H103" s="37"/>
    </row>
    <row r="104" spans="6:8" s="30" customFormat="1">
      <c r="F104" s="36"/>
      <c r="H104" s="37"/>
    </row>
    <row r="105" spans="6:8" s="30" customFormat="1">
      <c r="F105" s="36"/>
      <c r="H105" s="37"/>
    </row>
    <row r="106" spans="6:8" s="30" customFormat="1">
      <c r="F106" s="36"/>
      <c r="H106" s="37"/>
    </row>
    <row r="107" spans="6:8" s="30" customFormat="1">
      <c r="F107" s="36"/>
      <c r="H107" s="37"/>
    </row>
    <row r="108" spans="6:8" s="30" customFormat="1">
      <c r="F108" s="36"/>
      <c r="H108" s="37"/>
    </row>
    <row r="109" spans="6:8" s="30" customFormat="1">
      <c r="F109" s="36"/>
      <c r="H109" s="37"/>
    </row>
    <row r="110" spans="6:8" s="30" customFormat="1">
      <c r="F110" s="36"/>
      <c r="H110" s="37"/>
    </row>
    <row r="111" spans="6:8" s="30" customFormat="1">
      <c r="F111" s="36"/>
      <c r="H111" s="37"/>
    </row>
    <row r="112" spans="6:8" s="30" customFormat="1">
      <c r="F112" s="36"/>
      <c r="H112" s="37"/>
    </row>
    <row r="113" spans="6:8" s="30" customFormat="1">
      <c r="F113" s="36"/>
      <c r="H113" s="37"/>
    </row>
    <row r="114" spans="6:8" s="30" customFormat="1">
      <c r="F114" s="36"/>
      <c r="H114" s="37"/>
    </row>
    <row r="115" spans="6:8" s="30" customFormat="1">
      <c r="F115" s="36"/>
      <c r="H115" s="37"/>
    </row>
    <row r="116" spans="6:8" s="30" customFormat="1">
      <c r="F116" s="36"/>
      <c r="H116" s="37"/>
    </row>
    <row r="117" spans="6:8" s="30" customFormat="1">
      <c r="F117" s="36"/>
      <c r="H117" s="37"/>
    </row>
    <row r="118" spans="6:8" s="30" customFormat="1">
      <c r="F118" s="36"/>
      <c r="H118" s="37"/>
    </row>
    <row r="119" spans="6:8" s="30" customFormat="1">
      <c r="F119" s="36"/>
      <c r="H119" s="37"/>
    </row>
    <row r="120" spans="6:8" s="30" customFormat="1">
      <c r="F120" s="36"/>
      <c r="H120" s="37"/>
    </row>
    <row r="121" spans="6:8" s="30" customFormat="1">
      <c r="F121" s="36"/>
      <c r="H121" s="37"/>
    </row>
    <row r="122" spans="6:8" s="30" customFormat="1">
      <c r="F122" s="36"/>
      <c r="H122" s="37"/>
    </row>
    <row r="123" spans="6:8" s="30" customFormat="1">
      <c r="F123" s="36"/>
      <c r="H123" s="37"/>
    </row>
    <row r="124" spans="6:8" s="30" customFormat="1">
      <c r="F124" s="36"/>
      <c r="H124" s="37"/>
    </row>
    <row r="125" spans="6:8" s="30" customFormat="1">
      <c r="F125" s="36"/>
      <c r="H125" s="37"/>
    </row>
    <row r="126" spans="6:8" s="30" customFormat="1">
      <c r="F126" s="36"/>
      <c r="H126" s="37"/>
    </row>
    <row r="127" spans="6:8" s="30" customFormat="1">
      <c r="F127" s="36"/>
      <c r="H127" s="37"/>
    </row>
    <row r="128" spans="6:8" s="30" customFormat="1">
      <c r="F128" s="36"/>
      <c r="H128" s="37"/>
    </row>
    <row r="129" spans="6:8" s="30" customFormat="1">
      <c r="F129" s="36"/>
      <c r="H129" s="37"/>
    </row>
    <row r="130" spans="6:8" s="30" customFormat="1">
      <c r="F130" s="36"/>
      <c r="H130" s="37"/>
    </row>
    <row r="131" spans="6:8" s="30" customFormat="1">
      <c r="F131" s="36"/>
      <c r="H131" s="37"/>
    </row>
    <row r="132" spans="6:8" s="30" customFormat="1">
      <c r="F132" s="36"/>
      <c r="H132" s="37"/>
    </row>
    <row r="133" spans="6:8" s="30" customFormat="1">
      <c r="F133" s="36"/>
      <c r="H133" s="37"/>
    </row>
    <row r="134" spans="6:8" s="30" customFormat="1">
      <c r="F134" s="36"/>
      <c r="H134" s="37"/>
    </row>
    <row r="135" spans="6:8" s="30" customFormat="1">
      <c r="F135" s="36"/>
      <c r="H135" s="37"/>
    </row>
    <row r="136" spans="6:8" s="30" customFormat="1">
      <c r="F136" s="36"/>
      <c r="H136" s="37"/>
    </row>
    <row r="137" spans="6:8" s="30" customFormat="1">
      <c r="F137" s="36"/>
      <c r="H137" s="37"/>
    </row>
    <row r="138" spans="6:8" s="30" customFormat="1">
      <c r="F138" s="36"/>
      <c r="H138" s="37"/>
    </row>
    <row r="139" spans="6:8" s="30" customFormat="1">
      <c r="F139" s="36"/>
      <c r="H139" s="37"/>
    </row>
    <row r="140" spans="6:8" s="30" customFormat="1">
      <c r="F140" s="36"/>
      <c r="H140" s="37"/>
    </row>
    <row r="141" spans="6:8" s="30" customFormat="1">
      <c r="F141" s="36"/>
      <c r="H141" s="37"/>
    </row>
    <row r="142" spans="6:8" s="30" customFormat="1">
      <c r="F142" s="36"/>
      <c r="H142" s="37"/>
    </row>
    <row r="143" spans="6:8" s="30" customFormat="1">
      <c r="F143" s="36"/>
      <c r="H143" s="37"/>
    </row>
    <row r="144" spans="6:8" s="30" customFormat="1">
      <c r="F144" s="36"/>
      <c r="H144" s="37"/>
    </row>
    <row r="145" spans="6:8" s="30" customFormat="1">
      <c r="F145" s="36"/>
      <c r="H145" s="37"/>
    </row>
    <row r="146" spans="6:8" s="30" customFormat="1">
      <c r="F146" s="36"/>
      <c r="H146" s="37"/>
    </row>
    <row r="147" spans="6:8" s="30" customFormat="1">
      <c r="F147" s="36"/>
      <c r="H147" s="37"/>
    </row>
    <row r="148" spans="6:8" s="30" customFormat="1">
      <c r="F148" s="36"/>
      <c r="H148" s="37"/>
    </row>
    <row r="149" spans="6:8" s="30" customFormat="1">
      <c r="F149" s="36"/>
      <c r="H149" s="37"/>
    </row>
    <row r="150" spans="6:8" s="30" customFormat="1">
      <c r="F150" s="36"/>
      <c r="H150" s="37"/>
    </row>
    <row r="151" spans="6:8" s="30" customFormat="1">
      <c r="F151" s="36"/>
      <c r="H151" s="37"/>
    </row>
    <row r="152" spans="6:8" s="30" customFormat="1">
      <c r="F152" s="36"/>
      <c r="H152" s="37"/>
    </row>
    <row r="153" spans="6:8" s="30" customFormat="1">
      <c r="F153" s="36"/>
      <c r="H153" s="37"/>
    </row>
    <row r="154" spans="6:8" s="30" customFormat="1">
      <c r="F154" s="36"/>
      <c r="H154" s="37"/>
    </row>
    <row r="155" spans="6:8" s="30" customFormat="1">
      <c r="F155" s="36"/>
      <c r="H155" s="37"/>
    </row>
    <row r="156" spans="6:8" s="30" customFormat="1">
      <c r="F156" s="36"/>
      <c r="H156" s="37"/>
    </row>
    <row r="157" spans="6:8" s="30" customFormat="1">
      <c r="F157" s="36"/>
      <c r="H157" s="37"/>
    </row>
    <row r="158" spans="6:8" s="30" customFormat="1">
      <c r="F158" s="36"/>
      <c r="H158" s="37"/>
    </row>
    <row r="159" spans="6:8" s="30" customFormat="1">
      <c r="F159" s="36"/>
      <c r="H159" s="37"/>
    </row>
    <row r="160" spans="6:8" s="30" customFormat="1">
      <c r="F160" s="36"/>
      <c r="H160" s="37"/>
    </row>
    <row r="161" spans="6:8" s="30" customFormat="1">
      <c r="F161" s="36"/>
      <c r="H161" s="37"/>
    </row>
    <row r="162" spans="6:8" s="30" customFormat="1">
      <c r="F162" s="36"/>
      <c r="H162" s="37"/>
    </row>
    <row r="163" spans="6:8" s="30" customFormat="1">
      <c r="F163" s="36"/>
      <c r="H163" s="37"/>
    </row>
    <row r="164" spans="6:8" s="30" customFormat="1">
      <c r="F164" s="36"/>
      <c r="H164" s="37"/>
    </row>
    <row r="165" spans="6:8" s="30" customFormat="1">
      <c r="F165" s="36"/>
      <c r="H165" s="37"/>
    </row>
    <row r="166" spans="6:8" s="30" customFormat="1">
      <c r="F166" s="36"/>
      <c r="H166" s="37"/>
    </row>
    <row r="167" spans="6:8" s="30" customFormat="1">
      <c r="F167" s="36"/>
      <c r="H167" s="37"/>
    </row>
    <row r="168" spans="6:8" s="30" customFormat="1">
      <c r="F168" s="36"/>
      <c r="H168" s="37"/>
    </row>
    <row r="169" spans="6:8" s="30" customFormat="1">
      <c r="F169" s="36"/>
      <c r="H169" s="37"/>
    </row>
    <row r="170" spans="6:8" s="30" customFormat="1">
      <c r="F170" s="36"/>
      <c r="H170" s="37"/>
    </row>
    <row r="171" spans="6:8" s="30" customFormat="1">
      <c r="F171" s="36"/>
      <c r="H171" s="37"/>
    </row>
    <row r="172" spans="6:8" s="30" customFormat="1">
      <c r="F172" s="36"/>
      <c r="H172" s="37"/>
    </row>
    <row r="173" spans="6:8" s="30" customFormat="1">
      <c r="F173" s="36"/>
      <c r="H173" s="37"/>
    </row>
    <row r="174" spans="6:8" s="30" customFormat="1">
      <c r="F174" s="36"/>
      <c r="H174" s="37"/>
    </row>
    <row r="175" spans="6:8" s="30" customFormat="1">
      <c r="F175" s="36"/>
      <c r="H175" s="37"/>
    </row>
    <row r="176" spans="6:8" s="30" customFormat="1">
      <c r="F176" s="36"/>
      <c r="H176" s="37"/>
    </row>
    <row r="177" spans="6:8" s="30" customFormat="1">
      <c r="F177" s="36"/>
      <c r="H177" s="37"/>
    </row>
    <row r="178" spans="6:8" s="30" customFormat="1">
      <c r="F178" s="36"/>
      <c r="H178" s="37"/>
    </row>
    <row r="179" spans="6:8" s="30" customFormat="1">
      <c r="F179" s="36"/>
      <c r="H179" s="37"/>
    </row>
    <row r="180" spans="6:8" s="30" customFormat="1">
      <c r="F180" s="36"/>
      <c r="H180" s="37"/>
    </row>
    <row r="181" spans="6:8" s="30" customFormat="1">
      <c r="F181" s="36"/>
      <c r="H181" s="37"/>
    </row>
    <row r="182" spans="6:8" s="30" customFormat="1">
      <c r="F182" s="36"/>
      <c r="H182" s="37"/>
    </row>
    <row r="183" spans="6:8" s="30" customFormat="1">
      <c r="F183" s="36"/>
      <c r="H183" s="37"/>
    </row>
    <row r="184" spans="6:8" s="30" customFormat="1">
      <c r="F184" s="36"/>
      <c r="H184" s="37"/>
    </row>
    <row r="185" spans="6:8" s="30" customFormat="1">
      <c r="F185" s="36"/>
      <c r="H185" s="37"/>
    </row>
    <row r="186" spans="6:8" s="30" customFormat="1">
      <c r="F186" s="36"/>
      <c r="H186" s="37"/>
    </row>
    <row r="187" spans="6:8" s="30" customFormat="1">
      <c r="F187" s="36"/>
      <c r="H187" s="37"/>
    </row>
    <row r="188" spans="6:8" s="30" customFormat="1">
      <c r="F188" s="36"/>
      <c r="H188" s="37"/>
    </row>
    <row r="189" spans="6:8" s="30" customFormat="1">
      <c r="F189" s="36"/>
      <c r="H189" s="37"/>
    </row>
    <row r="190" spans="6:8" s="30" customFormat="1">
      <c r="F190" s="36"/>
      <c r="H190" s="37"/>
    </row>
    <row r="191" spans="6:8" s="30" customFormat="1">
      <c r="F191" s="36"/>
      <c r="H191" s="37"/>
    </row>
    <row r="192" spans="6:8" s="30" customFormat="1">
      <c r="F192" s="36"/>
      <c r="H192" s="37"/>
    </row>
    <row r="193" spans="6:8" s="30" customFormat="1">
      <c r="F193" s="36"/>
      <c r="H193" s="37"/>
    </row>
    <row r="194" spans="6:8" s="30" customFormat="1">
      <c r="F194" s="36"/>
      <c r="H194" s="37"/>
    </row>
    <row r="195" spans="6:8" s="30" customFormat="1">
      <c r="F195" s="36"/>
      <c r="H195" s="37"/>
    </row>
    <row r="196" spans="6:8" s="30" customFormat="1">
      <c r="F196" s="36"/>
      <c r="H196" s="37"/>
    </row>
    <row r="197" spans="6:8" s="30" customFormat="1">
      <c r="F197" s="36"/>
      <c r="H197" s="37"/>
    </row>
    <row r="198" spans="6:8" s="30" customFormat="1">
      <c r="F198" s="36"/>
      <c r="H198" s="37"/>
    </row>
    <row r="199" spans="6:8" s="30" customFormat="1">
      <c r="F199" s="36"/>
      <c r="H199" s="37"/>
    </row>
    <row r="200" spans="6:8" s="30" customFormat="1">
      <c r="F200" s="36"/>
      <c r="H200" s="37"/>
    </row>
    <row r="201" spans="6:8" s="30" customFormat="1">
      <c r="F201" s="36"/>
      <c r="H201" s="37"/>
    </row>
    <row r="202" spans="6:8" s="30" customFormat="1">
      <c r="F202" s="36"/>
      <c r="H202" s="37"/>
    </row>
    <row r="203" spans="6:8" s="30" customFormat="1">
      <c r="F203" s="36"/>
      <c r="H203" s="37"/>
    </row>
    <row r="204" spans="6:8" s="30" customFormat="1">
      <c r="F204" s="36"/>
      <c r="H204" s="37"/>
    </row>
    <row r="205" spans="6:8" s="30" customFormat="1">
      <c r="F205" s="36"/>
      <c r="H205" s="37"/>
    </row>
    <row r="206" spans="6:8" s="30" customFormat="1">
      <c r="F206" s="36"/>
      <c r="H206" s="37"/>
    </row>
    <row r="207" spans="6:8" s="30" customFormat="1">
      <c r="F207" s="36"/>
      <c r="H207" s="37"/>
    </row>
    <row r="208" spans="6:8" s="30" customFormat="1">
      <c r="F208" s="36"/>
      <c r="H208" s="37"/>
    </row>
    <row r="209" spans="6:8" s="30" customFormat="1">
      <c r="F209" s="36"/>
      <c r="H209" s="37"/>
    </row>
    <row r="210" spans="6:8" s="30" customFormat="1">
      <c r="F210" s="36"/>
      <c r="H210" s="37"/>
    </row>
    <row r="211" spans="6:8" s="30" customFormat="1">
      <c r="F211" s="36"/>
      <c r="H211" s="37"/>
    </row>
    <row r="212" spans="6:8" s="30" customFormat="1">
      <c r="F212" s="36"/>
      <c r="H212" s="37"/>
    </row>
    <row r="213" spans="6:8" s="30" customFormat="1">
      <c r="F213" s="36"/>
      <c r="H213" s="37"/>
    </row>
    <row r="214" spans="6:8" s="30" customFormat="1">
      <c r="F214" s="36"/>
      <c r="H214" s="37"/>
    </row>
    <row r="215" spans="6:8" s="30" customFormat="1">
      <c r="F215" s="36"/>
      <c r="H215" s="37"/>
    </row>
    <row r="216" spans="6:8" s="30" customFormat="1">
      <c r="F216" s="36"/>
      <c r="H216" s="37"/>
    </row>
    <row r="217" spans="6:8" s="30" customFormat="1">
      <c r="F217" s="36"/>
      <c r="H217" s="37"/>
    </row>
    <row r="218" spans="6:8" s="30" customFormat="1">
      <c r="F218" s="36"/>
      <c r="H218" s="37"/>
    </row>
    <row r="219" spans="6:8" s="30" customFormat="1">
      <c r="F219" s="36"/>
      <c r="H219" s="37"/>
    </row>
    <row r="220" spans="6:8" s="30" customFormat="1">
      <c r="F220" s="36"/>
      <c r="H220" s="37"/>
    </row>
    <row r="221" spans="6:8" s="30" customFormat="1">
      <c r="F221" s="36"/>
      <c r="H221" s="37"/>
    </row>
    <row r="222" spans="6:8" s="30" customFormat="1">
      <c r="F222" s="36"/>
      <c r="H222" s="37"/>
    </row>
    <row r="223" spans="6:8" s="30" customFormat="1">
      <c r="F223" s="36"/>
      <c r="H223" s="37"/>
    </row>
    <row r="224" spans="6:8" s="30" customFormat="1">
      <c r="F224" s="36"/>
      <c r="H224" s="37"/>
    </row>
    <row r="225" spans="6:8" s="30" customFormat="1">
      <c r="F225" s="36"/>
      <c r="H225" s="37"/>
    </row>
    <row r="226" spans="6:8" s="30" customFormat="1">
      <c r="F226" s="36"/>
      <c r="H226" s="37"/>
    </row>
    <row r="227" spans="6:8" s="30" customFormat="1">
      <c r="F227" s="36"/>
      <c r="H227" s="37"/>
    </row>
    <row r="228" spans="6:8" s="30" customFormat="1">
      <c r="F228" s="36"/>
      <c r="H228" s="37"/>
    </row>
    <row r="229" spans="6:8" s="30" customFormat="1">
      <c r="F229" s="36"/>
      <c r="H229" s="37"/>
    </row>
    <row r="230" spans="6:8" s="30" customFormat="1">
      <c r="F230" s="36"/>
      <c r="H230" s="37"/>
    </row>
    <row r="231" spans="6:8" s="30" customFormat="1">
      <c r="F231" s="36"/>
      <c r="H231" s="37"/>
    </row>
    <row r="232" spans="6:8" s="30" customFormat="1">
      <c r="F232" s="36"/>
      <c r="H232" s="37"/>
    </row>
    <row r="233" spans="6:8" s="30" customFormat="1">
      <c r="F233" s="36"/>
      <c r="H233" s="37"/>
    </row>
    <row r="234" spans="6:8" s="30" customFormat="1">
      <c r="F234" s="36"/>
      <c r="H234" s="37"/>
    </row>
    <row r="235" spans="6:8" s="30" customFormat="1">
      <c r="F235" s="36"/>
      <c r="H235" s="37"/>
    </row>
    <row r="236" spans="6:8" s="30" customFormat="1">
      <c r="F236" s="36"/>
      <c r="H236" s="37"/>
    </row>
    <row r="237" spans="6:8" s="30" customFormat="1">
      <c r="F237" s="36"/>
      <c r="H237" s="37"/>
    </row>
    <row r="238" spans="6:8" s="30" customFormat="1">
      <c r="F238" s="36"/>
      <c r="H238" s="37"/>
    </row>
    <row r="239" spans="6:8" s="30" customFormat="1">
      <c r="F239" s="36"/>
      <c r="H239" s="37"/>
    </row>
    <row r="240" spans="6:8" s="30" customFormat="1">
      <c r="F240" s="36"/>
      <c r="H240" s="37"/>
    </row>
    <row r="241" spans="6:8" s="30" customFormat="1">
      <c r="F241" s="36"/>
      <c r="H241" s="37"/>
    </row>
    <row r="242" spans="6:8" s="30" customFormat="1">
      <c r="F242" s="36"/>
      <c r="H242" s="37"/>
    </row>
    <row r="243" spans="6:8" s="30" customFormat="1">
      <c r="F243" s="36"/>
      <c r="H243" s="37"/>
    </row>
    <row r="244" spans="6:8" s="30" customFormat="1">
      <c r="F244" s="36"/>
      <c r="H244" s="37"/>
    </row>
    <row r="245" spans="6:8" s="30" customFormat="1">
      <c r="F245" s="36"/>
      <c r="H245" s="37"/>
    </row>
    <row r="246" spans="6:8" s="30" customFormat="1">
      <c r="F246" s="36"/>
      <c r="H246" s="37"/>
    </row>
    <row r="247" spans="6:8" s="30" customFormat="1">
      <c r="F247" s="36"/>
      <c r="H247" s="37"/>
    </row>
    <row r="248" spans="6:8" s="30" customFormat="1">
      <c r="F248" s="36"/>
      <c r="H248" s="37"/>
    </row>
    <row r="249" spans="6:8" s="30" customFormat="1">
      <c r="F249" s="36"/>
      <c r="H249" s="37"/>
    </row>
    <row r="250" spans="6:8" s="30" customFormat="1">
      <c r="F250" s="36"/>
      <c r="H250" s="37"/>
    </row>
    <row r="251" spans="6:8" s="30" customFormat="1">
      <c r="F251" s="36"/>
      <c r="H251" s="37"/>
    </row>
    <row r="252" spans="6:8" s="30" customFormat="1">
      <c r="F252" s="36"/>
      <c r="H252" s="37"/>
    </row>
    <row r="253" spans="6:8" s="30" customFormat="1">
      <c r="F253" s="36"/>
      <c r="H253" s="37"/>
    </row>
    <row r="254" spans="6:8" s="30" customFormat="1">
      <c r="F254" s="36"/>
      <c r="H254" s="37"/>
    </row>
    <row r="255" spans="6:8" s="30" customFormat="1">
      <c r="F255" s="36"/>
      <c r="H255" s="37"/>
    </row>
    <row r="256" spans="6:8" s="30" customFormat="1">
      <c r="F256" s="36"/>
      <c r="H256" s="37"/>
    </row>
    <row r="257" spans="6:8" s="30" customFormat="1">
      <c r="F257" s="36"/>
      <c r="H257" s="37"/>
    </row>
    <row r="258" spans="6:8" s="30" customFormat="1">
      <c r="F258" s="36"/>
      <c r="H258" s="37"/>
    </row>
    <row r="259" spans="6:8" s="30" customFormat="1">
      <c r="F259" s="36"/>
      <c r="H259" s="37"/>
    </row>
    <row r="260" spans="6:8" s="30" customFormat="1">
      <c r="F260" s="36"/>
      <c r="H260" s="37"/>
    </row>
    <row r="261" spans="6:8" s="30" customFormat="1">
      <c r="F261" s="36"/>
      <c r="H261" s="37"/>
    </row>
    <row r="262" spans="6:8" s="30" customFormat="1">
      <c r="F262" s="36"/>
      <c r="H262" s="37"/>
    </row>
    <row r="263" spans="6:8" s="30" customFormat="1">
      <c r="F263" s="36"/>
      <c r="H263" s="37"/>
    </row>
    <row r="264" spans="6:8" s="30" customFormat="1">
      <c r="F264" s="36"/>
      <c r="H264" s="37"/>
    </row>
    <row r="265" spans="6:8" s="30" customFormat="1">
      <c r="F265" s="36"/>
      <c r="H265" s="37"/>
    </row>
    <row r="266" spans="6:8" s="30" customFormat="1">
      <c r="F266" s="36"/>
      <c r="H266" s="37"/>
    </row>
    <row r="267" spans="6:8" s="30" customFormat="1">
      <c r="F267" s="36"/>
      <c r="H267" s="37"/>
    </row>
    <row r="268" spans="6:8" s="30" customFormat="1">
      <c r="F268" s="36"/>
      <c r="H268" s="37"/>
    </row>
    <row r="269" spans="6:8" s="30" customFormat="1">
      <c r="F269" s="36"/>
      <c r="H269" s="37"/>
    </row>
    <row r="270" spans="6:8" s="30" customFormat="1">
      <c r="F270" s="36"/>
      <c r="H270" s="37"/>
    </row>
    <row r="271" spans="6:8" s="30" customFormat="1">
      <c r="F271" s="36"/>
      <c r="H271" s="37"/>
    </row>
    <row r="272" spans="6:8" s="30" customFormat="1">
      <c r="F272" s="36"/>
      <c r="H272" s="37"/>
    </row>
    <row r="273" spans="6:8" s="30" customFormat="1">
      <c r="F273" s="36"/>
      <c r="H273" s="37"/>
    </row>
    <row r="274" spans="6:8" s="30" customFormat="1">
      <c r="F274" s="36"/>
      <c r="H274" s="37"/>
    </row>
    <row r="275" spans="6:8" s="30" customFormat="1">
      <c r="F275" s="36"/>
      <c r="H275" s="37"/>
    </row>
    <row r="276" spans="6:8" s="30" customFormat="1">
      <c r="F276" s="36"/>
      <c r="H276" s="37"/>
    </row>
    <row r="277" spans="6:8" s="30" customFormat="1">
      <c r="F277" s="36"/>
      <c r="H277" s="37"/>
    </row>
    <row r="278" spans="6:8" s="30" customFormat="1">
      <c r="F278" s="36"/>
      <c r="H278" s="37"/>
    </row>
    <row r="279" spans="6:8" s="30" customFormat="1">
      <c r="F279" s="36"/>
      <c r="H279" s="37"/>
    </row>
    <row r="280" spans="6:8" s="30" customFormat="1">
      <c r="F280" s="36"/>
      <c r="H280" s="37"/>
    </row>
    <row r="281" spans="6:8" s="30" customFormat="1">
      <c r="F281" s="36"/>
      <c r="H281" s="37"/>
    </row>
    <row r="282" spans="6:8" s="30" customFormat="1">
      <c r="F282" s="36"/>
      <c r="H282" s="37"/>
    </row>
    <row r="283" spans="6:8" s="30" customFormat="1">
      <c r="F283" s="36"/>
      <c r="H283" s="37"/>
    </row>
    <row r="284" spans="6:8" s="30" customFormat="1">
      <c r="F284" s="36"/>
      <c r="H284" s="37"/>
    </row>
    <row r="285" spans="6:8" s="30" customFormat="1">
      <c r="F285" s="36"/>
      <c r="H285" s="37"/>
    </row>
    <row r="286" spans="6:8" s="30" customFormat="1">
      <c r="F286" s="36"/>
      <c r="H286" s="37"/>
    </row>
    <row r="287" spans="6:8" s="30" customFormat="1">
      <c r="F287" s="36"/>
      <c r="H287" s="37"/>
    </row>
    <row r="288" spans="6:8" s="30" customFormat="1">
      <c r="F288" s="36"/>
      <c r="H288" s="37"/>
    </row>
    <row r="289" spans="6:8" s="30" customFormat="1">
      <c r="F289" s="36"/>
      <c r="H289" s="37"/>
    </row>
    <row r="290" spans="6:8" s="30" customFormat="1">
      <c r="F290" s="36"/>
      <c r="H290" s="37"/>
    </row>
    <row r="291" spans="6:8" s="30" customFormat="1">
      <c r="F291" s="36"/>
      <c r="H291" s="37"/>
    </row>
    <row r="292" spans="6:8" s="30" customFormat="1">
      <c r="F292" s="36"/>
      <c r="H292" s="37"/>
    </row>
    <row r="293" spans="6:8" s="30" customFormat="1">
      <c r="F293" s="36"/>
      <c r="H293" s="37"/>
    </row>
    <row r="294" spans="6:8" s="30" customFormat="1">
      <c r="F294" s="36"/>
      <c r="H294" s="37"/>
    </row>
    <row r="295" spans="6:8" s="30" customFormat="1">
      <c r="F295" s="36"/>
      <c r="H295" s="37"/>
    </row>
    <row r="296" spans="6:8" s="30" customFormat="1">
      <c r="F296" s="36"/>
      <c r="H296" s="37"/>
    </row>
    <row r="297" spans="6:8" s="30" customFormat="1">
      <c r="F297" s="36"/>
      <c r="H297" s="37"/>
    </row>
    <row r="298" spans="6:8" s="30" customFormat="1">
      <c r="F298" s="36"/>
      <c r="H298" s="37"/>
    </row>
    <row r="299" spans="6:8" s="30" customFormat="1">
      <c r="F299" s="36"/>
      <c r="H299" s="37"/>
    </row>
    <row r="300" spans="6:8" s="30" customFormat="1">
      <c r="F300" s="36"/>
      <c r="H300" s="37"/>
    </row>
    <row r="301" spans="6:8" s="30" customFormat="1">
      <c r="F301" s="36"/>
      <c r="H301" s="37"/>
    </row>
    <row r="302" spans="6:8" s="30" customFormat="1">
      <c r="F302" s="36"/>
      <c r="H302" s="37"/>
    </row>
    <row r="303" spans="6:8" s="30" customFormat="1">
      <c r="F303" s="36"/>
      <c r="H303" s="37"/>
    </row>
    <row r="304" spans="6:8" s="30" customFormat="1">
      <c r="F304" s="36"/>
      <c r="H304" s="37"/>
    </row>
    <row r="305" spans="6:8" s="30" customFormat="1">
      <c r="F305" s="36"/>
      <c r="H305" s="37"/>
    </row>
    <row r="306" spans="6:8" s="30" customFormat="1">
      <c r="F306" s="36"/>
      <c r="H306" s="37"/>
    </row>
    <row r="307" spans="6:8" s="30" customFormat="1">
      <c r="F307" s="36"/>
      <c r="H307" s="37"/>
    </row>
    <row r="308" spans="6:8" s="30" customFormat="1">
      <c r="F308" s="36"/>
      <c r="H308" s="37"/>
    </row>
    <row r="309" spans="6:8" s="30" customFormat="1">
      <c r="F309" s="36"/>
      <c r="H309" s="37"/>
    </row>
    <row r="310" spans="6:8" s="30" customFormat="1">
      <c r="F310" s="36"/>
      <c r="H310" s="37"/>
    </row>
    <row r="311" spans="6:8" s="30" customFormat="1">
      <c r="F311" s="36"/>
      <c r="H311" s="37"/>
    </row>
    <row r="312" spans="6:8" s="30" customFormat="1">
      <c r="F312" s="36"/>
      <c r="H312" s="37"/>
    </row>
    <row r="313" spans="6:8" s="30" customFormat="1">
      <c r="F313" s="36"/>
      <c r="H313" s="37"/>
    </row>
    <row r="314" spans="6:8" s="30" customFormat="1">
      <c r="F314" s="36"/>
      <c r="H314" s="37"/>
    </row>
    <row r="315" spans="6:8" s="30" customFormat="1">
      <c r="F315" s="36"/>
      <c r="H315" s="37"/>
    </row>
    <row r="316" spans="6:8" s="30" customFormat="1">
      <c r="F316" s="36"/>
      <c r="H316" s="37"/>
    </row>
    <row r="317" spans="6:8" s="30" customFormat="1">
      <c r="F317" s="36"/>
      <c r="H317" s="37"/>
    </row>
    <row r="318" spans="6:8" s="30" customFormat="1">
      <c r="F318" s="36"/>
      <c r="H318" s="37"/>
    </row>
    <row r="319" spans="6:8" s="30" customFormat="1">
      <c r="F319" s="36"/>
      <c r="H319" s="37"/>
    </row>
    <row r="320" spans="6:8" s="30" customFormat="1">
      <c r="F320" s="36"/>
      <c r="H320" s="37"/>
    </row>
    <row r="321" spans="6:8" s="30" customFormat="1">
      <c r="F321" s="36"/>
      <c r="H321" s="37"/>
    </row>
    <row r="322" spans="6:8" s="30" customFormat="1">
      <c r="F322" s="36"/>
      <c r="H322" s="37"/>
    </row>
    <row r="323" spans="6:8" s="30" customFormat="1">
      <c r="F323" s="36"/>
      <c r="H323" s="37"/>
    </row>
    <row r="324" spans="6:8" s="30" customFormat="1">
      <c r="F324" s="36"/>
      <c r="H324" s="37"/>
    </row>
    <row r="325" spans="6:8" s="30" customFormat="1">
      <c r="F325" s="36"/>
      <c r="H325" s="37"/>
    </row>
    <row r="326" spans="6:8" s="30" customFormat="1">
      <c r="F326" s="36"/>
      <c r="H326" s="37"/>
    </row>
    <row r="327" spans="6:8" s="30" customFormat="1">
      <c r="F327" s="36"/>
      <c r="H327" s="37"/>
    </row>
    <row r="328" spans="6:8" s="30" customFormat="1">
      <c r="F328" s="36"/>
      <c r="H328" s="37"/>
    </row>
    <row r="329" spans="6:8" s="30" customFormat="1">
      <c r="F329" s="36"/>
      <c r="H329" s="37"/>
    </row>
    <row r="330" spans="6:8" s="30" customFormat="1">
      <c r="F330" s="36"/>
      <c r="H330" s="37"/>
    </row>
    <row r="331" spans="6:8" s="30" customFormat="1">
      <c r="F331" s="36"/>
      <c r="H331" s="37"/>
    </row>
    <row r="332" spans="6:8" s="30" customFormat="1">
      <c r="F332" s="36"/>
      <c r="H332" s="37"/>
    </row>
    <row r="333" spans="6:8" s="30" customFormat="1">
      <c r="F333" s="36"/>
      <c r="H333" s="37"/>
    </row>
    <row r="334" spans="6:8" s="30" customFormat="1">
      <c r="F334" s="36"/>
      <c r="H334" s="37"/>
    </row>
    <row r="335" spans="6:8" s="30" customFormat="1">
      <c r="F335" s="36"/>
      <c r="H335" s="37"/>
    </row>
    <row r="336" spans="6:8" s="30" customFormat="1">
      <c r="F336" s="36"/>
      <c r="H336" s="37"/>
    </row>
    <row r="337" spans="6:8" s="30" customFormat="1">
      <c r="F337" s="36"/>
      <c r="H337" s="37"/>
    </row>
    <row r="338" spans="6:8" s="30" customFormat="1">
      <c r="F338" s="36"/>
      <c r="H338" s="37"/>
    </row>
    <row r="339" spans="6:8" s="30" customFormat="1">
      <c r="F339" s="36"/>
      <c r="H339" s="37"/>
    </row>
    <row r="340" spans="6:8" s="30" customFormat="1">
      <c r="F340" s="36"/>
      <c r="H340" s="37"/>
    </row>
    <row r="341" spans="6:8" s="30" customFormat="1">
      <c r="F341" s="36"/>
      <c r="H341" s="37"/>
    </row>
    <row r="342" spans="6:8" s="30" customFormat="1">
      <c r="F342" s="36"/>
      <c r="H342" s="37"/>
    </row>
    <row r="343" spans="6:8" s="30" customFormat="1">
      <c r="F343" s="36"/>
      <c r="H343" s="37"/>
    </row>
    <row r="344" spans="6:8" s="30" customFormat="1">
      <c r="F344" s="36"/>
      <c r="H344" s="37"/>
    </row>
    <row r="345" spans="6:8" s="30" customFormat="1">
      <c r="F345" s="36"/>
      <c r="H345" s="37"/>
    </row>
    <row r="346" spans="6:8" s="30" customFormat="1">
      <c r="F346" s="36"/>
      <c r="H346" s="37"/>
    </row>
    <row r="347" spans="6:8" s="30" customFormat="1">
      <c r="F347" s="36"/>
      <c r="H347" s="37"/>
    </row>
    <row r="348" spans="6:8" s="30" customFormat="1">
      <c r="F348" s="36"/>
      <c r="H348" s="37"/>
    </row>
    <row r="349" spans="6:8" s="30" customFormat="1">
      <c r="F349" s="36"/>
      <c r="H349" s="37"/>
    </row>
    <row r="350" spans="6:8" s="30" customFormat="1">
      <c r="F350" s="36"/>
      <c r="H350" s="37"/>
    </row>
    <row r="351" spans="6:8" s="30" customFormat="1">
      <c r="F351" s="36"/>
      <c r="H351" s="37"/>
    </row>
    <row r="352" spans="6:8" s="30" customFormat="1">
      <c r="F352" s="36"/>
      <c r="H352" s="37"/>
    </row>
    <row r="353" spans="6:8" s="30" customFormat="1">
      <c r="F353" s="36"/>
      <c r="H353" s="37"/>
    </row>
    <row r="354" spans="6:8" s="30" customFormat="1">
      <c r="F354" s="36"/>
      <c r="H354" s="37"/>
    </row>
    <row r="355" spans="6:8" s="30" customFormat="1">
      <c r="F355" s="36"/>
      <c r="H355" s="37"/>
    </row>
    <row r="356" spans="6:8" s="30" customFormat="1">
      <c r="F356" s="36"/>
      <c r="H356" s="37"/>
    </row>
    <row r="357" spans="6:8" s="30" customFormat="1">
      <c r="F357" s="36"/>
      <c r="H357" s="37"/>
    </row>
    <row r="358" spans="6:8" s="30" customFormat="1">
      <c r="F358" s="36"/>
      <c r="H358" s="37"/>
    </row>
    <row r="359" spans="6:8" s="30" customFormat="1">
      <c r="F359" s="36"/>
      <c r="H359" s="37"/>
    </row>
    <row r="360" spans="6:8" s="30" customFormat="1">
      <c r="F360" s="36"/>
      <c r="H360" s="37"/>
    </row>
    <row r="361" spans="6:8" s="30" customFormat="1">
      <c r="F361" s="36"/>
      <c r="H361" s="37"/>
    </row>
    <row r="362" spans="6:8" s="30" customFormat="1">
      <c r="F362" s="36"/>
      <c r="H362" s="37"/>
    </row>
    <row r="363" spans="6:8" s="30" customFormat="1">
      <c r="F363" s="36"/>
      <c r="H363" s="37"/>
    </row>
    <row r="364" spans="6:8" s="30" customFormat="1">
      <c r="F364" s="36"/>
      <c r="H364" s="37"/>
    </row>
    <row r="365" spans="6:8" s="30" customFormat="1">
      <c r="F365" s="36"/>
      <c r="H365" s="37"/>
    </row>
    <row r="366" spans="6:8" s="30" customFormat="1">
      <c r="F366" s="36"/>
      <c r="H366" s="37"/>
    </row>
    <row r="367" spans="6:8" s="30" customFormat="1">
      <c r="F367" s="36"/>
      <c r="H367" s="37"/>
    </row>
    <row r="368" spans="6:8" s="30" customFormat="1">
      <c r="F368" s="36"/>
      <c r="H368" s="37"/>
    </row>
    <row r="369" spans="6:8" s="30" customFormat="1">
      <c r="F369" s="36"/>
      <c r="H369" s="37"/>
    </row>
    <row r="370" spans="6:8" s="30" customFormat="1">
      <c r="F370" s="36"/>
      <c r="H370" s="37"/>
    </row>
    <row r="371" spans="6:8" s="30" customFormat="1">
      <c r="F371" s="36"/>
      <c r="H371" s="37"/>
    </row>
    <row r="372" spans="6:8" s="30" customFormat="1">
      <c r="F372" s="36"/>
      <c r="H372" s="37"/>
    </row>
    <row r="373" spans="6:8" s="30" customFormat="1">
      <c r="F373" s="36"/>
      <c r="H373" s="37"/>
    </row>
    <row r="374" spans="6:8" s="30" customFormat="1">
      <c r="F374" s="36"/>
      <c r="H374" s="37"/>
    </row>
    <row r="375" spans="6:8" s="30" customFormat="1">
      <c r="F375" s="36"/>
      <c r="H375" s="37"/>
    </row>
    <row r="376" spans="6:8" s="30" customFormat="1">
      <c r="F376" s="36"/>
      <c r="H376" s="37"/>
    </row>
    <row r="377" spans="6:8" s="30" customFormat="1">
      <c r="F377" s="36"/>
      <c r="H377" s="37"/>
    </row>
    <row r="378" spans="6:8" s="30" customFormat="1">
      <c r="F378" s="36"/>
      <c r="H378" s="37"/>
    </row>
    <row r="379" spans="6:8" s="30" customFormat="1">
      <c r="F379" s="36"/>
      <c r="H379" s="37"/>
    </row>
    <row r="380" spans="6:8" s="30" customFormat="1">
      <c r="F380" s="36"/>
      <c r="H380" s="37"/>
    </row>
    <row r="381" spans="6:8" s="30" customFormat="1">
      <c r="F381" s="36"/>
      <c r="H381" s="37"/>
    </row>
    <row r="382" spans="6:8" s="30" customFormat="1">
      <c r="F382" s="36"/>
      <c r="H382" s="37"/>
    </row>
    <row r="383" spans="6:8" s="30" customFormat="1">
      <c r="F383" s="36"/>
      <c r="H383" s="37"/>
    </row>
    <row r="384" spans="6:8" s="30" customFormat="1">
      <c r="F384" s="36"/>
      <c r="H384" s="37"/>
    </row>
    <row r="385" spans="6:8" s="30" customFormat="1">
      <c r="F385" s="36"/>
      <c r="H385" s="37"/>
    </row>
    <row r="386" spans="6:8" s="30" customFormat="1">
      <c r="F386" s="36"/>
      <c r="H386" s="37"/>
    </row>
    <row r="387" spans="6:8" s="30" customFormat="1">
      <c r="F387" s="36"/>
      <c r="H387" s="37"/>
    </row>
    <row r="388" spans="6:8" s="30" customFormat="1">
      <c r="F388" s="36"/>
      <c r="H388" s="37"/>
    </row>
    <row r="389" spans="6:8" s="30" customFormat="1">
      <c r="F389" s="36"/>
      <c r="H389" s="37"/>
    </row>
    <row r="390" spans="6:8" s="30" customFormat="1">
      <c r="F390" s="36"/>
      <c r="H390" s="37"/>
    </row>
    <row r="391" spans="6:8" s="30" customFormat="1">
      <c r="F391" s="36"/>
      <c r="H391" s="37"/>
    </row>
    <row r="392" spans="6:8" s="30" customFormat="1">
      <c r="F392" s="36"/>
      <c r="H392" s="37"/>
    </row>
    <row r="393" spans="6:8" s="30" customFormat="1">
      <c r="F393" s="36"/>
      <c r="H393" s="37"/>
    </row>
    <row r="394" spans="6:8" s="30" customFormat="1">
      <c r="F394" s="36"/>
      <c r="H394" s="37"/>
    </row>
    <row r="395" spans="6:8" s="30" customFormat="1">
      <c r="F395" s="36"/>
      <c r="H395" s="37"/>
    </row>
    <row r="396" spans="6:8" s="30" customFormat="1">
      <c r="F396" s="36"/>
      <c r="H396" s="37"/>
    </row>
    <row r="397" spans="6:8" s="30" customFormat="1">
      <c r="F397" s="36"/>
      <c r="H397" s="37"/>
    </row>
    <row r="398" spans="6:8" s="30" customFormat="1">
      <c r="F398" s="36"/>
      <c r="H398" s="37"/>
    </row>
    <row r="399" spans="6:8" s="30" customFormat="1">
      <c r="F399" s="36"/>
      <c r="H399" s="37"/>
    </row>
    <row r="400" spans="6:8" s="30" customFormat="1">
      <c r="F400" s="36"/>
      <c r="H400" s="37"/>
    </row>
    <row r="401" spans="6:8" s="30" customFormat="1">
      <c r="F401" s="36"/>
      <c r="H401" s="37"/>
    </row>
    <row r="402" spans="6:8" s="30" customFormat="1">
      <c r="F402" s="36"/>
      <c r="H402" s="37"/>
    </row>
    <row r="403" spans="6:8" s="30" customFormat="1">
      <c r="F403" s="36"/>
      <c r="H403" s="37"/>
    </row>
    <row r="404" spans="6:8" s="30" customFormat="1">
      <c r="F404" s="36"/>
      <c r="H404" s="37"/>
    </row>
    <row r="405" spans="6:8" s="30" customFormat="1">
      <c r="F405" s="36"/>
      <c r="H405" s="37"/>
    </row>
    <row r="406" spans="6:8" s="30" customFormat="1">
      <c r="F406" s="36"/>
      <c r="H406" s="37"/>
    </row>
    <row r="407" spans="6:8" s="30" customFormat="1">
      <c r="F407" s="36"/>
      <c r="H407" s="37"/>
    </row>
    <row r="408" spans="6:8" s="30" customFormat="1">
      <c r="F408" s="36"/>
      <c r="H408" s="37"/>
    </row>
    <row r="409" spans="6:8" s="30" customFormat="1">
      <c r="F409" s="36"/>
      <c r="H409" s="37"/>
    </row>
    <row r="410" spans="6:8" s="30" customFormat="1">
      <c r="F410" s="36"/>
      <c r="H410" s="37"/>
    </row>
    <row r="411" spans="6:8" s="30" customFormat="1">
      <c r="F411" s="36"/>
      <c r="H411" s="37"/>
    </row>
    <row r="412" spans="6:8" s="30" customFormat="1">
      <c r="F412" s="36"/>
      <c r="H412" s="37"/>
    </row>
    <row r="413" spans="6:8" s="30" customFormat="1">
      <c r="F413" s="36"/>
      <c r="H413" s="37"/>
    </row>
    <row r="414" spans="6:8" s="30" customFormat="1">
      <c r="F414" s="36"/>
      <c r="H414" s="37"/>
    </row>
    <row r="415" spans="6:8" s="30" customFormat="1">
      <c r="F415" s="36"/>
      <c r="H415" s="37"/>
    </row>
    <row r="416" spans="6:8" s="30" customFormat="1">
      <c r="F416" s="36"/>
      <c r="H416" s="37"/>
    </row>
    <row r="417" spans="6:8" s="30" customFormat="1">
      <c r="F417" s="36"/>
      <c r="H417" s="37"/>
    </row>
    <row r="418" spans="6:8" s="30" customFormat="1">
      <c r="F418" s="36"/>
      <c r="H418" s="37"/>
    </row>
    <row r="419" spans="6:8" s="30" customFormat="1">
      <c r="F419" s="36"/>
      <c r="H419" s="37"/>
    </row>
    <row r="420" spans="6:8" s="30" customFormat="1">
      <c r="F420" s="36"/>
      <c r="H420" s="37"/>
    </row>
    <row r="421" spans="6:8" s="30" customFormat="1">
      <c r="F421" s="36"/>
      <c r="H421" s="37"/>
    </row>
    <row r="422" spans="6:8" s="30" customFormat="1">
      <c r="F422" s="36"/>
      <c r="H422" s="37"/>
    </row>
    <row r="423" spans="6:8" s="30" customFormat="1">
      <c r="F423" s="36"/>
      <c r="H423" s="37"/>
    </row>
    <row r="424" spans="6:8" s="30" customFormat="1">
      <c r="F424" s="36"/>
      <c r="H424" s="37"/>
    </row>
    <row r="425" spans="6:8" s="30" customFormat="1">
      <c r="F425" s="36"/>
      <c r="H425" s="37"/>
    </row>
    <row r="426" spans="6:8" s="30" customFormat="1">
      <c r="F426" s="36"/>
      <c r="H426" s="37"/>
    </row>
    <row r="427" spans="6:8" s="30" customFormat="1">
      <c r="F427" s="36"/>
      <c r="H427" s="37"/>
    </row>
    <row r="428" spans="6:8" s="30" customFormat="1">
      <c r="F428" s="36"/>
      <c r="H428" s="37"/>
    </row>
    <row r="429" spans="6:8" s="30" customFormat="1">
      <c r="F429" s="36"/>
      <c r="H429" s="37"/>
    </row>
    <row r="430" spans="6:8" s="30" customFormat="1">
      <c r="F430" s="36"/>
      <c r="H430" s="37"/>
    </row>
    <row r="431" spans="6:8" s="30" customFormat="1">
      <c r="F431" s="36"/>
      <c r="H431" s="37"/>
    </row>
    <row r="432" spans="6:8" s="30" customFormat="1">
      <c r="F432" s="36"/>
      <c r="H432" s="37"/>
    </row>
    <row r="433" spans="6:8" s="30" customFormat="1">
      <c r="F433" s="36"/>
      <c r="H433" s="37"/>
    </row>
    <row r="434" spans="6:8" s="30" customFormat="1">
      <c r="F434" s="36"/>
      <c r="H434" s="37"/>
    </row>
    <row r="435" spans="6:8" s="30" customFormat="1">
      <c r="F435" s="36"/>
      <c r="H435" s="37"/>
    </row>
    <row r="436" spans="6:8" s="30" customFormat="1">
      <c r="F436" s="36"/>
      <c r="H436" s="37"/>
    </row>
    <row r="437" spans="6:8" s="30" customFormat="1">
      <c r="F437" s="36"/>
      <c r="H437" s="37"/>
    </row>
    <row r="438" spans="6:8" s="30" customFormat="1">
      <c r="F438" s="36"/>
      <c r="H438" s="37"/>
    </row>
    <row r="439" spans="6:8" s="30" customFormat="1">
      <c r="F439" s="36"/>
      <c r="H439" s="37"/>
    </row>
    <row r="440" spans="6:8" s="30" customFormat="1">
      <c r="F440" s="36"/>
      <c r="H440" s="37"/>
    </row>
    <row r="441" spans="6:8" s="30" customFormat="1">
      <c r="F441" s="36"/>
      <c r="H441" s="37"/>
    </row>
    <row r="442" spans="6:8" s="30" customFormat="1">
      <c r="F442" s="36"/>
      <c r="H442" s="37"/>
    </row>
    <row r="443" spans="6:8" s="30" customFormat="1">
      <c r="F443" s="36"/>
      <c r="H443" s="37"/>
    </row>
    <row r="444" spans="6:8" s="30" customFormat="1">
      <c r="F444" s="36"/>
      <c r="H444" s="37"/>
    </row>
    <row r="445" spans="6:8" s="30" customFormat="1">
      <c r="F445" s="36"/>
      <c r="H445" s="37"/>
    </row>
    <row r="446" spans="6:8" s="30" customFormat="1">
      <c r="F446" s="36"/>
      <c r="H446" s="37"/>
    </row>
    <row r="447" spans="6:8" s="30" customFormat="1">
      <c r="F447" s="36"/>
      <c r="H447" s="37"/>
    </row>
    <row r="448" spans="6:8" s="30" customFormat="1">
      <c r="F448" s="36"/>
      <c r="H448" s="37"/>
    </row>
    <row r="449" spans="6:8" s="30" customFormat="1">
      <c r="F449" s="36"/>
      <c r="H449" s="37"/>
    </row>
    <row r="450" spans="6:8" s="30" customFormat="1">
      <c r="F450" s="36"/>
      <c r="H450" s="37"/>
    </row>
    <row r="451" spans="6:8" s="30" customFormat="1">
      <c r="F451" s="36"/>
      <c r="H451" s="37"/>
    </row>
    <row r="452" spans="6:8" s="30" customFormat="1">
      <c r="F452" s="36"/>
      <c r="H452" s="37"/>
    </row>
    <row r="453" spans="6:8" s="30" customFormat="1">
      <c r="F453" s="36"/>
      <c r="H453" s="37"/>
    </row>
    <row r="454" spans="6:8" s="30" customFormat="1">
      <c r="F454" s="36"/>
      <c r="H454" s="37"/>
    </row>
    <row r="455" spans="6:8" s="30" customFormat="1">
      <c r="F455" s="36"/>
      <c r="H455" s="37"/>
    </row>
    <row r="456" spans="6:8" s="30" customFormat="1">
      <c r="F456" s="36"/>
      <c r="H456" s="37"/>
    </row>
    <row r="457" spans="6:8" s="30" customFormat="1">
      <c r="F457" s="36"/>
      <c r="H457" s="37"/>
    </row>
    <row r="458" spans="6:8" s="30" customFormat="1">
      <c r="F458" s="36"/>
      <c r="H458" s="37"/>
    </row>
    <row r="459" spans="6:8" s="30" customFormat="1">
      <c r="F459" s="36"/>
      <c r="H459" s="37"/>
    </row>
    <row r="460" spans="6:8" s="30" customFormat="1">
      <c r="F460" s="36"/>
      <c r="H460" s="37"/>
    </row>
    <row r="461" spans="6:8" s="30" customFormat="1">
      <c r="F461" s="36"/>
      <c r="H461" s="37"/>
    </row>
    <row r="462" spans="6:8" s="30" customFormat="1">
      <c r="F462" s="36"/>
      <c r="H462" s="37"/>
    </row>
    <row r="463" spans="6:8" s="30" customFormat="1">
      <c r="F463" s="36"/>
      <c r="H463" s="37"/>
    </row>
    <row r="464" spans="6:8" s="30" customFormat="1">
      <c r="F464" s="36"/>
      <c r="H464" s="37"/>
    </row>
    <row r="465" spans="6:8" s="30" customFormat="1">
      <c r="F465" s="36"/>
      <c r="H465" s="37"/>
    </row>
    <row r="466" spans="6:8" s="30" customFormat="1">
      <c r="F466" s="36"/>
      <c r="H466" s="37"/>
    </row>
    <row r="467" spans="6:8" s="30" customFormat="1">
      <c r="F467" s="36"/>
      <c r="H467" s="37"/>
    </row>
    <row r="468" spans="6:8" s="30" customFormat="1">
      <c r="F468" s="36"/>
      <c r="H468" s="37"/>
    </row>
    <row r="469" spans="6:8" s="30" customFormat="1">
      <c r="F469" s="36"/>
      <c r="H469" s="37"/>
    </row>
    <row r="470" spans="6:8" s="30" customFormat="1">
      <c r="F470" s="36"/>
      <c r="H470" s="37"/>
    </row>
    <row r="471" spans="6:8" s="30" customFormat="1">
      <c r="F471" s="36"/>
      <c r="H471" s="37"/>
    </row>
    <row r="472" spans="6:8" s="30" customFormat="1">
      <c r="F472" s="36"/>
      <c r="H472" s="37"/>
    </row>
    <row r="473" spans="6:8" s="30" customFormat="1">
      <c r="F473" s="36"/>
      <c r="H473" s="37"/>
    </row>
    <row r="474" spans="6:8" s="30" customFormat="1">
      <c r="F474" s="36"/>
      <c r="H474" s="37"/>
    </row>
    <row r="475" spans="6:8" s="30" customFormat="1">
      <c r="F475" s="36"/>
      <c r="H475" s="37"/>
    </row>
    <row r="476" spans="6:8" s="30" customFormat="1">
      <c r="F476" s="36"/>
      <c r="H476" s="37"/>
    </row>
    <row r="477" spans="6:8" s="30" customFormat="1">
      <c r="F477" s="36"/>
      <c r="H477" s="37"/>
    </row>
    <row r="478" spans="6:8" s="30" customFormat="1">
      <c r="F478" s="36"/>
      <c r="H478" s="37"/>
    </row>
    <row r="479" spans="6:8" s="30" customFormat="1">
      <c r="F479" s="36"/>
      <c r="H479" s="37"/>
    </row>
    <row r="480" spans="6:8" s="30" customFormat="1">
      <c r="F480" s="36"/>
      <c r="H480" s="37"/>
    </row>
    <row r="481" spans="6:8" s="30" customFormat="1">
      <c r="F481" s="36"/>
      <c r="H481" s="37"/>
    </row>
    <row r="482" spans="6:8" s="30" customFormat="1">
      <c r="F482" s="36"/>
      <c r="H482" s="37"/>
    </row>
    <row r="483" spans="6:8" s="30" customFormat="1">
      <c r="F483" s="36"/>
      <c r="H483" s="37"/>
    </row>
    <row r="484" spans="6:8" s="30" customFormat="1">
      <c r="F484" s="36"/>
      <c r="H484" s="37"/>
    </row>
    <row r="485" spans="6:8" s="30" customFormat="1">
      <c r="F485" s="36"/>
      <c r="H485" s="37"/>
    </row>
    <row r="486" spans="6:8" s="30" customFormat="1">
      <c r="F486" s="36"/>
      <c r="H486" s="37"/>
    </row>
    <row r="487" spans="6:8" s="30" customFormat="1">
      <c r="F487" s="36"/>
      <c r="H487" s="37"/>
    </row>
    <row r="488" spans="6:8" s="30" customFormat="1">
      <c r="F488" s="36"/>
      <c r="H488" s="37"/>
    </row>
    <row r="489" spans="6:8" s="30" customFormat="1">
      <c r="F489" s="36"/>
      <c r="H489" s="37"/>
    </row>
    <row r="490" spans="6:8" s="30" customFormat="1">
      <c r="F490" s="36"/>
      <c r="H490" s="37"/>
    </row>
    <row r="491" spans="6:8" s="30" customFormat="1">
      <c r="F491" s="36"/>
      <c r="H491" s="37"/>
    </row>
    <row r="492" spans="6:8" s="30" customFormat="1">
      <c r="F492" s="36"/>
      <c r="H492" s="37"/>
    </row>
    <row r="493" spans="6:8" s="30" customFormat="1">
      <c r="F493" s="36"/>
      <c r="H493" s="37"/>
    </row>
    <row r="494" spans="6:8" s="30" customFormat="1">
      <c r="F494" s="36"/>
      <c r="H494" s="37"/>
    </row>
    <row r="495" spans="6:8" s="30" customFormat="1">
      <c r="F495" s="36"/>
      <c r="H495" s="37"/>
    </row>
    <row r="496" spans="6:8" s="30" customFormat="1">
      <c r="F496" s="36"/>
      <c r="H496" s="37"/>
    </row>
    <row r="497" spans="6:8" s="30" customFormat="1">
      <c r="F497" s="36"/>
      <c r="H497" s="37"/>
    </row>
    <row r="498" spans="6:8" s="30" customFormat="1">
      <c r="F498" s="36"/>
      <c r="H498" s="37"/>
    </row>
    <row r="499" spans="6:8" s="30" customFormat="1">
      <c r="F499" s="36"/>
      <c r="H499" s="37"/>
    </row>
    <row r="500" spans="6:8" s="30" customFormat="1">
      <c r="F500" s="36"/>
      <c r="H500" s="37"/>
    </row>
    <row r="501" spans="6:8" s="30" customFormat="1">
      <c r="F501" s="36"/>
      <c r="H501" s="37"/>
    </row>
    <row r="502" spans="6:8" s="30" customFormat="1">
      <c r="F502" s="36"/>
      <c r="H502" s="37"/>
    </row>
    <row r="503" spans="6:8" s="30" customFormat="1">
      <c r="F503" s="36"/>
      <c r="H503" s="37"/>
    </row>
    <row r="504" spans="6:8" s="30" customFormat="1">
      <c r="F504" s="36"/>
      <c r="H504" s="37"/>
    </row>
    <row r="505" spans="6:8" s="30" customFormat="1">
      <c r="F505" s="36"/>
      <c r="H505" s="37"/>
    </row>
    <row r="506" spans="6:8" s="30" customFormat="1">
      <c r="F506" s="36"/>
      <c r="H506" s="37"/>
    </row>
    <row r="507" spans="6:8" s="30" customFormat="1">
      <c r="F507" s="36"/>
      <c r="H507" s="37"/>
    </row>
    <row r="508" spans="6:8" s="30" customFormat="1">
      <c r="F508" s="36"/>
      <c r="H508" s="37"/>
    </row>
    <row r="509" spans="6:8" s="30" customFormat="1">
      <c r="F509" s="36"/>
      <c r="H509" s="37"/>
    </row>
    <row r="510" spans="6:8" s="30" customFormat="1">
      <c r="F510" s="36"/>
      <c r="H510" s="37"/>
    </row>
    <row r="511" spans="6:8" s="30" customFormat="1">
      <c r="F511" s="36"/>
      <c r="H511" s="37"/>
    </row>
    <row r="512" spans="6:8" s="30" customFormat="1">
      <c r="F512" s="36"/>
      <c r="H512" s="37"/>
    </row>
    <row r="513" spans="6:8" s="30" customFormat="1">
      <c r="F513" s="36"/>
      <c r="H513" s="37"/>
    </row>
    <row r="514" spans="6:8" s="30" customFormat="1">
      <c r="F514" s="36"/>
      <c r="H514" s="37"/>
    </row>
    <row r="515" spans="6:8" s="30" customFormat="1">
      <c r="F515" s="36"/>
      <c r="H515" s="37"/>
    </row>
    <row r="516" spans="6:8" s="30" customFormat="1">
      <c r="F516" s="36"/>
      <c r="H516" s="37"/>
    </row>
    <row r="517" spans="6:8" s="30" customFormat="1">
      <c r="F517" s="36"/>
      <c r="H517" s="37"/>
    </row>
    <row r="518" spans="6:8" s="30" customFormat="1">
      <c r="F518" s="36"/>
      <c r="H518" s="37"/>
    </row>
    <row r="519" spans="6:8" s="30" customFormat="1">
      <c r="F519" s="36"/>
      <c r="H519" s="37"/>
    </row>
    <row r="520" spans="6:8" s="30" customFormat="1">
      <c r="F520" s="36"/>
      <c r="H520" s="37"/>
    </row>
    <row r="521" spans="6:8" s="30" customFormat="1">
      <c r="F521" s="36"/>
      <c r="H521" s="37"/>
    </row>
    <row r="522" spans="6:8" s="30" customFormat="1">
      <c r="F522" s="36"/>
      <c r="H522" s="37"/>
    </row>
    <row r="523" spans="6:8" s="30" customFormat="1">
      <c r="F523" s="36"/>
      <c r="H523" s="37"/>
    </row>
    <row r="524" spans="6:8" s="30" customFormat="1">
      <c r="F524" s="36"/>
      <c r="H524" s="37"/>
    </row>
    <row r="525" spans="6:8" s="30" customFormat="1">
      <c r="F525" s="36"/>
      <c r="H525" s="37"/>
    </row>
    <row r="526" spans="6:8" s="30" customFormat="1">
      <c r="F526" s="36"/>
      <c r="H526" s="37"/>
    </row>
    <row r="527" spans="6:8" s="30" customFormat="1">
      <c r="F527" s="36"/>
      <c r="H527" s="37"/>
    </row>
    <row r="528" spans="6:8" s="30" customFormat="1">
      <c r="F528" s="36"/>
      <c r="H528" s="37"/>
    </row>
    <row r="529" spans="6:8" s="30" customFormat="1">
      <c r="F529" s="36"/>
      <c r="H529" s="37"/>
    </row>
    <row r="530" spans="6:8" s="30" customFormat="1">
      <c r="F530" s="36"/>
      <c r="H530" s="37"/>
    </row>
    <row r="531" spans="6:8" s="30" customFormat="1">
      <c r="F531" s="36"/>
      <c r="H531" s="37"/>
    </row>
    <row r="532" spans="6:8" s="30" customFormat="1">
      <c r="F532" s="36"/>
      <c r="H532" s="37"/>
    </row>
    <row r="533" spans="6:8" s="30" customFormat="1">
      <c r="F533" s="36"/>
      <c r="H533" s="37"/>
    </row>
    <row r="534" spans="6:8" s="30" customFormat="1">
      <c r="F534" s="36"/>
      <c r="H534" s="37"/>
    </row>
    <row r="535" spans="6:8" s="30" customFormat="1">
      <c r="F535" s="36"/>
      <c r="H535" s="37"/>
    </row>
    <row r="536" spans="6:8" s="30" customFormat="1">
      <c r="F536" s="36"/>
      <c r="H536" s="37"/>
    </row>
    <row r="537" spans="6:8" s="30" customFormat="1">
      <c r="F537" s="36"/>
      <c r="H537" s="37"/>
    </row>
    <row r="538" spans="6:8" s="30" customFormat="1">
      <c r="F538" s="36"/>
      <c r="H538" s="37"/>
    </row>
    <row r="539" spans="6:8" s="30" customFormat="1">
      <c r="F539" s="36"/>
      <c r="H539" s="37"/>
    </row>
    <row r="540" spans="6:8" s="30" customFormat="1">
      <c r="F540" s="36"/>
      <c r="H540" s="37"/>
    </row>
    <row r="541" spans="6:8" s="30" customFormat="1">
      <c r="F541" s="36"/>
      <c r="H541" s="37"/>
    </row>
    <row r="542" spans="6:8" s="30" customFormat="1">
      <c r="F542" s="36"/>
      <c r="H542" s="37"/>
    </row>
    <row r="543" spans="6:8" s="30" customFormat="1">
      <c r="F543" s="36"/>
      <c r="H543" s="37"/>
    </row>
    <row r="544" spans="6:8" s="30" customFormat="1">
      <c r="F544" s="36"/>
      <c r="H544" s="37"/>
    </row>
    <row r="545" spans="6:8" s="30" customFormat="1">
      <c r="F545" s="36"/>
      <c r="H545" s="37"/>
    </row>
    <row r="546" spans="6:8" s="30" customFormat="1">
      <c r="F546" s="36"/>
      <c r="H546" s="37"/>
    </row>
    <row r="547" spans="6:8" s="30" customFormat="1">
      <c r="F547" s="36"/>
      <c r="H547" s="37"/>
    </row>
    <row r="548" spans="6:8" s="30" customFormat="1">
      <c r="F548" s="36"/>
      <c r="H548" s="37"/>
    </row>
    <row r="549" spans="6:8" s="30" customFormat="1">
      <c r="F549" s="36"/>
      <c r="H549" s="37"/>
    </row>
    <row r="550" spans="6:8" s="30" customFormat="1">
      <c r="F550" s="36"/>
      <c r="H550" s="37"/>
    </row>
    <row r="551" spans="6:8" s="30" customFormat="1">
      <c r="F551" s="36"/>
      <c r="H551" s="37"/>
    </row>
    <row r="552" spans="6:8" s="30" customFormat="1">
      <c r="F552" s="36"/>
      <c r="H552" s="37"/>
    </row>
    <row r="553" spans="6:8" s="30" customFormat="1">
      <c r="F553" s="36"/>
      <c r="H553" s="37"/>
    </row>
    <row r="554" spans="6:8" s="30" customFormat="1">
      <c r="F554" s="36"/>
      <c r="H554" s="37"/>
    </row>
    <row r="555" spans="6:8" s="30" customFormat="1">
      <c r="F555" s="36"/>
      <c r="H555" s="37"/>
    </row>
    <row r="556" spans="6:8" s="30" customFormat="1">
      <c r="F556" s="36"/>
      <c r="H556" s="37"/>
    </row>
    <row r="557" spans="6:8" s="30" customFormat="1">
      <c r="F557" s="36"/>
      <c r="H557" s="37"/>
    </row>
    <row r="558" spans="6:8" s="30" customFormat="1">
      <c r="F558" s="36"/>
      <c r="H558" s="37"/>
    </row>
    <row r="559" spans="6:8" s="30" customFormat="1">
      <c r="F559" s="36"/>
      <c r="H559" s="37"/>
    </row>
    <row r="560" spans="6:8" s="30" customFormat="1">
      <c r="F560" s="36"/>
      <c r="H560" s="37"/>
    </row>
    <row r="561" spans="6:8" s="30" customFormat="1">
      <c r="F561" s="36"/>
      <c r="H561" s="37"/>
    </row>
    <row r="562" spans="6:8" s="30" customFormat="1">
      <c r="F562" s="36"/>
      <c r="H562" s="37"/>
    </row>
    <row r="563" spans="6:8" s="30" customFormat="1">
      <c r="F563" s="36"/>
      <c r="H563" s="37"/>
    </row>
    <row r="564" spans="6:8" s="30" customFormat="1">
      <c r="F564" s="36"/>
      <c r="H564" s="37"/>
    </row>
    <row r="565" spans="6:8" s="30" customFormat="1">
      <c r="F565" s="36"/>
      <c r="H565" s="37"/>
    </row>
    <row r="566" spans="6:8" s="30" customFormat="1">
      <c r="F566" s="36"/>
      <c r="H566" s="37"/>
    </row>
    <row r="567" spans="6:8" s="30" customFormat="1">
      <c r="F567" s="36"/>
      <c r="H567" s="37"/>
    </row>
    <row r="568" spans="6:8" s="30" customFormat="1">
      <c r="F568" s="36"/>
      <c r="H568" s="37"/>
    </row>
    <row r="569" spans="6:8" s="30" customFormat="1">
      <c r="F569" s="36"/>
      <c r="H569" s="37"/>
    </row>
    <row r="570" spans="6:8" s="30" customFormat="1">
      <c r="F570" s="36"/>
      <c r="H570" s="37"/>
    </row>
    <row r="571" spans="6:8" s="30" customFormat="1">
      <c r="F571" s="36"/>
      <c r="H571" s="37"/>
    </row>
    <row r="572" spans="6:8" s="30" customFormat="1">
      <c r="F572" s="36"/>
      <c r="H572" s="37"/>
    </row>
    <row r="573" spans="6:8" s="30" customFormat="1">
      <c r="F573" s="36"/>
      <c r="H573" s="37"/>
    </row>
    <row r="574" spans="6:8" s="30" customFormat="1">
      <c r="F574" s="36"/>
      <c r="H574" s="37"/>
    </row>
    <row r="575" spans="6:8" s="30" customFormat="1">
      <c r="F575" s="36"/>
      <c r="H575" s="37"/>
    </row>
    <row r="576" spans="6:8" s="30" customFormat="1">
      <c r="F576" s="36"/>
      <c r="H576" s="37"/>
    </row>
    <row r="577" spans="6:8" s="30" customFormat="1">
      <c r="F577" s="36"/>
      <c r="H577" s="37"/>
    </row>
    <row r="578" spans="6:8" s="30" customFormat="1">
      <c r="F578" s="36"/>
      <c r="H578" s="37"/>
    </row>
    <row r="579" spans="6:8" s="30" customFormat="1">
      <c r="F579" s="36"/>
      <c r="H579" s="37"/>
    </row>
    <row r="580" spans="6:8" s="30" customFormat="1">
      <c r="F580" s="36"/>
      <c r="H580" s="37"/>
    </row>
    <row r="581" spans="6:8" s="30" customFormat="1">
      <c r="F581" s="36"/>
      <c r="H581" s="37"/>
    </row>
    <row r="582" spans="6:8" s="30" customFormat="1">
      <c r="F582" s="36"/>
      <c r="H582" s="37"/>
    </row>
    <row r="583" spans="6:8" s="30" customFormat="1">
      <c r="F583" s="36"/>
      <c r="H583" s="37"/>
    </row>
    <row r="584" spans="6:8" s="30" customFormat="1">
      <c r="F584" s="36"/>
      <c r="H584" s="37"/>
    </row>
    <row r="585" spans="6:8" s="30" customFormat="1">
      <c r="F585" s="36"/>
      <c r="H585" s="37"/>
    </row>
    <row r="586" spans="6:8" s="30" customFormat="1">
      <c r="F586" s="36"/>
      <c r="H586" s="37"/>
    </row>
    <row r="587" spans="6:8" s="30" customFormat="1">
      <c r="F587" s="36"/>
      <c r="H587" s="37"/>
    </row>
    <row r="588" spans="6:8" s="30" customFormat="1">
      <c r="F588" s="36"/>
      <c r="H588" s="37"/>
    </row>
    <row r="589" spans="6:8" s="30" customFormat="1">
      <c r="F589" s="36"/>
      <c r="H589" s="37"/>
    </row>
    <row r="590" spans="6:8" s="30" customFormat="1">
      <c r="F590" s="36"/>
      <c r="H590" s="37"/>
    </row>
    <row r="591" spans="6:8" s="30" customFormat="1">
      <c r="F591" s="36"/>
      <c r="H591" s="37"/>
    </row>
    <row r="592" spans="6:8" s="30" customFormat="1">
      <c r="F592" s="36"/>
      <c r="H592" s="37"/>
    </row>
    <row r="593" spans="6:8" s="30" customFormat="1">
      <c r="F593" s="36"/>
      <c r="H593" s="37"/>
    </row>
    <row r="594" spans="6:8" s="30" customFormat="1">
      <c r="F594" s="36"/>
      <c r="H594" s="37"/>
    </row>
    <row r="595" spans="6:8" s="30" customFormat="1">
      <c r="F595" s="36"/>
      <c r="H595" s="37"/>
    </row>
    <row r="596" spans="6:8" s="30" customFormat="1">
      <c r="F596" s="36"/>
      <c r="H596" s="37"/>
    </row>
    <row r="597" spans="6:8" s="30" customFormat="1">
      <c r="F597" s="36"/>
      <c r="H597" s="37"/>
    </row>
    <row r="598" spans="6:8" s="30" customFormat="1">
      <c r="F598" s="36"/>
      <c r="H598" s="37"/>
    </row>
    <row r="599" spans="6:8" s="30" customFormat="1">
      <c r="F599" s="36"/>
      <c r="H599" s="37"/>
    </row>
    <row r="600" spans="6:8" s="30" customFormat="1">
      <c r="F600" s="36"/>
      <c r="H600" s="37"/>
    </row>
    <row r="601" spans="6:8" s="30" customFormat="1">
      <c r="F601" s="36"/>
      <c r="H601" s="37"/>
    </row>
    <row r="602" spans="6:8" s="30" customFormat="1">
      <c r="F602" s="36"/>
      <c r="H602" s="37"/>
    </row>
    <row r="603" spans="6:8" s="30" customFormat="1">
      <c r="F603" s="36"/>
      <c r="H603" s="37"/>
    </row>
    <row r="604" spans="6:8" s="30" customFormat="1">
      <c r="F604" s="36"/>
      <c r="H604" s="37"/>
    </row>
    <row r="605" spans="6:8" s="30" customFormat="1">
      <c r="F605" s="36"/>
      <c r="H605" s="37"/>
    </row>
    <row r="606" spans="6:8" s="30" customFormat="1">
      <c r="F606" s="36"/>
      <c r="H606" s="37"/>
    </row>
    <row r="607" spans="6:8" s="30" customFormat="1">
      <c r="F607" s="36"/>
      <c r="H607" s="37"/>
    </row>
    <row r="608" spans="6:8" s="30" customFormat="1">
      <c r="F608" s="36"/>
      <c r="H608" s="37"/>
    </row>
    <row r="609" spans="6:8" s="30" customFormat="1">
      <c r="F609" s="36"/>
      <c r="H609" s="37"/>
    </row>
    <row r="610" spans="6:8" s="30" customFormat="1">
      <c r="F610" s="36"/>
      <c r="H610" s="37"/>
    </row>
    <row r="611" spans="6:8" s="30" customFormat="1">
      <c r="F611" s="36"/>
      <c r="H611" s="37"/>
    </row>
    <row r="612" spans="6:8" s="30" customFormat="1">
      <c r="F612" s="36"/>
      <c r="H612" s="37"/>
    </row>
    <row r="613" spans="6:8" s="30" customFormat="1">
      <c r="F613" s="36"/>
      <c r="H613" s="37"/>
    </row>
    <row r="614" spans="6:8" s="30" customFormat="1">
      <c r="F614" s="36"/>
      <c r="H614" s="37"/>
    </row>
    <row r="615" spans="6:8" s="30" customFormat="1">
      <c r="F615" s="36"/>
      <c r="H615" s="37"/>
    </row>
    <row r="616" spans="6:8" s="30" customFormat="1">
      <c r="F616" s="36"/>
      <c r="H616" s="37"/>
    </row>
    <row r="617" spans="6:8" s="30" customFormat="1">
      <c r="F617" s="36"/>
      <c r="H617" s="37"/>
    </row>
    <row r="618" spans="6:8" s="30" customFormat="1">
      <c r="F618" s="36"/>
      <c r="H618" s="37"/>
    </row>
    <row r="619" spans="6:8" s="30" customFormat="1">
      <c r="F619" s="36"/>
      <c r="H619" s="37"/>
    </row>
    <row r="620" spans="6:8" s="30" customFormat="1">
      <c r="F620" s="36"/>
      <c r="H620" s="37"/>
    </row>
    <row r="621" spans="6:8" s="30" customFormat="1">
      <c r="F621" s="36"/>
      <c r="H621" s="37"/>
    </row>
    <row r="622" spans="6:8" s="30" customFormat="1">
      <c r="F622" s="36"/>
      <c r="H622" s="37"/>
    </row>
    <row r="623" spans="6:8" s="30" customFormat="1">
      <c r="F623" s="36"/>
      <c r="H623" s="37"/>
    </row>
    <row r="624" spans="6:8" s="30" customFormat="1">
      <c r="F624" s="36"/>
      <c r="H624" s="37"/>
    </row>
    <row r="625" spans="6:8" s="30" customFormat="1">
      <c r="F625" s="36"/>
      <c r="H625" s="37"/>
    </row>
    <row r="626" spans="6:8" s="30" customFormat="1">
      <c r="F626" s="36"/>
      <c r="H626" s="37"/>
    </row>
    <row r="627" spans="6:8" s="30" customFormat="1">
      <c r="F627" s="36"/>
      <c r="H627" s="37"/>
    </row>
    <row r="628" spans="6:8" s="30" customFormat="1">
      <c r="F628" s="36"/>
      <c r="H628" s="37"/>
    </row>
    <row r="629" spans="6:8" s="30" customFormat="1">
      <c r="F629" s="36"/>
      <c r="H629" s="37"/>
    </row>
    <row r="630" spans="6:8" s="30" customFormat="1">
      <c r="F630" s="36"/>
      <c r="H630" s="37"/>
    </row>
    <row r="631" spans="6:8" s="30" customFormat="1">
      <c r="F631" s="36"/>
      <c r="H631" s="37"/>
    </row>
    <row r="632" spans="6:8" s="30" customFormat="1">
      <c r="F632" s="36"/>
      <c r="H632" s="37"/>
    </row>
    <row r="633" spans="6:8" s="30" customFormat="1">
      <c r="F633" s="36"/>
      <c r="H633" s="37"/>
    </row>
    <row r="634" spans="6:8" s="30" customFormat="1">
      <c r="F634" s="36"/>
      <c r="H634" s="37"/>
    </row>
    <row r="635" spans="6:8" s="30" customFormat="1">
      <c r="F635" s="36"/>
      <c r="H635" s="37"/>
    </row>
    <row r="636" spans="6:8" s="30" customFormat="1">
      <c r="F636" s="36"/>
      <c r="H636" s="37"/>
    </row>
    <row r="637" spans="6:8" s="30" customFormat="1">
      <c r="F637" s="36"/>
      <c r="H637" s="37"/>
    </row>
    <row r="638" spans="6:8" s="30" customFormat="1">
      <c r="F638" s="36"/>
      <c r="H638" s="37"/>
    </row>
    <row r="639" spans="6:8" s="30" customFormat="1">
      <c r="F639" s="36"/>
      <c r="H639" s="37"/>
    </row>
    <row r="640" spans="6:8" s="30" customFormat="1">
      <c r="F640" s="36"/>
      <c r="H640" s="37"/>
    </row>
    <row r="641" spans="6:8" s="30" customFormat="1">
      <c r="F641" s="36"/>
      <c r="H641" s="37"/>
    </row>
    <row r="642" spans="6:8" s="30" customFormat="1">
      <c r="F642" s="36"/>
      <c r="H642" s="37"/>
    </row>
    <row r="643" spans="6:8" s="30" customFormat="1">
      <c r="F643" s="36"/>
      <c r="H643" s="37"/>
    </row>
    <row r="644" spans="6:8" s="30" customFormat="1">
      <c r="F644" s="36"/>
      <c r="H644" s="37"/>
    </row>
    <row r="645" spans="6:8" s="30" customFormat="1">
      <c r="F645" s="36"/>
      <c r="H645" s="37"/>
    </row>
    <row r="646" spans="6:8" s="30" customFormat="1">
      <c r="F646" s="36"/>
      <c r="H646" s="37"/>
    </row>
    <row r="647" spans="6:8" s="30" customFormat="1">
      <c r="F647" s="36"/>
      <c r="H647" s="37"/>
    </row>
    <row r="648" spans="6:8" s="30" customFormat="1">
      <c r="F648" s="36"/>
      <c r="H648" s="37"/>
    </row>
    <row r="649" spans="6:8" s="30" customFormat="1">
      <c r="F649" s="36"/>
      <c r="H649" s="37"/>
    </row>
    <row r="650" spans="6:8" s="30" customFormat="1">
      <c r="F650" s="36"/>
      <c r="H650" s="37"/>
    </row>
    <row r="651" spans="6:8" s="30" customFormat="1">
      <c r="F651" s="36"/>
      <c r="H651" s="37"/>
    </row>
    <row r="652" spans="6:8" s="30" customFormat="1">
      <c r="F652" s="36"/>
      <c r="H652" s="37"/>
    </row>
    <row r="653" spans="6:8" s="30" customFormat="1">
      <c r="F653" s="36"/>
      <c r="H653" s="37"/>
    </row>
    <row r="654" spans="6:8" s="30" customFormat="1">
      <c r="F654" s="36"/>
      <c r="H654" s="37"/>
    </row>
    <row r="655" spans="6:8" s="30" customFormat="1">
      <c r="F655" s="36"/>
      <c r="H655" s="37"/>
    </row>
    <row r="656" spans="6:8" s="30" customFormat="1">
      <c r="F656" s="36"/>
      <c r="H656" s="37"/>
    </row>
    <row r="657" spans="6:8" s="30" customFormat="1">
      <c r="F657" s="36"/>
      <c r="H657" s="37"/>
    </row>
    <row r="658" spans="6:8" s="30" customFormat="1">
      <c r="F658" s="36"/>
      <c r="H658" s="37"/>
    </row>
    <row r="659" spans="6:8" s="30" customFormat="1">
      <c r="F659" s="36"/>
      <c r="H659" s="37"/>
    </row>
    <row r="660" spans="6:8" s="30" customFormat="1">
      <c r="F660" s="36"/>
      <c r="H660" s="37"/>
    </row>
    <row r="661" spans="6:8" s="30" customFormat="1">
      <c r="F661" s="36"/>
      <c r="H661" s="37"/>
    </row>
    <row r="662" spans="6:8" s="30" customFormat="1">
      <c r="F662" s="36"/>
      <c r="H662" s="37"/>
    </row>
    <row r="663" spans="6:8" s="30" customFormat="1">
      <c r="F663" s="36"/>
      <c r="H663" s="37"/>
    </row>
    <row r="664" spans="6:8" s="30" customFormat="1">
      <c r="F664" s="36"/>
      <c r="H664" s="37"/>
    </row>
    <row r="665" spans="6:8" s="30" customFormat="1">
      <c r="F665" s="36"/>
      <c r="H665" s="37"/>
    </row>
    <row r="666" spans="6:8" s="30" customFormat="1">
      <c r="F666" s="36"/>
      <c r="H666" s="37"/>
    </row>
    <row r="667" spans="6:8" s="30" customFormat="1">
      <c r="F667" s="36"/>
      <c r="H667" s="37"/>
    </row>
    <row r="668" spans="6:8" s="30" customFormat="1">
      <c r="F668" s="36"/>
      <c r="H668" s="37"/>
    </row>
    <row r="669" spans="6:8" s="30" customFormat="1">
      <c r="F669" s="36"/>
      <c r="H669" s="37"/>
    </row>
    <row r="670" spans="6:8" s="30" customFormat="1">
      <c r="F670" s="36"/>
      <c r="H670" s="37"/>
    </row>
    <row r="671" spans="6:8" s="30" customFormat="1">
      <c r="F671" s="36"/>
      <c r="H671" s="37"/>
    </row>
    <row r="672" spans="6:8" s="30" customFormat="1">
      <c r="F672" s="36"/>
      <c r="H672" s="37"/>
    </row>
    <row r="673" spans="6:8" s="30" customFormat="1">
      <c r="F673" s="36"/>
      <c r="H673" s="37"/>
    </row>
    <row r="674" spans="6:8" s="30" customFormat="1">
      <c r="F674" s="36"/>
      <c r="H674" s="37"/>
    </row>
    <row r="675" spans="6:8" s="30" customFormat="1">
      <c r="F675" s="36"/>
      <c r="H675" s="37"/>
    </row>
    <row r="676" spans="6:8" s="30" customFormat="1">
      <c r="F676" s="36"/>
      <c r="H676" s="37"/>
    </row>
    <row r="677" spans="6:8" s="30" customFormat="1">
      <c r="F677" s="36"/>
      <c r="H677" s="37"/>
    </row>
    <row r="678" spans="6:8" s="30" customFormat="1">
      <c r="F678" s="36"/>
      <c r="H678" s="37"/>
    </row>
    <row r="679" spans="6:8" s="30" customFormat="1">
      <c r="F679" s="36"/>
      <c r="H679" s="37"/>
    </row>
    <row r="680" spans="6:8" s="30" customFormat="1">
      <c r="F680" s="36"/>
      <c r="H680" s="37"/>
    </row>
    <row r="681" spans="6:8" s="30" customFormat="1">
      <c r="F681" s="36"/>
      <c r="H681" s="37"/>
    </row>
    <row r="682" spans="6:8" s="30" customFormat="1">
      <c r="F682" s="36"/>
      <c r="H682" s="37"/>
    </row>
    <row r="683" spans="6:8" s="30" customFormat="1">
      <c r="F683" s="36"/>
      <c r="H683" s="37"/>
    </row>
    <row r="684" spans="6:8" s="30" customFormat="1">
      <c r="F684" s="36"/>
      <c r="H684" s="37"/>
    </row>
    <row r="685" spans="6:8" s="30" customFormat="1">
      <c r="F685" s="36"/>
      <c r="H685" s="37"/>
    </row>
    <row r="686" spans="6:8" s="30" customFormat="1">
      <c r="F686" s="36"/>
      <c r="H686" s="37"/>
    </row>
    <row r="687" spans="6:8" s="30" customFormat="1">
      <c r="F687" s="36"/>
      <c r="H687" s="37"/>
    </row>
    <row r="688" spans="6:8" s="30" customFormat="1">
      <c r="F688" s="36"/>
      <c r="H688" s="37"/>
    </row>
    <row r="689" spans="6:8" s="30" customFormat="1">
      <c r="F689" s="36"/>
      <c r="H689" s="37"/>
    </row>
    <row r="690" spans="6:8" s="30" customFormat="1">
      <c r="F690" s="36"/>
      <c r="H690" s="37"/>
    </row>
    <row r="691" spans="6:8" s="30" customFormat="1">
      <c r="F691" s="36"/>
      <c r="H691" s="37"/>
    </row>
    <row r="692" spans="6:8" s="30" customFormat="1">
      <c r="F692" s="36"/>
      <c r="H692" s="37"/>
    </row>
    <row r="693" spans="6:8" s="30" customFormat="1">
      <c r="F693" s="36"/>
      <c r="H693" s="37"/>
    </row>
    <row r="694" spans="6:8" s="30" customFormat="1">
      <c r="F694" s="36"/>
      <c r="H694" s="37"/>
    </row>
    <row r="695" spans="6:8" s="30" customFormat="1">
      <c r="F695" s="36"/>
      <c r="H695" s="37"/>
    </row>
    <row r="696" spans="6:8" s="30" customFormat="1">
      <c r="F696" s="36"/>
      <c r="H696" s="37"/>
    </row>
    <row r="697" spans="6:8" s="30" customFormat="1">
      <c r="F697" s="36"/>
      <c r="H697" s="37"/>
    </row>
    <row r="698" spans="6:8" s="30" customFormat="1">
      <c r="F698" s="36"/>
      <c r="H698" s="37"/>
    </row>
    <row r="699" spans="6:8" s="30" customFormat="1">
      <c r="F699" s="36"/>
      <c r="H699" s="37"/>
    </row>
    <row r="700" spans="6:8" s="30" customFormat="1">
      <c r="F700" s="36"/>
      <c r="H700" s="37"/>
    </row>
    <row r="701" spans="6:8" s="30" customFormat="1">
      <c r="F701" s="36"/>
      <c r="H701" s="37"/>
    </row>
    <row r="702" spans="6:8" s="30" customFormat="1">
      <c r="F702" s="36"/>
      <c r="H702" s="37"/>
    </row>
    <row r="703" spans="6:8" s="30" customFormat="1">
      <c r="F703" s="36"/>
      <c r="H703" s="37"/>
    </row>
    <row r="704" spans="6:8" s="30" customFormat="1">
      <c r="F704" s="36"/>
      <c r="H704" s="37"/>
    </row>
    <row r="705" spans="6:8" s="30" customFormat="1">
      <c r="F705" s="36"/>
      <c r="H705" s="37"/>
    </row>
    <row r="706" spans="6:8" s="30" customFormat="1">
      <c r="F706" s="36"/>
      <c r="H706" s="37"/>
    </row>
    <row r="707" spans="6:8" s="30" customFormat="1">
      <c r="F707" s="36"/>
      <c r="H707" s="37"/>
    </row>
    <row r="708" spans="6:8" s="30" customFormat="1">
      <c r="F708" s="36"/>
      <c r="H708" s="37"/>
    </row>
    <row r="709" spans="6:8" s="30" customFormat="1">
      <c r="F709" s="36"/>
      <c r="H709" s="37"/>
    </row>
    <row r="710" spans="6:8" s="30" customFormat="1">
      <c r="F710" s="36"/>
      <c r="H710" s="37"/>
    </row>
    <row r="711" spans="6:8" s="30" customFormat="1">
      <c r="F711" s="36"/>
      <c r="H711" s="37"/>
    </row>
    <row r="712" spans="6:8" s="30" customFormat="1">
      <c r="F712" s="36"/>
      <c r="H712" s="37"/>
    </row>
    <row r="713" spans="6:8" s="30" customFormat="1">
      <c r="F713" s="36"/>
      <c r="H713" s="37"/>
    </row>
    <row r="714" spans="6:8" s="30" customFormat="1">
      <c r="F714" s="36"/>
      <c r="H714" s="37"/>
    </row>
    <row r="715" spans="6:8" s="30" customFormat="1">
      <c r="F715" s="36"/>
      <c r="H715" s="37"/>
    </row>
    <row r="716" spans="6:8" s="30" customFormat="1">
      <c r="F716" s="36"/>
      <c r="H716" s="37"/>
    </row>
    <row r="717" spans="6:8" s="30" customFormat="1">
      <c r="F717" s="36"/>
      <c r="H717" s="37"/>
    </row>
    <row r="718" spans="6:8" s="30" customFormat="1">
      <c r="F718" s="36"/>
      <c r="H718" s="37"/>
    </row>
    <row r="719" spans="6:8" s="30" customFormat="1">
      <c r="F719" s="36"/>
      <c r="H719" s="37"/>
    </row>
    <row r="720" spans="6:8" s="30" customFormat="1">
      <c r="F720" s="36"/>
      <c r="H720" s="37"/>
    </row>
    <row r="721" spans="6:8" s="30" customFormat="1">
      <c r="F721" s="36"/>
      <c r="H721" s="37"/>
    </row>
    <row r="722" spans="6:8" s="30" customFormat="1">
      <c r="F722" s="36"/>
      <c r="H722" s="37"/>
    </row>
    <row r="723" spans="6:8" s="30" customFormat="1">
      <c r="F723" s="36"/>
      <c r="H723" s="37"/>
    </row>
    <row r="724" spans="6:8" s="30" customFormat="1">
      <c r="F724" s="36"/>
      <c r="H724" s="37"/>
    </row>
    <row r="725" spans="6:8" s="30" customFormat="1">
      <c r="F725" s="36"/>
      <c r="H725" s="37"/>
    </row>
    <row r="726" spans="6:8" s="30" customFormat="1">
      <c r="F726" s="36"/>
      <c r="H726" s="37"/>
    </row>
    <row r="727" spans="6:8" s="30" customFormat="1">
      <c r="F727" s="36"/>
      <c r="H727" s="37"/>
    </row>
    <row r="728" spans="6:8" s="30" customFormat="1">
      <c r="F728" s="36"/>
      <c r="H728" s="37"/>
    </row>
    <row r="729" spans="6:8" s="30" customFormat="1">
      <c r="F729" s="36"/>
      <c r="H729" s="37"/>
    </row>
    <row r="730" spans="6:8" s="30" customFormat="1">
      <c r="F730" s="36"/>
      <c r="H730" s="37"/>
    </row>
    <row r="731" spans="6:8" s="30" customFormat="1">
      <c r="F731" s="36"/>
      <c r="H731" s="37"/>
    </row>
    <row r="732" spans="6:8" s="30" customFormat="1">
      <c r="F732" s="36"/>
      <c r="H732" s="37"/>
    </row>
    <row r="733" spans="6:8" s="30" customFormat="1">
      <c r="F733" s="36"/>
      <c r="H733" s="37"/>
    </row>
    <row r="734" spans="6:8" s="30" customFormat="1">
      <c r="F734" s="36"/>
      <c r="H734" s="37"/>
    </row>
    <row r="735" spans="6:8" s="30" customFormat="1">
      <c r="F735" s="36"/>
      <c r="H735" s="37"/>
    </row>
    <row r="736" spans="6:8" s="30" customFormat="1">
      <c r="F736" s="36"/>
      <c r="H736" s="37"/>
    </row>
    <row r="737" spans="6:8" s="30" customFormat="1">
      <c r="F737" s="36"/>
      <c r="H737" s="37"/>
    </row>
    <row r="738" spans="6:8" s="30" customFormat="1">
      <c r="F738" s="36"/>
      <c r="H738" s="37"/>
    </row>
    <row r="739" spans="6:8" s="30" customFormat="1">
      <c r="F739" s="36"/>
      <c r="H739" s="37"/>
    </row>
    <row r="740" spans="6:8" s="30" customFormat="1">
      <c r="F740" s="36"/>
      <c r="H740" s="37"/>
    </row>
    <row r="741" spans="6:8" s="30" customFormat="1">
      <c r="F741" s="36"/>
      <c r="H741" s="37"/>
    </row>
    <row r="742" spans="6:8" s="30" customFormat="1">
      <c r="F742" s="36"/>
      <c r="H742" s="37"/>
    </row>
    <row r="743" spans="6:8" s="30" customFormat="1">
      <c r="F743" s="36"/>
      <c r="H743" s="37"/>
    </row>
    <row r="744" spans="6:8" s="30" customFormat="1">
      <c r="F744" s="36"/>
      <c r="H744" s="37"/>
    </row>
    <row r="745" spans="6:8" s="30" customFormat="1">
      <c r="F745" s="36"/>
      <c r="H745" s="37"/>
    </row>
    <row r="746" spans="6:8" s="30" customFormat="1">
      <c r="F746" s="36"/>
      <c r="H746" s="37"/>
    </row>
    <row r="747" spans="6:8" s="30" customFormat="1">
      <c r="F747" s="36"/>
      <c r="H747" s="37"/>
    </row>
    <row r="748" spans="6:8" s="30" customFormat="1">
      <c r="F748" s="36"/>
      <c r="H748" s="37"/>
    </row>
    <row r="749" spans="6:8" s="30" customFormat="1">
      <c r="F749" s="36"/>
      <c r="H749" s="37"/>
    </row>
    <row r="750" spans="6:8" s="30" customFormat="1">
      <c r="F750" s="36"/>
      <c r="H750" s="37"/>
    </row>
    <row r="751" spans="6:8" s="30" customFormat="1">
      <c r="F751" s="36"/>
      <c r="H751" s="37"/>
    </row>
    <row r="752" spans="6:8" s="30" customFormat="1">
      <c r="F752" s="36"/>
      <c r="H752" s="37"/>
    </row>
    <row r="753" spans="6:8" s="30" customFormat="1">
      <c r="F753" s="36"/>
      <c r="H753" s="37"/>
    </row>
    <row r="754" spans="6:8" s="30" customFormat="1">
      <c r="F754" s="36"/>
      <c r="H754" s="37"/>
    </row>
    <row r="755" spans="6:8" s="30" customFormat="1">
      <c r="F755" s="36"/>
      <c r="H755" s="37"/>
    </row>
    <row r="756" spans="6:8" s="30" customFormat="1">
      <c r="F756" s="36"/>
      <c r="H756" s="37"/>
    </row>
    <row r="757" spans="6:8" s="30" customFormat="1">
      <c r="F757" s="36"/>
      <c r="H757" s="37"/>
    </row>
    <row r="758" spans="6:8" s="30" customFormat="1">
      <c r="F758" s="36"/>
      <c r="H758" s="37"/>
    </row>
    <row r="759" spans="6:8" s="30" customFormat="1">
      <c r="F759" s="36"/>
      <c r="H759" s="37"/>
    </row>
    <row r="760" spans="6:8" s="30" customFormat="1">
      <c r="F760" s="36"/>
      <c r="H760" s="37"/>
    </row>
    <row r="761" spans="6:8" s="30" customFormat="1">
      <c r="F761" s="36"/>
      <c r="H761" s="37"/>
    </row>
    <row r="762" spans="6:8" s="30" customFormat="1">
      <c r="F762" s="36"/>
      <c r="H762" s="37"/>
    </row>
    <row r="763" spans="6:8" s="30" customFormat="1">
      <c r="F763" s="36"/>
      <c r="H763" s="37"/>
    </row>
    <row r="764" spans="6:8" s="30" customFormat="1">
      <c r="F764" s="36"/>
      <c r="H764" s="37"/>
    </row>
    <row r="765" spans="6:8" s="30" customFormat="1">
      <c r="F765" s="36"/>
      <c r="H765" s="37"/>
    </row>
    <row r="766" spans="6:8" s="30" customFormat="1">
      <c r="F766" s="36"/>
      <c r="H766" s="37"/>
    </row>
    <row r="767" spans="6:8" s="30" customFormat="1">
      <c r="F767" s="36"/>
      <c r="H767" s="37"/>
    </row>
    <row r="768" spans="6:8" s="30" customFormat="1">
      <c r="F768" s="36"/>
      <c r="H768" s="37"/>
    </row>
    <row r="769" spans="6:8" s="30" customFormat="1">
      <c r="F769" s="36"/>
      <c r="H769" s="37"/>
    </row>
    <row r="770" spans="6:8" s="30" customFormat="1">
      <c r="F770" s="36"/>
      <c r="H770" s="37"/>
    </row>
    <row r="771" spans="6:8" s="30" customFormat="1">
      <c r="F771" s="36"/>
      <c r="H771" s="37"/>
    </row>
    <row r="772" spans="6:8" s="30" customFormat="1">
      <c r="F772" s="36"/>
      <c r="H772" s="37"/>
    </row>
    <row r="773" spans="6:8" s="30" customFormat="1">
      <c r="F773" s="36"/>
      <c r="H773" s="37"/>
    </row>
    <row r="774" spans="6:8" s="30" customFormat="1">
      <c r="F774" s="36"/>
      <c r="H774" s="37"/>
    </row>
    <row r="775" spans="6:8" s="30" customFormat="1">
      <c r="F775" s="36"/>
      <c r="H775" s="37"/>
    </row>
    <row r="776" spans="6:8" s="30" customFormat="1">
      <c r="F776" s="36"/>
      <c r="H776" s="37"/>
    </row>
    <row r="777" spans="6:8" s="30" customFormat="1">
      <c r="F777" s="36"/>
      <c r="H777" s="37"/>
    </row>
    <row r="778" spans="6:8" s="30" customFormat="1">
      <c r="F778" s="36"/>
      <c r="H778" s="37"/>
    </row>
    <row r="779" spans="6:8" s="30" customFormat="1">
      <c r="F779" s="36"/>
      <c r="H779" s="37"/>
    </row>
    <row r="780" spans="6:8" s="30" customFormat="1">
      <c r="F780" s="36"/>
      <c r="H780" s="37"/>
    </row>
    <row r="781" spans="6:8" s="30" customFormat="1">
      <c r="F781" s="36"/>
      <c r="H781" s="37"/>
    </row>
    <row r="782" spans="6:8" s="30" customFormat="1">
      <c r="F782" s="36"/>
      <c r="H782" s="37"/>
    </row>
    <row r="783" spans="6:8" s="30" customFormat="1">
      <c r="F783" s="36"/>
      <c r="H783" s="37"/>
    </row>
    <row r="784" spans="6:8" s="30" customFormat="1">
      <c r="F784" s="36"/>
      <c r="H784" s="37"/>
    </row>
    <row r="785" spans="6:8" s="30" customFormat="1">
      <c r="F785" s="36"/>
      <c r="H785" s="37"/>
    </row>
    <row r="786" spans="6:8" s="30" customFormat="1">
      <c r="F786" s="36"/>
      <c r="H786" s="37"/>
    </row>
    <row r="787" spans="6:8" s="30" customFormat="1">
      <c r="F787" s="36"/>
      <c r="H787" s="37"/>
    </row>
    <row r="788" spans="6:8" s="30" customFormat="1">
      <c r="F788" s="36"/>
      <c r="H788" s="37"/>
    </row>
    <row r="789" spans="6:8" s="30" customFormat="1">
      <c r="F789" s="36"/>
      <c r="H789" s="37"/>
    </row>
    <row r="790" spans="6:8" s="30" customFormat="1">
      <c r="F790" s="36"/>
      <c r="H790" s="37"/>
    </row>
    <row r="791" spans="6:8" s="30" customFormat="1">
      <c r="F791" s="36"/>
      <c r="H791" s="37"/>
    </row>
    <row r="792" spans="6:8" s="30" customFormat="1">
      <c r="F792" s="36"/>
      <c r="H792" s="37"/>
    </row>
    <row r="793" spans="6:8" s="30" customFormat="1">
      <c r="F793" s="36"/>
      <c r="H793" s="37"/>
    </row>
    <row r="794" spans="6:8" s="30" customFormat="1">
      <c r="F794" s="36"/>
      <c r="H794" s="37"/>
    </row>
    <row r="795" spans="6:8" s="30" customFormat="1">
      <c r="F795" s="36"/>
      <c r="H795" s="37"/>
    </row>
    <row r="796" spans="6:8" s="30" customFormat="1">
      <c r="F796" s="36"/>
      <c r="H796" s="37"/>
    </row>
    <row r="797" spans="6:8" s="30" customFormat="1">
      <c r="F797" s="36"/>
      <c r="H797" s="37"/>
    </row>
    <row r="798" spans="6:8" s="30" customFormat="1">
      <c r="F798" s="36"/>
      <c r="H798" s="37"/>
    </row>
    <row r="799" spans="6:8" s="30" customFormat="1">
      <c r="F799" s="36"/>
      <c r="H799" s="37"/>
    </row>
    <row r="800" spans="6:8" s="30" customFormat="1">
      <c r="F800" s="36"/>
      <c r="H800" s="37"/>
    </row>
    <row r="801" spans="6:8" s="30" customFormat="1">
      <c r="F801" s="36"/>
      <c r="H801" s="37"/>
    </row>
    <row r="802" spans="6:8" s="30" customFormat="1">
      <c r="F802" s="36"/>
      <c r="H802" s="37"/>
    </row>
    <row r="803" spans="6:8" s="30" customFormat="1">
      <c r="F803" s="36"/>
      <c r="H803" s="37"/>
    </row>
    <row r="804" spans="6:8" s="30" customFormat="1">
      <c r="F804" s="36"/>
      <c r="H804" s="37"/>
    </row>
    <row r="805" spans="6:8" s="30" customFormat="1">
      <c r="F805" s="36"/>
      <c r="H805" s="37"/>
    </row>
    <row r="806" spans="6:8" s="30" customFormat="1">
      <c r="F806" s="36"/>
      <c r="H806" s="37"/>
    </row>
    <row r="807" spans="6:8" s="30" customFormat="1">
      <c r="F807" s="36"/>
      <c r="H807" s="37"/>
    </row>
    <row r="808" spans="6:8" s="30" customFormat="1">
      <c r="F808" s="36"/>
      <c r="H808" s="37"/>
    </row>
    <row r="809" spans="6:8" s="30" customFormat="1">
      <c r="F809" s="36"/>
      <c r="H809" s="37"/>
    </row>
    <row r="810" spans="6:8" s="30" customFormat="1">
      <c r="F810" s="36"/>
      <c r="H810" s="37"/>
    </row>
    <row r="811" spans="6:8" s="30" customFormat="1">
      <c r="F811" s="36"/>
      <c r="H811" s="37"/>
    </row>
    <row r="812" spans="6:8" s="30" customFormat="1">
      <c r="F812" s="36"/>
      <c r="H812" s="37"/>
    </row>
    <row r="813" spans="6:8" s="30" customFormat="1">
      <c r="F813" s="36"/>
      <c r="H813" s="37"/>
    </row>
    <row r="814" spans="6:8" s="30" customFormat="1">
      <c r="F814" s="36"/>
      <c r="H814" s="37"/>
    </row>
    <row r="815" spans="6:8" s="30" customFormat="1">
      <c r="F815" s="36"/>
      <c r="H815" s="37"/>
    </row>
    <row r="816" spans="6:8" s="30" customFormat="1">
      <c r="F816" s="36"/>
      <c r="H816" s="37"/>
    </row>
    <row r="817" spans="6:8" s="30" customFormat="1">
      <c r="F817" s="36"/>
      <c r="H817" s="37"/>
    </row>
    <row r="818" spans="6:8" s="30" customFormat="1">
      <c r="F818" s="36"/>
      <c r="H818" s="37"/>
    </row>
    <row r="819" spans="6:8" s="30" customFormat="1">
      <c r="F819" s="36"/>
      <c r="H819" s="37"/>
    </row>
    <row r="820" spans="6:8" s="30" customFormat="1">
      <c r="F820" s="36"/>
      <c r="H820" s="37"/>
    </row>
    <row r="821" spans="6:8" s="30" customFormat="1">
      <c r="F821" s="36"/>
      <c r="H821" s="37"/>
    </row>
    <row r="822" spans="6:8" s="30" customFormat="1">
      <c r="F822" s="36"/>
      <c r="H822" s="37"/>
    </row>
    <row r="823" spans="6:8" s="30" customFormat="1">
      <c r="F823" s="36"/>
      <c r="H823" s="37"/>
    </row>
    <row r="824" spans="6:8" s="30" customFormat="1">
      <c r="F824" s="36"/>
      <c r="H824" s="37"/>
    </row>
    <row r="825" spans="6:8" s="30" customFormat="1">
      <c r="F825" s="36"/>
      <c r="H825" s="37"/>
    </row>
    <row r="826" spans="6:8" s="30" customFormat="1">
      <c r="F826" s="36"/>
      <c r="H826" s="37"/>
    </row>
    <row r="827" spans="6:8" s="30" customFormat="1">
      <c r="F827" s="36"/>
      <c r="H827" s="37"/>
    </row>
    <row r="828" spans="6:8" s="30" customFormat="1">
      <c r="F828" s="36"/>
      <c r="H828" s="37"/>
    </row>
    <row r="829" spans="6:8" s="30" customFormat="1">
      <c r="F829" s="36"/>
      <c r="H829" s="37"/>
    </row>
    <row r="830" spans="6:8" s="30" customFormat="1">
      <c r="F830" s="36"/>
      <c r="H830" s="37"/>
    </row>
    <row r="831" spans="6:8" s="30" customFormat="1">
      <c r="F831" s="36"/>
      <c r="H831" s="37"/>
    </row>
    <row r="832" spans="6:8" s="30" customFormat="1">
      <c r="F832" s="36"/>
      <c r="H832" s="37"/>
    </row>
    <row r="833" spans="6:8" s="30" customFormat="1">
      <c r="F833" s="36"/>
      <c r="H833" s="37"/>
    </row>
    <row r="834" spans="6:8" s="30" customFormat="1">
      <c r="F834" s="36"/>
      <c r="H834" s="37"/>
    </row>
    <row r="835" spans="6:8" s="30" customFormat="1">
      <c r="F835" s="36"/>
      <c r="H835" s="37"/>
    </row>
    <row r="836" spans="6:8" s="30" customFormat="1">
      <c r="F836" s="36"/>
      <c r="H836" s="37"/>
    </row>
    <row r="837" spans="6:8" s="30" customFormat="1">
      <c r="F837" s="36"/>
      <c r="H837" s="37"/>
    </row>
    <row r="838" spans="6:8" s="30" customFormat="1">
      <c r="F838" s="36"/>
      <c r="H838" s="37"/>
    </row>
    <row r="839" spans="6:8" s="30" customFormat="1">
      <c r="F839" s="36"/>
      <c r="H839" s="37"/>
    </row>
    <row r="840" spans="6:8" s="30" customFormat="1">
      <c r="F840" s="36"/>
      <c r="H840" s="37"/>
    </row>
    <row r="841" spans="6:8" s="30" customFormat="1">
      <c r="F841" s="36"/>
      <c r="H841" s="37"/>
    </row>
    <row r="842" spans="6:8" s="30" customFormat="1">
      <c r="F842" s="36"/>
      <c r="H842" s="37"/>
    </row>
    <row r="843" spans="6:8" s="30" customFormat="1">
      <c r="F843" s="36"/>
      <c r="H843" s="37"/>
    </row>
    <row r="844" spans="6:8" s="30" customFormat="1">
      <c r="F844" s="36"/>
      <c r="H844" s="37"/>
    </row>
    <row r="845" spans="6:8" s="30" customFormat="1">
      <c r="F845" s="36"/>
      <c r="H845" s="37"/>
    </row>
    <row r="846" spans="6:8" s="30" customFormat="1">
      <c r="F846" s="36"/>
      <c r="H846" s="37"/>
    </row>
  </sheetData>
  <mergeCells count="2">
    <mergeCell ref="B1:H1"/>
    <mergeCell ref="B2:H2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715"/>
  <sheetViews>
    <sheetView zoomScaleNormal="100" workbookViewId="0">
      <selection activeCell="B86" sqref="B86"/>
    </sheetView>
  </sheetViews>
  <sheetFormatPr defaultRowHeight="12.75"/>
  <cols>
    <col min="1" max="1" width="3.42578125" style="30" bestFit="1" customWidth="1"/>
    <col min="2" max="2" width="50.42578125" bestFit="1" customWidth="1"/>
    <col min="3" max="3" width="16.85546875" bestFit="1" customWidth="1"/>
    <col min="4" max="4" width="33.5703125" bestFit="1" customWidth="1"/>
    <col min="5" max="5" width="16.85546875" bestFit="1" customWidth="1"/>
    <col min="6" max="6" width="16.85546875" style="3" bestFit="1" customWidth="1"/>
    <col min="7" max="7" width="25.140625" hidden="1" customWidth="1"/>
    <col min="8" max="8" width="16.85546875" style="4" bestFit="1" customWidth="1"/>
    <col min="9" max="9" width="25.140625" hidden="1" customWidth="1"/>
    <col min="10" max="97" width="9.140625" style="30"/>
  </cols>
  <sheetData>
    <row r="1" spans="1:9" ht="23.25" customHeight="1">
      <c r="A1" s="27"/>
      <c r="B1" s="171" t="s">
        <v>44</v>
      </c>
      <c r="C1" s="172"/>
      <c r="D1" s="172"/>
      <c r="E1" s="172"/>
      <c r="F1" s="172"/>
      <c r="G1" s="172"/>
      <c r="H1" s="173"/>
      <c r="I1" s="1"/>
    </row>
    <row r="2" spans="1:9" ht="12.95" customHeight="1" thickBot="1">
      <c r="A2" s="27"/>
      <c r="B2" s="174" t="s">
        <v>407</v>
      </c>
      <c r="C2" s="175"/>
      <c r="D2" s="175"/>
      <c r="E2" s="175"/>
      <c r="F2" s="175"/>
      <c r="G2" s="175"/>
      <c r="H2" s="176"/>
      <c r="I2" s="1"/>
    </row>
    <row r="3" spans="1:9" s="30" customFormat="1" ht="12.95" customHeight="1">
      <c r="A3" s="27"/>
      <c r="B3" s="95"/>
      <c r="C3" s="95"/>
      <c r="D3" s="95"/>
      <c r="E3" s="95"/>
      <c r="F3" s="95"/>
      <c r="G3" s="95"/>
      <c r="H3" s="95"/>
      <c r="I3" s="27"/>
    </row>
    <row r="4" spans="1:9" s="30" customFormat="1" ht="12.95" customHeight="1">
      <c r="A4" s="28"/>
      <c r="B4" s="32" t="s">
        <v>2</v>
      </c>
      <c r="C4" s="27"/>
      <c r="D4" s="27"/>
      <c r="E4" s="27"/>
      <c r="F4" s="33"/>
      <c r="G4" s="27"/>
      <c r="H4" s="34"/>
      <c r="I4" s="27"/>
    </row>
    <row r="5" spans="1:9" s="30" customFormat="1" ht="12.95" customHeight="1" thickBot="1">
      <c r="A5" s="28"/>
      <c r="B5" s="32"/>
      <c r="C5" s="27"/>
      <c r="D5" s="27"/>
      <c r="E5" s="27"/>
      <c r="F5" s="33"/>
      <c r="G5" s="27"/>
      <c r="H5" s="34"/>
      <c r="I5" s="27"/>
    </row>
    <row r="6" spans="1:9" ht="27.95" customHeight="1" thickBot="1">
      <c r="A6" s="27"/>
      <c r="B6" s="82" t="s">
        <v>3</v>
      </c>
      <c r="C6" s="83" t="s">
        <v>4</v>
      </c>
      <c r="D6" s="84" t="s">
        <v>393</v>
      </c>
      <c r="E6" s="84" t="s">
        <v>6</v>
      </c>
      <c r="F6" s="85" t="s">
        <v>7</v>
      </c>
      <c r="G6" s="84" t="s">
        <v>8</v>
      </c>
      <c r="H6" s="86" t="s">
        <v>9</v>
      </c>
      <c r="I6" s="38" t="s">
        <v>10</v>
      </c>
    </row>
    <row r="7" spans="1:9" ht="12.95" customHeight="1">
      <c r="A7" s="27"/>
      <c r="B7" s="77" t="s">
        <v>46</v>
      </c>
      <c r="C7" s="78" t="s">
        <v>1</v>
      </c>
      <c r="D7" s="78" t="s">
        <v>1</v>
      </c>
      <c r="E7" s="78" t="s">
        <v>1</v>
      </c>
      <c r="F7" s="79" t="s">
        <v>1</v>
      </c>
      <c r="G7" s="80"/>
      <c r="H7" s="81" t="s">
        <v>1</v>
      </c>
      <c r="I7" s="39" t="s">
        <v>1</v>
      </c>
    </row>
    <row r="8" spans="1:9" ht="12.95" customHeight="1">
      <c r="A8" s="27"/>
      <c r="B8" s="64" t="s">
        <v>47</v>
      </c>
      <c r="C8" s="16" t="s">
        <v>1</v>
      </c>
      <c r="D8" s="16" t="s">
        <v>1</v>
      </c>
      <c r="E8" s="16" t="s">
        <v>1</v>
      </c>
      <c r="F8" s="49" t="s">
        <v>1</v>
      </c>
      <c r="G8" s="50"/>
      <c r="H8" s="67" t="s">
        <v>1</v>
      </c>
      <c r="I8" s="39" t="s">
        <v>1</v>
      </c>
    </row>
    <row r="9" spans="1:9" ht="12.95" customHeight="1">
      <c r="A9" s="29"/>
      <c r="B9" s="68" t="s">
        <v>48</v>
      </c>
      <c r="C9" s="16" t="s">
        <v>49</v>
      </c>
      <c r="D9" s="16" t="s">
        <v>50</v>
      </c>
      <c r="E9" s="52">
        <v>562546</v>
      </c>
      <c r="F9" s="53">
        <v>3666.1122820000001</v>
      </c>
      <c r="G9" s="54">
        <v>3666.11</v>
      </c>
      <c r="H9" s="69">
        <v>4.0933539092201703E-2</v>
      </c>
      <c r="I9" s="2">
        <v>4.0899999999999999E-2</v>
      </c>
    </row>
    <row r="10" spans="1:9" ht="12.95" customHeight="1">
      <c r="A10" s="29"/>
      <c r="B10" s="68" t="s">
        <v>51</v>
      </c>
      <c r="C10" s="16" t="s">
        <v>52</v>
      </c>
      <c r="D10" s="16" t="s">
        <v>53</v>
      </c>
      <c r="E10" s="52">
        <v>425644</v>
      </c>
      <c r="F10" s="53">
        <v>3590.3071399999999</v>
      </c>
      <c r="G10" s="54">
        <v>3590.31</v>
      </c>
      <c r="H10" s="69">
        <v>4.0087145827412192E-2</v>
      </c>
      <c r="I10" s="2">
        <v>4.0099999999999997E-2</v>
      </c>
    </row>
    <row r="11" spans="1:9" ht="12.95" customHeight="1">
      <c r="A11" s="29"/>
      <c r="B11" s="68" t="s">
        <v>54</v>
      </c>
      <c r="C11" s="16" t="s">
        <v>55</v>
      </c>
      <c r="D11" s="16" t="s">
        <v>56</v>
      </c>
      <c r="E11" s="52">
        <v>273178</v>
      </c>
      <c r="F11" s="53">
        <v>2753.770829</v>
      </c>
      <c r="G11" s="54">
        <v>2753.77</v>
      </c>
      <c r="H11" s="69">
        <v>3.0746899497126799E-2</v>
      </c>
      <c r="I11" s="2">
        <v>3.0700000000000002E-2</v>
      </c>
    </row>
    <row r="12" spans="1:9" ht="12.95" customHeight="1">
      <c r="A12" s="29"/>
      <c r="B12" s="68" t="s">
        <v>57</v>
      </c>
      <c r="C12" s="16" t="s">
        <v>58</v>
      </c>
      <c r="D12" s="16" t="s">
        <v>59</v>
      </c>
      <c r="E12" s="52">
        <v>111588</v>
      </c>
      <c r="F12" s="53">
        <v>2512.180644</v>
      </c>
      <c r="G12" s="54">
        <v>2512.1799999999998</v>
      </c>
      <c r="H12" s="69">
        <v>2.8049453123063523E-2</v>
      </c>
      <c r="I12" s="2">
        <v>2.8000000000000001E-2</v>
      </c>
    </row>
    <row r="13" spans="1:9" ht="12.95" customHeight="1">
      <c r="A13" s="29"/>
      <c r="B13" s="68" t="s">
        <v>60</v>
      </c>
      <c r="C13" s="16" t="s">
        <v>61</v>
      </c>
      <c r="D13" s="16" t="s">
        <v>62</v>
      </c>
      <c r="E13" s="52">
        <v>665538</v>
      </c>
      <c r="F13" s="53">
        <v>2401.2611040000002</v>
      </c>
      <c r="G13" s="54">
        <v>2401.2600000000002</v>
      </c>
      <c r="H13" s="69">
        <v>2.6810994238710393E-2</v>
      </c>
      <c r="I13" s="2">
        <v>2.6800000000000001E-2</v>
      </c>
    </row>
    <row r="14" spans="1:9" ht="12.95" customHeight="1">
      <c r="A14" s="29"/>
      <c r="B14" s="68" t="s">
        <v>63</v>
      </c>
      <c r="C14" s="16" t="s">
        <v>64</v>
      </c>
      <c r="D14" s="16" t="s">
        <v>65</v>
      </c>
      <c r="E14" s="52">
        <v>164038</v>
      </c>
      <c r="F14" s="53">
        <v>2381.5036839999998</v>
      </c>
      <c r="G14" s="54">
        <v>2381.5</v>
      </c>
      <c r="H14" s="69">
        <v>2.6590395123974646E-2</v>
      </c>
      <c r="I14" s="2">
        <v>2.6599999999999999E-2</v>
      </c>
    </row>
    <row r="15" spans="1:9" ht="12.95" customHeight="1">
      <c r="A15" s="29"/>
      <c r="B15" s="68" t="s">
        <v>66</v>
      </c>
      <c r="C15" s="16" t="s">
        <v>67</v>
      </c>
      <c r="D15" s="16" t="s">
        <v>50</v>
      </c>
      <c r="E15" s="52">
        <v>338000</v>
      </c>
      <c r="F15" s="53">
        <v>2330.3409999999999</v>
      </c>
      <c r="G15" s="54">
        <v>2330.34</v>
      </c>
      <c r="H15" s="69">
        <v>2.6019144282624675E-2</v>
      </c>
      <c r="I15" s="2">
        <v>2.5999999999999999E-2</v>
      </c>
    </row>
    <row r="16" spans="1:9" ht="12.95" customHeight="1">
      <c r="A16" s="29"/>
      <c r="B16" s="68" t="s">
        <v>68</v>
      </c>
      <c r="C16" s="16" t="s">
        <v>69</v>
      </c>
      <c r="D16" s="16" t="s">
        <v>59</v>
      </c>
      <c r="E16" s="52">
        <v>139946</v>
      </c>
      <c r="F16" s="53">
        <v>2248.9322200000001</v>
      </c>
      <c r="G16" s="54">
        <v>2248.9299999999998</v>
      </c>
      <c r="H16" s="69">
        <v>2.511018426660451E-2</v>
      </c>
      <c r="I16" s="2">
        <v>2.5100000000000001E-2</v>
      </c>
    </row>
    <row r="17" spans="1:9" ht="12.95" customHeight="1">
      <c r="A17" s="29"/>
      <c r="B17" s="68" t="s">
        <v>70</v>
      </c>
      <c r="C17" s="16" t="s">
        <v>71</v>
      </c>
      <c r="D17" s="16" t="s">
        <v>50</v>
      </c>
      <c r="E17" s="52">
        <v>247758</v>
      </c>
      <c r="F17" s="53">
        <v>2125.8875189999999</v>
      </c>
      <c r="G17" s="54">
        <v>2125.89</v>
      </c>
      <c r="H17" s="69">
        <v>2.3736343344382647E-2</v>
      </c>
      <c r="I17" s="2">
        <v>2.3699999999999999E-2</v>
      </c>
    </row>
    <row r="18" spans="1:9" ht="12.95" customHeight="1">
      <c r="A18" s="29"/>
      <c r="B18" s="68" t="s">
        <v>72</v>
      </c>
      <c r="C18" s="16" t="s">
        <v>73</v>
      </c>
      <c r="D18" s="16" t="s">
        <v>56</v>
      </c>
      <c r="E18" s="52">
        <v>1306533</v>
      </c>
      <c r="F18" s="53">
        <v>2006.8346879999999</v>
      </c>
      <c r="G18" s="54">
        <v>2006.83</v>
      </c>
      <c r="H18" s="69">
        <v>2.2407073170170405E-2</v>
      </c>
      <c r="I18" s="2">
        <v>2.24E-2</v>
      </c>
    </row>
    <row r="19" spans="1:9" ht="12.95" customHeight="1">
      <c r="A19" s="29"/>
      <c r="B19" s="68" t="s">
        <v>74</v>
      </c>
      <c r="C19" s="16" t="s">
        <v>75</v>
      </c>
      <c r="D19" s="16" t="s">
        <v>76</v>
      </c>
      <c r="E19" s="52">
        <v>47573</v>
      </c>
      <c r="F19" s="53">
        <v>1991.1441285000001</v>
      </c>
      <c r="G19" s="54">
        <v>1991.14</v>
      </c>
      <c r="H19" s="69">
        <v>2.2231882100921054E-2</v>
      </c>
      <c r="I19" s="2">
        <v>2.2200000000000001E-2</v>
      </c>
    </row>
    <row r="20" spans="1:9" ht="12.95" customHeight="1">
      <c r="A20" s="29"/>
      <c r="B20" s="68" t="s">
        <v>77</v>
      </c>
      <c r="C20" s="16" t="s">
        <v>78</v>
      </c>
      <c r="D20" s="16" t="s">
        <v>50</v>
      </c>
      <c r="E20" s="52">
        <v>697500</v>
      </c>
      <c r="F20" s="53">
        <v>1938.3525</v>
      </c>
      <c r="G20" s="54">
        <v>1938.35</v>
      </c>
      <c r="H20" s="69">
        <v>2.1642443474189504E-2</v>
      </c>
      <c r="I20" s="2">
        <v>2.1600000000000001E-2</v>
      </c>
    </row>
    <row r="21" spans="1:9" ht="12.95" customHeight="1">
      <c r="A21" s="29"/>
      <c r="B21" s="68" t="s">
        <v>79</v>
      </c>
      <c r="C21" s="16" t="s">
        <v>80</v>
      </c>
      <c r="D21" s="16" t="s">
        <v>50</v>
      </c>
      <c r="E21" s="52">
        <v>3100190</v>
      </c>
      <c r="F21" s="53">
        <v>1903.51666</v>
      </c>
      <c r="G21" s="54">
        <v>1903.52</v>
      </c>
      <c r="H21" s="69">
        <v>2.12534880607258E-2</v>
      </c>
      <c r="I21" s="2">
        <v>2.1299999999999999E-2</v>
      </c>
    </row>
    <row r="22" spans="1:9" ht="12.95" customHeight="1">
      <c r="A22" s="29"/>
      <c r="B22" s="68" t="s">
        <v>81</v>
      </c>
      <c r="C22" s="16" t="s">
        <v>82</v>
      </c>
      <c r="D22" s="16" t="s">
        <v>83</v>
      </c>
      <c r="E22" s="52">
        <v>245348</v>
      </c>
      <c r="F22" s="53">
        <v>1840.355348</v>
      </c>
      <c r="G22" s="54">
        <v>1840.36</v>
      </c>
      <c r="H22" s="69">
        <v>2.0548267970615437E-2</v>
      </c>
      <c r="I22" s="2">
        <v>2.0500000000000001E-2</v>
      </c>
    </row>
    <row r="23" spans="1:9" ht="12.95" customHeight="1">
      <c r="A23" s="29"/>
      <c r="B23" s="68" t="s">
        <v>84</v>
      </c>
      <c r="C23" s="16" t="s">
        <v>85</v>
      </c>
      <c r="D23" s="16" t="s">
        <v>86</v>
      </c>
      <c r="E23" s="52">
        <v>440535</v>
      </c>
      <c r="F23" s="53">
        <v>1761.25893</v>
      </c>
      <c r="G23" s="54">
        <v>1761.26</v>
      </c>
      <c r="H23" s="69">
        <v>1.9665126356499394E-2</v>
      </c>
      <c r="I23" s="2">
        <v>1.9699999999999999E-2</v>
      </c>
    </row>
    <row r="24" spans="1:9" ht="12.95" customHeight="1">
      <c r="A24" s="29"/>
      <c r="B24" s="68" t="s">
        <v>87</v>
      </c>
      <c r="C24" s="16" t="s">
        <v>88</v>
      </c>
      <c r="D24" s="16" t="s">
        <v>56</v>
      </c>
      <c r="E24" s="52">
        <v>158000</v>
      </c>
      <c r="F24" s="53">
        <v>1734.05</v>
      </c>
      <c r="G24" s="54">
        <v>1734.05</v>
      </c>
      <c r="H24" s="69">
        <v>1.936132829628167E-2</v>
      </c>
      <c r="I24" s="2">
        <v>1.9400000000000001E-2</v>
      </c>
    </row>
    <row r="25" spans="1:9" ht="12.95" customHeight="1">
      <c r="A25" s="29"/>
      <c r="B25" s="68" t="s">
        <v>89</v>
      </c>
      <c r="C25" s="16" t="s">
        <v>90</v>
      </c>
      <c r="D25" s="16" t="s">
        <v>59</v>
      </c>
      <c r="E25" s="52">
        <v>215082</v>
      </c>
      <c r="F25" s="53">
        <v>1702.696653</v>
      </c>
      <c r="G25" s="54">
        <v>1702.7</v>
      </c>
      <c r="H25" s="69">
        <v>1.9011256242734056E-2</v>
      </c>
      <c r="I25" s="2">
        <v>1.9E-2</v>
      </c>
    </row>
    <row r="26" spans="1:9" ht="12.95" customHeight="1">
      <c r="A26" s="29"/>
      <c r="B26" s="68" t="s">
        <v>91</v>
      </c>
      <c r="C26" s="16" t="s">
        <v>92</v>
      </c>
      <c r="D26" s="16" t="s">
        <v>76</v>
      </c>
      <c r="E26" s="52">
        <v>144573</v>
      </c>
      <c r="F26" s="53">
        <v>1688.468067</v>
      </c>
      <c r="G26" s="54">
        <v>1688.47</v>
      </c>
      <c r="H26" s="69">
        <v>1.8852388664095679E-2</v>
      </c>
      <c r="I26" s="2">
        <v>1.89E-2</v>
      </c>
    </row>
    <row r="27" spans="1:9" ht="12.95" customHeight="1">
      <c r="A27" s="29"/>
      <c r="B27" s="68" t="s">
        <v>93</v>
      </c>
      <c r="C27" s="16" t="s">
        <v>94</v>
      </c>
      <c r="D27" s="16" t="s">
        <v>95</v>
      </c>
      <c r="E27" s="52">
        <v>57340</v>
      </c>
      <c r="F27" s="53">
        <v>1680.03333</v>
      </c>
      <c r="G27" s="54">
        <v>1680.03</v>
      </c>
      <c r="H27" s="69">
        <v>1.8758211614904596E-2</v>
      </c>
      <c r="I27" s="2">
        <v>1.8800000000000001E-2</v>
      </c>
    </row>
    <row r="28" spans="1:9" ht="12.95" customHeight="1">
      <c r="A28" s="29"/>
      <c r="B28" s="68" t="s">
        <v>96</v>
      </c>
      <c r="C28" s="16" t="s">
        <v>97</v>
      </c>
      <c r="D28" s="16" t="s">
        <v>98</v>
      </c>
      <c r="E28" s="52">
        <v>614946</v>
      </c>
      <c r="F28" s="53">
        <v>1678.495107</v>
      </c>
      <c r="G28" s="54">
        <v>1678.5</v>
      </c>
      <c r="H28" s="69">
        <v>1.874103676960262E-2</v>
      </c>
      <c r="I28" s="2">
        <v>1.8700000000000001E-2</v>
      </c>
    </row>
    <row r="29" spans="1:9" ht="12.95" customHeight="1">
      <c r="A29" s="29"/>
      <c r="B29" s="68" t="s">
        <v>99</v>
      </c>
      <c r="C29" s="16" t="s">
        <v>100</v>
      </c>
      <c r="D29" s="16" t="s">
        <v>101</v>
      </c>
      <c r="E29" s="52">
        <v>260487</v>
      </c>
      <c r="F29" s="53">
        <v>1631.430081</v>
      </c>
      <c r="G29" s="54">
        <v>1631.43</v>
      </c>
      <c r="H29" s="69">
        <v>1.821553783954926E-2</v>
      </c>
      <c r="I29" s="2">
        <v>1.8200000000000001E-2</v>
      </c>
    </row>
    <row r="30" spans="1:9" ht="12.95" customHeight="1">
      <c r="A30" s="29"/>
      <c r="B30" s="68" t="s">
        <v>102</v>
      </c>
      <c r="C30" s="16" t="s">
        <v>103</v>
      </c>
      <c r="D30" s="16" t="s">
        <v>95</v>
      </c>
      <c r="E30" s="52">
        <v>189100</v>
      </c>
      <c r="F30" s="53">
        <v>1604.7026000000001</v>
      </c>
      <c r="G30" s="54">
        <v>1604.7</v>
      </c>
      <c r="H30" s="69">
        <v>1.7917115340674583E-2</v>
      </c>
      <c r="I30" s="2">
        <v>1.7899999999999999E-2</v>
      </c>
    </row>
    <row r="31" spans="1:9" ht="12.95" customHeight="1">
      <c r="A31" s="29"/>
      <c r="B31" s="68" t="s">
        <v>104</v>
      </c>
      <c r="C31" s="16" t="s">
        <v>105</v>
      </c>
      <c r="D31" s="16" t="s">
        <v>106</v>
      </c>
      <c r="E31" s="52">
        <v>891027</v>
      </c>
      <c r="F31" s="53">
        <v>1523.2106564999999</v>
      </c>
      <c r="G31" s="54">
        <v>1523.21</v>
      </c>
      <c r="H31" s="69">
        <v>1.7007226772521686E-2</v>
      </c>
      <c r="I31" s="2">
        <v>1.7000000000000001E-2</v>
      </c>
    </row>
    <row r="32" spans="1:9" ht="12.95" customHeight="1">
      <c r="A32" s="29"/>
      <c r="B32" s="68" t="s">
        <v>107</v>
      </c>
      <c r="C32" s="16" t="s">
        <v>108</v>
      </c>
      <c r="D32" s="16" t="s">
        <v>76</v>
      </c>
      <c r="E32" s="52">
        <v>146633</v>
      </c>
      <c r="F32" s="53">
        <v>1496.3897649999999</v>
      </c>
      <c r="G32" s="54">
        <v>1496.39</v>
      </c>
      <c r="H32" s="69">
        <v>1.6707761309858873E-2</v>
      </c>
      <c r="I32" s="2">
        <v>1.67E-2</v>
      </c>
    </row>
    <row r="33" spans="1:9" ht="12.95" customHeight="1">
      <c r="A33" s="29"/>
      <c r="B33" s="68" t="s">
        <v>109</v>
      </c>
      <c r="C33" s="16" t="s">
        <v>110</v>
      </c>
      <c r="D33" s="16" t="s">
        <v>76</v>
      </c>
      <c r="E33" s="52">
        <v>162513</v>
      </c>
      <c r="F33" s="53">
        <v>1490.4879794999999</v>
      </c>
      <c r="G33" s="54">
        <v>1490.49</v>
      </c>
      <c r="H33" s="69">
        <v>1.6641865628304282E-2</v>
      </c>
      <c r="I33" s="2">
        <v>1.66E-2</v>
      </c>
    </row>
    <row r="34" spans="1:9" ht="12.95" customHeight="1">
      <c r="A34" s="29"/>
      <c r="B34" s="68" t="s">
        <v>111</v>
      </c>
      <c r="C34" s="16" t="s">
        <v>112</v>
      </c>
      <c r="D34" s="16" t="s">
        <v>95</v>
      </c>
      <c r="E34" s="52">
        <v>124800</v>
      </c>
      <c r="F34" s="53">
        <v>1487.616</v>
      </c>
      <c r="G34" s="54">
        <v>1487.62</v>
      </c>
      <c r="H34" s="69">
        <v>1.6609798884000663E-2</v>
      </c>
      <c r="I34" s="2">
        <v>1.66E-2</v>
      </c>
    </row>
    <row r="35" spans="1:9" ht="12.95" customHeight="1">
      <c r="A35" s="29"/>
      <c r="B35" s="68" t="s">
        <v>113</v>
      </c>
      <c r="C35" s="16" t="s">
        <v>114</v>
      </c>
      <c r="D35" s="16" t="s">
        <v>86</v>
      </c>
      <c r="E35" s="52">
        <v>106380</v>
      </c>
      <c r="F35" s="53">
        <v>1439.16183</v>
      </c>
      <c r="G35" s="54">
        <v>1439.16</v>
      </c>
      <c r="H35" s="69">
        <v>1.6068789632425539E-2</v>
      </c>
      <c r="I35" s="2">
        <v>1.61E-2</v>
      </c>
    </row>
    <row r="36" spans="1:9" ht="12.95" customHeight="1">
      <c r="A36" s="29"/>
      <c r="B36" s="68" t="s">
        <v>115</v>
      </c>
      <c r="C36" s="16" t="s">
        <v>116</v>
      </c>
      <c r="D36" s="16" t="s">
        <v>117</v>
      </c>
      <c r="E36" s="52">
        <v>348000</v>
      </c>
      <c r="F36" s="53">
        <v>1339.104</v>
      </c>
      <c r="G36" s="54">
        <v>1339.1</v>
      </c>
      <c r="H36" s="69">
        <v>1.495160587460798E-2</v>
      </c>
      <c r="I36" s="2">
        <v>1.4999999999999999E-2</v>
      </c>
    </row>
    <row r="37" spans="1:9" ht="12.95" customHeight="1">
      <c r="A37" s="29"/>
      <c r="B37" s="68" t="s">
        <v>118</v>
      </c>
      <c r="C37" s="16" t="s">
        <v>119</v>
      </c>
      <c r="D37" s="16" t="s">
        <v>76</v>
      </c>
      <c r="E37" s="52">
        <v>197000</v>
      </c>
      <c r="F37" s="53">
        <v>1265.528</v>
      </c>
      <c r="G37" s="54">
        <v>1265.53</v>
      </c>
      <c r="H37" s="69">
        <v>1.4130101828745854E-2</v>
      </c>
      <c r="I37" s="2">
        <v>1.41E-2</v>
      </c>
    </row>
    <row r="38" spans="1:9" ht="12.95" customHeight="1">
      <c r="A38" s="29"/>
      <c r="B38" s="68" t="s">
        <v>120</v>
      </c>
      <c r="C38" s="16" t="s">
        <v>121</v>
      </c>
      <c r="D38" s="16" t="s">
        <v>95</v>
      </c>
      <c r="E38" s="52">
        <v>221236</v>
      </c>
      <c r="F38" s="53">
        <v>1217.3510900000001</v>
      </c>
      <c r="G38" s="54">
        <v>1217.3499999999999</v>
      </c>
      <c r="H38" s="69">
        <v>1.3592188290606575E-2</v>
      </c>
      <c r="I38" s="2">
        <v>1.3599999999999999E-2</v>
      </c>
    </row>
    <row r="39" spans="1:9" ht="12.95" customHeight="1">
      <c r="A39" s="29"/>
      <c r="B39" s="68" t="s">
        <v>122</v>
      </c>
      <c r="C39" s="16" t="s">
        <v>123</v>
      </c>
      <c r="D39" s="16" t="s">
        <v>95</v>
      </c>
      <c r="E39" s="52">
        <v>23823</v>
      </c>
      <c r="F39" s="53">
        <v>1188.410355</v>
      </c>
      <c r="G39" s="54">
        <v>1188.4100000000001</v>
      </c>
      <c r="H39" s="69">
        <v>1.3269053968372101E-2</v>
      </c>
      <c r="I39" s="2">
        <v>1.3299999999999999E-2</v>
      </c>
    </row>
    <row r="40" spans="1:9" ht="12.95" customHeight="1">
      <c r="A40" s="29"/>
      <c r="B40" s="68" t="s">
        <v>124</v>
      </c>
      <c r="C40" s="16" t="s">
        <v>125</v>
      </c>
      <c r="D40" s="16" t="s">
        <v>126</v>
      </c>
      <c r="E40" s="52">
        <v>153053</v>
      </c>
      <c r="F40" s="53">
        <v>1181.3395805</v>
      </c>
      <c r="G40" s="54">
        <v>1181.3399999999999</v>
      </c>
      <c r="H40" s="69">
        <v>1.3190106079670232E-2</v>
      </c>
      <c r="I40" s="2">
        <v>1.32E-2</v>
      </c>
    </row>
    <row r="41" spans="1:9" ht="12.95" customHeight="1">
      <c r="A41" s="29"/>
      <c r="B41" s="68" t="s">
        <v>127</v>
      </c>
      <c r="C41" s="16" t="s">
        <v>128</v>
      </c>
      <c r="D41" s="16" t="s">
        <v>129</v>
      </c>
      <c r="E41" s="52">
        <v>80030</v>
      </c>
      <c r="F41" s="53">
        <v>1150.75137</v>
      </c>
      <c r="G41" s="54">
        <v>1150.75</v>
      </c>
      <c r="H41" s="69">
        <v>1.2848577066385569E-2</v>
      </c>
      <c r="I41" s="2">
        <v>1.2800000000000001E-2</v>
      </c>
    </row>
    <row r="42" spans="1:9" ht="12.95" customHeight="1">
      <c r="A42" s="29"/>
      <c r="B42" s="68" t="s">
        <v>130</v>
      </c>
      <c r="C42" s="16" t="s">
        <v>131</v>
      </c>
      <c r="D42" s="16" t="s">
        <v>132</v>
      </c>
      <c r="E42" s="52">
        <v>648000</v>
      </c>
      <c r="F42" s="53">
        <v>1149.876</v>
      </c>
      <c r="G42" s="54">
        <v>1149.8800000000001</v>
      </c>
      <c r="H42" s="69">
        <v>1.2838803227135999E-2</v>
      </c>
      <c r="I42" s="2">
        <v>1.2800000000000001E-2</v>
      </c>
    </row>
    <row r="43" spans="1:9" ht="12.95" customHeight="1">
      <c r="A43" s="29"/>
      <c r="B43" s="68" t="s">
        <v>133</v>
      </c>
      <c r="C43" s="16" t="s">
        <v>134</v>
      </c>
      <c r="D43" s="16" t="s">
        <v>76</v>
      </c>
      <c r="E43" s="52">
        <v>673495</v>
      </c>
      <c r="F43" s="53">
        <v>1145.9517424999999</v>
      </c>
      <c r="G43" s="54">
        <v>1145.95</v>
      </c>
      <c r="H43" s="69">
        <v>1.2794987398424806E-2</v>
      </c>
      <c r="I43" s="2">
        <v>1.2800000000000001E-2</v>
      </c>
    </row>
    <row r="44" spans="1:9" ht="12.95" customHeight="1">
      <c r="A44" s="29"/>
      <c r="B44" s="68" t="s">
        <v>135</v>
      </c>
      <c r="C44" s="16" t="s">
        <v>136</v>
      </c>
      <c r="D44" s="16" t="s">
        <v>95</v>
      </c>
      <c r="E44" s="52">
        <v>88166</v>
      </c>
      <c r="F44" s="53">
        <v>1143.4689370000001</v>
      </c>
      <c r="G44" s="54">
        <v>1143.47</v>
      </c>
      <c r="H44" s="69">
        <v>1.2767265929965814E-2</v>
      </c>
      <c r="I44" s="2">
        <v>1.2800000000000001E-2</v>
      </c>
    </row>
    <row r="45" spans="1:9" ht="12.95" customHeight="1">
      <c r="A45" s="29"/>
      <c r="B45" s="68" t="s">
        <v>137</v>
      </c>
      <c r="C45" s="16" t="s">
        <v>138</v>
      </c>
      <c r="D45" s="16" t="s">
        <v>65</v>
      </c>
      <c r="E45" s="52">
        <v>256803</v>
      </c>
      <c r="F45" s="53">
        <v>1137.6372899999999</v>
      </c>
      <c r="G45" s="54">
        <v>1137.6400000000001</v>
      </c>
      <c r="H45" s="69">
        <v>1.2702153371461142E-2</v>
      </c>
      <c r="I45" s="2">
        <v>1.2699999999999999E-2</v>
      </c>
    </row>
    <row r="46" spans="1:9" ht="12.95" customHeight="1">
      <c r="A46" s="29"/>
      <c r="B46" s="68" t="s">
        <v>139</v>
      </c>
      <c r="C46" s="16" t="s">
        <v>140</v>
      </c>
      <c r="D46" s="16" t="s">
        <v>53</v>
      </c>
      <c r="E46" s="52">
        <v>226821</v>
      </c>
      <c r="F46" s="53">
        <v>1131.7233795</v>
      </c>
      <c r="G46" s="54">
        <v>1131.72</v>
      </c>
      <c r="H46" s="69">
        <v>1.2636122309666311E-2</v>
      </c>
      <c r="I46" s="2">
        <v>1.26E-2</v>
      </c>
    </row>
    <row r="47" spans="1:9" ht="12.95" customHeight="1">
      <c r="A47" s="29"/>
      <c r="B47" s="68" t="s">
        <v>141</v>
      </c>
      <c r="C47" s="16" t="s">
        <v>142</v>
      </c>
      <c r="D47" s="16" t="s">
        <v>98</v>
      </c>
      <c r="E47" s="52">
        <v>850000</v>
      </c>
      <c r="F47" s="53">
        <v>1108.4000000000001</v>
      </c>
      <c r="G47" s="54">
        <v>1108.4000000000001</v>
      </c>
      <c r="H47" s="69">
        <v>1.2375707899771403E-2</v>
      </c>
      <c r="I47" s="2">
        <v>1.24E-2</v>
      </c>
    </row>
    <row r="48" spans="1:9" ht="12.95" customHeight="1">
      <c r="A48" s="29"/>
      <c r="B48" s="68" t="s">
        <v>143</v>
      </c>
      <c r="C48" s="16" t="s">
        <v>144</v>
      </c>
      <c r="D48" s="16" t="s">
        <v>83</v>
      </c>
      <c r="E48" s="52">
        <v>258000</v>
      </c>
      <c r="F48" s="53">
        <v>1091.211</v>
      </c>
      <c r="G48" s="54">
        <v>1091.21</v>
      </c>
      <c r="H48" s="69">
        <v>1.2183786171975327E-2</v>
      </c>
      <c r="I48" s="2">
        <v>1.2200000000000001E-2</v>
      </c>
    </row>
    <row r="49" spans="1:9" ht="12.95" customHeight="1">
      <c r="A49" s="29"/>
      <c r="B49" s="68" t="s">
        <v>145</v>
      </c>
      <c r="C49" s="16" t="s">
        <v>146</v>
      </c>
      <c r="D49" s="16" t="s">
        <v>65</v>
      </c>
      <c r="E49" s="52">
        <v>108000</v>
      </c>
      <c r="F49" s="53">
        <v>1087.0740000000001</v>
      </c>
      <c r="G49" s="54">
        <v>1087.07</v>
      </c>
      <c r="H49" s="69">
        <v>1.2137594992273636E-2</v>
      </c>
      <c r="I49" s="2">
        <v>1.21E-2</v>
      </c>
    </row>
    <row r="50" spans="1:9" ht="12.95" customHeight="1">
      <c r="A50" s="29"/>
      <c r="B50" s="68" t="s">
        <v>147</v>
      </c>
      <c r="C50" s="16" t="s">
        <v>148</v>
      </c>
      <c r="D50" s="16" t="s">
        <v>83</v>
      </c>
      <c r="E50" s="52">
        <v>64124</v>
      </c>
      <c r="F50" s="53">
        <v>1072.441838</v>
      </c>
      <c r="G50" s="54">
        <v>1072.44</v>
      </c>
      <c r="H50" s="69">
        <v>1.1974221333978675E-2</v>
      </c>
      <c r="I50" s="2">
        <v>1.2E-2</v>
      </c>
    </row>
    <row r="51" spans="1:9" ht="12.95" customHeight="1">
      <c r="A51" s="29"/>
      <c r="B51" s="68" t="s">
        <v>149</v>
      </c>
      <c r="C51" s="16" t="s">
        <v>150</v>
      </c>
      <c r="D51" s="16" t="s">
        <v>151</v>
      </c>
      <c r="E51" s="52">
        <v>407261</v>
      </c>
      <c r="F51" s="53">
        <v>1071.5036909999999</v>
      </c>
      <c r="G51" s="54">
        <v>1071.5</v>
      </c>
      <c r="H51" s="69">
        <v>1.1963746565628758E-2</v>
      </c>
      <c r="I51" s="2">
        <v>1.2E-2</v>
      </c>
    </row>
    <row r="52" spans="1:9" ht="12.95" customHeight="1">
      <c r="A52" s="29"/>
      <c r="B52" s="68" t="s">
        <v>152</v>
      </c>
      <c r="C52" s="16" t="s">
        <v>153</v>
      </c>
      <c r="D52" s="16" t="s">
        <v>83</v>
      </c>
      <c r="E52" s="52">
        <v>219751</v>
      </c>
      <c r="F52" s="53">
        <v>1024.8087885</v>
      </c>
      <c r="G52" s="54">
        <v>1024.81</v>
      </c>
      <c r="H52" s="69">
        <v>1.144238020533617E-2</v>
      </c>
      <c r="I52" s="2">
        <v>1.14E-2</v>
      </c>
    </row>
    <row r="53" spans="1:9" ht="12.95" customHeight="1">
      <c r="A53" s="29"/>
      <c r="B53" s="68" t="s">
        <v>154</v>
      </c>
      <c r="C53" s="16" t="s">
        <v>155</v>
      </c>
      <c r="D53" s="16" t="s">
        <v>50</v>
      </c>
      <c r="E53" s="52">
        <v>218302</v>
      </c>
      <c r="F53" s="53">
        <v>1016.0866590000001</v>
      </c>
      <c r="G53" s="54">
        <v>1016.09</v>
      </c>
      <c r="H53" s="69">
        <v>1.1344994309489924E-2</v>
      </c>
      <c r="I53" s="2">
        <v>1.1299999999999999E-2</v>
      </c>
    </row>
    <row r="54" spans="1:9" ht="12.95" customHeight="1">
      <c r="A54" s="29"/>
      <c r="B54" s="68" t="s">
        <v>156</v>
      </c>
      <c r="C54" s="16" t="s">
        <v>157</v>
      </c>
      <c r="D54" s="16" t="s">
        <v>158</v>
      </c>
      <c r="E54" s="52">
        <v>504000</v>
      </c>
      <c r="F54" s="53">
        <v>949.03200000000004</v>
      </c>
      <c r="G54" s="54">
        <v>949.03</v>
      </c>
      <c r="H54" s="69">
        <v>1.0596303518166594E-2</v>
      </c>
      <c r="I54" s="2">
        <v>1.06E-2</v>
      </c>
    </row>
    <row r="55" spans="1:9" ht="12.95" customHeight="1">
      <c r="A55" s="29"/>
      <c r="B55" s="68" t="s">
        <v>159</v>
      </c>
      <c r="C55" s="16" t="s">
        <v>160</v>
      </c>
      <c r="D55" s="16" t="s">
        <v>86</v>
      </c>
      <c r="E55" s="52">
        <v>186372</v>
      </c>
      <c r="F55" s="53">
        <v>911.54545199999995</v>
      </c>
      <c r="G55" s="54">
        <v>911.55</v>
      </c>
      <c r="H55" s="69">
        <v>1.0177751940921232E-2</v>
      </c>
      <c r="I55" s="2">
        <v>1.0200000000000001E-2</v>
      </c>
    </row>
    <row r="56" spans="1:9" ht="12.95" customHeight="1">
      <c r="A56" s="29"/>
      <c r="B56" s="68" t="s">
        <v>161</v>
      </c>
      <c r="C56" s="16" t="s">
        <v>162</v>
      </c>
      <c r="D56" s="16" t="s">
        <v>62</v>
      </c>
      <c r="E56" s="52">
        <v>13144</v>
      </c>
      <c r="F56" s="53">
        <v>897.30802000000006</v>
      </c>
      <c r="G56" s="54">
        <v>897.31</v>
      </c>
      <c r="H56" s="69">
        <v>1.0018785593325728E-2</v>
      </c>
      <c r="I56" s="2">
        <v>0.01</v>
      </c>
    </row>
    <row r="57" spans="1:9" ht="12.95" customHeight="1">
      <c r="A57" s="29"/>
      <c r="B57" s="68" t="s">
        <v>163</v>
      </c>
      <c r="C57" s="16" t="s">
        <v>164</v>
      </c>
      <c r="D57" s="16" t="s">
        <v>83</v>
      </c>
      <c r="E57" s="52">
        <v>365000</v>
      </c>
      <c r="F57" s="53">
        <v>892.97249999999997</v>
      </c>
      <c r="G57" s="54">
        <v>892.97</v>
      </c>
      <c r="H57" s="69">
        <v>9.9703778622596707E-3</v>
      </c>
      <c r="I57" s="2">
        <v>0.01</v>
      </c>
    </row>
    <row r="58" spans="1:9" ht="12.95" customHeight="1">
      <c r="A58" s="29"/>
      <c r="B58" s="68" t="s">
        <v>165</v>
      </c>
      <c r="C58" s="16" t="s">
        <v>166</v>
      </c>
      <c r="D58" s="16" t="s">
        <v>65</v>
      </c>
      <c r="E58" s="52">
        <v>17763</v>
      </c>
      <c r="F58" s="53">
        <v>891.91575599999999</v>
      </c>
      <c r="G58" s="54">
        <v>891.92</v>
      </c>
      <c r="H58" s="69">
        <v>9.9585789132621647E-3</v>
      </c>
      <c r="I58" s="2">
        <v>0.01</v>
      </c>
    </row>
    <row r="59" spans="1:9" ht="12.95" customHeight="1">
      <c r="A59" s="29"/>
      <c r="B59" s="68" t="s">
        <v>167</v>
      </c>
      <c r="C59" s="16" t="s">
        <v>168</v>
      </c>
      <c r="D59" s="16" t="s">
        <v>59</v>
      </c>
      <c r="E59" s="52">
        <v>37517</v>
      </c>
      <c r="F59" s="53">
        <v>886.93939699999999</v>
      </c>
      <c r="G59" s="54">
        <v>886.94</v>
      </c>
      <c r="H59" s="69">
        <v>9.9030159708330782E-3</v>
      </c>
      <c r="I59" s="2">
        <v>9.9000000000000008E-3</v>
      </c>
    </row>
    <row r="60" spans="1:9" ht="12.95" customHeight="1">
      <c r="A60" s="29"/>
      <c r="B60" s="68" t="s">
        <v>169</v>
      </c>
      <c r="C60" s="16" t="s">
        <v>170</v>
      </c>
      <c r="D60" s="16" t="s">
        <v>171</v>
      </c>
      <c r="E60" s="52">
        <v>169024</v>
      </c>
      <c r="F60" s="53">
        <v>885.60124800000006</v>
      </c>
      <c r="G60" s="54">
        <v>885.6</v>
      </c>
      <c r="H60" s="69">
        <v>9.8880750278969812E-3</v>
      </c>
      <c r="I60" s="2">
        <v>9.9000000000000008E-3</v>
      </c>
    </row>
    <row r="61" spans="1:9" ht="12.95" customHeight="1">
      <c r="A61" s="29"/>
      <c r="B61" s="68" t="s">
        <v>172</v>
      </c>
      <c r="C61" s="16" t="s">
        <v>173</v>
      </c>
      <c r="D61" s="16" t="s">
        <v>151</v>
      </c>
      <c r="E61" s="52">
        <v>240565</v>
      </c>
      <c r="F61" s="53">
        <v>812.62856999999997</v>
      </c>
      <c r="G61" s="54">
        <v>812.63</v>
      </c>
      <c r="H61" s="69">
        <v>9.0733073018124666E-3</v>
      </c>
      <c r="I61" s="2">
        <v>9.1000000000000004E-3</v>
      </c>
    </row>
    <row r="62" spans="1:9" ht="12.95" customHeight="1">
      <c r="A62" s="29"/>
      <c r="B62" s="68" t="s">
        <v>174</v>
      </c>
      <c r="C62" s="16" t="s">
        <v>175</v>
      </c>
      <c r="D62" s="16" t="s">
        <v>176</v>
      </c>
      <c r="E62" s="52">
        <v>325000</v>
      </c>
      <c r="F62" s="53">
        <v>759.2</v>
      </c>
      <c r="G62" s="54">
        <v>759.2</v>
      </c>
      <c r="H62" s="69">
        <v>8.4767569807889295E-3</v>
      </c>
      <c r="I62" s="2">
        <v>8.5000000000000006E-3</v>
      </c>
    </row>
    <row r="63" spans="1:9" ht="12.95" customHeight="1">
      <c r="A63" s="29"/>
      <c r="B63" s="68" t="s">
        <v>177</v>
      </c>
      <c r="C63" s="16" t="s">
        <v>178</v>
      </c>
      <c r="D63" s="16" t="s">
        <v>106</v>
      </c>
      <c r="E63" s="52">
        <v>560425</v>
      </c>
      <c r="F63" s="53">
        <v>644.76896250000004</v>
      </c>
      <c r="G63" s="54">
        <v>644.77</v>
      </c>
      <c r="H63" s="69">
        <v>7.1990908902369736E-3</v>
      </c>
      <c r="I63" s="2">
        <v>7.1999999999999998E-3</v>
      </c>
    </row>
    <row r="64" spans="1:9" ht="12.95" customHeight="1">
      <c r="A64" s="29"/>
      <c r="B64" s="68" t="s">
        <v>179</v>
      </c>
      <c r="C64" s="16" t="s">
        <v>180</v>
      </c>
      <c r="D64" s="16" t="s">
        <v>106</v>
      </c>
      <c r="E64" s="52">
        <v>67530</v>
      </c>
      <c r="F64" s="53">
        <v>641.53499999999997</v>
      </c>
      <c r="G64" s="54">
        <v>641.54</v>
      </c>
      <c r="H64" s="69">
        <v>7.1629824679536689E-3</v>
      </c>
      <c r="I64" s="2">
        <v>7.1999999999999998E-3</v>
      </c>
    </row>
    <row r="65" spans="1:9" ht="12.95" customHeight="1">
      <c r="A65" s="29"/>
      <c r="B65" s="68" t="s">
        <v>181</v>
      </c>
      <c r="C65" s="16" t="s">
        <v>182</v>
      </c>
      <c r="D65" s="16" t="s">
        <v>59</v>
      </c>
      <c r="E65" s="52">
        <v>47310</v>
      </c>
      <c r="F65" s="53">
        <v>546.33587999999997</v>
      </c>
      <c r="G65" s="54">
        <v>546.34</v>
      </c>
      <c r="H65" s="69">
        <v>6.1000480566984492E-3</v>
      </c>
      <c r="I65" s="2">
        <v>6.1000000000000004E-3</v>
      </c>
    </row>
    <row r="66" spans="1:9" ht="12.95" customHeight="1">
      <c r="A66" s="29"/>
      <c r="B66" s="68" t="s">
        <v>183</v>
      </c>
      <c r="C66" s="16" t="s">
        <v>184</v>
      </c>
      <c r="D66" s="16" t="s">
        <v>101</v>
      </c>
      <c r="E66" s="52">
        <v>542583</v>
      </c>
      <c r="F66" s="53">
        <v>532.00263150000001</v>
      </c>
      <c r="G66" s="54">
        <v>532</v>
      </c>
      <c r="H66" s="69">
        <v>5.9400118814089903E-3</v>
      </c>
      <c r="I66" s="2">
        <v>5.8999999999999999E-3</v>
      </c>
    </row>
    <row r="67" spans="1:9" ht="12.95" customHeight="1">
      <c r="A67" s="29"/>
      <c r="B67" s="68" t="s">
        <v>185</v>
      </c>
      <c r="C67" s="16" t="s">
        <v>186</v>
      </c>
      <c r="D67" s="16" t="s">
        <v>117</v>
      </c>
      <c r="E67" s="52">
        <v>571581</v>
      </c>
      <c r="F67" s="53">
        <v>466.98167699999999</v>
      </c>
      <c r="G67" s="54">
        <v>466.98</v>
      </c>
      <c r="H67" s="69">
        <v>5.2140281749344982E-3</v>
      </c>
      <c r="I67" s="2">
        <v>5.1999999999999998E-3</v>
      </c>
    </row>
    <row r="68" spans="1:9" ht="12.95" customHeight="1">
      <c r="A68" s="29"/>
      <c r="B68" s="68" t="s">
        <v>187</v>
      </c>
      <c r="C68" s="16" t="s">
        <v>188</v>
      </c>
      <c r="D68" s="16" t="s">
        <v>176</v>
      </c>
      <c r="E68" s="52">
        <v>73083</v>
      </c>
      <c r="F68" s="53">
        <v>313.7087775</v>
      </c>
      <c r="G68" s="54">
        <v>313.70999999999998</v>
      </c>
      <c r="H68" s="69">
        <v>3.5026779104424207E-3</v>
      </c>
      <c r="I68" s="2">
        <v>3.5000000000000001E-3</v>
      </c>
    </row>
    <row r="69" spans="1:9" ht="12.95" customHeight="1">
      <c r="A69" s="29"/>
      <c r="B69" s="68" t="s">
        <v>189</v>
      </c>
      <c r="C69" s="16" t="s">
        <v>190</v>
      </c>
      <c r="D69" s="16" t="s">
        <v>50</v>
      </c>
      <c r="E69" s="52">
        <v>176166</v>
      </c>
      <c r="F69" s="53">
        <v>234.82927799999999</v>
      </c>
      <c r="G69" s="54">
        <v>234.83</v>
      </c>
      <c r="H69" s="69">
        <v>2.6219582739464226E-3</v>
      </c>
      <c r="I69" s="2">
        <v>2.5999999999999999E-3</v>
      </c>
    </row>
    <row r="70" spans="1:9" ht="12.95" customHeight="1">
      <c r="A70" s="29"/>
      <c r="B70" s="68" t="s">
        <v>191</v>
      </c>
      <c r="C70" s="16" t="s">
        <v>192</v>
      </c>
      <c r="D70" s="16" t="s">
        <v>53</v>
      </c>
      <c r="E70" s="52">
        <v>104230</v>
      </c>
      <c r="F70" s="53">
        <v>140.39780999999999</v>
      </c>
      <c r="G70" s="54">
        <v>140.4</v>
      </c>
      <c r="H70" s="69">
        <v>1.5675949894691488E-3</v>
      </c>
      <c r="I70" s="2">
        <v>1.6000000000000001E-3</v>
      </c>
    </row>
    <row r="71" spans="1:9" ht="12.95" customHeight="1">
      <c r="A71" s="29"/>
      <c r="B71" s="68" t="s">
        <v>193</v>
      </c>
      <c r="C71" s="16" t="s">
        <v>194</v>
      </c>
      <c r="D71" s="16" t="s">
        <v>195</v>
      </c>
      <c r="E71" s="52">
        <v>1500</v>
      </c>
      <c r="F71" s="53">
        <v>6.7417499999999997</v>
      </c>
      <c r="G71" s="54">
        <v>6.74</v>
      </c>
      <c r="H71" s="69">
        <v>7.5274204919960176E-5</v>
      </c>
      <c r="I71" s="2">
        <v>1E-4</v>
      </c>
    </row>
    <row r="72" spans="1:9" ht="12.95" customHeight="1">
      <c r="A72" s="27"/>
      <c r="B72" s="64" t="s">
        <v>31</v>
      </c>
      <c r="C72" s="16" t="s">
        <v>1</v>
      </c>
      <c r="D72" s="16" t="s">
        <v>1</v>
      </c>
      <c r="E72" s="16" t="s">
        <v>1</v>
      </c>
      <c r="F72" s="17">
        <v>86545.613175999999</v>
      </c>
      <c r="G72" s="56">
        <v>86545.62</v>
      </c>
      <c r="H72" s="70">
        <v>0.96631471370694988</v>
      </c>
      <c r="I72" s="41">
        <v>0.96619999999999995</v>
      </c>
    </row>
    <row r="73" spans="1:9" ht="12.95" customHeight="1">
      <c r="A73" s="27"/>
      <c r="B73" s="64" t="s">
        <v>196</v>
      </c>
      <c r="C73" s="16" t="s">
        <v>1</v>
      </c>
      <c r="D73" s="16" t="s">
        <v>1</v>
      </c>
      <c r="E73" s="16" t="s">
        <v>1</v>
      </c>
      <c r="F73" s="17" t="s">
        <v>197</v>
      </c>
      <c r="G73" s="57" t="s">
        <v>197</v>
      </c>
      <c r="H73" s="70" t="s">
        <v>197</v>
      </c>
      <c r="I73" s="42" t="s">
        <v>197</v>
      </c>
    </row>
    <row r="74" spans="1:9" ht="12.95" customHeight="1">
      <c r="A74" s="27"/>
      <c r="B74" s="64" t="s">
        <v>31</v>
      </c>
      <c r="C74" s="16" t="s">
        <v>1</v>
      </c>
      <c r="D74" s="16" t="s">
        <v>1</v>
      </c>
      <c r="E74" s="16" t="s">
        <v>1</v>
      </c>
      <c r="F74" s="17" t="s">
        <v>197</v>
      </c>
      <c r="G74" s="57" t="s">
        <v>197</v>
      </c>
      <c r="H74" s="70" t="s">
        <v>197</v>
      </c>
      <c r="I74" s="42" t="s">
        <v>197</v>
      </c>
    </row>
    <row r="75" spans="1:9" ht="12.95" customHeight="1">
      <c r="A75" s="27"/>
      <c r="B75" s="64" t="s">
        <v>36</v>
      </c>
      <c r="C75" s="16" t="s">
        <v>1</v>
      </c>
      <c r="D75" s="16" t="s">
        <v>1</v>
      </c>
      <c r="E75" s="16" t="s">
        <v>1</v>
      </c>
      <c r="F75" s="17">
        <v>86545.613175999999</v>
      </c>
      <c r="G75" s="56">
        <v>86545.62</v>
      </c>
      <c r="H75" s="70">
        <v>0.96631471370694988</v>
      </c>
      <c r="I75" s="41">
        <v>0.96619999999999995</v>
      </c>
    </row>
    <row r="76" spans="1:9" ht="12.95" customHeight="1">
      <c r="A76" s="27"/>
      <c r="B76" s="64"/>
      <c r="C76" s="16"/>
      <c r="D76" s="16"/>
      <c r="E76" s="16"/>
      <c r="F76" s="17"/>
      <c r="G76" s="56"/>
      <c r="H76" s="70"/>
      <c r="I76" s="100"/>
    </row>
    <row r="77" spans="1:9" ht="12.95" customHeight="1">
      <c r="A77" s="27"/>
      <c r="B77" s="63" t="s">
        <v>389</v>
      </c>
      <c r="C77" s="97"/>
      <c r="D77" s="97"/>
      <c r="E77" s="97"/>
      <c r="F77" s="98"/>
      <c r="G77" s="101"/>
      <c r="H77" s="70"/>
      <c r="I77" s="100"/>
    </row>
    <row r="78" spans="1:9" ht="12.95" customHeight="1">
      <c r="A78" s="27"/>
      <c r="B78" s="99" t="s">
        <v>400</v>
      </c>
      <c r="C78" s="97"/>
      <c r="D78" s="97"/>
      <c r="E78" s="57" t="s">
        <v>197</v>
      </c>
      <c r="F78" s="57" t="s">
        <v>197</v>
      </c>
      <c r="G78" s="57" t="s">
        <v>197</v>
      </c>
      <c r="H78" s="70" t="s">
        <v>197</v>
      </c>
      <c r="I78" s="100"/>
    </row>
    <row r="79" spans="1:9" ht="12.95" customHeight="1">
      <c r="A79" s="27"/>
      <c r="B79" s="99" t="s">
        <v>391</v>
      </c>
      <c r="C79" s="97"/>
      <c r="D79" s="97"/>
      <c r="E79" s="57" t="s">
        <v>197</v>
      </c>
      <c r="F79" s="57" t="s">
        <v>197</v>
      </c>
      <c r="G79" s="57" t="s">
        <v>197</v>
      </c>
      <c r="H79" s="70" t="s">
        <v>197</v>
      </c>
      <c r="I79" s="100"/>
    </row>
    <row r="80" spans="1:9" ht="12.95" customHeight="1">
      <c r="A80" s="27"/>
      <c r="B80" s="99" t="s">
        <v>392</v>
      </c>
      <c r="C80" s="97"/>
      <c r="D80" s="97"/>
      <c r="E80" s="57" t="s">
        <v>197</v>
      </c>
      <c r="F80" s="57" t="s">
        <v>197</v>
      </c>
      <c r="G80" s="57" t="s">
        <v>197</v>
      </c>
      <c r="H80" s="70" t="s">
        <v>197</v>
      </c>
      <c r="I80" s="100"/>
    </row>
    <row r="81" spans="1:9" ht="12.95" customHeight="1">
      <c r="A81" s="27"/>
      <c r="B81" s="99"/>
      <c r="C81" s="97"/>
      <c r="D81" s="97"/>
      <c r="E81" s="57"/>
      <c r="F81" s="57"/>
      <c r="G81" s="57"/>
      <c r="H81" s="70"/>
      <c r="I81" s="100"/>
    </row>
    <row r="82" spans="1:9" ht="12.95" customHeight="1">
      <c r="A82" s="27"/>
      <c r="B82" s="63" t="s">
        <v>11</v>
      </c>
      <c r="C82" s="16"/>
      <c r="D82" s="16"/>
      <c r="E82" s="16"/>
      <c r="F82" s="17"/>
      <c r="G82" s="56"/>
      <c r="H82" s="70"/>
      <c r="I82" s="100"/>
    </row>
    <row r="83" spans="1:9" ht="12.95" customHeight="1">
      <c r="A83" s="27"/>
      <c r="B83" s="64" t="s">
        <v>37</v>
      </c>
      <c r="C83" s="16" t="s">
        <v>1</v>
      </c>
      <c r="D83" s="16" t="s">
        <v>1</v>
      </c>
      <c r="E83" s="16" t="s">
        <v>1</v>
      </c>
      <c r="F83" s="49" t="s">
        <v>1</v>
      </c>
      <c r="G83" s="50"/>
      <c r="H83" s="67" t="s">
        <v>1</v>
      </c>
      <c r="I83" s="39" t="s">
        <v>1</v>
      </c>
    </row>
    <row r="84" spans="1:9" ht="12.95" customHeight="1">
      <c r="A84" s="29"/>
      <c r="B84" s="68" t="s">
        <v>38</v>
      </c>
      <c r="C84" s="16" t="s">
        <v>1</v>
      </c>
      <c r="D84" s="16" t="s">
        <v>39</v>
      </c>
      <c r="E84" s="52"/>
      <c r="F84" s="53">
        <v>2758.5960500000001</v>
      </c>
      <c r="G84" s="54">
        <v>2758.6</v>
      </c>
      <c r="H84" s="69">
        <v>3.0800774926256935E-2</v>
      </c>
      <c r="I84" s="2">
        <v>3.0800000000000001E-2</v>
      </c>
    </row>
    <row r="85" spans="1:9" ht="12.95" customHeight="1">
      <c r="A85" s="27"/>
      <c r="B85" s="64" t="s">
        <v>31</v>
      </c>
      <c r="C85" s="16" t="s">
        <v>1</v>
      </c>
      <c r="D85" s="16" t="s">
        <v>1</v>
      </c>
      <c r="E85" s="16" t="s">
        <v>1</v>
      </c>
      <c r="F85" s="17">
        <v>2758.5960500000001</v>
      </c>
      <c r="G85" s="56">
        <v>2758.6</v>
      </c>
      <c r="H85" s="70">
        <v>3.0800774926256935E-2</v>
      </c>
      <c r="I85" s="41">
        <v>3.0800000000000001E-2</v>
      </c>
    </row>
    <row r="86" spans="1:9" ht="12.95" customHeight="1">
      <c r="A86" s="27"/>
      <c r="B86" s="64"/>
      <c r="C86" s="16"/>
      <c r="D86" s="16"/>
      <c r="E86" s="16"/>
      <c r="F86" s="17"/>
      <c r="G86" s="56"/>
      <c r="H86" s="70"/>
      <c r="I86" s="41"/>
    </row>
    <row r="87" spans="1:9" ht="12.95" customHeight="1">
      <c r="A87" s="27"/>
      <c r="B87" s="111" t="s">
        <v>408</v>
      </c>
      <c r="C87" s="16"/>
      <c r="D87" s="16"/>
      <c r="E87" s="16"/>
      <c r="F87" s="17"/>
      <c r="G87" s="56"/>
      <c r="H87" s="70"/>
      <c r="I87" s="41"/>
    </row>
    <row r="88" spans="1:9" ht="12.95" customHeight="1">
      <c r="A88" s="27"/>
      <c r="B88" s="64" t="s">
        <v>40</v>
      </c>
      <c r="C88" s="16" t="s">
        <v>1</v>
      </c>
      <c r="D88" s="16" t="s">
        <v>1</v>
      </c>
      <c r="E88" s="16" t="s">
        <v>1</v>
      </c>
      <c r="F88" s="20">
        <v>258.34420340610001</v>
      </c>
      <c r="G88" s="66">
        <v>258.33</v>
      </c>
      <c r="H88" s="71">
        <v>2.8845113667932188E-3</v>
      </c>
      <c r="I88" s="41">
        <v>3.0000000000000001E-3</v>
      </c>
    </row>
    <row r="89" spans="1:9" ht="12.95" customHeight="1">
      <c r="A89" s="27"/>
      <c r="B89" s="64" t="s">
        <v>31</v>
      </c>
      <c r="C89" s="16"/>
      <c r="D89" s="16"/>
      <c r="E89" s="16"/>
      <c r="F89" s="17">
        <v>258.34420340610001</v>
      </c>
      <c r="G89" s="56">
        <v>258.33</v>
      </c>
      <c r="H89" s="70">
        <v>2.8845113667932188E-3</v>
      </c>
      <c r="I89" s="61"/>
    </row>
    <row r="90" spans="1:9" ht="12.95" customHeight="1" thickBot="1">
      <c r="A90" s="27"/>
      <c r="B90" s="65" t="s">
        <v>36</v>
      </c>
      <c r="C90" s="24"/>
      <c r="D90" s="24"/>
      <c r="E90" s="24"/>
      <c r="F90" s="25">
        <f>F85+F89</f>
        <v>3016.9402534061001</v>
      </c>
      <c r="G90" s="25">
        <f t="shared" ref="G90:H90" si="0">G85+G89</f>
        <v>3016.93</v>
      </c>
      <c r="H90" s="102">
        <f t="shared" si="0"/>
        <v>3.3685286293050155E-2</v>
      </c>
      <c r="I90" s="61"/>
    </row>
    <row r="91" spans="1:9" ht="12.95" customHeight="1" thickBot="1">
      <c r="A91" s="27"/>
      <c r="B91" s="103" t="s">
        <v>41</v>
      </c>
      <c r="C91" s="104" t="s">
        <v>1</v>
      </c>
      <c r="D91" s="104" t="s">
        <v>1</v>
      </c>
      <c r="E91" s="104" t="s">
        <v>1</v>
      </c>
      <c r="F91" s="105">
        <v>89562.553429406107</v>
      </c>
      <c r="G91" s="106">
        <v>89562.55</v>
      </c>
      <c r="H91" s="107">
        <v>1</v>
      </c>
      <c r="I91" s="44">
        <v>1</v>
      </c>
    </row>
    <row r="92" spans="1:9" s="30" customFormat="1" ht="12.95" customHeight="1">
      <c r="A92" s="27"/>
      <c r="B92" s="28" t="s">
        <v>1</v>
      </c>
      <c r="C92" s="27"/>
      <c r="D92" s="27"/>
      <c r="E92" s="27"/>
      <c r="F92" s="33"/>
      <c r="G92" s="27"/>
      <c r="H92" s="34"/>
      <c r="I92" s="27"/>
    </row>
    <row r="93" spans="1:9" s="30" customFormat="1" ht="12.95" customHeight="1">
      <c r="A93" s="27"/>
      <c r="B93" s="90" t="s">
        <v>369</v>
      </c>
      <c r="C93" s="91"/>
      <c r="D93" s="27"/>
      <c r="E93" s="27"/>
      <c r="F93" s="33"/>
      <c r="G93" s="27"/>
      <c r="H93" s="34"/>
      <c r="I93" s="27"/>
    </row>
    <row r="94" spans="1:9" s="30" customFormat="1" ht="12.95" customHeight="1">
      <c r="A94" s="27"/>
      <c r="B94" s="90" t="s">
        <v>394</v>
      </c>
      <c r="C94" s="91"/>
      <c r="D94" s="27"/>
      <c r="E94" s="27"/>
      <c r="F94" s="33"/>
      <c r="G94" s="27"/>
      <c r="H94" s="34"/>
      <c r="I94" s="27"/>
    </row>
    <row r="95" spans="1:9" s="30" customFormat="1" ht="12.95" customHeight="1" thickBot="1">
      <c r="A95" s="27"/>
      <c r="B95" s="90" t="s">
        <v>1</v>
      </c>
      <c r="C95" s="91"/>
      <c r="D95" s="27"/>
      <c r="E95" s="27"/>
      <c r="F95" s="33"/>
      <c r="G95" s="27"/>
      <c r="H95" s="34"/>
      <c r="I95" s="27"/>
    </row>
    <row r="96" spans="1:9" s="30" customFormat="1" ht="13.5" thickBot="1">
      <c r="B96" s="108" t="s">
        <v>405</v>
      </c>
      <c r="C96" s="93">
        <v>0.74550000000000005</v>
      </c>
      <c r="F96" s="36"/>
      <c r="H96" s="37"/>
    </row>
    <row r="97" spans="2:8" s="30" customFormat="1">
      <c r="B97" s="91" t="s">
        <v>406</v>
      </c>
      <c r="C97" s="91"/>
      <c r="F97" s="36"/>
      <c r="H97" s="37"/>
    </row>
    <row r="98" spans="2:8" s="30" customFormat="1">
      <c r="F98" s="36"/>
      <c r="H98" s="37"/>
    </row>
    <row r="99" spans="2:8" s="30" customFormat="1">
      <c r="F99" s="36"/>
      <c r="H99" s="37"/>
    </row>
    <row r="100" spans="2:8" s="30" customFormat="1">
      <c r="F100" s="36"/>
      <c r="H100" s="37"/>
    </row>
    <row r="101" spans="2:8" s="30" customFormat="1">
      <c r="F101" s="36"/>
      <c r="H101" s="37"/>
    </row>
    <row r="102" spans="2:8" s="30" customFormat="1">
      <c r="F102" s="36"/>
      <c r="H102" s="37"/>
    </row>
    <row r="103" spans="2:8" s="30" customFormat="1">
      <c r="F103" s="36"/>
      <c r="H103" s="37"/>
    </row>
    <row r="104" spans="2:8" s="30" customFormat="1">
      <c r="F104" s="36"/>
      <c r="H104" s="37"/>
    </row>
    <row r="105" spans="2:8" s="30" customFormat="1">
      <c r="F105" s="36"/>
      <c r="H105" s="37"/>
    </row>
    <row r="106" spans="2:8" s="30" customFormat="1">
      <c r="F106" s="36"/>
      <c r="H106" s="37"/>
    </row>
    <row r="107" spans="2:8" s="30" customFormat="1">
      <c r="F107" s="36"/>
      <c r="H107" s="37"/>
    </row>
    <row r="108" spans="2:8" s="30" customFormat="1">
      <c r="F108" s="36"/>
      <c r="H108" s="37"/>
    </row>
    <row r="109" spans="2:8" s="30" customFormat="1">
      <c r="F109" s="36"/>
      <c r="H109" s="37"/>
    </row>
    <row r="110" spans="2:8" s="30" customFormat="1">
      <c r="F110" s="36"/>
      <c r="H110" s="37"/>
    </row>
    <row r="111" spans="2:8" s="30" customFormat="1">
      <c r="F111" s="36"/>
      <c r="H111" s="37"/>
    </row>
    <row r="112" spans="2:8" s="30" customFormat="1">
      <c r="F112" s="36"/>
      <c r="H112" s="37"/>
    </row>
    <row r="113" spans="6:8" s="30" customFormat="1">
      <c r="F113" s="36"/>
      <c r="H113" s="37"/>
    </row>
    <row r="114" spans="6:8" s="30" customFormat="1">
      <c r="F114" s="36"/>
      <c r="H114" s="37"/>
    </row>
    <row r="115" spans="6:8" s="30" customFormat="1">
      <c r="F115" s="36"/>
      <c r="H115" s="37"/>
    </row>
    <row r="116" spans="6:8" s="30" customFormat="1">
      <c r="F116" s="36"/>
      <c r="H116" s="37"/>
    </row>
    <row r="117" spans="6:8" s="30" customFormat="1">
      <c r="F117" s="36"/>
      <c r="H117" s="37"/>
    </row>
    <row r="118" spans="6:8" s="30" customFormat="1">
      <c r="F118" s="36"/>
      <c r="H118" s="37"/>
    </row>
    <row r="119" spans="6:8" s="30" customFormat="1">
      <c r="F119" s="36"/>
      <c r="H119" s="37"/>
    </row>
    <row r="120" spans="6:8" s="30" customFormat="1">
      <c r="F120" s="36"/>
      <c r="H120" s="37"/>
    </row>
    <row r="121" spans="6:8" s="30" customFormat="1">
      <c r="F121" s="36"/>
      <c r="H121" s="37"/>
    </row>
    <row r="122" spans="6:8" s="30" customFormat="1">
      <c r="F122" s="36"/>
      <c r="H122" s="37"/>
    </row>
    <row r="123" spans="6:8" s="30" customFormat="1">
      <c r="F123" s="36"/>
      <c r="H123" s="37"/>
    </row>
    <row r="124" spans="6:8" s="30" customFormat="1">
      <c r="F124" s="36"/>
      <c r="H124" s="37"/>
    </row>
    <row r="125" spans="6:8" s="30" customFormat="1">
      <c r="F125" s="36"/>
      <c r="H125" s="37"/>
    </row>
    <row r="126" spans="6:8" s="30" customFormat="1">
      <c r="F126" s="36"/>
      <c r="H126" s="37"/>
    </row>
    <row r="127" spans="6:8" s="30" customFormat="1">
      <c r="F127" s="36"/>
      <c r="H127" s="37"/>
    </row>
    <row r="128" spans="6:8" s="30" customFormat="1">
      <c r="F128" s="36"/>
      <c r="H128" s="37"/>
    </row>
    <row r="129" spans="6:8" s="30" customFormat="1">
      <c r="F129" s="36"/>
      <c r="H129" s="37"/>
    </row>
    <row r="130" spans="6:8" s="30" customFormat="1">
      <c r="F130" s="36"/>
      <c r="H130" s="37"/>
    </row>
    <row r="131" spans="6:8" s="30" customFormat="1">
      <c r="F131" s="36"/>
      <c r="H131" s="37"/>
    </row>
    <row r="132" spans="6:8" s="30" customFormat="1">
      <c r="F132" s="36"/>
      <c r="H132" s="37"/>
    </row>
    <row r="133" spans="6:8" s="30" customFormat="1">
      <c r="F133" s="36"/>
      <c r="H133" s="37"/>
    </row>
    <row r="134" spans="6:8" s="30" customFormat="1">
      <c r="F134" s="36"/>
      <c r="H134" s="37"/>
    </row>
    <row r="135" spans="6:8" s="30" customFormat="1">
      <c r="F135" s="36"/>
      <c r="H135" s="37"/>
    </row>
    <row r="136" spans="6:8" s="30" customFormat="1">
      <c r="F136" s="36"/>
      <c r="H136" s="37"/>
    </row>
    <row r="137" spans="6:8" s="30" customFormat="1">
      <c r="F137" s="36"/>
      <c r="H137" s="37"/>
    </row>
    <row r="138" spans="6:8" s="30" customFormat="1">
      <c r="F138" s="36"/>
      <c r="H138" s="37"/>
    </row>
    <row r="139" spans="6:8" s="30" customFormat="1">
      <c r="F139" s="36"/>
      <c r="H139" s="37"/>
    </row>
    <row r="140" spans="6:8" s="30" customFormat="1">
      <c r="F140" s="36"/>
      <c r="H140" s="37"/>
    </row>
    <row r="141" spans="6:8" s="30" customFormat="1">
      <c r="F141" s="36"/>
      <c r="H141" s="37"/>
    </row>
    <row r="142" spans="6:8" s="30" customFormat="1">
      <c r="F142" s="36"/>
      <c r="H142" s="37"/>
    </row>
    <row r="143" spans="6:8" s="30" customFormat="1">
      <c r="F143" s="36"/>
      <c r="H143" s="37"/>
    </row>
    <row r="144" spans="6:8" s="30" customFormat="1">
      <c r="F144" s="36"/>
      <c r="H144" s="37"/>
    </row>
    <row r="145" spans="6:8" s="30" customFormat="1">
      <c r="F145" s="36"/>
      <c r="H145" s="37"/>
    </row>
    <row r="146" spans="6:8" s="30" customFormat="1">
      <c r="F146" s="36"/>
      <c r="H146" s="37"/>
    </row>
    <row r="147" spans="6:8" s="30" customFormat="1">
      <c r="F147" s="36"/>
      <c r="H147" s="37"/>
    </row>
    <row r="148" spans="6:8" s="30" customFormat="1">
      <c r="F148" s="36"/>
      <c r="H148" s="37"/>
    </row>
    <row r="149" spans="6:8" s="30" customFormat="1">
      <c r="F149" s="36"/>
      <c r="H149" s="37"/>
    </row>
    <row r="150" spans="6:8" s="30" customFormat="1">
      <c r="F150" s="36"/>
      <c r="H150" s="37"/>
    </row>
    <row r="151" spans="6:8" s="30" customFormat="1">
      <c r="F151" s="36"/>
      <c r="H151" s="37"/>
    </row>
    <row r="152" spans="6:8" s="30" customFormat="1">
      <c r="F152" s="36"/>
      <c r="H152" s="37"/>
    </row>
    <row r="153" spans="6:8" s="30" customFormat="1">
      <c r="F153" s="36"/>
      <c r="H153" s="37"/>
    </row>
    <row r="154" spans="6:8" s="30" customFormat="1">
      <c r="F154" s="36"/>
      <c r="H154" s="37"/>
    </row>
    <row r="155" spans="6:8" s="30" customFormat="1">
      <c r="F155" s="36"/>
      <c r="H155" s="37"/>
    </row>
    <row r="156" spans="6:8" s="30" customFormat="1">
      <c r="F156" s="36"/>
      <c r="H156" s="37"/>
    </row>
    <row r="157" spans="6:8" s="30" customFormat="1">
      <c r="F157" s="36"/>
      <c r="H157" s="37"/>
    </row>
    <row r="158" spans="6:8" s="30" customFormat="1">
      <c r="F158" s="36"/>
      <c r="H158" s="37"/>
    </row>
    <row r="159" spans="6:8" s="30" customFormat="1">
      <c r="F159" s="36"/>
      <c r="H159" s="37"/>
    </row>
    <row r="160" spans="6:8" s="30" customFormat="1">
      <c r="F160" s="36"/>
      <c r="H160" s="37"/>
    </row>
    <row r="161" spans="6:8" s="30" customFormat="1">
      <c r="F161" s="36"/>
      <c r="H161" s="37"/>
    </row>
    <row r="162" spans="6:8" s="30" customFormat="1">
      <c r="F162" s="36"/>
      <c r="H162" s="37"/>
    </row>
    <row r="163" spans="6:8" s="30" customFormat="1">
      <c r="F163" s="36"/>
      <c r="H163" s="37"/>
    </row>
    <row r="164" spans="6:8" s="30" customFormat="1">
      <c r="F164" s="36"/>
      <c r="H164" s="37"/>
    </row>
    <row r="165" spans="6:8" s="30" customFormat="1">
      <c r="F165" s="36"/>
      <c r="H165" s="37"/>
    </row>
    <row r="166" spans="6:8" s="30" customFormat="1">
      <c r="F166" s="36"/>
      <c r="H166" s="37"/>
    </row>
    <row r="167" spans="6:8" s="30" customFormat="1">
      <c r="F167" s="36"/>
      <c r="H167" s="37"/>
    </row>
    <row r="168" spans="6:8" s="30" customFormat="1">
      <c r="F168" s="36"/>
      <c r="H168" s="37"/>
    </row>
    <row r="169" spans="6:8" s="30" customFormat="1">
      <c r="F169" s="36"/>
      <c r="H169" s="37"/>
    </row>
    <row r="170" spans="6:8" s="30" customFormat="1">
      <c r="F170" s="36"/>
      <c r="H170" s="37"/>
    </row>
    <row r="171" spans="6:8" s="30" customFormat="1">
      <c r="F171" s="36"/>
      <c r="H171" s="37"/>
    </row>
    <row r="172" spans="6:8" s="30" customFormat="1">
      <c r="F172" s="36"/>
      <c r="H172" s="37"/>
    </row>
    <row r="173" spans="6:8" s="30" customFormat="1">
      <c r="F173" s="36"/>
      <c r="H173" s="37"/>
    </row>
    <row r="174" spans="6:8" s="30" customFormat="1">
      <c r="F174" s="36"/>
      <c r="H174" s="37"/>
    </row>
    <row r="175" spans="6:8" s="30" customFormat="1">
      <c r="F175" s="36"/>
      <c r="H175" s="37"/>
    </row>
    <row r="176" spans="6:8" s="30" customFormat="1">
      <c r="F176" s="36"/>
      <c r="H176" s="37"/>
    </row>
    <row r="177" spans="6:8" s="30" customFormat="1">
      <c r="F177" s="36"/>
      <c r="H177" s="37"/>
    </row>
    <row r="178" spans="6:8" s="30" customFormat="1">
      <c r="F178" s="36"/>
      <c r="H178" s="37"/>
    </row>
    <row r="179" spans="6:8" s="30" customFormat="1">
      <c r="F179" s="36"/>
      <c r="H179" s="37"/>
    </row>
    <row r="180" spans="6:8" s="30" customFormat="1">
      <c r="F180" s="36"/>
      <c r="H180" s="37"/>
    </row>
    <row r="181" spans="6:8" s="30" customFormat="1">
      <c r="F181" s="36"/>
      <c r="H181" s="37"/>
    </row>
    <row r="182" spans="6:8" s="30" customFormat="1">
      <c r="F182" s="36"/>
      <c r="H182" s="37"/>
    </row>
    <row r="183" spans="6:8" s="30" customFormat="1">
      <c r="F183" s="36"/>
      <c r="H183" s="37"/>
    </row>
    <row r="184" spans="6:8" s="30" customFormat="1">
      <c r="F184" s="36"/>
      <c r="H184" s="37"/>
    </row>
    <row r="185" spans="6:8" s="30" customFormat="1">
      <c r="F185" s="36"/>
      <c r="H185" s="37"/>
    </row>
    <row r="186" spans="6:8" s="30" customFormat="1">
      <c r="F186" s="36"/>
      <c r="H186" s="37"/>
    </row>
    <row r="187" spans="6:8" s="30" customFormat="1">
      <c r="F187" s="36"/>
      <c r="H187" s="37"/>
    </row>
    <row r="188" spans="6:8" s="30" customFormat="1">
      <c r="F188" s="36"/>
      <c r="H188" s="37"/>
    </row>
    <row r="189" spans="6:8" s="30" customFormat="1">
      <c r="F189" s="36"/>
      <c r="H189" s="37"/>
    </row>
    <row r="190" spans="6:8" s="30" customFormat="1">
      <c r="F190" s="36"/>
      <c r="H190" s="37"/>
    </row>
    <row r="191" spans="6:8" s="30" customFormat="1">
      <c r="F191" s="36"/>
      <c r="H191" s="37"/>
    </row>
    <row r="192" spans="6:8" s="30" customFormat="1">
      <c r="F192" s="36"/>
      <c r="H192" s="37"/>
    </row>
    <row r="193" spans="6:8" s="30" customFormat="1">
      <c r="F193" s="36"/>
      <c r="H193" s="37"/>
    </row>
    <row r="194" spans="6:8" s="30" customFormat="1">
      <c r="F194" s="36"/>
      <c r="H194" s="37"/>
    </row>
    <row r="195" spans="6:8" s="30" customFormat="1">
      <c r="F195" s="36"/>
      <c r="H195" s="37"/>
    </row>
    <row r="196" spans="6:8" s="30" customFormat="1">
      <c r="F196" s="36"/>
      <c r="H196" s="37"/>
    </row>
    <row r="197" spans="6:8" s="30" customFormat="1">
      <c r="F197" s="36"/>
      <c r="H197" s="37"/>
    </row>
    <row r="198" spans="6:8" s="30" customFormat="1">
      <c r="F198" s="36"/>
      <c r="H198" s="37"/>
    </row>
    <row r="199" spans="6:8" s="30" customFormat="1">
      <c r="F199" s="36"/>
      <c r="H199" s="37"/>
    </row>
    <row r="200" spans="6:8" s="30" customFormat="1">
      <c r="F200" s="36"/>
      <c r="H200" s="37"/>
    </row>
    <row r="201" spans="6:8" s="30" customFormat="1">
      <c r="F201" s="36"/>
      <c r="H201" s="37"/>
    </row>
    <row r="202" spans="6:8" s="30" customFormat="1">
      <c r="F202" s="36"/>
      <c r="H202" s="37"/>
    </row>
    <row r="203" spans="6:8" s="30" customFormat="1">
      <c r="F203" s="36"/>
      <c r="H203" s="37"/>
    </row>
    <row r="204" spans="6:8" s="30" customFormat="1">
      <c r="F204" s="36"/>
      <c r="H204" s="37"/>
    </row>
    <row r="205" spans="6:8" s="30" customFormat="1">
      <c r="F205" s="36"/>
      <c r="H205" s="37"/>
    </row>
    <row r="206" spans="6:8" s="30" customFormat="1">
      <c r="F206" s="36"/>
      <c r="H206" s="37"/>
    </row>
    <row r="207" spans="6:8" s="30" customFormat="1">
      <c r="F207" s="36"/>
      <c r="H207" s="37"/>
    </row>
    <row r="208" spans="6:8" s="30" customFormat="1">
      <c r="F208" s="36"/>
      <c r="H208" s="37"/>
    </row>
    <row r="209" spans="6:8" s="30" customFormat="1">
      <c r="F209" s="36"/>
      <c r="H209" s="37"/>
    </row>
    <row r="210" spans="6:8" s="30" customFormat="1">
      <c r="F210" s="36"/>
      <c r="H210" s="37"/>
    </row>
    <row r="211" spans="6:8" s="30" customFormat="1">
      <c r="F211" s="36"/>
      <c r="H211" s="37"/>
    </row>
    <row r="212" spans="6:8" s="30" customFormat="1">
      <c r="F212" s="36"/>
      <c r="H212" s="37"/>
    </row>
    <row r="213" spans="6:8" s="30" customFormat="1">
      <c r="F213" s="36"/>
      <c r="H213" s="37"/>
    </row>
    <row r="214" spans="6:8" s="30" customFormat="1">
      <c r="F214" s="36"/>
      <c r="H214" s="37"/>
    </row>
    <row r="215" spans="6:8" s="30" customFormat="1">
      <c r="F215" s="36"/>
      <c r="H215" s="37"/>
    </row>
    <row r="216" spans="6:8" s="30" customFormat="1">
      <c r="F216" s="36"/>
      <c r="H216" s="37"/>
    </row>
    <row r="217" spans="6:8" s="30" customFormat="1">
      <c r="F217" s="36"/>
      <c r="H217" s="37"/>
    </row>
    <row r="218" spans="6:8" s="30" customFormat="1">
      <c r="F218" s="36"/>
      <c r="H218" s="37"/>
    </row>
    <row r="219" spans="6:8" s="30" customFormat="1">
      <c r="F219" s="36"/>
      <c r="H219" s="37"/>
    </row>
    <row r="220" spans="6:8" s="30" customFormat="1">
      <c r="F220" s="36"/>
      <c r="H220" s="37"/>
    </row>
    <row r="221" spans="6:8" s="30" customFormat="1">
      <c r="F221" s="36"/>
      <c r="H221" s="37"/>
    </row>
    <row r="222" spans="6:8" s="30" customFormat="1">
      <c r="F222" s="36"/>
      <c r="H222" s="37"/>
    </row>
    <row r="223" spans="6:8" s="30" customFormat="1">
      <c r="F223" s="36"/>
      <c r="H223" s="37"/>
    </row>
    <row r="224" spans="6:8" s="30" customFormat="1">
      <c r="F224" s="36"/>
      <c r="H224" s="37"/>
    </row>
    <row r="225" spans="6:8" s="30" customFormat="1">
      <c r="F225" s="36"/>
      <c r="H225" s="37"/>
    </row>
    <row r="226" spans="6:8" s="30" customFormat="1">
      <c r="F226" s="36"/>
      <c r="H226" s="37"/>
    </row>
    <row r="227" spans="6:8" s="30" customFormat="1">
      <c r="F227" s="36"/>
      <c r="H227" s="37"/>
    </row>
    <row r="228" spans="6:8" s="30" customFormat="1">
      <c r="F228" s="36"/>
      <c r="H228" s="37"/>
    </row>
    <row r="229" spans="6:8" s="30" customFormat="1">
      <c r="F229" s="36"/>
      <c r="H229" s="37"/>
    </row>
    <row r="230" spans="6:8" s="30" customFormat="1">
      <c r="F230" s="36"/>
      <c r="H230" s="37"/>
    </row>
    <row r="231" spans="6:8" s="30" customFormat="1">
      <c r="F231" s="36"/>
      <c r="H231" s="37"/>
    </row>
    <row r="232" spans="6:8" s="30" customFormat="1">
      <c r="F232" s="36"/>
      <c r="H232" s="37"/>
    </row>
    <row r="233" spans="6:8" s="30" customFormat="1">
      <c r="F233" s="36"/>
      <c r="H233" s="37"/>
    </row>
    <row r="234" spans="6:8" s="30" customFormat="1">
      <c r="F234" s="36"/>
      <c r="H234" s="37"/>
    </row>
    <row r="235" spans="6:8" s="30" customFormat="1">
      <c r="F235" s="36"/>
      <c r="H235" s="37"/>
    </row>
    <row r="236" spans="6:8" s="30" customFormat="1">
      <c r="F236" s="36"/>
      <c r="H236" s="37"/>
    </row>
    <row r="237" spans="6:8" s="30" customFormat="1">
      <c r="F237" s="36"/>
      <c r="H237" s="37"/>
    </row>
    <row r="238" spans="6:8" s="30" customFormat="1">
      <c r="F238" s="36"/>
      <c r="H238" s="37"/>
    </row>
    <row r="239" spans="6:8" s="30" customFormat="1">
      <c r="F239" s="36"/>
      <c r="H239" s="37"/>
    </row>
    <row r="240" spans="6:8" s="30" customFormat="1">
      <c r="F240" s="36"/>
      <c r="H240" s="37"/>
    </row>
    <row r="241" spans="6:8" s="30" customFormat="1">
      <c r="F241" s="36"/>
      <c r="H241" s="37"/>
    </row>
    <row r="242" spans="6:8" s="30" customFormat="1">
      <c r="F242" s="36"/>
      <c r="H242" s="37"/>
    </row>
    <row r="243" spans="6:8" s="30" customFormat="1">
      <c r="F243" s="36"/>
      <c r="H243" s="37"/>
    </row>
    <row r="244" spans="6:8" s="30" customFormat="1">
      <c r="F244" s="36"/>
      <c r="H244" s="37"/>
    </row>
    <row r="245" spans="6:8" s="30" customFormat="1">
      <c r="F245" s="36"/>
      <c r="H245" s="37"/>
    </row>
    <row r="246" spans="6:8" s="30" customFormat="1">
      <c r="F246" s="36"/>
      <c r="H246" s="37"/>
    </row>
    <row r="247" spans="6:8" s="30" customFormat="1">
      <c r="F247" s="36"/>
      <c r="H247" s="37"/>
    </row>
    <row r="248" spans="6:8" s="30" customFormat="1">
      <c r="F248" s="36"/>
      <c r="H248" s="37"/>
    </row>
    <row r="249" spans="6:8" s="30" customFormat="1">
      <c r="F249" s="36"/>
      <c r="H249" s="37"/>
    </row>
    <row r="250" spans="6:8" s="30" customFormat="1">
      <c r="F250" s="36"/>
      <c r="H250" s="37"/>
    </row>
    <row r="251" spans="6:8" s="30" customFormat="1">
      <c r="F251" s="36"/>
      <c r="H251" s="37"/>
    </row>
    <row r="252" spans="6:8" s="30" customFormat="1">
      <c r="F252" s="36"/>
      <c r="H252" s="37"/>
    </row>
    <row r="253" spans="6:8" s="30" customFormat="1">
      <c r="F253" s="36"/>
      <c r="H253" s="37"/>
    </row>
    <row r="254" spans="6:8" s="30" customFormat="1">
      <c r="F254" s="36"/>
      <c r="H254" s="37"/>
    </row>
    <row r="255" spans="6:8" s="30" customFormat="1">
      <c r="F255" s="36"/>
      <c r="H255" s="37"/>
    </row>
    <row r="256" spans="6:8" s="30" customFormat="1">
      <c r="F256" s="36"/>
      <c r="H256" s="37"/>
    </row>
    <row r="257" spans="6:8" s="30" customFormat="1">
      <c r="F257" s="36"/>
      <c r="H257" s="37"/>
    </row>
    <row r="258" spans="6:8" s="30" customFormat="1">
      <c r="F258" s="36"/>
      <c r="H258" s="37"/>
    </row>
    <row r="259" spans="6:8" s="30" customFormat="1">
      <c r="F259" s="36"/>
      <c r="H259" s="37"/>
    </row>
    <row r="260" spans="6:8" s="30" customFormat="1">
      <c r="F260" s="36"/>
      <c r="H260" s="37"/>
    </row>
    <row r="261" spans="6:8" s="30" customFormat="1">
      <c r="F261" s="36"/>
      <c r="H261" s="37"/>
    </row>
    <row r="262" spans="6:8" s="30" customFormat="1">
      <c r="F262" s="36"/>
      <c r="H262" s="37"/>
    </row>
    <row r="263" spans="6:8" s="30" customFormat="1">
      <c r="F263" s="36"/>
      <c r="H263" s="37"/>
    </row>
    <row r="264" spans="6:8" s="30" customFormat="1">
      <c r="F264" s="36"/>
      <c r="H264" s="37"/>
    </row>
    <row r="265" spans="6:8" s="30" customFormat="1">
      <c r="F265" s="36"/>
      <c r="H265" s="37"/>
    </row>
    <row r="266" spans="6:8" s="30" customFormat="1">
      <c r="F266" s="36"/>
      <c r="H266" s="37"/>
    </row>
    <row r="267" spans="6:8" s="30" customFormat="1">
      <c r="F267" s="36"/>
      <c r="H267" s="37"/>
    </row>
    <row r="268" spans="6:8" s="30" customFormat="1">
      <c r="F268" s="36"/>
      <c r="H268" s="37"/>
    </row>
    <row r="269" spans="6:8" s="30" customFormat="1">
      <c r="F269" s="36"/>
      <c r="H269" s="37"/>
    </row>
    <row r="270" spans="6:8" s="30" customFormat="1">
      <c r="F270" s="36"/>
      <c r="H270" s="37"/>
    </row>
    <row r="271" spans="6:8" s="30" customFormat="1">
      <c r="F271" s="36"/>
      <c r="H271" s="37"/>
    </row>
    <row r="272" spans="6:8" s="30" customFormat="1">
      <c r="F272" s="36"/>
      <c r="H272" s="37"/>
    </row>
    <row r="273" spans="6:8" s="30" customFormat="1">
      <c r="F273" s="36"/>
      <c r="H273" s="37"/>
    </row>
    <row r="274" spans="6:8" s="30" customFormat="1">
      <c r="F274" s="36"/>
      <c r="H274" s="37"/>
    </row>
    <row r="275" spans="6:8" s="30" customFormat="1">
      <c r="F275" s="36"/>
      <c r="H275" s="37"/>
    </row>
    <row r="276" spans="6:8" s="30" customFormat="1">
      <c r="F276" s="36"/>
      <c r="H276" s="37"/>
    </row>
    <row r="277" spans="6:8" s="30" customFormat="1">
      <c r="F277" s="36"/>
      <c r="H277" s="37"/>
    </row>
    <row r="278" spans="6:8" s="30" customFormat="1">
      <c r="F278" s="36"/>
      <c r="H278" s="37"/>
    </row>
    <row r="279" spans="6:8" s="30" customFormat="1">
      <c r="F279" s="36"/>
      <c r="H279" s="37"/>
    </row>
    <row r="280" spans="6:8" s="30" customFormat="1">
      <c r="F280" s="36"/>
      <c r="H280" s="37"/>
    </row>
    <row r="281" spans="6:8" s="30" customFormat="1">
      <c r="F281" s="36"/>
      <c r="H281" s="37"/>
    </row>
    <row r="282" spans="6:8" s="30" customFormat="1">
      <c r="F282" s="36"/>
      <c r="H282" s="37"/>
    </row>
    <row r="283" spans="6:8" s="30" customFormat="1">
      <c r="F283" s="36"/>
      <c r="H283" s="37"/>
    </row>
    <row r="284" spans="6:8" s="30" customFormat="1">
      <c r="F284" s="36"/>
      <c r="H284" s="37"/>
    </row>
    <row r="285" spans="6:8" s="30" customFormat="1">
      <c r="F285" s="36"/>
      <c r="H285" s="37"/>
    </row>
    <row r="286" spans="6:8" s="30" customFormat="1">
      <c r="F286" s="36"/>
      <c r="H286" s="37"/>
    </row>
    <row r="287" spans="6:8" s="30" customFormat="1">
      <c r="F287" s="36"/>
      <c r="H287" s="37"/>
    </row>
    <row r="288" spans="6:8" s="30" customFormat="1">
      <c r="F288" s="36"/>
      <c r="H288" s="37"/>
    </row>
    <row r="289" spans="6:8" s="30" customFormat="1">
      <c r="F289" s="36"/>
      <c r="H289" s="37"/>
    </row>
    <row r="290" spans="6:8" s="30" customFormat="1">
      <c r="F290" s="36"/>
      <c r="H290" s="37"/>
    </row>
    <row r="291" spans="6:8" s="30" customFormat="1">
      <c r="F291" s="36"/>
      <c r="H291" s="37"/>
    </row>
    <row r="292" spans="6:8" s="30" customFormat="1">
      <c r="F292" s="36"/>
      <c r="H292" s="37"/>
    </row>
    <row r="293" spans="6:8" s="30" customFormat="1">
      <c r="F293" s="36"/>
      <c r="H293" s="37"/>
    </row>
    <row r="294" spans="6:8" s="30" customFormat="1">
      <c r="F294" s="36"/>
      <c r="H294" s="37"/>
    </row>
    <row r="295" spans="6:8" s="30" customFormat="1">
      <c r="F295" s="36"/>
      <c r="H295" s="37"/>
    </row>
    <row r="296" spans="6:8" s="30" customFormat="1">
      <c r="F296" s="36"/>
      <c r="H296" s="37"/>
    </row>
    <row r="297" spans="6:8" s="30" customFormat="1">
      <c r="F297" s="36"/>
      <c r="H297" s="37"/>
    </row>
    <row r="298" spans="6:8" s="30" customFormat="1">
      <c r="F298" s="36"/>
      <c r="H298" s="37"/>
    </row>
    <row r="299" spans="6:8" s="30" customFormat="1">
      <c r="F299" s="36"/>
      <c r="H299" s="37"/>
    </row>
    <row r="300" spans="6:8" s="30" customFormat="1">
      <c r="F300" s="36"/>
      <c r="H300" s="37"/>
    </row>
    <row r="301" spans="6:8" s="30" customFormat="1">
      <c r="F301" s="36"/>
      <c r="H301" s="37"/>
    </row>
    <row r="302" spans="6:8" s="30" customFormat="1">
      <c r="F302" s="36"/>
      <c r="H302" s="37"/>
    </row>
    <row r="303" spans="6:8" s="30" customFormat="1">
      <c r="F303" s="36"/>
      <c r="H303" s="37"/>
    </row>
    <row r="304" spans="6:8" s="30" customFormat="1">
      <c r="F304" s="36"/>
      <c r="H304" s="37"/>
    </row>
    <row r="305" spans="6:8" s="30" customFormat="1">
      <c r="F305" s="36"/>
      <c r="H305" s="37"/>
    </row>
    <row r="306" spans="6:8" s="30" customFormat="1">
      <c r="F306" s="36"/>
      <c r="H306" s="37"/>
    </row>
    <row r="307" spans="6:8" s="30" customFormat="1">
      <c r="F307" s="36"/>
      <c r="H307" s="37"/>
    </row>
    <row r="308" spans="6:8" s="30" customFormat="1">
      <c r="F308" s="36"/>
      <c r="H308" s="37"/>
    </row>
    <row r="309" spans="6:8" s="30" customFormat="1">
      <c r="F309" s="36"/>
      <c r="H309" s="37"/>
    </row>
    <row r="310" spans="6:8" s="30" customFormat="1">
      <c r="F310" s="36"/>
      <c r="H310" s="37"/>
    </row>
    <row r="311" spans="6:8" s="30" customFormat="1">
      <c r="F311" s="36"/>
      <c r="H311" s="37"/>
    </row>
    <row r="312" spans="6:8" s="30" customFormat="1">
      <c r="F312" s="36"/>
      <c r="H312" s="37"/>
    </row>
    <row r="313" spans="6:8" s="30" customFormat="1">
      <c r="F313" s="36"/>
      <c r="H313" s="37"/>
    </row>
    <row r="314" spans="6:8" s="30" customFormat="1">
      <c r="F314" s="36"/>
      <c r="H314" s="37"/>
    </row>
    <row r="315" spans="6:8" s="30" customFormat="1">
      <c r="F315" s="36"/>
      <c r="H315" s="37"/>
    </row>
    <row r="316" spans="6:8" s="30" customFormat="1">
      <c r="F316" s="36"/>
      <c r="H316" s="37"/>
    </row>
    <row r="317" spans="6:8" s="30" customFormat="1">
      <c r="F317" s="36"/>
      <c r="H317" s="37"/>
    </row>
    <row r="318" spans="6:8" s="30" customFormat="1">
      <c r="F318" s="36"/>
      <c r="H318" s="37"/>
    </row>
    <row r="319" spans="6:8" s="30" customFormat="1">
      <c r="F319" s="36"/>
      <c r="H319" s="37"/>
    </row>
    <row r="320" spans="6:8" s="30" customFormat="1">
      <c r="F320" s="36"/>
      <c r="H320" s="37"/>
    </row>
    <row r="321" spans="6:8" s="30" customFormat="1">
      <c r="F321" s="36"/>
      <c r="H321" s="37"/>
    </row>
    <row r="322" spans="6:8" s="30" customFormat="1">
      <c r="F322" s="36"/>
      <c r="H322" s="37"/>
    </row>
    <row r="323" spans="6:8" s="30" customFormat="1">
      <c r="F323" s="36"/>
      <c r="H323" s="37"/>
    </row>
    <row r="324" spans="6:8" s="30" customFormat="1">
      <c r="F324" s="36"/>
      <c r="H324" s="37"/>
    </row>
    <row r="325" spans="6:8" s="30" customFormat="1">
      <c r="F325" s="36"/>
      <c r="H325" s="37"/>
    </row>
    <row r="326" spans="6:8" s="30" customFormat="1">
      <c r="F326" s="36"/>
      <c r="H326" s="37"/>
    </row>
    <row r="327" spans="6:8" s="30" customFormat="1">
      <c r="F327" s="36"/>
      <c r="H327" s="37"/>
    </row>
    <row r="328" spans="6:8" s="30" customFormat="1">
      <c r="F328" s="36"/>
      <c r="H328" s="37"/>
    </row>
    <row r="329" spans="6:8" s="30" customFormat="1">
      <c r="F329" s="36"/>
      <c r="H329" s="37"/>
    </row>
    <row r="330" spans="6:8" s="30" customFormat="1">
      <c r="F330" s="36"/>
      <c r="H330" s="37"/>
    </row>
    <row r="331" spans="6:8" s="30" customFormat="1">
      <c r="F331" s="36"/>
      <c r="H331" s="37"/>
    </row>
    <row r="332" spans="6:8" s="30" customFormat="1">
      <c r="F332" s="36"/>
      <c r="H332" s="37"/>
    </row>
    <row r="333" spans="6:8" s="30" customFormat="1">
      <c r="F333" s="36"/>
      <c r="H333" s="37"/>
    </row>
    <row r="334" spans="6:8" s="30" customFormat="1">
      <c r="F334" s="36"/>
      <c r="H334" s="37"/>
    </row>
    <row r="335" spans="6:8" s="30" customFormat="1">
      <c r="F335" s="36"/>
      <c r="H335" s="37"/>
    </row>
    <row r="336" spans="6:8" s="30" customFormat="1">
      <c r="F336" s="36"/>
      <c r="H336" s="37"/>
    </row>
    <row r="337" spans="6:8" s="30" customFormat="1">
      <c r="F337" s="36"/>
      <c r="H337" s="37"/>
    </row>
    <row r="338" spans="6:8" s="30" customFormat="1">
      <c r="F338" s="36"/>
      <c r="H338" s="37"/>
    </row>
    <row r="339" spans="6:8" s="30" customFormat="1">
      <c r="F339" s="36"/>
      <c r="H339" s="37"/>
    </row>
    <row r="340" spans="6:8" s="30" customFormat="1">
      <c r="F340" s="36"/>
      <c r="H340" s="37"/>
    </row>
    <row r="341" spans="6:8" s="30" customFormat="1">
      <c r="F341" s="36"/>
      <c r="H341" s="37"/>
    </row>
    <row r="342" spans="6:8" s="30" customFormat="1">
      <c r="F342" s="36"/>
      <c r="H342" s="37"/>
    </row>
    <row r="343" spans="6:8" s="30" customFormat="1">
      <c r="F343" s="36"/>
      <c r="H343" s="37"/>
    </row>
    <row r="344" spans="6:8" s="30" customFormat="1">
      <c r="F344" s="36"/>
      <c r="H344" s="37"/>
    </row>
    <row r="345" spans="6:8" s="30" customFormat="1">
      <c r="F345" s="36"/>
      <c r="H345" s="37"/>
    </row>
    <row r="346" spans="6:8" s="30" customFormat="1">
      <c r="F346" s="36"/>
      <c r="H346" s="37"/>
    </row>
    <row r="347" spans="6:8" s="30" customFormat="1">
      <c r="F347" s="36"/>
      <c r="H347" s="37"/>
    </row>
    <row r="348" spans="6:8" s="30" customFormat="1">
      <c r="F348" s="36"/>
      <c r="H348" s="37"/>
    </row>
    <row r="349" spans="6:8" s="30" customFormat="1">
      <c r="F349" s="36"/>
      <c r="H349" s="37"/>
    </row>
    <row r="350" spans="6:8" s="30" customFormat="1">
      <c r="F350" s="36"/>
      <c r="H350" s="37"/>
    </row>
    <row r="351" spans="6:8" s="30" customFormat="1">
      <c r="F351" s="36"/>
      <c r="H351" s="37"/>
    </row>
    <row r="352" spans="6:8" s="30" customFormat="1">
      <c r="F352" s="36"/>
      <c r="H352" s="37"/>
    </row>
    <row r="353" spans="6:8" s="30" customFormat="1">
      <c r="F353" s="36"/>
      <c r="H353" s="37"/>
    </row>
    <row r="354" spans="6:8" s="30" customFormat="1">
      <c r="F354" s="36"/>
      <c r="H354" s="37"/>
    </row>
    <row r="355" spans="6:8" s="30" customFormat="1">
      <c r="F355" s="36"/>
      <c r="H355" s="37"/>
    </row>
    <row r="356" spans="6:8" s="30" customFormat="1">
      <c r="F356" s="36"/>
      <c r="H356" s="37"/>
    </row>
    <row r="357" spans="6:8" s="30" customFormat="1">
      <c r="F357" s="36"/>
      <c r="H357" s="37"/>
    </row>
    <row r="358" spans="6:8" s="30" customFormat="1">
      <c r="F358" s="36"/>
      <c r="H358" s="37"/>
    </row>
    <row r="359" spans="6:8" s="30" customFormat="1">
      <c r="F359" s="36"/>
      <c r="H359" s="37"/>
    </row>
    <row r="360" spans="6:8" s="30" customFormat="1">
      <c r="F360" s="36"/>
      <c r="H360" s="37"/>
    </row>
    <row r="361" spans="6:8" s="30" customFormat="1">
      <c r="F361" s="36"/>
      <c r="H361" s="37"/>
    </row>
    <row r="362" spans="6:8" s="30" customFormat="1">
      <c r="F362" s="36"/>
      <c r="H362" s="37"/>
    </row>
    <row r="363" spans="6:8" s="30" customFormat="1">
      <c r="F363" s="36"/>
      <c r="H363" s="37"/>
    </row>
    <row r="364" spans="6:8" s="30" customFormat="1">
      <c r="F364" s="36"/>
      <c r="H364" s="37"/>
    </row>
    <row r="365" spans="6:8" s="30" customFormat="1">
      <c r="F365" s="36"/>
      <c r="H365" s="37"/>
    </row>
    <row r="366" spans="6:8" s="30" customFormat="1">
      <c r="F366" s="36"/>
      <c r="H366" s="37"/>
    </row>
    <row r="367" spans="6:8" s="30" customFormat="1">
      <c r="F367" s="36"/>
      <c r="H367" s="37"/>
    </row>
    <row r="368" spans="6:8" s="30" customFormat="1">
      <c r="F368" s="36"/>
      <c r="H368" s="37"/>
    </row>
    <row r="369" spans="6:8" s="30" customFormat="1">
      <c r="F369" s="36"/>
      <c r="H369" s="37"/>
    </row>
    <row r="370" spans="6:8" s="30" customFormat="1">
      <c r="F370" s="36"/>
      <c r="H370" s="37"/>
    </row>
    <row r="371" spans="6:8" s="30" customFormat="1">
      <c r="F371" s="36"/>
      <c r="H371" s="37"/>
    </row>
    <row r="372" spans="6:8" s="30" customFormat="1">
      <c r="F372" s="36"/>
      <c r="H372" s="37"/>
    </row>
    <row r="373" spans="6:8" s="30" customFormat="1">
      <c r="F373" s="36"/>
      <c r="H373" s="37"/>
    </row>
    <row r="374" spans="6:8" s="30" customFormat="1">
      <c r="F374" s="36"/>
      <c r="H374" s="37"/>
    </row>
    <row r="375" spans="6:8" s="30" customFormat="1">
      <c r="F375" s="36"/>
      <c r="H375" s="37"/>
    </row>
    <row r="376" spans="6:8" s="30" customFormat="1">
      <c r="F376" s="36"/>
      <c r="H376" s="37"/>
    </row>
    <row r="377" spans="6:8" s="30" customFormat="1">
      <c r="F377" s="36"/>
      <c r="H377" s="37"/>
    </row>
    <row r="378" spans="6:8" s="30" customFormat="1">
      <c r="F378" s="36"/>
      <c r="H378" s="37"/>
    </row>
    <row r="379" spans="6:8" s="30" customFormat="1">
      <c r="F379" s="36"/>
      <c r="H379" s="37"/>
    </row>
    <row r="380" spans="6:8" s="30" customFormat="1">
      <c r="F380" s="36"/>
      <c r="H380" s="37"/>
    </row>
    <row r="381" spans="6:8" s="30" customFormat="1">
      <c r="F381" s="36"/>
      <c r="H381" s="37"/>
    </row>
    <row r="382" spans="6:8" s="30" customFormat="1">
      <c r="F382" s="36"/>
      <c r="H382" s="37"/>
    </row>
    <row r="383" spans="6:8" s="30" customFormat="1">
      <c r="F383" s="36"/>
      <c r="H383" s="37"/>
    </row>
    <row r="384" spans="6:8" s="30" customFormat="1">
      <c r="F384" s="36"/>
      <c r="H384" s="37"/>
    </row>
    <row r="385" spans="6:8" s="30" customFormat="1">
      <c r="F385" s="36"/>
      <c r="H385" s="37"/>
    </row>
    <row r="386" spans="6:8" s="30" customFormat="1">
      <c r="F386" s="36"/>
      <c r="H386" s="37"/>
    </row>
    <row r="387" spans="6:8" s="30" customFormat="1">
      <c r="F387" s="36"/>
      <c r="H387" s="37"/>
    </row>
    <row r="388" spans="6:8" s="30" customFormat="1">
      <c r="F388" s="36"/>
      <c r="H388" s="37"/>
    </row>
    <row r="389" spans="6:8" s="30" customFormat="1">
      <c r="F389" s="36"/>
      <c r="H389" s="37"/>
    </row>
    <row r="390" spans="6:8" s="30" customFormat="1">
      <c r="F390" s="36"/>
      <c r="H390" s="37"/>
    </row>
    <row r="391" spans="6:8" s="30" customFormat="1">
      <c r="F391" s="36"/>
      <c r="H391" s="37"/>
    </row>
    <row r="392" spans="6:8" s="30" customFormat="1">
      <c r="F392" s="36"/>
      <c r="H392" s="37"/>
    </row>
    <row r="393" spans="6:8" s="30" customFormat="1">
      <c r="F393" s="36"/>
      <c r="H393" s="37"/>
    </row>
    <row r="394" spans="6:8" s="30" customFormat="1">
      <c r="F394" s="36"/>
      <c r="H394" s="37"/>
    </row>
    <row r="395" spans="6:8" s="30" customFormat="1">
      <c r="F395" s="36"/>
      <c r="H395" s="37"/>
    </row>
    <row r="396" spans="6:8" s="30" customFormat="1">
      <c r="F396" s="36"/>
      <c r="H396" s="37"/>
    </row>
    <row r="397" spans="6:8" s="30" customFormat="1">
      <c r="F397" s="36"/>
      <c r="H397" s="37"/>
    </row>
    <row r="398" spans="6:8" s="30" customFormat="1">
      <c r="F398" s="36"/>
      <c r="H398" s="37"/>
    </row>
    <row r="399" spans="6:8" s="30" customFormat="1">
      <c r="F399" s="36"/>
      <c r="H399" s="37"/>
    </row>
    <row r="400" spans="6:8" s="30" customFormat="1">
      <c r="F400" s="36"/>
      <c r="H400" s="37"/>
    </row>
    <row r="401" spans="6:8" s="30" customFormat="1">
      <c r="F401" s="36"/>
      <c r="H401" s="37"/>
    </row>
    <row r="402" spans="6:8" s="30" customFormat="1">
      <c r="F402" s="36"/>
      <c r="H402" s="37"/>
    </row>
    <row r="403" spans="6:8" s="30" customFormat="1">
      <c r="F403" s="36"/>
      <c r="H403" s="37"/>
    </row>
    <row r="404" spans="6:8" s="30" customFormat="1">
      <c r="F404" s="36"/>
      <c r="H404" s="37"/>
    </row>
    <row r="405" spans="6:8" s="30" customFormat="1">
      <c r="F405" s="36"/>
      <c r="H405" s="37"/>
    </row>
    <row r="406" spans="6:8" s="30" customFormat="1">
      <c r="F406" s="36"/>
      <c r="H406" s="37"/>
    </row>
    <row r="407" spans="6:8" s="30" customFormat="1">
      <c r="F407" s="36"/>
      <c r="H407" s="37"/>
    </row>
    <row r="408" spans="6:8" s="30" customFormat="1">
      <c r="F408" s="36"/>
      <c r="H408" s="37"/>
    </row>
    <row r="409" spans="6:8" s="30" customFormat="1">
      <c r="F409" s="36"/>
      <c r="H409" s="37"/>
    </row>
    <row r="410" spans="6:8" s="30" customFormat="1">
      <c r="F410" s="36"/>
      <c r="H410" s="37"/>
    </row>
    <row r="411" spans="6:8" s="30" customFormat="1">
      <c r="F411" s="36"/>
      <c r="H411" s="37"/>
    </row>
    <row r="412" spans="6:8" s="30" customFormat="1">
      <c r="F412" s="36"/>
      <c r="H412" s="37"/>
    </row>
    <row r="413" spans="6:8" s="30" customFormat="1">
      <c r="F413" s="36"/>
      <c r="H413" s="37"/>
    </row>
    <row r="414" spans="6:8" s="30" customFormat="1">
      <c r="F414" s="36"/>
      <c r="H414" s="37"/>
    </row>
    <row r="415" spans="6:8" s="30" customFormat="1">
      <c r="F415" s="36"/>
      <c r="H415" s="37"/>
    </row>
    <row r="416" spans="6:8" s="30" customFormat="1">
      <c r="F416" s="36"/>
      <c r="H416" s="37"/>
    </row>
    <row r="417" spans="6:8" s="30" customFormat="1">
      <c r="F417" s="36"/>
      <c r="H417" s="37"/>
    </row>
    <row r="418" spans="6:8" s="30" customFormat="1">
      <c r="F418" s="36"/>
      <c r="H418" s="37"/>
    </row>
    <row r="419" spans="6:8" s="30" customFormat="1">
      <c r="F419" s="36"/>
      <c r="H419" s="37"/>
    </row>
    <row r="420" spans="6:8" s="30" customFormat="1">
      <c r="F420" s="36"/>
      <c r="H420" s="37"/>
    </row>
    <row r="421" spans="6:8" s="30" customFormat="1">
      <c r="F421" s="36"/>
      <c r="H421" s="37"/>
    </row>
    <row r="422" spans="6:8" s="30" customFormat="1">
      <c r="F422" s="36"/>
      <c r="H422" s="37"/>
    </row>
    <row r="423" spans="6:8" s="30" customFormat="1">
      <c r="F423" s="36"/>
      <c r="H423" s="37"/>
    </row>
    <row r="424" spans="6:8" s="30" customFormat="1">
      <c r="F424" s="36"/>
      <c r="H424" s="37"/>
    </row>
    <row r="425" spans="6:8" s="30" customFormat="1">
      <c r="F425" s="36"/>
      <c r="H425" s="37"/>
    </row>
    <row r="426" spans="6:8" s="30" customFormat="1">
      <c r="F426" s="36"/>
      <c r="H426" s="37"/>
    </row>
    <row r="427" spans="6:8" s="30" customFormat="1">
      <c r="F427" s="36"/>
      <c r="H427" s="37"/>
    </row>
    <row r="428" spans="6:8" s="30" customFormat="1">
      <c r="F428" s="36"/>
      <c r="H428" s="37"/>
    </row>
    <row r="429" spans="6:8" s="30" customFormat="1">
      <c r="F429" s="36"/>
      <c r="H429" s="37"/>
    </row>
    <row r="430" spans="6:8" s="30" customFormat="1">
      <c r="F430" s="36"/>
      <c r="H430" s="37"/>
    </row>
    <row r="431" spans="6:8" s="30" customFormat="1">
      <c r="F431" s="36"/>
      <c r="H431" s="37"/>
    </row>
    <row r="432" spans="6:8" s="30" customFormat="1">
      <c r="F432" s="36"/>
      <c r="H432" s="37"/>
    </row>
    <row r="433" spans="6:8" s="30" customFormat="1">
      <c r="F433" s="36"/>
      <c r="H433" s="37"/>
    </row>
    <row r="434" spans="6:8" s="30" customFormat="1">
      <c r="F434" s="36"/>
      <c r="H434" s="37"/>
    </row>
    <row r="435" spans="6:8" s="30" customFormat="1">
      <c r="F435" s="36"/>
      <c r="H435" s="37"/>
    </row>
    <row r="436" spans="6:8" s="30" customFormat="1">
      <c r="F436" s="36"/>
      <c r="H436" s="37"/>
    </row>
    <row r="437" spans="6:8" s="30" customFormat="1">
      <c r="F437" s="36"/>
      <c r="H437" s="37"/>
    </row>
    <row r="438" spans="6:8" s="30" customFormat="1">
      <c r="F438" s="36"/>
      <c r="H438" s="37"/>
    </row>
    <row r="439" spans="6:8" s="30" customFormat="1">
      <c r="F439" s="36"/>
      <c r="H439" s="37"/>
    </row>
    <row r="440" spans="6:8" s="30" customFormat="1">
      <c r="F440" s="36"/>
      <c r="H440" s="37"/>
    </row>
    <row r="441" spans="6:8" s="30" customFormat="1">
      <c r="F441" s="36"/>
      <c r="H441" s="37"/>
    </row>
    <row r="442" spans="6:8" s="30" customFormat="1">
      <c r="F442" s="36"/>
      <c r="H442" s="37"/>
    </row>
    <row r="443" spans="6:8" s="30" customFormat="1">
      <c r="F443" s="36"/>
      <c r="H443" s="37"/>
    </row>
    <row r="444" spans="6:8" s="30" customFormat="1">
      <c r="F444" s="36"/>
      <c r="H444" s="37"/>
    </row>
    <row r="445" spans="6:8" s="30" customFormat="1">
      <c r="F445" s="36"/>
      <c r="H445" s="37"/>
    </row>
    <row r="446" spans="6:8" s="30" customFormat="1">
      <c r="F446" s="36"/>
      <c r="H446" s="37"/>
    </row>
    <row r="447" spans="6:8" s="30" customFormat="1">
      <c r="F447" s="36"/>
      <c r="H447" s="37"/>
    </row>
    <row r="448" spans="6:8" s="30" customFormat="1">
      <c r="F448" s="36"/>
      <c r="H448" s="37"/>
    </row>
    <row r="449" spans="6:8" s="30" customFormat="1">
      <c r="F449" s="36"/>
      <c r="H449" s="37"/>
    </row>
    <row r="450" spans="6:8" s="30" customFormat="1">
      <c r="F450" s="36"/>
      <c r="H450" s="37"/>
    </row>
    <row r="451" spans="6:8" s="30" customFormat="1">
      <c r="F451" s="36"/>
      <c r="H451" s="37"/>
    </row>
    <row r="452" spans="6:8" s="30" customFormat="1">
      <c r="F452" s="36"/>
      <c r="H452" s="37"/>
    </row>
    <row r="453" spans="6:8" s="30" customFormat="1">
      <c r="F453" s="36"/>
      <c r="H453" s="37"/>
    </row>
    <row r="454" spans="6:8" s="30" customFormat="1">
      <c r="F454" s="36"/>
      <c r="H454" s="37"/>
    </row>
    <row r="455" spans="6:8" s="30" customFormat="1">
      <c r="F455" s="36"/>
      <c r="H455" s="37"/>
    </row>
    <row r="456" spans="6:8" s="30" customFormat="1">
      <c r="F456" s="36"/>
      <c r="H456" s="37"/>
    </row>
    <row r="457" spans="6:8" s="30" customFormat="1">
      <c r="F457" s="36"/>
      <c r="H457" s="37"/>
    </row>
    <row r="458" spans="6:8" s="30" customFormat="1">
      <c r="F458" s="36"/>
      <c r="H458" s="37"/>
    </row>
    <row r="459" spans="6:8" s="30" customFormat="1">
      <c r="F459" s="36"/>
      <c r="H459" s="37"/>
    </row>
    <row r="460" spans="6:8" s="30" customFormat="1">
      <c r="F460" s="36"/>
      <c r="H460" s="37"/>
    </row>
    <row r="461" spans="6:8" s="30" customFormat="1">
      <c r="F461" s="36"/>
      <c r="H461" s="37"/>
    </row>
    <row r="462" spans="6:8" s="30" customFormat="1">
      <c r="F462" s="36"/>
      <c r="H462" s="37"/>
    </row>
    <row r="463" spans="6:8" s="30" customFormat="1">
      <c r="F463" s="36"/>
      <c r="H463" s="37"/>
    </row>
    <row r="464" spans="6:8" s="30" customFormat="1">
      <c r="F464" s="36"/>
      <c r="H464" s="37"/>
    </row>
    <row r="465" spans="6:8" s="30" customFormat="1">
      <c r="F465" s="36"/>
      <c r="H465" s="37"/>
    </row>
    <row r="466" spans="6:8" s="30" customFormat="1">
      <c r="F466" s="36"/>
      <c r="H466" s="37"/>
    </row>
    <row r="467" spans="6:8" s="30" customFormat="1">
      <c r="F467" s="36"/>
      <c r="H467" s="37"/>
    </row>
    <row r="468" spans="6:8" s="30" customFormat="1">
      <c r="F468" s="36"/>
      <c r="H468" s="37"/>
    </row>
    <row r="469" spans="6:8" s="30" customFormat="1">
      <c r="F469" s="36"/>
      <c r="H469" s="37"/>
    </row>
    <row r="470" spans="6:8" s="30" customFormat="1">
      <c r="F470" s="36"/>
      <c r="H470" s="37"/>
    </row>
    <row r="471" spans="6:8" s="30" customFormat="1">
      <c r="F471" s="36"/>
      <c r="H471" s="37"/>
    </row>
    <row r="472" spans="6:8" s="30" customFormat="1">
      <c r="F472" s="36"/>
      <c r="H472" s="37"/>
    </row>
    <row r="473" spans="6:8" s="30" customFormat="1">
      <c r="F473" s="36"/>
      <c r="H473" s="37"/>
    </row>
    <row r="474" spans="6:8" s="30" customFormat="1">
      <c r="F474" s="36"/>
      <c r="H474" s="37"/>
    </row>
    <row r="475" spans="6:8" s="30" customFormat="1">
      <c r="F475" s="36"/>
      <c r="H475" s="37"/>
    </row>
    <row r="476" spans="6:8" s="30" customFormat="1">
      <c r="F476" s="36"/>
      <c r="H476" s="37"/>
    </row>
    <row r="477" spans="6:8" s="30" customFormat="1">
      <c r="F477" s="36"/>
      <c r="H477" s="37"/>
    </row>
    <row r="478" spans="6:8" s="30" customFormat="1">
      <c r="F478" s="36"/>
      <c r="H478" s="37"/>
    </row>
    <row r="479" spans="6:8" s="30" customFormat="1">
      <c r="F479" s="36"/>
      <c r="H479" s="37"/>
    </row>
    <row r="480" spans="6:8" s="30" customFormat="1">
      <c r="F480" s="36"/>
      <c r="H480" s="37"/>
    </row>
    <row r="481" spans="6:8" s="30" customFormat="1">
      <c r="F481" s="36"/>
      <c r="H481" s="37"/>
    </row>
    <row r="482" spans="6:8" s="30" customFormat="1">
      <c r="F482" s="36"/>
      <c r="H482" s="37"/>
    </row>
    <row r="483" spans="6:8" s="30" customFormat="1">
      <c r="F483" s="36"/>
      <c r="H483" s="37"/>
    </row>
    <row r="484" spans="6:8" s="30" customFormat="1">
      <c r="F484" s="36"/>
      <c r="H484" s="37"/>
    </row>
    <row r="485" spans="6:8" s="30" customFormat="1">
      <c r="F485" s="36"/>
      <c r="H485" s="37"/>
    </row>
    <row r="486" spans="6:8" s="30" customFormat="1">
      <c r="F486" s="36"/>
      <c r="H486" s="37"/>
    </row>
    <row r="487" spans="6:8" s="30" customFormat="1">
      <c r="F487" s="36"/>
      <c r="H487" s="37"/>
    </row>
    <row r="488" spans="6:8" s="30" customFormat="1">
      <c r="F488" s="36"/>
      <c r="H488" s="37"/>
    </row>
    <row r="489" spans="6:8" s="30" customFormat="1">
      <c r="F489" s="36"/>
      <c r="H489" s="37"/>
    </row>
    <row r="490" spans="6:8" s="30" customFormat="1">
      <c r="F490" s="36"/>
      <c r="H490" s="37"/>
    </row>
    <row r="491" spans="6:8" s="30" customFormat="1">
      <c r="F491" s="36"/>
      <c r="H491" s="37"/>
    </row>
    <row r="492" spans="6:8" s="30" customFormat="1">
      <c r="F492" s="36"/>
      <c r="H492" s="37"/>
    </row>
    <row r="493" spans="6:8" s="30" customFormat="1">
      <c r="F493" s="36"/>
      <c r="H493" s="37"/>
    </row>
    <row r="494" spans="6:8" s="30" customFormat="1">
      <c r="F494" s="36"/>
      <c r="H494" s="37"/>
    </row>
    <row r="495" spans="6:8" s="30" customFormat="1">
      <c r="F495" s="36"/>
      <c r="H495" s="37"/>
    </row>
    <row r="496" spans="6:8" s="30" customFormat="1">
      <c r="F496" s="36"/>
      <c r="H496" s="37"/>
    </row>
    <row r="497" spans="6:8" s="30" customFormat="1">
      <c r="F497" s="36"/>
      <c r="H497" s="37"/>
    </row>
    <row r="498" spans="6:8" s="30" customFormat="1">
      <c r="F498" s="36"/>
      <c r="H498" s="37"/>
    </row>
    <row r="499" spans="6:8" s="30" customFormat="1">
      <c r="F499" s="36"/>
      <c r="H499" s="37"/>
    </row>
    <row r="500" spans="6:8" s="30" customFormat="1">
      <c r="F500" s="36"/>
      <c r="H500" s="37"/>
    </row>
    <row r="501" spans="6:8" s="30" customFormat="1">
      <c r="F501" s="36"/>
      <c r="H501" s="37"/>
    </row>
    <row r="502" spans="6:8" s="30" customFormat="1">
      <c r="F502" s="36"/>
      <c r="H502" s="37"/>
    </row>
    <row r="503" spans="6:8" s="30" customFormat="1">
      <c r="F503" s="36"/>
      <c r="H503" s="37"/>
    </row>
    <row r="504" spans="6:8" s="30" customFormat="1">
      <c r="F504" s="36"/>
      <c r="H504" s="37"/>
    </row>
    <row r="505" spans="6:8" s="30" customFormat="1">
      <c r="F505" s="36"/>
      <c r="H505" s="37"/>
    </row>
    <row r="506" spans="6:8" s="30" customFormat="1">
      <c r="F506" s="36"/>
      <c r="H506" s="37"/>
    </row>
    <row r="507" spans="6:8" s="30" customFormat="1">
      <c r="F507" s="36"/>
      <c r="H507" s="37"/>
    </row>
    <row r="508" spans="6:8" s="30" customFormat="1">
      <c r="F508" s="36"/>
      <c r="H508" s="37"/>
    </row>
    <row r="509" spans="6:8" s="30" customFormat="1">
      <c r="F509" s="36"/>
      <c r="H509" s="37"/>
    </row>
    <row r="510" spans="6:8" s="30" customFormat="1">
      <c r="F510" s="36"/>
      <c r="H510" s="37"/>
    </row>
    <row r="511" spans="6:8" s="30" customFormat="1">
      <c r="F511" s="36"/>
      <c r="H511" s="37"/>
    </row>
    <row r="512" spans="6:8" s="30" customFormat="1">
      <c r="F512" s="36"/>
      <c r="H512" s="37"/>
    </row>
    <row r="513" spans="6:8" s="30" customFormat="1">
      <c r="F513" s="36"/>
      <c r="H513" s="37"/>
    </row>
    <row r="514" spans="6:8" s="30" customFormat="1">
      <c r="F514" s="36"/>
      <c r="H514" s="37"/>
    </row>
    <row r="515" spans="6:8" s="30" customFormat="1">
      <c r="F515" s="36"/>
      <c r="H515" s="37"/>
    </row>
    <row r="516" spans="6:8" s="30" customFormat="1">
      <c r="F516" s="36"/>
      <c r="H516" s="37"/>
    </row>
    <row r="517" spans="6:8" s="30" customFormat="1">
      <c r="F517" s="36"/>
      <c r="H517" s="37"/>
    </row>
    <row r="518" spans="6:8" s="30" customFormat="1">
      <c r="F518" s="36"/>
      <c r="H518" s="37"/>
    </row>
    <row r="519" spans="6:8" s="30" customFormat="1">
      <c r="F519" s="36"/>
      <c r="H519" s="37"/>
    </row>
    <row r="520" spans="6:8" s="30" customFormat="1">
      <c r="F520" s="36"/>
      <c r="H520" s="37"/>
    </row>
    <row r="521" spans="6:8" s="30" customFormat="1">
      <c r="F521" s="36"/>
      <c r="H521" s="37"/>
    </row>
    <row r="522" spans="6:8" s="30" customFormat="1">
      <c r="F522" s="36"/>
      <c r="H522" s="37"/>
    </row>
    <row r="523" spans="6:8" s="30" customFormat="1">
      <c r="F523" s="36"/>
      <c r="H523" s="37"/>
    </row>
    <row r="524" spans="6:8" s="30" customFormat="1">
      <c r="F524" s="36"/>
      <c r="H524" s="37"/>
    </row>
    <row r="525" spans="6:8" s="30" customFormat="1">
      <c r="F525" s="36"/>
      <c r="H525" s="37"/>
    </row>
    <row r="526" spans="6:8" s="30" customFormat="1">
      <c r="F526" s="36"/>
      <c r="H526" s="37"/>
    </row>
    <row r="527" spans="6:8" s="30" customFormat="1">
      <c r="F527" s="36"/>
      <c r="H527" s="37"/>
    </row>
    <row r="528" spans="6:8" s="30" customFormat="1">
      <c r="F528" s="36"/>
      <c r="H528" s="37"/>
    </row>
    <row r="529" spans="6:8" s="30" customFormat="1">
      <c r="F529" s="36"/>
      <c r="H529" s="37"/>
    </row>
    <row r="530" spans="6:8" s="30" customFormat="1">
      <c r="F530" s="36"/>
      <c r="H530" s="37"/>
    </row>
    <row r="531" spans="6:8" s="30" customFormat="1">
      <c r="F531" s="36"/>
      <c r="H531" s="37"/>
    </row>
    <row r="532" spans="6:8" s="30" customFormat="1">
      <c r="F532" s="36"/>
      <c r="H532" s="37"/>
    </row>
    <row r="533" spans="6:8" s="30" customFormat="1">
      <c r="F533" s="36"/>
      <c r="H533" s="37"/>
    </row>
    <row r="534" spans="6:8" s="30" customFormat="1">
      <c r="F534" s="36"/>
      <c r="H534" s="37"/>
    </row>
    <row r="535" spans="6:8" s="30" customFormat="1">
      <c r="F535" s="36"/>
      <c r="H535" s="37"/>
    </row>
    <row r="536" spans="6:8" s="30" customFormat="1">
      <c r="F536" s="36"/>
      <c r="H536" s="37"/>
    </row>
    <row r="537" spans="6:8" s="30" customFormat="1">
      <c r="F537" s="36"/>
      <c r="H537" s="37"/>
    </row>
    <row r="538" spans="6:8" s="30" customFormat="1">
      <c r="F538" s="36"/>
      <c r="H538" s="37"/>
    </row>
    <row r="539" spans="6:8" s="30" customFormat="1">
      <c r="F539" s="36"/>
      <c r="H539" s="37"/>
    </row>
    <row r="540" spans="6:8" s="30" customFormat="1">
      <c r="F540" s="36"/>
      <c r="H540" s="37"/>
    </row>
    <row r="541" spans="6:8" s="30" customFormat="1">
      <c r="F541" s="36"/>
      <c r="H541" s="37"/>
    </row>
    <row r="542" spans="6:8" s="30" customFormat="1">
      <c r="F542" s="36"/>
      <c r="H542" s="37"/>
    </row>
    <row r="543" spans="6:8" s="30" customFormat="1">
      <c r="F543" s="36"/>
      <c r="H543" s="37"/>
    </row>
    <row r="544" spans="6:8" s="30" customFormat="1">
      <c r="F544" s="36"/>
      <c r="H544" s="37"/>
    </row>
    <row r="545" spans="6:8" s="30" customFormat="1">
      <c r="F545" s="36"/>
      <c r="H545" s="37"/>
    </row>
    <row r="546" spans="6:8" s="30" customFormat="1">
      <c r="F546" s="36"/>
      <c r="H546" s="37"/>
    </row>
    <row r="547" spans="6:8" s="30" customFormat="1">
      <c r="F547" s="36"/>
      <c r="H547" s="37"/>
    </row>
    <row r="548" spans="6:8" s="30" customFormat="1">
      <c r="F548" s="36"/>
      <c r="H548" s="37"/>
    </row>
    <row r="549" spans="6:8" s="30" customFormat="1">
      <c r="F549" s="36"/>
      <c r="H549" s="37"/>
    </row>
    <row r="550" spans="6:8" s="30" customFormat="1">
      <c r="F550" s="36"/>
      <c r="H550" s="37"/>
    </row>
    <row r="551" spans="6:8" s="30" customFormat="1">
      <c r="F551" s="36"/>
      <c r="H551" s="37"/>
    </row>
    <row r="552" spans="6:8" s="30" customFormat="1">
      <c r="F552" s="36"/>
      <c r="H552" s="37"/>
    </row>
    <row r="553" spans="6:8" s="30" customFormat="1">
      <c r="F553" s="36"/>
      <c r="H553" s="37"/>
    </row>
    <row r="554" spans="6:8" s="30" customFormat="1">
      <c r="F554" s="36"/>
      <c r="H554" s="37"/>
    </row>
    <row r="555" spans="6:8" s="30" customFormat="1">
      <c r="F555" s="36"/>
      <c r="H555" s="37"/>
    </row>
    <row r="556" spans="6:8" s="30" customFormat="1">
      <c r="F556" s="36"/>
      <c r="H556" s="37"/>
    </row>
    <row r="557" spans="6:8" s="30" customFormat="1">
      <c r="F557" s="36"/>
      <c r="H557" s="37"/>
    </row>
    <row r="558" spans="6:8" s="30" customFormat="1">
      <c r="F558" s="36"/>
      <c r="H558" s="37"/>
    </row>
    <row r="559" spans="6:8" s="30" customFormat="1">
      <c r="F559" s="36"/>
      <c r="H559" s="37"/>
    </row>
    <row r="560" spans="6:8" s="30" customFormat="1">
      <c r="F560" s="36"/>
      <c r="H560" s="37"/>
    </row>
    <row r="561" spans="6:8" s="30" customFormat="1">
      <c r="F561" s="36"/>
      <c r="H561" s="37"/>
    </row>
    <row r="562" spans="6:8" s="30" customFormat="1">
      <c r="F562" s="36"/>
      <c r="H562" s="37"/>
    </row>
    <row r="563" spans="6:8" s="30" customFormat="1">
      <c r="F563" s="36"/>
      <c r="H563" s="37"/>
    </row>
    <row r="564" spans="6:8" s="30" customFormat="1">
      <c r="F564" s="36"/>
      <c r="H564" s="37"/>
    </row>
    <row r="565" spans="6:8" s="30" customFormat="1">
      <c r="F565" s="36"/>
      <c r="H565" s="37"/>
    </row>
    <row r="566" spans="6:8" s="30" customFormat="1">
      <c r="F566" s="36"/>
      <c r="H566" s="37"/>
    </row>
    <row r="567" spans="6:8" s="30" customFormat="1">
      <c r="F567" s="36"/>
      <c r="H567" s="37"/>
    </row>
    <row r="568" spans="6:8" s="30" customFormat="1">
      <c r="F568" s="36"/>
      <c r="H568" s="37"/>
    </row>
    <row r="569" spans="6:8" s="30" customFormat="1">
      <c r="F569" s="36"/>
      <c r="H569" s="37"/>
    </row>
    <row r="570" spans="6:8" s="30" customFormat="1">
      <c r="F570" s="36"/>
      <c r="H570" s="37"/>
    </row>
    <row r="571" spans="6:8" s="30" customFormat="1">
      <c r="F571" s="36"/>
      <c r="H571" s="37"/>
    </row>
    <row r="572" spans="6:8" s="30" customFormat="1">
      <c r="F572" s="36"/>
      <c r="H572" s="37"/>
    </row>
    <row r="573" spans="6:8" s="30" customFormat="1">
      <c r="F573" s="36"/>
      <c r="H573" s="37"/>
    </row>
    <row r="574" spans="6:8" s="30" customFormat="1">
      <c r="F574" s="36"/>
      <c r="H574" s="37"/>
    </row>
    <row r="575" spans="6:8" s="30" customFormat="1">
      <c r="F575" s="36"/>
      <c r="H575" s="37"/>
    </row>
    <row r="576" spans="6:8" s="30" customFormat="1">
      <c r="F576" s="36"/>
      <c r="H576" s="37"/>
    </row>
    <row r="577" spans="6:8" s="30" customFormat="1">
      <c r="F577" s="36"/>
      <c r="H577" s="37"/>
    </row>
    <row r="578" spans="6:8" s="30" customFormat="1">
      <c r="F578" s="36"/>
      <c r="H578" s="37"/>
    </row>
    <row r="579" spans="6:8" s="30" customFormat="1">
      <c r="F579" s="36"/>
      <c r="H579" s="37"/>
    </row>
    <row r="580" spans="6:8" s="30" customFormat="1">
      <c r="F580" s="36"/>
      <c r="H580" s="37"/>
    </row>
    <row r="581" spans="6:8" s="30" customFormat="1">
      <c r="F581" s="36"/>
      <c r="H581" s="37"/>
    </row>
    <row r="582" spans="6:8" s="30" customFormat="1">
      <c r="F582" s="36"/>
      <c r="H582" s="37"/>
    </row>
    <row r="583" spans="6:8" s="30" customFormat="1">
      <c r="F583" s="36"/>
      <c r="H583" s="37"/>
    </row>
    <row r="584" spans="6:8" s="30" customFormat="1">
      <c r="F584" s="36"/>
      <c r="H584" s="37"/>
    </row>
    <row r="585" spans="6:8" s="30" customFormat="1">
      <c r="F585" s="36"/>
      <c r="H585" s="37"/>
    </row>
    <row r="586" spans="6:8" s="30" customFormat="1">
      <c r="F586" s="36"/>
      <c r="H586" s="37"/>
    </row>
    <row r="587" spans="6:8" s="30" customFormat="1">
      <c r="F587" s="36"/>
      <c r="H587" s="37"/>
    </row>
    <row r="588" spans="6:8" s="30" customFormat="1">
      <c r="F588" s="36"/>
      <c r="H588" s="37"/>
    </row>
    <row r="589" spans="6:8" s="30" customFormat="1">
      <c r="F589" s="36"/>
      <c r="H589" s="37"/>
    </row>
    <row r="590" spans="6:8" s="30" customFormat="1">
      <c r="F590" s="36"/>
      <c r="H590" s="37"/>
    </row>
    <row r="591" spans="6:8" s="30" customFormat="1">
      <c r="F591" s="36"/>
      <c r="H591" s="37"/>
    </row>
    <row r="592" spans="6:8" s="30" customFormat="1">
      <c r="F592" s="36"/>
      <c r="H592" s="37"/>
    </row>
    <row r="593" spans="6:8" s="30" customFormat="1">
      <c r="F593" s="36"/>
      <c r="H593" s="37"/>
    </row>
    <row r="594" spans="6:8" s="30" customFormat="1">
      <c r="F594" s="36"/>
      <c r="H594" s="37"/>
    </row>
    <row r="595" spans="6:8" s="30" customFormat="1">
      <c r="F595" s="36"/>
      <c r="H595" s="37"/>
    </row>
    <row r="596" spans="6:8" s="30" customFormat="1">
      <c r="F596" s="36"/>
      <c r="H596" s="37"/>
    </row>
    <row r="597" spans="6:8" s="30" customFormat="1">
      <c r="F597" s="36"/>
      <c r="H597" s="37"/>
    </row>
    <row r="598" spans="6:8" s="30" customFormat="1">
      <c r="F598" s="36"/>
      <c r="H598" s="37"/>
    </row>
    <row r="599" spans="6:8" s="30" customFormat="1">
      <c r="F599" s="36"/>
      <c r="H599" s="37"/>
    </row>
    <row r="600" spans="6:8" s="30" customFormat="1">
      <c r="F600" s="36"/>
      <c r="H600" s="37"/>
    </row>
    <row r="601" spans="6:8" s="30" customFormat="1">
      <c r="F601" s="36"/>
      <c r="H601" s="37"/>
    </row>
    <row r="602" spans="6:8" s="30" customFormat="1">
      <c r="F602" s="36"/>
      <c r="H602" s="37"/>
    </row>
    <row r="603" spans="6:8" s="30" customFormat="1">
      <c r="F603" s="36"/>
      <c r="H603" s="37"/>
    </row>
    <row r="604" spans="6:8" s="30" customFormat="1">
      <c r="F604" s="36"/>
      <c r="H604" s="37"/>
    </row>
    <row r="605" spans="6:8" s="30" customFormat="1">
      <c r="F605" s="36"/>
      <c r="H605" s="37"/>
    </row>
    <row r="606" spans="6:8" s="30" customFormat="1">
      <c r="F606" s="36"/>
      <c r="H606" s="37"/>
    </row>
    <row r="607" spans="6:8" s="30" customFormat="1">
      <c r="F607" s="36"/>
      <c r="H607" s="37"/>
    </row>
    <row r="608" spans="6:8" s="30" customFormat="1">
      <c r="F608" s="36"/>
      <c r="H608" s="37"/>
    </row>
    <row r="609" spans="6:8" s="30" customFormat="1">
      <c r="F609" s="36"/>
      <c r="H609" s="37"/>
    </row>
    <row r="610" spans="6:8" s="30" customFormat="1">
      <c r="F610" s="36"/>
      <c r="H610" s="37"/>
    </row>
    <row r="611" spans="6:8" s="30" customFormat="1">
      <c r="F611" s="36"/>
      <c r="H611" s="37"/>
    </row>
    <row r="612" spans="6:8" s="30" customFormat="1">
      <c r="F612" s="36"/>
      <c r="H612" s="37"/>
    </row>
    <row r="613" spans="6:8" s="30" customFormat="1">
      <c r="F613" s="36"/>
      <c r="H613" s="37"/>
    </row>
    <row r="614" spans="6:8" s="30" customFormat="1">
      <c r="F614" s="36"/>
      <c r="H614" s="37"/>
    </row>
    <row r="615" spans="6:8" s="30" customFormat="1">
      <c r="F615" s="36"/>
      <c r="H615" s="37"/>
    </row>
    <row r="616" spans="6:8" s="30" customFormat="1">
      <c r="F616" s="36"/>
      <c r="H616" s="37"/>
    </row>
    <row r="617" spans="6:8" s="30" customFormat="1">
      <c r="F617" s="36"/>
      <c r="H617" s="37"/>
    </row>
    <row r="618" spans="6:8" s="30" customFormat="1">
      <c r="F618" s="36"/>
      <c r="H618" s="37"/>
    </row>
    <row r="619" spans="6:8" s="30" customFormat="1">
      <c r="F619" s="36"/>
      <c r="H619" s="37"/>
    </row>
    <row r="620" spans="6:8" s="30" customFormat="1">
      <c r="F620" s="36"/>
      <c r="H620" s="37"/>
    </row>
    <row r="621" spans="6:8" s="30" customFormat="1">
      <c r="F621" s="36"/>
      <c r="H621" s="37"/>
    </row>
    <row r="622" spans="6:8" s="30" customFormat="1">
      <c r="F622" s="36"/>
      <c r="H622" s="37"/>
    </row>
    <row r="623" spans="6:8" s="30" customFormat="1">
      <c r="F623" s="36"/>
      <c r="H623" s="37"/>
    </row>
    <row r="624" spans="6:8" s="30" customFormat="1">
      <c r="F624" s="36"/>
      <c r="H624" s="37"/>
    </row>
    <row r="625" spans="6:8" s="30" customFormat="1">
      <c r="F625" s="36"/>
      <c r="H625" s="37"/>
    </row>
    <row r="626" spans="6:8" s="30" customFormat="1">
      <c r="F626" s="36"/>
      <c r="H626" s="37"/>
    </row>
    <row r="627" spans="6:8" s="30" customFormat="1">
      <c r="F627" s="36"/>
      <c r="H627" s="37"/>
    </row>
    <row r="628" spans="6:8" s="30" customFormat="1">
      <c r="F628" s="36"/>
      <c r="H628" s="37"/>
    </row>
    <row r="629" spans="6:8" s="30" customFormat="1">
      <c r="F629" s="36"/>
      <c r="H629" s="37"/>
    </row>
    <row r="630" spans="6:8" s="30" customFormat="1">
      <c r="F630" s="36"/>
      <c r="H630" s="37"/>
    </row>
    <row r="631" spans="6:8" s="30" customFormat="1">
      <c r="F631" s="36"/>
      <c r="H631" s="37"/>
    </row>
    <row r="632" spans="6:8" s="30" customFormat="1">
      <c r="F632" s="36"/>
      <c r="H632" s="37"/>
    </row>
    <row r="633" spans="6:8" s="30" customFormat="1">
      <c r="F633" s="36"/>
      <c r="H633" s="37"/>
    </row>
    <row r="634" spans="6:8" s="30" customFormat="1">
      <c r="F634" s="36"/>
      <c r="H634" s="37"/>
    </row>
    <row r="635" spans="6:8" s="30" customFormat="1">
      <c r="F635" s="36"/>
      <c r="H635" s="37"/>
    </row>
    <row r="636" spans="6:8" s="30" customFormat="1">
      <c r="F636" s="36"/>
      <c r="H636" s="37"/>
    </row>
    <row r="637" spans="6:8" s="30" customFormat="1">
      <c r="F637" s="36"/>
      <c r="H637" s="37"/>
    </row>
    <row r="638" spans="6:8" s="30" customFormat="1">
      <c r="F638" s="36"/>
      <c r="H638" s="37"/>
    </row>
    <row r="639" spans="6:8" s="30" customFormat="1">
      <c r="F639" s="36"/>
      <c r="H639" s="37"/>
    </row>
    <row r="640" spans="6:8" s="30" customFormat="1">
      <c r="F640" s="36"/>
      <c r="H640" s="37"/>
    </row>
    <row r="641" spans="6:8" s="30" customFormat="1">
      <c r="F641" s="36"/>
      <c r="H641" s="37"/>
    </row>
    <row r="642" spans="6:8" s="30" customFormat="1">
      <c r="F642" s="36"/>
      <c r="H642" s="37"/>
    </row>
    <row r="643" spans="6:8" s="30" customFormat="1">
      <c r="F643" s="36"/>
      <c r="H643" s="37"/>
    </row>
    <row r="644" spans="6:8" s="30" customFormat="1">
      <c r="F644" s="36"/>
      <c r="H644" s="37"/>
    </row>
    <row r="645" spans="6:8" s="30" customFormat="1">
      <c r="F645" s="36"/>
      <c r="H645" s="37"/>
    </row>
    <row r="646" spans="6:8" s="30" customFormat="1">
      <c r="F646" s="36"/>
      <c r="H646" s="37"/>
    </row>
    <row r="647" spans="6:8" s="30" customFormat="1">
      <c r="F647" s="36"/>
      <c r="H647" s="37"/>
    </row>
    <row r="648" spans="6:8" s="30" customFormat="1">
      <c r="F648" s="36"/>
      <c r="H648" s="37"/>
    </row>
    <row r="649" spans="6:8" s="30" customFormat="1">
      <c r="F649" s="36"/>
      <c r="H649" s="37"/>
    </row>
    <row r="650" spans="6:8" s="30" customFormat="1">
      <c r="F650" s="36"/>
      <c r="H650" s="37"/>
    </row>
    <row r="651" spans="6:8" s="30" customFormat="1">
      <c r="F651" s="36"/>
      <c r="H651" s="37"/>
    </row>
    <row r="652" spans="6:8" s="30" customFormat="1">
      <c r="F652" s="36"/>
      <c r="H652" s="37"/>
    </row>
    <row r="653" spans="6:8" s="30" customFormat="1">
      <c r="F653" s="36"/>
      <c r="H653" s="37"/>
    </row>
    <row r="654" spans="6:8" s="30" customFormat="1">
      <c r="F654" s="36"/>
      <c r="H654" s="37"/>
    </row>
    <row r="655" spans="6:8" s="30" customFormat="1">
      <c r="F655" s="36"/>
      <c r="H655" s="37"/>
    </row>
    <row r="656" spans="6:8" s="30" customFormat="1">
      <c r="F656" s="36"/>
      <c r="H656" s="37"/>
    </row>
    <row r="657" spans="6:8" s="30" customFormat="1">
      <c r="F657" s="36"/>
      <c r="H657" s="37"/>
    </row>
    <row r="658" spans="6:8" s="30" customFormat="1">
      <c r="F658" s="36"/>
      <c r="H658" s="37"/>
    </row>
    <row r="659" spans="6:8" s="30" customFormat="1">
      <c r="F659" s="36"/>
      <c r="H659" s="37"/>
    </row>
    <row r="660" spans="6:8" s="30" customFormat="1">
      <c r="F660" s="36"/>
      <c r="H660" s="37"/>
    </row>
    <row r="661" spans="6:8" s="30" customFormat="1">
      <c r="F661" s="36"/>
      <c r="H661" s="37"/>
    </row>
    <row r="662" spans="6:8" s="30" customFormat="1">
      <c r="F662" s="36"/>
      <c r="H662" s="37"/>
    </row>
    <row r="663" spans="6:8" s="30" customFormat="1">
      <c r="F663" s="36"/>
      <c r="H663" s="37"/>
    </row>
    <row r="664" spans="6:8" s="30" customFormat="1">
      <c r="F664" s="36"/>
      <c r="H664" s="37"/>
    </row>
    <row r="665" spans="6:8" s="30" customFormat="1">
      <c r="F665" s="36"/>
      <c r="H665" s="37"/>
    </row>
    <row r="666" spans="6:8" s="30" customFormat="1">
      <c r="F666" s="36"/>
      <c r="H666" s="37"/>
    </row>
    <row r="667" spans="6:8" s="30" customFormat="1">
      <c r="F667" s="36"/>
      <c r="H667" s="37"/>
    </row>
    <row r="668" spans="6:8" s="30" customFormat="1">
      <c r="F668" s="36"/>
      <c r="H668" s="37"/>
    </row>
    <row r="669" spans="6:8" s="30" customFormat="1">
      <c r="F669" s="36"/>
      <c r="H669" s="37"/>
    </row>
    <row r="670" spans="6:8" s="30" customFormat="1">
      <c r="F670" s="36"/>
      <c r="H670" s="37"/>
    </row>
    <row r="671" spans="6:8" s="30" customFormat="1">
      <c r="F671" s="36"/>
      <c r="H671" s="37"/>
    </row>
    <row r="672" spans="6:8" s="30" customFormat="1">
      <c r="F672" s="36"/>
      <c r="H672" s="37"/>
    </row>
    <row r="673" spans="6:8" s="30" customFormat="1">
      <c r="F673" s="36"/>
      <c r="H673" s="37"/>
    </row>
    <row r="674" spans="6:8" s="30" customFormat="1">
      <c r="F674" s="36"/>
      <c r="H674" s="37"/>
    </row>
    <row r="675" spans="6:8" s="30" customFormat="1">
      <c r="F675" s="36"/>
      <c r="H675" s="37"/>
    </row>
    <row r="676" spans="6:8" s="30" customFormat="1">
      <c r="F676" s="36"/>
      <c r="H676" s="37"/>
    </row>
    <row r="677" spans="6:8" s="30" customFormat="1">
      <c r="F677" s="36"/>
      <c r="H677" s="37"/>
    </row>
    <row r="678" spans="6:8" s="30" customFormat="1">
      <c r="F678" s="36"/>
      <c r="H678" s="37"/>
    </row>
    <row r="679" spans="6:8" s="30" customFormat="1">
      <c r="F679" s="36"/>
      <c r="H679" s="37"/>
    </row>
    <row r="680" spans="6:8" s="30" customFormat="1">
      <c r="F680" s="36"/>
      <c r="H680" s="37"/>
    </row>
    <row r="681" spans="6:8" s="30" customFormat="1">
      <c r="F681" s="36"/>
      <c r="H681" s="37"/>
    </row>
    <row r="682" spans="6:8" s="30" customFormat="1">
      <c r="F682" s="36"/>
      <c r="H682" s="37"/>
    </row>
    <row r="683" spans="6:8" s="30" customFormat="1">
      <c r="F683" s="36"/>
      <c r="H683" s="37"/>
    </row>
    <row r="684" spans="6:8" s="30" customFormat="1">
      <c r="F684" s="36"/>
      <c r="H684" s="37"/>
    </row>
    <row r="685" spans="6:8" s="30" customFormat="1">
      <c r="F685" s="36"/>
      <c r="H685" s="37"/>
    </row>
    <row r="686" spans="6:8" s="30" customFormat="1">
      <c r="F686" s="36"/>
      <c r="H686" s="37"/>
    </row>
    <row r="687" spans="6:8" s="30" customFormat="1">
      <c r="F687" s="36"/>
      <c r="H687" s="37"/>
    </row>
    <row r="688" spans="6:8" s="30" customFormat="1">
      <c r="F688" s="36"/>
      <c r="H688" s="37"/>
    </row>
    <row r="689" spans="6:8" s="30" customFormat="1">
      <c r="F689" s="36"/>
      <c r="H689" s="37"/>
    </row>
    <row r="690" spans="6:8" s="30" customFormat="1">
      <c r="F690" s="36"/>
      <c r="H690" s="37"/>
    </row>
    <row r="691" spans="6:8" s="30" customFormat="1">
      <c r="F691" s="36"/>
      <c r="H691" s="37"/>
    </row>
    <row r="692" spans="6:8" s="30" customFormat="1">
      <c r="F692" s="36"/>
      <c r="H692" s="37"/>
    </row>
    <row r="693" spans="6:8" s="30" customFormat="1">
      <c r="F693" s="36"/>
      <c r="H693" s="37"/>
    </row>
    <row r="694" spans="6:8" s="30" customFormat="1">
      <c r="F694" s="36"/>
      <c r="H694" s="37"/>
    </row>
    <row r="695" spans="6:8" s="30" customFormat="1">
      <c r="F695" s="36"/>
      <c r="H695" s="37"/>
    </row>
    <row r="696" spans="6:8" s="30" customFormat="1">
      <c r="F696" s="36"/>
      <c r="H696" s="37"/>
    </row>
    <row r="697" spans="6:8" s="30" customFormat="1">
      <c r="F697" s="36"/>
      <c r="H697" s="37"/>
    </row>
    <row r="698" spans="6:8" s="30" customFormat="1">
      <c r="F698" s="36"/>
      <c r="H698" s="37"/>
    </row>
    <row r="699" spans="6:8" s="30" customFormat="1">
      <c r="F699" s="36"/>
      <c r="H699" s="37"/>
    </row>
    <row r="700" spans="6:8" s="30" customFormat="1">
      <c r="F700" s="36"/>
      <c r="H700" s="37"/>
    </row>
    <row r="701" spans="6:8" s="30" customFormat="1">
      <c r="F701" s="36"/>
      <c r="H701" s="37"/>
    </row>
    <row r="702" spans="6:8" s="30" customFormat="1">
      <c r="F702" s="36"/>
      <c r="H702" s="37"/>
    </row>
    <row r="703" spans="6:8" s="30" customFormat="1">
      <c r="F703" s="36"/>
      <c r="H703" s="37"/>
    </row>
    <row r="704" spans="6:8" s="30" customFormat="1">
      <c r="F704" s="36"/>
      <c r="H704" s="37"/>
    </row>
    <row r="705" spans="6:8" s="30" customFormat="1">
      <c r="F705" s="36"/>
      <c r="H705" s="37"/>
    </row>
    <row r="706" spans="6:8" s="30" customFormat="1">
      <c r="F706" s="36"/>
      <c r="H706" s="37"/>
    </row>
    <row r="707" spans="6:8" s="30" customFormat="1">
      <c r="F707" s="36"/>
      <c r="H707" s="37"/>
    </row>
    <row r="708" spans="6:8" s="30" customFormat="1">
      <c r="F708" s="36"/>
      <c r="H708" s="37"/>
    </row>
    <row r="709" spans="6:8" s="30" customFormat="1">
      <c r="F709" s="36"/>
      <c r="H709" s="37"/>
    </row>
    <row r="710" spans="6:8" s="30" customFormat="1">
      <c r="F710" s="36"/>
      <c r="H710" s="37"/>
    </row>
    <row r="711" spans="6:8" s="30" customFormat="1">
      <c r="F711" s="36"/>
      <c r="H711" s="37"/>
    </row>
    <row r="712" spans="6:8" s="30" customFormat="1">
      <c r="F712" s="36"/>
      <c r="H712" s="37"/>
    </row>
    <row r="713" spans="6:8" s="30" customFormat="1">
      <c r="F713" s="36"/>
      <c r="H713" s="37"/>
    </row>
    <row r="714" spans="6:8" s="30" customFormat="1">
      <c r="F714" s="36"/>
      <c r="H714" s="37"/>
    </row>
    <row r="715" spans="6:8" s="30" customFormat="1">
      <c r="F715" s="36"/>
      <c r="H715" s="37"/>
    </row>
  </sheetData>
  <mergeCells count="2">
    <mergeCell ref="B1:H1"/>
    <mergeCell ref="B2:H2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U858"/>
  <sheetViews>
    <sheetView zoomScaleNormal="100" workbookViewId="0">
      <selection activeCell="B62" sqref="B62"/>
    </sheetView>
  </sheetViews>
  <sheetFormatPr defaultRowHeight="12.75"/>
  <cols>
    <col min="1" max="1" width="3.42578125" style="30" bestFit="1" customWidth="1"/>
    <col min="2" max="2" width="50.42578125" bestFit="1" customWidth="1"/>
    <col min="3" max="3" width="16.85546875" bestFit="1" customWidth="1"/>
    <col min="4" max="4" width="33.5703125" bestFit="1" customWidth="1"/>
    <col min="5" max="5" width="16.85546875" bestFit="1" customWidth="1"/>
    <col min="6" max="6" width="16.85546875" style="3" bestFit="1" customWidth="1"/>
    <col min="7" max="7" width="25.140625" hidden="1" customWidth="1"/>
    <col min="8" max="8" width="16.85546875" style="4" bestFit="1" customWidth="1"/>
    <col min="9" max="9" width="25.140625" hidden="1" customWidth="1"/>
    <col min="10" max="125" width="9.140625" style="30"/>
  </cols>
  <sheetData>
    <row r="1" spans="1:9" ht="21.75" customHeight="1">
      <c r="A1" s="27"/>
      <c r="B1" s="165" t="s">
        <v>256</v>
      </c>
      <c r="C1" s="166"/>
      <c r="D1" s="166"/>
      <c r="E1" s="166"/>
      <c r="F1" s="166"/>
      <c r="G1" s="166"/>
      <c r="H1" s="167"/>
      <c r="I1" s="1"/>
    </row>
    <row r="2" spans="1:9" ht="12.95" customHeight="1" thickBot="1">
      <c r="A2" s="27"/>
      <c r="B2" s="177" t="s">
        <v>404</v>
      </c>
      <c r="C2" s="178"/>
      <c r="D2" s="178"/>
      <c r="E2" s="178"/>
      <c r="F2" s="178"/>
      <c r="G2" s="178"/>
      <c r="H2" s="179"/>
      <c r="I2" s="1"/>
    </row>
    <row r="3" spans="1:9" s="30" customFormat="1" ht="12.95" customHeight="1">
      <c r="A3" s="27"/>
      <c r="B3" s="109"/>
      <c r="C3" s="109"/>
      <c r="D3" s="109"/>
      <c r="E3" s="109"/>
      <c r="F3" s="109"/>
      <c r="G3" s="109"/>
      <c r="H3" s="109"/>
      <c r="I3" s="27"/>
    </row>
    <row r="4" spans="1:9" s="30" customFormat="1" ht="12.95" customHeight="1">
      <c r="A4" s="28"/>
      <c r="B4" s="32" t="s">
        <v>2</v>
      </c>
      <c r="C4" s="27"/>
      <c r="D4" s="27"/>
      <c r="E4" s="27"/>
      <c r="F4" s="33"/>
      <c r="G4" s="27"/>
      <c r="H4" s="34"/>
      <c r="I4" s="27"/>
    </row>
    <row r="5" spans="1:9" s="30" customFormat="1" ht="12.95" customHeight="1" thickBot="1">
      <c r="A5" s="28"/>
      <c r="B5" s="32"/>
      <c r="C5" s="27"/>
      <c r="D5" s="27"/>
      <c r="E5" s="27"/>
      <c r="F5" s="33"/>
      <c r="G5" s="27"/>
      <c r="H5" s="34"/>
      <c r="I5" s="27"/>
    </row>
    <row r="6" spans="1:9" ht="27.95" customHeight="1" thickBot="1">
      <c r="A6" s="27"/>
      <c r="B6" s="82" t="s">
        <v>3</v>
      </c>
      <c r="C6" s="83" t="s">
        <v>4</v>
      </c>
      <c r="D6" s="84" t="s">
        <v>45</v>
      </c>
      <c r="E6" s="84" t="s">
        <v>6</v>
      </c>
      <c r="F6" s="85" t="s">
        <v>7</v>
      </c>
      <c r="G6" s="84" t="s">
        <v>8</v>
      </c>
      <c r="H6" s="86" t="s">
        <v>9</v>
      </c>
      <c r="I6" s="38" t="s">
        <v>10</v>
      </c>
    </row>
    <row r="7" spans="1:9" ht="12.95" customHeight="1">
      <c r="A7" s="27"/>
      <c r="B7" s="77" t="s">
        <v>46</v>
      </c>
      <c r="C7" s="78" t="s">
        <v>1</v>
      </c>
      <c r="D7" s="78" t="s">
        <v>1</v>
      </c>
      <c r="E7" s="78" t="s">
        <v>1</v>
      </c>
      <c r="F7" s="79" t="s">
        <v>1</v>
      </c>
      <c r="G7" s="80"/>
      <c r="H7" s="81" t="s">
        <v>1</v>
      </c>
      <c r="I7" s="39" t="s">
        <v>1</v>
      </c>
    </row>
    <row r="8" spans="1:9" ht="12.95" customHeight="1">
      <c r="A8" s="27"/>
      <c r="B8" s="64" t="s">
        <v>47</v>
      </c>
      <c r="C8" s="16"/>
      <c r="D8" s="16"/>
      <c r="E8" s="16"/>
      <c r="F8" s="49"/>
      <c r="G8" s="50"/>
      <c r="H8" s="67"/>
      <c r="I8" s="39"/>
    </row>
    <row r="9" spans="1:9" ht="12.95" customHeight="1">
      <c r="A9" s="27"/>
      <c r="B9" s="64" t="s">
        <v>397</v>
      </c>
      <c r="C9" s="16"/>
      <c r="D9" s="16"/>
      <c r="E9" s="16"/>
      <c r="F9" s="49"/>
      <c r="G9" s="50"/>
      <c r="H9" s="67"/>
      <c r="I9" s="39"/>
    </row>
    <row r="10" spans="1:9" ht="12.95" customHeight="1">
      <c r="A10" s="29"/>
      <c r="B10" s="68" t="s">
        <v>199</v>
      </c>
      <c r="C10" s="16" t="s">
        <v>200</v>
      </c>
      <c r="D10" s="16" t="s">
        <v>50</v>
      </c>
      <c r="E10" s="52">
        <v>28000</v>
      </c>
      <c r="F10" s="53">
        <v>287.68599999999998</v>
      </c>
      <c r="G10" s="54">
        <v>287.69</v>
      </c>
      <c r="H10" s="69">
        <v>8.2744257465432569E-2</v>
      </c>
      <c r="I10" s="2">
        <v>8.2699999999999996E-2</v>
      </c>
    </row>
    <row r="11" spans="1:9" ht="12.95" customHeight="1">
      <c r="A11" s="29"/>
      <c r="B11" s="68" t="s">
        <v>77</v>
      </c>
      <c r="C11" s="16" t="s">
        <v>78</v>
      </c>
      <c r="D11" s="16" t="s">
        <v>50</v>
      </c>
      <c r="E11" s="52">
        <v>65250</v>
      </c>
      <c r="F11" s="53">
        <v>181.32974999999999</v>
      </c>
      <c r="G11" s="54">
        <v>181.33</v>
      </c>
      <c r="H11" s="69">
        <v>5.2154069089710729E-2</v>
      </c>
      <c r="I11" s="2">
        <v>5.2200000000000003E-2</v>
      </c>
    </row>
    <row r="12" spans="1:9" ht="12.95" customHeight="1">
      <c r="A12" s="29"/>
      <c r="B12" s="68" t="s">
        <v>207</v>
      </c>
      <c r="C12" s="16" t="s">
        <v>208</v>
      </c>
      <c r="D12" s="16" t="s">
        <v>129</v>
      </c>
      <c r="E12" s="52">
        <v>3930</v>
      </c>
      <c r="F12" s="53">
        <v>163.77096</v>
      </c>
      <c r="G12" s="54">
        <v>163.77000000000001</v>
      </c>
      <c r="H12" s="69">
        <v>4.7103809290688664E-2</v>
      </c>
      <c r="I12" s="2">
        <v>4.7100000000000003E-2</v>
      </c>
    </row>
    <row r="13" spans="1:9" ht="12.95" customHeight="1">
      <c r="A13" s="29"/>
      <c r="B13" s="68" t="s">
        <v>70</v>
      </c>
      <c r="C13" s="16" t="s">
        <v>71</v>
      </c>
      <c r="D13" s="16" t="s">
        <v>50</v>
      </c>
      <c r="E13" s="52">
        <v>18500</v>
      </c>
      <c r="F13" s="53">
        <v>158.73925</v>
      </c>
      <c r="G13" s="54">
        <v>158.74</v>
      </c>
      <c r="H13" s="69">
        <v>4.5656588683042162E-2</v>
      </c>
      <c r="I13" s="2">
        <v>4.5699999999999998E-2</v>
      </c>
    </row>
    <row r="14" spans="1:9" ht="12.95" customHeight="1">
      <c r="A14" s="29"/>
      <c r="B14" s="68" t="s">
        <v>203</v>
      </c>
      <c r="C14" s="16" t="s">
        <v>204</v>
      </c>
      <c r="D14" s="16" t="s">
        <v>95</v>
      </c>
      <c r="E14" s="52">
        <v>40100</v>
      </c>
      <c r="F14" s="53">
        <v>130.38515000000001</v>
      </c>
      <c r="G14" s="54">
        <v>130.38999999999999</v>
      </c>
      <c r="H14" s="69">
        <v>3.7501381441116512E-2</v>
      </c>
      <c r="I14" s="2">
        <v>3.7499999999999999E-2</v>
      </c>
    </row>
    <row r="15" spans="1:9" ht="12.95" customHeight="1">
      <c r="A15" s="29"/>
      <c r="B15" s="68" t="s">
        <v>102</v>
      </c>
      <c r="C15" s="16" t="s">
        <v>103</v>
      </c>
      <c r="D15" s="16" t="s">
        <v>95</v>
      </c>
      <c r="E15" s="52">
        <v>15250</v>
      </c>
      <c r="F15" s="53">
        <v>129.41149999999999</v>
      </c>
      <c r="G15" s="54">
        <v>129.41</v>
      </c>
      <c r="H15" s="69">
        <v>3.7221340193780116E-2</v>
      </c>
      <c r="I15" s="2">
        <v>3.7199999999999997E-2</v>
      </c>
    </row>
    <row r="16" spans="1:9" ht="12.95" customHeight="1">
      <c r="A16" s="29"/>
      <c r="B16" s="68" t="s">
        <v>51</v>
      </c>
      <c r="C16" s="16" t="s">
        <v>52</v>
      </c>
      <c r="D16" s="16" t="s">
        <v>53</v>
      </c>
      <c r="E16" s="52">
        <v>14100</v>
      </c>
      <c r="F16" s="53">
        <v>118.9335</v>
      </c>
      <c r="G16" s="54">
        <v>118.93</v>
      </c>
      <c r="H16" s="69">
        <v>3.4207657464266683E-2</v>
      </c>
      <c r="I16" s="2">
        <v>3.4200000000000001E-2</v>
      </c>
    </row>
    <row r="17" spans="1:9" ht="12.95" customHeight="1">
      <c r="A17" s="29"/>
      <c r="B17" s="68" t="s">
        <v>54</v>
      </c>
      <c r="C17" s="16" t="s">
        <v>55</v>
      </c>
      <c r="D17" s="16" t="s">
        <v>56</v>
      </c>
      <c r="E17" s="52">
        <v>11185</v>
      </c>
      <c r="F17" s="53">
        <v>112.7503925</v>
      </c>
      <c r="G17" s="54">
        <v>112.75</v>
      </c>
      <c r="H17" s="69">
        <v>3.2429271867065401E-2</v>
      </c>
      <c r="I17" s="2">
        <v>3.2399999999999998E-2</v>
      </c>
    </row>
    <row r="18" spans="1:9" ht="12.95" customHeight="1">
      <c r="A18" s="29"/>
      <c r="B18" s="68" t="s">
        <v>93</v>
      </c>
      <c r="C18" s="16" t="s">
        <v>94</v>
      </c>
      <c r="D18" s="16" t="s">
        <v>95</v>
      </c>
      <c r="E18" s="52">
        <v>3546</v>
      </c>
      <c r="F18" s="53">
        <v>103.896027</v>
      </c>
      <c r="G18" s="54">
        <v>103.9</v>
      </c>
      <c r="H18" s="69">
        <v>2.9882578949700485E-2</v>
      </c>
      <c r="I18" s="2">
        <v>2.9899999999999999E-2</v>
      </c>
    </row>
    <row r="19" spans="1:9" ht="12.95" customHeight="1">
      <c r="A19" s="29"/>
      <c r="B19" s="68" t="s">
        <v>215</v>
      </c>
      <c r="C19" s="16" t="s">
        <v>216</v>
      </c>
      <c r="D19" s="16" t="s">
        <v>50</v>
      </c>
      <c r="E19" s="52">
        <v>39950</v>
      </c>
      <c r="F19" s="53">
        <v>98.816325000000006</v>
      </c>
      <c r="G19" s="54">
        <v>98.82</v>
      </c>
      <c r="H19" s="69">
        <v>2.8421554881321514E-2</v>
      </c>
      <c r="I19" s="2">
        <v>2.8400000000000002E-2</v>
      </c>
    </row>
    <row r="20" spans="1:9" ht="12.95" customHeight="1">
      <c r="A20" s="29"/>
      <c r="B20" s="68" t="s">
        <v>60</v>
      </c>
      <c r="C20" s="16" t="s">
        <v>61</v>
      </c>
      <c r="D20" s="16" t="s">
        <v>62</v>
      </c>
      <c r="E20" s="52">
        <v>26979</v>
      </c>
      <c r="F20" s="53">
        <v>97.340232</v>
      </c>
      <c r="G20" s="54">
        <v>97.34</v>
      </c>
      <c r="H20" s="69">
        <v>2.7997000960606141E-2</v>
      </c>
      <c r="I20" s="2">
        <v>2.8000000000000001E-2</v>
      </c>
    </row>
    <row r="21" spans="1:9" ht="12.95" customHeight="1">
      <c r="A21" s="29"/>
      <c r="B21" s="68" t="s">
        <v>260</v>
      </c>
      <c r="C21" s="16" t="s">
        <v>261</v>
      </c>
      <c r="D21" s="16" t="s">
        <v>95</v>
      </c>
      <c r="E21" s="52">
        <v>1400</v>
      </c>
      <c r="F21" s="53">
        <v>85.584800000000001</v>
      </c>
      <c r="G21" s="54">
        <v>85.58</v>
      </c>
      <c r="H21" s="69">
        <v>2.4615903194203242E-2</v>
      </c>
      <c r="I21" s="2">
        <v>2.46E-2</v>
      </c>
    </row>
    <row r="22" spans="1:9" ht="12.95" customHeight="1">
      <c r="A22" s="29"/>
      <c r="B22" s="68" t="s">
        <v>122</v>
      </c>
      <c r="C22" s="16" t="s">
        <v>123</v>
      </c>
      <c r="D22" s="16" t="s">
        <v>95</v>
      </c>
      <c r="E22" s="52">
        <v>1700</v>
      </c>
      <c r="F22" s="53">
        <v>84.804500000000004</v>
      </c>
      <c r="G22" s="54">
        <v>84.8</v>
      </c>
      <c r="H22" s="69">
        <v>2.4391473280685458E-2</v>
      </c>
      <c r="I22" s="2">
        <v>2.4400000000000002E-2</v>
      </c>
    </row>
    <row r="23" spans="1:9" ht="12.95" customHeight="1">
      <c r="A23" s="29"/>
      <c r="B23" s="68" t="s">
        <v>262</v>
      </c>
      <c r="C23" s="16" t="s">
        <v>263</v>
      </c>
      <c r="D23" s="16" t="s">
        <v>95</v>
      </c>
      <c r="E23" s="52">
        <v>1400</v>
      </c>
      <c r="F23" s="53">
        <v>84.636300000000006</v>
      </c>
      <c r="G23" s="54">
        <v>84.64</v>
      </c>
      <c r="H23" s="69">
        <v>2.4343095590753774E-2</v>
      </c>
      <c r="I23" s="2">
        <v>2.4299999999999999E-2</v>
      </c>
    </row>
    <row r="24" spans="1:9" ht="12.95" customHeight="1">
      <c r="A24" s="29"/>
      <c r="B24" s="68" t="s">
        <v>111</v>
      </c>
      <c r="C24" s="16" t="s">
        <v>112</v>
      </c>
      <c r="D24" s="16" t="s">
        <v>95</v>
      </c>
      <c r="E24" s="52">
        <v>6300</v>
      </c>
      <c r="F24" s="53">
        <v>75.096000000000004</v>
      </c>
      <c r="G24" s="54">
        <v>75.099999999999994</v>
      </c>
      <c r="H24" s="69">
        <v>2.1599114168308935E-2</v>
      </c>
      <c r="I24" s="2">
        <v>2.1600000000000001E-2</v>
      </c>
    </row>
    <row r="25" spans="1:9" ht="12.95" customHeight="1">
      <c r="A25" s="29"/>
      <c r="B25" s="68" t="s">
        <v>221</v>
      </c>
      <c r="C25" s="16" t="s">
        <v>222</v>
      </c>
      <c r="D25" s="16" t="s">
        <v>129</v>
      </c>
      <c r="E25" s="52">
        <v>28286</v>
      </c>
      <c r="F25" s="53">
        <v>67.249965000000003</v>
      </c>
      <c r="G25" s="54">
        <v>67.25</v>
      </c>
      <c r="H25" s="69">
        <v>1.9342437304913446E-2</v>
      </c>
      <c r="I25" s="2">
        <v>1.9300000000000001E-2</v>
      </c>
    </row>
    <row r="26" spans="1:9" ht="12.95" customHeight="1">
      <c r="A26" s="29"/>
      <c r="B26" s="68" t="s">
        <v>107</v>
      </c>
      <c r="C26" s="16" t="s">
        <v>108</v>
      </c>
      <c r="D26" s="16" t="s">
        <v>76</v>
      </c>
      <c r="E26" s="52">
        <v>6367</v>
      </c>
      <c r="F26" s="53">
        <v>64.975234999999998</v>
      </c>
      <c r="G26" s="54">
        <v>64.98</v>
      </c>
      <c r="H26" s="69">
        <v>1.8688179382093623E-2</v>
      </c>
      <c r="I26" s="2">
        <v>1.8700000000000001E-2</v>
      </c>
    </row>
    <row r="27" spans="1:9" ht="12.95" customHeight="1">
      <c r="A27" s="29"/>
      <c r="B27" s="68" t="s">
        <v>115</v>
      </c>
      <c r="C27" s="16" t="s">
        <v>116</v>
      </c>
      <c r="D27" s="16" t="s">
        <v>117</v>
      </c>
      <c r="E27" s="52">
        <v>15500</v>
      </c>
      <c r="F27" s="53">
        <v>59.643999999999998</v>
      </c>
      <c r="G27" s="54">
        <v>59.64</v>
      </c>
      <c r="H27" s="69">
        <v>1.7154809383384175E-2</v>
      </c>
      <c r="I27" s="2">
        <v>1.72E-2</v>
      </c>
    </row>
    <row r="28" spans="1:9" ht="12.95" customHeight="1">
      <c r="A28" s="29"/>
      <c r="B28" s="68" t="s">
        <v>81</v>
      </c>
      <c r="C28" s="16" t="s">
        <v>82</v>
      </c>
      <c r="D28" s="16" t="s">
        <v>83</v>
      </c>
      <c r="E28" s="52">
        <v>7944</v>
      </c>
      <c r="F28" s="53">
        <v>59.587944</v>
      </c>
      <c r="G28" s="54">
        <v>59.59</v>
      </c>
      <c r="H28" s="69">
        <v>1.7138686554687328E-2</v>
      </c>
      <c r="I28" s="2">
        <v>1.7100000000000001E-2</v>
      </c>
    </row>
    <row r="29" spans="1:9" ht="12.95" customHeight="1">
      <c r="A29" s="29"/>
      <c r="B29" s="68" t="s">
        <v>99</v>
      </c>
      <c r="C29" s="16" t="s">
        <v>100</v>
      </c>
      <c r="D29" s="16" t="s">
        <v>101</v>
      </c>
      <c r="E29" s="52">
        <v>9250</v>
      </c>
      <c r="F29" s="53">
        <v>57.932749999999999</v>
      </c>
      <c r="G29" s="54">
        <v>57.93</v>
      </c>
      <c r="H29" s="69">
        <v>1.666261959803584E-2</v>
      </c>
      <c r="I29" s="2">
        <v>1.67E-2</v>
      </c>
    </row>
    <row r="30" spans="1:9" ht="12.95" customHeight="1">
      <c r="A30" s="29"/>
      <c r="B30" s="68" t="s">
        <v>229</v>
      </c>
      <c r="C30" s="16" t="s">
        <v>230</v>
      </c>
      <c r="D30" s="16" t="s">
        <v>231</v>
      </c>
      <c r="E30" s="52">
        <v>15078</v>
      </c>
      <c r="F30" s="53">
        <v>53.421354000000001</v>
      </c>
      <c r="G30" s="54">
        <v>53.42</v>
      </c>
      <c r="H30" s="69">
        <v>1.5365051721418548E-2</v>
      </c>
      <c r="I30" s="2">
        <v>1.54E-2</v>
      </c>
    </row>
    <row r="31" spans="1:9" ht="12.95" customHeight="1">
      <c r="A31" s="29"/>
      <c r="B31" s="68" t="s">
        <v>217</v>
      </c>
      <c r="C31" s="16" t="s">
        <v>218</v>
      </c>
      <c r="D31" s="16" t="s">
        <v>65</v>
      </c>
      <c r="E31" s="52">
        <v>4216</v>
      </c>
      <c r="F31" s="53">
        <v>50.008083999999997</v>
      </c>
      <c r="G31" s="54">
        <v>50.01</v>
      </c>
      <c r="H31" s="69">
        <v>1.4383326883647376E-2</v>
      </c>
      <c r="I31" s="2">
        <v>1.44E-2</v>
      </c>
    </row>
    <row r="32" spans="1:9" ht="12.95" customHeight="1">
      <c r="A32" s="29"/>
      <c r="B32" s="68" t="s">
        <v>161</v>
      </c>
      <c r="C32" s="16" t="s">
        <v>162</v>
      </c>
      <c r="D32" s="16" t="s">
        <v>62</v>
      </c>
      <c r="E32" s="52">
        <v>700</v>
      </c>
      <c r="F32" s="53">
        <v>47.78725</v>
      </c>
      <c r="G32" s="54">
        <v>47.79</v>
      </c>
      <c r="H32" s="69">
        <v>1.3744570530248232E-2</v>
      </c>
      <c r="I32" s="2">
        <v>1.37E-2</v>
      </c>
    </row>
    <row r="33" spans="1:9" ht="12.95" customHeight="1">
      <c r="A33" s="29"/>
      <c r="B33" s="68" t="s">
        <v>232</v>
      </c>
      <c r="C33" s="16" t="s">
        <v>233</v>
      </c>
      <c r="D33" s="16" t="s">
        <v>95</v>
      </c>
      <c r="E33" s="52">
        <v>15000</v>
      </c>
      <c r="F33" s="53">
        <v>40.957500000000003</v>
      </c>
      <c r="G33" s="54">
        <v>40.96</v>
      </c>
      <c r="H33" s="69">
        <v>1.1780197594392687E-2</v>
      </c>
      <c r="I33" s="2">
        <v>1.18E-2</v>
      </c>
    </row>
    <row r="34" spans="1:9" ht="12.95" customHeight="1">
      <c r="A34" s="29"/>
      <c r="B34" s="68" t="s">
        <v>149</v>
      </c>
      <c r="C34" s="16" t="s">
        <v>150</v>
      </c>
      <c r="D34" s="16" t="s">
        <v>151</v>
      </c>
      <c r="E34" s="52">
        <v>15309</v>
      </c>
      <c r="F34" s="53">
        <v>40.277979000000002</v>
      </c>
      <c r="G34" s="54">
        <v>40.28</v>
      </c>
      <c r="H34" s="69">
        <v>1.158475374040894E-2</v>
      </c>
      <c r="I34" s="2">
        <v>1.1599999999999999E-2</v>
      </c>
    </row>
    <row r="35" spans="1:9" ht="12.95" customHeight="1">
      <c r="A35" s="29"/>
      <c r="B35" s="68" t="s">
        <v>172</v>
      </c>
      <c r="C35" s="16" t="s">
        <v>173</v>
      </c>
      <c r="D35" s="16" t="s">
        <v>151</v>
      </c>
      <c r="E35" s="52">
        <v>11850</v>
      </c>
      <c r="F35" s="53">
        <v>40.029299999999999</v>
      </c>
      <c r="G35" s="54">
        <v>40.03</v>
      </c>
      <c r="H35" s="69">
        <v>1.1513228677659115E-2</v>
      </c>
      <c r="I35" s="2">
        <v>1.15E-2</v>
      </c>
    </row>
    <row r="36" spans="1:9" ht="12.95" customHeight="1">
      <c r="A36" s="29"/>
      <c r="B36" s="68" t="s">
        <v>283</v>
      </c>
      <c r="C36" s="16" t="s">
        <v>284</v>
      </c>
      <c r="D36" s="16" t="s">
        <v>129</v>
      </c>
      <c r="E36" s="52">
        <v>1553</v>
      </c>
      <c r="F36" s="53">
        <v>37.228515999999999</v>
      </c>
      <c r="G36" s="54">
        <v>37.229999999999997</v>
      </c>
      <c r="H36" s="69">
        <v>1.0707667084807658E-2</v>
      </c>
      <c r="I36" s="2">
        <v>1.0699999999999999E-2</v>
      </c>
    </row>
    <row r="37" spans="1:9" ht="12.95" customHeight="1">
      <c r="A37" s="29"/>
      <c r="B37" s="68" t="s">
        <v>104</v>
      </c>
      <c r="C37" s="16" t="s">
        <v>105</v>
      </c>
      <c r="D37" s="16" t="s">
        <v>106</v>
      </c>
      <c r="E37" s="52">
        <v>20000</v>
      </c>
      <c r="F37" s="53">
        <v>34.19</v>
      </c>
      <c r="G37" s="54">
        <v>34.19</v>
      </c>
      <c r="H37" s="69">
        <v>9.8337290057324295E-3</v>
      </c>
      <c r="I37" s="2">
        <v>9.7999999999999997E-3</v>
      </c>
    </row>
    <row r="38" spans="1:9" ht="12.95" customHeight="1">
      <c r="A38" s="29"/>
      <c r="B38" s="68" t="s">
        <v>120</v>
      </c>
      <c r="C38" s="16" t="s">
        <v>121</v>
      </c>
      <c r="D38" s="16" t="s">
        <v>95</v>
      </c>
      <c r="E38" s="52">
        <v>5681</v>
      </c>
      <c r="F38" s="53">
        <v>31.2597025</v>
      </c>
      <c r="G38" s="54">
        <v>31.26</v>
      </c>
      <c r="H38" s="69">
        <v>8.9909167354435948E-3</v>
      </c>
      <c r="I38" s="2">
        <v>8.9999999999999993E-3</v>
      </c>
    </row>
    <row r="39" spans="1:9" ht="12.95" customHeight="1">
      <c r="A39" s="29"/>
      <c r="B39" s="64" t="s">
        <v>31</v>
      </c>
      <c r="C39" s="16"/>
      <c r="D39" s="16"/>
      <c r="E39" s="52"/>
      <c r="F39" s="9">
        <f>SUM(F10:F38)</f>
        <v>2597.730266</v>
      </c>
      <c r="G39" s="10"/>
      <c r="H39" s="113">
        <f>SUM(H10:H38)</f>
        <v>0.7471592707175555</v>
      </c>
      <c r="I39" s="2"/>
    </row>
    <row r="40" spans="1:9" ht="12.95" customHeight="1">
      <c r="A40" s="29"/>
      <c r="B40" s="68"/>
      <c r="C40" s="16"/>
      <c r="D40" s="16"/>
      <c r="E40" s="52"/>
      <c r="F40" s="53"/>
      <c r="G40" s="54"/>
      <c r="H40" s="69"/>
      <c r="I40" s="2"/>
    </row>
    <row r="41" spans="1:9" ht="12.95" customHeight="1">
      <c r="A41" s="29"/>
      <c r="B41" s="111" t="s">
        <v>398</v>
      </c>
      <c r="C41" s="16"/>
      <c r="D41" s="16"/>
      <c r="E41" s="52"/>
      <c r="F41" s="53"/>
      <c r="G41" s="54"/>
      <c r="H41" s="69"/>
      <c r="I41" s="2"/>
    </row>
    <row r="42" spans="1:9" ht="12.95" customHeight="1">
      <c r="A42" s="29"/>
      <c r="B42" s="111" t="s">
        <v>396</v>
      </c>
      <c r="C42" s="16"/>
      <c r="D42" s="16"/>
      <c r="E42" s="52"/>
      <c r="F42" s="53"/>
      <c r="G42" s="54"/>
      <c r="H42" s="69"/>
      <c r="I42" s="2"/>
    </row>
    <row r="43" spans="1:9" ht="12.95" customHeight="1">
      <c r="A43" s="29"/>
      <c r="B43" s="68" t="s">
        <v>272</v>
      </c>
      <c r="C43" s="16" t="s">
        <v>273</v>
      </c>
      <c r="D43" s="16" t="s">
        <v>259</v>
      </c>
      <c r="E43" s="52">
        <v>1600</v>
      </c>
      <c r="F43" s="53">
        <v>74.337206899999998</v>
      </c>
      <c r="G43" s="54">
        <v>74.34</v>
      </c>
      <c r="H43" s="69">
        <v>2.1380870070127608E-2</v>
      </c>
      <c r="I43" s="2">
        <v>2.1399999999999999E-2</v>
      </c>
    </row>
    <row r="44" spans="1:9" ht="12.95" customHeight="1">
      <c r="A44" s="29"/>
      <c r="B44" s="68" t="s">
        <v>274</v>
      </c>
      <c r="C44" s="16" t="s">
        <v>275</v>
      </c>
      <c r="D44" s="16" t="s">
        <v>276</v>
      </c>
      <c r="E44" s="52">
        <v>5000</v>
      </c>
      <c r="F44" s="53">
        <v>63.0903493</v>
      </c>
      <c r="G44" s="54">
        <v>63.09</v>
      </c>
      <c r="H44" s="69">
        <v>1.8146048490587912E-2</v>
      </c>
      <c r="I44" s="2">
        <v>1.8100000000000002E-2</v>
      </c>
    </row>
    <row r="45" spans="1:9" ht="12.95" customHeight="1">
      <c r="A45" s="29"/>
      <c r="B45" s="68" t="s">
        <v>277</v>
      </c>
      <c r="C45" s="16" t="s">
        <v>278</v>
      </c>
      <c r="D45" s="16" t="s">
        <v>276</v>
      </c>
      <c r="E45" s="52">
        <v>2900</v>
      </c>
      <c r="F45" s="53">
        <v>51.475492199999998</v>
      </c>
      <c r="G45" s="54">
        <v>51.48</v>
      </c>
      <c r="H45" s="69">
        <v>1.4805382881880474E-2</v>
      </c>
      <c r="I45" s="2">
        <v>1.4800000000000001E-2</v>
      </c>
    </row>
    <row r="46" spans="1:9" ht="12.95" customHeight="1">
      <c r="A46" s="29"/>
      <c r="B46" s="68" t="s">
        <v>287</v>
      </c>
      <c r="C46" s="16" t="s">
        <v>288</v>
      </c>
      <c r="D46" s="16" t="s">
        <v>259</v>
      </c>
      <c r="E46" s="52">
        <v>350</v>
      </c>
      <c r="F46" s="53">
        <v>35.305067700000002</v>
      </c>
      <c r="G46" s="54">
        <v>35.31</v>
      </c>
      <c r="H46" s="69">
        <v>1.0154444816930012E-2</v>
      </c>
      <c r="I46" s="2">
        <v>1.0200000000000001E-2</v>
      </c>
    </row>
    <row r="47" spans="1:9" ht="12.95" customHeight="1">
      <c r="A47" s="29"/>
      <c r="B47" s="64" t="s">
        <v>31</v>
      </c>
      <c r="C47" s="16"/>
      <c r="D47" s="16"/>
      <c r="E47" s="52"/>
      <c r="F47" s="9">
        <f>SUM(F43:F46)</f>
        <v>224.20811609999998</v>
      </c>
      <c r="G47" s="10"/>
      <c r="H47" s="113">
        <f>SUM(H43:H46)</f>
        <v>6.4486746259526009E-2</v>
      </c>
      <c r="I47" s="2"/>
    </row>
    <row r="48" spans="1:9" ht="12.95" customHeight="1">
      <c r="A48" s="29"/>
      <c r="B48" s="68"/>
      <c r="C48" s="16"/>
      <c r="D48" s="16"/>
      <c r="E48" s="52"/>
      <c r="F48" s="53"/>
      <c r="G48" s="54"/>
      <c r="H48" s="69"/>
      <c r="I48" s="2"/>
    </row>
    <row r="49" spans="1:9" ht="12.95" customHeight="1">
      <c r="A49" s="29"/>
      <c r="B49" s="68"/>
      <c r="C49" s="16"/>
      <c r="D49" s="16"/>
      <c r="E49" s="52"/>
      <c r="F49" s="53"/>
      <c r="G49" s="54"/>
      <c r="H49" s="69"/>
      <c r="I49" s="2"/>
    </row>
    <row r="50" spans="1:9" ht="12.95" customHeight="1">
      <c r="A50" s="29"/>
      <c r="B50" s="111" t="s">
        <v>399</v>
      </c>
      <c r="C50" s="16"/>
      <c r="D50" s="16"/>
      <c r="E50" s="52"/>
      <c r="F50" s="53"/>
      <c r="G50" s="54"/>
      <c r="H50" s="69"/>
      <c r="I50" s="2"/>
    </row>
    <row r="51" spans="1:9" ht="12.95" customHeight="1">
      <c r="A51" s="29"/>
      <c r="B51" s="68" t="s">
        <v>257</v>
      </c>
      <c r="C51" s="16" t="s">
        <v>258</v>
      </c>
      <c r="D51" s="16" t="s">
        <v>259</v>
      </c>
      <c r="E51" s="52">
        <v>10800</v>
      </c>
      <c r="F51" s="53">
        <v>122.08844879999999</v>
      </c>
      <c r="G51" s="54">
        <v>122.09</v>
      </c>
      <c r="H51" s="69">
        <v>3.5115083949383986E-2</v>
      </c>
      <c r="I51" s="2">
        <v>3.5099999999999999E-2</v>
      </c>
    </row>
    <row r="52" spans="1:9" ht="12.95" customHeight="1">
      <c r="A52" s="29"/>
      <c r="B52" s="68" t="s">
        <v>264</v>
      </c>
      <c r="C52" s="16" t="s">
        <v>265</v>
      </c>
      <c r="D52" s="16" t="s">
        <v>266</v>
      </c>
      <c r="E52" s="52">
        <v>40800</v>
      </c>
      <c r="F52" s="53">
        <v>84.510896399999993</v>
      </c>
      <c r="G52" s="54">
        <v>84.51</v>
      </c>
      <c r="H52" s="69">
        <v>2.4307027002899335E-2</v>
      </c>
      <c r="I52" s="2">
        <v>2.4299999999999999E-2</v>
      </c>
    </row>
    <row r="53" spans="1:9" ht="12.95" customHeight="1">
      <c r="A53" s="29"/>
      <c r="B53" s="68" t="s">
        <v>267</v>
      </c>
      <c r="C53" s="16" t="s">
        <v>268</v>
      </c>
      <c r="D53" s="16" t="s">
        <v>269</v>
      </c>
      <c r="E53" s="52">
        <v>24000</v>
      </c>
      <c r="F53" s="53">
        <v>78.119315999999998</v>
      </c>
      <c r="G53" s="54">
        <v>78.12</v>
      </c>
      <c r="H53" s="69">
        <v>2.2468680422848126E-2</v>
      </c>
      <c r="I53" s="2">
        <v>2.2499999999999999E-2</v>
      </c>
    </row>
    <row r="54" spans="1:9" ht="12.95" customHeight="1">
      <c r="A54" s="29"/>
      <c r="B54" s="68" t="s">
        <v>270</v>
      </c>
      <c r="C54" s="16" t="s">
        <v>271</v>
      </c>
      <c r="D54" s="16" t="s">
        <v>269</v>
      </c>
      <c r="E54" s="52">
        <v>21200</v>
      </c>
      <c r="F54" s="53">
        <v>77.915183400000004</v>
      </c>
      <c r="G54" s="54">
        <v>77.92</v>
      </c>
      <c r="H54" s="69">
        <v>2.2409967797237258E-2</v>
      </c>
      <c r="I54" s="2">
        <v>2.24E-2</v>
      </c>
    </row>
    <row r="55" spans="1:9" ht="12.95" customHeight="1">
      <c r="A55" s="29"/>
      <c r="B55" s="68" t="s">
        <v>279</v>
      </c>
      <c r="C55" s="16" t="s">
        <v>280</v>
      </c>
      <c r="D55" s="16" t="s">
        <v>59</v>
      </c>
      <c r="E55" s="52">
        <v>90000</v>
      </c>
      <c r="F55" s="53">
        <v>50.947380000000003</v>
      </c>
      <c r="G55" s="54">
        <v>50.95</v>
      </c>
      <c r="H55" s="69">
        <v>1.4653487232292256E-2</v>
      </c>
      <c r="I55" s="2">
        <v>1.47E-2</v>
      </c>
    </row>
    <row r="56" spans="1:9" ht="12.95" customHeight="1">
      <c r="A56" s="29"/>
      <c r="B56" s="68" t="s">
        <v>281</v>
      </c>
      <c r="C56" s="16" t="s">
        <v>282</v>
      </c>
      <c r="D56" s="16" t="s">
        <v>59</v>
      </c>
      <c r="E56" s="52">
        <v>127000</v>
      </c>
      <c r="F56" s="53">
        <v>48.037203900000002</v>
      </c>
      <c r="G56" s="54">
        <v>48.04</v>
      </c>
      <c r="H56" s="69">
        <v>1.3816462279781018E-2</v>
      </c>
      <c r="I56" s="2">
        <v>1.38E-2</v>
      </c>
    </row>
    <row r="57" spans="1:9" ht="12.95" customHeight="1">
      <c r="A57" s="29"/>
      <c r="B57" s="68" t="s">
        <v>285</v>
      </c>
      <c r="C57" s="16" t="s">
        <v>286</v>
      </c>
      <c r="D57" s="16" t="s">
        <v>59</v>
      </c>
      <c r="E57" s="52">
        <v>58000</v>
      </c>
      <c r="F57" s="53">
        <v>35.320086000000003</v>
      </c>
      <c r="G57" s="54">
        <v>35.32</v>
      </c>
      <c r="H57" s="69">
        <v>1.0158764380905641E-2</v>
      </c>
      <c r="I57" s="2">
        <v>1.0200000000000001E-2</v>
      </c>
    </row>
    <row r="58" spans="1:9" ht="12.95" customHeight="1">
      <c r="A58" s="29"/>
      <c r="B58" s="68" t="s">
        <v>289</v>
      </c>
      <c r="C58" s="16" t="s">
        <v>290</v>
      </c>
      <c r="D58" s="16" t="s">
        <v>291</v>
      </c>
      <c r="E58" s="52">
        <v>62000</v>
      </c>
      <c r="F58" s="53">
        <v>33.820826400000001</v>
      </c>
      <c r="G58" s="54">
        <v>33.82</v>
      </c>
      <c r="H58" s="69">
        <v>9.7275472818812835E-3</v>
      </c>
      <c r="I58" s="2">
        <v>9.7000000000000003E-3</v>
      </c>
    </row>
    <row r="59" spans="1:9" ht="12.95" customHeight="1">
      <c r="A59" s="29"/>
      <c r="B59" s="68" t="s">
        <v>292</v>
      </c>
      <c r="C59" s="16" t="s">
        <v>293</v>
      </c>
      <c r="D59" s="16" t="s">
        <v>269</v>
      </c>
      <c r="E59" s="52">
        <v>14000</v>
      </c>
      <c r="F59" s="53">
        <v>32.180903999999998</v>
      </c>
      <c r="G59" s="54">
        <v>32.18</v>
      </c>
      <c r="H59" s="69">
        <v>9.2558727433603612E-3</v>
      </c>
      <c r="I59" s="2">
        <v>9.2999999999999992E-3</v>
      </c>
    </row>
    <row r="60" spans="1:9" ht="12.95" customHeight="1">
      <c r="A60" s="29"/>
      <c r="B60" s="64" t="s">
        <v>31</v>
      </c>
      <c r="C60" s="16"/>
      <c r="D60" s="16"/>
      <c r="E60" s="52"/>
      <c r="F60" s="17">
        <f>SUM(F51:F59)</f>
        <v>562.94024489999993</v>
      </c>
      <c r="G60" s="56"/>
      <c r="H60" s="70">
        <f>SUM(H51:H59)</f>
        <v>0.16191289309058923</v>
      </c>
      <c r="I60" s="2"/>
    </row>
    <row r="61" spans="1:9" ht="12.95" customHeight="1">
      <c r="A61" s="29"/>
      <c r="B61" s="68"/>
      <c r="C61" s="16"/>
      <c r="D61" s="16"/>
      <c r="E61" s="52"/>
      <c r="F61" s="53"/>
      <c r="G61" s="54"/>
      <c r="H61" s="69"/>
      <c r="I61" s="2"/>
    </row>
    <row r="62" spans="1:9" ht="12.95" customHeight="1">
      <c r="A62" s="27"/>
      <c r="B62" s="64" t="s">
        <v>196</v>
      </c>
      <c r="C62" s="16" t="s">
        <v>1</v>
      </c>
      <c r="D62" s="16" t="s">
        <v>1</v>
      </c>
      <c r="E62" s="16" t="s">
        <v>1</v>
      </c>
      <c r="F62" s="17" t="s">
        <v>197</v>
      </c>
      <c r="G62" s="57" t="s">
        <v>197</v>
      </c>
      <c r="H62" s="70" t="s">
        <v>197</v>
      </c>
      <c r="I62" s="42" t="s">
        <v>197</v>
      </c>
    </row>
    <row r="63" spans="1:9" ht="12.95" customHeight="1">
      <c r="A63" s="27"/>
      <c r="B63" s="64" t="s">
        <v>31</v>
      </c>
      <c r="C63" s="16" t="s">
        <v>1</v>
      </c>
      <c r="D63" s="16" t="s">
        <v>1</v>
      </c>
      <c r="E63" s="16" t="s">
        <v>1</v>
      </c>
      <c r="F63" s="17" t="s">
        <v>197</v>
      </c>
      <c r="G63" s="57" t="s">
        <v>197</v>
      </c>
      <c r="H63" s="70" t="s">
        <v>197</v>
      </c>
      <c r="I63" s="42" t="s">
        <v>197</v>
      </c>
    </row>
    <row r="64" spans="1:9" ht="12.95" customHeight="1">
      <c r="A64" s="27"/>
      <c r="B64" s="64" t="s">
        <v>36</v>
      </c>
      <c r="C64" s="16" t="s">
        <v>1</v>
      </c>
      <c r="D64" s="16" t="s">
        <v>1</v>
      </c>
      <c r="E64" s="16" t="s">
        <v>1</v>
      </c>
      <c r="F64" s="17">
        <v>3384.8786270000001</v>
      </c>
      <c r="G64" s="56">
        <v>3384.92</v>
      </c>
      <c r="H64" s="70">
        <v>0.9735589100676707</v>
      </c>
      <c r="I64" s="41">
        <v>0.97360000000000002</v>
      </c>
    </row>
    <row r="65" spans="1:9" ht="12.95" customHeight="1">
      <c r="A65" s="27"/>
      <c r="B65" s="64"/>
      <c r="C65" s="16"/>
      <c r="D65" s="16"/>
      <c r="E65" s="16"/>
      <c r="F65" s="17"/>
      <c r="G65" s="56"/>
      <c r="H65" s="70"/>
      <c r="I65" s="61"/>
    </row>
    <row r="66" spans="1:9" ht="12.95" customHeight="1">
      <c r="A66" s="27"/>
      <c r="B66" s="14" t="s">
        <v>389</v>
      </c>
      <c r="C66" s="16"/>
      <c r="D66" s="16"/>
      <c r="E66" s="16"/>
      <c r="F66" s="115"/>
      <c r="G66" s="56"/>
      <c r="H66" s="70"/>
      <c r="I66" s="12"/>
    </row>
    <row r="67" spans="1:9" ht="12.95" customHeight="1">
      <c r="A67" s="29"/>
      <c r="B67" s="19" t="s">
        <v>400</v>
      </c>
      <c r="C67" s="16"/>
      <c r="D67" s="16"/>
      <c r="E67" s="112" t="s">
        <v>197</v>
      </c>
      <c r="F67" s="112" t="s">
        <v>197</v>
      </c>
      <c r="G67" s="112" t="s">
        <v>197</v>
      </c>
      <c r="H67" s="113" t="s">
        <v>197</v>
      </c>
      <c r="I67" s="13" t="s">
        <v>197</v>
      </c>
    </row>
    <row r="68" spans="1:9" ht="12.95" customHeight="1">
      <c r="A68" s="27"/>
      <c r="B68" s="22" t="s">
        <v>391</v>
      </c>
      <c r="C68" s="16"/>
      <c r="D68" s="16"/>
      <c r="E68" s="112" t="s">
        <v>197</v>
      </c>
      <c r="F68" s="112" t="s">
        <v>197</v>
      </c>
      <c r="G68" s="112" t="s">
        <v>197</v>
      </c>
      <c r="H68" s="113" t="s">
        <v>197</v>
      </c>
      <c r="I68" s="13" t="s">
        <v>197</v>
      </c>
    </row>
    <row r="69" spans="1:9" ht="12.95" customHeight="1">
      <c r="A69" s="27"/>
      <c r="B69" s="22" t="s">
        <v>392</v>
      </c>
      <c r="C69" s="16"/>
      <c r="D69" s="16"/>
      <c r="E69" s="112" t="s">
        <v>197</v>
      </c>
      <c r="F69" s="112" t="s">
        <v>197</v>
      </c>
      <c r="G69" s="112" t="s">
        <v>197</v>
      </c>
      <c r="H69" s="113" t="s">
        <v>197</v>
      </c>
      <c r="I69" s="13" t="s">
        <v>197</v>
      </c>
    </row>
    <row r="70" spans="1:9" ht="12.95" customHeight="1">
      <c r="A70" s="27"/>
      <c r="B70" s="22"/>
      <c r="C70" s="16"/>
      <c r="D70" s="16"/>
      <c r="E70" s="16"/>
      <c r="F70" s="116"/>
      <c r="G70" s="66"/>
      <c r="H70" s="71"/>
      <c r="I70" s="62"/>
    </row>
    <row r="71" spans="1:9" ht="12.95" customHeight="1">
      <c r="A71" s="27"/>
      <c r="B71" s="110" t="s">
        <v>11</v>
      </c>
      <c r="C71" s="16"/>
      <c r="D71" s="16"/>
      <c r="E71" s="16"/>
      <c r="F71" s="116"/>
      <c r="G71" s="66"/>
      <c r="H71" s="71"/>
      <c r="I71" s="62"/>
    </row>
    <row r="72" spans="1:9" ht="12.95" customHeight="1">
      <c r="A72" s="27"/>
      <c r="B72" s="64" t="s">
        <v>37</v>
      </c>
      <c r="C72" s="16" t="s">
        <v>1</v>
      </c>
      <c r="D72" s="16" t="s">
        <v>1</v>
      </c>
      <c r="E72" s="16" t="s">
        <v>1</v>
      </c>
      <c r="F72" s="49" t="s">
        <v>1</v>
      </c>
      <c r="G72" s="50"/>
      <c r="H72" s="67" t="s">
        <v>1</v>
      </c>
      <c r="I72" s="39" t="s">
        <v>1</v>
      </c>
    </row>
    <row r="73" spans="1:9" ht="12.95" customHeight="1">
      <c r="A73" s="29"/>
      <c r="B73" s="68" t="s">
        <v>38</v>
      </c>
      <c r="C73" s="16" t="s">
        <v>1</v>
      </c>
      <c r="D73" s="16" t="s">
        <v>39</v>
      </c>
      <c r="E73" s="52"/>
      <c r="F73" s="53">
        <v>47.659750000000003</v>
      </c>
      <c r="G73" s="54">
        <v>47.66</v>
      </c>
      <c r="H73" s="69">
        <v>1.3707898975751861E-2</v>
      </c>
      <c r="I73" s="2">
        <v>1.37E-2</v>
      </c>
    </row>
    <row r="74" spans="1:9" ht="12.95" customHeight="1">
      <c r="A74" s="27"/>
      <c r="B74" s="64" t="s">
        <v>31</v>
      </c>
      <c r="C74" s="16" t="s">
        <v>1</v>
      </c>
      <c r="D74" s="16" t="s">
        <v>1</v>
      </c>
      <c r="E74" s="16" t="s">
        <v>1</v>
      </c>
      <c r="F74" s="17">
        <v>47.659750000000003</v>
      </c>
      <c r="G74" s="56">
        <v>47.66</v>
      </c>
      <c r="H74" s="70">
        <v>1.3707898975751861E-2</v>
      </c>
      <c r="I74" s="41">
        <v>1.37E-2</v>
      </c>
    </row>
    <row r="75" spans="1:9" ht="12.95" customHeight="1">
      <c r="A75" s="27"/>
      <c r="B75" s="64"/>
      <c r="C75" s="16"/>
      <c r="D75" s="16"/>
      <c r="E75" s="16"/>
      <c r="F75" s="17"/>
      <c r="G75" s="56"/>
      <c r="H75" s="70"/>
      <c r="I75" s="41"/>
    </row>
    <row r="76" spans="1:9" ht="12.95" customHeight="1">
      <c r="A76" s="27"/>
      <c r="B76" s="111" t="s">
        <v>408</v>
      </c>
      <c r="C76" s="16"/>
      <c r="D76" s="16"/>
      <c r="E76" s="16"/>
      <c r="F76" s="17"/>
      <c r="G76" s="56"/>
      <c r="H76" s="70"/>
      <c r="I76" s="41"/>
    </row>
    <row r="77" spans="1:9" ht="12.95" customHeight="1">
      <c r="A77" s="27"/>
      <c r="B77" s="163" t="s">
        <v>40</v>
      </c>
      <c r="C77" s="164" t="s">
        <v>1</v>
      </c>
      <c r="D77" s="164" t="s">
        <v>1</v>
      </c>
      <c r="E77" s="164" t="s">
        <v>1</v>
      </c>
      <c r="F77" s="20">
        <v>44.270876139800002</v>
      </c>
      <c r="G77" s="66">
        <v>44.23</v>
      </c>
      <c r="H77" s="71">
        <v>1.2733190956577474E-2</v>
      </c>
      <c r="I77" s="41">
        <v>1.2699999999999999E-2</v>
      </c>
    </row>
    <row r="78" spans="1:9" ht="12.95" customHeight="1">
      <c r="A78" s="27"/>
      <c r="B78" s="64" t="s">
        <v>31</v>
      </c>
      <c r="C78" s="16"/>
      <c r="D78" s="16"/>
      <c r="E78" s="16"/>
      <c r="F78" s="17">
        <v>44.270876139800002</v>
      </c>
      <c r="G78" s="56">
        <v>44.23</v>
      </c>
      <c r="H78" s="70">
        <v>1.2733190956577474E-2</v>
      </c>
      <c r="I78" s="61"/>
    </row>
    <row r="79" spans="1:9" ht="12.95" customHeight="1" thickBot="1">
      <c r="A79" s="27"/>
      <c r="B79" s="65" t="s">
        <v>36</v>
      </c>
      <c r="C79" s="24"/>
      <c r="D79" s="24"/>
      <c r="E79" s="24"/>
      <c r="F79" s="25">
        <f>F74+F78</f>
        <v>91.930626139800012</v>
      </c>
      <c r="G79" s="25">
        <f t="shared" ref="G79:H79" si="0">G74+G78</f>
        <v>91.889999999999986</v>
      </c>
      <c r="H79" s="102">
        <f t="shared" si="0"/>
        <v>2.6441089932329333E-2</v>
      </c>
      <c r="I79" s="61"/>
    </row>
    <row r="80" spans="1:9" ht="12.95" customHeight="1" thickBot="1">
      <c r="A80" s="27"/>
      <c r="B80" s="103" t="s">
        <v>41</v>
      </c>
      <c r="C80" s="104" t="s">
        <v>1</v>
      </c>
      <c r="D80" s="104" t="s">
        <v>1</v>
      </c>
      <c r="E80" s="104" t="s">
        <v>1</v>
      </c>
      <c r="F80" s="105">
        <v>3476.8092531398001</v>
      </c>
      <c r="G80" s="106">
        <v>3476.81</v>
      </c>
      <c r="H80" s="107">
        <v>1</v>
      </c>
      <c r="I80" s="44">
        <v>1</v>
      </c>
    </row>
    <row r="81" spans="1:9" s="30" customFormat="1" ht="12.95" customHeight="1">
      <c r="A81" s="27"/>
      <c r="B81" s="28" t="s">
        <v>1</v>
      </c>
      <c r="C81" s="27"/>
      <c r="D81" s="27"/>
      <c r="E81" s="27"/>
      <c r="F81" s="33"/>
      <c r="G81" s="27"/>
      <c r="H81" s="34"/>
      <c r="I81" s="27"/>
    </row>
    <row r="82" spans="1:9" s="30" customFormat="1" ht="12.95" customHeight="1">
      <c r="A82" s="27"/>
      <c r="B82" s="35" t="s">
        <v>39</v>
      </c>
      <c r="C82" s="27"/>
      <c r="D82" s="27"/>
      <c r="E82" s="27"/>
      <c r="F82" s="33"/>
      <c r="G82" s="27"/>
      <c r="H82" s="34"/>
      <c r="I82" s="27"/>
    </row>
    <row r="83" spans="1:9" s="30" customFormat="1" ht="12.95" customHeight="1">
      <c r="A83" s="27"/>
      <c r="B83" s="90" t="s">
        <v>394</v>
      </c>
      <c r="C83" s="91"/>
      <c r="D83" s="27"/>
      <c r="E83" s="27"/>
      <c r="F83" s="33"/>
      <c r="G83" s="27"/>
      <c r="H83" s="34"/>
      <c r="I83" s="27"/>
    </row>
    <row r="84" spans="1:9" s="30" customFormat="1" ht="12.95" customHeight="1">
      <c r="A84" s="27"/>
      <c r="B84" s="117" t="s">
        <v>401</v>
      </c>
      <c r="C84" s="91"/>
      <c r="D84" s="27"/>
      <c r="E84" s="27"/>
      <c r="F84" s="33"/>
      <c r="G84" s="27"/>
      <c r="H84" s="34"/>
      <c r="I84" s="27"/>
    </row>
    <row r="85" spans="1:9" s="30" customFormat="1" ht="13.5" thickBot="1">
      <c r="B85" s="118"/>
      <c r="C85" s="118"/>
      <c r="F85" s="36"/>
      <c r="H85" s="37"/>
    </row>
    <row r="86" spans="1:9" s="30" customFormat="1" ht="13.5" thickBot="1">
      <c r="B86" s="119" t="s">
        <v>405</v>
      </c>
      <c r="C86" s="120">
        <v>0.63570000000000004</v>
      </c>
      <c r="F86" s="36"/>
      <c r="H86" s="37"/>
    </row>
    <row r="87" spans="1:9" s="30" customFormat="1">
      <c r="B87" s="121" t="s">
        <v>406</v>
      </c>
      <c r="C87" s="121"/>
      <c r="F87" s="36"/>
      <c r="H87" s="37"/>
    </row>
    <row r="88" spans="1:9" s="30" customFormat="1">
      <c r="F88" s="36"/>
      <c r="H88" s="37"/>
    </row>
    <row r="89" spans="1:9" s="30" customFormat="1">
      <c r="F89" s="36"/>
      <c r="H89" s="37"/>
    </row>
    <row r="90" spans="1:9" s="30" customFormat="1">
      <c r="F90" s="36"/>
      <c r="H90" s="37"/>
    </row>
    <row r="91" spans="1:9" s="30" customFormat="1">
      <c r="F91" s="36"/>
      <c r="H91" s="37"/>
    </row>
    <row r="92" spans="1:9" s="30" customFormat="1">
      <c r="F92" s="36"/>
      <c r="H92" s="37"/>
    </row>
    <row r="93" spans="1:9" s="30" customFormat="1">
      <c r="F93" s="36"/>
      <c r="H93" s="37"/>
    </row>
    <row r="94" spans="1:9" s="30" customFormat="1">
      <c r="F94" s="36"/>
      <c r="H94" s="37"/>
    </row>
    <row r="95" spans="1:9" s="30" customFormat="1">
      <c r="F95" s="36"/>
      <c r="H95" s="37"/>
    </row>
    <row r="96" spans="1:9" s="30" customFormat="1">
      <c r="F96" s="36"/>
      <c r="H96" s="37"/>
    </row>
    <row r="97" spans="6:8" s="30" customFormat="1">
      <c r="F97" s="36"/>
      <c r="H97" s="37"/>
    </row>
    <row r="98" spans="6:8" s="30" customFormat="1">
      <c r="F98" s="36"/>
      <c r="H98" s="37"/>
    </row>
    <row r="99" spans="6:8" s="30" customFormat="1">
      <c r="F99" s="36"/>
      <c r="H99" s="37"/>
    </row>
    <row r="100" spans="6:8" s="30" customFormat="1">
      <c r="F100" s="36"/>
      <c r="H100" s="37"/>
    </row>
    <row r="101" spans="6:8" s="30" customFormat="1">
      <c r="F101" s="36"/>
      <c r="H101" s="37"/>
    </row>
    <row r="102" spans="6:8" s="30" customFormat="1">
      <c r="F102" s="36"/>
      <c r="H102" s="37"/>
    </row>
    <row r="103" spans="6:8" s="30" customFormat="1">
      <c r="F103" s="36"/>
      <c r="H103" s="37"/>
    </row>
    <row r="104" spans="6:8" s="30" customFormat="1">
      <c r="F104" s="36"/>
      <c r="H104" s="37"/>
    </row>
    <row r="105" spans="6:8" s="30" customFormat="1">
      <c r="F105" s="36"/>
      <c r="H105" s="37"/>
    </row>
    <row r="106" spans="6:8" s="30" customFormat="1">
      <c r="F106" s="36"/>
      <c r="H106" s="37"/>
    </row>
    <row r="107" spans="6:8" s="30" customFormat="1">
      <c r="F107" s="36"/>
      <c r="H107" s="37"/>
    </row>
    <row r="108" spans="6:8" s="30" customFormat="1">
      <c r="F108" s="36"/>
      <c r="H108" s="37"/>
    </row>
    <row r="109" spans="6:8" s="30" customFormat="1">
      <c r="F109" s="36"/>
      <c r="H109" s="37"/>
    </row>
    <row r="110" spans="6:8" s="30" customFormat="1">
      <c r="F110" s="36"/>
      <c r="H110" s="37"/>
    </row>
    <row r="111" spans="6:8" s="30" customFormat="1">
      <c r="F111" s="36"/>
      <c r="H111" s="37"/>
    </row>
    <row r="112" spans="6:8" s="30" customFormat="1">
      <c r="F112" s="36"/>
      <c r="H112" s="37"/>
    </row>
    <row r="113" spans="6:8" s="30" customFormat="1">
      <c r="F113" s="36"/>
      <c r="H113" s="37"/>
    </row>
    <row r="114" spans="6:8" s="30" customFormat="1">
      <c r="F114" s="36"/>
      <c r="H114" s="37"/>
    </row>
    <row r="115" spans="6:8" s="30" customFormat="1">
      <c r="F115" s="36"/>
      <c r="H115" s="37"/>
    </row>
    <row r="116" spans="6:8" s="30" customFormat="1">
      <c r="F116" s="36"/>
      <c r="H116" s="37"/>
    </row>
    <row r="117" spans="6:8" s="30" customFormat="1">
      <c r="F117" s="36"/>
      <c r="H117" s="37"/>
    </row>
    <row r="118" spans="6:8" s="30" customFormat="1">
      <c r="F118" s="36"/>
      <c r="H118" s="37"/>
    </row>
    <row r="119" spans="6:8" s="30" customFormat="1">
      <c r="F119" s="36"/>
      <c r="H119" s="37"/>
    </row>
    <row r="120" spans="6:8" s="30" customFormat="1">
      <c r="F120" s="36"/>
      <c r="H120" s="37"/>
    </row>
    <row r="121" spans="6:8" s="30" customFormat="1">
      <c r="F121" s="36"/>
      <c r="H121" s="37"/>
    </row>
    <row r="122" spans="6:8" s="30" customFormat="1">
      <c r="F122" s="36"/>
      <c r="H122" s="37"/>
    </row>
    <row r="123" spans="6:8" s="30" customFormat="1">
      <c r="F123" s="36"/>
      <c r="H123" s="37"/>
    </row>
    <row r="124" spans="6:8" s="30" customFormat="1">
      <c r="F124" s="36"/>
      <c r="H124" s="37"/>
    </row>
    <row r="125" spans="6:8" s="30" customFormat="1">
      <c r="F125" s="36"/>
      <c r="H125" s="37"/>
    </row>
    <row r="126" spans="6:8" s="30" customFormat="1">
      <c r="F126" s="36"/>
      <c r="H126" s="37"/>
    </row>
    <row r="127" spans="6:8" s="30" customFormat="1">
      <c r="F127" s="36"/>
      <c r="H127" s="37"/>
    </row>
    <row r="128" spans="6:8" s="30" customFormat="1">
      <c r="F128" s="36"/>
      <c r="H128" s="37"/>
    </row>
    <row r="129" spans="6:8" s="30" customFormat="1">
      <c r="F129" s="36"/>
      <c r="H129" s="37"/>
    </row>
    <row r="130" spans="6:8" s="30" customFormat="1">
      <c r="F130" s="36"/>
      <c r="H130" s="37"/>
    </row>
    <row r="131" spans="6:8" s="30" customFormat="1">
      <c r="F131" s="36"/>
      <c r="H131" s="37"/>
    </row>
    <row r="132" spans="6:8" s="30" customFormat="1">
      <c r="F132" s="36"/>
      <c r="H132" s="37"/>
    </row>
    <row r="133" spans="6:8" s="30" customFormat="1">
      <c r="F133" s="36"/>
      <c r="H133" s="37"/>
    </row>
    <row r="134" spans="6:8" s="30" customFormat="1">
      <c r="F134" s="36"/>
      <c r="H134" s="37"/>
    </row>
    <row r="135" spans="6:8" s="30" customFormat="1">
      <c r="F135" s="36"/>
      <c r="H135" s="37"/>
    </row>
    <row r="136" spans="6:8" s="30" customFormat="1">
      <c r="F136" s="36"/>
      <c r="H136" s="37"/>
    </row>
    <row r="137" spans="6:8" s="30" customFormat="1">
      <c r="F137" s="36"/>
      <c r="H137" s="37"/>
    </row>
    <row r="138" spans="6:8" s="30" customFormat="1">
      <c r="F138" s="36"/>
      <c r="H138" s="37"/>
    </row>
    <row r="139" spans="6:8" s="30" customFormat="1">
      <c r="F139" s="36"/>
      <c r="H139" s="37"/>
    </row>
    <row r="140" spans="6:8" s="30" customFormat="1">
      <c r="F140" s="36"/>
      <c r="H140" s="37"/>
    </row>
    <row r="141" spans="6:8" s="30" customFormat="1">
      <c r="F141" s="36"/>
      <c r="H141" s="37"/>
    </row>
    <row r="142" spans="6:8" s="30" customFormat="1">
      <c r="F142" s="36"/>
      <c r="H142" s="37"/>
    </row>
    <row r="143" spans="6:8" s="30" customFormat="1">
      <c r="F143" s="36"/>
      <c r="H143" s="37"/>
    </row>
    <row r="144" spans="6:8" s="30" customFormat="1">
      <c r="F144" s="36"/>
      <c r="H144" s="37"/>
    </row>
    <row r="145" spans="6:8" s="30" customFormat="1">
      <c r="F145" s="36"/>
      <c r="H145" s="37"/>
    </row>
    <row r="146" spans="6:8" s="30" customFormat="1">
      <c r="F146" s="36"/>
      <c r="H146" s="37"/>
    </row>
    <row r="147" spans="6:8" s="30" customFormat="1">
      <c r="F147" s="36"/>
      <c r="H147" s="37"/>
    </row>
    <row r="148" spans="6:8" s="30" customFormat="1">
      <c r="F148" s="36"/>
      <c r="H148" s="37"/>
    </row>
    <row r="149" spans="6:8" s="30" customFormat="1">
      <c r="F149" s="36"/>
      <c r="H149" s="37"/>
    </row>
    <row r="150" spans="6:8" s="30" customFormat="1">
      <c r="F150" s="36"/>
      <c r="H150" s="37"/>
    </row>
    <row r="151" spans="6:8" s="30" customFormat="1">
      <c r="F151" s="36"/>
      <c r="H151" s="37"/>
    </row>
    <row r="152" spans="6:8" s="30" customFormat="1">
      <c r="F152" s="36"/>
      <c r="H152" s="37"/>
    </row>
    <row r="153" spans="6:8" s="30" customFormat="1">
      <c r="F153" s="36"/>
      <c r="H153" s="37"/>
    </row>
    <row r="154" spans="6:8" s="30" customFormat="1">
      <c r="F154" s="36"/>
      <c r="H154" s="37"/>
    </row>
    <row r="155" spans="6:8" s="30" customFormat="1">
      <c r="F155" s="36"/>
      <c r="H155" s="37"/>
    </row>
    <row r="156" spans="6:8" s="30" customFormat="1">
      <c r="F156" s="36"/>
      <c r="H156" s="37"/>
    </row>
    <row r="157" spans="6:8" s="30" customFormat="1">
      <c r="F157" s="36"/>
      <c r="H157" s="37"/>
    </row>
    <row r="158" spans="6:8" s="30" customFormat="1">
      <c r="F158" s="36"/>
      <c r="H158" s="37"/>
    </row>
    <row r="159" spans="6:8" s="30" customFormat="1">
      <c r="F159" s="36"/>
      <c r="H159" s="37"/>
    </row>
    <row r="160" spans="6:8" s="30" customFormat="1">
      <c r="F160" s="36"/>
      <c r="H160" s="37"/>
    </row>
    <row r="161" spans="6:8" s="30" customFormat="1">
      <c r="F161" s="36"/>
      <c r="H161" s="37"/>
    </row>
    <row r="162" spans="6:8" s="30" customFormat="1">
      <c r="F162" s="36"/>
      <c r="H162" s="37"/>
    </row>
    <row r="163" spans="6:8" s="30" customFormat="1">
      <c r="F163" s="36"/>
      <c r="H163" s="37"/>
    </row>
    <row r="164" spans="6:8" s="30" customFormat="1">
      <c r="F164" s="36"/>
      <c r="H164" s="37"/>
    </row>
    <row r="165" spans="6:8" s="30" customFormat="1">
      <c r="F165" s="36"/>
      <c r="H165" s="37"/>
    </row>
    <row r="166" spans="6:8" s="30" customFormat="1">
      <c r="F166" s="36"/>
      <c r="H166" s="37"/>
    </row>
    <row r="167" spans="6:8" s="30" customFormat="1">
      <c r="F167" s="36"/>
      <c r="H167" s="37"/>
    </row>
    <row r="168" spans="6:8" s="30" customFormat="1">
      <c r="F168" s="36"/>
      <c r="H168" s="37"/>
    </row>
    <row r="169" spans="6:8" s="30" customFormat="1">
      <c r="F169" s="36"/>
      <c r="H169" s="37"/>
    </row>
    <row r="170" spans="6:8" s="30" customFormat="1">
      <c r="F170" s="36"/>
      <c r="H170" s="37"/>
    </row>
    <row r="171" spans="6:8" s="30" customFormat="1">
      <c r="F171" s="36"/>
      <c r="H171" s="37"/>
    </row>
    <row r="172" spans="6:8" s="30" customFormat="1">
      <c r="F172" s="36"/>
      <c r="H172" s="37"/>
    </row>
    <row r="173" spans="6:8" s="30" customFormat="1">
      <c r="F173" s="36"/>
      <c r="H173" s="37"/>
    </row>
    <row r="174" spans="6:8" s="30" customFormat="1">
      <c r="F174" s="36"/>
      <c r="H174" s="37"/>
    </row>
    <row r="175" spans="6:8" s="30" customFormat="1">
      <c r="F175" s="36"/>
      <c r="H175" s="37"/>
    </row>
    <row r="176" spans="6:8" s="30" customFormat="1">
      <c r="F176" s="36"/>
      <c r="H176" s="37"/>
    </row>
    <row r="177" spans="6:8" s="30" customFormat="1">
      <c r="F177" s="36"/>
      <c r="H177" s="37"/>
    </row>
    <row r="178" spans="6:8" s="30" customFormat="1">
      <c r="F178" s="36"/>
      <c r="H178" s="37"/>
    </row>
    <row r="179" spans="6:8" s="30" customFormat="1">
      <c r="F179" s="36"/>
      <c r="H179" s="37"/>
    </row>
    <row r="180" spans="6:8" s="30" customFormat="1">
      <c r="F180" s="36"/>
      <c r="H180" s="37"/>
    </row>
    <row r="181" spans="6:8" s="30" customFormat="1">
      <c r="F181" s="36"/>
      <c r="H181" s="37"/>
    </row>
    <row r="182" spans="6:8" s="30" customFormat="1">
      <c r="F182" s="36"/>
      <c r="H182" s="37"/>
    </row>
    <row r="183" spans="6:8" s="30" customFormat="1">
      <c r="F183" s="36"/>
      <c r="H183" s="37"/>
    </row>
    <row r="184" spans="6:8" s="30" customFormat="1">
      <c r="F184" s="36"/>
      <c r="H184" s="37"/>
    </row>
    <row r="185" spans="6:8" s="30" customFormat="1">
      <c r="F185" s="36"/>
      <c r="H185" s="37"/>
    </row>
    <row r="186" spans="6:8" s="30" customFormat="1">
      <c r="F186" s="36"/>
      <c r="H186" s="37"/>
    </row>
    <row r="187" spans="6:8" s="30" customFormat="1">
      <c r="F187" s="36"/>
      <c r="H187" s="37"/>
    </row>
    <row r="188" spans="6:8" s="30" customFormat="1">
      <c r="F188" s="36"/>
      <c r="H188" s="37"/>
    </row>
    <row r="189" spans="6:8" s="30" customFormat="1">
      <c r="F189" s="36"/>
      <c r="H189" s="37"/>
    </row>
    <row r="190" spans="6:8" s="30" customFormat="1">
      <c r="F190" s="36"/>
      <c r="H190" s="37"/>
    </row>
    <row r="191" spans="6:8" s="30" customFormat="1">
      <c r="F191" s="36"/>
      <c r="H191" s="37"/>
    </row>
    <row r="192" spans="6:8" s="30" customFormat="1">
      <c r="F192" s="36"/>
      <c r="H192" s="37"/>
    </row>
    <row r="193" spans="6:8" s="30" customFormat="1">
      <c r="F193" s="36"/>
      <c r="H193" s="37"/>
    </row>
    <row r="194" spans="6:8" s="30" customFormat="1">
      <c r="F194" s="36"/>
      <c r="H194" s="37"/>
    </row>
    <row r="195" spans="6:8" s="30" customFormat="1">
      <c r="F195" s="36"/>
      <c r="H195" s="37"/>
    </row>
    <row r="196" spans="6:8" s="30" customFormat="1">
      <c r="F196" s="36"/>
      <c r="H196" s="37"/>
    </row>
    <row r="197" spans="6:8" s="30" customFormat="1">
      <c r="F197" s="36"/>
      <c r="H197" s="37"/>
    </row>
    <row r="198" spans="6:8" s="30" customFormat="1">
      <c r="F198" s="36"/>
      <c r="H198" s="37"/>
    </row>
    <row r="199" spans="6:8" s="30" customFormat="1">
      <c r="F199" s="36"/>
      <c r="H199" s="37"/>
    </row>
    <row r="200" spans="6:8" s="30" customFormat="1">
      <c r="F200" s="36"/>
      <c r="H200" s="37"/>
    </row>
    <row r="201" spans="6:8" s="30" customFormat="1">
      <c r="F201" s="36"/>
      <c r="H201" s="37"/>
    </row>
    <row r="202" spans="6:8" s="30" customFormat="1">
      <c r="F202" s="36"/>
      <c r="H202" s="37"/>
    </row>
    <row r="203" spans="6:8" s="30" customFormat="1">
      <c r="F203" s="36"/>
      <c r="H203" s="37"/>
    </row>
    <row r="204" spans="6:8" s="30" customFormat="1">
      <c r="F204" s="36"/>
      <c r="H204" s="37"/>
    </row>
    <row r="205" spans="6:8" s="30" customFormat="1">
      <c r="F205" s="36"/>
      <c r="H205" s="37"/>
    </row>
    <row r="206" spans="6:8" s="30" customFormat="1">
      <c r="F206" s="36"/>
      <c r="H206" s="37"/>
    </row>
    <row r="207" spans="6:8" s="30" customFormat="1">
      <c r="F207" s="36"/>
      <c r="H207" s="37"/>
    </row>
    <row r="208" spans="6:8" s="30" customFormat="1">
      <c r="F208" s="36"/>
      <c r="H208" s="37"/>
    </row>
    <row r="209" spans="6:8" s="30" customFormat="1">
      <c r="F209" s="36"/>
      <c r="H209" s="37"/>
    </row>
    <row r="210" spans="6:8" s="30" customFormat="1">
      <c r="F210" s="36"/>
      <c r="H210" s="37"/>
    </row>
    <row r="211" spans="6:8" s="30" customFormat="1">
      <c r="F211" s="36"/>
      <c r="H211" s="37"/>
    </row>
    <row r="212" spans="6:8" s="30" customFormat="1">
      <c r="F212" s="36"/>
      <c r="H212" s="37"/>
    </row>
    <row r="213" spans="6:8" s="30" customFormat="1">
      <c r="F213" s="36"/>
      <c r="H213" s="37"/>
    </row>
    <row r="214" spans="6:8" s="30" customFormat="1">
      <c r="F214" s="36"/>
      <c r="H214" s="37"/>
    </row>
    <row r="215" spans="6:8" s="30" customFormat="1">
      <c r="F215" s="36"/>
      <c r="H215" s="37"/>
    </row>
    <row r="216" spans="6:8" s="30" customFormat="1">
      <c r="F216" s="36"/>
      <c r="H216" s="37"/>
    </row>
    <row r="217" spans="6:8" s="30" customFormat="1">
      <c r="F217" s="36"/>
      <c r="H217" s="37"/>
    </row>
    <row r="218" spans="6:8" s="30" customFormat="1">
      <c r="F218" s="36"/>
      <c r="H218" s="37"/>
    </row>
    <row r="219" spans="6:8" s="30" customFormat="1">
      <c r="F219" s="36"/>
      <c r="H219" s="37"/>
    </row>
    <row r="220" spans="6:8" s="30" customFormat="1">
      <c r="F220" s="36"/>
      <c r="H220" s="37"/>
    </row>
    <row r="221" spans="6:8" s="30" customFormat="1">
      <c r="F221" s="36"/>
      <c r="H221" s="37"/>
    </row>
    <row r="222" spans="6:8" s="30" customFormat="1">
      <c r="F222" s="36"/>
      <c r="H222" s="37"/>
    </row>
    <row r="223" spans="6:8" s="30" customFormat="1">
      <c r="F223" s="36"/>
      <c r="H223" s="37"/>
    </row>
    <row r="224" spans="6:8" s="30" customFormat="1">
      <c r="F224" s="36"/>
      <c r="H224" s="37"/>
    </row>
    <row r="225" spans="6:8" s="30" customFormat="1">
      <c r="F225" s="36"/>
      <c r="H225" s="37"/>
    </row>
    <row r="226" spans="6:8" s="30" customFormat="1">
      <c r="F226" s="36"/>
      <c r="H226" s="37"/>
    </row>
    <row r="227" spans="6:8" s="30" customFormat="1">
      <c r="F227" s="36"/>
      <c r="H227" s="37"/>
    </row>
    <row r="228" spans="6:8" s="30" customFormat="1">
      <c r="F228" s="36"/>
      <c r="H228" s="37"/>
    </row>
    <row r="229" spans="6:8" s="30" customFormat="1">
      <c r="F229" s="36"/>
      <c r="H229" s="37"/>
    </row>
    <row r="230" spans="6:8" s="30" customFormat="1">
      <c r="F230" s="36"/>
      <c r="H230" s="37"/>
    </row>
    <row r="231" spans="6:8" s="30" customFormat="1">
      <c r="F231" s="36"/>
      <c r="H231" s="37"/>
    </row>
    <row r="232" spans="6:8" s="30" customFormat="1">
      <c r="F232" s="36"/>
      <c r="H232" s="37"/>
    </row>
    <row r="233" spans="6:8" s="30" customFormat="1">
      <c r="F233" s="36"/>
      <c r="H233" s="37"/>
    </row>
    <row r="234" spans="6:8" s="30" customFormat="1">
      <c r="F234" s="36"/>
      <c r="H234" s="37"/>
    </row>
    <row r="235" spans="6:8" s="30" customFormat="1">
      <c r="F235" s="36"/>
      <c r="H235" s="37"/>
    </row>
    <row r="236" spans="6:8" s="30" customFormat="1">
      <c r="F236" s="36"/>
      <c r="H236" s="37"/>
    </row>
    <row r="237" spans="6:8" s="30" customFormat="1">
      <c r="F237" s="36"/>
      <c r="H237" s="37"/>
    </row>
    <row r="238" spans="6:8" s="30" customFormat="1">
      <c r="F238" s="36"/>
      <c r="H238" s="37"/>
    </row>
    <row r="239" spans="6:8" s="30" customFormat="1">
      <c r="F239" s="36"/>
      <c r="H239" s="37"/>
    </row>
    <row r="240" spans="6:8" s="30" customFormat="1">
      <c r="F240" s="36"/>
      <c r="H240" s="37"/>
    </row>
    <row r="241" spans="6:8" s="30" customFormat="1">
      <c r="F241" s="36"/>
      <c r="H241" s="37"/>
    </row>
    <row r="242" spans="6:8" s="30" customFormat="1">
      <c r="F242" s="36"/>
      <c r="H242" s="37"/>
    </row>
    <row r="243" spans="6:8" s="30" customFormat="1">
      <c r="F243" s="36"/>
      <c r="H243" s="37"/>
    </row>
    <row r="244" spans="6:8" s="30" customFormat="1">
      <c r="F244" s="36"/>
      <c r="H244" s="37"/>
    </row>
    <row r="245" spans="6:8" s="30" customFormat="1">
      <c r="F245" s="36"/>
      <c r="H245" s="37"/>
    </row>
    <row r="246" spans="6:8" s="30" customFormat="1">
      <c r="F246" s="36"/>
      <c r="H246" s="37"/>
    </row>
    <row r="247" spans="6:8" s="30" customFormat="1">
      <c r="F247" s="36"/>
      <c r="H247" s="37"/>
    </row>
    <row r="248" spans="6:8" s="30" customFormat="1">
      <c r="F248" s="36"/>
      <c r="H248" s="37"/>
    </row>
    <row r="249" spans="6:8" s="30" customFormat="1">
      <c r="F249" s="36"/>
      <c r="H249" s="37"/>
    </row>
    <row r="250" spans="6:8" s="30" customFormat="1">
      <c r="F250" s="36"/>
      <c r="H250" s="37"/>
    </row>
    <row r="251" spans="6:8" s="30" customFormat="1">
      <c r="F251" s="36"/>
      <c r="H251" s="37"/>
    </row>
    <row r="252" spans="6:8" s="30" customFormat="1">
      <c r="F252" s="36"/>
      <c r="H252" s="37"/>
    </row>
    <row r="253" spans="6:8" s="30" customFormat="1">
      <c r="F253" s="36"/>
      <c r="H253" s="37"/>
    </row>
    <row r="254" spans="6:8" s="30" customFormat="1">
      <c r="F254" s="36"/>
      <c r="H254" s="37"/>
    </row>
    <row r="255" spans="6:8" s="30" customFormat="1">
      <c r="F255" s="36"/>
      <c r="H255" s="37"/>
    </row>
    <row r="256" spans="6:8" s="30" customFormat="1">
      <c r="F256" s="36"/>
      <c r="H256" s="37"/>
    </row>
    <row r="257" spans="6:8" s="30" customFormat="1">
      <c r="F257" s="36"/>
      <c r="H257" s="37"/>
    </row>
    <row r="258" spans="6:8" s="30" customFormat="1">
      <c r="F258" s="36"/>
      <c r="H258" s="37"/>
    </row>
    <row r="259" spans="6:8" s="30" customFormat="1">
      <c r="F259" s="36"/>
      <c r="H259" s="37"/>
    </row>
    <row r="260" spans="6:8" s="30" customFormat="1">
      <c r="F260" s="36"/>
      <c r="H260" s="37"/>
    </row>
    <row r="261" spans="6:8" s="30" customFormat="1">
      <c r="F261" s="36"/>
      <c r="H261" s="37"/>
    </row>
    <row r="262" spans="6:8" s="30" customFormat="1">
      <c r="F262" s="36"/>
      <c r="H262" s="37"/>
    </row>
    <row r="263" spans="6:8" s="30" customFormat="1">
      <c r="F263" s="36"/>
      <c r="H263" s="37"/>
    </row>
    <row r="264" spans="6:8" s="30" customFormat="1">
      <c r="F264" s="36"/>
      <c r="H264" s="37"/>
    </row>
    <row r="265" spans="6:8" s="30" customFormat="1">
      <c r="F265" s="36"/>
      <c r="H265" s="37"/>
    </row>
    <row r="266" spans="6:8" s="30" customFormat="1">
      <c r="F266" s="36"/>
      <c r="H266" s="37"/>
    </row>
    <row r="267" spans="6:8" s="30" customFormat="1">
      <c r="F267" s="36"/>
      <c r="H267" s="37"/>
    </row>
    <row r="268" spans="6:8" s="30" customFormat="1">
      <c r="F268" s="36"/>
      <c r="H268" s="37"/>
    </row>
    <row r="269" spans="6:8" s="30" customFormat="1">
      <c r="F269" s="36"/>
      <c r="H269" s="37"/>
    </row>
    <row r="270" spans="6:8" s="30" customFormat="1">
      <c r="F270" s="36"/>
      <c r="H270" s="37"/>
    </row>
    <row r="271" spans="6:8" s="30" customFormat="1">
      <c r="F271" s="36"/>
      <c r="H271" s="37"/>
    </row>
    <row r="272" spans="6:8" s="30" customFormat="1">
      <c r="F272" s="36"/>
      <c r="H272" s="37"/>
    </row>
    <row r="273" spans="6:8" s="30" customFormat="1">
      <c r="F273" s="36"/>
      <c r="H273" s="37"/>
    </row>
    <row r="274" spans="6:8" s="30" customFormat="1">
      <c r="F274" s="36"/>
      <c r="H274" s="37"/>
    </row>
    <row r="275" spans="6:8" s="30" customFormat="1">
      <c r="F275" s="36"/>
      <c r="H275" s="37"/>
    </row>
    <row r="276" spans="6:8" s="30" customFormat="1">
      <c r="F276" s="36"/>
      <c r="H276" s="37"/>
    </row>
    <row r="277" spans="6:8" s="30" customFormat="1">
      <c r="F277" s="36"/>
      <c r="H277" s="37"/>
    </row>
    <row r="278" spans="6:8" s="30" customFormat="1">
      <c r="F278" s="36"/>
      <c r="H278" s="37"/>
    </row>
    <row r="279" spans="6:8" s="30" customFormat="1">
      <c r="F279" s="36"/>
      <c r="H279" s="37"/>
    </row>
    <row r="280" spans="6:8" s="30" customFormat="1">
      <c r="F280" s="36"/>
      <c r="H280" s="37"/>
    </row>
    <row r="281" spans="6:8" s="30" customFormat="1">
      <c r="F281" s="36"/>
      <c r="H281" s="37"/>
    </row>
    <row r="282" spans="6:8" s="30" customFormat="1">
      <c r="F282" s="36"/>
      <c r="H282" s="37"/>
    </row>
    <row r="283" spans="6:8" s="30" customFormat="1">
      <c r="F283" s="36"/>
      <c r="H283" s="37"/>
    </row>
    <row r="284" spans="6:8" s="30" customFormat="1">
      <c r="F284" s="36"/>
      <c r="H284" s="37"/>
    </row>
    <row r="285" spans="6:8" s="30" customFormat="1">
      <c r="F285" s="36"/>
      <c r="H285" s="37"/>
    </row>
    <row r="286" spans="6:8" s="30" customFormat="1">
      <c r="F286" s="36"/>
      <c r="H286" s="37"/>
    </row>
    <row r="287" spans="6:8" s="30" customFormat="1">
      <c r="F287" s="36"/>
      <c r="H287" s="37"/>
    </row>
    <row r="288" spans="6:8" s="30" customFormat="1">
      <c r="F288" s="36"/>
      <c r="H288" s="37"/>
    </row>
    <row r="289" spans="6:8" s="30" customFormat="1">
      <c r="F289" s="36"/>
      <c r="H289" s="37"/>
    </row>
    <row r="290" spans="6:8" s="30" customFormat="1">
      <c r="F290" s="36"/>
      <c r="H290" s="37"/>
    </row>
    <row r="291" spans="6:8" s="30" customFormat="1">
      <c r="F291" s="36"/>
      <c r="H291" s="37"/>
    </row>
    <row r="292" spans="6:8" s="30" customFormat="1">
      <c r="F292" s="36"/>
      <c r="H292" s="37"/>
    </row>
    <row r="293" spans="6:8" s="30" customFormat="1">
      <c r="F293" s="36"/>
      <c r="H293" s="37"/>
    </row>
    <row r="294" spans="6:8" s="30" customFormat="1">
      <c r="F294" s="36"/>
      <c r="H294" s="37"/>
    </row>
    <row r="295" spans="6:8" s="30" customFormat="1">
      <c r="F295" s="36"/>
      <c r="H295" s="37"/>
    </row>
    <row r="296" spans="6:8" s="30" customFormat="1">
      <c r="F296" s="36"/>
      <c r="H296" s="37"/>
    </row>
    <row r="297" spans="6:8" s="30" customFormat="1">
      <c r="F297" s="36"/>
      <c r="H297" s="37"/>
    </row>
    <row r="298" spans="6:8" s="30" customFormat="1">
      <c r="F298" s="36"/>
      <c r="H298" s="37"/>
    </row>
    <row r="299" spans="6:8" s="30" customFormat="1">
      <c r="F299" s="36"/>
      <c r="H299" s="37"/>
    </row>
    <row r="300" spans="6:8" s="30" customFormat="1">
      <c r="F300" s="36"/>
      <c r="H300" s="37"/>
    </row>
    <row r="301" spans="6:8" s="30" customFormat="1">
      <c r="F301" s="36"/>
      <c r="H301" s="37"/>
    </row>
    <row r="302" spans="6:8" s="30" customFormat="1">
      <c r="F302" s="36"/>
      <c r="H302" s="37"/>
    </row>
    <row r="303" spans="6:8" s="30" customFormat="1">
      <c r="F303" s="36"/>
      <c r="H303" s="37"/>
    </row>
    <row r="304" spans="6:8" s="30" customFormat="1">
      <c r="F304" s="36"/>
      <c r="H304" s="37"/>
    </row>
    <row r="305" spans="6:8" s="30" customFormat="1">
      <c r="F305" s="36"/>
      <c r="H305" s="37"/>
    </row>
    <row r="306" spans="6:8" s="30" customFormat="1">
      <c r="F306" s="36"/>
      <c r="H306" s="37"/>
    </row>
    <row r="307" spans="6:8" s="30" customFormat="1">
      <c r="F307" s="36"/>
      <c r="H307" s="37"/>
    </row>
    <row r="308" spans="6:8" s="30" customFormat="1">
      <c r="F308" s="36"/>
      <c r="H308" s="37"/>
    </row>
    <row r="309" spans="6:8" s="30" customFormat="1">
      <c r="F309" s="36"/>
      <c r="H309" s="37"/>
    </row>
    <row r="310" spans="6:8" s="30" customFormat="1">
      <c r="F310" s="36"/>
      <c r="H310" s="37"/>
    </row>
    <row r="311" spans="6:8" s="30" customFormat="1">
      <c r="F311" s="36"/>
      <c r="H311" s="37"/>
    </row>
    <row r="312" spans="6:8" s="30" customFormat="1">
      <c r="F312" s="36"/>
      <c r="H312" s="37"/>
    </row>
    <row r="313" spans="6:8" s="30" customFormat="1">
      <c r="F313" s="36"/>
      <c r="H313" s="37"/>
    </row>
    <row r="314" spans="6:8" s="30" customFormat="1">
      <c r="F314" s="36"/>
      <c r="H314" s="37"/>
    </row>
    <row r="315" spans="6:8" s="30" customFormat="1">
      <c r="F315" s="36"/>
      <c r="H315" s="37"/>
    </row>
    <row r="316" spans="6:8" s="30" customFormat="1">
      <c r="F316" s="36"/>
      <c r="H316" s="37"/>
    </row>
    <row r="317" spans="6:8" s="30" customFormat="1">
      <c r="F317" s="36"/>
      <c r="H317" s="37"/>
    </row>
    <row r="318" spans="6:8" s="30" customFormat="1">
      <c r="F318" s="36"/>
      <c r="H318" s="37"/>
    </row>
    <row r="319" spans="6:8" s="30" customFormat="1">
      <c r="F319" s="36"/>
      <c r="H319" s="37"/>
    </row>
    <row r="320" spans="6:8" s="30" customFormat="1">
      <c r="F320" s="36"/>
      <c r="H320" s="37"/>
    </row>
    <row r="321" spans="6:8" s="30" customFormat="1">
      <c r="F321" s="36"/>
      <c r="H321" s="37"/>
    </row>
    <row r="322" spans="6:8" s="30" customFormat="1">
      <c r="F322" s="36"/>
      <c r="H322" s="37"/>
    </row>
    <row r="323" spans="6:8" s="30" customFormat="1">
      <c r="F323" s="36"/>
      <c r="H323" s="37"/>
    </row>
    <row r="324" spans="6:8" s="30" customFormat="1">
      <c r="F324" s="36"/>
      <c r="H324" s="37"/>
    </row>
    <row r="325" spans="6:8" s="30" customFormat="1">
      <c r="F325" s="36"/>
      <c r="H325" s="37"/>
    </row>
    <row r="326" spans="6:8" s="30" customFormat="1">
      <c r="F326" s="36"/>
      <c r="H326" s="37"/>
    </row>
    <row r="327" spans="6:8" s="30" customFormat="1">
      <c r="F327" s="36"/>
      <c r="H327" s="37"/>
    </row>
    <row r="328" spans="6:8" s="30" customFormat="1">
      <c r="F328" s="36"/>
      <c r="H328" s="37"/>
    </row>
    <row r="329" spans="6:8" s="30" customFormat="1">
      <c r="F329" s="36"/>
      <c r="H329" s="37"/>
    </row>
    <row r="330" spans="6:8" s="30" customFormat="1">
      <c r="F330" s="36"/>
      <c r="H330" s="37"/>
    </row>
    <row r="331" spans="6:8" s="30" customFormat="1">
      <c r="F331" s="36"/>
      <c r="H331" s="37"/>
    </row>
    <row r="332" spans="6:8" s="30" customFormat="1">
      <c r="F332" s="36"/>
      <c r="H332" s="37"/>
    </row>
    <row r="333" spans="6:8" s="30" customFormat="1">
      <c r="F333" s="36"/>
      <c r="H333" s="37"/>
    </row>
    <row r="334" spans="6:8" s="30" customFormat="1">
      <c r="F334" s="36"/>
      <c r="H334" s="37"/>
    </row>
    <row r="335" spans="6:8" s="30" customFormat="1">
      <c r="F335" s="36"/>
      <c r="H335" s="37"/>
    </row>
    <row r="336" spans="6:8" s="30" customFormat="1">
      <c r="F336" s="36"/>
      <c r="H336" s="37"/>
    </row>
    <row r="337" spans="6:8" s="30" customFormat="1">
      <c r="F337" s="36"/>
      <c r="H337" s="37"/>
    </row>
    <row r="338" spans="6:8" s="30" customFormat="1">
      <c r="F338" s="36"/>
      <c r="H338" s="37"/>
    </row>
    <row r="339" spans="6:8" s="30" customFormat="1">
      <c r="F339" s="36"/>
      <c r="H339" s="37"/>
    </row>
    <row r="340" spans="6:8" s="30" customFormat="1">
      <c r="F340" s="36"/>
      <c r="H340" s="37"/>
    </row>
    <row r="341" spans="6:8" s="30" customFormat="1">
      <c r="F341" s="36"/>
      <c r="H341" s="37"/>
    </row>
    <row r="342" spans="6:8" s="30" customFormat="1">
      <c r="F342" s="36"/>
      <c r="H342" s="37"/>
    </row>
    <row r="343" spans="6:8" s="30" customFormat="1">
      <c r="F343" s="36"/>
      <c r="H343" s="37"/>
    </row>
    <row r="344" spans="6:8" s="30" customFormat="1">
      <c r="F344" s="36"/>
      <c r="H344" s="37"/>
    </row>
    <row r="345" spans="6:8" s="30" customFormat="1">
      <c r="F345" s="36"/>
      <c r="H345" s="37"/>
    </row>
    <row r="346" spans="6:8" s="30" customFormat="1">
      <c r="F346" s="36"/>
      <c r="H346" s="37"/>
    </row>
    <row r="347" spans="6:8" s="30" customFormat="1">
      <c r="F347" s="36"/>
      <c r="H347" s="37"/>
    </row>
    <row r="348" spans="6:8" s="30" customFormat="1">
      <c r="F348" s="36"/>
      <c r="H348" s="37"/>
    </row>
    <row r="349" spans="6:8" s="30" customFormat="1">
      <c r="F349" s="36"/>
      <c r="H349" s="37"/>
    </row>
    <row r="350" spans="6:8" s="30" customFormat="1">
      <c r="F350" s="36"/>
      <c r="H350" s="37"/>
    </row>
    <row r="351" spans="6:8" s="30" customFormat="1">
      <c r="F351" s="36"/>
      <c r="H351" s="37"/>
    </row>
    <row r="352" spans="6:8" s="30" customFormat="1">
      <c r="F352" s="36"/>
      <c r="H352" s="37"/>
    </row>
    <row r="353" spans="6:8" s="30" customFormat="1">
      <c r="F353" s="36"/>
      <c r="H353" s="37"/>
    </row>
    <row r="354" spans="6:8" s="30" customFormat="1">
      <c r="F354" s="36"/>
      <c r="H354" s="37"/>
    </row>
    <row r="355" spans="6:8" s="30" customFormat="1">
      <c r="F355" s="36"/>
      <c r="H355" s="37"/>
    </row>
    <row r="356" spans="6:8" s="30" customFormat="1">
      <c r="F356" s="36"/>
      <c r="H356" s="37"/>
    </row>
    <row r="357" spans="6:8" s="30" customFormat="1">
      <c r="F357" s="36"/>
      <c r="H357" s="37"/>
    </row>
    <row r="358" spans="6:8" s="30" customFormat="1">
      <c r="F358" s="36"/>
      <c r="H358" s="37"/>
    </row>
    <row r="359" spans="6:8" s="30" customFormat="1">
      <c r="F359" s="36"/>
      <c r="H359" s="37"/>
    </row>
    <row r="360" spans="6:8" s="30" customFormat="1">
      <c r="F360" s="36"/>
      <c r="H360" s="37"/>
    </row>
    <row r="361" spans="6:8" s="30" customFormat="1">
      <c r="F361" s="36"/>
      <c r="H361" s="37"/>
    </row>
    <row r="362" spans="6:8" s="30" customFormat="1">
      <c r="F362" s="36"/>
      <c r="H362" s="37"/>
    </row>
    <row r="363" spans="6:8" s="30" customFormat="1">
      <c r="F363" s="36"/>
      <c r="H363" s="37"/>
    </row>
    <row r="364" spans="6:8" s="30" customFormat="1">
      <c r="F364" s="36"/>
      <c r="H364" s="37"/>
    </row>
    <row r="365" spans="6:8" s="30" customFormat="1">
      <c r="F365" s="36"/>
      <c r="H365" s="37"/>
    </row>
    <row r="366" spans="6:8" s="30" customFormat="1">
      <c r="F366" s="36"/>
      <c r="H366" s="37"/>
    </row>
    <row r="367" spans="6:8" s="30" customFormat="1">
      <c r="F367" s="36"/>
      <c r="H367" s="37"/>
    </row>
    <row r="368" spans="6:8" s="30" customFormat="1">
      <c r="F368" s="36"/>
      <c r="H368" s="37"/>
    </row>
    <row r="369" spans="6:8" s="30" customFormat="1">
      <c r="F369" s="36"/>
      <c r="H369" s="37"/>
    </row>
    <row r="370" spans="6:8" s="30" customFormat="1">
      <c r="F370" s="36"/>
      <c r="H370" s="37"/>
    </row>
    <row r="371" spans="6:8" s="30" customFormat="1">
      <c r="F371" s="36"/>
      <c r="H371" s="37"/>
    </row>
    <row r="372" spans="6:8" s="30" customFormat="1">
      <c r="F372" s="36"/>
      <c r="H372" s="37"/>
    </row>
    <row r="373" spans="6:8" s="30" customFormat="1">
      <c r="F373" s="36"/>
      <c r="H373" s="37"/>
    </row>
    <row r="374" spans="6:8" s="30" customFormat="1">
      <c r="F374" s="36"/>
      <c r="H374" s="37"/>
    </row>
    <row r="375" spans="6:8" s="30" customFormat="1">
      <c r="F375" s="36"/>
      <c r="H375" s="37"/>
    </row>
    <row r="376" spans="6:8" s="30" customFormat="1">
      <c r="F376" s="36"/>
      <c r="H376" s="37"/>
    </row>
    <row r="377" spans="6:8" s="30" customFormat="1">
      <c r="F377" s="36"/>
      <c r="H377" s="37"/>
    </row>
    <row r="378" spans="6:8" s="30" customFormat="1">
      <c r="F378" s="36"/>
      <c r="H378" s="37"/>
    </row>
    <row r="379" spans="6:8" s="30" customFormat="1">
      <c r="F379" s="36"/>
      <c r="H379" s="37"/>
    </row>
    <row r="380" spans="6:8" s="30" customFormat="1">
      <c r="F380" s="36"/>
      <c r="H380" s="37"/>
    </row>
    <row r="381" spans="6:8" s="30" customFormat="1">
      <c r="F381" s="36"/>
      <c r="H381" s="37"/>
    </row>
    <row r="382" spans="6:8" s="30" customFormat="1">
      <c r="F382" s="36"/>
      <c r="H382" s="37"/>
    </row>
    <row r="383" spans="6:8" s="30" customFormat="1">
      <c r="F383" s="36"/>
      <c r="H383" s="37"/>
    </row>
    <row r="384" spans="6:8" s="30" customFormat="1">
      <c r="F384" s="36"/>
      <c r="H384" s="37"/>
    </row>
    <row r="385" spans="6:8" s="30" customFormat="1">
      <c r="F385" s="36"/>
      <c r="H385" s="37"/>
    </row>
    <row r="386" spans="6:8" s="30" customFormat="1">
      <c r="F386" s="36"/>
      <c r="H386" s="37"/>
    </row>
    <row r="387" spans="6:8" s="30" customFormat="1">
      <c r="F387" s="36"/>
      <c r="H387" s="37"/>
    </row>
    <row r="388" spans="6:8" s="30" customFormat="1">
      <c r="F388" s="36"/>
      <c r="H388" s="37"/>
    </row>
    <row r="389" spans="6:8" s="30" customFormat="1">
      <c r="F389" s="36"/>
      <c r="H389" s="37"/>
    </row>
    <row r="390" spans="6:8" s="30" customFormat="1">
      <c r="F390" s="36"/>
      <c r="H390" s="37"/>
    </row>
    <row r="391" spans="6:8" s="30" customFormat="1">
      <c r="F391" s="36"/>
      <c r="H391" s="37"/>
    </row>
    <row r="392" spans="6:8" s="30" customFormat="1">
      <c r="F392" s="36"/>
      <c r="H392" s="37"/>
    </row>
    <row r="393" spans="6:8" s="30" customFormat="1">
      <c r="F393" s="36"/>
      <c r="H393" s="37"/>
    </row>
    <row r="394" spans="6:8" s="30" customFormat="1">
      <c r="F394" s="36"/>
      <c r="H394" s="37"/>
    </row>
    <row r="395" spans="6:8" s="30" customFormat="1">
      <c r="F395" s="36"/>
      <c r="H395" s="37"/>
    </row>
    <row r="396" spans="6:8" s="30" customFormat="1">
      <c r="F396" s="36"/>
      <c r="H396" s="37"/>
    </row>
    <row r="397" spans="6:8" s="30" customFormat="1">
      <c r="F397" s="36"/>
      <c r="H397" s="37"/>
    </row>
    <row r="398" spans="6:8" s="30" customFormat="1">
      <c r="F398" s="36"/>
      <c r="H398" s="37"/>
    </row>
    <row r="399" spans="6:8" s="30" customFormat="1">
      <c r="F399" s="36"/>
      <c r="H399" s="37"/>
    </row>
    <row r="400" spans="6:8" s="30" customFormat="1">
      <c r="F400" s="36"/>
      <c r="H400" s="37"/>
    </row>
    <row r="401" spans="6:8" s="30" customFormat="1">
      <c r="F401" s="36"/>
      <c r="H401" s="37"/>
    </row>
    <row r="402" spans="6:8" s="30" customFormat="1">
      <c r="F402" s="36"/>
      <c r="H402" s="37"/>
    </row>
    <row r="403" spans="6:8" s="30" customFormat="1">
      <c r="F403" s="36"/>
      <c r="H403" s="37"/>
    </row>
    <row r="404" spans="6:8" s="30" customFormat="1">
      <c r="F404" s="36"/>
      <c r="H404" s="37"/>
    </row>
    <row r="405" spans="6:8" s="30" customFormat="1">
      <c r="F405" s="36"/>
      <c r="H405" s="37"/>
    </row>
    <row r="406" spans="6:8" s="30" customFormat="1">
      <c r="F406" s="36"/>
      <c r="H406" s="37"/>
    </row>
    <row r="407" spans="6:8" s="30" customFormat="1">
      <c r="F407" s="36"/>
      <c r="H407" s="37"/>
    </row>
    <row r="408" spans="6:8" s="30" customFormat="1">
      <c r="F408" s="36"/>
      <c r="H408" s="37"/>
    </row>
    <row r="409" spans="6:8" s="30" customFormat="1">
      <c r="F409" s="36"/>
      <c r="H409" s="37"/>
    </row>
    <row r="410" spans="6:8" s="30" customFormat="1">
      <c r="F410" s="36"/>
      <c r="H410" s="37"/>
    </row>
    <row r="411" spans="6:8" s="30" customFormat="1">
      <c r="F411" s="36"/>
      <c r="H411" s="37"/>
    </row>
    <row r="412" spans="6:8" s="30" customFormat="1">
      <c r="F412" s="36"/>
      <c r="H412" s="37"/>
    </row>
    <row r="413" spans="6:8" s="30" customFormat="1">
      <c r="F413" s="36"/>
      <c r="H413" s="37"/>
    </row>
    <row r="414" spans="6:8" s="30" customFormat="1">
      <c r="F414" s="36"/>
      <c r="H414" s="37"/>
    </row>
    <row r="415" spans="6:8" s="30" customFormat="1">
      <c r="F415" s="36"/>
      <c r="H415" s="37"/>
    </row>
    <row r="416" spans="6:8" s="30" customFormat="1">
      <c r="F416" s="36"/>
      <c r="H416" s="37"/>
    </row>
    <row r="417" spans="6:8" s="30" customFormat="1">
      <c r="F417" s="36"/>
      <c r="H417" s="37"/>
    </row>
    <row r="418" spans="6:8" s="30" customFormat="1">
      <c r="F418" s="36"/>
      <c r="H418" s="37"/>
    </row>
    <row r="419" spans="6:8" s="30" customFormat="1">
      <c r="F419" s="36"/>
      <c r="H419" s="37"/>
    </row>
    <row r="420" spans="6:8" s="30" customFormat="1">
      <c r="F420" s="36"/>
      <c r="H420" s="37"/>
    </row>
    <row r="421" spans="6:8" s="30" customFormat="1">
      <c r="F421" s="36"/>
      <c r="H421" s="37"/>
    </row>
    <row r="422" spans="6:8" s="30" customFormat="1">
      <c r="F422" s="36"/>
      <c r="H422" s="37"/>
    </row>
    <row r="423" spans="6:8" s="30" customFormat="1">
      <c r="F423" s="36"/>
      <c r="H423" s="37"/>
    </row>
    <row r="424" spans="6:8" s="30" customFormat="1">
      <c r="F424" s="36"/>
      <c r="H424" s="37"/>
    </row>
    <row r="425" spans="6:8" s="30" customFormat="1">
      <c r="F425" s="36"/>
      <c r="H425" s="37"/>
    </row>
    <row r="426" spans="6:8" s="30" customFormat="1">
      <c r="F426" s="36"/>
      <c r="H426" s="37"/>
    </row>
    <row r="427" spans="6:8" s="30" customFormat="1">
      <c r="F427" s="36"/>
      <c r="H427" s="37"/>
    </row>
    <row r="428" spans="6:8" s="30" customFormat="1">
      <c r="F428" s="36"/>
      <c r="H428" s="37"/>
    </row>
    <row r="429" spans="6:8" s="30" customFormat="1">
      <c r="F429" s="36"/>
      <c r="H429" s="37"/>
    </row>
    <row r="430" spans="6:8" s="30" customFormat="1">
      <c r="F430" s="36"/>
      <c r="H430" s="37"/>
    </row>
    <row r="431" spans="6:8" s="30" customFormat="1">
      <c r="F431" s="36"/>
      <c r="H431" s="37"/>
    </row>
    <row r="432" spans="6:8" s="30" customFormat="1">
      <c r="F432" s="36"/>
      <c r="H432" s="37"/>
    </row>
    <row r="433" spans="6:8" s="30" customFormat="1">
      <c r="F433" s="36"/>
      <c r="H433" s="37"/>
    </row>
    <row r="434" spans="6:8" s="30" customFormat="1">
      <c r="F434" s="36"/>
      <c r="H434" s="37"/>
    </row>
    <row r="435" spans="6:8" s="30" customFormat="1">
      <c r="F435" s="36"/>
      <c r="H435" s="37"/>
    </row>
    <row r="436" spans="6:8" s="30" customFormat="1">
      <c r="F436" s="36"/>
      <c r="H436" s="37"/>
    </row>
    <row r="437" spans="6:8" s="30" customFormat="1">
      <c r="F437" s="36"/>
      <c r="H437" s="37"/>
    </row>
    <row r="438" spans="6:8" s="30" customFormat="1">
      <c r="F438" s="36"/>
      <c r="H438" s="37"/>
    </row>
    <row r="439" spans="6:8" s="30" customFormat="1">
      <c r="F439" s="36"/>
      <c r="H439" s="37"/>
    </row>
    <row r="440" spans="6:8" s="30" customFormat="1">
      <c r="F440" s="36"/>
      <c r="H440" s="37"/>
    </row>
    <row r="441" spans="6:8" s="30" customFormat="1">
      <c r="F441" s="36"/>
      <c r="H441" s="37"/>
    </row>
    <row r="442" spans="6:8" s="30" customFormat="1">
      <c r="F442" s="36"/>
      <c r="H442" s="37"/>
    </row>
    <row r="443" spans="6:8" s="30" customFormat="1">
      <c r="F443" s="36"/>
      <c r="H443" s="37"/>
    </row>
    <row r="444" spans="6:8" s="30" customFormat="1">
      <c r="F444" s="36"/>
      <c r="H444" s="37"/>
    </row>
    <row r="445" spans="6:8" s="30" customFormat="1">
      <c r="F445" s="36"/>
      <c r="H445" s="37"/>
    </row>
    <row r="446" spans="6:8" s="30" customFormat="1">
      <c r="F446" s="36"/>
      <c r="H446" s="37"/>
    </row>
    <row r="447" spans="6:8" s="30" customFormat="1">
      <c r="F447" s="36"/>
      <c r="H447" s="37"/>
    </row>
    <row r="448" spans="6:8" s="30" customFormat="1">
      <c r="F448" s="36"/>
      <c r="H448" s="37"/>
    </row>
    <row r="449" spans="6:8" s="30" customFormat="1">
      <c r="F449" s="36"/>
      <c r="H449" s="37"/>
    </row>
    <row r="450" spans="6:8" s="30" customFormat="1">
      <c r="F450" s="36"/>
      <c r="H450" s="37"/>
    </row>
    <row r="451" spans="6:8" s="30" customFormat="1">
      <c r="F451" s="36"/>
      <c r="H451" s="37"/>
    </row>
    <row r="452" spans="6:8" s="30" customFormat="1">
      <c r="F452" s="36"/>
      <c r="H452" s="37"/>
    </row>
    <row r="453" spans="6:8" s="30" customFormat="1">
      <c r="F453" s="36"/>
      <c r="H453" s="37"/>
    </row>
    <row r="454" spans="6:8" s="30" customFormat="1">
      <c r="F454" s="36"/>
      <c r="H454" s="37"/>
    </row>
    <row r="455" spans="6:8" s="30" customFormat="1">
      <c r="F455" s="36"/>
      <c r="H455" s="37"/>
    </row>
    <row r="456" spans="6:8" s="30" customFormat="1">
      <c r="F456" s="36"/>
      <c r="H456" s="37"/>
    </row>
    <row r="457" spans="6:8" s="30" customFormat="1">
      <c r="F457" s="36"/>
      <c r="H457" s="37"/>
    </row>
    <row r="458" spans="6:8" s="30" customFormat="1">
      <c r="F458" s="36"/>
      <c r="H458" s="37"/>
    </row>
    <row r="459" spans="6:8" s="30" customFormat="1">
      <c r="F459" s="36"/>
      <c r="H459" s="37"/>
    </row>
    <row r="460" spans="6:8" s="30" customFormat="1">
      <c r="F460" s="36"/>
      <c r="H460" s="37"/>
    </row>
    <row r="461" spans="6:8" s="30" customFormat="1">
      <c r="F461" s="36"/>
      <c r="H461" s="37"/>
    </row>
    <row r="462" spans="6:8" s="30" customFormat="1">
      <c r="F462" s="36"/>
      <c r="H462" s="37"/>
    </row>
    <row r="463" spans="6:8" s="30" customFormat="1">
      <c r="F463" s="36"/>
      <c r="H463" s="37"/>
    </row>
    <row r="464" spans="6:8" s="30" customFormat="1">
      <c r="F464" s="36"/>
      <c r="H464" s="37"/>
    </row>
    <row r="465" spans="6:8" s="30" customFormat="1">
      <c r="F465" s="36"/>
      <c r="H465" s="37"/>
    </row>
    <row r="466" spans="6:8" s="30" customFormat="1">
      <c r="F466" s="36"/>
      <c r="H466" s="37"/>
    </row>
    <row r="467" spans="6:8" s="30" customFormat="1">
      <c r="F467" s="36"/>
      <c r="H467" s="37"/>
    </row>
    <row r="468" spans="6:8" s="30" customFormat="1">
      <c r="F468" s="36"/>
      <c r="H468" s="37"/>
    </row>
    <row r="469" spans="6:8" s="30" customFormat="1">
      <c r="F469" s="36"/>
      <c r="H469" s="37"/>
    </row>
    <row r="470" spans="6:8" s="30" customFormat="1">
      <c r="F470" s="36"/>
      <c r="H470" s="37"/>
    </row>
    <row r="471" spans="6:8" s="30" customFormat="1">
      <c r="F471" s="36"/>
      <c r="H471" s="37"/>
    </row>
    <row r="472" spans="6:8" s="30" customFormat="1">
      <c r="F472" s="36"/>
      <c r="H472" s="37"/>
    </row>
    <row r="473" spans="6:8" s="30" customFormat="1">
      <c r="F473" s="36"/>
      <c r="H473" s="37"/>
    </row>
    <row r="474" spans="6:8" s="30" customFormat="1">
      <c r="F474" s="36"/>
      <c r="H474" s="37"/>
    </row>
    <row r="475" spans="6:8" s="30" customFormat="1">
      <c r="F475" s="36"/>
      <c r="H475" s="37"/>
    </row>
    <row r="476" spans="6:8" s="30" customFormat="1">
      <c r="F476" s="36"/>
      <c r="H476" s="37"/>
    </row>
    <row r="477" spans="6:8" s="30" customFormat="1">
      <c r="F477" s="36"/>
      <c r="H477" s="37"/>
    </row>
    <row r="478" spans="6:8" s="30" customFormat="1">
      <c r="F478" s="36"/>
      <c r="H478" s="37"/>
    </row>
    <row r="479" spans="6:8" s="30" customFormat="1">
      <c r="F479" s="36"/>
      <c r="H479" s="37"/>
    </row>
    <row r="480" spans="6:8" s="30" customFormat="1">
      <c r="F480" s="36"/>
      <c r="H480" s="37"/>
    </row>
    <row r="481" spans="6:8" s="30" customFormat="1">
      <c r="F481" s="36"/>
      <c r="H481" s="37"/>
    </row>
    <row r="482" spans="6:8" s="30" customFormat="1">
      <c r="F482" s="36"/>
      <c r="H482" s="37"/>
    </row>
    <row r="483" spans="6:8" s="30" customFormat="1">
      <c r="F483" s="36"/>
      <c r="H483" s="37"/>
    </row>
    <row r="484" spans="6:8" s="30" customFormat="1">
      <c r="F484" s="36"/>
      <c r="H484" s="37"/>
    </row>
    <row r="485" spans="6:8" s="30" customFormat="1">
      <c r="F485" s="36"/>
      <c r="H485" s="37"/>
    </row>
    <row r="486" spans="6:8" s="30" customFormat="1">
      <c r="F486" s="36"/>
      <c r="H486" s="37"/>
    </row>
    <row r="487" spans="6:8" s="30" customFormat="1">
      <c r="F487" s="36"/>
      <c r="H487" s="37"/>
    </row>
    <row r="488" spans="6:8" s="30" customFormat="1">
      <c r="F488" s="36"/>
      <c r="H488" s="37"/>
    </row>
    <row r="489" spans="6:8" s="30" customFormat="1">
      <c r="F489" s="36"/>
      <c r="H489" s="37"/>
    </row>
    <row r="490" spans="6:8" s="30" customFormat="1">
      <c r="F490" s="36"/>
      <c r="H490" s="37"/>
    </row>
    <row r="491" spans="6:8" s="30" customFormat="1">
      <c r="F491" s="36"/>
      <c r="H491" s="37"/>
    </row>
    <row r="492" spans="6:8" s="30" customFormat="1">
      <c r="F492" s="36"/>
      <c r="H492" s="37"/>
    </row>
    <row r="493" spans="6:8" s="30" customFormat="1">
      <c r="F493" s="36"/>
      <c r="H493" s="37"/>
    </row>
    <row r="494" spans="6:8" s="30" customFormat="1">
      <c r="F494" s="36"/>
      <c r="H494" s="37"/>
    </row>
    <row r="495" spans="6:8" s="30" customFormat="1">
      <c r="F495" s="36"/>
      <c r="H495" s="37"/>
    </row>
    <row r="496" spans="6:8" s="30" customFormat="1">
      <c r="F496" s="36"/>
      <c r="H496" s="37"/>
    </row>
    <row r="497" spans="6:8" s="30" customFormat="1">
      <c r="F497" s="36"/>
      <c r="H497" s="37"/>
    </row>
    <row r="498" spans="6:8" s="30" customFormat="1">
      <c r="F498" s="36"/>
      <c r="H498" s="37"/>
    </row>
    <row r="499" spans="6:8" s="30" customFormat="1">
      <c r="F499" s="36"/>
      <c r="H499" s="37"/>
    </row>
    <row r="500" spans="6:8" s="30" customFormat="1">
      <c r="F500" s="36"/>
      <c r="H500" s="37"/>
    </row>
    <row r="501" spans="6:8" s="30" customFormat="1">
      <c r="F501" s="36"/>
      <c r="H501" s="37"/>
    </row>
    <row r="502" spans="6:8" s="30" customFormat="1">
      <c r="F502" s="36"/>
      <c r="H502" s="37"/>
    </row>
    <row r="503" spans="6:8" s="30" customFormat="1">
      <c r="F503" s="36"/>
      <c r="H503" s="37"/>
    </row>
    <row r="504" spans="6:8" s="30" customFormat="1">
      <c r="F504" s="36"/>
      <c r="H504" s="37"/>
    </row>
    <row r="505" spans="6:8" s="30" customFormat="1">
      <c r="F505" s="36"/>
      <c r="H505" s="37"/>
    </row>
    <row r="506" spans="6:8" s="30" customFormat="1">
      <c r="F506" s="36"/>
      <c r="H506" s="37"/>
    </row>
    <row r="507" spans="6:8" s="30" customFormat="1">
      <c r="F507" s="36"/>
      <c r="H507" s="37"/>
    </row>
    <row r="508" spans="6:8" s="30" customFormat="1">
      <c r="F508" s="36"/>
      <c r="H508" s="37"/>
    </row>
    <row r="509" spans="6:8" s="30" customFormat="1">
      <c r="F509" s="36"/>
      <c r="H509" s="37"/>
    </row>
    <row r="510" spans="6:8" s="30" customFormat="1">
      <c r="F510" s="36"/>
      <c r="H510" s="37"/>
    </row>
    <row r="511" spans="6:8" s="30" customFormat="1">
      <c r="F511" s="36"/>
      <c r="H511" s="37"/>
    </row>
    <row r="512" spans="6:8" s="30" customFormat="1">
      <c r="F512" s="36"/>
      <c r="H512" s="37"/>
    </row>
    <row r="513" spans="6:8" s="30" customFormat="1">
      <c r="F513" s="36"/>
      <c r="H513" s="37"/>
    </row>
    <row r="514" spans="6:8" s="30" customFormat="1">
      <c r="F514" s="36"/>
      <c r="H514" s="37"/>
    </row>
    <row r="515" spans="6:8" s="30" customFormat="1">
      <c r="F515" s="36"/>
      <c r="H515" s="37"/>
    </row>
    <row r="516" spans="6:8" s="30" customFormat="1">
      <c r="F516" s="36"/>
      <c r="H516" s="37"/>
    </row>
    <row r="517" spans="6:8" s="30" customFormat="1">
      <c r="F517" s="36"/>
      <c r="H517" s="37"/>
    </row>
    <row r="518" spans="6:8" s="30" customFormat="1">
      <c r="F518" s="36"/>
      <c r="H518" s="37"/>
    </row>
    <row r="519" spans="6:8" s="30" customFormat="1">
      <c r="F519" s="36"/>
      <c r="H519" s="37"/>
    </row>
    <row r="520" spans="6:8" s="30" customFormat="1">
      <c r="F520" s="36"/>
      <c r="H520" s="37"/>
    </row>
    <row r="521" spans="6:8" s="30" customFormat="1">
      <c r="F521" s="36"/>
      <c r="H521" s="37"/>
    </row>
    <row r="522" spans="6:8" s="30" customFormat="1">
      <c r="F522" s="36"/>
      <c r="H522" s="37"/>
    </row>
    <row r="523" spans="6:8" s="30" customFormat="1">
      <c r="F523" s="36"/>
      <c r="H523" s="37"/>
    </row>
    <row r="524" spans="6:8" s="30" customFormat="1">
      <c r="F524" s="36"/>
      <c r="H524" s="37"/>
    </row>
    <row r="525" spans="6:8" s="30" customFormat="1">
      <c r="F525" s="36"/>
      <c r="H525" s="37"/>
    </row>
    <row r="526" spans="6:8" s="30" customFormat="1">
      <c r="F526" s="36"/>
      <c r="H526" s="37"/>
    </row>
    <row r="527" spans="6:8" s="30" customFormat="1">
      <c r="F527" s="36"/>
      <c r="H527" s="37"/>
    </row>
    <row r="528" spans="6:8" s="30" customFormat="1">
      <c r="F528" s="36"/>
      <c r="H528" s="37"/>
    </row>
    <row r="529" spans="6:8" s="30" customFormat="1">
      <c r="F529" s="36"/>
      <c r="H529" s="37"/>
    </row>
    <row r="530" spans="6:8" s="30" customFormat="1">
      <c r="F530" s="36"/>
      <c r="H530" s="37"/>
    </row>
    <row r="531" spans="6:8" s="30" customFormat="1">
      <c r="F531" s="36"/>
      <c r="H531" s="37"/>
    </row>
    <row r="532" spans="6:8" s="30" customFormat="1">
      <c r="F532" s="36"/>
      <c r="H532" s="37"/>
    </row>
    <row r="533" spans="6:8" s="30" customFormat="1">
      <c r="F533" s="36"/>
      <c r="H533" s="37"/>
    </row>
    <row r="534" spans="6:8" s="30" customFormat="1">
      <c r="F534" s="36"/>
      <c r="H534" s="37"/>
    </row>
    <row r="535" spans="6:8" s="30" customFormat="1">
      <c r="F535" s="36"/>
      <c r="H535" s="37"/>
    </row>
    <row r="536" spans="6:8" s="30" customFormat="1">
      <c r="F536" s="36"/>
      <c r="H536" s="37"/>
    </row>
    <row r="537" spans="6:8" s="30" customFormat="1">
      <c r="F537" s="36"/>
      <c r="H537" s="37"/>
    </row>
    <row r="538" spans="6:8" s="30" customFormat="1">
      <c r="F538" s="36"/>
      <c r="H538" s="37"/>
    </row>
    <row r="539" spans="6:8" s="30" customFormat="1">
      <c r="F539" s="36"/>
      <c r="H539" s="37"/>
    </row>
    <row r="540" spans="6:8" s="30" customFormat="1">
      <c r="F540" s="36"/>
      <c r="H540" s="37"/>
    </row>
    <row r="541" spans="6:8" s="30" customFormat="1">
      <c r="F541" s="36"/>
      <c r="H541" s="37"/>
    </row>
    <row r="542" spans="6:8" s="30" customFormat="1">
      <c r="F542" s="36"/>
      <c r="H542" s="37"/>
    </row>
    <row r="543" spans="6:8" s="30" customFormat="1">
      <c r="F543" s="36"/>
      <c r="H543" s="37"/>
    </row>
    <row r="544" spans="6:8" s="30" customFormat="1">
      <c r="F544" s="36"/>
      <c r="H544" s="37"/>
    </row>
    <row r="545" spans="6:8" s="30" customFormat="1">
      <c r="F545" s="36"/>
      <c r="H545" s="37"/>
    </row>
    <row r="546" spans="6:8" s="30" customFormat="1">
      <c r="F546" s="36"/>
      <c r="H546" s="37"/>
    </row>
    <row r="547" spans="6:8" s="30" customFormat="1">
      <c r="F547" s="36"/>
      <c r="H547" s="37"/>
    </row>
    <row r="548" spans="6:8" s="30" customFormat="1">
      <c r="F548" s="36"/>
      <c r="H548" s="37"/>
    </row>
    <row r="549" spans="6:8" s="30" customFormat="1">
      <c r="F549" s="36"/>
      <c r="H549" s="37"/>
    </row>
    <row r="550" spans="6:8" s="30" customFormat="1">
      <c r="F550" s="36"/>
      <c r="H550" s="37"/>
    </row>
    <row r="551" spans="6:8" s="30" customFormat="1">
      <c r="F551" s="36"/>
      <c r="H551" s="37"/>
    </row>
    <row r="552" spans="6:8" s="30" customFormat="1">
      <c r="F552" s="36"/>
      <c r="H552" s="37"/>
    </row>
    <row r="553" spans="6:8" s="30" customFormat="1">
      <c r="F553" s="36"/>
      <c r="H553" s="37"/>
    </row>
    <row r="554" spans="6:8" s="30" customFormat="1">
      <c r="F554" s="36"/>
      <c r="H554" s="37"/>
    </row>
    <row r="555" spans="6:8" s="30" customFormat="1">
      <c r="F555" s="36"/>
      <c r="H555" s="37"/>
    </row>
    <row r="556" spans="6:8" s="30" customFormat="1">
      <c r="F556" s="36"/>
      <c r="H556" s="37"/>
    </row>
    <row r="557" spans="6:8" s="30" customFormat="1">
      <c r="F557" s="36"/>
      <c r="H557" s="37"/>
    </row>
    <row r="558" spans="6:8" s="30" customFormat="1">
      <c r="F558" s="36"/>
      <c r="H558" s="37"/>
    </row>
    <row r="559" spans="6:8" s="30" customFormat="1">
      <c r="F559" s="36"/>
      <c r="H559" s="37"/>
    </row>
    <row r="560" spans="6:8" s="30" customFormat="1">
      <c r="F560" s="36"/>
      <c r="H560" s="37"/>
    </row>
    <row r="561" spans="6:8" s="30" customFormat="1">
      <c r="F561" s="36"/>
      <c r="H561" s="37"/>
    </row>
    <row r="562" spans="6:8" s="30" customFormat="1">
      <c r="F562" s="36"/>
      <c r="H562" s="37"/>
    </row>
    <row r="563" spans="6:8" s="30" customFormat="1">
      <c r="F563" s="36"/>
      <c r="H563" s="37"/>
    </row>
    <row r="564" spans="6:8" s="30" customFormat="1">
      <c r="F564" s="36"/>
      <c r="H564" s="37"/>
    </row>
    <row r="565" spans="6:8" s="30" customFormat="1">
      <c r="F565" s="36"/>
      <c r="H565" s="37"/>
    </row>
    <row r="566" spans="6:8" s="30" customFormat="1">
      <c r="F566" s="36"/>
      <c r="H566" s="37"/>
    </row>
    <row r="567" spans="6:8" s="30" customFormat="1">
      <c r="F567" s="36"/>
      <c r="H567" s="37"/>
    </row>
    <row r="568" spans="6:8" s="30" customFormat="1">
      <c r="F568" s="36"/>
      <c r="H568" s="37"/>
    </row>
    <row r="569" spans="6:8" s="30" customFormat="1">
      <c r="F569" s="36"/>
      <c r="H569" s="37"/>
    </row>
    <row r="570" spans="6:8" s="30" customFormat="1">
      <c r="F570" s="36"/>
      <c r="H570" s="37"/>
    </row>
    <row r="571" spans="6:8" s="30" customFormat="1">
      <c r="F571" s="36"/>
      <c r="H571" s="37"/>
    </row>
    <row r="572" spans="6:8" s="30" customFormat="1">
      <c r="F572" s="36"/>
      <c r="H572" s="37"/>
    </row>
    <row r="573" spans="6:8" s="30" customFormat="1">
      <c r="F573" s="36"/>
      <c r="H573" s="37"/>
    </row>
    <row r="574" spans="6:8" s="30" customFormat="1">
      <c r="F574" s="36"/>
      <c r="H574" s="37"/>
    </row>
    <row r="575" spans="6:8" s="30" customFormat="1">
      <c r="F575" s="36"/>
      <c r="H575" s="37"/>
    </row>
    <row r="576" spans="6:8" s="30" customFormat="1">
      <c r="F576" s="36"/>
      <c r="H576" s="37"/>
    </row>
    <row r="577" spans="6:8" s="30" customFormat="1">
      <c r="F577" s="36"/>
      <c r="H577" s="37"/>
    </row>
    <row r="578" spans="6:8" s="30" customFormat="1">
      <c r="F578" s="36"/>
      <c r="H578" s="37"/>
    </row>
    <row r="579" spans="6:8" s="30" customFormat="1">
      <c r="F579" s="36"/>
      <c r="H579" s="37"/>
    </row>
    <row r="580" spans="6:8" s="30" customFormat="1">
      <c r="F580" s="36"/>
      <c r="H580" s="37"/>
    </row>
    <row r="581" spans="6:8" s="30" customFormat="1">
      <c r="F581" s="36"/>
      <c r="H581" s="37"/>
    </row>
    <row r="582" spans="6:8" s="30" customFormat="1">
      <c r="F582" s="36"/>
      <c r="H582" s="37"/>
    </row>
    <row r="583" spans="6:8" s="30" customFormat="1">
      <c r="F583" s="36"/>
      <c r="H583" s="37"/>
    </row>
    <row r="584" spans="6:8" s="30" customFormat="1">
      <c r="F584" s="36"/>
      <c r="H584" s="37"/>
    </row>
    <row r="585" spans="6:8" s="30" customFormat="1">
      <c r="F585" s="36"/>
      <c r="H585" s="37"/>
    </row>
    <row r="586" spans="6:8" s="30" customFormat="1">
      <c r="F586" s="36"/>
      <c r="H586" s="37"/>
    </row>
    <row r="587" spans="6:8" s="30" customFormat="1">
      <c r="F587" s="36"/>
      <c r="H587" s="37"/>
    </row>
    <row r="588" spans="6:8" s="30" customFormat="1">
      <c r="F588" s="36"/>
      <c r="H588" s="37"/>
    </row>
    <row r="589" spans="6:8" s="30" customFormat="1">
      <c r="F589" s="36"/>
      <c r="H589" s="37"/>
    </row>
    <row r="590" spans="6:8" s="30" customFormat="1">
      <c r="F590" s="36"/>
      <c r="H590" s="37"/>
    </row>
    <row r="591" spans="6:8" s="30" customFormat="1">
      <c r="F591" s="36"/>
      <c r="H591" s="37"/>
    </row>
    <row r="592" spans="6:8" s="30" customFormat="1">
      <c r="F592" s="36"/>
      <c r="H592" s="37"/>
    </row>
    <row r="593" spans="6:8" s="30" customFormat="1">
      <c r="F593" s="36"/>
      <c r="H593" s="37"/>
    </row>
    <row r="594" spans="6:8" s="30" customFormat="1">
      <c r="F594" s="36"/>
      <c r="H594" s="37"/>
    </row>
    <row r="595" spans="6:8" s="30" customFormat="1">
      <c r="F595" s="36"/>
      <c r="H595" s="37"/>
    </row>
    <row r="596" spans="6:8" s="30" customFormat="1">
      <c r="F596" s="36"/>
      <c r="H596" s="37"/>
    </row>
    <row r="597" spans="6:8" s="30" customFormat="1">
      <c r="F597" s="36"/>
      <c r="H597" s="37"/>
    </row>
    <row r="598" spans="6:8" s="30" customFormat="1">
      <c r="F598" s="36"/>
      <c r="H598" s="37"/>
    </row>
    <row r="599" spans="6:8" s="30" customFormat="1">
      <c r="F599" s="36"/>
      <c r="H599" s="37"/>
    </row>
    <row r="600" spans="6:8" s="30" customFormat="1">
      <c r="F600" s="36"/>
      <c r="H600" s="37"/>
    </row>
    <row r="601" spans="6:8" s="30" customFormat="1">
      <c r="F601" s="36"/>
      <c r="H601" s="37"/>
    </row>
    <row r="602" spans="6:8" s="30" customFormat="1">
      <c r="F602" s="36"/>
      <c r="H602" s="37"/>
    </row>
    <row r="603" spans="6:8" s="30" customFormat="1">
      <c r="F603" s="36"/>
      <c r="H603" s="37"/>
    </row>
    <row r="604" spans="6:8" s="30" customFormat="1">
      <c r="F604" s="36"/>
      <c r="H604" s="37"/>
    </row>
    <row r="605" spans="6:8" s="30" customFormat="1">
      <c r="F605" s="36"/>
      <c r="H605" s="37"/>
    </row>
    <row r="606" spans="6:8" s="30" customFormat="1">
      <c r="F606" s="36"/>
      <c r="H606" s="37"/>
    </row>
    <row r="607" spans="6:8" s="30" customFormat="1">
      <c r="F607" s="36"/>
      <c r="H607" s="37"/>
    </row>
    <row r="608" spans="6:8" s="30" customFormat="1">
      <c r="F608" s="36"/>
      <c r="H608" s="37"/>
    </row>
    <row r="609" spans="6:8" s="30" customFormat="1">
      <c r="F609" s="36"/>
      <c r="H609" s="37"/>
    </row>
    <row r="610" spans="6:8" s="30" customFormat="1">
      <c r="F610" s="36"/>
      <c r="H610" s="37"/>
    </row>
    <row r="611" spans="6:8" s="30" customFormat="1">
      <c r="F611" s="36"/>
      <c r="H611" s="37"/>
    </row>
    <row r="612" spans="6:8" s="30" customFormat="1">
      <c r="F612" s="36"/>
      <c r="H612" s="37"/>
    </row>
    <row r="613" spans="6:8" s="30" customFormat="1">
      <c r="F613" s="36"/>
      <c r="H613" s="37"/>
    </row>
    <row r="614" spans="6:8" s="30" customFormat="1">
      <c r="F614" s="36"/>
      <c r="H614" s="37"/>
    </row>
    <row r="615" spans="6:8" s="30" customFormat="1">
      <c r="F615" s="36"/>
      <c r="H615" s="37"/>
    </row>
    <row r="616" spans="6:8" s="30" customFormat="1">
      <c r="F616" s="36"/>
      <c r="H616" s="37"/>
    </row>
    <row r="617" spans="6:8" s="30" customFormat="1">
      <c r="F617" s="36"/>
      <c r="H617" s="37"/>
    </row>
    <row r="618" spans="6:8" s="30" customFormat="1">
      <c r="F618" s="36"/>
      <c r="H618" s="37"/>
    </row>
    <row r="619" spans="6:8" s="30" customFormat="1">
      <c r="F619" s="36"/>
      <c r="H619" s="37"/>
    </row>
    <row r="620" spans="6:8" s="30" customFormat="1">
      <c r="F620" s="36"/>
      <c r="H620" s="37"/>
    </row>
    <row r="621" spans="6:8" s="30" customFormat="1">
      <c r="F621" s="36"/>
      <c r="H621" s="37"/>
    </row>
    <row r="622" spans="6:8" s="30" customFormat="1">
      <c r="F622" s="36"/>
      <c r="H622" s="37"/>
    </row>
    <row r="623" spans="6:8" s="30" customFormat="1">
      <c r="F623" s="36"/>
      <c r="H623" s="37"/>
    </row>
    <row r="624" spans="6:8" s="30" customFormat="1">
      <c r="F624" s="36"/>
      <c r="H624" s="37"/>
    </row>
    <row r="625" spans="6:8" s="30" customFormat="1">
      <c r="F625" s="36"/>
      <c r="H625" s="37"/>
    </row>
    <row r="626" spans="6:8" s="30" customFormat="1">
      <c r="F626" s="36"/>
      <c r="H626" s="37"/>
    </row>
    <row r="627" spans="6:8" s="30" customFormat="1">
      <c r="F627" s="36"/>
      <c r="H627" s="37"/>
    </row>
    <row r="628" spans="6:8" s="30" customFormat="1">
      <c r="F628" s="36"/>
      <c r="H628" s="37"/>
    </row>
    <row r="629" spans="6:8" s="30" customFormat="1">
      <c r="F629" s="36"/>
      <c r="H629" s="37"/>
    </row>
    <row r="630" spans="6:8" s="30" customFormat="1">
      <c r="F630" s="36"/>
      <c r="H630" s="37"/>
    </row>
    <row r="631" spans="6:8" s="30" customFormat="1">
      <c r="F631" s="36"/>
      <c r="H631" s="37"/>
    </row>
    <row r="632" spans="6:8" s="30" customFormat="1">
      <c r="F632" s="36"/>
      <c r="H632" s="37"/>
    </row>
    <row r="633" spans="6:8" s="30" customFormat="1">
      <c r="F633" s="36"/>
      <c r="H633" s="37"/>
    </row>
    <row r="634" spans="6:8" s="30" customFormat="1">
      <c r="F634" s="36"/>
      <c r="H634" s="37"/>
    </row>
    <row r="635" spans="6:8" s="30" customFormat="1">
      <c r="F635" s="36"/>
      <c r="H635" s="37"/>
    </row>
    <row r="636" spans="6:8" s="30" customFormat="1">
      <c r="F636" s="36"/>
      <c r="H636" s="37"/>
    </row>
    <row r="637" spans="6:8" s="30" customFormat="1">
      <c r="F637" s="36"/>
      <c r="H637" s="37"/>
    </row>
    <row r="638" spans="6:8" s="30" customFormat="1">
      <c r="F638" s="36"/>
      <c r="H638" s="37"/>
    </row>
    <row r="639" spans="6:8" s="30" customFormat="1">
      <c r="F639" s="36"/>
      <c r="H639" s="37"/>
    </row>
    <row r="640" spans="6:8" s="30" customFormat="1">
      <c r="F640" s="36"/>
      <c r="H640" s="37"/>
    </row>
    <row r="641" spans="6:8" s="30" customFormat="1">
      <c r="F641" s="36"/>
      <c r="H641" s="37"/>
    </row>
    <row r="642" spans="6:8" s="30" customFormat="1">
      <c r="F642" s="36"/>
      <c r="H642" s="37"/>
    </row>
    <row r="643" spans="6:8" s="30" customFormat="1">
      <c r="F643" s="36"/>
      <c r="H643" s="37"/>
    </row>
    <row r="644" spans="6:8" s="30" customFormat="1">
      <c r="F644" s="36"/>
      <c r="H644" s="37"/>
    </row>
    <row r="645" spans="6:8" s="30" customFormat="1">
      <c r="F645" s="36"/>
      <c r="H645" s="37"/>
    </row>
    <row r="646" spans="6:8" s="30" customFormat="1">
      <c r="F646" s="36"/>
      <c r="H646" s="37"/>
    </row>
    <row r="647" spans="6:8" s="30" customFormat="1">
      <c r="F647" s="36"/>
      <c r="H647" s="37"/>
    </row>
    <row r="648" spans="6:8" s="30" customFormat="1">
      <c r="F648" s="36"/>
      <c r="H648" s="37"/>
    </row>
    <row r="649" spans="6:8" s="30" customFormat="1">
      <c r="F649" s="36"/>
      <c r="H649" s="37"/>
    </row>
    <row r="650" spans="6:8" s="30" customFormat="1">
      <c r="F650" s="36"/>
      <c r="H650" s="37"/>
    </row>
    <row r="651" spans="6:8" s="30" customFormat="1">
      <c r="F651" s="36"/>
      <c r="H651" s="37"/>
    </row>
    <row r="652" spans="6:8" s="30" customFormat="1">
      <c r="F652" s="36"/>
      <c r="H652" s="37"/>
    </row>
    <row r="653" spans="6:8" s="30" customFormat="1">
      <c r="F653" s="36"/>
      <c r="H653" s="37"/>
    </row>
    <row r="654" spans="6:8" s="30" customFormat="1">
      <c r="F654" s="36"/>
      <c r="H654" s="37"/>
    </row>
    <row r="655" spans="6:8" s="30" customFormat="1">
      <c r="F655" s="36"/>
      <c r="H655" s="37"/>
    </row>
    <row r="656" spans="6:8" s="30" customFormat="1">
      <c r="F656" s="36"/>
      <c r="H656" s="37"/>
    </row>
    <row r="657" spans="6:8" s="30" customFormat="1">
      <c r="F657" s="36"/>
      <c r="H657" s="37"/>
    </row>
    <row r="658" spans="6:8" s="30" customFormat="1">
      <c r="F658" s="36"/>
      <c r="H658" s="37"/>
    </row>
    <row r="659" spans="6:8" s="30" customFormat="1">
      <c r="F659" s="36"/>
      <c r="H659" s="37"/>
    </row>
    <row r="660" spans="6:8" s="30" customFormat="1">
      <c r="F660" s="36"/>
      <c r="H660" s="37"/>
    </row>
    <row r="661" spans="6:8" s="30" customFormat="1">
      <c r="F661" s="36"/>
      <c r="H661" s="37"/>
    </row>
    <row r="662" spans="6:8" s="30" customFormat="1">
      <c r="F662" s="36"/>
      <c r="H662" s="37"/>
    </row>
    <row r="663" spans="6:8" s="30" customFormat="1">
      <c r="F663" s="36"/>
      <c r="H663" s="37"/>
    </row>
    <row r="664" spans="6:8" s="30" customFormat="1">
      <c r="F664" s="36"/>
      <c r="H664" s="37"/>
    </row>
    <row r="665" spans="6:8" s="30" customFormat="1">
      <c r="F665" s="36"/>
      <c r="H665" s="37"/>
    </row>
    <row r="666" spans="6:8" s="30" customFormat="1">
      <c r="F666" s="36"/>
      <c r="H666" s="37"/>
    </row>
    <row r="667" spans="6:8" s="30" customFormat="1">
      <c r="F667" s="36"/>
      <c r="H667" s="37"/>
    </row>
    <row r="668" spans="6:8" s="30" customFormat="1">
      <c r="F668" s="36"/>
      <c r="H668" s="37"/>
    </row>
    <row r="669" spans="6:8" s="30" customFormat="1">
      <c r="F669" s="36"/>
      <c r="H669" s="37"/>
    </row>
    <row r="670" spans="6:8" s="30" customFormat="1">
      <c r="F670" s="36"/>
      <c r="H670" s="37"/>
    </row>
    <row r="671" spans="6:8" s="30" customFormat="1">
      <c r="F671" s="36"/>
      <c r="H671" s="37"/>
    </row>
    <row r="672" spans="6:8" s="30" customFormat="1">
      <c r="F672" s="36"/>
      <c r="H672" s="37"/>
    </row>
    <row r="673" spans="6:8" s="30" customFormat="1">
      <c r="F673" s="36"/>
      <c r="H673" s="37"/>
    </row>
    <row r="674" spans="6:8" s="30" customFormat="1">
      <c r="F674" s="36"/>
      <c r="H674" s="37"/>
    </row>
    <row r="675" spans="6:8" s="30" customFormat="1">
      <c r="F675" s="36"/>
      <c r="H675" s="37"/>
    </row>
    <row r="676" spans="6:8" s="30" customFormat="1">
      <c r="F676" s="36"/>
      <c r="H676" s="37"/>
    </row>
    <row r="677" spans="6:8" s="30" customFormat="1">
      <c r="F677" s="36"/>
      <c r="H677" s="37"/>
    </row>
    <row r="678" spans="6:8" s="30" customFormat="1">
      <c r="F678" s="36"/>
      <c r="H678" s="37"/>
    </row>
    <row r="679" spans="6:8" s="30" customFormat="1">
      <c r="F679" s="36"/>
      <c r="H679" s="37"/>
    </row>
    <row r="680" spans="6:8" s="30" customFormat="1">
      <c r="F680" s="36"/>
      <c r="H680" s="37"/>
    </row>
    <row r="681" spans="6:8" s="30" customFormat="1">
      <c r="F681" s="36"/>
      <c r="H681" s="37"/>
    </row>
    <row r="682" spans="6:8" s="30" customFormat="1">
      <c r="F682" s="36"/>
      <c r="H682" s="37"/>
    </row>
    <row r="683" spans="6:8" s="30" customFormat="1">
      <c r="F683" s="36"/>
      <c r="H683" s="37"/>
    </row>
    <row r="684" spans="6:8" s="30" customFormat="1">
      <c r="F684" s="36"/>
      <c r="H684" s="37"/>
    </row>
    <row r="685" spans="6:8" s="30" customFormat="1">
      <c r="F685" s="36"/>
      <c r="H685" s="37"/>
    </row>
    <row r="686" spans="6:8" s="30" customFormat="1">
      <c r="F686" s="36"/>
      <c r="H686" s="37"/>
    </row>
    <row r="687" spans="6:8" s="30" customFormat="1">
      <c r="F687" s="36"/>
      <c r="H687" s="37"/>
    </row>
    <row r="688" spans="6:8" s="30" customFormat="1">
      <c r="F688" s="36"/>
      <c r="H688" s="37"/>
    </row>
    <row r="689" spans="6:8" s="30" customFormat="1">
      <c r="F689" s="36"/>
      <c r="H689" s="37"/>
    </row>
    <row r="690" spans="6:8" s="30" customFormat="1">
      <c r="F690" s="36"/>
      <c r="H690" s="37"/>
    </row>
    <row r="691" spans="6:8" s="30" customFormat="1">
      <c r="F691" s="36"/>
      <c r="H691" s="37"/>
    </row>
    <row r="692" spans="6:8" s="30" customFormat="1">
      <c r="F692" s="36"/>
      <c r="H692" s="37"/>
    </row>
    <row r="693" spans="6:8" s="30" customFormat="1">
      <c r="F693" s="36"/>
      <c r="H693" s="37"/>
    </row>
    <row r="694" spans="6:8" s="30" customFormat="1">
      <c r="F694" s="36"/>
      <c r="H694" s="37"/>
    </row>
    <row r="695" spans="6:8" s="30" customFormat="1">
      <c r="F695" s="36"/>
      <c r="H695" s="37"/>
    </row>
    <row r="696" spans="6:8" s="30" customFormat="1">
      <c r="F696" s="36"/>
      <c r="H696" s="37"/>
    </row>
    <row r="697" spans="6:8" s="30" customFormat="1">
      <c r="F697" s="36"/>
      <c r="H697" s="37"/>
    </row>
    <row r="698" spans="6:8" s="30" customFormat="1">
      <c r="F698" s="36"/>
      <c r="H698" s="37"/>
    </row>
    <row r="699" spans="6:8" s="30" customFormat="1">
      <c r="F699" s="36"/>
      <c r="H699" s="37"/>
    </row>
    <row r="700" spans="6:8" s="30" customFormat="1">
      <c r="F700" s="36"/>
      <c r="H700" s="37"/>
    </row>
    <row r="701" spans="6:8" s="30" customFormat="1">
      <c r="F701" s="36"/>
      <c r="H701" s="37"/>
    </row>
    <row r="702" spans="6:8" s="30" customFormat="1">
      <c r="F702" s="36"/>
      <c r="H702" s="37"/>
    </row>
    <row r="703" spans="6:8" s="30" customFormat="1">
      <c r="F703" s="36"/>
      <c r="H703" s="37"/>
    </row>
    <row r="704" spans="6:8" s="30" customFormat="1">
      <c r="F704" s="36"/>
      <c r="H704" s="37"/>
    </row>
    <row r="705" spans="6:8" s="30" customFormat="1">
      <c r="F705" s="36"/>
      <c r="H705" s="37"/>
    </row>
    <row r="706" spans="6:8" s="30" customFormat="1">
      <c r="F706" s="36"/>
      <c r="H706" s="37"/>
    </row>
    <row r="707" spans="6:8" s="30" customFormat="1">
      <c r="F707" s="36"/>
      <c r="H707" s="37"/>
    </row>
    <row r="708" spans="6:8" s="30" customFormat="1">
      <c r="F708" s="36"/>
      <c r="H708" s="37"/>
    </row>
    <row r="709" spans="6:8" s="30" customFormat="1">
      <c r="F709" s="36"/>
      <c r="H709" s="37"/>
    </row>
    <row r="710" spans="6:8" s="30" customFormat="1">
      <c r="F710" s="36"/>
      <c r="H710" s="37"/>
    </row>
    <row r="711" spans="6:8" s="30" customFormat="1">
      <c r="F711" s="36"/>
      <c r="H711" s="37"/>
    </row>
    <row r="712" spans="6:8" s="30" customFormat="1">
      <c r="F712" s="36"/>
      <c r="H712" s="37"/>
    </row>
    <row r="713" spans="6:8" s="30" customFormat="1">
      <c r="F713" s="36"/>
      <c r="H713" s="37"/>
    </row>
    <row r="714" spans="6:8" s="30" customFormat="1">
      <c r="F714" s="36"/>
      <c r="H714" s="37"/>
    </row>
    <row r="715" spans="6:8" s="30" customFormat="1">
      <c r="F715" s="36"/>
      <c r="H715" s="37"/>
    </row>
    <row r="716" spans="6:8" s="30" customFormat="1">
      <c r="F716" s="36"/>
      <c r="H716" s="37"/>
    </row>
    <row r="717" spans="6:8" s="30" customFormat="1">
      <c r="F717" s="36"/>
      <c r="H717" s="37"/>
    </row>
    <row r="718" spans="6:8" s="30" customFormat="1">
      <c r="F718" s="36"/>
      <c r="H718" s="37"/>
    </row>
    <row r="719" spans="6:8" s="30" customFormat="1">
      <c r="F719" s="36"/>
      <c r="H719" s="37"/>
    </row>
    <row r="720" spans="6:8" s="30" customFormat="1">
      <c r="F720" s="36"/>
      <c r="H720" s="37"/>
    </row>
    <row r="721" spans="6:8" s="30" customFormat="1">
      <c r="F721" s="36"/>
      <c r="H721" s="37"/>
    </row>
    <row r="722" spans="6:8" s="30" customFormat="1">
      <c r="F722" s="36"/>
      <c r="H722" s="37"/>
    </row>
    <row r="723" spans="6:8" s="30" customFormat="1">
      <c r="F723" s="36"/>
      <c r="H723" s="37"/>
    </row>
    <row r="724" spans="6:8" s="30" customFormat="1">
      <c r="F724" s="36"/>
      <c r="H724" s="37"/>
    </row>
    <row r="725" spans="6:8" s="30" customFormat="1">
      <c r="F725" s="36"/>
      <c r="H725" s="37"/>
    </row>
    <row r="726" spans="6:8" s="30" customFormat="1">
      <c r="F726" s="36"/>
      <c r="H726" s="37"/>
    </row>
    <row r="727" spans="6:8" s="30" customFormat="1">
      <c r="F727" s="36"/>
      <c r="H727" s="37"/>
    </row>
    <row r="728" spans="6:8" s="30" customFormat="1">
      <c r="F728" s="36"/>
      <c r="H728" s="37"/>
    </row>
    <row r="729" spans="6:8" s="30" customFormat="1">
      <c r="F729" s="36"/>
      <c r="H729" s="37"/>
    </row>
    <row r="730" spans="6:8" s="30" customFormat="1">
      <c r="F730" s="36"/>
      <c r="H730" s="37"/>
    </row>
    <row r="731" spans="6:8" s="30" customFormat="1">
      <c r="F731" s="36"/>
      <c r="H731" s="37"/>
    </row>
    <row r="732" spans="6:8" s="30" customFormat="1">
      <c r="F732" s="36"/>
      <c r="H732" s="37"/>
    </row>
    <row r="733" spans="6:8" s="30" customFormat="1">
      <c r="F733" s="36"/>
      <c r="H733" s="37"/>
    </row>
    <row r="734" spans="6:8" s="30" customFormat="1">
      <c r="F734" s="36"/>
      <c r="H734" s="37"/>
    </row>
    <row r="735" spans="6:8" s="30" customFormat="1">
      <c r="F735" s="36"/>
      <c r="H735" s="37"/>
    </row>
    <row r="736" spans="6:8" s="30" customFormat="1">
      <c r="F736" s="36"/>
      <c r="H736" s="37"/>
    </row>
    <row r="737" spans="6:8" s="30" customFormat="1">
      <c r="F737" s="36"/>
      <c r="H737" s="37"/>
    </row>
    <row r="738" spans="6:8" s="30" customFormat="1">
      <c r="F738" s="36"/>
      <c r="H738" s="37"/>
    </row>
    <row r="739" spans="6:8" s="30" customFormat="1">
      <c r="F739" s="36"/>
      <c r="H739" s="37"/>
    </row>
    <row r="740" spans="6:8" s="30" customFormat="1">
      <c r="F740" s="36"/>
      <c r="H740" s="37"/>
    </row>
    <row r="741" spans="6:8" s="30" customFormat="1">
      <c r="F741" s="36"/>
      <c r="H741" s="37"/>
    </row>
    <row r="742" spans="6:8" s="30" customFormat="1">
      <c r="F742" s="36"/>
      <c r="H742" s="37"/>
    </row>
    <row r="743" spans="6:8" s="30" customFormat="1">
      <c r="F743" s="36"/>
      <c r="H743" s="37"/>
    </row>
    <row r="744" spans="6:8" s="30" customFormat="1">
      <c r="F744" s="36"/>
      <c r="H744" s="37"/>
    </row>
    <row r="745" spans="6:8" s="30" customFormat="1">
      <c r="F745" s="36"/>
      <c r="H745" s="37"/>
    </row>
    <row r="746" spans="6:8" s="30" customFormat="1">
      <c r="F746" s="36"/>
      <c r="H746" s="37"/>
    </row>
    <row r="747" spans="6:8" s="30" customFormat="1">
      <c r="F747" s="36"/>
      <c r="H747" s="37"/>
    </row>
    <row r="748" spans="6:8" s="30" customFormat="1">
      <c r="F748" s="36"/>
      <c r="H748" s="37"/>
    </row>
    <row r="749" spans="6:8" s="30" customFormat="1">
      <c r="F749" s="36"/>
      <c r="H749" s="37"/>
    </row>
    <row r="750" spans="6:8" s="30" customFormat="1">
      <c r="F750" s="36"/>
      <c r="H750" s="37"/>
    </row>
    <row r="751" spans="6:8" s="30" customFormat="1">
      <c r="F751" s="36"/>
      <c r="H751" s="37"/>
    </row>
    <row r="752" spans="6:8" s="30" customFormat="1">
      <c r="F752" s="36"/>
      <c r="H752" s="37"/>
    </row>
    <row r="753" spans="6:8" s="30" customFormat="1">
      <c r="F753" s="36"/>
      <c r="H753" s="37"/>
    </row>
    <row r="754" spans="6:8" s="30" customFormat="1">
      <c r="F754" s="36"/>
      <c r="H754" s="37"/>
    </row>
    <row r="755" spans="6:8" s="30" customFormat="1">
      <c r="F755" s="36"/>
      <c r="H755" s="37"/>
    </row>
    <row r="756" spans="6:8" s="30" customFormat="1">
      <c r="F756" s="36"/>
      <c r="H756" s="37"/>
    </row>
    <row r="757" spans="6:8" s="30" customFormat="1">
      <c r="F757" s="36"/>
      <c r="H757" s="37"/>
    </row>
    <row r="758" spans="6:8" s="30" customFormat="1">
      <c r="F758" s="36"/>
      <c r="H758" s="37"/>
    </row>
    <row r="759" spans="6:8" s="30" customFormat="1">
      <c r="F759" s="36"/>
      <c r="H759" s="37"/>
    </row>
    <row r="760" spans="6:8" s="30" customFormat="1">
      <c r="F760" s="36"/>
      <c r="H760" s="37"/>
    </row>
    <row r="761" spans="6:8" s="30" customFormat="1">
      <c r="F761" s="36"/>
      <c r="H761" s="37"/>
    </row>
    <row r="762" spans="6:8" s="30" customFormat="1">
      <c r="F762" s="36"/>
      <c r="H762" s="37"/>
    </row>
    <row r="763" spans="6:8" s="30" customFormat="1">
      <c r="F763" s="36"/>
      <c r="H763" s="37"/>
    </row>
    <row r="764" spans="6:8" s="30" customFormat="1">
      <c r="F764" s="36"/>
      <c r="H764" s="37"/>
    </row>
    <row r="765" spans="6:8" s="30" customFormat="1">
      <c r="F765" s="36"/>
      <c r="H765" s="37"/>
    </row>
    <row r="766" spans="6:8" s="30" customFormat="1">
      <c r="F766" s="36"/>
      <c r="H766" s="37"/>
    </row>
    <row r="767" spans="6:8" s="30" customFormat="1">
      <c r="F767" s="36"/>
      <c r="H767" s="37"/>
    </row>
    <row r="768" spans="6:8" s="30" customFormat="1">
      <c r="F768" s="36"/>
      <c r="H768" s="37"/>
    </row>
    <row r="769" spans="6:8" s="30" customFormat="1">
      <c r="F769" s="36"/>
      <c r="H769" s="37"/>
    </row>
    <row r="770" spans="6:8" s="30" customFormat="1">
      <c r="F770" s="36"/>
      <c r="H770" s="37"/>
    </row>
    <row r="771" spans="6:8" s="30" customFormat="1">
      <c r="F771" s="36"/>
      <c r="H771" s="37"/>
    </row>
    <row r="772" spans="6:8" s="30" customFormat="1">
      <c r="F772" s="36"/>
      <c r="H772" s="37"/>
    </row>
    <row r="773" spans="6:8" s="30" customFormat="1">
      <c r="F773" s="36"/>
      <c r="H773" s="37"/>
    </row>
    <row r="774" spans="6:8" s="30" customFormat="1">
      <c r="F774" s="36"/>
      <c r="H774" s="37"/>
    </row>
    <row r="775" spans="6:8" s="30" customFormat="1">
      <c r="F775" s="36"/>
      <c r="H775" s="37"/>
    </row>
    <row r="776" spans="6:8" s="30" customFormat="1">
      <c r="F776" s="36"/>
      <c r="H776" s="37"/>
    </row>
    <row r="777" spans="6:8" s="30" customFormat="1">
      <c r="F777" s="36"/>
      <c r="H777" s="37"/>
    </row>
    <row r="778" spans="6:8" s="30" customFormat="1">
      <c r="F778" s="36"/>
      <c r="H778" s="37"/>
    </row>
    <row r="779" spans="6:8" s="30" customFormat="1">
      <c r="F779" s="36"/>
      <c r="H779" s="37"/>
    </row>
    <row r="780" spans="6:8" s="30" customFormat="1">
      <c r="F780" s="36"/>
      <c r="H780" s="37"/>
    </row>
    <row r="781" spans="6:8" s="30" customFormat="1">
      <c r="F781" s="36"/>
      <c r="H781" s="37"/>
    </row>
    <row r="782" spans="6:8" s="30" customFormat="1">
      <c r="F782" s="36"/>
      <c r="H782" s="37"/>
    </row>
    <row r="783" spans="6:8" s="30" customFormat="1">
      <c r="F783" s="36"/>
      <c r="H783" s="37"/>
    </row>
    <row r="784" spans="6:8" s="30" customFormat="1">
      <c r="F784" s="36"/>
      <c r="H784" s="37"/>
    </row>
    <row r="785" spans="6:8" s="30" customFormat="1">
      <c r="F785" s="36"/>
      <c r="H785" s="37"/>
    </row>
    <row r="786" spans="6:8" s="30" customFormat="1">
      <c r="F786" s="36"/>
      <c r="H786" s="37"/>
    </row>
    <row r="787" spans="6:8" s="30" customFormat="1">
      <c r="F787" s="36"/>
      <c r="H787" s="37"/>
    </row>
    <row r="788" spans="6:8" s="30" customFormat="1">
      <c r="F788" s="36"/>
      <c r="H788" s="37"/>
    </row>
    <row r="789" spans="6:8" s="30" customFormat="1">
      <c r="F789" s="36"/>
      <c r="H789" s="37"/>
    </row>
    <row r="790" spans="6:8" s="30" customFormat="1">
      <c r="F790" s="36"/>
      <c r="H790" s="37"/>
    </row>
    <row r="791" spans="6:8" s="30" customFormat="1">
      <c r="F791" s="36"/>
      <c r="H791" s="37"/>
    </row>
    <row r="792" spans="6:8" s="30" customFormat="1">
      <c r="F792" s="36"/>
      <c r="H792" s="37"/>
    </row>
    <row r="793" spans="6:8" s="30" customFormat="1">
      <c r="F793" s="36"/>
      <c r="H793" s="37"/>
    </row>
    <row r="794" spans="6:8" s="30" customFormat="1">
      <c r="F794" s="36"/>
      <c r="H794" s="37"/>
    </row>
    <row r="795" spans="6:8" s="30" customFormat="1">
      <c r="F795" s="36"/>
      <c r="H795" s="37"/>
    </row>
    <row r="796" spans="6:8" s="30" customFormat="1">
      <c r="F796" s="36"/>
      <c r="H796" s="37"/>
    </row>
    <row r="797" spans="6:8" s="30" customFormat="1">
      <c r="F797" s="36"/>
      <c r="H797" s="37"/>
    </row>
    <row r="798" spans="6:8" s="30" customFormat="1">
      <c r="F798" s="36"/>
      <c r="H798" s="37"/>
    </row>
    <row r="799" spans="6:8" s="30" customFormat="1">
      <c r="F799" s="36"/>
      <c r="H799" s="37"/>
    </row>
    <row r="800" spans="6:8" s="30" customFormat="1">
      <c r="F800" s="36"/>
      <c r="H800" s="37"/>
    </row>
    <row r="801" spans="6:8" s="30" customFormat="1">
      <c r="F801" s="36"/>
      <c r="H801" s="37"/>
    </row>
    <row r="802" spans="6:8" s="30" customFormat="1">
      <c r="F802" s="36"/>
      <c r="H802" s="37"/>
    </row>
    <row r="803" spans="6:8" s="30" customFormat="1">
      <c r="F803" s="36"/>
      <c r="H803" s="37"/>
    </row>
    <row r="804" spans="6:8" s="30" customFormat="1">
      <c r="F804" s="36"/>
      <c r="H804" s="37"/>
    </row>
    <row r="805" spans="6:8" s="30" customFormat="1">
      <c r="F805" s="36"/>
      <c r="H805" s="37"/>
    </row>
    <row r="806" spans="6:8" s="30" customFormat="1">
      <c r="F806" s="36"/>
      <c r="H806" s="37"/>
    </row>
    <row r="807" spans="6:8" s="30" customFormat="1">
      <c r="F807" s="36"/>
      <c r="H807" s="37"/>
    </row>
    <row r="808" spans="6:8" s="30" customFormat="1">
      <c r="F808" s="36"/>
      <c r="H808" s="37"/>
    </row>
    <row r="809" spans="6:8" s="30" customFormat="1">
      <c r="F809" s="36"/>
      <c r="H809" s="37"/>
    </row>
    <row r="810" spans="6:8" s="30" customFormat="1">
      <c r="F810" s="36"/>
      <c r="H810" s="37"/>
    </row>
    <row r="811" spans="6:8" s="30" customFormat="1">
      <c r="F811" s="36"/>
      <c r="H811" s="37"/>
    </row>
    <row r="812" spans="6:8" s="30" customFormat="1">
      <c r="F812" s="36"/>
      <c r="H812" s="37"/>
    </row>
    <row r="813" spans="6:8" s="30" customFormat="1">
      <c r="F813" s="36"/>
      <c r="H813" s="37"/>
    </row>
    <row r="814" spans="6:8" s="30" customFormat="1">
      <c r="F814" s="36"/>
      <c r="H814" s="37"/>
    </row>
    <row r="815" spans="6:8" s="30" customFormat="1">
      <c r="F815" s="36"/>
      <c r="H815" s="37"/>
    </row>
    <row r="816" spans="6:8" s="30" customFormat="1">
      <c r="F816" s="36"/>
      <c r="H816" s="37"/>
    </row>
    <row r="817" spans="6:8" s="30" customFormat="1">
      <c r="F817" s="36"/>
      <c r="H817" s="37"/>
    </row>
    <row r="818" spans="6:8" s="30" customFormat="1">
      <c r="F818" s="36"/>
      <c r="H818" s="37"/>
    </row>
    <row r="819" spans="6:8" s="30" customFormat="1">
      <c r="F819" s="36"/>
      <c r="H819" s="37"/>
    </row>
    <row r="820" spans="6:8" s="30" customFormat="1">
      <c r="F820" s="36"/>
      <c r="H820" s="37"/>
    </row>
    <row r="821" spans="6:8" s="30" customFormat="1">
      <c r="F821" s="36"/>
      <c r="H821" s="37"/>
    </row>
    <row r="822" spans="6:8" s="30" customFormat="1">
      <c r="F822" s="36"/>
      <c r="H822" s="37"/>
    </row>
    <row r="823" spans="6:8" s="30" customFormat="1">
      <c r="F823" s="36"/>
      <c r="H823" s="37"/>
    </row>
    <row r="824" spans="6:8" s="30" customFormat="1">
      <c r="F824" s="36"/>
      <c r="H824" s="37"/>
    </row>
    <row r="825" spans="6:8" s="30" customFormat="1">
      <c r="F825" s="36"/>
      <c r="H825" s="37"/>
    </row>
    <row r="826" spans="6:8" s="30" customFormat="1">
      <c r="F826" s="36"/>
      <c r="H826" s="37"/>
    </row>
    <row r="827" spans="6:8" s="30" customFormat="1">
      <c r="F827" s="36"/>
      <c r="H827" s="37"/>
    </row>
    <row r="828" spans="6:8" s="30" customFormat="1">
      <c r="F828" s="36"/>
      <c r="H828" s="37"/>
    </row>
    <row r="829" spans="6:8" s="30" customFormat="1">
      <c r="F829" s="36"/>
      <c r="H829" s="37"/>
    </row>
    <row r="830" spans="6:8" s="30" customFormat="1">
      <c r="F830" s="36"/>
      <c r="H830" s="37"/>
    </row>
    <row r="831" spans="6:8" s="30" customFormat="1">
      <c r="F831" s="36"/>
      <c r="H831" s="37"/>
    </row>
    <row r="832" spans="6:8" s="30" customFormat="1">
      <c r="F832" s="36"/>
      <c r="H832" s="37"/>
    </row>
    <row r="833" spans="6:8" s="30" customFormat="1">
      <c r="F833" s="36"/>
      <c r="H833" s="37"/>
    </row>
    <row r="834" spans="6:8" s="30" customFormat="1">
      <c r="F834" s="36"/>
      <c r="H834" s="37"/>
    </row>
    <row r="835" spans="6:8" s="30" customFormat="1">
      <c r="F835" s="36"/>
      <c r="H835" s="37"/>
    </row>
    <row r="836" spans="6:8" s="30" customFormat="1">
      <c r="F836" s="36"/>
      <c r="H836" s="37"/>
    </row>
    <row r="837" spans="6:8" s="30" customFormat="1">
      <c r="F837" s="36"/>
      <c r="H837" s="37"/>
    </row>
    <row r="838" spans="6:8" s="30" customFormat="1">
      <c r="F838" s="36"/>
      <c r="H838" s="37"/>
    </row>
    <row r="839" spans="6:8" s="30" customFormat="1">
      <c r="F839" s="36"/>
      <c r="H839" s="37"/>
    </row>
    <row r="840" spans="6:8" s="30" customFormat="1">
      <c r="F840" s="36"/>
      <c r="H840" s="37"/>
    </row>
    <row r="841" spans="6:8" s="30" customFormat="1">
      <c r="F841" s="36"/>
      <c r="H841" s="37"/>
    </row>
    <row r="842" spans="6:8" s="30" customFormat="1">
      <c r="F842" s="36"/>
      <c r="H842" s="37"/>
    </row>
    <row r="843" spans="6:8" s="30" customFormat="1">
      <c r="F843" s="36"/>
      <c r="H843" s="37"/>
    </row>
    <row r="844" spans="6:8" s="30" customFormat="1">
      <c r="F844" s="36"/>
      <c r="H844" s="37"/>
    </row>
    <row r="845" spans="6:8" s="30" customFormat="1">
      <c r="F845" s="36"/>
      <c r="H845" s="37"/>
    </row>
    <row r="846" spans="6:8" s="30" customFormat="1">
      <c r="F846" s="36"/>
      <c r="H846" s="37"/>
    </row>
    <row r="847" spans="6:8" s="30" customFormat="1">
      <c r="F847" s="36"/>
      <c r="H847" s="37"/>
    </row>
    <row r="848" spans="6:8" s="30" customFormat="1">
      <c r="F848" s="36"/>
      <c r="H848" s="37"/>
    </row>
    <row r="849" spans="6:8" s="30" customFormat="1">
      <c r="F849" s="36"/>
      <c r="H849" s="37"/>
    </row>
    <row r="850" spans="6:8" s="30" customFormat="1">
      <c r="F850" s="36"/>
      <c r="H850" s="37"/>
    </row>
    <row r="851" spans="6:8" s="30" customFormat="1">
      <c r="F851" s="36"/>
      <c r="H851" s="37"/>
    </row>
    <row r="852" spans="6:8" s="30" customFormat="1">
      <c r="F852" s="36"/>
      <c r="H852" s="37"/>
    </row>
    <row r="853" spans="6:8" s="30" customFormat="1">
      <c r="F853" s="36"/>
      <c r="H853" s="37"/>
    </row>
    <row r="854" spans="6:8" s="30" customFormat="1">
      <c r="F854" s="36"/>
      <c r="H854" s="37"/>
    </row>
    <row r="855" spans="6:8" s="30" customFormat="1">
      <c r="F855" s="36"/>
      <c r="H855" s="37"/>
    </row>
    <row r="856" spans="6:8" s="30" customFormat="1">
      <c r="F856" s="36"/>
      <c r="H856" s="37"/>
    </row>
    <row r="857" spans="6:8" s="30" customFormat="1">
      <c r="F857" s="36"/>
      <c r="H857" s="37"/>
    </row>
    <row r="858" spans="6:8" s="30" customFormat="1">
      <c r="F858" s="36"/>
      <c r="H858" s="37"/>
    </row>
  </sheetData>
  <mergeCells count="2">
    <mergeCell ref="B1:H1"/>
    <mergeCell ref="B2:H2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I733"/>
  <sheetViews>
    <sheetView zoomScaleNormal="100" workbookViewId="0">
      <selection activeCell="B60" sqref="B60"/>
    </sheetView>
  </sheetViews>
  <sheetFormatPr defaultRowHeight="12.75"/>
  <cols>
    <col min="1" max="1" width="3.42578125" style="30" bestFit="1" customWidth="1"/>
    <col min="2" max="2" width="50.42578125" bestFit="1" customWidth="1"/>
    <col min="3" max="3" width="16.85546875" bestFit="1" customWidth="1"/>
    <col min="4" max="4" width="33.5703125" bestFit="1" customWidth="1"/>
    <col min="5" max="5" width="16.85546875" bestFit="1" customWidth="1"/>
    <col min="6" max="6" width="16.85546875" style="3" bestFit="1" customWidth="1"/>
    <col min="7" max="7" width="25.140625" hidden="1" customWidth="1"/>
    <col min="8" max="8" width="16.85546875" style="4" bestFit="1" customWidth="1"/>
    <col min="9" max="9" width="25.140625" hidden="1" customWidth="1"/>
    <col min="10" max="191" width="9.140625" style="30"/>
  </cols>
  <sheetData>
    <row r="1" spans="1:9" ht="18" customHeight="1">
      <c r="A1" s="27"/>
      <c r="B1" s="165" t="s">
        <v>299</v>
      </c>
      <c r="C1" s="166"/>
      <c r="D1" s="166"/>
      <c r="E1" s="166"/>
      <c r="F1" s="166"/>
      <c r="G1" s="166"/>
      <c r="H1" s="167"/>
      <c r="I1" s="1"/>
    </row>
    <row r="2" spans="1:9" ht="12.95" customHeight="1" thickBot="1">
      <c r="A2" s="27"/>
      <c r="B2" s="174" t="s">
        <v>404</v>
      </c>
      <c r="C2" s="175"/>
      <c r="D2" s="175"/>
      <c r="E2" s="175"/>
      <c r="F2" s="175"/>
      <c r="G2" s="175"/>
      <c r="H2" s="176"/>
      <c r="I2" s="1"/>
    </row>
    <row r="3" spans="1:9" s="30" customFormat="1" ht="12.95" customHeight="1">
      <c r="A3" s="27"/>
      <c r="B3" s="95"/>
      <c r="C3" s="95"/>
      <c r="D3" s="95"/>
      <c r="E3" s="95"/>
      <c r="F3" s="95"/>
      <c r="G3" s="95"/>
      <c r="H3" s="95"/>
      <c r="I3" s="27"/>
    </row>
    <row r="4" spans="1:9" s="30" customFormat="1" ht="12.95" customHeight="1">
      <c r="A4" s="28"/>
      <c r="B4" s="32" t="s">
        <v>2</v>
      </c>
      <c r="C4" s="27"/>
      <c r="D4" s="27"/>
      <c r="E4" s="27"/>
      <c r="F4" s="33"/>
      <c r="G4" s="27"/>
      <c r="H4" s="34"/>
      <c r="I4" s="27"/>
    </row>
    <row r="5" spans="1:9" s="30" customFormat="1" ht="12.95" customHeight="1" thickBot="1">
      <c r="A5" s="28"/>
      <c r="B5" s="32"/>
      <c r="C5" s="27"/>
      <c r="D5" s="27"/>
      <c r="E5" s="27"/>
      <c r="F5" s="33"/>
      <c r="G5" s="27"/>
      <c r="H5" s="34"/>
      <c r="I5" s="27"/>
    </row>
    <row r="6" spans="1:9" ht="27.95" customHeight="1" thickBot="1">
      <c r="A6" s="27"/>
      <c r="B6" s="82" t="s">
        <v>3</v>
      </c>
      <c r="C6" s="83" t="s">
        <v>4</v>
      </c>
      <c r="D6" s="84" t="s">
        <v>45</v>
      </c>
      <c r="E6" s="84" t="s">
        <v>6</v>
      </c>
      <c r="F6" s="85" t="s">
        <v>7</v>
      </c>
      <c r="G6" s="84" t="s">
        <v>8</v>
      </c>
      <c r="H6" s="86" t="s">
        <v>9</v>
      </c>
      <c r="I6" s="38" t="s">
        <v>10</v>
      </c>
    </row>
    <row r="7" spans="1:9">
      <c r="A7" s="27"/>
      <c r="B7" s="125" t="s">
        <v>46</v>
      </c>
      <c r="C7" s="125"/>
      <c r="D7" s="126"/>
      <c r="E7" s="126"/>
      <c r="F7" s="127"/>
      <c r="G7" s="126"/>
      <c r="H7" s="128"/>
      <c r="I7" s="123"/>
    </row>
    <row r="8" spans="1:9">
      <c r="A8" s="27"/>
      <c r="B8" s="45" t="s">
        <v>47</v>
      </c>
      <c r="C8" s="45"/>
      <c r="D8" s="46"/>
      <c r="E8" s="46"/>
      <c r="F8" s="47"/>
      <c r="G8" s="46"/>
      <c r="H8" s="48"/>
      <c r="I8" s="123"/>
    </row>
    <row r="9" spans="1:9">
      <c r="A9" s="27"/>
      <c r="B9" s="45" t="s">
        <v>397</v>
      </c>
      <c r="C9" s="45"/>
      <c r="D9" s="46"/>
      <c r="E9" s="46"/>
      <c r="F9" s="47"/>
      <c r="G9" s="46"/>
      <c r="H9" s="48"/>
      <c r="I9" s="123"/>
    </row>
    <row r="10" spans="1:9" ht="12.95" customHeight="1">
      <c r="A10" s="29"/>
      <c r="B10" s="16" t="s">
        <v>205</v>
      </c>
      <c r="C10" s="16" t="s">
        <v>206</v>
      </c>
      <c r="D10" s="16" t="s">
        <v>53</v>
      </c>
      <c r="E10" s="52">
        <v>9300</v>
      </c>
      <c r="F10" s="53">
        <v>79.598699999999994</v>
      </c>
      <c r="G10" s="54">
        <v>79.599999999999994</v>
      </c>
      <c r="H10" s="55">
        <v>0.11020423992085784</v>
      </c>
      <c r="I10" s="2">
        <v>0.11020000000000001</v>
      </c>
    </row>
    <row r="11" spans="1:9" ht="12.95" customHeight="1">
      <c r="A11" s="29"/>
      <c r="B11" s="16" t="s">
        <v>303</v>
      </c>
      <c r="C11" s="16" t="s">
        <v>304</v>
      </c>
      <c r="D11" s="16" t="s">
        <v>195</v>
      </c>
      <c r="E11" s="52">
        <v>24000</v>
      </c>
      <c r="F11" s="53">
        <v>57.432000000000002</v>
      </c>
      <c r="G11" s="54">
        <v>57.43</v>
      </c>
      <c r="H11" s="55">
        <v>7.9514488391578098E-2</v>
      </c>
      <c r="I11" s="2">
        <v>7.9500000000000001E-2</v>
      </c>
    </row>
    <row r="12" spans="1:9" ht="12.95" customHeight="1">
      <c r="A12" s="29"/>
      <c r="B12" s="16" t="s">
        <v>238</v>
      </c>
      <c r="C12" s="16" t="s">
        <v>239</v>
      </c>
      <c r="D12" s="16" t="s">
        <v>240</v>
      </c>
      <c r="E12" s="52">
        <v>9500</v>
      </c>
      <c r="F12" s="53">
        <v>34.803249999999998</v>
      </c>
      <c r="G12" s="54">
        <v>34.799999999999997</v>
      </c>
      <c r="H12" s="55">
        <v>4.8185029567387357E-2</v>
      </c>
      <c r="I12" s="2">
        <v>4.82E-2</v>
      </c>
    </row>
    <row r="13" spans="1:9" ht="12.95" customHeight="1">
      <c r="A13" s="29"/>
      <c r="B13" s="16" t="s">
        <v>320</v>
      </c>
      <c r="C13" s="16" t="s">
        <v>321</v>
      </c>
      <c r="D13" s="16" t="s">
        <v>53</v>
      </c>
      <c r="E13" s="52">
        <v>2400</v>
      </c>
      <c r="F13" s="53">
        <v>21.1968</v>
      </c>
      <c r="G13" s="54">
        <v>21.2</v>
      </c>
      <c r="H13" s="55">
        <v>2.934692693165139E-2</v>
      </c>
      <c r="I13" s="2">
        <v>2.93E-2</v>
      </c>
    </row>
    <row r="14" spans="1:9" ht="12.95" customHeight="1">
      <c r="A14" s="29"/>
      <c r="B14" s="16" t="s">
        <v>322</v>
      </c>
      <c r="C14" s="16" t="s">
        <v>323</v>
      </c>
      <c r="D14" s="16" t="s">
        <v>324</v>
      </c>
      <c r="E14" s="52">
        <v>19000</v>
      </c>
      <c r="F14" s="53">
        <v>18.743500000000001</v>
      </c>
      <c r="G14" s="54">
        <v>18.739999999999998</v>
      </c>
      <c r="H14" s="55">
        <v>2.5950338020050565E-2</v>
      </c>
      <c r="I14" s="2">
        <v>2.5999999999999999E-2</v>
      </c>
    </row>
    <row r="15" spans="1:9" ht="12.95" customHeight="1">
      <c r="A15" s="29"/>
      <c r="B15" s="16" t="s">
        <v>352</v>
      </c>
      <c r="C15" s="16" t="s">
        <v>353</v>
      </c>
      <c r="D15" s="16" t="s">
        <v>324</v>
      </c>
      <c r="E15" s="52">
        <v>12000</v>
      </c>
      <c r="F15" s="53">
        <v>9.6059999999999999</v>
      </c>
      <c r="G15" s="54">
        <v>9.61</v>
      </c>
      <c r="H15" s="55">
        <v>1.3299487663488983E-2</v>
      </c>
      <c r="I15" s="2">
        <v>1.3299999999999999E-2</v>
      </c>
    </row>
    <row r="16" spans="1:9" ht="12.95" customHeight="1">
      <c r="A16" s="29"/>
      <c r="B16" s="16" t="s">
        <v>356</v>
      </c>
      <c r="C16" s="16" t="s">
        <v>357</v>
      </c>
      <c r="D16" s="16" t="s">
        <v>195</v>
      </c>
      <c r="E16" s="52">
        <v>5000</v>
      </c>
      <c r="F16" s="53">
        <v>7.4474999999999998</v>
      </c>
      <c r="G16" s="54">
        <v>7.45</v>
      </c>
      <c r="H16" s="55">
        <v>1.031104875846702E-2</v>
      </c>
      <c r="I16" s="2">
        <v>1.03E-2</v>
      </c>
    </row>
    <row r="17" spans="1:9" ht="12.95" customHeight="1">
      <c r="A17" s="29"/>
      <c r="B17" s="16" t="s">
        <v>193</v>
      </c>
      <c r="C17" s="16" t="s">
        <v>194</v>
      </c>
      <c r="D17" s="16" t="s">
        <v>195</v>
      </c>
      <c r="E17" s="52">
        <v>1500</v>
      </c>
      <c r="F17" s="53">
        <v>6.7417499999999997</v>
      </c>
      <c r="G17" s="54">
        <v>6.74</v>
      </c>
      <c r="H17" s="55">
        <v>9.3339393041148092E-3</v>
      </c>
      <c r="I17" s="2">
        <v>9.2999999999999992E-3</v>
      </c>
    </row>
    <row r="18" spans="1:9" ht="12.95" customHeight="1">
      <c r="A18" s="29"/>
      <c r="B18" s="64" t="s">
        <v>31</v>
      </c>
      <c r="C18" s="16"/>
      <c r="D18" s="16"/>
      <c r="E18" s="52"/>
      <c r="F18" s="9">
        <f>SUM(F10:F17)</f>
        <v>235.56949999999998</v>
      </c>
      <c r="G18" s="10"/>
      <c r="H18" s="11">
        <f>SUM(H10:H17)</f>
        <v>0.32614549855759606</v>
      </c>
      <c r="I18" s="2"/>
    </row>
    <row r="19" spans="1:9" ht="12.95" customHeight="1">
      <c r="A19" s="29"/>
      <c r="B19" s="16"/>
      <c r="C19" s="16"/>
      <c r="D19" s="16"/>
      <c r="E19" s="52"/>
      <c r="F19" s="53"/>
      <c r="G19" s="54"/>
      <c r="H19" s="55"/>
      <c r="I19" s="2"/>
    </row>
    <row r="20" spans="1:9" ht="12.95" customHeight="1">
      <c r="A20" s="29"/>
      <c r="B20" s="114" t="s">
        <v>398</v>
      </c>
      <c r="C20" s="16"/>
      <c r="D20" s="16"/>
      <c r="E20" s="52"/>
      <c r="F20" s="53"/>
      <c r="G20" s="54"/>
      <c r="H20" s="55"/>
      <c r="I20" s="2"/>
    </row>
    <row r="21" spans="1:9" ht="12.95" customHeight="1">
      <c r="A21" s="29"/>
      <c r="B21" s="114" t="s">
        <v>399</v>
      </c>
      <c r="C21" s="16"/>
      <c r="D21" s="16"/>
      <c r="E21" s="52"/>
      <c r="F21" s="53"/>
      <c r="G21" s="54"/>
      <c r="H21" s="55"/>
      <c r="I21" s="2"/>
    </row>
    <row r="22" spans="1:9" ht="12.95" customHeight="1">
      <c r="A22" s="29"/>
      <c r="B22" s="16" t="s">
        <v>300</v>
      </c>
      <c r="C22" s="16" t="s">
        <v>301</v>
      </c>
      <c r="D22" s="16" t="s">
        <v>302</v>
      </c>
      <c r="E22" s="52">
        <v>5700</v>
      </c>
      <c r="F22" s="53">
        <v>68.002618799999993</v>
      </c>
      <c r="G22" s="54">
        <v>68</v>
      </c>
      <c r="H22" s="55">
        <v>9.4149488841926296E-2</v>
      </c>
      <c r="I22" s="2">
        <v>9.4100000000000003E-2</v>
      </c>
    </row>
    <row r="23" spans="1:9" ht="12.95" customHeight="1">
      <c r="A23" s="29"/>
      <c r="B23" s="16" t="s">
        <v>305</v>
      </c>
      <c r="C23" s="16" t="s">
        <v>306</v>
      </c>
      <c r="D23" s="16" t="s">
        <v>307</v>
      </c>
      <c r="E23" s="52">
        <v>63000</v>
      </c>
      <c r="F23" s="53">
        <v>51.927731100000003</v>
      </c>
      <c r="G23" s="54">
        <v>51.93</v>
      </c>
      <c r="H23" s="55">
        <v>7.1893839179411112E-2</v>
      </c>
      <c r="I23" s="2">
        <v>7.1900000000000006E-2</v>
      </c>
    </row>
    <row r="24" spans="1:9" ht="12.95" customHeight="1">
      <c r="A24" s="29"/>
      <c r="B24" s="16" t="s">
        <v>308</v>
      </c>
      <c r="C24" s="16" t="s">
        <v>309</v>
      </c>
      <c r="D24" s="16" t="s">
        <v>310</v>
      </c>
      <c r="E24" s="52">
        <v>116000</v>
      </c>
      <c r="F24" s="53">
        <v>51.3384912</v>
      </c>
      <c r="G24" s="54">
        <v>51.34</v>
      </c>
      <c r="H24" s="55">
        <v>7.1078037723978527E-2</v>
      </c>
      <c r="I24" s="2">
        <v>7.1099999999999997E-2</v>
      </c>
    </row>
    <row r="25" spans="1:9" ht="12.95" customHeight="1">
      <c r="A25" s="29"/>
      <c r="B25" s="16" t="s">
        <v>311</v>
      </c>
      <c r="C25" s="16" t="s">
        <v>312</v>
      </c>
      <c r="D25" s="16" t="s">
        <v>310</v>
      </c>
      <c r="E25" s="52">
        <v>84000</v>
      </c>
      <c r="F25" s="53">
        <v>46.398139200000003</v>
      </c>
      <c r="G25" s="54">
        <v>46.4</v>
      </c>
      <c r="H25" s="55">
        <v>6.4238130324718368E-2</v>
      </c>
      <c r="I25" s="2">
        <v>6.4199999999999993E-2</v>
      </c>
    </row>
    <row r="26" spans="1:9" ht="12.95" customHeight="1">
      <c r="A26" s="29"/>
      <c r="B26" s="16" t="s">
        <v>313</v>
      </c>
      <c r="C26" s="16" t="s">
        <v>314</v>
      </c>
      <c r="D26" s="16" t="s">
        <v>302</v>
      </c>
      <c r="E26" s="52">
        <v>1643</v>
      </c>
      <c r="F26" s="53">
        <v>39.148421499999998</v>
      </c>
      <c r="G26" s="54">
        <v>39.15</v>
      </c>
      <c r="H26" s="55">
        <v>5.4200910762473124E-2</v>
      </c>
      <c r="I26" s="2">
        <v>5.4199999999999998E-2</v>
      </c>
    </row>
    <row r="27" spans="1:9" ht="12.95" customHeight="1">
      <c r="A27" s="29"/>
      <c r="B27" s="16" t="s">
        <v>315</v>
      </c>
      <c r="C27" s="16" t="s">
        <v>316</v>
      </c>
      <c r="D27" s="16" t="s">
        <v>307</v>
      </c>
      <c r="E27" s="52">
        <v>2300</v>
      </c>
      <c r="F27" s="53">
        <v>35.155012399999997</v>
      </c>
      <c r="G27" s="54">
        <v>35.159999999999997</v>
      </c>
      <c r="H27" s="55">
        <v>4.8672043902103085E-2</v>
      </c>
      <c r="I27" s="2">
        <v>4.87E-2</v>
      </c>
    </row>
    <row r="28" spans="1:9" ht="12.95" customHeight="1">
      <c r="A28" s="29"/>
      <c r="B28" s="16" t="s">
        <v>317</v>
      </c>
      <c r="C28" s="16" t="s">
        <v>318</v>
      </c>
      <c r="D28" s="16" t="s">
        <v>319</v>
      </c>
      <c r="E28" s="52">
        <v>4842</v>
      </c>
      <c r="F28" s="53">
        <v>31.475595299999998</v>
      </c>
      <c r="G28" s="54">
        <v>31.48</v>
      </c>
      <c r="H28" s="55">
        <v>4.3577898333679137E-2</v>
      </c>
      <c r="I28" s="2">
        <v>4.36E-2</v>
      </c>
    </row>
    <row r="29" spans="1:9" ht="12.95" customHeight="1">
      <c r="A29" s="29"/>
      <c r="B29" s="16" t="s">
        <v>325</v>
      </c>
      <c r="C29" s="16" t="s">
        <v>326</v>
      </c>
      <c r="D29" s="16" t="s">
        <v>327</v>
      </c>
      <c r="E29" s="52">
        <v>9000</v>
      </c>
      <c r="F29" s="53">
        <v>18.101758499999999</v>
      </c>
      <c r="G29" s="54">
        <v>18.100000000000001</v>
      </c>
      <c r="H29" s="55">
        <v>2.506184820510169E-2</v>
      </c>
      <c r="I29" s="2">
        <v>2.5100000000000001E-2</v>
      </c>
    </row>
    <row r="30" spans="1:9" ht="12.95" customHeight="1">
      <c r="A30" s="29"/>
      <c r="B30" s="16" t="s">
        <v>328</v>
      </c>
      <c r="C30" s="16" t="s">
        <v>329</v>
      </c>
      <c r="D30" s="16" t="s">
        <v>310</v>
      </c>
      <c r="E30" s="52">
        <v>4560</v>
      </c>
      <c r="F30" s="53">
        <v>17.845961299999999</v>
      </c>
      <c r="G30" s="54">
        <v>17.850000000000001</v>
      </c>
      <c r="H30" s="55">
        <v>2.470769749661168E-2</v>
      </c>
      <c r="I30" s="2">
        <v>2.47E-2</v>
      </c>
    </row>
    <row r="31" spans="1:9" ht="12.95" customHeight="1">
      <c r="A31" s="29"/>
      <c r="B31" s="16" t="s">
        <v>330</v>
      </c>
      <c r="C31" s="16" t="s">
        <v>331</v>
      </c>
      <c r="D31" s="16" t="s">
        <v>307</v>
      </c>
      <c r="E31" s="52">
        <v>5043</v>
      </c>
      <c r="F31" s="53">
        <v>16.2477391</v>
      </c>
      <c r="G31" s="54">
        <v>16.25</v>
      </c>
      <c r="H31" s="55">
        <v>2.2494962077871911E-2</v>
      </c>
      <c r="I31" s="2">
        <v>2.2499999999999999E-2</v>
      </c>
    </row>
    <row r="32" spans="1:9" ht="12.95" customHeight="1">
      <c r="A32" s="29"/>
      <c r="B32" s="16" t="s">
        <v>332</v>
      </c>
      <c r="C32" s="16" t="s">
        <v>333</v>
      </c>
      <c r="D32" s="16" t="s">
        <v>334</v>
      </c>
      <c r="E32" s="52">
        <v>2085</v>
      </c>
      <c r="F32" s="53">
        <v>15.6676658</v>
      </c>
      <c r="G32" s="54">
        <v>15.67</v>
      </c>
      <c r="H32" s="55">
        <v>2.1691851761687305E-2</v>
      </c>
      <c r="I32" s="2">
        <v>2.1700000000000001E-2</v>
      </c>
    </row>
    <row r="33" spans="1:9" ht="12.95" customHeight="1">
      <c r="A33" s="29"/>
      <c r="B33" s="16" t="s">
        <v>335</v>
      </c>
      <c r="C33" s="16" t="s">
        <v>336</v>
      </c>
      <c r="D33" s="16" t="s">
        <v>334</v>
      </c>
      <c r="E33" s="52">
        <v>100</v>
      </c>
      <c r="F33" s="53">
        <v>13.136760000000001</v>
      </c>
      <c r="G33" s="54">
        <v>13.14</v>
      </c>
      <c r="H33" s="55">
        <v>1.8187817776203988E-2</v>
      </c>
      <c r="I33" s="2">
        <v>1.8200000000000001E-2</v>
      </c>
    </row>
    <row r="34" spans="1:9" ht="12.95" customHeight="1">
      <c r="A34" s="29"/>
      <c r="B34" s="16" t="s">
        <v>337</v>
      </c>
      <c r="C34" s="16" t="s">
        <v>338</v>
      </c>
      <c r="D34" s="16" t="s">
        <v>307</v>
      </c>
      <c r="E34" s="52">
        <v>5342</v>
      </c>
      <c r="F34" s="53">
        <v>12.984233100000001</v>
      </c>
      <c r="G34" s="54">
        <v>12.98</v>
      </c>
      <c r="H34" s="55">
        <v>1.7976644590184814E-2</v>
      </c>
      <c r="I34" s="2">
        <v>1.7999999999999999E-2</v>
      </c>
    </row>
    <row r="35" spans="1:9" ht="12.95" customHeight="1">
      <c r="A35" s="29"/>
      <c r="B35" s="16" t="s">
        <v>339</v>
      </c>
      <c r="C35" s="16" t="s">
        <v>340</v>
      </c>
      <c r="D35" s="16" t="s">
        <v>341</v>
      </c>
      <c r="E35" s="52">
        <v>10000</v>
      </c>
      <c r="F35" s="53">
        <v>11.527488</v>
      </c>
      <c r="G35" s="54">
        <v>11.53</v>
      </c>
      <c r="H35" s="55">
        <v>1.5959783931607047E-2</v>
      </c>
      <c r="I35" s="2">
        <v>1.6E-2</v>
      </c>
    </row>
    <row r="36" spans="1:9" ht="12.95" customHeight="1">
      <c r="A36" s="29"/>
      <c r="B36" s="16" t="s">
        <v>342</v>
      </c>
      <c r="C36" s="16" t="s">
        <v>343</v>
      </c>
      <c r="D36" s="16" t="s">
        <v>344</v>
      </c>
      <c r="E36" s="52">
        <v>200</v>
      </c>
      <c r="F36" s="53">
        <v>11.216772000000001</v>
      </c>
      <c r="G36" s="54">
        <v>11.22</v>
      </c>
      <c r="H36" s="55">
        <v>1.5529598255066484E-2</v>
      </c>
      <c r="I36" s="2">
        <v>1.55E-2</v>
      </c>
    </row>
    <row r="37" spans="1:9" ht="12.95" customHeight="1">
      <c r="A37" s="29"/>
      <c r="B37" s="16" t="s">
        <v>345</v>
      </c>
      <c r="C37" s="16" t="s">
        <v>346</v>
      </c>
      <c r="D37" s="16" t="s">
        <v>347</v>
      </c>
      <c r="E37" s="52">
        <v>100</v>
      </c>
      <c r="F37" s="53">
        <v>10.666600000000001</v>
      </c>
      <c r="G37" s="54">
        <v>10.67</v>
      </c>
      <c r="H37" s="55">
        <v>1.4767886228541702E-2</v>
      </c>
      <c r="I37" s="2">
        <v>1.4800000000000001E-2</v>
      </c>
    </row>
    <row r="38" spans="1:9" ht="12.95" customHeight="1">
      <c r="A38" s="29"/>
      <c r="B38" s="16" t="s">
        <v>348</v>
      </c>
      <c r="C38" s="16" t="s">
        <v>349</v>
      </c>
      <c r="D38" s="16" t="s">
        <v>307</v>
      </c>
      <c r="E38" s="52">
        <v>22000</v>
      </c>
      <c r="F38" s="53">
        <v>10.340431199999999</v>
      </c>
      <c r="G38" s="54">
        <v>10.34</v>
      </c>
      <c r="H38" s="55">
        <v>1.4316306181507034E-2</v>
      </c>
      <c r="I38" s="2">
        <v>1.43E-2</v>
      </c>
    </row>
    <row r="39" spans="1:9" ht="12.95" customHeight="1">
      <c r="A39" s="29"/>
      <c r="B39" s="16" t="s">
        <v>350</v>
      </c>
      <c r="C39" s="16" t="s">
        <v>351</v>
      </c>
      <c r="D39" s="16" t="s">
        <v>302</v>
      </c>
      <c r="E39" s="52">
        <v>12000</v>
      </c>
      <c r="F39" s="53">
        <v>10.0762596</v>
      </c>
      <c r="G39" s="54">
        <v>10.08</v>
      </c>
      <c r="H39" s="55">
        <v>1.3950561133074373E-2</v>
      </c>
      <c r="I39" s="2">
        <v>1.4E-2</v>
      </c>
    </row>
    <row r="40" spans="1:9" ht="12.95" customHeight="1">
      <c r="A40" s="29"/>
      <c r="B40" s="16" t="s">
        <v>354</v>
      </c>
      <c r="C40" s="16" t="s">
        <v>355</v>
      </c>
      <c r="D40" s="16" t="s">
        <v>327</v>
      </c>
      <c r="E40" s="52">
        <v>20000</v>
      </c>
      <c r="F40" s="53">
        <v>8.7505000000000006</v>
      </c>
      <c r="G40" s="54">
        <v>8.75</v>
      </c>
      <c r="H40" s="55">
        <v>1.21150496355778E-2</v>
      </c>
      <c r="I40" s="2">
        <v>1.21E-2</v>
      </c>
    </row>
    <row r="41" spans="1:9" ht="12.95" customHeight="1">
      <c r="A41" s="29"/>
      <c r="B41" s="16" t="s">
        <v>358</v>
      </c>
      <c r="C41" s="16" t="s">
        <v>359</v>
      </c>
      <c r="D41" s="16" t="s">
        <v>327</v>
      </c>
      <c r="E41" s="52">
        <v>16000</v>
      </c>
      <c r="F41" s="53">
        <v>6.2028863999999997</v>
      </c>
      <c r="G41" s="54">
        <v>6.2</v>
      </c>
      <c r="H41" s="55">
        <v>8.5878837346266487E-3</v>
      </c>
      <c r="I41" s="2">
        <v>8.6E-3</v>
      </c>
    </row>
    <row r="42" spans="1:9" ht="12.95" customHeight="1">
      <c r="A42" s="29"/>
      <c r="B42" s="16" t="s">
        <v>360</v>
      </c>
      <c r="C42" s="16" t="s">
        <v>361</v>
      </c>
      <c r="D42" s="16" t="s">
        <v>319</v>
      </c>
      <c r="E42" s="52">
        <v>4729</v>
      </c>
      <c r="F42" s="53">
        <v>5.1309744999999998</v>
      </c>
      <c r="G42" s="54">
        <v>5.13</v>
      </c>
      <c r="H42" s="55">
        <v>7.1038238667943529E-3</v>
      </c>
      <c r="I42" s="2">
        <v>7.1000000000000004E-3</v>
      </c>
    </row>
    <row r="43" spans="1:9" ht="12.95" customHeight="1">
      <c r="A43" s="29"/>
      <c r="B43" s="64" t="s">
        <v>31</v>
      </c>
      <c r="C43" s="16"/>
      <c r="D43" s="16"/>
      <c r="E43" s="52"/>
      <c r="F43" s="115">
        <f>SUM(F22:F42)</f>
        <v>491.342039</v>
      </c>
      <c r="G43" s="56"/>
      <c r="H43" s="18">
        <f>SUM(H22:H42)</f>
        <v>0.68026206394274646</v>
      </c>
      <c r="I43" s="2"/>
    </row>
    <row r="44" spans="1:9" ht="12.95" customHeight="1">
      <c r="A44" s="29"/>
      <c r="B44" s="16"/>
      <c r="C44" s="16"/>
      <c r="D44" s="16"/>
      <c r="E44" s="52"/>
      <c r="F44" s="53"/>
      <c r="G44" s="54"/>
      <c r="H44" s="55"/>
      <c r="I44" s="2"/>
    </row>
    <row r="45" spans="1:9" ht="12.95" customHeight="1">
      <c r="A45" s="27"/>
      <c r="B45" s="15" t="s">
        <v>196</v>
      </c>
      <c r="C45" s="16" t="s">
        <v>1</v>
      </c>
      <c r="D45" s="16" t="s">
        <v>1</v>
      </c>
      <c r="E45" s="16" t="s">
        <v>1</v>
      </c>
      <c r="F45" s="17" t="s">
        <v>197</v>
      </c>
      <c r="G45" s="57" t="s">
        <v>197</v>
      </c>
      <c r="H45" s="18" t="s">
        <v>197</v>
      </c>
      <c r="I45" s="42" t="s">
        <v>197</v>
      </c>
    </row>
    <row r="46" spans="1:9" ht="12.95" customHeight="1">
      <c r="A46" s="27"/>
      <c r="B46" s="15" t="s">
        <v>31</v>
      </c>
      <c r="C46" s="16" t="s">
        <v>1</v>
      </c>
      <c r="D46" s="16" t="s">
        <v>1</v>
      </c>
      <c r="E46" s="16" t="s">
        <v>1</v>
      </c>
      <c r="F46" s="17" t="s">
        <v>197</v>
      </c>
      <c r="G46" s="57" t="s">
        <v>197</v>
      </c>
      <c r="H46" s="18" t="s">
        <v>197</v>
      </c>
      <c r="I46" s="42" t="s">
        <v>197</v>
      </c>
    </row>
    <row r="47" spans="1:9" ht="12.95" customHeight="1">
      <c r="A47" s="27"/>
      <c r="B47" s="15" t="s">
        <v>36</v>
      </c>
      <c r="C47" s="16" t="s">
        <v>1</v>
      </c>
      <c r="D47" s="16" t="s">
        <v>1</v>
      </c>
      <c r="E47" s="16" t="s">
        <v>1</v>
      </c>
      <c r="F47" s="17">
        <v>726.91153899999995</v>
      </c>
      <c r="G47" s="56">
        <v>726.94</v>
      </c>
      <c r="H47" s="18">
        <v>1.0064075625003426</v>
      </c>
      <c r="I47" s="41">
        <v>1.0065</v>
      </c>
    </row>
    <row r="48" spans="1:9" ht="12.95" customHeight="1">
      <c r="A48" s="27"/>
      <c r="B48" s="15"/>
      <c r="C48" s="16"/>
      <c r="D48" s="16"/>
      <c r="E48" s="16"/>
      <c r="F48" s="17"/>
      <c r="G48" s="56"/>
      <c r="H48" s="18"/>
      <c r="I48" s="61"/>
    </row>
    <row r="49" spans="1:9" ht="12.95" customHeight="1">
      <c r="A49" s="27"/>
      <c r="B49" s="58" t="s">
        <v>389</v>
      </c>
      <c r="C49" s="15"/>
      <c r="D49" s="16"/>
      <c r="E49" s="16"/>
      <c r="F49" s="115"/>
      <c r="G49" s="56"/>
      <c r="H49" s="18"/>
      <c r="I49" s="12"/>
    </row>
    <row r="50" spans="1:9" ht="12.95" customHeight="1">
      <c r="A50" s="29"/>
      <c r="B50" s="59" t="s">
        <v>400</v>
      </c>
      <c r="C50" s="15"/>
      <c r="D50" s="16"/>
      <c r="E50" s="10" t="s">
        <v>197</v>
      </c>
      <c r="F50" s="10" t="s">
        <v>197</v>
      </c>
      <c r="G50" s="10" t="s">
        <v>197</v>
      </c>
      <c r="H50" s="10" t="s">
        <v>197</v>
      </c>
      <c r="I50" s="13" t="s">
        <v>197</v>
      </c>
    </row>
    <row r="51" spans="1:9" ht="12.95" customHeight="1">
      <c r="A51" s="27"/>
      <c r="B51" s="60" t="s">
        <v>391</v>
      </c>
      <c r="C51" s="15"/>
      <c r="D51" s="16"/>
      <c r="E51" s="10" t="s">
        <v>197</v>
      </c>
      <c r="F51" s="10" t="s">
        <v>197</v>
      </c>
      <c r="G51" s="10" t="s">
        <v>197</v>
      </c>
      <c r="H51" s="10" t="s">
        <v>197</v>
      </c>
      <c r="I51" s="13" t="s">
        <v>197</v>
      </c>
    </row>
    <row r="52" spans="1:9" ht="12.95" customHeight="1">
      <c r="A52" s="27"/>
      <c r="B52" s="60" t="s">
        <v>392</v>
      </c>
      <c r="C52" s="15"/>
      <c r="D52" s="16"/>
      <c r="E52" s="10" t="s">
        <v>197</v>
      </c>
      <c r="F52" s="10" t="s">
        <v>197</v>
      </c>
      <c r="G52" s="10" t="s">
        <v>197</v>
      </c>
      <c r="H52" s="10" t="s">
        <v>197</v>
      </c>
      <c r="I52" s="13" t="s">
        <v>197</v>
      </c>
    </row>
    <row r="53" spans="1:9" ht="12.95" customHeight="1">
      <c r="A53" s="27"/>
      <c r="B53" s="60"/>
      <c r="C53" s="15"/>
      <c r="D53" s="16"/>
      <c r="E53" s="10"/>
      <c r="F53" s="10"/>
      <c r="G53" s="10"/>
      <c r="H53" s="10"/>
      <c r="I53" s="62"/>
    </row>
    <row r="54" spans="1:9" ht="12.95" customHeight="1">
      <c r="A54" s="27"/>
      <c r="B54" s="124" t="s">
        <v>11</v>
      </c>
      <c r="C54" s="15"/>
      <c r="D54" s="16"/>
      <c r="E54" s="10"/>
      <c r="F54" s="10"/>
      <c r="G54" s="10"/>
      <c r="H54" s="10"/>
      <c r="I54" s="62"/>
    </row>
    <row r="55" spans="1:9" ht="12.95" customHeight="1">
      <c r="A55" s="27"/>
      <c r="B55" s="15" t="s">
        <v>37</v>
      </c>
      <c r="C55" s="16" t="s">
        <v>1</v>
      </c>
      <c r="D55" s="16" t="s">
        <v>1</v>
      </c>
      <c r="E55" s="16" t="s">
        <v>1</v>
      </c>
      <c r="F55" s="49" t="s">
        <v>1</v>
      </c>
      <c r="G55" s="50"/>
      <c r="H55" s="51" t="s">
        <v>1</v>
      </c>
      <c r="I55" s="39" t="s">
        <v>1</v>
      </c>
    </row>
    <row r="56" spans="1:9" ht="12.95" customHeight="1">
      <c r="A56" s="29"/>
      <c r="B56" s="16" t="s">
        <v>38</v>
      </c>
      <c r="C56" s="16" t="s">
        <v>1</v>
      </c>
      <c r="D56" s="16" t="s">
        <v>39</v>
      </c>
      <c r="E56" s="52"/>
      <c r="F56" s="53">
        <v>4.3515499999999996</v>
      </c>
      <c r="G56" s="54">
        <v>4.3499999999999996</v>
      </c>
      <c r="H56" s="55">
        <v>6.0247122154960947E-3</v>
      </c>
      <c r="I56" s="2">
        <v>6.0000000000000001E-3</v>
      </c>
    </row>
    <row r="57" spans="1:9" ht="12.95" customHeight="1">
      <c r="A57" s="27"/>
      <c r="B57" s="15" t="s">
        <v>31</v>
      </c>
      <c r="C57" s="16" t="s">
        <v>1</v>
      </c>
      <c r="D57" s="16" t="s">
        <v>1</v>
      </c>
      <c r="E57" s="16" t="s">
        <v>1</v>
      </c>
      <c r="F57" s="17">
        <v>4.3515499999999996</v>
      </c>
      <c r="G57" s="56">
        <v>4.3499999999999996</v>
      </c>
      <c r="H57" s="18">
        <v>6.0247122154960947E-3</v>
      </c>
      <c r="I57" s="41">
        <v>6.0000000000000001E-3</v>
      </c>
    </row>
    <row r="58" spans="1:9" ht="12.95" customHeight="1">
      <c r="A58" s="27"/>
      <c r="B58" s="15"/>
      <c r="C58" s="16"/>
      <c r="D58" s="16"/>
      <c r="E58" s="16"/>
      <c r="F58" s="17"/>
      <c r="G58" s="56"/>
      <c r="H58" s="18"/>
      <c r="I58" s="41"/>
    </row>
    <row r="59" spans="1:9" ht="12.95" customHeight="1">
      <c r="A59" s="27"/>
      <c r="B59" s="15" t="s">
        <v>295</v>
      </c>
      <c r="C59" s="16"/>
      <c r="D59" s="16"/>
      <c r="E59" s="16"/>
      <c r="F59" s="17"/>
      <c r="G59" s="56"/>
      <c r="H59" s="18"/>
      <c r="I59" s="41"/>
    </row>
    <row r="60" spans="1:9" ht="12.95" customHeight="1">
      <c r="A60" s="27"/>
      <c r="B60" s="164" t="s">
        <v>40</v>
      </c>
      <c r="C60" s="16" t="s">
        <v>1</v>
      </c>
      <c r="D60" s="16" t="s">
        <v>1</v>
      </c>
      <c r="E60" s="16" t="s">
        <v>1</v>
      </c>
      <c r="F60" s="20">
        <v>-8.9796264293999997</v>
      </c>
      <c r="G60" s="66">
        <v>-9.01</v>
      </c>
      <c r="H60" s="21">
        <v>-1.2432274715838638E-2</v>
      </c>
      <c r="I60" s="41">
        <v>-1.2500000000000001E-2</v>
      </c>
    </row>
    <row r="61" spans="1:9" ht="12.95" customHeight="1">
      <c r="A61" s="27"/>
      <c r="B61" s="15" t="s">
        <v>31</v>
      </c>
      <c r="C61" s="16"/>
      <c r="D61" s="16"/>
      <c r="E61" s="16"/>
      <c r="F61" s="17">
        <v>-8.9796264293999997</v>
      </c>
      <c r="G61" s="56">
        <v>-9.01</v>
      </c>
      <c r="H61" s="18">
        <v>-1.2432274715838638E-2</v>
      </c>
      <c r="I61" s="61"/>
    </row>
    <row r="62" spans="1:9" ht="12.95" customHeight="1" thickBot="1">
      <c r="A62" s="27"/>
      <c r="B62" s="23" t="s">
        <v>36</v>
      </c>
      <c r="C62" s="24"/>
      <c r="D62" s="24"/>
      <c r="E62" s="24"/>
      <c r="F62" s="25">
        <f>F57+F61</f>
        <v>-4.6280764294000001</v>
      </c>
      <c r="G62" s="25">
        <f t="shared" ref="G62:H62" si="0">G57+G61</f>
        <v>-4.66</v>
      </c>
      <c r="H62" s="129">
        <f t="shared" si="0"/>
        <v>-6.4075625003425438E-3</v>
      </c>
      <c r="I62" s="61"/>
    </row>
    <row r="63" spans="1:9" ht="12.95" customHeight="1" thickBot="1">
      <c r="A63" s="27"/>
      <c r="B63" s="103" t="s">
        <v>41</v>
      </c>
      <c r="C63" s="104" t="s">
        <v>1</v>
      </c>
      <c r="D63" s="104" t="s">
        <v>1</v>
      </c>
      <c r="E63" s="104" t="s">
        <v>1</v>
      </c>
      <c r="F63" s="105">
        <v>722.28346257060002</v>
      </c>
      <c r="G63" s="106">
        <v>722.28</v>
      </c>
      <c r="H63" s="107">
        <v>1</v>
      </c>
      <c r="I63" s="44">
        <v>1</v>
      </c>
    </row>
    <row r="64" spans="1:9" s="30" customFormat="1" ht="12.95" customHeight="1">
      <c r="A64" s="27"/>
      <c r="B64" s="28" t="s">
        <v>1</v>
      </c>
      <c r="C64" s="27"/>
      <c r="D64" s="27"/>
      <c r="E64" s="27"/>
      <c r="F64" s="33"/>
      <c r="G64" s="27"/>
      <c r="H64" s="34"/>
      <c r="I64" s="27"/>
    </row>
    <row r="65" spans="1:9" s="30" customFormat="1" ht="12.95" customHeight="1">
      <c r="A65" s="27"/>
      <c r="B65" s="35" t="s">
        <v>39</v>
      </c>
      <c r="C65" s="27"/>
      <c r="D65" s="27"/>
      <c r="E65" s="27"/>
      <c r="F65" s="33"/>
      <c r="G65" s="27"/>
      <c r="H65" s="34"/>
      <c r="I65" s="27"/>
    </row>
    <row r="66" spans="1:9" s="30" customFormat="1" ht="12.95" customHeight="1">
      <c r="A66" s="27"/>
      <c r="B66" s="90" t="s">
        <v>394</v>
      </c>
      <c r="C66" s="91"/>
      <c r="D66" s="27"/>
      <c r="E66" s="27"/>
      <c r="F66" s="33"/>
      <c r="G66" s="27"/>
      <c r="H66" s="34"/>
      <c r="I66" s="27"/>
    </row>
    <row r="67" spans="1:9" s="30" customFormat="1" ht="12.95" customHeight="1">
      <c r="A67" s="27"/>
      <c r="B67" s="117" t="s">
        <v>401</v>
      </c>
      <c r="C67" s="91"/>
      <c r="D67" s="27"/>
      <c r="E67" s="27"/>
      <c r="F67" s="33"/>
      <c r="G67" s="27"/>
      <c r="H67" s="34"/>
      <c r="I67" s="27"/>
    </row>
    <row r="68" spans="1:9" s="30" customFormat="1" ht="13.5" thickBot="1">
      <c r="B68" s="118"/>
      <c r="C68" s="118"/>
      <c r="F68" s="36"/>
      <c r="H68" s="37"/>
    </row>
    <row r="69" spans="1:9" s="30" customFormat="1" ht="13.5" thickBot="1">
      <c r="B69" s="119" t="s">
        <v>405</v>
      </c>
      <c r="C69" s="120">
        <v>2.3599999999999999E-2</v>
      </c>
      <c r="F69" s="36"/>
      <c r="H69" s="37"/>
    </row>
    <row r="70" spans="1:9" s="30" customFormat="1">
      <c r="B70" s="121" t="s">
        <v>406</v>
      </c>
      <c r="C70" s="121"/>
      <c r="F70" s="36"/>
      <c r="H70" s="37"/>
    </row>
    <row r="71" spans="1:9" s="30" customFormat="1">
      <c r="F71" s="36"/>
      <c r="H71" s="37"/>
    </row>
    <row r="72" spans="1:9" s="30" customFormat="1">
      <c r="F72" s="36"/>
      <c r="H72" s="37"/>
    </row>
    <row r="73" spans="1:9" s="30" customFormat="1">
      <c r="F73" s="36"/>
      <c r="H73" s="37"/>
    </row>
    <row r="74" spans="1:9" s="30" customFormat="1">
      <c r="F74" s="36"/>
      <c r="H74" s="37"/>
    </row>
    <row r="75" spans="1:9" s="30" customFormat="1">
      <c r="F75" s="36"/>
      <c r="H75" s="37"/>
    </row>
    <row r="76" spans="1:9" s="30" customFormat="1">
      <c r="F76" s="36"/>
      <c r="H76" s="37"/>
    </row>
    <row r="77" spans="1:9" s="30" customFormat="1">
      <c r="F77" s="36"/>
      <c r="H77" s="37"/>
    </row>
    <row r="78" spans="1:9" s="30" customFormat="1">
      <c r="F78" s="36"/>
      <c r="H78" s="37"/>
    </row>
    <row r="79" spans="1:9" s="30" customFormat="1">
      <c r="F79" s="36"/>
      <c r="H79" s="37"/>
    </row>
    <row r="80" spans="1:9" s="30" customFormat="1">
      <c r="F80" s="36"/>
      <c r="H80" s="37"/>
    </row>
    <row r="81" spans="6:8" s="30" customFormat="1">
      <c r="F81" s="36"/>
      <c r="H81" s="37"/>
    </row>
    <row r="82" spans="6:8" s="30" customFormat="1">
      <c r="F82" s="36"/>
      <c r="H82" s="37"/>
    </row>
    <row r="83" spans="6:8" s="30" customFormat="1">
      <c r="F83" s="36"/>
      <c r="H83" s="37"/>
    </row>
    <row r="84" spans="6:8" s="30" customFormat="1">
      <c r="F84" s="36"/>
      <c r="H84" s="37"/>
    </row>
    <row r="85" spans="6:8" s="30" customFormat="1">
      <c r="F85" s="36"/>
      <c r="H85" s="37"/>
    </row>
    <row r="86" spans="6:8" s="30" customFormat="1">
      <c r="F86" s="36"/>
      <c r="H86" s="37"/>
    </row>
    <row r="87" spans="6:8" s="30" customFormat="1">
      <c r="F87" s="36"/>
      <c r="H87" s="37"/>
    </row>
    <row r="88" spans="6:8" s="30" customFormat="1">
      <c r="F88" s="36"/>
      <c r="H88" s="37"/>
    </row>
    <row r="89" spans="6:8" s="30" customFormat="1">
      <c r="F89" s="36"/>
      <c r="H89" s="37"/>
    </row>
    <row r="90" spans="6:8" s="30" customFormat="1">
      <c r="F90" s="36"/>
      <c r="H90" s="37"/>
    </row>
    <row r="91" spans="6:8" s="30" customFormat="1">
      <c r="F91" s="36"/>
      <c r="H91" s="37"/>
    </row>
    <row r="92" spans="6:8" s="30" customFormat="1">
      <c r="F92" s="36"/>
      <c r="H92" s="37"/>
    </row>
    <row r="93" spans="6:8" s="30" customFormat="1">
      <c r="F93" s="36"/>
      <c r="H93" s="37"/>
    </row>
    <row r="94" spans="6:8" s="30" customFormat="1">
      <c r="F94" s="36"/>
      <c r="H94" s="37"/>
    </row>
    <row r="95" spans="6:8" s="30" customFormat="1">
      <c r="F95" s="36"/>
      <c r="H95" s="37"/>
    </row>
    <row r="96" spans="6:8" s="30" customFormat="1">
      <c r="F96" s="36"/>
      <c r="H96" s="37"/>
    </row>
    <row r="97" spans="6:8" s="30" customFormat="1">
      <c r="F97" s="36"/>
      <c r="H97" s="37"/>
    </row>
    <row r="98" spans="6:8" s="30" customFormat="1">
      <c r="F98" s="36"/>
      <c r="H98" s="37"/>
    </row>
    <row r="99" spans="6:8" s="30" customFormat="1">
      <c r="F99" s="36"/>
      <c r="H99" s="37"/>
    </row>
    <row r="100" spans="6:8" s="30" customFormat="1">
      <c r="F100" s="36"/>
      <c r="H100" s="37"/>
    </row>
    <row r="101" spans="6:8" s="30" customFormat="1">
      <c r="F101" s="36"/>
      <c r="H101" s="37"/>
    </row>
    <row r="102" spans="6:8" s="30" customFormat="1">
      <c r="F102" s="36"/>
      <c r="H102" s="37"/>
    </row>
    <row r="103" spans="6:8" s="30" customFormat="1">
      <c r="F103" s="36"/>
      <c r="H103" s="37"/>
    </row>
    <row r="104" spans="6:8" s="30" customFormat="1">
      <c r="F104" s="36"/>
      <c r="H104" s="37"/>
    </row>
    <row r="105" spans="6:8" s="30" customFormat="1">
      <c r="F105" s="36"/>
      <c r="H105" s="37"/>
    </row>
    <row r="106" spans="6:8" s="30" customFormat="1">
      <c r="F106" s="36"/>
      <c r="H106" s="37"/>
    </row>
    <row r="107" spans="6:8" s="30" customFormat="1">
      <c r="F107" s="36"/>
      <c r="H107" s="37"/>
    </row>
    <row r="108" spans="6:8" s="30" customFormat="1">
      <c r="F108" s="36"/>
      <c r="H108" s="37"/>
    </row>
    <row r="109" spans="6:8" s="30" customFormat="1">
      <c r="F109" s="36"/>
      <c r="H109" s="37"/>
    </row>
    <row r="110" spans="6:8" s="30" customFormat="1">
      <c r="F110" s="36"/>
      <c r="H110" s="37"/>
    </row>
    <row r="111" spans="6:8" s="30" customFormat="1">
      <c r="F111" s="36"/>
      <c r="H111" s="37"/>
    </row>
    <row r="112" spans="6:8" s="30" customFormat="1">
      <c r="F112" s="36"/>
      <c r="H112" s="37"/>
    </row>
    <row r="113" spans="6:8" s="30" customFormat="1">
      <c r="F113" s="36"/>
      <c r="H113" s="37"/>
    </row>
    <row r="114" spans="6:8" s="30" customFormat="1">
      <c r="F114" s="36"/>
      <c r="H114" s="37"/>
    </row>
    <row r="115" spans="6:8" s="30" customFormat="1">
      <c r="F115" s="36"/>
      <c r="H115" s="37"/>
    </row>
    <row r="116" spans="6:8" s="30" customFormat="1">
      <c r="F116" s="36"/>
      <c r="H116" s="37"/>
    </row>
    <row r="117" spans="6:8" s="30" customFormat="1">
      <c r="F117" s="36"/>
      <c r="H117" s="37"/>
    </row>
    <row r="118" spans="6:8" s="30" customFormat="1">
      <c r="F118" s="36"/>
      <c r="H118" s="37"/>
    </row>
    <row r="119" spans="6:8" s="30" customFormat="1">
      <c r="F119" s="36"/>
      <c r="H119" s="37"/>
    </row>
    <row r="120" spans="6:8" s="30" customFormat="1">
      <c r="F120" s="36"/>
      <c r="H120" s="37"/>
    </row>
    <row r="121" spans="6:8" s="30" customFormat="1">
      <c r="F121" s="36"/>
      <c r="H121" s="37"/>
    </row>
    <row r="122" spans="6:8" s="30" customFormat="1">
      <c r="F122" s="36"/>
      <c r="H122" s="37"/>
    </row>
    <row r="123" spans="6:8" s="30" customFormat="1">
      <c r="F123" s="36"/>
      <c r="H123" s="37"/>
    </row>
    <row r="124" spans="6:8" s="30" customFormat="1">
      <c r="F124" s="36"/>
      <c r="H124" s="37"/>
    </row>
    <row r="125" spans="6:8" s="30" customFormat="1">
      <c r="F125" s="36"/>
      <c r="H125" s="37"/>
    </row>
    <row r="126" spans="6:8" s="30" customFormat="1">
      <c r="F126" s="36"/>
      <c r="H126" s="37"/>
    </row>
    <row r="127" spans="6:8" s="30" customFormat="1">
      <c r="F127" s="36"/>
      <c r="H127" s="37"/>
    </row>
    <row r="128" spans="6:8" s="30" customFormat="1">
      <c r="F128" s="36"/>
      <c r="H128" s="37"/>
    </row>
    <row r="129" spans="6:8" s="30" customFormat="1">
      <c r="F129" s="36"/>
      <c r="H129" s="37"/>
    </row>
    <row r="130" spans="6:8" s="30" customFormat="1">
      <c r="F130" s="36"/>
      <c r="H130" s="37"/>
    </row>
    <row r="131" spans="6:8" s="30" customFormat="1">
      <c r="F131" s="36"/>
      <c r="H131" s="37"/>
    </row>
    <row r="132" spans="6:8" s="30" customFormat="1">
      <c r="F132" s="36"/>
      <c r="H132" s="37"/>
    </row>
    <row r="133" spans="6:8" s="30" customFormat="1">
      <c r="F133" s="36"/>
      <c r="H133" s="37"/>
    </row>
    <row r="134" spans="6:8" s="30" customFormat="1">
      <c r="F134" s="36"/>
      <c r="H134" s="37"/>
    </row>
    <row r="135" spans="6:8" s="30" customFormat="1">
      <c r="F135" s="36"/>
      <c r="H135" s="37"/>
    </row>
    <row r="136" spans="6:8" s="30" customFormat="1">
      <c r="F136" s="36"/>
      <c r="H136" s="37"/>
    </row>
    <row r="137" spans="6:8" s="30" customFormat="1">
      <c r="F137" s="36"/>
      <c r="H137" s="37"/>
    </row>
    <row r="138" spans="6:8" s="30" customFormat="1">
      <c r="F138" s="36"/>
      <c r="H138" s="37"/>
    </row>
    <row r="139" spans="6:8" s="30" customFormat="1">
      <c r="F139" s="36"/>
      <c r="H139" s="37"/>
    </row>
    <row r="140" spans="6:8" s="30" customFormat="1">
      <c r="F140" s="36"/>
      <c r="H140" s="37"/>
    </row>
    <row r="141" spans="6:8" s="30" customFormat="1">
      <c r="F141" s="36"/>
      <c r="H141" s="37"/>
    </row>
    <row r="142" spans="6:8" s="30" customFormat="1">
      <c r="F142" s="36"/>
      <c r="H142" s="37"/>
    </row>
    <row r="143" spans="6:8" s="30" customFormat="1">
      <c r="F143" s="36"/>
      <c r="H143" s="37"/>
    </row>
    <row r="144" spans="6:8" s="30" customFormat="1">
      <c r="F144" s="36"/>
      <c r="H144" s="37"/>
    </row>
    <row r="145" spans="6:8" s="30" customFormat="1">
      <c r="F145" s="36"/>
      <c r="H145" s="37"/>
    </row>
    <row r="146" spans="6:8" s="30" customFormat="1">
      <c r="F146" s="36"/>
      <c r="H146" s="37"/>
    </row>
    <row r="147" spans="6:8" s="30" customFormat="1">
      <c r="F147" s="36"/>
      <c r="H147" s="37"/>
    </row>
    <row r="148" spans="6:8" s="30" customFormat="1">
      <c r="F148" s="36"/>
      <c r="H148" s="37"/>
    </row>
    <row r="149" spans="6:8" s="30" customFormat="1">
      <c r="F149" s="36"/>
      <c r="H149" s="37"/>
    </row>
    <row r="150" spans="6:8" s="30" customFormat="1">
      <c r="F150" s="36"/>
      <c r="H150" s="37"/>
    </row>
    <row r="151" spans="6:8" s="30" customFormat="1">
      <c r="F151" s="36"/>
      <c r="H151" s="37"/>
    </row>
    <row r="152" spans="6:8" s="30" customFormat="1">
      <c r="F152" s="36"/>
      <c r="H152" s="37"/>
    </row>
    <row r="153" spans="6:8" s="30" customFormat="1">
      <c r="F153" s="36"/>
      <c r="H153" s="37"/>
    </row>
    <row r="154" spans="6:8" s="30" customFormat="1">
      <c r="F154" s="36"/>
      <c r="H154" s="37"/>
    </row>
    <row r="155" spans="6:8" s="30" customFormat="1">
      <c r="F155" s="36"/>
      <c r="H155" s="37"/>
    </row>
    <row r="156" spans="6:8" s="30" customFormat="1">
      <c r="F156" s="36"/>
      <c r="H156" s="37"/>
    </row>
    <row r="157" spans="6:8" s="30" customFormat="1">
      <c r="F157" s="36"/>
      <c r="H157" s="37"/>
    </row>
    <row r="158" spans="6:8" s="30" customFormat="1">
      <c r="F158" s="36"/>
      <c r="H158" s="37"/>
    </row>
    <row r="159" spans="6:8" s="30" customFormat="1">
      <c r="F159" s="36"/>
      <c r="H159" s="37"/>
    </row>
    <row r="160" spans="6:8" s="30" customFormat="1">
      <c r="F160" s="36"/>
      <c r="H160" s="37"/>
    </row>
    <row r="161" spans="6:8" s="30" customFormat="1">
      <c r="F161" s="36"/>
      <c r="H161" s="37"/>
    </row>
    <row r="162" spans="6:8" s="30" customFormat="1">
      <c r="F162" s="36"/>
      <c r="H162" s="37"/>
    </row>
    <row r="163" spans="6:8" s="30" customFormat="1">
      <c r="F163" s="36"/>
      <c r="H163" s="37"/>
    </row>
    <row r="164" spans="6:8" s="30" customFormat="1">
      <c r="F164" s="36"/>
      <c r="H164" s="37"/>
    </row>
    <row r="165" spans="6:8" s="30" customFormat="1">
      <c r="F165" s="36"/>
      <c r="H165" s="37"/>
    </row>
    <row r="166" spans="6:8" s="30" customFormat="1">
      <c r="F166" s="36"/>
      <c r="H166" s="37"/>
    </row>
    <row r="167" spans="6:8" s="30" customFormat="1">
      <c r="F167" s="36"/>
      <c r="H167" s="37"/>
    </row>
    <row r="168" spans="6:8" s="30" customFormat="1">
      <c r="F168" s="36"/>
      <c r="H168" s="37"/>
    </row>
    <row r="169" spans="6:8" s="30" customFormat="1">
      <c r="F169" s="36"/>
      <c r="H169" s="37"/>
    </row>
    <row r="170" spans="6:8" s="30" customFormat="1">
      <c r="F170" s="36"/>
      <c r="H170" s="37"/>
    </row>
    <row r="171" spans="6:8" s="30" customFormat="1">
      <c r="F171" s="36"/>
      <c r="H171" s="37"/>
    </row>
    <row r="172" spans="6:8" s="30" customFormat="1">
      <c r="F172" s="36"/>
      <c r="H172" s="37"/>
    </row>
    <row r="173" spans="6:8" s="30" customFormat="1">
      <c r="F173" s="36"/>
      <c r="H173" s="37"/>
    </row>
    <row r="174" spans="6:8" s="30" customFormat="1">
      <c r="F174" s="36"/>
      <c r="H174" s="37"/>
    </row>
    <row r="175" spans="6:8" s="30" customFormat="1">
      <c r="F175" s="36"/>
      <c r="H175" s="37"/>
    </row>
    <row r="176" spans="6:8" s="30" customFormat="1">
      <c r="F176" s="36"/>
      <c r="H176" s="37"/>
    </row>
    <row r="177" spans="6:8" s="30" customFormat="1">
      <c r="F177" s="36"/>
      <c r="H177" s="37"/>
    </row>
    <row r="178" spans="6:8" s="30" customFormat="1">
      <c r="F178" s="36"/>
      <c r="H178" s="37"/>
    </row>
    <row r="179" spans="6:8" s="30" customFormat="1">
      <c r="F179" s="36"/>
      <c r="H179" s="37"/>
    </row>
    <row r="180" spans="6:8" s="30" customFormat="1">
      <c r="F180" s="36"/>
      <c r="H180" s="37"/>
    </row>
    <row r="181" spans="6:8" s="30" customFormat="1">
      <c r="F181" s="36"/>
      <c r="H181" s="37"/>
    </row>
    <row r="182" spans="6:8" s="30" customFormat="1">
      <c r="F182" s="36"/>
      <c r="H182" s="37"/>
    </row>
    <row r="183" spans="6:8" s="30" customFormat="1">
      <c r="F183" s="36"/>
      <c r="H183" s="37"/>
    </row>
    <row r="184" spans="6:8" s="30" customFormat="1">
      <c r="F184" s="36"/>
      <c r="H184" s="37"/>
    </row>
    <row r="185" spans="6:8" s="30" customFormat="1">
      <c r="F185" s="36"/>
      <c r="H185" s="37"/>
    </row>
    <row r="186" spans="6:8" s="30" customFormat="1">
      <c r="F186" s="36"/>
      <c r="H186" s="37"/>
    </row>
    <row r="187" spans="6:8" s="30" customFormat="1">
      <c r="F187" s="36"/>
      <c r="H187" s="37"/>
    </row>
    <row r="188" spans="6:8" s="30" customFormat="1">
      <c r="F188" s="36"/>
      <c r="H188" s="37"/>
    </row>
    <row r="189" spans="6:8" s="30" customFormat="1">
      <c r="F189" s="36"/>
      <c r="H189" s="37"/>
    </row>
    <row r="190" spans="6:8" s="30" customFormat="1">
      <c r="F190" s="36"/>
      <c r="H190" s="37"/>
    </row>
    <row r="191" spans="6:8" s="30" customFormat="1">
      <c r="F191" s="36"/>
      <c r="H191" s="37"/>
    </row>
    <row r="192" spans="6:8" s="30" customFormat="1">
      <c r="F192" s="36"/>
      <c r="H192" s="37"/>
    </row>
    <row r="193" spans="6:8" s="30" customFormat="1">
      <c r="F193" s="36"/>
      <c r="H193" s="37"/>
    </row>
    <row r="194" spans="6:8" s="30" customFormat="1">
      <c r="F194" s="36"/>
      <c r="H194" s="37"/>
    </row>
    <row r="195" spans="6:8" s="30" customFormat="1">
      <c r="F195" s="36"/>
      <c r="H195" s="37"/>
    </row>
    <row r="196" spans="6:8" s="30" customFormat="1">
      <c r="F196" s="36"/>
      <c r="H196" s="37"/>
    </row>
    <row r="197" spans="6:8" s="30" customFormat="1">
      <c r="F197" s="36"/>
      <c r="H197" s="37"/>
    </row>
    <row r="198" spans="6:8" s="30" customFormat="1">
      <c r="F198" s="36"/>
      <c r="H198" s="37"/>
    </row>
    <row r="199" spans="6:8" s="30" customFormat="1">
      <c r="F199" s="36"/>
      <c r="H199" s="37"/>
    </row>
    <row r="200" spans="6:8" s="30" customFormat="1">
      <c r="F200" s="36"/>
      <c r="H200" s="37"/>
    </row>
    <row r="201" spans="6:8" s="30" customFormat="1">
      <c r="F201" s="36"/>
      <c r="H201" s="37"/>
    </row>
    <row r="202" spans="6:8" s="30" customFormat="1">
      <c r="F202" s="36"/>
      <c r="H202" s="37"/>
    </row>
    <row r="203" spans="6:8" s="30" customFormat="1">
      <c r="F203" s="36"/>
      <c r="H203" s="37"/>
    </row>
    <row r="204" spans="6:8" s="30" customFormat="1">
      <c r="F204" s="36"/>
      <c r="H204" s="37"/>
    </row>
    <row r="205" spans="6:8" s="30" customFormat="1">
      <c r="F205" s="36"/>
      <c r="H205" s="37"/>
    </row>
    <row r="206" spans="6:8" s="30" customFormat="1">
      <c r="F206" s="36"/>
      <c r="H206" s="37"/>
    </row>
    <row r="207" spans="6:8" s="30" customFormat="1">
      <c r="F207" s="36"/>
      <c r="H207" s="37"/>
    </row>
    <row r="208" spans="6:8" s="30" customFormat="1">
      <c r="F208" s="36"/>
      <c r="H208" s="37"/>
    </row>
    <row r="209" spans="6:8" s="30" customFormat="1">
      <c r="F209" s="36"/>
      <c r="H209" s="37"/>
    </row>
    <row r="210" spans="6:8" s="30" customFormat="1">
      <c r="F210" s="36"/>
      <c r="H210" s="37"/>
    </row>
    <row r="211" spans="6:8" s="30" customFormat="1">
      <c r="F211" s="36"/>
      <c r="H211" s="37"/>
    </row>
    <row r="212" spans="6:8" s="30" customFormat="1">
      <c r="F212" s="36"/>
      <c r="H212" s="37"/>
    </row>
    <row r="213" spans="6:8" s="30" customFormat="1">
      <c r="F213" s="36"/>
      <c r="H213" s="37"/>
    </row>
    <row r="214" spans="6:8" s="30" customFormat="1">
      <c r="F214" s="36"/>
      <c r="H214" s="37"/>
    </row>
    <row r="215" spans="6:8" s="30" customFormat="1">
      <c r="F215" s="36"/>
      <c r="H215" s="37"/>
    </row>
    <row r="216" spans="6:8" s="30" customFormat="1">
      <c r="F216" s="36"/>
      <c r="H216" s="37"/>
    </row>
    <row r="217" spans="6:8" s="30" customFormat="1">
      <c r="F217" s="36"/>
      <c r="H217" s="37"/>
    </row>
    <row r="218" spans="6:8" s="30" customFormat="1">
      <c r="F218" s="36"/>
      <c r="H218" s="37"/>
    </row>
    <row r="219" spans="6:8" s="30" customFormat="1">
      <c r="F219" s="36"/>
      <c r="H219" s="37"/>
    </row>
    <row r="220" spans="6:8" s="30" customFormat="1">
      <c r="F220" s="36"/>
      <c r="H220" s="37"/>
    </row>
    <row r="221" spans="6:8" s="30" customFormat="1">
      <c r="F221" s="36"/>
      <c r="H221" s="37"/>
    </row>
    <row r="222" spans="6:8" s="30" customFormat="1">
      <c r="F222" s="36"/>
      <c r="H222" s="37"/>
    </row>
    <row r="223" spans="6:8" s="30" customFormat="1">
      <c r="F223" s="36"/>
      <c r="H223" s="37"/>
    </row>
    <row r="224" spans="6:8" s="30" customFormat="1">
      <c r="F224" s="36"/>
      <c r="H224" s="37"/>
    </row>
    <row r="225" spans="6:8" s="30" customFormat="1">
      <c r="F225" s="36"/>
      <c r="H225" s="37"/>
    </row>
    <row r="226" spans="6:8" s="30" customFormat="1">
      <c r="F226" s="36"/>
      <c r="H226" s="37"/>
    </row>
    <row r="227" spans="6:8" s="30" customFormat="1">
      <c r="F227" s="36"/>
      <c r="H227" s="37"/>
    </row>
    <row r="228" spans="6:8" s="30" customFormat="1">
      <c r="F228" s="36"/>
      <c r="H228" s="37"/>
    </row>
    <row r="229" spans="6:8" s="30" customFormat="1">
      <c r="F229" s="36"/>
      <c r="H229" s="37"/>
    </row>
    <row r="230" spans="6:8" s="30" customFormat="1">
      <c r="F230" s="36"/>
      <c r="H230" s="37"/>
    </row>
    <row r="231" spans="6:8" s="30" customFormat="1">
      <c r="F231" s="36"/>
      <c r="H231" s="37"/>
    </row>
    <row r="232" spans="6:8" s="30" customFormat="1">
      <c r="F232" s="36"/>
      <c r="H232" s="37"/>
    </row>
    <row r="233" spans="6:8" s="30" customFormat="1">
      <c r="F233" s="36"/>
      <c r="H233" s="37"/>
    </row>
    <row r="234" spans="6:8" s="30" customFormat="1">
      <c r="F234" s="36"/>
      <c r="H234" s="37"/>
    </row>
    <row r="235" spans="6:8" s="30" customFormat="1">
      <c r="F235" s="36"/>
      <c r="H235" s="37"/>
    </row>
    <row r="236" spans="6:8" s="30" customFormat="1">
      <c r="F236" s="36"/>
      <c r="H236" s="37"/>
    </row>
    <row r="237" spans="6:8" s="30" customFormat="1">
      <c r="F237" s="36"/>
      <c r="H237" s="37"/>
    </row>
    <row r="238" spans="6:8" s="30" customFormat="1">
      <c r="F238" s="36"/>
      <c r="H238" s="37"/>
    </row>
    <row r="239" spans="6:8" s="30" customFormat="1">
      <c r="F239" s="36"/>
      <c r="H239" s="37"/>
    </row>
    <row r="240" spans="6:8" s="30" customFormat="1">
      <c r="F240" s="36"/>
      <c r="H240" s="37"/>
    </row>
    <row r="241" spans="6:8" s="30" customFormat="1">
      <c r="F241" s="36"/>
      <c r="H241" s="37"/>
    </row>
    <row r="242" spans="6:8" s="30" customFormat="1">
      <c r="F242" s="36"/>
      <c r="H242" s="37"/>
    </row>
    <row r="243" spans="6:8" s="30" customFormat="1">
      <c r="F243" s="36"/>
      <c r="H243" s="37"/>
    </row>
    <row r="244" spans="6:8" s="30" customFormat="1">
      <c r="F244" s="36"/>
      <c r="H244" s="37"/>
    </row>
    <row r="245" spans="6:8" s="30" customFormat="1">
      <c r="F245" s="36"/>
      <c r="H245" s="37"/>
    </row>
    <row r="246" spans="6:8" s="30" customFormat="1">
      <c r="F246" s="36"/>
      <c r="H246" s="37"/>
    </row>
    <row r="247" spans="6:8" s="30" customFormat="1">
      <c r="F247" s="36"/>
      <c r="H247" s="37"/>
    </row>
    <row r="248" spans="6:8" s="30" customFormat="1">
      <c r="F248" s="36"/>
      <c r="H248" s="37"/>
    </row>
    <row r="249" spans="6:8" s="30" customFormat="1">
      <c r="F249" s="36"/>
      <c r="H249" s="37"/>
    </row>
    <row r="250" spans="6:8" s="30" customFormat="1">
      <c r="F250" s="36"/>
      <c r="H250" s="37"/>
    </row>
    <row r="251" spans="6:8" s="30" customFormat="1">
      <c r="F251" s="36"/>
      <c r="H251" s="37"/>
    </row>
    <row r="252" spans="6:8" s="30" customFormat="1">
      <c r="F252" s="36"/>
      <c r="H252" s="37"/>
    </row>
    <row r="253" spans="6:8" s="30" customFormat="1">
      <c r="F253" s="36"/>
      <c r="H253" s="37"/>
    </row>
    <row r="254" spans="6:8" s="30" customFormat="1">
      <c r="F254" s="36"/>
      <c r="H254" s="37"/>
    </row>
    <row r="255" spans="6:8" s="30" customFormat="1">
      <c r="F255" s="36"/>
      <c r="H255" s="37"/>
    </row>
    <row r="256" spans="6:8" s="30" customFormat="1">
      <c r="F256" s="36"/>
      <c r="H256" s="37"/>
    </row>
    <row r="257" spans="6:8" s="30" customFormat="1">
      <c r="F257" s="36"/>
      <c r="H257" s="37"/>
    </row>
    <row r="258" spans="6:8" s="30" customFormat="1">
      <c r="F258" s="36"/>
      <c r="H258" s="37"/>
    </row>
    <row r="259" spans="6:8" s="30" customFormat="1">
      <c r="F259" s="36"/>
      <c r="H259" s="37"/>
    </row>
    <row r="260" spans="6:8" s="30" customFormat="1">
      <c r="F260" s="36"/>
      <c r="H260" s="37"/>
    </row>
    <row r="261" spans="6:8" s="30" customFormat="1">
      <c r="F261" s="36"/>
      <c r="H261" s="37"/>
    </row>
    <row r="262" spans="6:8" s="30" customFormat="1">
      <c r="F262" s="36"/>
      <c r="H262" s="37"/>
    </row>
    <row r="263" spans="6:8" s="30" customFormat="1">
      <c r="F263" s="36"/>
      <c r="H263" s="37"/>
    </row>
    <row r="264" spans="6:8" s="30" customFormat="1">
      <c r="F264" s="36"/>
      <c r="H264" s="37"/>
    </row>
    <row r="265" spans="6:8" s="30" customFormat="1">
      <c r="F265" s="36"/>
      <c r="H265" s="37"/>
    </row>
    <row r="266" spans="6:8" s="30" customFormat="1">
      <c r="F266" s="36"/>
      <c r="H266" s="37"/>
    </row>
    <row r="267" spans="6:8" s="30" customFormat="1">
      <c r="F267" s="36"/>
      <c r="H267" s="37"/>
    </row>
    <row r="268" spans="6:8" s="30" customFormat="1">
      <c r="F268" s="36"/>
      <c r="H268" s="37"/>
    </row>
    <row r="269" spans="6:8" s="30" customFormat="1">
      <c r="F269" s="36"/>
      <c r="H269" s="37"/>
    </row>
    <row r="270" spans="6:8" s="30" customFormat="1">
      <c r="F270" s="36"/>
      <c r="H270" s="37"/>
    </row>
    <row r="271" spans="6:8" s="30" customFormat="1">
      <c r="F271" s="36"/>
      <c r="H271" s="37"/>
    </row>
    <row r="272" spans="6:8" s="30" customFormat="1">
      <c r="F272" s="36"/>
      <c r="H272" s="37"/>
    </row>
    <row r="273" spans="6:8" s="30" customFormat="1">
      <c r="F273" s="36"/>
      <c r="H273" s="37"/>
    </row>
    <row r="274" spans="6:8" s="30" customFormat="1">
      <c r="F274" s="36"/>
      <c r="H274" s="37"/>
    </row>
    <row r="275" spans="6:8" s="30" customFormat="1">
      <c r="F275" s="36"/>
      <c r="H275" s="37"/>
    </row>
    <row r="276" spans="6:8" s="30" customFormat="1">
      <c r="F276" s="36"/>
      <c r="H276" s="37"/>
    </row>
    <row r="277" spans="6:8" s="30" customFormat="1">
      <c r="F277" s="36"/>
      <c r="H277" s="37"/>
    </row>
    <row r="278" spans="6:8" s="30" customFormat="1">
      <c r="F278" s="36"/>
      <c r="H278" s="37"/>
    </row>
    <row r="279" spans="6:8" s="30" customFormat="1">
      <c r="F279" s="36"/>
      <c r="H279" s="37"/>
    </row>
    <row r="280" spans="6:8" s="30" customFormat="1">
      <c r="F280" s="36"/>
      <c r="H280" s="37"/>
    </row>
    <row r="281" spans="6:8" s="30" customFormat="1">
      <c r="F281" s="36"/>
      <c r="H281" s="37"/>
    </row>
    <row r="282" spans="6:8" s="30" customFormat="1">
      <c r="F282" s="36"/>
      <c r="H282" s="37"/>
    </row>
    <row r="283" spans="6:8" s="30" customFormat="1">
      <c r="F283" s="36"/>
      <c r="H283" s="37"/>
    </row>
    <row r="284" spans="6:8" s="30" customFormat="1">
      <c r="F284" s="36"/>
      <c r="H284" s="37"/>
    </row>
    <row r="285" spans="6:8" s="30" customFormat="1">
      <c r="F285" s="36"/>
      <c r="H285" s="37"/>
    </row>
    <row r="286" spans="6:8" s="30" customFormat="1">
      <c r="F286" s="36"/>
      <c r="H286" s="37"/>
    </row>
    <row r="287" spans="6:8" s="30" customFormat="1">
      <c r="F287" s="36"/>
      <c r="H287" s="37"/>
    </row>
    <row r="288" spans="6:8" s="30" customFormat="1">
      <c r="F288" s="36"/>
      <c r="H288" s="37"/>
    </row>
    <row r="289" spans="6:8" s="30" customFormat="1">
      <c r="F289" s="36"/>
      <c r="H289" s="37"/>
    </row>
    <row r="290" spans="6:8" s="30" customFormat="1">
      <c r="F290" s="36"/>
      <c r="H290" s="37"/>
    </row>
    <row r="291" spans="6:8" s="30" customFormat="1">
      <c r="F291" s="36"/>
      <c r="H291" s="37"/>
    </row>
    <row r="292" spans="6:8" s="30" customFormat="1">
      <c r="F292" s="36"/>
      <c r="H292" s="37"/>
    </row>
    <row r="293" spans="6:8" s="30" customFormat="1">
      <c r="F293" s="36"/>
      <c r="H293" s="37"/>
    </row>
    <row r="294" spans="6:8" s="30" customFormat="1">
      <c r="F294" s="36"/>
      <c r="H294" s="37"/>
    </row>
    <row r="295" spans="6:8" s="30" customFormat="1">
      <c r="F295" s="36"/>
      <c r="H295" s="37"/>
    </row>
    <row r="296" spans="6:8" s="30" customFormat="1">
      <c r="F296" s="36"/>
      <c r="H296" s="37"/>
    </row>
    <row r="297" spans="6:8" s="30" customFormat="1">
      <c r="F297" s="36"/>
      <c r="H297" s="37"/>
    </row>
    <row r="298" spans="6:8" s="30" customFormat="1">
      <c r="F298" s="36"/>
      <c r="H298" s="37"/>
    </row>
    <row r="299" spans="6:8" s="30" customFormat="1">
      <c r="F299" s="36"/>
      <c r="H299" s="37"/>
    </row>
    <row r="300" spans="6:8" s="30" customFormat="1">
      <c r="F300" s="36"/>
      <c r="H300" s="37"/>
    </row>
    <row r="301" spans="6:8" s="30" customFormat="1">
      <c r="F301" s="36"/>
      <c r="H301" s="37"/>
    </row>
    <row r="302" spans="6:8" s="30" customFormat="1">
      <c r="F302" s="36"/>
      <c r="H302" s="37"/>
    </row>
    <row r="303" spans="6:8" s="30" customFormat="1">
      <c r="F303" s="36"/>
      <c r="H303" s="37"/>
    </row>
    <row r="304" spans="6:8" s="30" customFormat="1">
      <c r="F304" s="36"/>
      <c r="H304" s="37"/>
    </row>
    <row r="305" spans="6:8" s="30" customFormat="1">
      <c r="F305" s="36"/>
      <c r="H305" s="37"/>
    </row>
    <row r="306" spans="6:8" s="30" customFormat="1">
      <c r="F306" s="36"/>
      <c r="H306" s="37"/>
    </row>
    <row r="307" spans="6:8" s="30" customFormat="1">
      <c r="F307" s="36"/>
      <c r="H307" s="37"/>
    </row>
    <row r="308" spans="6:8" s="30" customFormat="1">
      <c r="F308" s="36"/>
      <c r="H308" s="37"/>
    </row>
    <row r="309" spans="6:8" s="30" customFormat="1">
      <c r="F309" s="36"/>
      <c r="H309" s="37"/>
    </row>
    <row r="310" spans="6:8" s="30" customFormat="1">
      <c r="F310" s="36"/>
      <c r="H310" s="37"/>
    </row>
    <row r="311" spans="6:8" s="30" customFormat="1">
      <c r="F311" s="36"/>
      <c r="H311" s="37"/>
    </row>
    <row r="312" spans="6:8" s="30" customFormat="1">
      <c r="F312" s="36"/>
      <c r="H312" s="37"/>
    </row>
    <row r="313" spans="6:8" s="30" customFormat="1">
      <c r="F313" s="36"/>
      <c r="H313" s="37"/>
    </row>
    <row r="314" spans="6:8" s="30" customFormat="1">
      <c r="F314" s="36"/>
      <c r="H314" s="37"/>
    </row>
    <row r="315" spans="6:8" s="30" customFormat="1">
      <c r="F315" s="36"/>
      <c r="H315" s="37"/>
    </row>
    <row r="316" spans="6:8" s="30" customFormat="1">
      <c r="F316" s="36"/>
      <c r="H316" s="37"/>
    </row>
    <row r="317" spans="6:8" s="30" customFormat="1">
      <c r="F317" s="36"/>
      <c r="H317" s="37"/>
    </row>
    <row r="318" spans="6:8" s="30" customFormat="1">
      <c r="F318" s="36"/>
      <c r="H318" s="37"/>
    </row>
    <row r="319" spans="6:8" s="30" customFormat="1">
      <c r="F319" s="36"/>
      <c r="H319" s="37"/>
    </row>
    <row r="320" spans="6:8" s="30" customFormat="1">
      <c r="F320" s="36"/>
      <c r="H320" s="37"/>
    </row>
    <row r="321" spans="6:8" s="30" customFormat="1">
      <c r="F321" s="36"/>
      <c r="H321" s="37"/>
    </row>
    <row r="322" spans="6:8" s="30" customFormat="1">
      <c r="F322" s="36"/>
      <c r="H322" s="37"/>
    </row>
    <row r="323" spans="6:8" s="30" customFormat="1">
      <c r="F323" s="36"/>
      <c r="H323" s="37"/>
    </row>
    <row r="324" spans="6:8" s="30" customFormat="1">
      <c r="F324" s="36"/>
      <c r="H324" s="37"/>
    </row>
    <row r="325" spans="6:8" s="30" customFormat="1">
      <c r="F325" s="36"/>
      <c r="H325" s="37"/>
    </row>
    <row r="326" spans="6:8" s="30" customFormat="1">
      <c r="F326" s="36"/>
      <c r="H326" s="37"/>
    </row>
    <row r="327" spans="6:8" s="30" customFormat="1">
      <c r="F327" s="36"/>
      <c r="H327" s="37"/>
    </row>
    <row r="328" spans="6:8" s="30" customFormat="1">
      <c r="F328" s="36"/>
      <c r="H328" s="37"/>
    </row>
    <row r="329" spans="6:8" s="30" customFormat="1">
      <c r="F329" s="36"/>
      <c r="H329" s="37"/>
    </row>
    <row r="330" spans="6:8" s="30" customFormat="1">
      <c r="F330" s="36"/>
      <c r="H330" s="37"/>
    </row>
    <row r="331" spans="6:8" s="30" customFormat="1">
      <c r="F331" s="36"/>
      <c r="H331" s="37"/>
    </row>
    <row r="332" spans="6:8" s="30" customFormat="1">
      <c r="F332" s="36"/>
      <c r="H332" s="37"/>
    </row>
    <row r="333" spans="6:8" s="30" customFormat="1">
      <c r="F333" s="36"/>
      <c r="H333" s="37"/>
    </row>
    <row r="334" spans="6:8" s="30" customFormat="1">
      <c r="F334" s="36"/>
      <c r="H334" s="37"/>
    </row>
    <row r="335" spans="6:8" s="30" customFormat="1">
      <c r="F335" s="36"/>
      <c r="H335" s="37"/>
    </row>
    <row r="336" spans="6:8" s="30" customFormat="1">
      <c r="F336" s="36"/>
      <c r="H336" s="37"/>
    </row>
    <row r="337" spans="6:8" s="30" customFormat="1">
      <c r="F337" s="36"/>
      <c r="H337" s="37"/>
    </row>
    <row r="338" spans="6:8" s="30" customFormat="1">
      <c r="F338" s="36"/>
      <c r="H338" s="37"/>
    </row>
    <row r="339" spans="6:8" s="30" customFormat="1">
      <c r="F339" s="36"/>
      <c r="H339" s="37"/>
    </row>
    <row r="340" spans="6:8" s="30" customFormat="1">
      <c r="F340" s="36"/>
      <c r="H340" s="37"/>
    </row>
    <row r="341" spans="6:8" s="30" customFormat="1">
      <c r="F341" s="36"/>
      <c r="H341" s="37"/>
    </row>
    <row r="342" spans="6:8" s="30" customFormat="1">
      <c r="F342" s="36"/>
      <c r="H342" s="37"/>
    </row>
    <row r="343" spans="6:8" s="30" customFormat="1">
      <c r="F343" s="36"/>
      <c r="H343" s="37"/>
    </row>
    <row r="344" spans="6:8" s="30" customFormat="1">
      <c r="F344" s="36"/>
      <c r="H344" s="37"/>
    </row>
    <row r="345" spans="6:8" s="30" customFormat="1">
      <c r="F345" s="36"/>
      <c r="H345" s="37"/>
    </row>
    <row r="346" spans="6:8" s="30" customFormat="1">
      <c r="F346" s="36"/>
      <c r="H346" s="37"/>
    </row>
    <row r="347" spans="6:8" s="30" customFormat="1">
      <c r="F347" s="36"/>
      <c r="H347" s="37"/>
    </row>
    <row r="348" spans="6:8" s="30" customFormat="1">
      <c r="F348" s="36"/>
      <c r="H348" s="37"/>
    </row>
    <row r="349" spans="6:8" s="30" customFormat="1">
      <c r="F349" s="36"/>
      <c r="H349" s="37"/>
    </row>
    <row r="350" spans="6:8" s="30" customFormat="1">
      <c r="F350" s="36"/>
      <c r="H350" s="37"/>
    </row>
    <row r="351" spans="6:8" s="30" customFormat="1">
      <c r="F351" s="36"/>
      <c r="H351" s="37"/>
    </row>
    <row r="352" spans="6:8" s="30" customFormat="1">
      <c r="F352" s="36"/>
      <c r="H352" s="37"/>
    </row>
    <row r="353" spans="6:8" s="30" customFormat="1">
      <c r="F353" s="36"/>
      <c r="H353" s="37"/>
    </row>
    <row r="354" spans="6:8" s="30" customFormat="1">
      <c r="F354" s="36"/>
      <c r="H354" s="37"/>
    </row>
    <row r="355" spans="6:8" s="30" customFormat="1">
      <c r="F355" s="36"/>
      <c r="H355" s="37"/>
    </row>
    <row r="356" spans="6:8" s="30" customFormat="1">
      <c r="F356" s="36"/>
      <c r="H356" s="37"/>
    </row>
    <row r="357" spans="6:8" s="30" customFormat="1">
      <c r="F357" s="36"/>
      <c r="H357" s="37"/>
    </row>
    <row r="358" spans="6:8" s="30" customFormat="1">
      <c r="F358" s="36"/>
      <c r="H358" s="37"/>
    </row>
    <row r="359" spans="6:8" s="30" customFormat="1">
      <c r="F359" s="36"/>
      <c r="H359" s="37"/>
    </row>
    <row r="360" spans="6:8" s="30" customFormat="1">
      <c r="F360" s="36"/>
      <c r="H360" s="37"/>
    </row>
    <row r="361" spans="6:8" s="30" customFormat="1">
      <c r="F361" s="36"/>
      <c r="H361" s="37"/>
    </row>
    <row r="362" spans="6:8" s="30" customFormat="1">
      <c r="F362" s="36"/>
      <c r="H362" s="37"/>
    </row>
    <row r="363" spans="6:8" s="30" customFormat="1">
      <c r="F363" s="36"/>
      <c r="H363" s="37"/>
    </row>
    <row r="364" spans="6:8" s="30" customFormat="1">
      <c r="F364" s="36"/>
      <c r="H364" s="37"/>
    </row>
    <row r="365" spans="6:8" s="30" customFormat="1">
      <c r="F365" s="36"/>
      <c r="H365" s="37"/>
    </row>
    <row r="366" spans="6:8" s="30" customFormat="1">
      <c r="F366" s="36"/>
      <c r="H366" s="37"/>
    </row>
    <row r="367" spans="6:8" s="30" customFormat="1">
      <c r="F367" s="36"/>
      <c r="H367" s="37"/>
    </row>
    <row r="368" spans="6:8" s="30" customFormat="1">
      <c r="F368" s="36"/>
      <c r="H368" s="37"/>
    </row>
    <row r="369" spans="6:8" s="30" customFormat="1">
      <c r="F369" s="36"/>
      <c r="H369" s="37"/>
    </row>
    <row r="370" spans="6:8" s="30" customFormat="1">
      <c r="F370" s="36"/>
      <c r="H370" s="37"/>
    </row>
    <row r="371" spans="6:8" s="30" customFormat="1">
      <c r="F371" s="36"/>
      <c r="H371" s="37"/>
    </row>
    <row r="372" spans="6:8" s="30" customFormat="1">
      <c r="F372" s="36"/>
      <c r="H372" s="37"/>
    </row>
    <row r="373" spans="6:8" s="30" customFormat="1">
      <c r="F373" s="36"/>
      <c r="H373" s="37"/>
    </row>
    <row r="374" spans="6:8" s="30" customFormat="1">
      <c r="F374" s="36"/>
      <c r="H374" s="37"/>
    </row>
    <row r="375" spans="6:8" s="30" customFormat="1">
      <c r="F375" s="36"/>
      <c r="H375" s="37"/>
    </row>
    <row r="376" spans="6:8" s="30" customFormat="1">
      <c r="F376" s="36"/>
      <c r="H376" s="37"/>
    </row>
    <row r="377" spans="6:8" s="30" customFormat="1">
      <c r="F377" s="36"/>
      <c r="H377" s="37"/>
    </row>
    <row r="378" spans="6:8" s="30" customFormat="1">
      <c r="F378" s="36"/>
      <c r="H378" s="37"/>
    </row>
    <row r="379" spans="6:8" s="30" customFormat="1">
      <c r="F379" s="36"/>
      <c r="H379" s="37"/>
    </row>
    <row r="380" spans="6:8" s="30" customFormat="1">
      <c r="F380" s="36"/>
      <c r="H380" s="37"/>
    </row>
    <row r="381" spans="6:8" s="30" customFormat="1">
      <c r="F381" s="36"/>
      <c r="H381" s="37"/>
    </row>
    <row r="382" spans="6:8" s="30" customFormat="1">
      <c r="F382" s="36"/>
      <c r="H382" s="37"/>
    </row>
    <row r="383" spans="6:8" s="30" customFormat="1">
      <c r="F383" s="36"/>
      <c r="H383" s="37"/>
    </row>
    <row r="384" spans="6:8" s="30" customFormat="1">
      <c r="F384" s="36"/>
      <c r="H384" s="37"/>
    </row>
    <row r="385" spans="6:8" s="30" customFormat="1">
      <c r="F385" s="36"/>
      <c r="H385" s="37"/>
    </row>
    <row r="386" spans="6:8" s="30" customFormat="1">
      <c r="F386" s="36"/>
      <c r="H386" s="37"/>
    </row>
    <row r="387" spans="6:8" s="30" customFormat="1">
      <c r="F387" s="36"/>
      <c r="H387" s="37"/>
    </row>
    <row r="388" spans="6:8" s="30" customFormat="1">
      <c r="F388" s="36"/>
      <c r="H388" s="37"/>
    </row>
    <row r="389" spans="6:8" s="30" customFormat="1">
      <c r="F389" s="36"/>
      <c r="H389" s="37"/>
    </row>
    <row r="390" spans="6:8" s="30" customFormat="1">
      <c r="F390" s="36"/>
      <c r="H390" s="37"/>
    </row>
    <row r="391" spans="6:8" s="30" customFormat="1">
      <c r="F391" s="36"/>
      <c r="H391" s="37"/>
    </row>
    <row r="392" spans="6:8" s="30" customFormat="1">
      <c r="F392" s="36"/>
      <c r="H392" s="37"/>
    </row>
    <row r="393" spans="6:8" s="30" customFormat="1">
      <c r="F393" s="36"/>
      <c r="H393" s="37"/>
    </row>
    <row r="394" spans="6:8" s="30" customFormat="1">
      <c r="F394" s="36"/>
      <c r="H394" s="37"/>
    </row>
    <row r="395" spans="6:8" s="30" customFormat="1">
      <c r="F395" s="36"/>
      <c r="H395" s="37"/>
    </row>
    <row r="396" spans="6:8" s="30" customFormat="1">
      <c r="F396" s="36"/>
      <c r="H396" s="37"/>
    </row>
    <row r="397" spans="6:8" s="30" customFormat="1">
      <c r="F397" s="36"/>
      <c r="H397" s="37"/>
    </row>
    <row r="398" spans="6:8" s="30" customFormat="1">
      <c r="F398" s="36"/>
      <c r="H398" s="37"/>
    </row>
    <row r="399" spans="6:8" s="30" customFormat="1">
      <c r="F399" s="36"/>
      <c r="H399" s="37"/>
    </row>
    <row r="400" spans="6:8" s="30" customFormat="1">
      <c r="F400" s="36"/>
      <c r="H400" s="37"/>
    </row>
    <row r="401" spans="6:8" s="30" customFormat="1">
      <c r="F401" s="36"/>
      <c r="H401" s="37"/>
    </row>
    <row r="402" spans="6:8" s="30" customFormat="1">
      <c r="F402" s="36"/>
      <c r="H402" s="37"/>
    </row>
    <row r="403" spans="6:8" s="30" customFormat="1">
      <c r="F403" s="36"/>
      <c r="H403" s="37"/>
    </row>
    <row r="404" spans="6:8" s="30" customFormat="1">
      <c r="F404" s="36"/>
      <c r="H404" s="37"/>
    </row>
    <row r="405" spans="6:8" s="30" customFormat="1">
      <c r="F405" s="36"/>
      <c r="H405" s="37"/>
    </row>
    <row r="406" spans="6:8" s="30" customFormat="1">
      <c r="F406" s="36"/>
      <c r="H406" s="37"/>
    </row>
    <row r="407" spans="6:8" s="30" customFormat="1">
      <c r="F407" s="36"/>
      <c r="H407" s="37"/>
    </row>
    <row r="408" spans="6:8" s="30" customFormat="1">
      <c r="F408" s="36"/>
      <c r="H408" s="37"/>
    </row>
    <row r="409" spans="6:8" s="30" customFormat="1">
      <c r="F409" s="36"/>
      <c r="H409" s="37"/>
    </row>
    <row r="410" spans="6:8" s="30" customFormat="1">
      <c r="F410" s="36"/>
      <c r="H410" s="37"/>
    </row>
    <row r="411" spans="6:8" s="30" customFormat="1">
      <c r="F411" s="36"/>
      <c r="H411" s="37"/>
    </row>
    <row r="412" spans="6:8" s="30" customFormat="1">
      <c r="F412" s="36"/>
      <c r="H412" s="37"/>
    </row>
    <row r="413" spans="6:8" s="30" customFormat="1">
      <c r="F413" s="36"/>
      <c r="H413" s="37"/>
    </row>
    <row r="414" spans="6:8" s="30" customFormat="1">
      <c r="F414" s="36"/>
      <c r="H414" s="37"/>
    </row>
    <row r="415" spans="6:8" s="30" customFormat="1">
      <c r="F415" s="36"/>
      <c r="H415" s="37"/>
    </row>
    <row r="416" spans="6:8" s="30" customFormat="1">
      <c r="F416" s="36"/>
      <c r="H416" s="37"/>
    </row>
    <row r="417" spans="6:8" s="30" customFormat="1">
      <c r="F417" s="36"/>
      <c r="H417" s="37"/>
    </row>
    <row r="418" spans="6:8" s="30" customFormat="1">
      <c r="F418" s="36"/>
      <c r="H418" s="37"/>
    </row>
    <row r="419" spans="6:8" s="30" customFormat="1">
      <c r="F419" s="36"/>
      <c r="H419" s="37"/>
    </row>
    <row r="420" spans="6:8" s="30" customFormat="1">
      <c r="F420" s="36"/>
      <c r="H420" s="37"/>
    </row>
    <row r="421" spans="6:8" s="30" customFormat="1">
      <c r="F421" s="36"/>
      <c r="H421" s="37"/>
    </row>
    <row r="422" spans="6:8" s="30" customFormat="1">
      <c r="F422" s="36"/>
      <c r="H422" s="37"/>
    </row>
    <row r="423" spans="6:8" s="30" customFormat="1">
      <c r="F423" s="36"/>
      <c r="H423" s="37"/>
    </row>
    <row r="424" spans="6:8" s="30" customFormat="1">
      <c r="F424" s="36"/>
      <c r="H424" s="37"/>
    </row>
    <row r="425" spans="6:8" s="30" customFormat="1">
      <c r="F425" s="36"/>
      <c r="H425" s="37"/>
    </row>
    <row r="426" spans="6:8" s="30" customFormat="1">
      <c r="F426" s="36"/>
      <c r="H426" s="37"/>
    </row>
    <row r="427" spans="6:8" s="30" customFormat="1">
      <c r="F427" s="36"/>
      <c r="H427" s="37"/>
    </row>
    <row r="428" spans="6:8" s="30" customFormat="1">
      <c r="F428" s="36"/>
      <c r="H428" s="37"/>
    </row>
    <row r="429" spans="6:8" s="30" customFormat="1">
      <c r="F429" s="36"/>
      <c r="H429" s="37"/>
    </row>
    <row r="430" spans="6:8" s="30" customFormat="1">
      <c r="F430" s="36"/>
      <c r="H430" s="37"/>
    </row>
    <row r="431" spans="6:8" s="30" customFormat="1">
      <c r="F431" s="36"/>
      <c r="H431" s="37"/>
    </row>
    <row r="432" spans="6:8" s="30" customFormat="1">
      <c r="F432" s="36"/>
      <c r="H432" s="37"/>
    </row>
    <row r="433" spans="6:8" s="30" customFormat="1">
      <c r="F433" s="36"/>
      <c r="H433" s="37"/>
    </row>
    <row r="434" spans="6:8" s="30" customFormat="1">
      <c r="F434" s="36"/>
      <c r="H434" s="37"/>
    </row>
    <row r="435" spans="6:8" s="30" customFormat="1">
      <c r="F435" s="36"/>
      <c r="H435" s="37"/>
    </row>
    <row r="436" spans="6:8" s="30" customFormat="1">
      <c r="F436" s="36"/>
      <c r="H436" s="37"/>
    </row>
    <row r="437" spans="6:8" s="30" customFormat="1">
      <c r="F437" s="36"/>
      <c r="H437" s="37"/>
    </row>
    <row r="438" spans="6:8" s="30" customFormat="1">
      <c r="F438" s="36"/>
      <c r="H438" s="37"/>
    </row>
    <row r="439" spans="6:8" s="30" customFormat="1">
      <c r="F439" s="36"/>
      <c r="H439" s="37"/>
    </row>
    <row r="440" spans="6:8" s="30" customFormat="1">
      <c r="F440" s="36"/>
      <c r="H440" s="37"/>
    </row>
    <row r="441" spans="6:8" s="30" customFormat="1">
      <c r="F441" s="36"/>
      <c r="H441" s="37"/>
    </row>
    <row r="442" spans="6:8" s="30" customFormat="1">
      <c r="F442" s="36"/>
      <c r="H442" s="37"/>
    </row>
    <row r="443" spans="6:8" s="30" customFormat="1">
      <c r="F443" s="36"/>
      <c r="H443" s="37"/>
    </row>
    <row r="444" spans="6:8" s="30" customFormat="1">
      <c r="F444" s="36"/>
      <c r="H444" s="37"/>
    </row>
    <row r="445" spans="6:8" s="30" customFormat="1">
      <c r="F445" s="36"/>
      <c r="H445" s="37"/>
    </row>
    <row r="446" spans="6:8" s="30" customFormat="1">
      <c r="F446" s="36"/>
      <c r="H446" s="37"/>
    </row>
    <row r="447" spans="6:8" s="30" customFormat="1">
      <c r="F447" s="36"/>
      <c r="H447" s="37"/>
    </row>
    <row r="448" spans="6:8" s="30" customFormat="1">
      <c r="F448" s="36"/>
      <c r="H448" s="37"/>
    </row>
    <row r="449" spans="6:8" s="30" customFormat="1">
      <c r="F449" s="36"/>
      <c r="H449" s="37"/>
    </row>
    <row r="450" spans="6:8" s="30" customFormat="1">
      <c r="F450" s="36"/>
      <c r="H450" s="37"/>
    </row>
    <row r="451" spans="6:8" s="30" customFormat="1">
      <c r="F451" s="36"/>
      <c r="H451" s="37"/>
    </row>
    <row r="452" spans="6:8" s="30" customFormat="1">
      <c r="F452" s="36"/>
      <c r="H452" s="37"/>
    </row>
    <row r="453" spans="6:8" s="30" customFormat="1">
      <c r="F453" s="36"/>
      <c r="H453" s="37"/>
    </row>
    <row r="454" spans="6:8" s="30" customFormat="1">
      <c r="F454" s="36"/>
      <c r="H454" s="37"/>
    </row>
    <row r="455" spans="6:8" s="30" customFormat="1">
      <c r="F455" s="36"/>
      <c r="H455" s="37"/>
    </row>
    <row r="456" spans="6:8" s="30" customFormat="1">
      <c r="F456" s="36"/>
      <c r="H456" s="37"/>
    </row>
    <row r="457" spans="6:8" s="30" customFormat="1">
      <c r="F457" s="36"/>
      <c r="H457" s="37"/>
    </row>
    <row r="458" spans="6:8" s="30" customFormat="1">
      <c r="F458" s="36"/>
      <c r="H458" s="37"/>
    </row>
    <row r="459" spans="6:8" s="30" customFormat="1">
      <c r="F459" s="36"/>
      <c r="H459" s="37"/>
    </row>
    <row r="460" spans="6:8" s="30" customFormat="1">
      <c r="F460" s="36"/>
      <c r="H460" s="37"/>
    </row>
    <row r="461" spans="6:8" s="30" customFormat="1">
      <c r="F461" s="36"/>
      <c r="H461" s="37"/>
    </row>
    <row r="462" spans="6:8" s="30" customFormat="1">
      <c r="F462" s="36"/>
      <c r="H462" s="37"/>
    </row>
    <row r="463" spans="6:8" s="30" customFormat="1">
      <c r="F463" s="36"/>
      <c r="H463" s="37"/>
    </row>
    <row r="464" spans="6:8" s="30" customFormat="1">
      <c r="F464" s="36"/>
      <c r="H464" s="37"/>
    </row>
    <row r="465" spans="6:8" s="30" customFormat="1">
      <c r="F465" s="36"/>
      <c r="H465" s="37"/>
    </row>
    <row r="466" spans="6:8" s="30" customFormat="1">
      <c r="F466" s="36"/>
      <c r="H466" s="37"/>
    </row>
    <row r="467" spans="6:8" s="30" customFormat="1">
      <c r="F467" s="36"/>
      <c r="H467" s="37"/>
    </row>
    <row r="468" spans="6:8" s="30" customFormat="1">
      <c r="F468" s="36"/>
      <c r="H468" s="37"/>
    </row>
    <row r="469" spans="6:8" s="30" customFormat="1">
      <c r="F469" s="36"/>
      <c r="H469" s="37"/>
    </row>
    <row r="470" spans="6:8" s="30" customFormat="1">
      <c r="F470" s="36"/>
      <c r="H470" s="37"/>
    </row>
    <row r="471" spans="6:8" s="30" customFormat="1">
      <c r="F471" s="36"/>
      <c r="H471" s="37"/>
    </row>
    <row r="472" spans="6:8" s="30" customFormat="1">
      <c r="F472" s="36"/>
      <c r="H472" s="37"/>
    </row>
    <row r="473" spans="6:8" s="30" customFormat="1">
      <c r="F473" s="36"/>
      <c r="H473" s="37"/>
    </row>
    <row r="474" spans="6:8" s="30" customFormat="1">
      <c r="F474" s="36"/>
      <c r="H474" s="37"/>
    </row>
    <row r="475" spans="6:8" s="30" customFormat="1">
      <c r="F475" s="36"/>
      <c r="H475" s="37"/>
    </row>
    <row r="476" spans="6:8" s="30" customFormat="1">
      <c r="F476" s="36"/>
      <c r="H476" s="37"/>
    </row>
    <row r="477" spans="6:8" s="30" customFormat="1">
      <c r="F477" s="36"/>
      <c r="H477" s="37"/>
    </row>
    <row r="478" spans="6:8" s="30" customFormat="1">
      <c r="F478" s="36"/>
      <c r="H478" s="37"/>
    </row>
    <row r="479" spans="6:8" s="30" customFormat="1">
      <c r="F479" s="36"/>
      <c r="H479" s="37"/>
    </row>
    <row r="480" spans="6:8" s="30" customFormat="1">
      <c r="F480" s="36"/>
      <c r="H480" s="37"/>
    </row>
    <row r="481" spans="6:8" s="30" customFormat="1">
      <c r="F481" s="36"/>
      <c r="H481" s="37"/>
    </row>
    <row r="482" spans="6:8" s="30" customFormat="1">
      <c r="F482" s="36"/>
      <c r="H482" s="37"/>
    </row>
    <row r="483" spans="6:8" s="30" customFormat="1">
      <c r="F483" s="36"/>
      <c r="H483" s="37"/>
    </row>
    <row r="484" spans="6:8" s="30" customFormat="1">
      <c r="F484" s="36"/>
      <c r="H484" s="37"/>
    </row>
    <row r="485" spans="6:8" s="30" customFormat="1">
      <c r="F485" s="36"/>
      <c r="H485" s="37"/>
    </row>
    <row r="486" spans="6:8" s="30" customFormat="1">
      <c r="F486" s="36"/>
      <c r="H486" s="37"/>
    </row>
    <row r="487" spans="6:8" s="30" customFormat="1">
      <c r="F487" s="36"/>
      <c r="H487" s="37"/>
    </row>
    <row r="488" spans="6:8" s="30" customFormat="1">
      <c r="F488" s="36"/>
      <c r="H488" s="37"/>
    </row>
    <row r="489" spans="6:8" s="30" customFormat="1">
      <c r="F489" s="36"/>
      <c r="H489" s="37"/>
    </row>
    <row r="490" spans="6:8" s="30" customFormat="1">
      <c r="F490" s="36"/>
      <c r="H490" s="37"/>
    </row>
    <row r="491" spans="6:8" s="30" customFormat="1">
      <c r="F491" s="36"/>
      <c r="H491" s="37"/>
    </row>
    <row r="492" spans="6:8" s="30" customFormat="1">
      <c r="F492" s="36"/>
      <c r="H492" s="37"/>
    </row>
    <row r="493" spans="6:8" s="30" customFormat="1">
      <c r="F493" s="36"/>
      <c r="H493" s="37"/>
    </row>
    <row r="494" spans="6:8" s="30" customFormat="1">
      <c r="F494" s="36"/>
      <c r="H494" s="37"/>
    </row>
    <row r="495" spans="6:8" s="30" customFormat="1">
      <c r="F495" s="36"/>
      <c r="H495" s="37"/>
    </row>
    <row r="496" spans="6:8" s="30" customFormat="1">
      <c r="F496" s="36"/>
      <c r="H496" s="37"/>
    </row>
    <row r="497" spans="6:8" s="30" customFormat="1">
      <c r="F497" s="36"/>
      <c r="H497" s="37"/>
    </row>
    <row r="498" spans="6:8" s="30" customFormat="1">
      <c r="F498" s="36"/>
      <c r="H498" s="37"/>
    </row>
    <row r="499" spans="6:8" s="30" customFormat="1">
      <c r="F499" s="36"/>
      <c r="H499" s="37"/>
    </row>
    <row r="500" spans="6:8" s="30" customFormat="1">
      <c r="F500" s="36"/>
      <c r="H500" s="37"/>
    </row>
    <row r="501" spans="6:8" s="30" customFormat="1">
      <c r="F501" s="36"/>
      <c r="H501" s="37"/>
    </row>
    <row r="502" spans="6:8" s="30" customFormat="1">
      <c r="F502" s="36"/>
      <c r="H502" s="37"/>
    </row>
    <row r="503" spans="6:8" s="30" customFormat="1">
      <c r="F503" s="36"/>
      <c r="H503" s="37"/>
    </row>
    <row r="504" spans="6:8" s="30" customFormat="1">
      <c r="F504" s="36"/>
      <c r="H504" s="37"/>
    </row>
    <row r="505" spans="6:8" s="30" customFormat="1">
      <c r="F505" s="36"/>
      <c r="H505" s="37"/>
    </row>
    <row r="506" spans="6:8" s="30" customFormat="1">
      <c r="F506" s="36"/>
      <c r="H506" s="37"/>
    </row>
    <row r="507" spans="6:8" s="30" customFormat="1">
      <c r="F507" s="36"/>
      <c r="H507" s="37"/>
    </row>
    <row r="508" spans="6:8" s="30" customFormat="1">
      <c r="F508" s="36"/>
      <c r="H508" s="37"/>
    </row>
    <row r="509" spans="6:8" s="30" customFormat="1">
      <c r="F509" s="36"/>
      <c r="H509" s="37"/>
    </row>
    <row r="510" spans="6:8" s="30" customFormat="1">
      <c r="F510" s="36"/>
      <c r="H510" s="37"/>
    </row>
    <row r="511" spans="6:8" s="30" customFormat="1">
      <c r="F511" s="36"/>
      <c r="H511" s="37"/>
    </row>
    <row r="512" spans="6:8" s="30" customFormat="1">
      <c r="F512" s="36"/>
      <c r="H512" s="37"/>
    </row>
    <row r="513" spans="6:8" s="30" customFormat="1">
      <c r="F513" s="36"/>
      <c r="H513" s="37"/>
    </row>
    <row r="514" spans="6:8" s="30" customFormat="1">
      <c r="F514" s="36"/>
      <c r="H514" s="37"/>
    </row>
    <row r="515" spans="6:8" s="30" customFormat="1">
      <c r="F515" s="36"/>
      <c r="H515" s="37"/>
    </row>
    <row r="516" spans="6:8" s="30" customFormat="1">
      <c r="F516" s="36"/>
      <c r="H516" s="37"/>
    </row>
    <row r="517" spans="6:8" s="30" customFormat="1">
      <c r="F517" s="36"/>
      <c r="H517" s="37"/>
    </row>
    <row r="518" spans="6:8" s="30" customFormat="1">
      <c r="F518" s="36"/>
      <c r="H518" s="37"/>
    </row>
    <row r="519" spans="6:8" s="30" customFormat="1">
      <c r="F519" s="36"/>
      <c r="H519" s="37"/>
    </row>
    <row r="520" spans="6:8" s="30" customFormat="1">
      <c r="F520" s="36"/>
      <c r="H520" s="37"/>
    </row>
    <row r="521" spans="6:8" s="30" customFormat="1">
      <c r="F521" s="36"/>
      <c r="H521" s="37"/>
    </row>
    <row r="522" spans="6:8" s="30" customFormat="1">
      <c r="F522" s="36"/>
      <c r="H522" s="37"/>
    </row>
    <row r="523" spans="6:8" s="30" customFormat="1">
      <c r="F523" s="36"/>
      <c r="H523" s="37"/>
    </row>
    <row r="524" spans="6:8" s="30" customFormat="1">
      <c r="F524" s="36"/>
      <c r="H524" s="37"/>
    </row>
    <row r="525" spans="6:8" s="30" customFormat="1">
      <c r="F525" s="36"/>
      <c r="H525" s="37"/>
    </row>
    <row r="526" spans="6:8" s="30" customFormat="1">
      <c r="F526" s="36"/>
      <c r="H526" s="37"/>
    </row>
    <row r="527" spans="6:8" s="30" customFormat="1">
      <c r="F527" s="36"/>
      <c r="H527" s="37"/>
    </row>
    <row r="528" spans="6:8" s="30" customFormat="1">
      <c r="F528" s="36"/>
      <c r="H528" s="37"/>
    </row>
    <row r="529" spans="6:8" s="30" customFormat="1">
      <c r="F529" s="36"/>
      <c r="H529" s="37"/>
    </row>
    <row r="530" spans="6:8" s="30" customFormat="1">
      <c r="F530" s="36"/>
      <c r="H530" s="37"/>
    </row>
    <row r="531" spans="6:8" s="30" customFormat="1">
      <c r="F531" s="36"/>
      <c r="H531" s="37"/>
    </row>
    <row r="532" spans="6:8" s="30" customFormat="1">
      <c r="F532" s="36"/>
      <c r="H532" s="37"/>
    </row>
    <row r="533" spans="6:8" s="30" customFormat="1">
      <c r="F533" s="36"/>
      <c r="H533" s="37"/>
    </row>
    <row r="534" spans="6:8" s="30" customFormat="1">
      <c r="F534" s="36"/>
      <c r="H534" s="37"/>
    </row>
    <row r="535" spans="6:8" s="30" customFormat="1">
      <c r="F535" s="36"/>
      <c r="H535" s="37"/>
    </row>
    <row r="536" spans="6:8" s="30" customFormat="1">
      <c r="F536" s="36"/>
      <c r="H536" s="37"/>
    </row>
    <row r="537" spans="6:8" s="30" customFormat="1">
      <c r="F537" s="36"/>
      <c r="H537" s="37"/>
    </row>
    <row r="538" spans="6:8" s="30" customFormat="1">
      <c r="F538" s="36"/>
      <c r="H538" s="37"/>
    </row>
    <row r="539" spans="6:8" s="30" customFormat="1">
      <c r="F539" s="36"/>
      <c r="H539" s="37"/>
    </row>
    <row r="540" spans="6:8" s="30" customFormat="1">
      <c r="F540" s="36"/>
      <c r="H540" s="37"/>
    </row>
    <row r="541" spans="6:8" s="30" customFormat="1">
      <c r="F541" s="36"/>
      <c r="H541" s="37"/>
    </row>
    <row r="542" spans="6:8" s="30" customFormat="1">
      <c r="F542" s="36"/>
      <c r="H542" s="37"/>
    </row>
    <row r="543" spans="6:8" s="30" customFormat="1">
      <c r="F543" s="36"/>
      <c r="H543" s="37"/>
    </row>
    <row r="544" spans="6:8" s="30" customFormat="1">
      <c r="F544" s="36"/>
      <c r="H544" s="37"/>
    </row>
    <row r="545" spans="6:8" s="30" customFormat="1">
      <c r="F545" s="36"/>
      <c r="H545" s="37"/>
    </row>
    <row r="546" spans="6:8" s="30" customFormat="1">
      <c r="F546" s="36"/>
      <c r="H546" s="37"/>
    </row>
    <row r="547" spans="6:8" s="30" customFormat="1">
      <c r="F547" s="36"/>
      <c r="H547" s="37"/>
    </row>
    <row r="548" spans="6:8" s="30" customFormat="1">
      <c r="F548" s="36"/>
      <c r="H548" s="37"/>
    </row>
    <row r="549" spans="6:8" s="30" customFormat="1">
      <c r="F549" s="36"/>
      <c r="H549" s="37"/>
    </row>
    <row r="550" spans="6:8" s="30" customFormat="1">
      <c r="F550" s="36"/>
      <c r="H550" s="37"/>
    </row>
    <row r="551" spans="6:8" s="30" customFormat="1">
      <c r="F551" s="36"/>
      <c r="H551" s="37"/>
    </row>
    <row r="552" spans="6:8" s="30" customFormat="1">
      <c r="F552" s="36"/>
      <c r="H552" s="37"/>
    </row>
    <row r="553" spans="6:8" s="30" customFormat="1">
      <c r="F553" s="36"/>
      <c r="H553" s="37"/>
    </row>
    <row r="554" spans="6:8" s="30" customFormat="1">
      <c r="F554" s="36"/>
      <c r="H554" s="37"/>
    </row>
    <row r="555" spans="6:8" s="30" customFormat="1">
      <c r="F555" s="36"/>
      <c r="H555" s="37"/>
    </row>
    <row r="556" spans="6:8" s="30" customFormat="1">
      <c r="F556" s="36"/>
      <c r="H556" s="37"/>
    </row>
    <row r="557" spans="6:8" s="30" customFormat="1">
      <c r="F557" s="36"/>
      <c r="H557" s="37"/>
    </row>
    <row r="558" spans="6:8" s="30" customFormat="1">
      <c r="F558" s="36"/>
      <c r="H558" s="37"/>
    </row>
    <row r="559" spans="6:8" s="30" customFormat="1">
      <c r="F559" s="36"/>
      <c r="H559" s="37"/>
    </row>
    <row r="560" spans="6:8" s="30" customFormat="1">
      <c r="F560" s="36"/>
      <c r="H560" s="37"/>
    </row>
    <row r="561" spans="6:8" s="30" customFormat="1">
      <c r="F561" s="36"/>
      <c r="H561" s="37"/>
    </row>
    <row r="562" spans="6:8" s="30" customFormat="1">
      <c r="F562" s="36"/>
      <c r="H562" s="37"/>
    </row>
    <row r="563" spans="6:8" s="30" customFormat="1">
      <c r="F563" s="36"/>
      <c r="H563" s="37"/>
    </row>
    <row r="564" spans="6:8" s="30" customFormat="1">
      <c r="F564" s="36"/>
      <c r="H564" s="37"/>
    </row>
    <row r="565" spans="6:8" s="30" customFormat="1">
      <c r="F565" s="36"/>
      <c r="H565" s="37"/>
    </row>
    <row r="566" spans="6:8" s="30" customFormat="1">
      <c r="F566" s="36"/>
      <c r="H566" s="37"/>
    </row>
    <row r="567" spans="6:8" s="30" customFormat="1">
      <c r="F567" s="36"/>
      <c r="H567" s="37"/>
    </row>
    <row r="568" spans="6:8" s="30" customFormat="1">
      <c r="F568" s="36"/>
      <c r="H568" s="37"/>
    </row>
    <row r="569" spans="6:8" s="30" customFormat="1">
      <c r="F569" s="36"/>
      <c r="H569" s="37"/>
    </row>
    <row r="570" spans="6:8" s="30" customFormat="1">
      <c r="F570" s="36"/>
      <c r="H570" s="37"/>
    </row>
    <row r="571" spans="6:8" s="30" customFormat="1">
      <c r="F571" s="36"/>
      <c r="H571" s="37"/>
    </row>
    <row r="572" spans="6:8" s="30" customFormat="1">
      <c r="F572" s="36"/>
      <c r="H572" s="37"/>
    </row>
    <row r="573" spans="6:8" s="30" customFormat="1">
      <c r="F573" s="36"/>
      <c r="H573" s="37"/>
    </row>
    <row r="574" spans="6:8" s="30" customFormat="1">
      <c r="F574" s="36"/>
      <c r="H574" s="37"/>
    </row>
    <row r="575" spans="6:8" s="30" customFormat="1">
      <c r="F575" s="36"/>
      <c r="H575" s="37"/>
    </row>
    <row r="576" spans="6:8" s="30" customFormat="1">
      <c r="F576" s="36"/>
      <c r="H576" s="37"/>
    </row>
    <row r="577" spans="6:8" s="30" customFormat="1">
      <c r="F577" s="36"/>
      <c r="H577" s="37"/>
    </row>
    <row r="578" spans="6:8" s="30" customFormat="1">
      <c r="F578" s="36"/>
      <c r="H578" s="37"/>
    </row>
    <row r="579" spans="6:8" s="30" customFormat="1">
      <c r="F579" s="36"/>
      <c r="H579" s="37"/>
    </row>
    <row r="580" spans="6:8" s="30" customFormat="1">
      <c r="F580" s="36"/>
      <c r="H580" s="37"/>
    </row>
    <row r="581" spans="6:8" s="30" customFormat="1">
      <c r="F581" s="36"/>
      <c r="H581" s="37"/>
    </row>
    <row r="582" spans="6:8" s="30" customFormat="1">
      <c r="F582" s="36"/>
      <c r="H582" s="37"/>
    </row>
    <row r="583" spans="6:8" s="30" customFormat="1">
      <c r="F583" s="36"/>
      <c r="H583" s="37"/>
    </row>
    <row r="584" spans="6:8" s="30" customFormat="1">
      <c r="F584" s="36"/>
      <c r="H584" s="37"/>
    </row>
    <row r="585" spans="6:8" s="30" customFormat="1">
      <c r="F585" s="36"/>
      <c r="H585" s="37"/>
    </row>
    <row r="586" spans="6:8" s="30" customFormat="1">
      <c r="F586" s="36"/>
      <c r="H586" s="37"/>
    </row>
    <row r="587" spans="6:8" s="30" customFormat="1">
      <c r="F587" s="36"/>
      <c r="H587" s="37"/>
    </row>
    <row r="588" spans="6:8" s="30" customFormat="1">
      <c r="F588" s="36"/>
      <c r="H588" s="37"/>
    </row>
    <row r="589" spans="6:8" s="30" customFormat="1">
      <c r="F589" s="36"/>
      <c r="H589" s="37"/>
    </row>
    <row r="590" spans="6:8" s="30" customFormat="1">
      <c r="F590" s="36"/>
      <c r="H590" s="37"/>
    </row>
    <row r="591" spans="6:8" s="30" customFormat="1">
      <c r="F591" s="36"/>
      <c r="H591" s="37"/>
    </row>
    <row r="592" spans="6:8" s="30" customFormat="1">
      <c r="F592" s="36"/>
      <c r="H592" s="37"/>
    </row>
    <row r="593" spans="6:8" s="30" customFormat="1">
      <c r="F593" s="36"/>
      <c r="H593" s="37"/>
    </row>
    <row r="594" spans="6:8" s="30" customFormat="1">
      <c r="F594" s="36"/>
      <c r="H594" s="37"/>
    </row>
    <row r="595" spans="6:8" s="30" customFormat="1">
      <c r="F595" s="36"/>
      <c r="H595" s="37"/>
    </row>
    <row r="596" spans="6:8" s="30" customFormat="1">
      <c r="F596" s="36"/>
      <c r="H596" s="37"/>
    </row>
    <row r="597" spans="6:8" s="30" customFormat="1">
      <c r="F597" s="36"/>
      <c r="H597" s="37"/>
    </row>
    <row r="598" spans="6:8" s="30" customFormat="1">
      <c r="F598" s="36"/>
      <c r="H598" s="37"/>
    </row>
    <row r="599" spans="6:8" s="30" customFormat="1">
      <c r="F599" s="36"/>
      <c r="H599" s="37"/>
    </row>
    <row r="600" spans="6:8" s="30" customFormat="1">
      <c r="F600" s="36"/>
      <c r="H600" s="37"/>
    </row>
    <row r="601" spans="6:8" s="30" customFormat="1">
      <c r="F601" s="36"/>
      <c r="H601" s="37"/>
    </row>
    <row r="602" spans="6:8" s="30" customFormat="1">
      <c r="F602" s="36"/>
      <c r="H602" s="37"/>
    </row>
    <row r="603" spans="6:8" s="30" customFormat="1">
      <c r="F603" s="36"/>
      <c r="H603" s="37"/>
    </row>
    <row r="604" spans="6:8" s="30" customFormat="1">
      <c r="F604" s="36"/>
      <c r="H604" s="37"/>
    </row>
    <row r="605" spans="6:8" s="30" customFormat="1">
      <c r="F605" s="36"/>
      <c r="H605" s="37"/>
    </row>
    <row r="606" spans="6:8" s="30" customFormat="1">
      <c r="F606" s="36"/>
      <c r="H606" s="37"/>
    </row>
    <row r="607" spans="6:8" s="30" customFormat="1">
      <c r="F607" s="36"/>
      <c r="H607" s="37"/>
    </row>
    <row r="608" spans="6:8" s="30" customFormat="1">
      <c r="F608" s="36"/>
      <c r="H608" s="37"/>
    </row>
    <row r="609" spans="6:8" s="30" customFormat="1">
      <c r="F609" s="36"/>
      <c r="H609" s="37"/>
    </row>
    <row r="610" spans="6:8" s="30" customFormat="1">
      <c r="F610" s="36"/>
      <c r="H610" s="37"/>
    </row>
    <row r="611" spans="6:8" s="30" customFormat="1">
      <c r="F611" s="36"/>
      <c r="H611" s="37"/>
    </row>
    <row r="612" spans="6:8" s="30" customFormat="1">
      <c r="F612" s="36"/>
      <c r="H612" s="37"/>
    </row>
    <row r="613" spans="6:8" s="30" customFormat="1">
      <c r="F613" s="36"/>
      <c r="H613" s="37"/>
    </row>
    <row r="614" spans="6:8" s="30" customFormat="1">
      <c r="F614" s="36"/>
      <c r="H614" s="37"/>
    </row>
    <row r="615" spans="6:8" s="30" customFormat="1">
      <c r="F615" s="36"/>
      <c r="H615" s="37"/>
    </row>
    <row r="616" spans="6:8" s="30" customFormat="1">
      <c r="F616" s="36"/>
      <c r="H616" s="37"/>
    </row>
    <row r="617" spans="6:8" s="30" customFormat="1">
      <c r="F617" s="36"/>
      <c r="H617" s="37"/>
    </row>
    <row r="618" spans="6:8" s="30" customFormat="1">
      <c r="F618" s="36"/>
      <c r="H618" s="37"/>
    </row>
    <row r="619" spans="6:8" s="30" customFormat="1">
      <c r="F619" s="36"/>
      <c r="H619" s="37"/>
    </row>
    <row r="620" spans="6:8" s="30" customFormat="1">
      <c r="F620" s="36"/>
      <c r="H620" s="37"/>
    </row>
    <row r="621" spans="6:8" s="30" customFormat="1">
      <c r="F621" s="36"/>
      <c r="H621" s="37"/>
    </row>
    <row r="622" spans="6:8" s="30" customFormat="1">
      <c r="F622" s="36"/>
      <c r="H622" s="37"/>
    </row>
    <row r="623" spans="6:8" s="30" customFormat="1">
      <c r="F623" s="36"/>
      <c r="H623" s="37"/>
    </row>
    <row r="624" spans="6:8" s="30" customFormat="1">
      <c r="F624" s="36"/>
      <c r="H624" s="37"/>
    </row>
    <row r="625" spans="6:8" s="30" customFormat="1">
      <c r="F625" s="36"/>
      <c r="H625" s="37"/>
    </row>
    <row r="626" spans="6:8" s="30" customFormat="1">
      <c r="F626" s="36"/>
      <c r="H626" s="37"/>
    </row>
    <row r="627" spans="6:8" s="30" customFormat="1">
      <c r="F627" s="36"/>
      <c r="H627" s="37"/>
    </row>
    <row r="628" spans="6:8" s="30" customFormat="1">
      <c r="F628" s="36"/>
      <c r="H628" s="37"/>
    </row>
    <row r="629" spans="6:8" s="30" customFormat="1">
      <c r="F629" s="36"/>
      <c r="H629" s="37"/>
    </row>
    <row r="630" spans="6:8" s="30" customFormat="1">
      <c r="F630" s="36"/>
      <c r="H630" s="37"/>
    </row>
    <row r="631" spans="6:8" s="30" customFormat="1">
      <c r="F631" s="36"/>
      <c r="H631" s="37"/>
    </row>
    <row r="632" spans="6:8" s="30" customFormat="1">
      <c r="F632" s="36"/>
      <c r="H632" s="37"/>
    </row>
    <row r="633" spans="6:8" s="30" customFormat="1">
      <c r="F633" s="36"/>
      <c r="H633" s="37"/>
    </row>
    <row r="634" spans="6:8" s="30" customFormat="1">
      <c r="F634" s="36"/>
      <c r="H634" s="37"/>
    </row>
    <row r="635" spans="6:8" s="30" customFormat="1">
      <c r="F635" s="36"/>
      <c r="H635" s="37"/>
    </row>
    <row r="636" spans="6:8" s="30" customFormat="1">
      <c r="F636" s="36"/>
      <c r="H636" s="37"/>
    </row>
    <row r="637" spans="6:8" s="30" customFormat="1">
      <c r="F637" s="36"/>
      <c r="H637" s="37"/>
    </row>
    <row r="638" spans="6:8" s="30" customFormat="1">
      <c r="F638" s="36"/>
      <c r="H638" s="37"/>
    </row>
    <row r="639" spans="6:8" s="30" customFormat="1">
      <c r="F639" s="36"/>
      <c r="H639" s="37"/>
    </row>
    <row r="640" spans="6:8" s="30" customFormat="1">
      <c r="F640" s="36"/>
      <c r="H640" s="37"/>
    </row>
    <row r="641" spans="6:8" s="30" customFormat="1">
      <c r="F641" s="36"/>
      <c r="H641" s="37"/>
    </row>
    <row r="642" spans="6:8" s="30" customFormat="1">
      <c r="F642" s="36"/>
      <c r="H642" s="37"/>
    </row>
    <row r="643" spans="6:8" s="30" customFormat="1">
      <c r="F643" s="36"/>
      <c r="H643" s="37"/>
    </row>
    <row r="644" spans="6:8" s="30" customFormat="1">
      <c r="F644" s="36"/>
      <c r="H644" s="37"/>
    </row>
    <row r="645" spans="6:8" s="30" customFormat="1">
      <c r="F645" s="36"/>
      <c r="H645" s="37"/>
    </row>
    <row r="646" spans="6:8" s="30" customFormat="1">
      <c r="F646" s="36"/>
      <c r="H646" s="37"/>
    </row>
    <row r="647" spans="6:8" s="30" customFormat="1">
      <c r="F647" s="36"/>
      <c r="H647" s="37"/>
    </row>
    <row r="648" spans="6:8" s="30" customFormat="1">
      <c r="F648" s="36"/>
      <c r="H648" s="37"/>
    </row>
    <row r="649" spans="6:8" s="30" customFormat="1">
      <c r="F649" s="36"/>
      <c r="H649" s="37"/>
    </row>
    <row r="650" spans="6:8" s="30" customFormat="1">
      <c r="F650" s="36"/>
      <c r="H650" s="37"/>
    </row>
    <row r="651" spans="6:8" s="30" customFormat="1">
      <c r="F651" s="36"/>
      <c r="H651" s="37"/>
    </row>
    <row r="652" spans="6:8" s="30" customFormat="1">
      <c r="F652" s="36"/>
      <c r="H652" s="37"/>
    </row>
    <row r="653" spans="6:8" s="30" customFormat="1">
      <c r="F653" s="36"/>
      <c r="H653" s="37"/>
    </row>
    <row r="654" spans="6:8" s="30" customFormat="1">
      <c r="F654" s="36"/>
      <c r="H654" s="37"/>
    </row>
    <row r="655" spans="6:8" s="30" customFormat="1">
      <c r="F655" s="36"/>
      <c r="H655" s="37"/>
    </row>
    <row r="656" spans="6:8" s="30" customFormat="1">
      <c r="F656" s="36"/>
      <c r="H656" s="37"/>
    </row>
    <row r="657" spans="6:8" s="30" customFormat="1">
      <c r="F657" s="36"/>
      <c r="H657" s="37"/>
    </row>
    <row r="658" spans="6:8" s="30" customFormat="1">
      <c r="F658" s="36"/>
      <c r="H658" s="37"/>
    </row>
    <row r="659" spans="6:8" s="30" customFormat="1">
      <c r="F659" s="36"/>
      <c r="H659" s="37"/>
    </row>
    <row r="660" spans="6:8" s="30" customFormat="1">
      <c r="F660" s="36"/>
      <c r="H660" s="37"/>
    </row>
    <row r="661" spans="6:8" s="30" customFormat="1">
      <c r="F661" s="36"/>
      <c r="H661" s="37"/>
    </row>
    <row r="662" spans="6:8" s="30" customFormat="1">
      <c r="F662" s="36"/>
      <c r="H662" s="37"/>
    </row>
    <row r="663" spans="6:8" s="30" customFormat="1">
      <c r="F663" s="36"/>
      <c r="H663" s="37"/>
    </row>
    <row r="664" spans="6:8" s="30" customFormat="1">
      <c r="F664" s="36"/>
      <c r="H664" s="37"/>
    </row>
    <row r="665" spans="6:8" s="30" customFormat="1">
      <c r="F665" s="36"/>
      <c r="H665" s="37"/>
    </row>
    <row r="666" spans="6:8" s="30" customFormat="1">
      <c r="F666" s="36"/>
      <c r="H666" s="37"/>
    </row>
    <row r="667" spans="6:8" s="30" customFormat="1">
      <c r="F667" s="36"/>
      <c r="H667" s="37"/>
    </row>
    <row r="668" spans="6:8" s="30" customFormat="1">
      <c r="F668" s="36"/>
      <c r="H668" s="37"/>
    </row>
    <row r="669" spans="6:8" s="30" customFormat="1">
      <c r="F669" s="36"/>
      <c r="H669" s="37"/>
    </row>
    <row r="670" spans="6:8" s="30" customFormat="1">
      <c r="F670" s="36"/>
      <c r="H670" s="37"/>
    </row>
    <row r="671" spans="6:8" s="30" customFormat="1">
      <c r="F671" s="36"/>
      <c r="H671" s="37"/>
    </row>
    <row r="672" spans="6:8" s="30" customFormat="1">
      <c r="F672" s="36"/>
      <c r="H672" s="37"/>
    </row>
    <row r="673" spans="6:8" s="30" customFormat="1">
      <c r="F673" s="36"/>
      <c r="H673" s="37"/>
    </row>
    <row r="674" spans="6:8" s="30" customFormat="1">
      <c r="F674" s="36"/>
      <c r="H674" s="37"/>
    </row>
    <row r="675" spans="6:8" s="30" customFormat="1">
      <c r="F675" s="36"/>
      <c r="H675" s="37"/>
    </row>
    <row r="676" spans="6:8" s="30" customFormat="1">
      <c r="F676" s="36"/>
      <c r="H676" s="37"/>
    </row>
    <row r="677" spans="6:8" s="30" customFormat="1">
      <c r="F677" s="36"/>
      <c r="H677" s="37"/>
    </row>
    <row r="678" spans="6:8" s="30" customFormat="1">
      <c r="F678" s="36"/>
      <c r="H678" s="37"/>
    </row>
    <row r="679" spans="6:8" s="30" customFormat="1">
      <c r="F679" s="36"/>
      <c r="H679" s="37"/>
    </row>
    <row r="680" spans="6:8" s="30" customFormat="1">
      <c r="F680" s="36"/>
      <c r="H680" s="37"/>
    </row>
    <row r="681" spans="6:8" s="30" customFormat="1">
      <c r="F681" s="36"/>
      <c r="H681" s="37"/>
    </row>
    <row r="682" spans="6:8" s="30" customFormat="1">
      <c r="F682" s="36"/>
      <c r="H682" s="37"/>
    </row>
    <row r="683" spans="6:8" s="30" customFormat="1">
      <c r="F683" s="36"/>
      <c r="H683" s="37"/>
    </row>
    <row r="684" spans="6:8" s="30" customFormat="1">
      <c r="F684" s="36"/>
      <c r="H684" s="37"/>
    </row>
    <row r="685" spans="6:8" s="30" customFormat="1">
      <c r="F685" s="36"/>
      <c r="H685" s="37"/>
    </row>
    <row r="686" spans="6:8" s="30" customFormat="1">
      <c r="F686" s="36"/>
      <c r="H686" s="37"/>
    </row>
    <row r="687" spans="6:8" s="30" customFormat="1">
      <c r="F687" s="36"/>
      <c r="H687" s="37"/>
    </row>
    <row r="688" spans="6:8" s="30" customFormat="1">
      <c r="F688" s="36"/>
      <c r="H688" s="37"/>
    </row>
    <row r="689" spans="6:8" s="30" customFormat="1">
      <c r="F689" s="36"/>
      <c r="H689" s="37"/>
    </row>
    <row r="690" spans="6:8" s="30" customFormat="1">
      <c r="F690" s="36"/>
      <c r="H690" s="37"/>
    </row>
    <row r="691" spans="6:8" s="30" customFormat="1">
      <c r="F691" s="36"/>
      <c r="H691" s="37"/>
    </row>
    <row r="692" spans="6:8" s="30" customFormat="1">
      <c r="F692" s="36"/>
      <c r="H692" s="37"/>
    </row>
    <row r="693" spans="6:8" s="30" customFormat="1">
      <c r="F693" s="36"/>
      <c r="H693" s="37"/>
    </row>
    <row r="694" spans="6:8" s="30" customFormat="1">
      <c r="F694" s="36"/>
      <c r="H694" s="37"/>
    </row>
    <row r="695" spans="6:8" s="30" customFormat="1">
      <c r="F695" s="36"/>
      <c r="H695" s="37"/>
    </row>
    <row r="696" spans="6:8" s="30" customFormat="1">
      <c r="F696" s="36"/>
      <c r="H696" s="37"/>
    </row>
    <row r="697" spans="6:8" s="30" customFormat="1">
      <c r="F697" s="36"/>
      <c r="H697" s="37"/>
    </row>
    <row r="698" spans="6:8" s="30" customFormat="1">
      <c r="F698" s="36"/>
      <c r="H698" s="37"/>
    </row>
    <row r="699" spans="6:8" s="30" customFormat="1">
      <c r="F699" s="36"/>
      <c r="H699" s="37"/>
    </row>
    <row r="700" spans="6:8" s="30" customFormat="1">
      <c r="F700" s="36"/>
      <c r="H700" s="37"/>
    </row>
    <row r="701" spans="6:8" s="30" customFormat="1">
      <c r="F701" s="36"/>
      <c r="H701" s="37"/>
    </row>
    <row r="702" spans="6:8" s="30" customFormat="1">
      <c r="F702" s="36"/>
      <c r="H702" s="37"/>
    </row>
    <row r="703" spans="6:8" s="30" customFormat="1">
      <c r="F703" s="36"/>
      <c r="H703" s="37"/>
    </row>
    <row r="704" spans="6:8" s="30" customFormat="1">
      <c r="F704" s="36"/>
      <c r="H704" s="37"/>
    </row>
    <row r="705" spans="6:8" s="30" customFormat="1">
      <c r="F705" s="36"/>
      <c r="H705" s="37"/>
    </row>
    <row r="706" spans="6:8" s="30" customFormat="1">
      <c r="F706" s="36"/>
      <c r="H706" s="37"/>
    </row>
    <row r="707" spans="6:8" s="30" customFormat="1">
      <c r="F707" s="36"/>
      <c r="H707" s="37"/>
    </row>
    <row r="708" spans="6:8" s="30" customFormat="1">
      <c r="F708" s="36"/>
      <c r="H708" s="37"/>
    </row>
    <row r="709" spans="6:8" s="30" customFormat="1">
      <c r="F709" s="36"/>
      <c r="H709" s="37"/>
    </row>
    <row r="710" spans="6:8" s="30" customFormat="1">
      <c r="F710" s="36"/>
      <c r="H710" s="37"/>
    </row>
    <row r="711" spans="6:8" s="30" customFormat="1">
      <c r="F711" s="36"/>
      <c r="H711" s="37"/>
    </row>
    <row r="712" spans="6:8" s="30" customFormat="1">
      <c r="F712" s="36"/>
      <c r="H712" s="37"/>
    </row>
    <row r="713" spans="6:8" s="30" customFormat="1">
      <c r="F713" s="36"/>
      <c r="H713" s="37"/>
    </row>
    <row r="714" spans="6:8" s="30" customFormat="1">
      <c r="F714" s="36"/>
      <c r="H714" s="37"/>
    </row>
    <row r="715" spans="6:8" s="30" customFormat="1">
      <c r="F715" s="36"/>
      <c r="H715" s="37"/>
    </row>
    <row r="716" spans="6:8" s="30" customFormat="1">
      <c r="F716" s="36"/>
      <c r="H716" s="37"/>
    </row>
    <row r="717" spans="6:8" s="30" customFormat="1">
      <c r="F717" s="36"/>
      <c r="H717" s="37"/>
    </row>
    <row r="718" spans="6:8" s="30" customFormat="1">
      <c r="F718" s="36"/>
      <c r="H718" s="37"/>
    </row>
    <row r="719" spans="6:8" s="30" customFormat="1">
      <c r="F719" s="36"/>
      <c r="H719" s="37"/>
    </row>
    <row r="720" spans="6:8" s="30" customFormat="1">
      <c r="F720" s="36"/>
      <c r="H720" s="37"/>
    </row>
    <row r="721" spans="6:8" s="30" customFormat="1">
      <c r="F721" s="36"/>
      <c r="H721" s="37"/>
    </row>
    <row r="722" spans="6:8" s="30" customFormat="1">
      <c r="F722" s="36"/>
      <c r="H722" s="37"/>
    </row>
    <row r="723" spans="6:8" s="30" customFormat="1">
      <c r="F723" s="36"/>
      <c r="H723" s="37"/>
    </row>
    <row r="724" spans="6:8" s="30" customFormat="1">
      <c r="F724" s="36"/>
      <c r="H724" s="37"/>
    </row>
    <row r="725" spans="6:8" s="30" customFormat="1">
      <c r="F725" s="36"/>
      <c r="H725" s="37"/>
    </row>
    <row r="726" spans="6:8" s="30" customFormat="1">
      <c r="F726" s="36"/>
      <c r="H726" s="37"/>
    </row>
    <row r="727" spans="6:8" s="30" customFormat="1">
      <c r="F727" s="36"/>
      <c r="H727" s="37"/>
    </row>
    <row r="728" spans="6:8" s="30" customFormat="1">
      <c r="F728" s="36"/>
      <c r="H728" s="37"/>
    </row>
    <row r="729" spans="6:8" s="30" customFormat="1">
      <c r="F729" s="36"/>
      <c r="H729" s="37"/>
    </row>
    <row r="730" spans="6:8" s="30" customFormat="1">
      <c r="F730" s="36"/>
      <c r="H730" s="37"/>
    </row>
    <row r="731" spans="6:8" s="30" customFormat="1">
      <c r="F731" s="36"/>
      <c r="H731" s="37"/>
    </row>
    <row r="732" spans="6:8" s="30" customFormat="1">
      <c r="F732" s="36"/>
      <c r="H732" s="37"/>
    </row>
    <row r="733" spans="6:8" s="30" customFormat="1">
      <c r="F733" s="36"/>
      <c r="H733" s="37"/>
    </row>
  </sheetData>
  <mergeCells count="2">
    <mergeCell ref="B1:H1"/>
    <mergeCell ref="B2:H2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C562"/>
  <sheetViews>
    <sheetView zoomScaleNormal="100" workbookViewId="0">
      <selection activeCell="B27" sqref="B27"/>
    </sheetView>
  </sheetViews>
  <sheetFormatPr defaultRowHeight="12.75"/>
  <cols>
    <col min="1" max="1" width="3.42578125" style="30" bestFit="1" customWidth="1"/>
    <col min="2" max="2" width="50.42578125" bestFit="1" customWidth="1"/>
    <col min="3" max="3" width="16.85546875" bestFit="1" customWidth="1"/>
    <col min="4" max="4" width="33.5703125" bestFit="1" customWidth="1"/>
    <col min="5" max="5" width="16.85546875" bestFit="1" customWidth="1"/>
    <col min="6" max="6" width="16.85546875" style="3" bestFit="1" customWidth="1"/>
    <col min="7" max="7" width="25.140625" hidden="1" customWidth="1"/>
    <col min="8" max="8" width="16.85546875" style="4" bestFit="1" customWidth="1"/>
    <col min="9" max="9" width="25.140625" hidden="1" customWidth="1"/>
    <col min="10" max="107" width="9.140625" style="30"/>
  </cols>
  <sheetData>
    <row r="1" spans="1:9" ht="15.95" customHeight="1">
      <c r="A1" s="27"/>
      <c r="B1" s="165" t="s">
        <v>294</v>
      </c>
      <c r="C1" s="166"/>
      <c r="D1" s="166"/>
      <c r="E1" s="166"/>
      <c r="F1" s="166"/>
      <c r="G1" s="166"/>
      <c r="H1" s="167"/>
      <c r="I1" s="1"/>
    </row>
    <row r="2" spans="1:9" ht="12.95" customHeight="1" thickBot="1">
      <c r="A2" s="27"/>
      <c r="B2" s="174" t="s">
        <v>409</v>
      </c>
      <c r="C2" s="175"/>
      <c r="D2" s="175"/>
      <c r="E2" s="175"/>
      <c r="F2" s="175"/>
      <c r="G2" s="175"/>
      <c r="H2" s="176"/>
      <c r="I2" s="1"/>
    </row>
    <row r="3" spans="1:9" s="30" customFormat="1" ht="12.95" customHeight="1">
      <c r="A3" s="27"/>
      <c r="B3" s="95"/>
      <c r="C3" s="95"/>
      <c r="D3" s="95"/>
      <c r="E3" s="95"/>
      <c r="F3" s="95"/>
      <c r="G3" s="95"/>
      <c r="H3" s="95"/>
      <c r="I3" s="27"/>
    </row>
    <row r="4" spans="1:9" s="30" customFormat="1" ht="12.95" customHeight="1">
      <c r="A4" s="28"/>
      <c r="B4" s="32" t="s">
        <v>2</v>
      </c>
      <c r="C4" s="27"/>
      <c r="D4" s="27"/>
      <c r="E4" s="27"/>
      <c r="F4" s="33"/>
      <c r="G4" s="27"/>
      <c r="H4" s="34"/>
      <c r="I4" s="27"/>
    </row>
    <row r="5" spans="1:9" s="30" customFormat="1" ht="12.95" customHeight="1" thickBot="1">
      <c r="A5" s="28"/>
      <c r="B5" s="32"/>
      <c r="C5" s="27"/>
      <c r="D5" s="27"/>
      <c r="E5" s="27"/>
      <c r="F5" s="33"/>
      <c r="G5" s="27"/>
      <c r="H5" s="34"/>
      <c r="I5" s="27"/>
    </row>
    <row r="6" spans="1:9" ht="27.95" customHeight="1" thickBot="1">
      <c r="A6" s="27"/>
      <c r="B6" s="82" t="s">
        <v>3</v>
      </c>
      <c r="C6" s="83" t="s">
        <v>4</v>
      </c>
      <c r="D6" s="84" t="s">
        <v>198</v>
      </c>
      <c r="E6" s="84" t="s">
        <v>6</v>
      </c>
      <c r="F6" s="85" t="s">
        <v>7</v>
      </c>
      <c r="G6" s="84" t="s">
        <v>8</v>
      </c>
      <c r="H6" s="86" t="s">
        <v>9</v>
      </c>
      <c r="I6" s="38" t="s">
        <v>10</v>
      </c>
    </row>
    <row r="7" spans="1:9" ht="12.95" customHeight="1">
      <c r="A7" s="27"/>
      <c r="B7" s="141" t="s">
        <v>387</v>
      </c>
      <c r="C7" s="142"/>
      <c r="D7" s="143"/>
      <c r="E7" s="143"/>
      <c r="F7" s="144"/>
      <c r="G7" s="145"/>
      <c r="H7" s="146"/>
      <c r="I7" s="39" t="s">
        <v>1</v>
      </c>
    </row>
    <row r="8" spans="1:9" ht="12.95" customHeight="1">
      <c r="A8" s="27"/>
      <c r="B8" s="136" t="s">
        <v>388</v>
      </c>
      <c r="C8" s="131"/>
      <c r="D8" s="132"/>
      <c r="E8" s="137" t="s">
        <v>197</v>
      </c>
      <c r="F8" s="137" t="s">
        <v>197</v>
      </c>
      <c r="G8" s="137" t="s">
        <v>197</v>
      </c>
      <c r="H8" s="138" t="s">
        <v>197</v>
      </c>
      <c r="I8" s="39" t="s">
        <v>1</v>
      </c>
    </row>
    <row r="9" spans="1:9" ht="12.95" customHeight="1">
      <c r="A9" s="29"/>
      <c r="B9" s="136" t="s">
        <v>196</v>
      </c>
      <c r="C9" s="131"/>
      <c r="D9" s="132"/>
      <c r="E9" s="137" t="s">
        <v>197</v>
      </c>
      <c r="F9" s="137" t="s">
        <v>197</v>
      </c>
      <c r="G9" s="137" t="s">
        <v>197</v>
      </c>
      <c r="H9" s="138" t="s">
        <v>197</v>
      </c>
      <c r="I9" s="2">
        <v>0.98340000000000005</v>
      </c>
    </row>
    <row r="10" spans="1:9" ht="12.95" customHeight="1">
      <c r="A10" s="27"/>
      <c r="B10" s="136"/>
      <c r="C10" s="131"/>
      <c r="D10" s="132"/>
      <c r="E10" s="137"/>
      <c r="F10" s="137"/>
      <c r="G10" s="137"/>
      <c r="H10" s="138"/>
      <c r="I10" s="41">
        <v>0.98340000000000005</v>
      </c>
    </row>
    <row r="11" spans="1:9" ht="12.95" customHeight="1">
      <c r="A11" s="27"/>
      <c r="B11" s="130" t="s">
        <v>389</v>
      </c>
      <c r="C11" s="131"/>
      <c r="D11" s="132"/>
      <c r="E11" s="132"/>
      <c r="F11" s="133"/>
      <c r="G11" s="134"/>
      <c r="H11" s="139"/>
      <c r="I11" s="41">
        <v>0.98340000000000005</v>
      </c>
    </row>
    <row r="12" spans="1:9" ht="12.95" customHeight="1">
      <c r="A12" s="27"/>
      <c r="B12" s="140" t="s">
        <v>400</v>
      </c>
      <c r="C12" s="131"/>
      <c r="D12" s="132"/>
      <c r="E12" s="137" t="s">
        <v>197</v>
      </c>
      <c r="F12" s="137" t="s">
        <v>197</v>
      </c>
      <c r="G12" s="137" t="s">
        <v>197</v>
      </c>
      <c r="H12" s="138" t="s">
        <v>197</v>
      </c>
      <c r="I12" s="39" t="s">
        <v>1</v>
      </c>
    </row>
    <row r="13" spans="1:9" ht="12.95" customHeight="1">
      <c r="A13" s="29"/>
      <c r="B13" s="140" t="s">
        <v>391</v>
      </c>
      <c r="C13" s="131"/>
      <c r="D13" s="132"/>
      <c r="E13" s="137" t="s">
        <v>197</v>
      </c>
      <c r="F13" s="137" t="s">
        <v>197</v>
      </c>
      <c r="G13" s="137" t="s">
        <v>197</v>
      </c>
      <c r="H13" s="138" t="s">
        <v>197</v>
      </c>
      <c r="I13" s="2">
        <v>1.9800000000000002E-2</v>
      </c>
    </row>
    <row r="14" spans="1:9" ht="12.95" customHeight="1">
      <c r="A14" s="27"/>
      <c r="B14" s="140" t="s">
        <v>392</v>
      </c>
      <c r="C14" s="131"/>
      <c r="D14" s="132"/>
      <c r="E14" s="137" t="s">
        <v>197</v>
      </c>
      <c r="F14" s="137" t="s">
        <v>197</v>
      </c>
      <c r="G14" s="137" t="s">
        <v>197</v>
      </c>
      <c r="H14" s="138" t="s">
        <v>197</v>
      </c>
      <c r="I14" s="41">
        <v>1.9800000000000002E-2</v>
      </c>
    </row>
    <row r="15" spans="1:9" ht="12.95" customHeight="1">
      <c r="A15" s="27"/>
      <c r="B15" s="140"/>
      <c r="C15" s="131"/>
      <c r="D15" s="132"/>
      <c r="E15" s="137"/>
      <c r="F15" s="137"/>
      <c r="G15" s="137"/>
      <c r="H15" s="138"/>
      <c r="I15" s="41"/>
    </row>
    <row r="16" spans="1:9" ht="12.95" customHeight="1">
      <c r="A16" s="27"/>
      <c r="B16" s="122" t="s">
        <v>11</v>
      </c>
      <c r="C16" s="131"/>
      <c r="D16" s="132"/>
      <c r="E16" s="137"/>
      <c r="F16" s="137"/>
      <c r="G16" s="137"/>
      <c r="H16" s="138"/>
      <c r="I16" s="41"/>
    </row>
    <row r="17" spans="1:9" ht="12.95" customHeight="1">
      <c r="A17" s="27"/>
      <c r="B17" s="64" t="s">
        <v>37</v>
      </c>
      <c r="C17" s="16" t="s">
        <v>1</v>
      </c>
      <c r="D17" s="16" t="s">
        <v>1</v>
      </c>
      <c r="E17" s="16" t="s">
        <v>1</v>
      </c>
      <c r="F17" s="49" t="s">
        <v>1</v>
      </c>
      <c r="G17" s="50"/>
      <c r="H17" s="67" t="s">
        <v>1</v>
      </c>
      <c r="I17" s="41">
        <v>1.9800000000000002E-2</v>
      </c>
    </row>
    <row r="18" spans="1:9" ht="12.95" customHeight="1">
      <c r="A18" s="27"/>
      <c r="B18" s="68" t="s">
        <v>38</v>
      </c>
      <c r="C18" s="16" t="s">
        <v>1</v>
      </c>
      <c r="D18" s="16" t="s">
        <v>39</v>
      </c>
      <c r="E18" s="52"/>
      <c r="F18" s="53">
        <v>29.785150000000002</v>
      </c>
      <c r="G18" s="54">
        <v>29.79</v>
      </c>
      <c r="H18" s="69">
        <v>1.9801579481963757E-2</v>
      </c>
      <c r="I18" s="41">
        <v>-3.2000000000000002E-3</v>
      </c>
    </row>
    <row r="19" spans="1:9" ht="12.95" customHeight="1" thickBot="1">
      <c r="A19" s="27"/>
      <c r="B19" s="64" t="s">
        <v>31</v>
      </c>
      <c r="C19" s="16" t="s">
        <v>1</v>
      </c>
      <c r="D19" s="16" t="s">
        <v>1</v>
      </c>
      <c r="E19" s="16" t="s">
        <v>1</v>
      </c>
      <c r="F19" s="17">
        <v>29.785150000000002</v>
      </c>
      <c r="G19" s="56">
        <v>29.79</v>
      </c>
      <c r="H19" s="70">
        <v>1.9801579481963757E-2</v>
      </c>
      <c r="I19" s="44">
        <v>1</v>
      </c>
    </row>
    <row r="20" spans="1:9" s="30" customFormat="1" ht="12.95" customHeight="1">
      <c r="A20" s="27"/>
      <c r="B20" s="140"/>
      <c r="C20" s="131"/>
      <c r="D20" s="132"/>
      <c r="E20" s="137"/>
      <c r="F20" s="137"/>
      <c r="G20" s="137"/>
      <c r="H20" s="138"/>
      <c r="I20" s="27"/>
    </row>
    <row r="21" spans="1:9" s="30" customFormat="1" ht="12.95" customHeight="1">
      <c r="A21" s="27"/>
      <c r="B21" s="64" t="s">
        <v>295</v>
      </c>
      <c r="C21" s="16" t="s">
        <v>1</v>
      </c>
      <c r="D21" s="16" t="s">
        <v>1</v>
      </c>
      <c r="E21" s="16" t="s">
        <v>1</v>
      </c>
      <c r="F21" s="49" t="s">
        <v>1</v>
      </c>
      <c r="G21" s="50"/>
      <c r="H21" s="67" t="s">
        <v>1</v>
      </c>
      <c r="I21" s="27"/>
    </row>
    <row r="22" spans="1:9" s="30" customFormat="1" ht="12.95" customHeight="1">
      <c r="A22" s="27"/>
      <c r="B22" s="64" t="s">
        <v>296</v>
      </c>
      <c r="C22" s="16" t="s">
        <v>1</v>
      </c>
      <c r="D22" s="16" t="s">
        <v>1</v>
      </c>
      <c r="E22" s="16" t="s">
        <v>1</v>
      </c>
      <c r="F22" s="49" t="s">
        <v>1</v>
      </c>
      <c r="G22" s="50"/>
      <c r="H22" s="67" t="s">
        <v>1</v>
      </c>
      <c r="I22" s="27"/>
    </row>
    <row r="23" spans="1:9" s="30" customFormat="1" ht="12.95" customHeight="1">
      <c r="A23" s="27"/>
      <c r="B23" s="68" t="s">
        <v>297</v>
      </c>
      <c r="C23" s="16" t="s">
        <v>298</v>
      </c>
      <c r="D23" s="16" t="s">
        <v>1</v>
      </c>
      <c r="E23" s="52">
        <v>243284.92433489999</v>
      </c>
      <c r="F23" s="53">
        <v>1479.2401070999999</v>
      </c>
      <c r="G23" s="54">
        <v>1479.24</v>
      </c>
      <c r="H23" s="69">
        <v>0.98341927281377572</v>
      </c>
      <c r="I23" s="27"/>
    </row>
    <row r="24" spans="1:9" s="30" customFormat="1">
      <c r="B24" s="64" t="s">
        <v>31</v>
      </c>
      <c r="C24" s="16" t="s">
        <v>1</v>
      </c>
      <c r="D24" s="16" t="s">
        <v>1</v>
      </c>
      <c r="E24" s="16" t="s">
        <v>1</v>
      </c>
      <c r="F24" s="17">
        <v>1479.2401070999999</v>
      </c>
      <c r="G24" s="56">
        <v>1479.24</v>
      </c>
      <c r="H24" s="70">
        <v>0.98341927281377572</v>
      </c>
    </row>
    <row r="25" spans="1:9" s="30" customFormat="1">
      <c r="B25" s="64"/>
      <c r="C25" s="16"/>
      <c r="D25" s="16"/>
      <c r="E25" s="16"/>
      <c r="F25" s="17"/>
      <c r="G25" s="56"/>
      <c r="H25" s="70"/>
    </row>
    <row r="26" spans="1:9" s="30" customFormat="1">
      <c r="B26" s="163" t="s">
        <v>40</v>
      </c>
      <c r="C26" s="16" t="s">
        <v>1</v>
      </c>
      <c r="D26" s="16" t="s">
        <v>1</v>
      </c>
      <c r="E26" s="16" t="s">
        <v>1</v>
      </c>
      <c r="F26" s="20">
        <v>-4.8447432611999997</v>
      </c>
      <c r="G26" s="66">
        <v>-4.8499999999999996</v>
      </c>
      <c r="H26" s="71">
        <v>-3.220852295739496E-3</v>
      </c>
    </row>
    <row r="27" spans="1:9" s="30" customFormat="1">
      <c r="B27" s="64" t="s">
        <v>31</v>
      </c>
      <c r="C27" s="16"/>
      <c r="D27" s="16"/>
      <c r="E27" s="16"/>
      <c r="F27" s="17">
        <v>-4.8447432611999997</v>
      </c>
      <c r="G27" s="56">
        <v>-4.8499999999999996</v>
      </c>
      <c r="H27" s="70">
        <v>-3.220852295739496E-3</v>
      </c>
    </row>
    <row r="28" spans="1:9" s="30" customFormat="1" ht="13.5" thickBot="1">
      <c r="B28" s="65" t="s">
        <v>36</v>
      </c>
      <c r="C28" s="24"/>
      <c r="D28" s="24"/>
      <c r="E28" s="24"/>
      <c r="F28" s="25">
        <f>F24+F27</f>
        <v>1474.3953638388</v>
      </c>
      <c r="G28" s="25">
        <f t="shared" ref="G28:I28" si="0">G24+G27</f>
        <v>1474.39</v>
      </c>
      <c r="H28" s="102">
        <f t="shared" si="0"/>
        <v>0.98019842051803618</v>
      </c>
      <c r="I28" s="96">
        <f t="shared" si="0"/>
        <v>0</v>
      </c>
    </row>
    <row r="29" spans="1:9" s="30" customFormat="1" ht="13.5" thickBot="1">
      <c r="B29" s="103" t="s">
        <v>41</v>
      </c>
      <c r="C29" s="104" t="s">
        <v>1</v>
      </c>
      <c r="D29" s="104" t="s">
        <v>1</v>
      </c>
      <c r="E29" s="104" t="s">
        <v>1</v>
      </c>
      <c r="F29" s="105">
        <v>1504.1805138387999</v>
      </c>
      <c r="G29" s="106">
        <v>1504.18</v>
      </c>
      <c r="H29" s="107">
        <v>1</v>
      </c>
    </row>
    <row r="30" spans="1:9" s="30" customFormat="1">
      <c r="B30" s="28" t="s">
        <v>1</v>
      </c>
      <c r="C30" s="27"/>
      <c r="D30" s="27"/>
      <c r="E30" s="27"/>
      <c r="F30" s="33"/>
      <c r="G30" s="27"/>
      <c r="H30" s="34"/>
    </row>
    <row r="31" spans="1:9" s="30" customFormat="1">
      <c r="B31" s="35" t="s">
        <v>39</v>
      </c>
      <c r="C31" s="27"/>
      <c r="D31" s="27"/>
      <c r="E31" s="27"/>
      <c r="F31" s="33"/>
      <c r="G31" s="27"/>
      <c r="H31" s="34"/>
    </row>
    <row r="32" spans="1:9" s="30" customFormat="1">
      <c r="B32" s="35" t="s">
        <v>1</v>
      </c>
      <c r="C32" s="27"/>
      <c r="D32" s="27"/>
      <c r="E32" s="27"/>
      <c r="F32" s="33"/>
      <c r="G32" s="27"/>
      <c r="H32" s="34"/>
    </row>
    <row r="33" spans="2:8" s="30" customFormat="1">
      <c r="B33" s="35" t="s">
        <v>1</v>
      </c>
      <c r="C33" s="27"/>
      <c r="D33" s="27"/>
      <c r="E33" s="27"/>
      <c r="F33" s="33"/>
      <c r="G33" s="27"/>
      <c r="H33" s="34"/>
    </row>
    <row r="34" spans="2:8" s="30" customFormat="1">
      <c r="F34" s="36"/>
      <c r="H34" s="37"/>
    </row>
    <row r="35" spans="2:8" s="30" customFormat="1">
      <c r="F35" s="36"/>
      <c r="H35" s="37"/>
    </row>
    <row r="36" spans="2:8" s="30" customFormat="1">
      <c r="F36" s="36"/>
      <c r="H36" s="37"/>
    </row>
    <row r="37" spans="2:8" s="30" customFormat="1">
      <c r="F37" s="36"/>
      <c r="H37" s="37"/>
    </row>
    <row r="38" spans="2:8" s="30" customFormat="1">
      <c r="F38" s="36"/>
      <c r="H38" s="37"/>
    </row>
    <row r="39" spans="2:8" s="30" customFormat="1">
      <c r="F39" s="36"/>
      <c r="H39" s="37"/>
    </row>
    <row r="40" spans="2:8" s="30" customFormat="1">
      <c r="F40" s="36"/>
      <c r="H40" s="37"/>
    </row>
    <row r="41" spans="2:8" s="30" customFormat="1">
      <c r="F41" s="36"/>
      <c r="H41" s="37"/>
    </row>
    <row r="42" spans="2:8" s="30" customFormat="1">
      <c r="F42" s="36"/>
      <c r="H42" s="37"/>
    </row>
    <row r="43" spans="2:8" s="30" customFormat="1">
      <c r="F43" s="36"/>
      <c r="H43" s="37"/>
    </row>
    <row r="44" spans="2:8" s="30" customFormat="1">
      <c r="F44" s="36"/>
      <c r="H44" s="37"/>
    </row>
    <row r="45" spans="2:8" s="30" customFormat="1">
      <c r="F45" s="36"/>
      <c r="H45" s="37"/>
    </row>
    <row r="46" spans="2:8" s="30" customFormat="1">
      <c r="F46" s="36"/>
      <c r="H46" s="37"/>
    </row>
    <row r="47" spans="2:8" s="30" customFormat="1">
      <c r="F47" s="36"/>
      <c r="H47" s="37"/>
    </row>
    <row r="48" spans="2:8" s="30" customFormat="1">
      <c r="F48" s="36"/>
      <c r="H48" s="37"/>
    </row>
    <row r="49" spans="6:8" s="30" customFormat="1">
      <c r="F49" s="36"/>
      <c r="H49" s="37"/>
    </row>
    <row r="50" spans="6:8" s="30" customFormat="1">
      <c r="F50" s="36"/>
      <c r="H50" s="37"/>
    </row>
    <row r="51" spans="6:8" s="30" customFormat="1">
      <c r="F51" s="36"/>
      <c r="H51" s="37"/>
    </row>
    <row r="52" spans="6:8" s="30" customFormat="1">
      <c r="F52" s="36"/>
      <c r="H52" s="37"/>
    </row>
    <row r="53" spans="6:8" s="30" customFormat="1">
      <c r="F53" s="36"/>
      <c r="H53" s="37"/>
    </row>
    <row r="54" spans="6:8" s="30" customFormat="1">
      <c r="F54" s="36"/>
      <c r="H54" s="37"/>
    </row>
    <row r="55" spans="6:8" s="30" customFormat="1">
      <c r="F55" s="36"/>
      <c r="H55" s="37"/>
    </row>
    <row r="56" spans="6:8" s="30" customFormat="1">
      <c r="F56" s="36"/>
      <c r="H56" s="37"/>
    </row>
    <row r="57" spans="6:8" s="30" customFormat="1">
      <c r="F57" s="36"/>
      <c r="H57" s="37"/>
    </row>
    <row r="58" spans="6:8" s="30" customFormat="1">
      <c r="F58" s="36"/>
      <c r="H58" s="37"/>
    </row>
    <row r="59" spans="6:8" s="30" customFormat="1">
      <c r="F59" s="36"/>
      <c r="H59" s="37"/>
    </row>
    <row r="60" spans="6:8" s="30" customFormat="1">
      <c r="F60" s="36"/>
      <c r="H60" s="37"/>
    </row>
    <row r="61" spans="6:8" s="30" customFormat="1">
      <c r="F61" s="36"/>
      <c r="H61" s="37"/>
    </row>
    <row r="62" spans="6:8" s="30" customFormat="1">
      <c r="F62" s="36"/>
      <c r="H62" s="37"/>
    </row>
    <row r="63" spans="6:8" s="30" customFormat="1">
      <c r="F63" s="36"/>
      <c r="H63" s="37"/>
    </row>
    <row r="64" spans="6:8" s="30" customFormat="1">
      <c r="F64" s="36"/>
      <c r="H64" s="37"/>
    </row>
    <row r="65" spans="6:8" s="30" customFormat="1">
      <c r="F65" s="36"/>
      <c r="H65" s="37"/>
    </row>
    <row r="66" spans="6:8" s="30" customFormat="1">
      <c r="F66" s="36"/>
      <c r="H66" s="37"/>
    </row>
    <row r="67" spans="6:8" s="30" customFormat="1">
      <c r="F67" s="36"/>
      <c r="H67" s="37"/>
    </row>
    <row r="68" spans="6:8" s="30" customFormat="1">
      <c r="F68" s="36"/>
      <c r="H68" s="37"/>
    </row>
    <row r="69" spans="6:8" s="30" customFormat="1">
      <c r="F69" s="36"/>
      <c r="H69" s="37"/>
    </row>
    <row r="70" spans="6:8" s="30" customFormat="1">
      <c r="F70" s="36"/>
      <c r="H70" s="37"/>
    </row>
    <row r="71" spans="6:8" s="30" customFormat="1">
      <c r="F71" s="36"/>
      <c r="H71" s="37"/>
    </row>
    <row r="72" spans="6:8" s="30" customFormat="1">
      <c r="F72" s="36"/>
      <c r="H72" s="37"/>
    </row>
    <row r="73" spans="6:8" s="30" customFormat="1">
      <c r="F73" s="36"/>
      <c r="H73" s="37"/>
    </row>
    <row r="74" spans="6:8" s="30" customFormat="1">
      <c r="F74" s="36"/>
      <c r="H74" s="37"/>
    </row>
    <row r="75" spans="6:8" s="30" customFormat="1">
      <c r="F75" s="36"/>
      <c r="H75" s="37"/>
    </row>
    <row r="76" spans="6:8" s="30" customFormat="1">
      <c r="F76" s="36"/>
      <c r="H76" s="37"/>
    </row>
    <row r="77" spans="6:8" s="30" customFormat="1">
      <c r="F77" s="36"/>
      <c r="H77" s="37"/>
    </row>
    <row r="78" spans="6:8" s="30" customFormat="1">
      <c r="F78" s="36"/>
      <c r="H78" s="37"/>
    </row>
    <row r="79" spans="6:8" s="30" customFormat="1">
      <c r="F79" s="36"/>
      <c r="H79" s="37"/>
    </row>
    <row r="80" spans="6:8" s="30" customFormat="1">
      <c r="F80" s="36"/>
      <c r="H80" s="37"/>
    </row>
    <row r="81" spans="6:8" s="30" customFormat="1">
      <c r="F81" s="36"/>
      <c r="H81" s="37"/>
    </row>
    <row r="82" spans="6:8" s="30" customFormat="1">
      <c r="F82" s="36"/>
      <c r="H82" s="37"/>
    </row>
    <row r="83" spans="6:8" s="30" customFormat="1">
      <c r="F83" s="36"/>
      <c r="H83" s="37"/>
    </row>
    <row r="84" spans="6:8" s="30" customFormat="1">
      <c r="F84" s="36"/>
      <c r="H84" s="37"/>
    </row>
    <row r="85" spans="6:8" s="30" customFormat="1">
      <c r="F85" s="36"/>
      <c r="H85" s="37"/>
    </row>
    <row r="86" spans="6:8" s="30" customFormat="1">
      <c r="F86" s="36"/>
      <c r="H86" s="37"/>
    </row>
    <row r="87" spans="6:8" s="30" customFormat="1">
      <c r="F87" s="36"/>
      <c r="H87" s="37"/>
    </row>
    <row r="88" spans="6:8" s="30" customFormat="1">
      <c r="F88" s="36"/>
      <c r="H88" s="37"/>
    </row>
    <row r="89" spans="6:8" s="30" customFormat="1">
      <c r="F89" s="36"/>
      <c r="H89" s="37"/>
    </row>
    <row r="90" spans="6:8" s="30" customFormat="1">
      <c r="F90" s="36"/>
      <c r="H90" s="37"/>
    </row>
    <row r="91" spans="6:8" s="30" customFormat="1">
      <c r="F91" s="36"/>
      <c r="H91" s="37"/>
    </row>
    <row r="92" spans="6:8" s="30" customFormat="1">
      <c r="F92" s="36"/>
      <c r="H92" s="37"/>
    </row>
    <row r="93" spans="6:8" s="30" customFormat="1">
      <c r="F93" s="36"/>
      <c r="H93" s="37"/>
    </row>
    <row r="94" spans="6:8" s="30" customFormat="1">
      <c r="F94" s="36"/>
      <c r="H94" s="37"/>
    </row>
    <row r="95" spans="6:8" s="30" customFormat="1">
      <c r="F95" s="36"/>
      <c r="H95" s="37"/>
    </row>
    <row r="96" spans="6:8" s="30" customFormat="1">
      <c r="F96" s="36"/>
      <c r="H96" s="37"/>
    </row>
    <row r="97" spans="6:8" s="30" customFormat="1">
      <c r="F97" s="36"/>
      <c r="H97" s="37"/>
    </row>
    <row r="98" spans="6:8" s="30" customFormat="1">
      <c r="F98" s="36"/>
      <c r="H98" s="37"/>
    </row>
    <row r="99" spans="6:8" s="30" customFormat="1">
      <c r="F99" s="36"/>
      <c r="H99" s="37"/>
    </row>
    <row r="100" spans="6:8" s="30" customFormat="1">
      <c r="F100" s="36"/>
      <c r="H100" s="37"/>
    </row>
    <row r="101" spans="6:8" s="30" customFormat="1">
      <c r="F101" s="36"/>
      <c r="H101" s="37"/>
    </row>
    <row r="102" spans="6:8" s="30" customFormat="1">
      <c r="F102" s="36"/>
      <c r="H102" s="37"/>
    </row>
    <row r="103" spans="6:8" s="30" customFormat="1">
      <c r="F103" s="36"/>
      <c r="H103" s="37"/>
    </row>
    <row r="104" spans="6:8" s="30" customFormat="1">
      <c r="F104" s="36"/>
      <c r="H104" s="37"/>
    </row>
    <row r="105" spans="6:8" s="30" customFormat="1">
      <c r="F105" s="36"/>
      <c r="H105" s="37"/>
    </row>
    <row r="106" spans="6:8" s="30" customFormat="1">
      <c r="F106" s="36"/>
      <c r="H106" s="37"/>
    </row>
    <row r="107" spans="6:8" s="30" customFormat="1">
      <c r="F107" s="36"/>
      <c r="H107" s="37"/>
    </row>
    <row r="108" spans="6:8" s="30" customFormat="1">
      <c r="F108" s="36"/>
      <c r="H108" s="37"/>
    </row>
    <row r="109" spans="6:8" s="30" customFormat="1">
      <c r="F109" s="36"/>
      <c r="H109" s="37"/>
    </row>
    <row r="110" spans="6:8" s="30" customFormat="1">
      <c r="F110" s="36"/>
      <c r="H110" s="37"/>
    </row>
    <row r="111" spans="6:8" s="30" customFormat="1">
      <c r="F111" s="36"/>
      <c r="H111" s="37"/>
    </row>
    <row r="112" spans="6:8" s="30" customFormat="1">
      <c r="F112" s="36"/>
      <c r="H112" s="37"/>
    </row>
    <row r="113" spans="6:8" s="30" customFormat="1">
      <c r="F113" s="36"/>
      <c r="H113" s="37"/>
    </row>
    <row r="114" spans="6:8" s="30" customFormat="1">
      <c r="F114" s="36"/>
      <c r="H114" s="37"/>
    </row>
    <row r="115" spans="6:8" s="30" customFormat="1">
      <c r="F115" s="36"/>
      <c r="H115" s="37"/>
    </row>
    <row r="116" spans="6:8" s="30" customFormat="1">
      <c r="F116" s="36"/>
      <c r="H116" s="37"/>
    </row>
    <row r="117" spans="6:8" s="30" customFormat="1">
      <c r="F117" s="36"/>
      <c r="H117" s="37"/>
    </row>
    <row r="118" spans="6:8" s="30" customFormat="1">
      <c r="F118" s="36"/>
      <c r="H118" s="37"/>
    </row>
    <row r="119" spans="6:8" s="30" customFormat="1">
      <c r="F119" s="36"/>
      <c r="H119" s="37"/>
    </row>
    <row r="120" spans="6:8" s="30" customFormat="1">
      <c r="F120" s="36"/>
      <c r="H120" s="37"/>
    </row>
    <row r="121" spans="6:8" s="30" customFormat="1">
      <c r="F121" s="36"/>
      <c r="H121" s="37"/>
    </row>
    <row r="122" spans="6:8" s="30" customFormat="1">
      <c r="F122" s="36"/>
      <c r="H122" s="37"/>
    </row>
    <row r="123" spans="6:8" s="30" customFormat="1">
      <c r="F123" s="36"/>
      <c r="H123" s="37"/>
    </row>
    <row r="124" spans="6:8" s="30" customFormat="1">
      <c r="F124" s="36"/>
      <c r="H124" s="37"/>
    </row>
    <row r="125" spans="6:8" s="30" customFormat="1">
      <c r="F125" s="36"/>
      <c r="H125" s="37"/>
    </row>
    <row r="126" spans="6:8" s="30" customFormat="1">
      <c r="F126" s="36"/>
      <c r="H126" s="37"/>
    </row>
    <row r="127" spans="6:8" s="30" customFormat="1">
      <c r="F127" s="36"/>
      <c r="H127" s="37"/>
    </row>
    <row r="128" spans="6:8" s="30" customFormat="1">
      <c r="F128" s="36"/>
      <c r="H128" s="37"/>
    </row>
    <row r="129" spans="6:8" s="30" customFormat="1">
      <c r="F129" s="36"/>
      <c r="H129" s="37"/>
    </row>
    <row r="130" spans="6:8" s="30" customFormat="1">
      <c r="F130" s="36"/>
      <c r="H130" s="37"/>
    </row>
    <row r="131" spans="6:8" s="30" customFormat="1">
      <c r="F131" s="36"/>
      <c r="H131" s="37"/>
    </row>
    <row r="132" spans="6:8" s="30" customFormat="1">
      <c r="F132" s="36"/>
      <c r="H132" s="37"/>
    </row>
    <row r="133" spans="6:8" s="30" customFormat="1">
      <c r="F133" s="36"/>
      <c r="H133" s="37"/>
    </row>
    <row r="134" spans="6:8" s="30" customFormat="1">
      <c r="F134" s="36"/>
      <c r="H134" s="37"/>
    </row>
    <row r="135" spans="6:8" s="30" customFormat="1">
      <c r="F135" s="36"/>
      <c r="H135" s="37"/>
    </row>
    <row r="136" spans="6:8" s="30" customFormat="1">
      <c r="F136" s="36"/>
      <c r="H136" s="37"/>
    </row>
    <row r="137" spans="6:8" s="30" customFormat="1">
      <c r="F137" s="36"/>
      <c r="H137" s="37"/>
    </row>
    <row r="138" spans="6:8" s="30" customFormat="1">
      <c r="F138" s="36"/>
      <c r="H138" s="37"/>
    </row>
    <row r="139" spans="6:8" s="30" customFormat="1">
      <c r="F139" s="36"/>
      <c r="H139" s="37"/>
    </row>
    <row r="140" spans="6:8" s="30" customFormat="1">
      <c r="F140" s="36"/>
      <c r="H140" s="37"/>
    </row>
    <row r="141" spans="6:8" s="30" customFormat="1">
      <c r="F141" s="36"/>
      <c r="H141" s="37"/>
    </row>
    <row r="142" spans="6:8" s="30" customFormat="1">
      <c r="F142" s="36"/>
      <c r="H142" s="37"/>
    </row>
    <row r="143" spans="6:8" s="30" customFormat="1">
      <c r="F143" s="36"/>
      <c r="H143" s="37"/>
    </row>
    <row r="144" spans="6:8" s="30" customFormat="1">
      <c r="F144" s="36"/>
      <c r="H144" s="37"/>
    </row>
    <row r="145" spans="6:8" s="30" customFormat="1">
      <c r="F145" s="36"/>
      <c r="H145" s="37"/>
    </row>
    <row r="146" spans="6:8" s="30" customFormat="1">
      <c r="F146" s="36"/>
      <c r="H146" s="37"/>
    </row>
    <row r="147" spans="6:8" s="30" customFormat="1">
      <c r="F147" s="36"/>
      <c r="H147" s="37"/>
    </row>
    <row r="148" spans="6:8" s="30" customFormat="1">
      <c r="F148" s="36"/>
      <c r="H148" s="37"/>
    </row>
    <row r="149" spans="6:8" s="30" customFormat="1">
      <c r="F149" s="36"/>
      <c r="H149" s="37"/>
    </row>
    <row r="150" spans="6:8" s="30" customFormat="1">
      <c r="F150" s="36"/>
      <c r="H150" s="37"/>
    </row>
    <row r="151" spans="6:8" s="30" customFormat="1">
      <c r="F151" s="36"/>
      <c r="H151" s="37"/>
    </row>
    <row r="152" spans="6:8" s="30" customFormat="1">
      <c r="F152" s="36"/>
      <c r="H152" s="37"/>
    </row>
    <row r="153" spans="6:8" s="30" customFormat="1">
      <c r="F153" s="36"/>
      <c r="H153" s="37"/>
    </row>
    <row r="154" spans="6:8" s="30" customFormat="1">
      <c r="F154" s="36"/>
      <c r="H154" s="37"/>
    </row>
    <row r="155" spans="6:8" s="30" customFormat="1">
      <c r="F155" s="36"/>
      <c r="H155" s="37"/>
    </row>
    <row r="156" spans="6:8" s="30" customFormat="1">
      <c r="F156" s="36"/>
      <c r="H156" s="37"/>
    </row>
    <row r="157" spans="6:8" s="30" customFormat="1">
      <c r="F157" s="36"/>
      <c r="H157" s="37"/>
    </row>
    <row r="158" spans="6:8" s="30" customFormat="1">
      <c r="F158" s="36"/>
      <c r="H158" s="37"/>
    </row>
    <row r="159" spans="6:8" s="30" customFormat="1">
      <c r="F159" s="36"/>
      <c r="H159" s="37"/>
    </row>
    <row r="160" spans="6:8" s="30" customFormat="1">
      <c r="F160" s="36"/>
      <c r="H160" s="37"/>
    </row>
    <row r="161" spans="6:8" s="30" customFormat="1">
      <c r="F161" s="36"/>
      <c r="H161" s="37"/>
    </row>
    <row r="162" spans="6:8" s="30" customFormat="1">
      <c r="F162" s="36"/>
      <c r="H162" s="37"/>
    </row>
    <row r="163" spans="6:8" s="30" customFormat="1">
      <c r="F163" s="36"/>
      <c r="H163" s="37"/>
    </row>
    <row r="164" spans="6:8" s="30" customFormat="1">
      <c r="F164" s="36"/>
      <c r="H164" s="37"/>
    </row>
    <row r="165" spans="6:8" s="30" customFormat="1">
      <c r="F165" s="36"/>
      <c r="H165" s="37"/>
    </row>
    <row r="166" spans="6:8" s="30" customFormat="1">
      <c r="F166" s="36"/>
      <c r="H166" s="37"/>
    </row>
    <row r="167" spans="6:8" s="30" customFormat="1">
      <c r="F167" s="36"/>
      <c r="H167" s="37"/>
    </row>
    <row r="168" spans="6:8" s="30" customFormat="1">
      <c r="F168" s="36"/>
      <c r="H168" s="37"/>
    </row>
    <row r="169" spans="6:8" s="30" customFormat="1">
      <c r="F169" s="36"/>
      <c r="H169" s="37"/>
    </row>
    <row r="170" spans="6:8" s="30" customFormat="1">
      <c r="F170" s="36"/>
      <c r="H170" s="37"/>
    </row>
    <row r="171" spans="6:8" s="30" customFormat="1">
      <c r="F171" s="36"/>
      <c r="H171" s="37"/>
    </row>
    <row r="172" spans="6:8" s="30" customFormat="1">
      <c r="F172" s="36"/>
      <c r="H172" s="37"/>
    </row>
    <row r="173" spans="6:8" s="30" customFormat="1">
      <c r="F173" s="36"/>
      <c r="H173" s="37"/>
    </row>
    <row r="174" spans="6:8" s="30" customFormat="1">
      <c r="F174" s="36"/>
      <c r="H174" s="37"/>
    </row>
    <row r="175" spans="6:8" s="30" customFormat="1">
      <c r="F175" s="36"/>
      <c r="H175" s="37"/>
    </row>
    <row r="176" spans="6:8" s="30" customFormat="1">
      <c r="F176" s="36"/>
      <c r="H176" s="37"/>
    </row>
    <row r="177" spans="6:8" s="30" customFormat="1">
      <c r="F177" s="36"/>
      <c r="H177" s="37"/>
    </row>
    <row r="178" spans="6:8" s="30" customFormat="1">
      <c r="F178" s="36"/>
      <c r="H178" s="37"/>
    </row>
    <row r="179" spans="6:8" s="30" customFormat="1">
      <c r="F179" s="36"/>
      <c r="H179" s="37"/>
    </row>
    <row r="180" spans="6:8" s="30" customFormat="1">
      <c r="F180" s="36"/>
      <c r="H180" s="37"/>
    </row>
    <row r="181" spans="6:8" s="30" customFormat="1">
      <c r="F181" s="36"/>
      <c r="H181" s="37"/>
    </row>
    <row r="182" spans="6:8" s="30" customFormat="1">
      <c r="F182" s="36"/>
      <c r="H182" s="37"/>
    </row>
    <row r="183" spans="6:8" s="30" customFormat="1">
      <c r="F183" s="36"/>
      <c r="H183" s="37"/>
    </row>
    <row r="184" spans="6:8" s="30" customFormat="1">
      <c r="F184" s="36"/>
      <c r="H184" s="37"/>
    </row>
    <row r="185" spans="6:8" s="30" customFormat="1">
      <c r="F185" s="36"/>
      <c r="H185" s="37"/>
    </row>
    <row r="186" spans="6:8" s="30" customFormat="1">
      <c r="F186" s="36"/>
      <c r="H186" s="37"/>
    </row>
    <row r="187" spans="6:8" s="30" customFormat="1">
      <c r="F187" s="36"/>
      <c r="H187" s="37"/>
    </row>
    <row r="188" spans="6:8" s="30" customFormat="1">
      <c r="F188" s="36"/>
      <c r="H188" s="37"/>
    </row>
    <row r="189" spans="6:8" s="30" customFormat="1">
      <c r="F189" s="36"/>
      <c r="H189" s="37"/>
    </row>
    <row r="190" spans="6:8" s="30" customFormat="1">
      <c r="F190" s="36"/>
      <c r="H190" s="37"/>
    </row>
    <row r="191" spans="6:8" s="30" customFormat="1">
      <c r="F191" s="36"/>
      <c r="H191" s="37"/>
    </row>
    <row r="192" spans="6:8" s="30" customFormat="1">
      <c r="F192" s="36"/>
      <c r="H192" s="37"/>
    </row>
    <row r="193" spans="6:8" s="30" customFormat="1">
      <c r="F193" s="36"/>
      <c r="H193" s="37"/>
    </row>
    <row r="194" spans="6:8" s="30" customFormat="1">
      <c r="F194" s="36"/>
      <c r="H194" s="37"/>
    </row>
    <row r="195" spans="6:8" s="30" customFormat="1">
      <c r="F195" s="36"/>
      <c r="H195" s="37"/>
    </row>
    <row r="196" spans="6:8" s="30" customFormat="1">
      <c r="F196" s="36"/>
      <c r="H196" s="37"/>
    </row>
    <row r="197" spans="6:8" s="30" customFormat="1">
      <c r="F197" s="36"/>
      <c r="H197" s="37"/>
    </row>
    <row r="198" spans="6:8" s="30" customFormat="1">
      <c r="F198" s="36"/>
      <c r="H198" s="37"/>
    </row>
    <row r="199" spans="6:8" s="30" customFormat="1">
      <c r="F199" s="36"/>
      <c r="H199" s="37"/>
    </row>
    <row r="200" spans="6:8" s="30" customFormat="1">
      <c r="F200" s="36"/>
      <c r="H200" s="37"/>
    </row>
    <row r="201" spans="6:8" s="30" customFormat="1">
      <c r="F201" s="36"/>
      <c r="H201" s="37"/>
    </row>
    <row r="202" spans="6:8" s="30" customFormat="1">
      <c r="F202" s="36"/>
      <c r="H202" s="37"/>
    </row>
    <row r="203" spans="6:8" s="30" customFormat="1">
      <c r="F203" s="36"/>
      <c r="H203" s="37"/>
    </row>
    <row r="204" spans="6:8" s="30" customFormat="1">
      <c r="F204" s="36"/>
      <c r="H204" s="37"/>
    </row>
    <row r="205" spans="6:8" s="30" customFormat="1">
      <c r="F205" s="36"/>
      <c r="H205" s="37"/>
    </row>
    <row r="206" spans="6:8" s="30" customFormat="1">
      <c r="F206" s="36"/>
      <c r="H206" s="37"/>
    </row>
    <row r="207" spans="6:8" s="30" customFormat="1">
      <c r="F207" s="36"/>
      <c r="H207" s="37"/>
    </row>
    <row r="208" spans="6:8" s="30" customFormat="1">
      <c r="F208" s="36"/>
      <c r="H208" s="37"/>
    </row>
    <row r="209" spans="6:8" s="30" customFormat="1">
      <c r="F209" s="36"/>
      <c r="H209" s="37"/>
    </row>
    <row r="210" spans="6:8" s="30" customFormat="1">
      <c r="F210" s="36"/>
      <c r="H210" s="37"/>
    </row>
    <row r="211" spans="6:8" s="30" customFormat="1">
      <c r="F211" s="36"/>
      <c r="H211" s="37"/>
    </row>
    <row r="212" spans="6:8" s="30" customFormat="1">
      <c r="F212" s="36"/>
      <c r="H212" s="37"/>
    </row>
    <row r="213" spans="6:8" s="30" customFormat="1">
      <c r="F213" s="36"/>
      <c r="H213" s="37"/>
    </row>
    <row r="214" spans="6:8" s="30" customFormat="1">
      <c r="F214" s="36"/>
      <c r="H214" s="37"/>
    </row>
    <row r="215" spans="6:8" s="30" customFormat="1">
      <c r="F215" s="36"/>
      <c r="H215" s="37"/>
    </row>
    <row r="216" spans="6:8" s="30" customFormat="1">
      <c r="F216" s="36"/>
      <c r="H216" s="37"/>
    </row>
    <row r="217" spans="6:8" s="30" customFormat="1">
      <c r="F217" s="36"/>
      <c r="H217" s="37"/>
    </row>
    <row r="218" spans="6:8" s="30" customFormat="1">
      <c r="F218" s="36"/>
      <c r="H218" s="37"/>
    </row>
    <row r="219" spans="6:8" s="30" customFormat="1">
      <c r="F219" s="36"/>
      <c r="H219" s="37"/>
    </row>
    <row r="220" spans="6:8" s="30" customFormat="1">
      <c r="F220" s="36"/>
      <c r="H220" s="37"/>
    </row>
    <row r="221" spans="6:8" s="30" customFormat="1">
      <c r="F221" s="36"/>
      <c r="H221" s="37"/>
    </row>
    <row r="222" spans="6:8" s="30" customFormat="1">
      <c r="F222" s="36"/>
      <c r="H222" s="37"/>
    </row>
    <row r="223" spans="6:8" s="30" customFormat="1">
      <c r="F223" s="36"/>
      <c r="H223" s="37"/>
    </row>
    <row r="224" spans="6:8" s="30" customFormat="1">
      <c r="F224" s="36"/>
      <c r="H224" s="37"/>
    </row>
    <row r="225" spans="6:8" s="30" customFormat="1">
      <c r="F225" s="36"/>
      <c r="H225" s="37"/>
    </row>
    <row r="226" spans="6:8" s="30" customFormat="1">
      <c r="F226" s="36"/>
      <c r="H226" s="37"/>
    </row>
    <row r="227" spans="6:8" s="30" customFormat="1">
      <c r="F227" s="36"/>
      <c r="H227" s="37"/>
    </row>
    <row r="228" spans="6:8" s="30" customFormat="1">
      <c r="F228" s="36"/>
      <c r="H228" s="37"/>
    </row>
    <row r="229" spans="6:8" s="30" customFormat="1">
      <c r="F229" s="36"/>
      <c r="H229" s="37"/>
    </row>
    <row r="230" spans="6:8" s="30" customFormat="1">
      <c r="F230" s="36"/>
      <c r="H230" s="37"/>
    </row>
    <row r="231" spans="6:8" s="30" customFormat="1">
      <c r="F231" s="36"/>
      <c r="H231" s="37"/>
    </row>
    <row r="232" spans="6:8" s="30" customFormat="1">
      <c r="F232" s="36"/>
      <c r="H232" s="37"/>
    </row>
    <row r="233" spans="6:8" s="30" customFormat="1">
      <c r="F233" s="36"/>
      <c r="H233" s="37"/>
    </row>
    <row r="234" spans="6:8" s="30" customFormat="1">
      <c r="F234" s="36"/>
      <c r="H234" s="37"/>
    </row>
    <row r="235" spans="6:8" s="30" customFormat="1">
      <c r="F235" s="36"/>
      <c r="H235" s="37"/>
    </row>
    <row r="236" spans="6:8" s="30" customFormat="1">
      <c r="F236" s="36"/>
      <c r="H236" s="37"/>
    </row>
    <row r="237" spans="6:8" s="30" customFormat="1">
      <c r="F237" s="36"/>
      <c r="H237" s="37"/>
    </row>
    <row r="238" spans="6:8" s="30" customFormat="1">
      <c r="F238" s="36"/>
      <c r="H238" s="37"/>
    </row>
    <row r="239" spans="6:8" s="30" customFormat="1">
      <c r="F239" s="36"/>
      <c r="H239" s="37"/>
    </row>
    <row r="240" spans="6:8" s="30" customFormat="1">
      <c r="F240" s="36"/>
      <c r="H240" s="37"/>
    </row>
    <row r="241" spans="6:8" s="30" customFormat="1">
      <c r="F241" s="36"/>
      <c r="H241" s="37"/>
    </row>
    <row r="242" spans="6:8" s="30" customFormat="1">
      <c r="F242" s="36"/>
      <c r="H242" s="37"/>
    </row>
    <row r="243" spans="6:8" s="30" customFormat="1">
      <c r="F243" s="36"/>
      <c r="H243" s="37"/>
    </row>
    <row r="244" spans="6:8" s="30" customFormat="1">
      <c r="F244" s="36"/>
      <c r="H244" s="37"/>
    </row>
    <row r="245" spans="6:8" s="30" customFormat="1">
      <c r="F245" s="36"/>
      <c r="H245" s="37"/>
    </row>
    <row r="246" spans="6:8" s="30" customFormat="1">
      <c r="F246" s="36"/>
      <c r="H246" s="37"/>
    </row>
    <row r="247" spans="6:8" s="30" customFormat="1">
      <c r="F247" s="36"/>
      <c r="H247" s="37"/>
    </row>
    <row r="248" spans="6:8" s="30" customFormat="1">
      <c r="F248" s="36"/>
      <c r="H248" s="37"/>
    </row>
    <row r="249" spans="6:8" s="30" customFormat="1">
      <c r="F249" s="36"/>
      <c r="H249" s="37"/>
    </row>
    <row r="250" spans="6:8" s="30" customFormat="1">
      <c r="F250" s="36"/>
      <c r="H250" s="37"/>
    </row>
    <row r="251" spans="6:8" s="30" customFormat="1">
      <c r="F251" s="36"/>
      <c r="H251" s="37"/>
    </row>
    <row r="252" spans="6:8" s="30" customFormat="1">
      <c r="F252" s="36"/>
      <c r="H252" s="37"/>
    </row>
    <row r="253" spans="6:8" s="30" customFormat="1">
      <c r="F253" s="36"/>
      <c r="H253" s="37"/>
    </row>
    <row r="254" spans="6:8" s="30" customFormat="1">
      <c r="F254" s="36"/>
      <c r="H254" s="37"/>
    </row>
    <row r="255" spans="6:8" s="30" customFormat="1">
      <c r="F255" s="36"/>
      <c r="H255" s="37"/>
    </row>
    <row r="256" spans="6:8" s="30" customFormat="1">
      <c r="F256" s="36"/>
      <c r="H256" s="37"/>
    </row>
    <row r="257" spans="6:8" s="30" customFormat="1">
      <c r="F257" s="36"/>
      <c r="H257" s="37"/>
    </row>
    <row r="258" spans="6:8" s="30" customFormat="1">
      <c r="F258" s="36"/>
      <c r="H258" s="37"/>
    </row>
    <row r="259" spans="6:8" s="30" customFormat="1">
      <c r="F259" s="36"/>
      <c r="H259" s="37"/>
    </row>
    <row r="260" spans="6:8" s="30" customFormat="1">
      <c r="F260" s="36"/>
      <c r="H260" s="37"/>
    </row>
    <row r="261" spans="6:8" s="30" customFormat="1">
      <c r="F261" s="36"/>
      <c r="H261" s="37"/>
    </row>
    <row r="262" spans="6:8" s="30" customFormat="1">
      <c r="F262" s="36"/>
      <c r="H262" s="37"/>
    </row>
    <row r="263" spans="6:8" s="30" customFormat="1">
      <c r="F263" s="36"/>
      <c r="H263" s="37"/>
    </row>
    <row r="264" spans="6:8" s="30" customFormat="1">
      <c r="F264" s="36"/>
      <c r="H264" s="37"/>
    </row>
    <row r="265" spans="6:8" s="30" customFormat="1">
      <c r="F265" s="36"/>
      <c r="H265" s="37"/>
    </row>
    <row r="266" spans="6:8" s="30" customFormat="1">
      <c r="F266" s="36"/>
      <c r="H266" s="37"/>
    </row>
    <row r="267" spans="6:8" s="30" customFormat="1">
      <c r="F267" s="36"/>
      <c r="H267" s="37"/>
    </row>
    <row r="268" spans="6:8" s="30" customFormat="1">
      <c r="F268" s="36"/>
      <c r="H268" s="37"/>
    </row>
    <row r="269" spans="6:8" s="30" customFormat="1">
      <c r="F269" s="36"/>
      <c r="H269" s="37"/>
    </row>
    <row r="270" spans="6:8" s="30" customFormat="1">
      <c r="F270" s="36"/>
      <c r="H270" s="37"/>
    </row>
    <row r="271" spans="6:8" s="30" customFormat="1">
      <c r="F271" s="36"/>
      <c r="H271" s="37"/>
    </row>
    <row r="272" spans="6:8" s="30" customFormat="1">
      <c r="F272" s="36"/>
      <c r="H272" s="37"/>
    </row>
    <row r="273" spans="6:8" s="30" customFormat="1">
      <c r="F273" s="36"/>
      <c r="H273" s="37"/>
    </row>
    <row r="274" spans="6:8" s="30" customFormat="1">
      <c r="F274" s="36"/>
      <c r="H274" s="37"/>
    </row>
    <row r="275" spans="6:8" s="30" customFormat="1">
      <c r="F275" s="36"/>
      <c r="H275" s="37"/>
    </row>
    <row r="276" spans="6:8" s="30" customFormat="1">
      <c r="F276" s="36"/>
      <c r="H276" s="37"/>
    </row>
    <row r="277" spans="6:8" s="30" customFormat="1">
      <c r="F277" s="36"/>
      <c r="H277" s="37"/>
    </row>
    <row r="278" spans="6:8" s="30" customFormat="1">
      <c r="F278" s="36"/>
      <c r="H278" s="37"/>
    </row>
    <row r="279" spans="6:8" s="30" customFormat="1">
      <c r="F279" s="36"/>
      <c r="H279" s="37"/>
    </row>
    <row r="280" spans="6:8" s="30" customFormat="1">
      <c r="F280" s="36"/>
      <c r="H280" s="37"/>
    </row>
    <row r="281" spans="6:8" s="30" customFormat="1">
      <c r="F281" s="36"/>
      <c r="H281" s="37"/>
    </row>
    <row r="282" spans="6:8" s="30" customFormat="1">
      <c r="F282" s="36"/>
      <c r="H282" s="37"/>
    </row>
    <row r="283" spans="6:8" s="30" customFormat="1">
      <c r="F283" s="36"/>
      <c r="H283" s="37"/>
    </row>
    <row r="284" spans="6:8" s="30" customFormat="1">
      <c r="F284" s="36"/>
      <c r="H284" s="37"/>
    </row>
    <row r="285" spans="6:8" s="30" customFormat="1">
      <c r="F285" s="36"/>
      <c r="H285" s="37"/>
    </row>
    <row r="286" spans="6:8" s="30" customFormat="1">
      <c r="F286" s="36"/>
      <c r="H286" s="37"/>
    </row>
    <row r="287" spans="6:8" s="30" customFormat="1">
      <c r="F287" s="36"/>
      <c r="H287" s="37"/>
    </row>
    <row r="288" spans="6:8" s="30" customFormat="1">
      <c r="F288" s="36"/>
      <c r="H288" s="37"/>
    </row>
    <row r="289" spans="6:8" s="30" customFormat="1">
      <c r="F289" s="36"/>
      <c r="H289" s="37"/>
    </row>
    <row r="290" spans="6:8" s="30" customFormat="1">
      <c r="F290" s="36"/>
      <c r="H290" s="37"/>
    </row>
    <row r="291" spans="6:8" s="30" customFormat="1">
      <c r="F291" s="36"/>
      <c r="H291" s="37"/>
    </row>
    <row r="292" spans="6:8" s="30" customFormat="1">
      <c r="F292" s="36"/>
      <c r="H292" s="37"/>
    </row>
    <row r="293" spans="6:8" s="30" customFormat="1">
      <c r="F293" s="36"/>
      <c r="H293" s="37"/>
    </row>
    <row r="294" spans="6:8" s="30" customFormat="1">
      <c r="F294" s="36"/>
      <c r="H294" s="37"/>
    </row>
    <row r="295" spans="6:8" s="30" customFormat="1">
      <c r="F295" s="36"/>
      <c r="H295" s="37"/>
    </row>
    <row r="296" spans="6:8" s="30" customFormat="1">
      <c r="F296" s="36"/>
      <c r="H296" s="37"/>
    </row>
    <row r="297" spans="6:8" s="30" customFormat="1">
      <c r="F297" s="36"/>
      <c r="H297" s="37"/>
    </row>
    <row r="298" spans="6:8" s="30" customFormat="1">
      <c r="F298" s="36"/>
      <c r="H298" s="37"/>
    </row>
    <row r="299" spans="6:8" s="30" customFormat="1">
      <c r="F299" s="36"/>
      <c r="H299" s="37"/>
    </row>
    <row r="300" spans="6:8" s="30" customFormat="1">
      <c r="F300" s="36"/>
      <c r="H300" s="37"/>
    </row>
    <row r="301" spans="6:8" s="30" customFormat="1">
      <c r="F301" s="36"/>
      <c r="H301" s="37"/>
    </row>
    <row r="302" spans="6:8" s="30" customFormat="1">
      <c r="F302" s="36"/>
      <c r="H302" s="37"/>
    </row>
    <row r="303" spans="6:8" s="30" customFormat="1">
      <c r="F303" s="36"/>
      <c r="H303" s="37"/>
    </row>
    <row r="304" spans="6:8" s="30" customFormat="1">
      <c r="F304" s="36"/>
      <c r="H304" s="37"/>
    </row>
    <row r="305" spans="6:8" s="30" customFormat="1">
      <c r="F305" s="36"/>
      <c r="H305" s="37"/>
    </row>
    <row r="306" spans="6:8" s="30" customFormat="1">
      <c r="F306" s="36"/>
      <c r="H306" s="37"/>
    </row>
    <row r="307" spans="6:8" s="30" customFormat="1">
      <c r="F307" s="36"/>
      <c r="H307" s="37"/>
    </row>
    <row r="308" spans="6:8" s="30" customFormat="1">
      <c r="F308" s="36"/>
      <c r="H308" s="37"/>
    </row>
    <row r="309" spans="6:8" s="30" customFormat="1">
      <c r="F309" s="36"/>
      <c r="H309" s="37"/>
    </row>
    <row r="310" spans="6:8" s="30" customFormat="1">
      <c r="F310" s="36"/>
      <c r="H310" s="37"/>
    </row>
    <row r="311" spans="6:8" s="30" customFormat="1">
      <c r="F311" s="36"/>
      <c r="H311" s="37"/>
    </row>
    <row r="312" spans="6:8" s="30" customFormat="1">
      <c r="F312" s="36"/>
      <c r="H312" s="37"/>
    </row>
    <row r="313" spans="6:8" s="30" customFormat="1">
      <c r="F313" s="36"/>
      <c r="H313" s="37"/>
    </row>
    <row r="314" spans="6:8" s="30" customFormat="1">
      <c r="F314" s="36"/>
      <c r="H314" s="37"/>
    </row>
    <row r="315" spans="6:8" s="30" customFormat="1">
      <c r="F315" s="36"/>
      <c r="H315" s="37"/>
    </row>
    <row r="316" spans="6:8" s="30" customFormat="1">
      <c r="F316" s="36"/>
      <c r="H316" s="37"/>
    </row>
    <row r="317" spans="6:8" s="30" customFormat="1">
      <c r="F317" s="36"/>
      <c r="H317" s="37"/>
    </row>
    <row r="318" spans="6:8" s="30" customFormat="1">
      <c r="F318" s="36"/>
      <c r="H318" s="37"/>
    </row>
    <row r="319" spans="6:8" s="30" customFormat="1">
      <c r="F319" s="36"/>
      <c r="H319" s="37"/>
    </row>
    <row r="320" spans="6:8" s="30" customFormat="1">
      <c r="F320" s="36"/>
      <c r="H320" s="37"/>
    </row>
    <row r="321" spans="6:8" s="30" customFormat="1">
      <c r="F321" s="36"/>
      <c r="H321" s="37"/>
    </row>
    <row r="322" spans="6:8" s="30" customFormat="1">
      <c r="F322" s="36"/>
      <c r="H322" s="37"/>
    </row>
    <row r="323" spans="6:8" s="30" customFormat="1">
      <c r="F323" s="36"/>
      <c r="H323" s="37"/>
    </row>
    <row r="324" spans="6:8" s="30" customFormat="1">
      <c r="F324" s="36"/>
      <c r="H324" s="37"/>
    </row>
    <row r="325" spans="6:8" s="30" customFormat="1">
      <c r="F325" s="36"/>
      <c r="H325" s="37"/>
    </row>
    <row r="326" spans="6:8" s="30" customFormat="1">
      <c r="F326" s="36"/>
      <c r="H326" s="37"/>
    </row>
    <row r="327" spans="6:8" s="30" customFormat="1">
      <c r="F327" s="36"/>
      <c r="H327" s="37"/>
    </row>
    <row r="328" spans="6:8" s="30" customFormat="1">
      <c r="F328" s="36"/>
      <c r="H328" s="37"/>
    </row>
    <row r="329" spans="6:8" s="30" customFormat="1">
      <c r="F329" s="36"/>
      <c r="H329" s="37"/>
    </row>
    <row r="330" spans="6:8" s="30" customFormat="1">
      <c r="F330" s="36"/>
      <c r="H330" s="37"/>
    </row>
    <row r="331" spans="6:8" s="30" customFormat="1">
      <c r="F331" s="36"/>
      <c r="H331" s="37"/>
    </row>
    <row r="332" spans="6:8" s="30" customFormat="1">
      <c r="F332" s="36"/>
      <c r="H332" s="37"/>
    </row>
    <row r="333" spans="6:8" s="30" customFormat="1">
      <c r="F333" s="36"/>
      <c r="H333" s="37"/>
    </row>
    <row r="334" spans="6:8" s="30" customFormat="1">
      <c r="F334" s="36"/>
      <c r="H334" s="37"/>
    </row>
    <row r="335" spans="6:8" s="30" customFormat="1">
      <c r="F335" s="36"/>
      <c r="H335" s="37"/>
    </row>
    <row r="336" spans="6:8" s="30" customFormat="1">
      <c r="F336" s="36"/>
      <c r="H336" s="37"/>
    </row>
    <row r="337" spans="6:8" s="30" customFormat="1">
      <c r="F337" s="36"/>
      <c r="H337" s="37"/>
    </row>
    <row r="338" spans="6:8" s="30" customFormat="1">
      <c r="F338" s="36"/>
      <c r="H338" s="37"/>
    </row>
    <row r="339" spans="6:8" s="30" customFormat="1">
      <c r="F339" s="36"/>
      <c r="H339" s="37"/>
    </row>
    <row r="340" spans="6:8" s="30" customFormat="1">
      <c r="F340" s="36"/>
      <c r="H340" s="37"/>
    </row>
    <row r="341" spans="6:8" s="30" customFormat="1">
      <c r="F341" s="36"/>
      <c r="H341" s="37"/>
    </row>
    <row r="342" spans="6:8" s="30" customFormat="1">
      <c r="F342" s="36"/>
      <c r="H342" s="37"/>
    </row>
    <row r="343" spans="6:8" s="30" customFormat="1">
      <c r="F343" s="36"/>
      <c r="H343" s="37"/>
    </row>
    <row r="344" spans="6:8" s="30" customFormat="1">
      <c r="F344" s="36"/>
      <c r="H344" s="37"/>
    </row>
    <row r="345" spans="6:8" s="30" customFormat="1">
      <c r="F345" s="36"/>
      <c r="H345" s="37"/>
    </row>
    <row r="346" spans="6:8" s="30" customFormat="1">
      <c r="F346" s="36"/>
      <c r="H346" s="37"/>
    </row>
    <row r="347" spans="6:8" s="30" customFormat="1">
      <c r="F347" s="36"/>
      <c r="H347" s="37"/>
    </row>
    <row r="348" spans="6:8" s="30" customFormat="1">
      <c r="F348" s="36"/>
      <c r="H348" s="37"/>
    </row>
    <row r="349" spans="6:8" s="30" customFormat="1">
      <c r="F349" s="36"/>
      <c r="H349" s="37"/>
    </row>
    <row r="350" spans="6:8" s="30" customFormat="1">
      <c r="F350" s="36"/>
      <c r="H350" s="37"/>
    </row>
    <row r="351" spans="6:8" s="30" customFormat="1">
      <c r="F351" s="36"/>
      <c r="H351" s="37"/>
    </row>
    <row r="352" spans="6:8" s="30" customFormat="1">
      <c r="F352" s="36"/>
      <c r="H352" s="37"/>
    </row>
    <row r="353" spans="6:8" s="30" customFormat="1">
      <c r="F353" s="36"/>
      <c r="H353" s="37"/>
    </row>
    <row r="354" spans="6:8" s="30" customFormat="1">
      <c r="F354" s="36"/>
      <c r="H354" s="37"/>
    </row>
    <row r="355" spans="6:8" s="30" customFormat="1">
      <c r="F355" s="36"/>
      <c r="H355" s="37"/>
    </row>
    <row r="356" spans="6:8" s="30" customFormat="1">
      <c r="F356" s="36"/>
      <c r="H356" s="37"/>
    </row>
    <row r="357" spans="6:8" s="30" customFormat="1">
      <c r="F357" s="36"/>
      <c r="H357" s="37"/>
    </row>
    <row r="358" spans="6:8" s="30" customFormat="1">
      <c r="F358" s="36"/>
      <c r="H358" s="37"/>
    </row>
    <row r="359" spans="6:8" s="30" customFormat="1">
      <c r="F359" s="36"/>
      <c r="H359" s="37"/>
    </row>
    <row r="360" spans="6:8" s="30" customFormat="1">
      <c r="F360" s="36"/>
      <c r="H360" s="37"/>
    </row>
    <row r="361" spans="6:8" s="30" customFormat="1">
      <c r="F361" s="36"/>
      <c r="H361" s="37"/>
    </row>
    <row r="362" spans="6:8" s="30" customFormat="1">
      <c r="F362" s="36"/>
      <c r="H362" s="37"/>
    </row>
    <row r="363" spans="6:8" s="30" customFormat="1">
      <c r="F363" s="36"/>
      <c r="H363" s="37"/>
    </row>
    <row r="364" spans="6:8" s="30" customFormat="1">
      <c r="F364" s="36"/>
      <c r="H364" s="37"/>
    </row>
    <row r="365" spans="6:8" s="30" customFormat="1">
      <c r="F365" s="36"/>
      <c r="H365" s="37"/>
    </row>
    <row r="366" spans="6:8" s="30" customFormat="1">
      <c r="F366" s="36"/>
      <c r="H366" s="37"/>
    </row>
    <row r="367" spans="6:8" s="30" customFormat="1">
      <c r="F367" s="36"/>
      <c r="H367" s="37"/>
    </row>
    <row r="368" spans="6:8" s="30" customFormat="1">
      <c r="F368" s="36"/>
      <c r="H368" s="37"/>
    </row>
    <row r="369" spans="6:8" s="30" customFormat="1">
      <c r="F369" s="36"/>
      <c r="H369" s="37"/>
    </row>
    <row r="370" spans="6:8" s="30" customFormat="1">
      <c r="F370" s="36"/>
      <c r="H370" s="37"/>
    </row>
    <row r="371" spans="6:8" s="30" customFormat="1">
      <c r="F371" s="36"/>
      <c r="H371" s="37"/>
    </row>
    <row r="372" spans="6:8" s="30" customFormat="1">
      <c r="F372" s="36"/>
      <c r="H372" s="37"/>
    </row>
    <row r="373" spans="6:8" s="30" customFormat="1">
      <c r="F373" s="36"/>
      <c r="H373" s="37"/>
    </row>
    <row r="374" spans="6:8" s="30" customFormat="1">
      <c r="F374" s="36"/>
      <c r="H374" s="37"/>
    </row>
    <row r="375" spans="6:8" s="30" customFormat="1">
      <c r="F375" s="36"/>
      <c r="H375" s="37"/>
    </row>
    <row r="376" spans="6:8" s="30" customFormat="1">
      <c r="F376" s="36"/>
      <c r="H376" s="37"/>
    </row>
    <row r="377" spans="6:8" s="30" customFormat="1">
      <c r="F377" s="36"/>
      <c r="H377" s="37"/>
    </row>
    <row r="378" spans="6:8" s="30" customFormat="1">
      <c r="F378" s="36"/>
      <c r="H378" s="37"/>
    </row>
    <row r="379" spans="6:8" s="30" customFormat="1">
      <c r="F379" s="36"/>
      <c r="H379" s="37"/>
    </row>
    <row r="380" spans="6:8" s="30" customFormat="1">
      <c r="F380" s="36"/>
      <c r="H380" s="37"/>
    </row>
    <row r="381" spans="6:8" s="30" customFormat="1">
      <c r="F381" s="36"/>
      <c r="H381" s="37"/>
    </row>
    <row r="382" spans="6:8" s="30" customFormat="1">
      <c r="F382" s="36"/>
      <c r="H382" s="37"/>
    </row>
    <row r="383" spans="6:8" s="30" customFormat="1">
      <c r="F383" s="36"/>
      <c r="H383" s="37"/>
    </row>
    <row r="384" spans="6:8" s="30" customFormat="1">
      <c r="F384" s="36"/>
      <c r="H384" s="37"/>
    </row>
    <row r="385" spans="6:8" s="30" customFormat="1">
      <c r="F385" s="36"/>
      <c r="H385" s="37"/>
    </row>
    <row r="386" spans="6:8" s="30" customFormat="1">
      <c r="F386" s="36"/>
      <c r="H386" s="37"/>
    </row>
    <row r="387" spans="6:8" s="30" customFormat="1">
      <c r="F387" s="36"/>
      <c r="H387" s="37"/>
    </row>
    <row r="388" spans="6:8" s="30" customFormat="1">
      <c r="F388" s="36"/>
      <c r="H388" s="37"/>
    </row>
    <row r="389" spans="6:8" s="30" customFormat="1">
      <c r="F389" s="36"/>
      <c r="H389" s="37"/>
    </row>
    <row r="390" spans="6:8" s="30" customFormat="1">
      <c r="F390" s="36"/>
      <c r="H390" s="37"/>
    </row>
    <row r="391" spans="6:8" s="30" customFormat="1">
      <c r="F391" s="36"/>
      <c r="H391" s="37"/>
    </row>
    <row r="392" spans="6:8" s="30" customFormat="1">
      <c r="F392" s="36"/>
      <c r="H392" s="37"/>
    </row>
    <row r="393" spans="6:8" s="30" customFormat="1">
      <c r="F393" s="36"/>
      <c r="H393" s="37"/>
    </row>
    <row r="394" spans="6:8" s="30" customFormat="1">
      <c r="F394" s="36"/>
      <c r="H394" s="37"/>
    </row>
    <row r="395" spans="6:8" s="30" customFormat="1">
      <c r="F395" s="36"/>
      <c r="H395" s="37"/>
    </row>
    <row r="396" spans="6:8" s="30" customFormat="1">
      <c r="F396" s="36"/>
      <c r="H396" s="37"/>
    </row>
    <row r="397" spans="6:8" s="30" customFormat="1">
      <c r="F397" s="36"/>
      <c r="H397" s="37"/>
    </row>
    <row r="398" spans="6:8" s="30" customFormat="1">
      <c r="F398" s="36"/>
      <c r="H398" s="37"/>
    </row>
    <row r="399" spans="6:8" s="30" customFormat="1">
      <c r="F399" s="36"/>
      <c r="H399" s="37"/>
    </row>
    <row r="400" spans="6:8" s="30" customFormat="1">
      <c r="F400" s="36"/>
      <c r="H400" s="37"/>
    </row>
    <row r="401" spans="6:8" s="30" customFormat="1">
      <c r="F401" s="36"/>
      <c r="H401" s="37"/>
    </row>
    <row r="402" spans="6:8" s="30" customFormat="1">
      <c r="F402" s="36"/>
      <c r="H402" s="37"/>
    </row>
    <row r="403" spans="6:8" s="30" customFormat="1">
      <c r="F403" s="36"/>
      <c r="H403" s="37"/>
    </row>
    <row r="404" spans="6:8" s="30" customFormat="1">
      <c r="F404" s="36"/>
      <c r="H404" s="37"/>
    </row>
    <row r="405" spans="6:8" s="30" customFormat="1">
      <c r="F405" s="36"/>
      <c r="H405" s="37"/>
    </row>
    <row r="406" spans="6:8" s="30" customFormat="1">
      <c r="F406" s="36"/>
      <c r="H406" s="37"/>
    </row>
    <row r="407" spans="6:8" s="30" customFormat="1">
      <c r="F407" s="36"/>
      <c r="H407" s="37"/>
    </row>
    <row r="408" spans="6:8" s="30" customFormat="1">
      <c r="F408" s="36"/>
      <c r="H408" s="37"/>
    </row>
    <row r="409" spans="6:8" s="30" customFormat="1">
      <c r="F409" s="36"/>
      <c r="H409" s="37"/>
    </row>
    <row r="410" spans="6:8" s="30" customFormat="1">
      <c r="F410" s="36"/>
      <c r="H410" s="37"/>
    </row>
    <row r="411" spans="6:8" s="30" customFormat="1">
      <c r="F411" s="36"/>
      <c r="H411" s="37"/>
    </row>
    <row r="412" spans="6:8" s="30" customFormat="1">
      <c r="F412" s="36"/>
      <c r="H412" s="37"/>
    </row>
    <row r="413" spans="6:8" s="30" customFormat="1">
      <c r="F413" s="36"/>
      <c r="H413" s="37"/>
    </row>
    <row r="414" spans="6:8" s="30" customFormat="1">
      <c r="F414" s="36"/>
      <c r="H414" s="37"/>
    </row>
    <row r="415" spans="6:8" s="30" customFormat="1">
      <c r="F415" s="36"/>
      <c r="H415" s="37"/>
    </row>
    <row r="416" spans="6:8" s="30" customFormat="1">
      <c r="F416" s="36"/>
      <c r="H416" s="37"/>
    </row>
    <row r="417" spans="6:8" s="30" customFormat="1">
      <c r="F417" s="36"/>
      <c r="H417" s="37"/>
    </row>
    <row r="418" spans="6:8" s="30" customFormat="1">
      <c r="F418" s="36"/>
      <c r="H418" s="37"/>
    </row>
    <row r="419" spans="6:8" s="30" customFormat="1">
      <c r="F419" s="36"/>
      <c r="H419" s="37"/>
    </row>
    <row r="420" spans="6:8" s="30" customFormat="1">
      <c r="F420" s="36"/>
      <c r="H420" s="37"/>
    </row>
    <row r="421" spans="6:8" s="30" customFormat="1">
      <c r="F421" s="36"/>
      <c r="H421" s="37"/>
    </row>
    <row r="422" spans="6:8" s="30" customFormat="1">
      <c r="F422" s="36"/>
      <c r="H422" s="37"/>
    </row>
    <row r="423" spans="6:8" s="30" customFormat="1">
      <c r="F423" s="36"/>
      <c r="H423" s="37"/>
    </row>
    <row r="424" spans="6:8" s="30" customFormat="1">
      <c r="F424" s="36"/>
      <c r="H424" s="37"/>
    </row>
    <row r="425" spans="6:8" s="30" customFormat="1">
      <c r="F425" s="36"/>
      <c r="H425" s="37"/>
    </row>
    <row r="426" spans="6:8" s="30" customFormat="1">
      <c r="F426" s="36"/>
      <c r="H426" s="37"/>
    </row>
    <row r="427" spans="6:8" s="30" customFormat="1">
      <c r="F427" s="36"/>
      <c r="H427" s="37"/>
    </row>
    <row r="428" spans="6:8" s="30" customFormat="1">
      <c r="F428" s="36"/>
      <c r="H428" s="37"/>
    </row>
    <row r="429" spans="6:8" s="30" customFormat="1">
      <c r="F429" s="36"/>
      <c r="H429" s="37"/>
    </row>
    <row r="430" spans="6:8" s="30" customFormat="1">
      <c r="F430" s="36"/>
      <c r="H430" s="37"/>
    </row>
    <row r="431" spans="6:8" s="30" customFormat="1">
      <c r="F431" s="36"/>
      <c r="H431" s="37"/>
    </row>
    <row r="432" spans="6:8" s="30" customFormat="1">
      <c r="F432" s="36"/>
      <c r="H432" s="37"/>
    </row>
    <row r="433" spans="6:8" s="30" customFormat="1">
      <c r="F433" s="36"/>
      <c r="H433" s="37"/>
    </row>
    <row r="434" spans="6:8" s="30" customFormat="1">
      <c r="F434" s="36"/>
      <c r="H434" s="37"/>
    </row>
    <row r="435" spans="6:8" s="30" customFormat="1">
      <c r="F435" s="36"/>
      <c r="H435" s="37"/>
    </row>
    <row r="436" spans="6:8" s="30" customFormat="1">
      <c r="F436" s="36"/>
      <c r="H436" s="37"/>
    </row>
    <row r="437" spans="6:8" s="30" customFormat="1">
      <c r="F437" s="36"/>
      <c r="H437" s="37"/>
    </row>
    <row r="438" spans="6:8" s="30" customFormat="1">
      <c r="F438" s="36"/>
      <c r="H438" s="37"/>
    </row>
    <row r="439" spans="6:8" s="30" customFormat="1">
      <c r="F439" s="36"/>
      <c r="H439" s="37"/>
    </row>
    <row r="440" spans="6:8" s="30" customFormat="1">
      <c r="F440" s="36"/>
      <c r="H440" s="37"/>
    </row>
    <row r="441" spans="6:8" s="30" customFormat="1">
      <c r="F441" s="36"/>
      <c r="H441" s="37"/>
    </row>
    <row r="442" spans="6:8" s="30" customFormat="1">
      <c r="F442" s="36"/>
      <c r="H442" s="37"/>
    </row>
    <row r="443" spans="6:8" s="30" customFormat="1">
      <c r="F443" s="36"/>
      <c r="H443" s="37"/>
    </row>
    <row r="444" spans="6:8" s="30" customFormat="1">
      <c r="F444" s="36"/>
      <c r="H444" s="37"/>
    </row>
    <row r="445" spans="6:8" s="30" customFormat="1">
      <c r="F445" s="36"/>
      <c r="H445" s="37"/>
    </row>
    <row r="446" spans="6:8" s="30" customFormat="1">
      <c r="F446" s="36"/>
      <c r="H446" s="37"/>
    </row>
    <row r="447" spans="6:8" s="30" customFormat="1">
      <c r="F447" s="36"/>
      <c r="H447" s="37"/>
    </row>
    <row r="448" spans="6:8" s="30" customFormat="1">
      <c r="F448" s="36"/>
      <c r="H448" s="37"/>
    </row>
    <row r="449" spans="6:8" s="30" customFormat="1">
      <c r="F449" s="36"/>
      <c r="H449" s="37"/>
    </row>
    <row r="450" spans="6:8" s="30" customFormat="1">
      <c r="F450" s="36"/>
      <c r="H450" s="37"/>
    </row>
    <row r="451" spans="6:8" s="30" customFormat="1">
      <c r="F451" s="36"/>
      <c r="H451" s="37"/>
    </row>
    <row r="452" spans="6:8" s="30" customFormat="1">
      <c r="F452" s="36"/>
      <c r="H452" s="37"/>
    </row>
    <row r="453" spans="6:8" s="30" customFormat="1">
      <c r="F453" s="36"/>
      <c r="H453" s="37"/>
    </row>
    <row r="454" spans="6:8" s="30" customFormat="1">
      <c r="F454" s="36"/>
      <c r="H454" s="37"/>
    </row>
    <row r="455" spans="6:8" s="30" customFormat="1">
      <c r="F455" s="36"/>
      <c r="H455" s="37"/>
    </row>
    <row r="456" spans="6:8" s="30" customFormat="1">
      <c r="F456" s="36"/>
      <c r="H456" s="37"/>
    </row>
    <row r="457" spans="6:8" s="30" customFormat="1">
      <c r="F457" s="36"/>
      <c r="H457" s="37"/>
    </row>
    <row r="458" spans="6:8" s="30" customFormat="1">
      <c r="F458" s="36"/>
      <c r="H458" s="37"/>
    </row>
    <row r="459" spans="6:8" s="30" customFormat="1">
      <c r="F459" s="36"/>
      <c r="H459" s="37"/>
    </row>
    <row r="460" spans="6:8" s="30" customFormat="1">
      <c r="F460" s="36"/>
      <c r="H460" s="37"/>
    </row>
    <row r="461" spans="6:8" s="30" customFormat="1">
      <c r="F461" s="36"/>
      <c r="H461" s="37"/>
    </row>
    <row r="462" spans="6:8" s="30" customFormat="1">
      <c r="F462" s="36"/>
      <c r="H462" s="37"/>
    </row>
    <row r="463" spans="6:8" s="30" customFormat="1">
      <c r="F463" s="36"/>
      <c r="H463" s="37"/>
    </row>
    <row r="464" spans="6:8" s="30" customFormat="1">
      <c r="F464" s="36"/>
      <c r="H464" s="37"/>
    </row>
    <row r="465" spans="6:8" s="30" customFormat="1">
      <c r="F465" s="36"/>
      <c r="H465" s="37"/>
    </row>
    <row r="466" spans="6:8" s="30" customFormat="1">
      <c r="F466" s="36"/>
      <c r="H466" s="37"/>
    </row>
    <row r="467" spans="6:8" s="30" customFormat="1">
      <c r="F467" s="36"/>
      <c r="H467" s="37"/>
    </row>
    <row r="468" spans="6:8" s="30" customFormat="1">
      <c r="F468" s="36"/>
      <c r="H468" s="37"/>
    </row>
    <row r="469" spans="6:8" s="30" customFormat="1">
      <c r="F469" s="36"/>
      <c r="H469" s="37"/>
    </row>
    <row r="470" spans="6:8" s="30" customFormat="1">
      <c r="F470" s="36"/>
      <c r="H470" s="37"/>
    </row>
    <row r="471" spans="6:8" s="30" customFormat="1">
      <c r="F471" s="36"/>
      <c r="H471" s="37"/>
    </row>
    <row r="472" spans="6:8" s="30" customFormat="1">
      <c r="F472" s="36"/>
      <c r="H472" s="37"/>
    </row>
    <row r="473" spans="6:8" s="30" customFormat="1">
      <c r="F473" s="36"/>
      <c r="H473" s="37"/>
    </row>
    <row r="474" spans="6:8" s="30" customFormat="1">
      <c r="F474" s="36"/>
      <c r="H474" s="37"/>
    </row>
    <row r="475" spans="6:8" s="30" customFormat="1">
      <c r="F475" s="36"/>
      <c r="H475" s="37"/>
    </row>
    <row r="476" spans="6:8" s="30" customFormat="1">
      <c r="F476" s="36"/>
      <c r="H476" s="37"/>
    </row>
    <row r="477" spans="6:8" s="30" customFormat="1">
      <c r="F477" s="36"/>
      <c r="H477" s="37"/>
    </row>
    <row r="478" spans="6:8" s="30" customFormat="1">
      <c r="F478" s="36"/>
      <c r="H478" s="37"/>
    </row>
    <row r="479" spans="6:8" s="30" customFormat="1">
      <c r="F479" s="36"/>
      <c r="H479" s="37"/>
    </row>
    <row r="480" spans="6:8" s="30" customFormat="1">
      <c r="F480" s="36"/>
      <c r="H480" s="37"/>
    </row>
    <row r="481" spans="6:8" s="30" customFormat="1">
      <c r="F481" s="36"/>
      <c r="H481" s="37"/>
    </row>
    <row r="482" spans="6:8" s="30" customFormat="1">
      <c r="F482" s="36"/>
      <c r="H482" s="37"/>
    </row>
    <row r="483" spans="6:8" s="30" customFormat="1">
      <c r="F483" s="36"/>
      <c r="H483" s="37"/>
    </row>
    <row r="484" spans="6:8" s="30" customFormat="1">
      <c r="F484" s="36"/>
      <c r="H484" s="37"/>
    </row>
    <row r="485" spans="6:8" s="30" customFormat="1">
      <c r="F485" s="36"/>
      <c r="H485" s="37"/>
    </row>
    <row r="486" spans="6:8" s="30" customFormat="1">
      <c r="F486" s="36"/>
      <c r="H486" s="37"/>
    </row>
    <row r="487" spans="6:8" s="30" customFormat="1">
      <c r="F487" s="36"/>
      <c r="H487" s="37"/>
    </row>
    <row r="488" spans="6:8" s="30" customFormat="1">
      <c r="F488" s="36"/>
      <c r="H488" s="37"/>
    </row>
    <row r="489" spans="6:8" s="30" customFormat="1">
      <c r="F489" s="36"/>
      <c r="H489" s="37"/>
    </row>
    <row r="490" spans="6:8" s="30" customFormat="1">
      <c r="F490" s="36"/>
      <c r="H490" s="37"/>
    </row>
    <row r="491" spans="6:8" s="30" customFormat="1">
      <c r="F491" s="36"/>
      <c r="H491" s="37"/>
    </row>
    <row r="492" spans="6:8" s="30" customFormat="1">
      <c r="F492" s="36"/>
      <c r="H492" s="37"/>
    </row>
    <row r="493" spans="6:8" s="30" customFormat="1">
      <c r="F493" s="36"/>
      <c r="H493" s="37"/>
    </row>
    <row r="494" spans="6:8" s="30" customFormat="1">
      <c r="F494" s="36"/>
      <c r="H494" s="37"/>
    </row>
    <row r="495" spans="6:8" s="30" customFormat="1">
      <c r="F495" s="36"/>
      <c r="H495" s="37"/>
    </row>
    <row r="496" spans="6:8" s="30" customFormat="1">
      <c r="F496" s="36"/>
      <c r="H496" s="37"/>
    </row>
    <row r="497" spans="6:8" s="30" customFormat="1">
      <c r="F497" s="36"/>
      <c r="H497" s="37"/>
    </row>
    <row r="498" spans="6:8" s="30" customFormat="1">
      <c r="F498" s="36"/>
      <c r="H498" s="37"/>
    </row>
    <row r="499" spans="6:8" s="30" customFormat="1">
      <c r="F499" s="36"/>
      <c r="H499" s="37"/>
    </row>
    <row r="500" spans="6:8" s="30" customFormat="1">
      <c r="F500" s="36"/>
      <c r="H500" s="37"/>
    </row>
    <row r="501" spans="6:8" s="30" customFormat="1">
      <c r="F501" s="36"/>
      <c r="H501" s="37"/>
    </row>
    <row r="502" spans="6:8" s="30" customFormat="1">
      <c r="F502" s="36"/>
      <c r="H502" s="37"/>
    </row>
    <row r="503" spans="6:8" s="30" customFormat="1">
      <c r="F503" s="36"/>
      <c r="H503" s="37"/>
    </row>
    <row r="504" spans="6:8" s="30" customFormat="1">
      <c r="F504" s="36"/>
      <c r="H504" s="37"/>
    </row>
    <row r="505" spans="6:8" s="30" customFormat="1">
      <c r="F505" s="36"/>
      <c r="H505" s="37"/>
    </row>
    <row r="506" spans="6:8" s="30" customFormat="1">
      <c r="F506" s="36"/>
      <c r="H506" s="37"/>
    </row>
    <row r="507" spans="6:8" s="30" customFormat="1">
      <c r="F507" s="36"/>
      <c r="H507" s="37"/>
    </row>
    <row r="508" spans="6:8" s="30" customFormat="1">
      <c r="F508" s="36"/>
      <c r="H508" s="37"/>
    </row>
    <row r="509" spans="6:8" s="30" customFormat="1">
      <c r="F509" s="36"/>
      <c r="H509" s="37"/>
    </row>
    <row r="510" spans="6:8" s="30" customFormat="1">
      <c r="F510" s="36"/>
      <c r="H510" s="37"/>
    </row>
    <row r="511" spans="6:8" s="30" customFormat="1">
      <c r="F511" s="36"/>
      <c r="H511" s="37"/>
    </row>
    <row r="512" spans="6:8" s="30" customFormat="1">
      <c r="F512" s="36"/>
      <c r="H512" s="37"/>
    </row>
    <row r="513" spans="6:8" s="30" customFormat="1">
      <c r="F513" s="36"/>
      <c r="H513" s="37"/>
    </row>
    <row r="514" spans="6:8" s="30" customFormat="1">
      <c r="F514" s="36"/>
      <c r="H514" s="37"/>
    </row>
    <row r="515" spans="6:8" s="30" customFormat="1">
      <c r="F515" s="36"/>
      <c r="H515" s="37"/>
    </row>
    <row r="516" spans="6:8" s="30" customFormat="1">
      <c r="F516" s="36"/>
      <c r="H516" s="37"/>
    </row>
    <row r="517" spans="6:8" s="30" customFormat="1">
      <c r="F517" s="36"/>
      <c r="H517" s="37"/>
    </row>
    <row r="518" spans="6:8" s="30" customFormat="1">
      <c r="F518" s="36"/>
      <c r="H518" s="37"/>
    </row>
    <row r="519" spans="6:8" s="30" customFormat="1">
      <c r="F519" s="36"/>
      <c r="H519" s="37"/>
    </row>
    <row r="520" spans="6:8" s="30" customFormat="1">
      <c r="F520" s="36"/>
      <c r="H520" s="37"/>
    </row>
    <row r="521" spans="6:8" s="30" customFormat="1">
      <c r="F521" s="36"/>
      <c r="H521" s="37"/>
    </row>
    <row r="522" spans="6:8" s="30" customFormat="1">
      <c r="F522" s="36"/>
      <c r="H522" s="37"/>
    </row>
    <row r="523" spans="6:8" s="30" customFormat="1">
      <c r="F523" s="36"/>
      <c r="H523" s="37"/>
    </row>
    <row r="524" spans="6:8" s="30" customFormat="1">
      <c r="F524" s="36"/>
      <c r="H524" s="37"/>
    </row>
    <row r="525" spans="6:8" s="30" customFormat="1">
      <c r="F525" s="36"/>
      <c r="H525" s="37"/>
    </row>
    <row r="526" spans="6:8" s="30" customFormat="1">
      <c r="F526" s="36"/>
      <c r="H526" s="37"/>
    </row>
    <row r="527" spans="6:8" s="30" customFormat="1">
      <c r="F527" s="36"/>
      <c r="H527" s="37"/>
    </row>
    <row r="528" spans="6:8" s="30" customFormat="1">
      <c r="F528" s="36"/>
      <c r="H528" s="37"/>
    </row>
    <row r="529" spans="6:8" s="30" customFormat="1">
      <c r="F529" s="36"/>
      <c r="H529" s="37"/>
    </row>
    <row r="530" spans="6:8" s="30" customFormat="1">
      <c r="F530" s="36"/>
      <c r="H530" s="37"/>
    </row>
    <row r="531" spans="6:8" s="30" customFormat="1">
      <c r="F531" s="36"/>
      <c r="H531" s="37"/>
    </row>
    <row r="532" spans="6:8" s="30" customFormat="1">
      <c r="F532" s="36"/>
      <c r="H532" s="37"/>
    </row>
    <row r="533" spans="6:8" s="30" customFormat="1">
      <c r="F533" s="36"/>
      <c r="H533" s="37"/>
    </row>
    <row r="534" spans="6:8" s="30" customFormat="1">
      <c r="F534" s="36"/>
      <c r="H534" s="37"/>
    </row>
    <row r="535" spans="6:8" s="30" customFormat="1">
      <c r="F535" s="36"/>
      <c r="H535" s="37"/>
    </row>
    <row r="536" spans="6:8" s="30" customFormat="1">
      <c r="F536" s="36"/>
      <c r="H536" s="37"/>
    </row>
    <row r="537" spans="6:8" s="30" customFormat="1">
      <c r="F537" s="36"/>
      <c r="H537" s="37"/>
    </row>
    <row r="538" spans="6:8" s="30" customFormat="1">
      <c r="F538" s="36"/>
      <c r="H538" s="37"/>
    </row>
    <row r="539" spans="6:8" s="30" customFormat="1">
      <c r="F539" s="36"/>
      <c r="H539" s="37"/>
    </row>
    <row r="540" spans="6:8" s="30" customFormat="1">
      <c r="F540" s="36"/>
      <c r="H540" s="37"/>
    </row>
    <row r="541" spans="6:8" s="30" customFormat="1">
      <c r="F541" s="36"/>
      <c r="H541" s="37"/>
    </row>
    <row r="542" spans="6:8" s="30" customFormat="1">
      <c r="F542" s="36"/>
      <c r="H542" s="37"/>
    </row>
    <row r="543" spans="6:8" s="30" customFormat="1">
      <c r="F543" s="36"/>
      <c r="H543" s="37"/>
    </row>
    <row r="544" spans="6:8" s="30" customFormat="1">
      <c r="F544" s="36"/>
      <c r="H544" s="37"/>
    </row>
    <row r="545" spans="2:8" s="30" customFormat="1">
      <c r="F545" s="36"/>
      <c r="H545" s="37"/>
    </row>
    <row r="546" spans="2:8" s="30" customFormat="1">
      <c r="F546" s="36"/>
      <c r="H546" s="37"/>
    </row>
    <row r="547" spans="2:8" s="30" customFormat="1">
      <c r="F547" s="36"/>
      <c r="H547" s="37"/>
    </row>
    <row r="548" spans="2:8" s="30" customFormat="1">
      <c r="F548" s="36"/>
      <c r="H548" s="37"/>
    </row>
    <row r="549" spans="2:8" s="30" customFormat="1">
      <c r="F549" s="36"/>
      <c r="H549" s="37"/>
    </row>
    <row r="550" spans="2:8" s="30" customFormat="1">
      <c r="F550" s="36"/>
      <c r="H550" s="37"/>
    </row>
    <row r="551" spans="2:8" s="30" customFormat="1">
      <c r="F551" s="36"/>
      <c r="H551" s="37"/>
    </row>
    <row r="552" spans="2:8" s="30" customFormat="1">
      <c r="F552" s="36"/>
      <c r="H552" s="37"/>
    </row>
    <row r="553" spans="2:8" s="30" customFormat="1">
      <c r="F553" s="36"/>
      <c r="H553" s="37"/>
    </row>
    <row r="554" spans="2:8">
      <c r="B554" s="30"/>
      <c r="C554" s="30"/>
      <c r="D554" s="30"/>
      <c r="E554" s="30"/>
      <c r="F554" s="36"/>
      <c r="G554" s="30"/>
      <c r="H554" s="37"/>
    </row>
    <row r="555" spans="2:8">
      <c r="B555" s="30"/>
      <c r="C555" s="30"/>
      <c r="D555" s="30"/>
      <c r="E555" s="30"/>
      <c r="F555" s="36"/>
      <c r="G555" s="30"/>
      <c r="H555" s="37"/>
    </row>
    <row r="556" spans="2:8">
      <c r="B556" s="30"/>
      <c r="C556" s="30"/>
      <c r="D556" s="30"/>
      <c r="E556" s="30"/>
      <c r="F556" s="36"/>
      <c r="G556" s="30"/>
      <c r="H556" s="37"/>
    </row>
    <row r="557" spans="2:8">
      <c r="B557" s="30"/>
      <c r="C557" s="30"/>
      <c r="D557" s="30"/>
      <c r="E557" s="30"/>
      <c r="F557" s="36"/>
      <c r="G557" s="30"/>
      <c r="H557" s="37"/>
    </row>
    <row r="558" spans="2:8">
      <c r="B558" s="30"/>
      <c r="C558" s="30"/>
      <c r="D558" s="30"/>
      <c r="E558" s="30"/>
      <c r="F558" s="36"/>
      <c r="G558" s="30"/>
      <c r="H558" s="37"/>
    </row>
    <row r="559" spans="2:8">
      <c r="B559" s="30"/>
      <c r="C559" s="30"/>
      <c r="D559" s="30"/>
      <c r="E559" s="30"/>
      <c r="F559" s="36"/>
      <c r="G559" s="30"/>
      <c r="H559" s="37"/>
    </row>
    <row r="560" spans="2:8">
      <c r="B560" s="30"/>
      <c r="C560" s="30"/>
      <c r="D560" s="30"/>
      <c r="E560" s="30"/>
      <c r="F560" s="36"/>
      <c r="G560" s="30"/>
      <c r="H560" s="37"/>
    </row>
    <row r="561" spans="2:8">
      <c r="B561" s="30"/>
      <c r="C561" s="30"/>
      <c r="D561" s="30"/>
      <c r="E561" s="30"/>
      <c r="F561" s="36"/>
      <c r="G561" s="30"/>
      <c r="H561" s="37"/>
    </row>
    <row r="562" spans="2:8">
      <c r="B562" s="30"/>
      <c r="C562" s="30"/>
      <c r="D562" s="30"/>
      <c r="E562" s="30"/>
      <c r="F562" s="36"/>
      <c r="G562" s="30"/>
      <c r="H562" s="37"/>
    </row>
  </sheetData>
  <mergeCells count="2">
    <mergeCell ref="B1:H1"/>
    <mergeCell ref="B2:H2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A863"/>
  <sheetViews>
    <sheetView zoomScaleNormal="100" workbookViewId="0">
      <selection activeCell="B38" sqref="B38"/>
    </sheetView>
  </sheetViews>
  <sheetFormatPr defaultRowHeight="12.75"/>
  <cols>
    <col min="1" max="1" width="3.42578125" style="30" bestFit="1" customWidth="1"/>
    <col min="2" max="2" width="50.42578125" bestFit="1" customWidth="1"/>
    <col min="3" max="3" width="16.85546875" bestFit="1" customWidth="1"/>
    <col min="4" max="4" width="33.5703125" bestFit="1" customWidth="1"/>
    <col min="5" max="5" width="16.85546875" bestFit="1" customWidth="1"/>
    <col min="6" max="6" width="16.85546875" style="3" bestFit="1" customWidth="1"/>
    <col min="7" max="7" width="25.140625" hidden="1" customWidth="1"/>
    <col min="8" max="8" width="16.85546875" style="4" bestFit="1" customWidth="1"/>
    <col min="9" max="9" width="25.140625" hidden="1" customWidth="1"/>
    <col min="10" max="105" width="9.140625" style="30"/>
  </cols>
  <sheetData>
    <row r="1" spans="1:9" ht="20.25" customHeight="1">
      <c r="A1" s="27"/>
      <c r="B1" s="180" t="s">
        <v>0</v>
      </c>
      <c r="C1" s="181"/>
      <c r="D1" s="181"/>
      <c r="E1" s="181"/>
      <c r="F1" s="181"/>
      <c r="G1" s="181"/>
      <c r="H1" s="182"/>
      <c r="I1" s="1"/>
    </row>
    <row r="2" spans="1:9" ht="12.95" customHeight="1" thickBot="1">
      <c r="A2" s="27"/>
      <c r="B2" s="183" t="s">
        <v>410</v>
      </c>
      <c r="C2" s="184"/>
      <c r="D2" s="184"/>
      <c r="E2" s="184"/>
      <c r="F2" s="184"/>
      <c r="G2" s="184"/>
      <c r="H2" s="185"/>
      <c r="I2" s="1"/>
    </row>
    <row r="3" spans="1:9" s="30" customFormat="1" ht="12.95" customHeight="1">
      <c r="A3" s="27"/>
      <c r="B3" s="147"/>
      <c r="C3" s="147"/>
      <c r="D3" s="147"/>
      <c r="E3" s="147"/>
      <c r="F3" s="147"/>
      <c r="G3" s="147"/>
      <c r="H3" s="147"/>
      <c r="I3" s="27"/>
    </row>
    <row r="4" spans="1:9" s="30" customFormat="1" ht="12.95" customHeight="1">
      <c r="A4" s="28"/>
      <c r="B4" s="32" t="s">
        <v>2</v>
      </c>
      <c r="C4" s="27"/>
      <c r="D4" s="27"/>
      <c r="E4" s="27"/>
      <c r="F4" s="33"/>
      <c r="G4" s="27"/>
      <c r="H4" s="34"/>
      <c r="I4" s="27"/>
    </row>
    <row r="5" spans="1:9" s="30" customFormat="1" ht="12.95" customHeight="1" thickBot="1">
      <c r="A5" s="28"/>
      <c r="B5" s="32"/>
      <c r="C5" s="27"/>
      <c r="D5" s="27"/>
      <c r="E5" s="27"/>
      <c r="F5" s="33"/>
      <c r="G5" s="27"/>
      <c r="H5" s="34"/>
      <c r="I5" s="27"/>
    </row>
    <row r="6" spans="1:9" ht="27.95" customHeight="1" thickBot="1">
      <c r="A6" s="27"/>
      <c r="B6" s="82" t="s">
        <v>3</v>
      </c>
      <c r="C6" s="83" t="s">
        <v>4</v>
      </c>
      <c r="D6" s="84" t="s">
        <v>5</v>
      </c>
      <c r="E6" s="84" t="s">
        <v>6</v>
      </c>
      <c r="F6" s="85" t="s">
        <v>7</v>
      </c>
      <c r="G6" s="84" t="s">
        <v>8</v>
      </c>
      <c r="H6" s="86" t="s">
        <v>9</v>
      </c>
      <c r="I6" s="38" t="s">
        <v>10</v>
      </c>
    </row>
    <row r="7" spans="1:9" ht="12.95" customHeight="1">
      <c r="A7" s="27"/>
      <c r="B7" s="155" t="s">
        <v>387</v>
      </c>
      <c r="C7" s="156"/>
      <c r="D7" s="126"/>
      <c r="E7" s="126"/>
      <c r="F7" s="127"/>
      <c r="G7" s="126"/>
      <c r="H7" s="146"/>
      <c r="I7" s="6"/>
    </row>
    <row r="8" spans="1:9" ht="12.95" customHeight="1">
      <c r="A8" s="27"/>
      <c r="B8" s="19" t="s">
        <v>388</v>
      </c>
      <c r="C8" s="45"/>
      <c r="D8" s="46"/>
      <c r="E8" s="153" t="s">
        <v>197</v>
      </c>
      <c r="F8" s="153" t="s">
        <v>197</v>
      </c>
      <c r="G8" s="150" t="s">
        <v>197</v>
      </c>
      <c r="H8" s="154" t="s">
        <v>197</v>
      </c>
      <c r="I8" s="7" t="s">
        <v>197</v>
      </c>
    </row>
    <row r="9" spans="1:9" ht="12.95" customHeight="1">
      <c r="A9" s="29"/>
      <c r="B9" s="22" t="s">
        <v>196</v>
      </c>
      <c r="C9" s="45"/>
      <c r="D9" s="46"/>
      <c r="E9" s="153" t="s">
        <v>197</v>
      </c>
      <c r="F9" s="153" t="s">
        <v>197</v>
      </c>
      <c r="G9" s="150" t="s">
        <v>197</v>
      </c>
      <c r="H9" s="154" t="s">
        <v>197</v>
      </c>
      <c r="I9" s="7" t="s">
        <v>197</v>
      </c>
    </row>
    <row r="10" spans="1:9" ht="12.95" customHeight="1">
      <c r="A10" s="27"/>
      <c r="B10" s="22"/>
      <c r="C10" s="45"/>
      <c r="D10" s="46"/>
      <c r="E10" s="153"/>
      <c r="F10" s="153"/>
      <c r="G10" s="150"/>
      <c r="H10" s="154"/>
      <c r="I10" s="7"/>
    </row>
    <row r="11" spans="1:9" ht="12.95" customHeight="1">
      <c r="A11" s="27"/>
      <c r="B11" s="14" t="s">
        <v>389</v>
      </c>
      <c r="C11" s="45"/>
      <c r="D11" s="46"/>
      <c r="E11" s="153"/>
      <c r="F11" s="153"/>
      <c r="G11" s="150"/>
      <c r="H11" s="154"/>
      <c r="I11" s="7"/>
    </row>
    <row r="12" spans="1:9" ht="12.95" customHeight="1">
      <c r="A12" s="27"/>
      <c r="B12" s="19" t="s">
        <v>390</v>
      </c>
      <c r="C12" s="45"/>
      <c r="D12" s="46"/>
      <c r="E12" s="153" t="s">
        <v>197</v>
      </c>
      <c r="F12" s="153" t="s">
        <v>197</v>
      </c>
      <c r="G12" s="150" t="s">
        <v>197</v>
      </c>
      <c r="H12" s="154" t="s">
        <v>197</v>
      </c>
      <c r="I12" s="7" t="s">
        <v>197</v>
      </c>
    </row>
    <row r="13" spans="1:9" ht="12.95" customHeight="1">
      <c r="A13" s="29"/>
      <c r="B13" s="22" t="s">
        <v>391</v>
      </c>
      <c r="C13" s="45"/>
      <c r="D13" s="46"/>
      <c r="E13" s="153" t="s">
        <v>197</v>
      </c>
      <c r="F13" s="153" t="s">
        <v>197</v>
      </c>
      <c r="G13" s="46"/>
      <c r="H13" s="154" t="s">
        <v>197</v>
      </c>
      <c r="I13" s="8"/>
    </row>
    <row r="14" spans="1:9" ht="12.95" customHeight="1">
      <c r="A14" s="27"/>
      <c r="B14" s="22" t="s">
        <v>392</v>
      </c>
      <c r="C14" s="45"/>
      <c r="D14" s="46"/>
      <c r="E14" s="153" t="s">
        <v>197</v>
      </c>
      <c r="F14" s="153" t="s">
        <v>197</v>
      </c>
      <c r="G14" s="46"/>
      <c r="H14" s="154" t="s">
        <v>197</v>
      </c>
      <c r="I14" s="8"/>
    </row>
    <row r="15" spans="1:9" ht="12.95" customHeight="1">
      <c r="A15" s="27"/>
      <c r="B15" s="22"/>
      <c r="C15" s="45"/>
      <c r="D15" s="46"/>
      <c r="E15" s="150"/>
      <c r="F15" s="151"/>
      <c r="G15" s="46"/>
      <c r="H15" s="152"/>
      <c r="I15" s="5"/>
    </row>
    <row r="16" spans="1:9" ht="12.95" customHeight="1">
      <c r="A16" s="27"/>
      <c r="B16" s="64" t="s">
        <v>11</v>
      </c>
      <c r="C16" s="16" t="s">
        <v>1</v>
      </c>
      <c r="D16" s="16" t="s">
        <v>1</v>
      </c>
      <c r="E16" s="16" t="s">
        <v>1</v>
      </c>
      <c r="F16" s="49" t="s">
        <v>1</v>
      </c>
      <c r="G16" s="50"/>
      <c r="H16" s="67" t="s">
        <v>1</v>
      </c>
      <c r="I16" s="39" t="s">
        <v>1</v>
      </c>
    </row>
    <row r="17" spans="1:9" ht="12.95" customHeight="1">
      <c r="A17" s="27"/>
      <c r="B17" s="64" t="s">
        <v>12</v>
      </c>
      <c r="C17" s="16" t="s">
        <v>1</v>
      </c>
      <c r="D17" s="16" t="s">
        <v>1</v>
      </c>
      <c r="E17" s="16" t="s">
        <v>1</v>
      </c>
      <c r="F17" s="49" t="s">
        <v>1</v>
      </c>
      <c r="G17" s="50"/>
      <c r="H17" s="67" t="s">
        <v>1</v>
      </c>
      <c r="I17" s="39" t="s">
        <v>1</v>
      </c>
    </row>
    <row r="18" spans="1:9" ht="12.95" customHeight="1">
      <c r="A18" s="29"/>
      <c r="B18" s="68" t="s">
        <v>13</v>
      </c>
      <c r="C18" s="16" t="s">
        <v>14</v>
      </c>
      <c r="D18" s="16" t="s">
        <v>15</v>
      </c>
      <c r="E18" s="52">
        <v>998000</v>
      </c>
      <c r="F18" s="53">
        <v>991.15365010000005</v>
      </c>
      <c r="G18" s="54">
        <v>991.15</v>
      </c>
      <c r="H18" s="69">
        <v>0.16619269485299729</v>
      </c>
      <c r="I18" s="2">
        <v>0.16619999999999999</v>
      </c>
    </row>
    <row r="19" spans="1:9" ht="12.95" customHeight="1">
      <c r="A19" s="29"/>
      <c r="B19" s="68" t="s">
        <v>16</v>
      </c>
      <c r="C19" s="16" t="s">
        <v>17</v>
      </c>
      <c r="D19" s="16" t="s">
        <v>18</v>
      </c>
      <c r="E19" s="52">
        <v>500000</v>
      </c>
      <c r="F19" s="53">
        <v>499.89602000000002</v>
      </c>
      <c r="G19" s="54">
        <v>499.9</v>
      </c>
      <c r="H19" s="69">
        <v>8.3820572826126163E-2</v>
      </c>
      <c r="I19" s="2">
        <v>8.3799999999999999E-2</v>
      </c>
    </row>
    <row r="20" spans="1:9" ht="12.95" customHeight="1">
      <c r="A20" s="29"/>
      <c r="B20" s="68" t="s">
        <v>19</v>
      </c>
      <c r="C20" s="16" t="s">
        <v>20</v>
      </c>
      <c r="D20" s="16" t="s">
        <v>15</v>
      </c>
      <c r="E20" s="52">
        <v>500000</v>
      </c>
      <c r="F20" s="53">
        <v>499.70127500000001</v>
      </c>
      <c r="G20" s="54">
        <v>499.7</v>
      </c>
      <c r="H20" s="69">
        <v>8.3787918760476629E-2</v>
      </c>
      <c r="I20" s="2">
        <v>8.3799999999999999E-2</v>
      </c>
    </row>
    <row r="21" spans="1:9" ht="12.95" customHeight="1">
      <c r="A21" s="29"/>
      <c r="B21" s="68" t="s">
        <v>21</v>
      </c>
      <c r="C21" s="16" t="s">
        <v>22</v>
      </c>
      <c r="D21" s="16" t="s">
        <v>18</v>
      </c>
      <c r="E21" s="52">
        <v>500000</v>
      </c>
      <c r="F21" s="53">
        <v>498.43653999999998</v>
      </c>
      <c r="G21" s="54">
        <v>498.44</v>
      </c>
      <c r="H21" s="69">
        <v>8.3575853034941847E-2</v>
      </c>
      <c r="I21" s="2">
        <v>8.3599999999999994E-2</v>
      </c>
    </row>
    <row r="22" spans="1:9" ht="12.95" customHeight="1">
      <c r="A22" s="29"/>
      <c r="B22" s="68" t="s">
        <v>23</v>
      </c>
      <c r="C22" s="16" t="s">
        <v>24</v>
      </c>
      <c r="D22" s="16" t="s">
        <v>18</v>
      </c>
      <c r="E22" s="52">
        <v>500000</v>
      </c>
      <c r="F22" s="53">
        <v>496.96479499999998</v>
      </c>
      <c r="G22" s="54">
        <v>496.96</v>
      </c>
      <c r="H22" s="69">
        <v>8.3329076697426716E-2</v>
      </c>
      <c r="I22" s="2">
        <v>8.3299999999999999E-2</v>
      </c>
    </row>
    <row r="23" spans="1:9" ht="12.95" customHeight="1">
      <c r="A23" s="29"/>
      <c r="B23" s="68" t="s">
        <v>25</v>
      </c>
      <c r="C23" s="16" t="s">
        <v>26</v>
      </c>
      <c r="D23" s="16" t="s">
        <v>18</v>
      </c>
      <c r="E23" s="52">
        <v>500000</v>
      </c>
      <c r="F23" s="53">
        <v>496.91268000000002</v>
      </c>
      <c r="G23" s="54">
        <v>496.91</v>
      </c>
      <c r="H23" s="69">
        <v>8.3320338261876001E-2</v>
      </c>
      <c r="I23" s="2">
        <v>8.3299999999999999E-2</v>
      </c>
    </row>
    <row r="24" spans="1:9" ht="12.95" customHeight="1">
      <c r="A24" s="29"/>
      <c r="B24" s="68" t="s">
        <v>27</v>
      </c>
      <c r="C24" s="16" t="s">
        <v>28</v>
      </c>
      <c r="D24" s="16" t="s">
        <v>15</v>
      </c>
      <c r="E24" s="52">
        <v>500000</v>
      </c>
      <c r="F24" s="53">
        <v>496.49710499999998</v>
      </c>
      <c r="G24" s="54">
        <v>496.5</v>
      </c>
      <c r="H24" s="69">
        <v>8.3250656301711121E-2</v>
      </c>
      <c r="I24" s="2">
        <v>8.3299999999999999E-2</v>
      </c>
    </row>
    <row r="25" spans="1:9" ht="12.95" customHeight="1">
      <c r="A25" s="29"/>
      <c r="B25" s="68" t="s">
        <v>29</v>
      </c>
      <c r="C25" s="16" t="s">
        <v>30</v>
      </c>
      <c r="D25" s="16" t="s">
        <v>18</v>
      </c>
      <c r="E25" s="52">
        <v>500000</v>
      </c>
      <c r="F25" s="53">
        <v>496.303335</v>
      </c>
      <c r="G25" s="54">
        <v>496.3</v>
      </c>
      <c r="H25" s="69">
        <v>8.3218165720176748E-2</v>
      </c>
      <c r="I25" s="2">
        <v>8.3199999999999996E-2</v>
      </c>
    </row>
    <row r="26" spans="1:9" ht="12.95" customHeight="1">
      <c r="A26" s="29"/>
      <c r="B26" s="68" t="s">
        <v>32</v>
      </c>
      <c r="C26" s="16" t="s">
        <v>33</v>
      </c>
      <c r="D26" s="16" t="s">
        <v>15</v>
      </c>
      <c r="E26" s="52">
        <v>500000</v>
      </c>
      <c r="F26" s="53">
        <v>495.67380500000002</v>
      </c>
      <c r="G26" s="54">
        <v>495.67</v>
      </c>
      <c r="H26" s="69">
        <v>8.3112608638103505E-2</v>
      </c>
      <c r="I26" s="2">
        <v>8.3099999999999993E-2</v>
      </c>
    </row>
    <row r="27" spans="1:9" ht="12.95" customHeight="1">
      <c r="A27" s="29"/>
      <c r="B27" s="68" t="s">
        <v>34</v>
      </c>
      <c r="C27" s="16" t="s">
        <v>35</v>
      </c>
      <c r="D27" s="16" t="s">
        <v>15</v>
      </c>
      <c r="E27" s="52">
        <v>500000</v>
      </c>
      <c r="F27" s="53">
        <v>495.21834999999999</v>
      </c>
      <c r="G27" s="54">
        <v>495.22</v>
      </c>
      <c r="H27" s="69">
        <v>8.3036239758438241E-2</v>
      </c>
      <c r="I27" s="2">
        <v>8.3000000000000004E-2</v>
      </c>
    </row>
    <row r="28" spans="1:9" ht="12.95" customHeight="1">
      <c r="A28" s="27"/>
      <c r="B28" s="64" t="s">
        <v>31</v>
      </c>
      <c r="C28" s="16" t="s">
        <v>1</v>
      </c>
      <c r="D28" s="16" t="s">
        <v>1</v>
      </c>
      <c r="E28" s="16" t="s">
        <v>1</v>
      </c>
      <c r="F28" s="17">
        <v>5466.7575551</v>
      </c>
      <c r="G28" s="56">
        <v>5466.75</v>
      </c>
      <c r="H28" s="70">
        <v>0.91664412485227431</v>
      </c>
      <c r="I28" s="41">
        <v>0.1661</v>
      </c>
    </row>
    <row r="29" spans="1:9" ht="12.95" customHeight="1">
      <c r="A29" s="27"/>
      <c r="B29" s="64" t="s">
        <v>36</v>
      </c>
      <c r="C29" s="16" t="s">
        <v>1</v>
      </c>
      <c r="D29" s="16" t="s">
        <v>1</v>
      </c>
      <c r="E29" s="16" t="s">
        <v>1</v>
      </c>
      <c r="F29" s="17">
        <v>5466.7575551</v>
      </c>
      <c r="G29" s="56">
        <v>5466.75</v>
      </c>
      <c r="H29" s="70">
        <v>0.91664412485227431</v>
      </c>
      <c r="I29" s="41">
        <v>0.91659999999999997</v>
      </c>
    </row>
    <row r="30" spans="1:9" ht="12.95" customHeight="1">
      <c r="A30" s="27"/>
      <c r="B30" s="64"/>
      <c r="C30" s="16"/>
      <c r="D30" s="16"/>
      <c r="E30" s="16"/>
      <c r="F30" s="17"/>
      <c r="G30" s="56"/>
      <c r="H30" s="70"/>
      <c r="I30" s="100"/>
    </row>
    <row r="31" spans="1:9" ht="12.95" customHeight="1">
      <c r="A31" s="27"/>
      <c r="B31" s="64" t="s">
        <v>37</v>
      </c>
      <c r="C31" s="16" t="s">
        <v>1</v>
      </c>
      <c r="D31" s="16" t="s">
        <v>1</v>
      </c>
      <c r="E31" s="16" t="s">
        <v>1</v>
      </c>
      <c r="F31" s="49" t="s">
        <v>1</v>
      </c>
      <c r="G31" s="50"/>
      <c r="H31" s="67" t="s">
        <v>1</v>
      </c>
      <c r="I31" s="39" t="s">
        <v>1</v>
      </c>
    </row>
    <row r="32" spans="1:9" ht="12.95" customHeight="1">
      <c r="A32" s="29"/>
      <c r="B32" s="68" t="s">
        <v>38</v>
      </c>
      <c r="C32" s="16" t="s">
        <v>1</v>
      </c>
      <c r="D32" s="16" t="s">
        <v>39</v>
      </c>
      <c r="E32" s="52"/>
      <c r="F32" s="53">
        <v>474.02839999999998</v>
      </c>
      <c r="G32" s="54">
        <v>474.03</v>
      </c>
      <c r="H32" s="69">
        <v>7.9483193372597905E-2</v>
      </c>
      <c r="I32" s="2">
        <v>7.9500000000000001E-2</v>
      </c>
    </row>
    <row r="33" spans="1:10" ht="12.95" customHeight="1">
      <c r="A33" s="27"/>
      <c r="B33" s="64" t="s">
        <v>31</v>
      </c>
      <c r="C33" s="16" t="s">
        <v>1</v>
      </c>
      <c r="D33" s="16" t="s">
        <v>1</v>
      </c>
      <c r="E33" s="16" t="s">
        <v>1</v>
      </c>
      <c r="F33" s="17">
        <v>474.02839999999998</v>
      </c>
      <c r="G33" s="56">
        <v>474.03</v>
      </c>
      <c r="H33" s="70">
        <v>7.9483193372597905E-2</v>
      </c>
      <c r="I33" s="41">
        <v>7.9500000000000001E-2</v>
      </c>
    </row>
    <row r="34" spans="1:10" ht="12.95" customHeight="1">
      <c r="A34" s="27"/>
      <c r="B34" s="64"/>
      <c r="C34" s="16"/>
      <c r="D34" s="16"/>
      <c r="E34" s="16"/>
      <c r="F34" s="17"/>
      <c r="G34" s="56"/>
      <c r="H34" s="70"/>
      <c r="I34" s="41"/>
    </row>
    <row r="35" spans="1:10" ht="12.95" customHeight="1">
      <c r="A35" s="27"/>
      <c r="B35" s="64" t="s">
        <v>295</v>
      </c>
      <c r="C35" s="16"/>
      <c r="D35" s="16"/>
      <c r="E35" s="16"/>
      <c r="F35" s="17"/>
      <c r="G35" s="56"/>
      <c r="H35" s="70"/>
      <c r="I35" s="41"/>
    </row>
    <row r="36" spans="1:10" ht="12.95" customHeight="1">
      <c r="A36" s="27"/>
      <c r="B36" s="163" t="s">
        <v>40</v>
      </c>
      <c r="C36" s="16" t="s">
        <v>1</v>
      </c>
      <c r="D36" s="16" t="s">
        <v>1</v>
      </c>
      <c r="E36" s="16" t="s">
        <v>1</v>
      </c>
      <c r="F36" s="53">
        <v>23.096217800000002</v>
      </c>
      <c r="G36" s="54">
        <v>23.1</v>
      </c>
      <c r="H36" s="69">
        <v>3.8726817751278315E-3</v>
      </c>
      <c r="I36" s="149">
        <v>3.8999999999999998E-3</v>
      </c>
      <c r="J36" s="148"/>
    </row>
    <row r="37" spans="1:10" ht="12.95" customHeight="1">
      <c r="A37" s="27"/>
      <c r="B37" s="64" t="s">
        <v>31</v>
      </c>
      <c r="C37" s="16"/>
      <c r="D37" s="16"/>
      <c r="E37" s="16"/>
      <c r="F37" s="17">
        <v>23.096217800000002</v>
      </c>
      <c r="G37" s="56">
        <v>23.1</v>
      </c>
      <c r="H37" s="70">
        <v>3.8726817751278315E-3</v>
      </c>
      <c r="I37" s="61"/>
    </row>
    <row r="38" spans="1:10" ht="12.95" customHeight="1" thickBot="1">
      <c r="A38" s="27"/>
      <c r="B38" s="65" t="s">
        <v>36</v>
      </c>
      <c r="C38" s="24"/>
      <c r="D38" s="24"/>
      <c r="E38" s="24"/>
      <c r="F38" s="25">
        <f>F33+F37</f>
        <v>497.12461779999995</v>
      </c>
      <c r="G38" s="25">
        <f t="shared" ref="G38:I38" si="0">G33+G37</f>
        <v>497.13</v>
      </c>
      <c r="H38" s="102">
        <f t="shared" si="0"/>
        <v>8.335587514772573E-2</v>
      </c>
      <c r="I38" s="96">
        <f t="shared" si="0"/>
        <v>7.9500000000000001E-2</v>
      </c>
    </row>
    <row r="39" spans="1:10" ht="12.95" customHeight="1" thickBot="1">
      <c r="A39" s="27"/>
      <c r="B39" s="103" t="s">
        <v>41</v>
      </c>
      <c r="C39" s="104" t="s">
        <v>1</v>
      </c>
      <c r="D39" s="104" t="s">
        <v>1</v>
      </c>
      <c r="E39" s="104" t="s">
        <v>1</v>
      </c>
      <c r="F39" s="105">
        <v>5963.8821729000001</v>
      </c>
      <c r="G39" s="106">
        <v>5963.88</v>
      </c>
      <c r="H39" s="107">
        <v>1</v>
      </c>
      <c r="I39" s="44">
        <v>1</v>
      </c>
    </row>
    <row r="40" spans="1:10" s="30" customFormat="1" ht="12.95" customHeight="1">
      <c r="A40" s="27"/>
      <c r="B40" s="28" t="s">
        <v>1</v>
      </c>
      <c r="C40" s="27"/>
      <c r="D40" s="27"/>
      <c r="E40" s="27"/>
      <c r="F40" s="33"/>
      <c r="G40" s="27"/>
      <c r="H40" s="34"/>
      <c r="I40" s="27"/>
    </row>
    <row r="41" spans="1:10" s="30" customFormat="1" ht="12.95" customHeight="1">
      <c r="A41" s="27"/>
      <c r="B41" s="35" t="s">
        <v>39</v>
      </c>
      <c r="C41" s="27"/>
      <c r="D41" s="27"/>
      <c r="E41" s="27"/>
      <c r="F41" s="33"/>
      <c r="G41" s="27"/>
      <c r="H41" s="34"/>
      <c r="I41" s="27"/>
    </row>
    <row r="42" spans="1:10" s="30" customFormat="1" ht="12.95" customHeight="1">
      <c r="A42" s="27"/>
      <c r="B42" s="157" t="s">
        <v>42</v>
      </c>
      <c r="C42" s="27"/>
      <c r="D42" s="27"/>
      <c r="E42" s="27"/>
      <c r="F42" s="33"/>
      <c r="G42" s="27"/>
      <c r="H42" s="34"/>
      <c r="I42" s="27"/>
    </row>
    <row r="43" spans="1:10" s="30" customFormat="1" ht="12.95" customHeight="1" thickBot="1">
      <c r="A43" s="27"/>
      <c r="B43" s="157" t="s">
        <v>43</v>
      </c>
      <c r="C43" s="27"/>
      <c r="D43" s="27"/>
      <c r="E43" s="27"/>
      <c r="F43" s="33"/>
      <c r="G43" s="27"/>
      <c r="H43" s="34"/>
      <c r="I43" s="27"/>
    </row>
    <row r="44" spans="1:10" s="30" customFormat="1" ht="12.95" customHeight="1" thickBot="1">
      <c r="A44" s="27"/>
      <c r="B44" s="158" t="s">
        <v>411</v>
      </c>
      <c r="C44" s="159" t="s">
        <v>416</v>
      </c>
      <c r="D44" s="27"/>
      <c r="E44" s="27"/>
      <c r="F44" s="33"/>
      <c r="G44" s="27"/>
      <c r="H44" s="34"/>
      <c r="I44" s="27"/>
    </row>
    <row r="45" spans="1:10" s="30" customFormat="1" ht="12.95" customHeight="1">
      <c r="A45" s="27"/>
      <c r="B45" s="35" t="s">
        <v>1</v>
      </c>
      <c r="C45" s="27"/>
      <c r="D45" s="27"/>
      <c r="E45" s="27"/>
      <c r="F45" s="33"/>
      <c r="G45" s="27"/>
      <c r="H45" s="34"/>
      <c r="I45" s="27"/>
    </row>
    <row r="46" spans="1:10" s="30" customFormat="1">
      <c r="F46" s="36"/>
      <c r="H46" s="37"/>
    </row>
    <row r="47" spans="1:10" s="30" customFormat="1">
      <c r="F47" s="36"/>
      <c r="H47" s="37"/>
    </row>
    <row r="48" spans="1:10" s="30" customFormat="1">
      <c r="F48" s="36"/>
      <c r="H48" s="37"/>
    </row>
    <row r="49" spans="6:8" s="30" customFormat="1">
      <c r="F49" s="36"/>
      <c r="H49" s="37"/>
    </row>
    <row r="50" spans="6:8" s="30" customFormat="1">
      <c r="F50" s="36"/>
      <c r="H50" s="37"/>
    </row>
    <row r="51" spans="6:8" s="30" customFormat="1">
      <c r="F51" s="36"/>
      <c r="H51" s="37"/>
    </row>
    <row r="52" spans="6:8" s="30" customFormat="1">
      <c r="F52" s="36"/>
      <c r="H52" s="37"/>
    </row>
    <row r="53" spans="6:8" s="30" customFormat="1">
      <c r="F53" s="36"/>
      <c r="H53" s="37"/>
    </row>
    <row r="54" spans="6:8" s="30" customFormat="1">
      <c r="F54" s="36"/>
      <c r="H54" s="37"/>
    </row>
    <row r="55" spans="6:8" s="30" customFormat="1">
      <c r="F55" s="36"/>
      <c r="H55" s="37"/>
    </row>
    <row r="56" spans="6:8" s="30" customFormat="1">
      <c r="F56" s="36"/>
      <c r="H56" s="37"/>
    </row>
    <row r="57" spans="6:8" s="30" customFormat="1">
      <c r="F57" s="36"/>
      <c r="H57" s="37"/>
    </row>
    <row r="58" spans="6:8" s="30" customFormat="1">
      <c r="F58" s="36"/>
      <c r="H58" s="37"/>
    </row>
    <row r="59" spans="6:8" s="30" customFormat="1">
      <c r="F59" s="36"/>
      <c r="H59" s="37"/>
    </row>
    <row r="60" spans="6:8" s="30" customFormat="1">
      <c r="F60" s="36"/>
      <c r="H60" s="37"/>
    </row>
    <row r="61" spans="6:8" s="30" customFormat="1">
      <c r="F61" s="36"/>
      <c r="H61" s="37"/>
    </row>
    <row r="62" spans="6:8" s="30" customFormat="1">
      <c r="F62" s="36"/>
      <c r="H62" s="37"/>
    </row>
    <row r="63" spans="6:8" s="30" customFormat="1">
      <c r="F63" s="36"/>
      <c r="H63" s="37"/>
    </row>
    <row r="64" spans="6:8" s="30" customFormat="1">
      <c r="F64" s="36"/>
      <c r="H64" s="37"/>
    </row>
    <row r="65" spans="6:8" s="30" customFormat="1">
      <c r="F65" s="36"/>
      <c r="H65" s="37"/>
    </row>
    <row r="66" spans="6:8" s="30" customFormat="1">
      <c r="F66" s="36"/>
      <c r="H66" s="37"/>
    </row>
    <row r="67" spans="6:8" s="30" customFormat="1">
      <c r="F67" s="36"/>
      <c r="H67" s="37"/>
    </row>
    <row r="68" spans="6:8" s="30" customFormat="1">
      <c r="F68" s="36"/>
      <c r="H68" s="37"/>
    </row>
    <row r="69" spans="6:8" s="30" customFormat="1">
      <c r="F69" s="36"/>
      <c r="H69" s="37"/>
    </row>
    <row r="70" spans="6:8" s="30" customFormat="1">
      <c r="F70" s="36"/>
      <c r="H70" s="37"/>
    </row>
    <row r="71" spans="6:8" s="30" customFormat="1">
      <c r="F71" s="36"/>
      <c r="H71" s="37"/>
    </row>
    <row r="72" spans="6:8" s="30" customFormat="1">
      <c r="F72" s="36"/>
      <c r="H72" s="37"/>
    </row>
    <row r="73" spans="6:8" s="30" customFormat="1">
      <c r="F73" s="36"/>
      <c r="H73" s="37"/>
    </row>
    <row r="74" spans="6:8" s="30" customFormat="1">
      <c r="F74" s="36"/>
      <c r="H74" s="37"/>
    </row>
    <row r="75" spans="6:8" s="30" customFormat="1">
      <c r="F75" s="36"/>
      <c r="H75" s="37"/>
    </row>
    <row r="76" spans="6:8" s="30" customFormat="1">
      <c r="F76" s="36"/>
      <c r="H76" s="37"/>
    </row>
    <row r="77" spans="6:8" s="30" customFormat="1">
      <c r="F77" s="36"/>
      <c r="H77" s="37"/>
    </row>
    <row r="78" spans="6:8" s="30" customFormat="1">
      <c r="F78" s="36"/>
      <c r="H78" s="37"/>
    </row>
    <row r="79" spans="6:8" s="30" customFormat="1">
      <c r="F79" s="36"/>
      <c r="H79" s="37"/>
    </row>
    <row r="80" spans="6:8" s="30" customFormat="1">
      <c r="F80" s="36"/>
      <c r="H80" s="37"/>
    </row>
    <row r="81" spans="6:8" s="30" customFormat="1">
      <c r="F81" s="36"/>
      <c r="H81" s="37"/>
    </row>
    <row r="82" spans="6:8" s="30" customFormat="1">
      <c r="F82" s="36"/>
      <c r="H82" s="37"/>
    </row>
    <row r="83" spans="6:8" s="30" customFormat="1">
      <c r="F83" s="36"/>
      <c r="H83" s="37"/>
    </row>
    <row r="84" spans="6:8" s="30" customFormat="1">
      <c r="F84" s="36"/>
      <c r="H84" s="37"/>
    </row>
    <row r="85" spans="6:8" s="30" customFormat="1">
      <c r="F85" s="36"/>
      <c r="H85" s="37"/>
    </row>
    <row r="86" spans="6:8" s="30" customFormat="1">
      <c r="F86" s="36"/>
      <c r="H86" s="37"/>
    </row>
    <row r="87" spans="6:8" s="30" customFormat="1">
      <c r="F87" s="36"/>
      <c r="H87" s="37"/>
    </row>
    <row r="88" spans="6:8" s="30" customFormat="1">
      <c r="F88" s="36"/>
      <c r="H88" s="37"/>
    </row>
    <row r="89" spans="6:8" s="30" customFormat="1">
      <c r="F89" s="36"/>
      <c r="H89" s="37"/>
    </row>
    <row r="90" spans="6:8" s="30" customFormat="1">
      <c r="F90" s="36"/>
      <c r="H90" s="37"/>
    </row>
    <row r="91" spans="6:8" s="30" customFormat="1">
      <c r="F91" s="36"/>
      <c r="H91" s="37"/>
    </row>
    <row r="92" spans="6:8" s="30" customFormat="1">
      <c r="F92" s="36"/>
      <c r="H92" s="37"/>
    </row>
    <row r="93" spans="6:8" s="30" customFormat="1">
      <c r="F93" s="36"/>
      <c r="H93" s="37"/>
    </row>
    <row r="94" spans="6:8" s="30" customFormat="1">
      <c r="F94" s="36"/>
      <c r="H94" s="37"/>
    </row>
    <row r="95" spans="6:8" s="30" customFormat="1">
      <c r="F95" s="36"/>
      <c r="H95" s="37"/>
    </row>
    <row r="96" spans="6:8" s="30" customFormat="1">
      <c r="F96" s="36"/>
      <c r="H96" s="37"/>
    </row>
    <row r="97" spans="6:8" s="30" customFormat="1">
      <c r="F97" s="36"/>
      <c r="H97" s="37"/>
    </row>
    <row r="98" spans="6:8" s="30" customFormat="1">
      <c r="F98" s="36"/>
      <c r="H98" s="37"/>
    </row>
    <row r="99" spans="6:8" s="30" customFormat="1">
      <c r="F99" s="36"/>
      <c r="H99" s="37"/>
    </row>
    <row r="100" spans="6:8" s="30" customFormat="1">
      <c r="F100" s="36"/>
      <c r="H100" s="37"/>
    </row>
    <row r="101" spans="6:8" s="30" customFormat="1">
      <c r="F101" s="36"/>
      <c r="H101" s="37"/>
    </row>
    <row r="102" spans="6:8" s="30" customFormat="1">
      <c r="F102" s="36"/>
      <c r="H102" s="37"/>
    </row>
    <row r="103" spans="6:8" s="30" customFormat="1">
      <c r="F103" s="36"/>
      <c r="H103" s="37"/>
    </row>
    <row r="104" spans="6:8" s="30" customFormat="1">
      <c r="F104" s="36"/>
      <c r="H104" s="37"/>
    </row>
    <row r="105" spans="6:8" s="30" customFormat="1">
      <c r="F105" s="36"/>
      <c r="H105" s="37"/>
    </row>
    <row r="106" spans="6:8" s="30" customFormat="1">
      <c r="F106" s="36"/>
      <c r="H106" s="37"/>
    </row>
    <row r="107" spans="6:8" s="30" customFormat="1">
      <c r="F107" s="36"/>
      <c r="H107" s="37"/>
    </row>
    <row r="108" spans="6:8" s="30" customFormat="1">
      <c r="F108" s="36"/>
      <c r="H108" s="37"/>
    </row>
    <row r="109" spans="6:8" s="30" customFormat="1">
      <c r="F109" s="36"/>
      <c r="H109" s="37"/>
    </row>
    <row r="110" spans="6:8" s="30" customFormat="1">
      <c r="F110" s="36"/>
      <c r="H110" s="37"/>
    </row>
    <row r="111" spans="6:8" s="30" customFormat="1">
      <c r="F111" s="36"/>
      <c r="H111" s="37"/>
    </row>
    <row r="112" spans="6:8" s="30" customFormat="1">
      <c r="F112" s="36"/>
      <c r="H112" s="37"/>
    </row>
    <row r="113" spans="6:8" s="30" customFormat="1">
      <c r="F113" s="36"/>
      <c r="H113" s="37"/>
    </row>
    <row r="114" spans="6:8" s="30" customFormat="1">
      <c r="F114" s="36"/>
      <c r="H114" s="37"/>
    </row>
    <row r="115" spans="6:8" s="30" customFormat="1">
      <c r="F115" s="36"/>
      <c r="H115" s="37"/>
    </row>
    <row r="116" spans="6:8" s="30" customFormat="1">
      <c r="F116" s="36"/>
      <c r="H116" s="37"/>
    </row>
    <row r="117" spans="6:8" s="30" customFormat="1">
      <c r="F117" s="36"/>
      <c r="H117" s="37"/>
    </row>
    <row r="118" spans="6:8" s="30" customFormat="1">
      <c r="F118" s="36"/>
      <c r="H118" s="37"/>
    </row>
    <row r="119" spans="6:8" s="30" customFormat="1">
      <c r="F119" s="36"/>
      <c r="H119" s="37"/>
    </row>
    <row r="120" spans="6:8" s="30" customFormat="1">
      <c r="F120" s="36"/>
      <c r="H120" s="37"/>
    </row>
    <row r="121" spans="6:8" s="30" customFormat="1">
      <c r="F121" s="36"/>
      <c r="H121" s="37"/>
    </row>
    <row r="122" spans="6:8" s="30" customFormat="1">
      <c r="F122" s="36"/>
      <c r="H122" s="37"/>
    </row>
    <row r="123" spans="6:8" s="30" customFormat="1">
      <c r="F123" s="36"/>
      <c r="H123" s="37"/>
    </row>
    <row r="124" spans="6:8" s="30" customFormat="1">
      <c r="F124" s="36"/>
      <c r="H124" s="37"/>
    </row>
    <row r="125" spans="6:8" s="30" customFormat="1">
      <c r="F125" s="36"/>
      <c r="H125" s="37"/>
    </row>
    <row r="126" spans="6:8" s="30" customFormat="1">
      <c r="F126" s="36"/>
      <c r="H126" s="37"/>
    </row>
    <row r="127" spans="6:8" s="30" customFormat="1">
      <c r="F127" s="36"/>
      <c r="H127" s="37"/>
    </row>
    <row r="128" spans="6:8" s="30" customFormat="1">
      <c r="F128" s="36"/>
      <c r="H128" s="37"/>
    </row>
    <row r="129" spans="6:8" s="30" customFormat="1">
      <c r="F129" s="36"/>
      <c r="H129" s="37"/>
    </row>
    <row r="130" spans="6:8" s="30" customFormat="1">
      <c r="F130" s="36"/>
      <c r="H130" s="37"/>
    </row>
    <row r="131" spans="6:8" s="30" customFormat="1">
      <c r="F131" s="36"/>
      <c r="H131" s="37"/>
    </row>
    <row r="132" spans="6:8" s="30" customFormat="1">
      <c r="F132" s="36"/>
      <c r="H132" s="37"/>
    </row>
    <row r="133" spans="6:8" s="30" customFormat="1">
      <c r="F133" s="36"/>
      <c r="H133" s="37"/>
    </row>
    <row r="134" spans="6:8" s="30" customFormat="1">
      <c r="F134" s="36"/>
      <c r="H134" s="37"/>
    </row>
    <row r="135" spans="6:8" s="30" customFormat="1">
      <c r="F135" s="36"/>
      <c r="H135" s="37"/>
    </row>
    <row r="136" spans="6:8" s="30" customFormat="1">
      <c r="F136" s="36"/>
      <c r="H136" s="37"/>
    </row>
    <row r="137" spans="6:8" s="30" customFormat="1">
      <c r="F137" s="36"/>
      <c r="H137" s="37"/>
    </row>
    <row r="138" spans="6:8" s="30" customFormat="1">
      <c r="F138" s="36"/>
      <c r="H138" s="37"/>
    </row>
    <row r="139" spans="6:8" s="30" customFormat="1">
      <c r="F139" s="36"/>
      <c r="H139" s="37"/>
    </row>
    <row r="140" spans="6:8" s="30" customFormat="1">
      <c r="F140" s="36"/>
      <c r="H140" s="37"/>
    </row>
    <row r="141" spans="6:8" s="30" customFormat="1">
      <c r="F141" s="36"/>
      <c r="H141" s="37"/>
    </row>
    <row r="142" spans="6:8" s="30" customFormat="1">
      <c r="F142" s="36"/>
      <c r="H142" s="37"/>
    </row>
    <row r="143" spans="6:8" s="30" customFormat="1">
      <c r="F143" s="36"/>
      <c r="H143" s="37"/>
    </row>
    <row r="144" spans="6:8" s="30" customFormat="1">
      <c r="F144" s="36"/>
      <c r="H144" s="37"/>
    </row>
    <row r="145" spans="6:8" s="30" customFormat="1">
      <c r="F145" s="36"/>
      <c r="H145" s="37"/>
    </row>
    <row r="146" spans="6:8" s="30" customFormat="1">
      <c r="F146" s="36"/>
      <c r="H146" s="37"/>
    </row>
    <row r="147" spans="6:8" s="30" customFormat="1">
      <c r="F147" s="36"/>
      <c r="H147" s="37"/>
    </row>
    <row r="148" spans="6:8" s="30" customFormat="1">
      <c r="F148" s="36"/>
      <c r="H148" s="37"/>
    </row>
    <row r="149" spans="6:8" s="30" customFormat="1">
      <c r="F149" s="36"/>
      <c r="H149" s="37"/>
    </row>
    <row r="150" spans="6:8" s="30" customFormat="1">
      <c r="F150" s="36"/>
      <c r="H150" s="37"/>
    </row>
    <row r="151" spans="6:8" s="30" customFormat="1">
      <c r="F151" s="36"/>
      <c r="H151" s="37"/>
    </row>
    <row r="152" spans="6:8" s="30" customFormat="1">
      <c r="F152" s="36"/>
      <c r="H152" s="37"/>
    </row>
    <row r="153" spans="6:8" s="30" customFormat="1">
      <c r="F153" s="36"/>
      <c r="H153" s="37"/>
    </row>
    <row r="154" spans="6:8" s="30" customFormat="1">
      <c r="F154" s="36"/>
      <c r="H154" s="37"/>
    </row>
    <row r="155" spans="6:8" s="30" customFormat="1">
      <c r="F155" s="36"/>
      <c r="H155" s="37"/>
    </row>
    <row r="156" spans="6:8" s="30" customFormat="1">
      <c r="F156" s="36"/>
      <c r="H156" s="37"/>
    </row>
    <row r="157" spans="6:8" s="30" customFormat="1">
      <c r="F157" s="36"/>
      <c r="H157" s="37"/>
    </row>
    <row r="158" spans="6:8" s="30" customFormat="1">
      <c r="F158" s="36"/>
      <c r="H158" s="37"/>
    </row>
    <row r="159" spans="6:8" s="30" customFormat="1">
      <c r="F159" s="36"/>
      <c r="H159" s="37"/>
    </row>
    <row r="160" spans="6:8" s="30" customFormat="1">
      <c r="F160" s="36"/>
      <c r="H160" s="37"/>
    </row>
    <row r="161" spans="6:8" s="30" customFormat="1">
      <c r="F161" s="36"/>
      <c r="H161" s="37"/>
    </row>
    <row r="162" spans="6:8" s="30" customFormat="1">
      <c r="F162" s="36"/>
      <c r="H162" s="37"/>
    </row>
    <row r="163" spans="6:8" s="30" customFormat="1">
      <c r="F163" s="36"/>
      <c r="H163" s="37"/>
    </row>
    <row r="164" spans="6:8" s="30" customFormat="1">
      <c r="F164" s="36"/>
      <c r="H164" s="37"/>
    </row>
    <row r="165" spans="6:8" s="30" customFormat="1">
      <c r="F165" s="36"/>
      <c r="H165" s="37"/>
    </row>
    <row r="166" spans="6:8" s="30" customFormat="1">
      <c r="F166" s="36"/>
      <c r="H166" s="37"/>
    </row>
    <row r="167" spans="6:8" s="30" customFormat="1">
      <c r="F167" s="36"/>
      <c r="H167" s="37"/>
    </row>
    <row r="168" spans="6:8" s="30" customFormat="1">
      <c r="F168" s="36"/>
      <c r="H168" s="37"/>
    </row>
    <row r="169" spans="6:8" s="30" customFormat="1">
      <c r="F169" s="36"/>
      <c r="H169" s="37"/>
    </row>
    <row r="170" spans="6:8" s="30" customFormat="1">
      <c r="F170" s="36"/>
      <c r="H170" s="37"/>
    </row>
    <row r="171" spans="6:8" s="30" customFormat="1">
      <c r="F171" s="36"/>
      <c r="H171" s="37"/>
    </row>
    <row r="172" spans="6:8" s="30" customFormat="1">
      <c r="F172" s="36"/>
      <c r="H172" s="37"/>
    </row>
    <row r="173" spans="6:8" s="30" customFormat="1">
      <c r="F173" s="36"/>
      <c r="H173" s="37"/>
    </row>
    <row r="174" spans="6:8" s="30" customFormat="1">
      <c r="F174" s="36"/>
      <c r="H174" s="37"/>
    </row>
    <row r="175" spans="6:8" s="30" customFormat="1">
      <c r="F175" s="36"/>
      <c r="H175" s="37"/>
    </row>
    <row r="176" spans="6:8" s="30" customFormat="1">
      <c r="F176" s="36"/>
      <c r="H176" s="37"/>
    </row>
    <row r="177" spans="6:8" s="30" customFormat="1">
      <c r="F177" s="36"/>
      <c r="H177" s="37"/>
    </row>
    <row r="178" spans="6:8" s="30" customFormat="1">
      <c r="F178" s="36"/>
      <c r="H178" s="37"/>
    </row>
    <row r="179" spans="6:8" s="30" customFormat="1">
      <c r="F179" s="36"/>
      <c r="H179" s="37"/>
    </row>
    <row r="180" spans="6:8" s="30" customFormat="1">
      <c r="F180" s="36"/>
      <c r="H180" s="37"/>
    </row>
    <row r="181" spans="6:8" s="30" customFormat="1">
      <c r="F181" s="36"/>
      <c r="H181" s="37"/>
    </row>
    <row r="182" spans="6:8" s="30" customFormat="1">
      <c r="F182" s="36"/>
      <c r="H182" s="37"/>
    </row>
    <row r="183" spans="6:8" s="30" customFormat="1">
      <c r="F183" s="36"/>
      <c r="H183" s="37"/>
    </row>
    <row r="184" spans="6:8" s="30" customFormat="1">
      <c r="F184" s="36"/>
      <c r="H184" s="37"/>
    </row>
    <row r="185" spans="6:8" s="30" customFormat="1">
      <c r="F185" s="36"/>
      <c r="H185" s="37"/>
    </row>
    <row r="186" spans="6:8" s="30" customFormat="1">
      <c r="F186" s="36"/>
      <c r="H186" s="37"/>
    </row>
    <row r="187" spans="6:8" s="30" customFormat="1">
      <c r="F187" s="36"/>
      <c r="H187" s="37"/>
    </row>
    <row r="188" spans="6:8" s="30" customFormat="1">
      <c r="F188" s="36"/>
      <c r="H188" s="37"/>
    </row>
    <row r="189" spans="6:8" s="30" customFormat="1">
      <c r="F189" s="36"/>
      <c r="H189" s="37"/>
    </row>
    <row r="190" spans="6:8" s="30" customFormat="1">
      <c r="F190" s="36"/>
      <c r="H190" s="37"/>
    </row>
    <row r="191" spans="6:8" s="30" customFormat="1">
      <c r="F191" s="36"/>
      <c r="H191" s="37"/>
    </row>
    <row r="192" spans="6:8" s="30" customFormat="1">
      <c r="F192" s="36"/>
      <c r="H192" s="37"/>
    </row>
    <row r="193" spans="6:8" s="30" customFormat="1">
      <c r="F193" s="36"/>
      <c r="H193" s="37"/>
    </row>
    <row r="194" spans="6:8" s="30" customFormat="1">
      <c r="F194" s="36"/>
      <c r="H194" s="37"/>
    </row>
    <row r="195" spans="6:8" s="30" customFormat="1">
      <c r="F195" s="36"/>
      <c r="H195" s="37"/>
    </row>
    <row r="196" spans="6:8" s="30" customFormat="1">
      <c r="F196" s="36"/>
      <c r="H196" s="37"/>
    </row>
    <row r="197" spans="6:8" s="30" customFormat="1">
      <c r="F197" s="36"/>
      <c r="H197" s="37"/>
    </row>
    <row r="198" spans="6:8" s="30" customFormat="1">
      <c r="F198" s="36"/>
      <c r="H198" s="37"/>
    </row>
    <row r="199" spans="6:8" s="30" customFormat="1">
      <c r="F199" s="36"/>
      <c r="H199" s="37"/>
    </row>
    <row r="200" spans="6:8" s="30" customFormat="1">
      <c r="F200" s="36"/>
      <c r="H200" s="37"/>
    </row>
    <row r="201" spans="6:8" s="30" customFormat="1">
      <c r="F201" s="36"/>
      <c r="H201" s="37"/>
    </row>
    <row r="202" spans="6:8" s="30" customFormat="1">
      <c r="F202" s="36"/>
      <c r="H202" s="37"/>
    </row>
    <row r="203" spans="6:8" s="30" customFormat="1">
      <c r="F203" s="36"/>
      <c r="H203" s="37"/>
    </row>
    <row r="204" spans="6:8" s="30" customFormat="1">
      <c r="F204" s="36"/>
      <c r="H204" s="37"/>
    </row>
    <row r="205" spans="6:8" s="30" customFormat="1">
      <c r="F205" s="36"/>
      <c r="H205" s="37"/>
    </row>
    <row r="206" spans="6:8" s="30" customFormat="1">
      <c r="F206" s="36"/>
      <c r="H206" s="37"/>
    </row>
    <row r="207" spans="6:8" s="30" customFormat="1">
      <c r="F207" s="36"/>
      <c r="H207" s="37"/>
    </row>
    <row r="208" spans="6:8" s="30" customFormat="1">
      <c r="F208" s="36"/>
      <c r="H208" s="37"/>
    </row>
    <row r="209" spans="6:8" s="30" customFormat="1">
      <c r="F209" s="36"/>
      <c r="H209" s="37"/>
    </row>
    <row r="210" spans="6:8" s="30" customFormat="1">
      <c r="F210" s="36"/>
      <c r="H210" s="37"/>
    </row>
    <row r="211" spans="6:8" s="30" customFormat="1">
      <c r="F211" s="36"/>
      <c r="H211" s="37"/>
    </row>
    <row r="212" spans="6:8" s="30" customFormat="1">
      <c r="F212" s="36"/>
      <c r="H212" s="37"/>
    </row>
    <row r="213" spans="6:8" s="30" customFormat="1">
      <c r="F213" s="36"/>
      <c r="H213" s="37"/>
    </row>
    <row r="214" spans="6:8" s="30" customFormat="1">
      <c r="F214" s="36"/>
      <c r="H214" s="37"/>
    </row>
    <row r="215" spans="6:8" s="30" customFormat="1">
      <c r="F215" s="36"/>
      <c r="H215" s="37"/>
    </row>
    <row r="216" spans="6:8" s="30" customFormat="1">
      <c r="F216" s="36"/>
      <c r="H216" s="37"/>
    </row>
    <row r="217" spans="6:8" s="30" customFormat="1">
      <c r="F217" s="36"/>
      <c r="H217" s="37"/>
    </row>
    <row r="218" spans="6:8" s="30" customFormat="1">
      <c r="F218" s="36"/>
      <c r="H218" s="37"/>
    </row>
    <row r="219" spans="6:8" s="30" customFormat="1">
      <c r="F219" s="36"/>
      <c r="H219" s="37"/>
    </row>
    <row r="220" spans="6:8" s="30" customFormat="1">
      <c r="F220" s="36"/>
      <c r="H220" s="37"/>
    </row>
    <row r="221" spans="6:8" s="30" customFormat="1">
      <c r="F221" s="36"/>
      <c r="H221" s="37"/>
    </row>
    <row r="222" spans="6:8" s="30" customFormat="1">
      <c r="F222" s="36"/>
      <c r="H222" s="37"/>
    </row>
    <row r="223" spans="6:8" s="30" customFormat="1">
      <c r="F223" s="36"/>
      <c r="H223" s="37"/>
    </row>
    <row r="224" spans="6:8" s="30" customFormat="1">
      <c r="F224" s="36"/>
      <c r="H224" s="37"/>
    </row>
    <row r="225" spans="6:8" s="30" customFormat="1">
      <c r="F225" s="36"/>
      <c r="H225" s="37"/>
    </row>
    <row r="226" spans="6:8" s="30" customFormat="1">
      <c r="F226" s="36"/>
      <c r="H226" s="37"/>
    </row>
    <row r="227" spans="6:8" s="30" customFormat="1">
      <c r="F227" s="36"/>
      <c r="H227" s="37"/>
    </row>
    <row r="228" spans="6:8" s="30" customFormat="1">
      <c r="F228" s="36"/>
      <c r="H228" s="37"/>
    </row>
    <row r="229" spans="6:8" s="30" customFormat="1">
      <c r="F229" s="36"/>
      <c r="H229" s="37"/>
    </row>
    <row r="230" spans="6:8" s="30" customFormat="1">
      <c r="F230" s="36"/>
      <c r="H230" s="37"/>
    </row>
    <row r="231" spans="6:8" s="30" customFormat="1">
      <c r="F231" s="36"/>
      <c r="H231" s="37"/>
    </row>
    <row r="232" spans="6:8" s="30" customFormat="1">
      <c r="F232" s="36"/>
      <c r="H232" s="37"/>
    </row>
    <row r="233" spans="6:8" s="30" customFormat="1">
      <c r="F233" s="36"/>
      <c r="H233" s="37"/>
    </row>
    <row r="234" spans="6:8" s="30" customFormat="1">
      <c r="F234" s="36"/>
      <c r="H234" s="37"/>
    </row>
    <row r="235" spans="6:8" s="30" customFormat="1">
      <c r="F235" s="36"/>
      <c r="H235" s="37"/>
    </row>
    <row r="236" spans="6:8" s="30" customFormat="1">
      <c r="F236" s="36"/>
      <c r="H236" s="37"/>
    </row>
    <row r="237" spans="6:8" s="30" customFormat="1">
      <c r="F237" s="36"/>
      <c r="H237" s="37"/>
    </row>
    <row r="238" spans="6:8" s="30" customFormat="1">
      <c r="F238" s="36"/>
      <c r="H238" s="37"/>
    </row>
    <row r="239" spans="6:8" s="30" customFormat="1">
      <c r="F239" s="36"/>
      <c r="H239" s="37"/>
    </row>
    <row r="240" spans="6:8" s="30" customFormat="1">
      <c r="F240" s="36"/>
      <c r="H240" s="37"/>
    </row>
    <row r="241" spans="6:8" s="30" customFormat="1">
      <c r="F241" s="36"/>
      <c r="H241" s="37"/>
    </row>
    <row r="242" spans="6:8" s="30" customFormat="1">
      <c r="F242" s="36"/>
      <c r="H242" s="37"/>
    </row>
    <row r="243" spans="6:8" s="30" customFormat="1">
      <c r="F243" s="36"/>
      <c r="H243" s="37"/>
    </row>
    <row r="244" spans="6:8" s="30" customFormat="1">
      <c r="F244" s="36"/>
      <c r="H244" s="37"/>
    </row>
    <row r="245" spans="6:8" s="30" customFormat="1">
      <c r="F245" s="36"/>
      <c r="H245" s="37"/>
    </row>
    <row r="246" spans="6:8" s="30" customFormat="1">
      <c r="F246" s="36"/>
      <c r="H246" s="37"/>
    </row>
    <row r="247" spans="6:8" s="30" customFormat="1">
      <c r="F247" s="36"/>
      <c r="H247" s="37"/>
    </row>
    <row r="248" spans="6:8" s="30" customFormat="1">
      <c r="F248" s="36"/>
      <c r="H248" s="37"/>
    </row>
    <row r="249" spans="6:8" s="30" customFormat="1">
      <c r="F249" s="36"/>
      <c r="H249" s="37"/>
    </row>
    <row r="250" spans="6:8" s="30" customFormat="1">
      <c r="F250" s="36"/>
      <c r="H250" s="37"/>
    </row>
    <row r="251" spans="6:8" s="30" customFormat="1">
      <c r="F251" s="36"/>
      <c r="H251" s="37"/>
    </row>
    <row r="252" spans="6:8" s="30" customFormat="1">
      <c r="F252" s="36"/>
      <c r="H252" s="37"/>
    </row>
    <row r="253" spans="6:8" s="30" customFormat="1">
      <c r="F253" s="36"/>
      <c r="H253" s="37"/>
    </row>
    <row r="254" spans="6:8" s="30" customFormat="1">
      <c r="F254" s="36"/>
      <c r="H254" s="37"/>
    </row>
    <row r="255" spans="6:8" s="30" customFormat="1">
      <c r="F255" s="36"/>
      <c r="H255" s="37"/>
    </row>
    <row r="256" spans="6:8" s="30" customFormat="1">
      <c r="F256" s="36"/>
      <c r="H256" s="37"/>
    </row>
    <row r="257" spans="6:8" s="30" customFormat="1">
      <c r="F257" s="36"/>
      <c r="H257" s="37"/>
    </row>
    <row r="258" spans="6:8" s="30" customFormat="1">
      <c r="F258" s="36"/>
      <c r="H258" s="37"/>
    </row>
    <row r="259" spans="6:8" s="30" customFormat="1">
      <c r="F259" s="36"/>
      <c r="H259" s="37"/>
    </row>
    <row r="260" spans="6:8" s="30" customFormat="1">
      <c r="F260" s="36"/>
      <c r="H260" s="37"/>
    </row>
    <row r="261" spans="6:8" s="30" customFormat="1">
      <c r="F261" s="36"/>
      <c r="H261" s="37"/>
    </row>
    <row r="262" spans="6:8" s="30" customFormat="1">
      <c r="F262" s="36"/>
      <c r="H262" s="37"/>
    </row>
    <row r="263" spans="6:8" s="30" customFormat="1">
      <c r="F263" s="36"/>
      <c r="H263" s="37"/>
    </row>
    <row r="264" spans="6:8" s="30" customFormat="1">
      <c r="F264" s="36"/>
      <c r="H264" s="37"/>
    </row>
    <row r="265" spans="6:8" s="30" customFormat="1">
      <c r="F265" s="36"/>
      <c r="H265" s="37"/>
    </row>
    <row r="266" spans="6:8" s="30" customFormat="1">
      <c r="F266" s="36"/>
      <c r="H266" s="37"/>
    </row>
    <row r="267" spans="6:8" s="30" customFormat="1">
      <c r="F267" s="36"/>
      <c r="H267" s="37"/>
    </row>
    <row r="268" spans="6:8" s="30" customFormat="1">
      <c r="F268" s="36"/>
      <c r="H268" s="37"/>
    </row>
    <row r="269" spans="6:8" s="30" customFormat="1">
      <c r="F269" s="36"/>
      <c r="H269" s="37"/>
    </row>
    <row r="270" spans="6:8" s="30" customFormat="1">
      <c r="F270" s="36"/>
      <c r="H270" s="37"/>
    </row>
    <row r="271" spans="6:8" s="30" customFormat="1">
      <c r="F271" s="36"/>
      <c r="H271" s="37"/>
    </row>
    <row r="272" spans="6:8" s="30" customFormat="1">
      <c r="F272" s="36"/>
      <c r="H272" s="37"/>
    </row>
    <row r="273" spans="6:8" s="30" customFormat="1">
      <c r="F273" s="36"/>
      <c r="H273" s="37"/>
    </row>
    <row r="274" spans="6:8" s="30" customFormat="1">
      <c r="F274" s="36"/>
      <c r="H274" s="37"/>
    </row>
    <row r="275" spans="6:8" s="30" customFormat="1">
      <c r="F275" s="36"/>
      <c r="H275" s="37"/>
    </row>
    <row r="276" spans="6:8" s="30" customFormat="1">
      <c r="F276" s="36"/>
      <c r="H276" s="37"/>
    </row>
    <row r="277" spans="6:8" s="30" customFormat="1">
      <c r="F277" s="36"/>
      <c r="H277" s="37"/>
    </row>
    <row r="278" spans="6:8" s="30" customFormat="1">
      <c r="F278" s="36"/>
      <c r="H278" s="37"/>
    </row>
    <row r="279" spans="6:8" s="30" customFormat="1">
      <c r="F279" s="36"/>
      <c r="H279" s="37"/>
    </row>
    <row r="280" spans="6:8" s="30" customFormat="1">
      <c r="F280" s="36"/>
      <c r="H280" s="37"/>
    </row>
    <row r="281" spans="6:8" s="30" customFormat="1">
      <c r="F281" s="36"/>
      <c r="H281" s="37"/>
    </row>
    <row r="282" spans="6:8" s="30" customFormat="1">
      <c r="F282" s="36"/>
      <c r="H282" s="37"/>
    </row>
    <row r="283" spans="6:8" s="30" customFormat="1">
      <c r="F283" s="36"/>
      <c r="H283" s="37"/>
    </row>
    <row r="284" spans="6:8" s="30" customFormat="1">
      <c r="F284" s="36"/>
      <c r="H284" s="37"/>
    </row>
    <row r="285" spans="6:8" s="30" customFormat="1">
      <c r="F285" s="36"/>
      <c r="H285" s="37"/>
    </row>
    <row r="286" spans="6:8" s="30" customFormat="1">
      <c r="F286" s="36"/>
      <c r="H286" s="37"/>
    </row>
    <row r="287" spans="6:8" s="30" customFormat="1">
      <c r="F287" s="36"/>
      <c r="H287" s="37"/>
    </row>
    <row r="288" spans="6:8" s="30" customFormat="1">
      <c r="F288" s="36"/>
      <c r="H288" s="37"/>
    </row>
    <row r="289" spans="6:8" s="30" customFormat="1">
      <c r="F289" s="36"/>
      <c r="H289" s="37"/>
    </row>
    <row r="290" spans="6:8" s="30" customFormat="1">
      <c r="F290" s="36"/>
      <c r="H290" s="37"/>
    </row>
    <row r="291" spans="6:8" s="30" customFormat="1">
      <c r="F291" s="36"/>
      <c r="H291" s="37"/>
    </row>
    <row r="292" spans="6:8" s="30" customFormat="1">
      <c r="F292" s="36"/>
      <c r="H292" s="37"/>
    </row>
    <row r="293" spans="6:8" s="30" customFormat="1">
      <c r="F293" s="36"/>
      <c r="H293" s="37"/>
    </row>
    <row r="294" spans="6:8" s="30" customFormat="1">
      <c r="F294" s="36"/>
      <c r="H294" s="37"/>
    </row>
    <row r="295" spans="6:8" s="30" customFormat="1">
      <c r="F295" s="36"/>
      <c r="H295" s="37"/>
    </row>
    <row r="296" spans="6:8" s="30" customFormat="1">
      <c r="F296" s="36"/>
      <c r="H296" s="37"/>
    </row>
    <row r="297" spans="6:8" s="30" customFormat="1">
      <c r="F297" s="36"/>
      <c r="H297" s="37"/>
    </row>
    <row r="298" spans="6:8" s="30" customFormat="1">
      <c r="F298" s="36"/>
      <c r="H298" s="37"/>
    </row>
    <row r="299" spans="6:8" s="30" customFormat="1">
      <c r="F299" s="36"/>
      <c r="H299" s="37"/>
    </row>
    <row r="300" spans="6:8" s="30" customFormat="1">
      <c r="F300" s="36"/>
      <c r="H300" s="37"/>
    </row>
    <row r="301" spans="6:8" s="30" customFormat="1">
      <c r="F301" s="36"/>
      <c r="H301" s="37"/>
    </row>
    <row r="302" spans="6:8" s="30" customFormat="1">
      <c r="F302" s="36"/>
      <c r="H302" s="37"/>
    </row>
    <row r="303" spans="6:8" s="30" customFormat="1">
      <c r="F303" s="36"/>
      <c r="H303" s="37"/>
    </row>
    <row r="304" spans="6:8" s="30" customFormat="1">
      <c r="F304" s="36"/>
      <c r="H304" s="37"/>
    </row>
    <row r="305" spans="6:8" s="30" customFormat="1">
      <c r="F305" s="36"/>
      <c r="H305" s="37"/>
    </row>
    <row r="306" spans="6:8" s="30" customFormat="1">
      <c r="F306" s="36"/>
      <c r="H306" s="37"/>
    </row>
    <row r="307" spans="6:8" s="30" customFormat="1">
      <c r="F307" s="36"/>
      <c r="H307" s="37"/>
    </row>
    <row r="308" spans="6:8" s="30" customFormat="1">
      <c r="F308" s="36"/>
      <c r="H308" s="37"/>
    </row>
    <row r="309" spans="6:8" s="30" customFormat="1">
      <c r="F309" s="36"/>
      <c r="H309" s="37"/>
    </row>
    <row r="310" spans="6:8" s="30" customFormat="1">
      <c r="F310" s="36"/>
      <c r="H310" s="37"/>
    </row>
    <row r="311" spans="6:8" s="30" customFormat="1">
      <c r="F311" s="36"/>
      <c r="H311" s="37"/>
    </row>
    <row r="312" spans="6:8" s="30" customFormat="1">
      <c r="F312" s="36"/>
      <c r="H312" s="37"/>
    </row>
    <row r="313" spans="6:8" s="30" customFormat="1">
      <c r="F313" s="36"/>
      <c r="H313" s="37"/>
    </row>
    <row r="314" spans="6:8" s="30" customFormat="1">
      <c r="F314" s="36"/>
      <c r="H314" s="37"/>
    </row>
    <row r="315" spans="6:8" s="30" customFormat="1">
      <c r="F315" s="36"/>
      <c r="H315" s="37"/>
    </row>
    <row r="316" spans="6:8" s="30" customFormat="1">
      <c r="F316" s="36"/>
      <c r="H316" s="37"/>
    </row>
    <row r="317" spans="6:8" s="30" customFormat="1">
      <c r="F317" s="36"/>
      <c r="H317" s="37"/>
    </row>
    <row r="318" spans="6:8" s="30" customFormat="1">
      <c r="F318" s="36"/>
      <c r="H318" s="37"/>
    </row>
    <row r="319" spans="6:8" s="30" customFormat="1">
      <c r="F319" s="36"/>
      <c r="H319" s="37"/>
    </row>
    <row r="320" spans="6:8" s="30" customFormat="1">
      <c r="F320" s="36"/>
      <c r="H320" s="37"/>
    </row>
    <row r="321" spans="6:8" s="30" customFormat="1">
      <c r="F321" s="36"/>
      <c r="H321" s="37"/>
    </row>
    <row r="322" spans="6:8" s="30" customFormat="1">
      <c r="F322" s="36"/>
      <c r="H322" s="37"/>
    </row>
    <row r="323" spans="6:8" s="30" customFormat="1">
      <c r="F323" s="36"/>
      <c r="H323" s="37"/>
    </row>
    <row r="324" spans="6:8" s="30" customFormat="1">
      <c r="F324" s="36"/>
      <c r="H324" s="37"/>
    </row>
    <row r="325" spans="6:8" s="30" customFormat="1">
      <c r="F325" s="36"/>
      <c r="H325" s="37"/>
    </row>
    <row r="326" spans="6:8" s="30" customFormat="1">
      <c r="F326" s="36"/>
      <c r="H326" s="37"/>
    </row>
    <row r="327" spans="6:8" s="30" customFormat="1">
      <c r="F327" s="36"/>
      <c r="H327" s="37"/>
    </row>
    <row r="328" spans="6:8" s="30" customFormat="1">
      <c r="F328" s="36"/>
      <c r="H328" s="37"/>
    </row>
    <row r="329" spans="6:8" s="30" customFormat="1">
      <c r="F329" s="36"/>
      <c r="H329" s="37"/>
    </row>
    <row r="330" spans="6:8" s="30" customFormat="1">
      <c r="F330" s="36"/>
      <c r="H330" s="37"/>
    </row>
    <row r="331" spans="6:8" s="30" customFormat="1">
      <c r="F331" s="36"/>
      <c r="H331" s="37"/>
    </row>
    <row r="332" spans="6:8" s="30" customFormat="1">
      <c r="F332" s="36"/>
      <c r="H332" s="37"/>
    </row>
    <row r="333" spans="6:8" s="30" customFormat="1">
      <c r="F333" s="36"/>
      <c r="H333" s="37"/>
    </row>
    <row r="334" spans="6:8" s="30" customFormat="1">
      <c r="F334" s="36"/>
      <c r="H334" s="37"/>
    </row>
    <row r="335" spans="6:8" s="30" customFormat="1">
      <c r="F335" s="36"/>
      <c r="H335" s="37"/>
    </row>
    <row r="336" spans="6:8" s="30" customFormat="1">
      <c r="F336" s="36"/>
      <c r="H336" s="37"/>
    </row>
    <row r="337" spans="6:8" s="30" customFormat="1">
      <c r="F337" s="36"/>
      <c r="H337" s="37"/>
    </row>
    <row r="338" spans="6:8" s="30" customFormat="1">
      <c r="F338" s="36"/>
      <c r="H338" s="37"/>
    </row>
    <row r="339" spans="6:8" s="30" customFormat="1">
      <c r="F339" s="36"/>
      <c r="H339" s="37"/>
    </row>
    <row r="340" spans="6:8" s="30" customFormat="1">
      <c r="F340" s="36"/>
      <c r="H340" s="37"/>
    </row>
    <row r="341" spans="6:8" s="30" customFormat="1">
      <c r="F341" s="36"/>
      <c r="H341" s="37"/>
    </row>
    <row r="342" spans="6:8" s="30" customFormat="1">
      <c r="F342" s="36"/>
      <c r="H342" s="37"/>
    </row>
    <row r="343" spans="6:8" s="30" customFormat="1">
      <c r="F343" s="36"/>
      <c r="H343" s="37"/>
    </row>
    <row r="344" spans="6:8" s="30" customFormat="1">
      <c r="F344" s="36"/>
      <c r="H344" s="37"/>
    </row>
    <row r="345" spans="6:8" s="30" customFormat="1">
      <c r="F345" s="36"/>
      <c r="H345" s="37"/>
    </row>
    <row r="346" spans="6:8" s="30" customFormat="1">
      <c r="F346" s="36"/>
      <c r="H346" s="37"/>
    </row>
    <row r="347" spans="6:8" s="30" customFormat="1">
      <c r="F347" s="36"/>
      <c r="H347" s="37"/>
    </row>
    <row r="348" spans="6:8" s="30" customFormat="1">
      <c r="F348" s="36"/>
      <c r="H348" s="37"/>
    </row>
    <row r="349" spans="6:8" s="30" customFormat="1">
      <c r="F349" s="36"/>
      <c r="H349" s="37"/>
    </row>
    <row r="350" spans="6:8" s="30" customFormat="1">
      <c r="F350" s="36"/>
      <c r="H350" s="37"/>
    </row>
    <row r="351" spans="6:8" s="30" customFormat="1">
      <c r="F351" s="36"/>
      <c r="H351" s="37"/>
    </row>
    <row r="352" spans="6:8" s="30" customFormat="1">
      <c r="F352" s="36"/>
      <c r="H352" s="37"/>
    </row>
    <row r="353" spans="6:8" s="30" customFormat="1">
      <c r="F353" s="36"/>
      <c r="H353" s="37"/>
    </row>
    <row r="354" spans="6:8" s="30" customFormat="1">
      <c r="F354" s="36"/>
      <c r="H354" s="37"/>
    </row>
    <row r="355" spans="6:8" s="30" customFormat="1">
      <c r="F355" s="36"/>
      <c r="H355" s="37"/>
    </row>
    <row r="356" spans="6:8" s="30" customFormat="1">
      <c r="F356" s="36"/>
      <c r="H356" s="37"/>
    </row>
    <row r="357" spans="6:8" s="30" customFormat="1">
      <c r="F357" s="36"/>
      <c r="H357" s="37"/>
    </row>
    <row r="358" spans="6:8" s="30" customFormat="1">
      <c r="F358" s="36"/>
      <c r="H358" s="37"/>
    </row>
    <row r="359" spans="6:8" s="30" customFormat="1">
      <c r="F359" s="36"/>
      <c r="H359" s="37"/>
    </row>
    <row r="360" spans="6:8" s="30" customFormat="1">
      <c r="F360" s="36"/>
      <c r="H360" s="37"/>
    </row>
    <row r="361" spans="6:8" s="30" customFormat="1">
      <c r="F361" s="36"/>
      <c r="H361" s="37"/>
    </row>
    <row r="362" spans="6:8" s="30" customFormat="1">
      <c r="F362" s="36"/>
      <c r="H362" s="37"/>
    </row>
    <row r="363" spans="6:8" s="30" customFormat="1">
      <c r="F363" s="36"/>
      <c r="H363" s="37"/>
    </row>
    <row r="364" spans="6:8" s="30" customFormat="1">
      <c r="F364" s="36"/>
      <c r="H364" s="37"/>
    </row>
    <row r="365" spans="6:8" s="30" customFormat="1">
      <c r="F365" s="36"/>
      <c r="H365" s="37"/>
    </row>
    <row r="366" spans="6:8" s="30" customFormat="1">
      <c r="F366" s="36"/>
      <c r="H366" s="37"/>
    </row>
    <row r="367" spans="6:8" s="30" customFormat="1">
      <c r="F367" s="36"/>
      <c r="H367" s="37"/>
    </row>
    <row r="368" spans="6:8" s="30" customFormat="1">
      <c r="F368" s="36"/>
      <c r="H368" s="37"/>
    </row>
    <row r="369" spans="6:8" s="30" customFormat="1">
      <c r="F369" s="36"/>
      <c r="H369" s="37"/>
    </row>
    <row r="370" spans="6:8" s="30" customFormat="1">
      <c r="F370" s="36"/>
      <c r="H370" s="37"/>
    </row>
    <row r="371" spans="6:8" s="30" customFormat="1">
      <c r="F371" s="36"/>
      <c r="H371" s="37"/>
    </row>
    <row r="372" spans="6:8" s="30" customFormat="1">
      <c r="F372" s="36"/>
      <c r="H372" s="37"/>
    </row>
    <row r="373" spans="6:8" s="30" customFormat="1">
      <c r="F373" s="36"/>
      <c r="H373" s="37"/>
    </row>
    <row r="374" spans="6:8" s="30" customFormat="1">
      <c r="F374" s="36"/>
      <c r="H374" s="37"/>
    </row>
    <row r="375" spans="6:8" s="30" customFormat="1">
      <c r="F375" s="36"/>
      <c r="H375" s="37"/>
    </row>
    <row r="376" spans="6:8" s="30" customFormat="1">
      <c r="F376" s="36"/>
      <c r="H376" s="37"/>
    </row>
    <row r="377" spans="6:8" s="30" customFormat="1">
      <c r="F377" s="36"/>
      <c r="H377" s="37"/>
    </row>
    <row r="378" spans="6:8" s="30" customFormat="1">
      <c r="F378" s="36"/>
      <c r="H378" s="37"/>
    </row>
    <row r="379" spans="6:8" s="30" customFormat="1">
      <c r="F379" s="36"/>
      <c r="H379" s="37"/>
    </row>
    <row r="380" spans="6:8" s="30" customFormat="1">
      <c r="F380" s="36"/>
      <c r="H380" s="37"/>
    </row>
    <row r="381" spans="6:8" s="30" customFormat="1">
      <c r="F381" s="36"/>
      <c r="H381" s="37"/>
    </row>
    <row r="382" spans="6:8" s="30" customFormat="1">
      <c r="F382" s="36"/>
      <c r="H382" s="37"/>
    </row>
    <row r="383" spans="6:8" s="30" customFormat="1">
      <c r="F383" s="36"/>
      <c r="H383" s="37"/>
    </row>
    <row r="384" spans="6:8" s="30" customFormat="1">
      <c r="F384" s="36"/>
      <c r="H384" s="37"/>
    </row>
    <row r="385" spans="6:8" s="30" customFormat="1">
      <c r="F385" s="36"/>
      <c r="H385" s="37"/>
    </row>
    <row r="386" spans="6:8" s="30" customFormat="1">
      <c r="F386" s="36"/>
      <c r="H386" s="37"/>
    </row>
    <row r="387" spans="6:8" s="30" customFormat="1">
      <c r="F387" s="36"/>
      <c r="H387" s="37"/>
    </row>
    <row r="388" spans="6:8" s="30" customFormat="1">
      <c r="F388" s="36"/>
      <c r="H388" s="37"/>
    </row>
    <row r="389" spans="6:8" s="30" customFormat="1">
      <c r="F389" s="36"/>
      <c r="H389" s="37"/>
    </row>
    <row r="390" spans="6:8" s="30" customFormat="1">
      <c r="F390" s="36"/>
      <c r="H390" s="37"/>
    </row>
    <row r="391" spans="6:8" s="30" customFormat="1">
      <c r="F391" s="36"/>
      <c r="H391" s="37"/>
    </row>
    <row r="392" spans="6:8" s="30" customFormat="1">
      <c r="F392" s="36"/>
      <c r="H392" s="37"/>
    </row>
    <row r="393" spans="6:8" s="30" customFormat="1">
      <c r="F393" s="36"/>
      <c r="H393" s="37"/>
    </row>
    <row r="394" spans="6:8" s="30" customFormat="1">
      <c r="F394" s="36"/>
      <c r="H394" s="37"/>
    </row>
    <row r="395" spans="6:8" s="30" customFormat="1">
      <c r="F395" s="36"/>
      <c r="H395" s="37"/>
    </row>
    <row r="396" spans="6:8" s="30" customFormat="1">
      <c r="F396" s="36"/>
      <c r="H396" s="37"/>
    </row>
    <row r="397" spans="6:8" s="30" customFormat="1">
      <c r="F397" s="36"/>
      <c r="H397" s="37"/>
    </row>
    <row r="398" spans="6:8" s="30" customFormat="1">
      <c r="F398" s="36"/>
      <c r="H398" s="37"/>
    </row>
    <row r="399" spans="6:8" s="30" customFormat="1">
      <c r="F399" s="36"/>
      <c r="H399" s="37"/>
    </row>
    <row r="400" spans="6:8" s="30" customFormat="1">
      <c r="F400" s="36"/>
      <c r="H400" s="37"/>
    </row>
    <row r="401" spans="6:8" s="30" customFormat="1">
      <c r="F401" s="36"/>
      <c r="H401" s="37"/>
    </row>
    <row r="402" spans="6:8" s="30" customFormat="1">
      <c r="F402" s="36"/>
      <c r="H402" s="37"/>
    </row>
    <row r="403" spans="6:8" s="30" customFormat="1">
      <c r="F403" s="36"/>
      <c r="H403" s="37"/>
    </row>
    <row r="404" spans="6:8" s="30" customFormat="1">
      <c r="F404" s="36"/>
      <c r="H404" s="37"/>
    </row>
    <row r="405" spans="6:8" s="30" customFormat="1">
      <c r="F405" s="36"/>
      <c r="H405" s="37"/>
    </row>
    <row r="406" spans="6:8" s="30" customFormat="1">
      <c r="F406" s="36"/>
      <c r="H406" s="37"/>
    </row>
    <row r="407" spans="6:8" s="30" customFormat="1">
      <c r="F407" s="36"/>
      <c r="H407" s="37"/>
    </row>
    <row r="408" spans="6:8" s="30" customFormat="1">
      <c r="F408" s="36"/>
      <c r="H408" s="37"/>
    </row>
    <row r="409" spans="6:8" s="30" customFormat="1">
      <c r="F409" s="36"/>
      <c r="H409" s="37"/>
    </row>
    <row r="410" spans="6:8" s="30" customFormat="1">
      <c r="F410" s="36"/>
      <c r="H410" s="37"/>
    </row>
    <row r="411" spans="6:8" s="30" customFormat="1">
      <c r="F411" s="36"/>
      <c r="H411" s="37"/>
    </row>
    <row r="412" spans="6:8" s="30" customFormat="1">
      <c r="F412" s="36"/>
      <c r="H412" s="37"/>
    </row>
    <row r="413" spans="6:8" s="30" customFormat="1">
      <c r="F413" s="36"/>
      <c r="H413" s="37"/>
    </row>
    <row r="414" spans="6:8" s="30" customFormat="1">
      <c r="F414" s="36"/>
      <c r="H414" s="37"/>
    </row>
    <row r="415" spans="6:8" s="30" customFormat="1">
      <c r="F415" s="36"/>
      <c r="H415" s="37"/>
    </row>
    <row r="416" spans="6:8" s="30" customFormat="1">
      <c r="F416" s="36"/>
      <c r="H416" s="37"/>
    </row>
    <row r="417" spans="6:8" s="30" customFormat="1">
      <c r="F417" s="36"/>
      <c r="H417" s="37"/>
    </row>
    <row r="418" spans="6:8" s="30" customFormat="1">
      <c r="F418" s="36"/>
      <c r="H418" s="37"/>
    </row>
    <row r="419" spans="6:8" s="30" customFormat="1">
      <c r="F419" s="36"/>
      <c r="H419" s="37"/>
    </row>
    <row r="420" spans="6:8" s="30" customFormat="1">
      <c r="F420" s="36"/>
      <c r="H420" s="37"/>
    </row>
    <row r="421" spans="6:8" s="30" customFormat="1">
      <c r="F421" s="36"/>
      <c r="H421" s="37"/>
    </row>
    <row r="422" spans="6:8" s="30" customFormat="1">
      <c r="F422" s="36"/>
      <c r="H422" s="37"/>
    </row>
    <row r="423" spans="6:8" s="30" customFormat="1">
      <c r="F423" s="36"/>
      <c r="H423" s="37"/>
    </row>
    <row r="424" spans="6:8" s="30" customFormat="1">
      <c r="F424" s="36"/>
      <c r="H424" s="37"/>
    </row>
    <row r="425" spans="6:8" s="30" customFormat="1">
      <c r="F425" s="36"/>
      <c r="H425" s="37"/>
    </row>
    <row r="426" spans="6:8" s="30" customFormat="1">
      <c r="F426" s="36"/>
      <c r="H426" s="37"/>
    </row>
    <row r="427" spans="6:8" s="30" customFormat="1">
      <c r="F427" s="36"/>
      <c r="H427" s="37"/>
    </row>
    <row r="428" spans="6:8" s="30" customFormat="1">
      <c r="F428" s="36"/>
      <c r="H428" s="37"/>
    </row>
    <row r="429" spans="6:8" s="30" customFormat="1">
      <c r="F429" s="36"/>
      <c r="H429" s="37"/>
    </row>
    <row r="430" spans="6:8" s="30" customFormat="1">
      <c r="F430" s="36"/>
      <c r="H430" s="37"/>
    </row>
    <row r="431" spans="6:8" s="30" customFormat="1">
      <c r="F431" s="36"/>
      <c r="H431" s="37"/>
    </row>
    <row r="432" spans="6:8" s="30" customFormat="1">
      <c r="F432" s="36"/>
      <c r="H432" s="37"/>
    </row>
    <row r="433" spans="6:8" s="30" customFormat="1">
      <c r="F433" s="36"/>
      <c r="H433" s="37"/>
    </row>
    <row r="434" spans="6:8" s="30" customFormat="1">
      <c r="F434" s="36"/>
      <c r="H434" s="37"/>
    </row>
    <row r="435" spans="6:8" s="30" customFormat="1">
      <c r="F435" s="36"/>
      <c r="H435" s="37"/>
    </row>
    <row r="436" spans="6:8" s="30" customFormat="1">
      <c r="F436" s="36"/>
      <c r="H436" s="37"/>
    </row>
    <row r="437" spans="6:8" s="30" customFormat="1">
      <c r="F437" s="36"/>
      <c r="H437" s="37"/>
    </row>
    <row r="438" spans="6:8" s="30" customFormat="1">
      <c r="F438" s="36"/>
      <c r="H438" s="37"/>
    </row>
    <row r="439" spans="6:8" s="30" customFormat="1">
      <c r="F439" s="36"/>
      <c r="H439" s="37"/>
    </row>
    <row r="440" spans="6:8" s="30" customFormat="1">
      <c r="F440" s="36"/>
      <c r="H440" s="37"/>
    </row>
    <row r="441" spans="6:8" s="30" customFormat="1">
      <c r="F441" s="36"/>
      <c r="H441" s="37"/>
    </row>
    <row r="442" spans="6:8" s="30" customFormat="1">
      <c r="F442" s="36"/>
      <c r="H442" s="37"/>
    </row>
    <row r="443" spans="6:8" s="30" customFormat="1">
      <c r="F443" s="36"/>
      <c r="H443" s="37"/>
    </row>
    <row r="444" spans="6:8" s="30" customFormat="1">
      <c r="F444" s="36"/>
      <c r="H444" s="37"/>
    </row>
    <row r="445" spans="6:8" s="30" customFormat="1">
      <c r="F445" s="36"/>
      <c r="H445" s="37"/>
    </row>
    <row r="446" spans="6:8" s="30" customFormat="1">
      <c r="F446" s="36"/>
      <c r="H446" s="37"/>
    </row>
    <row r="447" spans="6:8" s="30" customFormat="1">
      <c r="F447" s="36"/>
      <c r="H447" s="37"/>
    </row>
    <row r="448" spans="6:8" s="30" customFormat="1">
      <c r="F448" s="36"/>
      <c r="H448" s="37"/>
    </row>
    <row r="449" spans="6:8" s="30" customFormat="1">
      <c r="F449" s="36"/>
      <c r="H449" s="37"/>
    </row>
    <row r="450" spans="6:8" s="30" customFormat="1">
      <c r="F450" s="36"/>
      <c r="H450" s="37"/>
    </row>
    <row r="451" spans="6:8" s="30" customFormat="1">
      <c r="F451" s="36"/>
      <c r="H451" s="37"/>
    </row>
    <row r="452" spans="6:8" s="30" customFormat="1">
      <c r="F452" s="36"/>
      <c r="H452" s="37"/>
    </row>
    <row r="453" spans="6:8" s="30" customFormat="1">
      <c r="F453" s="36"/>
      <c r="H453" s="37"/>
    </row>
    <row r="454" spans="6:8" s="30" customFormat="1">
      <c r="F454" s="36"/>
      <c r="H454" s="37"/>
    </row>
    <row r="455" spans="6:8" s="30" customFormat="1">
      <c r="F455" s="36"/>
      <c r="H455" s="37"/>
    </row>
    <row r="456" spans="6:8" s="30" customFormat="1">
      <c r="F456" s="36"/>
      <c r="H456" s="37"/>
    </row>
    <row r="457" spans="6:8" s="30" customFormat="1">
      <c r="F457" s="36"/>
      <c r="H457" s="37"/>
    </row>
    <row r="458" spans="6:8" s="30" customFormat="1">
      <c r="F458" s="36"/>
      <c r="H458" s="37"/>
    </row>
    <row r="459" spans="6:8" s="30" customFormat="1">
      <c r="F459" s="36"/>
      <c r="H459" s="37"/>
    </row>
    <row r="460" spans="6:8" s="30" customFormat="1">
      <c r="F460" s="36"/>
      <c r="H460" s="37"/>
    </row>
    <row r="461" spans="6:8" s="30" customFormat="1">
      <c r="F461" s="36"/>
      <c r="H461" s="37"/>
    </row>
    <row r="462" spans="6:8" s="30" customFormat="1">
      <c r="F462" s="36"/>
      <c r="H462" s="37"/>
    </row>
    <row r="463" spans="6:8" s="30" customFormat="1">
      <c r="F463" s="36"/>
      <c r="H463" s="37"/>
    </row>
    <row r="464" spans="6:8" s="30" customFormat="1">
      <c r="F464" s="36"/>
      <c r="H464" s="37"/>
    </row>
    <row r="465" spans="6:8" s="30" customFormat="1">
      <c r="F465" s="36"/>
      <c r="H465" s="37"/>
    </row>
    <row r="466" spans="6:8" s="30" customFormat="1">
      <c r="F466" s="36"/>
      <c r="H466" s="37"/>
    </row>
    <row r="467" spans="6:8" s="30" customFormat="1">
      <c r="F467" s="36"/>
      <c r="H467" s="37"/>
    </row>
    <row r="468" spans="6:8" s="30" customFormat="1">
      <c r="F468" s="36"/>
      <c r="H468" s="37"/>
    </row>
    <row r="469" spans="6:8" s="30" customFormat="1">
      <c r="F469" s="36"/>
      <c r="H469" s="37"/>
    </row>
    <row r="470" spans="6:8" s="30" customFormat="1">
      <c r="F470" s="36"/>
      <c r="H470" s="37"/>
    </row>
    <row r="471" spans="6:8" s="30" customFormat="1">
      <c r="F471" s="36"/>
      <c r="H471" s="37"/>
    </row>
    <row r="472" spans="6:8" s="30" customFormat="1">
      <c r="F472" s="36"/>
      <c r="H472" s="37"/>
    </row>
    <row r="473" spans="6:8" s="30" customFormat="1">
      <c r="F473" s="36"/>
      <c r="H473" s="37"/>
    </row>
    <row r="474" spans="6:8" s="30" customFormat="1">
      <c r="F474" s="36"/>
      <c r="H474" s="37"/>
    </row>
    <row r="475" spans="6:8" s="30" customFormat="1">
      <c r="F475" s="36"/>
      <c r="H475" s="37"/>
    </row>
    <row r="476" spans="6:8" s="30" customFormat="1">
      <c r="F476" s="36"/>
      <c r="H476" s="37"/>
    </row>
    <row r="477" spans="6:8" s="30" customFormat="1">
      <c r="F477" s="36"/>
      <c r="H477" s="37"/>
    </row>
    <row r="478" spans="6:8" s="30" customFormat="1">
      <c r="F478" s="36"/>
      <c r="H478" s="37"/>
    </row>
    <row r="479" spans="6:8" s="30" customFormat="1">
      <c r="F479" s="36"/>
      <c r="H479" s="37"/>
    </row>
    <row r="480" spans="6:8" s="30" customFormat="1">
      <c r="F480" s="36"/>
      <c r="H480" s="37"/>
    </row>
    <row r="481" spans="6:8" s="30" customFormat="1">
      <c r="F481" s="36"/>
      <c r="H481" s="37"/>
    </row>
    <row r="482" spans="6:8" s="30" customFormat="1">
      <c r="F482" s="36"/>
      <c r="H482" s="37"/>
    </row>
    <row r="483" spans="6:8" s="30" customFormat="1">
      <c r="F483" s="36"/>
      <c r="H483" s="37"/>
    </row>
    <row r="484" spans="6:8" s="30" customFormat="1">
      <c r="F484" s="36"/>
      <c r="H484" s="37"/>
    </row>
    <row r="485" spans="6:8" s="30" customFormat="1">
      <c r="F485" s="36"/>
      <c r="H485" s="37"/>
    </row>
    <row r="486" spans="6:8" s="30" customFormat="1">
      <c r="F486" s="36"/>
      <c r="H486" s="37"/>
    </row>
    <row r="487" spans="6:8" s="30" customFormat="1">
      <c r="F487" s="36"/>
      <c r="H487" s="37"/>
    </row>
    <row r="488" spans="6:8" s="30" customFormat="1">
      <c r="F488" s="36"/>
      <c r="H488" s="37"/>
    </row>
    <row r="489" spans="6:8" s="30" customFormat="1">
      <c r="F489" s="36"/>
      <c r="H489" s="37"/>
    </row>
    <row r="490" spans="6:8" s="30" customFormat="1">
      <c r="F490" s="36"/>
      <c r="H490" s="37"/>
    </row>
    <row r="491" spans="6:8" s="30" customFormat="1">
      <c r="F491" s="36"/>
      <c r="H491" s="37"/>
    </row>
    <row r="492" spans="6:8" s="30" customFormat="1">
      <c r="F492" s="36"/>
      <c r="H492" s="37"/>
    </row>
    <row r="493" spans="6:8" s="30" customFormat="1">
      <c r="F493" s="36"/>
      <c r="H493" s="37"/>
    </row>
    <row r="494" spans="6:8" s="30" customFormat="1">
      <c r="F494" s="36"/>
      <c r="H494" s="37"/>
    </row>
    <row r="495" spans="6:8" s="30" customFormat="1">
      <c r="F495" s="36"/>
      <c r="H495" s="37"/>
    </row>
    <row r="496" spans="6:8" s="30" customFormat="1">
      <c r="F496" s="36"/>
      <c r="H496" s="37"/>
    </row>
    <row r="497" spans="6:8" s="30" customFormat="1">
      <c r="F497" s="36"/>
      <c r="H497" s="37"/>
    </row>
    <row r="498" spans="6:8" s="30" customFormat="1">
      <c r="F498" s="36"/>
      <c r="H498" s="37"/>
    </row>
    <row r="499" spans="6:8" s="30" customFormat="1">
      <c r="F499" s="36"/>
      <c r="H499" s="37"/>
    </row>
    <row r="500" spans="6:8" s="30" customFormat="1">
      <c r="F500" s="36"/>
      <c r="H500" s="37"/>
    </row>
    <row r="501" spans="6:8" s="30" customFormat="1">
      <c r="F501" s="36"/>
      <c r="H501" s="37"/>
    </row>
    <row r="502" spans="6:8" s="30" customFormat="1">
      <c r="F502" s="36"/>
      <c r="H502" s="37"/>
    </row>
    <row r="503" spans="6:8" s="30" customFormat="1">
      <c r="F503" s="36"/>
      <c r="H503" s="37"/>
    </row>
    <row r="504" spans="6:8" s="30" customFormat="1">
      <c r="F504" s="36"/>
      <c r="H504" s="37"/>
    </row>
    <row r="505" spans="6:8" s="30" customFormat="1">
      <c r="F505" s="36"/>
      <c r="H505" s="37"/>
    </row>
    <row r="506" spans="6:8" s="30" customFormat="1">
      <c r="F506" s="36"/>
      <c r="H506" s="37"/>
    </row>
    <row r="507" spans="6:8" s="30" customFormat="1">
      <c r="F507" s="36"/>
      <c r="H507" s="37"/>
    </row>
    <row r="508" spans="6:8" s="30" customFormat="1">
      <c r="F508" s="36"/>
      <c r="H508" s="37"/>
    </row>
    <row r="509" spans="6:8" s="30" customFormat="1">
      <c r="F509" s="36"/>
      <c r="H509" s="37"/>
    </row>
    <row r="510" spans="6:8" s="30" customFormat="1">
      <c r="F510" s="36"/>
      <c r="H510" s="37"/>
    </row>
    <row r="511" spans="6:8" s="30" customFormat="1">
      <c r="F511" s="36"/>
      <c r="H511" s="37"/>
    </row>
    <row r="512" spans="6:8" s="30" customFormat="1">
      <c r="F512" s="36"/>
      <c r="H512" s="37"/>
    </row>
    <row r="513" spans="6:8" s="30" customFormat="1">
      <c r="F513" s="36"/>
      <c r="H513" s="37"/>
    </row>
    <row r="514" spans="6:8" s="30" customFormat="1">
      <c r="F514" s="36"/>
      <c r="H514" s="37"/>
    </row>
    <row r="515" spans="6:8" s="30" customFormat="1">
      <c r="F515" s="36"/>
      <c r="H515" s="37"/>
    </row>
    <row r="516" spans="6:8" s="30" customFormat="1">
      <c r="F516" s="36"/>
      <c r="H516" s="37"/>
    </row>
    <row r="517" spans="6:8" s="30" customFormat="1">
      <c r="F517" s="36"/>
      <c r="H517" s="37"/>
    </row>
    <row r="518" spans="6:8" s="30" customFormat="1">
      <c r="F518" s="36"/>
      <c r="H518" s="37"/>
    </row>
    <row r="519" spans="6:8" s="30" customFormat="1">
      <c r="F519" s="36"/>
      <c r="H519" s="37"/>
    </row>
    <row r="520" spans="6:8" s="30" customFormat="1">
      <c r="F520" s="36"/>
      <c r="H520" s="37"/>
    </row>
    <row r="521" spans="6:8" s="30" customFormat="1">
      <c r="F521" s="36"/>
      <c r="H521" s="37"/>
    </row>
    <row r="522" spans="6:8" s="30" customFormat="1">
      <c r="F522" s="36"/>
      <c r="H522" s="37"/>
    </row>
    <row r="523" spans="6:8" s="30" customFormat="1">
      <c r="F523" s="36"/>
      <c r="H523" s="37"/>
    </row>
    <row r="524" spans="6:8" s="30" customFormat="1">
      <c r="F524" s="36"/>
      <c r="H524" s="37"/>
    </row>
    <row r="525" spans="6:8" s="30" customFormat="1">
      <c r="F525" s="36"/>
      <c r="H525" s="37"/>
    </row>
    <row r="526" spans="6:8" s="30" customFormat="1">
      <c r="F526" s="36"/>
      <c r="H526" s="37"/>
    </row>
    <row r="527" spans="6:8" s="30" customFormat="1">
      <c r="F527" s="36"/>
      <c r="H527" s="37"/>
    </row>
    <row r="528" spans="6:8" s="30" customFormat="1">
      <c r="F528" s="36"/>
      <c r="H528" s="37"/>
    </row>
    <row r="529" spans="6:8" s="30" customFormat="1">
      <c r="F529" s="36"/>
      <c r="H529" s="37"/>
    </row>
    <row r="530" spans="6:8" s="30" customFormat="1">
      <c r="F530" s="36"/>
      <c r="H530" s="37"/>
    </row>
    <row r="531" spans="6:8" s="30" customFormat="1">
      <c r="F531" s="36"/>
      <c r="H531" s="37"/>
    </row>
    <row r="532" spans="6:8" s="30" customFormat="1">
      <c r="F532" s="36"/>
      <c r="H532" s="37"/>
    </row>
    <row r="533" spans="6:8" s="30" customFormat="1">
      <c r="F533" s="36"/>
      <c r="H533" s="37"/>
    </row>
    <row r="534" spans="6:8" s="30" customFormat="1">
      <c r="F534" s="36"/>
      <c r="H534" s="37"/>
    </row>
    <row r="535" spans="6:8" s="30" customFormat="1">
      <c r="F535" s="36"/>
      <c r="H535" s="37"/>
    </row>
    <row r="536" spans="6:8" s="30" customFormat="1">
      <c r="F536" s="36"/>
      <c r="H536" s="37"/>
    </row>
    <row r="537" spans="6:8" s="30" customFormat="1">
      <c r="F537" s="36"/>
      <c r="H537" s="37"/>
    </row>
    <row r="538" spans="6:8" s="30" customFormat="1">
      <c r="F538" s="36"/>
      <c r="H538" s="37"/>
    </row>
    <row r="539" spans="6:8" s="30" customFormat="1">
      <c r="F539" s="36"/>
      <c r="H539" s="37"/>
    </row>
    <row r="540" spans="6:8" s="30" customFormat="1">
      <c r="F540" s="36"/>
      <c r="H540" s="37"/>
    </row>
    <row r="541" spans="6:8" s="30" customFormat="1">
      <c r="F541" s="36"/>
      <c r="H541" s="37"/>
    </row>
    <row r="542" spans="6:8" s="30" customFormat="1">
      <c r="F542" s="36"/>
      <c r="H542" s="37"/>
    </row>
    <row r="543" spans="6:8" s="30" customFormat="1">
      <c r="F543" s="36"/>
      <c r="H543" s="37"/>
    </row>
    <row r="544" spans="6:8" s="30" customFormat="1">
      <c r="F544" s="36"/>
      <c r="H544" s="37"/>
    </row>
    <row r="545" spans="6:8" s="30" customFormat="1">
      <c r="F545" s="36"/>
      <c r="H545" s="37"/>
    </row>
    <row r="546" spans="6:8" s="30" customFormat="1">
      <c r="F546" s="36"/>
      <c r="H546" s="37"/>
    </row>
    <row r="547" spans="6:8" s="30" customFormat="1">
      <c r="F547" s="36"/>
      <c r="H547" s="37"/>
    </row>
    <row r="548" spans="6:8" s="30" customFormat="1">
      <c r="F548" s="36"/>
      <c r="H548" s="37"/>
    </row>
    <row r="549" spans="6:8" s="30" customFormat="1">
      <c r="F549" s="36"/>
      <c r="H549" s="37"/>
    </row>
    <row r="550" spans="6:8" s="30" customFormat="1">
      <c r="F550" s="36"/>
      <c r="H550" s="37"/>
    </row>
    <row r="551" spans="6:8" s="30" customFormat="1">
      <c r="F551" s="36"/>
      <c r="H551" s="37"/>
    </row>
    <row r="552" spans="6:8" s="30" customFormat="1">
      <c r="F552" s="36"/>
      <c r="H552" s="37"/>
    </row>
    <row r="553" spans="6:8" s="30" customFormat="1">
      <c r="F553" s="36"/>
      <c r="H553" s="37"/>
    </row>
    <row r="554" spans="6:8" s="30" customFormat="1">
      <c r="F554" s="36"/>
      <c r="H554" s="37"/>
    </row>
    <row r="555" spans="6:8" s="30" customFormat="1">
      <c r="F555" s="36"/>
      <c r="H555" s="37"/>
    </row>
    <row r="556" spans="6:8" s="30" customFormat="1">
      <c r="F556" s="36"/>
      <c r="H556" s="37"/>
    </row>
    <row r="557" spans="6:8" s="30" customFormat="1">
      <c r="F557" s="36"/>
      <c r="H557" s="37"/>
    </row>
    <row r="558" spans="6:8" s="30" customFormat="1">
      <c r="F558" s="36"/>
      <c r="H558" s="37"/>
    </row>
    <row r="559" spans="6:8" s="30" customFormat="1">
      <c r="F559" s="36"/>
      <c r="H559" s="37"/>
    </row>
    <row r="560" spans="6:8" s="30" customFormat="1">
      <c r="F560" s="36"/>
      <c r="H560" s="37"/>
    </row>
    <row r="561" spans="6:8" s="30" customFormat="1">
      <c r="F561" s="36"/>
      <c r="H561" s="37"/>
    </row>
    <row r="562" spans="6:8" s="30" customFormat="1">
      <c r="F562" s="36"/>
      <c r="H562" s="37"/>
    </row>
    <row r="563" spans="6:8" s="30" customFormat="1">
      <c r="F563" s="36"/>
      <c r="H563" s="37"/>
    </row>
    <row r="564" spans="6:8" s="30" customFormat="1">
      <c r="F564" s="36"/>
      <c r="H564" s="37"/>
    </row>
    <row r="565" spans="6:8" s="30" customFormat="1">
      <c r="F565" s="36"/>
      <c r="H565" s="37"/>
    </row>
    <row r="566" spans="6:8" s="30" customFormat="1">
      <c r="F566" s="36"/>
      <c r="H566" s="37"/>
    </row>
    <row r="567" spans="6:8" s="30" customFormat="1">
      <c r="F567" s="36"/>
      <c r="H567" s="37"/>
    </row>
    <row r="568" spans="6:8" s="30" customFormat="1">
      <c r="F568" s="36"/>
      <c r="H568" s="37"/>
    </row>
    <row r="569" spans="6:8" s="30" customFormat="1">
      <c r="F569" s="36"/>
      <c r="H569" s="37"/>
    </row>
    <row r="570" spans="6:8" s="30" customFormat="1">
      <c r="F570" s="36"/>
      <c r="H570" s="37"/>
    </row>
    <row r="571" spans="6:8" s="30" customFormat="1">
      <c r="F571" s="36"/>
      <c r="H571" s="37"/>
    </row>
    <row r="572" spans="6:8" s="30" customFormat="1">
      <c r="F572" s="36"/>
      <c r="H572" s="37"/>
    </row>
    <row r="573" spans="6:8" s="30" customFormat="1">
      <c r="F573" s="36"/>
      <c r="H573" s="37"/>
    </row>
    <row r="574" spans="6:8" s="30" customFormat="1">
      <c r="F574" s="36"/>
      <c r="H574" s="37"/>
    </row>
    <row r="575" spans="6:8" s="30" customFormat="1">
      <c r="F575" s="36"/>
      <c r="H575" s="37"/>
    </row>
    <row r="576" spans="6:8" s="30" customFormat="1">
      <c r="F576" s="36"/>
      <c r="H576" s="37"/>
    </row>
    <row r="577" spans="6:8" s="30" customFormat="1">
      <c r="F577" s="36"/>
      <c r="H577" s="37"/>
    </row>
    <row r="578" spans="6:8" s="30" customFormat="1">
      <c r="F578" s="36"/>
      <c r="H578" s="37"/>
    </row>
    <row r="579" spans="6:8" s="30" customFormat="1">
      <c r="F579" s="36"/>
      <c r="H579" s="37"/>
    </row>
    <row r="580" spans="6:8" s="30" customFormat="1">
      <c r="F580" s="36"/>
      <c r="H580" s="37"/>
    </row>
    <row r="581" spans="6:8" s="30" customFormat="1">
      <c r="F581" s="36"/>
      <c r="H581" s="37"/>
    </row>
    <row r="582" spans="6:8" s="30" customFormat="1">
      <c r="F582" s="36"/>
      <c r="H582" s="37"/>
    </row>
    <row r="583" spans="6:8" s="30" customFormat="1">
      <c r="F583" s="36"/>
      <c r="H583" s="37"/>
    </row>
    <row r="584" spans="6:8" s="30" customFormat="1">
      <c r="F584" s="36"/>
      <c r="H584" s="37"/>
    </row>
    <row r="585" spans="6:8" s="30" customFormat="1">
      <c r="F585" s="36"/>
      <c r="H585" s="37"/>
    </row>
    <row r="586" spans="6:8" s="30" customFormat="1">
      <c r="F586" s="36"/>
      <c r="H586" s="37"/>
    </row>
    <row r="587" spans="6:8" s="30" customFormat="1">
      <c r="F587" s="36"/>
      <c r="H587" s="37"/>
    </row>
    <row r="588" spans="6:8" s="30" customFormat="1">
      <c r="F588" s="36"/>
      <c r="H588" s="37"/>
    </row>
    <row r="589" spans="6:8" s="30" customFormat="1">
      <c r="F589" s="36"/>
      <c r="H589" s="37"/>
    </row>
    <row r="590" spans="6:8" s="30" customFormat="1">
      <c r="F590" s="36"/>
      <c r="H590" s="37"/>
    </row>
    <row r="591" spans="6:8" s="30" customFormat="1">
      <c r="F591" s="36"/>
      <c r="H591" s="37"/>
    </row>
    <row r="592" spans="6:8" s="30" customFormat="1">
      <c r="F592" s="36"/>
      <c r="H592" s="37"/>
    </row>
    <row r="593" spans="6:8" s="30" customFormat="1">
      <c r="F593" s="36"/>
      <c r="H593" s="37"/>
    </row>
    <row r="594" spans="6:8" s="30" customFormat="1">
      <c r="F594" s="36"/>
      <c r="H594" s="37"/>
    </row>
    <row r="595" spans="6:8" s="30" customFormat="1">
      <c r="F595" s="36"/>
      <c r="H595" s="37"/>
    </row>
    <row r="596" spans="6:8" s="30" customFormat="1">
      <c r="F596" s="36"/>
      <c r="H596" s="37"/>
    </row>
    <row r="597" spans="6:8" s="30" customFormat="1">
      <c r="F597" s="36"/>
      <c r="H597" s="37"/>
    </row>
    <row r="598" spans="6:8" s="30" customFormat="1">
      <c r="F598" s="36"/>
      <c r="H598" s="37"/>
    </row>
    <row r="599" spans="6:8" s="30" customFormat="1">
      <c r="F599" s="36"/>
      <c r="H599" s="37"/>
    </row>
    <row r="600" spans="6:8" s="30" customFormat="1">
      <c r="F600" s="36"/>
      <c r="H600" s="37"/>
    </row>
    <row r="601" spans="6:8" s="30" customFormat="1">
      <c r="F601" s="36"/>
      <c r="H601" s="37"/>
    </row>
    <row r="602" spans="6:8" s="30" customFormat="1">
      <c r="F602" s="36"/>
      <c r="H602" s="37"/>
    </row>
    <row r="603" spans="6:8" s="30" customFormat="1">
      <c r="F603" s="36"/>
      <c r="H603" s="37"/>
    </row>
    <row r="604" spans="6:8" s="30" customFormat="1">
      <c r="F604" s="36"/>
      <c r="H604" s="37"/>
    </row>
    <row r="605" spans="6:8" s="30" customFormat="1">
      <c r="F605" s="36"/>
      <c r="H605" s="37"/>
    </row>
    <row r="606" spans="6:8" s="30" customFormat="1">
      <c r="F606" s="36"/>
      <c r="H606" s="37"/>
    </row>
    <row r="607" spans="6:8" s="30" customFormat="1">
      <c r="F607" s="36"/>
      <c r="H607" s="37"/>
    </row>
    <row r="608" spans="6:8" s="30" customFormat="1">
      <c r="F608" s="36"/>
      <c r="H608" s="37"/>
    </row>
    <row r="609" spans="6:8" s="30" customFormat="1">
      <c r="F609" s="36"/>
      <c r="H609" s="37"/>
    </row>
    <row r="610" spans="6:8" s="30" customFormat="1">
      <c r="F610" s="36"/>
      <c r="H610" s="37"/>
    </row>
    <row r="611" spans="6:8" s="30" customFormat="1">
      <c r="F611" s="36"/>
      <c r="H611" s="37"/>
    </row>
    <row r="612" spans="6:8" s="30" customFormat="1">
      <c r="F612" s="36"/>
      <c r="H612" s="37"/>
    </row>
    <row r="613" spans="6:8" s="30" customFormat="1">
      <c r="F613" s="36"/>
      <c r="H613" s="37"/>
    </row>
    <row r="614" spans="6:8" s="30" customFormat="1">
      <c r="F614" s="36"/>
      <c r="H614" s="37"/>
    </row>
    <row r="615" spans="6:8" s="30" customFormat="1">
      <c r="F615" s="36"/>
      <c r="H615" s="37"/>
    </row>
    <row r="616" spans="6:8" s="30" customFormat="1">
      <c r="F616" s="36"/>
      <c r="H616" s="37"/>
    </row>
    <row r="617" spans="6:8" s="30" customFormat="1">
      <c r="F617" s="36"/>
      <c r="H617" s="37"/>
    </row>
    <row r="618" spans="6:8" s="30" customFormat="1">
      <c r="F618" s="36"/>
      <c r="H618" s="37"/>
    </row>
    <row r="619" spans="6:8" s="30" customFormat="1">
      <c r="F619" s="36"/>
      <c r="H619" s="37"/>
    </row>
    <row r="620" spans="6:8" s="30" customFormat="1">
      <c r="F620" s="36"/>
      <c r="H620" s="37"/>
    </row>
    <row r="621" spans="6:8" s="30" customFormat="1">
      <c r="F621" s="36"/>
      <c r="H621" s="37"/>
    </row>
    <row r="622" spans="6:8" s="30" customFormat="1">
      <c r="F622" s="36"/>
      <c r="H622" s="37"/>
    </row>
    <row r="623" spans="6:8" s="30" customFormat="1">
      <c r="F623" s="36"/>
      <c r="H623" s="37"/>
    </row>
    <row r="624" spans="6:8" s="30" customFormat="1">
      <c r="F624" s="36"/>
      <c r="H624" s="37"/>
    </row>
    <row r="625" spans="6:8" s="30" customFormat="1">
      <c r="F625" s="36"/>
      <c r="H625" s="37"/>
    </row>
    <row r="626" spans="6:8" s="30" customFormat="1">
      <c r="F626" s="36"/>
      <c r="H626" s="37"/>
    </row>
    <row r="627" spans="6:8" s="30" customFormat="1">
      <c r="F627" s="36"/>
      <c r="H627" s="37"/>
    </row>
    <row r="628" spans="6:8" s="30" customFormat="1">
      <c r="F628" s="36"/>
      <c r="H628" s="37"/>
    </row>
    <row r="629" spans="6:8" s="30" customFormat="1">
      <c r="F629" s="36"/>
      <c r="H629" s="37"/>
    </row>
    <row r="630" spans="6:8" s="30" customFormat="1">
      <c r="F630" s="36"/>
      <c r="H630" s="37"/>
    </row>
    <row r="631" spans="6:8" s="30" customFormat="1">
      <c r="F631" s="36"/>
      <c r="H631" s="37"/>
    </row>
    <row r="632" spans="6:8" s="30" customFormat="1">
      <c r="F632" s="36"/>
      <c r="H632" s="37"/>
    </row>
    <row r="633" spans="6:8" s="30" customFormat="1">
      <c r="F633" s="36"/>
      <c r="H633" s="37"/>
    </row>
    <row r="634" spans="6:8" s="30" customFormat="1">
      <c r="F634" s="36"/>
      <c r="H634" s="37"/>
    </row>
    <row r="635" spans="6:8" s="30" customFormat="1">
      <c r="F635" s="36"/>
      <c r="H635" s="37"/>
    </row>
    <row r="636" spans="6:8" s="30" customFormat="1">
      <c r="F636" s="36"/>
      <c r="H636" s="37"/>
    </row>
    <row r="637" spans="6:8" s="30" customFormat="1">
      <c r="F637" s="36"/>
      <c r="H637" s="37"/>
    </row>
    <row r="638" spans="6:8" s="30" customFormat="1">
      <c r="F638" s="36"/>
      <c r="H638" s="37"/>
    </row>
    <row r="639" spans="6:8" s="30" customFormat="1">
      <c r="F639" s="36"/>
      <c r="H639" s="37"/>
    </row>
    <row r="640" spans="6:8" s="30" customFormat="1">
      <c r="F640" s="36"/>
      <c r="H640" s="37"/>
    </row>
    <row r="641" spans="6:8" s="30" customFormat="1">
      <c r="F641" s="36"/>
      <c r="H641" s="37"/>
    </row>
    <row r="642" spans="6:8" s="30" customFormat="1">
      <c r="F642" s="36"/>
      <c r="H642" s="37"/>
    </row>
    <row r="643" spans="6:8" s="30" customFormat="1">
      <c r="F643" s="36"/>
      <c r="H643" s="37"/>
    </row>
    <row r="644" spans="6:8" s="30" customFormat="1">
      <c r="F644" s="36"/>
      <c r="H644" s="37"/>
    </row>
    <row r="645" spans="6:8" s="30" customFormat="1">
      <c r="F645" s="36"/>
      <c r="H645" s="37"/>
    </row>
    <row r="646" spans="6:8" s="30" customFormat="1">
      <c r="F646" s="36"/>
      <c r="H646" s="37"/>
    </row>
    <row r="647" spans="6:8" s="30" customFormat="1">
      <c r="F647" s="36"/>
      <c r="H647" s="37"/>
    </row>
    <row r="648" spans="6:8" s="30" customFormat="1">
      <c r="F648" s="36"/>
      <c r="H648" s="37"/>
    </row>
    <row r="649" spans="6:8" s="30" customFormat="1">
      <c r="F649" s="36"/>
      <c r="H649" s="37"/>
    </row>
    <row r="650" spans="6:8" s="30" customFormat="1">
      <c r="F650" s="36"/>
      <c r="H650" s="37"/>
    </row>
    <row r="651" spans="6:8" s="30" customFormat="1">
      <c r="F651" s="36"/>
      <c r="H651" s="37"/>
    </row>
    <row r="652" spans="6:8" s="30" customFormat="1">
      <c r="F652" s="36"/>
      <c r="H652" s="37"/>
    </row>
    <row r="653" spans="6:8" s="30" customFormat="1">
      <c r="F653" s="36"/>
      <c r="H653" s="37"/>
    </row>
    <row r="654" spans="6:8" s="30" customFormat="1">
      <c r="F654" s="36"/>
      <c r="H654" s="37"/>
    </row>
    <row r="655" spans="6:8" s="30" customFormat="1">
      <c r="F655" s="36"/>
      <c r="H655" s="37"/>
    </row>
    <row r="656" spans="6:8" s="30" customFormat="1">
      <c r="F656" s="36"/>
      <c r="H656" s="37"/>
    </row>
    <row r="657" spans="6:8" s="30" customFormat="1">
      <c r="F657" s="36"/>
      <c r="H657" s="37"/>
    </row>
    <row r="658" spans="6:8" s="30" customFormat="1">
      <c r="F658" s="36"/>
      <c r="H658" s="37"/>
    </row>
    <row r="659" spans="6:8" s="30" customFormat="1">
      <c r="F659" s="36"/>
      <c r="H659" s="37"/>
    </row>
    <row r="660" spans="6:8" s="30" customFormat="1">
      <c r="F660" s="36"/>
      <c r="H660" s="37"/>
    </row>
    <row r="661" spans="6:8" s="30" customFormat="1">
      <c r="F661" s="36"/>
      <c r="H661" s="37"/>
    </row>
    <row r="662" spans="6:8" s="30" customFormat="1">
      <c r="F662" s="36"/>
      <c r="H662" s="37"/>
    </row>
    <row r="663" spans="6:8" s="30" customFormat="1">
      <c r="F663" s="36"/>
      <c r="H663" s="37"/>
    </row>
    <row r="664" spans="6:8" s="30" customFormat="1">
      <c r="F664" s="36"/>
      <c r="H664" s="37"/>
    </row>
    <row r="665" spans="6:8" s="30" customFormat="1">
      <c r="F665" s="36"/>
      <c r="H665" s="37"/>
    </row>
    <row r="666" spans="6:8" s="30" customFormat="1">
      <c r="F666" s="36"/>
      <c r="H666" s="37"/>
    </row>
    <row r="667" spans="6:8" s="30" customFormat="1">
      <c r="F667" s="36"/>
      <c r="H667" s="37"/>
    </row>
    <row r="668" spans="6:8" s="30" customFormat="1">
      <c r="F668" s="36"/>
      <c r="H668" s="37"/>
    </row>
    <row r="669" spans="6:8" s="30" customFormat="1">
      <c r="F669" s="36"/>
      <c r="H669" s="37"/>
    </row>
    <row r="670" spans="6:8" s="30" customFormat="1">
      <c r="F670" s="36"/>
      <c r="H670" s="37"/>
    </row>
    <row r="671" spans="6:8" s="30" customFormat="1">
      <c r="F671" s="36"/>
      <c r="H671" s="37"/>
    </row>
    <row r="672" spans="6:8" s="30" customFormat="1">
      <c r="F672" s="36"/>
      <c r="H672" s="37"/>
    </row>
    <row r="673" spans="6:8" s="30" customFormat="1">
      <c r="F673" s="36"/>
      <c r="H673" s="37"/>
    </row>
    <row r="674" spans="6:8" s="30" customFormat="1">
      <c r="F674" s="36"/>
      <c r="H674" s="37"/>
    </row>
    <row r="675" spans="6:8" s="30" customFormat="1">
      <c r="F675" s="36"/>
      <c r="H675" s="37"/>
    </row>
    <row r="676" spans="6:8" s="30" customFormat="1">
      <c r="F676" s="36"/>
      <c r="H676" s="37"/>
    </row>
    <row r="677" spans="6:8" s="30" customFormat="1">
      <c r="F677" s="36"/>
      <c r="H677" s="37"/>
    </row>
    <row r="678" spans="6:8" s="30" customFormat="1">
      <c r="F678" s="36"/>
      <c r="H678" s="37"/>
    </row>
    <row r="679" spans="6:8" s="30" customFormat="1">
      <c r="F679" s="36"/>
      <c r="H679" s="37"/>
    </row>
    <row r="680" spans="6:8" s="30" customFormat="1">
      <c r="F680" s="36"/>
      <c r="H680" s="37"/>
    </row>
    <row r="681" spans="6:8" s="30" customFormat="1">
      <c r="F681" s="36"/>
      <c r="H681" s="37"/>
    </row>
    <row r="682" spans="6:8" s="30" customFormat="1">
      <c r="F682" s="36"/>
      <c r="H682" s="37"/>
    </row>
    <row r="683" spans="6:8" s="30" customFormat="1">
      <c r="F683" s="36"/>
      <c r="H683" s="37"/>
    </row>
    <row r="684" spans="6:8" s="30" customFormat="1">
      <c r="F684" s="36"/>
      <c r="H684" s="37"/>
    </row>
    <row r="685" spans="6:8" s="30" customFormat="1">
      <c r="F685" s="36"/>
      <c r="H685" s="37"/>
    </row>
    <row r="686" spans="6:8" s="30" customFormat="1">
      <c r="F686" s="36"/>
      <c r="H686" s="37"/>
    </row>
    <row r="687" spans="6:8" s="30" customFormat="1">
      <c r="F687" s="36"/>
      <c r="H687" s="37"/>
    </row>
    <row r="688" spans="6:8" s="30" customFormat="1">
      <c r="F688" s="36"/>
      <c r="H688" s="37"/>
    </row>
    <row r="689" spans="6:8" s="30" customFormat="1">
      <c r="F689" s="36"/>
      <c r="H689" s="37"/>
    </row>
    <row r="690" spans="6:8" s="30" customFormat="1">
      <c r="F690" s="36"/>
      <c r="H690" s="37"/>
    </row>
    <row r="691" spans="6:8" s="30" customFormat="1">
      <c r="F691" s="36"/>
      <c r="H691" s="37"/>
    </row>
    <row r="692" spans="6:8" s="30" customFormat="1">
      <c r="F692" s="36"/>
      <c r="H692" s="37"/>
    </row>
    <row r="693" spans="6:8" s="30" customFormat="1">
      <c r="F693" s="36"/>
      <c r="H693" s="37"/>
    </row>
    <row r="694" spans="6:8" s="30" customFormat="1">
      <c r="F694" s="36"/>
      <c r="H694" s="37"/>
    </row>
    <row r="695" spans="6:8" s="30" customFormat="1">
      <c r="F695" s="36"/>
      <c r="H695" s="37"/>
    </row>
    <row r="696" spans="6:8" s="30" customFormat="1">
      <c r="F696" s="36"/>
      <c r="H696" s="37"/>
    </row>
    <row r="697" spans="6:8" s="30" customFormat="1">
      <c r="F697" s="36"/>
      <c r="H697" s="37"/>
    </row>
    <row r="698" spans="6:8" s="30" customFormat="1">
      <c r="F698" s="36"/>
      <c r="H698" s="37"/>
    </row>
    <row r="699" spans="6:8" s="30" customFormat="1">
      <c r="F699" s="36"/>
      <c r="H699" s="37"/>
    </row>
    <row r="700" spans="6:8" s="30" customFormat="1">
      <c r="F700" s="36"/>
      <c r="H700" s="37"/>
    </row>
    <row r="701" spans="6:8" s="30" customFormat="1">
      <c r="F701" s="36"/>
      <c r="H701" s="37"/>
    </row>
    <row r="702" spans="6:8" s="30" customFormat="1">
      <c r="F702" s="36"/>
      <c r="H702" s="37"/>
    </row>
    <row r="703" spans="6:8" s="30" customFormat="1">
      <c r="F703" s="36"/>
      <c r="H703" s="37"/>
    </row>
    <row r="704" spans="6:8" s="30" customFormat="1">
      <c r="F704" s="36"/>
      <c r="H704" s="37"/>
    </row>
    <row r="705" spans="6:8" s="30" customFormat="1">
      <c r="F705" s="36"/>
      <c r="H705" s="37"/>
    </row>
    <row r="706" spans="6:8" s="30" customFormat="1">
      <c r="F706" s="36"/>
      <c r="H706" s="37"/>
    </row>
    <row r="707" spans="6:8" s="30" customFormat="1">
      <c r="F707" s="36"/>
      <c r="H707" s="37"/>
    </row>
    <row r="708" spans="6:8" s="30" customFormat="1">
      <c r="F708" s="36"/>
      <c r="H708" s="37"/>
    </row>
    <row r="709" spans="6:8" s="30" customFormat="1">
      <c r="F709" s="36"/>
      <c r="H709" s="37"/>
    </row>
    <row r="710" spans="6:8" s="30" customFormat="1">
      <c r="F710" s="36"/>
      <c r="H710" s="37"/>
    </row>
    <row r="711" spans="6:8" s="30" customFormat="1">
      <c r="F711" s="36"/>
      <c r="H711" s="37"/>
    </row>
    <row r="712" spans="6:8" s="30" customFormat="1">
      <c r="F712" s="36"/>
      <c r="H712" s="37"/>
    </row>
    <row r="713" spans="6:8" s="30" customFormat="1">
      <c r="F713" s="36"/>
      <c r="H713" s="37"/>
    </row>
    <row r="714" spans="6:8" s="30" customFormat="1">
      <c r="F714" s="36"/>
      <c r="H714" s="37"/>
    </row>
    <row r="715" spans="6:8" s="30" customFormat="1">
      <c r="F715" s="36"/>
      <c r="H715" s="37"/>
    </row>
    <row r="716" spans="6:8" s="30" customFormat="1">
      <c r="F716" s="36"/>
      <c r="H716" s="37"/>
    </row>
    <row r="717" spans="6:8" s="30" customFormat="1">
      <c r="F717" s="36"/>
      <c r="H717" s="37"/>
    </row>
    <row r="718" spans="6:8" s="30" customFormat="1">
      <c r="F718" s="36"/>
      <c r="H718" s="37"/>
    </row>
    <row r="719" spans="6:8" s="30" customFormat="1">
      <c r="F719" s="36"/>
      <c r="H719" s="37"/>
    </row>
    <row r="720" spans="6:8" s="30" customFormat="1">
      <c r="F720" s="36"/>
      <c r="H720" s="37"/>
    </row>
    <row r="721" spans="6:8" s="30" customFormat="1">
      <c r="F721" s="36"/>
      <c r="H721" s="37"/>
    </row>
    <row r="722" spans="6:8" s="30" customFormat="1">
      <c r="F722" s="36"/>
      <c r="H722" s="37"/>
    </row>
    <row r="723" spans="6:8" s="30" customFormat="1">
      <c r="F723" s="36"/>
      <c r="H723" s="37"/>
    </row>
    <row r="724" spans="6:8" s="30" customFormat="1">
      <c r="F724" s="36"/>
      <c r="H724" s="37"/>
    </row>
    <row r="725" spans="6:8" s="30" customFormat="1">
      <c r="F725" s="36"/>
      <c r="H725" s="37"/>
    </row>
    <row r="726" spans="6:8" s="30" customFormat="1">
      <c r="F726" s="36"/>
      <c r="H726" s="37"/>
    </row>
    <row r="727" spans="6:8" s="30" customFormat="1">
      <c r="F727" s="36"/>
      <c r="H727" s="37"/>
    </row>
    <row r="728" spans="6:8" s="30" customFormat="1">
      <c r="F728" s="36"/>
      <c r="H728" s="37"/>
    </row>
    <row r="729" spans="6:8" s="30" customFormat="1">
      <c r="F729" s="36"/>
      <c r="H729" s="37"/>
    </row>
    <row r="730" spans="6:8" s="30" customFormat="1">
      <c r="F730" s="36"/>
      <c r="H730" s="37"/>
    </row>
    <row r="731" spans="6:8" s="30" customFormat="1">
      <c r="F731" s="36"/>
      <c r="H731" s="37"/>
    </row>
    <row r="732" spans="6:8" s="30" customFormat="1">
      <c r="F732" s="36"/>
      <c r="H732" s="37"/>
    </row>
    <row r="733" spans="6:8" s="30" customFormat="1">
      <c r="F733" s="36"/>
      <c r="H733" s="37"/>
    </row>
    <row r="734" spans="6:8" s="30" customFormat="1">
      <c r="F734" s="36"/>
      <c r="H734" s="37"/>
    </row>
    <row r="735" spans="6:8" s="30" customFormat="1">
      <c r="F735" s="36"/>
      <c r="H735" s="37"/>
    </row>
    <row r="736" spans="6:8" s="30" customFormat="1">
      <c r="F736" s="36"/>
      <c r="H736" s="37"/>
    </row>
    <row r="737" spans="6:8" s="30" customFormat="1">
      <c r="F737" s="36"/>
      <c r="H737" s="37"/>
    </row>
    <row r="738" spans="6:8" s="30" customFormat="1">
      <c r="F738" s="36"/>
      <c r="H738" s="37"/>
    </row>
    <row r="739" spans="6:8" s="30" customFormat="1">
      <c r="F739" s="36"/>
      <c r="H739" s="37"/>
    </row>
    <row r="740" spans="6:8" s="30" customFormat="1">
      <c r="F740" s="36"/>
      <c r="H740" s="37"/>
    </row>
    <row r="741" spans="6:8" s="30" customFormat="1">
      <c r="F741" s="36"/>
      <c r="H741" s="37"/>
    </row>
    <row r="742" spans="6:8" s="30" customFormat="1">
      <c r="F742" s="36"/>
      <c r="H742" s="37"/>
    </row>
    <row r="743" spans="6:8" s="30" customFormat="1">
      <c r="F743" s="36"/>
      <c r="H743" s="37"/>
    </row>
    <row r="744" spans="6:8" s="30" customFormat="1">
      <c r="F744" s="36"/>
      <c r="H744" s="37"/>
    </row>
    <row r="745" spans="6:8" s="30" customFormat="1">
      <c r="F745" s="36"/>
      <c r="H745" s="37"/>
    </row>
    <row r="746" spans="6:8" s="30" customFormat="1">
      <c r="F746" s="36"/>
      <c r="H746" s="37"/>
    </row>
    <row r="747" spans="6:8" s="30" customFormat="1">
      <c r="F747" s="36"/>
      <c r="H747" s="37"/>
    </row>
    <row r="748" spans="6:8" s="30" customFormat="1">
      <c r="F748" s="36"/>
      <c r="H748" s="37"/>
    </row>
    <row r="749" spans="6:8" s="30" customFormat="1">
      <c r="F749" s="36"/>
      <c r="H749" s="37"/>
    </row>
    <row r="750" spans="6:8" s="30" customFormat="1">
      <c r="F750" s="36"/>
      <c r="H750" s="37"/>
    </row>
    <row r="751" spans="6:8" s="30" customFormat="1">
      <c r="F751" s="36"/>
      <c r="H751" s="37"/>
    </row>
    <row r="752" spans="6:8" s="30" customFormat="1">
      <c r="F752" s="36"/>
      <c r="H752" s="37"/>
    </row>
    <row r="753" spans="6:8" s="30" customFormat="1">
      <c r="F753" s="36"/>
      <c r="H753" s="37"/>
    </row>
    <row r="754" spans="6:8" s="30" customFormat="1">
      <c r="F754" s="36"/>
      <c r="H754" s="37"/>
    </row>
    <row r="755" spans="6:8" s="30" customFormat="1">
      <c r="F755" s="36"/>
      <c r="H755" s="37"/>
    </row>
    <row r="756" spans="6:8" s="30" customFormat="1">
      <c r="F756" s="36"/>
      <c r="H756" s="37"/>
    </row>
    <row r="757" spans="6:8" s="30" customFormat="1">
      <c r="F757" s="36"/>
      <c r="H757" s="37"/>
    </row>
    <row r="758" spans="6:8" s="30" customFormat="1">
      <c r="F758" s="36"/>
      <c r="H758" s="37"/>
    </row>
    <row r="759" spans="6:8" s="30" customFormat="1">
      <c r="F759" s="36"/>
      <c r="H759" s="37"/>
    </row>
    <row r="760" spans="6:8" s="30" customFormat="1">
      <c r="F760" s="36"/>
      <c r="H760" s="37"/>
    </row>
    <row r="761" spans="6:8" s="30" customFormat="1">
      <c r="F761" s="36"/>
      <c r="H761" s="37"/>
    </row>
    <row r="762" spans="6:8" s="30" customFormat="1">
      <c r="F762" s="36"/>
      <c r="H762" s="37"/>
    </row>
    <row r="763" spans="6:8" s="30" customFormat="1">
      <c r="F763" s="36"/>
      <c r="H763" s="37"/>
    </row>
    <row r="764" spans="6:8" s="30" customFormat="1">
      <c r="F764" s="36"/>
      <c r="H764" s="37"/>
    </row>
    <row r="765" spans="6:8" s="30" customFormat="1">
      <c r="F765" s="36"/>
      <c r="H765" s="37"/>
    </row>
    <row r="766" spans="6:8" s="30" customFormat="1">
      <c r="F766" s="36"/>
      <c r="H766" s="37"/>
    </row>
    <row r="767" spans="6:8" s="30" customFormat="1">
      <c r="F767" s="36"/>
      <c r="H767" s="37"/>
    </row>
    <row r="768" spans="6:8" s="30" customFormat="1">
      <c r="F768" s="36"/>
      <c r="H768" s="37"/>
    </row>
    <row r="769" spans="6:8" s="30" customFormat="1">
      <c r="F769" s="36"/>
      <c r="H769" s="37"/>
    </row>
    <row r="770" spans="6:8" s="30" customFormat="1">
      <c r="F770" s="36"/>
      <c r="H770" s="37"/>
    </row>
    <row r="771" spans="6:8" s="30" customFormat="1">
      <c r="F771" s="36"/>
      <c r="H771" s="37"/>
    </row>
    <row r="772" spans="6:8" s="30" customFormat="1">
      <c r="F772" s="36"/>
      <c r="H772" s="37"/>
    </row>
    <row r="773" spans="6:8" s="30" customFormat="1">
      <c r="F773" s="36"/>
      <c r="H773" s="37"/>
    </row>
    <row r="774" spans="6:8" s="30" customFormat="1">
      <c r="F774" s="36"/>
      <c r="H774" s="37"/>
    </row>
    <row r="775" spans="6:8" s="30" customFormat="1">
      <c r="F775" s="36"/>
      <c r="H775" s="37"/>
    </row>
    <row r="776" spans="6:8" s="30" customFormat="1">
      <c r="F776" s="36"/>
      <c r="H776" s="37"/>
    </row>
    <row r="777" spans="6:8" s="30" customFormat="1">
      <c r="F777" s="36"/>
      <c r="H777" s="37"/>
    </row>
    <row r="778" spans="6:8" s="30" customFormat="1">
      <c r="F778" s="36"/>
      <c r="H778" s="37"/>
    </row>
    <row r="779" spans="6:8" s="30" customFormat="1">
      <c r="F779" s="36"/>
      <c r="H779" s="37"/>
    </row>
    <row r="780" spans="6:8" s="30" customFormat="1">
      <c r="F780" s="36"/>
      <c r="H780" s="37"/>
    </row>
    <row r="781" spans="6:8" s="30" customFormat="1">
      <c r="F781" s="36"/>
      <c r="H781" s="37"/>
    </row>
    <row r="782" spans="6:8" s="30" customFormat="1">
      <c r="F782" s="36"/>
      <c r="H782" s="37"/>
    </row>
    <row r="783" spans="6:8" s="30" customFormat="1">
      <c r="F783" s="36"/>
      <c r="H783" s="37"/>
    </row>
    <row r="784" spans="6:8" s="30" customFormat="1">
      <c r="F784" s="36"/>
      <c r="H784" s="37"/>
    </row>
    <row r="785" spans="6:8" s="30" customFormat="1">
      <c r="F785" s="36"/>
      <c r="H785" s="37"/>
    </row>
    <row r="786" spans="6:8" s="30" customFormat="1">
      <c r="F786" s="36"/>
      <c r="H786" s="37"/>
    </row>
    <row r="787" spans="6:8" s="30" customFormat="1">
      <c r="F787" s="36"/>
      <c r="H787" s="37"/>
    </row>
    <row r="788" spans="6:8" s="30" customFormat="1">
      <c r="F788" s="36"/>
      <c r="H788" s="37"/>
    </row>
    <row r="789" spans="6:8" s="30" customFormat="1">
      <c r="F789" s="36"/>
      <c r="H789" s="37"/>
    </row>
    <row r="790" spans="6:8" s="30" customFormat="1">
      <c r="F790" s="36"/>
      <c r="H790" s="37"/>
    </row>
    <row r="791" spans="6:8" s="30" customFormat="1">
      <c r="F791" s="36"/>
      <c r="H791" s="37"/>
    </row>
    <row r="792" spans="6:8" s="30" customFormat="1">
      <c r="F792" s="36"/>
      <c r="H792" s="37"/>
    </row>
    <row r="793" spans="6:8" s="30" customFormat="1">
      <c r="F793" s="36"/>
      <c r="H793" s="37"/>
    </row>
    <row r="794" spans="6:8" s="30" customFormat="1">
      <c r="F794" s="36"/>
      <c r="H794" s="37"/>
    </row>
    <row r="795" spans="6:8" s="30" customFormat="1">
      <c r="F795" s="36"/>
      <c r="H795" s="37"/>
    </row>
    <row r="796" spans="6:8" s="30" customFormat="1">
      <c r="F796" s="36"/>
      <c r="H796" s="37"/>
    </row>
    <row r="797" spans="6:8" s="30" customFormat="1">
      <c r="F797" s="36"/>
      <c r="H797" s="37"/>
    </row>
    <row r="798" spans="6:8" s="30" customFormat="1">
      <c r="F798" s="36"/>
      <c r="H798" s="37"/>
    </row>
    <row r="799" spans="6:8" s="30" customFormat="1">
      <c r="F799" s="36"/>
      <c r="H799" s="37"/>
    </row>
    <row r="800" spans="6:8" s="30" customFormat="1">
      <c r="F800" s="36"/>
      <c r="H800" s="37"/>
    </row>
    <row r="801" spans="6:8" s="30" customFormat="1">
      <c r="F801" s="36"/>
      <c r="H801" s="37"/>
    </row>
    <row r="802" spans="6:8" s="30" customFormat="1">
      <c r="F802" s="36"/>
      <c r="H802" s="37"/>
    </row>
    <row r="803" spans="6:8" s="30" customFormat="1">
      <c r="F803" s="36"/>
      <c r="H803" s="37"/>
    </row>
    <row r="804" spans="6:8" s="30" customFormat="1">
      <c r="F804" s="36"/>
      <c r="H804" s="37"/>
    </row>
    <row r="805" spans="6:8" s="30" customFormat="1">
      <c r="F805" s="36"/>
      <c r="H805" s="37"/>
    </row>
    <row r="806" spans="6:8" s="30" customFormat="1">
      <c r="F806" s="36"/>
      <c r="H806" s="37"/>
    </row>
    <row r="807" spans="6:8" s="30" customFormat="1">
      <c r="F807" s="36"/>
      <c r="H807" s="37"/>
    </row>
    <row r="808" spans="6:8" s="30" customFormat="1">
      <c r="F808" s="36"/>
      <c r="H808" s="37"/>
    </row>
    <row r="809" spans="6:8" s="30" customFormat="1">
      <c r="F809" s="36"/>
      <c r="H809" s="37"/>
    </row>
    <row r="810" spans="6:8" s="30" customFormat="1">
      <c r="F810" s="36"/>
      <c r="H810" s="37"/>
    </row>
    <row r="811" spans="6:8" s="30" customFormat="1">
      <c r="F811" s="36"/>
      <c r="H811" s="37"/>
    </row>
    <row r="812" spans="6:8" s="30" customFormat="1">
      <c r="F812" s="36"/>
      <c r="H812" s="37"/>
    </row>
    <row r="813" spans="6:8" s="30" customFormat="1">
      <c r="F813" s="36"/>
      <c r="H813" s="37"/>
    </row>
    <row r="814" spans="6:8" s="30" customFormat="1">
      <c r="F814" s="36"/>
      <c r="H814" s="37"/>
    </row>
    <row r="815" spans="6:8" s="30" customFormat="1">
      <c r="F815" s="36"/>
      <c r="H815" s="37"/>
    </row>
    <row r="816" spans="6:8" s="30" customFormat="1">
      <c r="F816" s="36"/>
      <c r="H816" s="37"/>
    </row>
    <row r="817" spans="6:8" s="30" customFormat="1">
      <c r="F817" s="36"/>
      <c r="H817" s="37"/>
    </row>
    <row r="818" spans="6:8" s="30" customFormat="1">
      <c r="F818" s="36"/>
      <c r="H818" s="37"/>
    </row>
    <row r="819" spans="6:8" s="30" customFormat="1">
      <c r="F819" s="36"/>
      <c r="H819" s="37"/>
    </row>
    <row r="820" spans="6:8" s="30" customFormat="1">
      <c r="F820" s="36"/>
      <c r="H820" s="37"/>
    </row>
    <row r="821" spans="6:8" s="30" customFormat="1">
      <c r="F821" s="36"/>
      <c r="H821" s="37"/>
    </row>
    <row r="822" spans="6:8" s="30" customFormat="1">
      <c r="F822" s="36"/>
      <c r="H822" s="37"/>
    </row>
    <row r="823" spans="6:8" s="30" customFormat="1">
      <c r="F823" s="36"/>
      <c r="H823" s="37"/>
    </row>
    <row r="824" spans="6:8" s="30" customFormat="1">
      <c r="F824" s="36"/>
      <c r="H824" s="37"/>
    </row>
    <row r="825" spans="6:8" s="30" customFormat="1">
      <c r="F825" s="36"/>
      <c r="H825" s="37"/>
    </row>
    <row r="826" spans="6:8" s="30" customFormat="1">
      <c r="F826" s="36"/>
      <c r="H826" s="37"/>
    </row>
    <row r="827" spans="6:8" s="30" customFormat="1">
      <c r="F827" s="36"/>
      <c r="H827" s="37"/>
    </row>
    <row r="828" spans="6:8" s="30" customFormat="1">
      <c r="F828" s="36"/>
      <c r="H828" s="37"/>
    </row>
    <row r="829" spans="6:8" s="30" customFormat="1">
      <c r="F829" s="36"/>
      <c r="H829" s="37"/>
    </row>
    <row r="830" spans="6:8" s="30" customFormat="1">
      <c r="F830" s="36"/>
      <c r="H830" s="37"/>
    </row>
    <row r="831" spans="6:8" s="30" customFormat="1">
      <c r="F831" s="36"/>
      <c r="H831" s="37"/>
    </row>
    <row r="832" spans="6:8" s="30" customFormat="1">
      <c r="F832" s="36"/>
      <c r="H832" s="37"/>
    </row>
    <row r="833" spans="6:8" s="30" customFormat="1">
      <c r="F833" s="36"/>
      <c r="H833" s="37"/>
    </row>
    <row r="834" spans="6:8" s="30" customFormat="1">
      <c r="F834" s="36"/>
      <c r="H834" s="37"/>
    </row>
    <row r="835" spans="6:8" s="30" customFormat="1">
      <c r="F835" s="36"/>
      <c r="H835" s="37"/>
    </row>
    <row r="836" spans="6:8" s="30" customFormat="1">
      <c r="F836" s="36"/>
      <c r="H836" s="37"/>
    </row>
    <row r="837" spans="6:8" s="30" customFormat="1">
      <c r="F837" s="36"/>
      <c r="H837" s="37"/>
    </row>
    <row r="838" spans="6:8" s="30" customFormat="1">
      <c r="F838" s="36"/>
      <c r="H838" s="37"/>
    </row>
    <row r="839" spans="6:8" s="30" customFormat="1">
      <c r="F839" s="36"/>
      <c r="H839" s="37"/>
    </row>
    <row r="840" spans="6:8" s="30" customFormat="1">
      <c r="F840" s="36"/>
      <c r="H840" s="37"/>
    </row>
    <row r="841" spans="6:8" s="30" customFormat="1">
      <c r="F841" s="36"/>
      <c r="H841" s="37"/>
    </row>
    <row r="842" spans="6:8" s="30" customFormat="1">
      <c r="F842" s="36"/>
      <c r="H842" s="37"/>
    </row>
    <row r="843" spans="6:8" s="30" customFormat="1">
      <c r="F843" s="36"/>
      <c r="H843" s="37"/>
    </row>
    <row r="844" spans="6:8" s="30" customFormat="1">
      <c r="F844" s="36"/>
      <c r="H844" s="37"/>
    </row>
    <row r="845" spans="6:8" s="30" customFormat="1">
      <c r="F845" s="36"/>
      <c r="H845" s="37"/>
    </row>
    <row r="846" spans="6:8" s="30" customFormat="1">
      <c r="F846" s="36"/>
      <c r="H846" s="37"/>
    </row>
    <row r="847" spans="6:8" s="30" customFormat="1">
      <c r="F847" s="36"/>
      <c r="H847" s="37"/>
    </row>
    <row r="848" spans="6:8" s="30" customFormat="1">
      <c r="F848" s="36"/>
      <c r="H848" s="37"/>
    </row>
    <row r="849" spans="6:8" s="30" customFormat="1">
      <c r="F849" s="36"/>
      <c r="H849" s="37"/>
    </row>
    <row r="850" spans="6:8" s="30" customFormat="1">
      <c r="F850" s="36"/>
      <c r="H850" s="37"/>
    </row>
    <row r="851" spans="6:8" s="30" customFormat="1">
      <c r="F851" s="36"/>
      <c r="H851" s="37"/>
    </row>
    <row r="852" spans="6:8" s="30" customFormat="1">
      <c r="F852" s="36"/>
      <c r="H852" s="37"/>
    </row>
    <row r="853" spans="6:8" s="30" customFormat="1">
      <c r="F853" s="36"/>
      <c r="H853" s="37"/>
    </row>
    <row r="854" spans="6:8" s="30" customFormat="1">
      <c r="F854" s="36"/>
      <c r="H854" s="37"/>
    </row>
    <row r="855" spans="6:8" s="30" customFormat="1">
      <c r="F855" s="36"/>
      <c r="H855" s="37"/>
    </row>
    <row r="856" spans="6:8" s="30" customFormat="1">
      <c r="F856" s="36"/>
      <c r="H856" s="37"/>
    </row>
    <row r="857" spans="6:8" s="30" customFormat="1">
      <c r="F857" s="36"/>
      <c r="H857" s="37"/>
    </row>
    <row r="858" spans="6:8" s="30" customFormat="1">
      <c r="F858" s="36"/>
      <c r="H858" s="37"/>
    </row>
    <row r="859" spans="6:8" s="30" customFormat="1">
      <c r="F859" s="36"/>
      <c r="H859" s="37"/>
    </row>
    <row r="860" spans="6:8" s="30" customFormat="1">
      <c r="F860" s="36"/>
      <c r="H860" s="37"/>
    </row>
    <row r="861" spans="6:8" s="30" customFormat="1">
      <c r="F861" s="36"/>
      <c r="H861" s="37"/>
    </row>
    <row r="862" spans="6:8" s="30" customFormat="1">
      <c r="F862" s="36"/>
      <c r="H862" s="37"/>
    </row>
    <row r="863" spans="6:8" s="30" customFormat="1">
      <c r="F863" s="36"/>
      <c r="H863" s="37"/>
    </row>
  </sheetData>
  <mergeCells count="2">
    <mergeCell ref="B1:H1"/>
    <mergeCell ref="B2:H2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I826"/>
  <sheetViews>
    <sheetView zoomScaleNormal="100" workbookViewId="0">
      <selection activeCell="B17" sqref="B17"/>
    </sheetView>
  </sheetViews>
  <sheetFormatPr defaultRowHeight="12.75"/>
  <cols>
    <col min="1" max="1" width="3.42578125" style="30" bestFit="1" customWidth="1"/>
    <col min="2" max="2" width="50.42578125" bestFit="1" customWidth="1"/>
    <col min="3" max="3" width="16.85546875" bestFit="1" customWidth="1"/>
    <col min="4" max="4" width="33.5703125" bestFit="1" customWidth="1"/>
    <col min="5" max="5" width="16.85546875" bestFit="1" customWidth="1"/>
    <col min="6" max="6" width="16.85546875" style="3" bestFit="1" customWidth="1"/>
    <col min="7" max="7" width="25.140625" hidden="1" customWidth="1"/>
    <col min="8" max="8" width="16.85546875" style="4" bestFit="1" customWidth="1"/>
    <col min="9" max="9" width="25.140625" hidden="1" customWidth="1"/>
    <col min="10" max="113" width="9.140625" style="30"/>
  </cols>
  <sheetData>
    <row r="1" spans="1:9" ht="18" customHeight="1">
      <c r="A1" s="27"/>
      <c r="B1" s="171" t="s">
        <v>370</v>
      </c>
      <c r="C1" s="172"/>
      <c r="D1" s="172"/>
      <c r="E1" s="172"/>
      <c r="F1" s="172"/>
      <c r="G1" s="172"/>
      <c r="H1" s="173"/>
      <c r="I1" s="1"/>
    </row>
    <row r="2" spans="1:9" ht="12.95" customHeight="1" thickBot="1">
      <c r="A2" s="27"/>
      <c r="B2" s="174" t="s">
        <v>412</v>
      </c>
      <c r="C2" s="175"/>
      <c r="D2" s="175"/>
      <c r="E2" s="175"/>
      <c r="F2" s="175"/>
      <c r="G2" s="175"/>
      <c r="H2" s="176"/>
      <c r="I2" s="1"/>
    </row>
    <row r="3" spans="1:9" s="30" customFormat="1" ht="12.95" customHeight="1">
      <c r="A3" s="27"/>
      <c r="B3" s="95"/>
      <c r="C3" s="95"/>
      <c r="D3" s="95"/>
      <c r="E3" s="95"/>
      <c r="F3" s="95"/>
      <c r="G3" s="95"/>
      <c r="H3" s="95"/>
      <c r="I3" s="27"/>
    </row>
    <row r="4" spans="1:9" s="30" customFormat="1" ht="12.95" customHeight="1">
      <c r="A4" s="28"/>
      <c r="B4" s="32" t="s">
        <v>2</v>
      </c>
      <c r="C4" s="27"/>
      <c r="D4" s="27"/>
      <c r="E4" s="27"/>
      <c r="F4" s="33"/>
      <c r="G4" s="27"/>
      <c r="H4" s="34"/>
      <c r="I4" s="27"/>
    </row>
    <row r="5" spans="1:9" s="30" customFormat="1" ht="12.95" customHeight="1" thickBot="1">
      <c r="A5" s="28"/>
      <c r="B5" s="32"/>
      <c r="C5" s="27"/>
      <c r="D5" s="27"/>
      <c r="E5" s="27"/>
      <c r="F5" s="33"/>
      <c r="G5" s="27"/>
      <c r="H5" s="34"/>
      <c r="I5" s="27"/>
    </row>
    <row r="6" spans="1:9" ht="27.95" customHeight="1" thickBot="1">
      <c r="A6" s="27"/>
      <c r="B6" s="82" t="s">
        <v>3</v>
      </c>
      <c r="C6" s="83" t="s">
        <v>4</v>
      </c>
      <c r="D6" s="84" t="s">
        <v>5</v>
      </c>
      <c r="E6" s="84" t="s">
        <v>6</v>
      </c>
      <c r="F6" s="85" t="s">
        <v>7</v>
      </c>
      <c r="G6" s="84" t="s">
        <v>8</v>
      </c>
      <c r="H6" s="86" t="s">
        <v>9</v>
      </c>
      <c r="I6" s="38" t="s">
        <v>10</v>
      </c>
    </row>
    <row r="7" spans="1:9" ht="12.95" customHeight="1">
      <c r="A7" s="27"/>
      <c r="B7" s="155" t="s">
        <v>387</v>
      </c>
      <c r="C7" s="156"/>
      <c r="D7" s="126"/>
      <c r="E7" s="126"/>
      <c r="F7" s="127"/>
      <c r="G7" s="126"/>
      <c r="H7" s="161"/>
      <c r="I7" s="26"/>
    </row>
    <row r="8" spans="1:9" ht="12.95" customHeight="1">
      <c r="A8" s="27"/>
      <c r="B8" s="19" t="s">
        <v>388</v>
      </c>
      <c r="C8" s="59"/>
      <c r="D8" s="46"/>
      <c r="E8" s="153" t="s">
        <v>197</v>
      </c>
      <c r="F8" s="153" t="s">
        <v>197</v>
      </c>
      <c r="G8" s="153" t="s">
        <v>197</v>
      </c>
      <c r="H8" s="154" t="s">
        <v>197</v>
      </c>
      <c r="I8" s="7" t="s">
        <v>197</v>
      </c>
    </row>
    <row r="9" spans="1:9" ht="12.95" customHeight="1">
      <c r="A9" s="29"/>
      <c r="B9" s="22" t="s">
        <v>196</v>
      </c>
      <c r="C9" s="60"/>
      <c r="D9" s="46"/>
      <c r="E9" s="153" t="s">
        <v>197</v>
      </c>
      <c r="F9" s="153" t="s">
        <v>197</v>
      </c>
      <c r="G9" s="153" t="s">
        <v>197</v>
      </c>
      <c r="H9" s="154" t="s">
        <v>197</v>
      </c>
      <c r="I9" s="7" t="s">
        <v>197</v>
      </c>
    </row>
    <row r="10" spans="1:9" ht="12.95" customHeight="1">
      <c r="A10" s="29"/>
      <c r="B10" s="160"/>
      <c r="C10" s="45"/>
      <c r="D10" s="46"/>
      <c r="E10" s="46"/>
      <c r="F10" s="47"/>
      <c r="G10" s="46"/>
      <c r="H10" s="135"/>
      <c r="I10" s="8"/>
    </row>
    <row r="11" spans="1:9" ht="12.95" customHeight="1">
      <c r="A11" s="27"/>
      <c r="B11" s="64" t="s">
        <v>241</v>
      </c>
      <c r="C11" s="16" t="s">
        <v>1</v>
      </c>
      <c r="D11" s="16" t="s">
        <v>1</v>
      </c>
      <c r="E11" s="16" t="s">
        <v>1</v>
      </c>
      <c r="F11" s="49" t="s">
        <v>1</v>
      </c>
      <c r="G11" s="50"/>
      <c r="H11" s="67" t="s">
        <v>1</v>
      </c>
      <c r="I11" s="39" t="s">
        <v>1</v>
      </c>
    </row>
    <row r="12" spans="1:9" ht="12.95" customHeight="1">
      <c r="A12" s="27"/>
      <c r="B12" s="64" t="s">
        <v>242</v>
      </c>
      <c r="C12" s="16" t="s">
        <v>1</v>
      </c>
      <c r="D12" s="16" t="s">
        <v>1</v>
      </c>
      <c r="E12" s="16" t="s">
        <v>1</v>
      </c>
      <c r="F12" s="49" t="s">
        <v>1</v>
      </c>
      <c r="G12" s="50"/>
      <c r="H12" s="67" t="s">
        <v>1</v>
      </c>
      <c r="I12" s="39" t="s">
        <v>1</v>
      </c>
    </row>
    <row r="13" spans="1:9" ht="12.95" customHeight="1">
      <c r="A13" s="29"/>
      <c r="B13" s="68" t="s">
        <v>371</v>
      </c>
      <c r="C13" s="16" t="s">
        <v>372</v>
      </c>
      <c r="D13" s="16" t="s">
        <v>245</v>
      </c>
      <c r="E13" s="52">
        <v>500000</v>
      </c>
      <c r="F13" s="53">
        <v>502.33</v>
      </c>
      <c r="G13" s="54">
        <v>502.33</v>
      </c>
      <c r="H13" s="69">
        <v>9.9825245370615573E-2</v>
      </c>
      <c r="I13" s="2">
        <v>9.98E-2</v>
      </c>
    </row>
    <row r="14" spans="1:9" ht="12.95" customHeight="1">
      <c r="A14" s="29"/>
      <c r="B14" s="68" t="s">
        <v>373</v>
      </c>
      <c r="C14" s="16" t="s">
        <v>374</v>
      </c>
      <c r="D14" s="16" t="s">
        <v>245</v>
      </c>
      <c r="E14" s="52">
        <v>450000</v>
      </c>
      <c r="F14" s="53">
        <v>452.27609999999999</v>
      </c>
      <c r="G14" s="54">
        <v>452.28</v>
      </c>
      <c r="H14" s="69">
        <v>8.9878312379840078E-2</v>
      </c>
      <c r="I14" s="2">
        <v>8.9899999999999994E-2</v>
      </c>
    </row>
    <row r="15" spans="1:9" ht="12.95" customHeight="1">
      <c r="A15" s="27"/>
      <c r="B15" s="64" t="s">
        <v>31</v>
      </c>
      <c r="C15" s="16" t="s">
        <v>1</v>
      </c>
      <c r="D15" s="16" t="s">
        <v>1</v>
      </c>
      <c r="E15" s="16" t="s">
        <v>1</v>
      </c>
      <c r="F15" s="17">
        <v>954.60609999999997</v>
      </c>
      <c r="G15" s="56">
        <v>954.61</v>
      </c>
      <c r="H15" s="70">
        <v>0.18970355775045566</v>
      </c>
      <c r="I15" s="41">
        <v>0.18970000000000001</v>
      </c>
    </row>
    <row r="16" spans="1:9" ht="12.95" customHeight="1">
      <c r="A16" s="27"/>
      <c r="B16" s="64" t="s">
        <v>255</v>
      </c>
      <c r="C16" s="16" t="s">
        <v>1</v>
      </c>
      <c r="D16" s="16" t="s">
        <v>1</v>
      </c>
      <c r="E16" s="47" t="s">
        <v>197</v>
      </c>
      <c r="F16" s="47" t="s">
        <v>197</v>
      </c>
      <c r="G16" s="46" t="s">
        <v>197</v>
      </c>
      <c r="H16" s="135" t="s">
        <v>197</v>
      </c>
      <c r="I16" s="42" t="s">
        <v>197</v>
      </c>
    </row>
    <row r="17" spans="1:9" ht="12.95" customHeight="1">
      <c r="A17" s="27"/>
      <c r="B17" s="64" t="s">
        <v>392</v>
      </c>
      <c r="C17" s="16"/>
      <c r="D17" s="16"/>
      <c r="E17" s="47" t="s">
        <v>197</v>
      </c>
      <c r="F17" s="47" t="s">
        <v>197</v>
      </c>
      <c r="G17" s="46" t="s">
        <v>197</v>
      </c>
      <c r="H17" s="135" t="s">
        <v>197</v>
      </c>
      <c r="I17" s="42"/>
    </row>
    <row r="18" spans="1:9" ht="12.95" customHeight="1">
      <c r="A18" s="27"/>
      <c r="B18" s="64" t="s">
        <v>36</v>
      </c>
      <c r="C18" s="16" t="s">
        <v>1</v>
      </c>
      <c r="D18" s="16" t="s">
        <v>1</v>
      </c>
      <c r="E18" s="16" t="s">
        <v>1</v>
      </c>
      <c r="F18" s="17">
        <v>954.60609999999997</v>
      </c>
      <c r="G18" s="56">
        <v>954.61</v>
      </c>
      <c r="H18" s="70">
        <v>0.18970355775045566</v>
      </c>
      <c r="I18" s="41">
        <v>0.18970000000000001</v>
      </c>
    </row>
    <row r="19" spans="1:9" ht="12.95" customHeight="1">
      <c r="A19" s="27"/>
      <c r="B19" s="64"/>
      <c r="C19" s="16"/>
      <c r="D19" s="16"/>
      <c r="E19" s="16"/>
      <c r="F19" s="17"/>
      <c r="G19" s="56"/>
      <c r="H19" s="70"/>
      <c r="I19" s="100"/>
    </row>
    <row r="20" spans="1:9" ht="12.95" customHeight="1">
      <c r="A20" s="27"/>
      <c r="B20" s="64" t="s">
        <v>11</v>
      </c>
      <c r="C20" s="16" t="s">
        <v>1</v>
      </c>
      <c r="D20" s="16" t="s">
        <v>1</v>
      </c>
      <c r="E20" s="16" t="s">
        <v>1</v>
      </c>
      <c r="F20" s="49" t="s">
        <v>1</v>
      </c>
      <c r="G20" s="50"/>
      <c r="H20" s="67" t="s">
        <v>1</v>
      </c>
      <c r="I20" s="39" t="s">
        <v>1</v>
      </c>
    </row>
    <row r="21" spans="1:9" ht="12.95" customHeight="1">
      <c r="A21" s="27"/>
      <c r="B21" s="64" t="s">
        <v>12</v>
      </c>
      <c r="C21" s="16" t="s">
        <v>1</v>
      </c>
      <c r="D21" s="16" t="s">
        <v>1</v>
      </c>
      <c r="E21" s="16" t="s">
        <v>1</v>
      </c>
      <c r="F21" s="49" t="s">
        <v>1</v>
      </c>
      <c r="G21" s="50"/>
      <c r="H21" s="67" t="s">
        <v>1</v>
      </c>
      <c r="I21" s="39" t="s">
        <v>1</v>
      </c>
    </row>
    <row r="22" spans="1:9" ht="12.95" customHeight="1">
      <c r="A22" s="29"/>
      <c r="B22" s="68" t="s">
        <v>375</v>
      </c>
      <c r="C22" s="16" t="s">
        <v>376</v>
      </c>
      <c r="D22" s="16" t="s">
        <v>377</v>
      </c>
      <c r="E22" s="52">
        <v>950000</v>
      </c>
      <c r="F22" s="53">
        <v>914.51085</v>
      </c>
      <c r="G22" s="54">
        <v>914.51</v>
      </c>
      <c r="H22" s="69">
        <v>0.18173565185304524</v>
      </c>
      <c r="I22" s="2">
        <v>0.1817</v>
      </c>
    </row>
    <row r="23" spans="1:9" ht="12.95" customHeight="1">
      <c r="A23" s="29"/>
      <c r="B23" s="68" t="s">
        <v>378</v>
      </c>
      <c r="C23" s="16" t="s">
        <v>379</v>
      </c>
      <c r="D23" s="16" t="s">
        <v>18</v>
      </c>
      <c r="E23" s="52">
        <v>863000</v>
      </c>
      <c r="F23" s="53">
        <v>831.432323</v>
      </c>
      <c r="G23" s="54">
        <v>831.43</v>
      </c>
      <c r="H23" s="69">
        <v>0.1652259185247465</v>
      </c>
      <c r="I23" s="2">
        <v>0.16520000000000001</v>
      </c>
    </row>
    <row r="24" spans="1:9" ht="12.95" customHeight="1">
      <c r="A24" s="29"/>
      <c r="B24" s="68" t="s">
        <v>380</v>
      </c>
      <c r="C24" s="16" t="s">
        <v>381</v>
      </c>
      <c r="D24" s="16" t="s">
        <v>18</v>
      </c>
      <c r="E24" s="52">
        <v>500000</v>
      </c>
      <c r="F24" s="53">
        <v>494.77140000000003</v>
      </c>
      <c r="G24" s="54">
        <v>494.77</v>
      </c>
      <c r="H24" s="69">
        <v>9.8323166857171559E-2</v>
      </c>
      <c r="I24" s="2">
        <v>9.8299999999999998E-2</v>
      </c>
    </row>
    <row r="25" spans="1:9" ht="12.95" customHeight="1">
      <c r="A25" s="29"/>
      <c r="B25" s="68" t="s">
        <v>382</v>
      </c>
      <c r="C25" s="16" t="s">
        <v>383</v>
      </c>
      <c r="D25" s="16" t="s">
        <v>377</v>
      </c>
      <c r="E25" s="52">
        <v>500000</v>
      </c>
      <c r="F25" s="53">
        <v>465.73149999999998</v>
      </c>
      <c r="G25" s="54">
        <v>465.73</v>
      </c>
      <c r="H25" s="69">
        <v>9.2552229140853329E-2</v>
      </c>
      <c r="I25" s="2">
        <v>9.2600000000000002E-2</v>
      </c>
    </row>
    <row r="26" spans="1:9" ht="12.95" customHeight="1">
      <c r="A26" s="29"/>
      <c r="B26" s="68" t="s">
        <v>384</v>
      </c>
      <c r="C26" s="16" t="s">
        <v>385</v>
      </c>
      <c r="D26" s="16" t="s">
        <v>18</v>
      </c>
      <c r="E26" s="52">
        <v>360000</v>
      </c>
      <c r="F26" s="53">
        <v>339.56351999999998</v>
      </c>
      <c r="G26" s="54">
        <v>339.56</v>
      </c>
      <c r="H26" s="69">
        <v>6.7479568616068977E-2</v>
      </c>
      <c r="I26" s="2">
        <v>6.7500000000000004E-2</v>
      </c>
    </row>
    <row r="27" spans="1:9" ht="12.95" customHeight="1">
      <c r="A27" s="29"/>
      <c r="B27" s="68" t="s">
        <v>13</v>
      </c>
      <c r="C27" s="16" t="s">
        <v>14</v>
      </c>
      <c r="D27" s="16" t="s">
        <v>15</v>
      </c>
      <c r="E27" s="52">
        <v>2000</v>
      </c>
      <c r="F27" s="53">
        <v>1.9862799</v>
      </c>
      <c r="G27" s="54">
        <v>1.99</v>
      </c>
      <c r="H27" s="69">
        <v>3.9472235063050539E-4</v>
      </c>
      <c r="I27" s="2">
        <v>4.0000000000000002E-4</v>
      </c>
    </row>
    <row r="28" spans="1:9" ht="12.95" customHeight="1">
      <c r="A28" s="27"/>
      <c r="B28" s="64" t="s">
        <v>31</v>
      </c>
      <c r="C28" s="16" t="s">
        <v>1</v>
      </c>
      <c r="D28" s="16" t="s">
        <v>1</v>
      </c>
      <c r="E28" s="16" t="s">
        <v>1</v>
      </c>
      <c r="F28" s="17">
        <v>3047.9958729</v>
      </c>
      <c r="G28" s="56">
        <v>3047.99</v>
      </c>
      <c r="H28" s="70">
        <v>0.60571125734251607</v>
      </c>
      <c r="I28" s="41">
        <v>0.60570000000000002</v>
      </c>
    </row>
    <row r="29" spans="1:9" ht="12.95" customHeight="1">
      <c r="A29" s="27"/>
      <c r="B29" s="64" t="s">
        <v>36</v>
      </c>
      <c r="C29" s="16" t="s">
        <v>1</v>
      </c>
      <c r="D29" s="16" t="s">
        <v>1</v>
      </c>
      <c r="E29" s="16" t="s">
        <v>1</v>
      </c>
      <c r="F29" s="17">
        <v>3047.9958729</v>
      </c>
      <c r="G29" s="56">
        <v>3047.99</v>
      </c>
      <c r="H29" s="70">
        <v>0.60571125734251607</v>
      </c>
      <c r="I29" s="41">
        <v>0.60570000000000002</v>
      </c>
    </row>
    <row r="30" spans="1:9" ht="12.95" customHeight="1">
      <c r="A30" s="27"/>
      <c r="B30" s="64"/>
      <c r="C30" s="16"/>
      <c r="D30" s="16"/>
      <c r="E30" s="16"/>
      <c r="F30" s="17"/>
      <c r="G30" s="56"/>
      <c r="H30" s="70"/>
      <c r="I30" s="100"/>
    </row>
    <row r="31" spans="1:9" ht="12.95" customHeight="1">
      <c r="A31" s="27"/>
      <c r="B31" s="64" t="s">
        <v>37</v>
      </c>
      <c r="C31" s="16" t="s">
        <v>1</v>
      </c>
      <c r="D31" s="16" t="s">
        <v>1</v>
      </c>
      <c r="E31" s="16" t="s">
        <v>1</v>
      </c>
      <c r="F31" s="49" t="s">
        <v>1</v>
      </c>
      <c r="G31" s="50"/>
      <c r="H31" s="67" t="s">
        <v>1</v>
      </c>
      <c r="I31" s="39" t="s">
        <v>1</v>
      </c>
    </row>
    <row r="32" spans="1:9" ht="12.95" customHeight="1">
      <c r="A32" s="29"/>
      <c r="B32" s="68" t="s">
        <v>38</v>
      </c>
      <c r="C32" s="16" t="s">
        <v>1</v>
      </c>
      <c r="D32" s="16" t="s">
        <v>39</v>
      </c>
      <c r="E32" s="52"/>
      <c r="F32" s="53">
        <v>976.65880000000004</v>
      </c>
      <c r="G32" s="54">
        <v>976.66</v>
      </c>
      <c r="H32" s="69">
        <v>0.19408596809541728</v>
      </c>
      <c r="I32" s="2">
        <v>0.19409999999999999</v>
      </c>
    </row>
    <row r="33" spans="1:9" ht="12.95" customHeight="1">
      <c r="A33" s="27"/>
      <c r="B33" s="64" t="s">
        <v>31</v>
      </c>
      <c r="C33" s="16" t="s">
        <v>1</v>
      </c>
      <c r="D33" s="16" t="s">
        <v>1</v>
      </c>
      <c r="E33" s="16" t="s">
        <v>1</v>
      </c>
      <c r="F33" s="17">
        <v>976.65880000000004</v>
      </c>
      <c r="G33" s="56">
        <v>976.66</v>
      </c>
      <c r="H33" s="70">
        <v>0.19408596809541728</v>
      </c>
      <c r="I33" s="41">
        <v>0.19409999999999999</v>
      </c>
    </row>
    <row r="34" spans="1:9" ht="12.95" customHeight="1">
      <c r="A34" s="27"/>
      <c r="B34" s="64"/>
      <c r="C34" s="16"/>
      <c r="D34" s="16"/>
      <c r="E34" s="16"/>
      <c r="F34" s="17"/>
      <c r="G34" s="56"/>
      <c r="H34" s="70"/>
      <c r="I34" s="41"/>
    </row>
    <row r="35" spans="1:9" ht="12.95" customHeight="1">
      <c r="A35" s="27"/>
      <c r="B35" s="64" t="s">
        <v>295</v>
      </c>
      <c r="C35" s="16"/>
      <c r="D35" s="16"/>
      <c r="E35" s="16"/>
      <c r="F35" s="17"/>
      <c r="G35" s="56"/>
      <c r="H35" s="70"/>
      <c r="I35" s="41"/>
    </row>
    <row r="36" spans="1:9" ht="12.95" customHeight="1">
      <c r="A36" s="27"/>
      <c r="B36" s="163" t="s">
        <v>40</v>
      </c>
      <c r="C36" s="16" t="s">
        <v>1</v>
      </c>
      <c r="D36" s="16" t="s">
        <v>1</v>
      </c>
      <c r="E36" s="16" t="s">
        <v>1</v>
      </c>
      <c r="F36" s="20">
        <v>52.833044000000001</v>
      </c>
      <c r="G36" s="66">
        <v>52.83</v>
      </c>
      <c r="H36" s="71">
        <v>1.0499216811610951E-2</v>
      </c>
      <c r="I36" s="41">
        <v>1.0500000000000001E-2</v>
      </c>
    </row>
    <row r="37" spans="1:9" ht="12.95" customHeight="1">
      <c r="A37" s="27"/>
      <c r="B37" s="64" t="s">
        <v>31</v>
      </c>
      <c r="C37" s="16"/>
      <c r="D37" s="16"/>
      <c r="E37" s="16"/>
      <c r="F37" s="17">
        <v>52.833044000000001</v>
      </c>
      <c r="G37" s="56">
        <v>52.83</v>
      </c>
      <c r="H37" s="70">
        <v>1.0499216811610951E-2</v>
      </c>
      <c r="I37" s="61"/>
    </row>
    <row r="38" spans="1:9" ht="12.95" customHeight="1" thickBot="1">
      <c r="A38" s="27"/>
      <c r="B38" s="65" t="s">
        <v>36</v>
      </c>
      <c r="C38" s="24"/>
      <c r="D38" s="24"/>
      <c r="E38" s="24"/>
      <c r="F38" s="25">
        <f>F33+F37</f>
        <v>1029.4918440000001</v>
      </c>
      <c r="G38" s="25">
        <f t="shared" ref="G38:H38" si="0">G33+G37</f>
        <v>1029.49</v>
      </c>
      <c r="H38" s="102">
        <f t="shared" si="0"/>
        <v>0.20458518490702823</v>
      </c>
      <c r="I38" s="61"/>
    </row>
    <row r="39" spans="1:9" ht="12.95" customHeight="1" thickBot="1">
      <c r="A39" s="27"/>
      <c r="B39" s="103" t="s">
        <v>41</v>
      </c>
      <c r="C39" s="104" t="s">
        <v>1</v>
      </c>
      <c r="D39" s="104" t="s">
        <v>1</v>
      </c>
      <c r="E39" s="104" t="s">
        <v>1</v>
      </c>
      <c r="F39" s="105">
        <v>5032.0938169000001</v>
      </c>
      <c r="G39" s="106">
        <v>5032.09</v>
      </c>
      <c r="H39" s="107">
        <v>1</v>
      </c>
      <c r="I39" s="44">
        <v>1</v>
      </c>
    </row>
    <row r="40" spans="1:9" s="30" customFormat="1" ht="12.95" customHeight="1">
      <c r="A40" s="27"/>
      <c r="B40" s="28" t="s">
        <v>1</v>
      </c>
      <c r="C40" s="27"/>
      <c r="D40" s="27"/>
      <c r="E40" s="27"/>
      <c r="F40" s="33"/>
      <c r="G40" s="27"/>
      <c r="H40" s="34"/>
      <c r="I40" s="27"/>
    </row>
    <row r="41" spans="1:9" s="30" customFormat="1" ht="12.95" customHeight="1">
      <c r="A41" s="27"/>
      <c r="B41" s="35" t="s">
        <v>39</v>
      </c>
      <c r="C41" s="27"/>
      <c r="D41" s="27"/>
      <c r="E41" s="27"/>
      <c r="F41" s="33"/>
      <c r="G41" s="27"/>
      <c r="H41" s="34"/>
      <c r="I41" s="27"/>
    </row>
    <row r="42" spans="1:9" s="30" customFormat="1" ht="12.95" customHeight="1">
      <c r="A42" s="27"/>
      <c r="B42" s="90" t="s">
        <v>42</v>
      </c>
      <c r="C42" s="91"/>
      <c r="D42" s="27"/>
      <c r="E42" s="27"/>
      <c r="F42" s="33"/>
      <c r="G42" s="27"/>
      <c r="H42" s="34"/>
      <c r="I42" s="27"/>
    </row>
    <row r="43" spans="1:9" s="30" customFormat="1" ht="12.95" customHeight="1">
      <c r="A43" s="27"/>
      <c r="B43" s="90" t="s">
        <v>43</v>
      </c>
      <c r="C43" s="91"/>
      <c r="D43" s="27"/>
      <c r="E43" s="27"/>
      <c r="F43" s="33"/>
      <c r="G43" s="27"/>
      <c r="H43" s="34"/>
      <c r="I43" s="27"/>
    </row>
    <row r="44" spans="1:9" s="30" customFormat="1" ht="12.95" customHeight="1" thickBot="1">
      <c r="A44" s="27"/>
      <c r="B44" s="90" t="s">
        <v>1</v>
      </c>
      <c r="C44" s="91"/>
      <c r="D44" s="27"/>
      <c r="E44" s="27"/>
      <c r="F44" s="33"/>
      <c r="G44" s="27"/>
      <c r="H44" s="34"/>
      <c r="I44" s="27"/>
    </row>
    <row r="45" spans="1:9" s="30" customFormat="1" ht="12.95" customHeight="1" thickBot="1">
      <c r="A45" s="27"/>
      <c r="B45" s="158" t="s">
        <v>411</v>
      </c>
      <c r="C45" s="159" t="s">
        <v>417</v>
      </c>
      <c r="D45" s="27"/>
      <c r="E45" s="27"/>
      <c r="F45" s="33"/>
      <c r="G45" s="27"/>
      <c r="H45" s="34"/>
      <c r="I45" s="27"/>
    </row>
    <row r="46" spans="1:9" s="30" customFormat="1">
      <c r="F46" s="36"/>
      <c r="H46" s="37"/>
    </row>
    <row r="47" spans="1:9" s="30" customFormat="1">
      <c r="F47" s="36"/>
      <c r="H47" s="37"/>
    </row>
    <row r="48" spans="1:9" s="30" customFormat="1">
      <c r="F48" s="36"/>
      <c r="H48" s="37"/>
    </row>
    <row r="49" spans="6:8" s="30" customFormat="1">
      <c r="F49" s="36"/>
      <c r="H49" s="37"/>
    </row>
    <row r="50" spans="6:8" s="30" customFormat="1">
      <c r="F50" s="36"/>
      <c r="H50" s="37"/>
    </row>
    <row r="51" spans="6:8" s="30" customFormat="1">
      <c r="F51" s="36"/>
      <c r="H51" s="37"/>
    </row>
    <row r="52" spans="6:8" s="30" customFormat="1">
      <c r="F52" s="36"/>
      <c r="H52" s="37"/>
    </row>
    <row r="53" spans="6:8" s="30" customFormat="1">
      <c r="F53" s="36"/>
      <c r="H53" s="37"/>
    </row>
    <row r="54" spans="6:8" s="30" customFormat="1">
      <c r="F54" s="36"/>
      <c r="H54" s="37"/>
    </row>
    <row r="55" spans="6:8" s="30" customFormat="1">
      <c r="F55" s="36"/>
      <c r="H55" s="37"/>
    </row>
    <row r="56" spans="6:8" s="30" customFormat="1">
      <c r="F56" s="36"/>
      <c r="H56" s="37"/>
    </row>
    <row r="57" spans="6:8" s="30" customFormat="1">
      <c r="F57" s="36"/>
      <c r="H57" s="37"/>
    </row>
    <row r="58" spans="6:8" s="30" customFormat="1">
      <c r="F58" s="36"/>
      <c r="H58" s="37"/>
    </row>
    <row r="59" spans="6:8" s="30" customFormat="1">
      <c r="F59" s="36"/>
      <c r="H59" s="37"/>
    </row>
    <row r="60" spans="6:8" s="30" customFormat="1">
      <c r="F60" s="36"/>
      <c r="H60" s="37"/>
    </row>
    <row r="61" spans="6:8" s="30" customFormat="1">
      <c r="F61" s="36"/>
      <c r="H61" s="37"/>
    </row>
    <row r="62" spans="6:8" s="30" customFormat="1">
      <c r="F62" s="36"/>
      <c r="H62" s="37"/>
    </row>
    <row r="63" spans="6:8" s="30" customFormat="1">
      <c r="F63" s="36"/>
      <c r="H63" s="37"/>
    </row>
    <row r="64" spans="6:8" s="30" customFormat="1">
      <c r="F64" s="36"/>
      <c r="H64" s="37"/>
    </row>
    <row r="65" spans="6:8" s="30" customFormat="1">
      <c r="F65" s="36"/>
      <c r="H65" s="37"/>
    </row>
    <row r="66" spans="6:8" s="30" customFormat="1">
      <c r="F66" s="36"/>
      <c r="H66" s="37"/>
    </row>
    <row r="67" spans="6:8" s="30" customFormat="1">
      <c r="F67" s="36"/>
      <c r="H67" s="37"/>
    </row>
    <row r="68" spans="6:8" s="30" customFormat="1">
      <c r="F68" s="36"/>
      <c r="H68" s="37"/>
    </row>
    <row r="69" spans="6:8" s="30" customFormat="1">
      <c r="F69" s="36"/>
      <c r="H69" s="37"/>
    </row>
    <row r="70" spans="6:8" s="30" customFormat="1">
      <c r="F70" s="36"/>
      <c r="H70" s="37"/>
    </row>
    <row r="71" spans="6:8" s="30" customFormat="1">
      <c r="F71" s="36"/>
      <c r="H71" s="37"/>
    </row>
    <row r="72" spans="6:8" s="30" customFormat="1">
      <c r="F72" s="36"/>
      <c r="H72" s="37"/>
    </row>
    <row r="73" spans="6:8" s="30" customFormat="1">
      <c r="F73" s="36"/>
      <c r="H73" s="37"/>
    </row>
    <row r="74" spans="6:8" s="30" customFormat="1">
      <c r="F74" s="36"/>
      <c r="H74" s="37"/>
    </row>
    <row r="75" spans="6:8" s="30" customFormat="1">
      <c r="F75" s="36"/>
      <c r="H75" s="37"/>
    </row>
    <row r="76" spans="6:8" s="30" customFormat="1">
      <c r="F76" s="36"/>
      <c r="H76" s="37"/>
    </row>
    <row r="77" spans="6:8" s="30" customFormat="1">
      <c r="F77" s="36"/>
      <c r="H77" s="37"/>
    </row>
    <row r="78" spans="6:8" s="30" customFormat="1">
      <c r="F78" s="36"/>
      <c r="H78" s="37"/>
    </row>
    <row r="79" spans="6:8" s="30" customFormat="1">
      <c r="F79" s="36"/>
      <c r="H79" s="37"/>
    </row>
    <row r="80" spans="6:8" s="30" customFormat="1">
      <c r="F80" s="36"/>
      <c r="H80" s="37"/>
    </row>
    <row r="81" spans="6:8" s="30" customFormat="1">
      <c r="F81" s="36"/>
      <c r="H81" s="37"/>
    </row>
    <row r="82" spans="6:8" s="30" customFormat="1">
      <c r="F82" s="36"/>
      <c r="H82" s="37"/>
    </row>
    <row r="83" spans="6:8" s="30" customFormat="1">
      <c r="F83" s="36"/>
      <c r="H83" s="37"/>
    </row>
    <row r="84" spans="6:8" s="30" customFormat="1">
      <c r="F84" s="36"/>
      <c r="H84" s="37"/>
    </row>
    <row r="85" spans="6:8" s="30" customFormat="1">
      <c r="F85" s="36"/>
      <c r="H85" s="37"/>
    </row>
    <row r="86" spans="6:8" s="30" customFormat="1">
      <c r="F86" s="36"/>
      <c r="H86" s="37"/>
    </row>
    <row r="87" spans="6:8" s="30" customFormat="1">
      <c r="F87" s="36"/>
      <c r="H87" s="37"/>
    </row>
    <row r="88" spans="6:8" s="30" customFormat="1">
      <c r="F88" s="36"/>
      <c r="H88" s="37"/>
    </row>
    <row r="89" spans="6:8" s="30" customFormat="1">
      <c r="F89" s="36"/>
      <c r="H89" s="37"/>
    </row>
    <row r="90" spans="6:8" s="30" customFormat="1">
      <c r="F90" s="36"/>
      <c r="H90" s="37"/>
    </row>
    <row r="91" spans="6:8" s="30" customFormat="1">
      <c r="F91" s="36"/>
      <c r="H91" s="37"/>
    </row>
    <row r="92" spans="6:8" s="30" customFormat="1">
      <c r="F92" s="36"/>
      <c r="H92" s="37"/>
    </row>
    <row r="93" spans="6:8" s="30" customFormat="1">
      <c r="F93" s="36"/>
      <c r="H93" s="37"/>
    </row>
    <row r="94" spans="6:8" s="30" customFormat="1">
      <c r="F94" s="36"/>
      <c r="H94" s="37"/>
    </row>
    <row r="95" spans="6:8" s="30" customFormat="1">
      <c r="F95" s="36"/>
      <c r="H95" s="37"/>
    </row>
    <row r="96" spans="6:8" s="30" customFormat="1">
      <c r="F96" s="36"/>
      <c r="H96" s="37"/>
    </row>
    <row r="97" spans="6:8" s="30" customFormat="1">
      <c r="F97" s="36"/>
      <c r="H97" s="37"/>
    </row>
    <row r="98" spans="6:8" s="30" customFormat="1">
      <c r="F98" s="36"/>
      <c r="H98" s="37"/>
    </row>
    <row r="99" spans="6:8" s="30" customFormat="1">
      <c r="F99" s="36"/>
      <c r="H99" s="37"/>
    </row>
    <row r="100" spans="6:8" s="30" customFormat="1">
      <c r="F100" s="36"/>
      <c r="H100" s="37"/>
    </row>
    <row r="101" spans="6:8" s="30" customFormat="1">
      <c r="F101" s="36"/>
      <c r="H101" s="37"/>
    </row>
    <row r="102" spans="6:8" s="30" customFormat="1">
      <c r="F102" s="36"/>
      <c r="H102" s="37"/>
    </row>
    <row r="103" spans="6:8" s="30" customFormat="1">
      <c r="F103" s="36"/>
      <c r="H103" s="37"/>
    </row>
    <row r="104" spans="6:8" s="30" customFormat="1">
      <c r="F104" s="36"/>
      <c r="H104" s="37"/>
    </row>
    <row r="105" spans="6:8" s="30" customFormat="1">
      <c r="F105" s="36"/>
      <c r="H105" s="37"/>
    </row>
    <row r="106" spans="6:8" s="30" customFormat="1">
      <c r="F106" s="36"/>
      <c r="H106" s="37"/>
    </row>
    <row r="107" spans="6:8" s="30" customFormat="1">
      <c r="F107" s="36"/>
      <c r="H107" s="37"/>
    </row>
    <row r="108" spans="6:8" s="30" customFormat="1">
      <c r="F108" s="36"/>
      <c r="H108" s="37"/>
    </row>
    <row r="109" spans="6:8" s="30" customFormat="1">
      <c r="F109" s="36"/>
      <c r="H109" s="37"/>
    </row>
    <row r="110" spans="6:8" s="30" customFormat="1">
      <c r="F110" s="36"/>
      <c r="H110" s="37"/>
    </row>
    <row r="111" spans="6:8" s="30" customFormat="1">
      <c r="F111" s="36"/>
      <c r="H111" s="37"/>
    </row>
    <row r="112" spans="6:8" s="30" customFormat="1">
      <c r="F112" s="36"/>
      <c r="H112" s="37"/>
    </row>
    <row r="113" spans="6:8" s="30" customFormat="1">
      <c r="F113" s="36"/>
      <c r="H113" s="37"/>
    </row>
    <row r="114" spans="6:8" s="30" customFormat="1">
      <c r="F114" s="36"/>
      <c r="H114" s="37"/>
    </row>
    <row r="115" spans="6:8" s="30" customFormat="1">
      <c r="F115" s="36"/>
      <c r="H115" s="37"/>
    </row>
    <row r="116" spans="6:8" s="30" customFormat="1">
      <c r="F116" s="36"/>
      <c r="H116" s="37"/>
    </row>
    <row r="117" spans="6:8" s="30" customFormat="1">
      <c r="F117" s="36"/>
      <c r="H117" s="37"/>
    </row>
    <row r="118" spans="6:8" s="30" customFormat="1">
      <c r="F118" s="36"/>
      <c r="H118" s="37"/>
    </row>
    <row r="119" spans="6:8" s="30" customFormat="1">
      <c r="F119" s="36"/>
      <c r="H119" s="37"/>
    </row>
    <row r="120" spans="6:8" s="30" customFormat="1">
      <c r="F120" s="36"/>
      <c r="H120" s="37"/>
    </row>
    <row r="121" spans="6:8" s="30" customFormat="1">
      <c r="F121" s="36"/>
      <c r="H121" s="37"/>
    </row>
    <row r="122" spans="6:8" s="30" customFormat="1">
      <c r="F122" s="36"/>
      <c r="H122" s="37"/>
    </row>
    <row r="123" spans="6:8" s="30" customFormat="1">
      <c r="F123" s="36"/>
      <c r="H123" s="37"/>
    </row>
    <row r="124" spans="6:8" s="30" customFormat="1">
      <c r="F124" s="36"/>
      <c r="H124" s="37"/>
    </row>
    <row r="125" spans="6:8" s="30" customFormat="1">
      <c r="F125" s="36"/>
      <c r="H125" s="37"/>
    </row>
    <row r="126" spans="6:8" s="30" customFormat="1">
      <c r="F126" s="36"/>
      <c r="H126" s="37"/>
    </row>
    <row r="127" spans="6:8" s="30" customFormat="1">
      <c r="F127" s="36"/>
      <c r="H127" s="37"/>
    </row>
    <row r="128" spans="6:8" s="30" customFormat="1">
      <c r="F128" s="36"/>
      <c r="H128" s="37"/>
    </row>
    <row r="129" spans="6:8" s="30" customFormat="1">
      <c r="F129" s="36"/>
      <c r="H129" s="37"/>
    </row>
    <row r="130" spans="6:8" s="30" customFormat="1">
      <c r="F130" s="36"/>
      <c r="H130" s="37"/>
    </row>
    <row r="131" spans="6:8" s="30" customFormat="1">
      <c r="F131" s="36"/>
      <c r="H131" s="37"/>
    </row>
    <row r="132" spans="6:8" s="30" customFormat="1">
      <c r="F132" s="36"/>
      <c r="H132" s="37"/>
    </row>
    <row r="133" spans="6:8" s="30" customFormat="1">
      <c r="F133" s="36"/>
      <c r="H133" s="37"/>
    </row>
    <row r="134" spans="6:8" s="30" customFormat="1">
      <c r="F134" s="36"/>
      <c r="H134" s="37"/>
    </row>
    <row r="135" spans="6:8" s="30" customFormat="1">
      <c r="F135" s="36"/>
      <c r="H135" s="37"/>
    </row>
    <row r="136" spans="6:8" s="30" customFormat="1">
      <c r="F136" s="36"/>
      <c r="H136" s="37"/>
    </row>
    <row r="137" spans="6:8" s="30" customFormat="1">
      <c r="F137" s="36"/>
      <c r="H137" s="37"/>
    </row>
    <row r="138" spans="6:8" s="30" customFormat="1">
      <c r="F138" s="36"/>
      <c r="H138" s="37"/>
    </row>
    <row r="139" spans="6:8" s="30" customFormat="1">
      <c r="F139" s="36"/>
      <c r="H139" s="37"/>
    </row>
    <row r="140" spans="6:8" s="30" customFormat="1">
      <c r="F140" s="36"/>
      <c r="H140" s="37"/>
    </row>
    <row r="141" spans="6:8" s="30" customFormat="1">
      <c r="F141" s="36"/>
      <c r="H141" s="37"/>
    </row>
    <row r="142" spans="6:8" s="30" customFormat="1">
      <c r="F142" s="36"/>
      <c r="H142" s="37"/>
    </row>
    <row r="143" spans="6:8" s="30" customFormat="1">
      <c r="F143" s="36"/>
      <c r="H143" s="37"/>
    </row>
    <row r="144" spans="6:8" s="30" customFormat="1">
      <c r="F144" s="36"/>
      <c r="H144" s="37"/>
    </row>
    <row r="145" spans="6:8" s="30" customFormat="1">
      <c r="F145" s="36"/>
      <c r="H145" s="37"/>
    </row>
    <row r="146" spans="6:8" s="30" customFormat="1">
      <c r="F146" s="36"/>
      <c r="H146" s="37"/>
    </row>
    <row r="147" spans="6:8" s="30" customFormat="1">
      <c r="F147" s="36"/>
      <c r="H147" s="37"/>
    </row>
    <row r="148" spans="6:8" s="30" customFormat="1">
      <c r="F148" s="36"/>
      <c r="H148" s="37"/>
    </row>
    <row r="149" spans="6:8" s="30" customFormat="1">
      <c r="F149" s="36"/>
      <c r="H149" s="37"/>
    </row>
    <row r="150" spans="6:8" s="30" customFormat="1">
      <c r="F150" s="36"/>
      <c r="H150" s="37"/>
    </row>
    <row r="151" spans="6:8" s="30" customFormat="1">
      <c r="F151" s="36"/>
      <c r="H151" s="37"/>
    </row>
    <row r="152" spans="6:8" s="30" customFormat="1">
      <c r="F152" s="36"/>
      <c r="H152" s="37"/>
    </row>
    <row r="153" spans="6:8" s="30" customFormat="1">
      <c r="F153" s="36"/>
      <c r="H153" s="37"/>
    </row>
    <row r="154" spans="6:8" s="30" customFormat="1">
      <c r="F154" s="36"/>
      <c r="H154" s="37"/>
    </row>
    <row r="155" spans="6:8" s="30" customFormat="1">
      <c r="F155" s="36"/>
      <c r="H155" s="37"/>
    </row>
    <row r="156" spans="6:8" s="30" customFormat="1">
      <c r="F156" s="36"/>
      <c r="H156" s="37"/>
    </row>
    <row r="157" spans="6:8" s="30" customFormat="1">
      <c r="F157" s="36"/>
      <c r="H157" s="37"/>
    </row>
    <row r="158" spans="6:8" s="30" customFormat="1">
      <c r="F158" s="36"/>
      <c r="H158" s="37"/>
    </row>
    <row r="159" spans="6:8" s="30" customFormat="1">
      <c r="F159" s="36"/>
      <c r="H159" s="37"/>
    </row>
    <row r="160" spans="6:8" s="30" customFormat="1">
      <c r="F160" s="36"/>
      <c r="H160" s="37"/>
    </row>
    <row r="161" spans="6:8" s="30" customFormat="1">
      <c r="F161" s="36"/>
      <c r="H161" s="37"/>
    </row>
    <row r="162" spans="6:8" s="30" customFormat="1">
      <c r="F162" s="36"/>
      <c r="H162" s="37"/>
    </row>
    <row r="163" spans="6:8" s="30" customFormat="1">
      <c r="F163" s="36"/>
      <c r="H163" s="37"/>
    </row>
    <row r="164" spans="6:8" s="30" customFormat="1">
      <c r="F164" s="36"/>
      <c r="H164" s="37"/>
    </row>
    <row r="165" spans="6:8" s="30" customFormat="1">
      <c r="F165" s="36"/>
      <c r="H165" s="37"/>
    </row>
    <row r="166" spans="6:8" s="30" customFormat="1">
      <c r="F166" s="36"/>
      <c r="H166" s="37"/>
    </row>
    <row r="167" spans="6:8" s="30" customFormat="1">
      <c r="F167" s="36"/>
      <c r="H167" s="37"/>
    </row>
    <row r="168" spans="6:8" s="30" customFormat="1">
      <c r="F168" s="36"/>
      <c r="H168" s="37"/>
    </row>
    <row r="169" spans="6:8" s="30" customFormat="1">
      <c r="F169" s="36"/>
      <c r="H169" s="37"/>
    </row>
    <row r="170" spans="6:8" s="30" customFormat="1">
      <c r="F170" s="36"/>
      <c r="H170" s="37"/>
    </row>
    <row r="171" spans="6:8" s="30" customFormat="1">
      <c r="F171" s="36"/>
      <c r="H171" s="37"/>
    </row>
    <row r="172" spans="6:8" s="30" customFormat="1">
      <c r="F172" s="36"/>
      <c r="H172" s="37"/>
    </row>
    <row r="173" spans="6:8" s="30" customFormat="1">
      <c r="F173" s="36"/>
      <c r="H173" s="37"/>
    </row>
    <row r="174" spans="6:8" s="30" customFormat="1">
      <c r="F174" s="36"/>
      <c r="H174" s="37"/>
    </row>
    <row r="175" spans="6:8" s="30" customFormat="1">
      <c r="F175" s="36"/>
      <c r="H175" s="37"/>
    </row>
    <row r="176" spans="6:8" s="30" customFormat="1">
      <c r="F176" s="36"/>
      <c r="H176" s="37"/>
    </row>
    <row r="177" spans="6:8" s="30" customFormat="1">
      <c r="F177" s="36"/>
      <c r="H177" s="37"/>
    </row>
    <row r="178" spans="6:8" s="30" customFormat="1">
      <c r="F178" s="36"/>
      <c r="H178" s="37"/>
    </row>
    <row r="179" spans="6:8" s="30" customFormat="1">
      <c r="F179" s="36"/>
      <c r="H179" s="37"/>
    </row>
    <row r="180" spans="6:8" s="30" customFormat="1">
      <c r="F180" s="36"/>
      <c r="H180" s="37"/>
    </row>
    <row r="181" spans="6:8" s="30" customFormat="1">
      <c r="F181" s="36"/>
      <c r="H181" s="37"/>
    </row>
    <row r="182" spans="6:8" s="30" customFormat="1">
      <c r="F182" s="36"/>
      <c r="H182" s="37"/>
    </row>
    <row r="183" spans="6:8" s="30" customFormat="1">
      <c r="F183" s="36"/>
      <c r="H183" s="37"/>
    </row>
    <row r="184" spans="6:8" s="30" customFormat="1">
      <c r="F184" s="36"/>
      <c r="H184" s="37"/>
    </row>
    <row r="185" spans="6:8" s="30" customFormat="1">
      <c r="F185" s="36"/>
      <c r="H185" s="37"/>
    </row>
    <row r="186" spans="6:8" s="30" customFormat="1">
      <c r="F186" s="36"/>
      <c r="H186" s="37"/>
    </row>
    <row r="187" spans="6:8" s="30" customFormat="1">
      <c r="F187" s="36"/>
      <c r="H187" s="37"/>
    </row>
    <row r="188" spans="6:8" s="30" customFormat="1">
      <c r="F188" s="36"/>
      <c r="H188" s="37"/>
    </row>
    <row r="189" spans="6:8" s="30" customFormat="1">
      <c r="F189" s="36"/>
      <c r="H189" s="37"/>
    </row>
    <row r="190" spans="6:8" s="30" customFormat="1">
      <c r="F190" s="36"/>
      <c r="H190" s="37"/>
    </row>
    <row r="191" spans="6:8" s="30" customFormat="1">
      <c r="F191" s="36"/>
      <c r="H191" s="37"/>
    </row>
    <row r="192" spans="6:8" s="30" customFormat="1">
      <c r="F192" s="36"/>
      <c r="H192" s="37"/>
    </row>
    <row r="193" spans="6:8" s="30" customFormat="1">
      <c r="F193" s="36"/>
      <c r="H193" s="37"/>
    </row>
    <row r="194" spans="6:8" s="30" customFormat="1">
      <c r="F194" s="36"/>
      <c r="H194" s="37"/>
    </row>
    <row r="195" spans="6:8" s="30" customFormat="1">
      <c r="F195" s="36"/>
      <c r="H195" s="37"/>
    </row>
    <row r="196" spans="6:8" s="30" customFormat="1">
      <c r="F196" s="36"/>
      <c r="H196" s="37"/>
    </row>
    <row r="197" spans="6:8" s="30" customFormat="1">
      <c r="F197" s="36"/>
      <c r="H197" s="37"/>
    </row>
    <row r="198" spans="6:8" s="30" customFormat="1">
      <c r="F198" s="36"/>
      <c r="H198" s="37"/>
    </row>
    <row r="199" spans="6:8" s="30" customFormat="1">
      <c r="F199" s="36"/>
      <c r="H199" s="37"/>
    </row>
    <row r="200" spans="6:8" s="30" customFormat="1">
      <c r="F200" s="36"/>
      <c r="H200" s="37"/>
    </row>
    <row r="201" spans="6:8" s="30" customFormat="1">
      <c r="F201" s="36"/>
      <c r="H201" s="37"/>
    </row>
    <row r="202" spans="6:8" s="30" customFormat="1">
      <c r="F202" s="36"/>
      <c r="H202" s="37"/>
    </row>
    <row r="203" spans="6:8" s="30" customFormat="1">
      <c r="F203" s="36"/>
      <c r="H203" s="37"/>
    </row>
    <row r="204" spans="6:8" s="30" customFormat="1">
      <c r="F204" s="36"/>
      <c r="H204" s="37"/>
    </row>
    <row r="205" spans="6:8" s="30" customFormat="1">
      <c r="F205" s="36"/>
      <c r="H205" s="37"/>
    </row>
    <row r="206" spans="6:8" s="30" customFormat="1">
      <c r="F206" s="36"/>
      <c r="H206" s="37"/>
    </row>
    <row r="207" spans="6:8" s="30" customFormat="1">
      <c r="F207" s="36"/>
      <c r="H207" s="37"/>
    </row>
    <row r="208" spans="6:8" s="30" customFormat="1">
      <c r="F208" s="36"/>
      <c r="H208" s="37"/>
    </row>
    <row r="209" spans="6:8" s="30" customFormat="1">
      <c r="F209" s="36"/>
      <c r="H209" s="37"/>
    </row>
    <row r="210" spans="6:8" s="30" customFormat="1">
      <c r="F210" s="36"/>
      <c r="H210" s="37"/>
    </row>
    <row r="211" spans="6:8" s="30" customFormat="1">
      <c r="F211" s="36"/>
      <c r="H211" s="37"/>
    </row>
    <row r="212" spans="6:8" s="30" customFormat="1">
      <c r="F212" s="36"/>
      <c r="H212" s="37"/>
    </row>
    <row r="213" spans="6:8" s="30" customFormat="1">
      <c r="F213" s="36"/>
      <c r="H213" s="37"/>
    </row>
    <row r="214" spans="6:8" s="30" customFormat="1">
      <c r="F214" s="36"/>
      <c r="H214" s="37"/>
    </row>
    <row r="215" spans="6:8" s="30" customFormat="1">
      <c r="F215" s="36"/>
      <c r="H215" s="37"/>
    </row>
    <row r="216" spans="6:8" s="30" customFormat="1">
      <c r="F216" s="36"/>
      <c r="H216" s="37"/>
    </row>
    <row r="217" spans="6:8" s="30" customFormat="1">
      <c r="F217" s="36"/>
      <c r="H217" s="37"/>
    </row>
    <row r="218" spans="6:8" s="30" customFormat="1">
      <c r="F218" s="36"/>
      <c r="H218" s="37"/>
    </row>
    <row r="219" spans="6:8" s="30" customFormat="1">
      <c r="F219" s="36"/>
      <c r="H219" s="37"/>
    </row>
    <row r="220" spans="6:8" s="30" customFormat="1">
      <c r="F220" s="36"/>
      <c r="H220" s="37"/>
    </row>
    <row r="221" spans="6:8" s="30" customFormat="1">
      <c r="F221" s="36"/>
      <c r="H221" s="37"/>
    </row>
    <row r="222" spans="6:8" s="30" customFormat="1">
      <c r="F222" s="36"/>
      <c r="H222" s="37"/>
    </row>
    <row r="223" spans="6:8" s="30" customFormat="1">
      <c r="F223" s="36"/>
      <c r="H223" s="37"/>
    </row>
    <row r="224" spans="6:8" s="30" customFormat="1">
      <c r="F224" s="36"/>
      <c r="H224" s="37"/>
    </row>
    <row r="225" spans="6:8" s="30" customFormat="1">
      <c r="F225" s="36"/>
      <c r="H225" s="37"/>
    </row>
    <row r="226" spans="6:8" s="30" customFormat="1">
      <c r="F226" s="36"/>
      <c r="H226" s="37"/>
    </row>
    <row r="227" spans="6:8" s="30" customFormat="1">
      <c r="F227" s="36"/>
      <c r="H227" s="37"/>
    </row>
    <row r="228" spans="6:8" s="30" customFormat="1">
      <c r="F228" s="36"/>
      <c r="H228" s="37"/>
    </row>
    <row r="229" spans="6:8" s="30" customFormat="1">
      <c r="F229" s="36"/>
      <c r="H229" s="37"/>
    </row>
    <row r="230" spans="6:8" s="30" customFormat="1">
      <c r="F230" s="36"/>
      <c r="H230" s="37"/>
    </row>
    <row r="231" spans="6:8" s="30" customFormat="1">
      <c r="F231" s="36"/>
      <c r="H231" s="37"/>
    </row>
    <row r="232" spans="6:8" s="30" customFormat="1">
      <c r="F232" s="36"/>
      <c r="H232" s="37"/>
    </row>
    <row r="233" spans="6:8" s="30" customFormat="1">
      <c r="F233" s="36"/>
      <c r="H233" s="37"/>
    </row>
    <row r="234" spans="6:8" s="30" customFormat="1">
      <c r="F234" s="36"/>
      <c r="H234" s="37"/>
    </row>
    <row r="235" spans="6:8" s="30" customFormat="1">
      <c r="F235" s="36"/>
      <c r="H235" s="37"/>
    </row>
    <row r="236" spans="6:8" s="30" customFormat="1">
      <c r="F236" s="36"/>
      <c r="H236" s="37"/>
    </row>
    <row r="237" spans="6:8" s="30" customFormat="1">
      <c r="F237" s="36"/>
      <c r="H237" s="37"/>
    </row>
    <row r="238" spans="6:8" s="30" customFormat="1">
      <c r="F238" s="36"/>
      <c r="H238" s="37"/>
    </row>
    <row r="239" spans="6:8" s="30" customFormat="1">
      <c r="F239" s="36"/>
      <c r="H239" s="37"/>
    </row>
    <row r="240" spans="6:8" s="30" customFormat="1">
      <c r="F240" s="36"/>
      <c r="H240" s="37"/>
    </row>
    <row r="241" spans="6:8" s="30" customFormat="1">
      <c r="F241" s="36"/>
      <c r="H241" s="37"/>
    </row>
    <row r="242" spans="6:8" s="30" customFormat="1">
      <c r="F242" s="36"/>
      <c r="H242" s="37"/>
    </row>
    <row r="243" spans="6:8" s="30" customFormat="1">
      <c r="F243" s="36"/>
      <c r="H243" s="37"/>
    </row>
    <row r="244" spans="6:8" s="30" customFormat="1">
      <c r="F244" s="36"/>
      <c r="H244" s="37"/>
    </row>
    <row r="245" spans="6:8" s="30" customFormat="1">
      <c r="F245" s="36"/>
      <c r="H245" s="37"/>
    </row>
    <row r="246" spans="6:8" s="30" customFormat="1">
      <c r="F246" s="36"/>
      <c r="H246" s="37"/>
    </row>
    <row r="247" spans="6:8" s="30" customFormat="1">
      <c r="F247" s="36"/>
      <c r="H247" s="37"/>
    </row>
    <row r="248" spans="6:8" s="30" customFormat="1">
      <c r="F248" s="36"/>
      <c r="H248" s="37"/>
    </row>
    <row r="249" spans="6:8" s="30" customFormat="1">
      <c r="F249" s="36"/>
      <c r="H249" s="37"/>
    </row>
    <row r="250" spans="6:8" s="30" customFormat="1">
      <c r="F250" s="36"/>
      <c r="H250" s="37"/>
    </row>
    <row r="251" spans="6:8" s="30" customFormat="1">
      <c r="F251" s="36"/>
      <c r="H251" s="37"/>
    </row>
    <row r="252" spans="6:8" s="30" customFormat="1">
      <c r="F252" s="36"/>
      <c r="H252" s="37"/>
    </row>
    <row r="253" spans="6:8" s="30" customFormat="1">
      <c r="F253" s="36"/>
      <c r="H253" s="37"/>
    </row>
    <row r="254" spans="6:8" s="30" customFormat="1">
      <c r="F254" s="36"/>
      <c r="H254" s="37"/>
    </row>
    <row r="255" spans="6:8" s="30" customFormat="1">
      <c r="F255" s="36"/>
      <c r="H255" s="37"/>
    </row>
    <row r="256" spans="6:8" s="30" customFormat="1">
      <c r="F256" s="36"/>
      <c r="H256" s="37"/>
    </row>
    <row r="257" spans="6:8" s="30" customFormat="1">
      <c r="F257" s="36"/>
      <c r="H257" s="37"/>
    </row>
    <row r="258" spans="6:8" s="30" customFormat="1">
      <c r="F258" s="36"/>
      <c r="H258" s="37"/>
    </row>
    <row r="259" spans="6:8" s="30" customFormat="1">
      <c r="F259" s="36"/>
      <c r="H259" s="37"/>
    </row>
    <row r="260" spans="6:8" s="30" customFormat="1">
      <c r="F260" s="36"/>
      <c r="H260" s="37"/>
    </row>
    <row r="261" spans="6:8" s="30" customFormat="1">
      <c r="F261" s="36"/>
      <c r="H261" s="37"/>
    </row>
    <row r="262" spans="6:8" s="30" customFormat="1">
      <c r="F262" s="36"/>
      <c r="H262" s="37"/>
    </row>
    <row r="263" spans="6:8" s="30" customFormat="1">
      <c r="F263" s="36"/>
      <c r="H263" s="37"/>
    </row>
    <row r="264" spans="6:8" s="30" customFormat="1">
      <c r="F264" s="36"/>
      <c r="H264" s="37"/>
    </row>
    <row r="265" spans="6:8" s="30" customFormat="1">
      <c r="F265" s="36"/>
      <c r="H265" s="37"/>
    </row>
    <row r="266" spans="6:8" s="30" customFormat="1">
      <c r="F266" s="36"/>
      <c r="H266" s="37"/>
    </row>
    <row r="267" spans="6:8" s="30" customFormat="1">
      <c r="F267" s="36"/>
      <c r="H267" s="37"/>
    </row>
    <row r="268" spans="6:8" s="30" customFormat="1">
      <c r="F268" s="36"/>
      <c r="H268" s="37"/>
    </row>
    <row r="269" spans="6:8" s="30" customFormat="1">
      <c r="F269" s="36"/>
      <c r="H269" s="37"/>
    </row>
    <row r="270" spans="6:8" s="30" customFormat="1">
      <c r="F270" s="36"/>
      <c r="H270" s="37"/>
    </row>
    <row r="271" spans="6:8" s="30" customFormat="1">
      <c r="F271" s="36"/>
      <c r="H271" s="37"/>
    </row>
    <row r="272" spans="6:8" s="30" customFormat="1">
      <c r="F272" s="36"/>
      <c r="H272" s="37"/>
    </row>
    <row r="273" spans="6:8" s="30" customFormat="1">
      <c r="F273" s="36"/>
      <c r="H273" s="37"/>
    </row>
    <row r="274" spans="6:8" s="30" customFormat="1">
      <c r="F274" s="36"/>
      <c r="H274" s="37"/>
    </row>
    <row r="275" spans="6:8" s="30" customFormat="1">
      <c r="F275" s="36"/>
      <c r="H275" s="37"/>
    </row>
    <row r="276" spans="6:8" s="30" customFormat="1">
      <c r="F276" s="36"/>
      <c r="H276" s="37"/>
    </row>
    <row r="277" spans="6:8" s="30" customFormat="1">
      <c r="F277" s="36"/>
      <c r="H277" s="37"/>
    </row>
    <row r="278" spans="6:8" s="30" customFormat="1">
      <c r="F278" s="36"/>
      <c r="H278" s="37"/>
    </row>
    <row r="279" spans="6:8" s="30" customFormat="1">
      <c r="F279" s="36"/>
      <c r="H279" s="37"/>
    </row>
    <row r="280" spans="6:8" s="30" customFormat="1">
      <c r="F280" s="36"/>
      <c r="H280" s="37"/>
    </row>
    <row r="281" spans="6:8" s="30" customFormat="1">
      <c r="F281" s="36"/>
      <c r="H281" s="37"/>
    </row>
    <row r="282" spans="6:8" s="30" customFormat="1">
      <c r="F282" s="36"/>
      <c r="H282" s="37"/>
    </row>
    <row r="283" spans="6:8" s="30" customFormat="1">
      <c r="F283" s="36"/>
      <c r="H283" s="37"/>
    </row>
    <row r="284" spans="6:8" s="30" customFormat="1">
      <c r="F284" s="36"/>
      <c r="H284" s="37"/>
    </row>
    <row r="285" spans="6:8" s="30" customFormat="1">
      <c r="F285" s="36"/>
      <c r="H285" s="37"/>
    </row>
    <row r="286" spans="6:8" s="30" customFormat="1">
      <c r="F286" s="36"/>
      <c r="H286" s="37"/>
    </row>
    <row r="287" spans="6:8" s="30" customFormat="1">
      <c r="F287" s="36"/>
      <c r="H287" s="37"/>
    </row>
    <row r="288" spans="6:8" s="30" customFormat="1">
      <c r="F288" s="36"/>
      <c r="H288" s="37"/>
    </row>
    <row r="289" spans="6:8" s="30" customFormat="1">
      <c r="F289" s="36"/>
      <c r="H289" s="37"/>
    </row>
    <row r="290" spans="6:8" s="30" customFormat="1">
      <c r="F290" s="36"/>
      <c r="H290" s="37"/>
    </row>
    <row r="291" spans="6:8" s="30" customFormat="1">
      <c r="F291" s="36"/>
      <c r="H291" s="37"/>
    </row>
    <row r="292" spans="6:8" s="30" customFormat="1">
      <c r="F292" s="36"/>
      <c r="H292" s="37"/>
    </row>
    <row r="293" spans="6:8" s="30" customFormat="1">
      <c r="F293" s="36"/>
      <c r="H293" s="37"/>
    </row>
    <row r="294" spans="6:8" s="30" customFormat="1">
      <c r="F294" s="36"/>
      <c r="H294" s="37"/>
    </row>
    <row r="295" spans="6:8" s="30" customFormat="1">
      <c r="F295" s="36"/>
      <c r="H295" s="37"/>
    </row>
    <row r="296" spans="6:8" s="30" customFormat="1">
      <c r="F296" s="36"/>
      <c r="H296" s="37"/>
    </row>
    <row r="297" spans="6:8" s="30" customFormat="1">
      <c r="F297" s="36"/>
      <c r="H297" s="37"/>
    </row>
    <row r="298" spans="6:8" s="30" customFormat="1">
      <c r="F298" s="36"/>
      <c r="H298" s="37"/>
    </row>
    <row r="299" spans="6:8" s="30" customFormat="1">
      <c r="F299" s="36"/>
      <c r="H299" s="37"/>
    </row>
    <row r="300" spans="6:8" s="30" customFormat="1">
      <c r="F300" s="36"/>
      <c r="H300" s="37"/>
    </row>
    <row r="301" spans="6:8" s="30" customFormat="1">
      <c r="F301" s="36"/>
      <c r="H301" s="37"/>
    </row>
    <row r="302" spans="6:8" s="30" customFormat="1">
      <c r="F302" s="36"/>
      <c r="H302" s="37"/>
    </row>
    <row r="303" spans="6:8" s="30" customFormat="1">
      <c r="F303" s="36"/>
      <c r="H303" s="37"/>
    </row>
    <row r="304" spans="6:8" s="30" customFormat="1">
      <c r="F304" s="36"/>
      <c r="H304" s="37"/>
    </row>
    <row r="305" spans="6:8" s="30" customFormat="1">
      <c r="F305" s="36"/>
      <c r="H305" s="37"/>
    </row>
    <row r="306" spans="6:8" s="30" customFormat="1">
      <c r="F306" s="36"/>
      <c r="H306" s="37"/>
    </row>
    <row r="307" spans="6:8" s="30" customFormat="1">
      <c r="F307" s="36"/>
      <c r="H307" s="37"/>
    </row>
    <row r="308" spans="6:8" s="30" customFormat="1">
      <c r="F308" s="36"/>
      <c r="H308" s="37"/>
    </row>
    <row r="309" spans="6:8" s="30" customFormat="1">
      <c r="F309" s="36"/>
      <c r="H309" s="37"/>
    </row>
    <row r="310" spans="6:8" s="30" customFormat="1">
      <c r="F310" s="36"/>
      <c r="H310" s="37"/>
    </row>
    <row r="311" spans="6:8" s="30" customFormat="1">
      <c r="F311" s="36"/>
      <c r="H311" s="37"/>
    </row>
    <row r="312" spans="6:8" s="30" customFormat="1">
      <c r="F312" s="36"/>
      <c r="H312" s="37"/>
    </row>
    <row r="313" spans="6:8" s="30" customFormat="1">
      <c r="F313" s="36"/>
      <c r="H313" s="37"/>
    </row>
    <row r="314" spans="6:8" s="30" customFormat="1">
      <c r="F314" s="36"/>
      <c r="H314" s="37"/>
    </row>
    <row r="315" spans="6:8" s="30" customFormat="1">
      <c r="F315" s="36"/>
      <c r="H315" s="37"/>
    </row>
    <row r="316" spans="6:8" s="30" customFormat="1">
      <c r="F316" s="36"/>
      <c r="H316" s="37"/>
    </row>
    <row r="317" spans="6:8" s="30" customFormat="1">
      <c r="F317" s="36"/>
      <c r="H317" s="37"/>
    </row>
    <row r="318" spans="6:8" s="30" customFormat="1">
      <c r="F318" s="36"/>
      <c r="H318" s="37"/>
    </row>
    <row r="319" spans="6:8" s="30" customFormat="1">
      <c r="F319" s="36"/>
      <c r="H319" s="37"/>
    </row>
    <row r="320" spans="6:8" s="30" customFormat="1">
      <c r="F320" s="36"/>
      <c r="H320" s="37"/>
    </row>
    <row r="321" spans="6:8" s="30" customFormat="1">
      <c r="F321" s="36"/>
      <c r="H321" s="37"/>
    </row>
    <row r="322" spans="6:8" s="30" customFormat="1">
      <c r="F322" s="36"/>
      <c r="H322" s="37"/>
    </row>
    <row r="323" spans="6:8" s="30" customFormat="1">
      <c r="F323" s="36"/>
      <c r="H323" s="37"/>
    </row>
    <row r="324" spans="6:8" s="30" customFormat="1">
      <c r="F324" s="36"/>
      <c r="H324" s="37"/>
    </row>
    <row r="325" spans="6:8" s="30" customFormat="1">
      <c r="F325" s="36"/>
      <c r="H325" s="37"/>
    </row>
    <row r="326" spans="6:8" s="30" customFormat="1">
      <c r="F326" s="36"/>
      <c r="H326" s="37"/>
    </row>
    <row r="327" spans="6:8" s="30" customFormat="1">
      <c r="F327" s="36"/>
      <c r="H327" s="37"/>
    </row>
    <row r="328" spans="6:8" s="30" customFormat="1">
      <c r="F328" s="36"/>
      <c r="H328" s="37"/>
    </row>
    <row r="329" spans="6:8" s="30" customFormat="1">
      <c r="F329" s="36"/>
      <c r="H329" s="37"/>
    </row>
    <row r="330" spans="6:8" s="30" customFormat="1">
      <c r="F330" s="36"/>
      <c r="H330" s="37"/>
    </row>
    <row r="331" spans="6:8" s="30" customFormat="1">
      <c r="F331" s="36"/>
      <c r="H331" s="37"/>
    </row>
    <row r="332" spans="6:8" s="30" customFormat="1">
      <c r="F332" s="36"/>
      <c r="H332" s="37"/>
    </row>
    <row r="333" spans="6:8" s="30" customFormat="1">
      <c r="F333" s="36"/>
      <c r="H333" s="37"/>
    </row>
    <row r="334" spans="6:8" s="30" customFormat="1">
      <c r="F334" s="36"/>
      <c r="H334" s="37"/>
    </row>
    <row r="335" spans="6:8" s="30" customFormat="1">
      <c r="F335" s="36"/>
      <c r="H335" s="37"/>
    </row>
    <row r="336" spans="6:8" s="30" customFormat="1">
      <c r="F336" s="36"/>
      <c r="H336" s="37"/>
    </row>
    <row r="337" spans="6:8" s="30" customFormat="1">
      <c r="F337" s="36"/>
      <c r="H337" s="37"/>
    </row>
    <row r="338" spans="6:8" s="30" customFormat="1">
      <c r="F338" s="36"/>
      <c r="H338" s="37"/>
    </row>
    <row r="339" spans="6:8" s="30" customFormat="1">
      <c r="F339" s="36"/>
      <c r="H339" s="37"/>
    </row>
    <row r="340" spans="6:8" s="30" customFormat="1">
      <c r="F340" s="36"/>
      <c r="H340" s="37"/>
    </row>
    <row r="341" spans="6:8" s="30" customFormat="1">
      <c r="F341" s="36"/>
      <c r="H341" s="37"/>
    </row>
    <row r="342" spans="6:8" s="30" customFormat="1">
      <c r="F342" s="36"/>
      <c r="H342" s="37"/>
    </row>
    <row r="343" spans="6:8" s="30" customFormat="1">
      <c r="F343" s="36"/>
      <c r="H343" s="37"/>
    </row>
    <row r="344" spans="6:8" s="30" customFormat="1">
      <c r="F344" s="36"/>
      <c r="H344" s="37"/>
    </row>
    <row r="345" spans="6:8" s="30" customFormat="1">
      <c r="F345" s="36"/>
      <c r="H345" s="37"/>
    </row>
    <row r="346" spans="6:8" s="30" customFormat="1">
      <c r="F346" s="36"/>
      <c r="H346" s="37"/>
    </row>
    <row r="347" spans="6:8" s="30" customFormat="1">
      <c r="F347" s="36"/>
      <c r="H347" s="37"/>
    </row>
    <row r="348" spans="6:8" s="30" customFormat="1">
      <c r="F348" s="36"/>
      <c r="H348" s="37"/>
    </row>
    <row r="349" spans="6:8" s="30" customFormat="1">
      <c r="F349" s="36"/>
      <c r="H349" s="37"/>
    </row>
    <row r="350" spans="6:8" s="30" customFormat="1">
      <c r="F350" s="36"/>
      <c r="H350" s="37"/>
    </row>
    <row r="351" spans="6:8" s="30" customFormat="1">
      <c r="F351" s="36"/>
      <c r="H351" s="37"/>
    </row>
    <row r="352" spans="6:8" s="30" customFormat="1">
      <c r="F352" s="36"/>
      <c r="H352" s="37"/>
    </row>
    <row r="353" spans="6:8" s="30" customFormat="1">
      <c r="F353" s="36"/>
      <c r="H353" s="37"/>
    </row>
    <row r="354" spans="6:8" s="30" customFormat="1">
      <c r="F354" s="36"/>
      <c r="H354" s="37"/>
    </row>
    <row r="355" spans="6:8" s="30" customFormat="1">
      <c r="F355" s="36"/>
      <c r="H355" s="37"/>
    </row>
    <row r="356" spans="6:8" s="30" customFormat="1">
      <c r="F356" s="36"/>
      <c r="H356" s="37"/>
    </row>
    <row r="357" spans="6:8" s="30" customFormat="1">
      <c r="F357" s="36"/>
      <c r="H357" s="37"/>
    </row>
    <row r="358" spans="6:8" s="30" customFormat="1">
      <c r="F358" s="36"/>
      <c r="H358" s="37"/>
    </row>
    <row r="359" spans="6:8" s="30" customFormat="1">
      <c r="F359" s="36"/>
      <c r="H359" s="37"/>
    </row>
    <row r="360" spans="6:8" s="30" customFormat="1">
      <c r="F360" s="36"/>
      <c r="H360" s="37"/>
    </row>
    <row r="361" spans="6:8" s="30" customFormat="1">
      <c r="F361" s="36"/>
      <c r="H361" s="37"/>
    </row>
    <row r="362" spans="6:8" s="30" customFormat="1">
      <c r="F362" s="36"/>
      <c r="H362" s="37"/>
    </row>
    <row r="363" spans="6:8" s="30" customFormat="1">
      <c r="F363" s="36"/>
      <c r="H363" s="37"/>
    </row>
    <row r="364" spans="6:8" s="30" customFormat="1">
      <c r="F364" s="36"/>
      <c r="H364" s="37"/>
    </row>
    <row r="365" spans="6:8" s="30" customFormat="1">
      <c r="F365" s="36"/>
      <c r="H365" s="37"/>
    </row>
    <row r="366" spans="6:8" s="30" customFormat="1">
      <c r="F366" s="36"/>
      <c r="H366" s="37"/>
    </row>
    <row r="367" spans="6:8" s="30" customFormat="1">
      <c r="F367" s="36"/>
      <c r="H367" s="37"/>
    </row>
    <row r="368" spans="6:8" s="30" customFormat="1">
      <c r="F368" s="36"/>
      <c r="H368" s="37"/>
    </row>
    <row r="369" spans="6:8" s="30" customFormat="1">
      <c r="F369" s="36"/>
      <c r="H369" s="37"/>
    </row>
    <row r="370" spans="6:8" s="30" customFormat="1">
      <c r="F370" s="36"/>
      <c r="H370" s="37"/>
    </row>
    <row r="371" spans="6:8" s="30" customFormat="1">
      <c r="F371" s="36"/>
      <c r="H371" s="37"/>
    </row>
    <row r="372" spans="6:8" s="30" customFormat="1">
      <c r="F372" s="36"/>
      <c r="H372" s="37"/>
    </row>
    <row r="373" spans="6:8" s="30" customFormat="1">
      <c r="F373" s="36"/>
      <c r="H373" s="37"/>
    </row>
    <row r="374" spans="6:8" s="30" customFormat="1">
      <c r="F374" s="36"/>
      <c r="H374" s="37"/>
    </row>
    <row r="375" spans="6:8" s="30" customFormat="1">
      <c r="F375" s="36"/>
      <c r="H375" s="37"/>
    </row>
    <row r="376" spans="6:8" s="30" customFormat="1">
      <c r="F376" s="36"/>
      <c r="H376" s="37"/>
    </row>
    <row r="377" spans="6:8" s="30" customFormat="1">
      <c r="F377" s="36"/>
      <c r="H377" s="37"/>
    </row>
    <row r="378" spans="6:8" s="30" customFormat="1">
      <c r="F378" s="36"/>
      <c r="H378" s="37"/>
    </row>
    <row r="379" spans="6:8" s="30" customFormat="1">
      <c r="F379" s="36"/>
      <c r="H379" s="37"/>
    </row>
    <row r="380" spans="6:8" s="30" customFormat="1">
      <c r="F380" s="36"/>
      <c r="H380" s="37"/>
    </row>
    <row r="381" spans="6:8" s="30" customFormat="1">
      <c r="F381" s="36"/>
      <c r="H381" s="37"/>
    </row>
    <row r="382" spans="6:8" s="30" customFormat="1">
      <c r="F382" s="36"/>
      <c r="H382" s="37"/>
    </row>
    <row r="383" spans="6:8" s="30" customFormat="1">
      <c r="F383" s="36"/>
      <c r="H383" s="37"/>
    </row>
    <row r="384" spans="6:8" s="30" customFormat="1">
      <c r="F384" s="36"/>
      <c r="H384" s="37"/>
    </row>
    <row r="385" spans="6:8" s="30" customFormat="1">
      <c r="F385" s="36"/>
      <c r="H385" s="37"/>
    </row>
    <row r="386" spans="6:8" s="30" customFormat="1">
      <c r="F386" s="36"/>
      <c r="H386" s="37"/>
    </row>
    <row r="387" spans="6:8" s="30" customFormat="1">
      <c r="F387" s="36"/>
      <c r="H387" s="37"/>
    </row>
    <row r="388" spans="6:8" s="30" customFormat="1">
      <c r="F388" s="36"/>
      <c r="H388" s="37"/>
    </row>
    <row r="389" spans="6:8" s="30" customFormat="1">
      <c r="F389" s="36"/>
      <c r="H389" s="37"/>
    </row>
    <row r="390" spans="6:8" s="30" customFormat="1">
      <c r="F390" s="36"/>
      <c r="H390" s="37"/>
    </row>
    <row r="391" spans="6:8" s="30" customFormat="1">
      <c r="F391" s="36"/>
      <c r="H391" s="37"/>
    </row>
    <row r="392" spans="6:8" s="30" customFormat="1">
      <c r="F392" s="36"/>
      <c r="H392" s="37"/>
    </row>
    <row r="393" spans="6:8" s="30" customFormat="1">
      <c r="F393" s="36"/>
      <c r="H393" s="37"/>
    </row>
    <row r="394" spans="6:8" s="30" customFormat="1">
      <c r="F394" s="36"/>
      <c r="H394" s="37"/>
    </row>
    <row r="395" spans="6:8" s="30" customFormat="1">
      <c r="F395" s="36"/>
      <c r="H395" s="37"/>
    </row>
    <row r="396" spans="6:8" s="30" customFormat="1">
      <c r="F396" s="36"/>
      <c r="H396" s="37"/>
    </row>
    <row r="397" spans="6:8" s="30" customFormat="1">
      <c r="F397" s="36"/>
      <c r="H397" s="37"/>
    </row>
    <row r="398" spans="6:8" s="30" customFormat="1">
      <c r="F398" s="36"/>
      <c r="H398" s="37"/>
    </row>
    <row r="399" spans="6:8" s="30" customFormat="1">
      <c r="F399" s="36"/>
      <c r="H399" s="37"/>
    </row>
    <row r="400" spans="6:8" s="30" customFormat="1">
      <c r="F400" s="36"/>
      <c r="H400" s="37"/>
    </row>
    <row r="401" spans="6:8" s="30" customFormat="1">
      <c r="F401" s="36"/>
      <c r="H401" s="37"/>
    </row>
    <row r="402" spans="6:8" s="30" customFormat="1">
      <c r="F402" s="36"/>
      <c r="H402" s="37"/>
    </row>
    <row r="403" spans="6:8" s="30" customFormat="1">
      <c r="F403" s="36"/>
      <c r="H403" s="37"/>
    </row>
    <row r="404" spans="6:8" s="30" customFormat="1">
      <c r="F404" s="36"/>
      <c r="H404" s="37"/>
    </row>
    <row r="405" spans="6:8" s="30" customFormat="1">
      <c r="F405" s="36"/>
      <c r="H405" s="37"/>
    </row>
    <row r="406" spans="6:8" s="30" customFormat="1">
      <c r="F406" s="36"/>
      <c r="H406" s="37"/>
    </row>
    <row r="407" spans="6:8" s="30" customFormat="1">
      <c r="F407" s="36"/>
      <c r="H407" s="37"/>
    </row>
    <row r="408" spans="6:8" s="30" customFormat="1">
      <c r="F408" s="36"/>
      <c r="H408" s="37"/>
    </row>
    <row r="409" spans="6:8" s="30" customFormat="1">
      <c r="F409" s="36"/>
      <c r="H409" s="37"/>
    </row>
    <row r="410" spans="6:8" s="30" customFormat="1">
      <c r="F410" s="36"/>
      <c r="H410" s="37"/>
    </row>
    <row r="411" spans="6:8" s="30" customFormat="1">
      <c r="F411" s="36"/>
      <c r="H411" s="37"/>
    </row>
    <row r="412" spans="6:8" s="30" customFormat="1">
      <c r="F412" s="36"/>
      <c r="H412" s="37"/>
    </row>
    <row r="413" spans="6:8" s="30" customFormat="1">
      <c r="F413" s="36"/>
      <c r="H413" s="37"/>
    </row>
    <row r="414" spans="6:8" s="30" customFormat="1">
      <c r="F414" s="36"/>
      <c r="H414" s="37"/>
    </row>
    <row r="415" spans="6:8" s="30" customFormat="1">
      <c r="F415" s="36"/>
      <c r="H415" s="37"/>
    </row>
    <row r="416" spans="6:8" s="30" customFormat="1">
      <c r="F416" s="36"/>
      <c r="H416" s="37"/>
    </row>
    <row r="417" spans="6:8" s="30" customFormat="1">
      <c r="F417" s="36"/>
      <c r="H417" s="37"/>
    </row>
    <row r="418" spans="6:8" s="30" customFormat="1">
      <c r="F418" s="36"/>
      <c r="H418" s="37"/>
    </row>
    <row r="419" spans="6:8" s="30" customFormat="1">
      <c r="F419" s="36"/>
      <c r="H419" s="37"/>
    </row>
    <row r="420" spans="6:8" s="30" customFormat="1">
      <c r="F420" s="36"/>
      <c r="H420" s="37"/>
    </row>
    <row r="421" spans="6:8" s="30" customFormat="1">
      <c r="F421" s="36"/>
      <c r="H421" s="37"/>
    </row>
    <row r="422" spans="6:8" s="30" customFormat="1">
      <c r="F422" s="36"/>
      <c r="H422" s="37"/>
    </row>
    <row r="423" spans="6:8" s="30" customFormat="1">
      <c r="F423" s="36"/>
      <c r="H423" s="37"/>
    </row>
    <row r="424" spans="6:8" s="30" customFormat="1">
      <c r="F424" s="36"/>
      <c r="H424" s="37"/>
    </row>
    <row r="425" spans="6:8" s="30" customFormat="1">
      <c r="F425" s="36"/>
      <c r="H425" s="37"/>
    </row>
    <row r="426" spans="6:8" s="30" customFormat="1">
      <c r="F426" s="36"/>
      <c r="H426" s="37"/>
    </row>
    <row r="427" spans="6:8" s="30" customFormat="1">
      <c r="F427" s="36"/>
      <c r="H427" s="37"/>
    </row>
    <row r="428" spans="6:8" s="30" customFormat="1">
      <c r="F428" s="36"/>
      <c r="H428" s="37"/>
    </row>
    <row r="429" spans="6:8" s="30" customFormat="1">
      <c r="F429" s="36"/>
      <c r="H429" s="37"/>
    </row>
    <row r="430" spans="6:8" s="30" customFormat="1">
      <c r="F430" s="36"/>
      <c r="H430" s="37"/>
    </row>
    <row r="431" spans="6:8" s="30" customFormat="1">
      <c r="F431" s="36"/>
      <c r="H431" s="37"/>
    </row>
    <row r="432" spans="6:8" s="30" customFormat="1">
      <c r="F432" s="36"/>
      <c r="H432" s="37"/>
    </row>
    <row r="433" spans="6:8" s="30" customFormat="1">
      <c r="F433" s="36"/>
      <c r="H433" s="37"/>
    </row>
    <row r="434" spans="6:8" s="30" customFormat="1">
      <c r="F434" s="36"/>
      <c r="H434" s="37"/>
    </row>
    <row r="435" spans="6:8" s="30" customFormat="1">
      <c r="F435" s="36"/>
      <c r="H435" s="37"/>
    </row>
    <row r="436" spans="6:8" s="30" customFormat="1">
      <c r="F436" s="36"/>
      <c r="H436" s="37"/>
    </row>
    <row r="437" spans="6:8" s="30" customFormat="1">
      <c r="F437" s="36"/>
      <c r="H437" s="37"/>
    </row>
    <row r="438" spans="6:8" s="30" customFormat="1">
      <c r="F438" s="36"/>
      <c r="H438" s="37"/>
    </row>
    <row r="439" spans="6:8" s="30" customFormat="1">
      <c r="F439" s="36"/>
      <c r="H439" s="37"/>
    </row>
    <row r="440" spans="6:8" s="30" customFormat="1">
      <c r="F440" s="36"/>
      <c r="H440" s="37"/>
    </row>
    <row r="441" spans="6:8" s="30" customFormat="1">
      <c r="F441" s="36"/>
      <c r="H441" s="37"/>
    </row>
    <row r="442" spans="6:8" s="30" customFormat="1">
      <c r="F442" s="36"/>
      <c r="H442" s="37"/>
    </row>
    <row r="443" spans="6:8" s="30" customFormat="1">
      <c r="F443" s="36"/>
      <c r="H443" s="37"/>
    </row>
    <row r="444" spans="6:8" s="30" customFormat="1">
      <c r="F444" s="36"/>
      <c r="H444" s="37"/>
    </row>
    <row r="445" spans="6:8" s="30" customFormat="1">
      <c r="F445" s="36"/>
      <c r="H445" s="37"/>
    </row>
    <row r="446" spans="6:8" s="30" customFormat="1">
      <c r="F446" s="36"/>
      <c r="H446" s="37"/>
    </row>
    <row r="447" spans="6:8" s="30" customFormat="1">
      <c r="F447" s="36"/>
      <c r="H447" s="37"/>
    </row>
    <row r="448" spans="6:8" s="30" customFormat="1">
      <c r="F448" s="36"/>
      <c r="H448" s="37"/>
    </row>
    <row r="449" spans="6:8" s="30" customFormat="1">
      <c r="F449" s="36"/>
      <c r="H449" s="37"/>
    </row>
    <row r="450" spans="6:8" s="30" customFormat="1">
      <c r="F450" s="36"/>
      <c r="H450" s="37"/>
    </row>
    <row r="451" spans="6:8" s="30" customFormat="1">
      <c r="F451" s="36"/>
      <c r="H451" s="37"/>
    </row>
    <row r="452" spans="6:8" s="30" customFormat="1">
      <c r="F452" s="36"/>
      <c r="H452" s="37"/>
    </row>
    <row r="453" spans="6:8" s="30" customFormat="1">
      <c r="F453" s="36"/>
      <c r="H453" s="37"/>
    </row>
    <row r="454" spans="6:8" s="30" customFormat="1">
      <c r="F454" s="36"/>
      <c r="H454" s="37"/>
    </row>
    <row r="455" spans="6:8" s="30" customFormat="1">
      <c r="F455" s="36"/>
      <c r="H455" s="37"/>
    </row>
    <row r="456" spans="6:8" s="30" customFormat="1">
      <c r="F456" s="36"/>
      <c r="H456" s="37"/>
    </row>
    <row r="457" spans="6:8" s="30" customFormat="1">
      <c r="F457" s="36"/>
      <c r="H457" s="37"/>
    </row>
    <row r="458" spans="6:8" s="30" customFormat="1">
      <c r="F458" s="36"/>
      <c r="H458" s="37"/>
    </row>
    <row r="459" spans="6:8" s="30" customFormat="1">
      <c r="F459" s="36"/>
      <c r="H459" s="37"/>
    </row>
    <row r="460" spans="6:8" s="30" customFormat="1">
      <c r="F460" s="36"/>
      <c r="H460" s="37"/>
    </row>
    <row r="461" spans="6:8" s="30" customFormat="1">
      <c r="F461" s="36"/>
      <c r="H461" s="37"/>
    </row>
    <row r="462" spans="6:8" s="30" customFormat="1">
      <c r="F462" s="36"/>
      <c r="H462" s="37"/>
    </row>
    <row r="463" spans="6:8" s="30" customFormat="1">
      <c r="F463" s="36"/>
      <c r="H463" s="37"/>
    </row>
    <row r="464" spans="6:8" s="30" customFormat="1">
      <c r="F464" s="36"/>
      <c r="H464" s="37"/>
    </row>
    <row r="465" spans="6:8" s="30" customFormat="1">
      <c r="F465" s="36"/>
      <c r="H465" s="37"/>
    </row>
    <row r="466" spans="6:8" s="30" customFormat="1">
      <c r="F466" s="36"/>
      <c r="H466" s="37"/>
    </row>
    <row r="467" spans="6:8" s="30" customFormat="1">
      <c r="F467" s="36"/>
      <c r="H467" s="37"/>
    </row>
    <row r="468" spans="6:8" s="30" customFormat="1">
      <c r="F468" s="36"/>
      <c r="H468" s="37"/>
    </row>
    <row r="469" spans="6:8" s="30" customFormat="1">
      <c r="F469" s="36"/>
      <c r="H469" s="37"/>
    </row>
    <row r="470" spans="6:8" s="30" customFormat="1">
      <c r="F470" s="36"/>
      <c r="H470" s="37"/>
    </row>
    <row r="471" spans="6:8" s="30" customFormat="1">
      <c r="F471" s="36"/>
      <c r="H471" s="37"/>
    </row>
    <row r="472" spans="6:8" s="30" customFormat="1">
      <c r="F472" s="36"/>
      <c r="H472" s="37"/>
    </row>
    <row r="473" spans="6:8" s="30" customFormat="1">
      <c r="F473" s="36"/>
      <c r="H473" s="37"/>
    </row>
    <row r="474" spans="6:8" s="30" customFormat="1">
      <c r="F474" s="36"/>
      <c r="H474" s="37"/>
    </row>
    <row r="475" spans="6:8" s="30" customFormat="1">
      <c r="F475" s="36"/>
      <c r="H475" s="37"/>
    </row>
    <row r="476" spans="6:8" s="30" customFormat="1">
      <c r="F476" s="36"/>
      <c r="H476" s="37"/>
    </row>
    <row r="477" spans="6:8" s="30" customFormat="1">
      <c r="F477" s="36"/>
      <c r="H477" s="37"/>
    </row>
    <row r="478" spans="6:8" s="30" customFormat="1">
      <c r="F478" s="36"/>
      <c r="H478" s="37"/>
    </row>
    <row r="479" spans="6:8" s="30" customFormat="1">
      <c r="F479" s="36"/>
      <c r="H479" s="37"/>
    </row>
    <row r="480" spans="6:8" s="30" customFormat="1">
      <c r="F480" s="36"/>
      <c r="H480" s="37"/>
    </row>
    <row r="481" spans="6:8" s="30" customFormat="1">
      <c r="F481" s="36"/>
      <c r="H481" s="37"/>
    </row>
    <row r="482" spans="6:8" s="30" customFormat="1">
      <c r="F482" s="36"/>
      <c r="H482" s="37"/>
    </row>
    <row r="483" spans="6:8" s="30" customFormat="1">
      <c r="F483" s="36"/>
      <c r="H483" s="37"/>
    </row>
    <row r="484" spans="6:8" s="30" customFormat="1">
      <c r="F484" s="36"/>
      <c r="H484" s="37"/>
    </row>
    <row r="485" spans="6:8" s="30" customFormat="1">
      <c r="F485" s="36"/>
      <c r="H485" s="37"/>
    </row>
    <row r="486" spans="6:8" s="30" customFormat="1">
      <c r="F486" s="36"/>
      <c r="H486" s="37"/>
    </row>
    <row r="487" spans="6:8" s="30" customFormat="1">
      <c r="F487" s="36"/>
      <c r="H487" s="37"/>
    </row>
    <row r="488" spans="6:8" s="30" customFormat="1">
      <c r="F488" s="36"/>
      <c r="H488" s="37"/>
    </row>
    <row r="489" spans="6:8" s="30" customFormat="1">
      <c r="F489" s="36"/>
      <c r="H489" s="37"/>
    </row>
    <row r="490" spans="6:8" s="30" customFormat="1">
      <c r="F490" s="36"/>
      <c r="H490" s="37"/>
    </row>
    <row r="491" spans="6:8" s="30" customFormat="1">
      <c r="F491" s="36"/>
      <c r="H491" s="37"/>
    </row>
    <row r="492" spans="6:8" s="30" customFormat="1">
      <c r="F492" s="36"/>
      <c r="H492" s="37"/>
    </row>
    <row r="493" spans="6:8" s="30" customFormat="1">
      <c r="F493" s="36"/>
      <c r="H493" s="37"/>
    </row>
    <row r="494" spans="6:8" s="30" customFormat="1">
      <c r="F494" s="36"/>
      <c r="H494" s="37"/>
    </row>
    <row r="495" spans="6:8" s="30" customFormat="1">
      <c r="F495" s="36"/>
      <c r="H495" s="37"/>
    </row>
    <row r="496" spans="6:8" s="30" customFormat="1">
      <c r="F496" s="36"/>
      <c r="H496" s="37"/>
    </row>
    <row r="497" spans="6:8" s="30" customFormat="1">
      <c r="F497" s="36"/>
      <c r="H497" s="37"/>
    </row>
    <row r="498" spans="6:8" s="30" customFormat="1">
      <c r="F498" s="36"/>
      <c r="H498" s="37"/>
    </row>
    <row r="499" spans="6:8" s="30" customFormat="1">
      <c r="F499" s="36"/>
      <c r="H499" s="37"/>
    </row>
    <row r="500" spans="6:8" s="30" customFormat="1">
      <c r="F500" s="36"/>
      <c r="H500" s="37"/>
    </row>
    <row r="501" spans="6:8" s="30" customFormat="1">
      <c r="F501" s="36"/>
      <c r="H501" s="37"/>
    </row>
    <row r="502" spans="6:8" s="30" customFormat="1">
      <c r="F502" s="36"/>
      <c r="H502" s="37"/>
    </row>
    <row r="503" spans="6:8" s="30" customFormat="1">
      <c r="F503" s="36"/>
      <c r="H503" s="37"/>
    </row>
    <row r="504" spans="6:8" s="30" customFormat="1">
      <c r="F504" s="36"/>
      <c r="H504" s="37"/>
    </row>
    <row r="505" spans="6:8" s="30" customFormat="1">
      <c r="F505" s="36"/>
      <c r="H505" s="37"/>
    </row>
    <row r="506" spans="6:8" s="30" customFormat="1">
      <c r="F506" s="36"/>
      <c r="H506" s="37"/>
    </row>
    <row r="507" spans="6:8" s="30" customFormat="1">
      <c r="F507" s="36"/>
      <c r="H507" s="37"/>
    </row>
    <row r="508" spans="6:8" s="30" customFormat="1">
      <c r="F508" s="36"/>
      <c r="H508" s="37"/>
    </row>
    <row r="509" spans="6:8" s="30" customFormat="1">
      <c r="F509" s="36"/>
      <c r="H509" s="37"/>
    </row>
    <row r="510" spans="6:8" s="30" customFormat="1">
      <c r="F510" s="36"/>
      <c r="H510" s="37"/>
    </row>
    <row r="511" spans="6:8" s="30" customFormat="1">
      <c r="F511" s="36"/>
      <c r="H511" s="37"/>
    </row>
    <row r="512" spans="6:8" s="30" customFormat="1">
      <c r="F512" s="36"/>
      <c r="H512" s="37"/>
    </row>
    <row r="513" spans="6:8" s="30" customFormat="1">
      <c r="F513" s="36"/>
      <c r="H513" s="37"/>
    </row>
    <row r="514" spans="6:8" s="30" customFormat="1">
      <c r="F514" s="36"/>
      <c r="H514" s="37"/>
    </row>
    <row r="515" spans="6:8" s="30" customFormat="1">
      <c r="F515" s="36"/>
      <c r="H515" s="37"/>
    </row>
    <row r="516" spans="6:8" s="30" customFormat="1">
      <c r="F516" s="36"/>
      <c r="H516" s="37"/>
    </row>
    <row r="517" spans="6:8" s="30" customFormat="1">
      <c r="F517" s="36"/>
      <c r="H517" s="37"/>
    </row>
    <row r="518" spans="6:8" s="30" customFormat="1">
      <c r="F518" s="36"/>
      <c r="H518" s="37"/>
    </row>
    <row r="519" spans="6:8" s="30" customFormat="1">
      <c r="F519" s="36"/>
      <c r="H519" s="37"/>
    </row>
    <row r="520" spans="6:8" s="30" customFormat="1">
      <c r="F520" s="36"/>
      <c r="H520" s="37"/>
    </row>
    <row r="521" spans="6:8" s="30" customFormat="1">
      <c r="F521" s="36"/>
      <c r="H521" s="37"/>
    </row>
    <row r="522" spans="6:8" s="30" customFormat="1">
      <c r="F522" s="36"/>
      <c r="H522" s="37"/>
    </row>
    <row r="523" spans="6:8" s="30" customFormat="1">
      <c r="F523" s="36"/>
      <c r="H523" s="37"/>
    </row>
    <row r="524" spans="6:8" s="30" customFormat="1">
      <c r="F524" s="36"/>
      <c r="H524" s="37"/>
    </row>
    <row r="525" spans="6:8" s="30" customFormat="1">
      <c r="F525" s="36"/>
      <c r="H525" s="37"/>
    </row>
    <row r="526" spans="6:8" s="30" customFormat="1">
      <c r="F526" s="36"/>
      <c r="H526" s="37"/>
    </row>
    <row r="527" spans="6:8" s="30" customFormat="1">
      <c r="F527" s="36"/>
      <c r="H527" s="37"/>
    </row>
    <row r="528" spans="6:8" s="30" customFormat="1">
      <c r="F528" s="36"/>
      <c r="H528" s="37"/>
    </row>
    <row r="529" spans="6:8" s="30" customFormat="1">
      <c r="F529" s="36"/>
      <c r="H529" s="37"/>
    </row>
    <row r="530" spans="6:8" s="30" customFormat="1">
      <c r="F530" s="36"/>
      <c r="H530" s="37"/>
    </row>
    <row r="531" spans="6:8" s="30" customFormat="1">
      <c r="F531" s="36"/>
      <c r="H531" s="37"/>
    </row>
    <row r="532" spans="6:8" s="30" customFormat="1">
      <c r="F532" s="36"/>
      <c r="H532" s="37"/>
    </row>
    <row r="533" spans="6:8" s="30" customFormat="1">
      <c r="F533" s="36"/>
      <c r="H533" s="37"/>
    </row>
    <row r="534" spans="6:8" s="30" customFormat="1">
      <c r="F534" s="36"/>
      <c r="H534" s="37"/>
    </row>
    <row r="535" spans="6:8" s="30" customFormat="1">
      <c r="F535" s="36"/>
      <c r="H535" s="37"/>
    </row>
    <row r="536" spans="6:8" s="30" customFormat="1">
      <c r="F536" s="36"/>
      <c r="H536" s="37"/>
    </row>
    <row r="537" spans="6:8" s="30" customFormat="1">
      <c r="F537" s="36"/>
      <c r="H537" s="37"/>
    </row>
    <row r="538" spans="6:8" s="30" customFormat="1">
      <c r="F538" s="36"/>
      <c r="H538" s="37"/>
    </row>
    <row r="539" spans="6:8" s="30" customFormat="1">
      <c r="F539" s="36"/>
      <c r="H539" s="37"/>
    </row>
    <row r="540" spans="6:8" s="30" customFormat="1">
      <c r="F540" s="36"/>
      <c r="H540" s="37"/>
    </row>
    <row r="541" spans="6:8" s="30" customFormat="1">
      <c r="F541" s="36"/>
      <c r="H541" s="37"/>
    </row>
    <row r="542" spans="6:8" s="30" customFormat="1">
      <c r="F542" s="36"/>
      <c r="H542" s="37"/>
    </row>
    <row r="543" spans="6:8" s="30" customFormat="1">
      <c r="F543" s="36"/>
      <c r="H543" s="37"/>
    </row>
    <row r="544" spans="6:8" s="30" customFormat="1">
      <c r="F544" s="36"/>
      <c r="H544" s="37"/>
    </row>
    <row r="545" spans="6:8" s="30" customFormat="1">
      <c r="F545" s="36"/>
      <c r="H545" s="37"/>
    </row>
    <row r="546" spans="6:8" s="30" customFormat="1">
      <c r="F546" s="36"/>
      <c r="H546" s="37"/>
    </row>
    <row r="547" spans="6:8" s="30" customFormat="1">
      <c r="F547" s="36"/>
      <c r="H547" s="37"/>
    </row>
    <row r="548" spans="6:8" s="30" customFormat="1">
      <c r="F548" s="36"/>
      <c r="H548" s="37"/>
    </row>
    <row r="549" spans="6:8" s="30" customFormat="1">
      <c r="F549" s="36"/>
      <c r="H549" s="37"/>
    </row>
    <row r="550" spans="6:8" s="30" customFormat="1">
      <c r="F550" s="36"/>
      <c r="H550" s="37"/>
    </row>
    <row r="551" spans="6:8" s="30" customFormat="1">
      <c r="F551" s="36"/>
      <c r="H551" s="37"/>
    </row>
    <row r="552" spans="6:8" s="30" customFormat="1">
      <c r="F552" s="36"/>
      <c r="H552" s="37"/>
    </row>
    <row r="553" spans="6:8" s="30" customFormat="1">
      <c r="F553" s="36"/>
      <c r="H553" s="37"/>
    </row>
    <row r="554" spans="6:8" s="30" customFormat="1">
      <c r="F554" s="36"/>
      <c r="H554" s="37"/>
    </row>
    <row r="555" spans="6:8" s="30" customFormat="1">
      <c r="F555" s="36"/>
      <c r="H555" s="37"/>
    </row>
    <row r="556" spans="6:8" s="30" customFormat="1">
      <c r="F556" s="36"/>
      <c r="H556" s="37"/>
    </row>
    <row r="557" spans="6:8" s="30" customFormat="1">
      <c r="F557" s="36"/>
      <c r="H557" s="37"/>
    </row>
    <row r="558" spans="6:8" s="30" customFormat="1">
      <c r="F558" s="36"/>
      <c r="H558" s="37"/>
    </row>
    <row r="559" spans="6:8" s="30" customFormat="1">
      <c r="F559" s="36"/>
      <c r="H559" s="37"/>
    </row>
    <row r="560" spans="6:8" s="30" customFormat="1">
      <c r="F560" s="36"/>
      <c r="H560" s="37"/>
    </row>
    <row r="561" spans="6:8" s="30" customFormat="1">
      <c r="F561" s="36"/>
      <c r="H561" s="37"/>
    </row>
    <row r="562" spans="6:8" s="30" customFormat="1">
      <c r="F562" s="36"/>
      <c r="H562" s="37"/>
    </row>
    <row r="563" spans="6:8" s="30" customFormat="1">
      <c r="F563" s="36"/>
      <c r="H563" s="37"/>
    </row>
    <row r="564" spans="6:8" s="30" customFormat="1">
      <c r="F564" s="36"/>
      <c r="H564" s="37"/>
    </row>
    <row r="565" spans="6:8" s="30" customFormat="1">
      <c r="F565" s="36"/>
      <c r="H565" s="37"/>
    </row>
    <row r="566" spans="6:8" s="30" customFormat="1">
      <c r="F566" s="36"/>
      <c r="H566" s="37"/>
    </row>
    <row r="567" spans="6:8" s="30" customFormat="1">
      <c r="F567" s="36"/>
      <c r="H567" s="37"/>
    </row>
    <row r="568" spans="6:8" s="30" customFormat="1">
      <c r="F568" s="36"/>
      <c r="H568" s="37"/>
    </row>
    <row r="569" spans="6:8" s="30" customFormat="1">
      <c r="F569" s="36"/>
      <c r="H569" s="37"/>
    </row>
    <row r="570" spans="6:8" s="30" customFormat="1">
      <c r="F570" s="36"/>
      <c r="H570" s="37"/>
    </row>
    <row r="571" spans="6:8" s="30" customFormat="1">
      <c r="F571" s="36"/>
      <c r="H571" s="37"/>
    </row>
    <row r="572" spans="6:8" s="30" customFormat="1">
      <c r="F572" s="36"/>
      <c r="H572" s="37"/>
    </row>
    <row r="573" spans="6:8" s="30" customFormat="1">
      <c r="F573" s="36"/>
      <c r="H573" s="37"/>
    </row>
    <row r="574" spans="6:8" s="30" customFormat="1">
      <c r="F574" s="36"/>
      <c r="H574" s="37"/>
    </row>
    <row r="575" spans="6:8" s="30" customFormat="1">
      <c r="F575" s="36"/>
      <c r="H575" s="37"/>
    </row>
    <row r="576" spans="6:8" s="30" customFormat="1">
      <c r="F576" s="36"/>
      <c r="H576" s="37"/>
    </row>
    <row r="577" spans="6:8" s="30" customFormat="1">
      <c r="F577" s="36"/>
      <c r="H577" s="37"/>
    </row>
    <row r="578" spans="6:8" s="30" customFormat="1">
      <c r="F578" s="36"/>
      <c r="H578" s="37"/>
    </row>
    <row r="579" spans="6:8" s="30" customFormat="1">
      <c r="F579" s="36"/>
      <c r="H579" s="37"/>
    </row>
    <row r="580" spans="6:8" s="30" customFormat="1">
      <c r="F580" s="36"/>
      <c r="H580" s="37"/>
    </row>
    <row r="581" spans="6:8" s="30" customFormat="1">
      <c r="F581" s="36"/>
      <c r="H581" s="37"/>
    </row>
    <row r="582" spans="6:8" s="30" customFormat="1">
      <c r="F582" s="36"/>
      <c r="H582" s="37"/>
    </row>
    <row r="583" spans="6:8" s="30" customFormat="1">
      <c r="F583" s="36"/>
      <c r="H583" s="37"/>
    </row>
    <row r="584" spans="6:8" s="30" customFormat="1">
      <c r="F584" s="36"/>
      <c r="H584" s="37"/>
    </row>
    <row r="585" spans="6:8" s="30" customFormat="1">
      <c r="F585" s="36"/>
      <c r="H585" s="37"/>
    </row>
    <row r="586" spans="6:8" s="30" customFormat="1">
      <c r="F586" s="36"/>
      <c r="H586" s="37"/>
    </row>
    <row r="587" spans="6:8" s="30" customFormat="1">
      <c r="F587" s="36"/>
      <c r="H587" s="37"/>
    </row>
    <row r="588" spans="6:8" s="30" customFormat="1">
      <c r="F588" s="36"/>
      <c r="H588" s="37"/>
    </row>
    <row r="589" spans="6:8" s="30" customFormat="1">
      <c r="F589" s="36"/>
      <c r="H589" s="37"/>
    </row>
    <row r="590" spans="6:8" s="30" customFormat="1">
      <c r="F590" s="36"/>
      <c r="H590" s="37"/>
    </row>
    <row r="591" spans="6:8" s="30" customFormat="1">
      <c r="F591" s="36"/>
      <c r="H591" s="37"/>
    </row>
    <row r="592" spans="6:8" s="30" customFormat="1">
      <c r="F592" s="36"/>
      <c r="H592" s="37"/>
    </row>
    <row r="593" spans="6:8" s="30" customFormat="1">
      <c r="F593" s="36"/>
      <c r="H593" s="37"/>
    </row>
    <row r="594" spans="6:8" s="30" customFormat="1">
      <c r="F594" s="36"/>
      <c r="H594" s="37"/>
    </row>
    <row r="595" spans="6:8" s="30" customFormat="1">
      <c r="F595" s="36"/>
      <c r="H595" s="37"/>
    </row>
    <row r="596" spans="6:8" s="30" customFormat="1">
      <c r="F596" s="36"/>
      <c r="H596" s="37"/>
    </row>
    <row r="597" spans="6:8" s="30" customFormat="1">
      <c r="F597" s="36"/>
      <c r="H597" s="37"/>
    </row>
    <row r="598" spans="6:8" s="30" customFormat="1">
      <c r="F598" s="36"/>
      <c r="H598" s="37"/>
    </row>
    <row r="599" spans="6:8" s="30" customFormat="1">
      <c r="F599" s="36"/>
      <c r="H599" s="37"/>
    </row>
    <row r="600" spans="6:8" s="30" customFormat="1">
      <c r="F600" s="36"/>
      <c r="H600" s="37"/>
    </row>
    <row r="601" spans="6:8" s="30" customFormat="1">
      <c r="F601" s="36"/>
      <c r="H601" s="37"/>
    </row>
    <row r="602" spans="6:8" s="30" customFormat="1">
      <c r="F602" s="36"/>
      <c r="H602" s="37"/>
    </row>
    <row r="603" spans="6:8" s="30" customFormat="1">
      <c r="F603" s="36"/>
      <c r="H603" s="37"/>
    </row>
    <row r="604" spans="6:8" s="30" customFormat="1">
      <c r="F604" s="36"/>
      <c r="H604" s="37"/>
    </row>
    <row r="605" spans="6:8" s="30" customFormat="1">
      <c r="F605" s="36"/>
      <c r="H605" s="37"/>
    </row>
    <row r="606" spans="6:8" s="30" customFormat="1">
      <c r="F606" s="36"/>
      <c r="H606" s="37"/>
    </row>
    <row r="607" spans="6:8" s="30" customFormat="1">
      <c r="F607" s="36"/>
      <c r="H607" s="37"/>
    </row>
    <row r="608" spans="6:8" s="30" customFormat="1">
      <c r="F608" s="36"/>
      <c r="H608" s="37"/>
    </row>
    <row r="609" spans="6:8" s="30" customFormat="1">
      <c r="F609" s="36"/>
      <c r="H609" s="37"/>
    </row>
    <row r="610" spans="6:8" s="30" customFormat="1">
      <c r="F610" s="36"/>
      <c r="H610" s="37"/>
    </row>
    <row r="611" spans="6:8" s="30" customFormat="1">
      <c r="F611" s="36"/>
      <c r="H611" s="37"/>
    </row>
    <row r="612" spans="6:8" s="30" customFormat="1">
      <c r="F612" s="36"/>
      <c r="H612" s="37"/>
    </row>
    <row r="613" spans="6:8" s="30" customFormat="1">
      <c r="F613" s="36"/>
      <c r="H613" s="37"/>
    </row>
    <row r="614" spans="6:8" s="30" customFormat="1">
      <c r="F614" s="36"/>
      <c r="H614" s="37"/>
    </row>
    <row r="615" spans="6:8" s="30" customFormat="1">
      <c r="F615" s="36"/>
      <c r="H615" s="37"/>
    </row>
    <row r="616" spans="6:8" s="30" customFormat="1">
      <c r="F616" s="36"/>
      <c r="H616" s="37"/>
    </row>
    <row r="617" spans="6:8" s="30" customFormat="1">
      <c r="F617" s="36"/>
      <c r="H617" s="37"/>
    </row>
    <row r="618" spans="6:8" s="30" customFormat="1">
      <c r="F618" s="36"/>
      <c r="H618" s="37"/>
    </row>
    <row r="619" spans="6:8" s="30" customFormat="1">
      <c r="F619" s="36"/>
      <c r="H619" s="37"/>
    </row>
    <row r="620" spans="6:8" s="30" customFormat="1">
      <c r="F620" s="36"/>
      <c r="H620" s="37"/>
    </row>
    <row r="621" spans="6:8" s="30" customFormat="1">
      <c r="F621" s="36"/>
      <c r="H621" s="37"/>
    </row>
    <row r="622" spans="6:8" s="30" customFormat="1">
      <c r="F622" s="36"/>
      <c r="H622" s="37"/>
    </row>
    <row r="623" spans="6:8" s="30" customFormat="1">
      <c r="F623" s="36"/>
      <c r="H623" s="37"/>
    </row>
    <row r="624" spans="6:8" s="30" customFormat="1">
      <c r="F624" s="36"/>
      <c r="H624" s="37"/>
    </row>
    <row r="625" spans="6:8" s="30" customFormat="1">
      <c r="F625" s="36"/>
      <c r="H625" s="37"/>
    </row>
    <row r="626" spans="6:8" s="30" customFormat="1">
      <c r="F626" s="36"/>
      <c r="H626" s="37"/>
    </row>
    <row r="627" spans="6:8" s="30" customFormat="1">
      <c r="F627" s="36"/>
      <c r="H627" s="37"/>
    </row>
    <row r="628" spans="6:8" s="30" customFormat="1">
      <c r="F628" s="36"/>
      <c r="H628" s="37"/>
    </row>
    <row r="629" spans="6:8" s="30" customFormat="1">
      <c r="F629" s="36"/>
      <c r="H629" s="37"/>
    </row>
    <row r="630" spans="6:8" s="30" customFormat="1">
      <c r="F630" s="36"/>
      <c r="H630" s="37"/>
    </row>
    <row r="631" spans="6:8" s="30" customFormat="1">
      <c r="F631" s="36"/>
      <c r="H631" s="37"/>
    </row>
    <row r="632" spans="6:8" s="30" customFormat="1">
      <c r="F632" s="36"/>
      <c r="H632" s="37"/>
    </row>
    <row r="633" spans="6:8" s="30" customFormat="1">
      <c r="F633" s="36"/>
      <c r="H633" s="37"/>
    </row>
    <row r="634" spans="6:8" s="30" customFormat="1">
      <c r="F634" s="36"/>
      <c r="H634" s="37"/>
    </row>
    <row r="635" spans="6:8" s="30" customFormat="1">
      <c r="F635" s="36"/>
      <c r="H635" s="37"/>
    </row>
    <row r="636" spans="6:8" s="30" customFormat="1">
      <c r="F636" s="36"/>
      <c r="H636" s="37"/>
    </row>
    <row r="637" spans="6:8" s="30" customFormat="1">
      <c r="F637" s="36"/>
      <c r="H637" s="37"/>
    </row>
    <row r="638" spans="6:8" s="30" customFormat="1">
      <c r="F638" s="36"/>
      <c r="H638" s="37"/>
    </row>
    <row r="639" spans="6:8" s="30" customFormat="1">
      <c r="F639" s="36"/>
      <c r="H639" s="37"/>
    </row>
    <row r="640" spans="6:8" s="30" customFormat="1">
      <c r="F640" s="36"/>
      <c r="H640" s="37"/>
    </row>
    <row r="641" spans="6:8" s="30" customFormat="1">
      <c r="F641" s="36"/>
      <c r="H641" s="37"/>
    </row>
    <row r="642" spans="6:8" s="30" customFormat="1">
      <c r="F642" s="36"/>
      <c r="H642" s="37"/>
    </row>
    <row r="643" spans="6:8" s="30" customFormat="1">
      <c r="F643" s="36"/>
      <c r="H643" s="37"/>
    </row>
    <row r="644" spans="6:8" s="30" customFormat="1">
      <c r="F644" s="36"/>
      <c r="H644" s="37"/>
    </row>
    <row r="645" spans="6:8" s="30" customFormat="1">
      <c r="F645" s="36"/>
      <c r="H645" s="37"/>
    </row>
    <row r="646" spans="6:8" s="30" customFormat="1">
      <c r="F646" s="36"/>
      <c r="H646" s="37"/>
    </row>
    <row r="647" spans="6:8" s="30" customFormat="1">
      <c r="F647" s="36"/>
      <c r="H647" s="37"/>
    </row>
    <row r="648" spans="6:8" s="30" customFormat="1">
      <c r="F648" s="36"/>
      <c r="H648" s="37"/>
    </row>
    <row r="649" spans="6:8" s="30" customFormat="1">
      <c r="F649" s="36"/>
      <c r="H649" s="37"/>
    </row>
    <row r="650" spans="6:8" s="30" customFormat="1">
      <c r="F650" s="36"/>
      <c r="H650" s="37"/>
    </row>
    <row r="651" spans="6:8" s="30" customFormat="1">
      <c r="F651" s="36"/>
      <c r="H651" s="37"/>
    </row>
    <row r="652" spans="6:8" s="30" customFormat="1">
      <c r="F652" s="36"/>
      <c r="H652" s="37"/>
    </row>
    <row r="653" spans="6:8" s="30" customFormat="1">
      <c r="F653" s="36"/>
      <c r="H653" s="37"/>
    </row>
    <row r="654" spans="6:8" s="30" customFormat="1">
      <c r="F654" s="36"/>
      <c r="H654" s="37"/>
    </row>
    <row r="655" spans="6:8" s="30" customFormat="1">
      <c r="F655" s="36"/>
      <c r="H655" s="37"/>
    </row>
    <row r="656" spans="6:8" s="30" customFormat="1">
      <c r="F656" s="36"/>
      <c r="H656" s="37"/>
    </row>
    <row r="657" spans="6:8" s="30" customFormat="1">
      <c r="F657" s="36"/>
      <c r="H657" s="37"/>
    </row>
    <row r="658" spans="6:8" s="30" customFormat="1">
      <c r="F658" s="36"/>
      <c r="H658" s="37"/>
    </row>
    <row r="659" spans="6:8" s="30" customFormat="1">
      <c r="F659" s="36"/>
      <c r="H659" s="37"/>
    </row>
    <row r="660" spans="6:8" s="30" customFormat="1">
      <c r="F660" s="36"/>
      <c r="H660" s="37"/>
    </row>
    <row r="661" spans="6:8" s="30" customFormat="1">
      <c r="F661" s="36"/>
      <c r="H661" s="37"/>
    </row>
    <row r="662" spans="6:8" s="30" customFormat="1">
      <c r="F662" s="36"/>
      <c r="H662" s="37"/>
    </row>
    <row r="663" spans="6:8" s="30" customFormat="1">
      <c r="F663" s="36"/>
      <c r="H663" s="37"/>
    </row>
    <row r="664" spans="6:8" s="30" customFormat="1">
      <c r="F664" s="36"/>
      <c r="H664" s="37"/>
    </row>
    <row r="665" spans="6:8" s="30" customFormat="1">
      <c r="F665" s="36"/>
      <c r="H665" s="37"/>
    </row>
    <row r="666" spans="6:8" s="30" customFormat="1">
      <c r="F666" s="36"/>
      <c r="H666" s="37"/>
    </row>
    <row r="667" spans="6:8" s="30" customFormat="1">
      <c r="F667" s="36"/>
      <c r="H667" s="37"/>
    </row>
    <row r="668" spans="6:8" s="30" customFormat="1">
      <c r="F668" s="36"/>
      <c r="H668" s="37"/>
    </row>
    <row r="669" spans="6:8" s="30" customFormat="1">
      <c r="F669" s="36"/>
      <c r="H669" s="37"/>
    </row>
    <row r="670" spans="6:8" s="30" customFormat="1">
      <c r="F670" s="36"/>
      <c r="H670" s="37"/>
    </row>
    <row r="671" spans="6:8" s="30" customFormat="1">
      <c r="F671" s="36"/>
      <c r="H671" s="37"/>
    </row>
    <row r="672" spans="6:8" s="30" customFormat="1">
      <c r="F672" s="36"/>
      <c r="H672" s="37"/>
    </row>
    <row r="673" spans="6:8" s="30" customFormat="1">
      <c r="F673" s="36"/>
      <c r="H673" s="37"/>
    </row>
    <row r="674" spans="6:8" s="30" customFormat="1">
      <c r="F674" s="36"/>
      <c r="H674" s="37"/>
    </row>
    <row r="675" spans="6:8" s="30" customFormat="1">
      <c r="F675" s="36"/>
      <c r="H675" s="37"/>
    </row>
    <row r="676" spans="6:8" s="30" customFormat="1">
      <c r="F676" s="36"/>
      <c r="H676" s="37"/>
    </row>
    <row r="677" spans="6:8" s="30" customFormat="1">
      <c r="F677" s="36"/>
      <c r="H677" s="37"/>
    </row>
    <row r="678" spans="6:8" s="30" customFormat="1">
      <c r="F678" s="36"/>
      <c r="H678" s="37"/>
    </row>
    <row r="679" spans="6:8" s="30" customFormat="1">
      <c r="F679" s="36"/>
      <c r="H679" s="37"/>
    </row>
    <row r="680" spans="6:8" s="30" customFormat="1">
      <c r="F680" s="36"/>
      <c r="H680" s="37"/>
    </row>
    <row r="681" spans="6:8" s="30" customFormat="1">
      <c r="F681" s="36"/>
      <c r="H681" s="37"/>
    </row>
    <row r="682" spans="6:8" s="30" customFormat="1">
      <c r="F682" s="36"/>
      <c r="H682" s="37"/>
    </row>
    <row r="683" spans="6:8" s="30" customFormat="1">
      <c r="F683" s="36"/>
      <c r="H683" s="37"/>
    </row>
    <row r="684" spans="6:8" s="30" customFormat="1">
      <c r="F684" s="36"/>
      <c r="H684" s="37"/>
    </row>
    <row r="685" spans="6:8" s="30" customFormat="1">
      <c r="F685" s="36"/>
      <c r="H685" s="37"/>
    </row>
    <row r="686" spans="6:8" s="30" customFormat="1">
      <c r="F686" s="36"/>
      <c r="H686" s="37"/>
    </row>
    <row r="687" spans="6:8" s="30" customFormat="1">
      <c r="F687" s="36"/>
      <c r="H687" s="37"/>
    </row>
    <row r="688" spans="6:8" s="30" customFormat="1">
      <c r="F688" s="36"/>
      <c r="H688" s="37"/>
    </row>
    <row r="689" spans="6:8" s="30" customFormat="1">
      <c r="F689" s="36"/>
      <c r="H689" s="37"/>
    </row>
    <row r="690" spans="6:8" s="30" customFormat="1">
      <c r="F690" s="36"/>
      <c r="H690" s="37"/>
    </row>
    <row r="691" spans="6:8" s="30" customFormat="1">
      <c r="F691" s="36"/>
      <c r="H691" s="37"/>
    </row>
    <row r="692" spans="6:8" s="30" customFormat="1">
      <c r="F692" s="36"/>
      <c r="H692" s="37"/>
    </row>
    <row r="693" spans="6:8" s="30" customFormat="1">
      <c r="F693" s="36"/>
      <c r="H693" s="37"/>
    </row>
    <row r="694" spans="6:8" s="30" customFormat="1">
      <c r="F694" s="36"/>
      <c r="H694" s="37"/>
    </row>
    <row r="695" spans="6:8" s="30" customFormat="1">
      <c r="F695" s="36"/>
      <c r="H695" s="37"/>
    </row>
    <row r="696" spans="6:8" s="30" customFormat="1">
      <c r="F696" s="36"/>
      <c r="H696" s="37"/>
    </row>
    <row r="697" spans="6:8" s="30" customFormat="1">
      <c r="F697" s="36"/>
      <c r="H697" s="37"/>
    </row>
    <row r="698" spans="6:8" s="30" customFormat="1">
      <c r="F698" s="36"/>
      <c r="H698" s="37"/>
    </row>
    <row r="699" spans="6:8" s="30" customFormat="1">
      <c r="F699" s="36"/>
      <c r="H699" s="37"/>
    </row>
    <row r="700" spans="6:8" s="30" customFormat="1">
      <c r="F700" s="36"/>
      <c r="H700" s="37"/>
    </row>
    <row r="701" spans="6:8" s="30" customFormat="1">
      <c r="F701" s="36"/>
      <c r="H701" s="37"/>
    </row>
    <row r="702" spans="6:8" s="30" customFormat="1">
      <c r="F702" s="36"/>
      <c r="H702" s="37"/>
    </row>
    <row r="703" spans="6:8" s="30" customFormat="1">
      <c r="F703" s="36"/>
      <c r="H703" s="37"/>
    </row>
    <row r="704" spans="6:8" s="30" customFormat="1">
      <c r="F704" s="36"/>
      <c r="H704" s="37"/>
    </row>
    <row r="705" spans="6:8" s="30" customFormat="1">
      <c r="F705" s="36"/>
      <c r="H705" s="37"/>
    </row>
    <row r="706" spans="6:8" s="30" customFormat="1">
      <c r="F706" s="36"/>
      <c r="H706" s="37"/>
    </row>
    <row r="707" spans="6:8" s="30" customFormat="1">
      <c r="F707" s="36"/>
      <c r="H707" s="37"/>
    </row>
    <row r="708" spans="6:8" s="30" customFormat="1">
      <c r="F708" s="36"/>
      <c r="H708" s="37"/>
    </row>
    <row r="709" spans="6:8" s="30" customFormat="1">
      <c r="F709" s="36"/>
      <c r="H709" s="37"/>
    </row>
    <row r="710" spans="6:8" s="30" customFormat="1">
      <c r="F710" s="36"/>
      <c r="H710" s="37"/>
    </row>
    <row r="711" spans="6:8" s="30" customFormat="1">
      <c r="F711" s="36"/>
      <c r="H711" s="37"/>
    </row>
    <row r="712" spans="6:8" s="30" customFormat="1">
      <c r="F712" s="36"/>
      <c r="H712" s="37"/>
    </row>
    <row r="713" spans="6:8" s="30" customFormat="1">
      <c r="F713" s="36"/>
      <c r="H713" s="37"/>
    </row>
    <row r="714" spans="6:8" s="30" customFormat="1">
      <c r="F714" s="36"/>
      <c r="H714" s="37"/>
    </row>
    <row r="715" spans="6:8" s="30" customFormat="1">
      <c r="F715" s="36"/>
      <c r="H715" s="37"/>
    </row>
    <row r="716" spans="6:8" s="30" customFormat="1">
      <c r="F716" s="36"/>
      <c r="H716" s="37"/>
    </row>
    <row r="717" spans="6:8" s="30" customFormat="1">
      <c r="F717" s="36"/>
      <c r="H717" s="37"/>
    </row>
    <row r="718" spans="6:8" s="30" customFormat="1">
      <c r="F718" s="36"/>
      <c r="H718" s="37"/>
    </row>
    <row r="719" spans="6:8" s="30" customFormat="1">
      <c r="F719" s="36"/>
      <c r="H719" s="37"/>
    </row>
    <row r="720" spans="6:8" s="30" customFormat="1">
      <c r="F720" s="36"/>
      <c r="H720" s="37"/>
    </row>
    <row r="721" spans="6:8" s="30" customFormat="1">
      <c r="F721" s="36"/>
      <c r="H721" s="37"/>
    </row>
    <row r="722" spans="6:8" s="30" customFormat="1">
      <c r="F722" s="36"/>
      <c r="H722" s="37"/>
    </row>
    <row r="723" spans="6:8" s="30" customFormat="1">
      <c r="F723" s="36"/>
      <c r="H723" s="37"/>
    </row>
    <row r="724" spans="6:8" s="30" customFormat="1">
      <c r="F724" s="36"/>
      <c r="H724" s="37"/>
    </row>
    <row r="725" spans="6:8" s="30" customFormat="1">
      <c r="F725" s="36"/>
      <c r="H725" s="37"/>
    </row>
    <row r="726" spans="6:8" s="30" customFormat="1">
      <c r="F726" s="36"/>
      <c r="H726" s="37"/>
    </row>
    <row r="727" spans="6:8" s="30" customFormat="1">
      <c r="F727" s="36"/>
      <c r="H727" s="37"/>
    </row>
    <row r="728" spans="6:8" s="30" customFormat="1">
      <c r="F728" s="36"/>
      <c r="H728" s="37"/>
    </row>
    <row r="729" spans="6:8" s="30" customFormat="1">
      <c r="F729" s="36"/>
      <c r="H729" s="37"/>
    </row>
    <row r="730" spans="6:8" s="30" customFormat="1">
      <c r="F730" s="36"/>
      <c r="H730" s="37"/>
    </row>
    <row r="731" spans="6:8" s="30" customFormat="1">
      <c r="F731" s="36"/>
      <c r="H731" s="37"/>
    </row>
    <row r="732" spans="6:8" s="30" customFormat="1">
      <c r="F732" s="36"/>
      <c r="H732" s="37"/>
    </row>
    <row r="733" spans="6:8" s="30" customFormat="1">
      <c r="F733" s="36"/>
      <c r="H733" s="37"/>
    </row>
    <row r="734" spans="6:8" s="30" customFormat="1">
      <c r="F734" s="36"/>
      <c r="H734" s="37"/>
    </row>
    <row r="735" spans="6:8" s="30" customFormat="1">
      <c r="F735" s="36"/>
      <c r="H735" s="37"/>
    </row>
    <row r="736" spans="6:8" s="30" customFormat="1">
      <c r="F736" s="36"/>
      <c r="H736" s="37"/>
    </row>
    <row r="737" spans="6:8" s="30" customFormat="1">
      <c r="F737" s="36"/>
      <c r="H737" s="37"/>
    </row>
    <row r="738" spans="6:8" s="30" customFormat="1">
      <c r="F738" s="36"/>
      <c r="H738" s="37"/>
    </row>
    <row r="739" spans="6:8" s="30" customFormat="1">
      <c r="F739" s="36"/>
      <c r="H739" s="37"/>
    </row>
    <row r="740" spans="6:8" s="30" customFormat="1">
      <c r="F740" s="36"/>
      <c r="H740" s="37"/>
    </row>
    <row r="741" spans="6:8" s="30" customFormat="1">
      <c r="F741" s="36"/>
      <c r="H741" s="37"/>
    </row>
    <row r="742" spans="6:8" s="30" customFormat="1">
      <c r="F742" s="36"/>
      <c r="H742" s="37"/>
    </row>
    <row r="743" spans="6:8" s="30" customFormat="1">
      <c r="F743" s="36"/>
      <c r="H743" s="37"/>
    </row>
    <row r="744" spans="6:8" s="30" customFormat="1">
      <c r="F744" s="36"/>
      <c r="H744" s="37"/>
    </row>
    <row r="745" spans="6:8" s="30" customFormat="1">
      <c r="F745" s="36"/>
      <c r="H745" s="37"/>
    </row>
    <row r="746" spans="6:8" s="30" customFormat="1">
      <c r="F746" s="36"/>
      <c r="H746" s="37"/>
    </row>
    <row r="747" spans="6:8" s="30" customFormat="1">
      <c r="F747" s="36"/>
      <c r="H747" s="37"/>
    </row>
    <row r="748" spans="6:8" s="30" customFormat="1">
      <c r="F748" s="36"/>
      <c r="H748" s="37"/>
    </row>
    <row r="749" spans="6:8" s="30" customFormat="1">
      <c r="F749" s="36"/>
      <c r="H749" s="37"/>
    </row>
    <row r="750" spans="6:8" s="30" customFormat="1">
      <c r="F750" s="36"/>
      <c r="H750" s="37"/>
    </row>
    <row r="751" spans="6:8" s="30" customFormat="1">
      <c r="F751" s="36"/>
      <c r="H751" s="37"/>
    </row>
    <row r="752" spans="6:8" s="30" customFormat="1">
      <c r="F752" s="36"/>
      <c r="H752" s="37"/>
    </row>
    <row r="753" spans="6:8" s="30" customFormat="1">
      <c r="F753" s="36"/>
      <c r="H753" s="37"/>
    </row>
    <row r="754" spans="6:8" s="30" customFormat="1">
      <c r="F754" s="36"/>
      <c r="H754" s="37"/>
    </row>
    <row r="755" spans="6:8" s="30" customFormat="1">
      <c r="F755" s="36"/>
      <c r="H755" s="37"/>
    </row>
    <row r="756" spans="6:8" s="30" customFormat="1">
      <c r="F756" s="36"/>
      <c r="H756" s="37"/>
    </row>
    <row r="757" spans="6:8" s="30" customFormat="1">
      <c r="F757" s="36"/>
      <c r="H757" s="37"/>
    </row>
    <row r="758" spans="6:8" s="30" customFormat="1">
      <c r="F758" s="36"/>
      <c r="H758" s="37"/>
    </row>
    <row r="759" spans="6:8" s="30" customFormat="1">
      <c r="F759" s="36"/>
      <c r="H759" s="37"/>
    </row>
    <row r="760" spans="6:8" s="30" customFormat="1">
      <c r="F760" s="36"/>
      <c r="H760" s="37"/>
    </row>
    <row r="761" spans="6:8" s="30" customFormat="1">
      <c r="F761" s="36"/>
      <c r="H761" s="37"/>
    </row>
    <row r="762" spans="6:8" s="30" customFormat="1">
      <c r="F762" s="36"/>
      <c r="H762" s="37"/>
    </row>
    <row r="763" spans="6:8" s="30" customFormat="1">
      <c r="F763" s="36"/>
      <c r="H763" s="37"/>
    </row>
    <row r="764" spans="6:8" s="30" customFormat="1">
      <c r="F764" s="36"/>
      <c r="H764" s="37"/>
    </row>
    <row r="765" spans="6:8" s="30" customFormat="1">
      <c r="F765" s="36"/>
      <c r="H765" s="37"/>
    </row>
    <row r="766" spans="6:8" s="30" customFormat="1">
      <c r="F766" s="36"/>
      <c r="H766" s="37"/>
    </row>
    <row r="767" spans="6:8" s="30" customFormat="1">
      <c r="F767" s="36"/>
      <c r="H767" s="37"/>
    </row>
    <row r="768" spans="6:8" s="30" customFormat="1">
      <c r="F768" s="36"/>
      <c r="H768" s="37"/>
    </row>
    <row r="769" spans="6:8" s="30" customFormat="1">
      <c r="F769" s="36"/>
      <c r="H769" s="37"/>
    </row>
    <row r="770" spans="6:8" s="30" customFormat="1">
      <c r="F770" s="36"/>
      <c r="H770" s="37"/>
    </row>
    <row r="771" spans="6:8" s="30" customFormat="1">
      <c r="F771" s="36"/>
      <c r="H771" s="37"/>
    </row>
    <row r="772" spans="6:8" s="30" customFormat="1">
      <c r="F772" s="36"/>
      <c r="H772" s="37"/>
    </row>
    <row r="773" spans="6:8" s="30" customFormat="1">
      <c r="F773" s="36"/>
      <c r="H773" s="37"/>
    </row>
    <row r="774" spans="6:8" s="30" customFormat="1">
      <c r="F774" s="36"/>
      <c r="H774" s="37"/>
    </row>
    <row r="775" spans="6:8" s="30" customFormat="1">
      <c r="F775" s="36"/>
      <c r="H775" s="37"/>
    </row>
    <row r="776" spans="6:8" s="30" customFormat="1">
      <c r="F776" s="36"/>
      <c r="H776" s="37"/>
    </row>
    <row r="777" spans="6:8" s="30" customFormat="1">
      <c r="F777" s="36"/>
      <c r="H777" s="37"/>
    </row>
    <row r="778" spans="6:8" s="30" customFormat="1">
      <c r="F778" s="36"/>
      <c r="H778" s="37"/>
    </row>
    <row r="779" spans="6:8" s="30" customFormat="1">
      <c r="F779" s="36"/>
      <c r="H779" s="37"/>
    </row>
    <row r="780" spans="6:8" s="30" customFormat="1">
      <c r="F780" s="36"/>
      <c r="H780" s="37"/>
    </row>
    <row r="781" spans="6:8" s="30" customFormat="1">
      <c r="F781" s="36"/>
      <c r="H781" s="37"/>
    </row>
    <row r="782" spans="6:8" s="30" customFormat="1">
      <c r="F782" s="36"/>
      <c r="H782" s="37"/>
    </row>
    <row r="783" spans="6:8" s="30" customFormat="1">
      <c r="F783" s="36"/>
      <c r="H783" s="37"/>
    </row>
    <row r="784" spans="6:8" s="30" customFormat="1">
      <c r="F784" s="36"/>
      <c r="H784" s="37"/>
    </row>
    <row r="785" spans="6:8" s="30" customFormat="1">
      <c r="F785" s="36"/>
      <c r="H785" s="37"/>
    </row>
    <row r="786" spans="6:8" s="30" customFormat="1">
      <c r="F786" s="36"/>
      <c r="H786" s="37"/>
    </row>
    <row r="787" spans="6:8" s="30" customFormat="1">
      <c r="F787" s="36"/>
      <c r="H787" s="37"/>
    </row>
    <row r="788" spans="6:8" s="30" customFormat="1">
      <c r="F788" s="36"/>
      <c r="H788" s="37"/>
    </row>
    <row r="789" spans="6:8" s="30" customFormat="1">
      <c r="F789" s="36"/>
      <c r="H789" s="37"/>
    </row>
    <row r="790" spans="6:8" s="30" customFormat="1">
      <c r="F790" s="36"/>
      <c r="H790" s="37"/>
    </row>
    <row r="791" spans="6:8" s="30" customFormat="1">
      <c r="F791" s="36"/>
      <c r="H791" s="37"/>
    </row>
    <row r="792" spans="6:8" s="30" customFormat="1">
      <c r="F792" s="36"/>
      <c r="H792" s="37"/>
    </row>
    <row r="793" spans="6:8" s="30" customFormat="1">
      <c r="F793" s="36"/>
      <c r="H793" s="37"/>
    </row>
    <row r="794" spans="6:8" s="30" customFormat="1">
      <c r="F794" s="36"/>
      <c r="H794" s="37"/>
    </row>
    <row r="795" spans="6:8" s="30" customFormat="1">
      <c r="F795" s="36"/>
      <c r="H795" s="37"/>
    </row>
    <row r="796" spans="6:8" s="30" customFormat="1">
      <c r="F796" s="36"/>
      <c r="H796" s="37"/>
    </row>
    <row r="797" spans="6:8" s="30" customFormat="1">
      <c r="F797" s="36"/>
      <c r="H797" s="37"/>
    </row>
    <row r="798" spans="6:8" s="30" customFormat="1">
      <c r="F798" s="36"/>
      <c r="H798" s="37"/>
    </row>
    <row r="799" spans="6:8" s="30" customFormat="1">
      <c r="F799" s="36"/>
      <c r="H799" s="37"/>
    </row>
    <row r="800" spans="6:8" s="30" customFormat="1">
      <c r="F800" s="36"/>
      <c r="H800" s="37"/>
    </row>
    <row r="801" spans="6:8" s="30" customFormat="1">
      <c r="F801" s="36"/>
      <c r="H801" s="37"/>
    </row>
    <row r="802" spans="6:8" s="30" customFormat="1">
      <c r="F802" s="36"/>
      <c r="H802" s="37"/>
    </row>
    <row r="803" spans="6:8" s="30" customFormat="1">
      <c r="F803" s="36"/>
      <c r="H803" s="37"/>
    </row>
    <row r="804" spans="6:8" s="30" customFormat="1">
      <c r="F804" s="36"/>
      <c r="H804" s="37"/>
    </row>
    <row r="805" spans="6:8" s="30" customFormat="1">
      <c r="F805" s="36"/>
      <c r="H805" s="37"/>
    </row>
    <row r="806" spans="6:8" s="30" customFormat="1">
      <c r="F806" s="36"/>
      <c r="H806" s="37"/>
    </row>
    <row r="807" spans="6:8" s="30" customFormat="1">
      <c r="F807" s="36"/>
      <c r="H807" s="37"/>
    </row>
    <row r="808" spans="6:8" s="30" customFormat="1">
      <c r="F808" s="36"/>
      <c r="H808" s="37"/>
    </row>
    <row r="809" spans="6:8" s="30" customFormat="1">
      <c r="F809" s="36"/>
      <c r="H809" s="37"/>
    </row>
    <row r="810" spans="6:8" s="30" customFormat="1">
      <c r="F810" s="36"/>
      <c r="H810" s="37"/>
    </row>
    <row r="811" spans="6:8" s="30" customFormat="1">
      <c r="F811" s="36"/>
      <c r="H811" s="37"/>
    </row>
    <row r="812" spans="6:8" s="30" customFormat="1">
      <c r="F812" s="36"/>
      <c r="H812" s="37"/>
    </row>
    <row r="813" spans="6:8" s="30" customFormat="1">
      <c r="F813" s="36"/>
      <c r="H813" s="37"/>
    </row>
    <row r="814" spans="6:8" s="30" customFormat="1">
      <c r="F814" s="36"/>
      <c r="H814" s="37"/>
    </row>
    <row r="815" spans="6:8" s="30" customFormat="1">
      <c r="F815" s="36"/>
      <c r="H815" s="37"/>
    </row>
    <row r="816" spans="6:8" s="30" customFormat="1">
      <c r="F816" s="36"/>
      <c r="H816" s="37"/>
    </row>
    <row r="817" spans="6:8" s="30" customFormat="1">
      <c r="F817" s="36"/>
      <c r="H817" s="37"/>
    </row>
    <row r="818" spans="6:8" s="30" customFormat="1">
      <c r="F818" s="36"/>
      <c r="H818" s="37"/>
    </row>
    <row r="819" spans="6:8" s="30" customFormat="1">
      <c r="F819" s="36"/>
      <c r="H819" s="37"/>
    </row>
    <row r="820" spans="6:8" s="30" customFormat="1">
      <c r="F820" s="36"/>
      <c r="H820" s="37"/>
    </row>
    <row r="821" spans="6:8" s="30" customFormat="1">
      <c r="F821" s="36"/>
      <c r="H821" s="37"/>
    </row>
    <row r="822" spans="6:8" s="30" customFormat="1">
      <c r="F822" s="36"/>
      <c r="H822" s="37"/>
    </row>
    <row r="823" spans="6:8" s="30" customFormat="1">
      <c r="F823" s="36"/>
      <c r="H823" s="37"/>
    </row>
    <row r="824" spans="6:8" s="30" customFormat="1">
      <c r="F824" s="36"/>
      <c r="H824" s="37"/>
    </row>
    <row r="825" spans="6:8" s="30" customFormat="1">
      <c r="F825" s="36"/>
      <c r="H825" s="37"/>
    </row>
    <row r="826" spans="6:8" s="30" customFormat="1">
      <c r="F826" s="36"/>
      <c r="H826" s="37"/>
    </row>
  </sheetData>
  <mergeCells count="2">
    <mergeCell ref="B1:H1"/>
    <mergeCell ref="B2:H2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G1001"/>
  <sheetViews>
    <sheetView zoomScaleNormal="100" workbookViewId="0">
      <selection activeCell="B32" sqref="B32"/>
    </sheetView>
  </sheetViews>
  <sheetFormatPr defaultRowHeight="12.75"/>
  <cols>
    <col min="1" max="1" width="3.42578125" style="30" bestFit="1" customWidth="1"/>
    <col min="2" max="2" width="50.42578125" bestFit="1" customWidth="1"/>
    <col min="3" max="3" width="16.85546875" bestFit="1" customWidth="1"/>
    <col min="4" max="4" width="33.5703125" bestFit="1" customWidth="1"/>
    <col min="5" max="5" width="16.85546875" bestFit="1" customWidth="1"/>
    <col min="6" max="6" width="16.85546875" style="3" bestFit="1" customWidth="1"/>
    <col min="7" max="7" width="25.140625" hidden="1" customWidth="1"/>
    <col min="8" max="8" width="16.85546875" style="4" bestFit="1" customWidth="1"/>
    <col min="9" max="9" width="25.140625" hidden="1" customWidth="1"/>
    <col min="10" max="137" width="9.140625" style="30"/>
  </cols>
  <sheetData>
    <row r="1" spans="1:9" ht="15.95" customHeight="1">
      <c r="A1" s="27"/>
      <c r="B1" s="171" t="s">
        <v>386</v>
      </c>
      <c r="C1" s="172"/>
      <c r="D1" s="172"/>
      <c r="E1" s="172"/>
      <c r="F1" s="172"/>
      <c r="G1" s="172"/>
      <c r="H1" s="173"/>
      <c r="I1" s="1"/>
    </row>
    <row r="2" spans="1:9" ht="12.95" customHeight="1" thickBot="1">
      <c r="A2" s="27"/>
      <c r="B2" s="174" t="s">
        <v>412</v>
      </c>
      <c r="C2" s="175"/>
      <c r="D2" s="175"/>
      <c r="E2" s="175"/>
      <c r="F2" s="175"/>
      <c r="G2" s="175"/>
      <c r="H2" s="176"/>
      <c r="I2" s="1"/>
    </row>
    <row r="3" spans="1:9" s="30" customFormat="1" ht="12.95" customHeight="1">
      <c r="A3" s="27"/>
      <c r="B3" s="95"/>
      <c r="C3" s="95"/>
      <c r="D3" s="95"/>
      <c r="E3" s="95"/>
      <c r="F3" s="95"/>
      <c r="G3" s="95"/>
      <c r="H3" s="95"/>
      <c r="I3" s="27"/>
    </row>
    <row r="4" spans="1:9" s="30" customFormat="1" ht="12.95" customHeight="1">
      <c r="A4" s="28"/>
      <c r="B4" s="32" t="s">
        <v>2</v>
      </c>
      <c r="C4" s="27"/>
      <c r="D4" s="27"/>
      <c r="E4" s="27"/>
      <c r="F4" s="33"/>
      <c r="G4" s="27"/>
      <c r="H4" s="34"/>
      <c r="I4" s="27"/>
    </row>
    <row r="5" spans="1:9" s="30" customFormat="1" ht="12.95" customHeight="1" thickBot="1">
      <c r="A5" s="28"/>
      <c r="B5" s="32"/>
      <c r="C5" s="27"/>
      <c r="D5" s="27"/>
      <c r="E5" s="27"/>
      <c r="F5" s="33"/>
      <c r="G5" s="27"/>
      <c r="H5" s="34"/>
      <c r="I5" s="27"/>
    </row>
    <row r="6" spans="1:9" ht="27.95" customHeight="1" thickBot="1">
      <c r="A6" s="27"/>
      <c r="B6" s="82" t="s">
        <v>3</v>
      </c>
      <c r="C6" s="83" t="s">
        <v>4</v>
      </c>
      <c r="D6" s="84" t="s">
        <v>5</v>
      </c>
      <c r="E6" s="84" t="s">
        <v>6</v>
      </c>
      <c r="F6" s="85" t="s">
        <v>7</v>
      </c>
      <c r="G6" s="84" t="s">
        <v>8</v>
      </c>
      <c r="H6" s="86" t="s">
        <v>9</v>
      </c>
      <c r="I6" s="38" t="s">
        <v>10</v>
      </c>
    </row>
    <row r="7" spans="1:9" ht="12.95" customHeight="1">
      <c r="A7" s="27"/>
      <c r="B7" s="155" t="s">
        <v>387</v>
      </c>
      <c r="C7" s="156"/>
      <c r="D7" s="126"/>
      <c r="E7" s="126"/>
      <c r="F7" s="127"/>
      <c r="G7" s="126"/>
      <c r="H7" s="161"/>
      <c r="I7" s="26"/>
    </row>
    <row r="8" spans="1:9" ht="12.95" customHeight="1">
      <c r="A8" s="27"/>
      <c r="B8" s="19" t="s">
        <v>388</v>
      </c>
      <c r="C8" s="59"/>
      <c r="D8" s="46"/>
      <c r="E8" s="17" t="s">
        <v>197</v>
      </c>
      <c r="F8" s="17" t="s">
        <v>197</v>
      </c>
      <c r="G8" s="17" t="s">
        <v>197</v>
      </c>
      <c r="H8" s="162" t="s">
        <v>197</v>
      </c>
      <c r="I8" s="7" t="s">
        <v>197</v>
      </c>
    </row>
    <row r="9" spans="1:9" ht="12.95" customHeight="1">
      <c r="A9" s="29"/>
      <c r="B9" s="22" t="s">
        <v>196</v>
      </c>
      <c r="C9" s="60"/>
      <c r="D9" s="46"/>
      <c r="E9" s="17" t="s">
        <v>197</v>
      </c>
      <c r="F9" s="17" t="s">
        <v>197</v>
      </c>
      <c r="G9" s="17" t="s">
        <v>197</v>
      </c>
      <c r="H9" s="162" t="s">
        <v>197</v>
      </c>
      <c r="I9" s="7" t="s">
        <v>197</v>
      </c>
    </row>
    <row r="10" spans="1:9" ht="12.95" customHeight="1">
      <c r="A10" s="29"/>
      <c r="B10" s="160"/>
      <c r="C10" s="45"/>
      <c r="D10" s="46"/>
      <c r="E10" s="46"/>
      <c r="F10" s="47"/>
      <c r="G10" s="46"/>
      <c r="H10" s="135"/>
      <c r="I10" s="8"/>
    </row>
    <row r="11" spans="1:9" ht="12.95" customHeight="1">
      <c r="A11" s="27"/>
      <c r="B11" s="64" t="s">
        <v>241</v>
      </c>
      <c r="C11" s="16" t="s">
        <v>1</v>
      </c>
      <c r="D11" s="16" t="s">
        <v>1</v>
      </c>
      <c r="E11" s="16" t="s">
        <v>1</v>
      </c>
      <c r="F11" s="49" t="s">
        <v>1</v>
      </c>
      <c r="G11" s="50"/>
      <c r="H11" s="67" t="s">
        <v>1</v>
      </c>
      <c r="I11" s="39" t="s">
        <v>1</v>
      </c>
    </row>
    <row r="12" spans="1:9" ht="12.95" customHeight="1">
      <c r="A12" s="27"/>
      <c r="B12" s="64" t="s">
        <v>242</v>
      </c>
      <c r="C12" s="16" t="s">
        <v>1</v>
      </c>
      <c r="D12" s="16" t="s">
        <v>1</v>
      </c>
      <c r="E12" s="16" t="s">
        <v>1</v>
      </c>
      <c r="F12" s="49" t="s">
        <v>1</v>
      </c>
      <c r="G12" s="50"/>
      <c r="H12" s="67" t="s">
        <v>1</v>
      </c>
      <c r="I12" s="39" t="s">
        <v>1</v>
      </c>
    </row>
    <row r="13" spans="1:9" ht="12.95" customHeight="1">
      <c r="A13" s="29"/>
      <c r="B13" s="68" t="s">
        <v>373</v>
      </c>
      <c r="C13" s="16" t="s">
        <v>374</v>
      </c>
      <c r="D13" s="16" t="s">
        <v>245</v>
      </c>
      <c r="E13" s="52">
        <v>50000</v>
      </c>
      <c r="F13" s="53">
        <v>50.252899999999997</v>
      </c>
      <c r="G13" s="54">
        <v>50.25</v>
      </c>
      <c r="H13" s="69">
        <v>0.11274063623657182</v>
      </c>
      <c r="I13" s="2">
        <v>0.11269999999999999</v>
      </c>
    </row>
    <row r="14" spans="1:9" ht="12.95" customHeight="1">
      <c r="A14" s="27"/>
      <c r="B14" s="64" t="s">
        <v>31</v>
      </c>
      <c r="C14" s="16" t="s">
        <v>1</v>
      </c>
      <c r="D14" s="16" t="s">
        <v>1</v>
      </c>
      <c r="E14" s="16" t="s">
        <v>1</v>
      </c>
      <c r="F14" s="17">
        <v>50.252899999999997</v>
      </c>
      <c r="G14" s="56">
        <v>50.25</v>
      </c>
      <c r="H14" s="70">
        <v>0.11274063623657182</v>
      </c>
      <c r="I14" s="41">
        <v>0.11269999999999999</v>
      </c>
    </row>
    <row r="15" spans="1:9" ht="12.95" customHeight="1">
      <c r="A15" s="27"/>
      <c r="B15" s="64" t="s">
        <v>391</v>
      </c>
      <c r="C15" s="16" t="s">
        <v>1</v>
      </c>
      <c r="D15" s="16" t="s">
        <v>1</v>
      </c>
      <c r="E15" s="17" t="s">
        <v>197</v>
      </c>
      <c r="F15" s="17" t="s">
        <v>197</v>
      </c>
      <c r="G15" s="57" t="s">
        <v>197</v>
      </c>
      <c r="H15" s="70" t="s">
        <v>197</v>
      </c>
      <c r="I15" s="42" t="s">
        <v>197</v>
      </c>
    </row>
    <row r="16" spans="1:9" ht="12.95" customHeight="1">
      <c r="A16" s="27"/>
      <c r="B16" s="64" t="s">
        <v>392</v>
      </c>
      <c r="C16" s="16" t="s">
        <v>1</v>
      </c>
      <c r="D16" s="16" t="s">
        <v>1</v>
      </c>
      <c r="E16" s="17" t="s">
        <v>197</v>
      </c>
      <c r="F16" s="17" t="s">
        <v>197</v>
      </c>
      <c r="G16" s="57" t="s">
        <v>197</v>
      </c>
      <c r="H16" s="70" t="s">
        <v>197</v>
      </c>
      <c r="I16" s="42" t="s">
        <v>197</v>
      </c>
    </row>
    <row r="17" spans="1:9" ht="12.95" customHeight="1">
      <c r="A17" s="27"/>
      <c r="B17" s="64" t="s">
        <v>36</v>
      </c>
      <c r="C17" s="16" t="s">
        <v>1</v>
      </c>
      <c r="D17" s="16" t="s">
        <v>1</v>
      </c>
      <c r="E17" s="16" t="s">
        <v>1</v>
      </c>
      <c r="F17" s="17">
        <v>50.252899999999997</v>
      </c>
      <c r="G17" s="56">
        <v>50.25</v>
      </c>
      <c r="H17" s="70">
        <v>0.11274063623657182</v>
      </c>
      <c r="I17" s="41">
        <v>0.11269999999999999</v>
      </c>
    </row>
    <row r="18" spans="1:9" ht="12.95" customHeight="1">
      <c r="A18" s="27"/>
      <c r="B18" s="64"/>
      <c r="C18" s="16"/>
      <c r="D18" s="16"/>
      <c r="E18" s="16"/>
      <c r="F18" s="17"/>
      <c r="G18" s="56"/>
      <c r="H18" s="70"/>
      <c r="I18" s="100"/>
    </row>
    <row r="19" spans="1:9" ht="12.95" customHeight="1">
      <c r="A19" s="27"/>
      <c r="B19" s="64" t="s">
        <v>11</v>
      </c>
      <c r="C19" s="16" t="s">
        <v>1</v>
      </c>
      <c r="D19" s="16" t="s">
        <v>1</v>
      </c>
      <c r="E19" s="16" t="s">
        <v>1</v>
      </c>
      <c r="F19" s="49" t="s">
        <v>1</v>
      </c>
      <c r="G19" s="50"/>
      <c r="H19" s="67" t="s">
        <v>1</v>
      </c>
      <c r="I19" s="39" t="s">
        <v>1</v>
      </c>
    </row>
    <row r="20" spans="1:9" ht="12.95" customHeight="1">
      <c r="A20" s="27"/>
      <c r="B20" s="64" t="s">
        <v>12</v>
      </c>
      <c r="C20" s="16" t="s">
        <v>1</v>
      </c>
      <c r="D20" s="16" t="s">
        <v>1</v>
      </c>
      <c r="E20" s="16" t="s">
        <v>1</v>
      </c>
      <c r="F20" s="49" t="s">
        <v>1</v>
      </c>
      <c r="G20" s="50"/>
      <c r="H20" s="67" t="s">
        <v>1</v>
      </c>
      <c r="I20" s="39" t="s">
        <v>1</v>
      </c>
    </row>
    <row r="21" spans="1:9" ht="12.95" customHeight="1">
      <c r="A21" s="29"/>
      <c r="B21" s="68" t="s">
        <v>384</v>
      </c>
      <c r="C21" s="16" t="s">
        <v>385</v>
      </c>
      <c r="D21" s="16" t="s">
        <v>18</v>
      </c>
      <c r="E21" s="52">
        <v>140000</v>
      </c>
      <c r="F21" s="53">
        <v>132.05248</v>
      </c>
      <c r="G21" s="54">
        <v>132.05000000000001</v>
      </c>
      <c r="H21" s="69">
        <v>0.29625515366908528</v>
      </c>
      <c r="I21" s="2">
        <v>0.29630000000000001</v>
      </c>
    </row>
    <row r="22" spans="1:9" ht="12.95" customHeight="1">
      <c r="A22" s="29"/>
      <c r="B22" s="68" t="s">
        <v>378</v>
      </c>
      <c r="C22" s="16" t="s">
        <v>379</v>
      </c>
      <c r="D22" s="16" t="s">
        <v>18</v>
      </c>
      <c r="E22" s="52">
        <v>137000</v>
      </c>
      <c r="F22" s="53">
        <v>131.988677</v>
      </c>
      <c r="G22" s="54">
        <v>131.99</v>
      </c>
      <c r="H22" s="69">
        <v>0.29611201385399399</v>
      </c>
      <c r="I22" s="2">
        <v>0.29609999999999997</v>
      </c>
    </row>
    <row r="23" spans="1:9" ht="12.95" customHeight="1">
      <c r="A23" s="29"/>
      <c r="B23" s="68" t="s">
        <v>375</v>
      </c>
      <c r="C23" s="16" t="s">
        <v>376</v>
      </c>
      <c r="D23" s="16" t="s">
        <v>377</v>
      </c>
      <c r="E23" s="52">
        <v>50000</v>
      </c>
      <c r="F23" s="53">
        <v>48.132150000000003</v>
      </c>
      <c r="G23" s="54">
        <v>48.13</v>
      </c>
      <c r="H23" s="69">
        <v>0.10798280724961366</v>
      </c>
      <c r="I23" s="2">
        <v>0.108</v>
      </c>
    </row>
    <row r="24" spans="1:9" ht="12.95" customHeight="1">
      <c r="A24" s="27"/>
      <c r="B24" s="64" t="s">
        <v>31</v>
      </c>
      <c r="C24" s="16" t="s">
        <v>1</v>
      </c>
      <c r="D24" s="16" t="s">
        <v>1</v>
      </c>
      <c r="E24" s="16" t="s">
        <v>1</v>
      </c>
      <c r="F24" s="17">
        <v>312.17330700000002</v>
      </c>
      <c r="G24" s="56">
        <v>312.17</v>
      </c>
      <c r="H24" s="70">
        <v>0.7003499747726929</v>
      </c>
      <c r="I24" s="41">
        <v>0.70040000000000002</v>
      </c>
    </row>
    <row r="25" spans="1:9" ht="12.95" customHeight="1">
      <c r="A25" s="27"/>
      <c r="B25" s="64" t="s">
        <v>36</v>
      </c>
      <c r="C25" s="16" t="s">
        <v>1</v>
      </c>
      <c r="D25" s="16" t="s">
        <v>1</v>
      </c>
      <c r="E25" s="16" t="s">
        <v>1</v>
      </c>
      <c r="F25" s="17">
        <v>312.17330700000002</v>
      </c>
      <c r="G25" s="56">
        <v>312.17</v>
      </c>
      <c r="H25" s="70">
        <v>0.7003499747726929</v>
      </c>
      <c r="I25" s="41">
        <v>0.70040000000000002</v>
      </c>
    </row>
    <row r="26" spans="1:9" ht="12.95" customHeight="1">
      <c r="A26" s="27"/>
      <c r="B26" s="64"/>
      <c r="C26" s="16"/>
      <c r="D26" s="16"/>
      <c r="E26" s="16"/>
      <c r="F26" s="17"/>
      <c r="G26" s="56"/>
      <c r="H26" s="70"/>
      <c r="I26" s="100"/>
    </row>
    <row r="27" spans="1:9" ht="12.95" customHeight="1">
      <c r="A27" s="27"/>
      <c r="B27" s="64" t="s">
        <v>37</v>
      </c>
      <c r="C27" s="16" t="s">
        <v>1</v>
      </c>
      <c r="D27" s="16" t="s">
        <v>1</v>
      </c>
      <c r="E27" s="16" t="s">
        <v>1</v>
      </c>
      <c r="F27" s="49" t="s">
        <v>1</v>
      </c>
      <c r="G27" s="50"/>
      <c r="H27" s="67" t="s">
        <v>1</v>
      </c>
      <c r="I27" s="39" t="s">
        <v>1</v>
      </c>
    </row>
    <row r="28" spans="1:9" ht="12.95" customHeight="1">
      <c r="A28" s="29"/>
      <c r="B28" s="68" t="s">
        <v>38</v>
      </c>
      <c r="C28" s="16" t="s">
        <v>1</v>
      </c>
      <c r="D28" s="16" t="s">
        <v>39</v>
      </c>
      <c r="E28" s="52"/>
      <c r="F28" s="53">
        <v>79.541319999999999</v>
      </c>
      <c r="G28" s="54">
        <v>79.540000000000006</v>
      </c>
      <c r="H28" s="69">
        <v>0.17844818953526573</v>
      </c>
      <c r="I28" s="2">
        <v>0.1784</v>
      </c>
    </row>
    <row r="29" spans="1:9" ht="12.95" customHeight="1">
      <c r="A29" s="27"/>
      <c r="B29" s="64" t="s">
        <v>31</v>
      </c>
      <c r="C29" s="16" t="s">
        <v>1</v>
      </c>
      <c r="D29" s="16" t="s">
        <v>1</v>
      </c>
      <c r="E29" s="16" t="s">
        <v>1</v>
      </c>
      <c r="F29" s="17">
        <v>79.541319999999999</v>
      </c>
      <c r="G29" s="56">
        <v>79.540000000000006</v>
      </c>
      <c r="H29" s="70">
        <v>0.17844818953526573</v>
      </c>
      <c r="I29" s="41">
        <v>0.1784</v>
      </c>
    </row>
    <row r="30" spans="1:9" ht="12.95" customHeight="1">
      <c r="A30" s="27"/>
      <c r="B30" s="64"/>
      <c r="C30" s="16"/>
      <c r="D30" s="16"/>
      <c r="E30" s="16"/>
      <c r="F30" s="17"/>
      <c r="G30" s="56"/>
      <c r="H30" s="70"/>
      <c r="I30" s="41"/>
    </row>
    <row r="31" spans="1:9" ht="12.95" customHeight="1">
      <c r="A31" s="27"/>
      <c r="B31" s="64" t="s">
        <v>413</v>
      </c>
      <c r="C31" s="16"/>
      <c r="D31" s="16"/>
      <c r="E31" s="16"/>
      <c r="F31" s="17"/>
      <c r="G31" s="56"/>
      <c r="H31" s="70"/>
      <c r="I31" s="41"/>
    </row>
    <row r="32" spans="1:9" ht="12.95" customHeight="1">
      <c r="A32" s="27"/>
      <c r="B32" s="163" t="s">
        <v>40</v>
      </c>
      <c r="C32" s="16" t="s">
        <v>1</v>
      </c>
      <c r="D32" s="16" t="s">
        <v>1</v>
      </c>
      <c r="E32" s="16" t="s">
        <v>1</v>
      </c>
      <c r="F32" s="20">
        <v>3.7714867000000001</v>
      </c>
      <c r="G32" s="66">
        <v>3.78</v>
      </c>
      <c r="H32" s="71">
        <v>8.4611994554695414E-3</v>
      </c>
      <c r="I32" s="41">
        <v>8.5000000000000006E-3</v>
      </c>
    </row>
    <row r="33" spans="1:9" ht="12.95" customHeight="1">
      <c r="A33" s="27"/>
      <c r="B33" s="64" t="s">
        <v>31</v>
      </c>
      <c r="C33" s="16"/>
      <c r="D33" s="16"/>
      <c r="E33" s="16"/>
      <c r="F33" s="17">
        <v>3.7714867000000001</v>
      </c>
      <c r="G33" s="56">
        <v>3.78</v>
      </c>
      <c r="H33" s="70">
        <v>8.4611994554695414E-3</v>
      </c>
      <c r="I33" s="61"/>
    </row>
    <row r="34" spans="1:9" ht="12.95" customHeight="1" thickBot="1">
      <c r="A34" s="27"/>
      <c r="B34" s="65" t="s">
        <v>36</v>
      </c>
      <c r="C34" s="24"/>
      <c r="D34" s="24"/>
      <c r="E34" s="24"/>
      <c r="F34" s="25">
        <f>F29+F33</f>
        <v>83.312806699999996</v>
      </c>
      <c r="G34" s="25">
        <f t="shared" ref="G34:H34" si="0">G29+G33</f>
        <v>83.320000000000007</v>
      </c>
      <c r="H34" s="102">
        <f t="shared" si="0"/>
        <v>0.18690938899073528</v>
      </c>
      <c r="I34" s="61"/>
    </row>
    <row r="35" spans="1:9" ht="12.95" customHeight="1" thickBot="1">
      <c r="A35" s="27"/>
      <c r="B35" s="103" t="s">
        <v>41</v>
      </c>
      <c r="C35" s="104" t="s">
        <v>1</v>
      </c>
      <c r="D35" s="104" t="s">
        <v>1</v>
      </c>
      <c r="E35" s="104" t="s">
        <v>1</v>
      </c>
      <c r="F35" s="105">
        <v>445.73901369999999</v>
      </c>
      <c r="G35" s="106">
        <v>445.74</v>
      </c>
      <c r="H35" s="107">
        <v>1</v>
      </c>
      <c r="I35" s="44">
        <v>1</v>
      </c>
    </row>
    <row r="36" spans="1:9" s="30" customFormat="1" ht="12.95" customHeight="1">
      <c r="A36" s="27"/>
      <c r="B36" s="28" t="s">
        <v>1</v>
      </c>
      <c r="C36" s="27"/>
      <c r="D36" s="27"/>
      <c r="E36" s="27"/>
      <c r="F36" s="33"/>
      <c r="G36" s="27"/>
      <c r="H36" s="34"/>
      <c r="I36" s="27"/>
    </row>
    <row r="37" spans="1:9" s="30" customFormat="1" ht="12.95" customHeight="1">
      <c r="A37" s="27"/>
      <c r="B37" s="35" t="s">
        <v>39</v>
      </c>
      <c r="C37" s="27"/>
      <c r="D37" s="27"/>
      <c r="E37" s="27"/>
      <c r="F37" s="33"/>
      <c r="G37" s="27"/>
      <c r="H37" s="34"/>
      <c r="I37" s="27"/>
    </row>
    <row r="38" spans="1:9" s="30" customFormat="1" ht="12.95" customHeight="1">
      <c r="A38" s="27"/>
      <c r="B38" s="90" t="s">
        <v>42</v>
      </c>
      <c r="C38" s="91"/>
      <c r="D38" s="27"/>
      <c r="E38" s="27"/>
      <c r="F38" s="33"/>
      <c r="G38" s="27"/>
      <c r="H38" s="34"/>
      <c r="I38" s="27"/>
    </row>
    <row r="39" spans="1:9" s="30" customFormat="1" ht="12.95" customHeight="1">
      <c r="A39" s="27"/>
      <c r="B39" s="90" t="s">
        <v>43</v>
      </c>
      <c r="C39" s="91"/>
      <c r="D39" s="27"/>
      <c r="E39" s="27"/>
      <c r="F39" s="33"/>
      <c r="G39" s="27"/>
      <c r="H39" s="34"/>
      <c r="I39" s="27"/>
    </row>
    <row r="40" spans="1:9" s="30" customFormat="1" ht="12.95" customHeight="1" thickBot="1">
      <c r="A40" s="27"/>
      <c r="B40" s="90" t="s">
        <v>1</v>
      </c>
      <c r="C40" s="91"/>
      <c r="D40" s="27"/>
      <c r="E40" s="27"/>
      <c r="F40" s="33"/>
      <c r="G40" s="27"/>
      <c r="H40" s="34"/>
      <c r="I40" s="27"/>
    </row>
    <row r="41" spans="1:9" s="30" customFormat="1" ht="12.95" customHeight="1" thickBot="1">
      <c r="A41" s="27"/>
      <c r="B41" s="158" t="s">
        <v>411</v>
      </c>
      <c r="C41" s="159" t="s">
        <v>418</v>
      </c>
      <c r="D41" s="27"/>
      <c r="E41" s="27"/>
      <c r="F41" s="33"/>
      <c r="G41" s="27"/>
      <c r="H41" s="34"/>
      <c r="I41" s="27"/>
    </row>
    <row r="42" spans="1:9" s="30" customFormat="1">
      <c r="F42" s="36"/>
      <c r="H42" s="37"/>
    </row>
    <row r="43" spans="1:9" s="30" customFormat="1">
      <c r="F43" s="36"/>
      <c r="H43" s="37"/>
    </row>
    <row r="44" spans="1:9" s="30" customFormat="1">
      <c r="F44" s="36"/>
      <c r="H44" s="37"/>
    </row>
    <row r="45" spans="1:9" s="30" customFormat="1">
      <c r="F45" s="36"/>
      <c r="H45" s="37"/>
    </row>
    <row r="46" spans="1:9" s="30" customFormat="1">
      <c r="F46" s="36"/>
      <c r="H46" s="37"/>
    </row>
    <row r="47" spans="1:9" s="30" customFormat="1">
      <c r="F47" s="36"/>
      <c r="H47" s="37"/>
    </row>
    <row r="48" spans="1:9" s="30" customFormat="1">
      <c r="F48" s="36"/>
      <c r="H48" s="37"/>
    </row>
    <row r="49" spans="6:8" s="30" customFormat="1">
      <c r="F49" s="36"/>
      <c r="H49" s="37"/>
    </row>
    <row r="50" spans="6:8" s="30" customFormat="1">
      <c r="F50" s="36"/>
      <c r="H50" s="37"/>
    </row>
    <row r="51" spans="6:8" s="30" customFormat="1">
      <c r="F51" s="36"/>
      <c r="H51" s="37"/>
    </row>
    <row r="52" spans="6:8" s="30" customFormat="1">
      <c r="F52" s="36"/>
      <c r="H52" s="37"/>
    </row>
    <row r="53" spans="6:8" s="30" customFormat="1">
      <c r="F53" s="36"/>
      <c r="H53" s="37"/>
    </row>
    <row r="54" spans="6:8" s="30" customFormat="1">
      <c r="F54" s="36"/>
      <c r="H54" s="37"/>
    </row>
    <row r="55" spans="6:8" s="30" customFormat="1">
      <c r="F55" s="36"/>
      <c r="H55" s="37"/>
    </row>
    <row r="56" spans="6:8" s="30" customFormat="1">
      <c r="F56" s="36"/>
      <c r="H56" s="37"/>
    </row>
    <row r="57" spans="6:8" s="30" customFormat="1">
      <c r="F57" s="36"/>
      <c r="H57" s="37"/>
    </row>
    <row r="58" spans="6:8" s="30" customFormat="1">
      <c r="F58" s="36"/>
      <c r="H58" s="37"/>
    </row>
    <row r="59" spans="6:8" s="30" customFormat="1">
      <c r="F59" s="36"/>
      <c r="H59" s="37"/>
    </row>
    <row r="60" spans="6:8" s="30" customFormat="1">
      <c r="F60" s="36"/>
      <c r="H60" s="37"/>
    </row>
    <row r="61" spans="6:8" s="30" customFormat="1">
      <c r="F61" s="36"/>
      <c r="H61" s="37"/>
    </row>
    <row r="62" spans="6:8" s="30" customFormat="1">
      <c r="F62" s="36"/>
      <c r="H62" s="37"/>
    </row>
    <row r="63" spans="6:8" s="30" customFormat="1">
      <c r="F63" s="36"/>
      <c r="H63" s="37"/>
    </row>
    <row r="64" spans="6:8" s="30" customFormat="1">
      <c r="F64" s="36"/>
      <c r="H64" s="37"/>
    </row>
    <row r="65" spans="6:8" s="30" customFormat="1">
      <c r="F65" s="36"/>
      <c r="H65" s="37"/>
    </row>
    <row r="66" spans="6:8" s="30" customFormat="1">
      <c r="F66" s="36"/>
      <c r="H66" s="37"/>
    </row>
    <row r="67" spans="6:8" s="30" customFormat="1">
      <c r="F67" s="36"/>
      <c r="H67" s="37"/>
    </row>
    <row r="68" spans="6:8" s="30" customFormat="1">
      <c r="F68" s="36"/>
      <c r="H68" s="37"/>
    </row>
    <row r="69" spans="6:8" s="30" customFormat="1">
      <c r="F69" s="36"/>
      <c r="H69" s="37"/>
    </row>
    <row r="70" spans="6:8" s="30" customFormat="1">
      <c r="F70" s="36"/>
      <c r="H70" s="37"/>
    </row>
    <row r="71" spans="6:8" s="30" customFormat="1">
      <c r="F71" s="36"/>
      <c r="H71" s="37"/>
    </row>
    <row r="72" spans="6:8" s="30" customFormat="1">
      <c r="F72" s="36"/>
      <c r="H72" s="37"/>
    </row>
    <row r="73" spans="6:8" s="30" customFormat="1">
      <c r="F73" s="36"/>
      <c r="H73" s="37"/>
    </row>
    <row r="74" spans="6:8" s="30" customFormat="1">
      <c r="F74" s="36"/>
      <c r="H74" s="37"/>
    </row>
    <row r="75" spans="6:8" s="30" customFormat="1">
      <c r="F75" s="36"/>
      <c r="H75" s="37"/>
    </row>
    <row r="76" spans="6:8" s="30" customFormat="1">
      <c r="F76" s="36"/>
      <c r="H76" s="37"/>
    </row>
    <row r="77" spans="6:8" s="30" customFormat="1">
      <c r="F77" s="36"/>
      <c r="H77" s="37"/>
    </row>
    <row r="78" spans="6:8" s="30" customFormat="1">
      <c r="F78" s="36"/>
      <c r="H78" s="37"/>
    </row>
    <row r="79" spans="6:8" s="30" customFormat="1">
      <c r="F79" s="36"/>
      <c r="H79" s="37"/>
    </row>
    <row r="80" spans="6:8" s="30" customFormat="1">
      <c r="F80" s="36"/>
      <c r="H80" s="37"/>
    </row>
    <row r="81" spans="6:8" s="30" customFormat="1">
      <c r="F81" s="36"/>
      <c r="H81" s="37"/>
    </row>
    <row r="82" spans="6:8" s="30" customFormat="1">
      <c r="F82" s="36"/>
      <c r="H82" s="37"/>
    </row>
    <row r="83" spans="6:8" s="30" customFormat="1">
      <c r="F83" s="36"/>
      <c r="H83" s="37"/>
    </row>
    <row r="84" spans="6:8" s="30" customFormat="1">
      <c r="F84" s="36"/>
      <c r="H84" s="37"/>
    </row>
    <row r="85" spans="6:8" s="30" customFormat="1">
      <c r="F85" s="36"/>
      <c r="H85" s="37"/>
    </row>
    <row r="86" spans="6:8" s="30" customFormat="1">
      <c r="F86" s="36"/>
      <c r="H86" s="37"/>
    </row>
    <row r="87" spans="6:8" s="30" customFormat="1">
      <c r="F87" s="36"/>
      <c r="H87" s="37"/>
    </row>
    <row r="88" spans="6:8" s="30" customFormat="1">
      <c r="F88" s="36"/>
      <c r="H88" s="37"/>
    </row>
    <row r="89" spans="6:8" s="30" customFormat="1">
      <c r="F89" s="36"/>
      <c r="H89" s="37"/>
    </row>
    <row r="90" spans="6:8" s="30" customFormat="1">
      <c r="F90" s="36"/>
      <c r="H90" s="37"/>
    </row>
    <row r="91" spans="6:8" s="30" customFormat="1">
      <c r="F91" s="36"/>
      <c r="H91" s="37"/>
    </row>
    <row r="92" spans="6:8" s="30" customFormat="1">
      <c r="F92" s="36"/>
      <c r="H92" s="37"/>
    </row>
    <row r="93" spans="6:8" s="30" customFormat="1">
      <c r="F93" s="36"/>
      <c r="H93" s="37"/>
    </row>
    <row r="94" spans="6:8" s="30" customFormat="1">
      <c r="F94" s="36"/>
      <c r="H94" s="37"/>
    </row>
    <row r="95" spans="6:8" s="30" customFormat="1">
      <c r="F95" s="36"/>
      <c r="H95" s="37"/>
    </row>
    <row r="96" spans="6:8" s="30" customFormat="1">
      <c r="F96" s="36"/>
      <c r="H96" s="37"/>
    </row>
    <row r="97" spans="6:8" s="30" customFormat="1">
      <c r="F97" s="36"/>
      <c r="H97" s="37"/>
    </row>
    <row r="98" spans="6:8" s="30" customFormat="1">
      <c r="F98" s="36"/>
      <c r="H98" s="37"/>
    </row>
    <row r="99" spans="6:8" s="30" customFormat="1">
      <c r="F99" s="36"/>
      <c r="H99" s="37"/>
    </row>
    <row r="100" spans="6:8" s="30" customFormat="1">
      <c r="F100" s="36"/>
      <c r="H100" s="37"/>
    </row>
    <row r="101" spans="6:8" s="30" customFormat="1">
      <c r="F101" s="36"/>
      <c r="H101" s="37"/>
    </row>
    <row r="102" spans="6:8" s="30" customFormat="1">
      <c r="F102" s="36"/>
      <c r="H102" s="37"/>
    </row>
    <row r="103" spans="6:8" s="30" customFormat="1">
      <c r="F103" s="36"/>
      <c r="H103" s="37"/>
    </row>
    <row r="104" spans="6:8" s="30" customFormat="1">
      <c r="F104" s="36"/>
      <c r="H104" s="37"/>
    </row>
    <row r="105" spans="6:8" s="30" customFormat="1">
      <c r="F105" s="36"/>
      <c r="H105" s="37"/>
    </row>
    <row r="106" spans="6:8" s="30" customFormat="1">
      <c r="F106" s="36"/>
      <c r="H106" s="37"/>
    </row>
    <row r="107" spans="6:8" s="30" customFormat="1">
      <c r="F107" s="36"/>
      <c r="H107" s="37"/>
    </row>
    <row r="108" spans="6:8" s="30" customFormat="1">
      <c r="F108" s="36"/>
      <c r="H108" s="37"/>
    </row>
    <row r="109" spans="6:8" s="30" customFormat="1">
      <c r="F109" s="36"/>
      <c r="H109" s="37"/>
    </row>
    <row r="110" spans="6:8" s="30" customFormat="1">
      <c r="F110" s="36"/>
      <c r="H110" s="37"/>
    </row>
    <row r="111" spans="6:8" s="30" customFormat="1">
      <c r="F111" s="36"/>
      <c r="H111" s="37"/>
    </row>
    <row r="112" spans="6:8" s="30" customFormat="1">
      <c r="F112" s="36"/>
      <c r="H112" s="37"/>
    </row>
    <row r="113" spans="6:8" s="30" customFormat="1">
      <c r="F113" s="36"/>
      <c r="H113" s="37"/>
    </row>
    <row r="114" spans="6:8" s="30" customFormat="1">
      <c r="F114" s="36"/>
      <c r="H114" s="37"/>
    </row>
    <row r="115" spans="6:8" s="30" customFormat="1">
      <c r="F115" s="36"/>
      <c r="H115" s="37"/>
    </row>
    <row r="116" spans="6:8" s="30" customFormat="1">
      <c r="F116" s="36"/>
      <c r="H116" s="37"/>
    </row>
    <row r="117" spans="6:8" s="30" customFormat="1">
      <c r="F117" s="36"/>
      <c r="H117" s="37"/>
    </row>
    <row r="118" spans="6:8" s="30" customFormat="1">
      <c r="F118" s="36"/>
      <c r="H118" s="37"/>
    </row>
    <row r="119" spans="6:8" s="30" customFormat="1">
      <c r="F119" s="36"/>
      <c r="H119" s="37"/>
    </row>
    <row r="120" spans="6:8" s="30" customFormat="1">
      <c r="F120" s="36"/>
      <c r="H120" s="37"/>
    </row>
    <row r="121" spans="6:8" s="30" customFormat="1">
      <c r="F121" s="36"/>
      <c r="H121" s="37"/>
    </row>
    <row r="122" spans="6:8" s="30" customFormat="1">
      <c r="F122" s="36"/>
      <c r="H122" s="37"/>
    </row>
    <row r="123" spans="6:8" s="30" customFormat="1">
      <c r="F123" s="36"/>
      <c r="H123" s="37"/>
    </row>
    <row r="124" spans="6:8" s="30" customFormat="1">
      <c r="F124" s="36"/>
      <c r="H124" s="37"/>
    </row>
    <row r="125" spans="6:8" s="30" customFormat="1">
      <c r="F125" s="36"/>
      <c r="H125" s="37"/>
    </row>
    <row r="126" spans="6:8" s="30" customFormat="1">
      <c r="F126" s="36"/>
      <c r="H126" s="37"/>
    </row>
    <row r="127" spans="6:8" s="30" customFormat="1">
      <c r="F127" s="36"/>
      <c r="H127" s="37"/>
    </row>
    <row r="128" spans="6:8" s="30" customFormat="1">
      <c r="F128" s="36"/>
      <c r="H128" s="37"/>
    </row>
    <row r="129" spans="6:8" s="30" customFormat="1">
      <c r="F129" s="36"/>
      <c r="H129" s="37"/>
    </row>
    <row r="130" spans="6:8" s="30" customFormat="1">
      <c r="F130" s="36"/>
      <c r="H130" s="37"/>
    </row>
    <row r="131" spans="6:8" s="30" customFormat="1">
      <c r="F131" s="36"/>
      <c r="H131" s="37"/>
    </row>
    <row r="132" spans="6:8" s="30" customFormat="1">
      <c r="F132" s="36"/>
      <c r="H132" s="37"/>
    </row>
    <row r="133" spans="6:8" s="30" customFormat="1">
      <c r="F133" s="36"/>
      <c r="H133" s="37"/>
    </row>
    <row r="134" spans="6:8" s="30" customFormat="1">
      <c r="F134" s="36"/>
      <c r="H134" s="37"/>
    </row>
    <row r="135" spans="6:8" s="30" customFormat="1">
      <c r="F135" s="36"/>
      <c r="H135" s="37"/>
    </row>
    <row r="136" spans="6:8" s="30" customFormat="1">
      <c r="F136" s="36"/>
      <c r="H136" s="37"/>
    </row>
    <row r="137" spans="6:8" s="30" customFormat="1">
      <c r="F137" s="36"/>
      <c r="H137" s="37"/>
    </row>
    <row r="138" spans="6:8" s="30" customFormat="1">
      <c r="F138" s="36"/>
      <c r="H138" s="37"/>
    </row>
    <row r="139" spans="6:8" s="30" customFormat="1">
      <c r="F139" s="36"/>
      <c r="H139" s="37"/>
    </row>
    <row r="140" spans="6:8" s="30" customFormat="1">
      <c r="F140" s="36"/>
      <c r="H140" s="37"/>
    </row>
    <row r="141" spans="6:8" s="30" customFormat="1">
      <c r="F141" s="36"/>
      <c r="H141" s="37"/>
    </row>
    <row r="142" spans="6:8" s="30" customFormat="1">
      <c r="F142" s="36"/>
      <c r="H142" s="37"/>
    </row>
    <row r="143" spans="6:8" s="30" customFormat="1">
      <c r="F143" s="36"/>
      <c r="H143" s="37"/>
    </row>
    <row r="144" spans="6:8" s="30" customFormat="1">
      <c r="F144" s="36"/>
      <c r="H144" s="37"/>
    </row>
    <row r="145" spans="6:8" s="30" customFormat="1">
      <c r="F145" s="36"/>
      <c r="H145" s="37"/>
    </row>
    <row r="146" spans="6:8" s="30" customFormat="1">
      <c r="F146" s="36"/>
      <c r="H146" s="37"/>
    </row>
    <row r="147" spans="6:8" s="30" customFormat="1">
      <c r="F147" s="36"/>
      <c r="H147" s="37"/>
    </row>
    <row r="148" spans="6:8" s="30" customFormat="1">
      <c r="F148" s="36"/>
      <c r="H148" s="37"/>
    </row>
    <row r="149" spans="6:8" s="30" customFormat="1">
      <c r="F149" s="36"/>
      <c r="H149" s="37"/>
    </row>
    <row r="150" spans="6:8" s="30" customFormat="1">
      <c r="F150" s="36"/>
      <c r="H150" s="37"/>
    </row>
    <row r="151" spans="6:8" s="30" customFormat="1">
      <c r="F151" s="36"/>
      <c r="H151" s="37"/>
    </row>
    <row r="152" spans="6:8" s="30" customFormat="1">
      <c r="F152" s="36"/>
      <c r="H152" s="37"/>
    </row>
    <row r="153" spans="6:8" s="30" customFormat="1">
      <c r="F153" s="36"/>
      <c r="H153" s="37"/>
    </row>
    <row r="154" spans="6:8" s="30" customFormat="1">
      <c r="F154" s="36"/>
      <c r="H154" s="37"/>
    </row>
    <row r="155" spans="6:8" s="30" customFormat="1">
      <c r="F155" s="36"/>
      <c r="H155" s="37"/>
    </row>
    <row r="156" spans="6:8" s="30" customFormat="1">
      <c r="F156" s="36"/>
      <c r="H156" s="37"/>
    </row>
    <row r="157" spans="6:8" s="30" customFormat="1">
      <c r="F157" s="36"/>
      <c r="H157" s="37"/>
    </row>
    <row r="158" spans="6:8" s="30" customFormat="1">
      <c r="F158" s="36"/>
      <c r="H158" s="37"/>
    </row>
    <row r="159" spans="6:8" s="30" customFormat="1">
      <c r="F159" s="36"/>
      <c r="H159" s="37"/>
    </row>
    <row r="160" spans="6:8" s="30" customFormat="1">
      <c r="F160" s="36"/>
      <c r="H160" s="37"/>
    </row>
    <row r="161" spans="6:8" s="30" customFormat="1">
      <c r="F161" s="36"/>
      <c r="H161" s="37"/>
    </row>
    <row r="162" spans="6:8" s="30" customFormat="1">
      <c r="F162" s="36"/>
      <c r="H162" s="37"/>
    </row>
    <row r="163" spans="6:8" s="30" customFormat="1">
      <c r="F163" s="36"/>
      <c r="H163" s="37"/>
    </row>
    <row r="164" spans="6:8" s="30" customFormat="1">
      <c r="F164" s="36"/>
      <c r="H164" s="37"/>
    </row>
    <row r="165" spans="6:8" s="30" customFormat="1">
      <c r="F165" s="36"/>
      <c r="H165" s="37"/>
    </row>
    <row r="166" spans="6:8" s="30" customFormat="1">
      <c r="F166" s="36"/>
      <c r="H166" s="37"/>
    </row>
    <row r="167" spans="6:8" s="30" customFormat="1">
      <c r="F167" s="36"/>
      <c r="H167" s="37"/>
    </row>
    <row r="168" spans="6:8" s="30" customFormat="1">
      <c r="F168" s="36"/>
      <c r="H168" s="37"/>
    </row>
    <row r="169" spans="6:8" s="30" customFormat="1">
      <c r="F169" s="36"/>
      <c r="H169" s="37"/>
    </row>
    <row r="170" spans="6:8" s="30" customFormat="1">
      <c r="F170" s="36"/>
      <c r="H170" s="37"/>
    </row>
    <row r="171" spans="6:8" s="30" customFormat="1">
      <c r="F171" s="36"/>
      <c r="H171" s="37"/>
    </row>
    <row r="172" spans="6:8" s="30" customFormat="1">
      <c r="F172" s="36"/>
      <c r="H172" s="37"/>
    </row>
    <row r="173" spans="6:8" s="30" customFormat="1">
      <c r="F173" s="36"/>
      <c r="H173" s="37"/>
    </row>
    <row r="174" spans="6:8" s="30" customFormat="1">
      <c r="F174" s="36"/>
      <c r="H174" s="37"/>
    </row>
    <row r="175" spans="6:8" s="30" customFormat="1">
      <c r="F175" s="36"/>
      <c r="H175" s="37"/>
    </row>
    <row r="176" spans="6:8" s="30" customFormat="1">
      <c r="F176" s="36"/>
      <c r="H176" s="37"/>
    </row>
    <row r="177" spans="6:8" s="30" customFormat="1">
      <c r="F177" s="36"/>
      <c r="H177" s="37"/>
    </row>
    <row r="178" spans="6:8" s="30" customFormat="1">
      <c r="F178" s="36"/>
      <c r="H178" s="37"/>
    </row>
    <row r="179" spans="6:8" s="30" customFormat="1">
      <c r="F179" s="36"/>
      <c r="H179" s="37"/>
    </row>
    <row r="180" spans="6:8" s="30" customFormat="1">
      <c r="F180" s="36"/>
      <c r="H180" s="37"/>
    </row>
    <row r="181" spans="6:8" s="30" customFormat="1">
      <c r="F181" s="36"/>
      <c r="H181" s="37"/>
    </row>
    <row r="182" spans="6:8" s="30" customFormat="1">
      <c r="F182" s="36"/>
      <c r="H182" s="37"/>
    </row>
    <row r="183" spans="6:8" s="30" customFormat="1">
      <c r="F183" s="36"/>
      <c r="H183" s="37"/>
    </row>
    <row r="184" spans="6:8" s="30" customFormat="1">
      <c r="F184" s="36"/>
      <c r="H184" s="37"/>
    </row>
    <row r="185" spans="6:8" s="30" customFormat="1">
      <c r="F185" s="36"/>
      <c r="H185" s="37"/>
    </row>
    <row r="186" spans="6:8" s="30" customFormat="1">
      <c r="F186" s="36"/>
      <c r="H186" s="37"/>
    </row>
    <row r="187" spans="6:8" s="30" customFormat="1">
      <c r="F187" s="36"/>
      <c r="H187" s="37"/>
    </row>
    <row r="188" spans="6:8" s="30" customFormat="1">
      <c r="F188" s="36"/>
      <c r="H188" s="37"/>
    </row>
    <row r="189" spans="6:8" s="30" customFormat="1">
      <c r="F189" s="36"/>
      <c r="H189" s="37"/>
    </row>
    <row r="190" spans="6:8" s="30" customFormat="1">
      <c r="F190" s="36"/>
      <c r="H190" s="37"/>
    </row>
    <row r="191" spans="6:8" s="30" customFormat="1">
      <c r="F191" s="36"/>
      <c r="H191" s="37"/>
    </row>
    <row r="192" spans="6:8" s="30" customFormat="1">
      <c r="F192" s="36"/>
      <c r="H192" s="37"/>
    </row>
    <row r="193" spans="6:8" s="30" customFormat="1">
      <c r="F193" s="36"/>
      <c r="H193" s="37"/>
    </row>
    <row r="194" spans="6:8" s="30" customFormat="1">
      <c r="F194" s="36"/>
      <c r="H194" s="37"/>
    </row>
    <row r="195" spans="6:8" s="30" customFormat="1">
      <c r="F195" s="36"/>
      <c r="H195" s="37"/>
    </row>
    <row r="196" spans="6:8" s="30" customFormat="1">
      <c r="F196" s="36"/>
      <c r="H196" s="37"/>
    </row>
    <row r="197" spans="6:8" s="30" customFormat="1">
      <c r="F197" s="36"/>
      <c r="H197" s="37"/>
    </row>
    <row r="198" spans="6:8" s="30" customFormat="1">
      <c r="F198" s="36"/>
      <c r="H198" s="37"/>
    </row>
    <row r="199" spans="6:8" s="30" customFormat="1">
      <c r="F199" s="36"/>
      <c r="H199" s="37"/>
    </row>
    <row r="200" spans="6:8" s="30" customFormat="1">
      <c r="F200" s="36"/>
      <c r="H200" s="37"/>
    </row>
    <row r="201" spans="6:8" s="30" customFormat="1">
      <c r="F201" s="36"/>
      <c r="H201" s="37"/>
    </row>
    <row r="202" spans="6:8" s="30" customFormat="1">
      <c r="F202" s="36"/>
      <c r="H202" s="37"/>
    </row>
    <row r="203" spans="6:8" s="30" customFormat="1">
      <c r="F203" s="36"/>
      <c r="H203" s="37"/>
    </row>
    <row r="204" spans="6:8" s="30" customFormat="1">
      <c r="F204" s="36"/>
      <c r="H204" s="37"/>
    </row>
    <row r="205" spans="6:8" s="30" customFormat="1">
      <c r="F205" s="36"/>
      <c r="H205" s="37"/>
    </row>
    <row r="206" spans="6:8" s="30" customFormat="1">
      <c r="F206" s="36"/>
      <c r="H206" s="37"/>
    </row>
    <row r="207" spans="6:8" s="30" customFormat="1">
      <c r="F207" s="36"/>
      <c r="H207" s="37"/>
    </row>
    <row r="208" spans="6:8" s="30" customFormat="1">
      <c r="F208" s="36"/>
      <c r="H208" s="37"/>
    </row>
    <row r="209" spans="6:8" s="30" customFormat="1">
      <c r="F209" s="36"/>
      <c r="H209" s="37"/>
    </row>
    <row r="210" spans="6:8" s="30" customFormat="1">
      <c r="F210" s="36"/>
      <c r="H210" s="37"/>
    </row>
    <row r="211" spans="6:8" s="30" customFormat="1">
      <c r="F211" s="36"/>
      <c r="H211" s="37"/>
    </row>
    <row r="212" spans="6:8" s="30" customFormat="1">
      <c r="F212" s="36"/>
      <c r="H212" s="37"/>
    </row>
    <row r="213" spans="6:8" s="30" customFormat="1">
      <c r="F213" s="36"/>
      <c r="H213" s="37"/>
    </row>
    <row r="214" spans="6:8" s="30" customFormat="1">
      <c r="F214" s="36"/>
      <c r="H214" s="37"/>
    </row>
    <row r="215" spans="6:8" s="30" customFormat="1">
      <c r="F215" s="36"/>
      <c r="H215" s="37"/>
    </row>
    <row r="216" spans="6:8" s="30" customFormat="1">
      <c r="F216" s="36"/>
      <c r="H216" s="37"/>
    </row>
    <row r="217" spans="6:8" s="30" customFormat="1">
      <c r="F217" s="36"/>
      <c r="H217" s="37"/>
    </row>
    <row r="218" spans="6:8" s="30" customFormat="1">
      <c r="F218" s="36"/>
      <c r="H218" s="37"/>
    </row>
    <row r="219" spans="6:8" s="30" customFormat="1">
      <c r="F219" s="36"/>
      <c r="H219" s="37"/>
    </row>
    <row r="220" spans="6:8" s="30" customFormat="1">
      <c r="F220" s="36"/>
      <c r="H220" s="37"/>
    </row>
    <row r="221" spans="6:8" s="30" customFormat="1">
      <c r="F221" s="36"/>
      <c r="H221" s="37"/>
    </row>
    <row r="222" spans="6:8" s="30" customFormat="1">
      <c r="F222" s="36"/>
      <c r="H222" s="37"/>
    </row>
    <row r="223" spans="6:8" s="30" customFormat="1">
      <c r="F223" s="36"/>
      <c r="H223" s="37"/>
    </row>
    <row r="224" spans="6:8" s="30" customFormat="1">
      <c r="F224" s="36"/>
      <c r="H224" s="37"/>
    </row>
    <row r="225" spans="6:8" s="30" customFormat="1">
      <c r="F225" s="36"/>
      <c r="H225" s="37"/>
    </row>
    <row r="226" spans="6:8" s="30" customFormat="1">
      <c r="F226" s="36"/>
      <c r="H226" s="37"/>
    </row>
    <row r="227" spans="6:8" s="30" customFormat="1">
      <c r="F227" s="36"/>
      <c r="H227" s="37"/>
    </row>
    <row r="228" spans="6:8" s="30" customFormat="1">
      <c r="F228" s="36"/>
      <c r="H228" s="37"/>
    </row>
    <row r="229" spans="6:8" s="30" customFormat="1">
      <c r="F229" s="36"/>
      <c r="H229" s="37"/>
    </row>
    <row r="230" spans="6:8" s="30" customFormat="1">
      <c r="F230" s="36"/>
      <c r="H230" s="37"/>
    </row>
    <row r="231" spans="6:8" s="30" customFormat="1">
      <c r="F231" s="36"/>
      <c r="H231" s="37"/>
    </row>
    <row r="232" spans="6:8" s="30" customFormat="1">
      <c r="F232" s="36"/>
      <c r="H232" s="37"/>
    </row>
    <row r="233" spans="6:8" s="30" customFormat="1">
      <c r="F233" s="36"/>
      <c r="H233" s="37"/>
    </row>
    <row r="234" spans="6:8" s="30" customFormat="1">
      <c r="F234" s="36"/>
      <c r="H234" s="37"/>
    </row>
    <row r="235" spans="6:8" s="30" customFormat="1">
      <c r="F235" s="36"/>
      <c r="H235" s="37"/>
    </row>
    <row r="236" spans="6:8" s="30" customFormat="1">
      <c r="F236" s="36"/>
      <c r="H236" s="37"/>
    </row>
    <row r="237" spans="6:8" s="30" customFormat="1">
      <c r="F237" s="36"/>
      <c r="H237" s="37"/>
    </row>
    <row r="238" spans="6:8" s="30" customFormat="1">
      <c r="F238" s="36"/>
      <c r="H238" s="37"/>
    </row>
    <row r="239" spans="6:8" s="30" customFormat="1">
      <c r="F239" s="36"/>
      <c r="H239" s="37"/>
    </row>
    <row r="240" spans="6:8" s="30" customFormat="1">
      <c r="F240" s="36"/>
      <c r="H240" s="37"/>
    </row>
    <row r="241" spans="6:8" s="30" customFormat="1">
      <c r="F241" s="36"/>
      <c r="H241" s="37"/>
    </row>
    <row r="242" spans="6:8" s="30" customFormat="1">
      <c r="F242" s="36"/>
      <c r="H242" s="37"/>
    </row>
    <row r="243" spans="6:8" s="30" customFormat="1">
      <c r="F243" s="36"/>
      <c r="H243" s="37"/>
    </row>
    <row r="244" spans="6:8" s="30" customFormat="1">
      <c r="F244" s="36"/>
      <c r="H244" s="37"/>
    </row>
    <row r="245" spans="6:8" s="30" customFormat="1">
      <c r="F245" s="36"/>
      <c r="H245" s="37"/>
    </row>
    <row r="246" spans="6:8" s="30" customFormat="1">
      <c r="F246" s="36"/>
      <c r="H246" s="37"/>
    </row>
    <row r="247" spans="6:8" s="30" customFormat="1">
      <c r="F247" s="36"/>
      <c r="H247" s="37"/>
    </row>
    <row r="248" spans="6:8" s="30" customFormat="1">
      <c r="F248" s="36"/>
      <c r="H248" s="37"/>
    </row>
    <row r="249" spans="6:8" s="30" customFormat="1">
      <c r="F249" s="36"/>
      <c r="H249" s="37"/>
    </row>
    <row r="250" spans="6:8" s="30" customFormat="1">
      <c r="F250" s="36"/>
      <c r="H250" s="37"/>
    </row>
    <row r="251" spans="6:8" s="30" customFormat="1">
      <c r="F251" s="36"/>
      <c r="H251" s="37"/>
    </row>
    <row r="252" spans="6:8" s="30" customFormat="1">
      <c r="F252" s="36"/>
      <c r="H252" s="37"/>
    </row>
    <row r="253" spans="6:8" s="30" customFormat="1">
      <c r="F253" s="36"/>
      <c r="H253" s="37"/>
    </row>
    <row r="254" spans="6:8" s="30" customFormat="1">
      <c r="F254" s="36"/>
      <c r="H254" s="37"/>
    </row>
    <row r="255" spans="6:8" s="30" customFormat="1">
      <c r="F255" s="36"/>
      <c r="H255" s="37"/>
    </row>
    <row r="256" spans="6:8" s="30" customFormat="1">
      <c r="F256" s="36"/>
      <c r="H256" s="37"/>
    </row>
    <row r="257" spans="6:8" s="30" customFormat="1">
      <c r="F257" s="36"/>
      <c r="H257" s="37"/>
    </row>
    <row r="258" spans="6:8" s="30" customFormat="1">
      <c r="F258" s="36"/>
      <c r="H258" s="37"/>
    </row>
    <row r="259" spans="6:8" s="30" customFormat="1">
      <c r="F259" s="36"/>
      <c r="H259" s="37"/>
    </row>
    <row r="260" spans="6:8" s="30" customFormat="1">
      <c r="F260" s="36"/>
      <c r="H260" s="37"/>
    </row>
    <row r="261" spans="6:8" s="30" customFormat="1">
      <c r="F261" s="36"/>
      <c r="H261" s="37"/>
    </row>
    <row r="262" spans="6:8" s="30" customFormat="1">
      <c r="F262" s="36"/>
      <c r="H262" s="37"/>
    </row>
    <row r="263" spans="6:8" s="30" customFormat="1">
      <c r="F263" s="36"/>
      <c r="H263" s="37"/>
    </row>
    <row r="264" spans="6:8" s="30" customFormat="1">
      <c r="F264" s="36"/>
      <c r="H264" s="37"/>
    </row>
    <row r="265" spans="6:8" s="30" customFormat="1">
      <c r="F265" s="36"/>
      <c r="H265" s="37"/>
    </row>
    <row r="266" spans="6:8" s="30" customFormat="1">
      <c r="F266" s="36"/>
      <c r="H266" s="37"/>
    </row>
    <row r="267" spans="6:8" s="30" customFormat="1">
      <c r="F267" s="36"/>
      <c r="H267" s="37"/>
    </row>
    <row r="268" spans="6:8" s="30" customFormat="1">
      <c r="F268" s="36"/>
      <c r="H268" s="37"/>
    </row>
    <row r="269" spans="6:8" s="30" customFormat="1">
      <c r="F269" s="36"/>
      <c r="H269" s="37"/>
    </row>
    <row r="270" spans="6:8" s="30" customFormat="1">
      <c r="F270" s="36"/>
      <c r="H270" s="37"/>
    </row>
    <row r="271" spans="6:8" s="30" customFormat="1">
      <c r="F271" s="36"/>
      <c r="H271" s="37"/>
    </row>
    <row r="272" spans="6:8" s="30" customFormat="1">
      <c r="F272" s="36"/>
      <c r="H272" s="37"/>
    </row>
    <row r="273" spans="6:8" s="30" customFormat="1">
      <c r="F273" s="36"/>
      <c r="H273" s="37"/>
    </row>
    <row r="274" spans="6:8" s="30" customFormat="1">
      <c r="F274" s="36"/>
      <c r="H274" s="37"/>
    </row>
    <row r="275" spans="6:8" s="30" customFormat="1">
      <c r="F275" s="36"/>
      <c r="H275" s="37"/>
    </row>
    <row r="276" spans="6:8" s="30" customFormat="1">
      <c r="F276" s="36"/>
      <c r="H276" s="37"/>
    </row>
    <row r="277" spans="6:8" s="30" customFormat="1">
      <c r="F277" s="36"/>
      <c r="H277" s="37"/>
    </row>
    <row r="278" spans="6:8" s="30" customFormat="1">
      <c r="F278" s="36"/>
      <c r="H278" s="37"/>
    </row>
    <row r="279" spans="6:8" s="30" customFormat="1">
      <c r="F279" s="36"/>
      <c r="H279" s="37"/>
    </row>
    <row r="280" spans="6:8" s="30" customFormat="1">
      <c r="F280" s="36"/>
      <c r="H280" s="37"/>
    </row>
    <row r="281" spans="6:8" s="30" customFormat="1">
      <c r="F281" s="36"/>
      <c r="H281" s="37"/>
    </row>
    <row r="282" spans="6:8" s="30" customFormat="1">
      <c r="F282" s="36"/>
      <c r="H282" s="37"/>
    </row>
    <row r="283" spans="6:8" s="30" customFormat="1">
      <c r="F283" s="36"/>
      <c r="H283" s="37"/>
    </row>
    <row r="284" spans="6:8" s="30" customFormat="1">
      <c r="F284" s="36"/>
      <c r="H284" s="37"/>
    </row>
    <row r="285" spans="6:8" s="30" customFormat="1">
      <c r="F285" s="36"/>
      <c r="H285" s="37"/>
    </row>
    <row r="286" spans="6:8" s="30" customFormat="1">
      <c r="F286" s="36"/>
      <c r="H286" s="37"/>
    </row>
    <row r="287" spans="6:8" s="30" customFormat="1">
      <c r="F287" s="36"/>
      <c r="H287" s="37"/>
    </row>
    <row r="288" spans="6:8" s="30" customFormat="1">
      <c r="F288" s="36"/>
      <c r="H288" s="37"/>
    </row>
    <row r="289" spans="6:8" s="30" customFormat="1">
      <c r="F289" s="36"/>
      <c r="H289" s="37"/>
    </row>
    <row r="290" spans="6:8" s="30" customFormat="1">
      <c r="F290" s="36"/>
      <c r="H290" s="37"/>
    </row>
    <row r="291" spans="6:8" s="30" customFormat="1">
      <c r="F291" s="36"/>
      <c r="H291" s="37"/>
    </row>
    <row r="292" spans="6:8" s="30" customFormat="1">
      <c r="F292" s="36"/>
      <c r="H292" s="37"/>
    </row>
    <row r="293" spans="6:8" s="30" customFormat="1">
      <c r="F293" s="36"/>
      <c r="H293" s="37"/>
    </row>
    <row r="294" spans="6:8" s="30" customFormat="1">
      <c r="F294" s="36"/>
      <c r="H294" s="37"/>
    </row>
    <row r="295" spans="6:8" s="30" customFormat="1">
      <c r="F295" s="36"/>
      <c r="H295" s="37"/>
    </row>
    <row r="296" spans="6:8" s="30" customFormat="1">
      <c r="F296" s="36"/>
      <c r="H296" s="37"/>
    </row>
    <row r="297" spans="6:8" s="30" customFormat="1">
      <c r="F297" s="36"/>
      <c r="H297" s="37"/>
    </row>
    <row r="298" spans="6:8" s="30" customFormat="1">
      <c r="F298" s="36"/>
      <c r="H298" s="37"/>
    </row>
    <row r="299" spans="6:8" s="30" customFormat="1">
      <c r="F299" s="36"/>
      <c r="H299" s="37"/>
    </row>
    <row r="300" spans="6:8" s="30" customFormat="1">
      <c r="F300" s="36"/>
      <c r="H300" s="37"/>
    </row>
    <row r="301" spans="6:8" s="30" customFormat="1">
      <c r="F301" s="36"/>
      <c r="H301" s="37"/>
    </row>
    <row r="302" spans="6:8" s="30" customFormat="1">
      <c r="F302" s="36"/>
      <c r="H302" s="37"/>
    </row>
    <row r="303" spans="6:8" s="30" customFormat="1">
      <c r="F303" s="36"/>
      <c r="H303" s="37"/>
    </row>
    <row r="304" spans="6:8" s="30" customFormat="1">
      <c r="F304" s="36"/>
      <c r="H304" s="37"/>
    </row>
    <row r="305" spans="6:8" s="30" customFormat="1">
      <c r="F305" s="36"/>
      <c r="H305" s="37"/>
    </row>
    <row r="306" spans="6:8" s="30" customFormat="1">
      <c r="F306" s="36"/>
      <c r="H306" s="37"/>
    </row>
    <row r="307" spans="6:8" s="30" customFormat="1">
      <c r="F307" s="36"/>
      <c r="H307" s="37"/>
    </row>
    <row r="308" spans="6:8" s="30" customFormat="1">
      <c r="F308" s="36"/>
      <c r="H308" s="37"/>
    </row>
    <row r="309" spans="6:8" s="30" customFormat="1">
      <c r="F309" s="36"/>
      <c r="H309" s="37"/>
    </row>
    <row r="310" spans="6:8" s="30" customFormat="1">
      <c r="F310" s="36"/>
      <c r="H310" s="37"/>
    </row>
    <row r="311" spans="6:8" s="30" customFormat="1">
      <c r="F311" s="36"/>
      <c r="H311" s="37"/>
    </row>
    <row r="312" spans="6:8" s="30" customFormat="1">
      <c r="F312" s="36"/>
      <c r="H312" s="37"/>
    </row>
    <row r="313" spans="6:8" s="30" customFormat="1">
      <c r="F313" s="36"/>
      <c r="H313" s="37"/>
    </row>
    <row r="314" spans="6:8" s="30" customFormat="1">
      <c r="F314" s="36"/>
      <c r="H314" s="37"/>
    </row>
    <row r="315" spans="6:8" s="30" customFormat="1">
      <c r="F315" s="36"/>
      <c r="H315" s="37"/>
    </row>
    <row r="316" spans="6:8" s="30" customFormat="1">
      <c r="F316" s="36"/>
      <c r="H316" s="37"/>
    </row>
    <row r="317" spans="6:8" s="30" customFormat="1">
      <c r="F317" s="36"/>
      <c r="H317" s="37"/>
    </row>
    <row r="318" spans="6:8" s="30" customFormat="1">
      <c r="F318" s="36"/>
      <c r="H318" s="37"/>
    </row>
    <row r="319" spans="6:8" s="30" customFormat="1">
      <c r="F319" s="36"/>
      <c r="H319" s="37"/>
    </row>
    <row r="320" spans="6:8" s="30" customFormat="1">
      <c r="F320" s="36"/>
      <c r="H320" s="37"/>
    </row>
    <row r="321" spans="6:8" s="30" customFormat="1">
      <c r="F321" s="36"/>
      <c r="H321" s="37"/>
    </row>
    <row r="322" spans="6:8" s="30" customFormat="1">
      <c r="F322" s="36"/>
      <c r="H322" s="37"/>
    </row>
    <row r="323" spans="6:8" s="30" customFormat="1">
      <c r="F323" s="36"/>
      <c r="H323" s="37"/>
    </row>
    <row r="324" spans="6:8" s="30" customFormat="1">
      <c r="F324" s="36"/>
      <c r="H324" s="37"/>
    </row>
    <row r="325" spans="6:8" s="30" customFormat="1">
      <c r="F325" s="36"/>
      <c r="H325" s="37"/>
    </row>
    <row r="326" spans="6:8" s="30" customFormat="1">
      <c r="F326" s="36"/>
      <c r="H326" s="37"/>
    </row>
    <row r="327" spans="6:8" s="30" customFormat="1">
      <c r="F327" s="36"/>
      <c r="H327" s="37"/>
    </row>
    <row r="328" spans="6:8" s="30" customFormat="1">
      <c r="F328" s="36"/>
      <c r="H328" s="37"/>
    </row>
    <row r="329" spans="6:8" s="30" customFormat="1">
      <c r="F329" s="36"/>
      <c r="H329" s="37"/>
    </row>
    <row r="330" spans="6:8" s="30" customFormat="1">
      <c r="F330" s="36"/>
      <c r="H330" s="37"/>
    </row>
    <row r="331" spans="6:8" s="30" customFormat="1">
      <c r="F331" s="36"/>
      <c r="H331" s="37"/>
    </row>
    <row r="332" spans="6:8" s="30" customFormat="1">
      <c r="F332" s="36"/>
      <c r="H332" s="37"/>
    </row>
    <row r="333" spans="6:8" s="30" customFormat="1">
      <c r="F333" s="36"/>
      <c r="H333" s="37"/>
    </row>
    <row r="334" spans="6:8" s="30" customFormat="1">
      <c r="F334" s="36"/>
      <c r="H334" s="37"/>
    </row>
    <row r="335" spans="6:8" s="30" customFormat="1">
      <c r="F335" s="36"/>
      <c r="H335" s="37"/>
    </row>
    <row r="336" spans="6:8" s="30" customFormat="1">
      <c r="F336" s="36"/>
      <c r="H336" s="37"/>
    </row>
    <row r="337" spans="6:8" s="30" customFormat="1">
      <c r="F337" s="36"/>
      <c r="H337" s="37"/>
    </row>
    <row r="338" spans="6:8" s="30" customFormat="1">
      <c r="F338" s="36"/>
      <c r="H338" s="37"/>
    </row>
    <row r="339" spans="6:8" s="30" customFormat="1">
      <c r="F339" s="36"/>
      <c r="H339" s="37"/>
    </row>
    <row r="340" spans="6:8" s="30" customFormat="1">
      <c r="F340" s="36"/>
      <c r="H340" s="37"/>
    </row>
    <row r="341" spans="6:8" s="30" customFormat="1">
      <c r="F341" s="36"/>
      <c r="H341" s="37"/>
    </row>
    <row r="342" spans="6:8" s="30" customFormat="1">
      <c r="F342" s="36"/>
      <c r="H342" s="37"/>
    </row>
    <row r="343" spans="6:8" s="30" customFormat="1">
      <c r="F343" s="36"/>
      <c r="H343" s="37"/>
    </row>
    <row r="344" spans="6:8" s="30" customFormat="1">
      <c r="F344" s="36"/>
      <c r="H344" s="37"/>
    </row>
    <row r="345" spans="6:8" s="30" customFormat="1">
      <c r="F345" s="36"/>
      <c r="H345" s="37"/>
    </row>
    <row r="346" spans="6:8" s="30" customFormat="1">
      <c r="F346" s="36"/>
      <c r="H346" s="37"/>
    </row>
    <row r="347" spans="6:8" s="30" customFormat="1">
      <c r="F347" s="36"/>
      <c r="H347" s="37"/>
    </row>
    <row r="348" spans="6:8" s="30" customFormat="1">
      <c r="F348" s="36"/>
      <c r="H348" s="37"/>
    </row>
    <row r="349" spans="6:8" s="30" customFormat="1">
      <c r="F349" s="36"/>
      <c r="H349" s="37"/>
    </row>
    <row r="350" spans="6:8" s="30" customFormat="1">
      <c r="F350" s="36"/>
      <c r="H350" s="37"/>
    </row>
    <row r="351" spans="6:8" s="30" customFormat="1">
      <c r="F351" s="36"/>
      <c r="H351" s="37"/>
    </row>
    <row r="352" spans="6:8" s="30" customFormat="1">
      <c r="F352" s="36"/>
      <c r="H352" s="37"/>
    </row>
    <row r="353" spans="6:8" s="30" customFormat="1">
      <c r="F353" s="36"/>
      <c r="H353" s="37"/>
    </row>
    <row r="354" spans="6:8" s="30" customFormat="1">
      <c r="F354" s="36"/>
      <c r="H354" s="37"/>
    </row>
    <row r="355" spans="6:8" s="30" customFormat="1">
      <c r="F355" s="36"/>
      <c r="H355" s="37"/>
    </row>
    <row r="356" spans="6:8" s="30" customFormat="1">
      <c r="F356" s="36"/>
      <c r="H356" s="37"/>
    </row>
    <row r="357" spans="6:8" s="30" customFormat="1">
      <c r="F357" s="36"/>
      <c r="H357" s="37"/>
    </row>
    <row r="358" spans="6:8" s="30" customFormat="1">
      <c r="F358" s="36"/>
      <c r="H358" s="37"/>
    </row>
    <row r="359" spans="6:8" s="30" customFormat="1">
      <c r="F359" s="36"/>
      <c r="H359" s="37"/>
    </row>
    <row r="360" spans="6:8" s="30" customFormat="1">
      <c r="F360" s="36"/>
      <c r="H360" s="37"/>
    </row>
    <row r="361" spans="6:8" s="30" customFormat="1">
      <c r="F361" s="36"/>
      <c r="H361" s="37"/>
    </row>
    <row r="362" spans="6:8" s="30" customFormat="1">
      <c r="F362" s="36"/>
      <c r="H362" s="37"/>
    </row>
    <row r="363" spans="6:8" s="30" customFormat="1">
      <c r="F363" s="36"/>
      <c r="H363" s="37"/>
    </row>
    <row r="364" spans="6:8" s="30" customFormat="1">
      <c r="F364" s="36"/>
      <c r="H364" s="37"/>
    </row>
    <row r="365" spans="6:8" s="30" customFormat="1">
      <c r="F365" s="36"/>
      <c r="H365" s="37"/>
    </row>
    <row r="366" spans="6:8" s="30" customFormat="1">
      <c r="F366" s="36"/>
      <c r="H366" s="37"/>
    </row>
    <row r="367" spans="6:8" s="30" customFormat="1">
      <c r="F367" s="36"/>
      <c r="H367" s="37"/>
    </row>
    <row r="368" spans="6:8" s="30" customFormat="1">
      <c r="F368" s="36"/>
      <c r="H368" s="37"/>
    </row>
    <row r="369" spans="6:8" s="30" customFormat="1">
      <c r="F369" s="36"/>
      <c r="H369" s="37"/>
    </row>
    <row r="370" spans="6:8" s="30" customFormat="1">
      <c r="F370" s="36"/>
      <c r="H370" s="37"/>
    </row>
    <row r="371" spans="6:8" s="30" customFormat="1">
      <c r="F371" s="36"/>
      <c r="H371" s="37"/>
    </row>
    <row r="372" spans="6:8" s="30" customFormat="1">
      <c r="F372" s="36"/>
      <c r="H372" s="37"/>
    </row>
    <row r="373" spans="6:8" s="30" customFormat="1">
      <c r="F373" s="36"/>
      <c r="H373" s="37"/>
    </row>
    <row r="374" spans="6:8" s="30" customFormat="1">
      <c r="F374" s="36"/>
      <c r="H374" s="37"/>
    </row>
    <row r="375" spans="6:8" s="30" customFormat="1">
      <c r="F375" s="36"/>
      <c r="H375" s="37"/>
    </row>
    <row r="376" spans="6:8" s="30" customFormat="1">
      <c r="F376" s="36"/>
      <c r="H376" s="37"/>
    </row>
    <row r="377" spans="6:8" s="30" customFormat="1">
      <c r="F377" s="36"/>
      <c r="H377" s="37"/>
    </row>
    <row r="378" spans="6:8" s="30" customFormat="1">
      <c r="F378" s="36"/>
      <c r="H378" s="37"/>
    </row>
    <row r="379" spans="6:8" s="30" customFormat="1">
      <c r="F379" s="36"/>
      <c r="H379" s="37"/>
    </row>
    <row r="380" spans="6:8" s="30" customFormat="1">
      <c r="F380" s="36"/>
      <c r="H380" s="37"/>
    </row>
    <row r="381" spans="6:8" s="30" customFormat="1">
      <c r="F381" s="36"/>
      <c r="H381" s="37"/>
    </row>
    <row r="382" spans="6:8" s="30" customFormat="1">
      <c r="F382" s="36"/>
      <c r="H382" s="37"/>
    </row>
    <row r="383" spans="6:8" s="30" customFormat="1">
      <c r="F383" s="36"/>
      <c r="H383" s="37"/>
    </row>
    <row r="384" spans="6:8" s="30" customFormat="1">
      <c r="F384" s="36"/>
      <c r="H384" s="37"/>
    </row>
    <row r="385" spans="6:8" s="30" customFormat="1">
      <c r="F385" s="36"/>
      <c r="H385" s="37"/>
    </row>
    <row r="386" spans="6:8" s="30" customFormat="1">
      <c r="F386" s="36"/>
      <c r="H386" s="37"/>
    </row>
    <row r="387" spans="6:8" s="30" customFormat="1">
      <c r="F387" s="36"/>
      <c r="H387" s="37"/>
    </row>
    <row r="388" spans="6:8" s="30" customFormat="1">
      <c r="F388" s="36"/>
      <c r="H388" s="37"/>
    </row>
    <row r="389" spans="6:8" s="30" customFormat="1">
      <c r="F389" s="36"/>
      <c r="H389" s="37"/>
    </row>
    <row r="390" spans="6:8" s="30" customFormat="1">
      <c r="F390" s="36"/>
      <c r="H390" s="37"/>
    </row>
    <row r="391" spans="6:8" s="30" customFormat="1">
      <c r="F391" s="36"/>
      <c r="H391" s="37"/>
    </row>
    <row r="392" spans="6:8" s="30" customFormat="1">
      <c r="F392" s="36"/>
      <c r="H392" s="37"/>
    </row>
    <row r="393" spans="6:8" s="30" customFormat="1">
      <c r="F393" s="36"/>
      <c r="H393" s="37"/>
    </row>
    <row r="394" spans="6:8" s="30" customFormat="1">
      <c r="F394" s="36"/>
      <c r="H394" s="37"/>
    </row>
    <row r="395" spans="6:8" s="30" customFormat="1">
      <c r="F395" s="36"/>
      <c r="H395" s="37"/>
    </row>
    <row r="396" spans="6:8" s="30" customFormat="1">
      <c r="F396" s="36"/>
      <c r="H396" s="37"/>
    </row>
    <row r="397" spans="6:8" s="30" customFormat="1">
      <c r="F397" s="36"/>
      <c r="H397" s="37"/>
    </row>
    <row r="398" spans="6:8" s="30" customFormat="1">
      <c r="F398" s="36"/>
      <c r="H398" s="37"/>
    </row>
    <row r="399" spans="6:8" s="30" customFormat="1">
      <c r="F399" s="36"/>
      <c r="H399" s="37"/>
    </row>
    <row r="400" spans="6:8" s="30" customFormat="1">
      <c r="F400" s="36"/>
      <c r="H400" s="37"/>
    </row>
    <row r="401" spans="6:8" s="30" customFormat="1">
      <c r="F401" s="36"/>
      <c r="H401" s="37"/>
    </row>
    <row r="402" spans="6:8" s="30" customFormat="1">
      <c r="F402" s="36"/>
      <c r="H402" s="37"/>
    </row>
    <row r="403" spans="6:8" s="30" customFormat="1">
      <c r="F403" s="36"/>
      <c r="H403" s="37"/>
    </row>
    <row r="404" spans="6:8" s="30" customFormat="1">
      <c r="F404" s="36"/>
      <c r="H404" s="37"/>
    </row>
    <row r="405" spans="6:8" s="30" customFormat="1">
      <c r="F405" s="36"/>
      <c r="H405" s="37"/>
    </row>
    <row r="406" spans="6:8" s="30" customFormat="1">
      <c r="F406" s="36"/>
      <c r="H406" s="37"/>
    </row>
    <row r="407" spans="6:8" s="30" customFormat="1">
      <c r="F407" s="36"/>
      <c r="H407" s="37"/>
    </row>
    <row r="408" spans="6:8" s="30" customFormat="1">
      <c r="F408" s="36"/>
      <c r="H408" s="37"/>
    </row>
    <row r="409" spans="6:8" s="30" customFormat="1">
      <c r="F409" s="36"/>
      <c r="H409" s="37"/>
    </row>
    <row r="410" spans="6:8" s="30" customFormat="1">
      <c r="F410" s="36"/>
      <c r="H410" s="37"/>
    </row>
    <row r="411" spans="6:8" s="30" customFormat="1">
      <c r="F411" s="36"/>
      <c r="H411" s="37"/>
    </row>
    <row r="412" spans="6:8" s="30" customFormat="1">
      <c r="F412" s="36"/>
      <c r="H412" s="37"/>
    </row>
    <row r="413" spans="6:8" s="30" customFormat="1">
      <c r="F413" s="36"/>
      <c r="H413" s="37"/>
    </row>
    <row r="414" spans="6:8" s="30" customFormat="1">
      <c r="F414" s="36"/>
      <c r="H414" s="37"/>
    </row>
    <row r="415" spans="6:8" s="30" customFormat="1">
      <c r="F415" s="36"/>
      <c r="H415" s="37"/>
    </row>
    <row r="416" spans="6:8" s="30" customFormat="1">
      <c r="F416" s="36"/>
      <c r="H416" s="37"/>
    </row>
    <row r="417" spans="6:8" s="30" customFormat="1">
      <c r="F417" s="36"/>
      <c r="H417" s="37"/>
    </row>
    <row r="418" spans="6:8" s="30" customFormat="1">
      <c r="F418" s="36"/>
      <c r="H418" s="37"/>
    </row>
    <row r="419" spans="6:8" s="30" customFormat="1">
      <c r="F419" s="36"/>
      <c r="H419" s="37"/>
    </row>
    <row r="420" spans="6:8" s="30" customFormat="1">
      <c r="F420" s="36"/>
      <c r="H420" s="37"/>
    </row>
    <row r="421" spans="6:8" s="30" customFormat="1">
      <c r="F421" s="36"/>
      <c r="H421" s="37"/>
    </row>
    <row r="422" spans="6:8" s="30" customFormat="1">
      <c r="F422" s="36"/>
      <c r="H422" s="37"/>
    </row>
    <row r="423" spans="6:8" s="30" customFormat="1">
      <c r="F423" s="36"/>
      <c r="H423" s="37"/>
    </row>
    <row r="424" spans="6:8" s="30" customFormat="1">
      <c r="F424" s="36"/>
      <c r="H424" s="37"/>
    </row>
    <row r="425" spans="6:8" s="30" customFormat="1">
      <c r="F425" s="36"/>
      <c r="H425" s="37"/>
    </row>
    <row r="426" spans="6:8" s="30" customFormat="1">
      <c r="F426" s="36"/>
      <c r="H426" s="37"/>
    </row>
    <row r="427" spans="6:8" s="30" customFormat="1">
      <c r="F427" s="36"/>
      <c r="H427" s="37"/>
    </row>
    <row r="428" spans="6:8" s="30" customFormat="1">
      <c r="F428" s="36"/>
      <c r="H428" s="37"/>
    </row>
    <row r="429" spans="6:8" s="30" customFormat="1">
      <c r="F429" s="36"/>
      <c r="H429" s="37"/>
    </row>
    <row r="430" spans="6:8" s="30" customFormat="1">
      <c r="F430" s="36"/>
      <c r="H430" s="37"/>
    </row>
    <row r="431" spans="6:8" s="30" customFormat="1">
      <c r="F431" s="36"/>
      <c r="H431" s="37"/>
    </row>
    <row r="432" spans="6:8" s="30" customFormat="1">
      <c r="F432" s="36"/>
      <c r="H432" s="37"/>
    </row>
    <row r="433" spans="6:8" s="30" customFormat="1">
      <c r="F433" s="36"/>
      <c r="H433" s="37"/>
    </row>
    <row r="434" spans="6:8" s="30" customFormat="1">
      <c r="F434" s="36"/>
      <c r="H434" s="37"/>
    </row>
    <row r="435" spans="6:8" s="30" customFormat="1">
      <c r="F435" s="36"/>
      <c r="H435" s="37"/>
    </row>
    <row r="436" spans="6:8" s="30" customFormat="1">
      <c r="F436" s="36"/>
      <c r="H436" s="37"/>
    </row>
    <row r="437" spans="6:8" s="30" customFormat="1">
      <c r="F437" s="36"/>
      <c r="H437" s="37"/>
    </row>
    <row r="438" spans="6:8" s="30" customFormat="1">
      <c r="F438" s="36"/>
      <c r="H438" s="37"/>
    </row>
    <row r="439" spans="6:8" s="30" customFormat="1">
      <c r="F439" s="36"/>
      <c r="H439" s="37"/>
    </row>
    <row r="440" spans="6:8" s="30" customFormat="1">
      <c r="F440" s="36"/>
      <c r="H440" s="37"/>
    </row>
    <row r="441" spans="6:8" s="30" customFormat="1">
      <c r="F441" s="36"/>
      <c r="H441" s="37"/>
    </row>
    <row r="442" spans="6:8" s="30" customFormat="1">
      <c r="F442" s="36"/>
      <c r="H442" s="37"/>
    </row>
    <row r="443" spans="6:8" s="30" customFormat="1">
      <c r="F443" s="36"/>
      <c r="H443" s="37"/>
    </row>
    <row r="444" spans="6:8" s="30" customFormat="1">
      <c r="F444" s="36"/>
      <c r="H444" s="37"/>
    </row>
    <row r="445" spans="6:8" s="30" customFormat="1">
      <c r="F445" s="36"/>
      <c r="H445" s="37"/>
    </row>
    <row r="446" spans="6:8" s="30" customFormat="1">
      <c r="F446" s="36"/>
      <c r="H446" s="37"/>
    </row>
    <row r="447" spans="6:8" s="30" customFormat="1">
      <c r="F447" s="36"/>
      <c r="H447" s="37"/>
    </row>
    <row r="448" spans="6:8" s="30" customFormat="1">
      <c r="F448" s="36"/>
      <c r="H448" s="37"/>
    </row>
    <row r="449" spans="6:8" s="30" customFormat="1">
      <c r="F449" s="36"/>
      <c r="H449" s="37"/>
    </row>
    <row r="450" spans="6:8" s="30" customFormat="1">
      <c r="F450" s="36"/>
      <c r="H450" s="37"/>
    </row>
    <row r="451" spans="6:8" s="30" customFormat="1">
      <c r="F451" s="36"/>
      <c r="H451" s="37"/>
    </row>
    <row r="452" spans="6:8" s="30" customFormat="1">
      <c r="F452" s="36"/>
      <c r="H452" s="37"/>
    </row>
    <row r="453" spans="6:8" s="30" customFormat="1">
      <c r="F453" s="36"/>
      <c r="H453" s="37"/>
    </row>
    <row r="454" spans="6:8" s="30" customFormat="1">
      <c r="F454" s="36"/>
      <c r="H454" s="37"/>
    </row>
    <row r="455" spans="6:8" s="30" customFormat="1">
      <c r="F455" s="36"/>
      <c r="H455" s="37"/>
    </row>
    <row r="456" spans="6:8" s="30" customFormat="1">
      <c r="F456" s="36"/>
      <c r="H456" s="37"/>
    </row>
    <row r="457" spans="6:8" s="30" customFormat="1">
      <c r="F457" s="36"/>
      <c r="H457" s="37"/>
    </row>
    <row r="458" spans="6:8" s="30" customFormat="1">
      <c r="F458" s="36"/>
      <c r="H458" s="37"/>
    </row>
    <row r="459" spans="6:8" s="30" customFormat="1">
      <c r="F459" s="36"/>
      <c r="H459" s="37"/>
    </row>
    <row r="460" spans="6:8" s="30" customFormat="1">
      <c r="F460" s="36"/>
      <c r="H460" s="37"/>
    </row>
    <row r="461" spans="6:8" s="30" customFormat="1">
      <c r="F461" s="36"/>
      <c r="H461" s="37"/>
    </row>
    <row r="462" spans="6:8" s="30" customFormat="1">
      <c r="F462" s="36"/>
      <c r="H462" s="37"/>
    </row>
    <row r="463" spans="6:8" s="30" customFormat="1">
      <c r="F463" s="36"/>
      <c r="H463" s="37"/>
    </row>
    <row r="464" spans="6:8" s="30" customFormat="1">
      <c r="F464" s="36"/>
      <c r="H464" s="37"/>
    </row>
    <row r="465" spans="6:8" s="30" customFormat="1">
      <c r="F465" s="36"/>
      <c r="H465" s="37"/>
    </row>
    <row r="466" spans="6:8" s="30" customFormat="1">
      <c r="F466" s="36"/>
      <c r="H466" s="37"/>
    </row>
    <row r="467" spans="6:8" s="30" customFormat="1">
      <c r="F467" s="36"/>
      <c r="H467" s="37"/>
    </row>
    <row r="468" spans="6:8" s="30" customFormat="1">
      <c r="F468" s="36"/>
      <c r="H468" s="37"/>
    </row>
    <row r="469" spans="6:8" s="30" customFormat="1">
      <c r="F469" s="36"/>
      <c r="H469" s="37"/>
    </row>
    <row r="470" spans="6:8" s="30" customFormat="1">
      <c r="F470" s="36"/>
      <c r="H470" s="37"/>
    </row>
    <row r="471" spans="6:8" s="30" customFormat="1">
      <c r="F471" s="36"/>
      <c r="H471" s="37"/>
    </row>
    <row r="472" spans="6:8" s="30" customFormat="1">
      <c r="F472" s="36"/>
      <c r="H472" s="37"/>
    </row>
    <row r="473" spans="6:8" s="30" customFormat="1">
      <c r="F473" s="36"/>
      <c r="H473" s="37"/>
    </row>
    <row r="474" spans="6:8" s="30" customFormat="1">
      <c r="F474" s="36"/>
      <c r="H474" s="37"/>
    </row>
    <row r="475" spans="6:8" s="30" customFormat="1">
      <c r="F475" s="36"/>
      <c r="H475" s="37"/>
    </row>
    <row r="476" spans="6:8" s="30" customFormat="1">
      <c r="F476" s="36"/>
      <c r="H476" s="37"/>
    </row>
    <row r="477" spans="6:8" s="30" customFormat="1">
      <c r="F477" s="36"/>
      <c r="H477" s="37"/>
    </row>
    <row r="478" spans="6:8" s="30" customFormat="1">
      <c r="F478" s="36"/>
      <c r="H478" s="37"/>
    </row>
    <row r="479" spans="6:8" s="30" customFormat="1">
      <c r="F479" s="36"/>
      <c r="H479" s="37"/>
    </row>
    <row r="480" spans="6:8" s="30" customFormat="1">
      <c r="F480" s="36"/>
      <c r="H480" s="37"/>
    </row>
    <row r="481" spans="6:8" s="30" customFormat="1">
      <c r="F481" s="36"/>
      <c r="H481" s="37"/>
    </row>
    <row r="482" spans="6:8" s="30" customFormat="1">
      <c r="F482" s="36"/>
      <c r="H482" s="37"/>
    </row>
    <row r="483" spans="6:8" s="30" customFormat="1">
      <c r="F483" s="36"/>
      <c r="H483" s="37"/>
    </row>
    <row r="484" spans="6:8" s="30" customFormat="1">
      <c r="F484" s="36"/>
      <c r="H484" s="37"/>
    </row>
    <row r="485" spans="6:8" s="30" customFormat="1">
      <c r="F485" s="36"/>
      <c r="H485" s="37"/>
    </row>
    <row r="486" spans="6:8" s="30" customFormat="1">
      <c r="F486" s="36"/>
      <c r="H486" s="37"/>
    </row>
    <row r="487" spans="6:8" s="30" customFormat="1">
      <c r="F487" s="36"/>
      <c r="H487" s="37"/>
    </row>
    <row r="488" spans="6:8" s="30" customFormat="1">
      <c r="F488" s="36"/>
      <c r="H488" s="37"/>
    </row>
    <row r="489" spans="6:8" s="30" customFormat="1">
      <c r="F489" s="36"/>
      <c r="H489" s="37"/>
    </row>
    <row r="490" spans="6:8" s="30" customFormat="1">
      <c r="F490" s="36"/>
      <c r="H490" s="37"/>
    </row>
    <row r="491" spans="6:8" s="30" customFormat="1">
      <c r="F491" s="36"/>
      <c r="H491" s="37"/>
    </row>
    <row r="492" spans="6:8" s="30" customFormat="1">
      <c r="F492" s="36"/>
      <c r="H492" s="37"/>
    </row>
    <row r="493" spans="6:8" s="30" customFormat="1">
      <c r="F493" s="36"/>
      <c r="H493" s="37"/>
    </row>
    <row r="494" spans="6:8" s="30" customFormat="1">
      <c r="F494" s="36"/>
      <c r="H494" s="37"/>
    </row>
    <row r="495" spans="6:8" s="30" customFormat="1">
      <c r="F495" s="36"/>
      <c r="H495" s="37"/>
    </row>
    <row r="496" spans="6:8" s="30" customFormat="1">
      <c r="F496" s="36"/>
      <c r="H496" s="37"/>
    </row>
    <row r="497" spans="6:8" s="30" customFormat="1">
      <c r="F497" s="36"/>
      <c r="H497" s="37"/>
    </row>
    <row r="498" spans="6:8" s="30" customFormat="1">
      <c r="F498" s="36"/>
      <c r="H498" s="37"/>
    </row>
    <row r="499" spans="6:8" s="30" customFormat="1">
      <c r="F499" s="36"/>
      <c r="H499" s="37"/>
    </row>
    <row r="500" spans="6:8" s="30" customFormat="1">
      <c r="F500" s="36"/>
      <c r="H500" s="37"/>
    </row>
    <row r="501" spans="6:8" s="30" customFormat="1">
      <c r="F501" s="36"/>
      <c r="H501" s="37"/>
    </row>
    <row r="502" spans="6:8" s="30" customFormat="1">
      <c r="F502" s="36"/>
      <c r="H502" s="37"/>
    </row>
    <row r="503" spans="6:8" s="30" customFormat="1">
      <c r="F503" s="36"/>
      <c r="H503" s="37"/>
    </row>
    <row r="504" spans="6:8" s="30" customFormat="1">
      <c r="F504" s="36"/>
      <c r="H504" s="37"/>
    </row>
    <row r="505" spans="6:8" s="30" customFormat="1">
      <c r="F505" s="36"/>
      <c r="H505" s="37"/>
    </row>
    <row r="506" spans="6:8" s="30" customFormat="1">
      <c r="F506" s="36"/>
      <c r="H506" s="37"/>
    </row>
    <row r="507" spans="6:8" s="30" customFormat="1">
      <c r="F507" s="36"/>
      <c r="H507" s="37"/>
    </row>
    <row r="508" spans="6:8" s="30" customFormat="1">
      <c r="F508" s="36"/>
      <c r="H508" s="37"/>
    </row>
    <row r="509" spans="6:8" s="30" customFormat="1">
      <c r="F509" s="36"/>
      <c r="H509" s="37"/>
    </row>
    <row r="510" spans="6:8" s="30" customFormat="1">
      <c r="F510" s="36"/>
      <c r="H510" s="37"/>
    </row>
    <row r="511" spans="6:8" s="30" customFormat="1">
      <c r="F511" s="36"/>
      <c r="H511" s="37"/>
    </row>
    <row r="512" spans="6:8" s="30" customFormat="1">
      <c r="F512" s="36"/>
      <c r="H512" s="37"/>
    </row>
    <row r="513" spans="6:8" s="30" customFormat="1">
      <c r="F513" s="36"/>
      <c r="H513" s="37"/>
    </row>
    <row r="514" spans="6:8" s="30" customFormat="1">
      <c r="F514" s="36"/>
      <c r="H514" s="37"/>
    </row>
    <row r="515" spans="6:8" s="30" customFormat="1">
      <c r="F515" s="36"/>
      <c r="H515" s="37"/>
    </row>
    <row r="516" spans="6:8" s="30" customFormat="1">
      <c r="F516" s="36"/>
      <c r="H516" s="37"/>
    </row>
    <row r="517" spans="6:8" s="30" customFormat="1">
      <c r="F517" s="36"/>
      <c r="H517" s="37"/>
    </row>
    <row r="518" spans="6:8" s="30" customFormat="1">
      <c r="F518" s="36"/>
      <c r="H518" s="37"/>
    </row>
    <row r="519" spans="6:8" s="30" customFormat="1">
      <c r="F519" s="36"/>
      <c r="H519" s="37"/>
    </row>
    <row r="520" spans="6:8" s="30" customFormat="1">
      <c r="F520" s="36"/>
      <c r="H520" s="37"/>
    </row>
    <row r="521" spans="6:8" s="30" customFormat="1">
      <c r="F521" s="36"/>
      <c r="H521" s="37"/>
    </row>
    <row r="522" spans="6:8" s="30" customFormat="1">
      <c r="F522" s="36"/>
      <c r="H522" s="37"/>
    </row>
    <row r="523" spans="6:8" s="30" customFormat="1">
      <c r="F523" s="36"/>
      <c r="H523" s="37"/>
    </row>
    <row r="524" spans="6:8" s="30" customFormat="1">
      <c r="F524" s="36"/>
      <c r="H524" s="37"/>
    </row>
    <row r="525" spans="6:8" s="30" customFormat="1">
      <c r="F525" s="36"/>
      <c r="H525" s="37"/>
    </row>
    <row r="526" spans="6:8" s="30" customFormat="1">
      <c r="F526" s="36"/>
      <c r="H526" s="37"/>
    </row>
    <row r="527" spans="6:8" s="30" customFormat="1">
      <c r="F527" s="36"/>
      <c r="H527" s="37"/>
    </row>
    <row r="528" spans="6:8" s="30" customFormat="1">
      <c r="F528" s="36"/>
      <c r="H528" s="37"/>
    </row>
    <row r="529" spans="6:8" s="30" customFormat="1">
      <c r="F529" s="36"/>
      <c r="H529" s="37"/>
    </row>
    <row r="530" spans="6:8" s="30" customFormat="1">
      <c r="F530" s="36"/>
      <c r="H530" s="37"/>
    </row>
    <row r="531" spans="6:8" s="30" customFormat="1">
      <c r="F531" s="36"/>
      <c r="H531" s="37"/>
    </row>
    <row r="532" spans="6:8" s="30" customFormat="1">
      <c r="F532" s="36"/>
      <c r="H532" s="37"/>
    </row>
    <row r="533" spans="6:8" s="30" customFormat="1">
      <c r="F533" s="36"/>
      <c r="H533" s="37"/>
    </row>
    <row r="534" spans="6:8" s="30" customFormat="1">
      <c r="F534" s="36"/>
      <c r="H534" s="37"/>
    </row>
    <row r="535" spans="6:8" s="30" customFormat="1">
      <c r="F535" s="36"/>
      <c r="H535" s="37"/>
    </row>
    <row r="536" spans="6:8" s="30" customFormat="1">
      <c r="F536" s="36"/>
      <c r="H536" s="37"/>
    </row>
    <row r="537" spans="6:8" s="30" customFormat="1">
      <c r="F537" s="36"/>
      <c r="H537" s="37"/>
    </row>
    <row r="538" spans="6:8" s="30" customFormat="1">
      <c r="F538" s="36"/>
      <c r="H538" s="37"/>
    </row>
    <row r="539" spans="6:8" s="30" customFormat="1">
      <c r="F539" s="36"/>
      <c r="H539" s="37"/>
    </row>
    <row r="540" spans="6:8" s="30" customFormat="1">
      <c r="F540" s="36"/>
      <c r="H540" s="37"/>
    </row>
    <row r="541" spans="6:8" s="30" customFormat="1">
      <c r="F541" s="36"/>
      <c r="H541" s="37"/>
    </row>
    <row r="542" spans="6:8" s="30" customFormat="1">
      <c r="F542" s="36"/>
      <c r="H542" s="37"/>
    </row>
    <row r="543" spans="6:8" s="30" customFormat="1">
      <c r="F543" s="36"/>
      <c r="H543" s="37"/>
    </row>
    <row r="544" spans="6:8" s="30" customFormat="1">
      <c r="F544" s="36"/>
      <c r="H544" s="37"/>
    </row>
    <row r="545" spans="6:8" s="30" customFormat="1">
      <c r="F545" s="36"/>
      <c r="H545" s="37"/>
    </row>
    <row r="546" spans="6:8" s="30" customFormat="1">
      <c r="F546" s="36"/>
      <c r="H546" s="37"/>
    </row>
    <row r="547" spans="6:8" s="30" customFormat="1">
      <c r="F547" s="36"/>
      <c r="H547" s="37"/>
    </row>
    <row r="548" spans="6:8" s="30" customFormat="1">
      <c r="F548" s="36"/>
      <c r="H548" s="37"/>
    </row>
    <row r="549" spans="6:8" s="30" customFormat="1">
      <c r="F549" s="36"/>
      <c r="H549" s="37"/>
    </row>
    <row r="550" spans="6:8" s="30" customFormat="1">
      <c r="F550" s="36"/>
      <c r="H550" s="37"/>
    </row>
    <row r="551" spans="6:8" s="30" customFormat="1">
      <c r="F551" s="36"/>
      <c r="H551" s="37"/>
    </row>
    <row r="552" spans="6:8" s="30" customFormat="1">
      <c r="F552" s="36"/>
      <c r="H552" s="37"/>
    </row>
    <row r="553" spans="6:8" s="30" customFormat="1">
      <c r="F553" s="36"/>
      <c r="H553" s="37"/>
    </row>
    <row r="554" spans="6:8" s="30" customFormat="1">
      <c r="F554" s="36"/>
      <c r="H554" s="37"/>
    </row>
    <row r="555" spans="6:8" s="30" customFormat="1">
      <c r="F555" s="36"/>
      <c r="H555" s="37"/>
    </row>
    <row r="556" spans="6:8" s="30" customFormat="1">
      <c r="F556" s="36"/>
      <c r="H556" s="37"/>
    </row>
    <row r="557" spans="6:8" s="30" customFormat="1">
      <c r="F557" s="36"/>
      <c r="H557" s="37"/>
    </row>
    <row r="558" spans="6:8" s="30" customFormat="1">
      <c r="F558" s="36"/>
      <c r="H558" s="37"/>
    </row>
    <row r="559" spans="6:8" s="30" customFormat="1">
      <c r="F559" s="36"/>
      <c r="H559" s="37"/>
    </row>
    <row r="560" spans="6:8" s="30" customFormat="1">
      <c r="F560" s="36"/>
      <c r="H560" s="37"/>
    </row>
    <row r="561" spans="6:8" s="30" customFormat="1">
      <c r="F561" s="36"/>
      <c r="H561" s="37"/>
    </row>
    <row r="562" spans="6:8" s="30" customFormat="1">
      <c r="F562" s="36"/>
      <c r="H562" s="37"/>
    </row>
    <row r="563" spans="6:8" s="30" customFormat="1">
      <c r="F563" s="36"/>
      <c r="H563" s="37"/>
    </row>
    <row r="564" spans="6:8" s="30" customFormat="1">
      <c r="F564" s="36"/>
      <c r="H564" s="37"/>
    </row>
    <row r="565" spans="6:8" s="30" customFormat="1">
      <c r="F565" s="36"/>
      <c r="H565" s="37"/>
    </row>
    <row r="566" spans="6:8" s="30" customFormat="1">
      <c r="F566" s="36"/>
      <c r="H566" s="37"/>
    </row>
    <row r="567" spans="6:8" s="30" customFormat="1">
      <c r="F567" s="36"/>
      <c r="H567" s="37"/>
    </row>
    <row r="568" spans="6:8" s="30" customFormat="1">
      <c r="F568" s="36"/>
      <c r="H568" s="37"/>
    </row>
    <row r="569" spans="6:8" s="30" customFormat="1">
      <c r="F569" s="36"/>
      <c r="H569" s="37"/>
    </row>
    <row r="570" spans="6:8" s="30" customFormat="1">
      <c r="F570" s="36"/>
      <c r="H570" s="37"/>
    </row>
    <row r="571" spans="6:8" s="30" customFormat="1">
      <c r="F571" s="36"/>
      <c r="H571" s="37"/>
    </row>
    <row r="572" spans="6:8" s="30" customFormat="1">
      <c r="F572" s="36"/>
      <c r="H572" s="37"/>
    </row>
    <row r="573" spans="6:8" s="30" customFormat="1">
      <c r="F573" s="36"/>
      <c r="H573" s="37"/>
    </row>
    <row r="574" spans="6:8" s="30" customFormat="1">
      <c r="F574" s="36"/>
      <c r="H574" s="37"/>
    </row>
    <row r="575" spans="6:8" s="30" customFormat="1">
      <c r="F575" s="36"/>
      <c r="H575" s="37"/>
    </row>
    <row r="576" spans="6:8" s="30" customFormat="1">
      <c r="F576" s="36"/>
      <c r="H576" s="37"/>
    </row>
    <row r="577" spans="6:8" s="30" customFormat="1">
      <c r="F577" s="36"/>
      <c r="H577" s="37"/>
    </row>
    <row r="578" spans="6:8" s="30" customFormat="1">
      <c r="F578" s="36"/>
      <c r="H578" s="37"/>
    </row>
    <row r="579" spans="6:8" s="30" customFormat="1">
      <c r="F579" s="36"/>
      <c r="H579" s="37"/>
    </row>
    <row r="580" spans="6:8" s="30" customFormat="1">
      <c r="F580" s="36"/>
      <c r="H580" s="37"/>
    </row>
    <row r="581" spans="6:8" s="30" customFormat="1">
      <c r="F581" s="36"/>
      <c r="H581" s="37"/>
    </row>
    <row r="582" spans="6:8" s="30" customFormat="1">
      <c r="F582" s="36"/>
      <c r="H582" s="37"/>
    </row>
    <row r="583" spans="6:8" s="30" customFormat="1">
      <c r="F583" s="36"/>
      <c r="H583" s="37"/>
    </row>
    <row r="584" spans="6:8" s="30" customFormat="1">
      <c r="F584" s="36"/>
      <c r="H584" s="37"/>
    </row>
    <row r="585" spans="6:8" s="30" customFormat="1">
      <c r="F585" s="36"/>
      <c r="H585" s="37"/>
    </row>
    <row r="586" spans="6:8" s="30" customFormat="1">
      <c r="F586" s="36"/>
      <c r="H586" s="37"/>
    </row>
    <row r="587" spans="6:8" s="30" customFormat="1">
      <c r="F587" s="36"/>
      <c r="H587" s="37"/>
    </row>
    <row r="588" spans="6:8" s="30" customFormat="1">
      <c r="F588" s="36"/>
      <c r="H588" s="37"/>
    </row>
    <row r="589" spans="6:8" s="30" customFormat="1">
      <c r="F589" s="36"/>
      <c r="H589" s="37"/>
    </row>
    <row r="590" spans="6:8" s="30" customFormat="1">
      <c r="F590" s="36"/>
      <c r="H590" s="37"/>
    </row>
    <row r="591" spans="6:8" s="30" customFormat="1">
      <c r="F591" s="36"/>
      <c r="H591" s="37"/>
    </row>
    <row r="592" spans="6:8" s="30" customFormat="1">
      <c r="F592" s="36"/>
      <c r="H592" s="37"/>
    </row>
    <row r="593" spans="6:8" s="30" customFormat="1">
      <c r="F593" s="36"/>
      <c r="H593" s="37"/>
    </row>
    <row r="594" spans="6:8" s="30" customFormat="1">
      <c r="F594" s="36"/>
      <c r="H594" s="37"/>
    </row>
    <row r="595" spans="6:8" s="30" customFormat="1">
      <c r="F595" s="36"/>
      <c r="H595" s="37"/>
    </row>
    <row r="596" spans="6:8" s="30" customFormat="1">
      <c r="F596" s="36"/>
      <c r="H596" s="37"/>
    </row>
    <row r="597" spans="6:8" s="30" customFormat="1">
      <c r="F597" s="36"/>
      <c r="H597" s="37"/>
    </row>
    <row r="598" spans="6:8" s="30" customFormat="1">
      <c r="F598" s="36"/>
      <c r="H598" s="37"/>
    </row>
    <row r="599" spans="6:8" s="30" customFormat="1">
      <c r="F599" s="36"/>
      <c r="H599" s="37"/>
    </row>
    <row r="600" spans="6:8" s="30" customFormat="1">
      <c r="F600" s="36"/>
      <c r="H600" s="37"/>
    </row>
    <row r="601" spans="6:8" s="30" customFormat="1">
      <c r="F601" s="36"/>
      <c r="H601" s="37"/>
    </row>
    <row r="602" spans="6:8" s="30" customFormat="1">
      <c r="F602" s="36"/>
      <c r="H602" s="37"/>
    </row>
    <row r="603" spans="6:8" s="30" customFormat="1">
      <c r="F603" s="36"/>
      <c r="H603" s="37"/>
    </row>
    <row r="604" spans="6:8" s="30" customFormat="1">
      <c r="F604" s="36"/>
      <c r="H604" s="37"/>
    </row>
    <row r="605" spans="6:8" s="30" customFormat="1">
      <c r="F605" s="36"/>
      <c r="H605" s="37"/>
    </row>
    <row r="606" spans="6:8" s="30" customFormat="1">
      <c r="F606" s="36"/>
      <c r="H606" s="37"/>
    </row>
    <row r="607" spans="6:8" s="30" customFormat="1">
      <c r="F607" s="36"/>
      <c r="H607" s="37"/>
    </row>
    <row r="608" spans="6:8" s="30" customFormat="1">
      <c r="F608" s="36"/>
      <c r="H608" s="37"/>
    </row>
    <row r="609" spans="6:8" s="30" customFormat="1">
      <c r="F609" s="36"/>
      <c r="H609" s="37"/>
    </row>
    <row r="610" spans="6:8" s="30" customFormat="1">
      <c r="F610" s="36"/>
      <c r="H610" s="37"/>
    </row>
    <row r="611" spans="6:8" s="30" customFormat="1">
      <c r="F611" s="36"/>
      <c r="H611" s="37"/>
    </row>
    <row r="612" spans="6:8" s="30" customFormat="1">
      <c r="F612" s="36"/>
      <c r="H612" s="37"/>
    </row>
    <row r="613" spans="6:8" s="30" customFormat="1">
      <c r="F613" s="36"/>
      <c r="H613" s="37"/>
    </row>
    <row r="614" spans="6:8" s="30" customFormat="1">
      <c r="F614" s="36"/>
      <c r="H614" s="37"/>
    </row>
    <row r="615" spans="6:8" s="30" customFormat="1">
      <c r="F615" s="36"/>
      <c r="H615" s="37"/>
    </row>
    <row r="616" spans="6:8" s="30" customFormat="1">
      <c r="F616" s="36"/>
      <c r="H616" s="37"/>
    </row>
    <row r="617" spans="6:8" s="30" customFormat="1">
      <c r="F617" s="36"/>
      <c r="H617" s="37"/>
    </row>
    <row r="618" spans="6:8" s="30" customFormat="1">
      <c r="F618" s="36"/>
      <c r="H618" s="37"/>
    </row>
    <row r="619" spans="6:8" s="30" customFormat="1">
      <c r="F619" s="36"/>
      <c r="H619" s="37"/>
    </row>
    <row r="620" spans="6:8" s="30" customFormat="1">
      <c r="F620" s="36"/>
      <c r="H620" s="37"/>
    </row>
    <row r="621" spans="6:8" s="30" customFormat="1">
      <c r="F621" s="36"/>
      <c r="H621" s="37"/>
    </row>
    <row r="622" spans="6:8" s="30" customFormat="1">
      <c r="F622" s="36"/>
      <c r="H622" s="37"/>
    </row>
    <row r="623" spans="6:8" s="30" customFormat="1">
      <c r="F623" s="36"/>
      <c r="H623" s="37"/>
    </row>
    <row r="624" spans="6:8" s="30" customFormat="1">
      <c r="F624" s="36"/>
      <c r="H624" s="37"/>
    </row>
    <row r="625" spans="6:8" s="30" customFormat="1">
      <c r="F625" s="36"/>
      <c r="H625" s="37"/>
    </row>
    <row r="626" spans="6:8" s="30" customFormat="1">
      <c r="F626" s="36"/>
      <c r="H626" s="37"/>
    </row>
    <row r="627" spans="6:8" s="30" customFormat="1">
      <c r="F627" s="36"/>
      <c r="H627" s="37"/>
    </row>
    <row r="628" spans="6:8" s="30" customFormat="1">
      <c r="F628" s="36"/>
      <c r="H628" s="37"/>
    </row>
    <row r="629" spans="6:8" s="30" customFormat="1">
      <c r="F629" s="36"/>
      <c r="H629" s="37"/>
    </row>
    <row r="630" spans="6:8" s="30" customFormat="1">
      <c r="F630" s="36"/>
      <c r="H630" s="37"/>
    </row>
    <row r="631" spans="6:8" s="30" customFormat="1">
      <c r="F631" s="36"/>
      <c r="H631" s="37"/>
    </row>
    <row r="632" spans="6:8" s="30" customFormat="1">
      <c r="F632" s="36"/>
      <c r="H632" s="37"/>
    </row>
    <row r="633" spans="6:8" s="30" customFormat="1">
      <c r="F633" s="36"/>
      <c r="H633" s="37"/>
    </row>
    <row r="634" spans="6:8" s="30" customFormat="1">
      <c r="F634" s="36"/>
      <c r="H634" s="37"/>
    </row>
    <row r="635" spans="6:8" s="30" customFormat="1">
      <c r="F635" s="36"/>
      <c r="H635" s="37"/>
    </row>
    <row r="636" spans="6:8" s="30" customFormat="1">
      <c r="F636" s="36"/>
      <c r="H636" s="37"/>
    </row>
    <row r="637" spans="6:8" s="30" customFormat="1">
      <c r="F637" s="36"/>
      <c r="H637" s="37"/>
    </row>
    <row r="638" spans="6:8" s="30" customFormat="1">
      <c r="F638" s="36"/>
      <c r="H638" s="37"/>
    </row>
    <row r="639" spans="6:8" s="30" customFormat="1">
      <c r="F639" s="36"/>
      <c r="H639" s="37"/>
    </row>
    <row r="640" spans="6:8" s="30" customFormat="1">
      <c r="F640" s="36"/>
      <c r="H640" s="37"/>
    </row>
    <row r="641" spans="6:8" s="30" customFormat="1">
      <c r="F641" s="36"/>
      <c r="H641" s="37"/>
    </row>
    <row r="642" spans="6:8" s="30" customFormat="1">
      <c r="F642" s="36"/>
      <c r="H642" s="37"/>
    </row>
    <row r="643" spans="6:8" s="30" customFormat="1">
      <c r="F643" s="36"/>
      <c r="H643" s="37"/>
    </row>
    <row r="644" spans="6:8" s="30" customFormat="1">
      <c r="F644" s="36"/>
      <c r="H644" s="37"/>
    </row>
    <row r="645" spans="6:8" s="30" customFormat="1">
      <c r="F645" s="36"/>
      <c r="H645" s="37"/>
    </row>
    <row r="646" spans="6:8" s="30" customFormat="1">
      <c r="F646" s="36"/>
      <c r="H646" s="37"/>
    </row>
    <row r="647" spans="6:8" s="30" customFormat="1">
      <c r="F647" s="36"/>
      <c r="H647" s="37"/>
    </row>
    <row r="648" spans="6:8" s="30" customFormat="1">
      <c r="F648" s="36"/>
      <c r="H648" s="37"/>
    </row>
    <row r="649" spans="6:8" s="30" customFormat="1">
      <c r="F649" s="36"/>
      <c r="H649" s="37"/>
    </row>
    <row r="650" spans="6:8" s="30" customFormat="1">
      <c r="F650" s="36"/>
      <c r="H650" s="37"/>
    </row>
    <row r="651" spans="6:8" s="30" customFormat="1">
      <c r="F651" s="36"/>
      <c r="H651" s="37"/>
    </row>
    <row r="652" spans="6:8" s="30" customFormat="1">
      <c r="F652" s="36"/>
      <c r="H652" s="37"/>
    </row>
    <row r="653" spans="6:8" s="30" customFormat="1">
      <c r="F653" s="36"/>
      <c r="H653" s="37"/>
    </row>
    <row r="654" spans="6:8" s="30" customFormat="1">
      <c r="F654" s="36"/>
      <c r="H654" s="37"/>
    </row>
    <row r="655" spans="6:8" s="30" customFormat="1">
      <c r="F655" s="36"/>
      <c r="H655" s="37"/>
    </row>
    <row r="656" spans="6:8" s="30" customFormat="1">
      <c r="F656" s="36"/>
      <c r="H656" s="37"/>
    </row>
    <row r="657" spans="6:8" s="30" customFormat="1">
      <c r="F657" s="36"/>
      <c r="H657" s="37"/>
    </row>
    <row r="658" spans="6:8" s="30" customFormat="1">
      <c r="F658" s="36"/>
      <c r="H658" s="37"/>
    </row>
    <row r="659" spans="6:8" s="30" customFormat="1">
      <c r="F659" s="36"/>
      <c r="H659" s="37"/>
    </row>
    <row r="660" spans="6:8" s="30" customFormat="1">
      <c r="F660" s="36"/>
      <c r="H660" s="37"/>
    </row>
    <row r="661" spans="6:8" s="30" customFormat="1">
      <c r="F661" s="36"/>
      <c r="H661" s="37"/>
    </row>
    <row r="662" spans="6:8" s="30" customFormat="1">
      <c r="F662" s="36"/>
      <c r="H662" s="37"/>
    </row>
    <row r="663" spans="6:8" s="30" customFormat="1">
      <c r="F663" s="36"/>
      <c r="H663" s="37"/>
    </row>
    <row r="664" spans="6:8" s="30" customFormat="1">
      <c r="F664" s="36"/>
      <c r="H664" s="37"/>
    </row>
    <row r="665" spans="6:8" s="30" customFormat="1">
      <c r="F665" s="36"/>
      <c r="H665" s="37"/>
    </row>
    <row r="666" spans="6:8" s="30" customFormat="1">
      <c r="F666" s="36"/>
      <c r="H666" s="37"/>
    </row>
    <row r="667" spans="6:8" s="30" customFormat="1">
      <c r="F667" s="36"/>
      <c r="H667" s="37"/>
    </row>
    <row r="668" spans="6:8" s="30" customFormat="1">
      <c r="F668" s="36"/>
      <c r="H668" s="37"/>
    </row>
    <row r="669" spans="6:8" s="30" customFormat="1">
      <c r="F669" s="36"/>
      <c r="H669" s="37"/>
    </row>
    <row r="670" spans="6:8" s="30" customFormat="1">
      <c r="F670" s="36"/>
      <c r="H670" s="37"/>
    </row>
    <row r="671" spans="6:8" s="30" customFormat="1">
      <c r="F671" s="36"/>
      <c r="H671" s="37"/>
    </row>
    <row r="672" spans="6:8" s="30" customFormat="1">
      <c r="F672" s="36"/>
      <c r="H672" s="37"/>
    </row>
    <row r="673" spans="6:8" s="30" customFormat="1">
      <c r="F673" s="36"/>
      <c r="H673" s="37"/>
    </row>
    <row r="674" spans="6:8" s="30" customFormat="1">
      <c r="F674" s="36"/>
      <c r="H674" s="37"/>
    </row>
    <row r="675" spans="6:8" s="30" customFormat="1">
      <c r="F675" s="36"/>
      <c r="H675" s="37"/>
    </row>
    <row r="676" spans="6:8" s="30" customFormat="1">
      <c r="F676" s="36"/>
      <c r="H676" s="37"/>
    </row>
    <row r="677" spans="6:8" s="30" customFormat="1">
      <c r="F677" s="36"/>
      <c r="H677" s="37"/>
    </row>
    <row r="678" spans="6:8" s="30" customFormat="1">
      <c r="F678" s="36"/>
      <c r="H678" s="37"/>
    </row>
    <row r="679" spans="6:8" s="30" customFormat="1">
      <c r="F679" s="36"/>
      <c r="H679" s="37"/>
    </row>
    <row r="680" spans="6:8" s="30" customFormat="1">
      <c r="F680" s="36"/>
      <c r="H680" s="37"/>
    </row>
    <row r="681" spans="6:8" s="30" customFormat="1">
      <c r="F681" s="36"/>
      <c r="H681" s="37"/>
    </row>
    <row r="682" spans="6:8" s="30" customFormat="1">
      <c r="F682" s="36"/>
      <c r="H682" s="37"/>
    </row>
    <row r="683" spans="6:8" s="30" customFormat="1">
      <c r="F683" s="36"/>
      <c r="H683" s="37"/>
    </row>
    <row r="684" spans="6:8" s="30" customFormat="1">
      <c r="F684" s="36"/>
      <c r="H684" s="37"/>
    </row>
    <row r="685" spans="6:8" s="30" customFormat="1">
      <c r="F685" s="36"/>
      <c r="H685" s="37"/>
    </row>
    <row r="686" spans="6:8" s="30" customFormat="1">
      <c r="F686" s="36"/>
      <c r="H686" s="37"/>
    </row>
    <row r="687" spans="6:8" s="30" customFormat="1">
      <c r="F687" s="36"/>
      <c r="H687" s="37"/>
    </row>
    <row r="688" spans="6:8" s="30" customFormat="1">
      <c r="F688" s="36"/>
      <c r="H688" s="37"/>
    </row>
    <row r="689" spans="6:8" s="30" customFormat="1">
      <c r="F689" s="36"/>
      <c r="H689" s="37"/>
    </row>
    <row r="690" spans="6:8" s="30" customFormat="1">
      <c r="F690" s="36"/>
      <c r="H690" s="37"/>
    </row>
    <row r="691" spans="6:8" s="30" customFormat="1">
      <c r="F691" s="36"/>
      <c r="H691" s="37"/>
    </row>
    <row r="692" spans="6:8" s="30" customFormat="1">
      <c r="F692" s="36"/>
      <c r="H692" s="37"/>
    </row>
    <row r="693" spans="6:8" s="30" customFormat="1">
      <c r="F693" s="36"/>
      <c r="H693" s="37"/>
    </row>
    <row r="694" spans="6:8" s="30" customFormat="1">
      <c r="F694" s="36"/>
      <c r="H694" s="37"/>
    </row>
    <row r="695" spans="6:8" s="30" customFormat="1">
      <c r="F695" s="36"/>
      <c r="H695" s="37"/>
    </row>
    <row r="696" spans="6:8" s="30" customFormat="1">
      <c r="F696" s="36"/>
      <c r="H696" s="37"/>
    </row>
    <row r="697" spans="6:8" s="30" customFormat="1">
      <c r="F697" s="36"/>
      <c r="H697" s="37"/>
    </row>
    <row r="698" spans="6:8" s="30" customFormat="1">
      <c r="F698" s="36"/>
      <c r="H698" s="37"/>
    </row>
    <row r="699" spans="6:8" s="30" customFormat="1">
      <c r="F699" s="36"/>
      <c r="H699" s="37"/>
    </row>
    <row r="700" spans="6:8" s="30" customFormat="1">
      <c r="F700" s="36"/>
      <c r="H700" s="37"/>
    </row>
    <row r="701" spans="6:8" s="30" customFormat="1">
      <c r="F701" s="36"/>
      <c r="H701" s="37"/>
    </row>
    <row r="702" spans="6:8" s="30" customFormat="1">
      <c r="F702" s="36"/>
      <c r="H702" s="37"/>
    </row>
    <row r="703" spans="6:8" s="30" customFormat="1">
      <c r="F703" s="36"/>
      <c r="H703" s="37"/>
    </row>
    <row r="704" spans="6:8" s="30" customFormat="1">
      <c r="F704" s="36"/>
      <c r="H704" s="37"/>
    </row>
    <row r="705" spans="6:8" s="30" customFormat="1">
      <c r="F705" s="36"/>
      <c r="H705" s="37"/>
    </row>
    <row r="706" spans="6:8" s="30" customFormat="1">
      <c r="F706" s="36"/>
      <c r="H706" s="37"/>
    </row>
    <row r="707" spans="6:8" s="30" customFormat="1">
      <c r="F707" s="36"/>
      <c r="H707" s="37"/>
    </row>
    <row r="708" spans="6:8" s="30" customFormat="1">
      <c r="F708" s="36"/>
      <c r="H708" s="37"/>
    </row>
    <row r="709" spans="6:8" s="30" customFormat="1">
      <c r="F709" s="36"/>
      <c r="H709" s="37"/>
    </row>
    <row r="710" spans="6:8" s="30" customFormat="1">
      <c r="F710" s="36"/>
      <c r="H710" s="37"/>
    </row>
    <row r="711" spans="6:8" s="30" customFormat="1">
      <c r="F711" s="36"/>
      <c r="H711" s="37"/>
    </row>
    <row r="712" spans="6:8" s="30" customFormat="1">
      <c r="F712" s="36"/>
      <c r="H712" s="37"/>
    </row>
    <row r="713" spans="6:8" s="30" customFormat="1">
      <c r="F713" s="36"/>
      <c r="H713" s="37"/>
    </row>
    <row r="714" spans="6:8" s="30" customFormat="1">
      <c r="F714" s="36"/>
      <c r="H714" s="37"/>
    </row>
    <row r="715" spans="6:8" s="30" customFormat="1">
      <c r="F715" s="36"/>
      <c r="H715" s="37"/>
    </row>
    <row r="716" spans="6:8" s="30" customFormat="1">
      <c r="F716" s="36"/>
      <c r="H716" s="37"/>
    </row>
    <row r="717" spans="6:8" s="30" customFormat="1">
      <c r="F717" s="36"/>
      <c r="H717" s="37"/>
    </row>
    <row r="718" spans="6:8" s="30" customFormat="1">
      <c r="F718" s="36"/>
      <c r="H718" s="37"/>
    </row>
    <row r="719" spans="6:8" s="30" customFormat="1">
      <c r="F719" s="36"/>
      <c r="H719" s="37"/>
    </row>
    <row r="720" spans="6:8" s="30" customFormat="1">
      <c r="F720" s="36"/>
      <c r="H720" s="37"/>
    </row>
    <row r="721" spans="6:8" s="30" customFormat="1">
      <c r="F721" s="36"/>
      <c r="H721" s="37"/>
    </row>
    <row r="722" spans="6:8" s="30" customFormat="1">
      <c r="F722" s="36"/>
      <c r="H722" s="37"/>
    </row>
    <row r="723" spans="6:8" s="30" customFormat="1">
      <c r="F723" s="36"/>
      <c r="H723" s="37"/>
    </row>
    <row r="724" spans="6:8" s="30" customFormat="1">
      <c r="F724" s="36"/>
      <c r="H724" s="37"/>
    </row>
    <row r="725" spans="6:8" s="30" customFormat="1">
      <c r="F725" s="36"/>
      <c r="H725" s="37"/>
    </row>
    <row r="726" spans="6:8" s="30" customFormat="1">
      <c r="F726" s="36"/>
      <c r="H726" s="37"/>
    </row>
    <row r="727" spans="6:8" s="30" customFormat="1">
      <c r="F727" s="36"/>
      <c r="H727" s="37"/>
    </row>
    <row r="728" spans="6:8" s="30" customFormat="1">
      <c r="F728" s="36"/>
      <c r="H728" s="37"/>
    </row>
    <row r="729" spans="6:8" s="30" customFormat="1">
      <c r="F729" s="36"/>
      <c r="H729" s="37"/>
    </row>
    <row r="730" spans="6:8" s="30" customFormat="1">
      <c r="F730" s="36"/>
      <c r="H730" s="37"/>
    </row>
    <row r="731" spans="6:8" s="30" customFormat="1">
      <c r="F731" s="36"/>
      <c r="H731" s="37"/>
    </row>
    <row r="732" spans="6:8" s="30" customFormat="1">
      <c r="F732" s="36"/>
      <c r="H732" s="37"/>
    </row>
    <row r="733" spans="6:8" s="30" customFormat="1">
      <c r="F733" s="36"/>
      <c r="H733" s="37"/>
    </row>
    <row r="734" spans="6:8" s="30" customFormat="1">
      <c r="F734" s="36"/>
      <c r="H734" s="37"/>
    </row>
    <row r="735" spans="6:8" s="30" customFormat="1">
      <c r="F735" s="36"/>
      <c r="H735" s="37"/>
    </row>
    <row r="736" spans="6:8" s="30" customFormat="1">
      <c r="F736" s="36"/>
      <c r="H736" s="37"/>
    </row>
    <row r="737" spans="6:8" s="30" customFormat="1">
      <c r="F737" s="36"/>
      <c r="H737" s="37"/>
    </row>
    <row r="738" spans="6:8" s="30" customFormat="1">
      <c r="F738" s="36"/>
      <c r="H738" s="37"/>
    </row>
    <row r="739" spans="6:8" s="30" customFormat="1">
      <c r="F739" s="36"/>
      <c r="H739" s="37"/>
    </row>
    <row r="740" spans="6:8" s="30" customFormat="1">
      <c r="F740" s="36"/>
      <c r="H740" s="37"/>
    </row>
    <row r="741" spans="6:8" s="30" customFormat="1">
      <c r="F741" s="36"/>
      <c r="H741" s="37"/>
    </row>
    <row r="742" spans="6:8" s="30" customFormat="1">
      <c r="F742" s="36"/>
      <c r="H742" s="37"/>
    </row>
    <row r="743" spans="6:8" s="30" customFormat="1">
      <c r="F743" s="36"/>
      <c r="H743" s="37"/>
    </row>
    <row r="744" spans="6:8" s="30" customFormat="1">
      <c r="F744" s="36"/>
      <c r="H744" s="37"/>
    </row>
    <row r="745" spans="6:8" s="30" customFormat="1">
      <c r="F745" s="36"/>
      <c r="H745" s="37"/>
    </row>
    <row r="746" spans="6:8" s="30" customFormat="1">
      <c r="F746" s="36"/>
      <c r="H746" s="37"/>
    </row>
    <row r="747" spans="6:8" s="30" customFormat="1">
      <c r="F747" s="36"/>
      <c r="H747" s="37"/>
    </row>
    <row r="748" spans="6:8" s="30" customFormat="1">
      <c r="F748" s="36"/>
      <c r="H748" s="37"/>
    </row>
    <row r="749" spans="6:8" s="30" customFormat="1">
      <c r="F749" s="36"/>
      <c r="H749" s="37"/>
    </row>
    <row r="750" spans="6:8" s="30" customFormat="1">
      <c r="F750" s="36"/>
      <c r="H750" s="37"/>
    </row>
    <row r="751" spans="6:8" s="30" customFormat="1">
      <c r="F751" s="36"/>
      <c r="H751" s="37"/>
    </row>
    <row r="752" spans="6:8" s="30" customFormat="1">
      <c r="F752" s="36"/>
      <c r="H752" s="37"/>
    </row>
    <row r="753" spans="6:8" s="30" customFormat="1">
      <c r="F753" s="36"/>
      <c r="H753" s="37"/>
    </row>
    <row r="754" spans="6:8" s="30" customFormat="1">
      <c r="F754" s="36"/>
      <c r="H754" s="37"/>
    </row>
    <row r="755" spans="6:8" s="30" customFormat="1">
      <c r="F755" s="36"/>
      <c r="H755" s="37"/>
    </row>
    <row r="756" spans="6:8" s="30" customFormat="1">
      <c r="F756" s="36"/>
      <c r="H756" s="37"/>
    </row>
    <row r="757" spans="6:8" s="30" customFormat="1">
      <c r="F757" s="36"/>
      <c r="H757" s="37"/>
    </row>
    <row r="758" spans="6:8" s="30" customFormat="1">
      <c r="F758" s="36"/>
      <c r="H758" s="37"/>
    </row>
    <row r="759" spans="6:8" s="30" customFormat="1">
      <c r="F759" s="36"/>
      <c r="H759" s="37"/>
    </row>
    <row r="760" spans="6:8" s="30" customFormat="1">
      <c r="F760" s="36"/>
      <c r="H760" s="37"/>
    </row>
    <row r="761" spans="6:8" s="30" customFormat="1">
      <c r="F761" s="36"/>
      <c r="H761" s="37"/>
    </row>
    <row r="762" spans="6:8" s="30" customFormat="1">
      <c r="F762" s="36"/>
      <c r="H762" s="37"/>
    </row>
    <row r="763" spans="6:8" s="30" customFormat="1">
      <c r="F763" s="36"/>
      <c r="H763" s="37"/>
    </row>
    <row r="764" spans="6:8" s="30" customFormat="1">
      <c r="F764" s="36"/>
      <c r="H764" s="37"/>
    </row>
    <row r="765" spans="6:8" s="30" customFormat="1">
      <c r="F765" s="36"/>
      <c r="H765" s="37"/>
    </row>
    <row r="766" spans="6:8" s="30" customFormat="1">
      <c r="F766" s="36"/>
      <c r="H766" s="37"/>
    </row>
    <row r="767" spans="6:8" s="30" customFormat="1">
      <c r="F767" s="36"/>
      <c r="H767" s="37"/>
    </row>
    <row r="768" spans="6:8" s="30" customFormat="1">
      <c r="F768" s="36"/>
      <c r="H768" s="37"/>
    </row>
    <row r="769" spans="6:8" s="30" customFormat="1">
      <c r="F769" s="36"/>
      <c r="H769" s="37"/>
    </row>
    <row r="770" spans="6:8" s="30" customFormat="1">
      <c r="F770" s="36"/>
      <c r="H770" s="37"/>
    </row>
    <row r="771" spans="6:8" s="30" customFormat="1">
      <c r="F771" s="36"/>
      <c r="H771" s="37"/>
    </row>
    <row r="772" spans="6:8" s="30" customFormat="1">
      <c r="F772" s="36"/>
      <c r="H772" s="37"/>
    </row>
    <row r="773" spans="6:8" s="30" customFormat="1">
      <c r="F773" s="36"/>
      <c r="H773" s="37"/>
    </row>
    <row r="774" spans="6:8" s="30" customFormat="1">
      <c r="F774" s="36"/>
      <c r="H774" s="37"/>
    </row>
    <row r="775" spans="6:8" s="30" customFormat="1">
      <c r="F775" s="36"/>
      <c r="H775" s="37"/>
    </row>
    <row r="776" spans="6:8" s="30" customFormat="1">
      <c r="F776" s="36"/>
      <c r="H776" s="37"/>
    </row>
    <row r="777" spans="6:8" s="30" customFormat="1">
      <c r="F777" s="36"/>
      <c r="H777" s="37"/>
    </row>
    <row r="778" spans="6:8" s="30" customFormat="1">
      <c r="F778" s="36"/>
      <c r="H778" s="37"/>
    </row>
    <row r="779" spans="6:8" s="30" customFormat="1">
      <c r="F779" s="36"/>
      <c r="H779" s="37"/>
    </row>
    <row r="780" spans="6:8" s="30" customFormat="1">
      <c r="F780" s="36"/>
      <c r="H780" s="37"/>
    </row>
    <row r="781" spans="6:8" s="30" customFormat="1">
      <c r="F781" s="36"/>
      <c r="H781" s="37"/>
    </row>
    <row r="782" spans="6:8" s="30" customFormat="1">
      <c r="F782" s="36"/>
      <c r="H782" s="37"/>
    </row>
    <row r="783" spans="6:8" s="30" customFormat="1">
      <c r="F783" s="36"/>
      <c r="H783" s="37"/>
    </row>
    <row r="784" spans="6:8" s="30" customFormat="1">
      <c r="F784" s="36"/>
      <c r="H784" s="37"/>
    </row>
    <row r="785" spans="6:8" s="30" customFormat="1">
      <c r="F785" s="36"/>
      <c r="H785" s="37"/>
    </row>
    <row r="786" spans="6:8" s="30" customFormat="1">
      <c r="F786" s="36"/>
      <c r="H786" s="37"/>
    </row>
    <row r="787" spans="6:8" s="30" customFormat="1">
      <c r="F787" s="36"/>
      <c r="H787" s="37"/>
    </row>
    <row r="788" spans="6:8" s="30" customFormat="1">
      <c r="F788" s="36"/>
      <c r="H788" s="37"/>
    </row>
    <row r="789" spans="6:8" s="30" customFormat="1">
      <c r="F789" s="36"/>
      <c r="H789" s="37"/>
    </row>
    <row r="790" spans="6:8" s="30" customFormat="1">
      <c r="F790" s="36"/>
      <c r="H790" s="37"/>
    </row>
    <row r="791" spans="6:8" s="30" customFormat="1">
      <c r="F791" s="36"/>
      <c r="H791" s="37"/>
    </row>
    <row r="792" spans="6:8" s="30" customFormat="1">
      <c r="F792" s="36"/>
      <c r="H792" s="37"/>
    </row>
    <row r="793" spans="6:8" s="30" customFormat="1">
      <c r="F793" s="36"/>
      <c r="H793" s="37"/>
    </row>
    <row r="794" spans="6:8" s="30" customFormat="1">
      <c r="F794" s="36"/>
      <c r="H794" s="37"/>
    </row>
    <row r="795" spans="6:8" s="30" customFormat="1">
      <c r="F795" s="36"/>
      <c r="H795" s="37"/>
    </row>
    <row r="796" spans="6:8" s="30" customFormat="1">
      <c r="F796" s="36"/>
      <c r="H796" s="37"/>
    </row>
    <row r="797" spans="6:8" s="30" customFormat="1">
      <c r="F797" s="36"/>
      <c r="H797" s="37"/>
    </row>
    <row r="798" spans="6:8" s="30" customFormat="1">
      <c r="F798" s="36"/>
      <c r="H798" s="37"/>
    </row>
    <row r="799" spans="6:8" s="30" customFormat="1">
      <c r="F799" s="36"/>
      <c r="H799" s="37"/>
    </row>
    <row r="800" spans="6:8" s="30" customFormat="1">
      <c r="F800" s="36"/>
      <c r="H800" s="37"/>
    </row>
    <row r="801" spans="6:8" s="30" customFormat="1">
      <c r="F801" s="36"/>
      <c r="H801" s="37"/>
    </row>
    <row r="802" spans="6:8" s="30" customFormat="1">
      <c r="F802" s="36"/>
      <c r="H802" s="37"/>
    </row>
    <row r="803" spans="6:8" s="30" customFormat="1">
      <c r="F803" s="36"/>
      <c r="H803" s="37"/>
    </row>
    <row r="804" spans="6:8" s="30" customFormat="1">
      <c r="F804" s="36"/>
      <c r="H804" s="37"/>
    </row>
    <row r="805" spans="6:8" s="30" customFormat="1">
      <c r="F805" s="36"/>
      <c r="H805" s="37"/>
    </row>
    <row r="806" spans="6:8" s="30" customFormat="1">
      <c r="F806" s="36"/>
      <c r="H806" s="37"/>
    </row>
    <row r="807" spans="6:8" s="30" customFormat="1">
      <c r="F807" s="36"/>
      <c r="H807" s="37"/>
    </row>
    <row r="808" spans="6:8" s="30" customFormat="1">
      <c r="F808" s="36"/>
      <c r="H808" s="37"/>
    </row>
    <row r="809" spans="6:8" s="30" customFormat="1">
      <c r="F809" s="36"/>
      <c r="H809" s="37"/>
    </row>
    <row r="810" spans="6:8" s="30" customFormat="1">
      <c r="F810" s="36"/>
      <c r="H810" s="37"/>
    </row>
    <row r="811" spans="6:8" s="30" customFormat="1">
      <c r="F811" s="36"/>
      <c r="H811" s="37"/>
    </row>
    <row r="812" spans="6:8" s="30" customFormat="1">
      <c r="F812" s="36"/>
      <c r="H812" s="37"/>
    </row>
    <row r="813" spans="6:8" s="30" customFormat="1">
      <c r="F813" s="36"/>
      <c r="H813" s="37"/>
    </row>
    <row r="814" spans="6:8" s="30" customFormat="1">
      <c r="F814" s="36"/>
      <c r="H814" s="37"/>
    </row>
    <row r="815" spans="6:8" s="30" customFormat="1">
      <c r="F815" s="36"/>
      <c r="H815" s="37"/>
    </row>
    <row r="816" spans="6:8" s="30" customFormat="1">
      <c r="F816" s="36"/>
      <c r="H816" s="37"/>
    </row>
    <row r="817" spans="6:8" s="30" customFormat="1">
      <c r="F817" s="36"/>
      <c r="H817" s="37"/>
    </row>
    <row r="818" spans="6:8" s="30" customFormat="1">
      <c r="F818" s="36"/>
      <c r="H818" s="37"/>
    </row>
    <row r="819" spans="6:8" s="30" customFormat="1">
      <c r="F819" s="36"/>
      <c r="H819" s="37"/>
    </row>
    <row r="820" spans="6:8" s="30" customFormat="1">
      <c r="F820" s="36"/>
      <c r="H820" s="37"/>
    </row>
    <row r="821" spans="6:8" s="30" customFormat="1">
      <c r="F821" s="36"/>
      <c r="H821" s="37"/>
    </row>
    <row r="822" spans="6:8" s="30" customFormat="1">
      <c r="F822" s="36"/>
      <c r="H822" s="37"/>
    </row>
    <row r="823" spans="6:8" s="30" customFormat="1">
      <c r="F823" s="36"/>
      <c r="H823" s="37"/>
    </row>
    <row r="824" spans="6:8" s="30" customFormat="1">
      <c r="F824" s="36"/>
      <c r="H824" s="37"/>
    </row>
    <row r="825" spans="6:8" s="30" customFormat="1">
      <c r="F825" s="36"/>
      <c r="H825" s="37"/>
    </row>
    <row r="826" spans="6:8" s="30" customFormat="1">
      <c r="F826" s="36"/>
      <c r="H826" s="37"/>
    </row>
    <row r="827" spans="6:8" s="30" customFormat="1">
      <c r="F827" s="36"/>
      <c r="H827" s="37"/>
    </row>
    <row r="828" spans="6:8" s="30" customFormat="1">
      <c r="F828" s="36"/>
      <c r="H828" s="37"/>
    </row>
    <row r="829" spans="6:8" s="30" customFormat="1">
      <c r="F829" s="36"/>
      <c r="H829" s="37"/>
    </row>
    <row r="830" spans="6:8" s="30" customFormat="1">
      <c r="F830" s="36"/>
      <c r="H830" s="37"/>
    </row>
    <row r="831" spans="6:8" s="30" customFormat="1">
      <c r="F831" s="36"/>
      <c r="H831" s="37"/>
    </row>
    <row r="832" spans="6:8" s="30" customFormat="1">
      <c r="F832" s="36"/>
      <c r="H832" s="37"/>
    </row>
    <row r="833" spans="6:8" s="30" customFormat="1">
      <c r="F833" s="36"/>
      <c r="H833" s="37"/>
    </row>
    <row r="834" spans="6:8" s="30" customFormat="1">
      <c r="F834" s="36"/>
      <c r="H834" s="37"/>
    </row>
    <row r="835" spans="6:8" s="30" customFormat="1">
      <c r="F835" s="36"/>
      <c r="H835" s="37"/>
    </row>
    <row r="836" spans="6:8" s="30" customFormat="1">
      <c r="F836" s="36"/>
      <c r="H836" s="37"/>
    </row>
    <row r="837" spans="6:8" s="30" customFormat="1">
      <c r="F837" s="36"/>
      <c r="H837" s="37"/>
    </row>
    <row r="838" spans="6:8" s="30" customFormat="1">
      <c r="F838" s="36"/>
      <c r="H838" s="37"/>
    </row>
    <row r="839" spans="6:8" s="30" customFormat="1">
      <c r="F839" s="36"/>
      <c r="H839" s="37"/>
    </row>
    <row r="840" spans="6:8" s="30" customFormat="1">
      <c r="F840" s="36"/>
      <c r="H840" s="37"/>
    </row>
    <row r="841" spans="6:8" s="30" customFormat="1">
      <c r="F841" s="36"/>
      <c r="H841" s="37"/>
    </row>
    <row r="842" spans="6:8" s="30" customFormat="1">
      <c r="F842" s="36"/>
      <c r="H842" s="37"/>
    </row>
    <row r="843" spans="6:8" s="30" customFormat="1">
      <c r="F843" s="36"/>
      <c r="H843" s="37"/>
    </row>
    <row r="844" spans="6:8" s="30" customFormat="1">
      <c r="F844" s="36"/>
      <c r="H844" s="37"/>
    </row>
    <row r="845" spans="6:8" s="30" customFormat="1">
      <c r="F845" s="36"/>
      <c r="H845" s="37"/>
    </row>
    <row r="846" spans="6:8" s="30" customFormat="1">
      <c r="F846" s="36"/>
      <c r="H846" s="37"/>
    </row>
    <row r="847" spans="6:8" s="30" customFormat="1">
      <c r="F847" s="36"/>
      <c r="H847" s="37"/>
    </row>
    <row r="848" spans="6:8" s="30" customFormat="1">
      <c r="F848" s="36"/>
      <c r="H848" s="37"/>
    </row>
    <row r="849" spans="6:8" s="30" customFormat="1">
      <c r="F849" s="36"/>
      <c r="H849" s="37"/>
    </row>
    <row r="850" spans="6:8" s="30" customFormat="1">
      <c r="F850" s="36"/>
      <c r="H850" s="37"/>
    </row>
    <row r="851" spans="6:8" s="30" customFormat="1">
      <c r="F851" s="36"/>
      <c r="H851" s="37"/>
    </row>
    <row r="852" spans="6:8" s="30" customFormat="1">
      <c r="F852" s="36"/>
      <c r="H852" s="37"/>
    </row>
    <row r="853" spans="6:8" s="30" customFormat="1">
      <c r="F853" s="36"/>
      <c r="H853" s="37"/>
    </row>
    <row r="854" spans="6:8" s="30" customFormat="1">
      <c r="F854" s="36"/>
      <c r="H854" s="37"/>
    </row>
    <row r="855" spans="6:8" s="30" customFormat="1">
      <c r="F855" s="36"/>
      <c r="H855" s="37"/>
    </row>
    <row r="856" spans="6:8" s="30" customFormat="1">
      <c r="F856" s="36"/>
      <c r="H856" s="37"/>
    </row>
    <row r="857" spans="6:8" s="30" customFormat="1">
      <c r="F857" s="36"/>
      <c r="H857" s="37"/>
    </row>
    <row r="858" spans="6:8" s="30" customFormat="1">
      <c r="F858" s="36"/>
      <c r="H858" s="37"/>
    </row>
    <row r="859" spans="6:8" s="30" customFormat="1">
      <c r="F859" s="36"/>
      <c r="H859" s="37"/>
    </row>
    <row r="860" spans="6:8" s="30" customFormat="1">
      <c r="F860" s="36"/>
      <c r="H860" s="37"/>
    </row>
    <row r="861" spans="6:8" s="30" customFormat="1">
      <c r="F861" s="36"/>
      <c r="H861" s="37"/>
    </row>
    <row r="862" spans="6:8" s="30" customFormat="1">
      <c r="F862" s="36"/>
      <c r="H862" s="37"/>
    </row>
    <row r="863" spans="6:8" s="30" customFormat="1">
      <c r="F863" s="36"/>
      <c r="H863" s="37"/>
    </row>
    <row r="864" spans="6:8" s="30" customFormat="1">
      <c r="F864" s="36"/>
      <c r="H864" s="37"/>
    </row>
    <row r="865" spans="6:8" s="30" customFormat="1">
      <c r="F865" s="36"/>
      <c r="H865" s="37"/>
    </row>
    <row r="866" spans="6:8" s="30" customFormat="1">
      <c r="F866" s="36"/>
      <c r="H866" s="37"/>
    </row>
    <row r="867" spans="6:8" s="30" customFormat="1">
      <c r="F867" s="36"/>
      <c r="H867" s="37"/>
    </row>
    <row r="868" spans="6:8" s="30" customFormat="1">
      <c r="F868" s="36"/>
      <c r="H868" s="37"/>
    </row>
    <row r="869" spans="6:8" s="30" customFormat="1">
      <c r="F869" s="36"/>
      <c r="H869" s="37"/>
    </row>
    <row r="870" spans="6:8" s="30" customFormat="1">
      <c r="F870" s="36"/>
      <c r="H870" s="37"/>
    </row>
    <row r="871" spans="6:8" s="30" customFormat="1">
      <c r="F871" s="36"/>
      <c r="H871" s="37"/>
    </row>
    <row r="872" spans="6:8" s="30" customFormat="1">
      <c r="F872" s="36"/>
      <c r="H872" s="37"/>
    </row>
    <row r="873" spans="6:8" s="30" customFormat="1">
      <c r="F873" s="36"/>
      <c r="H873" s="37"/>
    </row>
    <row r="874" spans="6:8" s="30" customFormat="1">
      <c r="F874" s="36"/>
      <c r="H874" s="37"/>
    </row>
    <row r="875" spans="6:8" s="30" customFormat="1">
      <c r="F875" s="36"/>
      <c r="H875" s="37"/>
    </row>
    <row r="876" spans="6:8" s="30" customFormat="1">
      <c r="F876" s="36"/>
      <c r="H876" s="37"/>
    </row>
    <row r="877" spans="6:8" s="30" customFormat="1">
      <c r="F877" s="36"/>
      <c r="H877" s="37"/>
    </row>
    <row r="878" spans="6:8" s="30" customFormat="1">
      <c r="F878" s="36"/>
      <c r="H878" s="37"/>
    </row>
    <row r="879" spans="6:8" s="30" customFormat="1">
      <c r="F879" s="36"/>
      <c r="H879" s="37"/>
    </row>
    <row r="880" spans="6:8" s="30" customFormat="1">
      <c r="F880" s="36"/>
      <c r="H880" s="37"/>
    </row>
    <row r="881" spans="6:8" s="30" customFormat="1">
      <c r="F881" s="36"/>
      <c r="H881" s="37"/>
    </row>
    <row r="882" spans="6:8" s="30" customFormat="1">
      <c r="F882" s="36"/>
      <c r="H882" s="37"/>
    </row>
    <row r="883" spans="6:8" s="30" customFormat="1">
      <c r="F883" s="36"/>
      <c r="H883" s="37"/>
    </row>
    <row r="884" spans="6:8" s="30" customFormat="1">
      <c r="F884" s="36"/>
      <c r="H884" s="37"/>
    </row>
    <row r="885" spans="6:8" s="30" customFormat="1">
      <c r="F885" s="36"/>
      <c r="H885" s="37"/>
    </row>
    <row r="886" spans="6:8" s="30" customFormat="1">
      <c r="F886" s="36"/>
      <c r="H886" s="37"/>
    </row>
    <row r="887" spans="6:8" s="30" customFormat="1">
      <c r="F887" s="36"/>
      <c r="H887" s="37"/>
    </row>
    <row r="888" spans="6:8" s="30" customFormat="1">
      <c r="F888" s="36"/>
      <c r="H888" s="37"/>
    </row>
    <row r="889" spans="6:8" s="30" customFormat="1">
      <c r="F889" s="36"/>
      <c r="H889" s="37"/>
    </row>
    <row r="890" spans="6:8" s="30" customFormat="1">
      <c r="F890" s="36"/>
      <c r="H890" s="37"/>
    </row>
    <row r="891" spans="6:8" s="30" customFormat="1">
      <c r="F891" s="36"/>
      <c r="H891" s="37"/>
    </row>
    <row r="892" spans="6:8" s="30" customFormat="1">
      <c r="F892" s="36"/>
      <c r="H892" s="37"/>
    </row>
    <row r="893" spans="6:8" s="30" customFormat="1">
      <c r="F893" s="36"/>
      <c r="H893" s="37"/>
    </row>
    <row r="894" spans="6:8" s="30" customFormat="1">
      <c r="F894" s="36"/>
      <c r="H894" s="37"/>
    </row>
    <row r="895" spans="6:8" s="30" customFormat="1">
      <c r="F895" s="36"/>
      <c r="H895" s="37"/>
    </row>
    <row r="896" spans="6:8" s="30" customFormat="1">
      <c r="F896" s="36"/>
      <c r="H896" s="37"/>
    </row>
    <row r="897" spans="6:8" s="30" customFormat="1">
      <c r="F897" s="36"/>
      <c r="H897" s="37"/>
    </row>
    <row r="898" spans="6:8" s="30" customFormat="1">
      <c r="F898" s="36"/>
      <c r="H898" s="37"/>
    </row>
    <row r="899" spans="6:8" s="30" customFormat="1">
      <c r="F899" s="36"/>
      <c r="H899" s="37"/>
    </row>
    <row r="900" spans="6:8" s="30" customFormat="1">
      <c r="F900" s="36"/>
      <c r="H900" s="37"/>
    </row>
    <row r="901" spans="6:8" s="30" customFormat="1">
      <c r="F901" s="36"/>
      <c r="H901" s="37"/>
    </row>
    <row r="902" spans="6:8" s="30" customFormat="1">
      <c r="F902" s="36"/>
      <c r="H902" s="37"/>
    </row>
    <row r="903" spans="6:8" s="30" customFormat="1">
      <c r="F903" s="36"/>
      <c r="H903" s="37"/>
    </row>
    <row r="904" spans="6:8" s="30" customFormat="1">
      <c r="F904" s="36"/>
      <c r="H904" s="37"/>
    </row>
    <row r="905" spans="6:8" s="30" customFormat="1">
      <c r="F905" s="36"/>
      <c r="H905" s="37"/>
    </row>
    <row r="906" spans="6:8" s="30" customFormat="1">
      <c r="F906" s="36"/>
      <c r="H906" s="37"/>
    </row>
    <row r="907" spans="6:8" s="30" customFormat="1">
      <c r="F907" s="36"/>
      <c r="H907" s="37"/>
    </row>
    <row r="908" spans="6:8" s="30" customFormat="1">
      <c r="F908" s="36"/>
      <c r="H908" s="37"/>
    </row>
    <row r="909" spans="6:8" s="30" customFormat="1">
      <c r="F909" s="36"/>
      <c r="H909" s="37"/>
    </row>
    <row r="910" spans="6:8" s="30" customFormat="1">
      <c r="F910" s="36"/>
      <c r="H910" s="37"/>
    </row>
    <row r="911" spans="6:8" s="30" customFormat="1">
      <c r="F911" s="36"/>
      <c r="H911" s="37"/>
    </row>
    <row r="912" spans="6:8" s="30" customFormat="1">
      <c r="F912" s="36"/>
      <c r="H912" s="37"/>
    </row>
    <row r="913" spans="6:8" s="30" customFormat="1">
      <c r="F913" s="36"/>
      <c r="H913" s="37"/>
    </row>
    <row r="914" spans="6:8" s="30" customFormat="1">
      <c r="F914" s="36"/>
      <c r="H914" s="37"/>
    </row>
    <row r="915" spans="6:8" s="30" customFormat="1">
      <c r="F915" s="36"/>
      <c r="H915" s="37"/>
    </row>
    <row r="916" spans="6:8" s="30" customFormat="1">
      <c r="F916" s="36"/>
      <c r="H916" s="37"/>
    </row>
    <row r="917" spans="6:8" s="30" customFormat="1">
      <c r="F917" s="36"/>
      <c r="H917" s="37"/>
    </row>
    <row r="918" spans="6:8" s="30" customFormat="1">
      <c r="F918" s="36"/>
      <c r="H918" s="37"/>
    </row>
    <row r="919" spans="6:8" s="30" customFormat="1">
      <c r="F919" s="36"/>
      <c r="H919" s="37"/>
    </row>
    <row r="920" spans="6:8" s="30" customFormat="1">
      <c r="F920" s="36"/>
      <c r="H920" s="37"/>
    </row>
    <row r="921" spans="6:8" s="30" customFormat="1">
      <c r="F921" s="36"/>
      <c r="H921" s="37"/>
    </row>
    <row r="922" spans="6:8" s="30" customFormat="1">
      <c r="F922" s="36"/>
      <c r="H922" s="37"/>
    </row>
    <row r="923" spans="6:8" s="30" customFormat="1">
      <c r="F923" s="36"/>
      <c r="H923" s="37"/>
    </row>
    <row r="924" spans="6:8" s="30" customFormat="1">
      <c r="F924" s="36"/>
      <c r="H924" s="37"/>
    </row>
    <row r="925" spans="6:8" s="30" customFormat="1">
      <c r="F925" s="36"/>
      <c r="H925" s="37"/>
    </row>
    <row r="926" spans="6:8" s="30" customFormat="1">
      <c r="F926" s="36"/>
      <c r="H926" s="37"/>
    </row>
    <row r="927" spans="6:8" s="30" customFormat="1">
      <c r="F927" s="36"/>
      <c r="H927" s="37"/>
    </row>
    <row r="928" spans="6:8" s="30" customFormat="1">
      <c r="F928" s="36"/>
      <c r="H928" s="37"/>
    </row>
    <row r="929" spans="6:8" s="30" customFormat="1">
      <c r="F929" s="36"/>
      <c r="H929" s="37"/>
    </row>
    <row r="930" spans="6:8" s="30" customFormat="1">
      <c r="F930" s="36"/>
      <c r="H930" s="37"/>
    </row>
    <row r="931" spans="6:8" s="30" customFormat="1">
      <c r="F931" s="36"/>
      <c r="H931" s="37"/>
    </row>
    <row r="932" spans="6:8" s="30" customFormat="1">
      <c r="F932" s="36"/>
      <c r="H932" s="37"/>
    </row>
    <row r="933" spans="6:8" s="30" customFormat="1">
      <c r="F933" s="36"/>
      <c r="H933" s="37"/>
    </row>
    <row r="934" spans="6:8" s="30" customFormat="1">
      <c r="F934" s="36"/>
      <c r="H934" s="37"/>
    </row>
    <row r="935" spans="6:8" s="30" customFormat="1">
      <c r="F935" s="36"/>
      <c r="H935" s="37"/>
    </row>
    <row r="936" spans="6:8" s="30" customFormat="1">
      <c r="F936" s="36"/>
      <c r="H936" s="37"/>
    </row>
    <row r="937" spans="6:8" s="30" customFormat="1">
      <c r="F937" s="36"/>
      <c r="H937" s="37"/>
    </row>
    <row r="938" spans="6:8" s="30" customFormat="1">
      <c r="F938" s="36"/>
      <c r="H938" s="37"/>
    </row>
    <row r="939" spans="6:8" s="30" customFormat="1">
      <c r="F939" s="36"/>
      <c r="H939" s="37"/>
    </row>
    <row r="940" spans="6:8" s="30" customFormat="1">
      <c r="F940" s="36"/>
      <c r="H940" s="37"/>
    </row>
    <row r="941" spans="6:8" s="30" customFormat="1">
      <c r="F941" s="36"/>
      <c r="H941" s="37"/>
    </row>
    <row r="942" spans="6:8" s="30" customFormat="1">
      <c r="F942" s="36"/>
      <c r="H942" s="37"/>
    </row>
    <row r="943" spans="6:8" s="30" customFormat="1">
      <c r="F943" s="36"/>
      <c r="H943" s="37"/>
    </row>
    <row r="944" spans="6:8" s="30" customFormat="1">
      <c r="F944" s="36"/>
      <c r="H944" s="37"/>
    </row>
    <row r="945" spans="6:8" s="30" customFormat="1">
      <c r="F945" s="36"/>
      <c r="H945" s="37"/>
    </row>
    <row r="946" spans="6:8" s="30" customFormat="1">
      <c r="F946" s="36"/>
      <c r="H946" s="37"/>
    </row>
    <row r="947" spans="6:8" s="30" customFormat="1">
      <c r="F947" s="36"/>
      <c r="H947" s="37"/>
    </row>
    <row r="948" spans="6:8" s="30" customFormat="1">
      <c r="F948" s="36"/>
      <c r="H948" s="37"/>
    </row>
    <row r="949" spans="6:8" s="30" customFormat="1">
      <c r="F949" s="36"/>
      <c r="H949" s="37"/>
    </row>
    <row r="950" spans="6:8" s="30" customFormat="1">
      <c r="F950" s="36"/>
      <c r="H950" s="37"/>
    </row>
    <row r="951" spans="6:8" s="30" customFormat="1">
      <c r="F951" s="36"/>
      <c r="H951" s="37"/>
    </row>
    <row r="952" spans="6:8" s="30" customFormat="1">
      <c r="F952" s="36"/>
      <c r="H952" s="37"/>
    </row>
    <row r="953" spans="6:8" s="30" customFormat="1">
      <c r="F953" s="36"/>
      <c r="H953" s="37"/>
    </row>
    <row r="954" spans="6:8" s="30" customFormat="1">
      <c r="F954" s="36"/>
      <c r="H954" s="37"/>
    </row>
    <row r="955" spans="6:8" s="30" customFormat="1">
      <c r="F955" s="36"/>
      <c r="H955" s="37"/>
    </row>
    <row r="956" spans="6:8" s="30" customFormat="1">
      <c r="F956" s="36"/>
      <c r="H956" s="37"/>
    </row>
    <row r="957" spans="6:8" s="30" customFormat="1">
      <c r="F957" s="36"/>
      <c r="H957" s="37"/>
    </row>
    <row r="958" spans="6:8" s="30" customFormat="1">
      <c r="F958" s="36"/>
      <c r="H958" s="37"/>
    </row>
    <row r="959" spans="6:8" s="30" customFormat="1">
      <c r="F959" s="36"/>
      <c r="H959" s="37"/>
    </row>
    <row r="960" spans="6:8" s="30" customFormat="1">
      <c r="F960" s="36"/>
      <c r="H960" s="37"/>
    </row>
    <row r="961" spans="6:8" s="30" customFormat="1">
      <c r="F961" s="36"/>
      <c r="H961" s="37"/>
    </row>
    <row r="962" spans="6:8" s="30" customFormat="1">
      <c r="F962" s="36"/>
      <c r="H962" s="37"/>
    </row>
    <row r="963" spans="6:8" s="30" customFormat="1">
      <c r="F963" s="36"/>
      <c r="H963" s="37"/>
    </row>
    <row r="964" spans="6:8" s="30" customFormat="1">
      <c r="F964" s="36"/>
      <c r="H964" s="37"/>
    </row>
    <row r="965" spans="6:8" s="30" customFormat="1">
      <c r="F965" s="36"/>
      <c r="H965" s="37"/>
    </row>
    <row r="966" spans="6:8" s="30" customFormat="1">
      <c r="F966" s="36"/>
      <c r="H966" s="37"/>
    </row>
    <row r="967" spans="6:8" s="30" customFormat="1">
      <c r="F967" s="36"/>
      <c r="H967" s="37"/>
    </row>
    <row r="968" spans="6:8" s="30" customFormat="1">
      <c r="F968" s="36"/>
      <c r="H968" s="37"/>
    </row>
    <row r="969" spans="6:8" s="30" customFormat="1">
      <c r="F969" s="36"/>
      <c r="H969" s="37"/>
    </row>
    <row r="970" spans="6:8" s="30" customFormat="1">
      <c r="F970" s="36"/>
      <c r="H970" s="37"/>
    </row>
    <row r="971" spans="6:8" s="30" customFormat="1">
      <c r="F971" s="36"/>
      <c r="H971" s="37"/>
    </row>
    <row r="972" spans="6:8" s="30" customFormat="1">
      <c r="F972" s="36"/>
      <c r="H972" s="37"/>
    </row>
    <row r="973" spans="6:8" s="30" customFormat="1">
      <c r="F973" s="36"/>
      <c r="H973" s="37"/>
    </row>
    <row r="974" spans="6:8" s="30" customFormat="1">
      <c r="F974" s="36"/>
      <c r="H974" s="37"/>
    </row>
    <row r="975" spans="6:8" s="30" customFormat="1">
      <c r="F975" s="36"/>
      <c r="H975" s="37"/>
    </row>
    <row r="976" spans="6:8" s="30" customFormat="1">
      <c r="F976" s="36"/>
      <c r="H976" s="37"/>
    </row>
    <row r="977" spans="6:8" s="30" customFormat="1">
      <c r="F977" s="36"/>
      <c r="H977" s="37"/>
    </row>
    <row r="978" spans="6:8" s="30" customFormat="1">
      <c r="F978" s="36"/>
      <c r="H978" s="37"/>
    </row>
    <row r="979" spans="6:8" s="30" customFormat="1">
      <c r="F979" s="36"/>
      <c r="H979" s="37"/>
    </row>
    <row r="980" spans="6:8" s="30" customFormat="1">
      <c r="F980" s="36"/>
      <c r="H980" s="37"/>
    </row>
    <row r="981" spans="6:8" s="30" customFormat="1">
      <c r="F981" s="36"/>
      <c r="H981" s="37"/>
    </row>
    <row r="982" spans="6:8" s="30" customFormat="1">
      <c r="F982" s="36"/>
      <c r="H982" s="37"/>
    </row>
    <row r="983" spans="6:8" s="30" customFormat="1">
      <c r="F983" s="36"/>
      <c r="H983" s="37"/>
    </row>
    <row r="984" spans="6:8" s="30" customFormat="1">
      <c r="F984" s="36"/>
      <c r="H984" s="37"/>
    </row>
    <row r="985" spans="6:8" s="30" customFormat="1">
      <c r="F985" s="36"/>
      <c r="H985" s="37"/>
    </row>
    <row r="986" spans="6:8" s="30" customFormat="1">
      <c r="F986" s="36"/>
      <c r="H986" s="37"/>
    </row>
    <row r="987" spans="6:8" s="30" customFormat="1">
      <c r="F987" s="36"/>
      <c r="H987" s="37"/>
    </row>
    <row r="988" spans="6:8" s="30" customFormat="1">
      <c r="F988" s="36"/>
      <c r="H988" s="37"/>
    </row>
    <row r="989" spans="6:8" s="30" customFormat="1">
      <c r="F989" s="36"/>
      <c r="H989" s="37"/>
    </row>
    <row r="990" spans="6:8" s="30" customFormat="1">
      <c r="F990" s="36"/>
      <c r="H990" s="37"/>
    </row>
    <row r="991" spans="6:8" s="30" customFormat="1">
      <c r="F991" s="36"/>
      <c r="H991" s="37"/>
    </row>
    <row r="992" spans="6:8" s="30" customFormat="1">
      <c r="F992" s="36"/>
      <c r="H992" s="37"/>
    </row>
    <row r="993" spans="6:8" s="30" customFormat="1">
      <c r="F993" s="36"/>
      <c r="H993" s="37"/>
    </row>
    <row r="994" spans="6:8" s="30" customFormat="1">
      <c r="F994" s="36"/>
      <c r="H994" s="37"/>
    </row>
    <row r="995" spans="6:8" s="30" customFormat="1">
      <c r="F995" s="36"/>
      <c r="H995" s="37"/>
    </row>
    <row r="996" spans="6:8" s="30" customFormat="1">
      <c r="F996" s="36"/>
      <c r="H996" s="37"/>
    </row>
    <row r="997" spans="6:8" s="30" customFormat="1">
      <c r="F997" s="36"/>
      <c r="H997" s="37"/>
    </row>
    <row r="998" spans="6:8" s="30" customFormat="1">
      <c r="F998" s="36"/>
      <c r="H998" s="37"/>
    </row>
    <row r="999" spans="6:8" s="30" customFormat="1">
      <c r="F999" s="36"/>
      <c r="H999" s="37"/>
    </row>
    <row r="1000" spans="6:8" s="30" customFormat="1">
      <c r="F1000" s="36"/>
      <c r="H1000" s="37"/>
    </row>
    <row r="1001" spans="6:8" s="30" customFormat="1">
      <c r="F1001" s="36"/>
      <c r="H1001" s="37"/>
    </row>
  </sheetData>
  <mergeCells count="2">
    <mergeCell ref="B1:H1"/>
    <mergeCell ref="B2:H2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A924"/>
  <sheetViews>
    <sheetView zoomScaleNormal="100" workbookViewId="0">
      <selection activeCell="D70" sqref="D70"/>
    </sheetView>
  </sheetViews>
  <sheetFormatPr defaultRowHeight="12.75"/>
  <cols>
    <col min="1" max="1" width="3.42578125" style="30" bestFit="1" customWidth="1"/>
    <col min="2" max="2" width="50.42578125" bestFit="1" customWidth="1"/>
    <col min="3" max="3" width="16.85546875" bestFit="1" customWidth="1"/>
    <col min="4" max="4" width="33.5703125" bestFit="1" customWidth="1"/>
    <col min="5" max="5" width="16.85546875" bestFit="1" customWidth="1"/>
    <col min="6" max="6" width="16.85546875" style="3" bestFit="1" customWidth="1"/>
    <col min="7" max="7" width="25.140625" hidden="1" customWidth="1"/>
    <col min="8" max="8" width="16.85546875" style="4" bestFit="1" customWidth="1"/>
    <col min="9" max="9" width="25.140625" hidden="1" customWidth="1"/>
    <col min="10" max="105" width="9.140625" style="30"/>
  </cols>
  <sheetData>
    <row r="1" spans="1:9" ht="22.5" customHeight="1">
      <c r="A1" s="27"/>
      <c r="B1" s="171" t="s">
        <v>414</v>
      </c>
      <c r="C1" s="172"/>
      <c r="D1" s="172"/>
      <c r="E1" s="172"/>
      <c r="F1" s="172"/>
      <c r="G1" s="172"/>
      <c r="H1" s="173"/>
      <c r="I1" s="1"/>
    </row>
    <row r="2" spans="1:9" ht="21" customHeight="1" thickBot="1">
      <c r="A2" s="27"/>
      <c r="B2" s="174" t="s">
        <v>415</v>
      </c>
      <c r="C2" s="175"/>
      <c r="D2" s="175"/>
      <c r="E2" s="175"/>
      <c r="F2" s="175"/>
      <c r="G2" s="175"/>
      <c r="H2" s="176"/>
      <c r="I2" s="1"/>
    </row>
    <row r="3" spans="1:9" s="30" customFormat="1" ht="21" customHeight="1">
      <c r="A3" s="27"/>
      <c r="B3" s="95"/>
      <c r="C3" s="95"/>
      <c r="D3" s="95"/>
      <c r="E3" s="95"/>
      <c r="F3" s="95"/>
      <c r="G3" s="95"/>
      <c r="H3" s="95"/>
      <c r="I3" s="27"/>
    </row>
    <row r="4" spans="1:9" s="30" customFormat="1" ht="12.95" customHeight="1">
      <c r="A4" s="28"/>
      <c r="B4" s="32" t="s">
        <v>2</v>
      </c>
      <c r="C4" s="27"/>
      <c r="D4" s="27"/>
      <c r="E4" s="27"/>
      <c r="F4" s="33"/>
      <c r="G4" s="27"/>
      <c r="H4" s="34"/>
      <c r="I4" s="27"/>
    </row>
    <row r="5" spans="1:9" s="30" customFormat="1" ht="12.95" customHeight="1" thickBot="1">
      <c r="A5" s="28"/>
      <c r="B5" s="32"/>
      <c r="C5" s="27"/>
      <c r="D5" s="27"/>
      <c r="E5" s="27"/>
      <c r="F5" s="33"/>
      <c r="G5" s="27"/>
      <c r="H5" s="34"/>
      <c r="I5" s="27"/>
    </row>
    <row r="6" spans="1:9" ht="27.95" customHeight="1" thickBot="1">
      <c r="A6" s="27"/>
      <c r="B6" s="82" t="s">
        <v>3</v>
      </c>
      <c r="C6" s="83" t="s">
        <v>4</v>
      </c>
      <c r="D6" s="84" t="s">
        <v>395</v>
      </c>
      <c r="E6" s="84" t="s">
        <v>6</v>
      </c>
      <c r="F6" s="85" t="s">
        <v>7</v>
      </c>
      <c r="G6" s="84" t="s">
        <v>8</v>
      </c>
      <c r="H6" s="86" t="s">
        <v>9</v>
      </c>
      <c r="I6" s="38" t="s">
        <v>10</v>
      </c>
    </row>
    <row r="7" spans="1:9" ht="12.95" customHeight="1">
      <c r="A7" s="27"/>
      <c r="B7" s="77" t="s">
        <v>46</v>
      </c>
      <c r="C7" s="78" t="s">
        <v>1</v>
      </c>
      <c r="D7" s="78" t="s">
        <v>1</v>
      </c>
      <c r="E7" s="78" t="s">
        <v>1</v>
      </c>
      <c r="F7" s="79" t="s">
        <v>1</v>
      </c>
      <c r="G7" s="80"/>
      <c r="H7" s="81" t="s">
        <v>1</v>
      </c>
      <c r="I7" s="39" t="s">
        <v>1</v>
      </c>
    </row>
    <row r="8" spans="1:9" ht="12.95" customHeight="1">
      <c r="A8" s="27"/>
      <c r="B8" s="64" t="s">
        <v>47</v>
      </c>
      <c r="C8" s="16" t="s">
        <v>1</v>
      </c>
      <c r="D8" s="16" t="s">
        <v>1</v>
      </c>
      <c r="E8" s="16" t="s">
        <v>1</v>
      </c>
      <c r="F8" s="49" t="s">
        <v>1</v>
      </c>
      <c r="G8" s="50"/>
      <c r="H8" s="67" t="s">
        <v>1</v>
      </c>
      <c r="I8" s="39" t="s">
        <v>1</v>
      </c>
    </row>
    <row r="9" spans="1:9" ht="12.95" customHeight="1">
      <c r="A9" s="29"/>
      <c r="B9" s="68" t="s">
        <v>199</v>
      </c>
      <c r="C9" s="16" t="s">
        <v>200</v>
      </c>
      <c r="D9" s="16" t="s">
        <v>50</v>
      </c>
      <c r="E9" s="52">
        <v>78389</v>
      </c>
      <c r="F9" s="53">
        <v>805.40778049999994</v>
      </c>
      <c r="G9" s="54">
        <v>805.41</v>
      </c>
      <c r="H9" s="69">
        <v>5.4616409005303915E-2</v>
      </c>
      <c r="I9" s="2">
        <v>5.4600000000000003E-2</v>
      </c>
    </row>
    <row r="10" spans="1:9" ht="12.95" customHeight="1">
      <c r="A10" s="29"/>
      <c r="B10" s="68" t="s">
        <v>201</v>
      </c>
      <c r="C10" s="16" t="s">
        <v>202</v>
      </c>
      <c r="D10" s="16" t="s">
        <v>83</v>
      </c>
      <c r="E10" s="52">
        <v>64000</v>
      </c>
      <c r="F10" s="53">
        <v>700.41600000000005</v>
      </c>
      <c r="G10" s="54">
        <v>700.42</v>
      </c>
      <c r="H10" s="69">
        <v>4.7496693794180388E-2</v>
      </c>
      <c r="I10" s="2">
        <v>4.7500000000000001E-2</v>
      </c>
    </row>
    <row r="11" spans="1:9" ht="12.95" customHeight="1">
      <c r="A11" s="29"/>
      <c r="B11" s="68" t="s">
        <v>77</v>
      </c>
      <c r="C11" s="16" t="s">
        <v>78</v>
      </c>
      <c r="D11" s="16" t="s">
        <v>50</v>
      </c>
      <c r="E11" s="52">
        <v>243500</v>
      </c>
      <c r="F11" s="53">
        <v>676.68650000000002</v>
      </c>
      <c r="G11" s="54">
        <v>676.69</v>
      </c>
      <c r="H11" s="69">
        <v>4.5887546094257763E-2</v>
      </c>
      <c r="I11" s="2">
        <v>4.5900000000000003E-2</v>
      </c>
    </row>
    <row r="12" spans="1:9" ht="12.95" customHeight="1">
      <c r="A12" s="29"/>
      <c r="B12" s="68" t="s">
        <v>203</v>
      </c>
      <c r="C12" s="16" t="s">
        <v>204</v>
      </c>
      <c r="D12" s="16" t="s">
        <v>95</v>
      </c>
      <c r="E12" s="52">
        <v>195185</v>
      </c>
      <c r="F12" s="53">
        <v>634.64402749999999</v>
      </c>
      <c r="G12" s="54">
        <v>634.64</v>
      </c>
      <c r="H12" s="69">
        <v>4.3036556906856635E-2</v>
      </c>
      <c r="I12" s="2">
        <v>4.2999999999999997E-2</v>
      </c>
    </row>
    <row r="13" spans="1:9" ht="12.95" customHeight="1">
      <c r="A13" s="29"/>
      <c r="B13" s="68" t="s">
        <v>205</v>
      </c>
      <c r="C13" s="16" t="s">
        <v>206</v>
      </c>
      <c r="D13" s="16" t="s">
        <v>53</v>
      </c>
      <c r="E13" s="52">
        <v>71500</v>
      </c>
      <c r="F13" s="53">
        <v>611.96849999999995</v>
      </c>
      <c r="G13" s="54">
        <v>611.97</v>
      </c>
      <c r="H13" s="69">
        <v>4.1498881316508876E-2</v>
      </c>
      <c r="I13" s="2">
        <v>4.1500000000000002E-2</v>
      </c>
    </row>
    <row r="14" spans="1:9" ht="12.95" customHeight="1">
      <c r="A14" s="29"/>
      <c r="B14" s="68" t="s">
        <v>207</v>
      </c>
      <c r="C14" s="16" t="s">
        <v>208</v>
      </c>
      <c r="D14" s="16" t="s">
        <v>129</v>
      </c>
      <c r="E14" s="52">
        <v>12450</v>
      </c>
      <c r="F14" s="53">
        <v>518.81640000000004</v>
      </c>
      <c r="G14" s="54">
        <v>518.82000000000005</v>
      </c>
      <c r="H14" s="69">
        <v>3.5182039939406023E-2</v>
      </c>
      <c r="I14" s="2">
        <v>3.5200000000000002E-2</v>
      </c>
    </row>
    <row r="15" spans="1:9" ht="12.95" customHeight="1">
      <c r="A15" s="29"/>
      <c r="B15" s="68" t="s">
        <v>209</v>
      </c>
      <c r="C15" s="16" t="s">
        <v>210</v>
      </c>
      <c r="D15" s="16" t="s">
        <v>98</v>
      </c>
      <c r="E15" s="52">
        <v>32000</v>
      </c>
      <c r="F15" s="53">
        <v>512.928</v>
      </c>
      <c r="G15" s="54">
        <v>512.92999999999995</v>
      </c>
      <c r="H15" s="69">
        <v>3.4782735052399372E-2</v>
      </c>
      <c r="I15" s="2">
        <v>3.4799999999999998E-2</v>
      </c>
    </row>
    <row r="16" spans="1:9" ht="12.95" customHeight="1">
      <c r="A16" s="29"/>
      <c r="B16" s="68" t="s">
        <v>211</v>
      </c>
      <c r="C16" s="16" t="s">
        <v>212</v>
      </c>
      <c r="D16" s="16" t="s">
        <v>83</v>
      </c>
      <c r="E16" s="52">
        <v>18000</v>
      </c>
      <c r="F16" s="53">
        <v>461.529</v>
      </c>
      <c r="G16" s="54">
        <v>461.53</v>
      </c>
      <c r="H16" s="69">
        <v>3.1297259900022668E-2</v>
      </c>
      <c r="I16" s="2">
        <v>3.1300000000000001E-2</v>
      </c>
    </row>
    <row r="17" spans="1:9" ht="12.95" customHeight="1">
      <c r="A17" s="29"/>
      <c r="B17" s="68" t="s">
        <v>213</v>
      </c>
      <c r="C17" s="16" t="s">
        <v>214</v>
      </c>
      <c r="D17" s="16" t="s">
        <v>59</v>
      </c>
      <c r="E17" s="52">
        <v>50596</v>
      </c>
      <c r="F17" s="53">
        <v>454.832742</v>
      </c>
      <c r="G17" s="54">
        <v>454.83</v>
      </c>
      <c r="H17" s="69">
        <v>3.0843172449432122E-2</v>
      </c>
      <c r="I17" s="2">
        <v>3.0800000000000001E-2</v>
      </c>
    </row>
    <row r="18" spans="1:9" ht="12.95" customHeight="1">
      <c r="A18" s="29"/>
      <c r="B18" s="68" t="s">
        <v>215</v>
      </c>
      <c r="C18" s="16" t="s">
        <v>216</v>
      </c>
      <c r="D18" s="16" t="s">
        <v>50</v>
      </c>
      <c r="E18" s="52">
        <v>175000</v>
      </c>
      <c r="F18" s="53">
        <v>432.86250000000001</v>
      </c>
      <c r="G18" s="54">
        <v>432.86</v>
      </c>
      <c r="H18" s="69">
        <v>2.9353323763996551E-2</v>
      </c>
      <c r="I18" s="2">
        <v>2.9399999999999999E-2</v>
      </c>
    </row>
    <row r="19" spans="1:9" ht="12.95" customHeight="1">
      <c r="A19" s="29"/>
      <c r="B19" s="68" t="s">
        <v>70</v>
      </c>
      <c r="C19" s="16" t="s">
        <v>71</v>
      </c>
      <c r="D19" s="16" t="s">
        <v>50</v>
      </c>
      <c r="E19" s="52">
        <v>42700</v>
      </c>
      <c r="F19" s="53">
        <v>366.38735000000003</v>
      </c>
      <c r="G19" s="54">
        <v>366.39</v>
      </c>
      <c r="H19" s="69">
        <v>2.4845502919709425E-2</v>
      </c>
      <c r="I19" s="2">
        <v>2.4799999999999999E-2</v>
      </c>
    </row>
    <row r="20" spans="1:9" ht="12.95" customHeight="1">
      <c r="A20" s="29"/>
      <c r="B20" s="68" t="s">
        <v>217</v>
      </c>
      <c r="C20" s="16" t="s">
        <v>218</v>
      </c>
      <c r="D20" s="16" t="s">
        <v>65</v>
      </c>
      <c r="E20" s="52">
        <v>30000</v>
      </c>
      <c r="F20" s="53">
        <v>355.84500000000003</v>
      </c>
      <c r="G20" s="54">
        <v>355.85</v>
      </c>
      <c r="H20" s="69">
        <v>2.413060381714598E-2</v>
      </c>
      <c r="I20" s="2">
        <v>2.41E-2</v>
      </c>
    </row>
    <row r="21" spans="1:9" ht="12.95" customHeight="1">
      <c r="A21" s="29"/>
      <c r="B21" s="68" t="s">
        <v>51</v>
      </c>
      <c r="C21" s="16" t="s">
        <v>52</v>
      </c>
      <c r="D21" s="16" t="s">
        <v>53</v>
      </c>
      <c r="E21" s="52">
        <v>38888</v>
      </c>
      <c r="F21" s="53">
        <v>328.02028000000001</v>
      </c>
      <c r="G21" s="54">
        <v>328.02</v>
      </c>
      <c r="H21" s="69">
        <v>2.2243750567436084E-2</v>
      </c>
      <c r="I21" s="2">
        <v>2.2200000000000001E-2</v>
      </c>
    </row>
    <row r="22" spans="1:9" ht="12.95" customHeight="1">
      <c r="A22" s="29"/>
      <c r="B22" s="68" t="s">
        <v>115</v>
      </c>
      <c r="C22" s="16" t="s">
        <v>116</v>
      </c>
      <c r="D22" s="16" t="s">
        <v>117</v>
      </c>
      <c r="E22" s="52">
        <v>84500</v>
      </c>
      <c r="F22" s="53">
        <v>325.15600000000001</v>
      </c>
      <c r="G22" s="54">
        <v>325.16000000000003</v>
      </c>
      <c r="H22" s="69">
        <v>2.204951766855771E-2</v>
      </c>
      <c r="I22" s="2">
        <v>2.1999999999999999E-2</v>
      </c>
    </row>
    <row r="23" spans="1:9" ht="12.95" customHeight="1">
      <c r="A23" s="29"/>
      <c r="B23" s="68" t="s">
        <v>48</v>
      </c>
      <c r="C23" s="16" t="s">
        <v>49</v>
      </c>
      <c r="D23" s="16" t="s">
        <v>50</v>
      </c>
      <c r="E23" s="52">
        <v>48000</v>
      </c>
      <c r="F23" s="53">
        <v>312.81599999999997</v>
      </c>
      <c r="G23" s="54">
        <v>312.82</v>
      </c>
      <c r="H23" s="69">
        <v>2.1212716108598793E-2</v>
      </c>
      <c r="I23" s="2">
        <v>2.12E-2</v>
      </c>
    </row>
    <row r="24" spans="1:9" ht="12.95" customHeight="1">
      <c r="A24" s="29"/>
      <c r="B24" s="68" t="s">
        <v>68</v>
      </c>
      <c r="C24" s="16" t="s">
        <v>69</v>
      </c>
      <c r="D24" s="16" t="s">
        <v>59</v>
      </c>
      <c r="E24" s="52">
        <v>17900</v>
      </c>
      <c r="F24" s="53">
        <v>287.65300000000002</v>
      </c>
      <c r="G24" s="54">
        <v>287.64999999999998</v>
      </c>
      <c r="H24" s="69">
        <v>1.9506359734753877E-2</v>
      </c>
      <c r="I24" s="2">
        <v>1.95E-2</v>
      </c>
    </row>
    <row r="25" spans="1:9" ht="12.95" customHeight="1">
      <c r="A25" s="29"/>
      <c r="B25" s="68" t="s">
        <v>219</v>
      </c>
      <c r="C25" s="16" t="s">
        <v>220</v>
      </c>
      <c r="D25" s="16" t="s">
        <v>50</v>
      </c>
      <c r="E25" s="52">
        <v>55000</v>
      </c>
      <c r="F25" s="53">
        <v>279.26249999999999</v>
      </c>
      <c r="G25" s="54">
        <v>279.26</v>
      </c>
      <c r="H25" s="69">
        <v>1.8937382142465764E-2</v>
      </c>
      <c r="I25" s="2">
        <v>1.89E-2</v>
      </c>
    </row>
    <row r="26" spans="1:9" ht="12.95" customHeight="1">
      <c r="A26" s="29"/>
      <c r="B26" s="68" t="s">
        <v>221</v>
      </c>
      <c r="C26" s="16" t="s">
        <v>222</v>
      </c>
      <c r="D26" s="16" t="s">
        <v>129</v>
      </c>
      <c r="E26" s="52">
        <v>110000</v>
      </c>
      <c r="F26" s="53">
        <v>261.52499999999998</v>
      </c>
      <c r="G26" s="54">
        <v>261.52999999999997</v>
      </c>
      <c r="H26" s="69">
        <v>1.7734564665174733E-2</v>
      </c>
      <c r="I26" s="2">
        <v>1.77E-2</v>
      </c>
    </row>
    <row r="27" spans="1:9" ht="12.95" customHeight="1">
      <c r="A27" s="29"/>
      <c r="B27" s="68" t="s">
        <v>102</v>
      </c>
      <c r="C27" s="16" t="s">
        <v>103</v>
      </c>
      <c r="D27" s="16" t="s">
        <v>95</v>
      </c>
      <c r="E27" s="52">
        <v>29200</v>
      </c>
      <c r="F27" s="53">
        <v>247.7912</v>
      </c>
      <c r="G27" s="54">
        <v>247.79</v>
      </c>
      <c r="H27" s="69">
        <v>1.6803246572454814E-2</v>
      </c>
      <c r="I27" s="2">
        <v>1.6799999999999999E-2</v>
      </c>
    </row>
    <row r="28" spans="1:9" ht="12.95" customHeight="1">
      <c r="A28" s="29"/>
      <c r="B28" s="68" t="s">
        <v>91</v>
      </c>
      <c r="C28" s="16" t="s">
        <v>92</v>
      </c>
      <c r="D28" s="16" t="s">
        <v>76</v>
      </c>
      <c r="E28" s="52">
        <v>18000</v>
      </c>
      <c r="F28" s="53">
        <v>210.22200000000001</v>
      </c>
      <c r="G28" s="54">
        <v>210.22</v>
      </c>
      <c r="H28" s="69">
        <v>1.4255599476311491E-2</v>
      </c>
      <c r="I28" s="2">
        <v>1.43E-2</v>
      </c>
    </row>
    <row r="29" spans="1:9" ht="12.95" customHeight="1">
      <c r="A29" s="29"/>
      <c r="B29" s="68" t="s">
        <v>223</v>
      </c>
      <c r="C29" s="16" t="s">
        <v>224</v>
      </c>
      <c r="D29" s="16" t="s">
        <v>101</v>
      </c>
      <c r="E29" s="52">
        <v>7000</v>
      </c>
      <c r="F29" s="53">
        <v>202.286</v>
      </c>
      <c r="G29" s="54">
        <v>202.29</v>
      </c>
      <c r="H29" s="69">
        <v>1.37174424925324E-2</v>
      </c>
      <c r="I29" s="2">
        <v>1.37E-2</v>
      </c>
    </row>
    <row r="30" spans="1:9" ht="12.95" customHeight="1">
      <c r="A30" s="29"/>
      <c r="B30" s="68" t="s">
        <v>225</v>
      </c>
      <c r="C30" s="16" t="s">
        <v>226</v>
      </c>
      <c r="D30" s="16" t="s">
        <v>171</v>
      </c>
      <c r="E30" s="52">
        <v>140000</v>
      </c>
      <c r="F30" s="53">
        <v>182.91</v>
      </c>
      <c r="G30" s="54">
        <v>182.91</v>
      </c>
      <c r="H30" s="69">
        <v>1.2403514856733048E-2</v>
      </c>
      <c r="I30" s="2">
        <v>1.24E-2</v>
      </c>
    </row>
    <row r="31" spans="1:9" ht="12.95" customHeight="1">
      <c r="A31" s="29"/>
      <c r="B31" s="68" t="s">
        <v>93</v>
      </c>
      <c r="C31" s="16" t="s">
        <v>94</v>
      </c>
      <c r="D31" s="16" t="s">
        <v>95</v>
      </c>
      <c r="E31" s="52">
        <v>5700</v>
      </c>
      <c r="F31" s="53">
        <v>167.00715</v>
      </c>
      <c r="G31" s="54">
        <v>167.01</v>
      </c>
      <c r="H31" s="69">
        <v>1.1325108885274968E-2</v>
      </c>
      <c r="I31" s="2">
        <v>1.1299999999999999E-2</v>
      </c>
    </row>
    <row r="32" spans="1:9" ht="12.95" customHeight="1">
      <c r="A32" s="29"/>
      <c r="B32" s="68" t="s">
        <v>227</v>
      </c>
      <c r="C32" s="16" t="s">
        <v>228</v>
      </c>
      <c r="D32" s="16" t="s">
        <v>83</v>
      </c>
      <c r="E32" s="52">
        <v>15000</v>
      </c>
      <c r="F32" s="53">
        <v>145.6575</v>
      </c>
      <c r="G32" s="54">
        <v>145.66</v>
      </c>
      <c r="H32" s="69">
        <v>9.8773438589721384E-3</v>
      </c>
      <c r="I32" s="2">
        <v>9.9000000000000008E-3</v>
      </c>
    </row>
    <row r="33" spans="1:9" ht="12.95" customHeight="1">
      <c r="A33" s="29"/>
      <c r="B33" s="68" t="s">
        <v>172</v>
      </c>
      <c r="C33" s="16" t="s">
        <v>173</v>
      </c>
      <c r="D33" s="16" t="s">
        <v>151</v>
      </c>
      <c r="E33" s="52">
        <v>42000</v>
      </c>
      <c r="F33" s="53">
        <v>141.876</v>
      </c>
      <c r="G33" s="54">
        <v>141.88</v>
      </c>
      <c r="H33" s="69">
        <v>9.620912327449882E-3</v>
      </c>
      <c r="I33" s="2">
        <v>9.5999999999999992E-3</v>
      </c>
    </row>
    <row r="34" spans="1:9" ht="12.95" customHeight="1">
      <c r="A34" s="29"/>
      <c r="B34" s="68" t="s">
        <v>229</v>
      </c>
      <c r="C34" s="16" t="s">
        <v>230</v>
      </c>
      <c r="D34" s="16" t="s">
        <v>231</v>
      </c>
      <c r="E34" s="52">
        <v>33000</v>
      </c>
      <c r="F34" s="53">
        <v>116.919</v>
      </c>
      <c r="G34" s="54">
        <v>116.92</v>
      </c>
      <c r="H34" s="69">
        <v>7.9285252503109253E-3</v>
      </c>
      <c r="I34" s="2">
        <v>7.9000000000000008E-3</v>
      </c>
    </row>
    <row r="35" spans="1:9" ht="12.95" customHeight="1">
      <c r="A35" s="29"/>
      <c r="B35" s="68" t="s">
        <v>109</v>
      </c>
      <c r="C35" s="16" t="s">
        <v>110</v>
      </c>
      <c r="D35" s="16" t="s">
        <v>76</v>
      </c>
      <c r="E35" s="52">
        <v>12546</v>
      </c>
      <c r="F35" s="53">
        <v>115.065639</v>
      </c>
      <c r="G35" s="54">
        <v>115.07</v>
      </c>
      <c r="H35" s="69">
        <v>7.8028449119019279E-3</v>
      </c>
      <c r="I35" s="2">
        <v>7.7999999999999996E-3</v>
      </c>
    </row>
    <row r="36" spans="1:9" ht="12.95" customHeight="1">
      <c r="A36" s="29"/>
      <c r="B36" s="68" t="s">
        <v>107</v>
      </c>
      <c r="C36" s="16" t="s">
        <v>108</v>
      </c>
      <c r="D36" s="16" t="s">
        <v>76</v>
      </c>
      <c r="E36" s="52">
        <v>10989</v>
      </c>
      <c r="F36" s="53">
        <v>112.14274500000001</v>
      </c>
      <c r="G36" s="54">
        <v>112.14</v>
      </c>
      <c r="H36" s="69">
        <v>7.6046372734258688E-3</v>
      </c>
      <c r="I36" s="2">
        <v>7.6E-3</v>
      </c>
    </row>
    <row r="37" spans="1:9" ht="12.95" customHeight="1">
      <c r="A37" s="29"/>
      <c r="B37" s="68" t="s">
        <v>57</v>
      </c>
      <c r="C37" s="16" t="s">
        <v>58</v>
      </c>
      <c r="D37" s="16" t="s">
        <v>59</v>
      </c>
      <c r="E37" s="52">
        <v>4924</v>
      </c>
      <c r="F37" s="53">
        <v>110.854012</v>
      </c>
      <c r="G37" s="54">
        <v>110.85</v>
      </c>
      <c r="H37" s="69">
        <v>7.5172455566697473E-3</v>
      </c>
      <c r="I37" s="2">
        <v>7.4999999999999997E-3</v>
      </c>
    </row>
    <row r="38" spans="1:9" ht="12.95" customHeight="1">
      <c r="A38" s="29"/>
      <c r="B38" s="68" t="s">
        <v>232</v>
      </c>
      <c r="C38" s="16" t="s">
        <v>233</v>
      </c>
      <c r="D38" s="16" t="s">
        <v>95</v>
      </c>
      <c r="E38" s="52">
        <v>40000</v>
      </c>
      <c r="F38" s="53">
        <v>109.22</v>
      </c>
      <c r="G38" s="54">
        <v>109.22</v>
      </c>
      <c r="H38" s="69">
        <v>7.4064397389556804E-3</v>
      </c>
      <c r="I38" s="2">
        <v>7.4000000000000003E-3</v>
      </c>
    </row>
    <row r="39" spans="1:9" ht="12.95" customHeight="1">
      <c r="A39" s="29"/>
      <c r="B39" s="68" t="s">
        <v>60</v>
      </c>
      <c r="C39" s="16" t="s">
        <v>61</v>
      </c>
      <c r="D39" s="16" t="s">
        <v>62</v>
      </c>
      <c r="E39" s="52">
        <v>23000</v>
      </c>
      <c r="F39" s="53">
        <v>82.983999999999995</v>
      </c>
      <c r="G39" s="54">
        <v>82.98</v>
      </c>
      <c r="H39" s="69">
        <v>5.6273209604238983E-3</v>
      </c>
      <c r="I39" s="2">
        <v>5.5999999999999999E-3</v>
      </c>
    </row>
    <row r="40" spans="1:9" ht="12.95" customHeight="1">
      <c r="A40" s="29"/>
      <c r="B40" s="68" t="s">
        <v>96</v>
      </c>
      <c r="C40" s="16" t="s">
        <v>97</v>
      </c>
      <c r="D40" s="16" t="s">
        <v>98</v>
      </c>
      <c r="E40" s="52">
        <v>30000</v>
      </c>
      <c r="F40" s="53">
        <v>81.885000000000005</v>
      </c>
      <c r="G40" s="54">
        <v>81.89</v>
      </c>
      <c r="H40" s="69">
        <v>5.5527954406188046E-3</v>
      </c>
      <c r="I40" s="2">
        <v>5.5999999999999999E-3</v>
      </c>
    </row>
    <row r="41" spans="1:9" ht="12.95" customHeight="1">
      <c r="A41" s="29"/>
      <c r="B41" s="68" t="s">
        <v>72</v>
      </c>
      <c r="C41" s="16" t="s">
        <v>73</v>
      </c>
      <c r="D41" s="16" t="s">
        <v>56</v>
      </c>
      <c r="E41" s="52">
        <v>40000</v>
      </c>
      <c r="F41" s="53">
        <v>61.44</v>
      </c>
      <c r="G41" s="54">
        <v>61.44</v>
      </c>
      <c r="H41" s="69">
        <v>4.1663766486123143E-3</v>
      </c>
      <c r="I41" s="2">
        <v>4.1999999999999997E-3</v>
      </c>
    </row>
    <row r="42" spans="1:9" ht="12.95" customHeight="1">
      <c r="A42" s="29"/>
      <c r="B42" s="68" t="s">
        <v>234</v>
      </c>
      <c r="C42" s="16" t="s">
        <v>235</v>
      </c>
      <c r="D42" s="16" t="s">
        <v>59</v>
      </c>
      <c r="E42" s="52">
        <v>2000</v>
      </c>
      <c r="F42" s="53">
        <v>38.710999999999999</v>
      </c>
      <c r="G42" s="54">
        <v>38.71</v>
      </c>
      <c r="H42" s="69">
        <v>2.6250749746814989E-3</v>
      </c>
      <c r="I42" s="2">
        <v>2.5999999999999999E-3</v>
      </c>
    </row>
    <row r="43" spans="1:9" ht="12.95" customHeight="1">
      <c r="A43" s="29"/>
      <c r="B43" s="68" t="s">
        <v>236</v>
      </c>
      <c r="C43" s="16" t="s">
        <v>237</v>
      </c>
      <c r="D43" s="16" t="s">
        <v>62</v>
      </c>
      <c r="E43" s="52">
        <v>6000</v>
      </c>
      <c r="F43" s="53">
        <v>21.327000000000002</v>
      </c>
      <c r="G43" s="54">
        <v>21.33</v>
      </c>
      <c r="H43" s="69">
        <v>1.4462290817863742E-3</v>
      </c>
      <c r="I43" s="2">
        <v>1.4E-3</v>
      </c>
    </row>
    <row r="44" spans="1:9" ht="12.95" customHeight="1">
      <c r="A44" s="29"/>
      <c r="B44" s="68" t="s">
        <v>238</v>
      </c>
      <c r="C44" s="16" t="s">
        <v>239</v>
      </c>
      <c r="D44" s="16" t="s">
        <v>240</v>
      </c>
      <c r="E44" s="52">
        <v>4000</v>
      </c>
      <c r="F44" s="53">
        <v>14.654</v>
      </c>
      <c r="G44" s="54">
        <v>14.65</v>
      </c>
      <c r="H44" s="69">
        <v>9.9371880548119887E-4</v>
      </c>
      <c r="I44" s="2">
        <v>1E-3</v>
      </c>
    </row>
    <row r="45" spans="1:9" ht="12.95" customHeight="1">
      <c r="A45" s="27"/>
      <c r="B45" s="64" t="s">
        <v>31</v>
      </c>
      <c r="C45" s="16" t="s">
        <v>1</v>
      </c>
      <c r="D45" s="16" t="s">
        <v>1</v>
      </c>
      <c r="E45" s="16" t="s">
        <v>1</v>
      </c>
      <c r="F45" s="17">
        <v>10489.708826</v>
      </c>
      <c r="G45" s="56">
        <v>10489.74</v>
      </c>
      <c r="H45" s="70">
        <v>0.7113293929588036</v>
      </c>
      <c r="I45" s="41">
        <v>0.71099999999999997</v>
      </c>
    </row>
    <row r="46" spans="1:9" ht="12.95" customHeight="1">
      <c r="A46" s="27"/>
      <c r="B46" s="64" t="s">
        <v>196</v>
      </c>
      <c r="C46" s="16" t="s">
        <v>1</v>
      </c>
      <c r="D46" s="16" t="s">
        <v>1</v>
      </c>
      <c r="E46" s="16" t="s">
        <v>1</v>
      </c>
      <c r="F46" s="17" t="s">
        <v>197</v>
      </c>
      <c r="G46" s="57" t="s">
        <v>197</v>
      </c>
      <c r="H46" s="70" t="s">
        <v>197</v>
      </c>
      <c r="I46" s="42" t="s">
        <v>197</v>
      </c>
    </row>
    <row r="47" spans="1:9" ht="12.95" customHeight="1">
      <c r="A47" s="27"/>
      <c r="B47" s="64" t="s">
        <v>31</v>
      </c>
      <c r="C47" s="16" t="s">
        <v>1</v>
      </c>
      <c r="D47" s="16" t="s">
        <v>1</v>
      </c>
      <c r="E47" s="16" t="s">
        <v>1</v>
      </c>
      <c r="F47" s="17" t="s">
        <v>197</v>
      </c>
      <c r="G47" s="57" t="s">
        <v>197</v>
      </c>
      <c r="H47" s="70" t="s">
        <v>197</v>
      </c>
      <c r="I47" s="42" t="s">
        <v>197</v>
      </c>
    </row>
    <row r="48" spans="1:9" ht="12.95" customHeight="1">
      <c r="A48" s="27"/>
      <c r="B48" s="64" t="s">
        <v>36</v>
      </c>
      <c r="C48" s="16" t="s">
        <v>1</v>
      </c>
      <c r="D48" s="16" t="s">
        <v>1</v>
      </c>
      <c r="E48" s="16" t="s">
        <v>1</v>
      </c>
      <c r="F48" s="17">
        <v>10489.708826</v>
      </c>
      <c r="G48" s="56">
        <v>10489.74</v>
      </c>
      <c r="H48" s="70">
        <v>0.7113293929588036</v>
      </c>
      <c r="I48" s="41">
        <v>0.71099999999999997</v>
      </c>
    </row>
    <row r="49" spans="1:9" ht="12.95" customHeight="1">
      <c r="A49" s="27"/>
      <c r="B49" s="64"/>
      <c r="C49" s="16"/>
      <c r="D49" s="16"/>
      <c r="E49" s="16"/>
      <c r="F49" s="17"/>
      <c r="G49" s="56"/>
      <c r="H49" s="70"/>
      <c r="I49" s="100"/>
    </row>
    <row r="50" spans="1:9" ht="12.95" customHeight="1">
      <c r="A50" s="27"/>
      <c r="B50" s="64" t="s">
        <v>241</v>
      </c>
      <c r="C50" s="16" t="s">
        <v>1</v>
      </c>
      <c r="D50" s="16" t="s">
        <v>1</v>
      </c>
      <c r="E50" s="16" t="s">
        <v>1</v>
      </c>
      <c r="F50" s="49" t="s">
        <v>1</v>
      </c>
      <c r="G50" s="50"/>
      <c r="H50" s="67" t="s">
        <v>1</v>
      </c>
      <c r="I50" s="39" t="s">
        <v>1</v>
      </c>
    </row>
    <row r="51" spans="1:9" ht="12.95" customHeight="1">
      <c r="A51" s="27"/>
      <c r="B51" s="64" t="s">
        <v>242</v>
      </c>
      <c r="C51" s="16" t="s">
        <v>1</v>
      </c>
      <c r="D51" s="16" t="s">
        <v>1</v>
      </c>
      <c r="E51" s="16" t="s">
        <v>1</v>
      </c>
      <c r="F51" s="49" t="s">
        <v>1</v>
      </c>
      <c r="G51" s="50"/>
      <c r="H51" s="67" t="s">
        <v>1</v>
      </c>
      <c r="I51" s="39" t="s">
        <v>1</v>
      </c>
    </row>
    <row r="52" spans="1:9" ht="12.95" customHeight="1">
      <c r="A52" s="29"/>
      <c r="B52" s="68" t="s">
        <v>243</v>
      </c>
      <c r="C52" s="16" t="s">
        <v>244</v>
      </c>
      <c r="D52" s="16" t="s">
        <v>245</v>
      </c>
      <c r="E52" s="52">
        <v>1000000</v>
      </c>
      <c r="F52" s="53">
        <v>1004.502</v>
      </c>
      <c r="G52" s="54">
        <v>1004.5</v>
      </c>
      <c r="H52" s="69">
        <v>6.8117410095774211E-2</v>
      </c>
      <c r="I52" s="2">
        <v>6.8099999999999994E-2</v>
      </c>
    </row>
    <row r="53" spans="1:9" ht="12.95" customHeight="1">
      <c r="A53" s="29"/>
      <c r="B53" s="68" t="s">
        <v>402</v>
      </c>
      <c r="C53" s="16" t="s">
        <v>246</v>
      </c>
      <c r="D53" s="16" t="s">
        <v>245</v>
      </c>
      <c r="E53" s="52">
        <v>500000</v>
      </c>
      <c r="F53" s="53">
        <v>514.46</v>
      </c>
      <c r="G53" s="54">
        <v>514.46</v>
      </c>
      <c r="H53" s="69">
        <v>3.488662322013495E-2</v>
      </c>
      <c r="I53" s="2">
        <v>3.49E-2</v>
      </c>
    </row>
    <row r="54" spans="1:9" ht="12.95" customHeight="1">
      <c r="A54" s="29"/>
      <c r="B54" s="68" t="s">
        <v>247</v>
      </c>
      <c r="C54" s="16" t="s">
        <v>248</v>
      </c>
      <c r="D54" s="16" t="s">
        <v>249</v>
      </c>
      <c r="E54" s="52">
        <v>500000</v>
      </c>
      <c r="F54" s="53">
        <v>514.22500000000002</v>
      </c>
      <c r="G54" s="54">
        <v>514.23</v>
      </c>
      <c r="H54" s="69">
        <v>3.4870687371950967E-2</v>
      </c>
      <c r="I54" s="2">
        <v>3.49E-2</v>
      </c>
    </row>
    <row r="55" spans="1:9" ht="12.95" customHeight="1">
      <c r="A55" s="29"/>
      <c r="B55" s="68" t="s">
        <v>250</v>
      </c>
      <c r="C55" s="16" t="s">
        <v>251</v>
      </c>
      <c r="D55" s="16" t="s">
        <v>245</v>
      </c>
      <c r="E55" s="52">
        <v>500000</v>
      </c>
      <c r="F55" s="53">
        <v>503.87900000000002</v>
      </c>
      <c r="G55" s="54">
        <v>503.88</v>
      </c>
      <c r="H55" s="69">
        <v>3.4169103179136143E-2</v>
      </c>
      <c r="I55" s="2">
        <v>3.4200000000000001E-2</v>
      </c>
    </row>
    <row r="56" spans="1:9" ht="12.95" customHeight="1">
      <c r="A56" s="29"/>
      <c r="B56" s="68" t="s">
        <v>403</v>
      </c>
      <c r="C56" s="16" t="s">
        <v>252</v>
      </c>
      <c r="D56" s="16" t="s">
        <v>245</v>
      </c>
      <c r="E56" s="52">
        <v>500000</v>
      </c>
      <c r="F56" s="53">
        <v>502.63200000000001</v>
      </c>
      <c r="G56" s="54">
        <v>502.63</v>
      </c>
      <c r="H56" s="69">
        <v>3.4084541465581132E-2</v>
      </c>
      <c r="I56" s="2">
        <v>3.4099999999999998E-2</v>
      </c>
    </row>
    <row r="57" spans="1:9" ht="12.95" customHeight="1">
      <c r="A57" s="29"/>
      <c r="B57" s="68" t="s">
        <v>253</v>
      </c>
      <c r="C57" s="16" t="s">
        <v>254</v>
      </c>
      <c r="D57" s="16" t="s">
        <v>249</v>
      </c>
      <c r="E57" s="52">
        <v>500000</v>
      </c>
      <c r="F57" s="53">
        <v>497.72500000000002</v>
      </c>
      <c r="G57" s="54">
        <v>497.73</v>
      </c>
      <c r="H57" s="69">
        <v>3.3751787393075591E-2</v>
      </c>
      <c r="I57" s="2">
        <v>3.3799999999999997E-2</v>
      </c>
    </row>
    <row r="58" spans="1:9" ht="12.95" customHeight="1">
      <c r="A58" s="27"/>
      <c r="B58" s="64" t="s">
        <v>31</v>
      </c>
      <c r="C58" s="16" t="s">
        <v>1</v>
      </c>
      <c r="D58" s="16" t="s">
        <v>1</v>
      </c>
      <c r="E58" s="16" t="s">
        <v>1</v>
      </c>
      <c r="F58" s="17">
        <v>3537.4229999999998</v>
      </c>
      <c r="G58" s="56">
        <v>3537.43</v>
      </c>
      <c r="H58" s="70">
        <v>0.239880152725653</v>
      </c>
      <c r="I58" s="41">
        <v>0.24</v>
      </c>
    </row>
    <row r="59" spans="1:9" ht="12.95" customHeight="1">
      <c r="A59" s="27"/>
      <c r="B59" s="64" t="s">
        <v>255</v>
      </c>
      <c r="C59" s="16" t="s">
        <v>1</v>
      </c>
      <c r="D59" s="16" t="s">
        <v>1</v>
      </c>
      <c r="E59" s="16" t="s">
        <v>1</v>
      </c>
      <c r="F59" s="17" t="s">
        <v>197</v>
      </c>
      <c r="G59" s="57" t="s">
        <v>197</v>
      </c>
      <c r="H59" s="70" t="s">
        <v>197</v>
      </c>
      <c r="I59" s="42" t="s">
        <v>197</v>
      </c>
    </row>
    <row r="60" spans="1:9" ht="12.95" customHeight="1">
      <c r="A60" s="27"/>
      <c r="B60" s="64" t="s">
        <v>392</v>
      </c>
      <c r="C60" s="16" t="s">
        <v>1</v>
      </c>
      <c r="D60" s="16" t="s">
        <v>1</v>
      </c>
      <c r="E60" s="16" t="s">
        <v>1</v>
      </c>
      <c r="F60" s="17" t="s">
        <v>197</v>
      </c>
      <c r="G60" s="57" t="s">
        <v>197</v>
      </c>
      <c r="H60" s="70" t="s">
        <v>197</v>
      </c>
      <c r="I60" s="42" t="s">
        <v>197</v>
      </c>
    </row>
    <row r="61" spans="1:9" ht="12.95" customHeight="1">
      <c r="A61" s="27"/>
      <c r="B61" s="64" t="s">
        <v>31</v>
      </c>
      <c r="C61" s="16" t="s">
        <v>1</v>
      </c>
      <c r="D61" s="16" t="s">
        <v>1</v>
      </c>
      <c r="E61" s="16" t="s">
        <v>1</v>
      </c>
      <c r="F61" s="17">
        <v>3537.4229999999998</v>
      </c>
      <c r="G61" s="56">
        <v>3537.43</v>
      </c>
      <c r="H61" s="70">
        <v>0.239880152725653</v>
      </c>
      <c r="I61" s="41">
        <v>0.24</v>
      </c>
    </row>
    <row r="62" spans="1:9" ht="12.95" customHeight="1">
      <c r="A62" s="27"/>
      <c r="B62" s="64"/>
      <c r="C62" s="16"/>
      <c r="D62" s="16"/>
      <c r="E62" s="16"/>
      <c r="F62" s="17"/>
      <c r="G62" s="56"/>
      <c r="H62" s="70"/>
      <c r="I62" s="100"/>
    </row>
    <row r="63" spans="1:9" ht="12.95" customHeight="1">
      <c r="A63" s="27"/>
      <c r="B63" s="64" t="s">
        <v>37</v>
      </c>
      <c r="C63" s="16" t="s">
        <v>1</v>
      </c>
      <c r="D63" s="16" t="s">
        <v>1</v>
      </c>
      <c r="E63" s="16" t="s">
        <v>1</v>
      </c>
      <c r="F63" s="49" t="s">
        <v>1</v>
      </c>
      <c r="G63" s="50"/>
      <c r="H63" s="67" t="s">
        <v>1</v>
      </c>
      <c r="I63" s="39" t="s">
        <v>1</v>
      </c>
    </row>
    <row r="64" spans="1:9" ht="12.95" customHeight="1">
      <c r="A64" s="29"/>
      <c r="B64" s="68" t="s">
        <v>38</v>
      </c>
      <c r="C64" s="16" t="s">
        <v>1</v>
      </c>
      <c r="D64" s="16" t="s">
        <v>39</v>
      </c>
      <c r="E64" s="52"/>
      <c r="F64" s="53">
        <v>500.08404999999999</v>
      </c>
      <c r="G64" s="54">
        <v>500.08</v>
      </c>
      <c r="H64" s="69">
        <v>3.3911759574600797E-2</v>
      </c>
      <c r="I64" s="2">
        <v>3.39E-2</v>
      </c>
    </row>
    <row r="65" spans="1:9" ht="12.95" customHeight="1">
      <c r="A65" s="27"/>
      <c r="B65" s="64" t="s">
        <v>31</v>
      </c>
      <c r="C65" s="16" t="s">
        <v>1</v>
      </c>
      <c r="D65" s="16" t="s">
        <v>1</v>
      </c>
      <c r="E65" s="16" t="s">
        <v>1</v>
      </c>
      <c r="F65" s="17">
        <v>500.08404999999999</v>
      </c>
      <c r="G65" s="56">
        <v>500.08</v>
      </c>
      <c r="H65" s="70">
        <v>3.3911759574600797E-2</v>
      </c>
      <c r="I65" s="41">
        <v>3.39E-2</v>
      </c>
    </row>
    <row r="66" spans="1:9" ht="12.95" customHeight="1">
      <c r="A66" s="27"/>
      <c r="B66" s="64"/>
      <c r="C66" s="16"/>
      <c r="D66" s="16"/>
      <c r="E66" s="16"/>
      <c r="F66" s="17"/>
      <c r="G66" s="56"/>
      <c r="H66" s="70"/>
      <c r="I66" s="41"/>
    </row>
    <row r="67" spans="1:9" ht="12.95" customHeight="1">
      <c r="A67" s="27"/>
      <c r="B67" s="111" t="s">
        <v>408</v>
      </c>
      <c r="C67" s="16"/>
      <c r="D67" s="16"/>
      <c r="E67" s="16"/>
      <c r="F67" s="17"/>
      <c r="G67" s="56"/>
      <c r="H67" s="70"/>
      <c r="I67" s="41"/>
    </row>
    <row r="68" spans="1:9" ht="12.95" customHeight="1">
      <c r="A68" s="27"/>
      <c r="B68" s="163" t="s">
        <v>40</v>
      </c>
      <c r="C68" s="16" t="s">
        <v>1</v>
      </c>
      <c r="D68" s="16" t="s">
        <v>1</v>
      </c>
      <c r="E68" s="16" t="s">
        <v>1</v>
      </c>
      <c r="F68" s="20">
        <v>219.41055309730001</v>
      </c>
      <c r="G68" s="66">
        <v>219.38</v>
      </c>
      <c r="H68" s="71">
        <v>1.4878694740942569E-2</v>
      </c>
      <c r="I68" s="41">
        <v>1.5100000000000001E-2</v>
      </c>
    </row>
    <row r="69" spans="1:9" ht="12.95" customHeight="1">
      <c r="A69" s="27"/>
      <c r="B69" s="64" t="s">
        <v>31</v>
      </c>
      <c r="C69" s="16"/>
      <c r="D69" s="16"/>
      <c r="E69" s="16"/>
      <c r="F69" s="17">
        <v>219.41055309730001</v>
      </c>
      <c r="G69" s="56">
        <v>219.38</v>
      </c>
      <c r="H69" s="70">
        <v>1.4878694740942569E-2</v>
      </c>
      <c r="I69" s="61"/>
    </row>
    <row r="70" spans="1:9" ht="12.95" customHeight="1" thickBot="1">
      <c r="A70" s="27"/>
      <c r="B70" s="65" t="s">
        <v>36</v>
      </c>
      <c r="C70" s="24"/>
      <c r="D70" s="24"/>
      <c r="E70" s="24"/>
      <c r="F70" s="25">
        <f>F65+F69</f>
        <v>719.4946030973</v>
      </c>
      <c r="G70" s="25">
        <f t="shared" ref="G70:H70" si="0">G65+G69</f>
        <v>719.46</v>
      </c>
      <c r="H70" s="102">
        <f t="shared" si="0"/>
        <v>4.8790454315543366E-2</v>
      </c>
      <c r="I70" s="61"/>
    </row>
    <row r="71" spans="1:9" ht="12.95" customHeight="1" thickBot="1">
      <c r="A71" s="27"/>
      <c r="B71" s="103" t="s">
        <v>41</v>
      </c>
      <c r="C71" s="104" t="s">
        <v>1</v>
      </c>
      <c r="D71" s="104" t="s">
        <v>1</v>
      </c>
      <c r="E71" s="104" t="s">
        <v>1</v>
      </c>
      <c r="F71" s="105">
        <v>14746.626429097299</v>
      </c>
      <c r="G71" s="106">
        <v>14746.63</v>
      </c>
      <c r="H71" s="107">
        <v>1</v>
      </c>
      <c r="I71" s="44">
        <v>1</v>
      </c>
    </row>
    <row r="72" spans="1:9" s="30" customFormat="1" ht="12.95" customHeight="1">
      <c r="A72" s="27"/>
      <c r="B72" s="28" t="s">
        <v>1</v>
      </c>
      <c r="C72" s="27"/>
      <c r="D72" s="27"/>
      <c r="E72" s="27"/>
      <c r="F72" s="33"/>
      <c r="G72" s="27"/>
      <c r="H72" s="34"/>
      <c r="I72" s="27"/>
    </row>
    <row r="73" spans="1:9" s="30" customFormat="1" ht="12.95" customHeight="1">
      <c r="A73" s="27"/>
      <c r="B73" s="35" t="s">
        <v>39</v>
      </c>
      <c r="C73" s="27"/>
      <c r="D73" s="27"/>
      <c r="E73" s="27"/>
      <c r="F73" s="33"/>
      <c r="G73" s="27"/>
      <c r="H73" s="34"/>
      <c r="I73" s="27"/>
    </row>
    <row r="74" spans="1:9" s="30" customFormat="1" ht="12.95" customHeight="1">
      <c r="A74" s="27"/>
      <c r="B74" s="35" t="s">
        <v>42</v>
      </c>
      <c r="C74" s="27"/>
      <c r="D74" s="27"/>
      <c r="E74" s="27"/>
      <c r="F74" s="33"/>
      <c r="G74" s="27"/>
      <c r="H74" s="34"/>
      <c r="I74" s="27"/>
    </row>
    <row r="75" spans="1:9" s="30" customFormat="1" ht="12.95" customHeight="1">
      <c r="A75" s="27"/>
      <c r="B75" s="35" t="s">
        <v>394</v>
      </c>
      <c r="C75" s="27"/>
      <c r="D75" s="27"/>
      <c r="E75" s="27"/>
      <c r="F75" s="33"/>
      <c r="G75" s="27"/>
      <c r="H75" s="34"/>
      <c r="I75" s="27"/>
    </row>
    <row r="76" spans="1:9" s="30" customFormat="1" ht="12.95" customHeight="1" thickBot="1">
      <c r="A76" s="27"/>
      <c r="B76" s="35" t="s">
        <v>1</v>
      </c>
      <c r="C76" s="27"/>
      <c r="D76" s="27"/>
      <c r="E76" s="27"/>
      <c r="F76" s="33"/>
      <c r="G76" s="27"/>
      <c r="H76" s="34"/>
      <c r="I76" s="27"/>
    </row>
    <row r="77" spans="1:9" s="30" customFormat="1" ht="13.5" thickBot="1">
      <c r="B77" s="108" t="s">
        <v>405</v>
      </c>
      <c r="C77" s="93">
        <v>8.09E-2</v>
      </c>
      <c r="F77" s="36"/>
      <c r="H77" s="37"/>
    </row>
    <row r="78" spans="1:9" s="30" customFormat="1">
      <c r="F78" s="36"/>
      <c r="H78" s="37"/>
    </row>
    <row r="79" spans="1:9" s="30" customFormat="1">
      <c r="F79" s="36"/>
      <c r="H79" s="37"/>
    </row>
    <row r="80" spans="1:9" s="30" customFormat="1">
      <c r="F80" s="36"/>
      <c r="H80" s="37"/>
    </row>
    <row r="81" spans="6:8" s="30" customFormat="1">
      <c r="F81" s="36"/>
      <c r="H81" s="37"/>
    </row>
    <row r="82" spans="6:8" s="30" customFormat="1">
      <c r="F82" s="36"/>
      <c r="H82" s="37"/>
    </row>
    <row r="83" spans="6:8" s="30" customFormat="1">
      <c r="F83" s="36"/>
      <c r="H83" s="37"/>
    </row>
    <row r="84" spans="6:8" s="30" customFormat="1">
      <c r="F84" s="36"/>
      <c r="H84" s="37"/>
    </row>
    <row r="85" spans="6:8" s="30" customFormat="1">
      <c r="F85" s="36"/>
      <c r="H85" s="37"/>
    </row>
    <row r="86" spans="6:8" s="30" customFormat="1">
      <c r="F86" s="36"/>
      <c r="H86" s="37"/>
    </row>
    <row r="87" spans="6:8" s="30" customFormat="1">
      <c r="F87" s="36"/>
      <c r="H87" s="37"/>
    </row>
    <row r="88" spans="6:8" s="30" customFormat="1">
      <c r="F88" s="36"/>
      <c r="H88" s="37"/>
    </row>
    <row r="89" spans="6:8" s="30" customFormat="1">
      <c r="F89" s="36"/>
      <c r="H89" s="37"/>
    </row>
    <row r="90" spans="6:8" s="30" customFormat="1">
      <c r="F90" s="36"/>
      <c r="H90" s="37"/>
    </row>
    <row r="91" spans="6:8" s="30" customFormat="1">
      <c r="F91" s="36"/>
      <c r="H91" s="37"/>
    </row>
    <row r="92" spans="6:8" s="30" customFormat="1">
      <c r="F92" s="36"/>
      <c r="H92" s="37"/>
    </row>
    <row r="93" spans="6:8" s="30" customFormat="1">
      <c r="F93" s="36"/>
      <c r="H93" s="37"/>
    </row>
    <row r="94" spans="6:8" s="30" customFormat="1">
      <c r="F94" s="36"/>
      <c r="H94" s="37"/>
    </row>
    <row r="95" spans="6:8" s="30" customFormat="1">
      <c r="F95" s="36"/>
      <c r="H95" s="37"/>
    </row>
    <row r="96" spans="6:8" s="30" customFormat="1">
      <c r="F96" s="36"/>
      <c r="H96" s="37"/>
    </row>
    <row r="97" spans="6:8" s="30" customFormat="1">
      <c r="F97" s="36"/>
      <c r="H97" s="37"/>
    </row>
    <row r="98" spans="6:8" s="30" customFormat="1">
      <c r="F98" s="36"/>
      <c r="H98" s="37"/>
    </row>
    <row r="99" spans="6:8" s="30" customFormat="1">
      <c r="F99" s="36"/>
      <c r="H99" s="37"/>
    </row>
    <row r="100" spans="6:8" s="30" customFormat="1">
      <c r="F100" s="36"/>
      <c r="H100" s="37"/>
    </row>
    <row r="101" spans="6:8" s="30" customFormat="1">
      <c r="F101" s="36"/>
      <c r="H101" s="37"/>
    </row>
    <row r="102" spans="6:8" s="30" customFormat="1">
      <c r="F102" s="36"/>
      <c r="H102" s="37"/>
    </row>
    <row r="103" spans="6:8" s="30" customFormat="1">
      <c r="F103" s="36"/>
      <c r="H103" s="37"/>
    </row>
    <row r="104" spans="6:8" s="30" customFormat="1">
      <c r="F104" s="36"/>
      <c r="H104" s="37"/>
    </row>
    <row r="105" spans="6:8" s="30" customFormat="1">
      <c r="F105" s="36"/>
      <c r="H105" s="37"/>
    </row>
    <row r="106" spans="6:8" s="30" customFormat="1">
      <c r="F106" s="36"/>
      <c r="H106" s="37"/>
    </row>
    <row r="107" spans="6:8" s="30" customFormat="1">
      <c r="F107" s="36"/>
      <c r="H107" s="37"/>
    </row>
    <row r="108" spans="6:8" s="30" customFormat="1">
      <c r="F108" s="36"/>
      <c r="H108" s="37"/>
    </row>
    <row r="109" spans="6:8" s="30" customFormat="1">
      <c r="F109" s="36"/>
      <c r="H109" s="37"/>
    </row>
    <row r="110" spans="6:8" s="30" customFormat="1">
      <c r="F110" s="36"/>
      <c r="H110" s="37"/>
    </row>
    <row r="111" spans="6:8" s="30" customFormat="1">
      <c r="F111" s="36"/>
      <c r="H111" s="37"/>
    </row>
    <row r="112" spans="6:8" s="30" customFormat="1">
      <c r="F112" s="36"/>
      <c r="H112" s="37"/>
    </row>
    <row r="113" spans="6:8" s="30" customFormat="1">
      <c r="F113" s="36"/>
      <c r="H113" s="37"/>
    </row>
    <row r="114" spans="6:8" s="30" customFormat="1">
      <c r="F114" s="36"/>
      <c r="H114" s="37"/>
    </row>
    <row r="115" spans="6:8" s="30" customFormat="1">
      <c r="F115" s="36"/>
      <c r="H115" s="37"/>
    </row>
    <row r="116" spans="6:8" s="30" customFormat="1">
      <c r="F116" s="36"/>
      <c r="H116" s="37"/>
    </row>
    <row r="117" spans="6:8" s="30" customFormat="1">
      <c r="F117" s="36"/>
      <c r="H117" s="37"/>
    </row>
    <row r="118" spans="6:8" s="30" customFormat="1">
      <c r="F118" s="36"/>
      <c r="H118" s="37"/>
    </row>
    <row r="119" spans="6:8" s="30" customFormat="1">
      <c r="F119" s="36"/>
      <c r="H119" s="37"/>
    </row>
    <row r="120" spans="6:8" s="30" customFormat="1">
      <c r="F120" s="36"/>
      <c r="H120" s="37"/>
    </row>
    <row r="121" spans="6:8" s="30" customFormat="1">
      <c r="F121" s="36"/>
      <c r="H121" s="37"/>
    </row>
    <row r="122" spans="6:8" s="30" customFormat="1">
      <c r="F122" s="36"/>
      <c r="H122" s="37"/>
    </row>
    <row r="123" spans="6:8" s="30" customFormat="1">
      <c r="F123" s="36"/>
      <c r="H123" s="37"/>
    </row>
    <row r="124" spans="6:8" s="30" customFormat="1">
      <c r="F124" s="36"/>
      <c r="H124" s="37"/>
    </row>
    <row r="125" spans="6:8" s="30" customFormat="1">
      <c r="F125" s="36"/>
      <c r="H125" s="37"/>
    </row>
    <row r="126" spans="6:8" s="30" customFormat="1">
      <c r="F126" s="36"/>
      <c r="H126" s="37"/>
    </row>
    <row r="127" spans="6:8" s="30" customFormat="1">
      <c r="F127" s="36"/>
      <c r="H127" s="37"/>
    </row>
    <row r="128" spans="6:8" s="30" customFormat="1">
      <c r="F128" s="36"/>
      <c r="H128" s="37"/>
    </row>
    <row r="129" spans="6:8" s="30" customFormat="1">
      <c r="F129" s="36"/>
      <c r="H129" s="37"/>
    </row>
    <row r="130" spans="6:8" s="30" customFormat="1">
      <c r="F130" s="36"/>
      <c r="H130" s="37"/>
    </row>
    <row r="131" spans="6:8" s="30" customFormat="1">
      <c r="F131" s="36"/>
      <c r="H131" s="37"/>
    </row>
    <row r="132" spans="6:8" s="30" customFormat="1">
      <c r="F132" s="36"/>
      <c r="H132" s="37"/>
    </row>
    <row r="133" spans="6:8" s="30" customFormat="1">
      <c r="F133" s="36"/>
      <c r="H133" s="37"/>
    </row>
    <row r="134" spans="6:8" s="30" customFormat="1">
      <c r="F134" s="36"/>
      <c r="H134" s="37"/>
    </row>
    <row r="135" spans="6:8" s="30" customFormat="1">
      <c r="F135" s="36"/>
      <c r="H135" s="37"/>
    </row>
    <row r="136" spans="6:8" s="30" customFormat="1">
      <c r="F136" s="36"/>
      <c r="H136" s="37"/>
    </row>
    <row r="137" spans="6:8" s="30" customFormat="1">
      <c r="F137" s="36"/>
      <c r="H137" s="37"/>
    </row>
    <row r="138" spans="6:8" s="30" customFormat="1">
      <c r="F138" s="36"/>
      <c r="H138" s="37"/>
    </row>
    <row r="139" spans="6:8" s="30" customFormat="1">
      <c r="F139" s="36"/>
      <c r="H139" s="37"/>
    </row>
    <row r="140" spans="6:8" s="30" customFormat="1">
      <c r="F140" s="36"/>
      <c r="H140" s="37"/>
    </row>
    <row r="141" spans="6:8" s="30" customFormat="1">
      <c r="F141" s="36"/>
      <c r="H141" s="37"/>
    </row>
    <row r="142" spans="6:8" s="30" customFormat="1">
      <c r="F142" s="36"/>
      <c r="H142" s="37"/>
    </row>
    <row r="143" spans="6:8" s="30" customFormat="1">
      <c r="F143" s="36"/>
      <c r="H143" s="37"/>
    </row>
    <row r="144" spans="6:8" s="30" customFormat="1">
      <c r="F144" s="36"/>
      <c r="H144" s="37"/>
    </row>
    <row r="145" spans="6:8" s="30" customFormat="1">
      <c r="F145" s="36"/>
      <c r="H145" s="37"/>
    </row>
    <row r="146" spans="6:8" s="30" customFormat="1">
      <c r="F146" s="36"/>
      <c r="H146" s="37"/>
    </row>
    <row r="147" spans="6:8" s="30" customFormat="1">
      <c r="F147" s="36"/>
      <c r="H147" s="37"/>
    </row>
    <row r="148" spans="6:8" s="30" customFormat="1">
      <c r="F148" s="36"/>
      <c r="H148" s="37"/>
    </row>
    <row r="149" spans="6:8" s="30" customFormat="1">
      <c r="F149" s="36"/>
      <c r="H149" s="37"/>
    </row>
    <row r="150" spans="6:8" s="30" customFormat="1">
      <c r="F150" s="36"/>
      <c r="H150" s="37"/>
    </row>
    <row r="151" spans="6:8" s="30" customFormat="1">
      <c r="F151" s="36"/>
      <c r="H151" s="37"/>
    </row>
    <row r="152" spans="6:8" s="30" customFormat="1">
      <c r="F152" s="36"/>
      <c r="H152" s="37"/>
    </row>
    <row r="153" spans="6:8" s="30" customFormat="1">
      <c r="F153" s="36"/>
      <c r="H153" s="37"/>
    </row>
    <row r="154" spans="6:8" s="30" customFormat="1">
      <c r="F154" s="36"/>
      <c r="H154" s="37"/>
    </row>
    <row r="155" spans="6:8" s="30" customFormat="1">
      <c r="F155" s="36"/>
      <c r="H155" s="37"/>
    </row>
    <row r="156" spans="6:8" s="30" customFormat="1">
      <c r="F156" s="36"/>
      <c r="H156" s="37"/>
    </row>
    <row r="157" spans="6:8" s="30" customFormat="1">
      <c r="F157" s="36"/>
      <c r="H157" s="37"/>
    </row>
    <row r="158" spans="6:8" s="30" customFormat="1">
      <c r="F158" s="36"/>
      <c r="H158" s="37"/>
    </row>
    <row r="159" spans="6:8" s="30" customFormat="1">
      <c r="F159" s="36"/>
      <c r="H159" s="37"/>
    </row>
    <row r="160" spans="6:8" s="30" customFormat="1">
      <c r="F160" s="36"/>
      <c r="H160" s="37"/>
    </row>
    <row r="161" spans="6:8" s="30" customFormat="1">
      <c r="F161" s="36"/>
      <c r="H161" s="37"/>
    </row>
    <row r="162" spans="6:8" s="30" customFormat="1">
      <c r="F162" s="36"/>
      <c r="H162" s="37"/>
    </row>
    <row r="163" spans="6:8" s="30" customFormat="1">
      <c r="F163" s="36"/>
      <c r="H163" s="37"/>
    </row>
    <row r="164" spans="6:8" s="30" customFormat="1">
      <c r="F164" s="36"/>
      <c r="H164" s="37"/>
    </row>
    <row r="165" spans="6:8" s="30" customFormat="1">
      <c r="F165" s="36"/>
      <c r="H165" s="37"/>
    </row>
    <row r="166" spans="6:8" s="30" customFormat="1">
      <c r="F166" s="36"/>
      <c r="H166" s="37"/>
    </row>
    <row r="167" spans="6:8" s="30" customFormat="1">
      <c r="F167" s="36"/>
      <c r="H167" s="37"/>
    </row>
    <row r="168" spans="6:8" s="30" customFormat="1">
      <c r="F168" s="36"/>
      <c r="H168" s="37"/>
    </row>
    <row r="169" spans="6:8" s="30" customFormat="1">
      <c r="F169" s="36"/>
      <c r="H169" s="37"/>
    </row>
    <row r="170" spans="6:8" s="30" customFormat="1">
      <c r="F170" s="36"/>
      <c r="H170" s="37"/>
    </row>
    <row r="171" spans="6:8" s="30" customFormat="1">
      <c r="F171" s="36"/>
      <c r="H171" s="37"/>
    </row>
    <row r="172" spans="6:8" s="30" customFormat="1">
      <c r="F172" s="36"/>
      <c r="H172" s="37"/>
    </row>
    <row r="173" spans="6:8" s="30" customFormat="1">
      <c r="F173" s="36"/>
      <c r="H173" s="37"/>
    </row>
    <row r="174" spans="6:8" s="30" customFormat="1">
      <c r="F174" s="36"/>
      <c r="H174" s="37"/>
    </row>
    <row r="175" spans="6:8" s="30" customFormat="1">
      <c r="F175" s="36"/>
      <c r="H175" s="37"/>
    </row>
    <row r="176" spans="6:8" s="30" customFormat="1">
      <c r="F176" s="36"/>
      <c r="H176" s="37"/>
    </row>
    <row r="177" spans="6:8" s="30" customFormat="1">
      <c r="F177" s="36"/>
      <c r="H177" s="37"/>
    </row>
    <row r="178" spans="6:8" s="30" customFormat="1">
      <c r="F178" s="36"/>
      <c r="H178" s="37"/>
    </row>
    <row r="179" spans="6:8" s="30" customFormat="1">
      <c r="F179" s="36"/>
      <c r="H179" s="37"/>
    </row>
    <row r="180" spans="6:8" s="30" customFormat="1">
      <c r="F180" s="36"/>
      <c r="H180" s="37"/>
    </row>
    <row r="181" spans="6:8" s="30" customFormat="1">
      <c r="F181" s="36"/>
      <c r="H181" s="37"/>
    </row>
    <row r="182" spans="6:8" s="30" customFormat="1">
      <c r="F182" s="36"/>
      <c r="H182" s="37"/>
    </row>
    <row r="183" spans="6:8" s="30" customFormat="1">
      <c r="F183" s="36"/>
      <c r="H183" s="37"/>
    </row>
    <row r="184" spans="6:8" s="30" customFormat="1">
      <c r="F184" s="36"/>
      <c r="H184" s="37"/>
    </row>
    <row r="185" spans="6:8" s="30" customFormat="1">
      <c r="F185" s="36"/>
      <c r="H185" s="37"/>
    </row>
    <row r="186" spans="6:8" s="30" customFormat="1">
      <c r="F186" s="36"/>
      <c r="H186" s="37"/>
    </row>
    <row r="187" spans="6:8" s="30" customFormat="1">
      <c r="F187" s="36"/>
      <c r="H187" s="37"/>
    </row>
    <row r="188" spans="6:8" s="30" customFormat="1">
      <c r="F188" s="36"/>
      <c r="H188" s="37"/>
    </row>
    <row r="189" spans="6:8" s="30" customFormat="1">
      <c r="F189" s="36"/>
      <c r="H189" s="37"/>
    </row>
    <row r="190" spans="6:8" s="30" customFormat="1">
      <c r="F190" s="36"/>
      <c r="H190" s="37"/>
    </row>
    <row r="191" spans="6:8" s="30" customFormat="1">
      <c r="F191" s="36"/>
      <c r="H191" s="37"/>
    </row>
    <row r="192" spans="6:8" s="30" customFormat="1">
      <c r="F192" s="36"/>
      <c r="H192" s="37"/>
    </row>
    <row r="193" spans="6:8" s="30" customFormat="1">
      <c r="F193" s="36"/>
      <c r="H193" s="37"/>
    </row>
    <row r="194" spans="6:8" s="30" customFormat="1">
      <c r="F194" s="36"/>
      <c r="H194" s="37"/>
    </row>
    <row r="195" spans="6:8" s="30" customFormat="1">
      <c r="F195" s="36"/>
      <c r="H195" s="37"/>
    </row>
    <row r="196" spans="6:8" s="30" customFormat="1">
      <c r="F196" s="36"/>
      <c r="H196" s="37"/>
    </row>
    <row r="197" spans="6:8" s="30" customFormat="1">
      <c r="F197" s="36"/>
      <c r="H197" s="37"/>
    </row>
    <row r="198" spans="6:8" s="30" customFormat="1">
      <c r="F198" s="36"/>
      <c r="H198" s="37"/>
    </row>
    <row r="199" spans="6:8" s="30" customFormat="1">
      <c r="F199" s="36"/>
      <c r="H199" s="37"/>
    </row>
    <row r="200" spans="6:8" s="30" customFormat="1">
      <c r="F200" s="36"/>
      <c r="H200" s="37"/>
    </row>
    <row r="201" spans="6:8" s="30" customFormat="1">
      <c r="F201" s="36"/>
      <c r="H201" s="37"/>
    </row>
    <row r="202" spans="6:8" s="30" customFormat="1">
      <c r="F202" s="36"/>
      <c r="H202" s="37"/>
    </row>
    <row r="203" spans="6:8" s="30" customFormat="1">
      <c r="F203" s="36"/>
      <c r="H203" s="37"/>
    </row>
    <row r="204" spans="6:8" s="30" customFormat="1">
      <c r="F204" s="36"/>
      <c r="H204" s="37"/>
    </row>
    <row r="205" spans="6:8" s="30" customFormat="1">
      <c r="F205" s="36"/>
      <c r="H205" s="37"/>
    </row>
    <row r="206" spans="6:8" s="30" customFormat="1">
      <c r="F206" s="36"/>
      <c r="H206" s="37"/>
    </row>
    <row r="207" spans="6:8" s="30" customFormat="1">
      <c r="F207" s="36"/>
      <c r="H207" s="37"/>
    </row>
    <row r="208" spans="6:8" s="30" customFormat="1">
      <c r="F208" s="36"/>
      <c r="H208" s="37"/>
    </row>
    <row r="209" spans="6:8" s="30" customFormat="1">
      <c r="F209" s="36"/>
      <c r="H209" s="37"/>
    </row>
    <row r="210" spans="6:8" s="30" customFormat="1">
      <c r="F210" s="36"/>
      <c r="H210" s="37"/>
    </row>
    <row r="211" spans="6:8" s="30" customFormat="1">
      <c r="F211" s="36"/>
      <c r="H211" s="37"/>
    </row>
    <row r="212" spans="6:8" s="30" customFormat="1">
      <c r="F212" s="36"/>
      <c r="H212" s="37"/>
    </row>
    <row r="213" spans="6:8" s="30" customFormat="1">
      <c r="F213" s="36"/>
      <c r="H213" s="37"/>
    </row>
    <row r="214" spans="6:8" s="30" customFormat="1">
      <c r="F214" s="36"/>
      <c r="H214" s="37"/>
    </row>
    <row r="215" spans="6:8" s="30" customFormat="1">
      <c r="F215" s="36"/>
      <c r="H215" s="37"/>
    </row>
    <row r="216" spans="6:8" s="30" customFormat="1">
      <c r="F216" s="36"/>
      <c r="H216" s="37"/>
    </row>
    <row r="217" spans="6:8" s="30" customFormat="1">
      <c r="F217" s="36"/>
      <c r="H217" s="37"/>
    </row>
    <row r="218" spans="6:8" s="30" customFormat="1">
      <c r="F218" s="36"/>
      <c r="H218" s="37"/>
    </row>
    <row r="219" spans="6:8" s="30" customFormat="1">
      <c r="F219" s="36"/>
      <c r="H219" s="37"/>
    </row>
    <row r="220" spans="6:8" s="30" customFormat="1">
      <c r="F220" s="36"/>
      <c r="H220" s="37"/>
    </row>
    <row r="221" spans="6:8" s="30" customFormat="1">
      <c r="F221" s="36"/>
      <c r="H221" s="37"/>
    </row>
    <row r="222" spans="6:8" s="30" customFormat="1">
      <c r="F222" s="36"/>
      <c r="H222" s="37"/>
    </row>
    <row r="223" spans="6:8" s="30" customFormat="1">
      <c r="F223" s="36"/>
      <c r="H223" s="37"/>
    </row>
    <row r="224" spans="6:8" s="30" customFormat="1">
      <c r="F224" s="36"/>
      <c r="H224" s="37"/>
    </row>
    <row r="225" spans="6:8" s="30" customFormat="1">
      <c r="F225" s="36"/>
      <c r="H225" s="37"/>
    </row>
    <row r="226" spans="6:8" s="30" customFormat="1">
      <c r="F226" s="36"/>
      <c r="H226" s="37"/>
    </row>
    <row r="227" spans="6:8" s="30" customFormat="1">
      <c r="F227" s="36"/>
      <c r="H227" s="37"/>
    </row>
    <row r="228" spans="6:8" s="30" customFormat="1">
      <c r="F228" s="36"/>
      <c r="H228" s="37"/>
    </row>
    <row r="229" spans="6:8" s="30" customFormat="1">
      <c r="F229" s="36"/>
      <c r="H229" s="37"/>
    </row>
    <row r="230" spans="6:8" s="30" customFormat="1">
      <c r="F230" s="36"/>
      <c r="H230" s="37"/>
    </row>
    <row r="231" spans="6:8" s="30" customFormat="1">
      <c r="F231" s="36"/>
      <c r="H231" s="37"/>
    </row>
    <row r="232" spans="6:8" s="30" customFormat="1">
      <c r="F232" s="36"/>
      <c r="H232" s="37"/>
    </row>
    <row r="233" spans="6:8" s="30" customFormat="1">
      <c r="F233" s="36"/>
      <c r="H233" s="37"/>
    </row>
    <row r="234" spans="6:8" s="30" customFormat="1">
      <c r="F234" s="36"/>
      <c r="H234" s="37"/>
    </row>
    <row r="235" spans="6:8" s="30" customFormat="1">
      <c r="F235" s="36"/>
      <c r="H235" s="37"/>
    </row>
    <row r="236" spans="6:8" s="30" customFormat="1">
      <c r="F236" s="36"/>
      <c r="H236" s="37"/>
    </row>
    <row r="237" spans="6:8" s="30" customFormat="1">
      <c r="F237" s="36"/>
      <c r="H237" s="37"/>
    </row>
    <row r="238" spans="6:8" s="30" customFormat="1">
      <c r="F238" s="36"/>
      <c r="H238" s="37"/>
    </row>
    <row r="239" spans="6:8" s="30" customFormat="1">
      <c r="F239" s="36"/>
      <c r="H239" s="37"/>
    </row>
    <row r="240" spans="6:8" s="30" customFormat="1">
      <c r="F240" s="36"/>
      <c r="H240" s="37"/>
    </row>
    <row r="241" spans="6:8" s="30" customFormat="1">
      <c r="F241" s="36"/>
      <c r="H241" s="37"/>
    </row>
    <row r="242" spans="6:8" s="30" customFormat="1">
      <c r="F242" s="36"/>
      <c r="H242" s="37"/>
    </row>
    <row r="243" spans="6:8" s="30" customFormat="1">
      <c r="F243" s="36"/>
      <c r="H243" s="37"/>
    </row>
    <row r="244" spans="6:8" s="30" customFormat="1">
      <c r="F244" s="36"/>
      <c r="H244" s="37"/>
    </row>
    <row r="245" spans="6:8" s="30" customFormat="1">
      <c r="F245" s="36"/>
      <c r="H245" s="37"/>
    </row>
    <row r="246" spans="6:8" s="30" customFormat="1">
      <c r="F246" s="36"/>
      <c r="H246" s="37"/>
    </row>
    <row r="247" spans="6:8" s="30" customFormat="1">
      <c r="F247" s="36"/>
      <c r="H247" s="37"/>
    </row>
    <row r="248" spans="6:8" s="30" customFormat="1">
      <c r="F248" s="36"/>
      <c r="H248" s="37"/>
    </row>
    <row r="249" spans="6:8" s="30" customFormat="1">
      <c r="F249" s="36"/>
      <c r="H249" s="37"/>
    </row>
    <row r="250" spans="6:8" s="30" customFormat="1">
      <c r="F250" s="36"/>
      <c r="H250" s="37"/>
    </row>
    <row r="251" spans="6:8" s="30" customFormat="1">
      <c r="F251" s="36"/>
      <c r="H251" s="37"/>
    </row>
    <row r="252" spans="6:8" s="30" customFormat="1">
      <c r="F252" s="36"/>
      <c r="H252" s="37"/>
    </row>
    <row r="253" spans="6:8" s="30" customFormat="1">
      <c r="F253" s="36"/>
      <c r="H253" s="37"/>
    </row>
    <row r="254" spans="6:8" s="30" customFormat="1">
      <c r="F254" s="36"/>
      <c r="H254" s="37"/>
    </row>
    <row r="255" spans="6:8" s="30" customFormat="1">
      <c r="F255" s="36"/>
      <c r="H255" s="37"/>
    </row>
    <row r="256" spans="6:8" s="30" customFormat="1">
      <c r="F256" s="36"/>
      <c r="H256" s="37"/>
    </row>
    <row r="257" spans="6:8" s="30" customFormat="1">
      <c r="F257" s="36"/>
      <c r="H257" s="37"/>
    </row>
    <row r="258" spans="6:8" s="30" customFormat="1">
      <c r="F258" s="36"/>
      <c r="H258" s="37"/>
    </row>
    <row r="259" spans="6:8" s="30" customFormat="1">
      <c r="F259" s="36"/>
      <c r="H259" s="37"/>
    </row>
    <row r="260" spans="6:8" s="30" customFormat="1">
      <c r="F260" s="36"/>
      <c r="H260" s="37"/>
    </row>
    <row r="261" spans="6:8" s="30" customFormat="1">
      <c r="F261" s="36"/>
      <c r="H261" s="37"/>
    </row>
    <row r="262" spans="6:8" s="30" customFormat="1">
      <c r="F262" s="36"/>
      <c r="H262" s="37"/>
    </row>
    <row r="263" spans="6:8" s="30" customFormat="1">
      <c r="F263" s="36"/>
      <c r="H263" s="37"/>
    </row>
    <row r="264" spans="6:8" s="30" customFormat="1">
      <c r="F264" s="36"/>
      <c r="H264" s="37"/>
    </row>
    <row r="265" spans="6:8" s="30" customFormat="1">
      <c r="F265" s="36"/>
      <c r="H265" s="37"/>
    </row>
    <row r="266" spans="6:8" s="30" customFormat="1">
      <c r="F266" s="36"/>
      <c r="H266" s="37"/>
    </row>
    <row r="267" spans="6:8" s="30" customFormat="1">
      <c r="F267" s="36"/>
      <c r="H267" s="37"/>
    </row>
    <row r="268" spans="6:8" s="30" customFormat="1">
      <c r="F268" s="36"/>
      <c r="H268" s="37"/>
    </row>
    <row r="269" spans="6:8" s="30" customFormat="1">
      <c r="F269" s="36"/>
      <c r="H269" s="37"/>
    </row>
    <row r="270" spans="6:8" s="30" customFormat="1">
      <c r="F270" s="36"/>
      <c r="H270" s="37"/>
    </row>
    <row r="271" spans="6:8" s="30" customFormat="1">
      <c r="F271" s="36"/>
      <c r="H271" s="37"/>
    </row>
    <row r="272" spans="6:8" s="30" customFormat="1">
      <c r="F272" s="36"/>
      <c r="H272" s="37"/>
    </row>
    <row r="273" spans="6:8" s="30" customFormat="1">
      <c r="F273" s="36"/>
      <c r="H273" s="37"/>
    </row>
    <row r="274" spans="6:8" s="30" customFormat="1">
      <c r="F274" s="36"/>
      <c r="H274" s="37"/>
    </row>
    <row r="275" spans="6:8" s="30" customFormat="1">
      <c r="F275" s="36"/>
      <c r="H275" s="37"/>
    </row>
    <row r="276" spans="6:8" s="30" customFormat="1">
      <c r="F276" s="36"/>
      <c r="H276" s="37"/>
    </row>
    <row r="277" spans="6:8" s="30" customFormat="1">
      <c r="F277" s="36"/>
      <c r="H277" s="37"/>
    </row>
    <row r="278" spans="6:8" s="30" customFormat="1">
      <c r="F278" s="36"/>
      <c r="H278" s="37"/>
    </row>
    <row r="279" spans="6:8" s="30" customFormat="1">
      <c r="F279" s="36"/>
      <c r="H279" s="37"/>
    </row>
    <row r="280" spans="6:8" s="30" customFormat="1">
      <c r="F280" s="36"/>
      <c r="H280" s="37"/>
    </row>
    <row r="281" spans="6:8" s="30" customFormat="1">
      <c r="F281" s="36"/>
      <c r="H281" s="37"/>
    </row>
    <row r="282" spans="6:8" s="30" customFormat="1">
      <c r="F282" s="36"/>
      <c r="H282" s="37"/>
    </row>
    <row r="283" spans="6:8" s="30" customFormat="1">
      <c r="F283" s="36"/>
      <c r="H283" s="37"/>
    </row>
    <row r="284" spans="6:8" s="30" customFormat="1">
      <c r="F284" s="36"/>
      <c r="H284" s="37"/>
    </row>
    <row r="285" spans="6:8" s="30" customFormat="1">
      <c r="F285" s="36"/>
      <c r="H285" s="37"/>
    </row>
    <row r="286" spans="6:8" s="30" customFormat="1">
      <c r="F286" s="36"/>
      <c r="H286" s="37"/>
    </row>
    <row r="287" spans="6:8" s="30" customFormat="1">
      <c r="F287" s="36"/>
      <c r="H287" s="37"/>
    </row>
    <row r="288" spans="6:8" s="30" customFormat="1">
      <c r="F288" s="36"/>
      <c r="H288" s="37"/>
    </row>
    <row r="289" spans="6:8" s="30" customFormat="1">
      <c r="F289" s="36"/>
      <c r="H289" s="37"/>
    </row>
    <row r="290" spans="6:8" s="30" customFormat="1">
      <c r="F290" s="36"/>
      <c r="H290" s="37"/>
    </row>
    <row r="291" spans="6:8" s="30" customFormat="1">
      <c r="F291" s="36"/>
      <c r="H291" s="37"/>
    </row>
    <row r="292" spans="6:8" s="30" customFormat="1">
      <c r="F292" s="36"/>
      <c r="H292" s="37"/>
    </row>
    <row r="293" spans="6:8" s="30" customFormat="1">
      <c r="F293" s="36"/>
      <c r="H293" s="37"/>
    </row>
    <row r="294" spans="6:8" s="30" customFormat="1">
      <c r="F294" s="36"/>
      <c r="H294" s="37"/>
    </row>
    <row r="295" spans="6:8" s="30" customFormat="1">
      <c r="F295" s="36"/>
      <c r="H295" s="37"/>
    </row>
    <row r="296" spans="6:8" s="30" customFormat="1">
      <c r="F296" s="36"/>
      <c r="H296" s="37"/>
    </row>
    <row r="297" spans="6:8" s="30" customFormat="1">
      <c r="F297" s="36"/>
      <c r="H297" s="37"/>
    </row>
    <row r="298" spans="6:8" s="30" customFormat="1">
      <c r="F298" s="36"/>
      <c r="H298" s="37"/>
    </row>
    <row r="299" spans="6:8" s="30" customFormat="1">
      <c r="F299" s="36"/>
      <c r="H299" s="37"/>
    </row>
    <row r="300" spans="6:8" s="30" customFormat="1">
      <c r="F300" s="36"/>
      <c r="H300" s="37"/>
    </row>
    <row r="301" spans="6:8" s="30" customFormat="1">
      <c r="F301" s="36"/>
      <c r="H301" s="37"/>
    </row>
    <row r="302" spans="6:8" s="30" customFormat="1">
      <c r="F302" s="36"/>
      <c r="H302" s="37"/>
    </row>
    <row r="303" spans="6:8" s="30" customFormat="1">
      <c r="F303" s="36"/>
      <c r="H303" s="37"/>
    </row>
    <row r="304" spans="6:8" s="30" customFormat="1">
      <c r="F304" s="36"/>
      <c r="H304" s="37"/>
    </row>
    <row r="305" spans="6:8" s="30" customFormat="1">
      <c r="F305" s="36"/>
      <c r="H305" s="37"/>
    </row>
    <row r="306" spans="6:8" s="30" customFormat="1">
      <c r="F306" s="36"/>
      <c r="H306" s="37"/>
    </row>
    <row r="307" spans="6:8" s="30" customFormat="1">
      <c r="F307" s="36"/>
      <c r="H307" s="37"/>
    </row>
    <row r="308" spans="6:8" s="30" customFormat="1">
      <c r="F308" s="36"/>
      <c r="H308" s="37"/>
    </row>
    <row r="309" spans="6:8" s="30" customFormat="1">
      <c r="F309" s="36"/>
      <c r="H309" s="37"/>
    </row>
    <row r="310" spans="6:8" s="30" customFormat="1">
      <c r="F310" s="36"/>
      <c r="H310" s="37"/>
    </row>
    <row r="311" spans="6:8" s="30" customFormat="1">
      <c r="F311" s="36"/>
      <c r="H311" s="37"/>
    </row>
    <row r="312" spans="6:8" s="30" customFormat="1">
      <c r="F312" s="36"/>
      <c r="H312" s="37"/>
    </row>
    <row r="313" spans="6:8" s="30" customFormat="1">
      <c r="F313" s="36"/>
      <c r="H313" s="37"/>
    </row>
    <row r="314" spans="6:8" s="30" customFormat="1">
      <c r="F314" s="36"/>
      <c r="H314" s="37"/>
    </row>
    <row r="315" spans="6:8" s="30" customFormat="1">
      <c r="F315" s="36"/>
      <c r="H315" s="37"/>
    </row>
    <row r="316" spans="6:8" s="30" customFormat="1">
      <c r="F316" s="36"/>
      <c r="H316" s="37"/>
    </row>
    <row r="317" spans="6:8" s="30" customFormat="1">
      <c r="F317" s="36"/>
      <c r="H317" s="37"/>
    </row>
    <row r="318" spans="6:8" s="30" customFormat="1">
      <c r="F318" s="36"/>
      <c r="H318" s="37"/>
    </row>
    <row r="319" spans="6:8" s="30" customFormat="1">
      <c r="F319" s="36"/>
      <c r="H319" s="37"/>
    </row>
    <row r="320" spans="6:8" s="30" customFormat="1">
      <c r="F320" s="36"/>
      <c r="H320" s="37"/>
    </row>
    <row r="321" spans="6:8" s="30" customFormat="1">
      <c r="F321" s="36"/>
      <c r="H321" s="37"/>
    </row>
    <row r="322" spans="6:8" s="30" customFormat="1">
      <c r="F322" s="36"/>
      <c r="H322" s="37"/>
    </row>
    <row r="323" spans="6:8" s="30" customFormat="1">
      <c r="F323" s="36"/>
      <c r="H323" s="37"/>
    </row>
    <row r="324" spans="6:8" s="30" customFormat="1">
      <c r="F324" s="36"/>
      <c r="H324" s="37"/>
    </row>
    <row r="325" spans="6:8" s="30" customFormat="1">
      <c r="F325" s="36"/>
      <c r="H325" s="37"/>
    </row>
    <row r="326" spans="6:8" s="30" customFormat="1">
      <c r="F326" s="36"/>
      <c r="H326" s="37"/>
    </row>
    <row r="327" spans="6:8" s="30" customFormat="1">
      <c r="F327" s="36"/>
      <c r="H327" s="37"/>
    </row>
    <row r="328" spans="6:8" s="30" customFormat="1">
      <c r="F328" s="36"/>
      <c r="H328" s="37"/>
    </row>
    <row r="329" spans="6:8" s="30" customFormat="1">
      <c r="F329" s="36"/>
      <c r="H329" s="37"/>
    </row>
    <row r="330" spans="6:8" s="30" customFormat="1">
      <c r="F330" s="36"/>
      <c r="H330" s="37"/>
    </row>
    <row r="331" spans="6:8" s="30" customFormat="1">
      <c r="F331" s="36"/>
      <c r="H331" s="37"/>
    </row>
    <row r="332" spans="6:8" s="30" customFormat="1">
      <c r="F332" s="36"/>
      <c r="H332" s="37"/>
    </row>
    <row r="333" spans="6:8" s="30" customFormat="1">
      <c r="F333" s="36"/>
      <c r="H333" s="37"/>
    </row>
    <row r="334" spans="6:8" s="30" customFormat="1">
      <c r="F334" s="36"/>
      <c r="H334" s="37"/>
    </row>
    <row r="335" spans="6:8" s="30" customFormat="1">
      <c r="F335" s="36"/>
      <c r="H335" s="37"/>
    </row>
    <row r="336" spans="6:8" s="30" customFormat="1">
      <c r="F336" s="36"/>
      <c r="H336" s="37"/>
    </row>
    <row r="337" spans="6:8" s="30" customFormat="1">
      <c r="F337" s="36"/>
      <c r="H337" s="37"/>
    </row>
    <row r="338" spans="6:8" s="30" customFormat="1">
      <c r="F338" s="36"/>
      <c r="H338" s="37"/>
    </row>
    <row r="339" spans="6:8" s="30" customFormat="1">
      <c r="F339" s="36"/>
      <c r="H339" s="37"/>
    </row>
    <row r="340" spans="6:8" s="30" customFormat="1">
      <c r="F340" s="36"/>
      <c r="H340" s="37"/>
    </row>
    <row r="341" spans="6:8" s="30" customFormat="1">
      <c r="F341" s="36"/>
      <c r="H341" s="37"/>
    </row>
    <row r="342" spans="6:8" s="30" customFormat="1">
      <c r="F342" s="36"/>
      <c r="H342" s="37"/>
    </row>
    <row r="343" spans="6:8" s="30" customFormat="1">
      <c r="F343" s="36"/>
      <c r="H343" s="37"/>
    </row>
    <row r="344" spans="6:8" s="30" customFormat="1">
      <c r="F344" s="36"/>
      <c r="H344" s="37"/>
    </row>
    <row r="345" spans="6:8" s="30" customFormat="1">
      <c r="F345" s="36"/>
      <c r="H345" s="37"/>
    </row>
    <row r="346" spans="6:8" s="30" customFormat="1">
      <c r="F346" s="36"/>
      <c r="H346" s="37"/>
    </row>
    <row r="347" spans="6:8" s="30" customFormat="1">
      <c r="F347" s="36"/>
      <c r="H347" s="37"/>
    </row>
    <row r="348" spans="6:8" s="30" customFormat="1">
      <c r="F348" s="36"/>
      <c r="H348" s="37"/>
    </row>
    <row r="349" spans="6:8" s="30" customFormat="1">
      <c r="F349" s="36"/>
      <c r="H349" s="37"/>
    </row>
    <row r="350" spans="6:8" s="30" customFormat="1">
      <c r="F350" s="36"/>
      <c r="H350" s="37"/>
    </row>
    <row r="351" spans="6:8" s="30" customFormat="1">
      <c r="F351" s="36"/>
      <c r="H351" s="37"/>
    </row>
    <row r="352" spans="6:8" s="30" customFormat="1">
      <c r="F352" s="36"/>
      <c r="H352" s="37"/>
    </row>
    <row r="353" spans="6:8" s="30" customFormat="1">
      <c r="F353" s="36"/>
      <c r="H353" s="37"/>
    </row>
    <row r="354" spans="6:8" s="30" customFormat="1">
      <c r="F354" s="36"/>
      <c r="H354" s="37"/>
    </row>
    <row r="355" spans="6:8" s="30" customFormat="1">
      <c r="F355" s="36"/>
      <c r="H355" s="37"/>
    </row>
    <row r="356" spans="6:8" s="30" customFormat="1">
      <c r="F356" s="36"/>
      <c r="H356" s="37"/>
    </row>
    <row r="357" spans="6:8" s="30" customFormat="1">
      <c r="F357" s="36"/>
      <c r="H357" s="37"/>
    </row>
    <row r="358" spans="6:8" s="30" customFormat="1">
      <c r="F358" s="36"/>
      <c r="H358" s="37"/>
    </row>
    <row r="359" spans="6:8" s="30" customFormat="1">
      <c r="F359" s="36"/>
      <c r="H359" s="37"/>
    </row>
    <row r="360" spans="6:8" s="30" customFormat="1">
      <c r="F360" s="36"/>
      <c r="H360" s="37"/>
    </row>
    <row r="361" spans="6:8" s="30" customFormat="1">
      <c r="F361" s="36"/>
      <c r="H361" s="37"/>
    </row>
    <row r="362" spans="6:8" s="30" customFormat="1">
      <c r="F362" s="36"/>
      <c r="H362" s="37"/>
    </row>
    <row r="363" spans="6:8" s="30" customFormat="1">
      <c r="F363" s="36"/>
      <c r="H363" s="37"/>
    </row>
    <row r="364" spans="6:8" s="30" customFormat="1">
      <c r="F364" s="36"/>
      <c r="H364" s="37"/>
    </row>
    <row r="365" spans="6:8" s="30" customFormat="1">
      <c r="F365" s="36"/>
      <c r="H365" s="37"/>
    </row>
    <row r="366" spans="6:8" s="30" customFormat="1">
      <c r="F366" s="36"/>
      <c r="H366" s="37"/>
    </row>
    <row r="367" spans="6:8" s="30" customFormat="1">
      <c r="F367" s="36"/>
      <c r="H367" s="37"/>
    </row>
    <row r="368" spans="6:8" s="30" customFormat="1">
      <c r="F368" s="36"/>
      <c r="H368" s="37"/>
    </row>
    <row r="369" spans="6:8" s="30" customFormat="1">
      <c r="F369" s="36"/>
      <c r="H369" s="37"/>
    </row>
    <row r="370" spans="6:8" s="30" customFormat="1">
      <c r="F370" s="36"/>
      <c r="H370" s="37"/>
    </row>
    <row r="371" spans="6:8" s="30" customFormat="1">
      <c r="F371" s="36"/>
      <c r="H371" s="37"/>
    </row>
    <row r="372" spans="6:8" s="30" customFormat="1">
      <c r="F372" s="36"/>
      <c r="H372" s="37"/>
    </row>
    <row r="373" spans="6:8" s="30" customFormat="1">
      <c r="F373" s="36"/>
      <c r="H373" s="37"/>
    </row>
    <row r="374" spans="6:8" s="30" customFormat="1">
      <c r="F374" s="36"/>
      <c r="H374" s="37"/>
    </row>
    <row r="375" spans="6:8" s="30" customFormat="1">
      <c r="F375" s="36"/>
      <c r="H375" s="37"/>
    </row>
    <row r="376" spans="6:8" s="30" customFormat="1">
      <c r="F376" s="36"/>
      <c r="H376" s="37"/>
    </row>
    <row r="377" spans="6:8" s="30" customFormat="1">
      <c r="F377" s="36"/>
      <c r="H377" s="37"/>
    </row>
    <row r="378" spans="6:8" s="30" customFormat="1">
      <c r="F378" s="36"/>
      <c r="H378" s="37"/>
    </row>
    <row r="379" spans="6:8" s="30" customFormat="1">
      <c r="F379" s="36"/>
      <c r="H379" s="37"/>
    </row>
    <row r="380" spans="6:8" s="30" customFormat="1">
      <c r="F380" s="36"/>
      <c r="H380" s="37"/>
    </row>
    <row r="381" spans="6:8" s="30" customFormat="1">
      <c r="F381" s="36"/>
      <c r="H381" s="37"/>
    </row>
    <row r="382" spans="6:8" s="30" customFormat="1">
      <c r="F382" s="36"/>
      <c r="H382" s="37"/>
    </row>
    <row r="383" spans="6:8" s="30" customFormat="1">
      <c r="F383" s="36"/>
      <c r="H383" s="37"/>
    </row>
    <row r="384" spans="6:8" s="30" customFormat="1">
      <c r="F384" s="36"/>
      <c r="H384" s="37"/>
    </row>
    <row r="385" spans="6:8" s="30" customFormat="1">
      <c r="F385" s="36"/>
      <c r="H385" s="37"/>
    </row>
    <row r="386" spans="6:8" s="30" customFormat="1">
      <c r="F386" s="36"/>
      <c r="H386" s="37"/>
    </row>
    <row r="387" spans="6:8" s="30" customFormat="1">
      <c r="F387" s="36"/>
      <c r="H387" s="37"/>
    </row>
    <row r="388" spans="6:8" s="30" customFormat="1">
      <c r="F388" s="36"/>
      <c r="H388" s="37"/>
    </row>
    <row r="389" spans="6:8" s="30" customFormat="1">
      <c r="F389" s="36"/>
      <c r="H389" s="37"/>
    </row>
    <row r="390" spans="6:8" s="30" customFormat="1">
      <c r="F390" s="36"/>
      <c r="H390" s="37"/>
    </row>
    <row r="391" spans="6:8" s="30" customFormat="1">
      <c r="F391" s="36"/>
      <c r="H391" s="37"/>
    </row>
    <row r="392" spans="6:8" s="30" customFormat="1">
      <c r="F392" s="36"/>
      <c r="H392" s="37"/>
    </row>
    <row r="393" spans="6:8" s="30" customFormat="1">
      <c r="F393" s="36"/>
      <c r="H393" s="37"/>
    </row>
    <row r="394" spans="6:8" s="30" customFormat="1">
      <c r="F394" s="36"/>
      <c r="H394" s="37"/>
    </row>
    <row r="395" spans="6:8" s="30" customFormat="1">
      <c r="F395" s="36"/>
      <c r="H395" s="37"/>
    </row>
    <row r="396" spans="6:8" s="30" customFormat="1">
      <c r="F396" s="36"/>
      <c r="H396" s="37"/>
    </row>
    <row r="397" spans="6:8" s="30" customFormat="1">
      <c r="F397" s="36"/>
      <c r="H397" s="37"/>
    </row>
    <row r="398" spans="6:8" s="30" customFormat="1">
      <c r="F398" s="36"/>
      <c r="H398" s="37"/>
    </row>
    <row r="399" spans="6:8" s="30" customFormat="1">
      <c r="F399" s="36"/>
      <c r="H399" s="37"/>
    </row>
    <row r="400" spans="6:8" s="30" customFormat="1">
      <c r="F400" s="36"/>
      <c r="H400" s="37"/>
    </row>
    <row r="401" spans="6:8" s="30" customFormat="1">
      <c r="F401" s="36"/>
      <c r="H401" s="37"/>
    </row>
    <row r="402" spans="6:8" s="30" customFormat="1">
      <c r="F402" s="36"/>
      <c r="H402" s="37"/>
    </row>
    <row r="403" spans="6:8" s="30" customFormat="1">
      <c r="F403" s="36"/>
      <c r="H403" s="37"/>
    </row>
    <row r="404" spans="6:8" s="30" customFormat="1">
      <c r="F404" s="36"/>
      <c r="H404" s="37"/>
    </row>
    <row r="405" spans="6:8" s="30" customFormat="1">
      <c r="F405" s="36"/>
      <c r="H405" s="37"/>
    </row>
    <row r="406" spans="6:8" s="30" customFormat="1">
      <c r="F406" s="36"/>
      <c r="H406" s="37"/>
    </row>
    <row r="407" spans="6:8" s="30" customFormat="1">
      <c r="F407" s="36"/>
      <c r="H407" s="37"/>
    </row>
    <row r="408" spans="6:8" s="30" customFormat="1">
      <c r="F408" s="36"/>
      <c r="H408" s="37"/>
    </row>
    <row r="409" spans="6:8" s="30" customFormat="1">
      <c r="F409" s="36"/>
      <c r="H409" s="37"/>
    </row>
    <row r="410" spans="6:8" s="30" customFormat="1">
      <c r="F410" s="36"/>
      <c r="H410" s="37"/>
    </row>
    <row r="411" spans="6:8" s="30" customFormat="1">
      <c r="F411" s="36"/>
      <c r="H411" s="37"/>
    </row>
    <row r="412" spans="6:8" s="30" customFormat="1">
      <c r="F412" s="36"/>
      <c r="H412" s="37"/>
    </row>
    <row r="413" spans="6:8" s="30" customFormat="1">
      <c r="F413" s="36"/>
      <c r="H413" s="37"/>
    </row>
    <row r="414" spans="6:8" s="30" customFormat="1">
      <c r="F414" s="36"/>
      <c r="H414" s="37"/>
    </row>
    <row r="415" spans="6:8" s="30" customFormat="1">
      <c r="F415" s="36"/>
      <c r="H415" s="37"/>
    </row>
    <row r="416" spans="6:8" s="30" customFormat="1">
      <c r="F416" s="36"/>
      <c r="H416" s="37"/>
    </row>
    <row r="417" spans="6:8" s="30" customFormat="1">
      <c r="F417" s="36"/>
      <c r="H417" s="37"/>
    </row>
    <row r="418" spans="6:8" s="30" customFormat="1">
      <c r="F418" s="36"/>
      <c r="H418" s="37"/>
    </row>
    <row r="419" spans="6:8" s="30" customFormat="1">
      <c r="F419" s="36"/>
      <c r="H419" s="37"/>
    </row>
    <row r="420" spans="6:8" s="30" customFormat="1">
      <c r="F420" s="36"/>
      <c r="H420" s="37"/>
    </row>
    <row r="421" spans="6:8" s="30" customFormat="1">
      <c r="F421" s="36"/>
      <c r="H421" s="37"/>
    </row>
    <row r="422" spans="6:8" s="30" customFormat="1">
      <c r="F422" s="36"/>
      <c r="H422" s="37"/>
    </row>
    <row r="423" spans="6:8" s="30" customFormat="1">
      <c r="F423" s="36"/>
      <c r="H423" s="37"/>
    </row>
    <row r="424" spans="6:8" s="30" customFormat="1">
      <c r="F424" s="36"/>
      <c r="H424" s="37"/>
    </row>
    <row r="425" spans="6:8" s="30" customFormat="1">
      <c r="F425" s="36"/>
      <c r="H425" s="37"/>
    </row>
    <row r="426" spans="6:8" s="30" customFormat="1">
      <c r="F426" s="36"/>
      <c r="H426" s="37"/>
    </row>
    <row r="427" spans="6:8" s="30" customFormat="1">
      <c r="F427" s="36"/>
      <c r="H427" s="37"/>
    </row>
    <row r="428" spans="6:8" s="30" customFormat="1">
      <c r="F428" s="36"/>
      <c r="H428" s="37"/>
    </row>
    <row r="429" spans="6:8" s="30" customFormat="1">
      <c r="F429" s="36"/>
      <c r="H429" s="37"/>
    </row>
    <row r="430" spans="6:8" s="30" customFormat="1">
      <c r="F430" s="36"/>
      <c r="H430" s="37"/>
    </row>
    <row r="431" spans="6:8" s="30" customFormat="1">
      <c r="F431" s="36"/>
      <c r="H431" s="37"/>
    </row>
    <row r="432" spans="6:8" s="30" customFormat="1">
      <c r="F432" s="36"/>
      <c r="H432" s="37"/>
    </row>
    <row r="433" spans="6:8" s="30" customFormat="1">
      <c r="F433" s="36"/>
      <c r="H433" s="37"/>
    </row>
    <row r="434" spans="6:8" s="30" customFormat="1">
      <c r="F434" s="36"/>
      <c r="H434" s="37"/>
    </row>
    <row r="435" spans="6:8" s="30" customFormat="1">
      <c r="F435" s="36"/>
      <c r="H435" s="37"/>
    </row>
    <row r="436" spans="6:8" s="30" customFormat="1">
      <c r="F436" s="36"/>
      <c r="H436" s="37"/>
    </row>
    <row r="437" spans="6:8" s="30" customFormat="1">
      <c r="F437" s="36"/>
      <c r="H437" s="37"/>
    </row>
    <row r="438" spans="6:8" s="30" customFormat="1">
      <c r="F438" s="36"/>
      <c r="H438" s="37"/>
    </row>
    <row r="439" spans="6:8" s="30" customFormat="1">
      <c r="F439" s="36"/>
      <c r="H439" s="37"/>
    </row>
    <row r="440" spans="6:8" s="30" customFormat="1">
      <c r="F440" s="36"/>
      <c r="H440" s="37"/>
    </row>
    <row r="441" spans="6:8" s="30" customFormat="1">
      <c r="F441" s="36"/>
      <c r="H441" s="37"/>
    </row>
    <row r="442" spans="6:8" s="30" customFormat="1">
      <c r="F442" s="36"/>
      <c r="H442" s="37"/>
    </row>
    <row r="443" spans="6:8" s="30" customFormat="1">
      <c r="F443" s="36"/>
      <c r="H443" s="37"/>
    </row>
    <row r="444" spans="6:8" s="30" customFormat="1">
      <c r="F444" s="36"/>
      <c r="H444" s="37"/>
    </row>
    <row r="445" spans="6:8" s="30" customFormat="1">
      <c r="F445" s="36"/>
      <c r="H445" s="37"/>
    </row>
    <row r="446" spans="6:8" s="30" customFormat="1">
      <c r="F446" s="36"/>
      <c r="H446" s="37"/>
    </row>
    <row r="447" spans="6:8" s="30" customFormat="1">
      <c r="F447" s="36"/>
      <c r="H447" s="37"/>
    </row>
    <row r="448" spans="6:8" s="30" customFormat="1">
      <c r="F448" s="36"/>
      <c r="H448" s="37"/>
    </row>
    <row r="449" spans="6:8" s="30" customFormat="1">
      <c r="F449" s="36"/>
      <c r="H449" s="37"/>
    </row>
    <row r="450" spans="6:8" s="30" customFormat="1">
      <c r="F450" s="36"/>
      <c r="H450" s="37"/>
    </row>
    <row r="451" spans="6:8" s="30" customFormat="1">
      <c r="F451" s="36"/>
      <c r="H451" s="37"/>
    </row>
    <row r="452" spans="6:8" s="30" customFormat="1">
      <c r="F452" s="36"/>
      <c r="H452" s="37"/>
    </row>
    <row r="453" spans="6:8" s="30" customFormat="1">
      <c r="F453" s="36"/>
      <c r="H453" s="37"/>
    </row>
    <row r="454" spans="6:8" s="30" customFormat="1">
      <c r="F454" s="36"/>
      <c r="H454" s="37"/>
    </row>
    <row r="455" spans="6:8" s="30" customFormat="1">
      <c r="F455" s="36"/>
      <c r="H455" s="37"/>
    </row>
    <row r="456" spans="6:8" s="30" customFormat="1">
      <c r="F456" s="36"/>
      <c r="H456" s="37"/>
    </row>
    <row r="457" spans="6:8" s="30" customFormat="1">
      <c r="F457" s="36"/>
      <c r="H457" s="37"/>
    </row>
    <row r="458" spans="6:8" s="30" customFormat="1">
      <c r="F458" s="36"/>
      <c r="H458" s="37"/>
    </row>
    <row r="459" spans="6:8" s="30" customFormat="1">
      <c r="F459" s="36"/>
      <c r="H459" s="37"/>
    </row>
    <row r="460" spans="6:8" s="30" customFormat="1">
      <c r="F460" s="36"/>
      <c r="H460" s="37"/>
    </row>
    <row r="461" spans="6:8" s="30" customFormat="1">
      <c r="F461" s="36"/>
      <c r="H461" s="37"/>
    </row>
    <row r="462" spans="6:8" s="30" customFormat="1">
      <c r="F462" s="36"/>
      <c r="H462" s="37"/>
    </row>
    <row r="463" spans="6:8" s="30" customFormat="1">
      <c r="F463" s="36"/>
      <c r="H463" s="37"/>
    </row>
    <row r="464" spans="6:8" s="30" customFormat="1">
      <c r="F464" s="36"/>
      <c r="H464" s="37"/>
    </row>
    <row r="465" spans="6:8" s="30" customFormat="1">
      <c r="F465" s="36"/>
      <c r="H465" s="37"/>
    </row>
    <row r="466" spans="6:8" s="30" customFormat="1">
      <c r="F466" s="36"/>
      <c r="H466" s="37"/>
    </row>
    <row r="467" spans="6:8" s="30" customFormat="1">
      <c r="F467" s="36"/>
      <c r="H467" s="37"/>
    </row>
    <row r="468" spans="6:8" s="30" customFormat="1">
      <c r="F468" s="36"/>
      <c r="H468" s="37"/>
    </row>
    <row r="469" spans="6:8" s="30" customFormat="1">
      <c r="F469" s="36"/>
      <c r="H469" s="37"/>
    </row>
    <row r="470" spans="6:8" s="30" customFormat="1">
      <c r="F470" s="36"/>
      <c r="H470" s="37"/>
    </row>
    <row r="471" spans="6:8" s="30" customFormat="1">
      <c r="F471" s="36"/>
      <c r="H471" s="37"/>
    </row>
    <row r="472" spans="6:8" s="30" customFormat="1">
      <c r="F472" s="36"/>
      <c r="H472" s="37"/>
    </row>
    <row r="473" spans="6:8" s="30" customFormat="1">
      <c r="F473" s="36"/>
      <c r="H473" s="37"/>
    </row>
    <row r="474" spans="6:8" s="30" customFormat="1">
      <c r="F474" s="36"/>
      <c r="H474" s="37"/>
    </row>
    <row r="475" spans="6:8" s="30" customFormat="1">
      <c r="F475" s="36"/>
      <c r="H475" s="37"/>
    </row>
    <row r="476" spans="6:8" s="30" customFormat="1">
      <c r="F476" s="36"/>
      <c r="H476" s="37"/>
    </row>
    <row r="477" spans="6:8" s="30" customFormat="1">
      <c r="F477" s="36"/>
      <c r="H477" s="37"/>
    </row>
    <row r="478" spans="6:8" s="30" customFormat="1">
      <c r="F478" s="36"/>
      <c r="H478" s="37"/>
    </row>
    <row r="479" spans="6:8" s="30" customFormat="1">
      <c r="F479" s="36"/>
      <c r="H479" s="37"/>
    </row>
    <row r="480" spans="6:8" s="30" customFormat="1">
      <c r="F480" s="36"/>
      <c r="H480" s="37"/>
    </row>
    <row r="481" spans="6:8" s="30" customFormat="1">
      <c r="F481" s="36"/>
      <c r="H481" s="37"/>
    </row>
    <row r="482" spans="6:8" s="30" customFormat="1">
      <c r="F482" s="36"/>
      <c r="H482" s="37"/>
    </row>
    <row r="483" spans="6:8" s="30" customFormat="1">
      <c r="F483" s="36"/>
      <c r="H483" s="37"/>
    </row>
    <row r="484" spans="6:8" s="30" customFormat="1">
      <c r="F484" s="36"/>
      <c r="H484" s="37"/>
    </row>
    <row r="485" spans="6:8" s="30" customFormat="1">
      <c r="F485" s="36"/>
      <c r="H485" s="37"/>
    </row>
    <row r="486" spans="6:8" s="30" customFormat="1">
      <c r="F486" s="36"/>
      <c r="H486" s="37"/>
    </row>
    <row r="487" spans="6:8" s="30" customFormat="1">
      <c r="F487" s="36"/>
      <c r="H487" s="37"/>
    </row>
    <row r="488" spans="6:8" s="30" customFormat="1">
      <c r="F488" s="36"/>
      <c r="H488" s="37"/>
    </row>
    <row r="489" spans="6:8" s="30" customFormat="1">
      <c r="F489" s="36"/>
      <c r="H489" s="37"/>
    </row>
    <row r="490" spans="6:8" s="30" customFormat="1">
      <c r="F490" s="36"/>
      <c r="H490" s="37"/>
    </row>
    <row r="491" spans="6:8" s="30" customFormat="1">
      <c r="F491" s="36"/>
      <c r="H491" s="37"/>
    </row>
    <row r="492" spans="6:8" s="30" customFormat="1">
      <c r="F492" s="36"/>
      <c r="H492" s="37"/>
    </row>
    <row r="493" spans="6:8" s="30" customFormat="1">
      <c r="F493" s="36"/>
      <c r="H493" s="37"/>
    </row>
    <row r="494" spans="6:8" s="30" customFormat="1">
      <c r="F494" s="36"/>
      <c r="H494" s="37"/>
    </row>
    <row r="495" spans="6:8" s="30" customFormat="1">
      <c r="F495" s="36"/>
      <c r="H495" s="37"/>
    </row>
    <row r="496" spans="6:8" s="30" customFormat="1">
      <c r="F496" s="36"/>
      <c r="H496" s="37"/>
    </row>
    <row r="497" spans="6:8" s="30" customFormat="1">
      <c r="F497" s="36"/>
      <c r="H497" s="37"/>
    </row>
    <row r="498" spans="6:8" s="30" customFormat="1">
      <c r="F498" s="36"/>
      <c r="H498" s="37"/>
    </row>
    <row r="499" spans="6:8" s="30" customFormat="1">
      <c r="F499" s="36"/>
      <c r="H499" s="37"/>
    </row>
    <row r="500" spans="6:8" s="30" customFormat="1">
      <c r="F500" s="36"/>
      <c r="H500" s="37"/>
    </row>
    <row r="501" spans="6:8" s="30" customFormat="1">
      <c r="F501" s="36"/>
      <c r="H501" s="37"/>
    </row>
    <row r="502" spans="6:8" s="30" customFormat="1">
      <c r="F502" s="36"/>
      <c r="H502" s="37"/>
    </row>
    <row r="503" spans="6:8" s="30" customFormat="1">
      <c r="F503" s="36"/>
      <c r="H503" s="37"/>
    </row>
    <row r="504" spans="6:8" s="30" customFormat="1">
      <c r="F504" s="36"/>
      <c r="H504" s="37"/>
    </row>
    <row r="505" spans="6:8" s="30" customFormat="1">
      <c r="F505" s="36"/>
      <c r="H505" s="37"/>
    </row>
    <row r="506" spans="6:8" s="30" customFormat="1">
      <c r="F506" s="36"/>
      <c r="H506" s="37"/>
    </row>
    <row r="507" spans="6:8" s="30" customFormat="1">
      <c r="F507" s="36"/>
      <c r="H507" s="37"/>
    </row>
    <row r="508" spans="6:8" s="30" customFormat="1">
      <c r="F508" s="36"/>
      <c r="H508" s="37"/>
    </row>
    <row r="509" spans="6:8" s="30" customFormat="1">
      <c r="F509" s="36"/>
      <c r="H509" s="37"/>
    </row>
    <row r="510" spans="6:8" s="30" customFormat="1">
      <c r="F510" s="36"/>
      <c r="H510" s="37"/>
    </row>
    <row r="511" spans="6:8" s="30" customFormat="1">
      <c r="F511" s="36"/>
      <c r="H511" s="37"/>
    </row>
    <row r="512" spans="6:8" s="30" customFormat="1">
      <c r="F512" s="36"/>
      <c r="H512" s="37"/>
    </row>
    <row r="513" spans="6:8" s="30" customFormat="1">
      <c r="F513" s="36"/>
      <c r="H513" s="37"/>
    </row>
    <row r="514" spans="6:8" s="30" customFormat="1">
      <c r="F514" s="36"/>
      <c r="H514" s="37"/>
    </row>
    <row r="515" spans="6:8" s="30" customFormat="1">
      <c r="F515" s="36"/>
      <c r="H515" s="37"/>
    </row>
    <row r="516" spans="6:8" s="30" customFormat="1">
      <c r="F516" s="36"/>
      <c r="H516" s="37"/>
    </row>
    <row r="517" spans="6:8" s="30" customFormat="1">
      <c r="F517" s="36"/>
      <c r="H517" s="37"/>
    </row>
    <row r="518" spans="6:8" s="30" customFormat="1">
      <c r="F518" s="36"/>
      <c r="H518" s="37"/>
    </row>
    <row r="519" spans="6:8" s="30" customFormat="1">
      <c r="F519" s="36"/>
      <c r="H519" s="37"/>
    </row>
    <row r="520" spans="6:8" s="30" customFormat="1">
      <c r="F520" s="36"/>
      <c r="H520" s="37"/>
    </row>
    <row r="521" spans="6:8" s="30" customFormat="1">
      <c r="F521" s="36"/>
      <c r="H521" s="37"/>
    </row>
    <row r="522" spans="6:8" s="30" customFormat="1">
      <c r="F522" s="36"/>
      <c r="H522" s="37"/>
    </row>
    <row r="523" spans="6:8" s="30" customFormat="1">
      <c r="F523" s="36"/>
      <c r="H523" s="37"/>
    </row>
    <row r="524" spans="6:8" s="30" customFormat="1">
      <c r="F524" s="36"/>
      <c r="H524" s="37"/>
    </row>
    <row r="525" spans="6:8" s="30" customFormat="1">
      <c r="F525" s="36"/>
      <c r="H525" s="37"/>
    </row>
    <row r="526" spans="6:8" s="30" customFormat="1">
      <c r="F526" s="36"/>
      <c r="H526" s="37"/>
    </row>
    <row r="527" spans="6:8" s="30" customFormat="1">
      <c r="F527" s="36"/>
      <c r="H527" s="37"/>
    </row>
    <row r="528" spans="6:8" s="30" customFormat="1">
      <c r="F528" s="36"/>
      <c r="H528" s="37"/>
    </row>
    <row r="529" spans="6:8" s="30" customFormat="1">
      <c r="F529" s="36"/>
      <c r="H529" s="37"/>
    </row>
    <row r="530" spans="6:8" s="30" customFormat="1">
      <c r="F530" s="36"/>
      <c r="H530" s="37"/>
    </row>
    <row r="531" spans="6:8" s="30" customFormat="1">
      <c r="F531" s="36"/>
      <c r="H531" s="37"/>
    </row>
    <row r="532" spans="6:8" s="30" customFormat="1">
      <c r="F532" s="36"/>
      <c r="H532" s="37"/>
    </row>
    <row r="533" spans="6:8" s="30" customFormat="1">
      <c r="F533" s="36"/>
      <c r="H533" s="37"/>
    </row>
    <row r="534" spans="6:8" s="30" customFormat="1">
      <c r="F534" s="36"/>
      <c r="H534" s="37"/>
    </row>
    <row r="535" spans="6:8" s="30" customFormat="1">
      <c r="F535" s="36"/>
      <c r="H535" s="37"/>
    </row>
    <row r="536" spans="6:8" s="30" customFormat="1">
      <c r="F536" s="36"/>
      <c r="H536" s="37"/>
    </row>
    <row r="537" spans="6:8" s="30" customFormat="1">
      <c r="F537" s="36"/>
      <c r="H537" s="37"/>
    </row>
    <row r="538" spans="6:8" s="30" customFormat="1">
      <c r="F538" s="36"/>
      <c r="H538" s="37"/>
    </row>
    <row r="539" spans="6:8" s="30" customFormat="1">
      <c r="F539" s="36"/>
      <c r="H539" s="37"/>
    </row>
    <row r="540" spans="6:8" s="30" customFormat="1">
      <c r="F540" s="36"/>
      <c r="H540" s="37"/>
    </row>
    <row r="541" spans="6:8" s="30" customFormat="1">
      <c r="F541" s="36"/>
      <c r="H541" s="37"/>
    </row>
    <row r="542" spans="6:8" s="30" customFormat="1">
      <c r="F542" s="36"/>
      <c r="H542" s="37"/>
    </row>
    <row r="543" spans="6:8" s="30" customFormat="1">
      <c r="F543" s="36"/>
      <c r="H543" s="37"/>
    </row>
    <row r="544" spans="6:8" s="30" customFormat="1">
      <c r="F544" s="36"/>
      <c r="H544" s="37"/>
    </row>
    <row r="545" spans="6:8" s="30" customFormat="1">
      <c r="F545" s="36"/>
      <c r="H545" s="37"/>
    </row>
    <row r="546" spans="6:8" s="30" customFormat="1">
      <c r="F546" s="36"/>
      <c r="H546" s="37"/>
    </row>
    <row r="547" spans="6:8" s="30" customFormat="1">
      <c r="F547" s="36"/>
      <c r="H547" s="37"/>
    </row>
    <row r="548" spans="6:8" s="30" customFormat="1">
      <c r="F548" s="36"/>
      <c r="H548" s="37"/>
    </row>
    <row r="549" spans="6:8" s="30" customFormat="1">
      <c r="F549" s="36"/>
      <c r="H549" s="37"/>
    </row>
    <row r="550" spans="6:8" s="30" customFormat="1">
      <c r="F550" s="36"/>
      <c r="H550" s="37"/>
    </row>
    <row r="551" spans="6:8" s="30" customFormat="1">
      <c r="F551" s="36"/>
      <c r="H551" s="37"/>
    </row>
    <row r="552" spans="6:8" s="30" customFormat="1">
      <c r="F552" s="36"/>
      <c r="H552" s="37"/>
    </row>
    <row r="553" spans="6:8" s="30" customFormat="1">
      <c r="F553" s="36"/>
      <c r="H553" s="37"/>
    </row>
    <row r="554" spans="6:8" s="30" customFormat="1">
      <c r="F554" s="36"/>
      <c r="H554" s="37"/>
    </row>
    <row r="555" spans="6:8" s="30" customFormat="1">
      <c r="F555" s="36"/>
      <c r="H555" s="37"/>
    </row>
    <row r="556" spans="6:8" s="30" customFormat="1">
      <c r="F556" s="36"/>
      <c r="H556" s="37"/>
    </row>
    <row r="557" spans="6:8" s="30" customFormat="1">
      <c r="F557" s="36"/>
      <c r="H557" s="37"/>
    </row>
    <row r="558" spans="6:8" s="30" customFormat="1">
      <c r="F558" s="36"/>
      <c r="H558" s="37"/>
    </row>
    <row r="559" spans="6:8" s="30" customFormat="1">
      <c r="F559" s="36"/>
      <c r="H559" s="37"/>
    </row>
    <row r="560" spans="6:8" s="30" customFormat="1">
      <c r="F560" s="36"/>
      <c r="H560" s="37"/>
    </row>
    <row r="561" spans="6:8" s="30" customFormat="1">
      <c r="F561" s="36"/>
      <c r="H561" s="37"/>
    </row>
    <row r="562" spans="6:8" s="30" customFormat="1">
      <c r="F562" s="36"/>
      <c r="H562" s="37"/>
    </row>
    <row r="563" spans="6:8" s="30" customFormat="1">
      <c r="F563" s="36"/>
      <c r="H563" s="37"/>
    </row>
    <row r="564" spans="6:8" s="30" customFormat="1">
      <c r="F564" s="36"/>
      <c r="H564" s="37"/>
    </row>
    <row r="565" spans="6:8" s="30" customFormat="1">
      <c r="F565" s="36"/>
      <c r="H565" s="37"/>
    </row>
    <row r="566" spans="6:8" s="30" customFormat="1">
      <c r="F566" s="36"/>
      <c r="H566" s="37"/>
    </row>
    <row r="567" spans="6:8" s="30" customFormat="1">
      <c r="F567" s="36"/>
      <c r="H567" s="37"/>
    </row>
    <row r="568" spans="6:8" s="30" customFormat="1">
      <c r="F568" s="36"/>
      <c r="H568" s="37"/>
    </row>
    <row r="569" spans="6:8" s="30" customFormat="1">
      <c r="F569" s="36"/>
      <c r="H569" s="37"/>
    </row>
    <row r="570" spans="6:8" s="30" customFormat="1">
      <c r="F570" s="36"/>
      <c r="H570" s="37"/>
    </row>
    <row r="571" spans="6:8" s="30" customFormat="1">
      <c r="F571" s="36"/>
      <c r="H571" s="37"/>
    </row>
    <row r="572" spans="6:8" s="30" customFormat="1">
      <c r="F572" s="36"/>
      <c r="H572" s="37"/>
    </row>
    <row r="573" spans="6:8" s="30" customFormat="1">
      <c r="F573" s="36"/>
      <c r="H573" s="37"/>
    </row>
    <row r="574" spans="6:8" s="30" customFormat="1">
      <c r="F574" s="36"/>
      <c r="H574" s="37"/>
    </row>
    <row r="575" spans="6:8" s="30" customFormat="1">
      <c r="F575" s="36"/>
      <c r="H575" s="37"/>
    </row>
    <row r="576" spans="6:8" s="30" customFormat="1">
      <c r="F576" s="36"/>
      <c r="H576" s="37"/>
    </row>
    <row r="577" spans="6:8" s="30" customFormat="1">
      <c r="F577" s="36"/>
      <c r="H577" s="37"/>
    </row>
    <row r="578" spans="6:8" s="30" customFormat="1">
      <c r="F578" s="36"/>
      <c r="H578" s="37"/>
    </row>
    <row r="579" spans="6:8" s="30" customFormat="1">
      <c r="F579" s="36"/>
      <c r="H579" s="37"/>
    </row>
    <row r="580" spans="6:8" s="30" customFormat="1">
      <c r="F580" s="36"/>
      <c r="H580" s="37"/>
    </row>
    <row r="581" spans="6:8" s="30" customFormat="1">
      <c r="F581" s="36"/>
      <c r="H581" s="37"/>
    </row>
    <row r="582" spans="6:8" s="30" customFormat="1">
      <c r="F582" s="36"/>
      <c r="H582" s="37"/>
    </row>
    <row r="583" spans="6:8" s="30" customFormat="1">
      <c r="F583" s="36"/>
      <c r="H583" s="37"/>
    </row>
    <row r="584" spans="6:8" s="30" customFormat="1">
      <c r="F584" s="36"/>
      <c r="H584" s="37"/>
    </row>
    <row r="585" spans="6:8" s="30" customFormat="1">
      <c r="F585" s="36"/>
      <c r="H585" s="37"/>
    </row>
    <row r="586" spans="6:8" s="30" customFormat="1">
      <c r="F586" s="36"/>
      <c r="H586" s="37"/>
    </row>
    <row r="587" spans="6:8" s="30" customFormat="1">
      <c r="F587" s="36"/>
      <c r="H587" s="37"/>
    </row>
    <row r="588" spans="6:8" s="30" customFormat="1">
      <c r="F588" s="36"/>
      <c r="H588" s="37"/>
    </row>
    <row r="589" spans="6:8" s="30" customFormat="1">
      <c r="F589" s="36"/>
      <c r="H589" s="37"/>
    </row>
    <row r="590" spans="6:8" s="30" customFormat="1">
      <c r="F590" s="36"/>
      <c r="H590" s="37"/>
    </row>
    <row r="591" spans="6:8" s="30" customFormat="1">
      <c r="F591" s="36"/>
      <c r="H591" s="37"/>
    </row>
    <row r="592" spans="6:8" s="30" customFormat="1">
      <c r="F592" s="36"/>
      <c r="H592" s="37"/>
    </row>
    <row r="593" spans="6:8" s="30" customFormat="1">
      <c r="F593" s="36"/>
      <c r="H593" s="37"/>
    </row>
    <row r="594" spans="6:8" s="30" customFormat="1">
      <c r="F594" s="36"/>
      <c r="H594" s="37"/>
    </row>
    <row r="595" spans="6:8" s="30" customFormat="1">
      <c r="F595" s="36"/>
      <c r="H595" s="37"/>
    </row>
    <row r="596" spans="6:8" s="30" customFormat="1">
      <c r="F596" s="36"/>
      <c r="H596" s="37"/>
    </row>
    <row r="597" spans="6:8" s="30" customFormat="1">
      <c r="F597" s="36"/>
      <c r="H597" s="37"/>
    </row>
    <row r="598" spans="6:8" s="30" customFormat="1">
      <c r="F598" s="36"/>
      <c r="H598" s="37"/>
    </row>
    <row r="599" spans="6:8" s="30" customFormat="1">
      <c r="F599" s="36"/>
      <c r="H599" s="37"/>
    </row>
    <row r="600" spans="6:8" s="30" customFormat="1">
      <c r="F600" s="36"/>
      <c r="H600" s="37"/>
    </row>
    <row r="601" spans="6:8" s="30" customFormat="1">
      <c r="F601" s="36"/>
      <c r="H601" s="37"/>
    </row>
    <row r="602" spans="6:8" s="30" customFormat="1">
      <c r="F602" s="36"/>
      <c r="H602" s="37"/>
    </row>
    <row r="603" spans="6:8" s="30" customFormat="1">
      <c r="F603" s="36"/>
      <c r="H603" s="37"/>
    </row>
    <row r="604" spans="6:8" s="30" customFormat="1">
      <c r="F604" s="36"/>
      <c r="H604" s="37"/>
    </row>
    <row r="605" spans="6:8" s="30" customFormat="1">
      <c r="F605" s="36"/>
      <c r="H605" s="37"/>
    </row>
    <row r="606" spans="6:8" s="30" customFormat="1">
      <c r="F606" s="36"/>
      <c r="H606" s="37"/>
    </row>
    <row r="607" spans="6:8" s="30" customFormat="1">
      <c r="F607" s="36"/>
      <c r="H607" s="37"/>
    </row>
    <row r="608" spans="6:8" s="30" customFormat="1">
      <c r="F608" s="36"/>
      <c r="H608" s="37"/>
    </row>
    <row r="609" spans="6:8" s="30" customFormat="1">
      <c r="F609" s="36"/>
      <c r="H609" s="37"/>
    </row>
    <row r="610" spans="6:8" s="30" customFormat="1">
      <c r="F610" s="36"/>
      <c r="H610" s="37"/>
    </row>
    <row r="611" spans="6:8" s="30" customFormat="1">
      <c r="F611" s="36"/>
      <c r="H611" s="37"/>
    </row>
    <row r="612" spans="6:8" s="30" customFormat="1">
      <c r="F612" s="36"/>
      <c r="H612" s="37"/>
    </row>
    <row r="613" spans="6:8" s="30" customFormat="1">
      <c r="F613" s="36"/>
      <c r="H613" s="37"/>
    </row>
    <row r="614" spans="6:8" s="30" customFormat="1">
      <c r="F614" s="36"/>
      <c r="H614" s="37"/>
    </row>
    <row r="615" spans="6:8" s="30" customFormat="1">
      <c r="F615" s="36"/>
      <c r="H615" s="37"/>
    </row>
    <row r="616" spans="6:8" s="30" customFormat="1">
      <c r="F616" s="36"/>
      <c r="H616" s="37"/>
    </row>
    <row r="617" spans="6:8" s="30" customFormat="1">
      <c r="F617" s="36"/>
      <c r="H617" s="37"/>
    </row>
    <row r="618" spans="6:8" s="30" customFormat="1">
      <c r="F618" s="36"/>
      <c r="H618" s="37"/>
    </row>
    <row r="619" spans="6:8" s="30" customFormat="1">
      <c r="F619" s="36"/>
      <c r="H619" s="37"/>
    </row>
    <row r="620" spans="6:8" s="30" customFormat="1">
      <c r="F620" s="36"/>
      <c r="H620" s="37"/>
    </row>
    <row r="621" spans="6:8" s="30" customFormat="1">
      <c r="F621" s="36"/>
      <c r="H621" s="37"/>
    </row>
    <row r="622" spans="6:8" s="30" customFormat="1">
      <c r="F622" s="36"/>
      <c r="H622" s="37"/>
    </row>
    <row r="623" spans="6:8" s="30" customFormat="1">
      <c r="F623" s="36"/>
      <c r="H623" s="37"/>
    </row>
    <row r="624" spans="6:8" s="30" customFormat="1">
      <c r="F624" s="36"/>
      <c r="H624" s="37"/>
    </row>
    <row r="625" spans="6:8" s="30" customFormat="1">
      <c r="F625" s="36"/>
      <c r="H625" s="37"/>
    </row>
    <row r="626" spans="6:8" s="30" customFormat="1">
      <c r="F626" s="36"/>
      <c r="H626" s="37"/>
    </row>
    <row r="627" spans="6:8" s="30" customFormat="1">
      <c r="F627" s="36"/>
      <c r="H627" s="37"/>
    </row>
    <row r="628" spans="6:8" s="30" customFormat="1">
      <c r="F628" s="36"/>
      <c r="H628" s="37"/>
    </row>
    <row r="629" spans="6:8" s="30" customFormat="1">
      <c r="F629" s="36"/>
      <c r="H629" s="37"/>
    </row>
    <row r="630" spans="6:8" s="30" customFormat="1">
      <c r="F630" s="36"/>
      <c r="H630" s="37"/>
    </row>
    <row r="631" spans="6:8" s="30" customFormat="1">
      <c r="F631" s="36"/>
      <c r="H631" s="37"/>
    </row>
    <row r="632" spans="6:8" s="30" customFormat="1">
      <c r="F632" s="36"/>
      <c r="H632" s="37"/>
    </row>
    <row r="633" spans="6:8" s="30" customFormat="1">
      <c r="F633" s="36"/>
      <c r="H633" s="37"/>
    </row>
    <row r="634" spans="6:8" s="30" customFormat="1">
      <c r="F634" s="36"/>
      <c r="H634" s="37"/>
    </row>
    <row r="635" spans="6:8" s="30" customFormat="1">
      <c r="F635" s="36"/>
      <c r="H635" s="37"/>
    </row>
    <row r="636" spans="6:8" s="30" customFormat="1">
      <c r="F636" s="36"/>
      <c r="H636" s="37"/>
    </row>
    <row r="637" spans="6:8" s="30" customFormat="1">
      <c r="F637" s="36"/>
      <c r="H637" s="37"/>
    </row>
    <row r="638" spans="6:8" s="30" customFormat="1">
      <c r="F638" s="36"/>
      <c r="H638" s="37"/>
    </row>
    <row r="639" spans="6:8" s="30" customFormat="1">
      <c r="F639" s="36"/>
      <c r="H639" s="37"/>
    </row>
    <row r="640" spans="6:8" s="30" customFormat="1">
      <c r="F640" s="36"/>
      <c r="H640" s="37"/>
    </row>
    <row r="641" spans="6:8" s="30" customFormat="1">
      <c r="F641" s="36"/>
      <c r="H641" s="37"/>
    </row>
    <row r="642" spans="6:8" s="30" customFormat="1">
      <c r="F642" s="36"/>
      <c r="H642" s="37"/>
    </row>
    <row r="643" spans="6:8" s="30" customFormat="1">
      <c r="F643" s="36"/>
      <c r="H643" s="37"/>
    </row>
    <row r="644" spans="6:8" s="30" customFormat="1">
      <c r="F644" s="36"/>
      <c r="H644" s="37"/>
    </row>
    <row r="645" spans="6:8" s="30" customFormat="1">
      <c r="F645" s="36"/>
      <c r="H645" s="37"/>
    </row>
    <row r="646" spans="6:8" s="30" customFormat="1">
      <c r="F646" s="36"/>
      <c r="H646" s="37"/>
    </row>
    <row r="647" spans="6:8" s="30" customFormat="1">
      <c r="F647" s="36"/>
      <c r="H647" s="37"/>
    </row>
    <row r="648" spans="6:8" s="30" customFormat="1">
      <c r="F648" s="36"/>
      <c r="H648" s="37"/>
    </row>
    <row r="649" spans="6:8" s="30" customFormat="1">
      <c r="F649" s="36"/>
      <c r="H649" s="37"/>
    </row>
    <row r="650" spans="6:8" s="30" customFormat="1">
      <c r="F650" s="36"/>
      <c r="H650" s="37"/>
    </row>
    <row r="651" spans="6:8" s="30" customFormat="1">
      <c r="F651" s="36"/>
      <c r="H651" s="37"/>
    </row>
    <row r="652" spans="6:8" s="30" customFormat="1">
      <c r="F652" s="36"/>
      <c r="H652" s="37"/>
    </row>
    <row r="653" spans="6:8" s="30" customFormat="1">
      <c r="F653" s="36"/>
      <c r="H653" s="37"/>
    </row>
    <row r="654" spans="6:8" s="30" customFormat="1">
      <c r="F654" s="36"/>
      <c r="H654" s="37"/>
    </row>
    <row r="655" spans="6:8" s="30" customFormat="1">
      <c r="F655" s="36"/>
      <c r="H655" s="37"/>
    </row>
    <row r="656" spans="6:8" s="30" customFormat="1">
      <c r="F656" s="36"/>
      <c r="H656" s="37"/>
    </row>
    <row r="657" spans="6:8" s="30" customFormat="1">
      <c r="F657" s="36"/>
      <c r="H657" s="37"/>
    </row>
    <row r="658" spans="6:8" s="30" customFormat="1">
      <c r="F658" s="36"/>
      <c r="H658" s="37"/>
    </row>
    <row r="659" spans="6:8" s="30" customFormat="1">
      <c r="F659" s="36"/>
      <c r="H659" s="37"/>
    </row>
    <row r="660" spans="6:8" s="30" customFormat="1">
      <c r="F660" s="36"/>
      <c r="H660" s="37"/>
    </row>
    <row r="661" spans="6:8" s="30" customFormat="1">
      <c r="F661" s="36"/>
      <c r="H661" s="37"/>
    </row>
    <row r="662" spans="6:8" s="30" customFormat="1">
      <c r="F662" s="36"/>
      <c r="H662" s="37"/>
    </row>
    <row r="663" spans="6:8" s="30" customFormat="1">
      <c r="F663" s="36"/>
      <c r="H663" s="37"/>
    </row>
    <row r="664" spans="6:8" s="30" customFormat="1">
      <c r="F664" s="36"/>
      <c r="H664" s="37"/>
    </row>
    <row r="665" spans="6:8" s="30" customFormat="1">
      <c r="F665" s="36"/>
      <c r="H665" s="37"/>
    </row>
    <row r="666" spans="6:8" s="30" customFormat="1">
      <c r="F666" s="36"/>
      <c r="H666" s="37"/>
    </row>
    <row r="667" spans="6:8" s="30" customFormat="1">
      <c r="F667" s="36"/>
      <c r="H667" s="37"/>
    </row>
    <row r="668" spans="6:8" s="30" customFormat="1">
      <c r="F668" s="36"/>
      <c r="H668" s="37"/>
    </row>
    <row r="669" spans="6:8" s="30" customFormat="1">
      <c r="F669" s="36"/>
      <c r="H669" s="37"/>
    </row>
    <row r="670" spans="6:8" s="30" customFormat="1">
      <c r="F670" s="36"/>
      <c r="H670" s="37"/>
    </row>
    <row r="671" spans="6:8" s="30" customFormat="1">
      <c r="F671" s="36"/>
      <c r="H671" s="37"/>
    </row>
    <row r="672" spans="6:8" s="30" customFormat="1">
      <c r="F672" s="36"/>
      <c r="H672" s="37"/>
    </row>
    <row r="673" spans="6:8" s="30" customFormat="1">
      <c r="F673" s="36"/>
      <c r="H673" s="37"/>
    </row>
    <row r="674" spans="6:8" s="30" customFormat="1">
      <c r="F674" s="36"/>
      <c r="H674" s="37"/>
    </row>
    <row r="675" spans="6:8" s="30" customFormat="1">
      <c r="F675" s="36"/>
      <c r="H675" s="37"/>
    </row>
    <row r="676" spans="6:8" s="30" customFormat="1">
      <c r="F676" s="36"/>
      <c r="H676" s="37"/>
    </row>
    <row r="677" spans="6:8" s="30" customFormat="1">
      <c r="F677" s="36"/>
      <c r="H677" s="37"/>
    </row>
    <row r="678" spans="6:8" s="30" customFormat="1">
      <c r="F678" s="36"/>
      <c r="H678" s="37"/>
    </row>
    <row r="679" spans="6:8" s="30" customFormat="1">
      <c r="F679" s="36"/>
      <c r="H679" s="37"/>
    </row>
    <row r="680" spans="6:8" s="30" customFormat="1">
      <c r="F680" s="36"/>
      <c r="H680" s="37"/>
    </row>
    <row r="681" spans="6:8" s="30" customFormat="1">
      <c r="F681" s="36"/>
      <c r="H681" s="37"/>
    </row>
    <row r="682" spans="6:8" s="30" customFormat="1">
      <c r="F682" s="36"/>
      <c r="H682" s="37"/>
    </row>
    <row r="683" spans="6:8" s="30" customFormat="1">
      <c r="F683" s="36"/>
      <c r="H683" s="37"/>
    </row>
    <row r="684" spans="6:8" s="30" customFormat="1">
      <c r="F684" s="36"/>
      <c r="H684" s="37"/>
    </row>
    <row r="685" spans="6:8" s="30" customFormat="1">
      <c r="F685" s="36"/>
      <c r="H685" s="37"/>
    </row>
    <row r="686" spans="6:8" s="30" customFormat="1">
      <c r="F686" s="36"/>
      <c r="H686" s="37"/>
    </row>
    <row r="687" spans="6:8" s="30" customFormat="1">
      <c r="F687" s="36"/>
      <c r="H687" s="37"/>
    </row>
    <row r="688" spans="6:8" s="30" customFormat="1">
      <c r="F688" s="36"/>
      <c r="H688" s="37"/>
    </row>
    <row r="689" spans="6:8" s="30" customFormat="1">
      <c r="F689" s="36"/>
      <c r="H689" s="37"/>
    </row>
    <row r="690" spans="6:8" s="30" customFormat="1">
      <c r="F690" s="36"/>
      <c r="H690" s="37"/>
    </row>
    <row r="691" spans="6:8" s="30" customFormat="1">
      <c r="F691" s="36"/>
      <c r="H691" s="37"/>
    </row>
    <row r="692" spans="6:8" s="30" customFormat="1">
      <c r="F692" s="36"/>
      <c r="H692" s="37"/>
    </row>
    <row r="693" spans="6:8" s="30" customFormat="1">
      <c r="F693" s="36"/>
      <c r="H693" s="37"/>
    </row>
    <row r="694" spans="6:8" s="30" customFormat="1">
      <c r="F694" s="36"/>
      <c r="H694" s="37"/>
    </row>
    <row r="695" spans="6:8" s="30" customFormat="1">
      <c r="F695" s="36"/>
      <c r="H695" s="37"/>
    </row>
    <row r="696" spans="6:8" s="30" customFormat="1">
      <c r="F696" s="36"/>
      <c r="H696" s="37"/>
    </row>
    <row r="697" spans="6:8" s="30" customFormat="1">
      <c r="F697" s="36"/>
      <c r="H697" s="37"/>
    </row>
    <row r="698" spans="6:8" s="30" customFormat="1">
      <c r="F698" s="36"/>
      <c r="H698" s="37"/>
    </row>
    <row r="699" spans="6:8" s="30" customFormat="1">
      <c r="F699" s="36"/>
      <c r="H699" s="37"/>
    </row>
    <row r="700" spans="6:8" s="30" customFormat="1">
      <c r="F700" s="36"/>
      <c r="H700" s="37"/>
    </row>
    <row r="701" spans="6:8" s="30" customFormat="1">
      <c r="F701" s="36"/>
      <c r="H701" s="37"/>
    </row>
    <row r="702" spans="6:8" s="30" customFormat="1">
      <c r="F702" s="36"/>
      <c r="H702" s="37"/>
    </row>
    <row r="703" spans="6:8" s="30" customFormat="1">
      <c r="F703" s="36"/>
      <c r="H703" s="37"/>
    </row>
    <row r="704" spans="6:8" s="30" customFormat="1">
      <c r="F704" s="36"/>
      <c r="H704" s="37"/>
    </row>
    <row r="705" spans="6:8" s="30" customFormat="1">
      <c r="F705" s="36"/>
      <c r="H705" s="37"/>
    </row>
    <row r="706" spans="6:8" s="30" customFormat="1">
      <c r="F706" s="36"/>
      <c r="H706" s="37"/>
    </row>
    <row r="707" spans="6:8" s="30" customFormat="1">
      <c r="F707" s="36"/>
      <c r="H707" s="37"/>
    </row>
    <row r="708" spans="6:8" s="30" customFormat="1">
      <c r="F708" s="36"/>
      <c r="H708" s="37"/>
    </row>
    <row r="709" spans="6:8" s="30" customFormat="1">
      <c r="F709" s="36"/>
      <c r="H709" s="37"/>
    </row>
    <row r="710" spans="6:8" s="30" customFormat="1">
      <c r="F710" s="36"/>
      <c r="H710" s="37"/>
    </row>
    <row r="711" spans="6:8" s="30" customFormat="1">
      <c r="F711" s="36"/>
      <c r="H711" s="37"/>
    </row>
    <row r="712" spans="6:8" s="30" customFormat="1">
      <c r="F712" s="36"/>
      <c r="H712" s="37"/>
    </row>
    <row r="713" spans="6:8" s="30" customFormat="1">
      <c r="F713" s="36"/>
      <c r="H713" s="37"/>
    </row>
    <row r="714" spans="6:8" s="30" customFormat="1">
      <c r="F714" s="36"/>
      <c r="H714" s="37"/>
    </row>
    <row r="715" spans="6:8" s="30" customFormat="1">
      <c r="F715" s="36"/>
      <c r="H715" s="37"/>
    </row>
    <row r="716" spans="6:8" s="30" customFormat="1">
      <c r="F716" s="36"/>
      <c r="H716" s="37"/>
    </row>
    <row r="717" spans="6:8" s="30" customFormat="1">
      <c r="F717" s="36"/>
      <c r="H717" s="37"/>
    </row>
    <row r="718" spans="6:8" s="30" customFormat="1">
      <c r="F718" s="36"/>
      <c r="H718" s="37"/>
    </row>
    <row r="719" spans="6:8" s="30" customFormat="1">
      <c r="F719" s="36"/>
      <c r="H719" s="37"/>
    </row>
    <row r="720" spans="6:8" s="30" customFormat="1">
      <c r="F720" s="36"/>
      <c r="H720" s="37"/>
    </row>
    <row r="721" spans="6:8" s="30" customFormat="1">
      <c r="F721" s="36"/>
      <c r="H721" s="37"/>
    </row>
    <row r="722" spans="6:8" s="30" customFormat="1">
      <c r="F722" s="36"/>
      <c r="H722" s="37"/>
    </row>
    <row r="723" spans="6:8" s="30" customFormat="1">
      <c r="F723" s="36"/>
      <c r="H723" s="37"/>
    </row>
    <row r="724" spans="6:8" s="30" customFormat="1">
      <c r="F724" s="36"/>
      <c r="H724" s="37"/>
    </row>
    <row r="725" spans="6:8" s="30" customFormat="1">
      <c r="F725" s="36"/>
      <c r="H725" s="37"/>
    </row>
    <row r="726" spans="6:8" s="30" customFormat="1">
      <c r="F726" s="36"/>
      <c r="H726" s="37"/>
    </row>
    <row r="727" spans="6:8" s="30" customFormat="1">
      <c r="F727" s="36"/>
      <c r="H727" s="37"/>
    </row>
    <row r="728" spans="6:8" s="30" customFormat="1">
      <c r="F728" s="36"/>
      <c r="H728" s="37"/>
    </row>
    <row r="729" spans="6:8" s="30" customFormat="1">
      <c r="F729" s="36"/>
      <c r="H729" s="37"/>
    </row>
    <row r="730" spans="6:8" s="30" customFormat="1">
      <c r="F730" s="36"/>
      <c r="H730" s="37"/>
    </row>
    <row r="731" spans="6:8" s="30" customFormat="1">
      <c r="F731" s="36"/>
      <c r="H731" s="37"/>
    </row>
    <row r="732" spans="6:8" s="30" customFormat="1">
      <c r="F732" s="36"/>
      <c r="H732" s="37"/>
    </row>
    <row r="733" spans="6:8" s="30" customFormat="1">
      <c r="F733" s="36"/>
      <c r="H733" s="37"/>
    </row>
    <row r="734" spans="6:8" s="30" customFormat="1">
      <c r="F734" s="36"/>
      <c r="H734" s="37"/>
    </row>
    <row r="735" spans="6:8" s="30" customFormat="1">
      <c r="F735" s="36"/>
      <c r="H735" s="37"/>
    </row>
    <row r="736" spans="6:8" s="30" customFormat="1">
      <c r="F736" s="36"/>
      <c r="H736" s="37"/>
    </row>
    <row r="737" spans="6:8" s="30" customFormat="1">
      <c r="F737" s="36"/>
      <c r="H737" s="37"/>
    </row>
    <row r="738" spans="6:8" s="30" customFormat="1">
      <c r="F738" s="36"/>
      <c r="H738" s="37"/>
    </row>
    <row r="739" spans="6:8" s="30" customFormat="1">
      <c r="F739" s="36"/>
      <c r="H739" s="37"/>
    </row>
    <row r="740" spans="6:8" s="30" customFormat="1">
      <c r="F740" s="36"/>
      <c r="H740" s="37"/>
    </row>
    <row r="741" spans="6:8" s="30" customFormat="1">
      <c r="F741" s="36"/>
      <c r="H741" s="37"/>
    </row>
    <row r="742" spans="6:8" s="30" customFormat="1">
      <c r="F742" s="36"/>
      <c r="H742" s="37"/>
    </row>
    <row r="743" spans="6:8" s="30" customFormat="1">
      <c r="F743" s="36"/>
      <c r="H743" s="37"/>
    </row>
    <row r="744" spans="6:8" s="30" customFormat="1">
      <c r="F744" s="36"/>
      <c r="H744" s="37"/>
    </row>
    <row r="745" spans="6:8" s="30" customFormat="1">
      <c r="F745" s="36"/>
      <c r="H745" s="37"/>
    </row>
    <row r="746" spans="6:8" s="30" customFormat="1">
      <c r="F746" s="36"/>
      <c r="H746" s="37"/>
    </row>
    <row r="747" spans="6:8" s="30" customFormat="1">
      <c r="F747" s="36"/>
      <c r="H747" s="37"/>
    </row>
    <row r="748" spans="6:8" s="30" customFormat="1">
      <c r="F748" s="36"/>
      <c r="H748" s="37"/>
    </row>
    <row r="749" spans="6:8" s="30" customFormat="1">
      <c r="F749" s="36"/>
      <c r="H749" s="37"/>
    </row>
    <row r="750" spans="6:8" s="30" customFormat="1">
      <c r="F750" s="36"/>
      <c r="H750" s="37"/>
    </row>
    <row r="751" spans="6:8" s="30" customFormat="1">
      <c r="F751" s="36"/>
      <c r="H751" s="37"/>
    </row>
    <row r="752" spans="6:8" s="30" customFormat="1">
      <c r="F752" s="36"/>
      <c r="H752" s="37"/>
    </row>
    <row r="753" spans="6:8" s="30" customFormat="1">
      <c r="F753" s="36"/>
      <c r="H753" s="37"/>
    </row>
    <row r="754" spans="6:8" s="30" customFormat="1">
      <c r="F754" s="36"/>
      <c r="H754" s="37"/>
    </row>
    <row r="755" spans="6:8" s="30" customFormat="1">
      <c r="F755" s="36"/>
      <c r="H755" s="37"/>
    </row>
    <row r="756" spans="6:8" s="30" customFormat="1">
      <c r="F756" s="36"/>
      <c r="H756" s="37"/>
    </row>
    <row r="757" spans="6:8" s="30" customFormat="1">
      <c r="F757" s="36"/>
      <c r="H757" s="37"/>
    </row>
    <row r="758" spans="6:8" s="30" customFormat="1">
      <c r="F758" s="36"/>
      <c r="H758" s="37"/>
    </row>
    <row r="759" spans="6:8" s="30" customFormat="1">
      <c r="F759" s="36"/>
      <c r="H759" s="37"/>
    </row>
    <row r="760" spans="6:8" s="30" customFormat="1">
      <c r="F760" s="36"/>
      <c r="H760" s="37"/>
    </row>
    <row r="761" spans="6:8" s="30" customFormat="1">
      <c r="F761" s="36"/>
      <c r="H761" s="37"/>
    </row>
    <row r="762" spans="6:8" s="30" customFormat="1">
      <c r="F762" s="36"/>
      <c r="H762" s="37"/>
    </row>
    <row r="763" spans="6:8" s="30" customFormat="1">
      <c r="F763" s="36"/>
      <c r="H763" s="37"/>
    </row>
    <row r="764" spans="6:8" s="30" customFormat="1">
      <c r="F764" s="36"/>
      <c r="H764" s="37"/>
    </row>
    <row r="765" spans="6:8" s="30" customFormat="1">
      <c r="F765" s="36"/>
      <c r="H765" s="37"/>
    </row>
    <row r="766" spans="6:8" s="30" customFormat="1">
      <c r="F766" s="36"/>
      <c r="H766" s="37"/>
    </row>
    <row r="767" spans="6:8" s="30" customFormat="1">
      <c r="F767" s="36"/>
      <c r="H767" s="37"/>
    </row>
    <row r="768" spans="6:8" s="30" customFormat="1">
      <c r="F768" s="36"/>
      <c r="H768" s="37"/>
    </row>
    <row r="769" spans="6:8" s="30" customFormat="1">
      <c r="F769" s="36"/>
      <c r="H769" s="37"/>
    </row>
    <row r="770" spans="6:8" s="30" customFormat="1">
      <c r="F770" s="36"/>
      <c r="H770" s="37"/>
    </row>
    <row r="771" spans="6:8" s="30" customFormat="1">
      <c r="F771" s="36"/>
      <c r="H771" s="37"/>
    </row>
    <row r="772" spans="6:8" s="30" customFormat="1">
      <c r="F772" s="36"/>
      <c r="H772" s="37"/>
    </row>
    <row r="773" spans="6:8" s="30" customFormat="1">
      <c r="F773" s="36"/>
      <c r="H773" s="37"/>
    </row>
    <row r="774" spans="6:8" s="30" customFormat="1">
      <c r="F774" s="36"/>
      <c r="H774" s="37"/>
    </row>
    <row r="775" spans="6:8" s="30" customFormat="1">
      <c r="F775" s="36"/>
      <c r="H775" s="37"/>
    </row>
    <row r="776" spans="6:8" s="30" customFormat="1">
      <c r="F776" s="36"/>
      <c r="H776" s="37"/>
    </row>
    <row r="777" spans="6:8" s="30" customFormat="1">
      <c r="F777" s="36"/>
      <c r="H777" s="37"/>
    </row>
    <row r="778" spans="6:8" s="30" customFormat="1">
      <c r="F778" s="36"/>
      <c r="H778" s="37"/>
    </row>
    <row r="779" spans="6:8" s="30" customFormat="1">
      <c r="F779" s="36"/>
      <c r="H779" s="37"/>
    </row>
    <row r="780" spans="6:8" s="30" customFormat="1">
      <c r="F780" s="36"/>
      <c r="H780" s="37"/>
    </row>
    <row r="781" spans="6:8" s="30" customFormat="1">
      <c r="F781" s="36"/>
      <c r="H781" s="37"/>
    </row>
    <row r="782" spans="6:8" s="30" customFormat="1">
      <c r="F782" s="36"/>
      <c r="H782" s="37"/>
    </row>
    <row r="783" spans="6:8" s="30" customFormat="1">
      <c r="F783" s="36"/>
      <c r="H783" s="37"/>
    </row>
    <row r="784" spans="6:8" s="30" customFormat="1">
      <c r="F784" s="36"/>
      <c r="H784" s="37"/>
    </row>
    <row r="785" spans="6:8" s="30" customFormat="1">
      <c r="F785" s="36"/>
      <c r="H785" s="37"/>
    </row>
    <row r="786" spans="6:8" s="30" customFormat="1">
      <c r="F786" s="36"/>
      <c r="H786" s="37"/>
    </row>
    <row r="787" spans="6:8" s="30" customFormat="1">
      <c r="F787" s="36"/>
      <c r="H787" s="37"/>
    </row>
    <row r="788" spans="6:8" s="30" customFormat="1">
      <c r="F788" s="36"/>
      <c r="H788" s="37"/>
    </row>
    <row r="789" spans="6:8" s="30" customFormat="1">
      <c r="F789" s="36"/>
      <c r="H789" s="37"/>
    </row>
    <row r="790" spans="6:8" s="30" customFormat="1">
      <c r="F790" s="36"/>
      <c r="H790" s="37"/>
    </row>
    <row r="791" spans="6:8" s="30" customFormat="1">
      <c r="F791" s="36"/>
      <c r="H791" s="37"/>
    </row>
    <row r="792" spans="6:8" s="30" customFormat="1">
      <c r="F792" s="36"/>
      <c r="H792" s="37"/>
    </row>
    <row r="793" spans="6:8" s="30" customFormat="1">
      <c r="F793" s="36"/>
      <c r="H793" s="37"/>
    </row>
    <row r="794" spans="6:8" s="30" customFormat="1">
      <c r="F794" s="36"/>
      <c r="H794" s="37"/>
    </row>
    <row r="795" spans="6:8" s="30" customFormat="1">
      <c r="F795" s="36"/>
      <c r="H795" s="37"/>
    </row>
    <row r="796" spans="6:8" s="30" customFormat="1">
      <c r="F796" s="36"/>
      <c r="H796" s="37"/>
    </row>
    <row r="797" spans="6:8" s="30" customFormat="1">
      <c r="F797" s="36"/>
      <c r="H797" s="37"/>
    </row>
    <row r="798" spans="6:8" s="30" customFormat="1">
      <c r="F798" s="36"/>
      <c r="H798" s="37"/>
    </row>
    <row r="799" spans="6:8" s="30" customFormat="1">
      <c r="F799" s="36"/>
      <c r="H799" s="37"/>
    </row>
    <row r="800" spans="6:8" s="30" customFormat="1">
      <c r="F800" s="36"/>
      <c r="H800" s="37"/>
    </row>
    <row r="801" spans="6:8" s="30" customFormat="1">
      <c r="F801" s="36"/>
      <c r="H801" s="37"/>
    </row>
    <row r="802" spans="6:8" s="30" customFormat="1">
      <c r="F802" s="36"/>
      <c r="H802" s="37"/>
    </row>
    <row r="803" spans="6:8" s="30" customFormat="1">
      <c r="F803" s="36"/>
      <c r="H803" s="37"/>
    </row>
    <row r="804" spans="6:8" s="30" customFormat="1">
      <c r="F804" s="36"/>
      <c r="H804" s="37"/>
    </row>
    <row r="805" spans="6:8" s="30" customFormat="1">
      <c r="F805" s="36"/>
      <c r="H805" s="37"/>
    </row>
    <row r="806" spans="6:8" s="30" customFormat="1">
      <c r="F806" s="36"/>
      <c r="H806" s="37"/>
    </row>
    <row r="807" spans="6:8" s="30" customFormat="1">
      <c r="F807" s="36"/>
      <c r="H807" s="37"/>
    </row>
    <row r="808" spans="6:8" s="30" customFormat="1">
      <c r="F808" s="36"/>
      <c r="H808" s="37"/>
    </row>
    <row r="809" spans="6:8" s="30" customFormat="1">
      <c r="F809" s="36"/>
      <c r="H809" s="37"/>
    </row>
    <row r="810" spans="6:8" s="30" customFormat="1">
      <c r="F810" s="36"/>
      <c r="H810" s="37"/>
    </row>
    <row r="811" spans="6:8" s="30" customFormat="1">
      <c r="F811" s="36"/>
      <c r="H811" s="37"/>
    </row>
    <row r="812" spans="6:8" s="30" customFormat="1">
      <c r="F812" s="36"/>
      <c r="H812" s="37"/>
    </row>
    <row r="813" spans="6:8" s="30" customFormat="1">
      <c r="F813" s="36"/>
      <c r="H813" s="37"/>
    </row>
    <row r="814" spans="6:8" s="30" customFormat="1">
      <c r="F814" s="36"/>
      <c r="H814" s="37"/>
    </row>
    <row r="815" spans="6:8" s="30" customFormat="1">
      <c r="F815" s="36"/>
      <c r="H815" s="37"/>
    </row>
    <row r="816" spans="6:8" s="30" customFormat="1">
      <c r="F816" s="36"/>
      <c r="H816" s="37"/>
    </row>
    <row r="817" spans="6:8" s="30" customFormat="1">
      <c r="F817" s="36"/>
      <c r="H817" s="37"/>
    </row>
    <row r="818" spans="6:8" s="30" customFormat="1">
      <c r="F818" s="36"/>
      <c r="H818" s="37"/>
    </row>
    <row r="819" spans="6:8" s="30" customFormat="1">
      <c r="F819" s="36"/>
      <c r="H819" s="37"/>
    </row>
    <row r="820" spans="6:8" s="30" customFormat="1">
      <c r="F820" s="36"/>
      <c r="H820" s="37"/>
    </row>
    <row r="821" spans="6:8" s="30" customFormat="1">
      <c r="F821" s="36"/>
      <c r="H821" s="37"/>
    </row>
    <row r="822" spans="6:8" s="30" customFormat="1">
      <c r="F822" s="36"/>
      <c r="H822" s="37"/>
    </row>
    <row r="823" spans="6:8" s="30" customFormat="1">
      <c r="F823" s="36"/>
      <c r="H823" s="37"/>
    </row>
    <row r="824" spans="6:8" s="30" customFormat="1">
      <c r="F824" s="36"/>
      <c r="H824" s="37"/>
    </row>
    <row r="825" spans="6:8" s="30" customFormat="1">
      <c r="F825" s="36"/>
      <c r="H825" s="37"/>
    </row>
    <row r="826" spans="6:8" s="30" customFormat="1">
      <c r="F826" s="36"/>
      <c r="H826" s="37"/>
    </row>
    <row r="827" spans="6:8" s="30" customFormat="1">
      <c r="F827" s="36"/>
      <c r="H827" s="37"/>
    </row>
    <row r="828" spans="6:8" s="30" customFormat="1">
      <c r="F828" s="36"/>
      <c r="H828" s="37"/>
    </row>
    <row r="829" spans="6:8" s="30" customFormat="1">
      <c r="F829" s="36"/>
      <c r="H829" s="37"/>
    </row>
    <row r="830" spans="6:8" s="30" customFormat="1">
      <c r="F830" s="36"/>
      <c r="H830" s="37"/>
    </row>
    <row r="831" spans="6:8" s="30" customFormat="1">
      <c r="F831" s="36"/>
      <c r="H831" s="37"/>
    </row>
    <row r="832" spans="6:8" s="30" customFormat="1">
      <c r="F832" s="36"/>
      <c r="H832" s="37"/>
    </row>
    <row r="833" spans="6:8" s="30" customFormat="1">
      <c r="F833" s="36"/>
      <c r="H833" s="37"/>
    </row>
    <row r="834" spans="6:8" s="30" customFormat="1">
      <c r="F834" s="36"/>
      <c r="H834" s="37"/>
    </row>
    <row r="835" spans="6:8" s="30" customFormat="1">
      <c r="F835" s="36"/>
      <c r="H835" s="37"/>
    </row>
    <row r="836" spans="6:8" s="30" customFormat="1">
      <c r="F836" s="36"/>
      <c r="H836" s="37"/>
    </row>
    <row r="837" spans="6:8" s="30" customFormat="1">
      <c r="F837" s="36"/>
      <c r="H837" s="37"/>
    </row>
    <row r="838" spans="6:8" s="30" customFormat="1">
      <c r="F838" s="36"/>
      <c r="H838" s="37"/>
    </row>
    <row r="839" spans="6:8" s="30" customFormat="1">
      <c r="F839" s="36"/>
      <c r="H839" s="37"/>
    </row>
    <row r="840" spans="6:8" s="30" customFormat="1">
      <c r="F840" s="36"/>
      <c r="H840" s="37"/>
    </row>
    <row r="841" spans="6:8" s="30" customFormat="1">
      <c r="F841" s="36"/>
      <c r="H841" s="37"/>
    </row>
    <row r="842" spans="6:8" s="30" customFormat="1">
      <c r="F842" s="36"/>
      <c r="H842" s="37"/>
    </row>
    <row r="843" spans="6:8" s="30" customFormat="1">
      <c r="F843" s="36"/>
      <c r="H843" s="37"/>
    </row>
    <row r="844" spans="6:8" s="30" customFormat="1">
      <c r="F844" s="36"/>
      <c r="H844" s="37"/>
    </row>
    <row r="845" spans="6:8" s="30" customFormat="1">
      <c r="F845" s="36"/>
      <c r="H845" s="37"/>
    </row>
    <row r="846" spans="6:8" s="30" customFormat="1">
      <c r="F846" s="36"/>
      <c r="H846" s="37"/>
    </row>
    <row r="847" spans="6:8" s="30" customFormat="1">
      <c r="F847" s="36"/>
      <c r="H847" s="37"/>
    </row>
    <row r="848" spans="6:8" s="30" customFormat="1">
      <c r="F848" s="36"/>
      <c r="H848" s="37"/>
    </row>
    <row r="849" spans="6:8" s="30" customFormat="1">
      <c r="F849" s="36"/>
      <c r="H849" s="37"/>
    </row>
    <row r="850" spans="6:8" s="30" customFormat="1">
      <c r="F850" s="36"/>
      <c r="H850" s="37"/>
    </row>
    <row r="851" spans="6:8" s="30" customFormat="1">
      <c r="F851" s="36"/>
      <c r="H851" s="37"/>
    </row>
    <row r="852" spans="6:8" s="30" customFormat="1">
      <c r="F852" s="36"/>
      <c r="H852" s="37"/>
    </row>
    <row r="853" spans="6:8" s="30" customFormat="1">
      <c r="F853" s="36"/>
      <c r="H853" s="37"/>
    </row>
    <row r="854" spans="6:8" s="30" customFormat="1">
      <c r="F854" s="36"/>
      <c r="H854" s="37"/>
    </row>
    <row r="855" spans="6:8" s="30" customFormat="1">
      <c r="F855" s="36"/>
      <c r="H855" s="37"/>
    </row>
    <row r="856" spans="6:8" s="30" customFormat="1">
      <c r="F856" s="36"/>
      <c r="H856" s="37"/>
    </row>
    <row r="857" spans="6:8" s="30" customFormat="1">
      <c r="F857" s="36"/>
      <c r="H857" s="37"/>
    </row>
    <row r="858" spans="6:8" s="30" customFormat="1">
      <c r="F858" s="36"/>
      <c r="H858" s="37"/>
    </row>
    <row r="859" spans="6:8" s="30" customFormat="1">
      <c r="F859" s="36"/>
      <c r="H859" s="37"/>
    </row>
    <row r="860" spans="6:8" s="30" customFormat="1">
      <c r="F860" s="36"/>
      <c r="H860" s="37"/>
    </row>
    <row r="861" spans="6:8" s="30" customFormat="1">
      <c r="F861" s="36"/>
      <c r="H861" s="37"/>
    </row>
    <row r="862" spans="6:8" s="30" customFormat="1">
      <c r="F862" s="36"/>
      <c r="H862" s="37"/>
    </row>
    <row r="863" spans="6:8" s="30" customFormat="1">
      <c r="F863" s="36"/>
      <c r="H863" s="37"/>
    </row>
    <row r="864" spans="6:8" s="30" customFormat="1">
      <c r="F864" s="36"/>
      <c r="H864" s="37"/>
    </row>
    <row r="865" spans="6:8" s="30" customFormat="1">
      <c r="F865" s="36"/>
      <c r="H865" s="37"/>
    </row>
    <row r="866" spans="6:8" s="30" customFormat="1">
      <c r="F866" s="36"/>
      <c r="H866" s="37"/>
    </row>
    <row r="867" spans="6:8" s="30" customFormat="1">
      <c r="F867" s="36"/>
      <c r="H867" s="37"/>
    </row>
    <row r="868" spans="6:8" s="30" customFormat="1">
      <c r="F868" s="36"/>
      <c r="H868" s="37"/>
    </row>
    <row r="869" spans="6:8" s="30" customFormat="1">
      <c r="F869" s="36"/>
      <c r="H869" s="37"/>
    </row>
    <row r="870" spans="6:8" s="30" customFormat="1">
      <c r="F870" s="36"/>
      <c r="H870" s="37"/>
    </row>
    <row r="871" spans="6:8" s="30" customFormat="1">
      <c r="F871" s="36"/>
      <c r="H871" s="37"/>
    </row>
    <row r="872" spans="6:8" s="30" customFormat="1">
      <c r="F872" s="36"/>
      <c r="H872" s="37"/>
    </row>
    <row r="873" spans="6:8" s="30" customFormat="1">
      <c r="F873" s="36"/>
      <c r="H873" s="37"/>
    </row>
    <row r="874" spans="6:8" s="30" customFormat="1">
      <c r="F874" s="36"/>
      <c r="H874" s="37"/>
    </row>
    <row r="875" spans="6:8" s="30" customFormat="1">
      <c r="F875" s="36"/>
      <c r="H875" s="37"/>
    </row>
    <row r="876" spans="6:8" s="30" customFormat="1">
      <c r="F876" s="36"/>
      <c r="H876" s="37"/>
    </row>
    <row r="877" spans="6:8" s="30" customFormat="1">
      <c r="F877" s="36"/>
      <c r="H877" s="37"/>
    </row>
    <row r="878" spans="6:8" s="30" customFormat="1">
      <c r="F878" s="36"/>
      <c r="H878" s="37"/>
    </row>
    <row r="879" spans="6:8" s="30" customFormat="1">
      <c r="F879" s="36"/>
      <c r="H879" s="37"/>
    </row>
    <row r="880" spans="6:8" s="30" customFormat="1">
      <c r="F880" s="36"/>
      <c r="H880" s="37"/>
    </row>
    <row r="881" spans="6:8" s="30" customFormat="1">
      <c r="F881" s="36"/>
      <c r="H881" s="37"/>
    </row>
    <row r="882" spans="6:8" s="30" customFormat="1">
      <c r="F882" s="36"/>
      <c r="H882" s="37"/>
    </row>
    <row r="883" spans="6:8" s="30" customFormat="1">
      <c r="F883" s="36"/>
      <c r="H883" s="37"/>
    </row>
    <row r="884" spans="6:8" s="30" customFormat="1">
      <c r="F884" s="36"/>
      <c r="H884" s="37"/>
    </row>
    <row r="885" spans="6:8" s="30" customFormat="1">
      <c r="F885" s="36"/>
      <c r="H885" s="37"/>
    </row>
    <row r="886" spans="6:8" s="30" customFormat="1">
      <c r="F886" s="36"/>
      <c r="H886" s="37"/>
    </row>
    <row r="887" spans="6:8" s="30" customFormat="1">
      <c r="F887" s="36"/>
      <c r="H887" s="37"/>
    </row>
    <row r="888" spans="6:8" s="30" customFormat="1">
      <c r="F888" s="36"/>
      <c r="H888" s="37"/>
    </row>
    <row r="889" spans="6:8" s="30" customFormat="1">
      <c r="F889" s="36"/>
      <c r="H889" s="37"/>
    </row>
    <row r="890" spans="6:8" s="30" customFormat="1">
      <c r="F890" s="36"/>
      <c r="H890" s="37"/>
    </row>
    <row r="891" spans="6:8" s="30" customFormat="1">
      <c r="F891" s="36"/>
      <c r="H891" s="37"/>
    </row>
    <row r="892" spans="6:8" s="30" customFormat="1">
      <c r="F892" s="36"/>
      <c r="H892" s="37"/>
    </row>
    <row r="893" spans="6:8" s="30" customFormat="1">
      <c r="F893" s="36"/>
      <c r="H893" s="37"/>
    </row>
    <row r="894" spans="6:8" s="30" customFormat="1">
      <c r="F894" s="36"/>
      <c r="H894" s="37"/>
    </row>
    <row r="895" spans="6:8" s="30" customFormat="1">
      <c r="F895" s="36"/>
      <c r="H895" s="37"/>
    </row>
    <row r="896" spans="6:8" s="30" customFormat="1">
      <c r="F896" s="36"/>
      <c r="H896" s="37"/>
    </row>
    <row r="897" spans="6:8" s="30" customFormat="1">
      <c r="F897" s="36"/>
      <c r="H897" s="37"/>
    </row>
    <row r="898" spans="6:8" s="30" customFormat="1">
      <c r="F898" s="36"/>
      <c r="H898" s="37"/>
    </row>
    <row r="899" spans="6:8" s="30" customFormat="1">
      <c r="F899" s="36"/>
      <c r="H899" s="37"/>
    </row>
    <row r="900" spans="6:8" s="30" customFormat="1">
      <c r="F900" s="36"/>
      <c r="H900" s="37"/>
    </row>
    <row r="901" spans="6:8" s="30" customFormat="1">
      <c r="F901" s="36"/>
      <c r="H901" s="37"/>
    </row>
    <row r="902" spans="6:8" s="30" customFormat="1">
      <c r="F902" s="36"/>
      <c r="H902" s="37"/>
    </row>
    <row r="903" spans="6:8" s="30" customFormat="1">
      <c r="F903" s="36"/>
      <c r="H903" s="37"/>
    </row>
    <row r="904" spans="6:8" s="30" customFormat="1">
      <c r="F904" s="36"/>
      <c r="H904" s="37"/>
    </row>
    <row r="905" spans="6:8" s="30" customFormat="1">
      <c r="F905" s="36"/>
      <c r="H905" s="37"/>
    </row>
    <row r="906" spans="6:8" s="30" customFormat="1">
      <c r="F906" s="36"/>
      <c r="H906" s="37"/>
    </row>
    <row r="907" spans="6:8" s="30" customFormat="1">
      <c r="F907" s="36"/>
      <c r="H907" s="37"/>
    </row>
    <row r="908" spans="6:8" s="30" customFormat="1">
      <c r="F908" s="36"/>
      <c r="H908" s="37"/>
    </row>
    <row r="909" spans="6:8" s="30" customFormat="1">
      <c r="F909" s="36"/>
      <c r="H909" s="37"/>
    </row>
    <row r="910" spans="6:8" s="30" customFormat="1">
      <c r="F910" s="36"/>
      <c r="H910" s="37"/>
    </row>
    <row r="911" spans="6:8" s="30" customFormat="1">
      <c r="F911" s="36"/>
      <c r="H911" s="37"/>
    </row>
    <row r="912" spans="6:8" s="30" customFormat="1">
      <c r="F912" s="36"/>
      <c r="H912" s="37"/>
    </row>
    <row r="913" spans="6:8" s="30" customFormat="1">
      <c r="F913" s="36"/>
      <c r="H913" s="37"/>
    </row>
    <row r="914" spans="6:8" s="30" customFormat="1">
      <c r="F914" s="36"/>
      <c r="H914" s="37"/>
    </row>
    <row r="915" spans="6:8" s="30" customFormat="1">
      <c r="F915" s="36"/>
      <c r="H915" s="37"/>
    </row>
    <row r="916" spans="6:8" s="30" customFormat="1">
      <c r="F916" s="36"/>
      <c r="H916" s="37"/>
    </row>
    <row r="917" spans="6:8" s="30" customFormat="1">
      <c r="F917" s="36"/>
      <c r="H917" s="37"/>
    </row>
    <row r="918" spans="6:8" s="30" customFormat="1">
      <c r="F918" s="36"/>
      <c r="H918" s="37"/>
    </row>
    <row r="919" spans="6:8" s="30" customFormat="1">
      <c r="F919" s="36"/>
      <c r="H919" s="37"/>
    </row>
    <row r="920" spans="6:8" s="30" customFormat="1">
      <c r="F920" s="36"/>
      <c r="H920" s="37"/>
    </row>
    <row r="921" spans="6:8" s="30" customFormat="1">
      <c r="F921" s="36"/>
      <c r="H921" s="37"/>
    </row>
    <row r="922" spans="6:8" s="30" customFormat="1">
      <c r="F922" s="36"/>
      <c r="H922" s="37"/>
    </row>
    <row r="923" spans="6:8" s="30" customFormat="1">
      <c r="F923" s="36"/>
      <c r="H923" s="37"/>
    </row>
    <row r="924" spans="6:8" s="30" customFormat="1">
      <c r="F924" s="36"/>
      <c r="H924" s="37"/>
    </row>
  </sheetData>
  <mergeCells count="2">
    <mergeCell ref="B1:H1"/>
    <mergeCell ref="B2:H2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MIIOF</vt:lpstr>
      <vt:lpstr>MAEBF</vt:lpstr>
      <vt:lpstr>MICCF</vt:lpstr>
      <vt:lpstr>MIGCS</vt:lpstr>
      <vt:lpstr>MICHF</vt:lpstr>
      <vt:lpstr>MACMF</vt:lpstr>
      <vt:lpstr>MILPF</vt:lpstr>
      <vt:lpstr>MISTB</vt:lpstr>
      <vt:lpstr>MAIPF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Anshul-a Jain</dc:creator>
  <cp:lastModifiedBy>Harshad Iyer</cp:lastModifiedBy>
  <dcterms:created xsi:type="dcterms:W3CDTF">2015-09-04T08:37:32Z</dcterms:created>
  <dcterms:modified xsi:type="dcterms:W3CDTF">2015-09-07T11:24:14Z</dcterms:modified>
</cp:coreProperties>
</file>