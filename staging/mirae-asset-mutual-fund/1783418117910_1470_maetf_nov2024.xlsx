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defaultThemeVersion="166925"/>
  <mc:AlternateContent xmlns:mc="http://schemas.openxmlformats.org/markup-compatibility/2006">
    <mc:Choice Requires="x15">
      <x15ac:absPath xmlns:x15ac="http://schemas.microsoft.com/office/spreadsheetml/2010/11/ac" url="C:\Users\trainee.product\Desktop\Monthly Portfolio\"/>
    </mc:Choice>
  </mc:AlternateContent>
  <xr:revisionPtr revIDLastSave="0" documentId="8_{5F017256-FF6D-4767-9C50-CC6C51008FD2}" xr6:coauthVersionLast="36" xr6:coauthVersionMax="36" xr10:uidLastSave="{00000000-0000-0000-0000-000000000000}"/>
  <bookViews>
    <workbookView xWindow="0" yWindow="0" windowWidth="20490" windowHeight="7125" xr2:uid="{697914A3-59E3-418B-B8F7-3E0A59238A54}"/>
  </bookViews>
  <sheets>
    <sheet name="MAETF" sheetId="1" r:id="rId1"/>
  </sheets>
  <externalReferences>
    <externalReference r:id="rId2"/>
  </externalReferences>
  <definedNames>
    <definedName name="JR_PAGE_ANCHOR_0_18">MAETF!$A$1</definedName>
    <definedName name="JR_PAGE_ANCHOR_0_29">#REF!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0" i="1" l="1"/>
</calcChain>
</file>

<file path=xl/sharedStrings.xml><?xml version="1.0" encoding="utf-8"?>
<sst xmlns="http://schemas.openxmlformats.org/spreadsheetml/2006/main" count="314" uniqueCount="266">
  <si>
    <t>Mirae Asset Nifty 100 ESG Sector Leaders ETF (MAESGETF)</t>
  </si>
  <si>
    <t>(An open ended scheme replicating/tracking Nifty100 ESG Sector Leaders Total Return Index)</t>
  </si>
  <si>
    <r>
      <t xml:space="preserve">NSE Symbol: </t>
    </r>
    <r>
      <rPr>
        <sz val="10"/>
        <color rgb="FF000000"/>
        <rFont val="Arial"/>
        <family val="2"/>
      </rPr>
      <t>ESG</t>
    </r>
    <r>
      <rPr>
        <b/>
        <sz val="10"/>
        <color rgb="FF000000"/>
        <rFont val="Arial"/>
        <family val="2"/>
      </rPr>
      <t xml:space="preserve">  BSE Scrip Code: </t>
    </r>
    <r>
      <rPr>
        <sz val="10"/>
        <color rgb="FF000000"/>
        <rFont val="Arial"/>
        <family val="2"/>
      </rPr>
      <t>543246</t>
    </r>
  </si>
  <si>
    <t>Mirae Asset Nifty 100 ESG Sector Leaders ETF</t>
  </si>
  <si>
    <t>Monthly Portfolio Statement as on November 30,2024</t>
  </si>
  <si>
    <t>Name of the Instrument</t>
  </si>
  <si>
    <t>ISIN</t>
  </si>
  <si>
    <t>Industry</t>
  </si>
  <si>
    <t>Quantity</t>
  </si>
  <si>
    <t>Market/Fair Value(Rs. in Lacs)</t>
  </si>
  <si>
    <t>% to Net Assets</t>
  </si>
  <si>
    <t>YTM</t>
  </si>
  <si>
    <t>ESG Score*</t>
  </si>
  <si>
    <t>Equity &amp; Equity related</t>
  </si>
  <si>
    <t>(a) Listed / awaiting listing on Stock Exchanges</t>
  </si>
  <si>
    <t>HDFB03</t>
  </si>
  <si>
    <t>HDFC Bank Limited</t>
  </si>
  <si>
    <t>INE040A01034</t>
  </si>
  <si>
    <t>Banks</t>
  </si>
  <si>
    <t>IBCL05</t>
  </si>
  <si>
    <t>ICICI Bank Limited</t>
  </si>
  <si>
    <t>INE090A01021</t>
  </si>
  <si>
    <t>RIND01</t>
  </si>
  <si>
    <t>Reliance Industries Limited</t>
  </si>
  <si>
    <t>INE002A01018</t>
  </si>
  <si>
    <t>Petroleum Products</t>
  </si>
  <si>
    <t>INFS02</t>
  </si>
  <si>
    <t>Infosys Limited</t>
  </si>
  <si>
    <t>INE009A01021</t>
  </si>
  <si>
    <t>IT - Software</t>
  </si>
  <si>
    <t>LARS02</t>
  </si>
  <si>
    <t>Larsen &amp; Toubro Limited</t>
  </si>
  <si>
    <t>INE018A01030</t>
  </si>
  <si>
    <t>Construction</t>
  </si>
  <si>
    <t>BTVL02</t>
  </si>
  <si>
    <t>Bharti Airtel Limited</t>
  </si>
  <si>
    <t>INE397D01024</t>
  </si>
  <si>
    <t>Telecom - Services</t>
  </si>
  <si>
    <t>TCSL01</t>
  </si>
  <si>
    <t>Tata Consultancy Services Limited</t>
  </si>
  <si>
    <t>INE467B01029</t>
  </si>
  <si>
    <t>UTIB02</t>
  </si>
  <si>
    <t>Axis Bank Limited</t>
  </si>
  <si>
    <t>INE238A01034</t>
  </si>
  <si>
    <t>MAHI02</t>
  </si>
  <si>
    <t>Mahindra &amp; Mahindra Limited</t>
  </si>
  <si>
    <t>INE101A01026</t>
  </si>
  <si>
    <t>Automobiles</t>
  </si>
  <si>
    <t>HLEL02</t>
  </si>
  <si>
    <t>Hindustan Unilever Limited</t>
  </si>
  <si>
    <t>INE030A01027</t>
  </si>
  <si>
    <t>Diversified FMCG</t>
  </si>
  <si>
    <t>HCLT02</t>
  </si>
  <si>
    <t>HCL Technologies Limited</t>
  </si>
  <si>
    <t>INE860A01027</t>
  </si>
  <si>
    <t>SPIL03</t>
  </si>
  <si>
    <t>Sun Pharmaceutical Industries Limited</t>
  </si>
  <si>
    <t>INE044A01036</t>
  </si>
  <si>
    <t>Pharmaceuticals &amp; Biotechnology</t>
  </si>
  <si>
    <t>BAFL02</t>
  </si>
  <si>
    <t>Bajaj Finance Limited</t>
  </si>
  <si>
    <t>INE296A01024</t>
  </si>
  <si>
    <t>Finance</t>
  </si>
  <si>
    <t>ZMPL01</t>
  </si>
  <si>
    <t>Zomato Limited</t>
  </si>
  <si>
    <t>INE758T01015</t>
  </si>
  <si>
    <t>Retailing</t>
  </si>
  <si>
    <t>NTPC01</t>
  </si>
  <si>
    <t>NTPC Limited</t>
  </si>
  <si>
    <t>INE733E01010</t>
  </si>
  <si>
    <t>Power</t>
  </si>
  <si>
    <t>LAKM02</t>
  </si>
  <si>
    <t>Trent Limited</t>
  </si>
  <si>
    <t>INE849A01020</t>
  </si>
  <si>
    <t>MAUD01</t>
  </si>
  <si>
    <t>Maruti Suzuki India Limited</t>
  </si>
  <si>
    <t>INE585B01010</t>
  </si>
  <si>
    <t>TELC03</t>
  </si>
  <si>
    <t>Tata Motors Limited</t>
  </si>
  <si>
    <t>INE155A01022</t>
  </si>
  <si>
    <t>TWAT02</t>
  </si>
  <si>
    <t>Titan Company Limited</t>
  </si>
  <si>
    <t>INE280A01028</t>
  </si>
  <si>
    <t>Consumer Durables</t>
  </si>
  <si>
    <t>ULCC01</t>
  </si>
  <si>
    <t>UltraTech Cement Limited</t>
  </si>
  <si>
    <t>INE481G01011</t>
  </si>
  <si>
    <t>Cement &amp; Cement Products</t>
  </si>
  <si>
    <t>TISC03</t>
  </si>
  <si>
    <t>Tata Steel Limited</t>
  </si>
  <si>
    <t>INE081A01020</t>
  </si>
  <si>
    <t>Ferrous Metals</t>
  </si>
  <si>
    <t>ASPA02</t>
  </si>
  <si>
    <t>Asian Paints Limited</t>
  </si>
  <si>
    <t>INE021A01026</t>
  </si>
  <si>
    <t>TEMA02</t>
  </si>
  <si>
    <t>Tech Mahindra Limited</t>
  </si>
  <si>
    <t>INE669C01036</t>
  </si>
  <si>
    <t>GRAS02</t>
  </si>
  <si>
    <t>Grasim Industries Limited</t>
  </si>
  <si>
    <t>INE047A01021</t>
  </si>
  <si>
    <t>JVSL04</t>
  </si>
  <si>
    <t>JSW Steel Limited</t>
  </si>
  <si>
    <t>INE019A01038</t>
  </si>
  <si>
    <t>MUND02</t>
  </si>
  <si>
    <t>Adani Ports and Special Economic Zone Limited</t>
  </si>
  <si>
    <t>INE742F01042</t>
  </si>
  <si>
    <t>Transport Infrastructure</t>
  </si>
  <si>
    <t>BFSL02</t>
  </si>
  <si>
    <t>Bajaj Finserv Limited</t>
  </si>
  <si>
    <t>INE918I01026</t>
  </si>
  <si>
    <t>SHTR01</t>
  </si>
  <si>
    <t>Shriram Finance Limited</t>
  </si>
  <si>
    <t>INE721A01013</t>
  </si>
  <si>
    <t>WIPR02</t>
  </si>
  <si>
    <t>Wipro Limited</t>
  </si>
  <si>
    <t>INE075A01022</t>
  </si>
  <si>
    <t>CIPL03</t>
  </si>
  <si>
    <t>Cipla Limited</t>
  </si>
  <si>
    <t>INE059A01026</t>
  </si>
  <si>
    <t>NEST02</t>
  </si>
  <si>
    <t>Nestle India Limited</t>
  </si>
  <si>
    <t>INE239A01024</t>
  </si>
  <si>
    <t>Food Products</t>
  </si>
  <si>
    <t>DIVI02</t>
  </si>
  <si>
    <t>Divi's Laboratories Limited</t>
  </si>
  <si>
    <t>INE361B01024</t>
  </si>
  <si>
    <t>DRRL03</t>
  </si>
  <si>
    <t>Dr. Reddy's Laboratories Limited</t>
  </si>
  <si>
    <t>INE089A01031</t>
  </si>
  <si>
    <t>INAV01</t>
  </si>
  <si>
    <t>InterGlobe Aviation Limited</t>
  </si>
  <si>
    <t>INE646L01027</t>
  </si>
  <si>
    <t>Transport Services</t>
  </si>
  <si>
    <t>TPOW02</t>
  </si>
  <si>
    <t>Tata Power Company Limited</t>
  </si>
  <si>
    <t>INE245A01021</t>
  </si>
  <si>
    <t>HDLI01</t>
  </si>
  <si>
    <t>HDFC Life Insurance Company Limited</t>
  </si>
  <si>
    <t>INE795G01014</t>
  </si>
  <si>
    <t>Insurance</t>
  </si>
  <si>
    <t>APOL02</t>
  </si>
  <si>
    <t>Apollo Hospitals Enterprise Limited</t>
  </si>
  <si>
    <t>INE437A01024</t>
  </si>
  <si>
    <t>Healthcare Services</t>
  </si>
  <si>
    <t>SIEM02</t>
  </si>
  <si>
    <t>Siemens Limited</t>
  </si>
  <si>
    <t>INE003A01024</t>
  </si>
  <si>
    <t>Electrical Equipment</t>
  </si>
  <si>
    <t>EIML02</t>
  </si>
  <si>
    <t>Eicher Motors Limited</t>
  </si>
  <si>
    <t>INE066A01021</t>
  </si>
  <si>
    <t>RELC01</t>
  </si>
  <si>
    <t>REC Limited</t>
  </si>
  <si>
    <t>INE020B01018</t>
  </si>
  <si>
    <t>IIBL01</t>
  </si>
  <si>
    <t>IndusInd Bank Limited</t>
  </si>
  <si>
    <t>INE095A01012</t>
  </si>
  <si>
    <t>ADAN02</t>
  </si>
  <si>
    <t>Adani Enterprises Limited</t>
  </si>
  <si>
    <t>INE423A01024</t>
  </si>
  <si>
    <t>Metals &amp; Minerals Trading</t>
  </si>
  <si>
    <t>IEIN01</t>
  </si>
  <si>
    <t>Info Edge (India) Limited</t>
  </si>
  <si>
    <t>INE663F01024</t>
  </si>
  <si>
    <t>TTEA02</t>
  </si>
  <si>
    <t>Tata Consumer Products Limited</t>
  </si>
  <si>
    <t>INE192A01025</t>
  </si>
  <si>
    <t>Agricultural Food &amp; other Products</t>
  </si>
  <si>
    <t>HERO02</t>
  </si>
  <si>
    <t>Hero MotoCorp Limited</t>
  </si>
  <si>
    <t>INE158A01026</t>
  </si>
  <si>
    <t>SAEL02</t>
  </si>
  <si>
    <t>TVS Motor Company Limited</t>
  </si>
  <si>
    <t>INE494B01023</t>
  </si>
  <si>
    <t>LTIL01</t>
  </si>
  <si>
    <t>LTIMindtree Limited</t>
  </si>
  <si>
    <t>INE214T01019</t>
  </si>
  <si>
    <t>GAIL01</t>
  </si>
  <si>
    <t>GAIL (India) Limited</t>
  </si>
  <si>
    <t>INE129A01019</t>
  </si>
  <si>
    <t>Gas</t>
  </si>
  <si>
    <t>DLFL01</t>
  </si>
  <si>
    <t>DLF Limited</t>
  </si>
  <si>
    <t>INE271C01023</t>
  </si>
  <si>
    <t>Realty</t>
  </si>
  <si>
    <t>CHOL02</t>
  </si>
  <si>
    <t>Cholamandalam Investment and Finance Company Ltd</t>
  </si>
  <si>
    <t>INE121A01024</t>
  </si>
  <si>
    <t>ADAP01</t>
  </si>
  <si>
    <t>Adani Power Limited</t>
  </si>
  <si>
    <t>INE814H01011</t>
  </si>
  <si>
    <t>IOIC01</t>
  </si>
  <si>
    <t>Indian Oil Corporation Limited</t>
  </si>
  <si>
    <t>INE242A01010</t>
  </si>
  <si>
    <t>AGEL01</t>
  </si>
  <si>
    <t>Adani Green Energy Limited</t>
  </si>
  <si>
    <t>INE364U01010</t>
  </si>
  <si>
    <t>GCPL02</t>
  </si>
  <si>
    <t>Godrej Consumer Products Limited</t>
  </si>
  <si>
    <t>INE102D01028</t>
  </si>
  <si>
    <t>Personal Products</t>
  </si>
  <si>
    <t>PIDI02</t>
  </si>
  <si>
    <t>Pidilite Industries Limited</t>
  </si>
  <si>
    <t>INE318A01026</t>
  </si>
  <si>
    <t>Chemicals &amp; Petrochemicals</t>
  </si>
  <si>
    <t>ILOM01</t>
  </si>
  <si>
    <t>ICICI Lombard General Insurance Company Limited</t>
  </si>
  <si>
    <t>INE765G01017</t>
  </si>
  <si>
    <t>ASEA02</t>
  </si>
  <si>
    <t>ABB India Limited</t>
  </si>
  <si>
    <t>INE117A01022</t>
  </si>
  <si>
    <t>COLG02</t>
  </si>
  <si>
    <t>Colgate Palmolive (India) Limited</t>
  </si>
  <si>
    <t>INE259A01022</t>
  </si>
  <si>
    <t>MARC02</t>
  </si>
  <si>
    <t>Marico Limited</t>
  </si>
  <si>
    <t>INE196A01026</t>
  </si>
  <si>
    <t>JSPL03</t>
  </si>
  <si>
    <t>Jindal Steel &amp; Power Limited</t>
  </si>
  <si>
    <t>INE749A01030</t>
  </si>
  <si>
    <t>DABU02</t>
  </si>
  <si>
    <t>Dabur India Limited</t>
  </si>
  <si>
    <t>INE016A01026</t>
  </si>
  <si>
    <t>TOPH02</t>
  </si>
  <si>
    <t>Torrent Pharmaceuticals Limited</t>
  </si>
  <si>
    <t>INE685A01028</t>
  </si>
  <si>
    <t>MOTI02</t>
  </si>
  <si>
    <t>Bosch Limited</t>
  </si>
  <si>
    <t>INE323A01026</t>
  </si>
  <si>
    <t>Auto Components</t>
  </si>
  <si>
    <t>IPLI01</t>
  </si>
  <si>
    <t>ICICI Prudential Life Insurance Company Limited</t>
  </si>
  <si>
    <t>INE726G01019</t>
  </si>
  <si>
    <t>ADTL01</t>
  </si>
  <si>
    <t>Adani Energy Solutions Limited</t>
  </si>
  <si>
    <t>INE931S01010</t>
  </si>
  <si>
    <t>IRCT02</t>
  </si>
  <si>
    <t>Indian Railway Catering And Tourism Corporation Limited</t>
  </si>
  <si>
    <t>INE335Y01020</t>
  </si>
  <si>
    <t>Leisure Services</t>
  </si>
  <si>
    <t>CHEL02</t>
  </si>
  <si>
    <t>Zydus Lifesciences Limited</t>
  </si>
  <si>
    <t>INE010B01027</t>
  </si>
  <si>
    <t>ADGL01</t>
  </si>
  <si>
    <t>Adani Total Gas Limited</t>
  </si>
  <si>
    <t>INE399L01023</t>
  </si>
  <si>
    <t>SBCP01</t>
  </si>
  <si>
    <t>SBI Cards and Payment Services Limited</t>
  </si>
  <si>
    <t>INE018E01016</t>
  </si>
  <si>
    <t>Sub Total</t>
  </si>
  <si>
    <t>Weighted Average Fund Score</t>
  </si>
  <si>
    <t>(b) Unlisted</t>
  </si>
  <si>
    <t>NIL</t>
  </si>
  <si>
    <t>Total</t>
  </si>
  <si>
    <t>TREPS / Reverse Repo</t>
  </si>
  <si>
    <t>TRP_021224</t>
  </si>
  <si>
    <t>TREPS</t>
  </si>
  <si>
    <t>Net Receivables / (Payables)</t>
  </si>
  <si>
    <t>GRAND TOTAL</t>
  </si>
  <si>
    <t xml:space="preserve"> </t>
  </si>
  <si>
    <t>Details of the Equity shares have been lent under Securities Lending and Borrowing as follows:-</t>
  </si>
  <si>
    <t>Sr. No</t>
  </si>
  <si>
    <t>Name of security lent</t>
  </si>
  <si>
    <t>Quantity of lending</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</si>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</sst>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14">
    <font>
      <sz val="11"/>
      <color rgb="FF000000"/>
      <name val="Calibri"/>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sz val="10"/>
      <color rgb="FF000000"/>
      <name val="Calibri"/>
      <family val="2"/>
    </font>
    <font>
      <b/>
      <sz val="10"/>
      <color rgb="FF000000"/>
      <name val="Arial"/>
      <family val="2"/>
    </font>
    <font>
      <b/>
      <sz val="11"/>
      <color rgb="FF000000"/>
      <name val="Calibri"/>
      <family val="2"/>
    </font>
    <font>
      <b/>
      <sz val="9"/>
      <color rgb="FF000000"/>
      <name val="Arial"/>
      <family val="2"/>
    </font>
    <font>
      <b/>
      <sz val="10"/>
      <color rgb="FF000000"/>
      <name val="SansSerif"/>
    </font>
    <font>
      <sz val="10"/>
      <color rgb="FF000000"/>
      <name val="SansSerif"/>
    </font>
    <font>
      <sz val="9"/>
      <color rgb="FFFFFFFF"/>
      <name val="Arial"/>
      <family val="2"/>
    </font>
    <font>
      <b/>
      <sz val="11"/>
      <color rgb="FF000000"/>
      <name val="Calibri"/>
      <family val="2"/>
      <scheme val="minor"/>
    </font>
  </fonts>
  <fills count="3">
    <fill>
      <patternFill patternType="none"/>
    </fill>
    <fill>
      <patternFill patternType="gray125"/>
    </fill>
    <fill>
      <patternFill patternType="solid">
        <fgColor rgb="FFFFFFFF"/>
        <bgColor rgb="FFFFFFFF"/>
      </patternFill>
    </fill>
  </fills>
  <borders count="3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FFFFFF"/>
      </bottom>
      <diagonal/>
    </border>
    <border>
      <left/>
      <right/>
      <top/>
      <bottom style="thin">
        <color rgb="FFFFFFFF"/>
      </bottom>
      <diagonal/>
    </border>
    <border>
      <left/>
      <right style="medium">
        <color rgb="FF000000"/>
      </right>
      <top/>
      <bottom style="thin">
        <color rgb="FFFFFFFF"/>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indexed="64"/>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right style="thin">
        <color indexed="64"/>
      </right>
      <top style="thin">
        <color indexed="64"/>
      </top>
      <bottom style="thin">
        <color rgb="FF000000"/>
      </bottom>
      <diagonal/>
    </border>
    <border>
      <left style="medium">
        <color indexed="64"/>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indexed="64"/>
      </right>
      <top/>
      <bottom/>
      <diagonal/>
    </border>
    <border>
      <left/>
      <right style="thin">
        <color indexed="64"/>
      </right>
      <top/>
      <bottom/>
      <diagonal/>
    </border>
    <border>
      <left style="thin">
        <color rgb="FF000000"/>
      </left>
      <right style="medium">
        <color indexed="64"/>
      </right>
      <top/>
      <bottom style="thin">
        <color rgb="FF000000"/>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63">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0" borderId="0" xfId="0" applyFont="1" applyAlignment="1">
      <alignment wrapText="1"/>
    </xf>
    <xf numFmtId="0" fontId="2" fillId="2" borderId="4"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5" xfId="0" applyFont="1" applyFill="1" applyBorder="1" applyAlignment="1">
      <alignment horizontal="center" vertical="center" wrapText="1"/>
    </xf>
    <xf numFmtId="0" fontId="4" fillId="0" borderId="0" xfId="0" applyFont="1" applyAlignment="1">
      <alignment horizontal="left" vertical="top" wrapText="1"/>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6" fillId="0" borderId="8"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8" fillId="0" borderId="11" xfId="0" applyFont="1" applyBorder="1" applyAlignment="1">
      <alignment horizontal="center" vertical="center"/>
    </xf>
    <xf numFmtId="0" fontId="7" fillId="0" borderId="12" xfId="0" applyFont="1" applyBorder="1" applyAlignment="1">
      <alignment horizontal="left" vertical="center" wrapText="1"/>
    </xf>
    <xf numFmtId="0" fontId="5" fillId="0" borderId="12" xfId="0" applyFont="1" applyBorder="1" applyAlignment="1">
      <alignment wrapText="1"/>
    </xf>
    <xf numFmtId="4" fontId="5" fillId="0" borderId="12" xfId="0" applyNumberFormat="1" applyFont="1" applyBorder="1" applyAlignment="1">
      <alignment wrapText="1"/>
    </xf>
    <xf numFmtId="10" fontId="5" fillId="0" borderId="12" xfId="0" applyNumberFormat="1" applyFont="1" applyBorder="1" applyAlignment="1">
      <alignment wrapText="1"/>
    </xf>
    <xf numFmtId="9" fontId="3" fillId="0" borderId="0" xfId="0" applyNumberFormat="1" applyFont="1"/>
    <xf numFmtId="0" fontId="0" fillId="0" borderId="0" xfId="0" applyAlignment="1" applyProtection="1">
      <alignment wrapText="1"/>
      <protection locked="0"/>
    </xf>
    <xf numFmtId="0" fontId="9" fillId="0" borderId="0" xfId="0" applyFont="1" applyAlignment="1">
      <alignment horizontal="center" vertical="center" wrapText="1"/>
    </xf>
    <xf numFmtId="0" fontId="10" fillId="0" borderId="0" xfId="0" applyFont="1" applyAlignment="1">
      <alignment horizontal="left" vertical="top"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2" fontId="9" fillId="0" borderId="16" xfId="0" applyNumberFormat="1" applyFont="1" applyBorder="1" applyAlignment="1">
      <alignment horizontal="center" vertical="center" wrapText="1"/>
    </xf>
    <xf numFmtId="0" fontId="9" fillId="0" borderId="17" xfId="0" applyFont="1" applyBorder="1" applyAlignment="1">
      <alignment horizontal="left" vertical="top" wrapText="1"/>
    </xf>
    <xf numFmtId="0" fontId="4" fillId="0" borderId="18" xfId="0" applyFont="1" applyBorder="1" applyAlignment="1">
      <alignment horizontal="left" vertical="top" wrapText="1"/>
    </xf>
    <xf numFmtId="0" fontId="4" fillId="0" borderId="19" xfId="0" applyFont="1" applyBorder="1" applyAlignment="1">
      <alignment horizontal="left" vertical="top" wrapText="1"/>
    </xf>
    <xf numFmtId="0" fontId="11" fillId="0" borderId="20" xfId="0" applyFont="1" applyBorder="1" applyAlignment="1">
      <alignment horizontal="right" vertical="top" wrapText="1"/>
    </xf>
    <xf numFmtId="0" fontId="0" fillId="0" borderId="21" xfId="0" applyBorder="1"/>
    <xf numFmtId="0" fontId="12" fillId="0" borderId="0" xfId="0" applyFont="1" applyAlignment="1">
      <alignment horizontal="left" vertical="top" wrapText="1"/>
    </xf>
    <xf numFmtId="0" fontId="4" fillId="0" borderId="17" xfId="0" applyFont="1" applyBorder="1" applyAlignment="1">
      <alignment horizontal="left" vertical="top" wrapText="1"/>
    </xf>
    <xf numFmtId="3" fontId="4" fillId="0" borderId="18" xfId="0" applyNumberFormat="1" applyFont="1" applyBorder="1" applyAlignment="1">
      <alignment horizontal="right" vertical="top" wrapText="1"/>
    </xf>
    <xf numFmtId="4" fontId="4" fillId="0" borderId="18" xfId="0" applyNumberFormat="1" applyFont="1" applyBorder="1" applyAlignment="1">
      <alignment horizontal="right" vertical="top" wrapText="1"/>
    </xf>
    <xf numFmtId="164" fontId="4" fillId="0" borderId="18" xfId="0" applyNumberFormat="1" applyFont="1" applyBorder="1" applyAlignment="1">
      <alignment horizontal="right" vertical="top" wrapText="1"/>
    </xf>
    <xf numFmtId="164" fontId="11" fillId="0" borderId="20" xfId="0" applyNumberFormat="1" applyFont="1" applyBorder="1" applyAlignment="1">
      <alignment horizontal="right" vertical="top" wrapText="1"/>
    </xf>
    <xf numFmtId="165" fontId="0" fillId="0" borderId="21" xfId="0" applyNumberFormat="1" applyBorder="1"/>
    <xf numFmtId="164" fontId="11" fillId="0" borderId="22" xfId="0" applyNumberFormat="1" applyFont="1" applyBorder="1" applyAlignment="1">
      <alignment horizontal="right" vertical="top" wrapText="1"/>
    </xf>
    <xf numFmtId="165" fontId="0" fillId="0" borderId="23" xfId="0" applyNumberFormat="1" applyBorder="1"/>
    <xf numFmtId="4" fontId="9" fillId="0" borderId="24" xfId="0" applyNumberFormat="1" applyFont="1" applyBorder="1" applyAlignment="1">
      <alignment horizontal="right" vertical="top" wrapText="1"/>
    </xf>
    <xf numFmtId="164" fontId="9" fillId="0" borderId="25" xfId="0" applyNumberFormat="1" applyFont="1" applyBorder="1" applyAlignment="1">
      <alignment horizontal="right" vertical="top" wrapText="1"/>
    </xf>
    <xf numFmtId="0" fontId="9" fillId="0" borderId="26" xfId="0" applyFont="1" applyBorder="1" applyAlignment="1">
      <alignment horizontal="right" vertical="top" wrapText="1"/>
    </xf>
    <xf numFmtId="165" fontId="13" fillId="0" borderId="27" xfId="0" applyNumberFormat="1" applyFont="1" applyBorder="1" applyAlignment="1">
      <alignment vertical="center"/>
    </xf>
    <xf numFmtId="0" fontId="13" fillId="0" borderId="0" xfId="0" applyFont="1"/>
    <xf numFmtId="0" fontId="9" fillId="0" borderId="28" xfId="0" applyFont="1" applyBorder="1" applyAlignment="1">
      <alignment horizontal="left" vertical="top" wrapText="1"/>
    </xf>
    <xf numFmtId="0" fontId="4" fillId="0" borderId="25" xfId="0" applyFont="1" applyBorder="1" applyAlignment="1">
      <alignment horizontal="left" vertical="top" wrapText="1"/>
    </xf>
    <xf numFmtId="0" fontId="9" fillId="0" borderId="25" xfId="0" applyFont="1" applyBorder="1" applyAlignment="1">
      <alignment horizontal="right" vertical="top" wrapText="1"/>
    </xf>
    <xf numFmtId="0" fontId="4" fillId="0" borderId="24" xfId="0" applyFont="1" applyBorder="1" applyAlignment="1">
      <alignment horizontal="left" vertical="top" wrapText="1"/>
    </xf>
    <xf numFmtId="0" fontId="9" fillId="0" borderId="29" xfId="0" applyFont="1" applyBorder="1" applyAlignment="1">
      <alignment horizontal="left" vertical="top" wrapText="1"/>
    </xf>
    <xf numFmtId="0" fontId="4" fillId="0" borderId="30" xfId="0" applyFont="1" applyBorder="1" applyAlignment="1">
      <alignment horizontal="left" vertical="top" wrapText="1"/>
    </xf>
    <xf numFmtId="4" fontId="9" fillId="0" borderId="30" xfId="0" applyNumberFormat="1" applyFont="1" applyBorder="1" applyAlignment="1">
      <alignment horizontal="right" vertical="top" wrapText="1"/>
    </xf>
    <xf numFmtId="164" fontId="9" fillId="0" borderId="31" xfId="0" applyNumberFormat="1" applyFont="1" applyBorder="1" applyAlignment="1">
      <alignment horizontal="right" vertical="top" wrapText="1"/>
    </xf>
    <xf numFmtId="0" fontId="9" fillId="0" borderId="32" xfId="0" applyFont="1" applyBorder="1" applyAlignment="1">
      <alignment horizontal="righ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0" fillId="0" borderId="25" xfId="0" applyFont="1" applyBorder="1" applyAlignment="1">
      <alignment horizontal="left" vertical="top" wrapText="1"/>
    </xf>
    <xf numFmtId="0" fontId="11" fillId="0" borderId="25" xfId="0" applyFont="1" applyBorder="1" applyAlignment="1">
      <alignment horizontal="center" vertical="top" wrapText="1"/>
    </xf>
    <xf numFmtId="0" fontId="11" fillId="0" borderId="25" xfId="0" applyFont="1" applyBorder="1" applyAlignment="1">
      <alignment horizontal="left" vertical="top" wrapText="1"/>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C820DE03-FF26-460C-BB8C-A8A17F76E2E2}"/>
            </a:ext>
          </a:extLst>
        </xdr:cNvPr>
        <xdr:cNvPicPr>
          <a:picLocks noChangeAspect="1"/>
        </xdr:cNvPicPr>
      </xdr:nvPicPr>
      <xdr:blipFill>
        <a:blip xmlns:r="http://schemas.openxmlformats.org/officeDocument/2006/relationships" r:embed="rId1"/>
        <a:stretch>
          <a:fillRect/>
        </a:stretch>
      </xdr:blipFill>
      <xdr:spPr>
        <a:xfrm>
          <a:off x="266700" y="0"/>
          <a:ext cx="847725" cy="266700"/>
        </a:xfrm>
        <a:prstGeom prst="rect">
          <a:avLst/>
        </a:prstGeom>
      </xdr:spPr>
    </xdr:pic>
    <xdr:clientData/>
  </xdr:oneCellAnchor>
  <xdr:oneCellAnchor>
    <xdr:from>
      <xdr:col>1</xdr:col>
      <xdr:colOff>0</xdr:colOff>
      <xdr:row>98</xdr:row>
      <xdr:rowOff>0</xdr:rowOff>
    </xdr:from>
    <xdr:ext cx="6191250" cy="1295400"/>
    <xdr:pic>
      <xdr:nvPicPr>
        <xdr:cNvPr id="3" name="Picture 2">
          <a:extLst>
            <a:ext uri="{FF2B5EF4-FFF2-40B4-BE49-F238E27FC236}">
              <a16:creationId xmlns:a16="http://schemas.microsoft.com/office/drawing/2014/main" id="{BDA5524F-3701-41E4-9F7C-F905D10D7D53}"/>
            </a:ext>
          </a:extLst>
        </xdr:cNvPr>
        <xdr:cNvPicPr>
          <a:picLocks noChangeAspect="1"/>
        </xdr:cNvPicPr>
      </xdr:nvPicPr>
      <xdr:blipFill>
        <a:blip xmlns:r="http://schemas.openxmlformats.org/officeDocument/2006/relationships" r:embed="rId2"/>
        <a:stretch>
          <a:fillRect/>
        </a:stretch>
      </xdr:blipFill>
      <xdr:spPr>
        <a:xfrm>
          <a:off x="228600" y="16468725"/>
          <a:ext cx="6191250" cy="12954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2030-1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DGROWTH"/>
      <sheetName val="ALPHA"/>
      <sheetName val="ALPHAFOF"/>
      <sheetName val="EVETF"/>
      <sheetName val="ITETF"/>
      <sheetName val="LM250"/>
      <sheetName val="MAAF"/>
      <sheetName val="MAAIF"/>
      <sheetName val="MABAF"/>
      <sheetName val="MABFF"/>
      <sheetName val="MABPF"/>
      <sheetName val="MACBF"/>
      <sheetName val="MACIF"/>
      <sheetName val="MACMF"/>
      <sheetName val="MAEAF"/>
      <sheetName val="MAEBF"/>
      <sheetName val="MAESF"/>
      <sheetName val="MAETF"/>
      <sheetName val="MAFCF"/>
      <sheetName val="MAFF"/>
      <sheetName val="MAFGF"/>
      <sheetName val="MAFPF"/>
      <sheetName val="MAFTF"/>
      <sheetName val="MAGEF"/>
      <sheetName val="MAHCF"/>
      <sheetName val="MAHSF"/>
      <sheetName val="MAHTF"/>
      <sheetName val="MAIPF"/>
      <sheetName val="MAMAAF"/>
      <sheetName val="MAMCF"/>
      <sheetName val="MAMFOF"/>
      <sheetName val="MAMMF"/>
      <sheetName val="MAMPF"/>
      <sheetName val="MAN1DLTF"/>
      <sheetName val="MAN50ETF"/>
      <sheetName val="MANBT"/>
      <sheetName val="MANG813F"/>
      <sheetName val="MANJF"/>
      <sheetName val="MANMF"/>
      <sheetName val="MANNF"/>
      <sheetName val="MANPF"/>
      <sheetName val="MANSJ28F"/>
      <sheetName val="MANTF"/>
      <sheetName val="MANV30F"/>
      <sheetName val="MAONF"/>
      <sheetName val="MASEF"/>
      <sheetName val="MASHT"/>
      <sheetName val="MASLF"/>
      <sheetName val="MASPF"/>
      <sheetName val="MATPF"/>
      <sheetName val="MATSF"/>
      <sheetName val="MAUSF"/>
      <sheetName val="MDBF"/>
      <sheetName val="METALETF"/>
      <sheetName val="MGOLDFOF"/>
      <sheetName val="MICCF"/>
      <sheetName val="MIDSMALL"/>
      <sheetName val="MIIOF"/>
      <sheetName val="MILPF"/>
      <sheetName val="MNSFOF"/>
      <sheetName val="MTETF"/>
      <sheetName val="MULTIETF"/>
      <sheetName val="N50IF"/>
      <sheetName val="PSUBETF"/>
      <sheetName val="SENSEX"/>
      <sheetName val="SMQETF"/>
      <sheetName val="SMQFOF"/>
      <sheetName val="TM75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26721-6342-4C6E-A63D-3079111B5310}">
  <sheetPr codeName="Sheet18">
    <outlinePr summaryBelow="0"/>
  </sheetPr>
  <dimension ref="A1:J110"/>
  <sheetViews>
    <sheetView tabSelected="1" topLeftCell="A83" workbookViewId="0">
      <selection activeCell="K75" sqref="K75"/>
    </sheetView>
  </sheetViews>
  <sheetFormatPr defaultRowHeight="15"/>
  <cols>
    <col min="1" max="1" width="3.42578125" customWidth="1"/>
    <col min="2" max="2" width="50" customWidth="1"/>
    <col min="3" max="3" width="41.5703125" customWidth="1"/>
    <col min="4" max="4" width="33.42578125" customWidth="1"/>
    <col min="5" max="8" width="16.5703125" customWidth="1"/>
  </cols>
  <sheetData>
    <row r="1" spans="1:9" ht="23.25">
      <c r="A1" s="1"/>
      <c r="B1" s="2" t="s">
        <v>0</v>
      </c>
      <c r="C1" s="3"/>
      <c r="D1" s="3"/>
      <c r="E1" s="3"/>
      <c r="F1" s="3"/>
      <c r="G1" s="3"/>
      <c r="H1" s="3"/>
      <c r="I1" s="4"/>
    </row>
    <row r="2" spans="1:9" ht="23.25">
      <c r="A2" s="5"/>
      <c r="B2" s="6"/>
      <c r="C2" s="7"/>
      <c r="D2" s="7"/>
      <c r="E2" s="7"/>
      <c r="F2" s="7"/>
      <c r="G2" s="7"/>
      <c r="H2" s="7"/>
      <c r="I2" s="8"/>
    </row>
    <row r="3" spans="1:9">
      <c r="A3" s="9"/>
      <c r="B3" s="10" t="s">
        <v>1</v>
      </c>
      <c r="C3" s="11"/>
      <c r="D3" s="11"/>
      <c r="E3" s="11"/>
      <c r="F3" s="11"/>
      <c r="G3" s="11"/>
      <c r="H3" s="11"/>
      <c r="I3" s="12"/>
    </row>
    <row r="4" spans="1:9" ht="15.75" thickBot="1">
      <c r="A4" s="5"/>
      <c r="B4" s="13" t="s">
        <v>2</v>
      </c>
      <c r="C4" s="14"/>
      <c r="D4" s="14"/>
      <c r="E4" s="14"/>
      <c r="F4" s="14"/>
      <c r="G4" s="14"/>
      <c r="H4" s="14"/>
      <c r="I4" s="15"/>
    </row>
    <row r="5" spans="1:9">
      <c r="A5" s="5"/>
      <c r="B5" s="16" t="s">
        <v>3</v>
      </c>
      <c r="C5" s="17"/>
      <c r="D5" s="17"/>
      <c r="E5" s="17"/>
      <c r="F5" s="18"/>
      <c r="G5" s="19"/>
      <c r="H5" s="17"/>
      <c r="I5" s="20"/>
    </row>
    <row r="6" spans="1:9" ht="12.95" customHeight="1">
      <c r="A6" s="21"/>
      <c r="B6" s="22"/>
      <c r="C6" s="21"/>
      <c r="D6" s="21"/>
      <c r="E6" s="21"/>
      <c r="F6" s="21"/>
      <c r="G6" s="21"/>
      <c r="H6" s="21"/>
    </row>
    <row r="7" spans="1:9" ht="12.95" customHeight="1" thickBot="1">
      <c r="A7" s="9"/>
      <c r="B7" s="23" t="s">
        <v>4</v>
      </c>
      <c r="C7" s="21"/>
      <c r="D7" s="21"/>
      <c r="E7" s="21"/>
      <c r="F7" s="21"/>
      <c r="G7" s="21"/>
      <c r="H7" s="21"/>
    </row>
    <row r="8" spans="1:9" ht="27.95" customHeight="1">
      <c r="A8" s="21"/>
      <c r="B8" s="24" t="s">
        <v>5</v>
      </c>
      <c r="C8" s="25" t="s">
        <v>6</v>
      </c>
      <c r="D8" s="26" t="s">
        <v>7</v>
      </c>
      <c r="E8" s="26" t="s">
        <v>8</v>
      </c>
      <c r="F8" s="26" t="s">
        <v>9</v>
      </c>
      <c r="G8" s="26" t="s">
        <v>10</v>
      </c>
      <c r="H8" s="27" t="s">
        <v>11</v>
      </c>
      <c r="I8" s="28" t="s">
        <v>12</v>
      </c>
    </row>
    <row r="9" spans="1:9" ht="12.95" customHeight="1">
      <c r="A9" s="21"/>
      <c r="B9" s="29" t="s">
        <v>13</v>
      </c>
      <c r="C9" s="30"/>
      <c r="D9" s="30"/>
      <c r="E9" s="30"/>
      <c r="F9" s="30"/>
      <c r="G9" s="31"/>
      <c r="H9" s="32"/>
      <c r="I9" s="33"/>
    </row>
    <row r="10" spans="1:9" ht="12.95" customHeight="1">
      <c r="A10" s="21"/>
      <c r="B10" s="29" t="s">
        <v>14</v>
      </c>
      <c r="C10" s="30"/>
      <c r="D10" s="30"/>
      <c r="E10" s="30"/>
      <c r="F10" s="30"/>
      <c r="G10" s="31"/>
      <c r="H10" s="32"/>
      <c r="I10" s="33"/>
    </row>
    <row r="11" spans="1:9" ht="12.95" customHeight="1">
      <c r="A11" s="34" t="s">
        <v>15</v>
      </c>
      <c r="B11" s="35" t="s">
        <v>16</v>
      </c>
      <c r="C11" s="30" t="s">
        <v>17</v>
      </c>
      <c r="D11" s="30" t="s">
        <v>18</v>
      </c>
      <c r="E11" s="36">
        <v>71743</v>
      </c>
      <c r="F11" s="37">
        <v>1288.5401515000001</v>
      </c>
      <c r="G11" s="38">
        <v>0.10306700158942</v>
      </c>
      <c r="H11" s="39"/>
      <c r="I11" s="40">
        <v>80.2</v>
      </c>
    </row>
    <row r="12" spans="1:9" ht="12.95" customHeight="1">
      <c r="A12" s="34" t="s">
        <v>19</v>
      </c>
      <c r="B12" s="35" t="s">
        <v>20</v>
      </c>
      <c r="C12" s="30" t="s">
        <v>21</v>
      </c>
      <c r="D12" s="30" t="s">
        <v>18</v>
      </c>
      <c r="E12" s="36">
        <v>86417</v>
      </c>
      <c r="F12" s="37">
        <v>1123.507417</v>
      </c>
      <c r="G12" s="38">
        <v>8.9866459030293E-2</v>
      </c>
      <c r="H12" s="39"/>
      <c r="I12" s="40">
        <v>75.8</v>
      </c>
    </row>
    <row r="13" spans="1:9" ht="12.95" customHeight="1">
      <c r="A13" s="34" t="s">
        <v>22</v>
      </c>
      <c r="B13" s="35" t="s">
        <v>23</v>
      </c>
      <c r="C13" s="30" t="s">
        <v>24</v>
      </c>
      <c r="D13" s="30" t="s">
        <v>25</v>
      </c>
      <c r="E13" s="36">
        <v>83097</v>
      </c>
      <c r="F13" s="37">
        <v>1073.779434</v>
      </c>
      <c r="G13" s="38">
        <v>8.5888845995159002E-2</v>
      </c>
      <c r="H13" s="39"/>
      <c r="I13" s="40">
        <v>69</v>
      </c>
    </row>
    <row r="14" spans="1:9" ht="12.95" customHeight="1">
      <c r="A14" s="34" t="s">
        <v>26</v>
      </c>
      <c r="B14" s="35" t="s">
        <v>27</v>
      </c>
      <c r="C14" s="30" t="s">
        <v>28</v>
      </c>
      <c r="D14" s="30" t="s">
        <v>29</v>
      </c>
      <c r="E14" s="36">
        <v>44364</v>
      </c>
      <c r="F14" s="37">
        <v>824.21657400000004</v>
      </c>
      <c r="G14" s="38">
        <v>6.5926956830636999E-2</v>
      </c>
      <c r="H14" s="39"/>
      <c r="I14" s="40">
        <v>77.2</v>
      </c>
    </row>
    <row r="15" spans="1:9" ht="12.95" customHeight="1">
      <c r="A15" s="34" t="s">
        <v>30</v>
      </c>
      <c r="B15" s="35" t="s">
        <v>31</v>
      </c>
      <c r="C15" s="30" t="s">
        <v>32</v>
      </c>
      <c r="D15" s="30" t="s">
        <v>33</v>
      </c>
      <c r="E15" s="36">
        <v>14353</v>
      </c>
      <c r="F15" s="37">
        <v>534.620544</v>
      </c>
      <c r="G15" s="38">
        <v>4.2762917705001E-2</v>
      </c>
      <c r="H15" s="39"/>
      <c r="I15" s="40">
        <v>71.7</v>
      </c>
    </row>
    <row r="16" spans="1:9" ht="12.95" customHeight="1">
      <c r="A16" s="34" t="s">
        <v>34</v>
      </c>
      <c r="B16" s="35" t="s">
        <v>35</v>
      </c>
      <c r="C16" s="30" t="s">
        <v>36</v>
      </c>
      <c r="D16" s="30" t="s">
        <v>37</v>
      </c>
      <c r="E16" s="36">
        <v>32850</v>
      </c>
      <c r="F16" s="37">
        <v>534.51877500000001</v>
      </c>
      <c r="G16" s="38">
        <v>4.275477746531E-2</v>
      </c>
      <c r="H16" s="39"/>
      <c r="I16" s="40">
        <v>74.5</v>
      </c>
    </row>
    <row r="17" spans="1:9" ht="12.95" customHeight="1">
      <c r="A17" s="34" t="s">
        <v>38</v>
      </c>
      <c r="B17" s="35" t="s">
        <v>39</v>
      </c>
      <c r="C17" s="30" t="s">
        <v>40</v>
      </c>
      <c r="D17" s="30" t="s">
        <v>29</v>
      </c>
      <c r="E17" s="36">
        <v>12442</v>
      </c>
      <c r="F17" s="37">
        <v>531.37915699999996</v>
      </c>
      <c r="G17" s="38">
        <v>4.2503647523399003E-2</v>
      </c>
      <c r="H17" s="39"/>
      <c r="I17" s="40">
        <v>72.599999999999994</v>
      </c>
    </row>
    <row r="18" spans="1:9" ht="12.95" customHeight="1">
      <c r="A18" s="34" t="s">
        <v>41</v>
      </c>
      <c r="B18" s="35" t="s">
        <v>42</v>
      </c>
      <c r="C18" s="30" t="s">
        <v>43</v>
      </c>
      <c r="D18" s="30" t="s">
        <v>18</v>
      </c>
      <c r="E18" s="36">
        <v>34915</v>
      </c>
      <c r="F18" s="37">
        <v>396.73914500000001</v>
      </c>
      <c r="G18" s="38">
        <v>3.1734140407420001E-2</v>
      </c>
      <c r="H18" s="39"/>
      <c r="I18" s="40">
        <v>80.3</v>
      </c>
    </row>
    <row r="19" spans="1:9" ht="12.95" customHeight="1">
      <c r="A19" s="34" t="s">
        <v>44</v>
      </c>
      <c r="B19" s="35" t="s">
        <v>45</v>
      </c>
      <c r="C19" s="30" t="s">
        <v>46</v>
      </c>
      <c r="D19" s="30" t="s">
        <v>47</v>
      </c>
      <c r="E19" s="36">
        <v>11912</v>
      </c>
      <c r="F19" s="37">
        <v>353.32183199999997</v>
      </c>
      <c r="G19" s="38">
        <v>2.8261301580652001E-2</v>
      </c>
      <c r="H19" s="39"/>
      <c r="I19" s="40">
        <v>72.400000000000006</v>
      </c>
    </row>
    <row r="20" spans="1:9" ht="12.95" customHeight="1">
      <c r="A20" s="34" t="s">
        <v>48</v>
      </c>
      <c r="B20" s="35" t="s">
        <v>49</v>
      </c>
      <c r="C20" s="30" t="s">
        <v>50</v>
      </c>
      <c r="D20" s="30" t="s">
        <v>51</v>
      </c>
      <c r="E20" s="36">
        <v>10965</v>
      </c>
      <c r="F20" s="37">
        <v>273.70284750000002</v>
      </c>
      <c r="G20" s="38">
        <v>2.189278447045E-2</v>
      </c>
      <c r="H20" s="39"/>
      <c r="I20" s="40">
        <v>72</v>
      </c>
    </row>
    <row r="21" spans="1:9" ht="12.95" customHeight="1">
      <c r="A21" s="34" t="s">
        <v>52</v>
      </c>
      <c r="B21" s="35" t="s">
        <v>53</v>
      </c>
      <c r="C21" s="30" t="s">
        <v>54</v>
      </c>
      <c r="D21" s="30" t="s">
        <v>29</v>
      </c>
      <c r="E21" s="36">
        <v>12998</v>
      </c>
      <c r="F21" s="37">
        <v>240.20953900000001</v>
      </c>
      <c r="G21" s="38">
        <v>1.9213741154348998E-2</v>
      </c>
      <c r="H21" s="39"/>
      <c r="I21" s="40">
        <v>79.900000000000006</v>
      </c>
    </row>
    <row r="22" spans="1:9" ht="12.95" customHeight="1">
      <c r="A22" s="34" t="s">
        <v>55</v>
      </c>
      <c r="B22" s="35" t="s">
        <v>56</v>
      </c>
      <c r="C22" s="30" t="s">
        <v>57</v>
      </c>
      <c r="D22" s="30" t="s">
        <v>58</v>
      </c>
      <c r="E22" s="36">
        <v>13260</v>
      </c>
      <c r="F22" s="37">
        <v>236.14734000000001</v>
      </c>
      <c r="G22" s="38">
        <v>1.8888816339005E-2</v>
      </c>
      <c r="H22" s="39"/>
      <c r="I22" s="40">
        <v>64.900000000000006</v>
      </c>
    </row>
    <row r="23" spans="1:9" ht="12.95" customHeight="1">
      <c r="A23" s="34" t="s">
        <v>59</v>
      </c>
      <c r="B23" s="35" t="s">
        <v>60</v>
      </c>
      <c r="C23" s="30" t="s">
        <v>61</v>
      </c>
      <c r="D23" s="30" t="s">
        <v>62</v>
      </c>
      <c r="E23" s="36">
        <v>3421</v>
      </c>
      <c r="F23" s="37">
        <v>224.96153899999999</v>
      </c>
      <c r="G23" s="38">
        <v>1.7994092982419E-2</v>
      </c>
      <c r="H23" s="39"/>
      <c r="I23" s="40">
        <v>78.8</v>
      </c>
    </row>
    <row r="24" spans="1:9" ht="12.95" customHeight="1">
      <c r="A24" s="34" t="s">
        <v>63</v>
      </c>
      <c r="B24" s="35" t="s">
        <v>64</v>
      </c>
      <c r="C24" s="30" t="s">
        <v>65</v>
      </c>
      <c r="D24" s="30" t="s">
        <v>66</v>
      </c>
      <c r="E24" s="36">
        <v>75889</v>
      </c>
      <c r="F24" s="37">
        <v>212.3070664</v>
      </c>
      <c r="G24" s="38">
        <v>1.6981894374514001E-2</v>
      </c>
      <c r="H24" s="39"/>
      <c r="I24" s="40">
        <v>68.2</v>
      </c>
    </row>
    <row r="25" spans="1:9" ht="12.95" customHeight="1">
      <c r="A25" s="34" t="s">
        <v>67</v>
      </c>
      <c r="B25" s="35" t="s">
        <v>68</v>
      </c>
      <c r="C25" s="30" t="s">
        <v>69</v>
      </c>
      <c r="D25" s="30" t="s">
        <v>70</v>
      </c>
      <c r="E25" s="36">
        <v>58356</v>
      </c>
      <c r="F25" s="37">
        <v>212.21159399999999</v>
      </c>
      <c r="G25" s="38">
        <v>1.6974257783608001E-2</v>
      </c>
      <c r="H25" s="39"/>
      <c r="I25" s="40">
        <v>63.7</v>
      </c>
    </row>
    <row r="26" spans="1:9" ht="12.95" customHeight="1">
      <c r="A26" s="34" t="s">
        <v>71</v>
      </c>
      <c r="B26" s="35" t="s">
        <v>72</v>
      </c>
      <c r="C26" s="30" t="s">
        <v>73</v>
      </c>
      <c r="D26" s="30" t="s">
        <v>66</v>
      </c>
      <c r="E26" s="36">
        <v>2706</v>
      </c>
      <c r="F26" s="37">
        <v>183.88352399999999</v>
      </c>
      <c r="G26" s="38">
        <v>1.4708368566019E-2</v>
      </c>
      <c r="H26" s="39"/>
      <c r="I26" s="40">
        <v>67.5</v>
      </c>
    </row>
    <row r="27" spans="1:9" ht="12.95" customHeight="1">
      <c r="A27" s="34" t="s">
        <v>74</v>
      </c>
      <c r="B27" s="35" t="s">
        <v>75</v>
      </c>
      <c r="C27" s="30" t="s">
        <v>76</v>
      </c>
      <c r="D27" s="30" t="s">
        <v>47</v>
      </c>
      <c r="E27" s="36">
        <v>1621</v>
      </c>
      <c r="F27" s="37">
        <v>179.51278199999999</v>
      </c>
      <c r="G27" s="38">
        <v>1.4358764192311999E-2</v>
      </c>
      <c r="H27" s="39"/>
      <c r="I27" s="40">
        <v>74</v>
      </c>
    </row>
    <row r="28" spans="1:9" ht="12.95" customHeight="1">
      <c r="A28" s="34" t="s">
        <v>77</v>
      </c>
      <c r="B28" s="35" t="s">
        <v>78</v>
      </c>
      <c r="C28" s="30" t="s">
        <v>79</v>
      </c>
      <c r="D28" s="30" t="s">
        <v>47</v>
      </c>
      <c r="E28" s="36">
        <v>21637</v>
      </c>
      <c r="F28" s="37">
        <v>170.1641865</v>
      </c>
      <c r="G28" s="38">
        <v>1.3610994162689001E-2</v>
      </c>
      <c r="H28" s="39"/>
      <c r="I28" s="40">
        <v>78.8</v>
      </c>
    </row>
    <row r="29" spans="1:9" ht="12.95" customHeight="1">
      <c r="A29" s="34" t="s">
        <v>80</v>
      </c>
      <c r="B29" s="35" t="s">
        <v>81</v>
      </c>
      <c r="C29" s="30" t="s">
        <v>82</v>
      </c>
      <c r="D29" s="30" t="s">
        <v>83</v>
      </c>
      <c r="E29" s="36">
        <v>5124</v>
      </c>
      <c r="F29" s="37">
        <v>166.47875999999999</v>
      </c>
      <c r="G29" s="38">
        <v>1.3316206407343999E-2</v>
      </c>
      <c r="H29" s="39"/>
      <c r="I29" s="40">
        <v>69.400000000000006</v>
      </c>
    </row>
    <row r="30" spans="1:9" ht="12.95" customHeight="1">
      <c r="A30" s="34" t="s">
        <v>84</v>
      </c>
      <c r="B30" s="35" t="s">
        <v>85</v>
      </c>
      <c r="C30" s="30" t="s">
        <v>86</v>
      </c>
      <c r="D30" s="30" t="s">
        <v>87</v>
      </c>
      <c r="E30" s="36">
        <v>1418</v>
      </c>
      <c r="F30" s="37">
        <v>158.846487</v>
      </c>
      <c r="G30" s="38">
        <v>1.2705720585458E-2</v>
      </c>
      <c r="H30" s="39"/>
      <c r="I30" s="40">
        <v>70.8</v>
      </c>
    </row>
    <row r="31" spans="1:9" ht="12.95" customHeight="1">
      <c r="A31" s="34" t="s">
        <v>88</v>
      </c>
      <c r="B31" s="35" t="s">
        <v>89</v>
      </c>
      <c r="C31" s="30" t="s">
        <v>90</v>
      </c>
      <c r="D31" s="30" t="s">
        <v>91</v>
      </c>
      <c r="E31" s="36">
        <v>101193</v>
      </c>
      <c r="F31" s="37">
        <v>146.26436219999999</v>
      </c>
      <c r="G31" s="38">
        <v>1.1699308891379E-2</v>
      </c>
      <c r="H31" s="39"/>
      <c r="I31" s="40">
        <v>69.599999999999994</v>
      </c>
    </row>
    <row r="32" spans="1:9" ht="12.95" customHeight="1">
      <c r="A32" s="34" t="s">
        <v>92</v>
      </c>
      <c r="B32" s="35" t="s">
        <v>93</v>
      </c>
      <c r="C32" s="30" t="s">
        <v>94</v>
      </c>
      <c r="D32" s="30" t="s">
        <v>83</v>
      </c>
      <c r="E32" s="36">
        <v>5537</v>
      </c>
      <c r="F32" s="37">
        <v>137.29545200000001</v>
      </c>
      <c r="G32" s="38">
        <v>1.0981908909109999E-2</v>
      </c>
      <c r="H32" s="39"/>
      <c r="I32" s="40">
        <v>74.2</v>
      </c>
    </row>
    <row r="33" spans="1:9" ht="12.95" customHeight="1">
      <c r="A33" s="34" t="s">
        <v>95</v>
      </c>
      <c r="B33" s="35" t="s">
        <v>96</v>
      </c>
      <c r="C33" s="30" t="s">
        <v>97</v>
      </c>
      <c r="D33" s="30" t="s">
        <v>29</v>
      </c>
      <c r="E33" s="36">
        <v>7806</v>
      </c>
      <c r="F33" s="37">
        <v>133.662138</v>
      </c>
      <c r="G33" s="38">
        <v>1.0691289498161E-2</v>
      </c>
      <c r="H33" s="39"/>
      <c r="I33" s="40">
        <v>78.8</v>
      </c>
    </row>
    <row r="34" spans="1:9" ht="12.95" customHeight="1">
      <c r="A34" s="34" t="s">
        <v>98</v>
      </c>
      <c r="B34" s="35" t="s">
        <v>99</v>
      </c>
      <c r="C34" s="30" t="s">
        <v>100</v>
      </c>
      <c r="D34" s="30" t="s">
        <v>87</v>
      </c>
      <c r="E34" s="36">
        <v>4528</v>
      </c>
      <c r="F34" s="37">
        <v>118.011</v>
      </c>
      <c r="G34" s="38">
        <v>9.4393953579248006E-3</v>
      </c>
      <c r="H34" s="39"/>
      <c r="I34" s="40">
        <v>67.400000000000006</v>
      </c>
    </row>
    <row r="35" spans="1:9" ht="12.95" customHeight="1">
      <c r="A35" s="34" t="s">
        <v>101</v>
      </c>
      <c r="B35" s="35" t="s">
        <v>102</v>
      </c>
      <c r="C35" s="30" t="s">
        <v>103</v>
      </c>
      <c r="D35" s="30" t="s">
        <v>91</v>
      </c>
      <c r="E35" s="36">
        <v>11713</v>
      </c>
      <c r="F35" s="37">
        <v>113.14758</v>
      </c>
      <c r="G35" s="38">
        <v>9.0503829423734007E-3</v>
      </c>
      <c r="H35" s="39"/>
      <c r="I35" s="40">
        <v>67</v>
      </c>
    </row>
    <row r="36" spans="1:9" ht="12.95" customHeight="1">
      <c r="A36" s="34" t="s">
        <v>104</v>
      </c>
      <c r="B36" s="35" t="s">
        <v>105</v>
      </c>
      <c r="C36" s="30" t="s">
        <v>106</v>
      </c>
      <c r="D36" s="30" t="s">
        <v>107</v>
      </c>
      <c r="E36" s="36">
        <v>9020</v>
      </c>
      <c r="F36" s="37">
        <v>107.34251</v>
      </c>
      <c r="G36" s="38">
        <v>8.5860503732871993E-3</v>
      </c>
      <c r="H36" s="39"/>
      <c r="I36" s="40">
        <v>70.099999999999994</v>
      </c>
    </row>
    <row r="37" spans="1:9" ht="12.95" customHeight="1">
      <c r="A37" s="34" t="s">
        <v>108</v>
      </c>
      <c r="B37" s="35" t="s">
        <v>109</v>
      </c>
      <c r="C37" s="30" t="s">
        <v>110</v>
      </c>
      <c r="D37" s="30" t="s">
        <v>62</v>
      </c>
      <c r="E37" s="36">
        <v>6667</v>
      </c>
      <c r="F37" s="37">
        <v>105.3352665</v>
      </c>
      <c r="G37" s="38">
        <v>8.4254961454938004E-3</v>
      </c>
      <c r="H37" s="39"/>
      <c r="I37" s="40">
        <v>78.599999999999994</v>
      </c>
    </row>
    <row r="38" spans="1:9" ht="12.95" customHeight="1">
      <c r="A38" s="34" t="s">
        <v>111</v>
      </c>
      <c r="B38" s="35" t="s">
        <v>112</v>
      </c>
      <c r="C38" s="30" t="s">
        <v>113</v>
      </c>
      <c r="D38" s="30" t="s">
        <v>62</v>
      </c>
      <c r="E38" s="36">
        <v>3416</v>
      </c>
      <c r="F38" s="37">
        <v>103.15124400000001</v>
      </c>
      <c r="G38" s="38">
        <v>8.2508018216757E-3</v>
      </c>
      <c r="H38" s="39"/>
      <c r="I38" s="40">
        <v>80.099999999999994</v>
      </c>
    </row>
    <row r="39" spans="1:9" ht="12.95" customHeight="1">
      <c r="A39" s="34" t="s">
        <v>114</v>
      </c>
      <c r="B39" s="35" t="s">
        <v>115</v>
      </c>
      <c r="C39" s="30" t="s">
        <v>116</v>
      </c>
      <c r="D39" s="30" t="s">
        <v>29</v>
      </c>
      <c r="E39" s="36">
        <v>17343</v>
      </c>
      <c r="F39" s="37">
        <v>100.2165255</v>
      </c>
      <c r="G39" s="38">
        <v>8.0160612620183997E-3</v>
      </c>
      <c r="H39" s="39"/>
      <c r="I39" s="40">
        <v>78.8</v>
      </c>
    </row>
    <row r="40" spans="1:9" ht="12.95" customHeight="1">
      <c r="A40" s="34" t="s">
        <v>117</v>
      </c>
      <c r="B40" s="35" t="s">
        <v>118</v>
      </c>
      <c r="C40" s="30" t="s">
        <v>119</v>
      </c>
      <c r="D40" s="30" t="s">
        <v>58</v>
      </c>
      <c r="E40" s="36">
        <v>6446</v>
      </c>
      <c r="F40" s="37">
        <v>98.875193999999993</v>
      </c>
      <c r="G40" s="38">
        <v>7.9087716166926E-3</v>
      </c>
      <c r="H40" s="39"/>
      <c r="I40" s="40">
        <v>70.2</v>
      </c>
    </row>
    <row r="41" spans="1:9" ht="12.95" customHeight="1">
      <c r="A41" s="34" t="s">
        <v>120</v>
      </c>
      <c r="B41" s="35" t="s">
        <v>121</v>
      </c>
      <c r="C41" s="30" t="s">
        <v>122</v>
      </c>
      <c r="D41" s="30" t="s">
        <v>123</v>
      </c>
      <c r="E41" s="36">
        <v>4381</v>
      </c>
      <c r="F41" s="37">
        <v>97.900016500000007</v>
      </c>
      <c r="G41" s="38">
        <v>7.8307696849519003E-3</v>
      </c>
      <c r="H41" s="39"/>
      <c r="I41" s="40">
        <v>69.599999999999994</v>
      </c>
    </row>
    <row r="42" spans="1:9" ht="12.95" customHeight="1">
      <c r="A42" s="34" t="s">
        <v>124</v>
      </c>
      <c r="B42" s="35" t="s">
        <v>125</v>
      </c>
      <c r="C42" s="30" t="s">
        <v>126</v>
      </c>
      <c r="D42" s="30" t="s">
        <v>58</v>
      </c>
      <c r="E42" s="36">
        <v>1565</v>
      </c>
      <c r="F42" s="37">
        <v>96.602755000000002</v>
      </c>
      <c r="G42" s="38">
        <v>7.7270050852017999E-3</v>
      </c>
      <c r="H42" s="39"/>
      <c r="I42" s="40">
        <v>72.8</v>
      </c>
    </row>
    <row r="43" spans="1:9" ht="12.95" customHeight="1">
      <c r="A43" s="34" t="s">
        <v>127</v>
      </c>
      <c r="B43" s="35" t="s">
        <v>128</v>
      </c>
      <c r="C43" s="30" t="s">
        <v>129</v>
      </c>
      <c r="D43" s="30" t="s">
        <v>58</v>
      </c>
      <c r="E43" s="36">
        <v>7478</v>
      </c>
      <c r="F43" s="37">
        <v>89.907994000000002</v>
      </c>
      <c r="G43" s="38">
        <v>7.1915084289085997E-3</v>
      </c>
      <c r="H43" s="39"/>
      <c r="I43" s="40">
        <v>74.900000000000006</v>
      </c>
    </row>
    <row r="44" spans="1:9" ht="12.95" customHeight="1">
      <c r="A44" s="34" t="s">
        <v>130</v>
      </c>
      <c r="B44" s="35" t="s">
        <v>131</v>
      </c>
      <c r="C44" s="30" t="s">
        <v>132</v>
      </c>
      <c r="D44" s="30" t="s">
        <v>133</v>
      </c>
      <c r="E44" s="36">
        <v>2038</v>
      </c>
      <c r="F44" s="37">
        <v>89.241981999999993</v>
      </c>
      <c r="G44" s="38">
        <v>7.1382358476990001E-3</v>
      </c>
      <c r="H44" s="39"/>
      <c r="I44" s="40">
        <v>70.900000000000006</v>
      </c>
    </row>
    <row r="45" spans="1:9" ht="12.95" customHeight="1">
      <c r="A45" s="34" t="s">
        <v>134</v>
      </c>
      <c r="B45" s="35" t="s">
        <v>135</v>
      </c>
      <c r="C45" s="30" t="s">
        <v>136</v>
      </c>
      <c r="D45" s="30" t="s">
        <v>70</v>
      </c>
      <c r="E45" s="36">
        <v>20800</v>
      </c>
      <c r="F45" s="37">
        <v>86.143199999999993</v>
      </c>
      <c r="G45" s="38">
        <v>6.8903722720490999E-3</v>
      </c>
      <c r="H45" s="39"/>
      <c r="I45" s="40">
        <v>72</v>
      </c>
    </row>
    <row r="46" spans="1:9" ht="12.95" customHeight="1">
      <c r="A46" s="34" t="s">
        <v>137</v>
      </c>
      <c r="B46" s="35" t="s">
        <v>138</v>
      </c>
      <c r="C46" s="30" t="s">
        <v>139</v>
      </c>
      <c r="D46" s="30" t="s">
        <v>140</v>
      </c>
      <c r="E46" s="36">
        <v>12944</v>
      </c>
      <c r="F46" s="37">
        <v>85.139160000000004</v>
      </c>
      <c r="G46" s="38">
        <v>6.8100617034142002E-3</v>
      </c>
      <c r="H46" s="39"/>
      <c r="I46" s="40">
        <v>76.900000000000006</v>
      </c>
    </row>
    <row r="47" spans="1:9" ht="12.95" customHeight="1">
      <c r="A47" s="34" t="s">
        <v>141</v>
      </c>
      <c r="B47" s="35" t="s">
        <v>142</v>
      </c>
      <c r="C47" s="30" t="s">
        <v>143</v>
      </c>
      <c r="D47" s="30" t="s">
        <v>144</v>
      </c>
      <c r="E47" s="36">
        <v>1236</v>
      </c>
      <c r="F47" s="37">
        <v>84.405203999999998</v>
      </c>
      <c r="G47" s="38">
        <v>6.7513544569768004E-3</v>
      </c>
      <c r="H47" s="39"/>
      <c r="I47" s="40">
        <v>67.900000000000006</v>
      </c>
    </row>
    <row r="48" spans="1:9" ht="12.95" customHeight="1">
      <c r="A48" s="34" t="s">
        <v>145</v>
      </c>
      <c r="B48" s="35" t="s">
        <v>146</v>
      </c>
      <c r="C48" s="30" t="s">
        <v>147</v>
      </c>
      <c r="D48" s="30" t="s">
        <v>148</v>
      </c>
      <c r="E48" s="36">
        <v>1093</v>
      </c>
      <c r="F48" s="37">
        <v>82.640090499999999</v>
      </c>
      <c r="G48" s="38">
        <v>6.6101675830574002E-3</v>
      </c>
      <c r="H48" s="39"/>
      <c r="I48" s="40">
        <v>60.6</v>
      </c>
    </row>
    <row r="49" spans="1:9" ht="12.95" customHeight="1">
      <c r="A49" s="34" t="s">
        <v>149</v>
      </c>
      <c r="B49" s="35" t="s">
        <v>150</v>
      </c>
      <c r="C49" s="30" t="s">
        <v>151</v>
      </c>
      <c r="D49" s="30" t="s">
        <v>47</v>
      </c>
      <c r="E49" s="36">
        <v>1682</v>
      </c>
      <c r="F49" s="37">
        <v>81.271716999999995</v>
      </c>
      <c r="G49" s="38">
        <v>6.5007149179346002E-3</v>
      </c>
      <c r="H49" s="39"/>
      <c r="I49" s="40">
        <v>73.2</v>
      </c>
    </row>
    <row r="50" spans="1:9" ht="12.95" customHeight="1">
      <c r="A50" s="34" t="s">
        <v>152</v>
      </c>
      <c r="B50" s="35" t="s">
        <v>153</v>
      </c>
      <c r="C50" s="30" t="s">
        <v>154</v>
      </c>
      <c r="D50" s="30" t="s">
        <v>62</v>
      </c>
      <c r="E50" s="36">
        <v>15200</v>
      </c>
      <c r="F50" s="37">
        <v>80.955200000000005</v>
      </c>
      <c r="G50" s="38">
        <v>6.4753975398892999E-3</v>
      </c>
      <c r="H50" s="39"/>
      <c r="I50" s="40">
        <v>76.3</v>
      </c>
    </row>
    <row r="51" spans="1:9" ht="12.95" customHeight="1">
      <c r="A51" s="34" t="s">
        <v>155</v>
      </c>
      <c r="B51" s="35" t="s">
        <v>156</v>
      </c>
      <c r="C51" s="30" t="s">
        <v>157</v>
      </c>
      <c r="D51" s="30" t="s">
        <v>18</v>
      </c>
      <c r="E51" s="36">
        <v>8129</v>
      </c>
      <c r="F51" s="37">
        <v>80.9526465</v>
      </c>
      <c r="G51" s="38">
        <v>6.4751932920137003E-3</v>
      </c>
      <c r="H51" s="39"/>
      <c r="I51" s="40">
        <v>80.2</v>
      </c>
    </row>
    <row r="52" spans="1:9" ht="12.95" customHeight="1">
      <c r="A52" s="34" t="s">
        <v>158</v>
      </c>
      <c r="B52" s="35" t="s">
        <v>159</v>
      </c>
      <c r="C52" s="30" t="s">
        <v>160</v>
      </c>
      <c r="D52" s="30" t="s">
        <v>161</v>
      </c>
      <c r="E52" s="36">
        <v>3220</v>
      </c>
      <c r="F52" s="37">
        <v>79.313429999999997</v>
      </c>
      <c r="G52" s="38">
        <v>6.3440765942419999E-3</v>
      </c>
      <c r="H52" s="39"/>
      <c r="I52" s="40">
        <v>62.5</v>
      </c>
    </row>
    <row r="53" spans="1:9" ht="12.95" customHeight="1">
      <c r="A53" s="34" t="s">
        <v>162</v>
      </c>
      <c r="B53" s="35" t="s">
        <v>163</v>
      </c>
      <c r="C53" s="30" t="s">
        <v>164</v>
      </c>
      <c r="D53" s="30" t="s">
        <v>66</v>
      </c>
      <c r="E53" s="36">
        <v>953</v>
      </c>
      <c r="F53" s="37">
        <v>78.673008999999993</v>
      </c>
      <c r="G53" s="38">
        <v>6.2928509710838002E-3</v>
      </c>
      <c r="H53" s="39"/>
      <c r="I53" s="40">
        <v>71.2</v>
      </c>
    </row>
    <row r="54" spans="1:9" ht="12.95" customHeight="1">
      <c r="A54" s="34" t="s">
        <v>165</v>
      </c>
      <c r="B54" s="35" t="s">
        <v>166</v>
      </c>
      <c r="C54" s="30" t="s">
        <v>167</v>
      </c>
      <c r="D54" s="30" t="s">
        <v>168</v>
      </c>
      <c r="E54" s="36">
        <v>8020</v>
      </c>
      <c r="F54" s="37">
        <v>76.88373</v>
      </c>
      <c r="G54" s="38">
        <v>6.1497311611794E-3</v>
      </c>
      <c r="H54" s="39"/>
      <c r="I54" s="40">
        <v>63.1</v>
      </c>
    </row>
    <row r="55" spans="1:9" ht="12.95" customHeight="1">
      <c r="A55" s="34" t="s">
        <v>169</v>
      </c>
      <c r="B55" s="35" t="s">
        <v>170</v>
      </c>
      <c r="C55" s="30" t="s">
        <v>171</v>
      </c>
      <c r="D55" s="30" t="s">
        <v>47</v>
      </c>
      <c r="E55" s="36">
        <v>1596</v>
      </c>
      <c r="F55" s="37">
        <v>75.996731999999994</v>
      </c>
      <c r="G55" s="38">
        <v>6.0787824800929997E-3</v>
      </c>
      <c r="H55" s="39"/>
      <c r="I55" s="40">
        <v>75.5</v>
      </c>
    </row>
    <row r="56" spans="1:9" ht="12.95" customHeight="1">
      <c r="A56" s="34" t="s">
        <v>172</v>
      </c>
      <c r="B56" s="35" t="s">
        <v>173</v>
      </c>
      <c r="C56" s="30" t="s">
        <v>174</v>
      </c>
      <c r="D56" s="30" t="s">
        <v>47</v>
      </c>
      <c r="E56" s="36">
        <v>2859</v>
      </c>
      <c r="F56" s="37">
        <v>69.600925500000002</v>
      </c>
      <c r="G56" s="38">
        <v>5.5671984227908004E-3</v>
      </c>
      <c r="H56" s="39"/>
      <c r="I56" s="40">
        <v>71.400000000000006</v>
      </c>
    </row>
    <row r="57" spans="1:9" ht="12.95" customHeight="1">
      <c r="A57" s="34" t="s">
        <v>175</v>
      </c>
      <c r="B57" s="35" t="s">
        <v>176</v>
      </c>
      <c r="C57" s="30" t="s">
        <v>177</v>
      </c>
      <c r="D57" s="30" t="s">
        <v>29</v>
      </c>
      <c r="E57" s="36">
        <v>1127</v>
      </c>
      <c r="F57" s="37">
        <v>69.562948000000006</v>
      </c>
      <c r="G57" s="38">
        <v>5.5641607005682998E-3</v>
      </c>
      <c r="H57" s="39"/>
      <c r="I57" s="40">
        <v>77</v>
      </c>
    </row>
    <row r="58" spans="1:9" ht="12.95" customHeight="1">
      <c r="A58" s="34" t="s">
        <v>178</v>
      </c>
      <c r="B58" s="35" t="s">
        <v>179</v>
      </c>
      <c r="C58" s="30" t="s">
        <v>180</v>
      </c>
      <c r="D58" s="30" t="s">
        <v>181</v>
      </c>
      <c r="E58" s="36">
        <v>33109</v>
      </c>
      <c r="F58" s="37">
        <v>66.039211399999999</v>
      </c>
      <c r="G58" s="38">
        <v>5.2823061030765998E-3</v>
      </c>
      <c r="H58" s="39"/>
      <c r="I58" s="40">
        <v>67.3</v>
      </c>
    </row>
    <row r="59" spans="1:9" ht="12.95" customHeight="1">
      <c r="A59" s="34" t="s">
        <v>182</v>
      </c>
      <c r="B59" s="35" t="s">
        <v>183</v>
      </c>
      <c r="C59" s="30" t="s">
        <v>184</v>
      </c>
      <c r="D59" s="30" t="s">
        <v>185</v>
      </c>
      <c r="E59" s="36">
        <v>7904</v>
      </c>
      <c r="F59" s="37">
        <v>65.045968000000002</v>
      </c>
      <c r="G59" s="38">
        <v>5.2028591266147003E-3</v>
      </c>
      <c r="H59" s="39"/>
      <c r="I59" s="40">
        <v>68.3</v>
      </c>
    </row>
    <row r="60" spans="1:9" ht="12.95" customHeight="1">
      <c r="A60" s="34" t="s">
        <v>186</v>
      </c>
      <c r="B60" s="35" t="s">
        <v>187</v>
      </c>
      <c r="C60" s="30" t="s">
        <v>188</v>
      </c>
      <c r="D60" s="30" t="s">
        <v>62</v>
      </c>
      <c r="E60" s="36">
        <v>5158</v>
      </c>
      <c r="F60" s="37">
        <v>63.647140999999998</v>
      </c>
      <c r="G60" s="38">
        <v>5.0909705646132999E-3</v>
      </c>
      <c r="H60" s="39"/>
      <c r="I60" s="40">
        <v>79.599999999999994</v>
      </c>
    </row>
    <row r="61" spans="1:9" ht="12.95" customHeight="1">
      <c r="A61" s="34" t="s">
        <v>189</v>
      </c>
      <c r="B61" s="35" t="s">
        <v>190</v>
      </c>
      <c r="C61" s="30" t="s">
        <v>191</v>
      </c>
      <c r="D61" s="30" t="s">
        <v>70</v>
      </c>
      <c r="E61" s="36">
        <v>11369</v>
      </c>
      <c r="F61" s="37">
        <v>63.075212000000001</v>
      </c>
      <c r="G61" s="38">
        <v>5.0452234397887997E-3</v>
      </c>
      <c r="H61" s="39"/>
      <c r="I61" s="40">
        <v>65.7</v>
      </c>
    </row>
    <row r="62" spans="1:9" ht="12.95" customHeight="1">
      <c r="A62" s="34" t="s">
        <v>192</v>
      </c>
      <c r="B62" s="35" t="s">
        <v>193</v>
      </c>
      <c r="C62" s="30" t="s">
        <v>194</v>
      </c>
      <c r="D62" s="30" t="s">
        <v>25</v>
      </c>
      <c r="E62" s="36">
        <v>45093</v>
      </c>
      <c r="F62" s="37">
        <v>62.512425899999997</v>
      </c>
      <c r="G62" s="38">
        <v>5.0002076319416999E-3</v>
      </c>
      <c r="H62" s="39"/>
      <c r="I62" s="40">
        <v>69.599999999999994</v>
      </c>
    </row>
    <row r="63" spans="1:9" ht="12.95" customHeight="1">
      <c r="A63" s="34" t="s">
        <v>195</v>
      </c>
      <c r="B63" s="35" t="s">
        <v>196</v>
      </c>
      <c r="C63" s="30" t="s">
        <v>197</v>
      </c>
      <c r="D63" s="30" t="s">
        <v>70</v>
      </c>
      <c r="E63" s="36">
        <v>4474</v>
      </c>
      <c r="F63" s="37">
        <v>59.231285999999997</v>
      </c>
      <c r="G63" s="38">
        <v>4.7377577184525999E-3</v>
      </c>
      <c r="H63" s="39"/>
      <c r="I63" s="40">
        <v>71</v>
      </c>
    </row>
    <row r="64" spans="1:9" ht="12.95" customHeight="1">
      <c r="A64" s="34" t="s">
        <v>198</v>
      </c>
      <c r="B64" s="35" t="s">
        <v>199</v>
      </c>
      <c r="C64" s="30" t="s">
        <v>200</v>
      </c>
      <c r="D64" s="30" t="s">
        <v>201</v>
      </c>
      <c r="E64" s="36">
        <v>4648</v>
      </c>
      <c r="F64" s="37">
        <v>57.851331999999999</v>
      </c>
      <c r="G64" s="38">
        <v>4.6273787590187998E-3</v>
      </c>
      <c r="H64" s="39"/>
      <c r="I64" s="40">
        <v>76</v>
      </c>
    </row>
    <row r="65" spans="1:10" ht="12.95" customHeight="1">
      <c r="A65" s="34" t="s">
        <v>202</v>
      </c>
      <c r="B65" s="35" t="s">
        <v>203</v>
      </c>
      <c r="C65" s="30" t="s">
        <v>204</v>
      </c>
      <c r="D65" s="30" t="s">
        <v>205</v>
      </c>
      <c r="E65" s="36">
        <v>1874</v>
      </c>
      <c r="F65" s="37">
        <v>57.460588000000001</v>
      </c>
      <c r="G65" s="38">
        <v>4.5961241547891997E-3</v>
      </c>
      <c r="H65" s="39"/>
      <c r="I65" s="40">
        <v>63.6</v>
      </c>
    </row>
    <row r="66" spans="1:10" ht="12.95" customHeight="1">
      <c r="A66" s="34" t="s">
        <v>206</v>
      </c>
      <c r="B66" s="35" t="s">
        <v>207</v>
      </c>
      <c r="C66" s="30" t="s">
        <v>208</v>
      </c>
      <c r="D66" s="30" t="s">
        <v>140</v>
      </c>
      <c r="E66" s="36">
        <v>2967</v>
      </c>
      <c r="F66" s="37">
        <v>55.241089500000001</v>
      </c>
      <c r="G66" s="38">
        <v>4.4185921972783003E-3</v>
      </c>
      <c r="H66" s="39"/>
      <c r="I66" s="40">
        <v>74.7</v>
      </c>
    </row>
    <row r="67" spans="1:10" ht="12.95" customHeight="1">
      <c r="A67" s="34" t="s">
        <v>209</v>
      </c>
      <c r="B67" s="35" t="s">
        <v>210</v>
      </c>
      <c r="C67" s="30" t="s">
        <v>211</v>
      </c>
      <c r="D67" s="30" t="s">
        <v>148</v>
      </c>
      <c r="E67" s="36">
        <v>650</v>
      </c>
      <c r="F67" s="37">
        <v>48.238124999999997</v>
      </c>
      <c r="G67" s="38">
        <v>3.8584431383515E-3</v>
      </c>
      <c r="H67" s="39"/>
      <c r="I67" s="40">
        <v>70.599999999999994</v>
      </c>
    </row>
    <row r="68" spans="1:10" ht="12.95" customHeight="1">
      <c r="A68" s="34" t="s">
        <v>212</v>
      </c>
      <c r="B68" s="35" t="s">
        <v>213</v>
      </c>
      <c r="C68" s="30" t="s">
        <v>214</v>
      </c>
      <c r="D68" s="30" t="s">
        <v>201</v>
      </c>
      <c r="E68" s="36">
        <v>1636</v>
      </c>
      <c r="F68" s="37">
        <v>47.276310000000002</v>
      </c>
      <c r="G68" s="38">
        <v>3.7815100385033E-3</v>
      </c>
      <c r="H68" s="39"/>
      <c r="I68" s="40">
        <v>72.5</v>
      </c>
    </row>
    <row r="69" spans="1:10" ht="12.95" customHeight="1">
      <c r="A69" s="34" t="s">
        <v>215</v>
      </c>
      <c r="B69" s="35" t="s">
        <v>216</v>
      </c>
      <c r="C69" s="30" t="s">
        <v>217</v>
      </c>
      <c r="D69" s="30" t="s">
        <v>168</v>
      </c>
      <c r="E69" s="36">
        <v>6359</v>
      </c>
      <c r="F69" s="37">
        <v>41.012370500000003</v>
      </c>
      <c r="G69" s="38">
        <v>3.2804736822431E-3</v>
      </c>
      <c r="H69" s="39"/>
      <c r="I69" s="40">
        <v>74</v>
      </c>
    </row>
    <row r="70" spans="1:10" ht="12.95" customHeight="1">
      <c r="A70" s="34" t="s">
        <v>218</v>
      </c>
      <c r="B70" s="35" t="s">
        <v>219</v>
      </c>
      <c r="C70" s="30" t="s">
        <v>220</v>
      </c>
      <c r="D70" s="30" t="s">
        <v>91</v>
      </c>
      <c r="E70" s="36">
        <v>4510</v>
      </c>
      <c r="F70" s="37">
        <v>40.880895000000002</v>
      </c>
      <c r="G70" s="38">
        <v>3.2699572962759001E-3</v>
      </c>
      <c r="H70" s="39"/>
      <c r="I70" s="40">
        <v>69.8</v>
      </c>
    </row>
    <row r="71" spans="1:10" ht="12.95" customHeight="1">
      <c r="A71" s="34" t="s">
        <v>221</v>
      </c>
      <c r="B71" s="35" t="s">
        <v>222</v>
      </c>
      <c r="C71" s="30" t="s">
        <v>223</v>
      </c>
      <c r="D71" s="30" t="s">
        <v>201</v>
      </c>
      <c r="E71" s="36">
        <v>7183</v>
      </c>
      <c r="F71" s="37">
        <v>37.865184499999998</v>
      </c>
      <c r="G71" s="38">
        <v>3.0287383955415999E-3</v>
      </c>
      <c r="H71" s="39"/>
      <c r="I71" s="40">
        <v>77.099999999999994</v>
      </c>
    </row>
    <row r="72" spans="1:10" ht="12.95" customHeight="1">
      <c r="A72" s="34" t="s">
        <v>224</v>
      </c>
      <c r="B72" s="35" t="s">
        <v>225</v>
      </c>
      <c r="C72" s="30" t="s">
        <v>226</v>
      </c>
      <c r="D72" s="30" t="s">
        <v>58</v>
      </c>
      <c r="E72" s="36">
        <v>1122</v>
      </c>
      <c r="F72" s="37">
        <v>37.297524000000003</v>
      </c>
      <c r="G72" s="38">
        <v>2.9833326970170999E-3</v>
      </c>
      <c r="H72" s="39"/>
      <c r="I72" s="40">
        <v>70</v>
      </c>
    </row>
    <row r="73" spans="1:10" ht="12.95" customHeight="1">
      <c r="A73" s="34" t="s">
        <v>227</v>
      </c>
      <c r="B73" s="35" t="s">
        <v>228</v>
      </c>
      <c r="C73" s="30" t="s">
        <v>229</v>
      </c>
      <c r="D73" s="30" t="s">
        <v>230</v>
      </c>
      <c r="E73" s="36">
        <v>105</v>
      </c>
      <c r="F73" s="37">
        <v>36.714509999999997</v>
      </c>
      <c r="G73" s="38">
        <v>2.9366989116479001E-3</v>
      </c>
      <c r="H73" s="39"/>
      <c r="I73" s="40">
        <v>70.099999999999994</v>
      </c>
    </row>
    <row r="74" spans="1:10" ht="12.95" customHeight="1">
      <c r="A74" s="34" t="s">
        <v>231</v>
      </c>
      <c r="B74" s="35" t="s">
        <v>232</v>
      </c>
      <c r="C74" s="30" t="s">
        <v>233</v>
      </c>
      <c r="D74" s="30" t="s">
        <v>140</v>
      </c>
      <c r="E74" s="36">
        <v>4781</v>
      </c>
      <c r="F74" s="37">
        <v>33.450266499999998</v>
      </c>
      <c r="G74" s="38">
        <v>2.675600497593E-3</v>
      </c>
      <c r="H74" s="39"/>
      <c r="I74" s="40">
        <v>76.2</v>
      </c>
    </row>
    <row r="75" spans="1:10" ht="12.95" customHeight="1">
      <c r="A75" s="34" t="s">
        <v>234</v>
      </c>
      <c r="B75" s="35" t="s">
        <v>235</v>
      </c>
      <c r="C75" s="30" t="s">
        <v>236</v>
      </c>
      <c r="D75" s="30" t="s">
        <v>70</v>
      </c>
      <c r="E75" s="36">
        <v>3699</v>
      </c>
      <c r="F75" s="37">
        <v>31.090095000000002</v>
      </c>
      <c r="G75" s="38">
        <v>2.4868164698242999E-3</v>
      </c>
      <c r="H75" s="39"/>
      <c r="I75" s="40">
        <v>70.8</v>
      </c>
    </row>
    <row r="76" spans="1:10" ht="12.95" customHeight="1">
      <c r="A76" s="34" t="s">
        <v>237</v>
      </c>
      <c r="B76" s="35" t="s">
        <v>238</v>
      </c>
      <c r="C76" s="30" t="s">
        <v>239</v>
      </c>
      <c r="D76" s="30" t="s">
        <v>240</v>
      </c>
      <c r="E76" s="36">
        <v>3733</v>
      </c>
      <c r="F76" s="37">
        <v>30.4594135</v>
      </c>
      <c r="G76" s="38">
        <v>2.4363698841380001E-3</v>
      </c>
      <c r="H76" s="39"/>
      <c r="I76" s="40">
        <v>61.5</v>
      </c>
    </row>
    <row r="77" spans="1:10" ht="12.95" customHeight="1">
      <c r="A77" s="34" t="s">
        <v>241</v>
      </c>
      <c r="B77" s="35" t="s">
        <v>242</v>
      </c>
      <c r="C77" s="30" t="s">
        <v>243</v>
      </c>
      <c r="D77" s="30" t="s">
        <v>58</v>
      </c>
      <c r="E77" s="36">
        <v>3089</v>
      </c>
      <c r="F77" s="37">
        <v>29.838195500000001</v>
      </c>
      <c r="G77" s="38">
        <v>2.3866802593957999E-3</v>
      </c>
      <c r="H77" s="39"/>
      <c r="I77" s="40">
        <v>70.3</v>
      </c>
    </row>
    <row r="78" spans="1:10" ht="12.95" customHeight="1">
      <c r="A78" s="34" t="s">
        <v>244</v>
      </c>
      <c r="B78" s="35" t="s">
        <v>245</v>
      </c>
      <c r="C78" s="30" t="s">
        <v>246</v>
      </c>
      <c r="D78" s="30" t="s">
        <v>181</v>
      </c>
      <c r="E78" s="36">
        <v>3376</v>
      </c>
      <c r="F78" s="37">
        <v>27.424935999999999</v>
      </c>
      <c r="G78" s="38">
        <v>2.1936498595027999E-3</v>
      </c>
      <c r="H78" s="39"/>
      <c r="I78" s="40">
        <v>72.400000000000006</v>
      </c>
    </row>
    <row r="79" spans="1:10" ht="12.95" customHeight="1">
      <c r="A79" s="34" t="s">
        <v>247</v>
      </c>
      <c r="B79" s="35" t="s">
        <v>248</v>
      </c>
      <c r="C79" s="30" t="s">
        <v>249</v>
      </c>
      <c r="D79" s="30" t="s">
        <v>62</v>
      </c>
      <c r="E79" s="36">
        <v>3620</v>
      </c>
      <c r="F79" s="37">
        <v>25.361719999999998</v>
      </c>
      <c r="G79" s="38">
        <v>2.0286185358736998E-3</v>
      </c>
      <c r="H79" s="41"/>
      <c r="I79" s="42">
        <v>78.3</v>
      </c>
    </row>
    <row r="80" spans="1:10" ht="12.95" customHeight="1">
      <c r="A80" s="21"/>
      <c r="B80" s="29" t="s">
        <v>250</v>
      </c>
      <c r="C80" s="30"/>
      <c r="D80" s="30"/>
      <c r="E80" s="30"/>
      <c r="F80" s="43">
        <v>12504.5545064</v>
      </c>
      <c r="G80" s="44">
        <v>1.0002070464671</v>
      </c>
      <c r="H80" s="45"/>
      <c r="I80" s="46">
        <f>SUMPRODUCT(I8:I79,G8:G79)</f>
        <v>73.622443403713817</v>
      </c>
      <c r="J80" s="47" t="s">
        <v>251</v>
      </c>
    </row>
    <row r="81" spans="1:8" ht="12.95" customHeight="1">
      <c r="A81" s="21"/>
      <c r="B81" s="48" t="s">
        <v>252</v>
      </c>
      <c r="C81" s="49"/>
      <c r="D81" s="49"/>
      <c r="E81" s="49"/>
      <c r="F81" s="50" t="s">
        <v>253</v>
      </c>
      <c r="G81" s="50" t="s">
        <v>253</v>
      </c>
      <c r="H81" s="45"/>
    </row>
    <row r="82" spans="1:8" ht="12.95" customHeight="1">
      <c r="A82" s="21"/>
      <c r="B82" s="48" t="s">
        <v>250</v>
      </c>
      <c r="C82" s="49"/>
      <c r="D82" s="49"/>
      <c r="E82" s="49"/>
      <c r="F82" s="50" t="s">
        <v>253</v>
      </c>
      <c r="G82" s="50" t="s">
        <v>253</v>
      </c>
      <c r="H82" s="45"/>
    </row>
    <row r="83" spans="1:8" ht="12.95" customHeight="1">
      <c r="A83" s="21"/>
      <c r="B83" s="48" t="s">
        <v>254</v>
      </c>
      <c r="C83" s="51"/>
      <c r="D83" s="49"/>
      <c r="E83" s="51"/>
      <c r="F83" s="43">
        <v>12504.5545064</v>
      </c>
      <c r="G83" s="44">
        <v>1.0002070464671</v>
      </c>
      <c r="H83" s="45"/>
    </row>
    <row r="84" spans="1:8" ht="12.95" customHeight="1">
      <c r="A84" s="21"/>
      <c r="B84" s="29" t="s">
        <v>255</v>
      </c>
      <c r="C84" s="30"/>
      <c r="D84" s="30"/>
      <c r="E84" s="30"/>
      <c r="F84" s="30"/>
      <c r="G84" s="31"/>
      <c r="H84" s="32"/>
    </row>
    <row r="85" spans="1:8" ht="12.95" customHeight="1">
      <c r="A85" s="34" t="s">
        <v>256</v>
      </c>
      <c r="B85" s="35" t="s">
        <v>257</v>
      </c>
      <c r="C85" s="30"/>
      <c r="D85" s="30"/>
      <c r="E85" s="36"/>
      <c r="F85" s="37">
        <v>1.1847238</v>
      </c>
      <c r="G85" s="38">
        <v>9.4762999535153998E-5</v>
      </c>
      <c r="H85" s="39">
        <v>6.6639580257813996E-2</v>
      </c>
    </row>
    <row r="86" spans="1:8" ht="12.95" customHeight="1">
      <c r="A86" s="21"/>
      <c r="B86" s="29" t="s">
        <v>250</v>
      </c>
      <c r="C86" s="30"/>
      <c r="D86" s="30"/>
      <c r="E86" s="30"/>
      <c r="F86" s="43">
        <v>1.1847238</v>
      </c>
      <c r="G86" s="44">
        <v>9.4762999535153998E-5</v>
      </c>
      <c r="H86" s="45"/>
    </row>
    <row r="87" spans="1:8" ht="12.95" customHeight="1">
      <c r="A87" s="21"/>
      <c r="B87" s="48" t="s">
        <v>254</v>
      </c>
      <c r="C87" s="51"/>
      <c r="D87" s="49"/>
      <c r="E87" s="51"/>
      <c r="F87" s="43">
        <v>1.1847238</v>
      </c>
      <c r="G87" s="44">
        <v>9.4762999535153998E-5</v>
      </c>
      <c r="H87" s="45"/>
    </row>
    <row r="88" spans="1:8" ht="12.95" customHeight="1">
      <c r="A88" s="21"/>
      <c r="B88" s="48" t="s">
        <v>258</v>
      </c>
      <c r="C88" s="30"/>
      <c r="D88" s="49"/>
      <c r="E88" s="30"/>
      <c r="F88" s="43">
        <v>-3.7732116960002999</v>
      </c>
      <c r="G88" s="44">
        <v>-3.0180946664034003E-4</v>
      </c>
      <c r="H88" s="45"/>
    </row>
    <row r="89" spans="1:8" ht="12.95" customHeight="1" thickBot="1">
      <c r="A89" s="21"/>
      <c r="B89" s="52" t="s">
        <v>259</v>
      </c>
      <c r="C89" s="53"/>
      <c r="D89" s="53"/>
      <c r="E89" s="53"/>
      <c r="F89" s="54">
        <v>12501.966018503999</v>
      </c>
      <c r="G89" s="55">
        <v>1</v>
      </c>
      <c r="H89" s="56"/>
    </row>
    <row r="90" spans="1:8" ht="12.95" customHeight="1">
      <c r="A90" s="21"/>
      <c r="B90" s="9"/>
      <c r="C90" s="21"/>
      <c r="D90" s="21"/>
      <c r="E90" s="21"/>
      <c r="F90" s="21"/>
      <c r="G90" s="21"/>
      <c r="H90" s="21"/>
    </row>
    <row r="91" spans="1:8" ht="12.95" customHeight="1">
      <c r="A91" s="21"/>
      <c r="B91" s="57" t="s">
        <v>260</v>
      </c>
      <c r="C91" s="21"/>
      <c r="D91" s="21"/>
      <c r="E91" s="21"/>
      <c r="F91" s="21"/>
      <c r="G91" s="21"/>
      <c r="H91" s="21"/>
    </row>
    <row r="92" spans="1:8" ht="12.95" customHeight="1">
      <c r="A92" s="21"/>
      <c r="B92" s="57"/>
      <c r="C92" s="21"/>
      <c r="D92" s="21"/>
      <c r="E92" s="21"/>
      <c r="F92" s="21"/>
      <c r="G92" s="21"/>
      <c r="H92" s="21"/>
    </row>
    <row r="93" spans="1:8" ht="12.95" customHeight="1">
      <c r="A93" s="21"/>
      <c r="B93" s="57"/>
      <c r="C93" s="21"/>
      <c r="D93" s="21"/>
      <c r="E93" s="21"/>
      <c r="F93" s="21"/>
      <c r="G93" s="21"/>
      <c r="H93" s="21"/>
    </row>
    <row r="94" spans="1:8" ht="12.95" customHeight="1">
      <c r="A94" s="21"/>
      <c r="B94" s="58" t="s">
        <v>261</v>
      </c>
      <c r="C94" s="58"/>
      <c r="D94" s="58"/>
      <c r="E94" s="21"/>
      <c r="F94" s="21"/>
      <c r="G94" s="21"/>
      <c r="H94" s="21"/>
    </row>
    <row r="95" spans="1:8" ht="12.95" customHeight="1">
      <c r="A95" s="21"/>
      <c r="B95" s="59" t="s">
        <v>262</v>
      </c>
      <c r="C95" s="59" t="s">
        <v>263</v>
      </c>
      <c r="D95" s="59" t="s">
        <v>264</v>
      </c>
      <c r="E95" s="21"/>
      <c r="F95" s="21"/>
      <c r="G95" s="21"/>
      <c r="H95" s="21"/>
    </row>
    <row r="96" spans="1:8" ht="12.95" customHeight="1">
      <c r="A96" s="21"/>
      <c r="B96" s="60">
        <v>1</v>
      </c>
      <c r="C96" s="61" t="s">
        <v>248</v>
      </c>
      <c r="D96" s="61">
        <v>700</v>
      </c>
      <c r="E96" s="21"/>
      <c r="F96" s="21"/>
      <c r="G96" s="21"/>
      <c r="H96" s="21"/>
    </row>
    <row r="108" spans="2:8">
      <c r="B108" s="62" t="s">
        <v>265</v>
      </c>
      <c r="C108" s="62"/>
      <c r="D108" s="62"/>
      <c r="E108" s="62"/>
      <c r="F108" s="62"/>
      <c r="G108" s="62"/>
      <c r="H108" s="62"/>
    </row>
    <row r="109" spans="2:8">
      <c r="B109" s="62"/>
      <c r="C109" s="62"/>
      <c r="D109" s="62"/>
      <c r="E109" s="62"/>
      <c r="F109" s="62"/>
      <c r="G109" s="62"/>
      <c r="H109" s="62"/>
    </row>
    <row r="110" spans="2:8">
      <c r="B110" s="62"/>
      <c r="C110" s="62"/>
      <c r="D110" s="62"/>
      <c r="E110" s="62"/>
      <c r="F110" s="62"/>
      <c r="G110" s="62"/>
      <c r="H110" s="62"/>
    </row>
  </sheetData>
  <mergeCells count="6">
    <mergeCell ref="B1:H2"/>
    <mergeCell ref="B3:H3"/>
    <mergeCell ref="B4:H4"/>
    <mergeCell ref="B5:H5"/>
    <mergeCell ref="B94:D94"/>
    <mergeCell ref="B108:H110"/>
  </mergeCells>
  <pageMargins left="0" right="0" top="0" bottom="0" header="0" footer="0"/>
  <pageSetup orientation="portrait"/>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MAETF</vt:lpstr>
      <vt:lpstr>JR_PAGE_ANCHOR_0_18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Nihal Vachhani</dc:creator>
  <cp:lastModifiedBy>Nihal Vachhani</cp:lastModifiedBy>
  <dcterms:created xsi:type="dcterms:W3CDTF">2024-12-09T08:55:17Z</dcterms:created>
  <dcterms:modified xsi:type="dcterms:W3CDTF">2024-12-09T08:55:17Z</dcterms:modified>
</cp:coreProperties>
</file>