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30" windowWidth="14940" windowHeight="9090"/>
  </bookViews>
  <sheets>
    <sheet name="MIIOF" sheetId="7" r:id="rId1"/>
    <sheet name="MAEBF" sheetId="2" r:id="rId2"/>
    <sheet name="MICCF" sheetId="4" r:id="rId3"/>
    <sheet name="MICHF" sheetId="5" r:id="rId4"/>
    <sheet name="MIGCS" sheetId="6" r:id="rId5"/>
    <sheet name="MACMF" sheetId="1" r:id="rId6"/>
    <sheet name="MILPF" sheetId="8" r:id="rId7"/>
    <sheet name="MISTB" sheetId="9" r:id="rId8"/>
    <sheet name="MAFM368" sheetId="3" r:id="rId9"/>
  </sheets>
  <calcPr calcId="145621"/>
</workbook>
</file>

<file path=xl/calcChain.xml><?xml version="1.0" encoding="utf-8"?>
<calcChain xmlns="http://schemas.openxmlformats.org/spreadsheetml/2006/main">
  <c r="G63" i="7" l="1"/>
  <c r="F63" i="7"/>
  <c r="G67" i="2"/>
  <c r="F67" i="2"/>
  <c r="G44" i="6"/>
  <c r="F44" i="6"/>
  <c r="G18" i="6"/>
  <c r="F18" i="6"/>
  <c r="G54" i="4"/>
  <c r="F54" i="4"/>
  <c r="G38" i="4"/>
  <c r="F38" i="4"/>
</calcChain>
</file>

<file path=xl/sharedStrings.xml><?xml version="1.0" encoding="utf-8"?>
<sst xmlns="http://schemas.openxmlformats.org/spreadsheetml/2006/main" count="1454" uniqueCount="379">
  <si>
    <t>Mirae Asset Cash Management Fund</t>
  </si>
  <si>
    <t/>
  </si>
  <si>
    <t>Monthly Portfolio Statement as on March 31,2014</t>
  </si>
  <si>
    <t>Name of the Instrument</t>
  </si>
  <si>
    <t>ISIN</t>
  </si>
  <si>
    <t>Rating</t>
  </si>
  <si>
    <t>Quantity</t>
  </si>
  <si>
    <t>Market/Fair Value
 (Rs. in Lacs)</t>
  </si>
  <si>
    <t>% to Net
 Assets</t>
  </si>
  <si>
    <t>Money Market Instruments</t>
  </si>
  <si>
    <t>Certificate of Deposit</t>
  </si>
  <si>
    <t>Indian Bank (09/05/2014) ** #</t>
  </si>
  <si>
    <t>INE562A16FE0</t>
  </si>
  <si>
    <t>FITCH A1+</t>
  </si>
  <si>
    <t>Union Bank of India (20/05/2014) ** #</t>
  </si>
  <si>
    <t>INE692A16CA0</t>
  </si>
  <si>
    <t>CRISIL A1+</t>
  </si>
  <si>
    <t>Oriental Bank of Commerce (04/04/2014) ** #</t>
  </si>
  <si>
    <t>INE141A16NZ2</t>
  </si>
  <si>
    <t>Oriental Bank of Commerce (13/05/2014) ** #</t>
  </si>
  <si>
    <t>INE141A16OE5</t>
  </si>
  <si>
    <t>Corporation Bank (22/05/2014) ** #</t>
  </si>
  <si>
    <t>INE112A16EZ2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</si>
  <si>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</si>
  <si>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</si>
  <si>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</si>
  <si>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</si>
  <si>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</si>
  <si>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</si>
  <si>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</si>
  <si>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</si>
  <si>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</si>
  <si>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</si>
  <si>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</si>
  <si>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</si>
  <si>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</si>
  <si>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The Federal Bank  Ltd</t>
  </si>
  <si>
    <t>INE171A01029</t>
  </si>
  <si>
    <t>Banks</t>
  </si>
  <si>
    <t>Tech Mahindra Ltd</t>
  </si>
  <si>
    <t>INE669C01028</t>
  </si>
  <si>
    <t>Software</t>
  </si>
  <si>
    <t>IPCA Laboratories Ltd</t>
  </si>
  <si>
    <t>INE571A01020</t>
  </si>
  <si>
    <t>Pharmaceuticals</t>
  </si>
  <si>
    <t>Divi's Laboratories Ltd</t>
  </si>
  <si>
    <t>INE361B01024</t>
  </si>
  <si>
    <t>Motherson Sumi Systems Ltd</t>
  </si>
  <si>
    <t>INE775A01035</t>
  </si>
  <si>
    <t>Auto Ancillaries</t>
  </si>
  <si>
    <t>Sundaram Finance Ltd</t>
  </si>
  <si>
    <t>INE660A01013</t>
  </si>
  <si>
    <t>Finance</t>
  </si>
  <si>
    <t>ICICI Bank Ltd</t>
  </si>
  <si>
    <t>INE090A01013</t>
  </si>
  <si>
    <t>Amara Raja Batteries Ltd</t>
  </si>
  <si>
    <t>INE885A01032</t>
  </si>
  <si>
    <t>Gateway Distriparks Ltd</t>
  </si>
  <si>
    <t>INE852F01015</t>
  </si>
  <si>
    <t>Transportation</t>
  </si>
  <si>
    <t>Vinati Organics Ltd</t>
  </si>
  <si>
    <t>INE410B01029</t>
  </si>
  <si>
    <t>Chemicals</t>
  </si>
  <si>
    <t>Godfrey Phillips India Ltd</t>
  </si>
  <si>
    <t>INE260B01010</t>
  </si>
  <si>
    <t>Consumer Non Durables</t>
  </si>
  <si>
    <t>Cadila Healthcare Ltd</t>
  </si>
  <si>
    <t>INE010B01019</t>
  </si>
  <si>
    <t>Hindustan Petroleum Corporation Ltd</t>
  </si>
  <si>
    <t>INE094A01015</t>
  </si>
  <si>
    <t>Petroleum Products</t>
  </si>
  <si>
    <t>HT Media Ltd</t>
  </si>
  <si>
    <t>INE501G01024</t>
  </si>
  <si>
    <t>Media &amp; Entertainment</t>
  </si>
  <si>
    <t>Eicher Motors Ltd</t>
  </si>
  <si>
    <t>INE066A01013</t>
  </si>
  <si>
    <t>Auto</t>
  </si>
  <si>
    <t>Prism CEMENT Ltd</t>
  </si>
  <si>
    <t>INE010A01011</t>
  </si>
  <si>
    <t>Cement</t>
  </si>
  <si>
    <t>Zee Entertainment Enterprises Ltd</t>
  </si>
  <si>
    <t>INE256A01028</t>
  </si>
  <si>
    <t>Carborundum Universal Ltd</t>
  </si>
  <si>
    <t>INE120A01034</t>
  </si>
  <si>
    <t>Industrial Products</t>
  </si>
  <si>
    <t>CESC Ltd</t>
  </si>
  <si>
    <t>INE486A01013</t>
  </si>
  <si>
    <t>Power</t>
  </si>
  <si>
    <t>Info Edge (India) Ltd</t>
  </si>
  <si>
    <t>INE663F01024</t>
  </si>
  <si>
    <t>Glenmark Pharmaceuticals Ltd</t>
  </si>
  <si>
    <t>INE935A01035</t>
  </si>
  <si>
    <t>FAG Bearings India Ltd</t>
  </si>
  <si>
    <t>INE513A01014</t>
  </si>
  <si>
    <t>VIP Industries Ltd</t>
  </si>
  <si>
    <t>INE054A01027</t>
  </si>
  <si>
    <t>Consumer Durables</t>
  </si>
  <si>
    <t>Yes Bank Ltd</t>
  </si>
  <si>
    <t>INE528G01019</t>
  </si>
  <si>
    <t>Aurobindo Pharma Ltd</t>
  </si>
  <si>
    <t>INE406A01037</t>
  </si>
  <si>
    <t>The Jammu &amp; Kashmir Bank Ltd</t>
  </si>
  <si>
    <t>INE168A01017</t>
  </si>
  <si>
    <t>Gulf Oil Corporation Ltd</t>
  </si>
  <si>
    <t>INE077F01027</t>
  </si>
  <si>
    <t>Crompton  Greaves Ltd</t>
  </si>
  <si>
    <t>INE067A01029</t>
  </si>
  <si>
    <t>Industrial Capital Goods</t>
  </si>
  <si>
    <t>Gujarat Mineral Development Corporation Ltd</t>
  </si>
  <si>
    <t>INE131A01031</t>
  </si>
  <si>
    <t>Minerals/Mining</t>
  </si>
  <si>
    <t>Tata Chemicals Ltd</t>
  </si>
  <si>
    <t>INE092A01019</t>
  </si>
  <si>
    <t>Oil India Ltd</t>
  </si>
  <si>
    <t>INE274J01014</t>
  </si>
  <si>
    <t>Oil</t>
  </si>
  <si>
    <t>Akzo Nobel India Ltd</t>
  </si>
  <si>
    <t>INE133A01011</t>
  </si>
  <si>
    <t>ING Vysya Bank Ltd</t>
  </si>
  <si>
    <t>INE166A01011</t>
  </si>
  <si>
    <t>Titan Company Limited</t>
  </si>
  <si>
    <t>INE280A01028</t>
  </si>
  <si>
    <t>NIIT Technologies Ltd</t>
  </si>
  <si>
    <t>INE591G01017</t>
  </si>
  <si>
    <t>VST Tillers Tractors Ltd</t>
  </si>
  <si>
    <t>INE764D01017</t>
  </si>
  <si>
    <t>Torrent Pharmaceuticals Ltd</t>
  </si>
  <si>
    <t>INE685A01028</t>
  </si>
  <si>
    <t>Aditya Birla Nuvo Ltd</t>
  </si>
  <si>
    <t>INE069A01017</t>
  </si>
  <si>
    <t>Services</t>
  </si>
  <si>
    <t>Exide Industries Ltd</t>
  </si>
  <si>
    <t>INE302A01020</t>
  </si>
  <si>
    <t>PTC India Financial Services Ltd</t>
  </si>
  <si>
    <t>INE560K01014</t>
  </si>
  <si>
    <t>Bank of Baroda</t>
  </si>
  <si>
    <t>INE028A01013</t>
  </si>
  <si>
    <t>Himatsingka Seide Ltd</t>
  </si>
  <si>
    <t>INE049A01027</t>
  </si>
  <si>
    <t>Textile Products</t>
  </si>
  <si>
    <t>Colgate Palmolive (India) Ltd</t>
  </si>
  <si>
    <t>INE259A01022</t>
  </si>
  <si>
    <t>Eclerx Services Ltd</t>
  </si>
  <si>
    <t>INE738I01010</t>
  </si>
  <si>
    <t>Britannia Industries Ltd</t>
  </si>
  <si>
    <t>INE216A01022</t>
  </si>
  <si>
    <t>JK Cement Ltd</t>
  </si>
  <si>
    <t>INE823G01014</t>
  </si>
  <si>
    <t>Adani Ports and Special Economic Zone Ltd</t>
  </si>
  <si>
    <t>INE742F01042</t>
  </si>
  <si>
    <t>Gujarat State Petronet Ltd</t>
  </si>
  <si>
    <t>INE246F01010</t>
  </si>
  <si>
    <t>Gas</t>
  </si>
  <si>
    <t>ICRA Ltd</t>
  </si>
  <si>
    <t>INE725G01011</t>
  </si>
  <si>
    <t>LIC Housing Finance Ltd</t>
  </si>
  <si>
    <t>INE115A01026</t>
  </si>
  <si>
    <t>Tamil Nadu Newsprint &amp; Papers Ltd</t>
  </si>
  <si>
    <t>INE107A01015</t>
  </si>
  <si>
    <t>Paper</t>
  </si>
  <si>
    <t>Oracle Financial Services Software Ltd</t>
  </si>
  <si>
    <t>INE881D01027</t>
  </si>
  <si>
    <t>Petronet LNG Ltd</t>
  </si>
  <si>
    <t>INE347G01014</t>
  </si>
  <si>
    <t>Tata Global Beverages Ltd</t>
  </si>
  <si>
    <t>INE192A01025</t>
  </si>
  <si>
    <t>Indian Bank</t>
  </si>
  <si>
    <t>INE562A01011</t>
  </si>
  <si>
    <t>Lupin Ltd</t>
  </si>
  <si>
    <t>INE326A01037</t>
  </si>
  <si>
    <t>Venky's (India) Ltd</t>
  </si>
  <si>
    <t>INE398A01010</t>
  </si>
  <si>
    <t>CMC Ltd</t>
  </si>
  <si>
    <t>INE314A01017</t>
  </si>
  <si>
    <t>(b) Unlisted</t>
  </si>
  <si>
    <t>INE256A04014</t>
  </si>
  <si>
    <t>Axis Bank Ltd (23/02/2015) ** #</t>
  </si>
  <si>
    <t>INE238A16VV8</t>
  </si>
  <si>
    <t>Indusind Bank Ltd (23/02/2015) ** #</t>
  </si>
  <si>
    <t>INE095A16MG2</t>
  </si>
  <si>
    <t>ICRA A1+</t>
  </si>
  <si>
    <t>Oriental Bank of Commerce (20/02/2015) ** #</t>
  </si>
  <si>
    <t>INE141A16OL0</t>
  </si>
  <si>
    <t>Commercial Paper</t>
  </si>
  <si>
    <t>Tata Capital Ltd (23/02/2015) ** #</t>
  </si>
  <si>
    <t>INE976I1DUMY</t>
  </si>
  <si>
    <t>Others</t>
  </si>
  <si>
    <t>Mutual Fund Units</t>
  </si>
  <si>
    <t>Mirae Asset Cash Management Fund - DIRECT GROWTH</t>
  </si>
  <si>
    <t>INF769K01CM1</t>
  </si>
  <si>
    <t>Mirae Asset India China Consumption Fund</t>
  </si>
  <si>
    <t>ITC Ltd</t>
  </si>
  <si>
    <t>INE154A01025</t>
  </si>
  <si>
    <t>Housing Development Finance Corporation Ltd</t>
  </si>
  <si>
    <t>INE001A01036</t>
  </si>
  <si>
    <t>Tata Motors Ltd</t>
  </si>
  <si>
    <t>IN9155A01020</t>
  </si>
  <si>
    <t>Bharti Airtel Ltd</t>
  </si>
  <si>
    <t>INE397D01024</t>
  </si>
  <si>
    <t>Telecom - Services</t>
  </si>
  <si>
    <t>Maruti Suzuki India Ltd</t>
  </si>
  <si>
    <t>INE585B01010</t>
  </si>
  <si>
    <t>Galaxy Entertainment Group Ltd</t>
  </si>
  <si>
    <t>HK0027032686</t>
  </si>
  <si>
    <t>Casinos &amp; Gaming</t>
  </si>
  <si>
    <t>Tencent Holdings</t>
  </si>
  <si>
    <t>KYG875721485</t>
  </si>
  <si>
    <t>Internet Software &amp; Services</t>
  </si>
  <si>
    <t>China Mobile</t>
  </si>
  <si>
    <t>HK0941009539</t>
  </si>
  <si>
    <t>Wireless Telecommunication Services</t>
  </si>
  <si>
    <t>Sun Art Retail Group Ltd</t>
  </si>
  <si>
    <t>HK0000083920</t>
  </si>
  <si>
    <t>Hypermarkets and Supercenters</t>
  </si>
  <si>
    <t>Prada Spa</t>
  </si>
  <si>
    <t>IT0003874101</t>
  </si>
  <si>
    <t>Apparel, Accessories and Luxury Goods</t>
  </si>
  <si>
    <t>Samsonite  International  S A</t>
  </si>
  <si>
    <t>LU0633102719</t>
  </si>
  <si>
    <t>Hengan International Group Co Ltd</t>
  </si>
  <si>
    <t>KYG4402L1510</t>
  </si>
  <si>
    <t>Personal Products</t>
  </si>
  <si>
    <t>United Spirits Ltd</t>
  </si>
  <si>
    <t>INE854D01016</t>
  </si>
  <si>
    <t>Tingyi (Cayman Islands) Holdings Corp</t>
  </si>
  <si>
    <t>KYG8878S1030</t>
  </si>
  <si>
    <t>Packaged Foods &amp; Meats</t>
  </si>
  <si>
    <t>Brilliance China Automotive Holdings Ltd</t>
  </si>
  <si>
    <t>BMG1368B1028</t>
  </si>
  <si>
    <t>Automobile Manufacturers</t>
  </si>
  <si>
    <t>Nestle India Ltd</t>
  </si>
  <si>
    <t>INE239A01016</t>
  </si>
  <si>
    <t>Ind &amp; Comm Bk - H</t>
  </si>
  <si>
    <t>CNE1000003G1</t>
  </si>
  <si>
    <t>Diversified Banks</t>
  </si>
  <si>
    <t>China Construct BK-H</t>
  </si>
  <si>
    <t>CNE1000002H1</t>
  </si>
  <si>
    <t>Shandong Weigao Gr Medical Polymerco Ltd</t>
  </si>
  <si>
    <t>CNE100000171</t>
  </si>
  <si>
    <t>Health Care Supplies</t>
  </si>
  <si>
    <t>Mirae Asset China Advantage Fund</t>
  </si>
  <si>
    <t>Industry / Rating</t>
  </si>
  <si>
    <t>International  Mutual Fund Units</t>
  </si>
  <si>
    <t>Mirae Asset China Sector Leader Eq Class X Cap USD</t>
  </si>
  <si>
    <t>LU0587760769</t>
  </si>
  <si>
    <t>Mirae Asset Global Commodity Stocks Fund</t>
  </si>
  <si>
    <t>Reliance Industries Ltd</t>
  </si>
  <si>
    <t>INE002A01018</t>
  </si>
  <si>
    <t>BHP Billiton Ltd</t>
  </si>
  <si>
    <t>AU000000BHP4</t>
  </si>
  <si>
    <t>Diversified Metals &amp; Mining</t>
  </si>
  <si>
    <t>Oil &amp; Natural Gas Corporation Ltd</t>
  </si>
  <si>
    <t>INE213A01029</t>
  </si>
  <si>
    <t>Rio Tinto Ltd</t>
  </si>
  <si>
    <t>AU000000RIO1</t>
  </si>
  <si>
    <t>Petrochina Company Ltd</t>
  </si>
  <si>
    <t>CNE1000003W8</t>
  </si>
  <si>
    <t>Integrated Oil &amp; Gas</t>
  </si>
  <si>
    <t>Cnooc Ltd</t>
  </si>
  <si>
    <t>HK0883013259</t>
  </si>
  <si>
    <t>Oil &amp; Gas Exploration &amp; Production</t>
  </si>
  <si>
    <t>China Petroleum -H-</t>
  </si>
  <si>
    <t>CNE1000002Q2</t>
  </si>
  <si>
    <t>Woodside Petroleum Ltd</t>
  </si>
  <si>
    <t>AU000000WPL2</t>
  </si>
  <si>
    <t>POSCO (Pohang Iron &amp; Steel Co Ltd )</t>
  </si>
  <si>
    <t>KR7005490008</t>
  </si>
  <si>
    <t>Steel</t>
  </si>
  <si>
    <t>Sesa Sterlite Ltd</t>
  </si>
  <si>
    <t>INE205A01025</t>
  </si>
  <si>
    <t>Origin Energy Ltd</t>
  </si>
  <si>
    <t>AU000000ORG5</t>
  </si>
  <si>
    <t>Tata Steel Ltd</t>
  </si>
  <si>
    <t>INE081A01012</t>
  </si>
  <si>
    <t>Ferrous Metals</t>
  </si>
  <si>
    <t>Santos Ltd-AUD</t>
  </si>
  <si>
    <t>AU000000STO6</t>
  </si>
  <si>
    <t>Coal India Ltd</t>
  </si>
  <si>
    <t>INE522F01014</t>
  </si>
  <si>
    <t>SK Innovation Co Ltd</t>
  </si>
  <si>
    <t>KR7096770003</t>
  </si>
  <si>
    <t>Oil &amp; Gas Refining &amp; Marketing</t>
  </si>
  <si>
    <t>LG Chemicals Ltd</t>
  </si>
  <si>
    <t>KR7051910008</t>
  </si>
  <si>
    <t>Commodity Chemicals</t>
  </si>
  <si>
    <t>Hindalco Industries Ltd</t>
  </si>
  <si>
    <t>INE038A01020</t>
  </si>
  <si>
    <t>Non - Ferrous Metals</t>
  </si>
  <si>
    <t>China Shenhua - H</t>
  </si>
  <si>
    <t>CNE1000002R0</t>
  </si>
  <si>
    <t>Coal &amp; Consumable Fuels</t>
  </si>
  <si>
    <t>AMCOR LIMITED</t>
  </si>
  <si>
    <t>AU000000AMC4</t>
  </si>
  <si>
    <t>Paper Packaging</t>
  </si>
  <si>
    <t>Kunlun Energy Company Ltd</t>
  </si>
  <si>
    <t>BMG5320C1082</t>
  </si>
  <si>
    <t>FORTESCUE METALS GROUP LTD</t>
  </si>
  <si>
    <t>AU000000FMG4</t>
  </si>
  <si>
    <t>Orica Ltd</t>
  </si>
  <si>
    <t>AU000000ORI1</t>
  </si>
  <si>
    <t>Oil Search Ltd</t>
  </si>
  <si>
    <t>PG0008579883</t>
  </si>
  <si>
    <t>Cairn India Ltd</t>
  </si>
  <si>
    <t>INE910H01017</t>
  </si>
  <si>
    <t>Anhui Conch -H-</t>
  </si>
  <si>
    <t>CNE1000001W2</t>
  </si>
  <si>
    <t>Construction Materials</t>
  </si>
  <si>
    <t>Bharat Petroleum Corporation Ltd</t>
  </si>
  <si>
    <t>INE029A01011</t>
  </si>
  <si>
    <t>PT Semen Gresik ( Persero) TBK</t>
  </si>
  <si>
    <t>ID1000106800</t>
  </si>
  <si>
    <t>Jiangxi Copper Company Ltd</t>
  </si>
  <si>
    <t>CNE1000003K3</t>
  </si>
  <si>
    <t>China National Building Materia Ltd</t>
  </si>
  <si>
    <t>CNE1000002N9</t>
  </si>
  <si>
    <t>Orora Ltd</t>
  </si>
  <si>
    <t>AU000000ORA8</t>
  </si>
  <si>
    <t>NIL</t>
  </si>
  <si>
    <t>Mirae Asset India Opportunities Fund</t>
  </si>
  <si>
    <t>Infosys Ltd</t>
  </si>
  <si>
    <t>INE009A01021</t>
  </si>
  <si>
    <t>HDFC Bank Ltd</t>
  </si>
  <si>
    <t>INE040A01026</t>
  </si>
  <si>
    <t>Tata Consultancy Services Ltd</t>
  </si>
  <si>
    <t>INE467B01029</t>
  </si>
  <si>
    <t>Larsen &amp; Toubro Ltd</t>
  </si>
  <si>
    <t>INE018A01030</t>
  </si>
  <si>
    <t>Construction Project</t>
  </si>
  <si>
    <t>State Bank of India</t>
  </si>
  <si>
    <t>INE062A01012</t>
  </si>
  <si>
    <t>Sun Pharmaceuticals Industries Ltd</t>
  </si>
  <si>
    <t>INE044A01036</t>
  </si>
  <si>
    <t>Axis Bank Ltd</t>
  </si>
  <si>
    <t>INE238A01026</t>
  </si>
  <si>
    <t>Dr. Reddy's Laboratories Ltd</t>
  </si>
  <si>
    <t>INE089A01023</t>
  </si>
  <si>
    <t>INE155A01022</t>
  </si>
  <si>
    <t>Cipla Ltd</t>
  </si>
  <si>
    <t>INE059A01026</t>
  </si>
  <si>
    <t>MIRAE ASSET FIXED MAT PLAN Sr I 368 day Dir Growth</t>
  </si>
  <si>
    <t>INF769K01CV2</t>
  </si>
  <si>
    <t>Mirae Asset Ultra Short Term Bond Fund</t>
  </si>
  <si>
    <t>State Bank of Patiala (08/09/2014) ** #</t>
  </si>
  <si>
    <t>INE652A16HP1</t>
  </si>
  <si>
    <t>Corporation Bank (25/08/2014) ** #</t>
  </si>
  <si>
    <t>INE112A16DY7</t>
  </si>
  <si>
    <t>Indian Bank (25/03/2015) ** #</t>
  </si>
  <si>
    <t>INE562A16FR2</t>
  </si>
  <si>
    <t>Mirae Asset Short Term Bond Fund</t>
  </si>
  <si>
    <t>Oriental Bank of Commerce (03/03/2015) ** #</t>
  </si>
  <si>
    <t>INE141A16OQ9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</si>
  <si>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</si>
  <si>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</si>
  <si>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</si>
  <si>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</si>
  <si>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</si>
  <si>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</si>
  <si>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</si>
  <si>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India Equity Share*</t>
  </si>
  <si>
    <t>FOREIGN SECURITIES/OVERSEAS ETFS@@</t>
  </si>
  <si>
    <t>International Equity Shares</t>
  </si>
  <si>
    <t>* Industry classification as recommended by AMFI.</t>
  </si>
  <si>
    <t>@@ Industry Classification as per GICS Sub-Industry Classification</t>
  </si>
  <si>
    <t>Industry*</t>
  </si>
  <si>
    <t>Zee Entertainment Enterprises Ltd (Preference Share)</t>
  </si>
  <si>
    <t>Tata Motors Ltd DVR Shares</t>
  </si>
  <si>
    <t xml:space="preserve">Zee Entertainment Enterprises Ltd (Preference Share) </t>
  </si>
  <si>
    <t>(An Open - Ended Liquid Scheme)</t>
  </si>
  <si>
    <t>Average maturity in days</t>
  </si>
  <si>
    <t>Portfolio Turnover Ratio^</t>
  </si>
  <si>
    <t>^Basis last rolling 12 month</t>
  </si>
  <si>
    <t xml:space="preserve"> (An Open - Ended Equity Fund)</t>
  </si>
  <si>
    <t>MIRAE ASSET FIXED MATURITY PLAN - SERIES I-368 DAYS</t>
  </si>
  <si>
    <t xml:space="preserve"> (An Closed - Ended Debt Scheme)</t>
  </si>
  <si>
    <t>(An Open - Ended Equity Oriented Scheme)</t>
  </si>
  <si>
    <t>(An Open - Ended Fund of Funds Scheme)</t>
  </si>
  <si>
    <r>
      <t>Industry</t>
    </r>
    <r>
      <rPr>
        <sz val="9"/>
        <rFont val="Tahoma"/>
        <family val="2"/>
      </rPr>
      <t>*</t>
    </r>
  </si>
  <si>
    <t>(An Open - Ended Debt Scheme)</t>
  </si>
  <si>
    <t xml:space="preserve"> (An Open -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</si>
</sst>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(#,##0.00\)"/>
    <numFmt numFmtId="165" formatCode="#,##0.000000"/>
  </numFmts>
  <fonts count="13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b/>
      <sz val="9"/>
      <color indexed="72"/>
      <name val="Tahoma"/>
      <family val="2"/>
    </font>
    <font>
      <sz val="9"/>
      <color indexed="72"/>
      <name val="Tahoma"/>
      <family val="2"/>
    </font>
    <font>
      <b/>
      <sz val="9"/>
      <name val="Tahoma"/>
      <family val="2"/>
    </font>
    <font>
      <sz val="9"/>
      <color indexed="9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b/>
      <sz val="15"/>
      <name val="Tahoma"/>
      <family val="2"/>
    </font>
    <font>
      <b/>
      <sz val="14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10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10" fontId="0" fillId="0" borderId="0" xfId="0" applyNumberFormat="1" applyFont="1" applyFill="1" applyBorder="1" applyAlignment="1"/>
    <xf numFmtId="0" fontId="4" fillId="0" borderId="1" xfId="1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/>
    <xf numFmtId="4" fontId="8" fillId="0" borderId="0" xfId="0" applyNumberFormat="1" applyFont="1" applyFill="1" applyBorder="1" applyAlignment="1" applyProtection="1">
      <alignment horizontal="left" vertical="top" wrapText="1"/>
    </xf>
    <xf numFmtId="10" fontId="8" fillId="0" borderId="0" xfId="0" applyNumberFormat="1" applyFont="1" applyFill="1" applyBorder="1" applyAlignment="1" applyProtection="1">
      <alignment horizontal="left" vertical="top" wrapText="1"/>
    </xf>
    <xf numFmtId="4" fontId="8" fillId="0" borderId="0" xfId="0" applyNumberFormat="1" applyFont="1" applyFill="1" applyBorder="1" applyAlignment="1"/>
    <xf numFmtId="10" fontId="8" fillId="0" borderId="0" xfId="0" applyNumberFormat="1" applyFont="1" applyFill="1" applyBorder="1" applyAlignment="1"/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Border="1"/>
    <xf numFmtId="4" fontId="4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Border="1"/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3" fontId="5" fillId="0" borderId="2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left" vertical="top" wrapText="1"/>
    </xf>
    <xf numFmtId="0" fontId="9" fillId="0" borderId="1" xfId="0" applyFont="1" applyBorder="1"/>
    <xf numFmtId="10" fontId="4" fillId="0" borderId="3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/>
    <xf numFmtId="0" fontId="6" fillId="0" borderId="3" xfId="0" applyNumberFormat="1" applyFont="1" applyFill="1" applyBorder="1" applyAlignment="1" applyProtection="1">
      <alignment horizontal="center" vertical="center" wrapText="1"/>
    </xf>
    <xf numFmtId="10" fontId="8" fillId="0" borderId="3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10" fontId="5" fillId="0" borderId="3" xfId="0" applyNumberFormat="1" applyFont="1" applyFill="1" applyBorder="1" applyAlignment="1" applyProtection="1">
      <alignment horizontal="right" vertical="top" wrapText="1"/>
    </xf>
    <xf numFmtId="10" fontId="4" fillId="0" borderId="3" xfId="0" applyNumberFormat="1" applyFont="1" applyFill="1" applyBorder="1" applyAlignment="1" applyProtection="1">
      <alignment horizontal="right" vertical="top" wrapText="1"/>
    </xf>
    <xf numFmtId="10" fontId="5" fillId="0" borderId="3" xfId="0" applyNumberFormat="1" applyFont="1" applyFill="1" applyBorder="1" applyAlignment="1" applyProtection="1">
      <alignment horizontal="left" vertical="top" wrapText="1"/>
    </xf>
    <xf numFmtId="0" fontId="9" fillId="0" borderId="5" xfId="0" applyFont="1" applyBorder="1"/>
    <xf numFmtId="0" fontId="9" fillId="0" borderId="6" xfId="0" applyFont="1" applyBorder="1"/>
    <xf numFmtId="0" fontId="4" fillId="0" borderId="6" xfId="0" applyNumberFormat="1" applyFont="1" applyFill="1" applyBorder="1" applyAlignment="1" applyProtection="1">
      <alignment horizontal="center" vertical="center" wrapText="1"/>
    </xf>
    <xf numFmtId="4" fontId="4" fillId="0" borderId="6" xfId="0" applyNumberFormat="1" applyFont="1" applyFill="1" applyBorder="1" applyAlignment="1" applyProtection="1">
      <alignment horizontal="center" vertical="center" wrapText="1"/>
    </xf>
    <xf numFmtId="1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8" xfId="0" applyNumberFormat="1" applyFont="1" applyFill="1" applyBorder="1" applyAlignment="1" applyProtection="1">
      <alignment horizontal="left" vertical="center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4" fontId="4" fillId="0" borderId="12" xfId="0" applyNumberFormat="1" applyFont="1" applyFill="1" applyBorder="1" applyAlignment="1" applyProtection="1">
      <alignment horizontal="right" vertical="top" wrapText="1"/>
    </xf>
    <xf numFmtId="10" fontId="4" fillId="0" borderId="13" xfId="0" applyNumberFormat="1" applyFont="1" applyFill="1" applyBorder="1" applyAlignment="1" applyProtection="1">
      <alignment horizontal="righ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4" fontId="4" fillId="0" borderId="15" xfId="0" applyNumberFormat="1" applyFont="1" applyFill="1" applyBorder="1" applyAlignment="1" applyProtection="1">
      <alignment horizontal="right" vertical="top" wrapText="1"/>
    </xf>
    <xf numFmtId="10" fontId="4" fillId="0" borderId="16" xfId="0" applyNumberFormat="1" applyFont="1" applyFill="1" applyBorder="1" applyAlignment="1" applyProtection="1">
      <alignment horizontal="right" vertical="top" wrapText="1"/>
    </xf>
    <xf numFmtId="0" fontId="9" fillId="0" borderId="4" xfId="1" applyNumberFormat="1" applyFont="1" applyFill="1" applyBorder="1" applyAlignment="1" applyProtection="1">
      <alignment horizontal="center" wrapText="1"/>
    </xf>
    <xf numFmtId="2" fontId="4" fillId="0" borderId="23" xfId="1" applyNumberFormat="1" applyFont="1" applyFill="1" applyBorder="1" applyAlignment="1" applyProtection="1">
      <alignment horizontal="center" vertical="top" wrapText="1"/>
    </xf>
    <xf numFmtId="165" fontId="8" fillId="0" borderId="0" xfId="0" applyNumberFormat="1" applyFont="1" applyFill="1" applyBorder="1" applyAlignment="1"/>
    <xf numFmtId="10" fontId="6" fillId="0" borderId="3" xfId="0" applyNumberFormat="1" applyFont="1" applyFill="1" applyBorder="1" applyAlignment="1" applyProtection="1">
      <alignment horizontal="right" vertical="top" wrapText="1"/>
    </xf>
    <xf numFmtId="4" fontId="4" fillId="0" borderId="3" xfId="0" applyNumberFormat="1" applyFont="1" applyFill="1" applyBorder="1" applyAlignment="1" applyProtection="1">
      <alignment horizontal="right" vertical="top" wrapText="1"/>
    </xf>
    <xf numFmtId="10" fontId="8" fillId="0" borderId="3" xfId="0" applyNumberFormat="1" applyFont="1" applyFill="1" applyBorder="1" applyAlignment="1" applyProtection="1">
      <alignment horizontal="righ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0" fontId="6" fillId="0" borderId="24" xfId="0" applyNumberFormat="1" applyFont="1" applyFill="1" applyBorder="1" applyAlignment="1" applyProtection="1">
      <alignment horizontal="left" vertical="top" wrapText="1"/>
    </xf>
    <xf numFmtId="2" fontId="6" fillId="0" borderId="4" xfId="0" applyNumberFormat="1" applyFont="1" applyFill="1" applyBorder="1" applyAlignment="1" applyProtection="1">
      <alignment horizontal="center" vertical="top" wrapText="1"/>
    </xf>
    <xf numFmtId="0" fontId="9" fillId="0" borderId="4" xfId="0" applyNumberFormat="1" applyFont="1" applyFill="1" applyBorder="1" applyAlignment="1" applyProtection="1">
      <alignment horizontal="center" wrapText="1"/>
    </xf>
    <xf numFmtId="2" fontId="4" fillId="0" borderId="23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/>
    <xf numFmtId="0" fontId="6" fillId="0" borderId="1" xfId="0" applyFont="1" applyBorder="1"/>
    <xf numFmtId="0" fontId="6" fillId="0" borderId="2" xfId="0" applyNumberFormat="1" applyFont="1" applyFill="1" applyBorder="1" applyAlignment="1" applyProtection="1">
      <alignment horizontal="lef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center" wrapText="1"/>
    </xf>
    <xf numFmtId="0" fontId="4" fillId="0" borderId="6" xfId="0" applyNumberFormat="1" applyFont="1" applyFill="1" applyBorder="1" applyAlignment="1" applyProtection="1">
      <alignment horizontal="left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4" fillId="0" borderId="4" xfId="0" applyNumberFormat="1" applyFont="1" applyFill="1" applyBorder="1" applyAlignment="1" applyProtection="1">
      <alignment horizontal="center" vertical="top" wrapText="1"/>
    </xf>
    <xf numFmtId="0" fontId="12" fillId="0" borderId="1" xfId="0" applyFont="1" applyBorder="1"/>
    <xf numFmtId="0" fontId="9" fillId="0" borderId="2" xfId="0" applyNumberFormat="1" applyFont="1" applyFill="1" applyBorder="1" applyAlignment="1" applyProtection="1">
      <alignment horizontal="right" vertical="center" wrapText="1"/>
    </xf>
    <xf numFmtId="0" fontId="9" fillId="0" borderId="3" xfId="0" applyNumberFormat="1" applyFont="1" applyFill="1" applyBorder="1" applyAlignment="1" applyProtection="1">
      <alignment horizontal="right" vertical="center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4" fontId="8" fillId="0" borderId="2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top" wrapText="1"/>
    </xf>
    <xf numFmtId="0" fontId="10" fillId="0" borderId="18" xfId="0" applyNumberFormat="1" applyFont="1" applyFill="1" applyBorder="1" applyAlignment="1" applyProtection="1">
      <alignment horizontal="center" vertical="top" wrapText="1"/>
    </xf>
    <xf numFmtId="0" fontId="10" fillId="0" borderId="19" xfId="0" applyNumberFormat="1" applyFont="1" applyFill="1" applyBorder="1" applyAlignment="1" applyProtection="1">
      <alignment horizontal="center" vertical="top" wrapText="1"/>
    </xf>
    <xf numFmtId="0" fontId="4" fillId="0" borderId="20" xfId="0" applyNumberFormat="1" applyFont="1" applyFill="1" applyBorder="1" applyAlignment="1" applyProtection="1">
      <alignment horizontal="center" vertical="top" wrapText="1"/>
    </xf>
    <xf numFmtId="0" fontId="4" fillId="0" borderId="21" xfId="0" applyNumberFormat="1" applyFont="1" applyFill="1" applyBorder="1" applyAlignment="1" applyProtection="1">
      <alignment horizontal="center" vertical="top" wrapText="1"/>
    </xf>
    <xf numFmtId="0" fontId="4" fillId="0" borderId="22" xfId="0" applyNumberFormat="1" applyFont="1" applyFill="1" applyBorder="1" applyAlignment="1" applyProtection="1">
      <alignment horizontal="center" vertical="top" wrapText="1"/>
    </xf>
    <xf numFmtId="0" fontId="10" fillId="0" borderId="17" xfId="1" applyNumberFormat="1" applyFont="1" applyFill="1" applyBorder="1" applyAlignment="1" applyProtection="1">
      <alignment horizontal="center" vertical="top" wrapText="1"/>
    </xf>
    <xf numFmtId="0" fontId="10" fillId="0" borderId="18" xfId="1" applyNumberFormat="1" applyFont="1" applyFill="1" applyBorder="1" applyAlignment="1" applyProtection="1">
      <alignment horizontal="center" vertical="top" wrapText="1"/>
    </xf>
    <xf numFmtId="0" fontId="10" fillId="0" borderId="19" xfId="1" applyNumberFormat="1" applyFont="1" applyFill="1" applyBorder="1" applyAlignment="1" applyProtection="1">
      <alignment horizontal="center" vertical="top" wrapText="1"/>
    </xf>
    <xf numFmtId="0" fontId="4" fillId="0" borderId="20" xfId="1" applyNumberFormat="1" applyFont="1" applyFill="1" applyBorder="1" applyAlignment="1" applyProtection="1">
      <alignment horizontal="center" vertical="top" wrapText="1"/>
    </xf>
    <xf numFmtId="0" fontId="4" fillId="0" borderId="21" xfId="1" applyNumberFormat="1" applyFont="1" applyFill="1" applyBorder="1" applyAlignment="1" applyProtection="1">
      <alignment horizontal="center" vertical="top" wrapText="1"/>
    </xf>
    <xf numFmtId="0" fontId="4" fillId="0" borderId="22" xfId="1" applyNumberFormat="1" applyFont="1" applyFill="1" applyBorder="1" applyAlignment="1" applyProtection="1">
      <alignment horizontal="center" vertical="top" wrapText="1"/>
    </xf>
    <xf numFmtId="0" fontId="11" fillId="0" borderId="17" xfId="0" applyNumberFormat="1" applyFont="1" applyFill="1" applyBorder="1" applyAlignment="1" applyProtection="1">
      <alignment horizontal="center" vertical="top" wrapText="1"/>
    </xf>
    <xf numFmtId="0" fontId="11" fillId="0" borderId="18" xfId="0" applyNumberFormat="1" applyFont="1" applyFill="1" applyBorder="1" applyAlignment="1" applyProtection="1">
      <alignment horizontal="center" vertical="top" wrapText="1"/>
    </xf>
    <xf numFmtId="0" fontId="11" fillId="0" borderId="19" xfId="0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showGridLines="0" tabSelected="1" zoomScaleNormal="100" workbookViewId="0">
      <selection activeCell="C92" sqref="C92"/>
    </sheetView>
  </sheetViews>
  <sheetFormatPr defaultRowHeight="11.25"/>
  <cols>
    <col min="1" max="1" width="11.42578125" style="11" bestFit="1" customWidth="1"/>
    <col min="2" max="2" width="48.85546875" style="11" customWidth="1"/>
    <col min="3" max="4" width="21.5703125" style="11" customWidth="1"/>
    <col min="5" max="7" width="17.85546875" style="11" customWidth="1"/>
    <col min="8" max="16384" width="9.140625" style="11"/>
  </cols>
  <sheetData>
    <row r="1" spans="1:7" ht="18.75">
      <c r="A1" s="10"/>
      <c r="B1" s="89" t="s">
        <v>318</v>
      </c>
      <c r="C1" s="90"/>
      <c r="D1" s="90"/>
      <c r="E1" s="90"/>
      <c r="F1" s="90"/>
      <c r="G1" s="91"/>
    </row>
    <row r="2" spans="1:7" ht="12" thickBot="1">
      <c r="A2" s="10"/>
      <c r="B2" s="92" t="s">
        <v>374</v>
      </c>
      <c r="C2" s="93"/>
      <c r="D2" s="93"/>
      <c r="E2" s="93"/>
      <c r="F2" s="93"/>
      <c r="G2" s="94"/>
    </row>
    <row r="3" spans="1:7">
      <c r="A3" s="10"/>
      <c r="B3" s="6" t="s">
        <v>1</v>
      </c>
      <c r="C3" s="10"/>
      <c r="D3" s="10"/>
      <c r="E3" s="10"/>
      <c r="F3" s="10"/>
      <c r="G3" s="10"/>
    </row>
    <row r="4" spans="1:7" ht="12" thickBot="1">
      <c r="A4" s="7"/>
      <c r="B4" s="5" t="s">
        <v>2</v>
      </c>
      <c r="C4" s="10"/>
      <c r="D4" s="10"/>
      <c r="E4" s="10"/>
      <c r="F4" s="10"/>
      <c r="G4" s="10"/>
    </row>
    <row r="5" spans="1:7" ht="23.25" thickBot="1">
      <c r="A5" s="10"/>
      <c r="B5" s="45" t="s">
        <v>3</v>
      </c>
      <c r="C5" s="46" t="s">
        <v>4</v>
      </c>
      <c r="D5" s="47" t="s">
        <v>376</v>
      </c>
      <c r="E5" s="47" t="s">
        <v>6</v>
      </c>
      <c r="F5" s="47" t="s">
        <v>7</v>
      </c>
      <c r="G5" s="48" t="s">
        <v>8</v>
      </c>
    </row>
    <row r="6" spans="1:7">
      <c r="A6" s="10"/>
      <c r="B6" s="63" t="s">
        <v>34</v>
      </c>
      <c r="C6" s="64" t="s">
        <v>1</v>
      </c>
      <c r="D6" s="64" t="s">
        <v>1</v>
      </c>
      <c r="E6" s="64" t="s">
        <v>1</v>
      </c>
      <c r="F6" s="64" t="s">
        <v>1</v>
      </c>
      <c r="G6" s="65" t="s">
        <v>1</v>
      </c>
    </row>
    <row r="7" spans="1:7">
      <c r="A7" s="10"/>
      <c r="B7" s="34" t="s">
        <v>35</v>
      </c>
      <c r="C7" s="24" t="s">
        <v>1</v>
      </c>
      <c r="D7" s="24" t="s">
        <v>1</v>
      </c>
      <c r="E7" s="24" t="s">
        <v>1</v>
      </c>
      <c r="F7" s="24" t="s">
        <v>1</v>
      </c>
      <c r="G7" s="35" t="s">
        <v>1</v>
      </c>
    </row>
    <row r="8" spans="1:7">
      <c r="A8" s="8"/>
      <c r="B8" s="36" t="s">
        <v>53</v>
      </c>
      <c r="C8" s="24" t="s">
        <v>54</v>
      </c>
      <c r="D8" s="24" t="s">
        <v>38</v>
      </c>
      <c r="E8" s="25">
        <v>237800</v>
      </c>
      <c r="F8" s="26">
        <v>2960.7289000000001</v>
      </c>
      <c r="G8" s="37">
        <v>7.1148510564773587E-2</v>
      </c>
    </row>
    <row r="9" spans="1:7">
      <c r="A9" s="8"/>
      <c r="B9" s="36" t="s">
        <v>319</v>
      </c>
      <c r="C9" s="24" t="s">
        <v>320</v>
      </c>
      <c r="D9" s="24" t="s">
        <v>41</v>
      </c>
      <c r="E9" s="25">
        <v>85453</v>
      </c>
      <c r="F9" s="26">
        <v>2805.251084</v>
      </c>
      <c r="G9" s="37">
        <v>6.7412263374338852E-2</v>
      </c>
    </row>
    <row r="10" spans="1:7">
      <c r="A10" s="8"/>
      <c r="B10" s="36" t="s">
        <v>321</v>
      </c>
      <c r="C10" s="24" t="s">
        <v>322</v>
      </c>
      <c r="D10" s="24" t="s">
        <v>38</v>
      </c>
      <c r="E10" s="25">
        <v>272000</v>
      </c>
      <c r="F10" s="26">
        <v>2036.7360000000001</v>
      </c>
      <c r="G10" s="37">
        <v>4.8944276125265876E-2</v>
      </c>
    </row>
    <row r="11" spans="1:7">
      <c r="A11" s="8"/>
      <c r="B11" s="36" t="s">
        <v>191</v>
      </c>
      <c r="C11" s="24" t="s">
        <v>192</v>
      </c>
      <c r="D11" s="24" t="s">
        <v>65</v>
      </c>
      <c r="E11" s="25">
        <v>546000</v>
      </c>
      <c r="F11" s="26">
        <v>1926.5609999999999</v>
      </c>
      <c r="G11" s="37">
        <v>4.6296689191023456E-2</v>
      </c>
    </row>
    <row r="12" spans="1:7">
      <c r="A12" s="8"/>
      <c r="B12" s="36" t="s">
        <v>193</v>
      </c>
      <c r="C12" s="24" t="s">
        <v>194</v>
      </c>
      <c r="D12" s="24" t="s">
        <v>52</v>
      </c>
      <c r="E12" s="25">
        <v>201275</v>
      </c>
      <c r="F12" s="26">
        <v>1779.0697250000001</v>
      </c>
      <c r="G12" s="37">
        <v>4.2752364502076277E-2</v>
      </c>
    </row>
    <row r="13" spans="1:7">
      <c r="A13" s="8"/>
      <c r="B13" s="36" t="s">
        <v>246</v>
      </c>
      <c r="C13" s="24" t="s">
        <v>247</v>
      </c>
      <c r="D13" s="24" t="s">
        <v>70</v>
      </c>
      <c r="E13" s="25">
        <v>158900</v>
      </c>
      <c r="F13" s="26">
        <v>1478.9617499999999</v>
      </c>
      <c r="G13" s="37">
        <v>3.5540547361418678E-2</v>
      </c>
    </row>
    <row r="14" spans="1:7">
      <c r="A14" s="8"/>
      <c r="B14" s="36" t="s">
        <v>323</v>
      </c>
      <c r="C14" s="24" t="s">
        <v>324</v>
      </c>
      <c r="D14" s="24" t="s">
        <v>41</v>
      </c>
      <c r="E14" s="25">
        <v>62700</v>
      </c>
      <c r="F14" s="26">
        <v>1337.48505</v>
      </c>
      <c r="G14" s="37">
        <v>3.214075736895456E-2</v>
      </c>
    </row>
    <row r="15" spans="1:7">
      <c r="A15" s="8"/>
      <c r="B15" s="36" t="s">
        <v>325</v>
      </c>
      <c r="C15" s="24" t="s">
        <v>326</v>
      </c>
      <c r="D15" s="24" t="s">
        <v>327</v>
      </c>
      <c r="E15" s="25">
        <v>98250</v>
      </c>
      <c r="F15" s="26">
        <v>1249.64175</v>
      </c>
      <c r="G15" s="37">
        <v>3.0029817742535346E-2</v>
      </c>
    </row>
    <row r="16" spans="1:7">
      <c r="A16" s="8"/>
      <c r="B16" s="36" t="s">
        <v>197</v>
      </c>
      <c r="C16" s="24" t="s">
        <v>198</v>
      </c>
      <c r="D16" s="24" t="s">
        <v>199</v>
      </c>
      <c r="E16" s="25">
        <v>362291</v>
      </c>
      <c r="F16" s="26">
        <v>1151.1796525</v>
      </c>
      <c r="G16" s="37">
        <v>2.7663700539366721E-2</v>
      </c>
    </row>
    <row r="17" spans="1:7">
      <c r="A17" s="8"/>
      <c r="B17" s="36" t="s">
        <v>47</v>
      </c>
      <c r="C17" s="24" t="s">
        <v>48</v>
      </c>
      <c r="D17" s="24" t="s">
        <v>49</v>
      </c>
      <c r="E17" s="25">
        <v>391365</v>
      </c>
      <c r="F17" s="26">
        <v>1000.1332575</v>
      </c>
      <c r="G17" s="37">
        <v>2.4033943681037524E-2</v>
      </c>
    </row>
    <row r="18" spans="1:7">
      <c r="A18" s="8"/>
      <c r="B18" s="36" t="s">
        <v>45</v>
      </c>
      <c r="C18" s="24" t="s">
        <v>46</v>
      </c>
      <c r="D18" s="24" t="s">
        <v>44</v>
      </c>
      <c r="E18" s="25">
        <v>72606</v>
      </c>
      <c r="F18" s="26">
        <v>991.72535400000004</v>
      </c>
      <c r="G18" s="37">
        <v>2.3831895526274908E-2</v>
      </c>
    </row>
    <row r="19" spans="1:7">
      <c r="A19" s="8"/>
      <c r="B19" s="36" t="s">
        <v>55</v>
      </c>
      <c r="C19" s="24" t="s">
        <v>56</v>
      </c>
      <c r="D19" s="24" t="s">
        <v>49</v>
      </c>
      <c r="E19" s="25">
        <v>248429</v>
      </c>
      <c r="F19" s="26">
        <v>979.80397600000003</v>
      </c>
      <c r="G19" s="37">
        <v>2.3545415974371434E-2</v>
      </c>
    </row>
    <row r="20" spans="1:7">
      <c r="A20" s="8"/>
      <c r="B20" s="36" t="s">
        <v>365</v>
      </c>
      <c r="C20" s="24" t="s">
        <v>196</v>
      </c>
      <c r="D20" s="24" t="s">
        <v>76</v>
      </c>
      <c r="E20" s="25">
        <v>477550</v>
      </c>
      <c r="F20" s="26">
        <v>966.56119999999999</v>
      </c>
      <c r="G20" s="37">
        <v>2.3227182248837519E-2</v>
      </c>
    </row>
    <row r="21" spans="1:7">
      <c r="A21" s="8"/>
      <c r="B21" s="36" t="s">
        <v>328</v>
      </c>
      <c r="C21" s="24" t="s">
        <v>329</v>
      </c>
      <c r="D21" s="24" t="s">
        <v>38</v>
      </c>
      <c r="E21" s="25">
        <v>46300</v>
      </c>
      <c r="F21" s="26">
        <v>887.89509999999996</v>
      </c>
      <c r="G21" s="37">
        <v>2.1336777542435816E-2</v>
      </c>
    </row>
    <row r="22" spans="1:7">
      <c r="A22" s="8"/>
      <c r="B22" s="36" t="s">
        <v>68</v>
      </c>
      <c r="C22" s="24" t="s">
        <v>69</v>
      </c>
      <c r="D22" s="24" t="s">
        <v>70</v>
      </c>
      <c r="E22" s="25">
        <v>269500</v>
      </c>
      <c r="F22" s="26">
        <v>834.91099999999994</v>
      </c>
      <c r="G22" s="37">
        <v>2.0063530336784863E-2</v>
      </c>
    </row>
    <row r="23" spans="1:7">
      <c r="A23" s="8"/>
      <c r="B23" s="36" t="s">
        <v>200</v>
      </c>
      <c r="C23" s="24" t="s">
        <v>201</v>
      </c>
      <c r="D23" s="24" t="s">
        <v>76</v>
      </c>
      <c r="E23" s="25">
        <v>41950</v>
      </c>
      <c r="F23" s="26">
        <v>827.14912500000003</v>
      </c>
      <c r="G23" s="37">
        <v>1.9877006725845695E-2</v>
      </c>
    </row>
    <row r="24" spans="1:7">
      <c r="A24" s="8"/>
      <c r="B24" s="36" t="s">
        <v>57</v>
      </c>
      <c r="C24" s="24" t="s">
        <v>58</v>
      </c>
      <c r="D24" s="24" t="s">
        <v>59</v>
      </c>
      <c r="E24" s="25">
        <v>489289</v>
      </c>
      <c r="F24" s="26">
        <v>810.99651749999998</v>
      </c>
      <c r="G24" s="37">
        <v>1.948884759200457E-2</v>
      </c>
    </row>
    <row r="25" spans="1:7">
      <c r="A25" s="8"/>
      <c r="B25" s="36" t="s">
        <v>80</v>
      </c>
      <c r="C25" s="24" t="s">
        <v>81</v>
      </c>
      <c r="D25" s="24" t="s">
        <v>73</v>
      </c>
      <c r="E25" s="25">
        <v>293730</v>
      </c>
      <c r="F25" s="26">
        <v>797.03635499999996</v>
      </c>
      <c r="G25" s="37">
        <v>1.9153374537002065E-2</v>
      </c>
    </row>
    <row r="26" spans="1:7">
      <c r="A26" s="8"/>
      <c r="B26" s="36" t="s">
        <v>66</v>
      </c>
      <c r="C26" s="24" t="s">
        <v>67</v>
      </c>
      <c r="D26" s="24" t="s">
        <v>44</v>
      </c>
      <c r="E26" s="25">
        <v>77555</v>
      </c>
      <c r="F26" s="26">
        <v>794.89997249999999</v>
      </c>
      <c r="G26" s="37">
        <v>1.9102035681603433E-2</v>
      </c>
    </row>
    <row r="27" spans="1:7">
      <c r="A27" s="8"/>
      <c r="B27" s="36" t="s">
        <v>36</v>
      </c>
      <c r="C27" s="24" t="s">
        <v>37</v>
      </c>
      <c r="D27" s="24" t="s">
        <v>38</v>
      </c>
      <c r="E27" s="25">
        <v>810800</v>
      </c>
      <c r="F27" s="26">
        <v>776.34100000000001</v>
      </c>
      <c r="G27" s="37">
        <v>1.8656049812722432E-2</v>
      </c>
    </row>
    <row r="28" spans="1:7">
      <c r="A28" s="8"/>
      <c r="B28" s="36" t="s">
        <v>39</v>
      </c>
      <c r="C28" s="24" t="s">
        <v>40</v>
      </c>
      <c r="D28" s="24" t="s">
        <v>41</v>
      </c>
      <c r="E28" s="25">
        <v>40900</v>
      </c>
      <c r="F28" s="26">
        <v>734.29814999999996</v>
      </c>
      <c r="G28" s="37">
        <v>1.7645728956463626E-2</v>
      </c>
    </row>
    <row r="29" spans="1:7">
      <c r="A29" s="8"/>
      <c r="B29" s="36" t="s">
        <v>251</v>
      </c>
      <c r="C29" s="24" t="s">
        <v>252</v>
      </c>
      <c r="D29" s="24" t="s">
        <v>115</v>
      </c>
      <c r="E29" s="25">
        <v>226096</v>
      </c>
      <c r="F29" s="26">
        <v>720.56795199999999</v>
      </c>
      <c r="G29" s="37">
        <v>1.7315782118892842E-2</v>
      </c>
    </row>
    <row r="30" spans="1:7">
      <c r="A30" s="8"/>
      <c r="B30" s="36" t="s">
        <v>330</v>
      </c>
      <c r="C30" s="24" t="s">
        <v>331</v>
      </c>
      <c r="D30" s="24" t="s">
        <v>44</v>
      </c>
      <c r="E30" s="25">
        <v>102200</v>
      </c>
      <c r="F30" s="26">
        <v>587.39449999999999</v>
      </c>
      <c r="G30" s="37">
        <v>1.4115525331934275E-2</v>
      </c>
    </row>
    <row r="31" spans="1:7">
      <c r="A31" s="8"/>
      <c r="B31" s="36" t="s">
        <v>272</v>
      </c>
      <c r="C31" s="24" t="s">
        <v>273</v>
      </c>
      <c r="D31" s="24" t="s">
        <v>274</v>
      </c>
      <c r="E31" s="25">
        <v>146400</v>
      </c>
      <c r="F31" s="26">
        <v>576.74279999999999</v>
      </c>
      <c r="G31" s="37">
        <v>1.3859557083715805E-2</v>
      </c>
    </row>
    <row r="32" spans="1:7">
      <c r="A32" s="8"/>
      <c r="B32" s="36" t="s">
        <v>135</v>
      </c>
      <c r="C32" s="24" t="s">
        <v>136</v>
      </c>
      <c r="D32" s="24" t="s">
        <v>38</v>
      </c>
      <c r="E32" s="25">
        <v>78700</v>
      </c>
      <c r="F32" s="26">
        <v>567.23024999999996</v>
      </c>
      <c r="G32" s="37">
        <v>1.3630963454568287E-2</v>
      </c>
    </row>
    <row r="33" spans="1:7">
      <c r="A33" s="8"/>
      <c r="B33" s="36" t="s">
        <v>168</v>
      </c>
      <c r="C33" s="24" t="s">
        <v>169</v>
      </c>
      <c r="D33" s="24" t="s">
        <v>44</v>
      </c>
      <c r="E33" s="25">
        <v>59220</v>
      </c>
      <c r="F33" s="26">
        <v>552.61143000000004</v>
      </c>
      <c r="G33" s="37">
        <v>1.3279662371509137E-2</v>
      </c>
    </row>
    <row r="34" spans="1:7">
      <c r="A34" s="8"/>
      <c r="B34" s="36" t="s">
        <v>332</v>
      </c>
      <c r="C34" s="24" t="s">
        <v>333</v>
      </c>
      <c r="D34" s="24" t="s">
        <v>38</v>
      </c>
      <c r="E34" s="25">
        <v>35000</v>
      </c>
      <c r="F34" s="26">
        <v>511.17500000000001</v>
      </c>
      <c r="G34" s="37">
        <v>1.2283914237452858E-2</v>
      </c>
    </row>
    <row r="35" spans="1:7">
      <c r="A35" s="8"/>
      <c r="B35" s="36" t="s">
        <v>60</v>
      </c>
      <c r="C35" s="24" t="s">
        <v>61</v>
      </c>
      <c r="D35" s="24" t="s">
        <v>62</v>
      </c>
      <c r="E35" s="25">
        <v>173699</v>
      </c>
      <c r="F35" s="26">
        <v>488.1810395</v>
      </c>
      <c r="G35" s="37">
        <v>1.1731352318811729E-2</v>
      </c>
    </row>
    <row r="36" spans="1:7">
      <c r="A36" s="8"/>
      <c r="B36" s="36" t="s">
        <v>105</v>
      </c>
      <c r="C36" s="24" t="s">
        <v>106</v>
      </c>
      <c r="D36" s="24" t="s">
        <v>107</v>
      </c>
      <c r="E36" s="25">
        <v>303500</v>
      </c>
      <c r="F36" s="26">
        <v>486.81400000000002</v>
      </c>
      <c r="G36" s="37">
        <v>1.1698501346097474E-2</v>
      </c>
    </row>
    <row r="37" spans="1:7">
      <c r="A37" s="8"/>
      <c r="B37" s="36" t="s">
        <v>302</v>
      </c>
      <c r="C37" s="24" t="s">
        <v>303</v>
      </c>
      <c r="D37" s="24" t="s">
        <v>115</v>
      </c>
      <c r="E37" s="25">
        <v>143000</v>
      </c>
      <c r="F37" s="26">
        <v>476.19</v>
      </c>
      <c r="G37" s="37">
        <v>1.1443198749415908E-2</v>
      </c>
    </row>
    <row r="38" spans="1:7">
      <c r="A38" s="8"/>
      <c r="B38" s="36" t="s">
        <v>63</v>
      </c>
      <c r="C38" s="24" t="s">
        <v>64</v>
      </c>
      <c r="D38" s="24" t="s">
        <v>65</v>
      </c>
      <c r="E38" s="25">
        <v>14534</v>
      </c>
      <c r="F38" s="26">
        <v>465.85103500000002</v>
      </c>
      <c r="G38" s="37">
        <v>1.1194745755110577E-2</v>
      </c>
    </row>
    <row r="39" spans="1:7">
      <c r="A39" s="8"/>
      <c r="B39" s="36" t="s">
        <v>277</v>
      </c>
      <c r="C39" s="24" t="s">
        <v>278</v>
      </c>
      <c r="D39" s="24" t="s">
        <v>110</v>
      </c>
      <c r="E39" s="25">
        <v>160000</v>
      </c>
      <c r="F39" s="26">
        <v>462</v>
      </c>
      <c r="G39" s="37">
        <v>1.1102202528885842E-2</v>
      </c>
    </row>
    <row r="40" spans="1:7">
      <c r="A40" s="8"/>
      <c r="B40" s="36" t="s">
        <v>85</v>
      </c>
      <c r="C40" s="24" t="s">
        <v>86</v>
      </c>
      <c r="D40" s="24" t="s">
        <v>87</v>
      </c>
      <c r="E40" s="25">
        <v>91850</v>
      </c>
      <c r="F40" s="26">
        <v>460.39812499999999</v>
      </c>
      <c r="G40" s="37">
        <v>1.1063708284998485E-2</v>
      </c>
    </row>
    <row r="41" spans="1:7">
      <c r="A41" s="8"/>
      <c r="B41" s="36" t="s">
        <v>71</v>
      </c>
      <c r="C41" s="24" t="s">
        <v>72</v>
      </c>
      <c r="D41" s="24" t="s">
        <v>73</v>
      </c>
      <c r="E41" s="25">
        <v>492809</v>
      </c>
      <c r="F41" s="26">
        <v>459.790797</v>
      </c>
      <c r="G41" s="37">
        <v>1.1049113742882763E-2</v>
      </c>
    </row>
    <row r="42" spans="1:7">
      <c r="A42" s="8"/>
      <c r="B42" s="36" t="s">
        <v>50</v>
      </c>
      <c r="C42" s="24" t="s">
        <v>51</v>
      </c>
      <c r="D42" s="24" t="s">
        <v>52</v>
      </c>
      <c r="E42" s="25">
        <v>69289</v>
      </c>
      <c r="F42" s="26">
        <v>458.93569150000002</v>
      </c>
      <c r="G42" s="37">
        <v>1.1028564923738686E-2</v>
      </c>
    </row>
    <row r="43" spans="1:7">
      <c r="A43" s="8"/>
      <c r="B43" s="36" t="s">
        <v>99</v>
      </c>
      <c r="C43" s="24" t="s">
        <v>100</v>
      </c>
      <c r="D43" s="24" t="s">
        <v>44</v>
      </c>
      <c r="E43" s="25">
        <v>87500</v>
      </c>
      <c r="F43" s="26">
        <v>447.5625</v>
      </c>
      <c r="G43" s="37">
        <v>1.0755258699858159E-2</v>
      </c>
    </row>
    <row r="44" spans="1:7">
      <c r="A44" s="8"/>
      <c r="B44" s="36" t="s">
        <v>42</v>
      </c>
      <c r="C44" s="24" t="s">
        <v>43</v>
      </c>
      <c r="D44" s="24" t="s">
        <v>44</v>
      </c>
      <c r="E44" s="25">
        <v>51500</v>
      </c>
      <c r="F44" s="26">
        <v>435.09775000000002</v>
      </c>
      <c r="G44" s="37">
        <v>1.0455721515936234E-2</v>
      </c>
    </row>
    <row r="45" spans="1:7">
      <c r="A45" s="8"/>
      <c r="B45" s="36" t="s">
        <v>131</v>
      </c>
      <c r="C45" s="24" t="s">
        <v>132</v>
      </c>
      <c r="D45" s="24" t="s">
        <v>49</v>
      </c>
      <c r="E45" s="25">
        <v>339500</v>
      </c>
      <c r="F45" s="26">
        <v>411.30425000000002</v>
      </c>
      <c r="G45" s="37">
        <v>9.8839460703279113E-3</v>
      </c>
    </row>
    <row r="46" spans="1:7">
      <c r="A46" s="8"/>
      <c r="B46" s="36" t="s">
        <v>222</v>
      </c>
      <c r="C46" s="24" t="s">
        <v>223</v>
      </c>
      <c r="D46" s="24" t="s">
        <v>65</v>
      </c>
      <c r="E46" s="25">
        <v>15400</v>
      </c>
      <c r="F46" s="26">
        <v>407.70729999999998</v>
      </c>
      <c r="G46" s="37">
        <v>9.7975086950329408E-3</v>
      </c>
    </row>
    <row r="47" spans="1:7">
      <c r="A47" s="8"/>
      <c r="B47" s="36" t="s">
        <v>77</v>
      </c>
      <c r="C47" s="24" t="s">
        <v>78</v>
      </c>
      <c r="D47" s="24" t="s">
        <v>79</v>
      </c>
      <c r="E47" s="25">
        <v>1025509</v>
      </c>
      <c r="F47" s="26">
        <v>393.795456</v>
      </c>
      <c r="G47" s="37">
        <v>9.4631967694089898E-3</v>
      </c>
    </row>
    <row r="48" spans="1:7">
      <c r="A48" s="8"/>
      <c r="B48" s="36" t="s">
        <v>140</v>
      </c>
      <c r="C48" s="24" t="s">
        <v>141</v>
      </c>
      <c r="D48" s="24" t="s">
        <v>65</v>
      </c>
      <c r="E48" s="25">
        <v>28280</v>
      </c>
      <c r="F48" s="26">
        <v>388.14299999999997</v>
      </c>
      <c r="G48" s="37">
        <v>9.3273640609725927E-3</v>
      </c>
    </row>
    <row r="49" spans="1:7">
      <c r="A49" s="8"/>
      <c r="B49" s="36" t="s">
        <v>146</v>
      </c>
      <c r="C49" s="24" t="s">
        <v>147</v>
      </c>
      <c r="D49" s="24" t="s">
        <v>79</v>
      </c>
      <c r="E49" s="25">
        <v>151733</v>
      </c>
      <c r="F49" s="26">
        <v>364.1592</v>
      </c>
      <c r="G49" s="37">
        <v>8.7510155652749892E-3</v>
      </c>
    </row>
    <row r="50" spans="1:7">
      <c r="A50" s="8"/>
      <c r="B50" s="36" t="s">
        <v>137</v>
      </c>
      <c r="C50" s="24" t="s">
        <v>138</v>
      </c>
      <c r="D50" s="24" t="s">
        <v>139</v>
      </c>
      <c r="E50" s="25">
        <v>621959</v>
      </c>
      <c r="F50" s="26">
        <v>357.00446599999998</v>
      </c>
      <c r="G50" s="37">
        <v>8.5790820027029004E-3</v>
      </c>
    </row>
    <row r="51" spans="1:7">
      <c r="A51" s="8"/>
      <c r="B51" s="36" t="s">
        <v>120</v>
      </c>
      <c r="C51" s="24" t="s">
        <v>121</v>
      </c>
      <c r="D51" s="24" t="s">
        <v>96</v>
      </c>
      <c r="E51" s="25">
        <v>131700</v>
      </c>
      <c r="F51" s="26">
        <v>345.97590000000002</v>
      </c>
      <c r="G51" s="37">
        <v>8.3140573850942756E-3</v>
      </c>
    </row>
    <row r="52" spans="1:7">
      <c r="A52" s="8"/>
      <c r="B52" s="36" t="s">
        <v>111</v>
      </c>
      <c r="C52" s="24" t="s">
        <v>112</v>
      </c>
      <c r="D52" s="24" t="s">
        <v>62</v>
      </c>
      <c r="E52" s="25">
        <v>111000</v>
      </c>
      <c r="F52" s="26">
        <v>318.79199999999997</v>
      </c>
      <c r="G52" s="37">
        <v>7.6608081138280857E-3</v>
      </c>
    </row>
    <row r="53" spans="1:7">
      <c r="A53" s="8"/>
      <c r="B53" s="36" t="s">
        <v>148</v>
      </c>
      <c r="C53" s="24" t="s">
        <v>149</v>
      </c>
      <c r="D53" s="24" t="s">
        <v>59</v>
      </c>
      <c r="E53" s="25">
        <v>166000</v>
      </c>
      <c r="F53" s="26">
        <v>311.16699999999997</v>
      </c>
      <c r="G53" s="37">
        <v>7.4775737106186598E-3</v>
      </c>
    </row>
    <row r="54" spans="1:7">
      <c r="A54" s="8"/>
      <c r="B54" s="36" t="s">
        <v>128</v>
      </c>
      <c r="C54" s="24" t="s">
        <v>129</v>
      </c>
      <c r="D54" s="24" t="s">
        <v>130</v>
      </c>
      <c r="E54" s="25">
        <v>28253</v>
      </c>
      <c r="F54" s="26">
        <v>308.32498900000002</v>
      </c>
      <c r="G54" s="37">
        <v>7.409278079208873E-3</v>
      </c>
    </row>
    <row r="55" spans="1:7">
      <c r="A55" s="8"/>
      <c r="B55" s="36" t="s">
        <v>82</v>
      </c>
      <c r="C55" s="24" t="s">
        <v>83</v>
      </c>
      <c r="D55" s="24" t="s">
        <v>84</v>
      </c>
      <c r="E55" s="25">
        <v>190631</v>
      </c>
      <c r="F55" s="26">
        <v>279.46504599999997</v>
      </c>
      <c r="G55" s="37">
        <v>6.7157522520268362E-3</v>
      </c>
    </row>
    <row r="56" spans="1:7">
      <c r="A56" s="8"/>
      <c r="B56" s="36" t="s">
        <v>334</v>
      </c>
      <c r="C56" s="24" t="s">
        <v>335</v>
      </c>
      <c r="D56" s="24" t="s">
        <v>44</v>
      </c>
      <c r="E56" s="25">
        <v>9139</v>
      </c>
      <c r="F56" s="26">
        <v>234.31482099999999</v>
      </c>
      <c r="G56" s="37">
        <v>5.6307588706961762E-3</v>
      </c>
    </row>
    <row r="57" spans="1:7">
      <c r="A57" s="8"/>
      <c r="B57" s="36" t="s">
        <v>166</v>
      </c>
      <c r="C57" s="24" t="s">
        <v>167</v>
      </c>
      <c r="D57" s="24" t="s">
        <v>38</v>
      </c>
      <c r="E57" s="25">
        <v>145578</v>
      </c>
      <c r="F57" s="26">
        <v>167.19633300000001</v>
      </c>
      <c r="G57" s="37">
        <v>4.0178518421061463E-3</v>
      </c>
    </row>
    <row r="58" spans="1:7">
      <c r="A58" s="8"/>
      <c r="B58" s="36" t="s">
        <v>133</v>
      </c>
      <c r="C58" s="24" t="s">
        <v>134</v>
      </c>
      <c r="D58" s="24" t="s">
        <v>52</v>
      </c>
      <c r="E58" s="25">
        <v>1068899</v>
      </c>
      <c r="F58" s="26">
        <v>151.24920850000001</v>
      </c>
      <c r="G58" s="37">
        <v>3.6346306171010432E-3</v>
      </c>
    </row>
    <row r="59" spans="1:7">
      <c r="A59" s="8"/>
      <c r="B59" s="36" t="s">
        <v>195</v>
      </c>
      <c r="C59" s="24" t="s">
        <v>336</v>
      </c>
      <c r="D59" s="24" t="s">
        <v>76</v>
      </c>
      <c r="E59" s="25">
        <v>26000</v>
      </c>
      <c r="F59" s="26">
        <v>103.649</v>
      </c>
      <c r="G59" s="37">
        <v>2.4907623158365554E-3</v>
      </c>
    </row>
    <row r="60" spans="1:7">
      <c r="A60" s="8"/>
      <c r="B60" s="36" t="s">
        <v>172</v>
      </c>
      <c r="C60" s="24" t="s">
        <v>173</v>
      </c>
      <c r="D60" s="24" t="s">
        <v>41</v>
      </c>
      <c r="E60" s="25">
        <v>3539</v>
      </c>
      <c r="F60" s="26">
        <v>49.151401499999999</v>
      </c>
      <c r="G60" s="37">
        <v>1.1811446191159814E-3</v>
      </c>
    </row>
    <row r="61" spans="1:7">
      <c r="A61" s="8"/>
      <c r="B61" s="36" t="s">
        <v>337</v>
      </c>
      <c r="C61" s="24" t="s">
        <v>338</v>
      </c>
      <c r="D61" s="24" t="s">
        <v>44</v>
      </c>
      <c r="E61" s="25">
        <v>5500</v>
      </c>
      <c r="F61" s="26">
        <v>21.053999999999998</v>
      </c>
      <c r="G61" s="37">
        <v>5.0594322953065481E-4</v>
      </c>
    </row>
    <row r="62" spans="1:7">
      <c r="A62" s="8"/>
      <c r="B62" s="36" t="s">
        <v>366</v>
      </c>
      <c r="C62" s="24" t="s">
        <v>175</v>
      </c>
      <c r="D62" s="24" t="s">
        <v>73</v>
      </c>
      <c r="E62" s="25">
        <v>6378330</v>
      </c>
      <c r="F62" s="26">
        <v>44.648310000000002</v>
      </c>
      <c r="G62" s="37">
        <v>1.0729319917586126E-3</v>
      </c>
    </row>
    <row r="63" spans="1:7">
      <c r="A63" s="10"/>
      <c r="B63" s="34" t="s">
        <v>23</v>
      </c>
      <c r="C63" s="24" t="s">
        <v>1</v>
      </c>
      <c r="D63" s="24" t="s">
        <v>1</v>
      </c>
      <c r="E63" s="24" t="s">
        <v>1</v>
      </c>
      <c r="F63" s="27">
        <f>SUM(F8:F62)</f>
        <v>39941.010469999987</v>
      </c>
      <c r="G63" s="38">
        <f>SUM(G8:G62)</f>
        <v>0.95981209403958834</v>
      </c>
    </row>
    <row r="64" spans="1:7">
      <c r="A64" s="10"/>
      <c r="B64" s="34"/>
      <c r="C64" s="24"/>
      <c r="D64" s="24"/>
      <c r="E64" s="24"/>
      <c r="F64" s="27"/>
      <c r="G64" s="38"/>
    </row>
    <row r="65" spans="1:7">
      <c r="A65" s="10"/>
      <c r="B65" s="34" t="s">
        <v>174</v>
      </c>
      <c r="C65" s="24" t="s">
        <v>1</v>
      </c>
      <c r="D65" s="24" t="s">
        <v>1</v>
      </c>
      <c r="E65" s="27" t="s">
        <v>317</v>
      </c>
      <c r="F65" s="27" t="s">
        <v>317</v>
      </c>
      <c r="G65" s="27" t="s">
        <v>317</v>
      </c>
    </row>
    <row r="66" spans="1:7">
      <c r="A66" s="10"/>
      <c r="B66" s="34" t="s">
        <v>23</v>
      </c>
      <c r="C66" s="24" t="s">
        <v>1</v>
      </c>
      <c r="D66" s="24" t="s">
        <v>1</v>
      </c>
      <c r="E66" s="27" t="s">
        <v>317</v>
      </c>
      <c r="F66" s="27" t="s">
        <v>317</v>
      </c>
      <c r="G66" s="27" t="s">
        <v>317</v>
      </c>
    </row>
    <row r="67" spans="1:7">
      <c r="A67" s="10"/>
      <c r="B67" s="34"/>
      <c r="C67" s="24" t="s">
        <v>1</v>
      </c>
      <c r="D67" s="24" t="s">
        <v>1</v>
      </c>
      <c r="E67" s="24" t="s">
        <v>1</v>
      </c>
      <c r="F67" s="28" t="s">
        <v>1</v>
      </c>
      <c r="G67" s="39" t="s">
        <v>1</v>
      </c>
    </row>
    <row r="68" spans="1:7">
      <c r="A68" s="10"/>
      <c r="B68" s="34" t="s">
        <v>187</v>
      </c>
      <c r="C68" s="24" t="s">
        <v>1</v>
      </c>
      <c r="D68" s="24" t="s">
        <v>1</v>
      </c>
      <c r="E68" s="24" t="s">
        <v>1</v>
      </c>
      <c r="F68" s="28" t="s">
        <v>1</v>
      </c>
      <c r="G68" s="39" t="s">
        <v>1</v>
      </c>
    </row>
    <row r="69" spans="1:7">
      <c r="A69" s="8"/>
      <c r="B69" s="36" t="s">
        <v>339</v>
      </c>
      <c r="C69" s="24" t="s">
        <v>340</v>
      </c>
      <c r="D69" s="24" t="s">
        <v>1</v>
      </c>
      <c r="E69" s="25">
        <v>2500440</v>
      </c>
      <c r="F69" s="26">
        <v>253.39959049999999</v>
      </c>
      <c r="G69" s="37">
        <v>6.0893800313154478E-3</v>
      </c>
    </row>
    <row r="70" spans="1:7">
      <c r="A70" s="10"/>
      <c r="B70" s="34" t="s">
        <v>23</v>
      </c>
      <c r="C70" s="24" t="s">
        <v>1</v>
      </c>
      <c r="D70" s="24" t="s">
        <v>1</v>
      </c>
      <c r="E70" s="24" t="s">
        <v>1</v>
      </c>
      <c r="F70" s="27">
        <v>253.39959049999999</v>
      </c>
      <c r="G70" s="38">
        <v>6.0893800313154478E-3</v>
      </c>
    </row>
    <row r="71" spans="1:7">
      <c r="A71" s="10"/>
      <c r="B71" s="34" t="s">
        <v>24</v>
      </c>
      <c r="C71" s="24" t="s">
        <v>1</v>
      </c>
      <c r="D71" s="24" t="s">
        <v>1</v>
      </c>
      <c r="E71" s="24" t="s">
        <v>1</v>
      </c>
      <c r="F71" s="27">
        <v>253.39959049999999</v>
      </c>
      <c r="G71" s="38">
        <v>6.0893800313154478E-3</v>
      </c>
    </row>
    <row r="72" spans="1:7">
      <c r="A72" s="10"/>
      <c r="B72" s="34"/>
      <c r="C72" s="24"/>
      <c r="D72" s="24"/>
      <c r="E72" s="24"/>
      <c r="F72" s="27"/>
      <c r="G72" s="38"/>
    </row>
    <row r="73" spans="1:7">
      <c r="A73" s="10"/>
      <c r="B73" s="29" t="s">
        <v>353</v>
      </c>
      <c r="C73" s="23"/>
      <c r="D73" s="24"/>
      <c r="E73" s="24"/>
      <c r="F73" s="27"/>
      <c r="G73" s="38"/>
    </row>
    <row r="74" spans="1:7">
      <c r="A74" s="8"/>
      <c r="B74" s="31" t="s">
        <v>357</v>
      </c>
      <c r="C74" s="23"/>
      <c r="D74" s="24"/>
      <c r="E74" s="27" t="s">
        <v>317</v>
      </c>
      <c r="F74" s="27" t="s">
        <v>317</v>
      </c>
      <c r="G74" s="27" t="s">
        <v>317</v>
      </c>
    </row>
    <row r="75" spans="1:7">
      <c r="A75" s="10"/>
      <c r="B75" s="31" t="s">
        <v>355</v>
      </c>
      <c r="C75" s="23"/>
      <c r="D75" s="24"/>
      <c r="E75" s="27" t="s">
        <v>317</v>
      </c>
      <c r="F75" s="27" t="s">
        <v>317</v>
      </c>
      <c r="G75" s="27" t="s">
        <v>317</v>
      </c>
    </row>
    <row r="76" spans="1:7">
      <c r="A76" s="10"/>
      <c r="B76" s="31" t="s">
        <v>356</v>
      </c>
      <c r="C76" s="23"/>
      <c r="D76" s="24"/>
      <c r="E76" s="27" t="s">
        <v>317</v>
      </c>
      <c r="F76" s="27" t="s">
        <v>317</v>
      </c>
      <c r="G76" s="27" t="s">
        <v>317</v>
      </c>
    </row>
    <row r="77" spans="1:7">
      <c r="A77" s="10"/>
      <c r="B77" s="31"/>
      <c r="C77" s="23"/>
      <c r="D77" s="24"/>
      <c r="E77" s="22"/>
      <c r="F77" s="88"/>
      <c r="G77" s="38"/>
    </row>
    <row r="78" spans="1:7">
      <c r="A78" s="10"/>
      <c r="B78" s="34" t="s">
        <v>9</v>
      </c>
      <c r="C78" s="23"/>
      <c r="D78" s="24"/>
      <c r="E78" s="22"/>
      <c r="F78" s="88"/>
      <c r="G78" s="38"/>
    </row>
    <row r="79" spans="1:7">
      <c r="A79" s="10"/>
      <c r="B79" s="34" t="s">
        <v>25</v>
      </c>
      <c r="C79" s="24" t="s">
        <v>1</v>
      </c>
      <c r="D79" s="24" t="s">
        <v>1</v>
      </c>
      <c r="E79" s="24" t="s">
        <v>1</v>
      </c>
      <c r="F79" s="28" t="s">
        <v>1</v>
      </c>
      <c r="G79" s="39" t="s">
        <v>1</v>
      </c>
    </row>
    <row r="80" spans="1:7">
      <c r="A80" s="8"/>
      <c r="B80" s="36" t="s">
        <v>26</v>
      </c>
      <c r="C80" s="24" t="s">
        <v>1</v>
      </c>
      <c r="D80" s="24" t="s">
        <v>27</v>
      </c>
      <c r="E80" s="25"/>
      <c r="F80" s="26">
        <v>1121.2326912999999</v>
      </c>
      <c r="G80" s="37">
        <v>2.6944052858918481E-2</v>
      </c>
    </row>
    <row r="81" spans="1:7">
      <c r="A81" s="10"/>
      <c r="B81" s="34" t="s">
        <v>23</v>
      </c>
      <c r="C81" s="24" t="s">
        <v>1</v>
      </c>
      <c r="D81" s="24" t="s">
        <v>1</v>
      </c>
      <c r="E81" s="24" t="s">
        <v>1</v>
      </c>
      <c r="F81" s="27">
        <v>1121.2326912999999</v>
      </c>
      <c r="G81" s="38">
        <v>2.6944052858918481E-2</v>
      </c>
    </row>
    <row r="82" spans="1:7">
      <c r="A82" s="10"/>
      <c r="B82" s="34" t="s">
        <v>24</v>
      </c>
      <c r="C82" s="24" t="s">
        <v>1</v>
      </c>
      <c r="D82" s="24" t="s">
        <v>1</v>
      </c>
      <c r="E82" s="24" t="s">
        <v>1</v>
      </c>
      <c r="F82" s="27">
        <v>1121.2326912999999</v>
      </c>
      <c r="G82" s="38">
        <v>2.6944052858918481E-2</v>
      </c>
    </row>
    <row r="83" spans="1:7">
      <c r="A83" s="10"/>
      <c r="B83" s="34"/>
      <c r="C83" s="24"/>
      <c r="D83" s="24"/>
      <c r="E83" s="24"/>
      <c r="F83" s="27"/>
      <c r="G83" s="38"/>
    </row>
    <row r="84" spans="1:7">
      <c r="A84" s="10"/>
      <c r="B84" s="34" t="s">
        <v>186</v>
      </c>
      <c r="C84" s="24"/>
      <c r="D84" s="24"/>
      <c r="E84" s="24"/>
      <c r="F84" s="27"/>
      <c r="G84" s="38"/>
    </row>
    <row r="85" spans="1:7" ht="12" thickBot="1">
      <c r="A85" s="10"/>
      <c r="B85" s="53" t="s">
        <v>28</v>
      </c>
      <c r="C85" s="54" t="s">
        <v>1</v>
      </c>
      <c r="D85" s="54" t="s">
        <v>1</v>
      </c>
      <c r="E85" s="54" t="s">
        <v>1</v>
      </c>
      <c r="F85" s="55">
        <v>297.72169529619998</v>
      </c>
      <c r="G85" s="56">
        <v>7.1544730701775285E-3</v>
      </c>
    </row>
    <row r="86" spans="1:7" ht="12.75" thickTop="1" thickBot="1">
      <c r="A86" s="10"/>
      <c r="B86" s="49" t="s">
        <v>29</v>
      </c>
      <c r="C86" s="50" t="s">
        <v>1</v>
      </c>
      <c r="D86" s="50" t="s">
        <v>1</v>
      </c>
      <c r="E86" s="50" t="s">
        <v>1</v>
      </c>
      <c r="F86" s="51">
        <v>41613.364447096203</v>
      </c>
      <c r="G86" s="52">
        <v>1</v>
      </c>
    </row>
    <row r="87" spans="1:7">
      <c r="A87" s="10"/>
      <c r="B87" s="7" t="s">
        <v>1</v>
      </c>
      <c r="C87" s="10"/>
      <c r="D87" s="10"/>
      <c r="E87" s="10"/>
      <c r="F87" s="12"/>
      <c r="G87" s="13"/>
    </row>
    <row r="88" spans="1:7">
      <c r="A88" s="10"/>
      <c r="B88" s="5" t="s">
        <v>1</v>
      </c>
      <c r="C88" s="10"/>
      <c r="D88" s="10"/>
      <c r="E88" s="10"/>
      <c r="F88" s="12"/>
      <c r="G88" s="13"/>
    </row>
    <row r="89" spans="1:7">
      <c r="A89" s="10"/>
      <c r="B89" s="5" t="s">
        <v>361</v>
      </c>
      <c r="C89" s="10"/>
      <c r="D89" s="10"/>
      <c r="E89" s="10"/>
      <c r="F89" s="12"/>
      <c r="G89" s="13"/>
    </row>
    <row r="90" spans="1:7" ht="12" thickBot="1">
      <c r="A90" s="10"/>
      <c r="B90" s="5"/>
      <c r="C90" s="10"/>
      <c r="D90" s="10"/>
      <c r="E90" s="10"/>
      <c r="F90" s="12"/>
      <c r="G90" s="13"/>
    </row>
    <row r="91" spans="1:7" ht="12" thickBot="1">
      <c r="B91" s="82" t="s">
        <v>369</v>
      </c>
      <c r="C91" s="83">
        <v>0.43149999999999999</v>
      </c>
      <c r="F91" s="14"/>
      <c r="G91" s="15"/>
    </row>
    <row r="92" spans="1:7">
      <c r="B92" s="7" t="s">
        <v>370</v>
      </c>
      <c r="C92" s="7"/>
      <c r="F92" s="14"/>
      <c r="G92" s="15"/>
    </row>
    <row r="93" spans="1:7">
      <c r="F93" s="14"/>
      <c r="G93" s="15"/>
    </row>
    <row r="94" spans="1:7">
      <c r="F94" s="14"/>
      <c r="G94" s="15"/>
    </row>
    <row r="95" spans="1:7">
      <c r="F95" s="14"/>
      <c r="G95" s="15"/>
    </row>
    <row r="96" spans="1:7">
      <c r="F96" s="14"/>
      <c r="G96" s="15"/>
    </row>
    <row r="97" spans="6:7">
      <c r="F97" s="14"/>
      <c r="G97" s="15"/>
    </row>
    <row r="98" spans="6:7">
      <c r="F98" s="14"/>
      <c r="G98" s="15"/>
    </row>
    <row r="99" spans="6:7">
      <c r="F99" s="14"/>
      <c r="G99" s="15"/>
    </row>
    <row r="100" spans="6:7">
      <c r="F100" s="14"/>
      <c r="G100" s="15"/>
    </row>
    <row r="101" spans="6:7">
      <c r="F101" s="14"/>
      <c r="G101" s="15"/>
    </row>
    <row r="102" spans="6:7">
      <c r="F102" s="14"/>
      <c r="G102" s="15"/>
    </row>
    <row r="103" spans="6:7">
      <c r="F103" s="14"/>
      <c r="G103" s="15"/>
    </row>
    <row r="104" spans="6:7">
      <c r="F104" s="14"/>
      <c r="G104" s="15"/>
    </row>
    <row r="105" spans="6:7">
      <c r="F105" s="14"/>
      <c r="G105" s="15"/>
    </row>
    <row r="106" spans="6:7">
      <c r="F106" s="14"/>
      <c r="G106" s="15"/>
    </row>
    <row r="107" spans="6:7">
      <c r="F107" s="14"/>
      <c r="G107" s="15"/>
    </row>
    <row r="108" spans="6:7">
      <c r="F108" s="14"/>
      <c r="G108" s="15"/>
    </row>
    <row r="109" spans="6:7">
      <c r="F109" s="14"/>
      <c r="G109" s="15"/>
    </row>
    <row r="110" spans="6:7">
      <c r="F110" s="14"/>
      <c r="G110" s="15"/>
    </row>
    <row r="111" spans="6:7">
      <c r="F111" s="14"/>
      <c r="G111" s="15"/>
    </row>
    <row r="112" spans="6:7">
      <c r="F112" s="14"/>
      <c r="G112" s="15"/>
    </row>
    <row r="113" spans="6:7">
      <c r="F113" s="14"/>
      <c r="G113" s="15"/>
    </row>
    <row r="114" spans="6:7">
      <c r="F114" s="14"/>
      <c r="G114" s="15"/>
    </row>
    <row r="115" spans="6:7">
      <c r="F115" s="14"/>
      <c r="G115" s="15"/>
    </row>
    <row r="116" spans="6:7">
      <c r="F116" s="14"/>
      <c r="G116" s="15"/>
    </row>
    <row r="117" spans="6:7">
      <c r="F117" s="14"/>
      <c r="G117" s="15"/>
    </row>
    <row r="118" spans="6:7">
      <c r="F118" s="14"/>
      <c r="G118" s="15"/>
    </row>
    <row r="119" spans="6:7">
      <c r="F119" s="14"/>
      <c r="G119" s="15"/>
    </row>
    <row r="120" spans="6:7">
      <c r="F120" s="14"/>
      <c r="G120" s="15"/>
    </row>
    <row r="121" spans="6:7">
      <c r="F121" s="14"/>
      <c r="G121" s="15"/>
    </row>
    <row r="122" spans="6:7">
      <c r="F122" s="14"/>
      <c r="G122" s="15"/>
    </row>
    <row r="123" spans="6:7">
      <c r="F123" s="14"/>
      <c r="G123" s="15"/>
    </row>
    <row r="124" spans="6:7">
      <c r="F124" s="14"/>
      <c r="G124" s="15"/>
    </row>
    <row r="125" spans="6:7">
      <c r="F125" s="14"/>
      <c r="G125" s="15"/>
    </row>
    <row r="126" spans="6:7">
      <c r="F126" s="14"/>
      <c r="G126" s="15"/>
    </row>
    <row r="127" spans="6:7">
      <c r="F127" s="14"/>
      <c r="G127" s="15"/>
    </row>
    <row r="128" spans="6:7">
      <c r="F128" s="14"/>
      <c r="G128" s="15"/>
    </row>
    <row r="129" spans="6:7">
      <c r="F129" s="14"/>
      <c r="G129" s="15"/>
    </row>
    <row r="130" spans="6:7">
      <c r="F130" s="14"/>
      <c r="G130" s="15"/>
    </row>
    <row r="131" spans="6:7">
      <c r="F131" s="14"/>
      <c r="G131" s="15"/>
    </row>
    <row r="132" spans="6:7">
      <c r="F132" s="14"/>
      <c r="G132" s="15"/>
    </row>
    <row r="133" spans="6:7">
      <c r="F133" s="14"/>
      <c r="G133" s="15"/>
    </row>
    <row r="134" spans="6:7">
      <c r="G134" s="15"/>
    </row>
    <row r="135" spans="6:7">
      <c r="G135" s="15"/>
    </row>
    <row r="136" spans="6:7">
      <c r="G136" s="15"/>
    </row>
    <row r="137" spans="6:7">
      <c r="G137" s="15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showGridLines="0" zoomScaleNormal="100" workbookViewId="0">
      <selection activeCell="C93" sqref="C93"/>
    </sheetView>
  </sheetViews>
  <sheetFormatPr defaultRowHeight="11.25"/>
  <cols>
    <col min="1" max="1" width="11.42578125" style="11" bestFit="1" customWidth="1"/>
    <col min="2" max="2" width="46.28515625" style="11" bestFit="1" customWidth="1"/>
    <col min="3" max="7" width="20.85546875" style="11" customWidth="1"/>
    <col min="8" max="16384" width="9.140625" style="11"/>
  </cols>
  <sheetData>
    <row r="1" spans="1:7" ht="18.75">
      <c r="A1" s="10"/>
      <c r="B1" s="89" t="s">
        <v>32</v>
      </c>
      <c r="C1" s="90"/>
      <c r="D1" s="90"/>
      <c r="E1" s="90"/>
      <c r="F1" s="90"/>
      <c r="G1" s="91"/>
    </row>
    <row r="2" spans="1:7" ht="12" thickBot="1">
      <c r="A2" s="10"/>
      <c r="B2" s="92" t="s">
        <v>371</v>
      </c>
      <c r="C2" s="93"/>
      <c r="D2" s="93"/>
      <c r="E2" s="93"/>
      <c r="F2" s="93"/>
      <c r="G2" s="94"/>
    </row>
    <row r="3" spans="1:7" ht="12.95" customHeight="1">
      <c r="A3" s="10"/>
      <c r="B3" s="6" t="s">
        <v>1</v>
      </c>
      <c r="C3" s="10"/>
      <c r="D3" s="10"/>
      <c r="E3" s="10"/>
      <c r="F3" s="10"/>
      <c r="G3" s="10"/>
    </row>
    <row r="4" spans="1:7" ht="12.95" customHeight="1" thickBot="1">
      <c r="A4" s="7"/>
      <c r="B4" s="5" t="s">
        <v>2</v>
      </c>
      <c r="C4" s="10"/>
      <c r="D4" s="10"/>
      <c r="E4" s="10"/>
      <c r="F4" s="10"/>
      <c r="G4" s="10"/>
    </row>
    <row r="5" spans="1:7" ht="27.95" customHeight="1" thickBot="1">
      <c r="A5" s="10"/>
      <c r="B5" s="45" t="s">
        <v>3</v>
      </c>
      <c r="C5" s="46" t="s">
        <v>4</v>
      </c>
      <c r="D5" s="47" t="s">
        <v>363</v>
      </c>
      <c r="E5" s="47" t="s">
        <v>6</v>
      </c>
      <c r="F5" s="47" t="s">
        <v>7</v>
      </c>
      <c r="G5" s="48" t="s">
        <v>8</v>
      </c>
    </row>
    <row r="6" spans="1:7" ht="12.95" customHeight="1">
      <c r="A6" s="10"/>
      <c r="B6" s="63" t="s">
        <v>34</v>
      </c>
      <c r="C6" s="64" t="s">
        <v>1</v>
      </c>
      <c r="D6" s="64" t="s">
        <v>1</v>
      </c>
      <c r="E6" s="64" t="s">
        <v>1</v>
      </c>
      <c r="F6" s="64" t="s">
        <v>1</v>
      </c>
      <c r="G6" s="65" t="s">
        <v>1</v>
      </c>
    </row>
    <row r="7" spans="1:7" ht="12.95" customHeight="1">
      <c r="A7" s="10"/>
      <c r="B7" s="34" t="s">
        <v>35</v>
      </c>
      <c r="C7" s="24" t="s">
        <v>1</v>
      </c>
      <c r="D7" s="24" t="s">
        <v>1</v>
      </c>
      <c r="E7" s="24" t="s">
        <v>1</v>
      </c>
      <c r="F7" s="24" t="s">
        <v>1</v>
      </c>
      <c r="G7" s="35" t="s">
        <v>1</v>
      </c>
    </row>
    <row r="8" spans="1:7" ht="12.95" customHeight="1">
      <c r="A8" s="8"/>
      <c r="B8" s="36" t="s">
        <v>36</v>
      </c>
      <c r="C8" s="24" t="s">
        <v>37</v>
      </c>
      <c r="D8" s="24" t="s">
        <v>38</v>
      </c>
      <c r="E8" s="25">
        <v>939595</v>
      </c>
      <c r="F8" s="26">
        <v>899.66221250000001</v>
      </c>
      <c r="G8" s="37">
        <v>3.9024179000170793E-2</v>
      </c>
    </row>
    <row r="9" spans="1:7" ht="12.95" customHeight="1">
      <c r="A9" s="8"/>
      <c r="B9" s="36" t="s">
        <v>39</v>
      </c>
      <c r="C9" s="24" t="s">
        <v>40</v>
      </c>
      <c r="D9" s="24" t="s">
        <v>41</v>
      </c>
      <c r="E9" s="25">
        <v>48800</v>
      </c>
      <c r="F9" s="26">
        <v>876.13080000000002</v>
      </c>
      <c r="G9" s="37">
        <v>3.8003469181787868E-2</v>
      </c>
    </row>
    <row r="10" spans="1:7" ht="12.95" customHeight="1">
      <c r="A10" s="8"/>
      <c r="B10" s="36" t="s">
        <v>42</v>
      </c>
      <c r="C10" s="24" t="s">
        <v>43</v>
      </c>
      <c r="D10" s="24" t="s">
        <v>44</v>
      </c>
      <c r="E10" s="25">
        <v>92304</v>
      </c>
      <c r="F10" s="26">
        <v>779.83034399999997</v>
      </c>
      <c r="G10" s="37">
        <v>3.3826294481631089E-2</v>
      </c>
    </row>
    <row r="11" spans="1:7" ht="12.95" customHeight="1">
      <c r="A11" s="8"/>
      <c r="B11" s="36" t="s">
        <v>45</v>
      </c>
      <c r="C11" s="24" t="s">
        <v>46</v>
      </c>
      <c r="D11" s="24" t="s">
        <v>44</v>
      </c>
      <c r="E11" s="25">
        <v>56467</v>
      </c>
      <c r="F11" s="26">
        <v>771.28275299999996</v>
      </c>
      <c r="G11" s="37">
        <v>3.3455530080759639E-2</v>
      </c>
    </row>
    <row r="12" spans="1:7" ht="12.95" customHeight="1">
      <c r="A12" s="8"/>
      <c r="B12" s="36" t="s">
        <v>47</v>
      </c>
      <c r="C12" s="24" t="s">
        <v>48</v>
      </c>
      <c r="D12" s="24" t="s">
        <v>49</v>
      </c>
      <c r="E12" s="25">
        <v>300684</v>
      </c>
      <c r="F12" s="26">
        <v>768.39796200000001</v>
      </c>
      <c r="G12" s="37">
        <v>3.3330398004744959E-2</v>
      </c>
    </row>
    <row r="13" spans="1:7" ht="12.95" customHeight="1">
      <c r="A13" s="8"/>
      <c r="B13" s="36" t="s">
        <v>50</v>
      </c>
      <c r="C13" s="24" t="s">
        <v>51</v>
      </c>
      <c r="D13" s="24" t="s">
        <v>52</v>
      </c>
      <c r="E13" s="25">
        <v>114006</v>
      </c>
      <c r="F13" s="26">
        <v>755.118741</v>
      </c>
      <c r="G13" s="37">
        <v>3.2754392154897366E-2</v>
      </c>
    </row>
    <row r="14" spans="1:7" ht="12.95" customHeight="1">
      <c r="A14" s="8"/>
      <c r="B14" s="36" t="s">
        <v>53</v>
      </c>
      <c r="C14" s="24" t="s">
        <v>54</v>
      </c>
      <c r="D14" s="24" t="s">
        <v>38</v>
      </c>
      <c r="E14" s="25">
        <v>60400</v>
      </c>
      <c r="F14" s="26">
        <v>752.01020000000005</v>
      </c>
      <c r="G14" s="37">
        <v>3.2619554591723214E-2</v>
      </c>
    </row>
    <row r="15" spans="1:7" ht="12.95" customHeight="1">
      <c r="A15" s="8"/>
      <c r="B15" s="36" t="s">
        <v>55</v>
      </c>
      <c r="C15" s="24" t="s">
        <v>56</v>
      </c>
      <c r="D15" s="24" t="s">
        <v>49</v>
      </c>
      <c r="E15" s="25">
        <v>183178</v>
      </c>
      <c r="F15" s="26">
        <v>722.45403199999998</v>
      </c>
      <c r="G15" s="37">
        <v>3.1337512093365952E-2</v>
      </c>
    </row>
    <row r="16" spans="1:7" ht="12.95" customHeight="1">
      <c r="A16" s="8"/>
      <c r="B16" s="36" t="s">
        <v>57</v>
      </c>
      <c r="C16" s="24" t="s">
        <v>58</v>
      </c>
      <c r="D16" s="24" t="s">
        <v>59</v>
      </c>
      <c r="E16" s="25">
        <v>422309</v>
      </c>
      <c r="F16" s="26">
        <v>699.97716749999995</v>
      </c>
      <c r="G16" s="37">
        <v>3.0362544854080482E-2</v>
      </c>
    </row>
    <row r="17" spans="1:7" ht="12.95" customHeight="1">
      <c r="A17" s="8"/>
      <c r="B17" s="36" t="s">
        <v>60</v>
      </c>
      <c r="C17" s="24" t="s">
        <v>61</v>
      </c>
      <c r="D17" s="24" t="s">
        <v>62</v>
      </c>
      <c r="E17" s="25">
        <v>222367</v>
      </c>
      <c r="F17" s="26">
        <v>624.96245350000004</v>
      </c>
      <c r="G17" s="37">
        <v>2.710867069319077E-2</v>
      </c>
    </row>
    <row r="18" spans="1:7" ht="12.95" customHeight="1">
      <c r="A18" s="8"/>
      <c r="B18" s="36" t="s">
        <v>63</v>
      </c>
      <c r="C18" s="24" t="s">
        <v>64</v>
      </c>
      <c r="D18" s="24" t="s">
        <v>65</v>
      </c>
      <c r="E18" s="25">
        <v>18879</v>
      </c>
      <c r="F18" s="26">
        <v>605.11914750000005</v>
      </c>
      <c r="G18" s="37">
        <v>2.6247937948678437E-2</v>
      </c>
    </row>
    <row r="19" spans="1:7" ht="12.95" customHeight="1">
      <c r="A19" s="8"/>
      <c r="B19" s="36" t="s">
        <v>66</v>
      </c>
      <c r="C19" s="24" t="s">
        <v>67</v>
      </c>
      <c r="D19" s="24" t="s">
        <v>44</v>
      </c>
      <c r="E19" s="25">
        <v>56422</v>
      </c>
      <c r="F19" s="26">
        <v>578.29728899999998</v>
      </c>
      <c r="G19" s="37">
        <v>2.5084500168722493E-2</v>
      </c>
    </row>
    <row r="20" spans="1:7" ht="12.95" customHeight="1">
      <c r="A20" s="8"/>
      <c r="B20" s="36" t="s">
        <v>68</v>
      </c>
      <c r="C20" s="24" t="s">
        <v>69</v>
      </c>
      <c r="D20" s="24" t="s">
        <v>70</v>
      </c>
      <c r="E20" s="25">
        <v>186400</v>
      </c>
      <c r="F20" s="26">
        <v>577.46720000000005</v>
      </c>
      <c r="G20" s="37">
        <v>2.5048493830708077E-2</v>
      </c>
    </row>
    <row r="21" spans="1:7" ht="12.95" customHeight="1">
      <c r="A21" s="8"/>
      <c r="B21" s="36" t="s">
        <v>71</v>
      </c>
      <c r="C21" s="24" t="s">
        <v>72</v>
      </c>
      <c r="D21" s="24" t="s">
        <v>73</v>
      </c>
      <c r="E21" s="25">
        <v>483236</v>
      </c>
      <c r="F21" s="26">
        <v>450.85918800000002</v>
      </c>
      <c r="G21" s="37">
        <v>1.9556684066447502E-2</v>
      </c>
    </row>
    <row r="22" spans="1:7" ht="12.95" customHeight="1">
      <c r="A22" s="8"/>
      <c r="B22" s="36" t="s">
        <v>74</v>
      </c>
      <c r="C22" s="24" t="s">
        <v>75</v>
      </c>
      <c r="D22" s="24" t="s">
        <v>76</v>
      </c>
      <c r="E22" s="25">
        <v>7508</v>
      </c>
      <c r="F22" s="26">
        <v>447.58942000000002</v>
      </c>
      <c r="G22" s="37">
        <v>1.9414853043705698E-2</v>
      </c>
    </row>
    <row r="23" spans="1:7" ht="12.95" customHeight="1">
      <c r="A23" s="8"/>
      <c r="B23" s="36" t="s">
        <v>77</v>
      </c>
      <c r="C23" s="24" t="s">
        <v>78</v>
      </c>
      <c r="D23" s="24" t="s">
        <v>79</v>
      </c>
      <c r="E23" s="25">
        <v>1156718</v>
      </c>
      <c r="F23" s="26">
        <v>444.17971199999999</v>
      </c>
      <c r="G23" s="37">
        <v>1.9266951916503121E-2</v>
      </c>
    </row>
    <row r="24" spans="1:7" ht="12.95" customHeight="1">
      <c r="A24" s="8"/>
      <c r="B24" s="36" t="s">
        <v>80</v>
      </c>
      <c r="C24" s="24" t="s">
        <v>81</v>
      </c>
      <c r="D24" s="24" t="s">
        <v>73</v>
      </c>
      <c r="E24" s="25">
        <v>159589</v>
      </c>
      <c r="F24" s="26">
        <v>433.04475150000002</v>
      </c>
      <c r="G24" s="37">
        <v>1.8783956537043598E-2</v>
      </c>
    </row>
    <row r="25" spans="1:7" ht="12.95" customHeight="1">
      <c r="A25" s="8"/>
      <c r="B25" s="36" t="s">
        <v>82</v>
      </c>
      <c r="C25" s="24" t="s">
        <v>83</v>
      </c>
      <c r="D25" s="24" t="s">
        <v>84</v>
      </c>
      <c r="E25" s="25">
        <v>285253</v>
      </c>
      <c r="F25" s="26">
        <v>418.18089800000001</v>
      </c>
      <c r="G25" s="37">
        <v>1.8139214908955804E-2</v>
      </c>
    </row>
    <row r="26" spans="1:7" ht="12.95" customHeight="1">
      <c r="A26" s="8"/>
      <c r="B26" s="36" t="s">
        <v>85</v>
      </c>
      <c r="C26" s="24" t="s">
        <v>86</v>
      </c>
      <c r="D26" s="24" t="s">
        <v>87</v>
      </c>
      <c r="E26" s="25">
        <v>77524</v>
      </c>
      <c r="F26" s="26">
        <v>388.58904999999999</v>
      </c>
      <c r="G26" s="37">
        <v>1.6855624737830498E-2</v>
      </c>
    </row>
    <row r="27" spans="1:7" ht="12.95" customHeight="1">
      <c r="A27" s="8"/>
      <c r="B27" s="36" t="s">
        <v>88</v>
      </c>
      <c r="C27" s="24" t="s">
        <v>89</v>
      </c>
      <c r="D27" s="24" t="s">
        <v>41</v>
      </c>
      <c r="E27" s="25">
        <v>62278</v>
      </c>
      <c r="F27" s="26">
        <v>385.87448799999999</v>
      </c>
      <c r="G27" s="37">
        <v>1.6737876596446755E-2</v>
      </c>
    </row>
    <row r="28" spans="1:7" ht="12.95" customHeight="1">
      <c r="A28" s="8"/>
      <c r="B28" s="36" t="s">
        <v>90</v>
      </c>
      <c r="C28" s="24" t="s">
        <v>91</v>
      </c>
      <c r="D28" s="24" t="s">
        <v>44</v>
      </c>
      <c r="E28" s="25">
        <v>65475</v>
      </c>
      <c r="F28" s="26">
        <v>370.06470000000002</v>
      </c>
      <c r="G28" s="37">
        <v>1.6052103660455234E-2</v>
      </c>
    </row>
    <row r="29" spans="1:7" ht="12.95" customHeight="1">
      <c r="A29" s="8"/>
      <c r="B29" s="36" t="s">
        <v>92</v>
      </c>
      <c r="C29" s="24" t="s">
        <v>93</v>
      </c>
      <c r="D29" s="24" t="s">
        <v>84</v>
      </c>
      <c r="E29" s="25">
        <v>19587</v>
      </c>
      <c r="F29" s="26">
        <v>368.15725200000003</v>
      </c>
      <c r="G29" s="37">
        <v>1.5969365282482606E-2</v>
      </c>
    </row>
    <row r="30" spans="1:7" ht="12.95" customHeight="1">
      <c r="A30" s="8"/>
      <c r="B30" s="36" t="s">
        <v>94</v>
      </c>
      <c r="C30" s="24" t="s">
        <v>95</v>
      </c>
      <c r="D30" s="24" t="s">
        <v>96</v>
      </c>
      <c r="E30" s="25">
        <v>336395</v>
      </c>
      <c r="F30" s="26">
        <v>352.20556499999998</v>
      </c>
      <c r="G30" s="37">
        <v>1.5277437267508099E-2</v>
      </c>
    </row>
    <row r="31" spans="1:7" ht="12.95" customHeight="1">
      <c r="A31" s="8"/>
      <c r="B31" s="36" t="s">
        <v>97</v>
      </c>
      <c r="C31" s="24" t="s">
        <v>98</v>
      </c>
      <c r="D31" s="24" t="s">
        <v>38</v>
      </c>
      <c r="E31" s="25">
        <v>85000</v>
      </c>
      <c r="F31" s="26">
        <v>351.85750000000002</v>
      </c>
      <c r="G31" s="37">
        <v>1.5262339433371051E-2</v>
      </c>
    </row>
    <row r="32" spans="1:7" ht="12.95" customHeight="1">
      <c r="A32" s="8"/>
      <c r="B32" s="36" t="s">
        <v>99</v>
      </c>
      <c r="C32" s="24" t="s">
        <v>100</v>
      </c>
      <c r="D32" s="24" t="s">
        <v>44</v>
      </c>
      <c r="E32" s="25">
        <v>68500</v>
      </c>
      <c r="F32" s="26">
        <v>350.3775</v>
      </c>
      <c r="G32" s="37">
        <v>1.5198142244561976E-2</v>
      </c>
    </row>
    <row r="33" spans="1:7" ht="12.95" customHeight="1">
      <c r="A33" s="8"/>
      <c r="B33" s="36" t="s">
        <v>101</v>
      </c>
      <c r="C33" s="24" t="s">
        <v>102</v>
      </c>
      <c r="D33" s="24" t="s">
        <v>38</v>
      </c>
      <c r="E33" s="25">
        <v>22217</v>
      </c>
      <c r="F33" s="26">
        <v>341.69745999999998</v>
      </c>
      <c r="G33" s="37">
        <v>1.4821632672433378E-2</v>
      </c>
    </row>
    <row r="34" spans="1:7" ht="12.95" customHeight="1">
      <c r="A34" s="8"/>
      <c r="B34" s="36" t="s">
        <v>103</v>
      </c>
      <c r="C34" s="24" t="s">
        <v>104</v>
      </c>
      <c r="D34" s="24" t="s">
        <v>70</v>
      </c>
      <c r="E34" s="25">
        <v>308685</v>
      </c>
      <c r="F34" s="26">
        <v>335.69493749999998</v>
      </c>
      <c r="G34" s="37">
        <v>1.4561264381714985E-2</v>
      </c>
    </row>
    <row r="35" spans="1:7" ht="12.95" customHeight="1">
      <c r="A35" s="8"/>
      <c r="B35" s="36" t="s">
        <v>105</v>
      </c>
      <c r="C35" s="24" t="s">
        <v>106</v>
      </c>
      <c r="D35" s="24" t="s">
        <v>107</v>
      </c>
      <c r="E35" s="25">
        <v>205527</v>
      </c>
      <c r="F35" s="26">
        <v>329.66530799999998</v>
      </c>
      <c r="G35" s="37">
        <v>1.429972028478237E-2</v>
      </c>
    </row>
    <row r="36" spans="1:7" ht="12.95" customHeight="1">
      <c r="A36" s="8"/>
      <c r="B36" s="36" t="s">
        <v>108</v>
      </c>
      <c r="C36" s="24" t="s">
        <v>109</v>
      </c>
      <c r="D36" s="24" t="s">
        <v>110</v>
      </c>
      <c r="E36" s="25">
        <v>247265</v>
      </c>
      <c r="F36" s="26">
        <v>326.14253500000001</v>
      </c>
      <c r="G36" s="37">
        <v>1.4146914795990133E-2</v>
      </c>
    </row>
    <row r="37" spans="1:7" ht="12.95" customHeight="1">
      <c r="A37" s="8"/>
      <c r="B37" s="36" t="s">
        <v>111</v>
      </c>
      <c r="C37" s="24" t="s">
        <v>112</v>
      </c>
      <c r="D37" s="24" t="s">
        <v>62</v>
      </c>
      <c r="E37" s="25">
        <v>111000</v>
      </c>
      <c r="F37" s="26">
        <v>318.79199999999997</v>
      </c>
      <c r="G37" s="37">
        <v>1.3828074469474785E-2</v>
      </c>
    </row>
    <row r="38" spans="1:7" ht="12.95" customHeight="1">
      <c r="A38" s="8"/>
      <c r="B38" s="36" t="s">
        <v>113</v>
      </c>
      <c r="C38" s="24" t="s">
        <v>114</v>
      </c>
      <c r="D38" s="24" t="s">
        <v>115</v>
      </c>
      <c r="E38" s="25">
        <v>65000</v>
      </c>
      <c r="F38" s="26">
        <v>314.63249999999999</v>
      </c>
      <c r="G38" s="37">
        <v>1.3647650005386036E-2</v>
      </c>
    </row>
    <row r="39" spans="1:7" ht="12.95" customHeight="1">
      <c r="A39" s="8"/>
      <c r="B39" s="36" t="s">
        <v>116</v>
      </c>
      <c r="C39" s="24" t="s">
        <v>117</v>
      </c>
      <c r="D39" s="24" t="s">
        <v>65</v>
      </c>
      <c r="E39" s="25">
        <v>33136</v>
      </c>
      <c r="F39" s="26">
        <v>298.820448</v>
      </c>
      <c r="G39" s="37">
        <v>1.2961778865046229E-2</v>
      </c>
    </row>
    <row r="40" spans="1:7" ht="12.95" customHeight="1">
      <c r="A40" s="8"/>
      <c r="B40" s="36" t="s">
        <v>118</v>
      </c>
      <c r="C40" s="24" t="s">
        <v>119</v>
      </c>
      <c r="D40" s="24" t="s">
        <v>38</v>
      </c>
      <c r="E40" s="25">
        <v>46877</v>
      </c>
      <c r="F40" s="26">
        <v>297.622073</v>
      </c>
      <c r="G40" s="37">
        <v>1.2909797577114421E-2</v>
      </c>
    </row>
    <row r="41" spans="1:7" ht="12.95" customHeight="1">
      <c r="A41" s="8"/>
      <c r="B41" s="36" t="s">
        <v>120</v>
      </c>
      <c r="C41" s="24" t="s">
        <v>121</v>
      </c>
      <c r="D41" s="24" t="s">
        <v>96</v>
      </c>
      <c r="E41" s="25">
        <v>108650</v>
      </c>
      <c r="F41" s="26">
        <v>285.42354999999998</v>
      </c>
      <c r="G41" s="37">
        <v>1.2380668601288175E-2</v>
      </c>
    </row>
    <row r="42" spans="1:7" ht="12.95" customHeight="1">
      <c r="A42" s="8"/>
      <c r="B42" s="36" t="s">
        <v>122</v>
      </c>
      <c r="C42" s="24" t="s">
        <v>123</v>
      </c>
      <c r="D42" s="24" t="s">
        <v>41</v>
      </c>
      <c r="E42" s="25">
        <v>70000</v>
      </c>
      <c r="F42" s="26">
        <v>281.78500000000003</v>
      </c>
      <c r="G42" s="37">
        <v>1.2222841113895431E-2</v>
      </c>
    </row>
    <row r="43" spans="1:7" ht="12.95" customHeight="1">
      <c r="A43" s="8"/>
      <c r="B43" s="36" t="s">
        <v>124</v>
      </c>
      <c r="C43" s="24" t="s">
        <v>125</v>
      </c>
      <c r="D43" s="24" t="s">
        <v>76</v>
      </c>
      <c r="E43" s="25">
        <v>27874</v>
      </c>
      <c r="F43" s="26">
        <v>260.84489200000002</v>
      </c>
      <c r="G43" s="37">
        <v>1.1314532960545144E-2</v>
      </c>
    </row>
    <row r="44" spans="1:7" ht="12.95" customHeight="1">
      <c r="A44" s="8"/>
      <c r="B44" s="36" t="s">
        <v>126</v>
      </c>
      <c r="C44" s="24" t="s">
        <v>127</v>
      </c>
      <c r="D44" s="24" t="s">
        <v>44</v>
      </c>
      <c r="E44" s="25">
        <v>49019</v>
      </c>
      <c r="F44" s="26">
        <v>256.98210749999998</v>
      </c>
      <c r="G44" s="37">
        <v>1.1146978970088881E-2</v>
      </c>
    </row>
    <row r="45" spans="1:7" ht="12.95" customHeight="1">
      <c r="A45" s="8"/>
      <c r="B45" s="36" t="s">
        <v>128</v>
      </c>
      <c r="C45" s="24" t="s">
        <v>129</v>
      </c>
      <c r="D45" s="24" t="s">
        <v>130</v>
      </c>
      <c r="E45" s="25">
        <v>23100</v>
      </c>
      <c r="F45" s="26">
        <v>252.09030000000001</v>
      </c>
      <c r="G45" s="37">
        <v>1.0934789585159725E-2</v>
      </c>
    </row>
    <row r="46" spans="1:7" ht="12.95" customHeight="1">
      <c r="A46" s="8"/>
      <c r="B46" s="36" t="s">
        <v>131</v>
      </c>
      <c r="C46" s="24" t="s">
        <v>132</v>
      </c>
      <c r="D46" s="24" t="s">
        <v>49</v>
      </c>
      <c r="E46" s="25">
        <v>207533</v>
      </c>
      <c r="F46" s="26">
        <v>251.42622950000001</v>
      </c>
      <c r="G46" s="37">
        <v>1.0905984545111727E-2</v>
      </c>
    </row>
    <row r="47" spans="1:7" ht="12.95" customHeight="1">
      <c r="A47" s="8"/>
      <c r="B47" s="36" t="s">
        <v>133</v>
      </c>
      <c r="C47" s="24" t="s">
        <v>134</v>
      </c>
      <c r="D47" s="24" t="s">
        <v>52</v>
      </c>
      <c r="E47" s="25">
        <v>1765781</v>
      </c>
      <c r="F47" s="26">
        <v>249.8580115</v>
      </c>
      <c r="G47" s="37">
        <v>1.0837960770084842E-2</v>
      </c>
    </row>
    <row r="48" spans="1:7" ht="12.95" customHeight="1">
      <c r="A48" s="8"/>
      <c r="B48" s="36" t="s">
        <v>135</v>
      </c>
      <c r="C48" s="24" t="s">
        <v>136</v>
      </c>
      <c r="D48" s="24" t="s">
        <v>38</v>
      </c>
      <c r="E48" s="25">
        <v>33300</v>
      </c>
      <c r="F48" s="26">
        <v>240.00975</v>
      </c>
      <c r="G48" s="37">
        <v>1.0410777862681703E-2</v>
      </c>
    </row>
    <row r="49" spans="1:7" ht="12.95" customHeight="1">
      <c r="A49" s="8"/>
      <c r="B49" s="36" t="s">
        <v>137</v>
      </c>
      <c r="C49" s="24" t="s">
        <v>138</v>
      </c>
      <c r="D49" s="24" t="s">
        <v>139</v>
      </c>
      <c r="E49" s="25">
        <v>417580</v>
      </c>
      <c r="F49" s="26">
        <v>239.69092000000001</v>
      </c>
      <c r="G49" s="37">
        <v>1.0396948139906029E-2</v>
      </c>
    </row>
    <row r="50" spans="1:7" ht="12.95" customHeight="1">
      <c r="A50" s="8"/>
      <c r="B50" s="36" t="s">
        <v>140</v>
      </c>
      <c r="C50" s="24" t="s">
        <v>141</v>
      </c>
      <c r="D50" s="24" t="s">
        <v>65</v>
      </c>
      <c r="E50" s="25">
        <v>15925</v>
      </c>
      <c r="F50" s="26">
        <v>218.57062500000001</v>
      </c>
      <c r="G50" s="37">
        <v>9.4808241089476743E-3</v>
      </c>
    </row>
    <row r="51" spans="1:7" ht="12.95" customHeight="1">
      <c r="A51" s="8"/>
      <c r="B51" s="36" t="s">
        <v>142</v>
      </c>
      <c r="C51" s="24" t="s">
        <v>143</v>
      </c>
      <c r="D51" s="24" t="s">
        <v>41</v>
      </c>
      <c r="E51" s="25">
        <v>20550</v>
      </c>
      <c r="F51" s="26">
        <v>218.04577499999999</v>
      </c>
      <c r="G51" s="37">
        <v>9.4580579639838621E-3</v>
      </c>
    </row>
    <row r="52" spans="1:7" ht="12.95" customHeight="1">
      <c r="A52" s="8"/>
      <c r="B52" s="36" t="s">
        <v>144</v>
      </c>
      <c r="C52" s="24" t="s">
        <v>145</v>
      </c>
      <c r="D52" s="24" t="s">
        <v>65</v>
      </c>
      <c r="E52" s="25">
        <v>25463</v>
      </c>
      <c r="F52" s="26">
        <v>214.754942</v>
      </c>
      <c r="G52" s="37">
        <v>9.3153132157134996E-3</v>
      </c>
    </row>
    <row r="53" spans="1:7" ht="12.95" customHeight="1">
      <c r="A53" s="8"/>
      <c r="B53" s="36" t="s">
        <v>146</v>
      </c>
      <c r="C53" s="24" t="s">
        <v>147</v>
      </c>
      <c r="D53" s="24" t="s">
        <v>79</v>
      </c>
      <c r="E53" s="25">
        <v>86267</v>
      </c>
      <c r="F53" s="26">
        <v>207.04079999999999</v>
      </c>
      <c r="G53" s="37">
        <v>8.9807008978256518E-3</v>
      </c>
    </row>
    <row r="54" spans="1:7" ht="12.95" customHeight="1">
      <c r="A54" s="8"/>
      <c r="B54" s="36" t="s">
        <v>148</v>
      </c>
      <c r="C54" s="24" t="s">
        <v>149</v>
      </c>
      <c r="D54" s="24" t="s">
        <v>59</v>
      </c>
      <c r="E54" s="25">
        <v>109000</v>
      </c>
      <c r="F54" s="26">
        <v>204.32050000000001</v>
      </c>
      <c r="G54" s="37">
        <v>8.8627038622058358E-3</v>
      </c>
    </row>
    <row r="55" spans="1:7" ht="12.95" customHeight="1">
      <c r="A55" s="8"/>
      <c r="B55" s="36" t="s">
        <v>150</v>
      </c>
      <c r="C55" s="24" t="s">
        <v>151</v>
      </c>
      <c r="D55" s="24" t="s">
        <v>152</v>
      </c>
      <c r="E55" s="25">
        <v>293305</v>
      </c>
      <c r="F55" s="26">
        <v>203.26036500000001</v>
      </c>
      <c r="G55" s="37">
        <v>8.8167189387206267E-3</v>
      </c>
    </row>
    <row r="56" spans="1:7" ht="12.95" customHeight="1">
      <c r="A56" s="8"/>
      <c r="B56" s="36" t="s">
        <v>153</v>
      </c>
      <c r="C56" s="24" t="s">
        <v>154</v>
      </c>
      <c r="D56" s="24" t="s">
        <v>52</v>
      </c>
      <c r="E56" s="25">
        <v>10416</v>
      </c>
      <c r="F56" s="26">
        <v>197.706096</v>
      </c>
      <c r="G56" s="37">
        <v>8.5757943064980642E-3</v>
      </c>
    </row>
    <row r="57" spans="1:7" ht="12.95" customHeight="1">
      <c r="A57" s="8"/>
      <c r="B57" s="36" t="s">
        <v>155</v>
      </c>
      <c r="C57" s="24" t="s">
        <v>156</v>
      </c>
      <c r="D57" s="24" t="s">
        <v>52</v>
      </c>
      <c r="E57" s="25">
        <v>69803</v>
      </c>
      <c r="F57" s="26">
        <v>164.83978450000001</v>
      </c>
      <c r="G57" s="37">
        <v>7.1501694383741604E-3</v>
      </c>
    </row>
    <row r="58" spans="1:7" ht="12.95" customHeight="1">
      <c r="A58" s="8"/>
      <c r="B58" s="36" t="s">
        <v>157</v>
      </c>
      <c r="C58" s="24" t="s">
        <v>158</v>
      </c>
      <c r="D58" s="24" t="s">
        <v>159</v>
      </c>
      <c r="E58" s="25">
        <v>124452</v>
      </c>
      <c r="F58" s="26">
        <v>159.67191600000001</v>
      </c>
      <c r="G58" s="37">
        <v>6.9260054992964764E-3</v>
      </c>
    </row>
    <row r="59" spans="1:7" ht="12.95" customHeight="1">
      <c r="A59" s="8"/>
      <c r="B59" s="36" t="s">
        <v>160</v>
      </c>
      <c r="C59" s="24" t="s">
        <v>161</v>
      </c>
      <c r="D59" s="24" t="s">
        <v>41</v>
      </c>
      <c r="E59" s="25">
        <v>5048</v>
      </c>
      <c r="F59" s="26">
        <v>155.85447600000001</v>
      </c>
      <c r="G59" s="37">
        <v>6.7604183935888306E-3</v>
      </c>
    </row>
    <row r="60" spans="1:7" ht="12.95" customHeight="1">
      <c r="A60" s="8"/>
      <c r="B60" s="36" t="s">
        <v>162</v>
      </c>
      <c r="C60" s="24" t="s">
        <v>163</v>
      </c>
      <c r="D60" s="24" t="s">
        <v>152</v>
      </c>
      <c r="E60" s="25">
        <v>110000</v>
      </c>
      <c r="F60" s="26">
        <v>150.69999999999999</v>
      </c>
      <c r="G60" s="37">
        <v>6.536835374005151E-3</v>
      </c>
    </row>
    <row r="61" spans="1:7" ht="12.95" customHeight="1">
      <c r="A61" s="8"/>
      <c r="B61" s="36" t="s">
        <v>164</v>
      </c>
      <c r="C61" s="24" t="s">
        <v>165</v>
      </c>
      <c r="D61" s="24" t="s">
        <v>65</v>
      </c>
      <c r="E61" s="25">
        <v>100000</v>
      </c>
      <c r="F61" s="26">
        <v>150.05000000000001</v>
      </c>
      <c r="G61" s="37">
        <v>6.5086406627038679E-3</v>
      </c>
    </row>
    <row r="62" spans="1:7" ht="12.95" customHeight="1">
      <c r="A62" s="8"/>
      <c r="B62" s="36" t="s">
        <v>166</v>
      </c>
      <c r="C62" s="24" t="s">
        <v>167</v>
      </c>
      <c r="D62" s="24" t="s">
        <v>38</v>
      </c>
      <c r="E62" s="25">
        <v>116577</v>
      </c>
      <c r="F62" s="26">
        <v>133.88868450000001</v>
      </c>
      <c r="G62" s="37">
        <v>5.8076197015170215E-3</v>
      </c>
    </row>
    <row r="63" spans="1:7" ht="12.95" customHeight="1">
      <c r="A63" s="8"/>
      <c r="B63" s="36" t="s">
        <v>168</v>
      </c>
      <c r="C63" s="24" t="s">
        <v>169</v>
      </c>
      <c r="D63" s="24" t="s">
        <v>44</v>
      </c>
      <c r="E63" s="25">
        <v>12164</v>
      </c>
      <c r="F63" s="26">
        <v>113.508366</v>
      </c>
      <c r="G63" s="37">
        <v>4.923593245615949E-3</v>
      </c>
    </row>
    <row r="64" spans="1:7" ht="12.95" customHeight="1">
      <c r="A64" s="8"/>
      <c r="B64" s="36" t="s">
        <v>170</v>
      </c>
      <c r="C64" s="24" t="s">
        <v>171</v>
      </c>
      <c r="D64" s="24" t="s">
        <v>65</v>
      </c>
      <c r="E64" s="25">
        <v>22120</v>
      </c>
      <c r="F64" s="26">
        <v>107.07186</v>
      </c>
      <c r="G64" s="37">
        <v>4.6444002787559861E-3</v>
      </c>
    </row>
    <row r="65" spans="1:8" ht="12.95" customHeight="1">
      <c r="A65" s="8"/>
      <c r="B65" s="36" t="s">
        <v>172</v>
      </c>
      <c r="C65" s="24" t="s">
        <v>173</v>
      </c>
      <c r="D65" s="24" t="s">
        <v>41</v>
      </c>
      <c r="E65" s="25">
        <v>140</v>
      </c>
      <c r="F65" s="26">
        <v>1.9443900000000001</v>
      </c>
      <c r="G65" s="37">
        <v>8.4340791857079469E-5</v>
      </c>
    </row>
    <row r="66" spans="1:8" ht="12.95" customHeight="1">
      <c r="A66" s="8"/>
      <c r="B66" s="36" t="s">
        <v>364</v>
      </c>
      <c r="C66" s="24" t="s">
        <v>175</v>
      </c>
      <c r="D66" s="24" t="s">
        <v>73</v>
      </c>
      <c r="E66" s="25">
        <v>3771369</v>
      </c>
      <c r="F66" s="26">
        <v>26.399583</v>
      </c>
      <c r="G66" s="37">
        <v>1.1451209556296285E-3</v>
      </c>
    </row>
    <row r="67" spans="1:8" ht="12.95" customHeight="1">
      <c r="A67" s="10"/>
      <c r="B67" s="34" t="s">
        <v>23</v>
      </c>
      <c r="C67" s="24" t="s">
        <v>1</v>
      </c>
      <c r="D67" s="24" t="s">
        <v>1</v>
      </c>
      <c r="E67" s="24" t="s">
        <v>1</v>
      </c>
      <c r="F67" s="27">
        <f>SUM(F8:F66)</f>
        <v>21680.496511500001</v>
      </c>
      <c r="G67" s="60">
        <f>SUM(G8:G66)</f>
        <v>0.94042360001571657</v>
      </c>
      <c r="H67" s="59"/>
    </row>
    <row r="68" spans="1:8" ht="12.95" customHeight="1">
      <c r="A68" s="10"/>
      <c r="B68" s="34"/>
      <c r="C68" s="24"/>
      <c r="D68" s="24"/>
      <c r="E68" s="24"/>
      <c r="F68" s="27"/>
      <c r="G68" s="60"/>
      <c r="H68" s="59"/>
    </row>
    <row r="69" spans="1:8" ht="12.95" customHeight="1">
      <c r="A69" s="10"/>
      <c r="B69" s="34" t="s">
        <v>174</v>
      </c>
      <c r="C69" s="24" t="s">
        <v>1</v>
      </c>
      <c r="D69" s="24" t="s">
        <v>1</v>
      </c>
      <c r="E69" s="27" t="s">
        <v>317</v>
      </c>
      <c r="F69" s="27" t="s">
        <v>317</v>
      </c>
      <c r="G69" s="61" t="s">
        <v>317</v>
      </c>
    </row>
    <row r="70" spans="1:8" ht="12.95" customHeight="1">
      <c r="A70" s="10"/>
      <c r="B70" s="34" t="s">
        <v>23</v>
      </c>
      <c r="C70" s="24" t="s">
        <v>1</v>
      </c>
      <c r="D70" s="24" t="s">
        <v>1</v>
      </c>
      <c r="E70" s="27" t="s">
        <v>317</v>
      </c>
      <c r="F70" s="27" t="s">
        <v>317</v>
      </c>
      <c r="G70" s="61" t="s">
        <v>317</v>
      </c>
    </row>
    <row r="71" spans="1:8" ht="12.95" customHeight="1">
      <c r="A71" s="10"/>
      <c r="B71" s="34" t="s">
        <v>24</v>
      </c>
      <c r="C71" s="24" t="s">
        <v>1</v>
      </c>
      <c r="D71" s="24" t="s">
        <v>1</v>
      </c>
      <c r="E71" s="24" t="s">
        <v>1</v>
      </c>
      <c r="F71" s="27">
        <v>21680.496511500001</v>
      </c>
      <c r="G71" s="38">
        <v>0.94042360001571645</v>
      </c>
    </row>
    <row r="72" spans="1:8" ht="12.95" customHeight="1">
      <c r="A72" s="10"/>
      <c r="B72" s="34"/>
      <c r="C72" s="24"/>
      <c r="D72" s="24"/>
      <c r="E72" s="24"/>
      <c r="F72" s="27"/>
      <c r="G72" s="38"/>
    </row>
    <row r="73" spans="1:8" ht="12.95" customHeight="1">
      <c r="A73" s="10"/>
      <c r="B73" s="29" t="s">
        <v>353</v>
      </c>
      <c r="C73" s="23"/>
      <c r="D73" s="24"/>
      <c r="E73" s="24"/>
      <c r="F73" s="27"/>
      <c r="G73" s="38"/>
    </row>
    <row r="74" spans="1:8" ht="12.95" customHeight="1">
      <c r="A74" s="8"/>
      <c r="B74" s="31" t="s">
        <v>357</v>
      </c>
      <c r="C74" s="23"/>
      <c r="D74" s="24"/>
      <c r="E74" s="27" t="s">
        <v>317</v>
      </c>
      <c r="F74" s="27" t="s">
        <v>317</v>
      </c>
      <c r="G74" s="61" t="s">
        <v>317</v>
      </c>
    </row>
    <row r="75" spans="1:8" ht="12.95" customHeight="1">
      <c r="A75" s="10"/>
      <c r="B75" s="31" t="s">
        <v>355</v>
      </c>
      <c r="C75" s="23"/>
      <c r="D75" s="24"/>
      <c r="E75" s="27" t="s">
        <v>317</v>
      </c>
      <c r="F75" s="27" t="s">
        <v>317</v>
      </c>
      <c r="G75" s="61" t="s">
        <v>317</v>
      </c>
    </row>
    <row r="76" spans="1:8" ht="12.95" customHeight="1">
      <c r="A76" s="10"/>
      <c r="B76" s="31" t="s">
        <v>356</v>
      </c>
      <c r="C76" s="23"/>
      <c r="D76" s="24"/>
      <c r="E76" s="27" t="s">
        <v>317</v>
      </c>
      <c r="F76" s="27" t="s">
        <v>317</v>
      </c>
      <c r="G76" s="61" t="s">
        <v>317</v>
      </c>
    </row>
    <row r="77" spans="1:8" ht="12.95" customHeight="1">
      <c r="A77" s="10"/>
      <c r="B77" s="31"/>
      <c r="C77" s="23"/>
      <c r="D77" s="24"/>
      <c r="E77" s="24"/>
      <c r="F77" s="27"/>
      <c r="G77" s="62"/>
    </row>
    <row r="78" spans="1:8" ht="12.95" customHeight="1">
      <c r="A78" s="10"/>
      <c r="B78" s="34" t="s">
        <v>9</v>
      </c>
      <c r="C78" s="23"/>
      <c r="D78" s="24"/>
      <c r="E78" s="24"/>
      <c r="F78" s="27"/>
      <c r="G78" s="38"/>
    </row>
    <row r="79" spans="1:8" ht="12.95" customHeight="1">
      <c r="A79" s="10"/>
      <c r="B79" s="34" t="s">
        <v>25</v>
      </c>
      <c r="C79" s="24" t="s">
        <v>1</v>
      </c>
      <c r="D79" s="24" t="s">
        <v>1</v>
      </c>
      <c r="E79" s="24" t="s">
        <v>1</v>
      </c>
      <c r="F79" s="28" t="s">
        <v>1</v>
      </c>
      <c r="G79" s="39" t="s">
        <v>1</v>
      </c>
    </row>
    <row r="80" spans="1:8" ht="12.95" customHeight="1">
      <c r="A80" s="8"/>
      <c r="B80" s="36" t="s">
        <v>26</v>
      </c>
      <c r="C80" s="24" t="s">
        <v>1</v>
      </c>
      <c r="D80" s="24" t="s">
        <v>27</v>
      </c>
      <c r="E80" s="25"/>
      <c r="F80" s="26">
        <v>935.24503189999996</v>
      </c>
      <c r="G80" s="37">
        <v>4.0567636415968784E-2</v>
      </c>
    </row>
    <row r="81" spans="1:7" ht="12.95" customHeight="1">
      <c r="A81" s="10"/>
      <c r="B81" s="34" t="s">
        <v>23</v>
      </c>
      <c r="C81" s="24" t="s">
        <v>1</v>
      </c>
      <c r="D81" s="24" t="s">
        <v>1</v>
      </c>
      <c r="E81" s="24" t="s">
        <v>1</v>
      </c>
      <c r="F81" s="27">
        <v>935.24503189999996</v>
      </c>
      <c r="G81" s="38">
        <v>4.0567636415968784E-2</v>
      </c>
    </row>
    <row r="82" spans="1:7" ht="12.95" customHeight="1">
      <c r="A82" s="10"/>
      <c r="B82" s="34" t="s">
        <v>24</v>
      </c>
      <c r="C82" s="24" t="s">
        <v>1</v>
      </c>
      <c r="D82" s="24" t="s">
        <v>1</v>
      </c>
      <c r="E82" s="24" t="s">
        <v>1</v>
      </c>
      <c r="F82" s="27">
        <v>935.24503189999996</v>
      </c>
      <c r="G82" s="38">
        <v>4.0567636415968784E-2</v>
      </c>
    </row>
    <row r="83" spans="1:7" ht="12.95" customHeight="1">
      <c r="A83" s="10"/>
      <c r="B83" s="34"/>
      <c r="C83" s="24"/>
      <c r="D83" s="24"/>
      <c r="E83" s="24"/>
      <c r="F83" s="27"/>
      <c r="G83" s="38"/>
    </row>
    <row r="84" spans="1:7" ht="12.95" customHeight="1">
      <c r="A84" s="10"/>
      <c r="B84" s="4" t="s">
        <v>186</v>
      </c>
      <c r="C84" s="24"/>
      <c r="D84" s="24"/>
      <c r="E84" s="24"/>
      <c r="F84" s="27"/>
      <c r="G84" s="38"/>
    </row>
    <row r="85" spans="1:7" ht="12.95" customHeight="1" thickBot="1">
      <c r="A85" s="10"/>
      <c r="B85" s="53" t="s">
        <v>28</v>
      </c>
      <c r="C85" s="54" t="s">
        <v>1</v>
      </c>
      <c r="D85" s="54" t="s">
        <v>1</v>
      </c>
      <c r="E85" s="54" t="s">
        <v>1</v>
      </c>
      <c r="F85" s="55">
        <v>438.22744582749999</v>
      </c>
      <c r="G85" s="56">
        <v>1.9008763568314775E-2</v>
      </c>
    </row>
    <row r="86" spans="1:7" ht="12.95" customHeight="1" thickTop="1" thickBot="1">
      <c r="A86" s="10"/>
      <c r="B86" s="49" t="s">
        <v>29</v>
      </c>
      <c r="C86" s="50" t="s">
        <v>1</v>
      </c>
      <c r="D86" s="50" t="s">
        <v>1</v>
      </c>
      <c r="E86" s="50" t="s">
        <v>1</v>
      </c>
      <c r="F86" s="51">
        <v>23053.968989227498</v>
      </c>
      <c r="G86" s="52">
        <v>1</v>
      </c>
    </row>
    <row r="87" spans="1:7" ht="12.95" customHeight="1">
      <c r="A87" s="10"/>
      <c r="B87" s="7" t="s">
        <v>1</v>
      </c>
      <c r="C87" s="10"/>
      <c r="D87" s="10"/>
      <c r="E87" s="10"/>
      <c r="F87" s="12"/>
      <c r="G87" s="13"/>
    </row>
    <row r="88" spans="1:7" ht="12.95" customHeight="1">
      <c r="A88" s="10"/>
      <c r="B88" s="5" t="s">
        <v>27</v>
      </c>
      <c r="C88" s="10"/>
      <c r="D88" s="10"/>
      <c r="E88" s="10"/>
      <c r="F88" s="12"/>
      <c r="G88" s="13"/>
    </row>
    <row r="89" spans="1:7" ht="12.95" customHeight="1">
      <c r="A89" s="10"/>
      <c r="B89" s="5"/>
      <c r="C89" s="10"/>
      <c r="D89" s="10"/>
      <c r="E89" s="10"/>
      <c r="F89" s="12"/>
      <c r="G89" s="13"/>
    </row>
    <row r="90" spans="1:7" ht="12.95" customHeight="1">
      <c r="A90" s="10"/>
      <c r="B90" s="5" t="s">
        <v>361</v>
      </c>
      <c r="C90" s="10"/>
      <c r="D90" s="10"/>
      <c r="E90" s="10"/>
      <c r="F90" s="12"/>
      <c r="G90" s="13"/>
    </row>
    <row r="91" spans="1:7" ht="12.95" customHeight="1" thickBot="1">
      <c r="A91" s="10"/>
      <c r="B91" s="5" t="s">
        <v>1</v>
      </c>
      <c r="C91" s="10"/>
      <c r="D91" s="10"/>
      <c r="E91" s="10"/>
      <c r="F91" s="12"/>
      <c r="G91" s="13"/>
    </row>
    <row r="92" spans="1:7" ht="12" thickBot="1">
      <c r="B92" s="66" t="s">
        <v>369</v>
      </c>
      <c r="C92" s="67">
        <v>0.78959999999999997</v>
      </c>
      <c r="F92" s="14"/>
      <c r="G92" s="15"/>
    </row>
    <row r="93" spans="1:7">
      <c r="B93" s="10" t="s">
        <v>370</v>
      </c>
      <c r="C93" s="10"/>
      <c r="F93" s="14"/>
      <c r="G93" s="15"/>
    </row>
    <row r="94" spans="1:7">
      <c r="F94" s="14"/>
      <c r="G94" s="15"/>
    </row>
    <row r="95" spans="1:7">
      <c r="F95" s="14"/>
      <c r="G95" s="15"/>
    </row>
    <row r="96" spans="1:7">
      <c r="F96" s="14"/>
      <c r="G96" s="15"/>
    </row>
    <row r="97" spans="6:7">
      <c r="F97" s="14"/>
      <c r="G97" s="15"/>
    </row>
    <row r="98" spans="6:7">
      <c r="F98" s="14"/>
      <c r="G98" s="15"/>
    </row>
    <row r="99" spans="6:7">
      <c r="F99" s="14"/>
      <c r="G99" s="15"/>
    </row>
    <row r="100" spans="6:7">
      <c r="F100" s="14"/>
      <c r="G100" s="15"/>
    </row>
    <row r="101" spans="6:7">
      <c r="F101" s="14"/>
      <c r="G101" s="15"/>
    </row>
    <row r="102" spans="6:7">
      <c r="F102" s="14"/>
      <c r="G102" s="15"/>
    </row>
    <row r="103" spans="6:7">
      <c r="F103" s="14"/>
      <c r="G103" s="15"/>
    </row>
    <row r="104" spans="6:7">
      <c r="F104" s="14"/>
      <c r="G104" s="15"/>
    </row>
    <row r="105" spans="6:7">
      <c r="F105" s="14"/>
      <c r="G105" s="15"/>
    </row>
    <row r="106" spans="6:7">
      <c r="F106" s="14"/>
      <c r="G106" s="15"/>
    </row>
    <row r="107" spans="6:7">
      <c r="F107" s="14"/>
      <c r="G107" s="15"/>
    </row>
    <row r="108" spans="6:7">
      <c r="F108" s="14"/>
      <c r="G108" s="15"/>
    </row>
    <row r="109" spans="6:7">
      <c r="F109" s="14"/>
      <c r="G109" s="15"/>
    </row>
    <row r="110" spans="6:7">
      <c r="F110" s="14"/>
      <c r="G110" s="15"/>
    </row>
    <row r="111" spans="6:7">
      <c r="F111" s="14"/>
      <c r="G111" s="15"/>
    </row>
    <row r="112" spans="6:7">
      <c r="F112" s="14"/>
      <c r="G112" s="15"/>
    </row>
    <row r="113" spans="6:7">
      <c r="F113" s="14"/>
      <c r="G113" s="15"/>
    </row>
    <row r="114" spans="6:7">
      <c r="F114" s="14"/>
      <c r="G114" s="15"/>
    </row>
    <row r="115" spans="6:7">
      <c r="F115" s="14"/>
      <c r="G115" s="15"/>
    </row>
    <row r="116" spans="6:7">
      <c r="F116" s="14"/>
      <c r="G116" s="15"/>
    </row>
    <row r="117" spans="6:7">
      <c r="F117" s="14"/>
      <c r="G117" s="15"/>
    </row>
    <row r="118" spans="6:7">
      <c r="F118" s="14"/>
      <c r="G118" s="15"/>
    </row>
    <row r="119" spans="6:7">
      <c r="F119" s="14"/>
      <c r="G119" s="15"/>
    </row>
    <row r="120" spans="6:7">
      <c r="F120" s="14"/>
      <c r="G120" s="15"/>
    </row>
    <row r="121" spans="6:7">
      <c r="F121" s="14"/>
      <c r="G121" s="15"/>
    </row>
    <row r="122" spans="6:7">
      <c r="F122" s="14"/>
      <c r="G122" s="15"/>
    </row>
    <row r="123" spans="6:7">
      <c r="F123" s="14"/>
      <c r="G123" s="15"/>
    </row>
    <row r="124" spans="6:7">
      <c r="F124" s="14"/>
      <c r="G124" s="15"/>
    </row>
    <row r="125" spans="6:7">
      <c r="F125" s="14"/>
      <c r="G125" s="15"/>
    </row>
    <row r="126" spans="6:7">
      <c r="F126" s="14"/>
      <c r="G126" s="15"/>
    </row>
    <row r="127" spans="6:7">
      <c r="F127" s="14"/>
      <c r="G127" s="15"/>
    </row>
    <row r="128" spans="6:7">
      <c r="F128" s="14"/>
      <c r="G128" s="15"/>
    </row>
    <row r="129" spans="6:7">
      <c r="F129" s="14"/>
      <c r="G129" s="15"/>
    </row>
    <row r="130" spans="6:7">
      <c r="F130" s="14"/>
      <c r="G130" s="15"/>
    </row>
    <row r="131" spans="6:7">
      <c r="F131" s="14"/>
      <c r="G131" s="15"/>
    </row>
    <row r="132" spans="6:7">
      <c r="F132" s="14"/>
      <c r="G132" s="15"/>
    </row>
    <row r="133" spans="6:7">
      <c r="F133" s="14"/>
      <c r="G133" s="15"/>
    </row>
    <row r="134" spans="6:7">
      <c r="F134" s="14"/>
      <c r="G134" s="15"/>
    </row>
    <row r="135" spans="6:7">
      <c r="F135" s="14"/>
      <c r="G135" s="15"/>
    </row>
    <row r="136" spans="6:7">
      <c r="G136" s="15"/>
    </row>
    <row r="137" spans="6:7">
      <c r="G137" s="15"/>
    </row>
    <row r="138" spans="6:7">
      <c r="G138" s="15"/>
    </row>
    <row r="139" spans="6:7">
      <c r="G139" s="15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showGridLines="0" zoomScaleNormal="100" workbookViewId="0">
      <selection activeCell="C82" sqref="C82"/>
    </sheetView>
  </sheetViews>
  <sheetFormatPr defaultRowHeight="11.25"/>
  <cols>
    <col min="1" max="1" width="8.28515625" style="11" customWidth="1"/>
    <col min="2" max="2" width="60.28515625" style="11" bestFit="1" customWidth="1"/>
    <col min="3" max="3" width="16.42578125" style="11" customWidth="1"/>
    <col min="4" max="4" width="32.85546875" style="11" bestFit="1" customWidth="1"/>
    <col min="5" max="7" width="16.42578125" style="11" customWidth="1"/>
    <col min="8" max="16384" width="9.140625" style="11"/>
  </cols>
  <sheetData>
    <row r="1" spans="1:8" ht="18.75">
      <c r="A1" s="10"/>
      <c r="B1" s="89" t="s">
        <v>190</v>
      </c>
      <c r="C1" s="90"/>
      <c r="D1" s="90"/>
      <c r="E1" s="90"/>
      <c r="F1" s="90"/>
      <c r="G1" s="91"/>
    </row>
    <row r="2" spans="1:8" ht="12" thickBot="1">
      <c r="A2" s="10"/>
      <c r="B2" s="92" t="s">
        <v>374</v>
      </c>
      <c r="C2" s="93"/>
      <c r="D2" s="93"/>
      <c r="E2" s="93"/>
      <c r="F2" s="93"/>
      <c r="G2" s="94"/>
    </row>
    <row r="3" spans="1:8" ht="12.95" customHeight="1">
      <c r="A3" s="10"/>
      <c r="B3" s="6" t="s">
        <v>1</v>
      </c>
      <c r="C3" s="10"/>
      <c r="D3" s="10"/>
      <c r="E3" s="10"/>
      <c r="F3" s="10"/>
      <c r="G3" s="10"/>
    </row>
    <row r="4" spans="1:8" ht="12.95" customHeight="1" thickBot="1">
      <c r="A4" s="7"/>
      <c r="B4" s="5" t="s">
        <v>2</v>
      </c>
      <c r="C4" s="10"/>
      <c r="D4" s="10"/>
      <c r="E4" s="10"/>
      <c r="F4" s="10"/>
      <c r="G4" s="10"/>
    </row>
    <row r="5" spans="1:8" ht="27.95" customHeight="1" thickBot="1">
      <c r="A5" s="10"/>
      <c r="B5" s="45" t="s">
        <v>3</v>
      </c>
      <c r="C5" s="46" t="s">
        <v>4</v>
      </c>
      <c r="D5" s="47" t="s">
        <v>33</v>
      </c>
      <c r="E5" s="47" t="s">
        <v>6</v>
      </c>
      <c r="F5" s="47" t="s">
        <v>7</v>
      </c>
      <c r="G5" s="48" t="s">
        <v>8</v>
      </c>
      <c r="H5" s="9"/>
    </row>
    <row r="6" spans="1:8">
      <c r="A6" s="10"/>
      <c r="B6" s="79" t="s">
        <v>34</v>
      </c>
      <c r="C6" s="80"/>
      <c r="D6" s="42"/>
      <c r="E6" s="42"/>
      <c r="F6" s="42"/>
      <c r="G6" s="81"/>
      <c r="H6" s="9"/>
    </row>
    <row r="7" spans="1:8">
      <c r="A7" s="10"/>
      <c r="B7" s="75" t="s">
        <v>35</v>
      </c>
      <c r="C7" s="16"/>
      <c r="D7" s="17"/>
      <c r="E7" s="17"/>
      <c r="F7" s="17"/>
      <c r="G7" s="76"/>
      <c r="H7" s="9"/>
    </row>
    <row r="8" spans="1:8">
      <c r="A8" s="10"/>
      <c r="B8" s="75" t="s">
        <v>358</v>
      </c>
      <c r="C8" s="16"/>
      <c r="D8" s="17"/>
      <c r="E8" s="17"/>
      <c r="F8" s="17"/>
      <c r="G8" s="76"/>
      <c r="H8" s="9"/>
    </row>
    <row r="9" spans="1:8" ht="12.95" customHeight="1">
      <c r="A9" s="8"/>
      <c r="B9" s="36" t="s">
        <v>53</v>
      </c>
      <c r="C9" s="24" t="s">
        <v>54</v>
      </c>
      <c r="D9" s="24" t="s">
        <v>38</v>
      </c>
      <c r="E9" s="25">
        <v>12750</v>
      </c>
      <c r="F9" s="26">
        <v>158.743875</v>
      </c>
      <c r="G9" s="37">
        <v>7.9820172341909468E-2</v>
      </c>
    </row>
    <row r="10" spans="1:8" ht="12.95" customHeight="1">
      <c r="A10" s="8"/>
      <c r="B10" s="36" t="s">
        <v>191</v>
      </c>
      <c r="C10" s="24" t="s">
        <v>192</v>
      </c>
      <c r="D10" s="24" t="s">
        <v>65</v>
      </c>
      <c r="E10" s="25">
        <v>37000</v>
      </c>
      <c r="F10" s="26">
        <v>130.55449999999999</v>
      </c>
      <c r="G10" s="37">
        <v>6.5645888321749862E-2</v>
      </c>
    </row>
    <row r="11" spans="1:8" ht="12.95" customHeight="1">
      <c r="A11" s="8"/>
      <c r="B11" s="36" t="s">
        <v>193</v>
      </c>
      <c r="C11" s="24" t="s">
        <v>194</v>
      </c>
      <c r="D11" s="24" t="s">
        <v>52</v>
      </c>
      <c r="E11" s="25">
        <v>10000</v>
      </c>
      <c r="F11" s="26">
        <v>88.39</v>
      </c>
      <c r="G11" s="37">
        <v>4.4444581142430717E-2</v>
      </c>
    </row>
    <row r="12" spans="1:8" ht="12.95" customHeight="1">
      <c r="A12" s="8"/>
      <c r="B12" s="36" t="s">
        <v>365</v>
      </c>
      <c r="C12" s="24" t="s">
        <v>196</v>
      </c>
      <c r="D12" s="24" t="s">
        <v>76</v>
      </c>
      <c r="E12" s="25">
        <v>41550</v>
      </c>
      <c r="F12" s="26">
        <v>84.097200000000001</v>
      </c>
      <c r="G12" s="37">
        <v>4.2286059839927871E-2</v>
      </c>
    </row>
    <row r="13" spans="1:8" ht="12.95" customHeight="1">
      <c r="A13" s="8"/>
      <c r="B13" s="36" t="s">
        <v>197</v>
      </c>
      <c r="C13" s="24" t="s">
        <v>198</v>
      </c>
      <c r="D13" s="24" t="s">
        <v>199</v>
      </c>
      <c r="E13" s="25">
        <v>23078</v>
      </c>
      <c r="F13" s="26">
        <v>73.330344999999994</v>
      </c>
      <c r="G13" s="37">
        <v>3.6872230665855169E-2</v>
      </c>
    </row>
    <row r="14" spans="1:8" ht="12.95" customHeight="1">
      <c r="A14" s="8"/>
      <c r="B14" s="36" t="s">
        <v>55</v>
      </c>
      <c r="C14" s="24" t="s">
        <v>56</v>
      </c>
      <c r="D14" s="24" t="s">
        <v>49</v>
      </c>
      <c r="E14" s="25">
        <v>18185</v>
      </c>
      <c r="F14" s="26">
        <v>71.721639999999994</v>
      </c>
      <c r="G14" s="37">
        <v>3.6063335769297482E-2</v>
      </c>
    </row>
    <row r="15" spans="1:8" ht="12.95" customHeight="1">
      <c r="A15" s="8"/>
      <c r="B15" s="36" t="s">
        <v>200</v>
      </c>
      <c r="C15" s="24" t="s">
        <v>201</v>
      </c>
      <c r="D15" s="24" t="s">
        <v>76</v>
      </c>
      <c r="E15" s="25">
        <v>3450</v>
      </c>
      <c r="F15" s="26">
        <v>68.025374999999997</v>
      </c>
      <c r="G15" s="37">
        <v>3.4204766364201583E-2</v>
      </c>
    </row>
    <row r="16" spans="1:8" ht="12.95" customHeight="1">
      <c r="A16" s="8"/>
      <c r="B16" s="36" t="s">
        <v>68</v>
      </c>
      <c r="C16" s="24" t="s">
        <v>69</v>
      </c>
      <c r="D16" s="24" t="s">
        <v>70</v>
      </c>
      <c r="E16" s="25">
        <v>20100</v>
      </c>
      <c r="F16" s="26">
        <v>62.269799999999996</v>
      </c>
      <c r="G16" s="37">
        <v>3.131072721827053E-2</v>
      </c>
    </row>
    <row r="17" spans="1:7" ht="12.95" customHeight="1">
      <c r="A17" s="8"/>
      <c r="B17" s="36" t="s">
        <v>57</v>
      </c>
      <c r="C17" s="24" t="s">
        <v>58</v>
      </c>
      <c r="D17" s="24" t="s">
        <v>59</v>
      </c>
      <c r="E17" s="25">
        <v>37479</v>
      </c>
      <c r="F17" s="26">
        <v>62.121442500000001</v>
      </c>
      <c r="G17" s="37">
        <v>3.1236129560765855E-2</v>
      </c>
    </row>
    <row r="18" spans="1:7" ht="12.95" customHeight="1">
      <c r="A18" s="8"/>
      <c r="B18" s="36" t="s">
        <v>80</v>
      </c>
      <c r="C18" s="24" t="s">
        <v>81</v>
      </c>
      <c r="D18" s="24" t="s">
        <v>73</v>
      </c>
      <c r="E18" s="25">
        <v>20398</v>
      </c>
      <c r="F18" s="26">
        <v>55.349972999999999</v>
      </c>
      <c r="G18" s="37">
        <v>2.7831274649053616E-2</v>
      </c>
    </row>
    <row r="19" spans="1:7" ht="12.95" customHeight="1">
      <c r="A19" s="8"/>
      <c r="B19" s="36" t="s">
        <v>36</v>
      </c>
      <c r="C19" s="24" t="s">
        <v>37</v>
      </c>
      <c r="D19" s="24" t="s">
        <v>38</v>
      </c>
      <c r="E19" s="25">
        <v>50000</v>
      </c>
      <c r="F19" s="26">
        <v>47.875</v>
      </c>
      <c r="G19" s="37">
        <v>2.4072681549879741E-2</v>
      </c>
    </row>
    <row r="20" spans="1:7" ht="12.95" customHeight="1">
      <c r="A20" s="8"/>
      <c r="B20" s="36" t="s">
        <v>63</v>
      </c>
      <c r="C20" s="24" t="s">
        <v>64</v>
      </c>
      <c r="D20" s="24" t="s">
        <v>65</v>
      </c>
      <c r="E20" s="25">
        <v>1439</v>
      </c>
      <c r="F20" s="26">
        <v>46.123547500000001</v>
      </c>
      <c r="G20" s="37">
        <v>2.3192009836412574E-2</v>
      </c>
    </row>
    <row r="21" spans="1:7" ht="12.95" customHeight="1">
      <c r="A21" s="8"/>
      <c r="B21" s="36" t="s">
        <v>140</v>
      </c>
      <c r="C21" s="24" t="s">
        <v>141</v>
      </c>
      <c r="D21" s="24" t="s">
        <v>65</v>
      </c>
      <c r="E21" s="25">
        <v>3000</v>
      </c>
      <c r="F21" s="26">
        <v>41.174999999999997</v>
      </c>
      <c r="G21" s="37">
        <v>2.0703763191985344E-2</v>
      </c>
    </row>
    <row r="22" spans="1:7" ht="12.95" customHeight="1">
      <c r="A22" s="8"/>
      <c r="B22" s="36" t="s">
        <v>222</v>
      </c>
      <c r="C22" s="24" t="s">
        <v>223</v>
      </c>
      <c r="D22" s="24" t="s">
        <v>65</v>
      </c>
      <c r="E22" s="25">
        <v>1500</v>
      </c>
      <c r="F22" s="26">
        <v>39.711750000000002</v>
      </c>
      <c r="G22" s="37">
        <v>1.9968006507330275E-2</v>
      </c>
    </row>
    <row r="23" spans="1:7" ht="12.95" customHeight="1">
      <c r="A23" s="8"/>
      <c r="B23" s="36" t="s">
        <v>66</v>
      </c>
      <c r="C23" s="24" t="s">
        <v>67</v>
      </c>
      <c r="D23" s="24" t="s">
        <v>44</v>
      </c>
      <c r="E23" s="25">
        <v>3799</v>
      </c>
      <c r="F23" s="26">
        <v>38.937850500000003</v>
      </c>
      <c r="G23" s="37">
        <v>1.9578871547223514E-2</v>
      </c>
    </row>
    <row r="24" spans="1:7" ht="12.95" customHeight="1">
      <c r="A24" s="8"/>
      <c r="B24" s="36" t="s">
        <v>88</v>
      </c>
      <c r="C24" s="24" t="s">
        <v>89</v>
      </c>
      <c r="D24" s="24" t="s">
        <v>41</v>
      </c>
      <c r="E24" s="25">
        <v>6250</v>
      </c>
      <c r="F24" s="26">
        <v>38.725000000000001</v>
      </c>
      <c r="G24" s="37">
        <v>1.947184528499411E-2</v>
      </c>
    </row>
    <row r="25" spans="1:7" ht="12.95" customHeight="1">
      <c r="A25" s="8"/>
      <c r="B25" s="36" t="s">
        <v>42</v>
      </c>
      <c r="C25" s="24" t="s">
        <v>43</v>
      </c>
      <c r="D25" s="24" t="s">
        <v>44</v>
      </c>
      <c r="E25" s="25">
        <v>4150</v>
      </c>
      <c r="F25" s="26">
        <v>35.061275000000002</v>
      </c>
      <c r="G25" s="37">
        <v>1.7629637760997595E-2</v>
      </c>
    </row>
    <row r="26" spans="1:7" ht="12.95" customHeight="1">
      <c r="A26" s="8"/>
      <c r="B26" s="36" t="s">
        <v>94</v>
      </c>
      <c r="C26" s="24" t="s">
        <v>95</v>
      </c>
      <c r="D26" s="24" t="s">
        <v>96</v>
      </c>
      <c r="E26" s="25">
        <v>31542</v>
      </c>
      <c r="F26" s="26">
        <v>33.024473999999998</v>
      </c>
      <c r="G26" s="37">
        <v>1.6605486077374061E-2</v>
      </c>
    </row>
    <row r="27" spans="1:7" ht="12.95" customHeight="1">
      <c r="A27" s="8"/>
      <c r="B27" s="36" t="s">
        <v>103</v>
      </c>
      <c r="C27" s="24" t="s">
        <v>104</v>
      </c>
      <c r="D27" s="24" t="s">
        <v>70</v>
      </c>
      <c r="E27" s="25">
        <v>27000</v>
      </c>
      <c r="F27" s="26">
        <v>29.362500000000001</v>
      </c>
      <c r="G27" s="37">
        <v>1.476415899756332E-2</v>
      </c>
    </row>
    <row r="28" spans="1:7" ht="12.95" customHeight="1">
      <c r="A28" s="8"/>
      <c r="B28" s="36" t="s">
        <v>71</v>
      </c>
      <c r="C28" s="24" t="s">
        <v>72</v>
      </c>
      <c r="D28" s="24" t="s">
        <v>73</v>
      </c>
      <c r="E28" s="25">
        <v>31087</v>
      </c>
      <c r="F28" s="26">
        <v>29.004170999999999</v>
      </c>
      <c r="G28" s="37">
        <v>1.4583982707075865E-2</v>
      </c>
    </row>
    <row r="29" spans="1:7" ht="12.95" customHeight="1">
      <c r="A29" s="8"/>
      <c r="B29" s="36" t="s">
        <v>137</v>
      </c>
      <c r="C29" s="24" t="s">
        <v>138</v>
      </c>
      <c r="D29" s="24" t="s">
        <v>139</v>
      </c>
      <c r="E29" s="25">
        <v>49000</v>
      </c>
      <c r="F29" s="26">
        <v>28.126000000000001</v>
      </c>
      <c r="G29" s="37">
        <v>1.4142417572259376E-2</v>
      </c>
    </row>
    <row r="30" spans="1:7" ht="12.95" customHeight="1">
      <c r="A30" s="8"/>
      <c r="B30" s="36" t="s">
        <v>144</v>
      </c>
      <c r="C30" s="24" t="s">
        <v>145</v>
      </c>
      <c r="D30" s="24" t="s">
        <v>65</v>
      </c>
      <c r="E30" s="25">
        <v>3296</v>
      </c>
      <c r="F30" s="26">
        <v>27.798463999999999</v>
      </c>
      <c r="G30" s="37">
        <v>1.3977724729980079E-2</v>
      </c>
    </row>
    <row r="31" spans="1:7" ht="12.95" customHeight="1">
      <c r="A31" s="8"/>
      <c r="B31" s="36" t="s">
        <v>230</v>
      </c>
      <c r="C31" s="24" t="s">
        <v>231</v>
      </c>
      <c r="D31" s="24" t="s">
        <v>65</v>
      </c>
      <c r="E31" s="25">
        <v>525</v>
      </c>
      <c r="F31" s="26">
        <v>26.400937500000001</v>
      </c>
      <c r="G31" s="37">
        <v>1.3275015374533227E-2</v>
      </c>
    </row>
    <row r="32" spans="1:7" ht="12.95" customHeight="1">
      <c r="A32" s="8"/>
      <c r="B32" s="36" t="s">
        <v>116</v>
      </c>
      <c r="C32" s="24" t="s">
        <v>117</v>
      </c>
      <c r="D32" s="24" t="s">
        <v>65</v>
      </c>
      <c r="E32" s="25">
        <v>2601</v>
      </c>
      <c r="F32" s="26">
        <v>23.455818000000001</v>
      </c>
      <c r="G32" s="37">
        <v>1.1794139680541769E-2</v>
      </c>
    </row>
    <row r="33" spans="1:7" ht="12.95" customHeight="1">
      <c r="A33" s="8"/>
      <c r="B33" s="36" t="s">
        <v>128</v>
      </c>
      <c r="C33" s="24" t="s">
        <v>129</v>
      </c>
      <c r="D33" s="24" t="s">
        <v>130</v>
      </c>
      <c r="E33" s="25">
        <v>2000</v>
      </c>
      <c r="F33" s="26">
        <v>21.826000000000001</v>
      </c>
      <c r="G33" s="37">
        <v>1.097462866856763E-2</v>
      </c>
    </row>
    <row r="34" spans="1:7" ht="12.95" customHeight="1">
      <c r="A34" s="8"/>
      <c r="B34" s="36" t="s">
        <v>120</v>
      </c>
      <c r="C34" s="24" t="s">
        <v>121</v>
      </c>
      <c r="D34" s="24" t="s">
        <v>96</v>
      </c>
      <c r="E34" s="25">
        <v>8150</v>
      </c>
      <c r="F34" s="26">
        <v>21.410049999999998</v>
      </c>
      <c r="G34" s="37">
        <v>1.0765479177378648E-2</v>
      </c>
    </row>
    <row r="35" spans="1:7" ht="12.95" customHeight="1">
      <c r="A35" s="8"/>
      <c r="B35" s="36" t="s">
        <v>146</v>
      </c>
      <c r="C35" s="24" t="s">
        <v>147</v>
      </c>
      <c r="D35" s="24" t="s">
        <v>79</v>
      </c>
      <c r="E35" s="25">
        <v>8850</v>
      </c>
      <c r="F35" s="26">
        <v>21.24</v>
      </c>
      <c r="G35" s="37">
        <v>1.0679974018160746E-2</v>
      </c>
    </row>
    <row r="36" spans="1:7" ht="12.95" customHeight="1">
      <c r="A36" s="8"/>
      <c r="B36" s="36" t="s">
        <v>366</v>
      </c>
      <c r="C36" s="24" t="s">
        <v>175</v>
      </c>
      <c r="D36" s="24" t="s">
        <v>73</v>
      </c>
      <c r="E36" s="25">
        <v>428358</v>
      </c>
      <c r="F36" s="26">
        <v>2.9985059999999999</v>
      </c>
      <c r="G36" s="37">
        <v>1.5077196880084326E-3</v>
      </c>
    </row>
    <row r="37" spans="1:7" ht="12.95" customHeight="1">
      <c r="A37" s="8"/>
      <c r="B37" s="36" t="s">
        <v>170</v>
      </c>
      <c r="C37" s="24" t="s">
        <v>171</v>
      </c>
      <c r="D37" s="24" t="s">
        <v>65</v>
      </c>
      <c r="E37" s="25">
        <v>3018</v>
      </c>
      <c r="F37" s="26">
        <v>14.608629000000001</v>
      </c>
      <c r="G37" s="37">
        <v>7.3455639435475329E-3</v>
      </c>
    </row>
    <row r="38" spans="1:7" ht="12.95" customHeight="1">
      <c r="A38" s="8"/>
      <c r="B38" s="77" t="s">
        <v>23</v>
      </c>
      <c r="C38" s="24"/>
      <c r="D38" s="24"/>
      <c r="E38" s="25"/>
      <c r="F38" s="73">
        <f>SUM(F9:F37)</f>
        <v>1421.4691229999996</v>
      </c>
      <c r="G38" s="60">
        <f>SUM(G9:G37)</f>
        <v>0.7147482721872761</v>
      </c>
    </row>
    <row r="39" spans="1:7" ht="12.95" customHeight="1">
      <c r="A39" s="8"/>
      <c r="B39" s="36"/>
      <c r="C39" s="24"/>
      <c r="D39" s="24"/>
      <c r="E39" s="25"/>
      <c r="F39" s="26"/>
      <c r="G39" s="37"/>
    </row>
    <row r="40" spans="1:7" ht="12.95" customHeight="1">
      <c r="A40" s="8"/>
      <c r="B40" s="77" t="s">
        <v>359</v>
      </c>
      <c r="C40" s="24"/>
      <c r="D40" s="24"/>
      <c r="E40" s="25"/>
      <c r="F40" s="26"/>
      <c r="G40" s="37"/>
    </row>
    <row r="41" spans="1:7" ht="12.95" customHeight="1">
      <c r="A41" s="8"/>
      <c r="B41" s="77" t="s">
        <v>360</v>
      </c>
      <c r="C41" s="24"/>
      <c r="D41" s="24"/>
      <c r="E41" s="25"/>
      <c r="F41" s="26"/>
      <c r="G41" s="37"/>
    </row>
    <row r="42" spans="1:7" ht="12.95" customHeight="1">
      <c r="A42" s="8"/>
      <c r="B42" s="36" t="s">
        <v>202</v>
      </c>
      <c r="C42" s="24" t="s">
        <v>203</v>
      </c>
      <c r="D42" s="24" t="s">
        <v>204</v>
      </c>
      <c r="E42" s="25">
        <v>13000</v>
      </c>
      <c r="F42" s="26">
        <v>67.756830100000002</v>
      </c>
      <c r="G42" s="37">
        <v>3.4069735641286819E-2</v>
      </c>
    </row>
    <row r="43" spans="1:7" ht="12.95" customHeight="1">
      <c r="A43" s="8"/>
      <c r="B43" s="36" t="s">
        <v>205</v>
      </c>
      <c r="C43" s="24" t="s">
        <v>206</v>
      </c>
      <c r="D43" s="24" t="s">
        <v>207</v>
      </c>
      <c r="E43" s="25">
        <v>1500</v>
      </c>
      <c r="F43" s="26">
        <v>62.533175300000003</v>
      </c>
      <c r="G43" s="37">
        <v>3.1443158544119179E-2</v>
      </c>
    </row>
    <row r="44" spans="1:7" ht="12.95" customHeight="1">
      <c r="A44" s="8"/>
      <c r="B44" s="36" t="s">
        <v>208</v>
      </c>
      <c r="C44" s="24" t="s">
        <v>209</v>
      </c>
      <c r="D44" s="24" t="s">
        <v>210</v>
      </c>
      <c r="E44" s="25">
        <v>11000</v>
      </c>
      <c r="F44" s="26">
        <v>60.350212999999997</v>
      </c>
      <c r="G44" s="37">
        <v>3.0345513504259271E-2</v>
      </c>
    </row>
    <row r="45" spans="1:7" ht="12.95" customHeight="1">
      <c r="A45" s="8"/>
      <c r="B45" s="36" t="s">
        <v>211</v>
      </c>
      <c r="C45" s="24" t="s">
        <v>212</v>
      </c>
      <c r="D45" s="24" t="s">
        <v>213</v>
      </c>
      <c r="E45" s="25">
        <v>80000</v>
      </c>
      <c r="F45" s="26">
        <v>60.272939999999998</v>
      </c>
      <c r="G45" s="37">
        <v>3.0306658813472769E-2</v>
      </c>
    </row>
    <row r="46" spans="1:7" ht="12.95" customHeight="1">
      <c r="A46" s="8"/>
      <c r="B46" s="36" t="s">
        <v>214</v>
      </c>
      <c r="C46" s="24" t="s">
        <v>215</v>
      </c>
      <c r="D46" s="24" t="s">
        <v>216</v>
      </c>
      <c r="E46" s="25">
        <v>11000</v>
      </c>
      <c r="F46" s="26">
        <v>51.595182100000002</v>
      </c>
      <c r="G46" s="37">
        <v>2.5943277038148419E-2</v>
      </c>
    </row>
    <row r="47" spans="1:7" ht="12.95" customHeight="1">
      <c r="A47" s="8"/>
      <c r="B47" s="36" t="s">
        <v>217</v>
      </c>
      <c r="C47" s="24" t="s">
        <v>218</v>
      </c>
      <c r="D47" s="24" t="s">
        <v>216</v>
      </c>
      <c r="E47" s="25">
        <v>24900</v>
      </c>
      <c r="F47" s="26">
        <v>46.178344799999998</v>
      </c>
      <c r="G47" s="37">
        <v>2.321956321401452E-2</v>
      </c>
    </row>
    <row r="48" spans="1:7" ht="12.95" customHeight="1">
      <c r="A48" s="8"/>
      <c r="B48" s="36" t="s">
        <v>219</v>
      </c>
      <c r="C48" s="24" t="s">
        <v>220</v>
      </c>
      <c r="D48" s="24" t="s">
        <v>221</v>
      </c>
      <c r="E48" s="25">
        <v>6500</v>
      </c>
      <c r="F48" s="26">
        <v>40.357756100000003</v>
      </c>
      <c r="G48" s="37">
        <v>2.0292833643091732E-2</v>
      </c>
    </row>
    <row r="49" spans="1:7" ht="12.95" customHeight="1">
      <c r="A49" s="8"/>
      <c r="B49" s="36" t="s">
        <v>224</v>
      </c>
      <c r="C49" s="24" t="s">
        <v>225</v>
      </c>
      <c r="D49" s="24" t="s">
        <v>226</v>
      </c>
      <c r="E49" s="25">
        <v>18000</v>
      </c>
      <c r="F49" s="26">
        <v>30.947836500000001</v>
      </c>
      <c r="G49" s="37">
        <v>1.556130365999467E-2</v>
      </c>
    </row>
    <row r="50" spans="1:7" ht="12.95" customHeight="1">
      <c r="A50" s="8"/>
      <c r="B50" s="36" t="s">
        <v>227</v>
      </c>
      <c r="C50" s="24" t="s">
        <v>228</v>
      </c>
      <c r="D50" s="24" t="s">
        <v>229</v>
      </c>
      <c r="E50" s="25">
        <v>30000</v>
      </c>
      <c r="F50" s="26">
        <v>27.4937334</v>
      </c>
      <c r="G50" s="37">
        <v>1.3824498981837963E-2</v>
      </c>
    </row>
    <row r="51" spans="1:7" ht="12.95" customHeight="1">
      <c r="A51" s="8"/>
      <c r="B51" s="36" t="s">
        <v>232</v>
      </c>
      <c r="C51" s="24" t="s">
        <v>233</v>
      </c>
      <c r="D51" s="24" t="s">
        <v>234</v>
      </c>
      <c r="E51" s="25">
        <v>55000</v>
      </c>
      <c r="F51" s="26">
        <v>20.272571599999999</v>
      </c>
      <c r="G51" s="37">
        <v>1.0193528152980387E-2</v>
      </c>
    </row>
    <row r="52" spans="1:7" ht="12.95" customHeight="1">
      <c r="A52" s="8"/>
      <c r="B52" s="36" t="s">
        <v>235</v>
      </c>
      <c r="C52" s="24" t="s">
        <v>236</v>
      </c>
      <c r="D52" s="24" t="s">
        <v>234</v>
      </c>
      <c r="E52" s="25">
        <v>44000</v>
      </c>
      <c r="F52" s="26">
        <v>18.462065200000001</v>
      </c>
      <c r="G52" s="37">
        <v>9.2831627428243725E-3</v>
      </c>
    </row>
    <row r="53" spans="1:7" ht="12.95" customHeight="1">
      <c r="A53" s="8"/>
      <c r="B53" s="36" t="s">
        <v>237</v>
      </c>
      <c r="C53" s="24" t="s">
        <v>238</v>
      </c>
      <c r="D53" s="24" t="s">
        <v>239</v>
      </c>
      <c r="E53" s="25">
        <v>16000</v>
      </c>
      <c r="F53" s="26">
        <v>10.9294931</v>
      </c>
      <c r="G53" s="37">
        <v>5.495607454786589E-3</v>
      </c>
    </row>
    <row r="54" spans="1:7" ht="12.95" customHeight="1">
      <c r="A54" s="10"/>
      <c r="B54" s="34" t="s">
        <v>23</v>
      </c>
      <c r="C54" s="24" t="s">
        <v>1</v>
      </c>
      <c r="D54" s="24" t="s">
        <v>1</v>
      </c>
      <c r="E54" s="24" t="s">
        <v>1</v>
      </c>
      <c r="F54" s="27">
        <f>SUM(F42:F53)</f>
        <v>497.15014120000001</v>
      </c>
      <c r="G54" s="38">
        <f>SUM(G42:G53)</f>
        <v>0.24997884139081669</v>
      </c>
    </row>
    <row r="55" spans="1:7" ht="12.95" customHeight="1">
      <c r="A55" s="10"/>
      <c r="B55" s="34"/>
      <c r="C55" s="24"/>
      <c r="D55" s="24"/>
      <c r="E55" s="24"/>
      <c r="F55" s="27"/>
      <c r="G55" s="38"/>
    </row>
    <row r="56" spans="1:7" ht="12.95" customHeight="1">
      <c r="A56" s="10"/>
      <c r="B56" s="34" t="s">
        <v>174</v>
      </c>
      <c r="C56" s="24" t="s">
        <v>1</v>
      </c>
      <c r="D56" s="24" t="s">
        <v>1</v>
      </c>
      <c r="E56" s="72" t="s">
        <v>317</v>
      </c>
      <c r="F56" s="72" t="s">
        <v>317</v>
      </c>
      <c r="G56" s="78" t="s">
        <v>317</v>
      </c>
    </row>
    <row r="57" spans="1:7" ht="12.95" customHeight="1">
      <c r="A57" s="10"/>
      <c r="B57" s="34" t="s">
        <v>23</v>
      </c>
      <c r="C57" s="24" t="s">
        <v>1</v>
      </c>
      <c r="D57" s="24" t="s">
        <v>1</v>
      </c>
      <c r="E57" s="72" t="s">
        <v>317</v>
      </c>
      <c r="F57" s="72" t="s">
        <v>317</v>
      </c>
      <c r="G57" s="78" t="s">
        <v>317</v>
      </c>
    </row>
    <row r="58" spans="1:7" ht="12.95" customHeight="1">
      <c r="A58" s="10"/>
      <c r="B58" s="34" t="s">
        <v>24</v>
      </c>
      <c r="C58" s="24" t="s">
        <v>1</v>
      </c>
      <c r="D58" s="24" t="s">
        <v>1</v>
      </c>
      <c r="E58" s="24" t="s">
        <v>1</v>
      </c>
      <c r="F58" s="27">
        <v>1918.6192642000001</v>
      </c>
      <c r="G58" s="38">
        <v>0.96472711357809271</v>
      </c>
    </row>
    <row r="59" spans="1:7" ht="12.95" customHeight="1">
      <c r="A59" s="10"/>
      <c r="B59" s="34"/>
      <c r="C59" s="24"/>
      <c r="D59" s="24"/>
      <c r="E59" s="24"/>
      <c r="F59" s="27"/>
      <c r="G59" s="38"/>
    </row>
    <row r="60" spans="1:7" ht="12.95" customHeight="1">
      <c r="A60" s="10"/>
      <c r="B60" s="29" t="s">
        <v>353</v>
      </c>
      <c r="C60" s="24"/>
      <c r="D60" s="24"/>
      <c r="E60" s="24"/>
      <c r="F60" s="74"/>
      <c r="G60" s="38"/>
    </row>
    <row r="61" spans="1:7" ht="12.95" customHeight="1">
      <c r="A61" s="8"/>
      <c r="B61" s="31" t="s">
        <v>357</v>
      </c>
      <c r="C61" s="24"/>
      <c r="D61" s="24"/>
      <c r="E61" s="72" t="s">
        <v>317</v>
      </c>
      <c r="F61" s="72" t="s">
        <v>317</v>
      </c>
      <c r="G61" s="78" t="s">
        <v>317</v>
      </c>
    </row>
    <row r="62" spans="1:7" ht="12.95" customHeight="1">
      <c r="A62" s="10"/>
      <c r="B62" s="31" t="s">
        <v>355</v>
      </c>
      <c r="C62" s="24"/>
      <c r="D62" s="24"/>
      <c r="E62" s="72" t="s">
        <v>317</v>
      </c>
      <c r="F62" s="72" t="s">
        <v>317</v>
      </c>
      <c r="G62" s="78" t="s">
        <v>317</v>
      </c>
    </row>
    <row r="63" spans="1:7" ht="12.95" customHeight="1">
      <c r="A63" s="10"/>
      <c r="B63" s="31" t="s">
        <v>356</v>
      </c>
      <c r="C63" s="24"/>
      <c r="D63" s="24"/>
      <c r="E63" s="72" t="s">
        <v>317</v>
      </c>
      <c r="F63" s="72" t="s">
        <v>317</v>
      </c>
      <c r="G63" s="78" t="s">
        <v>317</v>
      </c>
    </row>
    <row r="64" spans="1:7" ht="12.95" customHeight="1">
      <c r="A64" s="10"/>
      <c r="B64" s="31"/>
      <c r="C64" s="24"/>
      <c r="D64" s="24"/>
      <c r="E64" s="24"/>
      <c r="F64" s="74"/>
      <c r="G64" s="62"/>
    </row>
    <row r="65" spans="1:7" ht="12.95" customHeight="1">
      <c r="A65" s="10"/>
      <c r="B65" s="71" t="s">
        <v>9</v>
      </c>
      <c r="C65" s="24"/>
      <c r="D65" s="24"/>
      <c r="E65" s="24"/>
      <c r="F65" s="74"/>
      <c r="G65" s="62"/>
    </row>
    <row r="66" spans="1:7" ht="12.95" customHeight="1">
      <c r="A66" s="10"/>
      <c r="B66" s="34" t="s">
        <v>25</v>
      </c>
      <c r="C66" s="24" t="s">
        <v>1</v>
      </c>
      <c r="D66" s="24" t="s">
        <v>1</v>
      </c>
      <c r="E66" s="24" t="s">
        <v>1</v>
      </c>
      <c r="F66" s="28" t="s">
        <v>1</v>
      </c>
      <c r="G66" s="39" t="s">
        <v>1</v>
      </c>
    </row>
    <row r="67" spans="1:7" ht="12.95" customHeight="1">
      <c r="A67" s="8"/>
      <c r="B67" s="36" t="s">
        <v>26</v>
      </c>
      <c r="C67" s="24" t="s">
        <v>1</v>
      </c>
      <c r="D67" s="24" t="s">
        <v>27</v>
      </c>
      <c r="E67" s="25"/>
      <c r="F67" s="26">
        <v>58.566371099999998</v>
      </c>
      <c r="G67" s="37">
        <v>2.9448555634932223E-2</v>
      </c>
    </row>
    <row r="68" spans="1:7" ht="12.95" customHeight="1">
      <c r="A68" s="10"/>
      <c r="B68" s="34" t="s">
        <v>23</v>
      </c>
      <c r="C68" s="24" t="s">
        <v>1</v>
      </c>
      <c r="D68" s="24" t="s">
        <v>1</v>
      </c>
      <c r="E68" s="24" t="s">
        <v>1</v>
      </c>
      <c r="F68" s="27">
        <v>58.566371099999998</v>
      </c>
      <c r="G68" s="38">
        <v>2.9448555634932223E-2</v>
      </c>
    </row>
    <row r="69" spans="1:7" ht="12.95" customHeight="1">
      <c r="A69" s="10"/>
      <c r="B69" s="34" t="s">
        <v>24</v>
      </c>
      <c r="C69" s="24" t="s">
        <v>1</v>
      </c>
      <c r="D69" s="24" t="s">
        <v>1</v>
      </c>
      <c r="E69" s="24" t="s">
        <v>1</v>
      </c>
      <c r="F69" s="27">
        <v>58.566371099999998</v>
      </c>
      <c r="G69" s="38">
        <v>2.9448555634932223E-2</v>
      </c>
    </row>
    <row r="70" spans="1:7" ht="12.95" customHeight="1">
      <c r="A70" s="10"/>
      <c r="B70" s="34"/>
      <c r="C70" s="24"/>
      <c r="D70" s="24"/>
      <c r="E70" s="24"/>
      <c r="F70" s="27"/>
      <c r="G70" s="38"/>
    </row>
    <row r="71" spans="1:7" ht="12.95" customHeight="1">
      <c r="A71" s="10"/>
      <c r="B71" s="34" t="s">
        <v>186</v>
      </c>
      <c r="C71" s="24"/>
      <c r="D71" s="24"/>
      <c r="E71" s="24"/>
      <c r="F71" s="27"/>
      <c r="G71" s="38"/>
    </row>
    <row r="72" spans="1:7" ht="12.95" customHeight="1" thickBot="1">
      <c r="A72" s="10"/>
      <c r="B72" s="53" t="s">
        <v>28</v>
      </c>
      <c r="C72" s="54" t="s">
        <v>1</v>
      </c>
      <c r="D72" s="54" t="s">
        <v>1</v>
      </c>
      <c r="E72" s="54" t="s">
        <v>1</v>
      </c>
      <c r="F72" s="55">
        <v>11.5832478342</v>
      </c>
      <c r="G72" s="56">
        <v>5.8243307869750988E-3</v>
      </c>
    </row>
    <row r="73" spans="1:7" ht="12.95" customHeight="1" thickTop="1" thickBot="1">
      <c r="A73" s="10"/>
      <c r="B73" s="49" t="s">
        <v>29</v>
      </c>
      <c r="C73" s="50" t="s">
        <v>1</v>
      </c>
      <c r="D73" s="50" t="s">
        <v>1</v>
      </c>
      <c r="E73" s="50" t="s">
        <v>1</v>
      </c>
      <c r="F73" s="51">
        <v>1988.7688831342</v>
      </c>
      <c r="G73" s="52">
        <v>1</v>
      </c>
    </row>
    <row r="74" spans="1:7" ht="12.95" customHeight="1">
      <c r="A74" s="10"/>
      <c r="B74" s="7" t="s">
        <v>1</v>
      </c>
      <c r="C74" s="10"/>
      <c r="D74" s="10"/>
      <c r="E74" s="10"/>
      <c r="F74" s="12"/>
      <c r="G74" s="13"/>
    </row>
    <row r="75" spans="1:7" ht="12.95" customHeight="1">
      <c r="A75" s="10"/>
      <c r="B75" s="5" t="s">
        <v>27</v>
      </c>
      <c r="C75" s="10"/>
      <c r="D75" s="10"/>
      <c r="E75" s="10"/>
      <c r="F75" s="12"/>
      <c r="G75" s="13"/>
    </row>
    <row r="76" spans="1:7" ht="12.95" customHeight="1">
      <c r="A76" s="10"/>
      <c r="B76" s="5"/>
      <c r="C76" s="10"/>
      <c r="D76" s="10"/>
      <c r="E76" s="10"/>
      <c r="F76" s="12"/>
      <c r="G76" s="13"/>
    </row>
    <row r="77" spans="1:7" ht="12.95" customHeight="1">
      <c r="A77" s="10"/>
      <c r="B77" s="5" t="s">
        <v>1</v>
      </c>
      <c r="C77" s="10"/>
      <c r="D77" s="10"/>
      <c r="E77" s="10"/>
      <c r="F77" s="12"/>
      <c r="G77" s="13"/>
    </row>
    <row r="78" spans="1:7" ht="12.95" customHeight="1">
      <c r="A78" s="10"/>
      <c r="B78" s="5" t="s">
        <v>361</v>
      </c>
      <c r="C78" s="10"/>
      <c r="D78" s="10"/>
      <c r="E78" s="10"/>
      <c r="F78" s="12"/>
      <c r="G78" s="13"/>
    </row>
    <row r="79" spans="1:7">
      <c r="B79" s="70" t="s">
        <v>362</v>
      </c>
      <c r="F79" s="14"/>
      <c r="G79" s="15"/>
    </row>
    <row r="80" spans="1:7" ht="12" thickBot="1">
      <c r="F80" s="14"/>
      <c r="G80" s="15"/>
    </row>
    <row r="81" spans="2:7" ht="12" thickBot="1">
      <c r="B81" s="82" t="s">
        <v>369</v>
      </c>
      <c r="C81" s="83">
        <v>0.61429999999999996</v>
      </c>
      <c r="F81" s="14"/>
      <c r="G81" s="15"/>
    </row>
    <row r="82" spans="2:7">
      <c r="B82" s="7" t="s">
        <v>370</v>
      </c>
      <c r="C82" s="7"/>
      <c r="F82" s="14"/>
      <c r="G82" s="15"/>
    </row>
    <row r="83" spans="2:7">
      <c r="F83" s="14"/>
      <c r="G83" s="15"/>
    </row>
    <row r="84" spans="2:7">
      <c r="F84" s="14"/>
      <c r="G84" s="15"/>
    </row>
    <row r="85" spans="2:7">
      <c r="F85" s="14"/>
      <c r="G85" s="15"/>
    </row>
    <row r="86" spans="2:7">
      <c r="F86" s="14"/>
      <c r="G86" s="15"/>
    </row>
    <row r="87" spans="2:7">
      <c r="F87" s="14"/>
      <c r="G87" s="15"/>
    </row>
    <row r="88" spans="2:7">
      <c r="F88" s="14"/>
      <c r="G88" s="15"/>
    </row>
    <row r="89" spans="2:7">
      <c r="F89" s="14"/>
      <c r="G89" s="15"/>
    </row>
    <row r="90" spans="2:7">
      <c r="F90" s="14"/>
      <c r="G90" s="15"/>
    </row>
    <row r="91" spans="2:7">
      <c r="F91" s="14"/>
      <c r="G91" s="15"/>
    </row>
    <row r="92" spans="2:7">
      <c r="F92" s="14"/>
      <c r="G92" s="15"/>
    </row>
    <row r="93" spans="2:7">
      <c r="F93" s="14"/>
      <c r="G93" s="15"/>
    </row>
    <row r="94" spans="2:7">
      <c r="F94" s="14"/>
      <c r="G94" s="15"/>
    </row>
    <row r="95" spans="2:7">
      <c r="F95" s="14"/>
      <c r="G95" s="15"/>
    </row>
    <row r="96" spans="2:7">
      <c r="F96" s="14"/>
      <c r="G96" s="15"/>
    </row>
    <row r="97" spans="6:7">
      <c r="F97" s="14"/>
      <c r="G97" s="15"/>
    </row>
    <row r="98" spans="6:7">
      <c r="F98" s="14"/>
      <c r="G98" s="15"/>
    </row>
    <row r="99" spans="6:7">
      <c r="F99" s="14"/>
      <c r="G99" s="15"/>
    </row>
    <row r="100" spans="6:7">
      <c r="F100" s="14"/>
      <c r="G100" s="15"/>
    </row>
    <row r="101" spans="6:7">
      <c r="F101" s="14"/>
      <c r="G101" s="15"/>
    </row>
    <row r="102" spans="6:7">
      <c r="F102" s="14"/>
      <c r="G102" s="15"/>
    </row>
    <row r="103" spans="6:7">
      <c r="F103" s="14"/>
      <c r="G103" s="15"/>
    </row>
    <row r="104" spans="6:7">
      <c r="F104" s="14"/>
      <c r="G104" s="15"/>
    </row>
    <row r="105" spans="6:7">
      <c r="F105" s="14"/>
      <c r="G105" s="15"/>
    </row>
    <row r="106" spans="6:7">
      <c r="F106" s="14"/>
      <c r="G106" s="15"/>
    </row>
    <row r="107" spans="6:7">
      <c r="F107" s="14"/>
      <c r="G107" s="15"/>
    </row>
    <row r="108" spans="6:7">
      <c r="F108" s="14"/>
      <c r="G108" s="15"/>
    </row>
    <row r="109" spans="6:7">
      <c r="F109" s="14"/>
      <c r="G109" s="15"/>
    </row>
    <row r="110" spans="6:7">
      <c r="F110" s="14"/>
      <c r="G110" s="15"/>
    </row>
    <row r="111" spans="6:7">
      <c r="F111" s="14"/>
      <c r="G111" s="15"/>
    </row>
    <row r="112" spans="6:7">
      <c r="F112" s="14"/>
      <c r="G112" s="15"/>
    </row>
    <row r="113" spans="6:7">
      <c r="F113" s="14"/>
      <c r="G113" s="15"/>
    </row>
    <row r="114" spans="6:7">
      <c r="F114" s="14"/>
      <c r="G114" s="15"/>
    </row>
    <row r="115" spans="6:7">
      <c r="F115" s="14"/>
      <c r="G115" s="15"/>
    </row>
    <row r="116" spans="6:7">
      <c r="F116" s="14"/>
      <c r="G116" s="15"/>
    </row>
    <row r="117" spans="6:7">
      <c r="F117" s="14"/>
      <c r="G117" s="15"/>
    </row>
    <row r="118" spans="6:7">
      <c r="F118" s="14"/>
      <c r="G118" s="15"/>
    </row>
    <row r="119" spans="6:7">
      <c r="F119" s="14"/>
      <c r="G119" s="15"/>
    </row>
    <row r="120" spans="6:7">
      <c r="F120" s="14"/>
      <c r="G120" s="15"/>
    </row>
    <row r="121" spans="6:7">
      <c r="F121" s="14"/>
      <c r="G121" s="15"/>
    </row>
    <row r="122" spans="6:7">
      <c r="F122" s="14"/>
      <c r="G122" s="15"/>
    </row>
    <row r="123" spans="6:7">
      <c r="F123" s="14"/>
      <c r="G123" s="15"/>
    </row>
    <row r="124" spans="6:7">
      <c r="F124" s="14"/>
      <c r="G124" s="15"/>
    </row>
    <row r="125" spans="6:7">
      <c r="F125" s="14"/>
      <c r="G125" s="15"/>
    </row>
    <row r="126" spans="6:7">
      <c r="F126" s="14"/>
      <c r="G126" s="15"/>
    </row>
    <row r="127" spans="6:7">
      <c r="F127" s="14"/>
      <c r="G127" s="15"/>
    </row>
    <row r="128" spans="6:7">
      <c r="F128" s="14"/>
      <c r="G128" s="15"/>
    </row>
    <row r="129" spans="6:7">
      <c r="F129" s="14"/>
      <c r="G129" s="15"/>
    </row>
    <row r="130" spans="6:7">
      <c r="F130" s="14"/>
      <c r="G130" s="15"/>
    </row>
    <row r="131" spans="6:7">
      <c r="F131" s="14"/>
      <c r="G131" s="15"/>
    </row>
    <row r="132" spans="6:7">
      <c r="F132" s="14"/>
      <c r="G132" s="15"/>
    </row>
    <row r="133" spans="6:7">
      <c r="F133" s="14"/>
      <c r="G133" s="15"/>
    </row>
    <row r="134" spans="6:7">
      <c r="F134" s="14"/>
      <c r="G134" s="15"/>
    </row>
    <row r="135" spans="6:7">
      <c r="F135" s="14"/>
      <c r="G135" s="15"/>
    </row>
    <row r="136" spans="6:7">
      <c r="F136" s="14"/>
      <c r="G136" s="15"/>
    </row>
    <row r="137" spans="6:7">
      <c r="F137" s="14"/>
      <c r="G137" s="15"/>
    </row>
    <row r="138" spans="6:7">
      <c r="F138" s="14"/>
      <c r="G138" s="15"/>
    </row>
    <row r="139" spans="6:7">
      <c r="F139" s="14"/>
      <c r="G139" s="15"/>
    </row>
    <row r="140" spans="6:7">
      <c r="F140" s="14"/>
      <c r="G140" s="15"/>
    </row>
    <row r="141" spans="6:7">
      <c r="G141" s="15"/>
    </row>
    <row r="142" spans="6:7">
      <c r="G142" s="15"/>
    </row>
    <row r="143" spans="6:7">
      <c r="G143" s="15"/>
    </row>
    <row r="144" spans="6:7">
      <c r="G144" s="15"/>
    </row>
  </sheetData>
  <sortState ref="A5:J46">
    <sortCondition ref="H5:H46"/>
  </sortState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showGridLines="0" zoomScaleNormal="100" workbookViewId="0">
      <selection activeCell="C34" sqref="C34"/>
    </sheetView>
  </sheetViews>
  <sheetFormatPr defaultRowHeight="11.25"/>
  <cols>
    <col min="1" max="1" width="11.42578125" style="11" bestFit="1" customWidth="1"/>
    <col min="2" max="2" width="47.42578125" style="11" customWidth="1"/>
    <col min="3" max="7" width="18.140625" style="11" customWidth="1"/>
    <col min="8" max="16384" width="9.140625" style="11"/>
  </cols>
  <sheetData>
    <row r="1" spans="1:7" ht="18.75">
      <c r="A1" s="10"/>
      <c r="B1" s="89" t="s">
        <v>240</v>
      </c>
      <c r="C1" s="90"/>
      <c r="D1" s="90"/>
      <c r="E1" s="90"/>
      <c r="F1" s="90"/>
      <c r="G1" s="91"/>
    </row>
    <row r="2" spans="1:7" ht="12" thickBot="1">
      <c r="A2" s="10"/>
      <c r="B2" s="92" t="s">
        <v>375</v>
      </c>
      <c r="C2" s="93"/>
      <c r="D2" s="93"/>
      <c r="E2" s="93"/>
      <c r="F2" s="93"/>
      <c r="G2" s="94"/>
    </row>
    <row r="3" spans="1:7">
      <c r="A3" s="10"/>
      <c r="B3" s="6" t="s">
        <v>1</v>
      </c>
      <c r="C3" s="10"/>
      <c r="D3" s="10"/>
      <c r="E3" s="10"/>
      <c r="F3" s="10"/>
      <c r="G3" s="10"/>
    </row>
    <row r="4" spans="1:7" ht="12" thickBot="1">
      <c r="A4" s="7"/>
      <c r="B4" s="5" t="s">
        <v>2</v>
      </c>
      <c r="C4" s="10"/>
      <c r="D4" s="10"/>
      <c r="E4" s="10"/>
      <c r="F4" s="10"/>
      <c r="G4" s="10"/>
    </row>
    <row r="5" spans="1:7" ht="23.25" thickBot="1">
      <c r="A5" s="10"/>
      <c r="B5" s="45" t="s">
        <v>3</v>
      </c>
      <c r="C5" s="46" t="s">
        <v>4</v>
      </c>
      <c r="D5" s="47" t="s">
        <v>241</v>
      </c>
      <c r="E5" s="47" t="s">
        <v>6</v>
      </c>
      <c r="F5" s="47" t="s">
        <v>7</v>
      </c>
      <c r="G5" s="48" t="s">
        <v>8</v>
      </c>
    </row>
    <row r="6" spans="1:7">
      <c r="A6" s="10"/>
      <c r="B6" s="40" t="s">
        <v>351</v>
      </c>
      <c r="C6" s="80"/>
      <c r="D6" s="42"/>
      <c r="E6" s="42"/>
      <c r="F6" s="42"/>
      <c r="G6" s="81"/>
    </row>
    <row r="7" spans="1:7">
      <c r="A7" s="10"/>
      <c r="B7" s="31" t="s">
        <v>352</v>
      </c>
      <c r="C7" s="16"/>
      <c r="D7" s="17"/>
      <c r="E7" s="85" t="s">
        <v>317</v>
      </c>
      <c r="F7" s="85" t="s">
        <v>317</v>
      </c>
      <c r="G7" s="86" t="s">
        <v>317</v>
      </c>
    </row>
    <row r="8" spans="1:7">
      <c r="A8" s="10"/>
      <c r="B8" s="31" t="s">
        <v>174</v>
      </c>
      <c r="C8" s="16"/>
      <c r="D8" s="17"/>
      <c r="E8" s="85" t="s">
        <v>317</v>
      </c>
      <c r="F8" s="85" t="s">
        <v>317</v>
      </c>
      <c r="G8" s="86" t="s">
        <v>317</v>
      </c>
    </row>
    <row r="9" spans="1:7">
      <c r="A9" s="10"/>
      <c r="B9" s="75"/>
      <c r="C9" s="16"/>
      <c r="D9" s="17"/>
      <c r="E9" s="17"/>
      <c r="F9" s="17"/>
      <c r="G9" s="76"/>
    </row>
    <row r="10" spans="1:7">
      <c r="A10" s="10"/>
      <c r="B10" s="34" t="s">
        <v>242</v>
      </c>
      <c r="C10" s="24" t="s">
        <v>1</v>
      </c>
      <c r="D10" s="24" t="s">
        <v>1</v>
      </c>
      <c r="E10" s="24" t="s">
        <v>1</v>
      </c>
      <c r="F10" s="24" t="s">
        <v>1</v>
      </c>
      <c r="G10" s="35" t="s">
        <v>1</v>
      </c>
    </row>
    <row r="11" spans="1:7">
      <c r="A11" s="8"/>
      <c r="B11" s="36" t="s">
        <v>243</v>
      </c>
      <c r="C11" s="24" t="s">
        <v>244</v>
      </c>
      <c r="D11" s="24" t="s">
        <v>1</v>
      </c>
      <c r="E11" s="25">
        <v>458634.86885829997</v>
      </c>
      <c r="F11" s="26">
        <v>2617.7575781999999</v>
      </c>
      <c r="G11" s="37">
        <v>0.9852661280238969</v>
      </c>
    </row>
    <row r="12" spans="1:7">
      <c r="A12" s="10"/>
      <c r="B12" s="34" t="s">
        <v>23</v>
      </c>
      <c r="C12" s="24" t="s">
        <v>1</v>
      </c>
      <c r="D12" s="24" t="s">
        <v>1</v>
      </c>
      <c r="E12" s="24" t="s">
        <v>1</v>
      </c>
      <c r="F12" s="27">
        <v>2617.7575781999999</v>
      </c>
      <c r="G12" s="38">
        <v>0.9852661280238969</v>
      </c>
    </row>
    <row r="13" spans="1:7">
      <c r="A13" s="10"/>
      <c r="B13" s="34" t="s">
        <v>24</v>
      </c>
      <c r="C13" s="24" t="s">
        <v>1</v>
      </c>
      <c r="D13" s="24" t="s">
        <v>1</v>
      </c>
      <c r="E13" s="24" t="s">
        <v>1</v>
      </c>
      <c r="F13" s="27">
        <v>2617.7575781999999</v>
      </c>
      <c r="G13" s="38">
        <v>0.9852661280238969</v>
      </c>
    </row>
    <row r="14" spans="1:7">
      <c r="A14" s="10"/>
      <c r="B14" s="34"/>
      <c r="C14" s="24"/>
      <c r="D14" s="24"/>
      <c r="E14" s="24"/>
      <c r="F14" s="27"/>
      <c r="G14" s="38"/>
    </row>
    <row r="15" spans="1:7">
      <c r="A15" s="10"/>
      <c r="B15" s="29" t="s">
        <v>353</v>
      </c>
      <c r="C15" s="24"/>
      <c r="D15" s="24"/>
      <c r="E15" s="24"/>
      <c r="F15" s="27"/>
      <c r="G15" s="38"/>
    </row>
    <row r="16" spans="1:7">
      <c r="A16" s="10"/>
      <c r="B16" s="84" t="s">
        <v>357</v>
      </c>
      <c r="C16" s="24"/>
      <c r="D16" s="24"/>
      <c r="E16" s="85" t="s">
        <v>317</v>
      </c>
      <c r="F16" s="85" t="s">
        <v>317</v>
      </c>
      <c r="G16" s="86" t="s">
        <v>317</v>
      </c>
    </row>
    <row r="17" spans="1:7">
      <c r="A17" s="10"/>
      <c r="B17" s="84" t="s">
        <v>355</v>
      </c>
      <c r="C17" s="24"/>
      <c r="D17" s="24"/>
      <c r="E17" s="85" t="s">
        <v>317</v>
      </c>
      <c r="F17" s="85" t="s">
        <v>317</v>
      </c>
      <c r="G17" s="86" t="s">
        <v>317</v>
      </c>
    </row>
    <row r="18" spans="1:7">
      <c r="A18" s="10"/>
      <c r="B18" s="84" t="s">
        <v>356</v>
      </c>
      <c r="C18" s="24"/>
      <c r="D18" s="24"/>
      <c r="E18" s="85" t="s">
        <v>317</v>
      </c>
      <c r="F18" s="85" t="s">
        <v>317</v>
      </c>
      <c r="G18" s="86" t="s">
        <v>317</v>
      </c>
    </row>
    <row r="19" spans="1:7">
      <c r="A19" s="10"/>
      <c r="B19" s="34"/>
      <c r="C19" s="24"/>
      <c r="D19" s="24"/>
      <c r="E19" s="24"/>
      <c r="F19" s="27"/>
      <c r="G19" s="38"/>
    </row>
    <row r="20" spans="1:7">
      <c r="A20" s="10"/>
      <c r="B20" s="34" t="s">
        <v>25</v>
      </c>
      <c r="C20" s="24" t="s">
        <v>1</v>
      </c>
      <c r="D20" s="24" t="s">
        <v>1</v>
      </c>
      <c r="E20" s="24" t="s">
        <v>1</v>
      </c>
      <c r="F20" s="28" t="s">
        <v>1</v>
      </c>
      <c r="G20" s="39" t="s">
        <v>1</v>
      </c>
    </row>
    <row r="21" spans="1:7">
      <c r="A21" s="8"/>
      <c r="B21" s="36" t="s">
        <v>26</v>
      </c>
      <c r="C21" s="24" t="s">
        <v>1</v>
      </c>
      <c r="D21" s="24" t="s">
        <v>27</v>
      </c>
      <c r="E21" s="25"/>
      <c r="F21" s="26">
        <v>48.098078299999997</v>
      </c>
      <c r="G21" s="37">
        <v>1.8103054219641194E-2</v>
      </c>
    </row>
    <row r="22" spans="1:7">
      <c r="A22" s="10"/>
      <c r="B22" s="34" t="s">
        <v>23</v>
      </c>
      <c r="C22" s="24" t="s">
        <v>1</v>
      </c>
      <c r="D22" s="24" t="s">
        <v>1</v>
      </c>
      <c r="E22" s="24" t="s">
        <v>1</v>
      </c>
      <c r="F22" s="27">
        <v>48.098078299999997</v>
      </c>
      <c r="G22" s="38">
        <v>1.8103054219641194E-2</v>
      </c>
    </row>
    <row r="23" spans="1:7">
      <c r="A23" s="10"/>
      <c r="B23" s="34" t="s">
        <v>24</v>
      </c>
      <c r="C23" s="24" t="s">
        <v>1</v>
      </c>
      <c r="D23" s="24" t="s">
        <v>1</v>
      </c>
      <c r="E23" s="24" t="s">
        <v>1</v>
      </c>
      <c r="F23" s="27">
        <v>48.098078299999997</v>
      </c>
      <c r="G23" s="38">
        <v>1.8103054219641194E-2</v>
      </c>
    </row>
    <row r="24" spans="1:7">
      <c r="A24" s="10"/>
      <c r="B24" s="34"/>
      <c r="C24" s="24"/>
      <c r="D24" s="24"/>
      <c r="E24" s="24"/>
      <c r="F24" s="27"/>
      <c r="G24" s="38"/>
    </row>
    <row r="25" spans="1:7">
      <c r="A25" s="10"/>
      <c r="B25" s="34" t="s">
        <v>186</v>
      </c>
      <c r="C25" s="24"/>
      <c r="D25" s="24"/>
      <c r="E25" s="24"/>
      <c r="F25" s="27"/>
      <c r="G25" s="38"/>
    </row>
    <row r="26" spans="1:7" ht="12" thickBot="1">
      <c r="A26" s="10"/>
      <c r="B26" s="53" t="s">
        <v>28</v>
      </c>
      <c r="C26" s="54" t="s">
        <v>1</v>
      </c>
      <c r="D26" s="54" t="s">
        <v>1</v>
      </c>
      <c r="E26" s="54" t="s">
        <v>1</v>
      </c>
      <c r="F26" s="55">
        <v>-8.9515939901999992</v>
      </c>
      <c r="G26" s="56">
        <v>-3.3691822435381429E-3</v>
      </c>
    </row>
    <row r="27" spans="1:7" ht="12.75" thickTop="1" thickBot="1">
      <c r="A27" s="10"/>
      <c r="B27" s="49" t="s">
        <v>29</v>
      </c>
      <c r="C27" s="50" t="s">
        <v>1</v>
      </c>
      <c r="D27" s="50" t="s">
        <v>1</v>
      </c>
      <c r="E27" s="50" t="s">
        <v>1</v>
      </c>
      <c r="F27" s="51">
        <v>2656.9040625098</v>
      </c>
      <c r="G27" s="52">
        <v>1</v>
      </c>
    </row>
    <row r="28" spans="1:7">
      <c r="A28" s="10"/>
      <c r="B28" s="7" t="s">
        <v>1</v>
      </c>
      <c r="C28" s="10"/>
      <c r="D28" s="10"/>
      <c r="E28" s="10"/>
      <c r="F28" s="12"/>
      <c r="G28" s="13"/>
    </row>
    <row r="29" spans="1:7">
      <c r="A29" s="10"/>
      <c r="B29" s="5" t="s">
        <v>27</v>
      </c>
      <c r="C29" s="10"/>
      <c r="D29" s="10"/>
      <c r="E29" s="10"/>
      <c r="F29" s="12"/>
      <c r="G29" s="13"/>
    </row>
    <row r="30" spans="1:7">
      <c r="A30" s="10"/>
      <c r="B30" s="5" t="s">
        <v>1</v>
      </c>
      <c r="C30" s="10"/>
      <c r="D30" s="10"/>
      <c r="E30" s="10"/>
      <c r="F30" s="12"/>
      <c r="G30" s="13"/>
    </row>
    <row r="31" spans="1:7">
      <c r="A31" s="10"/>
      <c r="B31" s="5" t="s">
        <v>1</v>
      </c>
      <c r="C31" s="10"/>
      <c r="D31" s="10"/>
      <c r="E31" s="10"/>
      <c r="F31" s="12"/>
      <c r="G31" s="13"/>
    </row>
    <row r="32" spans="1:7">
      <c r="F32" s="14"/>
      <c r="G32" s="15"/>
    </row>
    <row r="33" spans="6:7">
      <c r="F33" s="14"/>
      <c r="G33" s="15"/>
    </row>
    <row r="34" spans="6:7">
      <c r="F34" s="14"/>
      <c r="G34" s="15"/>
    </row>
    <row r="35" spans="6:7">
      <c r="F35" s="14"/>
      <c r="G35" s="15"/>
    </row>
    <row r="36" spans="6:7">
      <c r="F36" s="14"/>
      <c r="G36" s="15"/>
    </row>
    <row r="37" spans="6:7">
      <c r="F37" s="14"/>
      <c r="G37" s="15"/>
    </row>
    <row r="38" spans="6:7">
      <c r="F38" s="14"/>
      <c r="G38" s="15"/>
    </row>
    <row r="39" spans="6:7">
      <c r="F39" s="14"/>
      <c r="G39" s="15"/>
    </row>
    <row r="40" spans="6:7">
      <c r="F40" s="14"/>
      <c r="G40" s="15"/>
    </row>
    <row r="41" spans="6:7">
      <c r="F41" s="14"/>
      <c r="G41" s="15"/>
    </row>
    <row r="42" spans="6:7">
      <c r="F42" s="14"/>
      <c r="G42" s="15"/>
    </row>
    <row r="43" spans="6:7">
      <c r="F43" s="14"/>
      <c r="G43" s="15"/>
    </row>
    <row r="44" spans="6:7">
      <c r="F44" s="14"/>
      <c r="G44" s="15"/>
    </row>
    <row r="45" spans="6:7">
      <c r="F45" s="14"/>
      <c r="G45" s="15"/>
    </row>
    <row r="46" spans="6:7">
      <c r="F46" s="14"/>
      <c r="G46" s="15"/>
    </row>
    <row r="47" spans="6:7">
      <c r="F47" s="14"/>
      <c r="G47" s="15"/>
    </row>
    <row r="48" spans="6:7">
      <c r="F48" s="14"/>
      <c r="G48" s="15"/>
    </row>
    <row r="49" spans="6:7">
      <c r="F49" s="14"/>
      <c r="G49" s="15"/>
    </row>
    <row r="50" spans="6:7">
      <c r="F50" s="14"/>
      <c r="G50" s="15"/>
    </row>
    <row r="51" spans="6:7">
      <c r="F51" s="14"/>
      <c r="G51" s="15"/>
    </row>
    <row r="52" spans="6:7">
      <c r="F52" s="14"/>
      <c r="G52" s="15"/>
    </row>
    <row r="53" spans="6:7">
      <c r="F53" s="14"/>
      <c r="G53" s="15"/>
    </row>
    <row r="54" spans="6:7">
      <c r="F54" s="14"/>
      <c r="G54" s="15"/>
    </row>
    <row r="55" spans="6:7">
      <c r="F55" s="14"/>
      <c r="G55" s="15"/>
    </row>
    <row r="56" spans="6:7">
      <c r="F56" s="14"/>
      <c r="G56" s="15"/>
    </row>
    <row r="57" spans="6:7">
      <c r="F57" s="14"/>
      <c r="G57" s="15"/>
    </row>
    <row r="58" spans="6:7">
      <c r="F58" s="14"/>
      <c r="G58" s="15"/>
    </row>
    <row r="59" spans="6:7">
      <c r="F59" s="14"/>
      <c r="G59" s="15"/>
    </row>
    <row r="60" spans="6:7">
      <c r="F60" s="14"/>
      <c r="G60" s="15"/>
    </row>
    <row r="61" spans="6:7">
      <c r="F61" s="14"/>
      <c r="G61" s="15"/>
    </row>
    <row r="62" spans="6:7">
      <c r="F62" s="14"/>
      <c r="G62" s="15"/>
    </row>
    <row r="63" spans="6:7">
      <c r="F63" s="14"/>
      <c r="G63" s="15"/>
    </row>
    <row r="64" spans="6:7">
      <c r="F64" s="14"/>
      <c r="G64" s="15"/>
    </row>
    <row r="65" spans="6:7">
      <c r="F65" s="14"/>
      <c r="G65" s="15"/>
    </row>
    <row r="66" spans="6:7">
      <c r="F66" s="14"/>
      <c r="G66" s="15"/>
    </row>
    <row r="67" spans="6:7">
      <c r="F67" s="14"/>
      <c r="G67" s="15"/>
    </row>
    <row r="68" spans="6:7">
      <c r="F68" s="14"/>
      <c r="G68" s="15"/>
    </row>
    <row r="69" spans="6:7">
      <c r="F69" s="14"/>
      <c r="G69" s="15"/>
    </row>
    <row r="70" spans="6:7">
      <c r="F70" s="14"/>
      <c r="G70" s="15"/>
    </row>
    <row r="71" spans="6:7">
      <c r="F71" s="14"/>
      <c r="G71" s="15"/>
    </row>
    <row r="72" spans="6:7">
      <c r="F72" s="14"/>
      <c r="G72" s="15"/>
    </row>
    <row r="73" spans="6:7">
      <c r="F73" s="14"/>
      <c r="G73" s="15"/>
    </row>
    <row r="74" spans="6:7">
      <c r="F74" s="14"/>
      <c r="G74" s="15"/>
    </row>
    <row r="75" spans="6:7">
      <c r="F75" s="14"/>
      <c r="G75" s="15"/>
    </row>
    <row r="76" spans="6:7">
      <c r="F76" s="14"/>
      <c r="G76" s="15"/>
    </row>
    <row r="77" spans="6:7">
      <c r="F77" s="14"/>
      <c r="G77" s="15"/>
    </row>
    <row r="78" spans="6:7">
      <c r="F78" s="14"/>
      <c r="G78" s="15"/>
    </row>
    <row r="79" spans="6:7">
      <c r="F79" s="14"/>
      <c r="G79" s="15"/>
    </row>
    <row r="80" spans="6:7">
      <c r="F80" s="14"/>
      <c r="G80" s="15"/>
    </row>
    <row r="81" spans="6:7">
      <c r="F81" s="14"/>
      <c r="G81" s="15"/>
    </row>
    <row r="82" spans="6:7">
      <c r="F82" s="14"/>
      <c r="G82" s="15"/>
    </row>
    <row r="83" spans="6:7">
      <c r="F83" s="14"/>
      <c r="G83" s="15"/>
    </row>
    <row r="84" spans="6:7">
      <c r="F84" s="14"/>
      <c r="G84" s="15"/>
    </row>
    <row r="85" spans="6:7">
      <c r="F85" s="14"/>
      <c r="G85" s="15"/>
    </row>
    <row r="86" spans="6:7">
      <c r="F86" s="14"/>
      <c r="G86" s="15"/>
    </row>
    <row r="87" spans="6:7">
      <c r="F87" s="14"/>
      <c r="G87" s="15"/>
    </row>
    <row r="88" spans="6:7">
      <c r="F88" s="14"/>
      <c r="G88" s="15"/>
    </row>
    <row r="89" spans="6:7">
      <c r="F89" s="14"/>
      <c r="G89" s="15"/>
    </row>
    <row r="90" spans="6:7">
      <c r="F90" s="14"/>
      <c r="G90" s="15"/>
    </row>
    <row r="91" spans="6:7">
      <c r="F91" s="14"/>
      <c r="G91" s="15"/>
    </row>
    <row r="92" spans="6:7">
      <c r="F92" s="14"/>
      <c r="G92" s="15"/>
    </row>
    <row r="93" spans="6:7">
      <c r="F93" s="14"/>
      <c r="G93" s="15"/>
    </row>
    <row r="94" spans="6:7">
      <c r="F94" s="14"/>
      <c r="G94" s="15"/>
    </row>
    <row r="95" spans="6:7">
      <c r="F95" s="14"/>
      <c r="G95" s="15"/>
    </row>
    <row r="96" spans="6:7">
      <c r="F96" s="14"/>
      <c r="G96" s="15"/>
    </row>
    <row r="97" spans="6:7">
      <c r="F97" s="14"/>
      <c r="G97" s="15"/>
    </row>
    <row r="98" spans="6:7">
      <c r="F98" s="14"/>
      <c r="G98" s="15"/>
    </row>
    <row r="99" spans="6:7">
      <c r="F99" s="14"/>
      <c r="G99" s="15"/>
    </row>
    <row r="100" spans="6:7">
      <c r="F100" s="14"/>
      <c r="G100" s="15"/>
    </row>
    <row r="101" spans="6:7">
      <c r="F101" s="14"/>
      <c r="G101" s="15"/>
    </row>
    <row r="102" spans="6:7">
      <c r="F102" s="14"/>
      <c r="G102" s="15"/>
    </row>
    <row r="103" spans="6:7">
      <c r="F103" s="14"/>
      <c r="G103" s="15"/>
    </row>
    <row r="104" spans="6:7">
      <c r="F104" s="14"/>
      <c r="G104" s="15"/>
    </row>
    <row r="105" spans="6:7">
      <c r="F105" s="14"/>
      <c r="G105" s="15"/>
    </row>
    <row r="106" spans="6:7">
      <c r="F106" s="14"/>
      <c r="G106" s="15"/>
    </row>
    <row r="107" spans="6:7">
      <c r="F107" s="14"/>
      <c r="G107" s="15"/>
    </row>
    <row r="108" spans="6:7">
      <c r="F108" s="14"/>
      <c r="G108" s="15"/>
    </row>
    <row r="109" spans="6:7">
      <c r="F109" s="14"/>
      <c r="G109" s="15"/>
    </row>
    <row r="110" spans="6:7">
      <c r="F110" s="14"/>
      <c r="G110" s="15"/>
    </row>
    <row r="111" spans="6:7">
      <c r="F111" s="14"/>
      <c r="G111" s="15"/>
    </row>
    <row r="112" spans="6:7">
      <c r="F112" s="14"/>
      <c r="G112" s="15"/>
    </row>
    <row r="113" spans="6:7">
      <c r="F113" s="14"/>
      <c r="G113" s="15"/>
    </row>
    <row r="114" spans="6:7">
      <c r="F114" s="14"/>
      <c r="G114" s="15"/>
    </row>
    <row r="115" spans="6:7">
      <c r="F115" s="14"/>
      <c r="G115" s="15"/>
    </row>
    <row r="116" spans="6:7">
      <c r="F116" s="14"/>
      <c r="G116" s="15"/>
    </row>
    <row r="117" spans="6:7">
      <c r="F117" s="14"/>
      <c r="G117" s="15"/>
    </row>
    <row r="118" spans="6:7">
      <c r="F118" s="14"/>
      <c r="G118" s="15"/>
    </row>
    <row r="119" spans="6:7">
      <c r="F119" s="14"/>
      <c r="G119" s="15"/>
    </row>
    <row r="120" spans="6:7">
      <c r="F120" s="14"/>
      <c r="G120" s="15"/>
    </row>
    <row r="121" spans="6:7">
      <c r="F121" s="14"/>
      <c r="G121" s="15"/>
    </row>
    <row r="122" spans="6:7">
      <c r="F122" s="14"/>
      <c r="G122" s="15"/>
    </row>
    <row r="123" spans="6:7">
      <c r="F123" s="14"/>
      <c r="G123" s="15"/>
    </row>
    <row r="124" spans="6:7">
      <c r="F124" s="14"/>
      <c r="G124" s="15"/>
    </row>
    <row r="125" spans="6:7">
      <c r="F125" s="14"/>
      <c r="G125" s="15"/>
    </row>
    <row r="126" spans="6:7">
      <c r="F126" s="14"/>
      <c r="G126" s="15"/>
    </row>
    <row r="127" spans="6:7">
      <c r="F127" s="14"/>
      <c r="G127" s="15"/>
    </row>
    <row r="128" spans="6:7">
      <c r="F128" s="14"/>
      <c r="G128" s="15"/>
    </row>
    <row r="129" spans="6:7">
      <c r="F129" s="14"/>
      <c r="G129" s="15"/>
    </row>
    <row r="130" spans="6:7">
      <c r="F130" s="14"/>
      <c r="G130" s="15"/>
    </row>
    <row r="131" spans="6:7">
      <c r="F131" s="14"/>
      <c r="G131" s="15"/>
    </row>
    <row r="132" spans="6:7">
      <c r="F132" s="14"/>
      <c r="G132" s="15"/>
    </row>
    <row r="133" spans="6:7">
      <c r="F133" s="14"/>
      <c r="G133" s="15"/>
    </row>
    <row r="134" spans="6:7">
      <c r="F134" s="14"/>
      <c r="G134" s="15"/>
    </row>
    <row r="135" spans="6:7">
      <c r="F135" s="14"/>
      <c r="G135" s="15"/>
    </row>
    <row r="136" spans="6:7">
      <c r="F136" s="14"/>
      <c r="G136" s="15"/>
    </row>
    <row r="137" spans="6:7">
      <c r="G137" s="15"/>
    </row>
    <row r="138" spans="6:7">
      <c r="G138" s="15"/>
    </row>
    <row r="139" spans="6:7">
      <c r="G139" s="15"/>
    </row>
    <row r="140" spans="6:7">
      <c r="G140" s="15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showGridLines="0" zoomScaleNormal="100" workbookViewId="0">
      <selection activeCell="C68" sqref="C68"/>
    </sheetView>
  </sheetViews>
  <sheetFormatPr defaultRowHeight="11.25"/>
  <cols>
    <col min="1" max="1" width="12.5703125" style="11" bestFit="1" customWidth="1"/>
    <col min="2" max="2" width="56.42578125" style="11" bestFit="1" customWidth="1"/>
    <col min="3" max="3" width="16.42578125" style="11" customWidth="1"/>
    <col min="4" max="4" width="28.5703125" style="11" bestFit="1" customWidth="1"/>
    <col min="5" max="7" width="16.42578125" style="11" customWidth="1"/>
    <col min="8" max="16384" width="9.140625" style="11"/>
  </cols>
  <sheetData>
    <row r="1" spans="1:8" ht="18.75">
      <c r="A1" s="10"/>
      <c r="B1" s="89" t="s">
        <v>245</v>
      </c>
      <c r="C1" s="90"/>
      <c r="D1" s="90"/>
      <c r="E1" s="90"/>
      <c r="F1" s="90"/>
      <c r="G1" s="91"/>
    </row>
    <row r="2" spans="1:8" ht="12" thickBot="1">
      <c r="A2" s="10"/>
      <c r="B2" s="92" t="s">
        <v>374</v>
      </c>
      <c r="C2" s="93"/>
      <c r="D2" s="93"/>
      <c r="E2" s="93"/>
      <c r="F2" s="93"/>
      <c r="G2" s="94"/>
    </row>
    <row r="3" spans="1:8">
      <c r="A3" s="10"/>
      <c r="B3" s="6" t="s">
        <v>1</v>
      </c>
      <c r="C3" s="10"/>
      <c r="D3" s="10"/>
      <c r="E3" s="10"/>
      <c r="F3" s="10"/>
      <c r="G3" s="10"/>
    </row>
    <row r="4" spans="1:8" ht="12" thickBot="1">
      <c r="A4" s="7"/>
      <c r="B4" s="5" t="s">
        <v>2</v>
      </c>
      <c r="C4" s="10"/>
      <c r="D4" s="10"/>
      <c r="E4" s="10"/>
      <c r="F4" s="10"/>
      <c r="G4" s="10"/>
    </row>
    <row r="5" spans="1:8" ht="34.5" thickBot="1">
      <c r="A5" s="10"/>
      <c r="B5" s="45" t="s">
        <v>3</v>
      </c>
      <c r="C5" s="46" t="s">
        <v>4</v>
      </c>
      <c r="D5" s="47" t="s">
        <v>33</v>
      </c>
      <c r="E5" s="47" t="s">
        <v>6</v>
      </c>
      <c r="F5" s="47" t="s">
        <v>7</v>
      </c>
      <c r="G5" s="48" t="s">
        <v>8</v>
      </c>
      <c r="H5" s="9"/>
    </row>
    <row r="6" spans="1:8">
      <c r="A6" s="10"/>
      <c r="B6" s="79" t="s">
        <v>34</v>
      </c>
      <c r="C6" s="80"/>
      <c r="D6" s="42"/>
      <c r="E6" s="42"/>
      <c r="F6" s="42"/>
      <c r="G6" s="81"/>
      <c r="H6" s="9"/>
    </row>
    <row r="7" spans="1:8">
      <c r="A7" s="10"/>
      <c r="B7" s="75" t="s">
        <v>35</v>
      </c>
      <c r="C7" s="16"/>
      <c r="D7" s="17"/>
      <c r="E7" s="17"/>
      <c r="F7" s="17"/>
      <c r="G7" s="76"/>
      <c r="H7" s="9"/>
    </row>
    <row r="8" spans="1:8">
      <c r="A8" s="10"/>
      <c r="B8" s="75" t="s">
        <v>358</v>
      </c>
      <c r="C8" s="16"/>
      <c r="D8" s="17"/>
      <c r="E8" s="17"/>
      <c r="F8" s="17"/>
      <c r="G8" s="76"/>
      <c r="H8" s="9"/>
    </row>
    <row r="9" spans="1:8">
      <c r="A9" s="8"/>
      <c r="B9" s="36" t="s">
        <v>246</v>
      </c>
      <c r="C9" s="24" t="s">
        <v>247</v>
      </c>
      <c r="D9" s="24" t="s">
        <v>70</v>
      </c>
      <c r="E9" s="25">
        <v>14000</v>
      </c>
      <c r="F9" s="26">
        <v>130.30500000000001</v>
      </c>
      <c r="G9" s="37">
        <v>9.9056032000725019E-2</v>
      </c>
      <c r="H9" s="14"/>
    </row>
    <row r="10" spans="1:8">
      <c r="A10" s="8"/>
      <c r="B10" s="36" t="s">
        <v>251</v>
      </c>
      <c r="C10" s="24" t="s">
        <v>252</v>
      </c>
      <c r="D10" s="24" t="s">
        <v>115</v>
      </c>
      <c r="E10" s="25">
        <v>32000</v>
      </c>
      <c r="F10" s="26">
        <v>101.98399999999999</v>
      </c>
      <c r="G10" s="37">
        <v>7.7526805322604198E-2</v>
      </c>
      <c r="H10" s="14"/>
    </row>
    <row r="11" spans="1:8">
      <c r="A11" s="8"/>
      <c r="B11" s="36" t="s">
        <v>268</v>
      </c>
      <c r="C11" s="24" t="s">
        <v>269</v>
      </c>
      <c r="D11" s="24" t="s">
        <v>110</v>
      </c>
      <c r="E11" s="25">
        <v>21000</v>
      </c>
      <c r="F11" s="26">
        <v>39.595500000000001</v>
      </c>
      <c r="G11" s="37">
        <v>3.0099943325925384E-2</v>
      </c>
      <c r="H11" s="14"/>
    </row>
    <row r="12" spans="1:8">
      <c r="A12" s="8"/>
      <c r="B12" s="36" t="s">
        <v>272</v>
      </c>
      <c r="C12" s="24" t="s">
        <v>273</v>
      </c>
      <c r="D12" s="24" t="s">
        <v>274</v>
      </c>
      <c r="E12" s="25">
        <v>10000</v>
      </c>
      <c r="F12" s="26">
        <v>39.395000000000003</v>
      </c>
      <c r="G12" s="37">
        <v>2.9947526040202309E-2</v>
      </c>
      <c r="H12" s="14"/>
    </row>
    <row r="13" spans="1:8">
      <c r="A13" s="8"/>
      <c r="B13" s="36" t="s">
        <v>277</v>
      </c>
      <c r="C13" s="24" t="s">
        <v>278</v>
      </c>
      <c r="D13" s="24" t="s">
        <v>110</v>
      </c>
      <c r="E13" s="25">
        <v>12000</v>
      </c>
      <c r="F13" s="26">
        <v>34.65</v>
      </c>
      <c r="G13" s="37">
        <v>2.6340443642416805E-2</v>
      </c>
      <c r="H13" s="14"/>
    </row>
    <row r="14" spans="1:8">
      <c r="A14" s="8"/>
      <c r="B14" s="36" t="s">
        <v>285</v>
      </c>
      <c r="C14" s="24" t="s">
        <v>286</v>
      </c>
      <c r="D14" s="24" t="s">
        <v>287</v>
      </c>
      <c r="E14" s="25">
        <v>20000</v>
      </c>
      <c r="F14" s="26">
        <v>28.35</v>
      </c>
      <c r="G14" s="37">
        <v>2.1551272071068293E-2</v>
      </c>
      <c r="H14" s="14"/>
    </row>
    <row r="15" spans="1:8">
      <c r="A15" s="8"/>
      <c r="B15" s="36" t="s">
        <v>302</v>
      </c>
      <c r="C15" s="24" t="s">
        <v>303</v>
      </c>
      <c r="D15" s="24" t="s">
        <v>115</v>
      </c>
      <c r="E15" s="25">
        <v>7000</v>
      </c>
      <c r="F15" s="26">
        <v>23.31</v>
      </c>
      <c r="G15" s="37">
        <v>1.7719934813989487E-2</v>
      </c>
      <c r="H15" s="14"/>
    </row>
    <row r="16" spans="1:8">
      <c r="A16" s="8"/>
      <c r="B16" s="36" t="s">
        <v>307</v>
      </c>
      <c r="C16" s="24" t="s">
        <v>308</v>
      </c>
      <c r="D16" s="24" t="s">
        <v>70</v>
      </c>
      <c r="E16" s="25">
        <v>4000</v>
      </c>
      <c r="F16" s="26">
        <v>18.402000000000001</v>
      </c>
      <c r="G16" s="37">
        <v>1.3988942104119885E-2</v>
      </c>
      <c r="H16" s="14"/>
    </row>
    <row r="17" spans="1:8">
      <c r="A17" s="8"/>
      <c r="B17" s="36" t="s">
        <v>108</v>
      </c>
      <c r="C17" s="24" t="s">
        <v>109</v>
      </c>
      <c r="D17" s="24" t="s">
        <v>110</v>
      </c>
      <c r="E17" s="25">
        <v>7000</v>
      </c>
      <c r="F17" s="26">
        <v>9.2330000000000005</v>
      </c>
      <c r="G17" s="37">
        <v>7.0187970028985384E-3</v>
      </c>
      <c r="H17" s="14"/>
    </row>
    <row r="18" spans="1:8">
      <c r="A18" s="8"/>
      <c r="B18" s="77" t="s">
        <v>23</v>
      </c>
      <c r="C18" s="24"/>
      <c r="D18" s="24"/>
      <c r="E18" s="25"/>
      <c r="F18" s="73">
        <f>SUM(F9:F17)</f>
        <v>425.22449999999998</v>
      </c>
      <c r="G18" s="60">
        <f>SUM(G9:G17)</f>
        <v>0.3232496963239499</v>
      </c>
      <c r="H18" s="14"/>
    </row>
    <row r="19" spans="1:8">
      <c r="A19" s="8"/>
      <c r="B19" s="36"/>
      <c r="C19" s="24"/>
      <c r="D19" s="24"/>
      <c r="E19" s="25"/>
      <c r="F19" s="26"/>
      <c r="G19" s="37"/>
      <c r="H19" s="14"/>
    </row>
    <row r="20" spans="1:8">
      <c r="A20" s="8"/>
      <c r="B20" s="77" t="s">
        <v>359</v>
      </c>
      <c r="C20" s="24"/>
      <c r="D20" s="24"/>
      <c r="E20" s="25"/>
      <c r="F20" s="26"/>
      <c r="G20" s="37"/>
      <c r="H20" s="14"/>
    </row>
    <row r="21" spans="1:8">
      <c r="A21" s="8"/>
      <c r="B21" s="77" t="s">
        <v>360</v>
      </c>
      <c r="C21" s="24"/>
      <c r="D21" s="24"/>
      <c r="E21" s="25"/>
      <c r="F21" s="26"/>
      <c r="G21" s="37"/>
      <c r="H21" s="14"/>
    </row>
    <row r="22" spans="1:8">
      <c r="A22" s="8"/>
      <c r="B22" s="36" t="s">
        <v>248</v>
      </c>
      <c r="C22" s="24" t="s">
        <v>249</v>
      </c>
      <c r="D22" s="24" t="s">
        <v>250</v>
      </c>
      <c r="E22" s="25">
        <v>6000</v>
      </c>
      <c r="F22" s="26">
        <v>121.051224</v>
      </c>
      <c r="G22" s="37">
        <v>9.202144137424452E-2</v>
      </c>
      <c r="H22" s="14"/>
    </row>
    <row r="23" spans="1:8">
      <c r="A23" s="8"/>
      <c r="B23" s="36" t="s">
        <v>253</v>
      </c>
      <c r="C23" s="24" t="s">
        <v>254</v>
      </c>
      <c r="D23" s="24" t="s">
        <v>250</v>
      </c>
      <c r="E23" s="25">
        <v>2166</v>
      </c>
      <c r="F23" s="26">
        <v>76.147592799999998</v>
      </c>
      <c r="G23" s="37">
        <v>5.7886331216568644E-2</v>
      </c>
      <c r="H23" s="14"/>
    </row>
    <row r="24" spans="1:8">
      <c r="A24" s="8"/>
      <c r="B24" s="36" t="s">
        <v>255</v>
      </c>
      <c r="C24" s="24" t="s">
        <v>256</v>
      </c>
      <c r="D24" s="24" t="s">
        <v>257</v>
      </c>
      <c r="E24" s="25">
        <v>110000</v>
      </c>
      <c r="F24" s="26">
        <v>71.825253500000002</v>
      </c>
      <c r="G24" s="37">
        <v>5.460054955033334E-2</v>
      </c>
      <c r="H24" s="14"/>
    </row>
    <row r="25" spans="1:8">
      <c r="A25" s="8"/>
      <c r="B25" s="36" t="s">
        <v>258</v>
      </c>
      <c r="C25" s="24" t="s">
        <v>259</v>
      </c>
      <c r="D25" s="24" t="s">
        <v>260</v>
      </c>
      <c r="E25" s="25">
        <v>79000</v>
      </c>
      <c r="F25" s="26">
        <v>71.179251199999996</v>
      </c>
      <c r="G25" s="37">
        <v>5.4109467669351478E-2</v>
      </c>
      <c r="H25" s="14"/>
    </row>
    <row r="26" spans="1:8">
      <c r="A26" s="8"/>
      <c r="B26" s="36" t="s">
        <v>261</v>
      </c>
      <c r="C26" s="24" t="s">
        <v>262</v>
      </c>
      <c r="D26" s="24" t="s">
        <v>257</v>
      </c>
      <c r="E26" s="25">
        <v>130000</v>
      </c>
      <c r="F26" s="26">
        <v>69.715700600000005</v>
      </c>
      <c r="G26" s="37">
        <v>5.2996897046057818E-2</v>
      </c>
      <c r="H26" s="14"/>
    </row>
    <row r="27" spans="1:8">
      <c r="A27" s="8"/>
      <c r="B27" s="36" t="s">
        <v>263</v>
      </c>
      <c r="C27" s="24" t="s">
        <v>264</v>
      </c>
      <c r="D27" s="24" t="s">
        <v>260</v>
      </c>
      <c r="E27" s="25">
        <v>2300</v>
      </c>
      <c r="F27" s="26">
        <v>49.6474872</v>
      </c>
      <c r="G27" s="37">
        <v>3.7741322902718893E-2</v>
      </c>
      <c r="H27" s="14"/>
    </row>
    <row r="28" spans="1:8">
      <c r="A28" s="8"/>
      <c r="B28" s="36" t="s">
        <v>265</v>
      </c>
      <c r="C28" s="24" t="s">
        <v>266</v>
      </c>
      <c r="D28" s="24" t="s">
        <v>267</v>
      </c>
      <c r="E28" s="25">
        <v>290</v>
      </c>
      <c r="F28" s="26">
        <v>48.319336</v>
      </c>
      <c r="G28" s="37">
        <v>3.6731681002799464E-2</v>
      </c>
      <c r="H28" s="14"/>
    </row>
    <row r="29" spans="1:8">
      <c r="A29" s="8"/>
      <c r="B29" s="36" t="s">
        <v>270</v>
      </c>
      <c r="C29" s="24" t="s">
        <v>271</v>
      </c>
      <c r="D29" s="24" t="s">
        <v>257</v>
      </c>
      <c r="E29" s="25">
        <v>5000</v>
      </c>
      <c r="F29" s="26">
        <v>39.526139999999998</v>
      </c>
      <c r="G29" s="37">
        <v>3.004721682748273E-2</v>
      </c>
      <c r="H29" s="14"/>
    </row>
    <row r="30" spans="1:8">
      <c r="A30" s="8"/>
      <c r="B30" s="36" t="s">
        <v>275</v>
      </c>
      <c r="C30" s="24" t="s">
        <v>276</v>
      </c>
      <c r="D30" s="24" t="s">
        <v>260</v>
      </c>
      <c r="E30" s="25">
        <v>5167</v>
      </c>
      <c r="F30" s="26">
        <v>38.588189399999997</v>
      </c>
      <c r="G30" s="37">
        <v>2.9334199946713001E-2</v>
      </c>
      <c r="H30" s="14"/>
    </row>
    <row r="31" spans="1:8">
      <c r="A31" s="8"/>
      <c r="B31" s="36" t="s">
        <v>279</v>
      </c>
      <c r="C31" s="24" t="s">
        <v>280</v>
      </c>
      <c r="D31" s="24" t="s">
        <v>281</v>
      </c>
      <c r="E31" s="25">
        <v>475</v>
      </c>
      <c r="F31" s="26">
        <v>32.620055000000001</v>
      </c>
      <c r="G31" s="37">
        <v>2.4797307946321401E-2</v>
      </c>
      <c r="H31" s="14"/>
    </row>
    <row r="32" spans="1:8">
      <c r="A32" s="8"/>
      <c r="B32" s="36" t="s">
        <v>282</v>
      </c>
      <c r="C32" s="24" t="s">
        <v>283</v>
      </c>
      <c r="D32" s="24" t="s">
        <v>284</v>
      </c>
      <c r="E32" s="25">
        <v>200</v>
      </c>
      <c r="F32" s="26">
        <v>28.595320000000001</v>
      </c>
      <c r="G32" s="37">
        <v>2.1737760891684679E-2</v>
      </c>
      <c r="H32" s="14"/>
    </row>
    <row r="33" spans="1:8">
      <c r="A33" s="8"/>
      <c r="B33" s="36" t="s">
        <v>288</v>
      </c>
      <c r="C33" s="24" t="s">
        <v>289</v>
      </c>
      <c r="D33" s="24" t="s">
        <v>290</v>
      </c>
      <c r="E33" s="25">
        <v>16000</v>
      </c>
      <c r="F33" s="26">
        <v>27.694643200000002</v>
      </c>
      <c r="G33" s="37">
        <v>2.105307903048894E-2</v>
      </c>
      <c r="H33" s="14"/>
    </row>
    <row r="34" spans="1:8">
      <c r="A34" s="8"/>
      <c r="B34" s="36" t="s">
        <v>291</v>
      </c>
      <c r="C34" s="24" t="s">
        <v>292</v>
      </c>
      <c r="D34" s="24" t="s">
        <v>293</v>
      </c>
      <c r="E34" s="25">
        <v>4664</v>
      </c>
      <c r="F34" s="26">
        <v>26.807496700000002</v>
      </c>
      <c r="G34" s="37">
        <v>2.0378682713437936E-2</v>
      </c>
      <c r="H34" s="14"/>
    </row>
    <row r="35" spans="1:8">
      <c r="A35" s="8"/>
      <c r="B35" s="36" t="s">
        <v>294</v>
      </c>
      <c r="C35" s="24" t="s">
        <v>295</v>
      </c>
      <c r="D35" s="24" t="s">
        <v>260</v>
      </c>
      <c r="E35" s="25">
        <v>26000</v>
      </c>
      <c r="F35" s="26">
        <v>26.078092000000002</v>
      </c>
      <c r="G35" s="37">
        <v>1.9824199498636667E-2</v>
      </c>
      <c r="H35" s="14"/>
    </row>
    <row r="36" spans="1:8">
      <c r="A36" s="8"/>
      <c r="B36" s="36" t="s">
        <v>296</v>
      </c>
      <c r="C36" s="24" t="s">
        <v>297</v>
      </c>
      <c r="D36" s="24" t="s">
        <v>267</v>
      </c>
      <c r="E36" s="25">
        <v>8480</v>
      </c>
      <c r="F36" s="26">
        <v>24.628464000000001</v>
      </c>
      <c r="G36" s="37">
        <v>1.8722212640441303E-2</v>
      </c>
      <c r="H36" s="14"/>
    </row>
    <row r="37" spans="1:8">
      <c r="A37" s="8"/>
      <c r="B37" s="36" t="s">
        <v>298</v>
      </c>
      <c r="C37" s="24" t="s">
        <v>299</v>
      </c>
      <c r="D37" s="24" t="s">
        <v>284</v>
      </c>
      <c r="E37" s="25">
        <v>1945</v>
      </c>
      <c r="F37" s="26">
        <v>23.542311099999999</v>
      </c>
      <c r="G37" s="37">
        <v>1.7896534451422613E-2</v>
      </c>
      <c r="H37" s="14"/>
    </row>
    <row r="38" spans="1:8">
      <c r="A38" s="8"/>
      <c r="B38" s="36" t="s">
        <v>300</v>
      </c>
      <c r="C38" s="24" t="s">
        <v>301</v>
      </c>
      <c r="D38" s="24" t="s">
        <v>260</v>
      </c>
      <c r="E38" s="25">
        <v>5030</v>
      </c>
      <c r="F38" s="26">
        <v>23.5407622</v>
      </c>
      <c r="G38" s="37">
        <v>1.7895356999383428E-2</v>
      </c>
      <c r="H38" s="14"/>
    </row>
    <row r="39" spans="1:8">
      <c r="A39" s="8"/>
      <c r="B39" s="36" t="s">
        <v>304</v>
      </c>
      <c r="C39" s="24" t="s">
        <v>305</v>
      </c>
      <c r="D39" s="24" t="s">
        <v>306</v>
      </c>
      <c r="E39" s="25">
        <v>9000</v>
      </c>
      <c r="F39" s="26">
        <v>23.123945299999999</v>
      </c>
      <c r="G39" s="37">
        <v>1.7578498642567934E-2</v>
      </c>
      <c r="H39" s="14"/>
    </row>
    <row r="40" spans="1:8">
      <c r="A40" s="8"/>
      <c r="B40" s="36" t="s">
        <v>309</v>
      </c>
      <c r="C40" s="24" t="s">
        <v>310</v>
      </c>
      <c r="D40" s="24" t="s">
        <v>306</v>
      </c>
      <c r="E40" s="25">
        <v>20000</v>
      </c>
      <c r="F40" s="26">
        <v>16.669</v>
      </c>
      <c r="G40" s="37">
        <v>1.2671539829017192E-2</v>
      </c>
      <c r="H40" s="14"/>
    </row>
    <row r="41" spans="1:8">
      <c r="A41" s="8"/>
      <c r="B41" s="36" t="s">
        <v>311</v>
      </c>
      <c r="C41" s="24" t="s">
        <v>312</v>
      </c>
      <c r="D41" s="24" t="s">
        <v>250</v>
      </c>
      <c r="E41" s="25">
        <v>16000</v>
      </c>
      <c r="F41" s="26">
        <v>16.1222387</v>
      </c>
      <c r="G41" s="37">
        <v>1.2255899563259485E-2</v>
      </c>
      <c r="H41" s="14"/>
    </row>
    <row r="42" spans="1:8">
      <c r="A42" s="8"/>
      <c r="B42" s="36" t="s">
        <v>313</v>
      </c>
      <c r="C42" s="24" t="s">
        <v>314</v>
      </c>
      <c r="D42" s="24" t="s">
        <v>306</v>
      </c>
      <c r="E42" s="25">
        <v>16000</v>
      </c>
      <c r="F42" s="26">
        <v>9.6189429999999998</v>
      </c>
      <c r="G42" s="37">
        <v>7.3121854542891667E-3</v>
      </c>
      <c r="H42" s="14"/>
    </row>
    <row r="43" spans="1:8">
      <c r="A43" s="8"/>
      <c r="B43" s="36" t="s">
        <v>315</v>
      </c>
      <c r="C43" s="24" t="s">
        <v>316</v>
      </c>
      <c r="D43" s="24" t="s">
        <v>293</v>
      </c>
      <c r="E43" s="25">
        <v>4578</v>
      </c>
      <c r="F43" s="26">
        <v>3.4822557000000001</v>
      </c>
      <c r="G43" s="37">
        <v>2.647161905175604E-3</v>
      </c>
      <c r="H43" s="14"/>
    </row>
    <row r="44" spans="1:8">
      <c r="A44" s="10"/>
      <c r="B44" s="34" t="s">
        <v>23</v>
      </c>
      <c r="C44" s="24" t="s">
        <v>1</v>
      </c>
      <c r="D44" s="24" t="s">
        <v>1</v>
      </c>
      <c r="E44" s="24" t="s">
        <v>1</v>
      </c>
      <c r="F44" s="27">
        <f>SUM(F22:F43)</f>
        <v>868.52370159999987</v>
      </c>
      <c r="G44" s="38">
        <f>SUM(G22:G43)</f>
        <v>0.66023952710239586</v>
      </c>
    </row>
    <row r="45" spans="1:8">
      <c r="A45" s="10"/>
      <c r="B45" s="34"/>
      <c r="C45" s="24"/>
      <c r="D45" s="24"/>
      <c r="E45" s="24"/>
      <c r="F45" s="27"/>
      <c r="G45" s="38"/>
    </row>
    <row r="46" spans="1:8">
      <c r="A46" s="10"/>
      <c r="B46" s="34" t="s">
        <v>174</v>
      </c>
      <c r="C46" s="24" t="s">
        <v>1</v>
      </c>
      <c r="D46" s="24" t="s">
        <v>1</v>
      </c>
      <c r="E46" s="27" t="s">
        <v>317</v>
      </c>
      <c r="F46" s="27" t="s">
        <v>317</v>
      </c>
      <c r="G46" s="61" t="s">
        <v>317</v>
      </c>
    </row>
    <row r="47" spans="1:8">
      <c r="A47" s="10"/>
      <c r="B47" s="34" t="s">
        <v>23</v>
      </c>
      <c r="C47" s="24" t="s">
        <v>1</v>
      </c>
      <c r="D47" s="24" t="s">
        <v>1</v>
      </c>
      <c r="E47" s="27" t="s">
        <v>317</v>
      </c>
      <c r="F47" s="27" t="s">
        <v>317</v>
      </c>
      <c r="G47" s="61" t="s">
        <v>317</v>
      </c>
    </row>
    <row r="48" spans="1:8">
      <c r="A48" s="10"/>
      <c r="B48" s="34" t="s">
        <v>24</v>
      </c>
      <c r="C48" s="24" t="s">
        <v>1</v>
      </c>
      <c r="D48" s="24" t="s">
        <v>1</v>
      </c>
      <c r="E48" s="24" t="s">
        <v>1</v>
      </c>
      <c r="F48" s="27">
        <v>1293.7482015999999</v>
      </c>
      <c r="G48" s="38">
        <v>0.98348922342634615</v>
      </c>
    </row>
    <row r="49" spans="1:7">
      <c r="A49" s="10"/>
      <c r="B49" s="34"/>
      <c r="C49" s="24"/>
      <c r="D49" s="24"/>
      <c r="E49" s="24"/>
      <c r="F49" s="27"/>
      <c r="G49" s="38"/>
    </row>
    <row r="50" spans="1:7">
      <c r="A50" s="10"/>
      <c r="B50" s="29" t="s">
        <v>353</v>
      </c>
      <c r="C50" s="23"/>
      <c r="D50" s="24"/>
      <c r="E50" s="24"/>
      <c r="F50" s="74"/>
      <c r="G50" s="38"/>
    </row>
    <row r="51" spans="1:7">
      <c r="A51" s="8"/>
      <c r="B51" s="31" t="s">
        <v>357</v>
      </c>
      <c r="C51" s="23"/>
      <c r="D51" s="24"/>
      <c r="E51" s="27" t="s">
        <v>317</v>
      </c>
      <c r="F51" s="27" t="s">
        <v>317</v>
      </c>
      <c r="G51" s="61" t="s">
        <v>317</v>
      </c>
    </row>
    <row r="52" spans="1:7">
      <c r="A52" s="10"/>
      <c r="B52" s="31" t="s">
        <v>355</v>
      </c>
      <c r="C52" s="23"/>
      <c r="D52" s="24"/>
      <c r="E52" s="27" t="s">
        <v>317</v>
      </c>
      <c r="F52" s="27" t="s">
        <v>317</v>
      </c>
      <c r="G52" s="61" t="s">
        <v>317</v>
      </c>
    </row>
    <row r="53" spans="1:7">
      <c r="A53" s="10"/>
      <c r="B53" s="31" t="s">
        <v>356</v>
      </c>
      <c r="C53" s="23"/>
      <c r="D53" s="24"/>
      <c r="E53" s="27" t="s">
        <v>317</v>
      </c>
      <c r="F53" s="27" t="s">
        <v>317</v>
      </c>
      <c r="G53" s="61" t="s">
        <v>317</v>
      </c>
    </row>
    <row r="54" spans="1:7">
      <c r="A54" s="10"/>
      <c r="B54" s="31"/>
      <c r="C54" s="23"/>
      <c r="D54" s="24"/>
      <c r="E54" s="87"/>
      <c r="F54" s="74"/>
      <c r="G54" s="62"/>
    </row>
    <row r="55" spans="1:7">
      <c r="A55" s="10"/>
      <c r="B55" s="34" t="s">
        <v>9</v>
      </c>
      <c r="C55" s="23"/>
      <c r="D55" s="24"/>
      <c r="E55" s="87"/>
      <c r="F55" s="74"/>
      <c r="G55" s="62"/>
    </row>
    <row r="56" spans="1:7">
      <c r="A56" s="10"/>
      <c r="B56" s="34" t="s">
        <v>25</v>
      </c>
      <c r="C56" s="24" t="s">
        <v>1</v>
      </c>
      <c r="D56" s="24" t="s">
        <v>1</v>
      </c>
      <c r="E56" s="24" t="s">
        <v>1</v>
      </c>
      <c r="F56" s="28" t="s">
        <v>1</v>
      </c>
      <c r="G56" s="39" t="s">
        <v>1</v>
      </c>
    </row>
    <row r="57" spans="1:7">
      <c r="A57" s="8"/>
      <c r="B57" s="36" t="s">
        <v>26</v>
      </c>
      <c r="C57" s="24" t="s">
        <v>1</v>
      </c>
      <c r="D57" s="24" t="s">
        <v>27</v>
      </c>
      <c r="E57" s="25"/>
      <c r="F57" s="26">
        <v>6.2458733000000004</v>
      </c>
      <c r="G57" s="37">
        <v>4.7480252137467784E-3</v>
      </c>
    </row>
    <row r="58" spans="1:7">
      <c r="A58" s="10"/>
      <c r="B58" s="34" t="s">
        <v>23</v>
      </c>
      <c r="C58" s="24" t="s">
        <v>1</v>
      </c>
      <c r="D58" s="24" t="s">
        <v>1</v>
      </c>
      <c r="E58" s="24" t="s">
        <v>1</v>
      </c>
      <c r="F58" s="27">
        <v>6.2458733000000004</v>
      </c>
      <c r="G58" s="38">
        <v>4.7480252137467784E-3</v>
      </c>
    </row>
    <row r="59" spans="1:7">
      <c r="A59" s="10"/>
      <c r="B59" s="34" t="s">
        <v>24</v>
      </c>
      <c r="C59" s="24" t="s">
        <v>1</v>
      </c>
      <c r="D59" s="24" t="s">
        <v>1</v>
      </c>
      <c r="E59" s="24" t="s">
        <v>1</v>
      </c>
      <c r="F59" s="27">
        <v>6.2458733000000004</v>
      </c>
      <c r="G59" s="38">
        <v>4.7480252137467784E-3</v>
      </c>
    </row>
    <row r="60" spans="1:7">
      <c r="A60" s="10"/>
      <c r="B60" s="34"/>
      <c r="C60" s="24"/>
      <c r="D60" s="24"/>
      <c r="E60" s="24"/>
      <c r="F60" s="27"/>
      <c r="G60" s="38"/>
    </row>
    <row r="61" spans="1:7">
      <c r="A61" s="10"/>
      <c r="B61" s="34" t="s">
        <v>186</v>
      </c>
      <c r="C61" s="24"/>
      <c r="D61" s="24"/>
      <c r="E61" s="24"/>
      <c r="F61" s="27"/>
      <c r="G61" s="38"/>
    </row>
    <row r="62" spans="1:7" ht="12" thickBot="1">
      <c r="A62" s="10"/>
      <c r="B62" s="53" t="s">
        <v>28</v>
      </c>
      <c r="C62" s="54" t="s">
        <v>1</v>
      </c>
      <c r="D62" s="54" t="s">
        <v>1</v>
      </c>
      <c r="E62" s="54" t="s">
        <v>1</v>
      </c>
      <c r="F62" s="55">
        <v>15.473518219900001</v>
      </c>
      <c r="G62" s="56">
        <v>1.1762751359907068E-2</v>
      </c>
    </row>
    <row r="63" spans="1:7" ht="12.75" thickTop="1" thickBot="1">
      <c r="A63" s="10"/>
      <c r="B63" s="49" t="s">
        <v>29</v>
      </c>
      <c r="C63" s="50" t="s">
        <v>1</v>
      </c>
      <c r="D63" s="50" t="s">
        <v>1</v>
      </c>
      <c r="E63" s="50" t="s">
        <v>1</v>
      </c>
      <c r="F63" s="51">
        <v>1315.4675931198999</v>
      </c>
      <c r="G63" s="52">
        <v>1</v>
      </c>
    </row>
    <row r="64" spans="1:7">
      <c r="A64" s="10"/>
      <c r="B64" s="7" t="s">
        <v>1</v>
      </c>
      <c r="C64" s="10"/>
      <c r="D64" s="10"/>
      <c r="E64" s="10"/>
      <c r="F64" s="12"/>
      <c r="G64" s="13"/>
    </row>
    <row r="65" spans="1:7">
      <c r="A65" s="10"/>
      <c r="B65" s="5" t="s">
        <v>361</v>
      </c>
      <c r="C65" s="10"/>
      <c r="D65" s="10"/>
      <c r="E65" s="10"/>
      <c r="F65" s="12"/>
      <c r="G65" s="13"/>
    </row>
    <row r="66" spans="1:7" ht="22.5">
      <c r="A66" s="10"/>
      <c r="B66" s="5" t="s">
        <v>362</v>
      </c>
      <c r="C66" s="10"/>
      <c r="D66" s="10"/>
      <c r="E66" s="10"/>
      <c r="F66" s="12"/>
      <c r="G66" s="13"/>
    </row>
    <row r="67" spans="1:7" ht="12" thickBot="1">
      <c r="A67" s="10"/>
      <c r="B67" s="5" t="s">
        <v>1</v>
      </c>
      <c r="C67" s="10"/>
      <c r="D67" s="10"/>
      <c r="E67" s="10"/>
      <c r="F67" s="12"/>
      <c r="G67" s="13"/>
    </row>
    <row r="68" spans="1:7" ht="12" thickBot="1">
      <c r="B68" s="82" t="s">
        <v>369</v>
      </c>
      <c r="C68" s="83">
        <v>3.0200000000000001E-2</v>
      </c>
      <c r="F68" s="14"/>
      <c r="G68" s="15"/>
    </row>
    <row r="69" spans="1:7">
      <c r="B69" s="7" t="s">
        <v>370</v>
      </c>
      <c r="C69" s="7"/>
      <c r="F69" s="14"/>
      <c r="G69" s="15"/>
    </row>
    <row r="70" spans="1:7">
      <c r="F70" s="14"/>
      <c r="G70" s="15"/>
    </row>
    <row r="71" spans="1:7">
      <c r="F71" s="14"/>
      <c r="G71" s="15"/>
    </row>
    <row r="72" spans="1:7">
      <c r="F72" s="14"/>
      <c r="G72" s="15"/>
    </row>
    <row r="73" spans="1:7">
      <c r="F73" s="14"/>
      <c r="G73" s="15"/>
    </row>
    <row r="74" spans="1:7">
      <c r="F74" s="14"/>
      <c r="G74" s="15"/>
    </row>
    <row r="75" spans="1:7">
      <c r="F75" s="14"/>
      <c r="G75" s="15"/>
    </row>
    <row r="76" spans="1:7">
      <c r="F76" s="14"/>
      <c r="G76" s="15"/>
    </row>
    <row r="77" spans="1:7">
      <c r="F77" s="14"/>
      <c r="G77" s="15"/>
    </row>
    <row r="78" spans="1:7">
      <c r="F78" s="14"/>
      <c r="G78" s="15"/>
    </row>
    <row r="79" spans="1:7">
      <c r="F79" s="14"/>
      <c r="G79" s="15"/>
    </row>
    <row r="80" spans="1:7">
      <c r="F80" s="14"/>
      <c r="G80" s="15"/>
    </row>
    <row r="81" spans="6:7">
      <c r="F81" s="14"/>
      <c r="G81" s="15"/>
    </row>
    <row r="82" spans="6:7">
      <c r="F82" s="14"/>
      <c r="G82" s="15"/>
    </row>
    <row r="83" spans="6:7">
      <c r="F83" s="14"/>
      <c r="G83" s="15"/>
    </row>
    <row r="84" spans="6:7">
      <c r="F84" s="14"/>
      <c r="G84" s="15"/>
    </row>
    <row r="85" spans="6:7">
      <c r="F85" s="14"/>
      <c r="G85" s="15"/>
    </row>
    <row r="86" spans="6:7">
      <c r="F86" s="14"/>
      <c r="G86" s="15"/>
    </row>
    <row r="87" spans="6:7">
      <c r="F87" s="14"/>
      <c r="G87" s="15"/>
    </row>
    <row r="88" spans="6:7">
      <c r="F88" s="14"/>
      <c r="G88" s="15"/>
    </row>
    <row r="89" spans="6:7">
      <c r="F89" s="14"/>
      <c r="G89" s="15"/>
    </row>
    <row r="90" spans="6:7">
      <c r="F90" s="14"/>
      <c r="G90" s="15"/>
    </row>
    <row r="91" spans="6:7">
      <c r="F91" s="14"/>
      <c r="G91" s="15"/>
    </row>
    <row r="92" spans="6:7">
      <c r="F92" s="14"/>
      <c r="G92" s="15"/>
    </row>
    <row r="93" spans="6:7">
      <c r="F93" s="14"/>
      <c r="G93" s="15"/>
    </row>
    <row r="94" spans="6:7">
      <c r="F94" s="14"/>
      <c r="G94" s="15"/>
    </row>
    <row r="95" spans="6:7">
      <c r="F95" s="14"/>
      <c r="G95" s="15"/>
    </row>
    <row r="96" spans="6:7">
      <c r="F96" s="14"/>
      <c r="G96" s="15"/>
    </row>
    <row r="97" spans="6:7">
      <c r="F97" s="14"/>
      <c r="G97" s="15"/>
    </row>
    <row r="98" spans="6:7">
      <c r="F98" s="14"/>
      <c r="G98" s="15"/>
    </row>
    <row r="99" spans="6:7">
      <c r="F99" s="14"/>
      <c r="G99" s="15"/>
    </row>
    <row r="100" spans="6:7">
      <c r="F100" s="14"/>
      <c r="G100" s="15"/>
    </row>
    <row r="101" spans="6:7">
      <c r="F101" s="14"/>
      <c r="G101" s="15"/>
    </row>
    <row r="102" spans="6:7">
      <c r="F102" s="14"/>
      <c r="G102" s="15"/>
    </row>
    <row r="103" spans="6:7">
      <c r="F103" s="14"/>
      <c r="G103" s="15"/>
    </row>
    <row r="104" spans="6:7">
      <c r="F104" s="14"/>
      <c r="G104" s="15"/>
    </row>
    <row r="105" spans="6:7">
      <c r="F105" s="14"/>
      <c r="G105" s="15"/>
    </row>
    <row r="106" spans="6:7">
      <c r="F106" s="14"/>
      <c r="G106" s="15"/>
    </row>
    <row r="107" spans="6:7">
      <c r="F107" s="14"/>
      <c r="G107" s="15"/>
    </row>
    <row r="108" spans="6:7">
      <c r="F108" s="14"/>
      <c r="G108" s="15"/>
    </row>
    <row r="109" spans="6:7">
      <c r="F109" s="14"/>
      <c r="G109" s="15"/>
    </row>
    <row r="110" spans="6:7">
      <c r="F110" s="14"/>
      <c r="G110" s="15"/>
    </row>
    <row r="111" spans="6:7">
      <c r="F111" s="14"/>
      <c r="G111" s="15"/>
    </row>
    <row r="112" spans="6:7">
      <c r="F112" s="14"/>
      <c r="G112" s="15"/>
    </row>
    <row r="113" spans="6:7">
      <c r="F113" s="14"/>
      <c r="G113" s="15"/>
    </row>
    <row r="114" spans="6:7">
      <c r="F114" s="14"/>
      <c r="G114" s="15"/>
    </row>
    <row r="115" spans="6:7">
      <c r="F115" s="14"/>
      <c r="G115" s="15"/>
    </row>
    <row r="116" spans="6:7">
      <c r="F116" s="14"/>
      <c r="G116" s="15"/>
    </row>
    <row r="117" spans="6:7">
      <c r="F117" s="14"/>
      <c r="G117" s="15"/>
    </row>
    <row r="118" spans="6:7">
      <c r="F118" s="14"/>
      <c r="G118" s="15"/>
    </row>
    <row r="119" spans="6:7">
      <c r="F119" s="14"/>
      <c r="G119" s="15"/>
    </row>
    <row r="120" spans="6:7">
      <c r="F120" s="14"/>
      <c r="G120" s="15"/>
    </row>
    <row r="121" spans="6:7">
      <c r="F121" s="14"/>
      <c r="G121" s="15"/>
    </row>
    <row r="122" spans="6:7">
      <c r="F122" s="14"/>
      <c r="G122" s="15"/>
    </row>
    <row r="123" spans="6:7">
      <c r="F123" s="14"/>
      <c r="G123" s="15"/>
    </row>
    <row r="124" spans="6:7">
      <c r="F124" s="14"/>
      <c r="G124" s="15"/>
    </row>
    <row r="125" spans="6:7">
      <c r="F125" s="14"/>
      <c r="G125" s="15"/>
    </row>
    <row r="126" spans="6:7">
      <c r="F126" s="14"/>
      <c r="G126" s="15"/>
    </row>
    <row r="127" spans="6:7">
      <c r="F127" s="14"/>
      <c r="G127" s="15"/>
    </row>
    <row r="128" spans="6:7">
      <c r="F128" s="14"/>
      <c r="G128" s="15"/>
    </row>
    <row r="129" spans="6:7">
      <c r="F129" s="14"/>
      <c r="G129" s="15"/>
    </row>
    <row r="130" spans="6:7">
      <c r="F130" s="14"/>
      <c r="G130" s="15"/>
    </row>
    <row r="131" spans="6:7">
      <c r="F131" s="14"/>
      <c r="G131" s="15"/>
    </row>
    <row r="132" spans="6:7">
      <c r="F132" s="14"/>
      <c r="G132" s="15"/>
    </row>
    <row r="133" spans="6:7">
      <c r="F133" s="14"/>
      <c r="G133" s="15"/>
    </row>
    <row r="134" spans="6:7">
      <c r="F134" s="14"/>
      <c r="G134" s="15"/>
    </row>
    <row r="135" spans="6:7">
      <c r="F135" s="14"/>
      <c r="G135" s="15"/>
    </row>
    <row r="136" spans="6:7">
      <c r="F136" s="14"/>
      <c r="G136" s="15"/>
    </row>
    <row r="137" spans="6:7">
      <c r="F137" s="14"/>
      <c r="G137" s="15"/>
    </row>
    <row r="138" spans="6:7">
      <c r="F138" s="14"/>
      <c r="G138" s="15"/>
    </row>
    <row r="139" spans="6:7">
      <c r="F139" s="14"/>
      <c r="G139" s="15"/>
    </row>
    <row r="140" spans="6:7">
      <c r="F140" s="14"/>
      <c r="G140" s="15"/>
    </row>
    <row r="141" spans="6:7">
      <c r="G141" s="15"/>
    </row>
    <row r="142" spans="6:7">
      <c r="G142" s="15"/>
    </row>
    <row r="143" spans="6:7">
      <c r="G143" s="15"/>
    </row>
    <row r="144" spans="6:7">
      <c r="G144" s="15"/>
    </row>
  </sheetData>
  <sortState ref="A5:J37">
    <sortCondition ref="H5:H37"/>
  </sortState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showGridLines="0" zoomScaleNormal="100" workbookViewId="0">
      <selection activeCell="B4" sqref="B4"/>
    </sheetView>
  </sheetViews>
  <sheetFormatPr defaultRowHeight="11.25"/>
  <cols>
    <col min="1" max="1" width="11.42578125" style="11" bestFit="1" customWidth="1"/>
    <col min="2" max="2" width="46.28515625" style="11" bestFit="1" customWidth="1"/>
    <col min="3" max="7" width="19" style="11" customWidth="1"/>
    <col min="8" max="16384" width="9.140625" style="11"/>
  </cols>
  <sheetData>
    <row r="1" spans="1:7" ht="18.75">
      <c r="A1" s="10"/>
      <c r="B1" s="95" t="s">
        <v>0</v>
      </c>
      <c r="C1" s="96"/>
      <c r="D1" s="96"/>
      <c r="E1" s="96"/>
      <c r="F1" s="96"/>
      <c r="G1" s="97"/>
    </row>
    <row r="2" spans="1:7" ht="12" thickBot="1">
      <c r="A2" s="10"/>
      <c r="B2" s="98" t="s">
        <v>367</v>
      </c>
      <c r="C2" s="99"/>
      <c r="D2" s="99"/>
      <c r="E2" s="99"/>
      <c r="F2" s="99"/>
      <c r="G2" s="100"/>
    </row>
    <row r="3" spans="1:7" ht="12.95" customHeight="1">
      <c r="A3" s="10"/>
      <c r="B3" s="6" t="s">
        <v>1</v>
      </c>
      <c r="C3" s="10"/>
      <c r="D3" s="10"/>
      <c r="E3" s="10"/>
      <c r="F3" s="10"/>
      <c r="G3" s="10"/>
    </row>
    <row r="4" spans="1:7" ht="12.95" customHeight="1" thickBot="1">
      <c r="A4" s="7"/>
      <c r="B4" s="5" t="s">
        <v>2</v>
      </c>
      <c r="C4" s="10"/>
      <c r="D4" s="10"/>
      <c r="E4" s="10"/>
      <c r="F4" s="10"/>
      <c r="G4" s="10"/>
    </row>
    <row r="5" spans="1:7" ht="27.95" customHeight="1" thickBot="1">
      <c r="A5" s="10"/>
      <c r="B5" s="45" t="s">
        <v>3</v>
      </c>
      <c r="C5" s="46" t="s">
        <v>4</v>
      </c>
      <c r="D5" s="47" t="s">
        <v>5</v>
      </c>
      <c r="E5" s="47" t="s">
        <v>6</v>
      </c>
      <c r="F5" s="47" t="s">
        <v>7</v>
      </c>
      <c r="G5" s="48" t="s">
        <v>8</v>
      </c>
    </row>
    <row r="6" spans="1:7" ht="12.95" customHeight="1">
      <c r="A6" s="10"/>
      <c r="B6" s="40" t="s">
        <v>351</v>
      </c>
      <c r="C6" s="41"/>
      <c r="D6" s="42"/>
      <c r="E6" s="42"/>
      <c r="F6" s="43"/>
      <c r="G6" s="44"/>
    </row>
    <row r="7" spans="1:7" ht="12.95" customHeight="1">
      <c r="A7" s="10"/>
      <c r="B7" s="31" t="s">
        <v>352</v>
      </c>
      <c r="C7" s="16"/>
      <c r="D7" s="17"/>
      <c r="E7" s="21" t="s">
        <v>317</v>
      </c>
      <c r="F7" s="21" t="s">
        <v>317</v>
      </c>
      <c r="G7" s="32" t="s">
        <v>317</v>
      </c>
    </row>
    <row r="8" spans="1:7" ht="12.95" customHeight="1">
      <c r="A8" s="8"/>
      <c r="B8" s="31" t="s">
        <v>174</v>
      </c>
      <c r="C8" s="16"/>
      <c r="D8" s="17"/>
      <c r="E8" s="21" t="s">
        <v>317</v>
      </c>
      <c r="F8" s="21" t="s">
        <v>317</v>
      </c>
      <c r="G8" s="32" t="s">
        <v>317</v>
      </c>
    </row>
    <row r="9" spans="1:7" ht="12.95" customHeight="1">
      <c r="A9" s="10"/>
      <c r="B9" s="31"/>
      <c r="C9" s="16"/>
      <c r="D9" s="17"/>
      <c r="E9" s="22"/>
      <c r="F9" s="19"/>
      <c r="G9" s="33"/>
    </row>
    <row r="10" spans="1:7" ht="12.95" customHeight="1">
      <c r="A10" s="10"/>
      <c r="B10" s="29" t="s">
        <v>353</v>
      </c>
      <c r="C10" s="16"/>
      <c r="D10" s="17"/>
      <c r="E10" s="22"/>
      <c r="F10" s="19"/>
      <c r="G10" s="33"/>
    </row>
    <row r="11" spans="1:7" ht="12.95" customHeight="1">
      <c r="A11" s="10"/>
      <c r="B11" s="31" t="s">
        <v>354</v>
      </c>
      <c r="C11" s="16"/>
      <c r="D11" s="17"/>
      <c r="E11" s="21" t="s">
        <v>317</v>
      </c>
      <c r="F11" s="21" t="s">
        <v>317</v>
      </c>
      <c r="G11" s="32" t="s">
        <v>317</v>
      </c>
    </row>
    <row r="12" spans="1:7" ht="12.95" customHeight="1">
      <c r="A12" s="8"/>
      <c r="B12" s="31" t="s">
        <v>355</v>
      </c>
      <c r="C12" s="16"/>
      <c r="D12" s="17"/>
      <c r="E12" s="21" t="s">
        <v>317</v>
      </c>
      <c r="F12" s="21" t="s">
        <v>317</v>
      </c>
      <c r="G12" s="32" t="s">
        <v>317</v>
      </c>
    </row>
    <row r="13" spans="1:7" ht="12.95" customHeight="1">
      <c r="A13" s="10"/>
      <c r="B13" s="31" t="s">
        <v>356</v>
      </c>
      <c r="C13" s="16"/>
      <c r="D13" s="17"/>
      <c r="E13" s="21" t="s">
        <v>317</v>
      </c>
      <c r="F13" s="21" t="s">
        <v>317</v>
      </c>
      <c r="G13" s="32" t="s">
        <v>317</v>
      </c>
    </row>
    <row r="14" spans="1:7" ht="12.95" customHeight="1">
      <c r="A14" s="10"/>
      <c r="B14" s="31"/>
      <c r="C14" s="16"/>
      <c r="D14" s="17"/>
      <c r="E14" s="17"/>
      <c r="F14" s="19"/>
      <c r="G14" s="30"/>
    </row>
    <row r="15" spans="1:7" ht="12.95" customHeight="1">
      <c r="A15" s="10"/>
      <c r="B15" s="34" t="s">
        <v>9</v>
      </c>
      <c r="C15" s="24" t="s">
        <v>1</v>
      </c>
      <c r="D15" s="24" t="s">
        <v>1</v>
      </c>
      <c r="E15" s="24" t="s">
        <v>1</v>
      </c>
      <c r="F15" s="24" t="s">
        <v>1</v>
      </c>
      <c r="G15" s="35" t="s">
        <v>1</v>
      </c>
    </row>
    <row r="16" spans="1:7" ht="12.95" customHeight="1">
      <c r="A16" s="10"/>
      <c r="B16" s="34" t="s">
        <v>10</v>
      </c>
      <c r="C16" s="24" t="s">
        <v>1</v>
      </c>
      <c r="D16" s="24" t="s">
        <v>1</v>
      </c>
      <c r="E16" s="24" t="s">
        <v>1</v>
      </c>
      <c r="F16" s="24" t="s">
        <v>1</v>
      </c>
      <c r="G16" s="35" t="s">
        <v>1</v>
      </c>
    </row>
    <row r="17" spans="1:7" ht="12.95" customHeight="1">
      <c r="A17" s="8"/>
      <c r="B17" s="36" t="s">
        <v>11</v>
      </c>
      <c r="C17" s="24" t="s">
        <v>12</v>
      </c>
      <c r="D17" s="24" t="s">
        <v>13</v>
      </c>
      <c r="E17" s="25">
        <v>570000</v>
      </c>
      <c r="F17" s="26">
        <v>564.39306390000002</v>
      </c>
      <c r="G17" s="37">
        <v>0.2749905178727669</v>
      </c>
    </row>
    <row r="18" spans="1:7" ht="12.95" customHeight="1">
      <c r="A18" s="8"/>
      <c r="B18" s="36" t="s">
        <v>14</v>
      </c>
      <c r="C18" s="24" t="s">
        <v>15</v>
      </c>
      <c r="D18" s="24" t="s">
        <v>16</v>
      </c>
      <c r="E18" s="25">
        <v>500000</v>
      </c>
      <c r="F18" s="26">
        <v>493.388935</v>
      </c>
      <c r="G18" s="37">
        <v>0.24039501444401598</v>
      </c>
    </row>
    <row r="19" spans="1:7" ht="12.95" customHeight="1">
      <c r="A19" s="8"/>
      <c r="B19" s="36" t="s">
        <v>17</v>
      </c>
      <c r="C19" s="24" t="s">
        <v>18</v>
      </c>
      <c r="D19" s="24" t="s">
        <v>16</v>
      </c>
      <c r="E19" s="25">
        <v>250000</v>
      </c>
      <c r="F19" s="26">
        <v>249.786575</v>
      </c>
      <c r="G19" s="37">
        <v>0.12170408180119864</v>
      </c>
    </row>
    <row r="20" spans="1:7" ht="12.95" customHeight="1">
      <c r="A20" s="8"/>
      <c r="B20" s="36" t="s">
        <v>19</v>
      </c>
      <c r="C20" s="24" t="s">
        <v>20</v>
      </c>
      <c r="D20" s="24" t="s">
        <v>16</v>
      </c>
      <c r="E20" s="25">
        <v>250000</v>
      </c>
      <c r="F20" s="26">
        <v>247.26227750000001</v>
      </c>
      <c r="G20" s="37">
        <v>0.12047416258143849</v>
      </c>
    </row>
    <row r="21" spans="1:7" ht="12.95" customHeight="1">
      <c r="A21" s="8"/>
      <c r="B21" s="36" t="s">
        <v>21</v>
      </c>
      <c r="C21" s="24" t="s">
        <v>22</v>
      </c>
      <c r="D21" s="24" t="s">
        <v>16</v>
      </c>
      <c r="E21" s="25">
        <v>250000</v>
      </c>
      <c r="F21" s="26">
        <v>246.7987875</v>
      </c>
      <c r="G21" s="37">
        <v>0.12024833529318635</v>
      </c>
    </row>
    <row r="22" spans="1:7" ht="12.95" customHeight="1">
      <c r="A22" s="10"/>
      <c r="B22" s="34" t="s">
        <v>23</v>
      </c>
      <c r="C22" s="24" t="s">
        <v>1</v>
      </c>
      <c r="D22" s="24" t="s">
        <v>1</v>
      </c>
      <c r="E22" s="24" t="s">
        <v>1</v>
      </c>
      <c r="F22" s="27">
        <v>1801.6296388999999</v>
      </c>
      <c r="G22" s="38">
        <v>0.87781211199260634</v>
      </c>
    </row>
    <row r="23" spans="1:7" ht="12.95" customHeight="1">
      <c r="A23" s="10"/>
      <c r="B23" s="34" t="s">
        <v>24</v>
      </c>
      <c r="C23" s="24" t="s">
        <v>1</v>
      </c>
      <c r="D23" s="24" t="s">
        <v>1</v>
      </c>
      <c r="E23" s="24" t="s">
        <v>1</v>
      </c>
      <c r="F23" s="27">
        <v>1801.6296388999999</v>
      </c>
      <c r="G23" s="38">
        <v>0.87781211199260634</v>
      </c>
    </row>
    <row r="24" spans="1:7" ht="12.95" customHeight="1">
      <c r="A24" s="10"/>
      <c r="B24" s="34"/>
      <c r="C24" s="24"/>
      <c r="D24" s="24"/>
      <c r="E24" s="24"/>
      <c r="F24" s="27"/>
      <c r="G24" s="38"/>
    </row>
    <row r="25" spans="1:7" ht="12.95" customHeight="1">
      <c r="A25" s="10"/>
      <c r="B25" s="34" t="s">
        <v>25</v>
      </c>
      <c r="C25" s="24" t="s">
        <v>1</v>
      </c>
      <c r="D25" s="24" t="s">
        <v>1</v>
      </c>
      <c r="E25" s="24" t="s">
        <v>1</v>
      </c>
      <c r="F25" s="28" t="s">
        <v>1</v>
      </c>
      <c r="G25" s="39" t="s">
        <v>1</v>
      </c>
    </row>
    <row r="26" spans="1:7" ht="12.95" customHeight="1">
      <c r="A26" s="8"/>
      <c r="B26" s="36" t="s">
        <v>26</v>
      </c>
      <c r="C26" s="24" t="s">
        <v>1</v>
      </c>
      <c r="D26" s="24" t="s">
        <v>27</v>
      </c>
      <c r="E26" s="25"/>
      <c r="F26" s="26">
        <v>245.95581670000001</v>
      </c>
      <c r="G26" s="37">
        <v>0.11983761271052064</v>
      </c>
    </row>
    <row r="27" spans="1:7" ht="12.95" customHeight="1">
      <c r="A27" s="10"/>
      <c r="B27" s="34" t="s">
        <v>23</v>
      </c>
      <c r="C27" s="24" t="s">
        <v>1</v>
      </c>
      <c r="D27" s="24" t="s">
        <v>1</v>
      </c>
      <c r="E27" s="24" t="s">
        <v>1</v>
      </c>
      <c r="F27" s="27">
        <v>245.95581670000001</v>
      </c>
      <c r="G27" s="38">
        <v>0.11983761271052064</v>
      </c>
    </row>
    <row r="28" spans="1:7" ht="12.95" customHeight="1">
      <c r="A28" s="10"/>
      <c r="B28" s="34" t="s">
        <v>24</v>
      </c>
      <c r="C28" s="24" t="s">
        <v>1</v>
      </c>
      <c r="D28" s="24" t="s">
        <v>1</v>
      </c>
      <c r="E28" s="24" t="s">
        <v>1</v>
      </c>
      <c r="F28" s="27">
        <v>245.95581670000001</v>
      </c>
      <c r="G28" s="38">
        <v>0.11983761271052064</v>
      </c>
    </row>
    <row r="29" spans="1:7" ht="12.95" customHeight="1">
      <c r="A29" s="10"/>
      <c r="B29" s="34"/>
      <c r="C29" s="24"/>
      <c r="D29" s="24"/>
      <c r="E29" s="24"/>
      <c r="F29" s="27"/>
      <c r="G29" s="38"/>
    </row>
    <row r="30" spans="1:7" ht="12.95" customHeight="1">
      <c r="A30" s="10"/>
      <c r="B30" s="4" t="s">
        <v>186</v>
      </c>
      <c r="C30" s="24"/>
      <c r="D30" s="24"/>
      <c r="E30" s="24"/>
      <c r="F30" s="27"/>
      <c r="G30" s="38"/>
    </row>
    <row r="31" spans="1:7" ht="12.95" customHeight="1" thickBot="1">
      <c r="A31" s="10"/>
      <c r="B31" s="53" t="s">
        <v>28</v>
      </c>
      <c r="C31" s="54" t="s">
        <v>1</v>
      </c>
      <c r="D31" s="54" t="s">
        <v>1</v>
      </c>
      <c r="E31" s="54" t="s">
        <v>1</v>
      </c>
      <c r="F31" s="55">
        <v>4.8237265999999996</v>
      </c>
      <c r="G31" s="56">
        <v>2.3502752968730116E-3</v>
      </c>
    </row>
    <row r="32" spans="1:7" ht="12.95" customHeight="1" thickTop="1" thickBot="1">
      <c r="A32" s="10"/>
      <c r="B32" s="49" t="s">
        <v>29</v>
      </c>
      <c r="C32" s="50" t="s">
        <v>1</v>
      </c>
      <c r="D32" s="50" t="s">
        <v>1</v>
      </c>
      <c r="E32" s="50" t="s">
        <v>1</v>
      </c>
      <c r="F32" s="51">
        <v>2052.4091822</v>
      </c>
      <c r="G32" s="52">
        <v>1</v>
      </c>
    </row>
    <row r="33" spans="1:7" ht="12.95" customHeight="1">
      <c r="A33" s="10"/>
      <c r="B33" s="7" t="s">
        <v>1</v>
      </c>
      <c r="C33" s="10"/>
      <c r="D33" s="10"/>
      <c r="E33" s="10"/>
      <c r="F33" s="12"/>
      <c r="G33" s="13"/>
    </row>
    <row r="34" spans="1:7" ht="12.95" customHeight="1">
      <c r="A34" s="10"/>
      <c r="B34" s="5" t="s">
        <v>27</v>
      </c>
      <c r="C34" s="10"/>
      <c r="D34" s="10"/>
      <c r="E34" s="10"/>
      <c r="F34" s="12"/>
      <c r="G34" s="13"/>
    </row>
    <row r="35" spans="1:7" ht="12.95" customHeight="1">
      <c r="A35" s="10"/>
      <c r="B35" s="5" t="s">
        <v>30</v>
      </c>
      <c r="C35" s="10"/>
      <c r="D35" s="10"/>
      <c r="E35" s="10"/>
      <c r="F35" s="12"/>
      <c r="G35" s="13"/>
    </row>
    <row r="36" spans="1:7" ht="12.95" customHeight="1">
      <c r="A36" s="10"/>
      <c r="B36" s="5" t="s">
        <v>31</v>
      </c>
      <c r="C36" s="10"/>
      <c r="D36" s="10"/>
      <c r="E36" s="10"/>
      <c r="F36" s="12"/>
      <c r="G36" s="13"/>
    </row>
    <row r="37" spans="1:7" ht="12.95" customHeight="1" thickBot="1">
      <c r="A37" s="10"/>
      <c r="B37" s="5" t="s">
        <v>1</v>
      </c>
      <c r="C37" s="10"/>
      <c r="D37" s="10"/>
      <c r="E37" s="10"/>
      <c r="F37" s="12"/>
      <c r="G37" s="13"/>
    </row>
    <row r="38" spans="1:7" ht="12.95" customHeight="1" thickBot="1">
      <c r="A38" s="10"/>
      <c r="B38" s="57" t="s">
        <v>368</v>
      </c>
      <c r="C38" s="58">
        <v>34.9</v>
      </c>
      <c r="D38" s="10"/>
      <c r="E38" s="10"/>
      <c r="F38" s="12"/>
      <c r="G38" s="13"/>
    </row>
    <row r="39" spans="1:7">
      <c r="F39" s="14"/>
      <c r="G39" s="15"/>
    </row>
    <row r="40" spans="1:7">
      <c r="F40" s="14"/>
      <c r="G40" s="15"/>
    </row>
    <row r="41" spans="1:7">
      <c r="F41" s="14"/>
      <c r="G41" s="15"/>
    </row>
    <row r="42" spans="1:7">
      <c r="F42" s="14"/>
      <c r="G42" s="15"/>
    </row>
    <row r="43" spans="1:7">
      <c r="F43" s="14"/>
      <c r="G43" s="15"/>
    </row>
    <row r="44" spans="1:7">
      <c r="F44" s="14"/>
      <c r="G44" s="15"/>
    </row>
    <row r="45" spans="1:7">
      <c r="F45" s="14"/>
      <c r="G45" s="15"/>
    </row>
    <row r="46" spans="1:7">
      <c r="F46" s="14"/>
      <c r="G46" s="15"/>
    </row>
    <row r="47" spans="1:7">
      <c r="F47" s="14"/>
      <c r="G47" s="15"/>
    </row>
    <row r="48" spans="1:7">
      <c r="F48" s="14"/>
      <c r="G48" s="15"/>
    </row>
    <row r="49" spans="6:7">
      <c r="F49" s="14"/>
      <c r="G49" s="15"/>
    </row>
    <row r="50" spans="6:7">
      <c r="F50" s="14"/>
      <c r="G50" s="15"/>
    </row>
    <row r="51" spans="6:7">
      <c r="F51" s="14"/>
      <c r="G51" s="15"/>
    </row>
    <row r="52" spans="6:7">
      <c r="F52" s="14"/>
      <c r="G52" s="15"/>
    </row>
    <row r="53" spans="6:7">
      <c r="F53" s="14"/>
      <c r="G53" s="15"/>
    </row>
    <row r="54" spans="6:7">
      <c r="F54" s="14"/>
      <c r="G54" s="15"/>
    </row>
    <row r="55" spans="6:7">
      <c r="F55" s="14"/>
      <c r="G55" s="15"/>
    </row>
    <row r="56" spans="6:7">
      <c r="F56" s="14"/>
      <c r="G56" s="15"/>
    </row>
    <row r="57" spans="6:7">
      <c r="F57" s="14"/>
      <c r="G57" s="15"/>
    </row>
    <row r="58" spans="6:7">
      <c r="F58" s="14"/>
      <c r="G58" s="15"/>
    </row>
    <row r="59" spans="6:7">
      <c r="F59" s="14"/>
      <c r="G59" s="15"/>
    </row>
    <row r="60" spans="6:7">
      <c r="F60" s="14"/>
      <c r="G60" s="15"/>
    </row>
    <row r="61" spans="6:7">
      <c r="F61" s="14"/>
      <c r="G61" s="15"/>
    </row>
    <row r="62" spans="6:7">
      <c r="F62" s="14"/>
      <c r="G62" s="15"/>
    </row>
    <row r="63" spans="6:7">
      <c r="F63" s="14"/>
      <c r="G63" s="15"/>
    </row>
    <row r="64" spans="6:7">
      <c r="F64" s="14"/>
      <c r="G64" s="15"/>
    </row>
    <row r="65" spans="6:7">
      <c r="F65" s="14"/>
      <c r="G65" s="15"/>
    </row>
    <row r="66" spans="6:7">
      <c r="F66" s="14"/>
      <c r="G66" s="15"/>
    </row>
    <row r="67" spans="6:7">
      <c r="F67" s="14"/>
      <c r="G67" s="15"/>
    </row>
    <row r="68" spans="6:7">
      <c r="F68" s="14"/>
      <c r="G68" s="15"/>
    </row>
    <row r="69" spans="6:7">
      <c r="F69" s="14"/>
      <c r="G69" s="15"/>
    </row>
    <row r="70" spans="6:7">
      <c r="F70" s="14"/>
      <c r="G70" s="15"/>
    </row>
    <row r="71" spans="6:7">
      <c r="F71" s="14"/>
      <c r="G71" s="15"/>
    </row>
    <row r="72" spans="6:7">
      <c r="F72" s="14"/>
      <c r="G72" s="15"/>
    </row>
    <row r="73" spans="6:7">
      <c r="F73" s="14"/>
      <c r="G73" s="15"/>
    </row>
    <row r="74" spans="6:7">
      <c r="F74" s="14"/>
      <c r="G74" s="15"/>
    </row>
    <row r="75" spans="6:7">
      <c r="F75" s="14"/>
      <c r="G75" s="15"/>
    </row>
    <row r="76" spans="6:7">
      <c r="F76" s="14"/>
      <c r="G76" s="15"/>
    </row>
    <row r="77" spans="6:7">
      <c r="F77" s="14"/>
      <c r="G77" s="15"/>
    </row>
    <row r="78" spans="6:7">
      <c r="F78" s="14"/>
      <c r="G78" s="15"/>
    </row>
    <row r="79" spans="6:7">
      <c r="F79" s="14"/>
      <c r="G79" s="15"/>
    </row>
    <row r="80" spans="6:7">
      <c r="F80" s="14"/>
      <c r="G80" s="15"/>
    </row>
    <row r="81" spans="6:7">
      <c r="F81" s="14"/>
      <c r="G81" s="15"/>
    </row>
    <row r="82" spans="6:7">
      <c r="F82" s="14"/>
      <c r="G82" s="15"/>
    </row>
    <row r="83" spans="6:7">
      <c r="F83" s="14"/>
      <c r="G83" s="15"/>
    </row>
    <row r="84" spans="6:7">
      <c r="F84" s="14"/>
      <c r="G84" s="15"/>
    </row>
    <row r="85" spans="6:7">
      <c r="F85" s="14"/>
      <c r="G85" s="15"/>
    </row>
    <row r="86" spans="6:7">
      <c r="F86" s="14"/>
      <c r="G86" s="15"/>
    </row>
    <row r="87" spans="6:7">
      <c r="F87" s="14"/>
      <c r="G87" s="15"/>
    </row>
    <row r="88" spans="6:7">
      <c r="F88" s="14"/>
      <c r="G88" s="15"/>
    </row>
    <row r="89" spans="6:7">
      <c r="F89" s="14"/>
      <c r="G89" s="15"/>
    </row>
    <row r="90" spans="6:7">
      <c r="F90" s="14"/>
      <c r="G90" s="15"/>
    </row>
    <row r="91" spans="6:7">
      <c r="F91" s="14"/>
      <c r="G91" s="15"/>
    </row>
    <row r="92" spans="6:7">
      <c r="F92" s="14"/>
      <c r="G92" s="15"/>
    </row>
    <row r="93" spans="6:7">
      <c r="F93" s="14"/>
      <c r="G93" s="15"/>
    </row>
    <row r="94" spans="6:7">
      <c r="F94" s="14"/>
      <c r="G94" s="15"/>
    </row>
    <row r="95" spans="6:7">
      <c r="F95" s="14"/>
      <c r="G95" s="15"/>
    </row>
    <row r="96" spans="6:7">
      <c r="F96" s="14"/>
      <c r="G96" s="15"/>
    </row>
    <row r="97" spans="6:7">
      <c r="F97" s="14"/>
      <c r="G97" s="15"/>
    </row>
    <row r="98" spans="6:7">
      <c r="F98" s="14"/>
      <c r="G98" s="15"/>
    </row>
    <row r="99" spans="6:7">
      <c r="F99" s="14"/>
      <c r="G99" s="15"/>
    </row>
    <row r="100" spans="6:7">
      <c r="F100" s="14"/>
      <c r="G100" s="15"/>
    </row>
    <row r="101" spans="6:7">
      <c r="F101" s="14"/>
      <c r="G101" s="15"/>
    </row>
    <row r="102" spans="6:7">
      <c r="F102" s="14"/>
      <c r="G102" s="15"/>
    </row>
    <row r="103" spans="6:7">
      <c r="F103" s="14"/>
      <c r="G103" s="15"/>
    </row>
    <row r="104" spans="6:7">
      <c r="F104" s="14"/>
      <c r="G104" s="15"/>
    </row>
    <row r="105" spans="6:7">
      <c r="F105" s="14"/>
      <c r="G105" s="15"/>
    </row>
    <row r="106" spans="6:7">
      <c r="F106" s="14"/>
      <c r="G106" s="15"/>
    </row>
    <row r="107" spans="6:7">
      <c r="F107" s="14"/>
      <c r="G107" s="15"/>
    </row>
    <row r="108" spans="6:7">
      <c r="F108" s="14"/>
      <c r="G108" s="15"/>
    </row>
    <row r="109" spans="6:7">
      <c r="F109" s="14"/>
      <c r="G109" s="15"/>
    </row>
    <row r="110" spans="6:7">
      <c r="F110" s="14"/>
      <c r="G110" s="15"/>
    </row>
    <row r="111" spans="6:7">
      <c r="F111" s="14"/>
      <c r="G111" s="15"/>
    </row>
    <row r="112" spans="6:7">
      <c r="F112" s="14"/>
      <c r="G112" s="15"/>
    </row>
    <row r="113" spans="6:7">
      <c r="F113" s="14"/>
      <c r="G113" s="15"/>
    </row>
    <row r="114" spans="6:7">
      <c r="F114" s="14"/>
      <c r="G114" s="15"/>
    </row>
    <row r="115" spans="6:7">
      <c r="F115" s="14"/>
      <c r="G115" s="15"/>
    </row>
    <row r="116" spans="6:7">
      <c r="F116" s="14"/>
      <c r="G116" s="15"/>
    </row>
    <row r="117" spans="6:7">
      <c r="F117" s="14"/>
      <c r="G117" s="15"/>
    </row>
    <row r="118" spans="6:7">
      <c r="F118" s="14"/>
      <c r="G118" s="15"/>
    </row>
    <row r="119" spans="6:7">
      <c r="F119" s="14"/>
      <c r="G119" s="15"/>
    </row>
    <row r="120" spans="6:7">
      <c r="F120" s="14"/>
      <c r="G120" s="15"/>
    </row>
    <row r="121" spans="6:7">
      <c r="F121" s="14"/>
      <c r="G121" s="15"/>
    </row>
    <row r="122" spans="6:7">
      <c r="F122" s="14"/>
      <c r="G122" s="15"/>
    </row>
    <row r="123" spans="6:7">
      <c r="F123" s="14"/>
      <c r="G123" s="15"/>
    </row>
    <row r="124" spans="6:7">
      <c r="F124" s="14"/>
      <c r="G124" s="15"/>
    </row>
    <row r="125" spans="6:7">
      <c r="F125" s="14"/>
      <c r="G125" s="15"/>
    </row>
    <row r="126" spans="6:7">
      <c r="F126" s="14"/>
      <c r="G126" s="15"/>
    </row>
    <row r="127" spans="6:7">
      <c r="F127" s="14"/>
      <c r="G127" s="15"/>
    </row>
    <row r="128" spans="6:7">
      <c r="F128" s="14"/>
      <c r="G128" s="15"/>
    </row>
    <row r="129" spans="6:7">
      <c r="F129" s="14"/>
      <c r="G129" s="15"/>
    </row>
    <row r="130" spans="6:7">
      <c r="G130" s="15"/>
    </row>
    <row r="131" spans="6:7">
      <c r="G131" s="15"/>
    </row>
    <row r="132" spans="6:7">
      <c r="G132" s="15"/>
    </row>
    <row r="133" spans="6:7">
      <c r="G133" s="15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showGridLines="0" topLeftCell="A7" zoomScaleNormal="100" workbookViewId="0">
      <selection activeCell="C45" sqref="C45"/>
    </sheetView>
  </sheetViews>
  <sheetFormatPr defaultRowHeight="12.75"/>
  <cols>
    <col min="1" max="1" width="11.42578125" bestFit="1" customWidth="1"/>
    <col min="2" max="2" width="47.7109375" customWidth="1"/>
    <col min="3" max="7" width="19.42578125" customWidth="1"/>
  </cols>
  <sheetData>
    <row r="1" spans="1:8" ht="18">
      <c r="A1" s="1"/>
      <c r="B1" s="101" t="s">
        <v>341</v>
      </c>
      <c r="C1" s="102"/>
      <c r="D1" s="102"/>
      <c r="E1" s="102"/>
      <c r="F1" s="102"/>
      <c r="G1" s="103"/>
    </row>
    <row r="2" spans="1:8" ht="13.5" thickBot="1">
      <c r="A2" s="1"/>
      <c r="B2" s="92" t="s">
        <v>377</v>
      </c>
      <c r="C2" s="93"/>
      <c r="D2" s="93"/>
      <c r="E2" s="93"/>
      <c r="F2" s="93"/>
      <c r="G2" s="94"/>
    </row>
    <row r="3" spans="1:8">
      <c r="A3" s="1"/>
      <c r="B3" s="2" t="s">
        <v>1</v>
      </c>
      <c r="C3" s="1"/>
      <c r="D3" s="1"/>
      <c r="E3" s="1"/>
      <c r="F3" s="1"/>
      <c r="G3" s="1"/>
    </row>
    <row r="4" spans="1:8" ht="13.5" thickBot="1">
      <c r="A4" s="7"/>
      <c r="B4" s="5" t="s">
        <v>2</v>
      </c>
      <c r="C4" s="10"/>
      <c r="D4" s="10"/>
      <c r="E4" s="10"/>
      <c r="F4" s="10"/>
      <c r="G4" s="10"/>
      <c r="H4" s="11"/>
    </row>
    <row r="5" spans="1:8" ht="23.25" thickBot="1">
      <c r="A5" s="10"/>
      <c r="B5" s="45" t="s">
        <v>3</v>
      </c>
      <c r="C5" s="46" t="s">
        <v>4</v>
      </c>
      <c r="D5" s="47" t="s">
        <v>5</v>
      </c>
      <c r="E5" s="47" t="s">
        <v>6</v>
      </c>
      <c r="F5" s="47" t="s">
        <v>7</v>
      </c>
      <c r="G5" s="48" t="s">
        <v>8</v>
      </c>
      <c r="H5" s="11"/>
    </row>
    <row r="6" spans="1:8">
      <c r="A6" s="10"/>
      <c r="B6" s="40" t="s">
        <v>351</v>
      </c>
      <c r="C6" s="41"/>
      <c r="D6" s="42"/>
      <c r="E6" s="42"/>
      <c r="F6" s="43"/>
      <c r="G6" s="81"/>
      <c r="H6" s="11"/>
    </row>
    <row r="7" spans="1:8">
      <c r="A7" s="10"/>
      <c r="B7" s="31" t="s">
        <v>352</v>
      </c>
      <c r="C7" s="20"/>
      <c r="D7" s="17"/>
      <c r="E7" s="21" t="s">
        <v>317</v>
      </c>
      <c r="F7" s="21" t="s">
        <v>317</v>
      </c>
      <c r="G7" s="21" t="s">
        <v>317</v>
      </c>
      <c r="H7" s="11"/>
    </row>
    <row r="8" spans="1:8">
      <c r="A8" s="8"/>
      <c r="B8" s="31" t="s">
        <v>174</v>
      </c>
      <c r="C8" s="20"/>
      <c r="D8" s="17"/>
      <c r="E8" s="21" t="s">
        <v>317</v>
      </c>
      <c r="F8" s="21" t="s">
        <v>317</v>
      </c>
      <c r="G8" s="21" t="s">
        <v>317</v>
      </c>
      <c r="H8" s="11"/>
    </row>
    <row r="9" spans="1:8">
      <c r="A9" s="8"/>
      <c r="B9" s="75"/>
      <c r="C9" s="16"/>
      <c r="D9" s="17"/>
      <c r="E9" s="17"/>
      <c r="F9" s="19"/>
      <c r="G9" s="30"/>
      <c r="H9" s="11"/>
    </row>
    <row r="10" spans="1:8">
      <c r="A10" s="8"/>
      <c r="B10" s="29" t="s">
        <v>353</v>
      </c>
      <c r="C10" s="18"/>
      <c r="D10" s="17"/>
      <c r="E10" s="17"/>
      <c r="F10" s="19"/>
      <c r="G10" s="30"/>
      <c r="H10" s="11"/>
    </row>
    <row r="11" spans="1:8">
      <c r="A11" s="8"/>
      <c r="B11" s="31" t="s">
        <v>357</v>
      </c>
      <c r="C11" s="20"/>
      <c r="D11" s="17"/>
      <c r="E11" s="21" t="s">
        <v>317</v>
      </c>
      <c r="F11" s="21" t="s">
        <v>317</v>
      </c>
      <c r="G11" s="21" t="s">
        <v>317</v>
      </c>
      <c r="H11" s="11"/>
    </row>
    <row r="12" spans="1:8">
      <c r="A12" s="8"/>
      <c r="B12" s="31" t="s">
        <v>355</v>
      </c>
      <c r="C12" s="20"/>
      <c r="D12" s="17"/>
      <c r="E12" s="21" t="s">
        <v>317</v>
      </c>
      <c r="F12" s="21" t="s">
        <v>317</v>
      </c>
      <c r="G12" s="21" t="s">
        <v>317</v>
      </c>
      <c r="H12" s="11"/>
    </row>
    <row r="13" spans="1:8">
      <c r="A13" s="10"/>
      <c r="B13" s="31" t="s">
        <v>356</v>
      </c>
      <c r="C13" s="20"/>
      <c r="D13" s="17"/>
      <c r="E13" s="21" t="s">
        <v>317</v>
      </c>
      <c r="F13" s="21" t="s">
        <v>317</v>
      </c>
      <c r="G13" s="21" t="s">
        <v>317</v>
      </c>
      <c r="H13" s="11"/>
    </row>
    <row r="14" spans="1:8">
      <c r="A14" s="10"/>
      <c r="B14" s="31"/>
      <c r="C14" s="20"/>
      <c r="D14" s="17"/>
      <c r="E14" s="22"/>
      <c r="F14" s="88"/>
      <c r="G14" s="33"/>
      <c r="H14" s="11"/>
    </row>
    <row r="15" spans="1:8">
      <c r="A15" s="10"/>
      <c r="B15" s="34" t="s">
        <v>9</v>
      </c>
      <c r="C15" s="24" t="s">
        <v>1</v>
      </c>
      <c r="D15" s="24" t="s">
        <v>1</v>
      </c>
      <c r="E15" s="24" t="s">
        <v>1</v>
      </c>
      <c r="F15" s="24" t="s">
        <v>1</v>
      </c>
      <c r="G15" s="35" t="s">
        <v>1</v>
      </c>
      <c r="H15" s="11"/>
    </row>
    <row r="16" spans="1:8">
      <c r="A16" s="10"/>
      <c r="B16" s="34" t="s">
        <v>10</v>
      </c>
      <c r="C16" s="24" t="s">
        <v>1</v>
      </c>
      <c r="D16" s="24" t="s">
        <v>1</v>
      </c>
      <c r="E16" s="24" t="s">
        <v>1</v>
      </c>
      <c r="F16" s="24" t="s">
        <v>1</v>
      </c>
      <c r="G16" s="35" t="s">
        <v>1</v>
      </c>
      <c r="H16" s="11"/>
    </row>
    <row r="17" spans="1:8">
      <c r="A17" s="8"/>
      <c r="B17" s="36" t="s">
        <v>11</v>
      </c>
      <c r="C17" s="24" t="s">
        <v>12</v>
      </c>
      <c r="D17" s="24" t="s">
        <v>13</v>
      </c>
      <c r="E17" s="25">
        <v>430000</v>
      </c>
      <c r="F17" s="26">
        <v>425.7702061</v>
      </c>
      <c r="G17" s="37">
        <v>0.19107191864090936</v>
      </c>
      <c r="H17" s="11"/>
    </row>
    <row r="18" spans="1:8">
      <c r="A18" s="8"/>
      <c r="B18" s="36" t="s">
        <v>17</v>
      </c>
      <c r="C18" s="24" t="s">
        <v>18</v>
      </c>
      <c r="D18" s="24" t="s">
        <v>16</v>
      </c>
      <c r="E18" s="25">
        <v>250000</v>
      </c>
      <c r="F18" s="26">
        <v>249.786575</v>
      </c>
      <c r="G18" s="37">
        <v>0.11209614823255572</v>
      </c>
      <c r="H18" s="11"/>
    </row>
    <row r="19" spans="1:8">
      <c r="A19" s="8"/>
      <c r="B19" s="36" t="s">
        <v>19</v>
      </c>
      <c r="C19" s="24" t="s">
        <v>20</v>
      </c>
      <c r="D19" s="24" t="s">
        <v>16</v>
      </c>
      <c r="E19" s="25">
        <v>250000</v>
      </c>
      <c r="F19" s="26">
        <v>247.26227750000001</v>
      </c>
      <c r="G19" s="37">
        <v>0.11096332503441919</v>
      </c>
      <c r="H19" s="11"/>
    </row>
    <row r="20" spans="1:8">
      <c r="A20" s="8"/>
      <c r="B20" s="36" t="s">
        <v>21</v>
      </c>
      <c r="C20" s="24" t="s">
        <v>22</v>
      </c>
      <c r="D20" s="24" t="s">
        <v>16</v>
      </c>
      <c r="E20" s="25">
        <v>250000</v>
      </c>
      <c r="F20" s="26">
        <v>246.7987875</v>
      </c>
      <c r="G20" s="37">
        <v>0.11075532569040197</v>
      </c>
      <c r="H20" s="11"/>
    </row>
    <row r="21" spans="1:8">
      <c r="A21" s="8"/>
      <c r="B21" s="36" t="s">
        <v>342</v>
      </c>
      <c r="C21" s="24" t="s">
        <v>343</v>
      </c>
      <c r="D21" s="24" t="s">
        <v>16</v>
      </c>
      <c r="E21" s="25">
        <v>250000</v>
      </c>
      <c r="F21" s="26">
        <v>240.51900000000001</v>
      </c>
      <c r="G21" s="37">
        <v>0.10793715986035707</v>
      </c>
      <c r="H21" s="11"/>
    </row>
    <row r="22" spans="1:8">
      <c r="A22" s="8"/>
      <c r="B22" s="36" t="s">
        <v>344</v>
      </c>
      <c r="C22" s="24" t="s">
        <v>345</v>
      </c>
      <c r="D22" s="24" t="s">
        <v>16</v>
      </c>
      <c r="E22" s="25">
        <v>90000</v>
      </c>
      <c r="F22" s="26">
        <v>86.867549999999994</v>
      </c>
      <c r="G22" s="37">
        <v>3.8983351132457565E-2</v>
      </c>
      <c r="H22" s="11"/>
    </row>
    <row r="23" spans="1:8">
      <c r="A23" s="8"/>
      <c r="B23" s="36" t="s">
        <v>346</v>
      </c>
      <c r="C23" s="24" t="s">
        <v>347</v>
      </c>
      <c r="D23" s="24" t="s">
        <v>13</v>
      </c>
      <c r="E23" s="25">
        <v>80000</v>
      </c>
      <c r="F23" s="26">
        <v>73.424880000000002</v>
      </c>
      <c r="G23" s="37">
        <v>3.2950714955107638E-2</v>
      </c>
      <c r="H23" s="11"/>
    </row>
    <row r="24" spans="1:8">
      <c r="A24" s="10"/>
      <c r="B24" s="34" t="s">
        <v>23</v>
      </c>
      <c r="C24" s="24" t="s">
        <v>1</v>
      </c>
      <c r="D24" s="24" t="s">
        <v>1</v>
      </c>
      <c r="E24" s="24" t="s">
        <v>1</v>
      </c>
      <c r="F24" s="27">
        <v>1570.4292760999999</v>
      </c>
      <c r="G24" s="38">
        <v>0.70475794354620847</v>
      </c>
      <c r="H24" s="11"/>
    </row>
    <row r="25" spans="1:8">
      <c r="A25" s="10"/>
      <c r="B25" s="34" t="s">
        <v>24</v>
      </c>
      <c r="C25" s="24" t="s">
        <v>1</v>
      </c>
      <c r="D25" s="24" t="s">
        <v>1</v>
      </c>
      <c r="E25" s="24" t="s">
        <v>1</v>
      </c>
      <c r="F25" s="27">
        <v>1570.4292760999999</v>
      </c>
      <c r="G25" s="38">
        <v>0.70475794354620847</v>
      </c>
      <c r="H25" s="11"/>
    </row>
    <row r="26" spans="1:8">
      <c r="A26" s="10"/>
      <c r="B26" s="34"/>
      <c r="C26" s="24" t="s">
        <v>1</v>
      </c>
      <c r="D26" s="24" t="s">
        <v>1</v>
      </c>
      <c r="E26" s="24" t="s">
        <v>1</v>
      </c>
      <c r="F26" s="28" t="s">
        <v>1</v>
      </c>
      <c r="G26" s="39" t="s">
        <v>1</v>
      </c>
      <c r="H26" s="11"/>
    </row>
    <row r="27" spans="1:8">
      <c r="A27" s="10"/>
      <c r="B27" s="34" t="s">
        <v>187</v>
      </c>
      <c r="C27" s="24" t="s">
        <v>1</v>
      </c>
      <c r="D27" s="24" t="s">
        <v>1</v>
      </c>
      <c r="E27" s="24" t="s">
        <v>1</v>
      </c>
      <c r="F27" s="28" t="s">
        <v>1</v>
      </c>
      <c r="G27" s="39" t="s">
        <v>1</v>
      </c>
      <c r="H27" s="11"/>
    </row>
    <row r="28" spans="1:8">
      <c r="A28" s="8"/>
      <c r="B28" s="36" t="s">
        <v>339</v>
      </c>
      <c r="C28" s="24" t="s">
        <v>340</v>
      </c>
      <c r="D28" s="24" t="s">
        <v>1</v>
      </c>
      <c r="E28" s="25">
        <v>1300000</v>
      </c>
      <c r="F28" s="26">
        <v>131.74459999999999</v>
      </c>
      <c r="G28" s="37">
        <v>5.9122721909449137E-2</v>
      </c>
      <c r="H28" s="11"/>
    </row>
    <row r="29" spans="1:8">
      <c r="A29" s="10"/>
      <c r="B29" s="34" t="s">
        <v>23</v>
      </c>
      <c r="C29" s="24" t="s">
        <v>1</v>
      </c>
      <c r="D29" s="24" t="s">
        <v>1</v>
      </c>
      <c r="E29" s="24" t="s">
        <v>1</v>
      </c>
      <c r="F29" s="27">
        <v>131.74459999999999</v>
      </c>
      <c r="G29" s="38">
        <v>5.9122721909449137E-2</v>
      </c>
      <c r="H29" s="11"/>
    </row>
    <row r="30" spans="1:8">
      <c r="A30" s="10"/>
      <c r="B30" s="34" t="s">
        <v>24</v>
      </c>
      <c r="C30" s="24" t="s">
        <v>1</v>
      </c>
      <c r="D30" s="24" t="s">
        <v>1</v>
      </c>
      <c r="E30" s="24" t="s">
        <v>1</v>
      </c>
      <c r="F30" s="27">
        <v>131.74459999999999</v>
      </c>
      <c r="G30" s="38">
        <v>5.9122721909449137E-2</v>
      </c>
      <c r="H30" s="11"/>
    </row>
    <row r="31" spans="1:8">
      <c r="A31" s="10"/>
      <c r="B31" s="34"/>
      <c r="C31" s="24"/>
      <c r="D31" s="24"/>
      <c r="E31" s="24"/>
      <c r="F31" s="27"/>
      <c r="G31" s="38"/>
      <c r="H31" s="11"/>
    </row>
    <row r="32" spans="1:8">
      <c r="A32" s="10"/>
      <c r="B32" s="34" t="s">
        <v>25</v>
      </c>
      <c r="C32" s="24" t="s">
        <v>1</v>
      </c>
      <c r="D32" s="24" t="s">
        <v>1</v>
      </c>
      <c r="E32" s="24" t="s">
        <v>1</v>
      </c>
      <c r="F32" s="28" t="s">
        <v>1</v>
      </c>
      <c r="G32" s="39" t="s">
        <v>1</v>
      </c>
      <c r="H32" s="11"/>
    </row>
    <row r="33" spans="1:8">
      <c r="A33" s="8"/>
      <c r="B33" s="36" t="s">
        <v>26</v>
      </c>
      <c r="C33" s="24" t="s">
        <v>1</v>
      </c>
      <c r="D33" s="24" t="s">
        <v>27</v>
      </c>
      <c r="E33" s="25"/>
      <c r="F33" s="26">
        <v>550.72357499999998</v>
      </c>
      <c r="G33" s="37">
        <v>0.24714695534923373</v>
      </c>
      <c r="H33" s="11"/>
    </row>
    <row r="34" spans="1:8">
      <c r="A34" s="10"/>
      <c r="B34" s="34" t="s">
        <v>23</v>
      </c>
      <c r="C34" s="24" t="s">
        <v>1</v>
      </c>
      <c r="D34" s="24" t="s">
        <v>1</v>
      </c>
      <c r="E34" s="24" t="s">
        <v>1</v>
      </c>
      <c r="F34" s="27">
        <v>550.72357499999998</v>
      </c>
      <c r="G34" s="38">
        <v>0.24714695534923373</v>
      </c>
      <c r="H34" s="11"/>
    </row>
    <row r="35" spans="1:8">
      <c r="A35" s="10"/>
      <c r="B35" s="34" t="s">
        <v>24</v>
      </c>
      <c r="C35" s="24" t="s">
        <v>1</v>
      </c>
      <c r="D35" s="24" t="s">
        <v>1</v>
      </c>
      <c r="E35" s="24" t="s">
        <v>1</v>
      </c>
      <c r="F35" s="27">
        <v>550.72357499999998</v>
      </c>
      <c r="G35" s="38">
        <v>0.24714695534923373</v>
      </c>
      <c r="H35" s="11"/>
    </row>
    <row r="36" spans="1:8">
      <c r="A36" s="10"/>
      <c r="B36" s="34"/>
      <c r="C36" s="24"/>
      <c r="D36" s="24"/>
      <c r="E36" s="24"/>
      <c r="F36" s="27"/>
      <c r="G36" s="38"/>
      <c r="H36" s="11"/>
    </row>
    <row r="37" spans="1:8">
      <c r="A37" s="10"/>
      <c r="B37" s="34" t="s">
        <v>186</v>
      </c>
      <c r="C37" s="24"/>
      <c r="D37" s="24"/>
      <c r="E37" s="24"/>
      <c r="F37" s="27"/>
      <c r="G37" s="38"/>
      <c r="H37" s="11"/>
    </row>
    <row r="38" spans="1:8" ht="13.5" thickBot="1">
      <c r="A38" s="10"/>
      <c r="B38" s="53" t="s">
        <v>28</v>
      </c>
      <c r="C38" s="54" t="s">
        <v>1</v>
      </c>
      <c r="D38" s="54" t="s">
        <v>1</v>
      </c>
      <c r="E38" s="54" t="s">
        <v>1</v>
      </c>
      <c r="F38" s="55">
        <v>-24.5731158</v>
      </c>
      <c r="G38" s="56">
        <v>-1.1027620804891364E-2</v>
      </c>
      <c r="H38" s="11"/>
    </row>
    <row r="39" spans="1:8" ht="14.25" thickTop="1" thickBot="1">
      <c r="A39" s="10"/>
      <c r="B39" s="49" t="s">
        <v>29</v>
      </c>
      <c r="C39" s="50" t="s">
        <v>1</v>
      </c>
      <c r="D39" s="50" t="s">
        <v>1</v>
      </c>
      <c r="E39" s="50" t="s">
        <v>1</v>
      </c>
      <c r="F39" s="51">
        <v>2228.3243352999998</v>
      </c>
      <c r="G39" s="52">
        <v>1</v>
      </c>
      <c r="H39" s="11"/>
    </row>
    <row r="40" spans="1:8">
      <c r="A40" s="10"/>
      <c r="B40" s="7" t="s">
        <v>1</v>
      </c>
      <c r="C40" s="10"/>
      <c r="D40" s="10"/>
      <c r="E40" s="10"/>
      <c r="F40" s="12"/>
      <c r="G40" s="13"/>
      <c r="H40" s="11"/>
    </row>
    <row r="41" spans="1:8">
      <c r="A41" s="10"/>
      <c r="B41" s="5" t="s">
        <v>27</v>
      </c>
      <c r="C41" s="10"/>
      <c r="D41" s="10"/>
      <c r="E41" s="10"/>
      <c r="F41" s="12"/>
      <c r="G41" s="13"/>
      <c r="H41" s="11"/>
    </row>
    <row r="42" spans="1:8">
      <c r="A42" s="10"/>
      <c r="B42" s="5" t="s">
        <v>30</v>
      </c>
      <c r="C42" s="10"/>
      <c r="D42" s="10"/>
      <c r="E42" s="10"/>
      <c r="F42" s="12"/>
      <c r="G42" s="13"/>
      <c r="H42" s="11"/>
    </row>
    <row r="43" spans="1:8">
      <c r="A43" s="10"/>
      <c r="B43" s="5" t="s">
        <v>31</v>
      </c>
      <c r="C43" s="10"/>
      <c r="D43" s="10"/>
      <c r="E43" s="10"/>
      <c r="F43" s="12"/>
      <c r="G43" s="13"/>
      <c r="H43" s="11"/>
    </row>
    <row r="44" spans="1:8" ht="13.5" thickBot="1">
      <c r="A44" s="10"/>
      <c r="B44" s="5" t="s">
        <v>1</v>
      </c>
      <c r="C44" s="10"/>
      <c r="D44" s="10"/>
      <c r="E44" s="10"/>
      <c r="F44" s="12"/>
      <c r="G44" s="13"/>
      <c r="H44" s="11"/>
    </row>
    <row r="45" spans="1:8" ht="13.5" thickBot="1">
      <c r="A45" s="10"/>
      <c r="B45" s="68" t="s">
        <v>368</v>
      </c>
      <c r="C45" s="69">
        <v>73.37</v>
      </c>
      <c r="D45" s="10"/>
      <c r="E45" s="10"/>
      <c r="F45" s="12"/>
      <c r="G45" s="13"/>
      <c r="H45" s="11"/>
    </row>
    <row r="46" spans="1:8">
      <c r="A46" s="11"/>
      <c r="B46" s="11"/>
      <c r="C46" s="11"/>
      <c r="D46" s="11"/>
      <c r="E46" s="11"/>
      <c r="F46" s="14"/>
      <c r="G46" s="15"/>
      <c r="H46" s="11"/>
    </row>
    <row r="47" spans="1:8">
      <c r="A47" s="11"/>
      <c r="B47" s="11"/>
      <c r="C47" s="11"/>
      <c r="D47" s="11"/>
      <c r="E47" s="11"/>
      <c r="F47" s="14"/>
      <c r="G47" s="15"/>
      <c r="H47" s="11"/>
    </row>
    <row r="48" spans="1:8">
      <c r="A48" s="11"/>
      <c r="B48" s="11"/>
      <c r="C48" s="11"/>
      <c r="D48" s="11"/>
      <c r="E48" s="11"/>
      <c r="F48" s="14"/>
      <c r="G48" s="15"/>
      <c r="H48" s="11"/>
    </row>
    <row r="49" spans="1:8">
      <c r="A49" s="11"/>
      <c r="B49" s="11"/>
      <c r="C49" s="11"/>
      <c r="D49" s="11"/>
      <c r="E49" s="11"/>
      <c r="F49" s="14"/>
      <c r="G49" s="15"/>
      <c r="H49" s="11"/>
    </row>
    <row r="50" spans="1:8">
      <c r="A50" s="11"/>
      <c r="B50" s="11"/>
      <c r="C50" s="11"/>
      <c r="D50" s="11"/>
      <c r="E50" s="11"/>
      <c r="F50" s="14"/>
      <c r="G50" s="15"/>
      <c r="H50" s="11"/>
    </row>
    <row r="51" spans="1:8">
      <c r="A51" s="11"/>
      <c r="B51" s="11"/>
      <c r="C51" s="11"/>
      <c r="D51" s="11"/>
      <c r="E51" s="11"/>
      <c r="F51" s="14"/>
      <c r="G51" s="15"/>
      <c r="H51" s="11"/>
    </row>
    <row r="52" spans="1:8">
      <c r="A52" s="11"/>
      <c r="B52" s="11"/>
      <c r="C52" s="11"/>
      <c r="D52" s="11"/>
      <c r="E52" s="11"/>
      <c r="F52" s="14"/>
      <c r="G52" s="15"/>
      <c r="H52" s="11"/>
    </row>
    <row r="53" spans="1:8">
      <c r="A53" s="11"/>
      <c r="B53" s="11"/>
      <c r="C53" s="11"/>
      <c r="D53" s="11"/>
      <c r="E53" s="11"/>
      <c r="F53" s="14"/>
      <c r="G53" s="15"/>
      <c r="H53" s="11"/>
    </row>
    <row r="54" spans="1:8">
      <c r="A54" s="11"/>
      <c r="B54" s="11"/>
      <c r="C54" s="11"/>
      <c r="D54" s="11"/>
      <c r="E54" s="11"/>
      <c r="F54" s="14"/>
      <c r="G54" s="15"/>
      <c r="H54" s="11"/>
    </row>
    <row r="55" spans="1:8">
      <c r="A55" s="11"/>
      <c r="B55" s="11"/>
      <c r="C55" s="11"/>
      <c r="D55" s="11"/>
      <c r="E55" s="11"/>
      <c r="F55" s="14"/>
      <c r="G55" s="15"/>
      <c r="H55" s="11"/>
    </row>
    <row r="56" spans="1:8">
      <c r="A56" s="11"/>
      <c r="B56" s="11"/>
      <c r="C56" s="11"/>
      <c r="D56" s="11"/>
      <c r="E56" s="11"/>
      <c r="F56" s="14"/>
      <c r="G56" s="15"/>
      <c r="H56" s="11"/>
    </row>
    <row r="57" spans="1:8">
      <c r="A57" s="11"/>
      <c r="B57" s="11"/>
      <c r="C57" s="11"/>
      <c r="D57" s="11"/>
      <c r="E57" s="11"/>
      <c r="F57" s="14"/>
      <c r="G57" s="15"/>
      <c r="H57" s="11"/>
    </row>
    <row r="58" spans="1:8">
      <c r="A58" s="11"/>
      <c r="B58" s="11"/>
      <c r="C58" s="11"/>
      <c r="D58" s="11"/>
      <c r="E58" s="11"/>
      <c r="F58" s="14"/>
      <c r="G58" s="15"/>
      <c r="H58" s="11"/>
    </row>
    <row r="59" spans="1:8">
      <c r="A59" s="11"/>
      <c r="B59" s="11"/>
      <c r="C59" s="11"/>
      <c r="D59" s="11"/>
      <c r="E59" s="11"/>
      <c r="F59" s="14"/>
      <c r="G59" s="15"/>
      <c r="H59" s="11"/>
    </row>
    <row r="60" spans="1:8">
      <c r="A60" s="11"/>
      <c r="B60" s="11"/>
      <c r="C60" s="11"/>
      <c r="D60" s="11"/>
      <c r="E60" s="11"/>
      <c r="F60" s="14"/>
      <c r="G60" s="15"/>
      <c r="H60" s="11"/>
    </row>
    <row r="61" spans="1:8">
      <c r="A61" s="11"/>
      <c r="B61" s="11"/>
      <c r="C61" s="11"/>
      <c r="D61" s="11"/>
      <c r="E61" s="11"/>
      <c r="F61" s="14"/>
      <c r="G61" s="15"/>
      <c r="H61" s="11"/>
    </row>
    <row r="62" spans="1:8">
      <c r="A62" s="11"/>
      <c r="B62" s="11"/>
      <c r="C62" s="11"/>
      <c r="D62" s="11"/>
      <c r="E62" s="11"/>
      <c r="F62" s="14"/>
      <c r="G62" s="15"/>
      <c r="H62" s="11"/>
    </row>
    <row r="63" spans="1:8">
      <c r="A63" s="11"/>
      <c r="B63" s="11"/>
      <c r="C63" s="11"/>
      <c r="D63" s="11"/>
      <c r="E63" s="11"/>
      <c r="F63" s="14"/>
      <c r="G63" s="15"/>
      <c r="H63" s="11"/>
    </row>
    <row r="64" spans="1:8">
      <c r="A64" s="11"/>
      <c r="B64" s="11"/>
      <c r="C64" s="11"/>
      <c r="D64" s="11"/>
      <c r="E64" s="11"/>
      <c r="F64" s="14"/>
      <c r="G64" s="15"/>
      <c r="H64" s="11"/>
    </row>
    <row r="65" spans="1:8">
      <c r="A65" s="11"/>
      <c r="B65" s="11"/>
      <c r="C65" s="11"/>
      <c r="D65" s="11"/>
      <c r="E65" s="11"/>
      <c r="F65" s="14"/>
      <c r="G65" s="15"/>
      <c r="H65" s="11"/>
    </row>
    <row r="66" spans="1:8">
      <c r="A66" s="11"/>
      <c r="B66" s="11"/>
      <c r="C66" s="11"/>
      <c r="D66" s="11"/>
      <c r="E66" s="11"/>
      <c r="F66" s="14"/>
      <c r="G66" s="15"/>
      <c r="H66" s="11"/>
    </row>
    <row r="67" spans="1:8">
      <c r="A67" s="11"/>
      <c r="B67" s="11"/>
      <c r="C67" s="11"/>
      <c r="D67" s="11"/>
      <c r="E67" s="11"/>
      <c r="F67" s="14"/>
      <c r="G67" s="15"/>
      <c r="H67" s="11"/>
    </row>
    <row r="68" spans="1:8">
      <c r="A68" s="11"/>
      <c r="B68" s="11"/>
      <c r="C68" s="11"/>
      <c r="D68" s="11"/>
      <c r="E68" s="11"/>
      <c r="F68" s="14"/>
      <c r="G68" s="15"/>
      <c r="H68" s="11"/>
    </row>
    <row r="69" spans="1:8">
      <c r="A69" s="11"/>
      <c r="B69" s="11"/>
      <c r="C69" s="11"/>
      <c r="D69" s="11"/>
      <c r="E69" s="11"/>
      <c r="F69" s="14"/>
      <c r="G69" s="15"/>
      <c r="H69" s="11"/>
    </row>
    <row r="70" spans="1:8">
      <c r="A70" s="11"/>
      <c r="B70" s="11"/>
      <c r="C70" s="11"/>
      <c r="D70" s="11"/>
      <c r="E70" s="11"/>
      <c r="F70" s="14"/>
      <c r="G70" s="15"/>
      <c r="H70" s="11"/>
    </row>
    <row r="71" spans="1:8">
      <c r="A71" s="11"/>
      <c r="B71" s="11"/>
      <c r="C71" s="11"/>
      <c r="D71" s="11"/>
      <c r="E71" s="11"/>
      <c r="F71" s="14"/>
      <c r="G71" s="15"/>
      <c r="H71" s="11"/>
    </row>
    <row r="72" spans="1:8">
      <c r="A72" s="11"/>
      <c r="B72" s="11"/>
      <c r="C72" s="11"/>
      <c r="D72" s="11"/>
      <c r="E72" s="11"/>
      <c r="F72" s="14"/>
      <c r="G72" s="15"/>
      <c r="H72" s="11"/>
    </row>
    <row r="73" spans="1:8">
      <c r="A73" s="11"/>
      <c r="B73" s="11"/>
      <c r="C73" s="11"/>
      <c r="D73" s="11"/>
      <c r="E73" s="11"/>
      <c r="F73" s="14"/>
      <c r="G73" s="15"/>
      <c r="H73" s="11"/>
    </row>
    <row r="74" spans="1:8">
      <c r="A74" s="11"/>
      <c r="B74" s="11"/>
      <c r="C74" s="11"/>
      <c r="D74" s="11"/>
      <c r="E74" s="11"/>
      <c r="F74" s="14"/>
      <c r="G74" s="15"/>
      <c r="H74" s="11"/>
    </row>
    <row r="75" spans="1:8">
      <c r="A75" s="11"/>
      <c r="B75" s="11"/>
      <c r="C75" s="11"/>
      <c r="D75" s="11"/>
      <c r="E75" s="11"/>
      <c r="F75" s="14"/>
      <c r="G75" s="15"/>
      <c r="H75" s="11"/>
    </row>
    <row r="76" spans="1:8">
      <c r="A76" s="11"/>
      <c r="B76" s="11"/>
      <c r="C76" s="11"/>
      <c r="D76" s="11"/>
      <c r="E76" s="11"/>
      <c r="F76" s="14"/>
      <c r="G76" s="15"/>
      <c r="H76" s="11"/>
    </row>
    <row r="77" spans="1:8">
      <c r="A77" s="11"/>
      <c r="B77" s="11"/>
      <c r="C77" s="11"/>
      <c r="D77" s="11"/>
      <c r="E77" s="11"/>
      <c r="F77" s="14"/>
      <c r="G77" s="15"/>
      <c r="H77" s="11"/>
    </row>
    <row r="78" spans="1:8">
      <c r="A78" s="11"/>
      <c r="B78" s="11"/>
      <c r="C78" s="11"/>
      <c r="D78" s="11"/>
      <c r="E78" s="11"/>
      <c r="F78" s="14"/>
      <c r="G78" s="15"/>
      <c r="H78" s="11"/>
    </row>
    <row r="79" spans="1:8">
      <c r="A79" s="11"/>
      <c r="B79" s="11"/>
      <c r="C79" s="11"/>
      <c r="D79" s="11"/>
      <c r="E79" s="11"/>
      <c r="F79" s="14"/>
      <c r="G79" s="15"/>
      <c r="H79" s="11"/>
    </row>
    <row r="80" spans="1:8">
      <c r="A80" s="11"/>
      <c r="B80" s="11"/>
      <c r="C80" s="11"/>
      <c r="D80" s="11"/>
      <c r="E80" s="11"/>
      <c r="F80" s="14"/>
      <c r="G80" s="15"/>
      <c r="H80" s="11"/>
    </row>
    <row r="81" spans="1:8">
      <c r="A81" s="11"/>
      <c r="B81" s="11"/>
      <c r="C81" s="11"/>
      <c r="D81" s="11"/>
      <c r="E81" s="11"/>
      <c r="F81" s="14"/>
      <c r="G81" s="15"/>
      <c r="H81" s="11"/>
    </row>
    <row r="82" spans="1:8">
      <c r="A82" s="11"/>
      <c r="B82" s="11"/>
      <c r="C82" s="11"/>
      <c r="D82" s="11"/>
      <c r="E82" s="11"/>
      <c r="F82" s="14"/>
      <c r="G82" s="15"/>
      <c r="H82" s="11"/>
    </row>
    <row r="83" spans="1:8">
      <c r="A83" s="11"/>
      <c r="B83" s="11"/>
      <c r="C83" s="11"/>
      <c r="D83" s="11"/>
      <c r="E83" s="11"/>
      <c r="F83" s="14"/>
      <c r="G83" s="15"/>
      <c r="H83" s="11"/>
    </row>
    <row r="84" spans="1:8">
      <c r="A84" s="11"/>
      <c r="B84" s="11"/>
      <c r="C84" s="11"/>
      <c r="D84" s="11"/>
      <c r="E84" s="11"/>
      <c r="F84" s="14"/>
      <c r="G84" s="15"/>
      <c r="H84" s="11"/>
    </row>
    <row r="85" spans="1:8">
      <c r="A85" s="11"/>
      <c r="B85" s="11"/>
      <c r="C85" s="11"/>
      <c r="D85" s="11"/>
      <c r="E85" s="11"/>
      <c r="F85" s="14"/>
      <c r="G85" s="15"/>
      <c r="H85" s="11"/>
    </row>
    <row r="86" spans="1:8">
      <c r="A86" s="11"/>
      <c r="B86" s="11"/>
      <c r="C86" s="11"/>
      <c r="D86" s="11"/>
      <c r="E86" s="11"/>
      <c r="F86" s="14"/>
      <c r="G86" s="15"/>
      <c r="H86" s="11"/>
    </row>
    <row r="87" spans="1:8">
      <c r="A87" s="11"/>
      <c r="B87" s="11"/>
      <c r="C87" s="11"/>
      <c r="D87" s="11"/>
      <c r="E87" s="11"/>
      <c r="F87" s="14"/>
      <c r="G87" s="15"/>
      <c r="H87" s="11"/>
    </row>
    <row r="88" spans="1:8">
      <c r="A88" s="11"/>
      <c r="B88" s="11"/>
      <c r="C88" s="11"/>
      <c r="D88" s="11"/>
      <c r="E88" s="11"/>
      <c r="F88" s="14"/>
      <c r="G88" s="15"/>
      <c r="H88" s="11"/>
    </row>
    <row r="89" spans="1:8">
      <c r="A89" s="11"/>
      <c r="B89" s="11"/>
      <c r="C89" s="11"/>
      <c r="D89" s="11"/>
      <c r="E89" s="11"/>
      <c r="F89" s="14"/>
      <c r="G89" s="15"/>
      <c r="H89" s="11"/>
    </row>
    <row r="90" spans="1:8">
      <c r="A90" s="11"/>
      <c r="B90" s="11"/>
      <c r="C90" s="11"/>
      <c r="D90" s="11"/>
      <c r="E90" s="11"/>
      <c r="F90" s="14"/>
      <c r="G90" s="15"/>
      <c r="H90" s="11"/>
    </row>
    <row r="91" spans="1:8">
      <c r="A91" s="11"/>
      <c r="B91" s="11"/>
      <c r="C91" s="11"/>
      <c r="D91" s="11"/>
      <c r="E91" s="11"/>
      <c r="F91" s="14"/>
      <c r="G91" s="15"/>
      <c r="H91" s="11"/>
    </row>
    <row r="92" spans="1:8">
      <c r="A92" s="11"/>
      <c r="B92" s="11"/>
      <c r="C92" s="11"/>
      <c r="D92" s="11"/>
      <c r="E92" s="11"/>
      <c r="F92" s="14"/>
      <c r="G92" s="15"/>
      <c r="H92" s="11"/>
    </row>
    <row r="93" spans="1:8">
      <c r="A93" s="11"/>
      <c r="B93" s="11"/>
      <c r="C93" s="11"/>
      <c r="D93" s="11"/>
      <c r="E93" s="11"/>
      <c r="F93" s="14"/>
      <c r="G93" s="15"/>
      <c r="H93" s="11"/>
    </row>
    <row r="94" spans="1:8">
      <c r="A94" s="11"/>
      <c r="B94" s="11"/>
      <c r="C94" s="11"/>
      <c r="D94" s="11"/>
      <c r="E94" s="11"/>
      <c r="F94" s="14"/>
      <c r="G94" s="15"/>
      <c r="H94" s="11"/>
    </row>
    <row r="95" spans="1:8">
      <c r="A95" s="11"/>
      <c r="B95" s="11"/>
      <c r="C95" s="11"/>
      <c r="D95" s="11"/>
      <c r="E95" s="11"/>
      <c r="F95" s="14"/>
      <c r="G95" s="15"/>
      <c r="H95" s="11"/>
    </row>
    <row r="96" spans="1:8">
      <c r="A96" s="11"/>
      <c r="B96" s="11"/>
      <c r="C96" s="11"/>
      <c r="D96" s="11"/>
      <c r="E96" s="11"/>
      <c r="F96" s="14"/>
      <c r="G96" s="15"/>
      <c r="H96" s="11"/>
    </row>
    <row r="97" spans="1:8">
      <c r="A97" s="11"/>
      <c r="B97" s="11"/>
      <c r="C97" s="11"/>
      <c r="D97" s="11"/>
      <c r="E97" s="11"/>
      <c r="F97" s="14"/>
      <c r="G97" s="15"/>
      <c r="H97" s="11"/>
    </row>
    <row r="98" spans="1:8">
      <c r="A98" s="11"/>
      <c r="B98" s="11"/>
      <c r="C98" s="11"/>
      <c r="D98" s="11"/>
      <c r="E98" s="11"/>
      <c r="F98" s="14"/>
      <c r="G98" s="15"/>
      <c r="H98" s="11"/>
    </row>
    <row r="99" spans="1:8">
      <c r="A99" s="11"/>
      <c r="B99" s="11"/>
      <c r="C99" s="11"/>
      <c r="D99" s="11"/>
      <c r="E99" s="11"/>
      <c r="F99" s="14"/>
      <c r="G99" s="15"/>
      <c r="H99" s="11"/>
    </row>
    <row r="100" spans="1:8">
      <c r="A100" s="11"/>
      <c r="B100" s="11"/>
      <c r="C100" s="11"/>
      <c r="D100" s="11"/>
      <c r="E100" s="11"/>
      <c r="F100" s="14"/>
      <c r="G100" s="15"/>
      <c r="H100" s="11"/>
    </row>
    <row r="101" spans="1:8">
      <c r="A101" s="11"/>
      <c r="B101" s="11"/>
      <c r="C101" s="11"/>
      <c r="D101" s="11"/>
      <c r="E101" s="11"/>
      <c r="F101" s="14"/>
      <c r="G101" s="15"/>
      <c r="H101" s="11"/>
    </row>
    <row r="102" spans="1:8">
      <c r="A102" s="11"/>
      <c r="B102" s="11"/>
      <c r="C102" s="11"/>
      <c r="D102" s="11"/>
      <c r="E102" s="11"/>
      <c r="F102" s="14"/>
      <c r="G102" s="15"/>
      <c r="H102" s="11"/>
    </row>
    <row r="103" spans="1:8">
      <c r="A103" s="11"/>
      <c r="B103" s="11"/>
      <c r="C103" s="11"/>
      <c r="D103" s="11"/>
      <c r="E103" s="11"/>
      <c r="F103" s="14"/>
      <c r="G103" s="15"/>
      <c r="H103" s="11"/>
    </row>
    <row r="104" spans="1:8">
      <c r="A104" s="11"/>
      <c r="B104" s="11"/>
      <c r="C104" s="11"/>
      <c r="D104" s="11"/>
      <c r="E104" s="11"/>
      <c r="F104" s="14"/>
      <c r="G104" s="15"/>
      <c r="H104" s="11"/>
    </row>
    <row r="105" spans="1:8">
      <c r="A105" s="11"/>
      <c r="B105" s="11"/>
      <c r="C105" s="11"/>
      <c r="D105" s="11"/>
      <c r="E105" s="11"/>
      <c r="F105" s="14"/>
      <c r="G105" s="15"/>
      <c r="H105" s="11"/>
    </row>
    <row r="106" spans="1:8">
      <c r="A106" s="11"/>
      <c r="B106" s="11"/>
      <c r="C106" s="11"/>
      <c r="D106" s="11"/>
      <c r="E106" s="11"/>
      <c r="F106" s="14"/>
      <c r="G106" s="15"/>
      <c r="H106" s="11"/>
    </row>
    <row r="107" spans="1:8">
      <c r="A107" s="11"/>
      <c r="B107" s="11"/>
      <c r="C107" s="11"/>
      <c r="D107" s="11"/>
      <c r="E107" s="11"/>
      <c r="F107" s="14"/>
      <c r="G107" s="15"/>
      <c r="H107" s="11"/>
    </row>
    <row r="108" spans="1:8">
      <c r="A108" s="11"/>
      <c r="B108" s="11"/>
      <c r="C108" s="11"/>
      <c r="D108" s="11"/>
      <c r="E108" s="11"/>
      <c r="F108" s="14"/>
      <c r="G108" s="15"/>
      <c r="H108" s="11"/>
    </row>
    <row r="109" spans="1:8">
      <c r="A109" s="11"/>
      <c r="B109" s="11"/>
      <c r="C109" s="11"/>
      <c r="D109" s="11"/>
      <c r="E109" s="11"/>
      <c r="F109" s="14"/>
      <c r="G109" s="15"/>
      <c r="H109" s="11"/>
    </row>
    <row r="110" spans="1:8">
      <c r="A110" s="11"/>
      <c r="B110" s="11"/>
      <c r="C110" s="11"/>
      <c r="D110" s="11"/>
      <c r="E110" s="11"/>
      <c r="F110" s="14"/>
      <c r="G110" s="15"/>
      <c r="H110" s="11"/>
    </row>
    <row r="111" spans="1:8">
      <c r="A111" s="11"/>
      <c r="B111" s="11"/>
      <c r="C111" s="11"/>
      <c r="D111" s="11"/>
      <c r="E111" s="11"/>
      <c r="F111" s="14"/>
      <c r="G111" s="15"/>
      <c r="H111" s="11"/>
    </row>
    <row r="112" spans="1:8">
      <c r="A112" s="11"/>
      <c r="B112" s="11"/>
      <c r="C112" s="11"/>
      <c r="D112" s="11"/>
      <c r="E112" s="11"/>
      <c r="F112" s="14"/>
      <c r="G112" s="15"/>
      <c r="H112" s="11"/>
    </row>
    <row r="113" spans="1:8">
      <c r="A113" s="11"/>
      <c r="B113" s="11"/>
      <c r="C113" s="11"/>
      <c r="D113" s="11"/>
      <c r="E113" s="11"/>
      <c r="F113" s="14"/>
      <c r="G113" s="15"/>
      <c r="H113" s="11"/>
    </row>
    <row r="114" spans="1:8">
      <c r="A114" s="11"/>
      <c r="B114" s="11"/>
      <c r="C114" s="11"/>
      <c r="D114" s="11"/>
      <c r="E114" s="11"/>
      <c r="F114" s="14"/>
      <c r="G114" s="15"/>
      <c r="H114" s="11"/>
    </row>
    <row r="115" spans="1:8">
      <c r="A115" s="11"/>
      <c r="B115" s="11"/>
      <c r="C115" s="11"/>
      <c r="D115" s="11"/>
      <c r="E115" s="11"/>
      <c r="F115" s="14"/>
      <c r="G115" s="15"/>
      <c r="H115" s="11"/>
    </row>
    <row r="116" spans="1:8">
      <c r="A116" s="11"/>
      <c r="B116" s="11"/>
      <c r="C116" s="11"/>
      <c r="D116" s="11"/>
      <c r="E116" s="11"/>
      <c r="F116" s="14"/>
      <c r="G116" s="15"/>
      <c r="H116" s="11"/>
    </row>
    <row r="117" spans="1:8">
      <c r="A117" s="11"/>
      <c r="B117" s="11"/>
      <c r="C117" s="11"/>
      <c r="D117" s="11"/>
      <c r="E117" s="11"/>
      <c r="F117" s="14"/>
      <c r="G117" s="15"/>
      <c r="H117" s="11"/>
    </row>
    <row r="118" spans="1:8">
      <c r="A118" s="11"/>
      <c r="B118" s="11"/>
      <c r="C118" s="11"/>
      <c r="D118" s="11"/>
      <c r="E118" s="11"/>
      <c r="F118" s="14"/>
      <c r="G118" s="15"/>
      <c r="H118" s="11"/>
    </row>
    <row r="119" spans="1:8">
      <c r="A119" s="11"/>
      <c r="B119" s="11"/>
      <c r="C119" s="11"/>
      <c r="D119" s="11"/>
      <c r="E119" s="11"/>
      <c r="F119" s="14"/>
      <c r="G119" s="15"/>
      <c r="H119" s="11"/>
    </row>
    <row r="120" spans="1:8">
      <c r="A120" s="11"/>
      <c r="B120" s="11"/>
      <c r="C120" s="11"/>
      <c r="D120" s="11"/>
      <c r="E120" s="11"/>
      <c r="F120" s="14"/>
      <c r="G120" s="15"/>
      <c r="H120" s="11"/>
    </row>
    <row r="121" spans="1:8">
      <c r="A121" s="11"/>
      <c r="B121" s="11"/>
      <c r="C121" s="11"/>
      <c r="D121" s="11"/>
      <c r="E121" s="11"/>
      <c r="F121" s="14"/>
      <c r="G121" s="15"/>
      <c r="H121" s="11"/>
    </row>
    <row r="122" spans="1:8">
      <c r="A122" s="11"/>
      <c r="B122" s="11"/>
      <c r="C122" s="11"/>
      <c r="D122" s="11"/>
      <c r="E122" s="11"/>
      <c r="F122" s="14"/>
      <c r="G122" s="15"/>
      <c r="H122" s="11"/>
    </row>
    <row r="123" spans="1:8">
      <c r="A123" s="11"/>
      <c r="B123" s="11"/>
      <c r="C123" s="11"/>
      <c r="D123" s="11"/>
      <c r="E123" s="11"/>
      <c r="F123" s="14"/>
      <c r="G123" s="15"/>
      <c r="H123" s="11"/>
    </row>
    <row r="124" spans="1:8">
      <c r="A124" s="11"/>
      <c r="B124" s="11"/>
      <c r="C124" s="11"/>
      <c r="D124" s="11"/>
      <c r="E124" s="11"/>
      <c r="F124" s="14"/>
      <c r="G124" s="15"/>
      <c r="H124" s="11"/>
    </row>
    <row r="125" spans="1:8">
      <c r="A125" s="11"/>
      <c r="B125" s="11"/>
      <c r="C125" s="11"/>
      <c r="D125" s="11"/>
      <c r="E125" s="11"/>
      <c r="F125" s="14"/>
      <c r="G125" s="15"/>
      <c r="H125" s="11"/>
    </row>
    <row r="126" spans="1:8">
      <c r="A126" s="11"/>
      <c r="B126" s="11"/>
      <c r="C126" s="11"/>
      <c r="D126" s="11"/>
      <c r="E126" s="11"/>
      <c r="F126" s="14"/>
      <c r="G126" s="15"/>
      <c r="H126" s="11"/>
    </row>
    <row r="127" spans="1:8">
      <c r="A127" s="11"/>
      <c r="B127" s="11"/>
      <c r="C127" s="11"/>
      <c r="D127" s="11"/>
      <c r="E127" s="11"/>
      <c r="F127" s="14"/>
      <c r="G127" s="15"/>
      <c r="H127" s="11"/>
    </row>
    <row r="128" spans="1:8">
      <c r="A128" s="11"/>
      <c r="B128" s="11"/>
      <c r="C128" s="11"/>
      <c r="D128" s="11"/>
      <c r="E128" s="11"/>
      <c r="F128" s="14"/>
      <c r="G128" s="15"/>
      <c r="H128" s="11"/>
    </row>
    <row r="129" spans="1:8">
      <c r="A129" s="11"/>
      <c r="B129" s="11"/>
      <c r="C129" s="11"/>
      <c r="D129" s="11"/>
      <c r="E129" s="11"/>
      <c r="F129" s="14"/>
      <c r="G129" s="15"/>
      <c r="H129" s="11"/>
    </row>
    <row r="130" spans="1:8">
      <c r="A130" s="11"/>
      <c r="B130" s="11"/>
      <c r="C130" s="11"/>
      <c r="D130" s="11"/>
      <c r="E130" s="11"/>
      <c r="F130" s="14"/>
      <c r="G130" s="15"/>
      <c r="H130" s="11"/>
    </row>
    <row r="131" spans="1:8">
      <c r="A131" s="11"/>
      <c r="B131" s="11"/>
      <c r="C131" s="11"/>
      <c r="D131" s="11"/>
      <c r="E131" s="11"/>
      <c r="F131" s="14"/>
      <c r="G131" s="15"/>
      <c r="H131" s="11"/>
    </row>
    <row r="132" spans="1:8">
      <c r="A132" s="11"/>
      <c r="B132" s="11"/>
      <c r="C132" s="11"/>
      <c r="D132" s="11"/>
      <c r="E132" s="11"/>
      <c r="F132" s="14"/>
      <c r="G132" s="15"/>
      <c r="H132" s="11"/>
    </row>
    <row r="133" spans="1:8">
      <c r="A133" s="11"/>
      <c r="B133" s="11"/>
      <c r="C133" s="11"/>
      <c r="D133" s="11"/>
      <c r="E133" s="11"/>
      <c r="F133" s="14"/>
      <c r="G133" s="15"/>
      <c r="H133" s="11"/>
    </row>
    <row r="134" spans="1:8">
      <c r="A134" s="11"/>
      <c r="B134" s="11"/>
      <c r="C134" s="11"/>
      <c r="D134" s="11"/>
      <c r="E134" s="11"/>
      <c r="F134" s="14"/>
      <c r="G134" s="15"/>
      <c r="H134" s="11"/>
    </row>
    <row r="135" spans="1:8">
      <c r="A135" s="11"/>
      <c r="B135" s="11"/>
      <c r="C135" s="11"/>
      <c r="D135" s="11"/>
      <c r="E135" s="11"/>
      <c r="F135" s="14"/>
      <c r="G135" s="15"/>
      <c r="H135" s="11"/>
    </row>
    <row r="136" spans="1:8">
      <c r="A136" s="11"/>
      <c r="B136" s="11"/>
      <c r="C136" s="11"/>
      <c r="D136" s="11"/>
      <c r="E136" s="11"/>
      <c r="F136" s="14"/>
      <c r="G136" s="15"/>
      <c r="H136" s="11"/>
    </row>
    <row r="137" spans="1:8">
      <c r="A137" s="11"/>
      <c r="B137" s="11"/>
      <c r="C137" s="11"/>
      <c r="D137" s="11"/>
      <c r="E137" s="11"/>
      <c r="F137" s="14"/>
      <c r="G137" s="15"/>
      <c r="H137" s="11"/>
    </row>
    <row r="138" spans="1:8">
      <c r="A138" s="11"/>
      <c r="B138" s="11"/>
      <c r="C138" s="11"/>
      <c r="D138" s="11"/>
      <c r="E138" s="11"/>
      <c r="F138" s="11"/>
      <c r="G138" s="15"/>
      <c r="H138" s="11"/>
    </row>
    <row r="139" spans="1:8">
      <c r="G139" s="3"/>
    </row>
    <row r="140" spans="1:8">
      <c r="G140" s="3"/>
    </row>
    <row r="141" spans="1:8">
      <c r="G141" s="3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showGridLines="0" zoomScaleNormal="100" workbookViewId="0">
      <selection activeCell="C43" sqref="C43"/>
    </sheetView>
  </sheetViews>
  <sheetFormatPr defaultRowHeight="11.25"/>
  <cols>
    <col min="1" max="1" width="11.42578125" style="11" bestFit="1" customWidth="1"/>
    <col min="2" max="2" width="48.85546875" style="11" customWidth="1"/>
    <col min="3" max="7" width="19.7109375" style="11" customWidth="1"/>
    <col min="8" max="16384" width="9.140625" style="11"/>
  </cols>
  <sheetData>
    <row r="1" spans="1:7" ht="18">
      <c r="A1" s="10"/>
      <c r="B1" s="101" t="s">
        <v>348</v>
      </c>
      <c r="C1" s="102"/>
      <c r="D1" s="102"/>
      <c r="E1" s="102"/>
      <c r="F1" s="102"/>
      <c r="G1" s="103"/>
    </row>
    <row r="2" spans="1:7" ht="12" thickBot="1">
      <c r="A2" s="10"/>
      <c r="B2" s="92" t="s">
        <v>378</v>
      </c>
      <c r="C2" s="93"/>
      <c r="D2" s="93"/>
      <c r="E2" s="93"/>
      <c r="F2" s="93"/>
      <c r="G2" s="94"/>
    </row>
    <row r="3" spans="1:7">
      <c r="A3" s="10"/>
      <c r="B3" s="6" t="s">
        <v>1</v>
      </c>
      <c r="C3" s="10"/>
      <c r="D3" s="10"/>
      <c r="E3" s="10"/>
      <c r="F3" s="10"/>
      <c r="G3" s="10"/>
    </row>
    <row r="4" spans="1:7" ht="12" thickBot="1">
      <c r="A4" s="7"/>
      <c r="B4" s="5" t="s">
        <v>2</v>
      </c>
      <c r="C4" s="10"/>
      <c r="D4" s="10"/>
      <c r="E4" s="10"/>
      <c r="F4" s="10"/>
      <c r="G4" s="10"/>
    </row>
    <row r="5" spans="1:7" ht="23.25" thickBot="1">
      <c r="A5" s="10"/>
      <c r="B5" s="45" t="s">
        <v>3</v>
      </c>
      <c r="C5" s="46" t="s">
        <v>4</v>
      </c>
      <c r="D5" s="47" t="s">
        <v>5</v>
      </c>
      <c r="E5" s="47" t="s">
        <v>6</v>
      </c>
      <c r="F5" s="47" t="s">
        <v>7</v>
      </c>
      <c r="G5" s="48" t="s">
        <v>8</v>
      </c>
    </row>
    <row r="6" spans="1:7">
      <c r="A6" s="10"/>
      <c r="B6" s="40" t="s">
        <v>351</v>
      </c>
      <c r="C6" s="41"/>
      <c r="D6" s="42"/>
      <c r="E6" s="42"/>
      <c r="F6" s="43"/>
      <c r="G6" s="81"/>
    </row>
    <row r="7" spans="1:7">
      <c r="A7" s="10"/>
      <c r="B7" s="31" t="s">
        <v>352</v>
      </c>
      <c r="C7" s="20"/>
      <c r="D7" s="17"/>
      <c r="E7" s="21" t="s">
        <v>317</v>
      </c>
      <c r="F7" s="21" t="s">
        <v>317</v>
      </c>
      <c r="G7" s="32" t="s">
        <v>317</v>
      </c>
    </row>
    <row r="8" spans="1:7">
      <c r="A8" s="8"/>
      <c r="B8" s="31" t="s">
        <v>174</v>
      </c>
      <c r="C8" s="20"/>
      <c r="D8" s="17"/>
      <c r="E8" s="21" t="s">
        <v>317</v>
      </c>
      <c r="F8" s="21" t="s">
        <v>317</v>
      </c>
      <c r="G8" s="32" t="s">
        <v>317</v>
      </c>
    </row>
    <row r="9" spans="1:7">
      <c r="A9" s="8"/>
      <c r="B9" s="75"/>
      <c r="C9" s="16"/>
      <c r="D9" s="17"/>
      <c r="E9" s="17"/>
      <c r="F9" s="19"/>
      <c r="G9" s="30"/>
    </row>
    <row r="10" spans="1:7">
      <c r="A10" s="8"/>
      <c r="B10" s="29" t="s">
        <v>353</v>
      </c>
      <c r="C10" s="18"/>
      <c r="D10" s="17"/>
      <c r="E10" s="17"/>
      <c r="F10" s="19"/>
      <c r="G10" s="30"/>
    </row>
    <row r="11" spans="1:7">
      <c r="A11" s="8"/>
      <c r="B11" s="31" t="s">
        <v>357</v>
      </c>
      <c r="C11" s="20"/>
      <c r="D11" s="17"/>
      <c r="E11" s="21" t="s">
        <v>317</v>
      </c>
      <c r="F11" s="21" t="s">
        <v>317</v>
      </c>
      <c r="G11" s="32" t="s">
        <v>317</v>
      </c>
    </row>
    <row r="12" spans="1:7">
      <c r="A12" s="8"/>
      <c r="B12" s="31" t="s">
        <v>355</v>
      </c>
      <c r="C12" s="20"/>
      <c r="D12" s="17"/>
      <c r="E12" s="21" t="s">
        <v>317</v>
      </c>
      <c r="F12" s="21" t="s">
        <v>317</v>
      </c>
      <c r="G12" s="32" t="s">
        <v>317</v>
      </c>
    </row>
    <row r="13" spans="1:7">
      <c r="A13" s="10"/>
      <c r="B13" s="31" t="s">
        <v>356</v>
      </c>
      <c r="C13" s="20"/>
      <c r="D13" s="17"/>
      <c r="E13" s="21" t="s">
        <v>317</v>
      </c>
      <c r="F13" s="21" t="s">
        <v>317</v>
      </c>
      <c r="G13" s="32" t="s">
        <v>317</v>
      </c>
    </row>
    <row r="14" spans="1:7">
      <c r="A14" s="10"/>
      <c r="B14" s="31"/>
      <c r="C14" s="20"/>
      <c r="D14" s="17"/>
      <c r="E14" s="22"/>
      <c r="F14" s="88"/>
      <c r="G14" s="33"/>
    </row>
    <row r="15" spans="1:7">
      <c r="A15" s="10"/>
      <c r="B15" s="34" t="s">
        <v>9</v>
      </c>
      <c r="C15" s="24" t="s">
        <v>1</v>
      </c>
      <c r="D15" s="24" t="s">
        <v>1</v>
      </c>
      <c r="E15" s="24" t="s">
        <v>1</v>
      </c>
      <c r="F15" s="24" t="s">
        <v>1</v>
      </c>
      <c r="G15" s="35" t="s">
        <v>1</v>
      </c>
    </row>
    <row r="16" spans="1:7">
      <c r="A16" s="10"/>
      <c r="B16" s="34" t="s">
        <v>10</v>
      </c>
      <c r="C16" s="24" t="s">
        <v>1</v>
      </c>
      <c r="D16" s="24" t="s">
        <v>1</v>
      </c>
      <c r="E16" s="24" t="s">
        <v>1</v>
      </c>
      <c r="F16" s="24" t="s">
        <v>1</v>
      </c>
      <c r="G16" s="35" t="s">
        <v>1</v>
      </c>
    </row>
    <row r="17" spans="1:7">
      <c r="A17" s="8"/>
      <c r="B17" s="36" t="s">
        <v>349</v>
      </c>
      <c r="C17" s="24" t="s">
        <v>350</v>
      </c>
      <c r="D17" s="24" t="s">
        <v>16</v>
      </c>
      <c r="E17" s="25">
        <v>500000</v>
      </c>
      <c r="F17" s="26">
        <v>461.17649999999998</v>
      </c>
      <c r="G17" s="37">
        <v>0.25872007689297583</v>
      </c>
    </row>
    <row r="18" spans="1:7">
      <c r="A18" s="8"/>
      <c r="B18" s="36" t="s">
        <v>344</v>
      </c>
      <c r="C18" s="24" t="s">
        <v>345</v>
      </c>
      <c r="D18" s="24" t="s">
        <v>16</v>
      </c>
      <c r="E18" s="25">
        <v>410000</v>
      </c>
      <c r="F18" s="26">
        <v>395.72994999999997</v>
      </c>
      <c r="G18" s="37">
        <v>0.2220045537724786</v>
      </c>
    </row>
    <row r="19" spans="1:7">
      <c r="A19" s="8"/>
      <c r="B19" s="36" t="s">
        <v>346</v>
      </c>
      <c r="C19" s="24" t="s">
        <v>347</v>
      </c>
      <c r="D19" s="24" t="s">
        <v>13</v>
      </c>
      <c r="E19" s="25">
        <v>420000</v>
      </c>
      <c r="F19" s="26">
        <v>385.48061999999999</v>
      </c>
      <c r="G19" s="37">
        <v>0.21625467830028633</v>
      </c>
    </row>
    <row r="20" spans="1:7">
      <c r="A20" s="8"/>
      <c r="B20" s="36" t="s">
        <v>342</v>
      </c>
      <c r="C20" s="24" t="s">
        <v>343</v>
      </c>
      <c r="D20" s="24" t="s">
        <v>16</v>
      </c>
      <c r="E20" s="25">
        <v>250000</v>
      </c>
      <c r="F20" s="26">
        <v>240.51900000000001</v>
      </c>
      <c r="G20" s="37">
        <v>0.13493119049696081</v>
      </c>
    </row>
    <row r="21" spans="1:7">
      <c r="A21" s="8"/>
      <c r="B21" s="36" t="s">
        <v>176</v>
      </c>
      <c r="C21" s="24" t="s">
        <v>177</v>
      </c>
      <c r="D21" s="24" t="s">
        <v>16</v>
      </c>
      <c r="E21" s="25">
        <v>40000</v>
      </c>
      <c r="F21" s="26">
        <v>36.953240000000001</v>
      </c>
      <c r="G21" s="37">
        <v>2.0730772479180076E-2</v>
      </c>
    </row>
    <row r="22" spans="1:7">
      <c r="A22" s="10"/>
      <c r="B22" s="34" t="s">
        <v>23</v>
      </c>
      <c r="C22" s="24" t="s">
        <v>1</v>
      </c>
      <c r="D22" s="24" t="s">
        <v>1</v>
      </c>
      <c r="E22" s="24" t="s">
        <v>1</v>
      </c>
      <c r="F22" s="27">
        <v>1519.8593100000001</v>
      </c>
      <c r="G22" s="38">
        <v>0.85264127194188166</v>
      </c>
    </row>
    <row r="23" spans="1:7">
      <c r="A23" s="10"/>
      <c r="B23" s="34" t="s">
        <v>24</v>
      </c>
      <c r="C23" s="24" t="s">
        <v>1</v>
      </c>
      <c r="D23" s="24" t="s">
        <v>1</v>
      </c>
      <c r="E23" s="24" t="s">
        <v>1</v>
      </c>
      <c r="F23" s="27">
        <v>1519.8593100000001</v>
      </c>
      <c r="G23" s="38">
        <v>0.85264127194188166</v>
      </c>
    </row>
    <row r="24" spans="1:7">
      <c r="A24" s="10"/>
      <c r="B24" s="34"/>
      <c r="C24" s="24" t="s">
        <v>1</v>
      </c>
      <c r="D24" s="24" t="s">
        <v>1</v>
      </c>
      <c r="E24" s="24" t="s">
        <v>1</v>
      </c>
      <c r="F24" s="28" t="s">
        <v>1</v>
      </c>
      <c r="G24" s="39" t="s">
        <v>1</v>
      </c>
    </row>
    <row r="25" spans="1:7">
      <c r="A25" s="10"/>
      <c r="B25" s="34" t="s">
        <v>187</v>
      </c>
      <c r="C25" s="24" t="s">
        <v>1</v>
      </c>
      <c r="D25" s="24" t="s">
        <v>1</v>
      </c>
      <c r="E25" s="24" t="s">
        <v>1</v>
      </c>
      <c r="F25" s="28" t="s">
        <v>1</v>
      </c>
      <c r="G25" s="39" t="s">
        <v>1</v>
      </c>
    </row>
    <row r="26" spans="1:7">
      <c r="A26" s="8"/>
      <c r="B26" s="36" t="s">
        <v>339</v>
      </c>
      <c r="C26" s="24" t="s">
        <v>340</v>
      </c>
      <c r="D26" s="24" t="s">
        <v>1</v>
      </c>
      <c r="E26" s="25">
        <v>2200440</v>
      </c>
      <c r="F26" s="26">
        <v>222.99699050000001</v>
      </c>
      <c r="G26" s="37">
        <v>0.125101340872881</v>
      </c>
    </row>
    <row r="27" spans="1:7">
      <c r="A27" s="10"/>
      <c r="B27" s="34" t="s">
        <v>23</v>
      </c>
      <c r="C27" s="24" t="s">
        <v>1</v>
      </c>
      <c r="D27" s="24" t="s">
        <v>1</v>
      </c>
      <c r="E27" s="24" t="s">
        <v>1</v>
      </c>
      <c r="F27" s="27">
        <v>222.99699050000001</v>
      </c>
      <c r="G27" s="38">
        <v>0.125101340872881</v>
      </c>
    </row>
    <row r="28" spans="1:7">
      <c r="A28" s="10"/>
      <c r="B28" s="34" t="s">
        <v>24</v>
      </c>
      <c r="C28" s="24" t="s">
        <v>1</v>
      </c>
      <c r="D28" s="24" t="s">
        <v>1</v>
      </c>
      <c r="E28" s="24" t="s">
        <v>1</v>
      </c>
      <c r="F28" s="27">
        <v>222.99699050000001</v>
      </c>
      <c r="G28" s="38">
        <v>0.125101340872881</v>
      </c>
    </row>
    <row r="29" spans="1:7">
      <c r="A29" s="10"/>
      <c r="B29" s="34"/>
      <c r="C29" s="24"/>
      <c r="D29" s="24"/>
      <c r="E29" s="24"/>
      <c r="F29" s="27"/>
      <c r="G29" s="38"/>
    </row>
    <row r="30" spans="1:7">
      <c r="A30" s="10"/>
      <c r="B30" s="34" t="s">
        <v>25</v>
      </c>
      <c r="C30" s="24" t="s">
        <v>1</v>
      </c>
      <c r="D30" s="24" t="s">
        <v>1</v>
      </c>
      <c r="E30" s="24" t="s">
        <v>1</v>
      </c>
      <c r="F30" s="28" t="s">
        <v>1</v>
      </c>
      <c r="G30" s="39" t="s">
        <v>1</v>
      </c>
    </row>
    <row r="31" spans="1:7">
      <c r="A31" s="8"/>
      <c r="B31" s="36" t="s">
        <v>26</v>
      </c>
      <c r="C31" s="24" t="s">
        <v>1</v>
      </c>
      <c r="D31" s="24" t="s">
        <v>27</v>
      </c>
      <c r="E31" s="25"/>
      <c r="F31" s="26">
        <v>40.422589299999999</v>
      </c>
      <c r="G31" s="37">
        <v>2.2677077890805759E-2</v>
      </c>
    </row>
    <row r="32" spans="1:7">
      <c r="A32" s="10"/>
      <c r="B32" s="34" t="s">
        <v>23</v>
      </c>
      <c r="C32" s="24" t="s">
        <v>1</v>
      </c>
      <c r="D32" s="24" t="s">
        <v>1</v>
      </c>
      <c r="E32" s="24" t="s">
        <v>1</v>
      </c>
      <c r="F32" s="27">
        <v>40.422589299999999</v>
      </c>
      <c r="G32" s="38">
        <v>2.2677077890805759E-2</v>
      </c>
    </row>
    <row r="33" spans="1:7">
      <c r="A33" s="10"/>
      <c r="B33" s="34" t="s">
        <v>24</v>
      </c>
      <c r="C33" s="24" t="s">
        <v>1</v>
      </c>
      <c r="D33" s="24" t="s">
        <v>1</v>
      </c>
      <c r="E33" s="24" t="s">
        <v>1</v>
      </c>
      <c r="F33" s="27">
        <v>40.422589299999999</v>
      </c>
      <c r="G33" s="38">
        <v>2.2677077890805759E-2</v>
      </c>
    </row>
    <row r="34" spans="1:7">
      <c r="A34" s="10"/>
      <c r="B34" s="34"/>
      <c r="C34" s="24"/>
      <c r="D34" s="24"/>
      <c r="E34" s="24"/>
      <c r="F34" s="27"/>
      <c r="G34" s="38"/>
    </row>
    <row r="35" spans="1:7">
      <c r="A35" s="10"/>
      <c r="B35" s="34" t="s">
        <v>186</v>
      </c>
      <c r="C35" s="24"/>
      <c r="D35" s="24"/>
      <c r="E35" s="24"/>
      <c r="F35" s="27"/>
      <c r="G35" s="38"/>
    </row>
    <row r="36" spans="1:7" ht="12" thickBot="1">
      <c r="A36" s="10"/>
      <c r="B36" s="53" t="s">
        <v>28</v>
      </c>
      <c r="C36" s="54" t="s">
        <v>1</v>
      </c>
      <c r="D36" s="54" t="s">
        <v>1</v>
      </c>
      <c r="E36" s="54" t="s">
        <v>1</v>
      </c>
      <c r="F36" s="55">
        <v>-0.74811159999999999</v>
      </c>
      <c r="G36" s="56">
        <v>-4.196907055683736E-4</v>
      </c>
    </row>
    <row r="37" spans="1:7" ht="12.75" thickTop="1" thickBot="1">
      <c r="A37" s="10"/>
      <c r="B37" s="49" t="s">
        <v>29</v>
      </c>
      <c r="C37" s="50" t="s">
        <v>1</v>
      </c>
      <c r="D37" s="50" t="s">
        <v>1</v>
      </c>
      <c r="E37" s="50" t="s">
        <v>1</v>
      </c>
      <c r="F37" s="51">
        <v>1782.5307782</v>
      </c>
      <c r="G37" s="52">
        <v>1</v>
      </c>
    </row>
    <row r="38" spans="1:7">
      <c r="A38" s="10"/>
      <c r="B38" s="7" t="s">
        <v>1</v>
      </c>
      <c r="C38" s="10"/>
      <c r="D38" s="10"/>
      <c r="E38" s="10"/>
      <c r="F38" s="12"/>
      <c r="G38" s="13"/>
    </row>
    <row r="39" spans="1:7">
      <c r="A39" s="10"/>
      <c r="B39" s="5" t="s">
        <v>27</v>
      </c>
      <c r="C39" s="10"/>
      <c r="D39" s="10"/>
      <c r="E39" s="10"/>
      <c r="F39" s="12"/>
      <c r="G39" s="13"/>
    </row>
    <row r="40" spans="1:7">
      <c r="A40" s="10"/>
      <c r="B40" s="5" t="s">
        <v>30</v>
      </c>
      <c r="C40" s="10"/>
      <c r="D40" s="10"/>
      <c r="E40" s="10"/>
      <c r="F40" s="12"/>
      <c r="G40" s="13"/>
    </row>
    <row r="41" spans="1:7">
      <c r="A41" s="10"/>
      <c r="B41" s="5" t="s">
        <v>31</v>
      </c>
      <c r="C41" s="10"/>
      <c r="D41" s="10"/>
      <c r="E41" s="10"/>
      <c r="F41" s="12"/>
      <c r="G41" s="13"/>
    </row>
    <row r="42" spans="1:7" ht="12" thickBot="1">
      <c r="A42" s="10"/>
      <c r="B42" s="5" t="s">
        <v>1</v>
      </c>
      <c r="C42" s="10"/>
      <c r="D42" s="10"/>
      <c r="E42" s="10"/>
      <c r="F42" s="12"/>
      <c r="G42" s="13"/>
    </row>
    <row r="43" spans="1:7" ht="12" thickBot="1">
      <c r="A43" s="10"/>
      <c r="B43" s="68" t="s">
        <v>368</v>
      </c>
      <c r="C43" s="69">
        <v>267.3</v>
      </c>
      <c r="D43" s="10"/>
      <c r="E43" s="10"/>
      <c r="F43" s="12"/>
      <c r="G43" s="13"/>
    </row>
    <row r="44" spans="1:7">
      <c r="F44" s="14"/>
      <c r="G44" s="15"/>
    </row>
    <row r="45" spans="1:7">
      <c r="F45" s="14"/>
      <c r="G45" s="15"/>
    </row>
    <row r="46" spans="1:7">
      <c r="F46" s="14"/>
      <c r="G46" s="15"/>
    </row>
    <row r="47" spans="1:7">
      <c r="F47" s="14"/>
      <c r="G47" s="15"/>
    </row>
    <row r="48" spans="1:7">
      <c r="F48" s="14"/>
      <c r="G48" s="15"/>
    </row>
    <row r="49" spans="6:7">
      <c r="F49" s="14"/>
      <c r="G49" s="15"/>
    </row>
    <row r="50" spans="6:7">
      <c r="F50" s="14"/>
      <c r="G50" s="15"/>
    </row>
    <row r="51" spans="6:7">
      <c r="F51" s="14"/>
      <c r="G51" s="15"/>
    </row>
    <row r="52" spans="6:7">
      <c r="F52" s="14"/>
      <c r="G52" s="15"/>
    </row>
    <row r="53" spans="6:7">
      <c r="F53" s="14"/>
      <c r="G53" s="15"/>
    </row>
    <row r="54" spans="6:7">
      <c r="F54" s="14"/>
      <c r="G54" s="15"/>
    </row>
    <row r="55" spans="6:7">
      <c r="F55" s="14"/>
      <c r="G55" s="15"/>
    </row>
    <row r="56" spans="6:7">
      <c r="F56" s="14"/>
      <c r="G56" s="15"/>
    </row>
    <row r="57" spans="6:7">
      <c r="F57" s="14"/>
      <c r="G57" s="15"/>
    </row>
    <row r="58" spans="6:7">
      <c r="F58" s="14"/>
      <c r="G58" s="15"/>
    </row>
    <row r="59" spans="6:7">
      <c r="F59" s="14"/>
      <c r="G59" s="15"/>
    </row>
    <row r="60" spans="6:7">
      <c r="F60" s="14"/>
      <c r="G60" s="15"/>
    </row>
    <row r="61" spans="6:7">
      <c r="F61" s="14"/>
      <c r="G61" s="15"/>
    </row>
    <row r="62" spans="6:7">
      <c r="F62" s="14"/>
      <c r="G62" s="15"/>
    </row>
    <row r="63" spans="6:7">
      <c r="F63" s="14"/>
      <c r="G63" s="15"/>
    </row>
    <row r="64" spans="6:7">
      <c r="F64" s="14"/>
      <c r="G64" s="15"/>
    </row>
    <row r="65" spans="6:7">
      <c r="F65" s="14"/>
      <c r="G65" s="15"/>
    </row>
    <row r="66" spans="6:7">
      <c r="F66" s="14"/>
      <c r="G66" s="15"/>
    </row>
    <row r="67" spans="6:7">
      <c r="F67" s="14"/>
      <c r="G67" s="15"/>
    </row>
    <row r="68" spans="6:7">
      <c r="F68" s="14"/>
      <c r="G68" s="15"/>
    </row>
    <row r="69" spans="6:7">
      <c r="F69" s="14"/>
      <c r="G69" s="15"/>
    </row>
    <row r="70" spans="6:7">
      <c r="F70" s="14"/>
      <c r="G70" s="15"/>
    </row>
    <row r="71" spans="6:7">
      <c r="F71" s="14"/>
      <c r="G71" s="15"/>
    </row>
    <row r="72" spans="6:7">
      <c r="F72" s="14"/>
      <c r="G72" s="15"/>
    </row>
    <row r="73" spans="6:7">
      <c r="F73" s="14"/>
      <c r="G73" s="15"/>
    </row>
    <row r="74" spans="6:7">
      <c r="F74" s="14"/>
      <c r="G74" s="15"/>
    </row>
    <row r="75" spans="6:7">
      <c r="F75" s="14"/>
      <c r="G75" s="15"/>
    </row>
    <row r="76" spans="6:7">
      <c r="F76" s="14"/>
      <c r="G76" s="15"/>
    </row>
    <row r="77" spans="6:7">
      <c r="F77" s="14"/>
      <c r="G77" s="15"/>
    </row>
    <row r="78" spans="6:7">
      <c r="F78" s="14"/>
      <c r="G78" s="15"/>
    </row>
    <row r="79" spans="6:7">
      <c r="F79" s="14"/>
      <c r="G79" s="15"/>
    </row>
    <row r="80" spans="6:7">
      <c r="F80" s="14"/>
      <c r="G80" s="15"/>
    </row>
    <row r="81" spans="6:7">
      <c r="F81" s="14"/>
      <c r="G81" s="15"/>
    </row>
    <row r="82" spans="6:7">
      <c r="F82" s="14"/>
      <c r="G82" s="15"/>
    </row>
    <row r="83" spans="6:7">
      <c r="F83" s="14"/>
      <c r="G83" s="15"/>
    </row>
    <row r="84" spans="6:7">
      <c r="F84" s="14"/>
      <c r="G84" s="15"/>
    </row>
    <row r="85" spans="6:7">
      <c r="F85" s="14"/>
      <c r="G85" s="15"/>
    </row>
    <row r="86" spans="6:7">
      <c r="F86" s="14"/>
      <c r="G86" s="15"/>
    </row>
    <row r="87" spans="6:7">
      <c r="F87" s="14"/>
      <c r="G87" s="15"/>
    </row>
    <row r="88" spans="6:7">
      <c r="F88" s="14"/>
      <c r="G88" s="15"/>
    </row>
    <row r="89" spans="6:7">
      <c r="F89" s="14"/>
      <c r="G89" s="15"/>
    </row>
    <row r="90" spans="6:7">
      <c r="F90" s="14"/>
      <c r="G90" s="15"/>
    </row>
    <row r="91" spans="6:7">
      <c r="F91" s="14"/>
      <c r="G91" s="15"/>
    </row>
    <row r="92" spans="6:7">
      <c r="F92" s="14"/>
      <c r="G92" s="15"/>
    </row>
    <row r="93" spans="6:7">
      <c r="F93" s="14"/>
      <c r="G93" s="15"/>
    </row>
    <row r="94" spans="6:7">
      <c r="F94" s="14"/>
      <c r="G94" s="15"/>
    </row>
    <row r="95" spans="6:7">
      <c r="F95" s="14"/>
      <c r="G95" s="15"/>
    </row>
    <row r="96" spans="6:7">
      <c r="F96" s="14"/>
      <c r="G96" s="15"/>
    </row>
    <row r="97" spans="6:7">
      <c r="F97" s="14"/>
      <c r="G97" s="15"/>
    </row>
    <row r="98" spans="6:7">
      <c r="F98" s="14"/>
      <c r="G98" s="15"/>
    </row>
    <row r="99" spans="6:7">
      <c r="F99" s="14"/>
      <c r="G99" s="15"/>
    </row>
    <row r="100" spans="6:7">
      <c r="F100" s="14"/>
      <c r="G100" s="15"/>
    </row>
    <row r="101" spans="6:7">
      <c r="F101" s="14"/>
      <c r="G101" s="15"/>
    </row>
    <row r="102" spans="6:7">
      <c r="F102" s="14"/>
      <c r="G102" s="15"/>
    </row>
    <row r="103" spans="6:7">
      <c r="F103" s="14"/>
      <c r="G103" s="15"/>
    </row>
    <row r="104" spans="6:7">
      <c r="F104" s="14"/>
      <c r="G104" s="15"/>
    </row>
    <row r="105" spans="6:7">
      <c r="F105" s="14"/>
      <c r="G105" s="15"/>
    </row>
    <row r="106" spans="6:7">
      <c r="F106" s="14"/>
      <c r="G106" s="15"/>
    </row>
    <row r="107" spans="6:7">
      <c r="F107" s="14"/>
      <c r="G107" s="15"/>
    </row>
    <row r="108" spans="6:7">
      <c r="F108" s="14"/>
      <c r="G108" s="15"/>
    </row>
    <row r="109" spans="6:7">
      <c r="F109" s="14"/>
      <c r="G109" s="15"/>
    </row>
    <row r="110" spans="6:7">
      <c r="F110" s="14"/>
      <c r="G110" s="15"/>
    </row>
    <row r="111" spans="6:7">
      <c r="F111" s="14"/>
      <c r="G111" s="15"/>
    </row>
    <row r="112" spans="6:7">
      <c r="F112" s="14"/>
      <c r="G112" s="15"/>
    </row>
    <row r="113" spans="6:7">
      <c r="F113" s="14"/>
      <c r="G113" s="15"/>
    </row>
    <row r="114" spans="6:7">
      <c r="F114" s="14"/>
      <c r="G114" s="15"/>
    </row>
    <row r="115" spans="6:7">
      <c r="F115" s="14"/>
      <c r="G115" s="15"/>
    </row>
    <row r="116" spans="6:7">
      <c r="F116" s="14"/>
      <c r="G116" s="15"/>
    </row>
    <row r="117" spans="6:7">
      <c r="F117" s="14"/>
      <c r="G117" s="15"/>
    </row>
    <row r="118" spans="6:7">
      <c r="F118" s="14"/>
      <c r="G118" s="15"/>
    </row>
    <row r="119" spans="6:7">
      <c r="F119" s="14"/>
      <c r="G119" s="15"/>
    </row>
    <row r="120" spans="6:7">
      <c r="F120" s="14"/>
      <c r="G120" s="15"/>
    </row>
    <row r="121" spans="6:7">
      <c r="F121" s="14"/>
      <c r="G121" s="15"/>
    </row>
    <row r="122" spans="6:7">
      <c r="F122" s="14"/>
      <c r="G122" s="15"/>
    </row>
    <row r="123" spans="6:7">
      <c r="F123" s="14"/>
      <c r="G123" s="15"/>
    </row>
    <row r="124" spans="6:7">
      <c r="F124" s="14"/>
      <c r="G124" s="15"/>
    </row>
    <row r="125" spans="6:7">
      <c r="F125" s="14"/>
      <c r="G125" s="15"/>
    </row>
    <row r="126" spans="6:7">
      <c r="F126" s="14"/>
      <c r="G126" s="15"/>
    </row>
    <row r="127" spans="6:7">
      <c r="F127" s="14"/>
      <c r="G127" s="15"/>
    </row>
    <row r="128" spans="6:7">
      <c r="F128" s="14"/>
      <c r="G128" s="15"/>
    </row>
    <row r="129" spans="6:7">
      <c r="F129" s="14"/>
      <c r="G129" s="15"/>
    </row>
    <row r="130" spans="6:7">
      <c r="F130" s="14"/>
      <c r="G130" s="15"/>
    </row>
    <row r="131" spans="6:7">
      <c r="F131" s="14"/>
      <c r="G131" s="15"/>
    </row>
    <row r="132" spans="6:7">
      <c r="F132" s="14"/>
      <c r="G132" s="15"/>
    </row>
    <row r="133" spans="6:7">
      <c r="F133" s="14"/>
      <c r="G133" s="15"/>
    </row>
    <row r="134" spans="6:7">
      <c r="F134" s="14"/>
      <c r="G134" s="15"/>
    </row>
    <row r="135" spans="6:7">
      <c r="F135" s="14"/>
      <c r="G135" s="15"/>
    </row>
    <row r="136" spans="6:7">
      <c r="F136" s="14"/>
      <c r="G136" s="15"/>
    </row>
    <row r="137" spans="6:7">
      <c r="F137" s="14"/>
      <c r="G137" s="15"/>
    </row>
    <row r="138" spans="6:7">
      <c r="G138" s="15"/>
    </row>
    <row r="139" spans="6:7">
      <c r="G139" s="15"/>
    </row>
    <row r="140" spans="6:7">
      <c r="G140" s="15"/>
    </row>
    <row r="141" spans="6:7">
      <c r="G141" s="15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Views>
    <sheetView showGridLines="0" zoomScaleNormal="100" workbookViewId="0">
      <selection activeCell="C41" sqref="C41"/>
    </sheetView>
  </sheetViews>
  <sheetFormatPr defaultRowHeight="11.25"/>
  <cols>
    <col min="1" max="1" width="11.42578125" style="11" bestFit="1" customWidth="1"/>
    <col min="2" max="2" width="47.28515625" style="11" bestFit="1" customWidth="1"/>
    <col min="3" max="7" width="19" style="11" customWidth="1"/>
    <col min="8" max="16384" width="9.140625" style="11"/>
  </cols>
  <sheetData>
    <row r="1" spans="1:7" ht="18">
      <c r="A1" s="10"/>
      <c r="B1" s="101" t="s">
        <v>372</v>
      </c>
      <c r="C1" s="102"/>
      <c r="D1" s="102"/>
      <c r="E1" s="102"/>
      <c r="F1" s="102"/>
      <c r="G1" s="103"/>
    </row>
    <row r="2" spans="1:7" ht="12" thickBot="1">
      <c r="A2" s="10"/>
      <c r="B2" s="92" t="s">
        <v>373</v>
      </c>
      <c r="C2" s="93"/>
      <c r="D2" s="93"/>
      <c r="E2" s="93"/>
      <c r="F2" s="93"/>
      <c r="G2" s="94"/>
    </row>
    <row r="3" spans="1:7" ht="12.95" customHeight="1">
      <c r="A3" s="10"/>
      <c r="B3" s="6" t="s">
        <v>1</v>
      </c>
      <c r="C3" s="10"/>
      <c r="D3" s="10"/>
      <c r="E3" s="10"/>
      <c r="F3" s="10"/>
      <c r="G3" s="10"/>
    </row>
    <row r="4" spans="1:7" ht="12.95" customHeight="1" thickBot="1">
      <c r="A4" s="7"/>
      <c r="B4" s="5" t="s">
        <v>2</v>
      </c>
      <c r="C4" s="10"/>
      <c r="D4" s="10"/>
      <c r="E4" s="10"/>
      <c r="F4" s="10"/>
      <c r="G4" s="10"/>
    </row>
    <row r="5" spans="1:7" ht="27.95" customHeight="1" thickBot="1">
      <c r="A5" s="10"/>
      <c r="B5" s="45" t="s">
        <v>3</v>
      </c>
      <c r="C5" s="46" t="s">
        <v>4</v>
      </c>
      <c r="D5" s="47" t="s">
        <v>5</v>
      </c>
      <c r="E5" s="47" t="s">
        <v>6</v>
      </c>
      <c r="F5" s="47" t="s">
        <v>7</v>
      </c>
      <c r="G5" s="48" t="s">
        <v>8</v>
      </c>
    </row>
    <row r="6" spans="1:7" ht="12.95" customHeight="1">
      <c r="A6" s="10"/>
      <c r="B6" s="40" t="s">
        <v>351</v>
      </c>
      <c r="C6" s="41"/>
      <c r="D6" s="42"/>
      <c r="E6" s="42"/>
      <c r="F6" s="43"/>
      <c r="G6" s="44"/>
    </row>
    <row r="7" spans="1:7" ht="12.95" customHeight="1">
      <c r="A7" s="10"/>
      <c r="B7" s="31" t="s">
        <v>352</v>
      </c>
      <c r="C7" s="16"/>
      <c r="D7" s="17"/>
      <c r="E7" s="21" t="s">
        <v>317</v>
      </c>
      <c r="F7" s="21" t="s">
        <v>317</v>
      </c>
      <c r="G7" s="32" t="s">
        <v>317</v>
      </c>
    </row>
    <row r="8" spans="1:7" ht="12.95" customHeight="1">
      <c r="A8" s="8"/>
      <c r="B8" s="31" t="s">
        <v>174</v>
      </c>
      <c r="C8" s="16"/>
      <c r="D8" s="17"/>
      <c r="E8" s="21" t="s">
        <v>317</v>
      </c>
      <c r="F8" s="21" t="s">
        <v>317</v>
      </c>
      <c r="G8" s="32" t="s">
        <v>317</v>
      </c>
    </row>
    <row r="9" spans="1:7" ht="12.95" customHeight="1">
      <c r="A9" s="10"/>
      <c r="B9" s="31"/>
      <c r="C9" s="16"/>
      <c r="D9" s="17"/>
      <c r="E9" s="22"/>
      <c r="F9" s="19"/>
      <c r="G9" s="33"/>
    </row>
    <row r="10" spans="1:7" ht="12.95" customHeight="1">
      <c r="A10" s="10"/>
      <c r="B10" s="29" t="s">
        <v>353</v>
      </c>
      <c r="C10" s="16"/>
      <c r="D10" s="17"/>
      <c r="E10" s="22"/>
      <c r="F10" s="19"/>
      <c r="G10" s="33"/>
    </row>
    <row r="11" spans="1:7" ht="12.95" customHeight="1">
      <c r="A11" s="10"/>
      <c r="B11" s="31" t="s">
        <v>354</v>
      </c>
      <c r="C11" s="16"/>
      <c r="D11" s="17"/>
      <c r="E11" s="21" t="s">
        <v>317</v>
      </c>
      <c r="F11" s="21" t="s">
        <v>317</v>
      </c>
      <c r="G11" s="32" t="s">
        <v>317</v>
      </c>
    </row>
    <row r="12" spans="1:7" ht="12.95" customHeight="1">
      <c r="A12" s="8"/>
      <c r="B12" s="31" t="s">
        <v>355</v>
      </c>
      <c r="C12" s="16"/>
      <c r="D12" s="17"/>
      <c r="E12" s="21" t="s">
        <v>317</v>
      </c>
      <c r="F12" s="21" t="s">
        <v>317</v>
      </c>
      <c r="G12" s="32" t="s">
        <v>317</v>
      </c>
    </row>
    <row r="13" spans="1:7" ht="12.95" customHeight="1">
      <c r="A13" s="10"/>
      <c r="B13" s="31" t="s">
        <v>356</v>
      </c>
      <c r="C13" s="16"/>
      <c r="D13" s="17"/>
      <c r="E13" s="21" t="s">
        <v>317</v>
      </c>
      <c r="F13" s="21" t="s">
        <v>317</v>
      </c>
      <c r="G13" s="32" t="s">
        <v>317</v>
      </c>
    </row>
    <row r="14" spans="1:7" ht="12.95" customHeight="1">
      <c r="A14" s="10"/>
      <c r="B14" s="31"/>
      <c r="C14" s="16"/>
      <c r="D14" s="17"/>
      <c r="E14" s="17"/>
      <c r="F14" s="19"/>
      <c r="G14" s="30"/>
    </row>
    <row r="15" spans="1:7" ht="12.95" customHeight="1">
      <c r="A15" s="10"/>
      <c r="B15" s="34" t="s">
        <v>9</v>
      </c>
      <c r="C15" s="24" t="s">
        <v>1</v>
      </c>
      <c r="D15" s="24" t="s">
        <v>1</v>
      </c>
      <c r="E15" s="24" t="s">
        <v>1</v>
      </c>
      <c r="F15" s="24" t="s">
        <v>1</v>
      </c>
      <c r="G15" s="35" t="s">
        <v>1</v>
      </c>
    </row>
    <row r="16" spans="1:7" ht="12.95" customHeight="1">
      <c r="A16" s="10"/>
      <c r="B16" s="34" t="s">
        <v>10</v>
      </c>
      <c r="C16" s="24" t="s">
        <v>1</v>
      </c>
      <c r="D16" s="24" t="s">
        <v>1</v>
      </c>
      <c r="E16" s="24" t="s">
        <v>1</v>
      </c>
      <c r="F16" s="24" t="s">
        <v>1</v>
      </c>
      <c r="G16" s="35" t="s">
        <v>1</v>
      </c>
    </row>
    <row r="17" spans="1:7" ht="12.95" customHeight="1">
      <c r="A17" s="8"/>
      <c r="B17" s="36" t="s">
        <v>176</v>
      </c>
      <c r="C17" s="24" t="s">
        <v>177</v>
      </c>
      <c r="D17" s="24" t="s">
        <v>16</v>
      </c>
      <c r="E17" s="25">
        <v>610000</v>
      </c>
      <c r="F17" s="26">
        <v>563.53691000000003</v>
      </c>
      <c r="G17" s="37">
        <v>0.27608576798512102</v>
      </c>
    </row>
    <row r="18" spans="1:7" ht="12.95" customHeight="1">
      <c r="A18" s="8"/>
      <c r="B18" s="36" t="s">
        <v>178</v>
      </c>
      <c r="C18" s="24" t="s">
        <v>179</v>
      </c>
      <c r="D18" s="24" t="s">
        <v>180</v>
      </c>
      <c r="E18" s="25">
        <v>600000</v>
      </c>
      <c r="F18" s="26">
        <v>553.97699999999998</v>
      </c>
      <c r="G18" s="37">
        <v>0.27140221479209481</v>
      </c>
    </row>
    <row r="19" spans="1:7" ht="12.95" customHeight="1">
      <c r="A19" s="8"/>
      <c r="B19" s="36" t="s">
        <v>181</v>
      </c>
      <c r="C19" s="24" t="s">
        <v>182</v>
      </c>
      <c r="D19" s="24" t="s">
        <v>16</v>
      </c>
      <c r="E19" s="25">
        <v>500000</v>
      </c>
      <c r="F19" s="26">
        <v>462.46600000000001</v>
      </c>
      <c r="G19" s="37">
        <v>0.22656950860061142</v>
      </c>
    </row>
    <row r="20" spans="1:7" ht="12.95" customHeight="1">
      <c r="A20" s="10"/>
      <c r="B20" s="34" t="s">
        <v>23</v>
      </c>
      <c r="C20" s="24" t="s">
        <v>1</v>
      </c>
      <c r="D20" s="24" t="s">
        <v>1</v>
      </c>
      <c r="E20" s="24" t="s">
        <v>1</v>
      </c>
      <c r="F20" s="27">
        <v>1579.97991</v>
      </c>
      <c r="G20" s="38">
        <v>0.77405749137782731</v>
      </c>
    </row>
    <row r="21" spans="1:7" ht="12.95" customHeight="1">
      <c r="A21" s="10"/>
      <c r="B21" s="34"/>
      <c r="C21" s="24"/>
      <c r="D21" s="24"/>
      <c r="E21" s="24"/>
      <c r="F21" s="27"/>
      <c r="G21" s="38"/>
    </row>
    <row r="22" spans="1:7" ht="12.95" customHeight="1">
      <c r="A22" s="10"/>
      <c r="B22" s="34" t="s">
        <v>183</v>
      </c>
      <c r="C22" s="24" t="s">
        <v>1</v>
      </c>
      <c r="D22" s="24" t="s">
        <v>1</v>
      </c>
      <c r="E22" s="24" t="s">
        <v>1</v>
      </c>
      <c r="F22" s="28" t="s">
        <v>1</v>
      </c>
      <c r="G22" s="39" t="s">
        <v>1</v>
      </c>
    </row>
    <row r="23" spans="1:7" ht="12.95" customHeight="1">
      <c r="A23" s="8"/>
      <c r="B23" s="36" t="s">
        <v>184</v>
      </c>
      <c r="C23" s="24" t="s">
        <v>185</v>
      </c>
      <c r="D23" s="24" t="s">
        <v>16</v>
      </c>
      <c r="E23" s="25">
        <v>500000</v>
      </c>
      <c r="F23" s="26">
        <v>460.76799999999997</v>
      </c>
      <c r="G23" s="37">
        <v>0.22573763117480317</v>
      </c>
    </row>
    <row r="24" spans="1:7" ht="12.95" customHeight="1">
      <c r="A24" s="10"/>
      <c r="B24" s="34" t="s">
        <v>23</v>
      </c>
      <c r="C24" s="24" t="s">
        <v>1</v>
      </c>
      <c r="D24" s="24" t="s">
        <v>1</v>
      </c>
      <c r="E24" s="24" t="s">
        <v>1</v>
      </c>
      <c r="F24" s="27">
        <v>460.76799999999997</v>
      </c>
      <c r="G24" s="38">
        <v>0.22573763117480317</v>
      </c>
    </row>
    <row r="25" spans="1:7" ht="12.95" customHeight="1">
      <c r="A25" s="10"/>
      <c r="B25" s="34" t="s">
        <v>24</v>
      </c>
      <c r="C25" s="24" t="s">
        <v>1</v>
      </c>
      <c r="D25" s="24" t="s">
        <v>1</v>
      </c>
      <c r="E25" s="24" t="s">
        <v>1</v>
      </c>
      <c r="F25" s="27">
        <v>2040.74791</v>
      </c>
      <c r="G25" s="38">
        <v>0.99979512255263048</v>
      </c>
    </row>
    <row r="26" spans="1:7" ht="12.95" customHeight="1">
      <c r="A26" s="10"/>
      <c r="B26" s="34" t="s">
        <v>186</v>
      </c>
      <c r="C26" s="24" t="s">
        <v>1</v>
      </c>
      <c r="D26" s="24" t="s">
        <v>1</v>
      </c>
      <c r="E26" s="24" t="s">
        <v>1</v>
      </c>
      <c r="F26" s="28" t="s">
        <v>1</v>
      </c>
      <c r="G26" s="39" t="s">
        <v>1</v>
      </c>
    </row>
    <row r="27" spans="1:7" ht="12.95" customHeight="1">
      <c r="A27" s="10"/>
      <c r="B27" s="34"/>
      <c r="C27" s="24"/>
      <c r="D27" s="24"/>
      <c r="E27" s="24"/>
      <c r="F27" s="28"/>
      <c r="G27" s="39"/>
    </row>
    <row r="28" spans="1:7" ht="12.95" customHeight="1">
      <c r="A28" s="10"/>
      <c r="B28" s="34" t="s">
        <v>187</v>
      </c>
      <c r="C28" s="24" t="s">
        <v>1</v>
      </c>
      <c r="D28" s="24" t="s">
        <v>1</v>
      </c>
      <c r="E28" s="24" t="s">
        <v>1</v>
      </c>
      <c r="F28" s="28" t="s">
        <v>1</v>
      </c>
      <c r="G28" s="39" t="s">
        <v>1</v>
      </c>
    </row>
    <row r="29" spans="1:7" ht="12.95" customHeight="1">
      <c r="A29" s="8"/>
      <c r="B29" s="36" t="s">
        <v>188</v>
      </c>
      <c r="C29" s="24" t="s">
        <v>189</v>
      </c>
      <c r="D29" s="24" t="s">
        <v>1</v>
      </c>
      <c r="E29" s="25">
        <v>32.087684500000002</v>
      </c>
      <c r="F29" s="26">
        <v>0.43702400000000002</v>
      </c>
      <c r="G29" s="37">
        <v>2.1410506486244094E-4</v>
      </c>
    </row>
    <row r="30" spans="1:7" ht="12.95" customHeight="1">
      <c r="A30" s="10"/>
      <c r="B30" s="34" t="s">
        <v>23</v>
      </c>
      <c r="C30" s="24" t="s">
        <v>1</v>
      </c>
      <c r="D30" s="24" t="s">
        <v>1</v>
      </c>
      <c r="E30" s="24" t="s">
        <v>1</v>
      </c>
      <c r="F30" s="27">
        <v>0.43702400000000002</v>
      </c>
      <c r="G30" s="38">
        <v>2.1410506486244094E-4</v>
      </c>
    </row>
    <row r="31" spans="1:7" ht="12.95" customHeight="1">
      <c r="A31" s="10"/>
      <c r="B31" s="34" t="s">
        <v>24</v>
      </c>
      <c r="C31" s="24" t="s">
        <v>1</v>
      </c>
      <c r="D31" s="24" t="s">
        <v>1</v>
      </c>
      <c r="E31" s="24" t="s">
        <v>1</v>
      </c>
      <c r="F31" s="27">
        <v>0.43702400000000002</v>
      </c>
      <c r="G31" s="38">
        <v>2.1410506486244094E-4</v>
      </c>
    </row>
    <row r="32" spans="1:7" ht="12.95" customHeight="1">
      <c r="A32" s="10"/>
      <c r="B32" s="34"/>
      <c r="C32" s="24"/>
      <c r="D32" s="24"/>
      <c r="E32" s="24"/>
      <c r="F32" s="27"/>
      <c r="G32" s="38"/>
    </row>
    <row r="33" spans="1:7" ht="12.95" customHeight="1">
      <c r="A33" s="10"/>
      <c r="B33" s="34" t="s">
        <v>186</v>
      </c>
      <c r="C33" s="24"/>
      <c r="D33" s="24"/>
      <c r="E33" s="24"/>
      <c r="F33" s="27"/>
      <c r="G33" s="38"/>
    </row>
    <row r="34" spans="1:7" ht="12.95" customHeight="1" thickBot="1">
      <c r="A34" s="10"/>
      <c r="B34" s="53" t="s">
        <v>28</v>
      </c>
      <c r="C34" s="54" t="s">
        <v>1</v>
      </c>
      <c r="D34" s="54" t="s">
        <v>1</v>
      </c>
      <c r="E34" s="54" t="s">
        <v>1</v>
      </c>
      <c r="F34" s="55">
        <v>-1.88351E-2</v>
      </c>
      <c r="G34" s="56">
        <v>-9.2276174928881969E-6</v>
      </c>
    </row>
    <row r="35" spans="1:7" ht="12.95" customHeight="1" thickTop="1" thickBot="1">
      <c r="A35" s="10"/>
      <c r="B35" s="49" t="s">
        <v>29</v>
      </c>
      <c r="C35" s="50" t="s">
        <v>1</v>
      </c>
      <c r="D35" s="50" t="s">
        <v>1</v>
      </c>
      <c r="E35" s="50" t="s">
        <v>1</v>
      </c>
      <c r="F35" s="51">
        <v>2041.1660989</v>
      </c>
      <c r="G35" s="52">
        <v>1</v>
      </c>
    </row>
    <row r="36" spans="1:7" ht="12.95" customHeight="1">
      <c r="A36" s="10"/>
      <c r="B36" s="7" t="s">
        <v>1</v>
      </c>
      <c r="C36" s="10"/>
      <c r="D36" s="10"/>
      <c r="E36" s="10"/>
      <c r="F36" s="12"/>
      <c r="G36" s="13"/>
    </row>
    <row r="37" spans="1:7" ht="12.95" customHeight="1">
      <c r="A37" s="10"/>
      <c r="B37" s="5" t="s">
        <v>27</v>
      </c>
      <c r="C37" s="10"/>
      <c r="D37" s="10"/>
      <c r="E37" s="10"/>
      <c r="F37" s="12"/>
      <c r="G37" s="13"/>
    </row>
    <row r="38" spans="1:7" ht="12.95" customHeight="1">
      <c r="A38" s="10"/>
      <c r="B38" s="5" t="s">
        <v>30</v>
      </c>
      <c r="C38" s="10"/>
      <c r="D38" s="10"/>
      <c r="E38" s="10"/>
      <c r="F38" s="12"/>
      <c r="G38" s="13"/>
    </row>
    <row r="39" spans="1:7" ht="12.95" customHeight="1">
      <c r="A39" s="10"/>
      <c r="B39" s="5" t="s">
        <v>31</v>
      </c>
      <c r="C39" s="10"/>
      <c r="D39" s="10"/>
      <c r="E39" s="10"/>
      <c r="F39" s="12"/>
      <c r="G39" s="13"/>
    </row>
    <row r="40" spans="1:7" ht="12.95" customHeight="1" thickBot="1">
      <c r="A40" s="10"/>
      <c r="B40" s="5" t="s">
        <v>1</v>
      </c>
      <c r="C40" s="10"/>
      <c r="D40" s="10"/>
      <c r="E40" s="10"/>
      <c r="F40" s="12"/>
      <c r="G40" s="13"/>
    </row>
    <row r="41" spans="1:7" ht="12.95" customHeight="1" thickBot="1">
      <c r="A41" s="10"/>
      <c r="B41" s="68" t="s">
        <v>368</v>
      </c>
      <c r="C41" s="69">
        <v>328.3</v>
      </c>
      <c r="D41" s="10"/>
      <c r="E41" s="10"/>
      <c r="F41" s="12"/>
      <c r="G41" s="13"/>
    </row>
    <row r="42" spans="1:7">
      <c r="F42" s="14"/>
      <c r="G42" s="15"/>
    </row>
    <row r="43" spans="1:7">
      <c r="F43" s="14"/>
      <c r="G43" s="15"/>
    </row>
    <row r="44" spans="1:7">
      <c r="F44" s="14"/>
      <c r="G44" s="15"/>
    </row>
    <row r="45" spans="1:7">
      <c r="F45" s="14"/>
      <c r="G45" s="15"/>
    </row>
    <row r="46" spans="1:7">
      <c r="F46" s="14"/>
      <c r="G46" s="15"/>
    </row>
    <row r="47" spans="1:7">
      <c r="F47" s="14"/>
      <c r="G47" s="15"/>
    </row>
    <row r="48" spans="1:7">
      <c r="F48" s="14"/>
      <c r="G48" s="15"/>
    </row>
    <row r="49" spans="6:7">
      <c r="F49" s="14"/>
      <c r="G49" s="15"/>
    </row>
    <row r="50" spans="6:7">
      <c r="F50" s="14"/>
      <c r="G50" s="15"/>
    </row>
    <row r="51" spans="6:7">
      <c r="F51" s="14"/>
      <c r="G51" s="15"/>
    </row>
    <row r="52" spans="6:7">
      <c r="F52" s="14"/>
      <c r="G52" s="15"/>
    </row>
    <row r="53" spans="6:7">
      <c r="F53" s="14"/>
      <c r="G53" s="15"/>
    </row>
    <row r="54" spans="6:7">
      <c r="F54" s="14"/>
      <c r="G54" s="15"/>
    </row>
    <row r="55" spans="6:7">
      <c r="F55" s="14"/>
      <c r="G55" s="15"/>
    </row>
    <row r="56" spans="6:7">
      <c r="F56" s="14"/>
      <c r="G56" s="15"/>
    </row>
    <row r="57" spans="6:7">
      <c r="F57" s="14"/>
      <c r="G57" s="15"/>
    </row>
    <row r="58" spans="6:7">
      <c r="F58" s="14"/>
      <c r="G58" s="15"/>
    </row>
    <row r="59" spans="6:7">
      <c r="F59" s="14"/>
      <c r="G59" s="15"/>
    </row>
    <row r="60" spans="6:7">
      <c r="F60" s="14"/>
      <c r="G60" s="15"/>
    </row>
    <row r="61" spans="6:7">
      <c r="F61" s="14"/>
      <c r="G61" s="15"/>
    </row>
    <row r="62" spans="6:7">
      <c r="F62" s="14"/>
      <c r="G62" s="15"/>
    </row>
    <row r="63" spans="6:7">
      <c r="F63" s="14"/>
      <c r="G63" s="15"/>
    </row>
    <row r="64" spans="6:7">
      <c r="F64" s="14"/>
      <c r="G64" s="15"/>
    </row>
    <row r="65" spans="6:7">
      <c r="F65" s="14"/>
      <c r="G65" s="15"/>
    </row>
    <row r="66" spans="6:7">
      <c r="F66" s="14"/>
      <c r="G66" s="15"/>
    </row>
    <row r="67" spans="6:7">
      <c r="F67" s="14"/>
      <c r="G67" s="15"/>
    </row>
    <row r="68" spans="6:7">
      <c r="F68" s="14"/>
      <c r="G68" s="15"/>
    </row>
    <row r="69" spans="6:7">
      <c r="F69" s="14"/>
      <c r="G69" s="15"/>
    </row>
    <row r="70" spans="6:7">
      <c r="F70" s="14"/>
      <c r="G70" s="15"/>
    </row>
    <row r="71" spans="6:7">
      <c r="F71" s="14"/>
      <c r="G71" s="15"/>
    </row>
    <row r="72" spans="6:7">
      <c r="F72" s="14"/>
      <c r="G72" s="15"/>
    </row>
    <row r="73" spans="6:7">
      <c r="F73" s="14"/>
      <c r="G73" s="15"/>
    </row>
    <row r="74" spans="6:7">
      <c r="F74" s="14"/>
      <c r="G74" s="15"/>
    </row>
    <row r="75" spans="6:7">
      <c r="F75" s="14"/>
      <c r="G75" s="15"/>
    </row>
    <row r="76" spans="6:7">
      <c r="F76" s="14"/>
      <c r="G76" s="15"/>
    </row>
    <row r="77" spans="6:7">
      <c r="F77" s="14"/>
      <c r="G77" s="15"/>
    </row>
    <row r="78" spans="6:7">
      <c r="F78" s="14"/>
      <c r="G78" s="15"/>
    </row>
    <row r="79" spans="6:7">
      <c r="F79" s="14"/>
      <c r="G79" s="15"/>
    </row>
    <row r="80" spans="6:7">
      <c r="F80" s="14"/>
      <c r="G80" s="15"/>
    </row>
    <row r="81" spans="6:7">
      <c r="F81" s="14"/>
      <c r="G81" s="15"/>
    </row>
    <row r="82" spans="6:7">
      <c r="F82" s="14"/>
      <c r="G82" s="15"/>
    </row>
    <row r="83" spans="6:7">
      <c r="F83" s="14"/>
      <c r="G83" s="15"/>
    </row>
    <row r="84" spans="6:7">
      <c r="F84" s="14"/>
      <c r="G84" s="15"/>
    </row>
    <row r="85" spans="6:7">
      <c r="F85" s="14"/>
      <c r="G85" s="15"/>
    </row>
    <row r="86" spans="6:7">
      <c r="F86" s="14"/>
      <c r="G86" s="15"/>
    </row>
    <row r="87" spans="6:7">
      <c r="F87" s="14"/>
      <c r="G87" s="15"/>
    </row>
    <row r="88" spans="6:7">
      <c r="F88" s="14"/>
      <c r="G88" s="15"/>
    </row>
    <row r="89" spans="6:7">
      <c r="F89" s="14"/>
      <c r="G89" s="15"/>
    </row>
    <row r="90" spans="6:7">
      <c r="F90" s="14"/>
      <c r="G90" s="15"/>
    </row>
    <row r="91" spans="6:7">
      <c r="F91" s="14"/>
      <c r="G91" s="15"/>
    </row>
    <row r="92" spans="6:7">
      <c r="F92" s="14"/>
      <c r="G92" s="15"/>
    </row>
    <row r="93" spans="6:7">
      <c r="F93" s="14"/>
      <c r="G93" s="15"/>
    </row>
    <row r="94" spans="6:7">
      <c r="F94" s="14"/>
      <c r="G94" s="15"/>
    </row>
    <row r="95" spans="6:7">
      <c r="F95" s="14"/>
      <c r="G95" s="15"/>
    </row>
    <row r="96" spans="6:7">
      <c r="F96" s="14"/>
      <c r="G96" s="15"/>
    </row>
    <row r="97" spans="6:7">
      <c r="F97" s="14"/>
      <c r="G97" s="15"/>
    </row>
    <row r="98" spans="6:7">
      <c r="F98" s="14"/>
      <c r="G98" s="15"/>
    </row>
    <row r="99" spans="6:7">
      <c r="F99" s="14"/>
      <c r="G99" s="15"/>
    </row>
    <row r="100" spans="6:7">
      <c r="F100" s="14"/>
      <c r="G100" s="15"/>
    </row>
    <row r="101" spans="6:7">
      <c r="F101" s="14"/>
      <c r="G101" s="15"/>
    </row>
    <row r="102" spans="6:7">
      <c r="F102" s="14"/>
      <c r="G102" s="15"/>
    </row>
    <row r="103" spans="6:7">
      <c r="F103" s="14"/>
      <c r="G103" s="15"/>
    </row>
    <row r="104" spans="6:7">
      <c r="F104" s="14"/>
      <c r="G104" s="15"/>
    </row>
    <row r="105" spans="6:7">
      <c r="F105" s="14"/>
      <c r="G105" s="15"/>
    </row>
    <row r="106" spans="6:7">
      <c r="F106" s="14"/>
      <c r="G106" s="15"/>
    </row>
    <row r="107" spans="6:7">
      <c r="F107" s="14"/>
      <c r="G107" s="15"/>
    </row>
    <row r="108" spans="6:7">
      <c r="F108" s="14"/>
      <c r="G108" s="15"/>
    </row>
    <row r="109" spans="6:7">
      <c r="F109" s="14"/>
      <c r="G109" s="15"/>
    </row>
    <row r="110" spans="6:7">
      <c r="F110" s="14"/>
      <c r="G110" s="15"/>
    </row>
    <row r="111" spans="6:7">
      <c r="F111" s="14"/>
      <c r="G111" s="15"/>
    </row>
    <row r="112" spans="6:7">
      <c r="F112" s="14"/>
      <c r="G112" s="15"/>
    </row>
    <row r="113" spans="6:7">
      <c r="F113" s="14"/>
      <c r="G113" s="15"/>
    </row>
    <row r="114" spans="6:7">
      <c r="F114" s="14"/>
      <c r="G114" s="15"/>
    </row>
    <row r="115" spans="6:7">
      <c r="F115" s="14"/>
      <c r="G115" s="15"/>
    </row>
    <row r="116" spans="6:7">
      <c r="F116" s="14"/>
      <c r="G116" s="15"/>
    </row>
    <row r="117" spans="6:7">
      <c r="F117" s="14"/>
      <c r="G117" s="15"/>
    </row>
    <row r="118" spans="6:7">
      <c r="F118" s="14"/>
      <c r="G118" s="15"/>
    </row>
    <row r="119" spans="6:7">
      <c r="F119" s="14"/>
      <c r="G119" s="15"/>
    </row>
    <row r="120" spans="6:7">
      <c r="F120" s="14"/>
      <c r="G120" s="15"/>
    </row>
    <row r="121" spans="6:7">
      <c r="F121" s="14"/>
      <c r="G121" s="15"/>
    </row>
    <row r="122" spans="6:7">
      <c r="F122" s="14"/>
      <c r="G122" s="15"/>
    </row>
    <row r="123" spans="6:7">
      <c r="F123" s="14"/>
      <c r="G123" s="15"/>
    </row>
    <row r="124" spans="6:7">
      <c r="F124" s="14"/>
      <c r="G124" s="15"/>
    </row>
    <row r="125" spans="6:7">
      <c r="F125" s="14"/>
      <c r="G125" s="15"/>
    </row>
    <row r="126" spans="6:7">
      <c r="F126" s="14"/>
      <c r="G126" s="15"/>
    </row>
    <row r="127" spans="6:7">
      <c r="F127" s="14"/>
      <c r="G127" s="15"/>
    </row>
    <row r="128" spans="6:7">
      <c r="F128" s="14"/>
      <c r="G128" s="15"/>
    </row>
    <row r="129" spans="6:7">
      <c r="F129" s="14"/>
      <c r="G129" s="15"/>
    </row>
    <row r="130" spans="6:7">
      <c r="F130" s="14"/>
      <c r="G130" s="15"/>
    </row>
    <row r="131" spans="6:7">
      <c r="F131" s="14"/>
      <c r="G131" s="15"/>
    </row>
    <row r="132" spans="6:7">
      <c r="F132" s="14"/>
      <c r="G132" s="15"/>
    </row>
    <row r="133" spans="6:7">
      <c r="F133" s="14"/>
      <c r="G133" s="15"/>
    </row>
    <row r="134" spans="6:7">
      <c r="F134" s="14"/>
      <c r="G134" s="15"/>
    </row>
    <row r="135" spans="6:7">
      <c r="F135" s="14"/>
      <c r="G135" s="15"/>
    </row>
    <row r="136" spans="6:7">
      <c r="F136" s="14"/>
      <c r="G136" s="15"/>
    </row>
    <row r="137" spans="6:7">
      <c r="F137" s="14"/>
      <c r="G137" s="15"/>
    </row>
    <row r="138" spans="6:7">
      <c r="F138" s="14"/>
      <c r="G138" s="15"/>
    </row>
    <row r="139" spans="6:7">
      <c r="G139" s="15"/>
    </row>
    <row r="140" spans="6:7">
      <c r="G140" s="15"/>
    </row>
    <row r="141" spans="6:7">
      <c r="G141" s="15"/>
    </row>
    <row r="142" spans="6:7">
      <c r="G142" s="15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MICHF</vt:lpstr>
      <vt:lpstr>MIGCS</vt:lpstr>
      <vt:lpstr>MACMF</vt:lpstr>
      <vt:lpstr>MILPF</vt:lpstr>
      <vt:lpstr>MISTB</vt:lpstr>
      <vt:lpstr>MAFM368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Sachin Shardul</cp:lastModifiedBy>
  <dcterms:created xsi:type="dcterms:W3CDTF">2014-04-03T08:31:11Z</dcterms:created>
  <dcterms:modified xsi:type="dcterms:W3CDTF">2014-04-09T12:08:18Z</dcterms:modified>
</cp:coreProperties>
</file>