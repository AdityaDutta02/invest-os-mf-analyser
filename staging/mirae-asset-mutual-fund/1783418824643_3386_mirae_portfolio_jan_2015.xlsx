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270" windowWidth="14940" windowHeight="9150"/>
  </bookViews>
  <sheets>
    <sheet name="MIIOF" sheetId="7" r:id="rId1"/>
    <sheet name="MAEBF" sheetId="2" r:id="rId2"/>
    <sheet name="MICCF" sheetId="4" r:id="rId3"/>
    <sheet name="MICHF" sheetId="5" r:id="rId4"/>
    <sheet name="MIGCS" sheetId="6" r:id="rId5"/>
    <sheet name="MACMF" sheetId="1" r:id="rId6"/>
    <sheet name="MILPF" sheetId="8" r:id="rId7"/>
    <sheet name="MISTB" sheetId="9" r:id="rId8"/>
    <sheet name="MAFM368" sheetId="3" r:id="rId9"/>
  </sheets>
  <calcPr calcId="145621"/>
</workbook>
</file>

<file path=xl/calcChain.xml><?xml version="1.0" encoding="utf-8"?>
<calcChain xmlns="http://schemas.openxmlformats.org/spreadsheetml/2006/main">
  <c r="H35" i="9" l="1"/>
  <c r="F35" i="9"/>
  <c r="G36" i="3" l="1"/>
  <c r="H36" i="3"/>
  <c r="F36" i="3"/>
  <c r="G35" i="9"/>
  <c r="G40" i="8"/>
  <c r="H40" i="8"/>
  <c r="F40" i="8"/>
  <c r="G41" i="1"/>
  <c r="H41" i="1"/>
  <c r="F41" i="1"/>
  <c r="G63" i="6"/>
  <c r="H63" i="6"/>
  <c r="F63" i="6"/>
  <c r="G30" i="5"/>
  <c r="H30" i="5"/>
  <c r="F30" i="5"/>
  <c r="G77" i="4"/>
  <c r="H77" i="4"/>
  <c r="F77" i="4"/>
  <c r="G87" i="2"/>
  <c r="H87" i="2"/>
  <c r="F87" i="2"/>
  <c r="G84" i="7"/>
  <c r="H84" i="7"/>
  <c r="F84" i="7"/>
  <c r="H44" i="6" l="1"/>
  <c r="F44" i="6"/>
  <c r="H18" i="6"/>
  <c r="F18" i="6"/>
  <c r="H58" i="4"/>
  <c r="F58" i="4"/>
  <c r="H47" i="4"/>
  <c r="F47" i="4"/>
  <c r="H40" i="4"/>
  <c r="F40" i="4"/>
</calcChain>
</file>

<file path=xl/sharedStrings.xml><?xml version="1.0" encoding="utf-8"?>
<sst xmlns="http://schemas.openxmlformats.org/spreadsheetml/2006/main" count="1532" uniqueCount="396">
  <si>
    <t>Mirae Asset Cash Management Fund</t>
  </si>
  <si>
    <t/>
  </si>
  <si>
    <t>Monthly Portfolio Statement as on January 31,2015</t>
  </si>
  <si>
    <t>Name of the Instrument</t>
  </si>
  <si>
    <t>ISIN</t>
  </si>
  <si>
    <t>Rating</t>
  </si>
  <si>
    <t>Quantity</t>
  </si>
  <si>
    <t>Market/Fair Value
 (Rs. in Lacs)</t>
  </si>
  <si>
    <t>Market/Fair Value (Rounded, Rs. in Lacs)</t>
  </si>
  <si>
    <t>% to Net
 Assets</t>
  </si>
  <si>
    <t>Rounded, % to Net Assets</t>
  </si>
  <si>
    <t>Money Market Instruments</t>
  </si>
  <si>
    <t>Certificate of Deposit</t>
  </si>
  <si>
    <t>Allahabad Bank (09/02/2015) ** #</t>
  </si>
  <si>
    <t>INE428A16OR8</t>
  </si>
  <si>
    <t>ICRA A1+</t>
  </si>
  <si>
    <t>Oriental Bank of Commerce (02/02/2015) ** #</t>
  </si>
  <si>
    <t>INE141A16RY6</t>
  </si>
  <si>
    <t>CRISIL A1+</t>
  </si>
  <si>
    <t>Canara Bank (09/02/2015) ** #</t>
  </si>
  <si>
    <t>INE476A16LY9</t>
  </si>
  <si>
    <t>Corporation Bank (18/02/2015) ** #</t>
  </si>
  <si>
    <t>INE112A16FG9</t>
  </si>
  <si>
    <t>Indian Bank (27/02/2015) ** #</t>
  </si>
  <si>
    <t>INE562A16HF3</t>
  </si>
  <si>
    <t>FITCH A1+</t>
  </si>
  <si>
    <t>Punjab National Bank (02/03/2015) ** #</t>
  </si>
  <si>
    <t>INE160A16JT3</t>
  </si>
  <si>
    <t>Oriental Bank of Commerce (03/03/2015) ** #</t>
  </si>
  <si>
    <t>INE141A16OQ9</t>
  </si>
  <si>
    <t>Canara Bank (09/03/2015) ** #</t>
  </si>
  <si>
    <t>INE476A16ME9</t>
  </si>
  <si>
    <t>Indusind Bank Ltd (10/03/2015) ** #</t>
  </si>
  <si>
    <t>INE095A16MO6</t>
  </si>
  <si>
    <t>Corporation Bank (12/03/2015) ** #</t>
  </si>
  <si>
    <t>INE112A16FP0</t>
  </si>
  <si>
    <t>Bank of India (13/03/2015) ** #</t>
  </si>
  <si>
    <t>INE084A16AR8</t>
  </si>
  <si>
    <t>Axis Bank Ltd (06/04/2015) ** #</t>
  </si>
  <si>
    <t>INE238A16YN9</t>
  </si>
  <si>
    <t>Axis Bank Ltd (23/02/2015) ** #</t>
  </si>
  <si>
    <t>INE238A16VV8</t>
  </si>
  <si>
    <t>Sub Total</t>
  </si>
  <si>
    <t>Total</t>
  </si>
  <si>
    <t>CBLO / Reverse Repo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</si>
  <si>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</si>
  <si>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</si>
  <si>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</si>
  <si>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</si>
  <si>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</si>
  <si>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</si>
  <si>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Mirae Asset Emerging Blue Chip Fund</t>
  </si>
  <si>
    <t>Industry</t>
  </si>
  <si>
    <t>Equity &amp; Equity related</t>
  </si>
  <si>
    <t>(a) Listed / awaiting listing on Stock Exchanges</t>
  </si>
  <si>
    <t>Tech Mahindra Ltd</t>
  </si>
  <si>
    <t>INE669C01028</t>
  </si>
  <si>
    <t>Software</t>
  </si>
  <si>
    <t>Sundaram Finance Ltd</t>
  </si>
  <si>
    <t>INE660A01013</t>
  </si>
  <si>
    <t>Finance</t>
  </si>
  <si>
    <t>Yes Bank Ltd</t>
  </si>
  <si>
    <t>INE528G01019</t>
  </si>
  <si>
    <t>Banks</t>
  </si>
  <si>
    <t>ICICI Bank Ltd</t>
  </si>
  <si>
    <t>INE090A01021</t>
  </si>
  <si>
    <t>Hindustan Petroleum Corporation Ltd</t>
  </si>
  <si>
    <t>INE094A01015</t>
  </si>
  <si>
    <t>Petroleum Products</t>
  </si>
  <si>
    <t>Gateway Distriparks Ltd</t>
  </si>
  <si>
    <t>INE852F01015</t>
  </si>
  <si>
    <t>Transportation</t>
  </si>
  <si>
    <t>ING Vysya Bank Ltd</t>
  </si>
  <si>
    <t>INE166A01011</t>
  </si>
  <si>
    <t>Karur Vysya Bank Ltd</t>
  </si>
  <si>
    <t>INE036D01010</t>
  </si>
  <si>
    <t>FAG Bearings India Ltd</t>
  </si>
  <si>
    <t>INE513A01014</t>
  </si>
  <si>
    <t>Industrial Products</t>
  </si>
  <si>
    <t>Eicher Motors Ltd</t>
  </si>
  <si>
    <t>INE066A01013</t>
  </si>
  <si>
    <t>Auto</t>
  </si>
  <si>
    <t>Divi's Laboratories Ltd</t>
  </si>
  <si>
    <t>INE361B01024</t>
  </si>
  <si>
    <t>Pharmaceuticals</t>
  </si>
  <si>
    <t>JK Cement Ltd</t>
  </si>
  <si>
    <t>INE823G01014</t>
  </si>
  <si>
    <t>Cement</t>
  </si>
  <si>
    <t>Amara Raja Batteries Ltd</t>
  </si>
  <si>
    <t>INE885A01032</t>
  </si>
  <si>
    <t>Auto Ancillaries</t>
  </si>
  <si>
    <t>Tata Chemicals Ltd</t>
  </si>
  <si>
    <t>INE092A01019</t>
  </si>
  <si>
    <t>Chemicals</t>
  </si>
  <si>
    <t>Pidilite Industries Ltd</t>
  </si>
  <si>
    <t>INE318A01026</t>
  </si>
  <si>
    <t>The Federal Bank  Ltd</t>
  </si>
  <si>
    <t>INE171A01029</t>
  </si>
  <si>
    <t>Exide Industries Ltd</t>
  </si>
  <si>
    <t>INE302A01020</t>
  </si>
  <si>
    <t>IPCA Laboratories Ltd</t>
  </si>
  <si>
    <t>INE571A01020</t>
  </si>
  <si>
    <t>Vinati Organics Ltd</t>
  </si>
  <si>
    <t>INE410B01029</t>
  </si>
  <si>
    <t>Prism CEMENT Ltd</t>
  </si>
  <si>
    <t>INE010A01011</t>
  </si>
  <si>
    <t>Natco Pharma Ltd</t>
  </si>
  <si>
    <t>INE987B01018</t>
  </si>
  <si>
    <t>Glenmark Pharmaceuticals Ltd</t>
  </si>
  <si>
    <t>INE935A01035</t>
  </si>
  <si>
    <t>HSIL Ltd</t>
  </si>
  <si>
    <t>INE415A01038</t>
  </si>
  <si>
    <t>Consumer Durables</t>
  </si>
  <si>
    <t>Carborundum Universal Ltd</t>
  </si>
  <si>
    <t>INE120A01034</t>
  </si>
  <si>
    <t>Atul Ltd</t>
  </si>
  <si>
    <t>INE100A01010</t>
  </si>
  <si>
    <t>Sun TV Network Ltd</t>
  </si>
  <si>
    <t>INE424H01027</t>
  </si>
  <si>
    <t>Media &amp; Entertainment</t>
  </si>
  <si>
    <t>Torrent Pharmaceuticals Ltd</t>
  </si>
  <si>
    <t>INE685A01028</t>
  </si>
  <si>
    <t>Colgate Palmolive (India) Ltd</t>
  </si>
  <si>
    <t>INE259A01022</t>
  </si>
  <si>
    <t>Consumer Non Durables</t>
  </si>
  <si>
    <t>Crompton  Greaves Ltd</t>
  </si>
  <si>
    <t>INE067A01029</t>
  </si>
  <si>
    <t>Industrial Capital Goods</t>
  </si>
  <si>
    <t>Emami Ltd</t>
  </si>
  <si>
    <t>INE548C01032</t>
  </si>
  <si>
    <t>Gulf Oil Lubricants India Ltd</t>
  </si>
  <si>
    <t>INE635Q01029</t>
  </si>
  <si>
    <t>Britannia Industries Ltd</t>
  </si>
  <si>
    <t>INE216A01022</t>
  </si>
  <si>
    <t>Asian Paints Ltd</t>
  </si>
  <si>
    <t>INE021A01026</t>
  </si>
  <si>
    <t>Bharat Forge Ltd</t>
  </si>
  <si>
    <t>INE465A01025</t>
  </si>
  <si>
    <t>Voltas Ltd</t>
  </si>
  <si>
    <t>INE226A01021</t>
  </si>
  <si>
    <t>Construction Project</t>
  </si>
  <si>
    <t>Akzo Nobel India Ltd</t>
  </si>
  <si>
    <t>INE133A01011</t>
  </si>
  <si>
    <t>LIC Housing Finance Ltd</t>
  </si>
  <si>
    <t>INE115A01026</t>
  </si>
  <si>
    <t>Godfrey Phillips India Ltd</t>
  </si>
  <si>
    <t>INE260B01028</t>
  </si>
  <si>
    <t>Titan Company Limited</t>
  </si>
  <si>
    <t>INE280A01028</t>
  </si>
  <si>
    <t>Dewan Housing Finance Corporation Ltd</t>
  </si>
  <si>
    <t>INE202B01012</t>
  </si>
  <si>
    <t>Coromandel International Ltd</t>
  </si>
  <si>
    <t>INE169A01031</t>
  </si>
  <si>
    <t>Fertilisers</t>
  </si>
  <si>
    <t>Bajaj Finance Ltd</t>
  </si>
  <si>
    <t>INE296A01016</t>
  </si>
  <si>
    <t>Indian Bank</t>
  </si>
  <si>
    <t>INE562A01011</t>
  </si>
  <si>
    <t>Thermax Ltd</t>
  </si>
  <si>
    <t>INE152A01029</t>
  </si>
  <si>
    <t>VST Tillers Tractors Ltd</t>
  </si>
  <si>
    <t>INE764D01017</t>
  </si>
  <si>
    <t>Info Edge (India) Ltd</t>
  </si>
  <si>
    <t>INE663F01024</t>
  </si>
  <si>
    <t>HT Media Ltd</t>
  </si>
  <si>
    <t>INE501G01024</t>
  </si>
  <si>
    <t>CESC Ltd</t>
  </si>
  <si>
    <t>INE486A01013</t>
  </si>
  <si>
    <t>Power</t>
  </si>
  <si>
    <t>Solar Industries India Ltd</t>
  </si>
  <si>
    <t>INE343H01011</t>
  </si>
  <si>
    <t>Triveni Turbine Ltd</t>
  </si>
  <si>
    <t>INE152M01016</t>
  </si>
  <si>
    <t>Gulf Oil Corporation Ltd</t>
  </si>
  <si>
    <t>INE077F01035</t>
  </si>
  <si>
    <t>NIIT Technologies Ltd</t>
  </si>
  <si>
    <t>INE591G01017</t>
  </si>
  <si>
    <t>Petronet LNG Ltd</t>
  </si>
  <si>
    <t>INE347G01014</t>
  </si>
  <si>
    <t>Gas</t>
  </si>
  <si>
    <t>Eclerx Services Ltd</t>
  </si>
  <si>
    <t>INE738I01010</t>
  </si>
  <si>
    <t>Multi Commodity Exchange of India Ltd</t>
  </si>
  <si>
    <t>INE745G01035</t>
  </si>
  <si>
    <t>Gayatri Projects Ltd</t>
  </si>
  <si>
    <t>INE336H01015</t>
  </si>
  <si>
    <t>Construction</t>
  </si>
  <si>
    <t>Gujarat State Petronet Ltd</t>
  </si>
  <si>
    <t>INE246F01010</t>
  </si>
  <si>
    <t>Oil India Ltd</t>
  </si>
  <si>
    <t>INE274J01014</t>
  </si>
  <si>
    <t>Oil</t>
  </si>
  <si>
    <t>Sharda Cropchem Limited</t>
  </si>
  <si>
    <t>INE221J01015</t>
  </si>
  <si>
    <t>Pesticides</t>
  </si>
  <si>
    <t>(b) Unlisted</t>
  </si>
  <si>
    <t>NIL</t>
  </si>
  <si>
    <t>Indusind Bank Ltd (23/02/2015) ** #</t>
  </si>
  <si>
    <t>INE095A16MG2</t>
  </si>
  <si>
    <t>Oriental Bank of Commerce (20/02/2015) ** #</t>
  </si>
  <si>
    <t>INE141A16OL0</t>
  </si>
  <si>
    <t>Commercial Paper</t>
  </si>
  <si>
    <t>Tata Capital Ltd (23/02/2015) ** #</t>
  </si>
  <si>
    <t>INE976I14HW8</t>
  </si>
  <si>
    <t>Others</t>
  </si>
  <si>
    <t>Mutual Fund Units</t>
  </si>
  <si>
    <t>Mirae Asset Cash Management Fund - DIRECT GROWTH</t>
  </si>
  <si>
    <t>INF769K01CM1</t>
  </si>
  <si>
    <t>Mirae Asset India China Consumption Fund</t>
  </si>
  <si>
    <t>HDFC Bank Ltd</t>
  </si>
  <si>
    <t>INE040A01026</t>
  </si>
  <si>
    <t>IN9155A01020</t>
  </si>
  <si>
    <t>Tencent Holdings</t>
  </si>
  <si>
    <t>KYG875721634</t>
  </si>
  <si>
    <t>Internet Software &amp; Services</t>
  </si>
  <si>
    <t>ITC Ltd</t>
  </si>
  <si>
    <t>INE154A01025</t>
  </si>
  <si>
    <t>Hero MotoCorp Ltd</t>
  </si>
  <si>
    <t>INE158A01026</t>
  </si>
  <si>
    <t>Maruti Suzuki India Ltd</t>
  </si>
  <si>
    <t>INE585B01010</t>
  </si>
  <si>
    <t>Samsonite  International  S A</t>
  </si>
  <si>
    <t>LU0633102719</t>
  </si>
  <si>
    <t>Apparel, Accessories and Luxury Goods</t>
  </si>
  <si>
    <t>AIA GROUP LTD</t>
  </si>
  <si>
    <t>HK0000069689</t>
  </si>
  <si>
    <t>Life &amp; Health Insurance</t>
  </si>
  <si>
    <t>Housing Development Finance Corporation Ltd</t>
  </si>
  <si>
    <t>INE001A01036</t>
  </si>
  <si>
    <t>Procter &amp; Gamble Hygiene and Health Care Ltd</t>
  </si>
  <si>
    <t>INE179A01014</t>
  </si>
  <si>
    <t>Ping An Ins Grp-H</t>
  </si>
  <si>
    <t>CNE1000003X6</t>
  </si>
  <si>
    <t>Vipshop Holding Ltd</t>
  </si>
  <si>
    <t>US92763W1036</t>
  </si>
  <si>
    <t>Miscellaneous</t>
  </si>
  <si>
    <t>Brilliance China Automotive Holdings Ltd</t>
  </si>
  <si>
    <t>BMG1368B1028</t>
  </si>
  <si>
    <t>Automobile Manufacturers</t>
  </si>
  <si>
    <t>ALIBABA GROUP HOLDING ADR</t>
  </si>
  <si>
    <t>US01609W1027</t>
  </si>
  <si>
    <t>Lenovo Group Ltd</t>
  </si>
  <si>
    <t>HK0992009065</t>
  </si>
  <si>
    <t>Computer Hardware</t>
  </si>
  <si>
    <t>State Bank of India</t>
  </si>
  <si>
    <t>INE062A01020</t>
  </si>
  <si>
    <t>Indusind Bank Ltd</t>
  </si>
  <si>
    <t>INE095A01012</t>
  </si>
  <si>
    <t>Nestle India Ltd</t>
  </si>
  <si>
    <t>INE239A01016</t>
  </si>
  <si>
    <t>Sands China Ltd</t>
  </si>
  <si>
    <t>KYG7800X1079</t>
  </si>
  <si>
    <t>Casinos &amp; Gaming</t>
  </si>
  <si>
    <t>Sihuan Pharmaceutical Holdings Group Ord Shs</t>
  </si>
  <si>
    <t>BMG8162K1137</t>
  </si>
  <si>
    <t>Baidu Sp ADR-A</t>
  </si>
  <si>
    <t>US0567521085</t>
  </si>
  <si>
    <t>Bharti Airtel Ltd</t>
  </si>
  <si>
    <t>INE397D01024</t>
  </si>
  <si>
    <t>Telecom - Services</t>
  </si>
  <si>
    <t>Mirae Asset China Advantage Fund</t>
  </si>
  <si>
    <t>Industry / Rating</t>
  </si>
  <si>
    <t>International  Mutual Fund Units</t>
  </si>
  <si>
    <t>Mirae Asset China Sector Leader Eq Class X Cap USD</t>
  </si>
  <si>
    <t>LU0587760769</t>
  </si>
  <si>
    <t>Mirae Asset Global Commodity Stocks Fund</t>
  </si>
  <si>
    <t>Oil &amp; Natural Gas Corporation Ltd</t>
  </si>
  <si>
    <t>INE213A01029</t>
  </si>
  <si>
    <t>Reliance Industries Ltd</t>
  </si>
  <si>
    <t>INE002A01018</t>
  </si>
  <si>
    <t>BHP Billiton Ltd</t>
  </si>
  <si>
    <t>AU000000BHP4</t>
  </si>
  <si>
    <t>Diversified Metals &amp; Mining</t>
  </si>
  <si>
    <t>Petrochina Company Ltd</t>
  </si>
  <si>
    <t>CNE1000003W8</t>
  </si>
  <si>
    <t>Integrated Oil &amp; Gas</t>
  </si>
  <si>
    <t>China Petroleum -H-</t>
  </si>
  <si>
    <t>CNE1000002Q2</t>
  </si>
  <si>
    <t>Cnooc Ltd</t>
  </si>
  <si>
    <t>HK0883013259</t>
  </si>
  <si>
    <t>Oil &amp; Gas Exploration &amp; Production</t>
  </si>
  <si>
    <t>Rio Tinto Ltd</t>
  </si>
  <si>
    <t>AU000000RIO1</t>
  </si>
  <si>
    <t>Sesa Sterlite Ltd</t>
  </si>
  <si>
    <t>INE205A01025</t>
  </si>
  <si>
    <t>Non - Ferrous Metals</t>
  </si>
  <si>
    <t>Woodside Petroleum Ltd</t>
  </si>
  <si>
    <t>AU000000WPL2</t>
  </si>
  <si>
    <t>Coal India Ltd</t>
  </si>
  <si>
    <t>INE522F01014</t>
  </si>
  <si>
    <t>Minerals/Mining</t>
  </si>
  <si>
    <t>AMCOR LIMITED</t>
  </si>
  <si>
    <t>AU000000AMC4</t>
  </si>
  <si>
    <t>Paper Packaging</t>
  </si>
  <si>
    <t>China Shenhua - H</t>
  </si>
  <si>
    <t>CNE1000002R0</t>
  </si>
  <si>
    <t>Coal &amp; Consumable Fuels</t>
  </si>
  <si>
    <t>Origin Energy Ltd</t>
  </si>
  <si>
    <t>AU000000ORG5</t>
  </si>
  <si>
    <t>Santos Ltd-AUD</t>
  </si>
  <si>
    <t>AU000000STO6</t>
  </si>
  <si>
    <t>Oil Search Ltd</t>
  </si>
  <si>
    <t>PG0008579883</t>
  </si>
  <si>
    <t>Anhui Conch -H-</t>
  </si>
  <si>
    <t>CNE1000001W2</t>
  </si>
  <si>
    <t>Construction Materials</t>
  </si>
  <si>
    <t>Bharat Petroleum Corporation Ltd</t>
  </si>
  <si>
    <t>INE029A01011</t>
  </si>
  <si>
    <t>Orica Ltd</t>
  </si>
  <si>
    <t>AU000000ORI1</t>
  </si>
  <si>
    <t>Commodity Chemicals</t>
  </si>
  <si>
    <t>Hindalco Industries Ltd</t>
  </si>
  <si>
    <t>INE038A01020</t>
  </si>
  <si>
    <t>POSCO (Pohang Iron &amp; Steel Co Ltd )</t>
  </si>
  <si>
    <t>KR7005490008</t>
  </si>
  <si>
    <t>Steel</t>
  </si>
  <si>
    <t>PT Semen Indonesia ( Persero) TBK</t>
  </si>
  <si>
    <t>ID1000106800</t>
  </si>
  <si>
    <t>Kunlun Energy Company Ltd</t>
  </si>
  <si>
    <t>BMG5320C1082</t>
  </si>
  <si>
    <t>Jiangxi Copper Company Ltd</t>
  </si>
  <si>
    <t>CNE1000003K3</t>
  </si>
  <si>
    <t>Cairn India Ltd</t>
  </si>
  <si>
    <t>INE910H01017</t>
  </si>
  <si>
    <t>LG Chemicals Ltd</t>
  </si>
  <si>
    <t>KR7051910008</t>
  </si>
  <si>
    <t>SK Innovation Co Ltd</t>
  </si>
  <si>
    <t>KR7096770003</t>
  </si>
  <si>
    <t>Oil &amp; Gas Refining &amp; Marketing</t>
  </si>
  <si>
    <t>China National Building Materia Ltd</t>
  </si>
  <si>
    <t>CNE1000002N9</t>
  </si>
  <si>
    <t>Dongkuk Steel Mill Co Ltd</t>
  </si>
  <si>
    <t>KR7001230002</t>
  </si>
  <si>
    <t>Orora Ltd</t>
  </si>
  <si>
    <t>AU000000ORA8</t>
  </si>
  <si>
    <t>Mirae Asset India Opportunities Fund</t>
  </si>
  <si>
    <t>Larsen &amp; Toubro Ltd</t>
  </si>
  <si>
    <t>INE018A01030</t>
  </si>
  <si>
    <t>Infosys Ltd</t>
  </si>
  <si>
    <t>INE009A01021</t>
  </si>
  <si>
    <t>Tata Consultancy Services Ltd</t>
  </si>
  <si>
    <t>INE467B01029</t>
  </si>
  <si>
    <t>Sun Pharmaceuticals Industries Ltd</t>
  </si>
  <si>
    <t>INE044A01036</t>
  </si>
  <si>
    <t>Axis Bank Ltd</t>
  </si>
  <si>
    <t>INE238A01034</t>
  </si>
  <si>
    <t>Lupin Ltd</t>
  </si>
  <si>
    <t>INE326A01037</t>
  </si>
  <si>
    <t>Tata Steel Ltd</t>
  </si>
  <si>
    <t>INE081A01012</t>
  </si>
  <si>
    <t>Ferrous Metals</t>
  </si>
  <si>
    <t>Bank of Baroda</t>
  </si>
  <si>
    <t>INE028A01039</t>
  </si>
  <si>
    <t>MIRAE ASSET FIXED MAT PLAN Sr I 368 day Dir Growth</t>
  </si>
  <si>
    <t>INF769K01CV2</t>
  </si>
  <si>
    <t>Mirae Asset Ultra Short Term Bond Fund</t>
  </si>
  <si>
    <t>INE095A16PV4</t>
  </si>
  <si>
    <t>Union Bank of India (04/06/2015) ** #</t>
  </si>
  <si>
    <t>INE692A16DI1</t>
  </si>
  <si>
    <t>Corporation Bank (08/12/2015) ** #</t>
  </si>
  <si>
    <t>INE112A16HG5</t>
  </si>
  <si>
    <t>Axis Bank Ltd (19/01/2016) ** #</t>
  </si>
  <si>
    <t>INE238A16YO7</t>
  </si>
  <si>
    <t>Axis Bank Ltd (29/05/2015) ** #</t>
  </si>
  <si>
    <t>INE238A16YG3</t>
  </si>
  <si>
    <t>Canara Bank (15/12/2015) ** #</t>
  </si>
  <si>
    <t>INE476A16PJ1</t>
  </si>
  <si>
    <t>Mirae Asset Short Term Bond Fund</t>
  </si>
  <si>
    <t>EQUITY &amp; EQUITY RELATED</t>
  </si>
  <si>
    <t>(a) Listed/Awaiting listing on Stock Exchanges</t>
  </si>
  <si>
    <t>DEBT INSTRUMENTS</t>
  </si>
  <si>
    <t xml:space="preserve">(a) Listed/Awaiting Listing on Stock Exchanges </t>
  </si>
  <si>
    <t xml:space="preserve">(b) Privately placed/Unlisted </t>
  </si>
  <si>
    <t>(c) Securitised Debt Instruments</t>
  </si>
  <si>
    <r>
      <t>Industry</t>
    </r>
    <r>
      <rPr>
        <sz val="9"/>
        <rFont val="Arial"/>
        <family val="2"/>
      </rPr>
      <t>*</t>
    </r>
  </si>
  <si>
    <t>(a) Listed/Awaiting Listing on Stock Exchanges</t>
  </si>
  <si>
    <t>* Industry classification as recommended by AMFI.</t>
  </si>
  <si>
    <t>American Depository Receipt</t>
  </si>
  <si>
    <t>India Equity Share*</t>
  </si>
  <si>
    <t>FOREIGN SECURITIES/OVERSEAS ETFS@@</t>
  </si>
  <si>
    <t>International Equity Shares</t>
  </si>
  <si>
    <t>@@ Industry Classification as per GICS Sub-Industry Classification</t>
  </si>
  <si>
    <t>Indusind Bank Ltd (29/04/2015)  ** #</t>
  </si>
  <si>
    <t>Tata Motors Ltd DVR Shares</t>
  </si>
  <si>
    <t>(An Open - Ended Equity Oriented Scheme)</t>
  </si>
  <si>
    <t xml:space="preserve">$  Less Than 0.01% of Net Asset Value </t>
  </si>
  <si>
    <t>Portfolio Turnover Ratio^</t>
  </si>
  <si>
    <t>^Basis last rolling 12 month</t>
  </si>
  <si>
    <t xml:space="preserve"> (An Open - Ended Equity Fund)</t>
  </si>
  <si>
    <r>
      <t>Industry</t>
    </r>
    <r>
      <rPr>
        <b/>
        <sz val="9"/>
        <rFont val="Arial"/>
        <family val="2"/>
      </rPr>
      <t>*</t>
    </r>
  </si>
  <si>
    <t>(An Open - Ended Fund of Funds Scheme)</t>
  </si>
  <si>
    <t>(An Open - Ended Liquid Scheme)</t>
  </si>
  <si>
    <t>Average maturity in days</t>
  </si>
  <si>
    <t>(An Open - Ended Debt Scheme)</t>
  </si>
  <si>
    <t>Mirae Asset Fixed Maturity Plan - Series I - 368 Days</t>
  </si>
  <si>
    <t xml:space="preserve"> (A Closed -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</si>
</sst>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;\(#,##0.00\)%"/>
    <numFmt numFmtId="166" formatCode="#,##0.00%"/>
  </numFmts>
  <fonts count="23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5"/>
      <name val="Tahoma"/>
      <family val="2"/>
    </font>
    <font>
      <b/>
      <sz val="9"/>
      <color indexed="72"/>
      <name val="Tahoma"/>
      <family val="2"/>
    </font>
    <font>
      <b/>
      <sz val="11"/>
      <color rgb="FF000000"/>
      <name val="Calibri"/>
      <family val="2"/>
    </font>
    <font>
      <sz val="9"/>
      <color indexed="72"/>
      <name val="Tahoma"/>
      <family val="2"/>
    </font>
    <font>
      <b/>
      <sz val="14"/>
      <name val="Tahoma"/>
      <family val="2"/>
    </font>
    <font>
      <b/>
      <sz val="9"/>
      <name val="Tahoma"/>
      <family val="2"/>
    </font>
    <font>
      <sz val="11"/>
      <color rgb="FF000000"/>
      <name val="Calibri"/>
      <family val="2"/>
    </font>
    <font>
      <sz val="9"/>
      <name val="Tahoma"/>
      <family val="2"/>
    </font>
    <font>
      <b/>
      <sz val="9"/>
      <color theme="1"/>
      <name val="Tahoma"/>
      <family val="2"/>
    </font>
    <font>
      <b/>
      <sz val="10"/>
      <color theme="1"/>
      <name val="Tahoma"/>
      <family val="2"/>
    </font>
    <font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</cellStyleXfs>
  <cellXfs count="198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165" fontId="3" fillId="0" borderId="1" xfId="0" applyNumberFormat="1" applyFont="1" applyFill="1" applyBorder="1" applyAlignment="1" applyProtection="1">
      <alignment horizontal="right" vertical="top" wrapText="1"/>
    </xf>
    <xf numFmtId="4" fontId="0" fillId="0" borderId="0" xfId="0" applyNumberFormat="1" applyFont="1" applyFill="1" applyBorder="1" applyAlignment="1"/>
    <xf numFmtId="1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9" fillId="0" borderId="3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8" fillId="0" borderId="4" xfId="0" applyFont="1" applyBorder="1"/>
    <xf numFmtId="0" fontId="2" fillId="0" borderId="5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4" fontId="2" fillId="0" borderId="5" xfId="0" applyNumberFormat="1" applyFont="1" applyFill="1" applyBorder="1" applyAlignment="1" applyProtection="1">
      <alignment horizontal="right" vertical="top" wrapText="1"/>
    </xf>
    <xf numFmtId="0" fontId="7" fillId="0" borderId="4" xfId="0" applyFont="1" applyBorder="1"/>
    <xf numFmtId="4" fontId="9" fillId="0" borderId="5" xfId="0" applyNumberFormat="1" applyFont="1" applyFill="1" applyBorder="1" applyAlignment="1" applyProtection="1">
      <alignment horizontal="right" vertical="top" wrapText="1"/>
    </xf>
    <xf numFmtId="164" fontId="9" fillId="0" borderId="6" xfId="0" applyNumberFormat="1" applyFont="1" applyFill="1" applyBorder="1" applyAlignment="1" applyProtection="1">
      <alignment horizontal="right" vertical="top" wrapText="1"/>
    </xf>
    <xf numFmtId="0" fontId="0" fillId="0" borderId="4" xfId="0" applyBorder="1"/>
    <xf numFmtId="0" fontId="3" fillId="0" borderId="8" xfId="0" applyNumberFormat="1" applyFont="1" applyFill="1" applyBorder="1" applyAlignment="1" applyProtection="1">
      <alignment horizontal="left" vertical="top" wrapText="1"/>
    </xf>
    <xf numFmtId="4" fontId="2" fillId="0" borderId="8" xfId="0" applyNumberFormat="1" applyFont="1" applyFill="1" applyBorder="1" applyAlignment="1" applyProtection="1">
      <alignment horizontal="right" vertical="top" wrapText="1"/>
    </xf>
    <xf numFmtId="2" fontId="10" fillId="0" borderId="5" xfId="0" applyNumberFormat="1" applyFont="1" applyFill="1" applyBorder="1" applyAlignment="1" applyProtection="1">
      <alignment horizontal="right" vertical="top" wrapText="1"/>
    </xf>
    <xf numFmtId="164" fontId="10" fillId="0" borderId="5" xfId="0" applyNumberFormat="1" applyFont="1" applyFill="1" applyBorder="1" applyAlignment="1" applyProtection="1">
      <alignment horizontal="right" vertical="top" wrapText="1"/>
    </xf>
    <xf numFmtId="165" fontId="2" fillId="0" borderId="3" xfId="0" applyNumberFormat="1" applyFont="1" applyFill="1" applyBorder="1" applyAlignment="1" applyProtection="1">
      <alignment horizontal="right" vertical="top" wrapText="1"/>
    </xf>
    <xf numFmtId="164" fontId="9" fillId="0" borderId="3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left" vertical="top" wrapText="1"/>
    </xf>
    <xf numFmtId="0" fontId="6" fillId="2" borderId="0" xfId="0" applyNumberFormat="1" applyFont="1" applyFill="1" applyBorder="1" applyAlignment="1" applyProtection="1">
      <alignment horizontal="left" vertical="top" wrapText="1"/>
    </xf>
    <xf numFmtId="0" fontId="0" fillId="2" borderId="0" xfId="0" applyNumberFormat="1" applyFont="1" applyFill="1" applyBorder="1" applyAlignment="1"/>
    <xf numFmtId="0" fontId="13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left" vertical="top" wrapText="1"/>
    </xf>
    <xf numFmtId="4" fontId="1" fillId="2" borderId="0" xfId="0" applyNumberFormat="1" applyFont="1" applyFill="1" applyBorder="1" applyAlignment="1" applyProtection="1">
      <alignment horizontal="left" vertical="top" wrapText="1"/>
    </xf>
    <xf numFmtId="10" fontId="1" fillId="2" borderId="0" xfId="0" applyNumberFormat="1" applyFont="1" applyFill="1" applyBorder="1" applyAlignment="1" applyProtection="1">
      <alignment horizontal="left" vertical="top" wrapText="1"/>
    </xf>
    <xf numFmtId="0" fontId="2" fillId="2" borderId="0" xfId="0" applyNumberFormat="1" applyFont="1" applyFill="1" applyBorder="1" applyAlignment="1" applyProtection="1">
      <alignment horizontal="left" vertical="top" wrapText="1"/>
    </xf>
    <xf numFmtId="4" fontId="0" fillId="2" borderId="0" xfId="0" applyNumberFormat="1" applyFont="1" applyFill="1" applyBorder="1" applyAlignment="1"/>
    <xf numFmtId="10" fontId="0" fillId="2" borderId="0" xfId="0" applyNumberFormat="1" applyFont="1" applyFill="1" applyBorder="1" applyAlignment="1"/>
    <xf numFmtId="0" fontId="13" fillId="0" borderId="4" xfId="0" applyNumberFormat="1" applyFont="1" applyFill="1" applyBorder="1" applyAlignment="1" applyProtection="1">
      <alignment horizontal="left" vertical="top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165" fontId="2" fillId="0" borderId="18" xfId="0" applyNumberFormat="1" applyFont="1" applyFill="1" applyBorder="1" applyAlignment="1" applyProtection="1">
      <alignment horizontal="right" vertical="top" wrapText="1"/>
    </xf>
    <xf numFmtId="0" fontId="2" fillId="0" borderId="18" xfId="0" applyNumberFormat="1" applyFont="1" applyFill="1" applyBorder="1" applyAlignment="1" applyProtection="1">
      <alignment horizontal="right" vertical="top" wrapText="1"/>
    </xf>
    <xf numFmtId="165" fontId="2" fillId="0" borderId="1" xfId="0" applyNumberFormat="1" applyFont="1" applyFill="1" applyBorder="1" applyAlignment="1" applyProtection="1">
      <alignment horizontal="right" vertical="top" wrapText="1"/>
    </xf>
    <xf numFmtId="165" fontId="2" fillId="0" borderId="0" xfId="0" applyNumberFormat="1" applyFont="1" applyFill="1" applyBorder="1" applyAlignment="1" applyProtection="1">
      <alignment horizontal="right" vertical="top" wrapText="1"/>
    </xf>
    <xf numFmtId="166" fontId="2" fillId="0" borderId="19" xfId="0" applyNumberFormat="1" applyFont="1" applyFill="1" applyBorder="1" applyAlignment="1" applyProtection="1">
      <alignment horizontal="right" vertical="top" wrapText="1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4" fontId="2" fillId="0" borderId="5" xfId="0" applyNumberFormat="1" applyFont="1" applyFill="1" applyBorder="1" applyAlignment="1" applyProtection="1">
      <alignment horizontal="center" vertical="center" wrapText="1"/>
    </xf>
    <xf numFmtId="4" fontId="3" fillId="0" borderId="5" xfId="0" applyNumberFormat="1" applyFont="1" applyFill="1" applyBorder="1" applyAlignment="1" applyProtection="1">
      <alignment horizontal="left" vertical="top" wrapText="1"/>
    </xf>
    <xf numFmtId="0" fontId="1" fillId="0" borderId="5" xfId="0" applyNumberFormat="1" applyFont="1" applyFill="1" applyBorder="1" applyAlignment="1" applyProtection="1">
      <alignment horizontal="left" vertical="top" wrapText="1"/>
    </xf>
    <xf numFmtId="3" fontId="3" fillId="0" borderId="5" xfId="0" applyNumberFormat="1" applyFont="1" applyFill="1" applyBorder="1" applyAlignment="1" applyProtection="1">
      <alignment horizontal="right" vertical="top" wrapText="1"/>
    </xf>
    <xf numFmtId="4" fontId="3" fillId="0" borderId="5" xfId="0" applyNumberFormat="1" applyFont="1" applyFill="1" applyBorder="1" applyAlignment="1" applyProtection="1">
      <alignment horizontal="right" vertical="top" wrapText="1"/>
    </xf>
    <xf numFmtId="164" fontId="3" fillId="0" borderId="5" xfId="0" applyNumberFormat="1" applyFont="1" applyFill="1" applyBorder="1" applyAlignment="1" applyProtection="1">
      <alignment horizontal="right" vertical="top" wrapText="1"/>
    </xf>
    <xf numFmtId="164" fontId="2" fillId="0" borderId="5" xfId="0" applyNumberFormat="1" applyFont="1" applyFill="1" applyBorder="1" applyAlignment="1" applyProtection="1">
      <alignment horizontal="right" vertical="top" wrapText="1"/>
    </xf>
    <xf numFmtId="0" fontId="2" fillId="0" borderId="5" xfId="0" applyNumberFormat="1" applyFont="1" applyFill="1" applyBorder="1" applyAlignment="1" applyProtection="1">
      <alignment horizontal="right" vertical="top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10" fontId="3" fillId="0" borderId="6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10" fontId="3" fillId="0" borderId="6" xfId="0" applyNumberFormat="1" applyFont="1" applyFill="1" applyBorder="1" applyAlignment="1" applyProtection="1">
      <alignment horizontal="right" vertical="top" wrapText="1"/>
    </xf>
    <xf numFmtId="10" fontId="2" fillId="0" borderId="6" xfId="0" applyNumberFormat="1" applyFont="1" applyFill="1" applyBorder="1" applyAlignment="1" applyProtection="1">
      <alignment horizontal="right" vertical="top" wrapText="1"/>
    </xf>
    <xf numFmtId="3" fontId="3" fillId="0" borderId="5" xfId="0" applyNumberFormat="1" applyFont="1" applyFill="1" applyBorder="1" applyAlignment="1" applyProtection="1">
      <alignment horizontal="left" vertical="top" wrapText="1"/>
    </xf>
    <xf numFmtId="164" fontId="3" fillId="0" borderId="5" xfId="0" applyNumberFormat="1" applyFont="1" applyFill="1" applyBorder="1" applyAlignment="1" applyProtection="1">
      <alignment horizontal="left" vertical="top" wrapText="1"/>
    </xf>
    <xf numFmtId="4" fontId="2" fillId="0" borderId="5" xfId="0" applyNumberFormat="1" applyFont="1" applyFill="1" applyBorder="1" applyAlignment="1" applyProtection="1">
      <alignment horizontal="left" vertical="top" wrapText="1"/>
    </xf>
    <xf numFmtId="164" fontId="2" fillId="0" borderId="5" xfId="0" applyNumberFormat="1" applyFont="1" applyFill="1" applyBorder="1" applyAlignment="1" applyProtection="1">
      <alignment horizontal="left" vertical="top" wrapText="1"/>
    </xf>
    <xf numFmtId="10" fontId="2" fillId="0" borderId="6" xfId="0" applyNumberFormat="1" applyFont="1" applyFill="1" applyBorder="1" applyAlignment="1" applyProtection="1">
      <alignment horizontal="left" vertical="top" wrapText="1"/>
    </xf>
    <xf numFmtId="4" fontId="9" fillId="0" borderId="5" xfId="0" applyNumberFormat="1" applyFont="1" applyFill="1" applyBorder="1" applyAlignment="1" applyProtection="1">
      <alignment horizontal="left" vertical="top" wrapText="1"/>
    </xf>
    <xf numFmtId="164" fontId="9" fillId="0" borderId="5" xfId="0" applyNumberFormat="1" applyFont="1" applyFill="1" applyBorder="1" applyAlignment="1" applyProtection="1">
      <alignment horizontal="left" vertical="top" wrapText="1"/>
    </xf>
    <xf numFmtId="10" fontId="9" fillId="0" borderId="6" xfId="0" applyNumberFormat="1" applyFont="1" applyFill="1" applyBorder="1" applyAlignment="1" applyProtection="1">
      <alignment horizontal="left" vertical="top" wrapText="1"/>
    </xf>
    <xf numFmtId="0" fontId="13" fillId="0" borderId="21" xfId="0" applyNumberFormat="1" applyFont="1" applyFill="1" applyBorder="1" applyAlignment="1" applyProtection="1">
      <alignment horizontal="left" vertical="top" wrapText="1"/>
    </xf>
    <xf numFmtId="2" fontId="14" fillId="0" borderId="20" xfId="0" applyNumberFormat="1" applyFont="1" applyFill="1" applyBorder="1" applyAlignment="1">
      <alignment horizontal="center" vertical="center"/>
    </xf>
    <xf numFmtId="0" fontId="15" fillId="2" borderId="0" xfId="0" applyNumberFormat="1" applyFont="1" applyFill="1" applyBorder="1" applyAlignment="1" applyProtection="1">
      <alignment horizontal="left" vertical="top" wrapText="1"/>
    </xf>
    <xf numFmtId="0" fontId="13" fillId="2" borderId="0" xfId="0" applyNumberFormat="1" applyFont="1" applyFill="1" applyBorder="1" applyAlignment="1" applyProtection="1">
      <alignment horizontal="center" vertical="top" wrapText="1"/>
    </xf>
    <xf numFmtId="0" fontId="13" fillId="2" borderId="4" xfId="0" applyNumberFormat="1" applyFont="1" applyFill="1" applyBorder="1" applyAlignment="1" applyProtection="1">
      <alignment horizontal="left" vertical="top" wrapText="1"/>
    </xf>
    <xf numFmtId="0" fontId="2" fillId="0" borderId="22" xfId="0" applyNumberFormat="1" applyFont="1" applyFill="1" applyBorder="1" applyAlignment="1" applyProtection="1">
      <alignment horizontal="left" vertical="top" wrapText="1"/>
    </xf>
    <xf numFmtId="0" fontId="3" fillId="0" borderId="23" xfId="0" applyNumberFormat="1" applyFont="1" applyFill="1" applyBorder="1" applyAlignment="1" applyProtection="1">
      <alignment horizontal="left" vertical="top" wrapText="1"/>
    </xf>
    <xf numFmtId="4" fontId="3" fillId="0" borderId="23" xfId="0" applyNumberFormat="1" applyFont="1" applyFill="1" applyBorder="1" applyAlignment="1" applyProtection="1">
      <alignment horizontal="left" vertical="top" wrapText="1"/>
    </xf>
    <xf numFmtId="0" fontId="1" fillId="0" borderId="23" xfId="0" applyNumberFormat="1" applyFont="1" applyFill="1" applyBorder="1" applyAlignment="1" applyProtection="1">
      <alignment horizontal="left" vertical="top" wrapText="1"/>
    </xf>
    <xf numFmtId="10" fontId="3" fillId="0" borderId="24" xfId="0" applyNumberFormat="1" applyFont="1" applyFill="1" applyBorder="1" applyAlignment="1" applyProtection="1">
      <alignment horizontal="left" vertical="top" wrapText="1"/>
    </xf>
    <xf numFmtId="0" fontId="2" fillId="0" borderId="25" xfId="0" applyNumberFormat="1" applyFont="1" applyFill="1" applyBorder="1" applyAlignment="1" applyProtection="1">
      <alignment horizontal="left" vertical="center" wrapText="1"/>
    </xf>
    <xf numFmtId="0" fontId="2" fillId="0" borderId="26" xfId="0" applyNumberFormat="1" applyFont="1" applyFill="1" applyBorder="1" applyAlignment="1" applyProtection="1">
      <alignment horizontal="left" vertical="center" wrapText="1"/>
    </xf>
    <xf numFmtId="4" fontId="2" fillId="0" borderId="26" xfId="0" applyNumberFormat="1" applyFont="1" applyFill="1" applyBorder="1" applyAlignment="1" applyProtection="1">
      <alignment horizontal="left" vertical="center" wrapText="1"/>
    </xf>
    <xf numFmtId="10" fontId="2" fillId="0" borderId="27" xfId="0" applyNumberFormat="1" applyFont="1" applyFill="1" applyBorder="1" applyAlignment="1" applyProtection="1">
      <alignment horizontal="left" vertical="center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4" fontId="2" fillId="0" borderId="8" xfId="0" applyNumberFormat="1" applyFont="1" applyFill="1" applyBorder="1" applyAlignment="1" applyProtection="1">
      <alignment horizontal="left" vertical="top" wrapText="1"/>
    </xf>
    <xf numFmtId="164" fontId="2" fillId="0" borderId="8" xfId="0" applyNumberFormat="1" applyFont="1" applyFill="1" applyBorder="1" applyAlignment="1" applyProtection="1">
      <alignment horizontal="left" vertical="top" wrapText="1"/>
    </xf>
    <xf numFmtId="10" fontId="2" fillId="0" borderId="9" xfId="0" applyNumberFormat="1" applyFont="1" applyFill="1" applyBorder="1" applyAlignment="1" applyProtection="1">
      <alignment horizontal="left" vertical="top" wrapText="1"/>
    </xf>
    <xf numFmtId="0" fontId="2" fillId="0" borderId="25" xfId="0" applyNumberFormat="1" applyFont="1" applyFill="1" applyBorder="1" applyAlignment="1" applyProtection="1">
      <alignment horizontal="left" vertical="top" wrapText="1"/>
    </xf>
    <xf numFmtId="0" fontId="3" fillId="0" borderId="26" xfId="0" applyNumberFormat="1" applyFont="1" applyFill="1" applyBorder="1" applyAlignment="1" applyProtection="1">
      <alignment horizontal="left" vertical="top" wrapText="1"/>
    </xf>
    <xf numFmtId="4" fontId="2" fillId="0" borderId="26" xfId="0" applyNumberFormat="1" applyFont="1" applyFill="1" applyBorder="1" applyAlignment="1" applyProtection="1">
      <alignment horizontal="left" vertical="top" wrapText="1"/>
    </xf>
    <xf numFmtId="164" fontId="2" fillId="0" borderId="26" xfId="0" applyNumberFormat="1" applyFont="1" applyFill="1" applyBorder="1" applyAlignment="1" applyProtection="1">
      <alignment horizontal="left" vertical="top" wrapText="1"/>
    </xf>
    <xf numFmtId="10" fontId="2" fillId="0" borderId="27" xfId="0" applyNumberFormat="1" applyFont="1" applyFill="1" applyBorder="1" applyAlignment="1" applyProtection="1">
      <alignment horizontal="left" vertical="top" wrapText="1"/>
    </xf>
    <xf numFmtId="164" fontId="9" fillId="0" borderId="28" xfId="0" applyNumberFormat="1" applyFont="1" applyFill="1" applyBorder="1" applyAlignment="1" applyProtection="1">
      <alignment horizontal="right" vertical="top" wrapText="1"/>
    </xf>
    <xf numFmtId="164" fontId="9" fillId="0" borderId="29" xfId="0" applyNumberFormat="1" applyFont="1" applyFill="1" applyBorder="1" applyAlignment="1" applyProtection="1">
      <alignment horizontal="right" vertical="top" wrapText="1"/>
    </xf>
    <xf numFmtId="165" fontId="2" fillId="0" borderId="30" xfId="0" applyNumberFormat="1" applyFont="1" applyFill="1" applyBorder="1" applyAlignment="1" applyProtection="1">
      <alignment horizontal="right" vertical="top" wrapText="1"/>
    </xf>
    <xf numFmtId="0" fontId="8" fillId="0" borderId="5" xfId="0" applyFont="1" applyBorder="1"/>
    <xf numFmtId="0" fontId="7" fillId="0" borderId="5" xfId="0" applyFont="1" applyBorder="1"/>
    <xf numFmtId="0" fontId="0" fillId="0" borderId="5" xfId="0" applyBorder="1"/>
    <xf numFmtId="164" fontId="9" fillId="0" borderId="5" xfId="0" applyNumberFormat="1" applyFont="1" applyFill="1" applyBorder="1" applyAlignment="1" applyProtection="1">
      <alignment horizontal="right" vertical="top" wrapText="1"/>
    </xf>
    <xf numFmtId="10" fontId="9" fillId="0" borderId="6" xfId="0" applyNumberFormat="1" applyFont="1" applyFill="1" applyBorder="1" applyAlignment="1" applyProtection="1">
      <alignment horizontal="right" vertical="top" wrapText="1"/>
    </xf>
    <xf numFmtId="4" fontId="10" fillId="0" borderId="5" xfId="0" applyNumberFormat="1" applyFont="1" applyFill="1" applyBorder="1" applyAlignment="1" applyProtection="1">
      <alignment horizontal="right" vertical="top" wrapText="1"/>
    </xf>
    <xf numFmtId="10" fontId="10" fillId="0" borderId="6" xfId="0" applyNumberFormat="1" applyFont="1" applyFill="1" applyBorder="1" applyAlignment="1" applyProtection="1">
      <alignment horizontal="right" vertical="top" wrapText="1"/>
    </xf>
    <xf numFmtId="164" fontId="2" fillId="0" borderId="8" xfId="0" applyNumberFormat="1" applyFont="1" applyFill="1" applyBorder="1" applyAlignment="1" applyProtection="1">
      <alignment horizontal="right" vertical="top" wrapText="1"/>
    </xf>
    <xf numFmtId="10" fontId="2" fillId="0" borderId="9" xfId="0" applyNumberFormat="1" applyFont="1" applyFill="1" applyBorder="1" applyAlignment="1" applyProtection="1">
      <alignment horizontal="right" vertical="top" wrapText="1"/>
    </xf>
    <xf numFmtId="4" fontId="2" fillId="0" borderId="26" xfId="0" applyNumberFormat="1" applyFont="1" applyFill="1" applyBorder="1" applyAlignment="1" applyProtection="1">
      <alignment horizontal="right" vertical="top" wrapText="1"/>
    </xf>
    <xf numFmtId="164" fontId="2" fillId="0" borderId="26" xfId="0" applyNumberFormat="1" applyFont="1" applyFill="1" applyBorder="1" applyAlignment="1" applyProtection="1">
      <alignment horizontal="right" vertical="top" wrapText="1"/>
    </xf>
    <xf numFmtId="10" fontId="2" fillId="0" borderId="27" xfId="0" applyNumberFormat="1" applyFont="1" applyFill="1" applyBorder="1" applyAlignment="1" applyProtection="1">
      <alignment horizontal="right" vertical="top" wrapText="1"/>
    </xf>
    <xf numFmtId="0" fontId="2" fillId="0" borderId="26" xfId="0" applyNumberFormat="1" applyFont="1" applyFill="1" applyBorder="1" applyAlignment="1" applyProtection="1">
      <alignment horizontal="center" vertical="center" wrapText="1"/>
    </xf>
    <xf numFmtId="4" fontId="2" fillId="0" borderId="26" xfId="0" applyNumberFormat="1" applyFont="1" applyFill="1" applyBorder="1" applyAlignment="1" applyProtection="1">
      <alignment horizontal="center" vertical="center" wrapText="1"/>
    </xf>
    <xf numFmtId="10" fontId="2" fillId="0" borderId="27" xfId="0" applyNumberFormat="1" applyFont="1" applyFill="1" applyBorder="1" applyAlignment="1" applyProtection="1">
      <alignment horizontal="center" vertical="center" wrapText="1"/>
    </xf>
    <xf numFmtId="0" fontId="17" fillId="0" borderId="21" xfId="0" applyNumberFormat="1" applyFont="1" applyFill="1" applyBorder="1" applyAlignment="1" applyProtection="1">
      <alignment horizontal="left" vertical="top" wrapText="1"/>
    </xf>
    <xf numFmtId="2" fontId="18" fillId="0" borderId="20" xfId="0" applyNumberFormat="1" applyFont="1" applyFill="1" applyBorder="1" applyAlignment="1">
      <alignment horizontal="center" vertical="center"/>
    </xf>
    <xf numFmtId="0" fontId="19" fillId="2" borderId="0" xfId="0" applyNumberFormat="1" applyFont="1" applyFill="1" applyBorder="1" applyAlignment="1" applyProtection="1">
      <alignment horizontal="left" vertical="top" wrapText="1"/>
    </xf>
    <xf numFmtId="0" fontId="17" fillId="2" borderId="0" xfId="0" applyNumberFormat="1" applyFont="1" applyFill="1" applyBorder="1" applyAlignment="1" applyProtection="1">
      <alignment horizontal="center" vertical="top" wrapText="1"/>
    </xf>
    <xf numFmtId="0" fontId="11" fillId="2" borderId="0" xfId="0" applyNumberFormat="1" applyFont="1" applyFill="1" applyBorder="1" applyAlignment="1"/>
    <xf numFmtId="164" fontId="9" fillId="0" borderId="0" xfId="0" applyNumberFormat="1" applyFont="1" applyFill="1" applyBorder="1" applyAlignment="1" applyProtection="1">
      <alignment horizontal="right" vertical="top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2" fontId="2" fillId="0" borderId="5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right" vertical="top" wrapText="1"/>
    </xf>
    <xf numFmtId="0" fontId="2" fillId="0" borderId="4" xfId="0" applyNumberFormat="1" applyFont="1" applyFill="1" applyBorder="1" applyAlignment="1" applyProtection="1">
      <alignment horizontal="left" vertical="center" wrapText="1"/>
    </xf>
    <xf numFmtId="10" fontId="2" fillId="0" borderId="6" xfId="0" applyNumberFormat="1" applyFont="1" applyFill="1" applyBorder="1" applyAlignment="1" applyProtection="1">
      <alignment horizontal="center" vertical="center" wrapText="1"/>
    </xf>
    <xf numFmtId="0" fontId="10" fillId="0" borderId="4" xfId="0" applyNumberFormat="1" applyFont="1" applyFill="1" applyBorder="1" applyAlignment="1" applyProtection="1">
      <alignment horizontal="left" vertical="top" wrapText="1"/>
    </xf>
    <xf numFmtId="0" fontId="2" fillId="0" borderId="22" xfId="0" applyNumberFormat="1" applyFont="1" applyFill="1" applyBorder="1" applyAlignment="1" applyProtection="1">
      <alignment horizontal="left" vertical="center" wrapText="1"/>
    </xf>
    <xf numFmtId="0" fontId="2" fillId="0" borderId="23" xfId="0" applyNumberFormat="1" applyFont="1" applyFill="1" applyBorder="1" applyAlignment="1" applyProtection="1">
      <alignment horizontal="left" vertical="center" wrapText="1"/>
    </xf>
    <xf numFmtId="0" fontId="2" fillId="0" borderId="23" xfId="0" applyNumberFormat="1" applyFont="1" applyFill="1" applyBorder="1" applyAlignment="1" applyProtection="1">
      <alignment horizontal="center" vertical="center" wrapText="1"/>
    </xf>
    <xf numFmtId="4" fontId="2" fillId="0" borderId="23" xfId="0" applyNumberFormat="1" applyFont="1" applyFill="1" applyBorder="1" applyAlignment="1" applyProtection="1">
      <alignment horizontal="center" vertical="center" wrapText="1"/>
    </xf>
    <xf numFmtId="10" fontId="2" fillId="0" borderId="24" xfId="0" applyNumberFormat="1" applyFont="1" applyFill="1" applyBorder="1" applyAlignment="1" applyProtection="1">
      <alignment horizontal="center" vertical="center" wrapText="1"/>
    </xf>
    <xf numFmtId="2" fontId="17" fillId="0" borderId="20" xfId="0" applyNumberFormat="1" applyFont="1" applyFill="1" applyBorder="1" applyAlignment="1" applyProtection="1">
      <alignment horizontal="center" vertical="top" wrapText="1"/>
    </xf>
    <xf numFmtId="0" fontId="20" fillId="0" borderId="4" xfId="0" applyFont="1" applyBorder="1" applyAlignment="1"/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center" vertical="center"/>
    </xf>
    <xf numFmtId="2" fontId="13" fillId="0" borderId="5" xfId="0" applyNumberFormat="1" applyFont="1" applyFill="1" applyBorder="1" applyAlignment="1" applyProtection="1">
      <alignment horizontal="center" vertical="center"/>
    </xf>
    <xf numFmtId="10" fontId="13" fillId="0" borderId="5" xfId="0" applyNumberFormat="1" applyFont="1" applyFill="1" applyBorder="1" applyAlignment="1" applyProtection="1">
      <alignment horizontal="center" vertical="center"/>
    </xf>
    <xf numFmtId="2" fontId="13" fillId="0" borderId="6" xfId="0" applyNumberFormat="1" applyFont="1" applyFill="1" applyBorder="1" applyAlignment="1" applyProtection="1">
      <alignment horizontal="center" vertical="center"/>
    </xf>
    <xf numFmtId="0" fontId="19" fillId="0" borderId="4" xfId="0" applyFont="1" applyBorder="1" applyAlignment="1"/>
    <xf numFmtId="0" fontId="21" fillId="0" borderId="5" xfId="0" applyNumberFormat="1" applyFont="1" applyFill="1" applyBorder="1" applyAlignment="1" applyProtection="1">
      <alignment horizontal="right" vertical="center"/>
    </xf>
    <xf numFmtId="0" fontId="21" fillId="0" borderId="6" xfId="0" applyNumberFormat="1" applyFont="1" applyFill="1" applyBorder="1" applyAlignment="1" applyProtection="1">
      <alignment horizontal="right" vertical="center"/>
    </xf>
    <xf numFmtId="0" fontId="13" fillId="0" borderId="4" xfId="0" applyNumberFormat="1" applyFont="1" applyFill="1" applyBorder="1" applyAlignment="1" applyProtection="1">
      <alignment horizontal="left" vertical="center"/>
    </xf>
    <xf numFmtId="0" fontId="22" fillId="0" borderId="4" xfId="0" applyFont="1" applyBorder="1" applyAlignment="1"/>
    <xf numFmtId="4" fontId="13" fillId="0" borderId="5" xfId="0" applyNumberFormat="1" applyFont="1" applyFill="1" applyBorder="1" applyAlignment="1" applyProtection="1">
      <alignment horizontal="center" vertical="center"/>
    </xf>
    <xf numFmtId="10" fontId="13" fillId="0" borderId="6" xfId="0" applyNumberFormat="1" applyFont="1" applyFill="1" applyBorder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center" wrapText="1"/>
    </xf>
    <xf numFmtId="0" fontId="13" fillId="0" borderId="5" xfId="0" applyNumberFormat="1" applyFont="1" applyFill="1" applyBorder="1" applyAlignment="1" applyProtection="1">
      <alignment horizontal="center" vertical="center" wrapText="1"/>
    </xf>
    <xf numFmtId="4" fontId="13" fillId="0" borderId="5" xfId="0" applyNumberFormat="1" applyFont="1" applyFill="1" applyBorder="1" applyAlignment="1" applyProtection="1">
      <alignment horizontal="center" vertical="center" wrapText="1"/>
    </xf>
    <xf numFmtId="10" fontId="13" fillId="0" borderId="6" xfId="0" applyNumberFormat="1" applyFont="1" applyFill="1" applyBorder="1" applyAlignment="1" applyProtection="1">
      <alignment horizontal="center" vertical="center" wrapText="1"/>
    </xf>
    <xf numFmtId="0" fontId="20" fillId="0" borderId="22" xfId="0" applyFont="1" applyBorder="1" applyAlignment="1"/>
    <xf numFmtId="0" fontId="13" fillId="0" borderId="23" xfId="0" applyNumberFormat="1" applyFont="1" applyFill="1" applyBorder="1" applyAlignment="1" applyProtection="1">
      <alignment horizontal="left" vertical="center"/>
    </xf>
    <xf numFmtId="0" fontId="13" fillId="0" borderId="23" xfId="0" applyNumberFormat="1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10" fontId="13" fillId="0" borderId="23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164" fontId="10" fillId="0" borderId="6" xfId="0" applyNumberFormat="1" applyFont="1" applyFill="1" applyBorder="1" applyAlignment="1" applyProtection="1">
      <alignment horizontal="right" vertical="top" wrapText="1"/>
    </xf>
    <xf numFmtId="0" fontId="17" fillId="2" borderId="21" xfId="0" applyNumberFormat="1" applyFont="1" applyFill="1" applyBorder="1" applyAlignment="1" applyProtection="1">
      <alignment horizontal="left" vertical="top" wrapText="1"/>
    </xf>
    <xf numFmtId="2" fontId="17" fillId="2" borderId="20" xfId="0" applyNumberFormat="1" applyFont="1" applyFill="1" applyBorder="1" applyAlignment="1" applyProtection="1">
      <alignment horizontal="center" vertical="top" wrapText="1"/>
    </xf>
    <xf numFmtId="0" fontId="17" fillId="2" borderId="0" xfId="1" applyNumberFormat="1" applyFont="1" applyFill="1" applyBorder="1" applyAlignment="1" applyProtection="1">
      <alignment horizontal="center" vertical="top" wrapText="1"/>
    </xf>
    <xf numFmtId="0" fontId="20" fillId="0" borderId="20" xfId="1" applyNumberFormat="1" applyFont="1" applyFill="1" applyBorder="1" applyAlignment="1" applyProtection="1">
      <alignment horizontal="center" wrapText="1"/>
    </xf>
    <xf numFmtId="0" fontId="20" fillId="0" borderId="20" xfId="1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right" vertical="center" wrapText="1"/>
    </xf>
    <xf numFmtId="4" fontId="10" fillId="0" borderId="5" xfId="0" applyNumberFormat="1" applyFont="1" applyFill="1" applyBorder="1" applyAlignment="1" applyProtection="1">
      <alignment horizontal="right" vertical="center" wrapText="1"/>
    </xf>
    <xf numFmtId="0" fontId="2" fillId="0" borderId="5" xfId="0" applyNumberFormat="1" applyFont="1" applyFill="1" applyBorder="1" applyAlignment="1" applyProtection="1">
      <alignment horizontal="right" vertical="center" wrapText="1"/>
    </xf>
    <xf numFmtId="10" fontId="10" fillId="0" borderId="6" xfId="0" applyNumberFormat="1" applyFont="1" applyFill="1" applyBorder="1" applyAlignment="1" applyProtection="1">
      <alignment horizontal="right" vertical="center" wrapText="1"/>
    </xf>
    <xf numFmtId="0" fontId="8" fillId="0" borderId="22" xfId="0" applyFont="1" applyBorder="1"/>
    <xf numFmtId="0" fontId="8" fillId="0" borderId="23" xfId="0" applyFont="1" applyBorder="1"/>
    <xf numFmtId="0" fontId="20" fillId="0" borderId="20" xfId="0" applyNumberFormat="1" applyFont="1" applyFill="1" applyBorder="1" applyAlignment="1" applyProtection="1">
      <alignment horizontal="center" wrapText="1"/>
    </xf>
    <xf numFmtId="2" fontId="13" fillId="0" borderId="31" xfId="0" applyNumberFormat="1" applyFont="1" applyFill="1" applyBorder="1" applyAlignment="1" applyProtection="1">
      <alignment horizontal="center" vertical="top" wrapText="1"/>
    </xf>
    <xf numFmtId="0" fontId="9" fillId="0" borderId="5" xfId="0" applyNumberFormat="1" applyFont="1" applyFill="1" applyBorder="1" applyAlignment="1" applyProtection="1">
      <alignment horizontal="center" vertical="center" wrapText="1"/>
    </xf>
    <xf numFmtId="10" fontId="9" fillId="0" borderId="6" xfId="0" applyNumberFormat="1" applyFont="1" applyFill="1" applyBorder="1" applyAlignment="1" applyProtection="1">
      <alignment horizontal="center" vertical="center" wrapText="1"/>
    </xf>
    <xf numFmtId="0" fontId="2" fillId="0" borderId="24" xfId="0" applyNumberFormat="1" applyFont="1" applyFill="1" applyBorder="1" applyAlignment="1" applyProtection="1">
      <alignment horizontal="center" vertical="center" wrapText="1"/>
    </xf>
    <xf numFmtId="0" fontId="10" fillId="0" borderId="25" xfId="0" applyNumberFormat="1" applyFont="1" applyFill="1" applyBorder="1" applyAlignment="1" applyProtection="1">
      <alignment horizontal="left" vertical="center" wrapText="1"/>
    </xf>
    <xf numFmtId="0" fontId="10" fillId="0" borderId="26" xfId="0" applyNumberFormat="1" applyFont="1" applyFill="1" applyBorder="1" applyAlignment="1" applyProtection="1">
      <alignment horizontal="left" vertical="center" wrapText="1"/>
    </xf>
    <xf numFmtId="0" fontId="10" fillId="0" borderId="26" xfId="0" applyNumberFormat="1" applyFont="1" applyFill="1" applyBorder="1" applyAlignment="1" applyProtection="1">
      <alignment horizontal="center" vertical="center" wrapText="1"/>
    </xf>
    <xf numFmtId="4" fontId="10" fillId="0" borderId="26" xfId="0" applyNumberFormat="1" applyFont="1" applyFill="1" applyBorder="1" applyAlignment="1" applyProtection="1">
      <alignment horizontal="center" vertical="center" wrapText="1"/>
    </xf>
    <xf numFmtId="10" fontId="10" fillId="0" borderId="27" xfId="0" applyNumberFormat="1" applyFont="1" applyFill="1" applyBorder="1" applyAlignment="1" applyProtection="1">
      <alignment horizontal="center" vertical="center" wrapText="1"/>
    </xf>
    <xf numFmtId="10" fontId="2" fillId="0" borderId="6" xfId="0" applyNumberFormat="1" applyFont="1" applyFill="1" applyBorder="1" applyAlignment="1" applyProtection="1">
      <alignment horizontal="right" vertical="center" wrapText="1"/>
    </xf>
    <xf numFmtId="0" fontId="20" fillId="2" borderId="20" xfId="0" applyNumberFormat="1" applyFont="1" applyFill="1" applyBorder="1" applyAlignment="1" applyProtection="1">
      <alignment horizontal="center" wrapText="1"/>
    </xf>
    <xf numFmtId="2" fontId="13" fillId="2" borderId="31" xfId="0" applyNumberFormat="1" applyFont="1" applyFill="1" applyBorder="1" applyAlignment="1" applyProtection="1">
      <alignment horizontal="center" vertical="top" wrapText="1"/>
    </xf>
    <xf numFmtId="0" fontId="7" fillId="2" borderId="0" xfId="0" applyNumberFormat="1" applyFont="1" applyFill="1" applyBorder="1" applyAlignment="1"/>
    <xf numFmtId="0" fontId="10" fillId="0" borderId="5" xfId="0" applyNumberFormat="1" applyFont="1" applyFill="1" applyBorder="1" applyAlignment="1" applyProtection="1">
      <alignment horizontal="left" vertical="center" wrapText="1"/>
    </xf>
    <xf numFmtId="10" fontId="10" fillId="0" borderId="6" xfId="0" applyNumberFormat="1" applyFont="1" applyFill="1" applyBorder="1" applyAlignment="1" applyProtection="1">
      <alignment horizontal="left" vertical="center" wrapText="1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12" fillId="2" borderId="11" xfId="0" applyNumberFormat="1" applyFont="1" applyFill="1" applyBorder="1" applyAlignment="1" applyProtection="1">
      <alignment horizontal="center" vertical="top" wrapText="1"/>
    </xf>
    <xf numFmtId="0" fontId="12" fillId="2" borderId="13" xfId="0" applyNumberFormat="1" applyFont="1" applyFill="1" applyBorder="1" applyAlignment="1" applyProtection="1">
      <alignment horizontal="center" vertical="top" wrapText="1"/>
    </xf>
    <xf numFmtId="0" fontId="12" fillId="2" borderId="15" xfId="0" applyNumberFormat="1" applyFont="1" applyFill="1" applyBorder="1" applyAlignment="1" applyProtection="1">
      <alignment horizontal="center" vertical="top" wrapText="1"/>
    </xf>
    <xf numFmtId="0" fontId="13" fillId="2" borderId="12" xfId="0" applyNumberFormat="1" applyFont="1" applyFill="1" applyBorder="1" applyAlignment="1" applyProtection="1">
      <alignment horizontal="center" vertical="center" wrapText="1"/>
    </xf>
    <xf numFmtId="0" fontId="13" fillId="2" borderId="14" xfId="0" applyNumberFormat="1" applyFont="1" applyFill="1" applyBorder="1" applyAlignment="1" applyProtection="1">
      <alignment horizontal="center" vertical="center" wrapText="1"/>
    </xf>
    <xf numFmtId="0" fontId="13" fillId="2" borderId="16" xfId="0" applyNumberFormat="1" applyFont="1" applyFill="1" applyBorder="1" applyAlignment="1" applyProtection="1">
      <alignment horizontal="center" vertical="center" wrapText="1"/>
    </xf>
    <xf numFmtId="0" fontId="16" fillId="2" borderId="11" xfId="0" applyNumberFormat="1" applyFont="1" applyFill="1" applyBorder="1" applyAlignment="1" applyProtection="1">
      <alignment horizontal="center" vertical="top" wrapText="1"/>
    </xf>
    <xf numFmtId="0" fontId="16" fillId="2" borderId="13" xfId="0" applyNumberFormat="1" applyFont="1" applyFill="1" applyBorder="1" applyAlignment="1" applyProtection="1">
      <alignment horizontal="center" vertical="top" wrapText="1"/>
    </xf>
    <xf numFmtId="0" fontId="16" fillId="2" borderId="15" xfId="0" applyNumberFormat="1" applyFont="1" applyFill="1" applyBorder="1" applyAlignment="1" applyProtection="1">
      <alignment horizontal="center" vertical="top" wrapText="1"/>
    </xf>
    <xf numFmtId="0" fontId="13" fillId="2" borderId="12" xfId="0" applyNumberFormat="1" applyFont="1" applyFill="1" applyBorder="1" applyAlignment="1" applyProtection="1">
      <alignment horizontal="center" vertical="top" wrapText="1"/>
    </xf>
    <xf numFmtId="0" fontId="13" fillId="2" borderId="14" xfId="0" applyNumberFormat="1" applyFont="1" applyFill="1" applyBorder="1" applyAlignment="1" applyProtection="1">
      <alignment horizontal="center" vertical="top" wrapText="1"/>
    </xf>
    <xf numFmtId="0" fontId="13" fillId="2" borderId="16" xfId="0" applyNumberFormat="1" applyFont="1" applyFill="1" applyBorder="1" applyAlignment="1" applyProtection="1">
      <alignment horizontal="center" vertical="top" wrapText="1"/>
    </xf>
    <xf numFmtId="0" fontId="17" fillId="2" borderId="12" xfId="0" applyNumberFormat="1" applyFont="1" applyFill="1" applyBorder="1" applyAlignment="1" applyProtection="1">
      <alignment horizontal="center" vertical="top" wrapText="1"/>
    </xf>
    <xf numFmtId="0" fontId="17" fillId="2" borderId="14" xfId="0" applyNumberFormat="1" applyFont="1" applyFill="1" applyBorder="1" applyAlignment="1" applyProtection="1">
      <alignment horizontal="center" vertical="top" wrapText="1"/>
    </xf>
    <xf numFmtId="0" fontId="17" fillId="2" borderId="16" xfId="0" applyNumberFormat="1" applyFont="1" applyFill="1" applyBorder="1" applyAlignment="1" applyProtection="1">
      <alignment horizontal="center" vertical="top" wrapText="1"/>
    </xf>
    <xf numFmtId="0" fontId="16" fillId="2" borderId="11" xfId="1" applyNumberFormat="1" applyFont="1" applyFill="1" applyBorder="1" applyAlignment="1" applyProtection="1">
      <alignment horizontal="center" vertical="top" wrapText="1"/>
    </xf>
    <xf numFmtId="0" fontId="16" fillId="2" borderId="13" xfId="1" applyNumberFormat="1" applyFont="1" applyFill="1" applyBorder="1" applyAlignment="1" applyProtection="1">
      <alignment horizontal="center" vertical="top" wrapText="1"/>
    </xf>
    <xf numFmtId="0" fontId="16" fillId="2" borderId="15" xfId="1" applyNumberFormat="1" applyFont="1" applyFill="1" applyBorder="1" applyAlignment="1" applyProtection="1">
      <alignment horizontal="center" vertical="top" wrapText="1"/>
    </xf>
    <xf numFmtId="0" fontId="17" fillId="2" borderId="12" xfId="1" applyNumberFormat="1" applyFont="1" applyFill="1" applyBorder="1" applyAlignment="1" applyProtection="1">
      <alignment horizontal="center" vertical="top" wrapText="1"/>
    </xf>
    <xf numFmtId="0" fontId="17" fillId="2" borderId="14" xfId="1" applyNumberFormat="1" applyFont="1" applyFill="1" applyBorder="1" applyAlignment="1" applyProtection="1">
      <alignment horizontal="center" vertical="top" wrapText="1"/>
    </xf>
    <xf numFmtId="0" fontId="17" fillId="2" borderId="16" xfId="1" applyNumberFormat="1" applyFont="1" applyFill="1" applyBorder="1" applyAlignment="1" applyProtection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944"/>
  <sheetViews>
    <sheetView tabSelected="1" zoomScaleNormal="100" workbookViewId="0"/>
  </sheetViews>
  <sheetFormatPr defaultRowHeight="12.75"/>
  <cols>
    <col min="1" max="1" width="3.42578125" style="27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89" width="9.140625" style="27"/>
  </cols>
  <sheetData>
    <row r="1" spans="1:9" ht="15.95" customHeight="1">
      <c r="A1" s="24"/>
      <c r="B1" s="177" t="s">
        <v>335</v>
      </c>
      <c r="C1" s="178"/>
      <c r="D1" s="178"/>
      <c r="E1" s="178"/>
      <c r="F1" s="178"/>
      <c r="G1" s="178"/>
      <c r="H1" s="179"/>
      <c r="I1" s="1"/>
    </row>
    <row r="2" spans="1:9" ht="12.95" customHeight="1" thickBot="1">
      <c r="A2" s="24"/>
      <c r="B2" s="180" t="s">
        <v>384</v>
      </c>
      <c r="C2" s="181"/>
      <c r="D2" s="181"/>
      <c r="E2" s="181"/>
      <c r="F2" s="181"/>
      <c r="G2" s="181"/>
      <c r="H2" s="182"/>
      <c r="I2" s="1"/>
    </row>
    <row r="3" spans="1:9" s="27" customFormat="1" ht="12.95" customHeight="1">
      <c r="A3" s="24"/>
      <c r="B3" s="28"/>
      <c r="C3" s="28"/>
      <c r="D3" s="28"/>
      <c r="E3" s="28"/>
      <c r="F3" s="28"/>
      <c r="G3" s="28"/>
      <c r="H3" s="28"/>
      <c r="I3" s="24"/>
    </row>
    <row r="4" spans="1:9" s="27" customFormat="1" ht="12.95" customHeight="1">
      <c r="A4" s="25"/>
      <c r="B4" s="29" t="s">
        <v>2</v>
      </c>
      <c r="C4" s="24"/>
      <c r="D4" s="24"/>
      <c r="E4" s="24"/>
      <c r="F4" s="30"/>
      <c r="G4" s="24"/>
      <c r="H4" s="31"/>
      <c r="I4" s="24"/>
    </row>
    <row r="5" spans="1:9" s="27" customFormat="1" ht="12.95" customHeight="1" thickBot="1">
      <c r="A5" s="25"/>
      <c r="B5" s="29"/>
      <c r="C5" s="24"/>
      <c r="D5" s="24"/>
      <c r="E5" s="24"/>
      <c r="F5" s="30"/>
      <c r="G5" s="24"/>
      <c r="H5" s="31"/>
      <c r="I5" s="24"/>
    </row>
    <row r="6" spans="1:9" ht="27.95" customHeight="1" thickBot="1">
      <c r="A6" s="24"/>
      <c r="B6" s="76" t="s">
        <v>3</v>
      </c>
      <c r="C6" s="77" t="s">
        <v>4</v>
      </c>
      <c r="D6" s="77" t="s">
        <v>374</v>
      </c>
      <c r="E6" s="77" t="s">
        <v>6</v>
      </c>
      <c r="F6" s="78" t="s">
        <v>7</v>
      </c>
      <c r="G6" s="77" t="s">
        <v>8</v>
      </c>
      <c r="H6" s="79" t="s">
        <v>9</v>
      </c>
      <c r="I6" s="36" t="s">
        <v>10</v>
      </c>
    </row>
    <row r="7" spans="1:9" ht="12.95" customHeight="1">
      <c r="A7" s="24"/>
      <c r="B7" s="71" t="s">
        <v>53</v>
      </c>
      <c r="C7" s="72" t="s">
        <v>1</v>
      </c>
      <c r="D7" s="72" t="s">
        <v>1</v>
      </c>
      <c r="E7" s="72" t="s">
        <v>1</v>
      </c>
      <c r="F7" s="73" t="s">
        <v>1</v>
      </c>
      <c r="G7" s="74"/>
      <c r="H7" s="75" t="s">
        <v>1</v>
      </c>
      <c r="I7" s="37" t="s">
        <v>1</v>
      </c>
    </row>
    <row r="8" spans="1:9" ht="12.95" customHeight="1">
      <c r="A8" s="24"/>
      <c r="B8" s="53" t="s">
        <v>54</v>
      </c>
      <c r="C8" s="11" t="s">
        <v>1</v>
      </c>
      <c r="D8" s="11" t="s">
        <v>1</v>
      </c>
      <c r="E8" s="11" t="s">
        <v>1</v>
      </c>
      <c r="F8" s="46" t="s">
        <v>1</v>
      </c>
      <c r="G8" s="47"/>
      <c r="H8" s="54" t="s">
        <v>1</v>
      </c>
      <c r="I8" s="37" t="s">
        <v>1</v>
      </c>
    </row>
    <row r="9" spans="1:9" ht="12.95" customHeight="1">
      <c r="A9" s="26"/>
      <c r="B9" s="55" t="s">
        <v>64</v>
      </c>
      <c r="C9" s="11" t="s">
        <v>65</v>
      </c>
      <c r="D9" s="11" t="s">
        <v>63</v>
      </c>
      <c r="E9" s="58">
        <v>1719500</v>
      </c>
      <c r="F9" s="46">
        <v>6202.2365</v>
      </c>
      <c r="G9" s="59">
        <v>6202.24</v>
      </c>
      <c r="H9" s="54">
        <v>6.6204204928884652E-2</v>
      </c>
      <c r="I9" s="2">
        <v>6.6199999999999995E-2</v>
      </c>
    </row>
    <row r="10" spans="1:9" ht="12.95" customHeight="1">
      <c r="A10" s="26"/>
      <c r="B10" s="55" t="s">
        <v>209</v>
      </c>
      <c r="C10" s="11" t="s">
        <v>210</v>
      </c>
      <c r="D10" s="11" t="s">
        <v>63</v>
      </c>
      <c r="E10" s="58">
        <v>543500</v>
      </c>
      <c r="F10" s="46">
        <v>5855.39725</v>
      </c>
      <c r="G10" s="59">
        <v>5855.4</v>
      </c>
      <c r="H10" s="54">
        <v>6.2501957072908718E-2</v>
      </c>
      <c r="I10" s="2">
        <v>6.25E-2</v>
      </c>
    </row>
    <row r="11" spans="1:9" ht="12.95" customHeight="1">
      <c r="A11" s="26"/>
      <c r="B11" s="55" t="s">
        <v>336</v>
      </c>
      <c r="C11" s="11" t="s">
        <v>337</v>
      </c>
      <c r="D11" s="11" t="s">
        <v>140</v>
      </c>
      <c r="E11" s="58">
        <v>215750</v>
      </c>
      <c r="F11" s="46">
        <v>3668.9366249999998</v>
      </c>
      <c r="G11" s="59">
        <v>3668.94</v>
      </c>
      <c r="H11" s="54">
        <v>3.9163136103015486E-2</v>
      </c>
      <c r="I11" s="2">
        <v>3.9199999999999999E-2</v>
      </c>
    </row>
    <row r="12" spans="1:9" ht="12.95" customHeight="1">
      <c r="A12" s="26"/>
      <c r="B12" s="55" t="s">
        <v>338</v>
      </c>
      <c r="C12" s="11" t="s">
        <v>339</v>
      </c>
      <c r="D12" s="11" t="s">
        <v>57</v>
      </c>
      <c r="E12" s="58">
        <v>165906</v>
      </c>
      <c r="F12" s="46">
        <v>3553.540614</v>
      </c>
      <c r="G12" s="59">
        <v>3553.54</v>
      </c>
      <c r="H12" s="54">
        <v>3.7931370568079853E-2</v>
      </c>
      <c r="I12" s="2">
        <v>3.7900000000000003E-2</v>
      </c>
    </row>
    <row r="13" spans="1:9" ht="12.95" customHeight="1">
      <c r="A13" s="26"/>
      <c r="B13" s="55" t="s">
        <v>244</v>
      </c>
      <c r="C13" s="11" t="s">
        <v>245</v>
      </c>
      <c r="D13" s="11" t="s">
        <v>63</v>
      </c>
      <c r="E13" s="58">
        <v>1144350</v>
      </c>
      <c r="F13" s="46">
        <v>3535.469325</v>
      </c>
      <c r="G13" s="59">
        <v>3535.47</v>
      </c>
      <c r="H13" s="54">
        <v>3.7738473164008739E-2</v>
      </c>
      <c r="I13" s="2">
        <v>3.7699999999999997E-2</v>
      </c>
    </row>
    <row r="14" spans="1:9" ht="12.95" customHeight="1">
      <c r="A14" s="26"/>
      <c r="B14" s="55" t="s">
        <v>340</v>
      </c>
      <c r="C14" s="11" t="s">
        <v>341</v>
      </c>
      <c r="D14" s="11" t="s">
        <v>57</v>
      </c>
      <c r="E14" s="58">
        <v>119700</v>
      </c>
      <c r="F14" s="46">
        <v>2971.0138499999998</v>
      </c>
      <c r="G14" s="59">
        <v>2971.01</v>
      </c>
      <c r="H14" s="54">
        <v>3.1713335950983898E-2</v>
      </c>
      <c r="I14" s="2">
        <v>3.1699999999999999E-2</v>
      </c>
    </row>
    <row r="15" spans="1:9" ht="12.95" customHeight="1">
      <c r="A15" s="26"/>
      <c r="B15" s="55" t="s">
        <v>227</v>
      </c>
      <c r="C15" s="11" t="s">
        <v>228</v>
      </c>
      <c r="D15" s="11" t="s">
        <v>60</v>
      </c>
      <c r="E15" s="58">
        <v>222275</v>
      </c>
      <c r="F15" s="46">
        <v>2806.2218750000002</v>
      </c>
      <c r="G15" s="59">
        <v>2806.22</v>
      </c>
      <c r="H15" s="54">
        <v>2.9954305690925994E-2</v>
      </c>
      <c r="I15" s="2">
        <v>0.03</v>
      </c>
    </row>
    <row r="16" spans="1:9" ht="12.95" customHeight="1">
      <c r="A16" s="26"/>
      <c r="B16" s="55" t="s">
        <v>55</v>
      </c>
      <c r="C16" s="11" t="s">
        <v>56</v>
      </c>
      <c r="D16" s="11" t="s">
        <v>57</v>
      </c>
      <c r="E16" s="58">
        <v>95650</v>
      </c>
      <c r="F16" s="46">
        <v>2743.7202499999999</v>
      </c>
      <c r="G16" s="59">
        <v>2743.72</v>
      </c>
      <c r="H16" s="54">
        <v>2.9287147901975463E-2</v>
      </c>
      <c r="I16" s="2">
        <v>2.93E-2</v>
      </c>
    </row>
    <row r="17" spans="1:9" ht="12.95" customHeight="1">
      <c r="A17" s="26"/>
      <c r="B17" s="55" t="s">
        <v>342</v>
      </c>
      <c r="C17" s="11" t="s">
        <v>343</v>
      </c>
      <c r="D17" s="11" t="s">
        <v>84</v>
      </c>
      <c r="E17" s="58">
        <v>297200</v>
      </c>
      <c r="F17" s="46">
        <v>2727.5529999999999</v>
      </c>
      <c r="G17" s="59">
        <v>2727.55</v>
      </c>
      <c r="H17" s="54">
        <v>2.9114574680664647E-2</v>
      </c>
      <c r="I17" s="2">
        <v>2.9100000000000001E-2</v>
      </c>
    </row>
    <row r="18" spans="1:9" ht="12.95" customHeight="1">
      <c r="A18" s="26"/>
      <c r="B18" s="55" t="s">
        <v>215</v>
      </c>
      <c r="C18" s="11" t="s">
        <v>216</v>
      </c>
      <c r="D18" s="11" t="s">
        <v>124</v>
      </c>
      <c r="E18" s="58">
        <v>710500</v>
      </c>
      <c r="F18" s="46">
        <v>2618.5477500000002</v>
      </c>
      <c r="G18" s="59">
        <v>2618.5500000000002</v>
      </c>
      <c r="H18" s="54">
        <v>2.795102570775394E-2</v>
      </c>
      <c r="I18" s="2">
        <v>2.8000000000000001E-2</v>
      </c>
    </row>
    <row r="19" spans="1:9" ht="12.95" customHeight="1">
      <c r="A19" s="26"/>
      <c r="B19" s="55" t="s">
        <v>383</v>
      </c>
      <c r="C19" s="11" t="s">
        <v>211</v>
      </c>
      <c r="D19" s="11" t="s">
        <v>81</v>
      </c>
      <c r="E19" s="58">
        <v>710550</v>
      </c>
      <c r="F19" s="46">
        <v>2586.0467250000002</v>
      </c>
      <c r="G19" s="59">
        <v>2586.0500000000002</v>
      </c>
      <c r="H19" s="54">
        <v>2.7604101736135183E-2</v>
      </c>
      <c r="I19" s="2">
        <v>2.76E-2</v>
      </c>
    </row>
    <row r="20" spans="1:9" ht="12.95" customHeight="1">
      <c r="A20" s="26"/>
      <c r="B20" s="55" t="s">
        <v>66</v>
      </c>
      <c r="C20" s="11" t="s">
        <v>67</v>
      </c>
      <c r="D20" s="11" t="s">
        <v>68</v>
      </c>
      <c r="E20" s="58">
        <v>382250</v>
      </c>
      <c r="F20" s="46">
        <v>2515.0138750000001</v>
      </c>
      <c r="G20" s="59">
        <v>2515.0100000000002</v>
      </c>
      <c r="H20" s="54">
        <v>2.6845879543530512E-2</v>
      </c>
      <c r="I20" s="2">
        <v>2.6800000000000001E-2</v>
      </c>
    </row>
    <row r="21" spans="1:9" ht="12.95" customHeight="1">
      <c r="A21" s="26"/>
      <c r="B21" s="55" t="s">
        <v>344</v>
      </c>
      <c r="C21" s="11" t="s">
        <v>345</v>
      </c>
      <c r="D21" s="11" t="s">
        <v>63</v>
      </c>
      <c r="E21" s="58">
        <v>390500</v>
      </c>
      <c r="F21" s="46">
        <v>2296.5304999999998</v>
      </c>
      <c r="G21" s="59">
        <v>2296.5300000000002</v>
      </c>
      <c r="H21" s="54">
        <v>2.4513734013115098E-2</v>
      </c>
      <c r="I21" s="2">
        <v>2.4500000000000001E-2</v>
      </c>
    </row>
    <row r="22" spans="1:9" ht="12.95" customHeight="1">
      <c r="A22" s="26"/>
      <c r="B22" s="55" t="s">
        <v>217</v>
      </c>
      <c r="C22" s="11" t="s">
        <v>218</v>
      </c>
      <c r="D22" s="11" t="s">
        <v>81</v>
      </c>
      <c r="E22" s="58">
        <v>75900</v>
      </c>
      <c r="F22" s="46">
        <v>2174.9144999999999</v>
      </c>
      <c r="G22" s="59">
        <v>2174.91</v>
      </c>
      <c r="H22" s="54">
        <v>2.3215574778679061E-2</v>
      </c>
      <c r="I22" s="2">
        <v>2.3199999999999998E-2</v>
      </c>
    </row>
    <row r="23" spans="1:9" ht="12.95" customHeight="1">
      <c r="A23" s="26"/>
      <c r="B23" s="55" t="s">
        <v>246</v>
      </c>
      <c r="C23" s="11" t="s">
        <v>247</v>
      </c>
      <c r="D23" s="11" t="s">
        <v>63</v>
      </c>
      <c r="E23" s="58">
        <v>239500</v>
      </c>
      <c r="F23" s="46">
        <v>2084.1289999999999</v>
      </c>
      <c r="G23" s="59">
        <v>2084.13</v>
      </c>
      <c r="H23" s="54">
        <v>2.2246507919237109E-2</v>
      </c>
      <c r="I23" s="2">
        <v>2.2200000000000001E-2</v>
      </c>
    </row>
    <row r="24" spans="1:9" ht="12.95" customHeight="1">
      <c r="A24" s="26"/>
      <c r="B24" s="55" t="s">
        <v>82</v>
      </c>
      <c r="C24" s="11" t="s">
        <v>83</v>
      </c>
      <c r="D24" s="11" t="s">
        <v>84</v>
      </c>
      <c r="E24" s="58">
        <v>111556</v>
      </c>
      <c r="F24" s="46">
        <v>1943.695966</v>
      </c>
      <c r="G24" s="59">
        <v>1943.7</v>
      </c>
      <c r="H24" s="54">
        <v>2.0747491014331751E-2</v>
      </c>
      <c r="I24" s="2">
        <v>2.07E-2</v>
      </c>
    </row>
    <row r="25" spans="1:9" ht="12.95" customHeight="1">
      <c r="A25" s="26"/>
      <c r="B25" s="55" t="s">
        <v>219</v>
      </c>
      <c r="C25" s="11" t="s">
        <v>220</v>
      </c>
      <c r="D25" s="11" t="s">
        <v>81</v>
      </c>
      <c r="E25" s="58">
        <v>50150</v>
      </c>
      <c r="F25" s="46">
        <v>1829.146025</v>
      </c>
      <c r="G25" s="59">
        <v>1829.15</v>
      </c>
      <c r="H25" s="54">
        <v>1.9524756639633909E-2</v>
      </c>
      <c r="I25" s="2">
        <v>1.95E-2</v>
      </c>
    </row>
    <row r="26" spans="1:9" ht="12.95" customHeight="1">
      <c r="A26" s="26"/>
      <c r="B26" s="55" t="s">
        <v>88</v>
      </c>
      <c r="C26" s="11" t="s">
        <v>89</v>
      </c>
      <c r="D26" s="11" t="s">
        <v>90</v>
      </c>
      <c r="E26" s="58">
        <v>204678</v>
      </c>
      <c r="F26" s="46">
        <v>1761.1518510000001</v>
      </c>
      <c r="G26" s="59">
        <v>1761.15</v>
      </c>
      <c r="H26" s="54">
        <v>1.8798970025488148E-2</v>
      </c>
      <c r="I26" s="2">
        <v>1.8800000000000001E-2</v>
      </c>
    </row>
    <row r="27" spans="1:9" ht="12.95" customHeight="1">
      <c r="A27" s="26"/>
      <c r="B27" s="55" t="s">
        <v>69</v>
      </c>
      <c r="C27" s="11" t="s">
        <v>70</v>
      </c>
      <c r="D27" s="11" t="s">
        <v>71</v>
      </c>
      <c r="E27" s="58">
        <v>442289</v>
      </c>
      <c r="F27" s="46">
        <v>1697.062893</v>
      </c>
      <c r="G27" s="59">
        <v>1697.06</v>
      </c>
      <c r="H27" s="54">
        <v>1.8114868651877083E-2</v>
      </c>
      <c r="I27" s="2">
        <v>1.8100000000000002E-2</v>
      </c>
    </row>
    <row r="28" spans="1:9" ht="12.95" customHeight="1">
      <c r="A28" s="26"/>
      <c r="B28" s="55" t="s">
        <v>85</v>
      </c>
      <c r="C28" s="11" t="s">
        <v>86</v>
      </c>
      <c r="D28" s="11" t="s">
        <v>87</v>
      </c>
      <c r="E28" s="58">
        <v>234749</v>
      </c>
      <c r="F28" s="46">
        <v>1636.3179044999999</v>
      </c>
      <c r="G28" s="59">
        <v>1636.32</v>
      </c>
      <c r="H28" s="54">
        <v>1.7466461634979752E-2</v>
      </c>
      <c r="I28" s="2">
        <v>1.7500000000000002E-2</v>
      </c>
    </row>
    <row r="29" spans="1:9" ht="12.95" customHeight="1">
      <c r="A29" s="26"/>
      <c r="B29" s="55" t="s">
        <v>268</v>
      </c>
      <c r="C29" s="11" t="s">
        <v>269</v>
      </c>
      <c r="D29" s="11" t="s">
        <v>68</v>
      </c>
      <c r="E29" s="58">
        <v>171900</v>
      </c>
      <c r="F29" s="46">
        <v>1573.31475</v>
      </c>
      <c r="G29" s="59">
        <v>1573.31</v>
      </c>
      <c r="H29" s="54">
        <v>1.6793950396221898E-2</v>
      </c>
      <c r="I29" s="2">
        <v>1.6799999999999999E-2</v>
      </c>
    </row>
    <row r="30" spans="1:9" ht="12.95" customHeight="1">
      <c r="A30" s="26"/>
      <c r="B30" s="55" t="s">
        <v>134</v>
      </c>
      <c r="C30" s="11" t="s">
        <v>135</v>
      </c>
      <c r="D30" s="11" t="s">
        <v>124</v>
      </c>
      <c r="E30" s="58">
        <v>173600</v>
      </c>
      <c r="F30" s="46">
        <v>1489.0540000000001</v>
      </c>
      <c r="G30" s="59">
        <v>1489.05</v>
      </c>
      <c r="H30" s="54">
        <v>1.5894530330498587E-2</v>
      </c>
      <c r="I30" s="2">
        <v>1.5900000000000001E-2</v>
      </c>
    </row>
    <row r="31" spans="1:9" ht="12.95" customHeight="1">
      <c r="A31" s="26"/>
      <c r="B31" s="55" t="s">
        <v>257</v>
      </c>
      <c r="C31" s="11" t="s">
        <v>258</v>
      </c>
      <c r="D31" s="11" t="s">
        <v>259</v>
      </c>
      <c r="E31" s="58">
        <v>395291</v>
      </c>
      <c r="F31" s="46">
        <v>1477.2024670000001</v>
      </c>
      <c r="G31" s="59">
        <v>1477.2</v>
      </c>
      <c r="H31" s="54">
        <v>1.5768024138828302E-2</v>
      </c>
      <c r="I31" s="2">
        <v>1.5800000000000002E-2</v>
      </c>
    </row>
    <row r="32" spans="1:9" ht="12.95" customHeight="1">
      <c r="A32" s="26"/>
      <c r="B32" s="55" t="s">
        <v>346</v>
      </c>
      <c r="C32" s="11" t="s">
        <v>347</v>
      </c>
      <c r="D32" s="11" t="s">
        <v>84</v>
      </c>
      <c r="E32" s="58">
        <v>91220</v>
      </c>
      <c r="F32" s="46">
        <v>1446.1106600000001</v>
      </c>
      <c r="G32" s="59">
        <v>1446.11</v>
      </c>
      <c r="H32" s="54">
        <v>1.5436142508349147E-2</v>
      </c>
      <c r="I32" s="2">
        <v>1.54E-2</v>
      </c>
    </row>
    <row r="33" spans="1:9" ht="12.95" customHeight="1">
      <c r="A33" s="26"/>
      <c r="B33" s="55" t="s">
        <v>122</v>
      </c>
      <c r="C33" s="11" t="s">
        <v>123</v>
      </c>
      <c r="D33" s="11" t="s">
        <v>124</v>
      </c>
      <c r="E33" s="58">
        <v>75329</v>
      </c>
      <c r="F33" s="46">
        <v>1412.8330595</v>
      </c>
      <c r="G33" s="59">
        <v>1412.83</v>
      </c>
      <c r="H33" s="54">
        <v>1.5080929177957191E-2</v>
      </c>
      <c r="I33" s="2">
        <v>1.5100000000000001E-2</v>
      </c>
    </row>
    <row r="34" spans="1:9" ht="12.95" customHeight="1">
      <c r="A34" s="26"/>
      <c r="B34" s="55" t="s">
        <v>104</v>
      </c>
      <c r="C34" s="11" t="s">
        <v>105</v>
      </c>
      <c r="D34" s="11" t="s">
        <v>87</v>
      </c>
      <c r="E34" s="58">
        <v>1338102</v>
      </c>
      <c r="F34" s="46">
        <v>1382.9284170000001</v>
      </c>
      <c r="G34" s="59">
        <v>1382.93</v>
      </c>
      <c r="H34" s="54">
        <v>1.4761719634690817E-2</v>
      </c>
      <c r="I34" s="2">
        <v>1.4800000000000001E-2</v>
      </c>
    </row>
    <row r="35" spans="1:9" ht="12.95" customHeight="1">
      <c r="A35" s="26"/>
      <c r="B35" s="55" t="s">
        <v>58</v>
      </c>
      <c r="C35" s="11" t="s">
        <v>59</v>
      </c>
      <c r="D35" s="11" t="s">
        <v>60</v>
      </c>
      <c r="E35" s="58">
        <v>85589</v>
      </c>
      <c r="F35" s="46">
        <v>1294.1484745</v>
      </c>
      <c r="G35" s="59">
        <v>1294.1500000000001</v>
      </c>
      <c r="H35" s="54">
        <v>1.3814060591562649E-2</v>
      </c>
      <c r="I35" s="2">
        <v>1.38E-2</v>
      </c>
    </row>
    <row r="36" spans="1:9" ht="12.95" customHeight="1">
      <c r="A36" s="26"/>
      <c r="B36" s="55" t="s">
        <v>98</v>
      </c>
      <c r="C36" s="11" t="s">
        <v>99</v>
      </c>
      <c r="D36" s="11" t="s">
        <v>90</v>
      </c>
      <c r="E36" s="58">
        <v>675500</v>
      </c>
      <c r="F36" s="46">
        <v>1256.76775</v>
      </c>
      <c r="G36" s="59">
        <v>1256.77</v>
      </c>
      <c r="H36" s="54">
        <v>1.341504950174236E-2</v>
      </c>
      <c r="I36" s="2">
        <v>1.34E-2</v>
      </c>
    </row>
    <row r="37" spans="1:9" ht="12.95" customHeight="1">
      <c r="A37" s="26"/>
      <c r="B37" s="55" t="s">
        <v>79</v>
      </c>
      <c r="C37" s="11" t="s">
        <v>80</v>
      </c>
      <c r="D37" s="11" t="s">
        <v>81</v>
      </c>
      <c r="E37" s="58">
        <v>7300</v>
      </c>
      <c r="F37" s="46">
        <v>1188.1406999999999</v>
      </c>
      <c r="G37" s="59">
        <v>1188.1400000000001</v>
      </c>
      <c r="H37" s="54">
        <v>1.2682507412793507E-2</v>
      </c>
      <c r="I37" s="2">
        <v>1.2699999999999999E-2</v>
      </c>
    </row>
    <row r="38" spans="1:9" ht="12.95" customHeight="1">
      <c r="A38" s="26"/>
      <c r="B38" s="55" t="s">
        <v>138</v>
      </c>
      <c r="C38" s="11" t="s">
        <v>139</v>
      </c>
      <c r="D38" s="11" t="s">
        <v>140</v>
      </c>
      <c r="E38" s="58">
        <v>419719</v>
      </c>
      <c r="F38" s="46">
        <v>1127.3652340000001</v>
      </c>
      <c r="G38" s="59">
        <v>1127.3699999999999</v>
      </c>
      <c r="H38" s="54">
        <v>1.2033775071530407E-2</v>
      </c>
      <c r="I38" s="2">
        <v>1.2E-2</v>
      </c>
    </row>
    <row r="39" spans="1:9" ht="12.95" customHeight="1">
      <c r="A39" s="26"/>
      <c r="B39" s="55" t="s">
        <v>128</v>
      </c>
      <c r="C39" s="11" t="s">
        <v>129</v>
      </c>
      <c r="D39" s="11" t="s">
        <v>124</v>
      </c>
      <c r="E39" s="58">
        <v>115878</v>
      </c>
      <c r="F39" s="46">
        <v>1065.7879049999999</v>
      </c>
      <c r="G39" s="59">
        <v>1065.79</v>
      </c>
      <c r="H39" s="54">
        <v>1.1376483446470744E-2</v>
      </c>
      <c r="I39" s="2">
        <v>1.14E-2</v>
      </c>
    </row>
    <row r="40" spans="1:9" ht="12.95" customHeight="1">
      <c r="A40" s="26"/>
      <c r="B40" s="55" t="s">
        <v>61</v>
      </c>
      <c r="C40" s="11" t="s">
        <v>62</v>
      </c>
      <c r="D40" s="11" t="s">
        <v>63</v>
      </c>
      <c r="E40" s="58">
        <v>123000</v>
      </c>
      <c r="F40" s="46">
        <v>1060.8135</v>
      </c>
      <c r="G40" s="59">
        <v>1060.81</v>
      </c>
      <c r="H40" s="54">
        <v>1.1323385418361163E-2</v>
      </c>
      <c r="I40" s="2">
        <v>1.1299999999999999E-2</v>
      </c>
    </row>
    <row r="41" spans="1:9" ht="12.95" customHeight="1">
      <c r="A41" s="26"/>
      <c r="B41" s="55" t="s">
        <v>125</v>
      </c>
      <c r="C41" s="11" t="s">
        <v>126</v>
      </c>
      <c r="D41" s="11" t="s">
        <v>127</v>
      </c>
      <c r="E41" s="58">
        <v>556000</v>
      </c>
      <c r="F41" s="46">
        <v>1053.8979999999999</v>
      </c>
      <c r="G41" s="59">
        <v>1053.9000000000001</v>
      </c>
      <c r="H41" s="54">
        <v>1.1249567662591015E-2</v>
      </c>
      <c r="I41" s="2">
        <v>1.12E-2</v>
      </c>
    </row>
    <row r="42" spans="1:9" ht="12.95" customHeight="1">
      <c r="A42" s="26"/>
      <c r="B42" s="55" t="s">
        <v>91</v>
      </c>
      <c r="C42" s="11" t="s">
        <v>92</v>
      </c>
      <c r="D42" s="11" t="s">
        <v>93</v>
      </c>
      <c r="E42" s="58">
        <v>227000</v>
      </c>
      <c r="F42" s="46">
        <v>1036.5954999999999</v>
      </c>
      <c r="G42" s="59">
        <v>1036.5999999999999</v>
      </c>
      <c r="H42" s="54">
        <v>1.1064876502268117E-2</v>
      </c>
      <c r="I42" s="2">
        <v>1.11E-2</v>
      </c>
    </row>
    <row r="43" spans="1:9" ht="12.95" customHeight="1">
      <c r="A43" s="26"/>
      <c r="B43" s="55" t="s">
        <v>147</v>
      </c>
      <c r="C43" s="11" t="s">
        <v>148</v>
      </c>
      <c r="D43" s="11" t="s">
        <v>112</v>
      </c>
      <c r="E43" s="58">
        <v>239700</v>
      </c>
      <c r="F43" s="46">
        <v>1032.1482000000001</v>
      </c>
      <c r="G43" s="59">
        <v>1032.1500000000001</v>
      </c>
      <c r="H43" s="54">
        <v>1.1017404923172379E-2</v>
      </c>
      <c r="I43" s="2">
        <v>1.0999999999999999E-2</v>
      </c>
    </row>
    <row r="44" spans="1:9" ht="12.95" customHeight="1">
      <c r="A44" s="26"/>
      <c r="B44" s="55" t="s">
        <v>96</v>
      </c>
      <c r="C44" s="11" t="s">
        <v>97</v>
      </c>
      <c r="D44" s="11" t="s">
        <v>63</v>
      </c>
      <c r="E44" s="58">
        <v>722016</v>
      </c>
      <c r="F44" s="46">
        <v>1024.1796959999999</v>
      </c>
      <c r="G44" s="59">
        <v>1024.18</v>
      </c>
      <c r="H44" s="54">
        <v>1.0932347142516539E-2</v>
      </c>
      <c r="I44" s="2">
        <v>1.09E-2</v>
      </c>
    </row>
    <row r="45" spans="1:9" ht="12.95" customHeight="1">
      <c r="A45" s="26"/>
      <c r="B45" s="55" t="s">
        <v>102</v>
      </c>
      <c r="C45" s="11" t="s">
        <v>103</v>
      </c>
      <c r="D45" s="11" t="s">
        <v>93</v>
      </c>
      <c r="E45" s="58">
        <v>187368</v>
      </c>
      <c r="F45" s="46">
        <v>1016.096664</v>
      </c>
      <c r="G45" s="59">
        <v>1016.1</v>
      </c>
      <c r="H45" s="54">
        <v>1.0846066861689659E-2</v>
      </c>
      <c r="I45" s="2">
        <v>1.0800000000000001E-2</v>
      </c>
    </row>
    <row r="46" spans="1:9" ht="12.95" customHeight="1">
      <c r="A46" s="26"/>
      <c r="B46" s="55" t="s">
        <v>110</v>
      </c>
      <c r="C46" s="11" t="s">
        <v>111</v>
      </c>
      <c r="D46" s="11" t="s">
        <v>112</v>
      </c>
      <c r="E46" s="58">
        <v>253213</v>
      </c>
      <c r="F46" s="46">
        <v>1009.9400505</v>
      </c>
      <c r="G46" s="59">
        <v>1009.94</v>
      </c>
      <c r="H46" s="54">
        <v>1.0780349647935887E-2</v>
      </c>
      <c r="I46" s="2">
        <v>1.0800000000000001E-2</v>
      </c>
    </row>
    <row r="47" spans="1:9" ht="12.95" customHeight="1">
      <c r="A47" s="26"/>
      <c r="B47" s="55" t="s">
        <v>117</v>
      </c>
      <c r="C47" s="11" t="s">
        <v>118</v>
      </c>
      <c r="D47" s="11" t="s">
        <v>119</v>
      </c>
      <c r="E47" s="58">
        <v>236600</v>
      </c>
      <c r="F47" s="46">
        <v>964.02670000000001</v>
      </c>
      <c r="G47" s="59">
        <v>964.03</v>
      </c>
      <c r="H47" s="54">
        <v>1.0290259199841284E-2</v>
      </c>
      <c r="I47" s="2">
        <v>1.03E-2</v>
      </c>
    </row>
    <row r="48" spans="1:9" ht="12.95" customHeight="1">
      <c r="A48" s="26"/>
      <c r="B48" s="55" t="s">
        <v>166</v>
      </c>
      <c r="C48" s="11" t="s">
        <v>167</v>
      </c>
      <c r="D48" s="11" t="s">
        <v>168</v>
      </c>
      <c r="E48" s="58">
        <v>122350</v>
      </c>
      <c r="F48" s="46">
        <v>894.74554999999998</v>
      </c>
      <c r="G48" s="59">
        <v>894.75</v>
      </c>
      <c r="H48" s="54">
        <v>9.5507350858690422E-3</v>
      </c>
      <c r="I48" s="2">
        <v>9.5999999999999992E-3</v>
      </c>
    </row>
    <row r="49" spans="1:9" ht="12.95" customHeight="1">
      <c r="A49" s="26"/>
      <c r="B49" s="55" t="s">
        <v>113</v>
      </c>
      <c r="C49" s="11" t="s">
        <v>114</v>
      </c>
      <c r="D49" s="11" t="s">
        <v>78</v>
      </c>
      <c r="E49" s="58">
        <v>485854</v>
      </c>
      <c r="F49" s="46">
        <v>869.43573300000003</v>
      </c>
      <c r="G49" s="59">
        <v>869.44</v>
      </c>
      <c r="H49" s="54">
        <v>9.280571845337893E-3</v>
      </c>
      <c r="I49" s="2">
        <v>9.2999999999999992E-3</v>
      </c>
    </row>
    <row r="50" spans="1:9" ht="12.95" customHeight="1">
      <c r="A50" s="26"/>
      <c r="B50" s="55" t="s">
        <v>100</v>
      </c>
      <c r="C50" s="11" t="s">
        <v>101</v>
      </c>
      <c r="D50" s="11" t="s">
        <v>84</v>
      </c>
      <c r="E50" s="58">
        <v>132800</v>
      </c>
      <c r="F50" s="46">
        <v>847.66240000000005</v>
      </c>
      <c r="G50" s="59">
        <v>847.66</v>
      </c>
      <c r="H50" s="54">
        <v>9.0481579088624222E-3</v>
      </c>
      <c r="I50" s="2">
        <v>8.9999999999999993E-3</v>
      </c>
    </row>
    <row r="51" spans="1:9" ht="12.95" customHeight="1">
      <c r="A51" s="26"/>
      <c r="B51" s="55" t="s">
        <v>106</v>
      </c>
      <c r="C51" s="11" t="s">
        <v>107</v>
      </c>
      <c r="D51" s="11" t="s">
        <v>84</v>
      </c>
      <c r="E51" s="58">
        <v>58505</v>
      </c>
      <c r="F51" s="46">
        <v>808.01255500000002</v>
      </c>
      <c r="G51" s="59">
        <v>808.01</v>
      </c>
      <c r="H51" s="54">
        <v>8.6249256661418312E-3</v>
      </c>
      <c r="I51" s="2">
        <v>8.6E-3</v>
      </c>
    </row>
    <row r="52" spans="1:9" ht="12.95" customHeight="1">
      <c r="A52" s="26"/>
      <c r="B52" s="55" t="s">
        <v>162</v>
      </c>
      <c r="C52" s="11" t="s">
        <v>163</v>
      </c>
      <c r="D52" s="11" t="s">
        <v>57</v>
      </c>
      <c r="E52" s="58">
        <v>94881</v>
      </c>
      <c r="F52" s="46">
        <v>805.9666545</v>
      </c>
      <c r="G52" s="59">
        <v>805.97</v>
      </c>
      <c r="H52" s="54">
        <v>8.6030872186775801E-3</v>
      </c>
      <c r="I52" s="2">
        <v>8.6E-3</v>
      </c>
    </row>
    <row r="53" spans="1:9" ht="12.95" customHeight="1">
      <c r="A53" s="26"/>
      <c r="B53" s="55" t="s">
        <v>348</v>
      </c>
      <c r="C53" s="11" t="s">
        <v>349</v>
      </c>
      <c r="D53" s="11" t="s">
        <v>350</v>
      </c>
      <c r="E53" s="58">
        <v>205400</v>
      </c>
      <c r="F53" s="46">
        <v>801.98429999999996</v>
      </c>
      <c r="G53" s="59">
        <v>801.98</v>
      </c>
      <c r="H53" s="54">
        <v>8.5605785827335204E-3</v>
      </c>
      <c r="I53" s="2">
        <v>8.6E-3</v>
      </c>
    </row>
    <row r="54" spans="1:9" ht="12.95" customHeight="1">
      <c r="A54" s="26"/>
      <c r="B54" s="55" t="s">
        <v>136</v>
      </c>
      <c r="C54" s="11" t="s">
        <v>137</v>
      </c>
      <c r="D54" s="11" t="s">
        <v>78</v>
      </c>
      <c r="E54" s="58">
        <v>72500</v>
      </c>
      <c r="F54" s="46">
        <v>749.97625000000005</v>
      </c>
      <c r="G54" s="59">
        <v>749.98</v>
      </c>
      <c r="H54" s="54">
        <v>8.0054318062196487E-3</v>
      </c>
      <c r="I54" s="2">
        <v>8.0000000000000002E-3</v>
      </c>
    </row>
    <row r="55" spans="1:9" ht="12.95" customHeight="1">
      <c r="A55" s="26"/>
      <c r="B55" s="55" t="s">
        <v>108</v>
      </c>
      <c r="C55" s="11" t="s">
        <v>109</v>
      </c>
      <c r="D55" s="11" t="s">
        <v>84</v>
      </c>
      <c r="E55" s="58">
        <v>98400</v>
      </c>
      <c r="F55" s="46">
        <v>707.64359999999999</v>
      </c>
      <c r="G55" s="59">
        <v>707.64</v>
      </c>
      <c r="H55" s="54">
        <v>7.5535626400272992E-3</v>
      </c>
      <c r="I55" s="2">
        <v>7.6E-3</v>
      </c>
    </row>
    <row r="56" spans="1:9" ht="12.95" customHeight="1">
      <c r="A56" s="26"/>
      <c r="B56" s="55" t="s">
        <v>164</v>
      </c>
      <c r="C56" s="11" t="s">
        <v>165</v>
      </c>
      <c r="D56" s="11" t="s">
        <v>119</v>
      </c>
      <c r="E56" s="58">
        <v>514879</v>
      </c>
      <c r="F56" s="46">
        <v>691.48249699999997</v>
      </c>
      <c r="G56" s="59">
        <v>691.48</v>
      </c>
      <c r="H56" s="54">
        <v>7.3810550333133643E-3</v>
      </c>
      <c r="I56" s="2">
        <v>7.4000000000000003E-3</v>
      </c>
    </row>
    <row r="57" spans="1:9" ht="12.95" customHeight="1">
      <c r="A57" s="26"/>
      <c r="B57" s="55" t="s">
        <v>288</v>
      </c>
      <c r="C57" s="11" t="s">
        <v>289</v>
      </c>
      <c r="D57" s="11" t="s">
        <v>290</v>
      </c>
      <c r="E57" s="58">
        <v>171000</v>
      </c>
      <c r="F57" s="46">
        <v>617.05349999999999</v>
      </c>
      <c r="G57" s="59">
        <v>617.04999999999995</v>
      </c>
      <c r="H57" s="54">
        <v>6.5865815284672754E-3</v>
      </c>
      <c r="I57" s="2">
        <v>6.6E-3</v>
      </c>
    </row>
    <row r="58" spans="1:9" ht="12.95" customHeight="1">
      <c r="A58" s="26"/>
      <c r="B58" s="55" t="s">
        <v>173</v>
      </c>
      <c r="C58" s="11" t="s">
        <v>174</v>
      </c>
      <c r="D58" s="11" t="s">
        <v>68</v>
      </c>
      <c r="E58" s="58">
        <v>331716</v>
      </c>
      <c r="F58" s="46">
        <v>555.29258400000003</v>
      </c>
      <c r="G58" s="59">
        <v>555.29</v>
      </c>
      <c r="H58" s="54">
        <v>5.9273302504065902E-3</v>
      </c>
      <c r="I58" s="2">
        <v>5.8999999999999999E-3</v>
      </c>
    </row>
    <row r="59" spans="1:9" ht="12.95" customHeight="1">
      <c r="A59" s="26"/>
      <c r="B59" s="55" t="s">
        <v>145</v>
      </c>
      <c r="C59" s="11" t="s">
        <v>146</v>
      </c>
      <c r="D59" s="11" t="s">
        <v>124</v>
      </c>
      <c r="E59" s="58">
        <v>58670</v>
      </c>
      <c r="F59" s="46">
        <v>346.50502</v>
      </c>
      <c r="G59" s="59">
        <v>346.51</v>
      </c>
      <c r="H59" s="54">
        <v>3.6986802023701087E-3</v>
      </c>
      <c r="I59" s="2">
        <v>3.7000000000000002E-3</v>
      </c>
    </row>
    <row r="60" spans="1:9" ht="12.95" customHeight="1">
      <c r="A60" s="26"/>
      <c r="B60" s="55" t="s">
        <v>266</v>
      </c>
      <c r="C60" s="11" t="s">
        <v>267</v>
      </c>
      <c r="D60" s="11" t="s">
        <v>191</v>
      </c>
      <c r="E60" s="58">
        <v>92096</v>
      </c>
      <c r="F60" s="46">
        <v>323.579296</v>
      </c>
      <c r="G60" s="59">
        <v>323.58</v>
      </c>
      <c r="H60" s="54">
        <v>3.4539653596131373E-3</v>
      </c>
      <c r="I60" s="2">
        <v>3.5000000000000001E-3</v>
      </c>
    </row>
    <row r="61" spans="1:9" ht="12.95" customHeight="1">
      <c r="A61" s="26"/>
      <c r="B61" s="55" t="s">
        <v>182</v>
      </c>
      <c r="C61" s="11" t="s">
        <v>183</v>
      </c>
      <c r="D61" s="11" t="s">
        <v>60</v>
      </c>
      <c r="E61" s="58">
        <v>29000</v>
      </c>
      <c r="F61" s="46">
        <v>255.44649999999999</v>
      </c>
      <c r="G61" s="59">
        <v>255.45</v>
      </c>
      <c r="H61" s="54">
        <v>2.7266990599868826E-3</v>
      </c>
      <c r="I61" s="2">
        <v>2.7000000000000001E-3</v>
      </c>
    </row>
    <row r="62" spans="1:9" ht="12.95" customHeight="1">
      <c r="A62" s="26"/>
      <c r="B62" s="55" t="s">
        <v>351</v>
      </c>
      <c r="C62" s="11" t="s">
        <v>352</v>
      </c>
      <c r="D62" s="11" t="s">
        <v>63</v>
      </c>
      <c r="E62" s="58">
        <v>128500</v>
      </c>
      <c r="F62" s="46">
        <v>248.19775000000001</v>
      </c>
      <c r="G62" s="59">
        <v>248.2</v>
      </c>
      <c r="H62" s="54">
        <v>2.6493241113730638E-3</v>
      </c>
      <c r="I62" s="2">
        <v>2.5999999999999999E-3</v>
      </c>
    </row>
    <row r="63" spans="1:9" ht="12.95" customHeight="1">
      <c r="A63" s="26"/>
      <c r="B63" s="55" t="s">
        <v>192</v>
      </c>
      <c r="C63" s="11" t="s">
        <v>193</v>
      </c>
      <c r="D63" s="11" t="s">
        <v>194</v>
      </c>
      <c r="E63" s="58">
        <v>3180</v>
      </c>
      <c r="F63" s="46">
        <v>8.3156999999999996</v>
      </c>
      <c r="G63" s="59">
        <v>8.32</v>
      </c>
      <c r="H63" s="54">
        <v>8.8763836549465039E-5</v>
      </c>
      <c r="I63" s="2">
        <v>1E-4</v>
      </c>
    </row>
    <row r="64" spans="1:9" ht="12.95" customHeight="1">
      <c r="A64" s="24"/>
      <c r="B64" s="53" t="s">
        <v>42</v>
      </c>
      <c r="C64" s="11" t="s">
        <v>1</v>
      </c>
      <c r="D64" s="11" t="s">
        <v>1</v>
      </c>
      <c r="E64" s="11" t="s">
        <v>1</v>
      </c>
      <c r="F64" s="60">
        <v>89649.2978955</v>
      </c>
      <c r="G64" s="61">
        <v>89649.32</v>
      </c>
      <c r="H64" s="62">
        <v>0.95693875743117973</v>
      </c>
      <c r="I64" s="38">
        <v>0.95679999999999998</v>
      </c>
    </row>
    <row r="65" spans="1:9" ht="12.95" customHeight="1">
      <c r="A65" s="24"/>
      <c r="B65" s="53"/>
      <c r="C65" s="11"/>
      <c r="D65" s="11"/>
      <c r="E65" s="11"/>
      <c r="F65" s="60"/>
      <c r="G65" s="61"/>
      <c r="H65" s="62"/>
      <c r="I65" s="38"/>
    </row>
    <row r="66" spans="1:9" ht="12.95" customHeight="1">
      <c r="A66" s="24"/>
      <c r="B66" s="53" t="s">
        <v>195</v>
      </c>
      <c r="C66" s="11" t="s">
        <v>1</v>
      </c>
      <c r="D66" s="11" t="s">
        <v>1</v>
      </c>
      <c r="E66" s="11" t="s">
        <v>1</v>
      </c>
      <c r="F66" s="60" t="s">
        <v>196</v>
      </c>
      <c r="G66" s="10" t="s">
        <v>196</v>
      </c>
      <c r="H66" s="62" t="s">
        <v>196</v>
      </c>
      <c r="I66" s="39" t="s">
        <v>196</v>
      </c>
    </row>
    <row r="67" spans="1:9" ht="12.95" customHeight="1">
      <c r="A67" s="24"/>
      <c r="B67" s="53" t="s">
        <v>42</v>
      </c>
      <c r="C67" s="11" t="s">
        <v>1</v>
      </c>
      <c r="D67" s="11" t="s">
        <v>1</v>
      </c>
      <c r="E67" s="11" t="s">
        <v>1</v>
      </c>
      <c r="F67" s="60" t="s">
        <v>196</v>
      </c>
      <c r="G67" s="10" t="s">
        <v>196</v>
      </c>
      <c r="H67" s="62" t="s">
        <v>196</v>
      </c>
      <c r="I67" s="39" t="s">
        <v>196</v>
      </c>
    </row>
    <row r="68" spans="1:9" ht="12.95" customHeight="1">
      <c r="A68" s="24"/>
      <c r="B68" s="53" t="s">
        <v>43</v>
      </c>
      <c r="C68" s="11" t="s">
        <v>1</v>
      </c>
      <c r="D68" s="11" t="s">
        <v>1</v>
      </c>
      <c r="E68" s="11" t="s">
        <v>1</v>
      </c>
      <c r="F68" s="60">
        <v>89649.2978955</v>
      </c>
      <c r="G68" s="61">
        <v>89649.32</v>
      </c>
      <c r="H68" s="62">
        <v>0.95693875743117973</v>
      </c>
      <c r="I68" s="38">
        <v>0.95679999999999998</v>
      </c>
    </row>
    <row r="69" spans="1:9" ht="12.95" customHeight="1">
      <c r="A69" s="24"/>
      <c r="B69" s="53"/>
      <c r="C69" s="11"/>
      <c r="D69" s="11"/>
      <c r="E69" s="11"/>
      <c r="F69" s="60"/>
      <c r="G69" s="61"/>
      <c r="H69" s="62"/>
      <c r="I69" s="40"/>
    </row>
    <row r="70" spans="1:9" ht="12.95" customHeight="1">
      <c r="A70" s="24"/>
      <c r="B70" s="35" t="s">
        <v>11</v>
      </c>
      <c r="C70" s="11"/>
      <c r="D70" s="11"/>
      <c r="E70" s="11"/>
      <c r="F70" s="60"/>
      <c r="G70" s="61"/>
      <c r="H70" s="62"/>
      <c r="I70" s="40"/>
    </row>
    <row r="71" spans="1:9" ht="12.95" customHeight="1">
      <c r="A71" s="24"/>
      <c r="B71" s="53"/>
      <c r="C71" s="11"/>
      <c r="D71" s="11"/>
      <c r="E71" s="11"/>
      <c r="F71" s="60"/>
      <c r="G71" s="61"/>
      <c r="H71" s="62"/>
      <c r="I71" s="40"/>
    </row>
    <row r="72" spans="1:9" ht="12.95" customHeight="1">
      <c r="A72" s="24"/>
      <c r="B72" s="53" t="s">
        <v>204</v>
      </c>
      <c r="C72" s="11" t="s">
        <v>1</v>
      </c>
      <c r="D72" s="11" t="s">
        <v>1</v>
      </c>
      <c r="E72" s="11" t="s">
        <v>1</v>
      </c>
      <c r="F72" s="46" t="s">
        <v>1</v>
      </c>
      <c r="G72" s="47"/>
      <c r="H72" s="54" t="s">
        <v>1</v>
      </c>
      <c r="I72" s="37" t="s">
        <v>1</v>
      </c>
    </row>
    <row r="73" spans="1:9" ht="12.95" customHeight="1">
      <c r="A73" s="24"/>
      <c r="B73" s="53" t="s">
        <v>205</v>
      </c>
      <c r="C73" s="11" t="s">
        <v>1</v>
      </c>
      <c r="D73" s="11" t="s">
        <v>1</v>
      </c>
      <c r="E73" s="11" t="s">
        <v>1</v>
      </c>
      <c r="F73" s="46" t="s">
        <v>1</v>
      </c>
      <c r="G73" s="47"/>
      <c r="H73" s="54" t="s">
        <v>1</v>
      </c>
      <c r="I73" s="37" t="s">
        <v>1</v>
      </c>
    </row>
    <row r="74" spans="1:9" ht="12.95" customHeight="1">
      <c r="A74" s="26"/>
      <c r="B74" s="55" t="s">
        <v>353</v>
      </c>
      <c r="C74" s="11" t="s">
        <v>354</v>
      </c>
      <c r="D74" s="11" t="s">
        <v>1</v>
      </c>
      <c r="E74" s="58">
        <v>2500440</v>
      </c>
      <c r="F74" s="46">
        <v>273.15306650000002</v>
      </c>
      <c r="G74" s="59">
        <v>273.14999999999998</v>
      </c>
      <c r="H74" s="54">
        <v>2.9157033259726967E-3</v>
      </c>
      <c r="I74" s="2">
        <v>2.8999999999999998E-3</v>
      </c>
    </row>
    <row r="75" spans="1:9" ht="12.95" customHeight="1">
      <c r="A75" s="24"/>
      <c r="B75" s="53" t="s">
        <v>42</v>
      </c>
      <c r="C75" s="11" t="s">
        <v>1</v>
      </c>
      <c r="D75" s="11" t="s">
        <v>1</v>
      </c>
      <c r="E75" s="11" t="s">
        <v>1</v>
      </c>
      <c r="F75" s="60">
        <v>273.15306650000002</v>
      </c>
      <c r="G75" s="61">
        <v>273.14999999999998</v>
      </c>
      <c r="H75" s="62">
        <v>2.9157033259726967E-3</v>
      </c>
      <c r="I75" s="38">
        <v>2.8999999999999998E-3</v>
      </c>
    </row>
    <row r="76" spans="1:9" ht="12.95" customHeight="1">
      <c r="A76" s="24"/>
      <c r="B76" s="53" t="s">
        <v>43</v>
      </c>
      <c r="C76" s="11" t="s">
        <v>1</v>
      </c>
      <c r="D76" s="11" t="s">
        <v>1</v>
      </c>
      <c r="E76" s="11" t="s">
        <v>1</v>
      </c>
      <c r="F76" s="60">
        <v>273.15306650000002</v>
      </c>
      <c r="G76" s="61">
        <v>273.14999999999998</v>
      </c>
      <c r="H76" s="62">
        <v>2.9157033259726967E-3</v>
      </c>
      <c r="I76" s="38">
        <v>2.8999999999999998E-3</v>
      </c>
    </row>
    <row r="77" spans="1:9" ht="12.95" customHeight="1">
      <c r="A77" s="24"/>
      <c r="B77" s="53"/>
      <c r="C77" s="11"/>
      <c r="D77" s="11"/>
      <c r="E77" s="11"/>
      <c r="F77" s="60"/>
      <c r="G77" s="61"/>
      <c r="H77" s="62"/>
      <c r="I77" s="40"/>
    </row>
    <row r="78" spans="1:9" ht="12.95" customHeight="1">
      <c r="A78" s="24"/>
      <c r="B78" s="53" t="s">
        <v>44</v>
      </c>
      <c r="C78" s="11" t="s">
        <v>1</v>
      </c>
      <c r="D78" s="11" t="s">
        <v>1</v>
      </c>
      <c r="E78" s="11" t="s">
        <v>1</v>
      </c>
      <c r="F78" s="46" t="s">
        <v>1</v>
      </c>
      <c r="G78" s="47"/>
      <c r="H78" s="54" t="s">
        <v>1</v>
      </c>
      <c r="I78" s="37" t="s">
        <v>1</v>
      </c>
    </row>
    <row r="79" spans="1:9" ht="12.95" customHeight="1">
      <c r="A79" s="26"/>
      <c r="B79" s="55" t="s">
        <v>45</v>
      </c>
      <c r="C79" s="11" t="s">
        <v>1</v>
      </c>
      <c r="D79" s="11" t="s">
        <v>46</v>
      </c>
      <c r="E79" s="58"/>
      <c r="F79" s="46">
        <v>2540.4096743999999</v>
      </c>
      <c r="G79" s="59">
        <v>2540.41</v>
      </c>
      <c r="H79" s="54">
        <v>2.7116960581444891E-2</v>
      </c>
      <c r="I79" s="2">
        <v>2.7099999999999999E-2</v>
      </c>
    </row>
    <row r="80" spans="1:9" ht="12.95" customHeight="1">
      <c r="A80" s="24"/>
      <c r="B80" s="53" t="s">
        <v>42</v>
      </c>
      <c r="C80" s="11" t="s">
        <v>1</v>
      </c>
      <c r="D80" s="11" t="s">
        <v>1</v>
      </c>
      <c r="E80" s="11" t="s">
        <v>1</v>
      </c>
      <c r="F80" s="60">
        <v>2540.4096743999999</v>
      </c>
      <c r="G80" s="61">
        <v>2540.41</v>
      </c>
      <c r="H80" s="62">
        <v>2.7116960581444891E-2</v>
      </c>
      <c r="I80" s="38">
        <v>2.7099999999999999E-2</v>
      </c>
    </row>
    <row r="81" spans="1:9" ht="12.95" customHeight="1">
      <c r="A81" s="24"/>
      <c r="B81" s="53"/>
      <c r="C81" s="11"/>
      <c r="D81" s="11"/>
      <c r="E81" s="11"/>
      <c r="F81" s="60"/>
      <c r="G81" s="61"/>
      <c r="H81" s="62"/>
      <c r="I81" s="38"/>
    </row>
    <row r="82" spans="1:9" ht="12.95" customHeight="1">
      <c r="A82" s="24"/>
      <c r="B82" s="53" t="s">
        <v>47</v>
      </c>
      <c r="C82" s="11" t="s">
        <v>1</v>
      </c>
      <c r="D82" s="11" t="s">
        <v>1</v>
      </c>
      <c r="E82" s="11" t="s">
        <v>1</v>
      </c>
      <c r="F82" s="63">
        <v>1220.5618389900001</v>
      </c>
      <c r="G82" s="64">
        <v>1220.54</v>
      </c>
      <c r="H82" s="65">
        <v>1.3028578661402628E-2</v>
      </c>
      <c r="I82" s="38">
        <v>1.32E-2</v>
      </c>
    </row>
    <row r="83" spans="1:9" ht="12.95" customHeight="1">
      <c r="A83" s="24"/>
      <c r="B83" s="53" t="s">
        <v>42</v>
      </c>
      <c r="C83" s="11"/>
      <c r="D83" s="11"/>
      <c r="E83" s="11"/>
      <c r="F83" s="60">
        <v>1220.5618389900001</v>
      </c>
      <c r="G83" s="61"/>
      <c r="H83" s="62">
        <v>1.3028578661402628E-2</v>
      </c>
      <c r="I83" s="41"/>
    </row>
    <row r="84" spans="1:9" ht="12.95" customHeight="1">
      <c r="A84" s="24"/>
      <c r="B84" s="53" t="s">
        <v>43</v>
      </c>
      <c r="C84" s="11"/>
      <c r="D84" s="11"/>
      <c r="E84" s="11"/>
      <c r="F84" s="60">
        <f>F76+F80+F83</f>
        <v>4034.1245798899999</v>
      </c>
      <c r="G84" s="60">
        <f t="shared" ref="G84:H84" si="0">G76+G80+G83</f>
        <v>2813.56</v>
      </c>
      <c r="H84" s="62">
        <f t="shared" si="0"/>
        <v>4.3061242568820213E-2</v>
      </c>
      <c r="I84" s="41"/>
    </row>
    <row r="85" spans="1:9" ht="12.95" customHeight="1" thickBot="1">
      <c r="A85" s="24"/>
      <c r="B85" s="80"/>
      <c r="C85" s="17"/>
      <c r="D85" s="17"/>
      <c r="E85" s="17"/>
      <c r="F85" s="81"/>
      <c r="G85" s="82"/>
      <c r="H85" s="83"/>
      <c r="I85" s="41"/>
    </row>
    <row r="86" spans="1:9" ht="12.95" customHeight="1" thickBot="1">
      <c r="A86" s="24"/>
      <c r="B86" s="84" t="s">
        <v>48</v>
      </c>
      <c r="C86" s="85" t="s">
        <v>1</v>
      </c>
      <c r="D86" s="85" t="s">
        <v>1</v>
      </c>
      <c r="E86" s="85" t="s">
        <v>1</v>
      </c>
      <c r="F86" s="86">
        <v>93683.422475390005</v>
      </c>
      <c r="G86" s="87">
        <v>93683.42</v>
      </c>
      <c r="H86" s="88">
        <v>1</v>
      </c>
      <c r="I86" s="42">
        <v>1</v>
      </c>
    </row>
    <row r="87" spans="1:9" s="27" customFormat="1" ht="12.95" customHeight="1">
      <c r="A87" s="24"/>
      <c r="B87" s="25" t="s">
        <v>1</v>
      </c>
      <c r="C87" s="24"/>
      <c r="D87" s="24"/>
      <c r="E87" s="24"/>
      <c r="F87" s="30"/>
      <c r="G87" s="24"/>
      <c r="H87" s="31"/>
      <c r="I87" s="24"/>
    </row>
    <row r="88" spans="1:9" s="27" customFormat="1" ht="12.95" customHeight="1">
      <c r="A88" s="24"/>
      <c r="B88" s="32" t="s">
        <v>376</v>
      </c>
      <c r="C88" s="24"/>
      <c r="D88" s="24"/>
      <c r="E88" s="24"/>
      <c r="F88" s="30"/>
      <c r="G88" s="24"/>
      <c r="H88" s="31"/>
      <c r="I88" s="24"/>
    </row>
    <row r="89" spans="1:9" s="27" customFormat="1" ht="12.95" customHeight="1">
      <c r="A89" s="24"/>
      <c r="B89" s="32" t="s">
        <v>385</v>
      </c>
      <c r="C89" s="24"/>
      <c r="D89" s="24"/>
      <c r="E89" s="24"/>
      <c r="F89" s="30"/>
      <c r="G89" s="24"/>
      <c r="H89" s="31"/>
      <c r="I89" s="24"/>
    </row>
    <row r="90" spans="1:9" s="27" customFormat="1" ht="12.95" customHeight="1" thickBot="1">
      <c r="A90" s="24"/>
      <c r="B90" s="32" t="s">
        <v>1</v>
      </c>
      <c r="C90" s="24"/>
      <c r="D90" s="24"/>
      <c r="E90" s="24"/>
      <c r="F90" s="30"/>
      <c r="G90" s="24"/>
      <c r="H90" s="31"/>
      <c r="I90" s="24"/>
    </row>
    <row r="91" spans="1:9" s="27" customFormat="1" ht="15.75" thickBot="1">
      <c r="B91" s="66" t="s">
        <v>386</v>
      </c>
      <c r="C91" s="67">
        <v>0.5252</v>
      </c>
      <c r="F91" s="33"/>
      <c r="H91" s="34"/>
    </row>
    <row r="92" spans="1:9" s="27" customFormat="1">
      <c r="B92" s="68" t="s">
        <v>387</v>
      </c>
      <c r="C92" s="68"/>
      <c r="F92" s="33"/>
      <c r="H92" s="34"/>
    </row>
    <row r="93" spans="1:9" s="27" customFormat="1">
      <c r="F93" s="33"/>
      <c r="H93" s="34"/>
    </row>
    <row r="94" spans="1:9" s="27" customFormat="1">
      <c r="F94" s="33"/>
      <c r="H94" s="34"/>
    </row>
    <row r="95" spans="1:9" s="27" customFormat="1">
      <c r="F95" s="33"/>
      <c r="H95" s="34"/>
    </row>
    <row r="96" spans="1:9" s="27" customFormat="1">
      <c r="F96" s="33"/>
      <c r="H96" s="34"/>
    </row>
    <row r="97" spans="6:8" s="27" customFormat="1">
      <c r="F97" s="33"/>
      <c r="H97" s="34"/>
    </row>
    <row r="98" spans="6:8" s="27" customFormat="1">
      <c r="F98" s="33"/>
      <c r="H98" s="34"/>
    </row>
    <row r="99" spans="6:8" s="27" customFormat="1">
      <c r="F99" s="33"/>
      <c r="H99" s="34"/>
    </row>
    <row r="100" spans="6:8" s="27" customFormat="1">
      <c r="F100" s="33"/>
      <c r="H100" s="34"/>
    </row>
    <row r="101" spans="6:8" s="27" customFormat="1">
      <c r="F101" s="33"/>
      <c r="H101" s="34"/>
    </row>
    <row r="102" spans="6:8" s="27" customFormat="1">
      <c r="F102" s="33"/>
      <c r="H102" s="34"/>
    </row>
    <row r="103" spans="6:8" s="27" customFormat="1">
      <c r="F103" s="33"/>
      <c r="H103" s="34"/>
    </row>
    <row r="104" spans="6:8" s="27" customFormat="1">
      <c r="F104" s="33"/>
      <c r="H104" s="34"/>
    </row>
    <row r="105" spans="6:8" s="27" customFormat="1">
      <c r="F105" s="33"/>
      <c r="H105" s="34"/>
    </row>
    <row r="106" spans="6:8" s="27" customFormat="1">
      <c r="F106" s="33"/>
      <c r="H106" s="34"/>
    </row>
    <row r="107" spans="6:8" s="27" customFormat="1">
      <c r="F107" s="33"/>
      <c r="H107" s="34"/>
    </row>
    <row r="108" spans="6:8" s="27" customFormat="1">
      <c r="F108" s="33"/>
      <c r="H108" s="34"/>
    </row>
    <row r="109" spans="6:8" s="27" customFormat="1">
      <c r="F109" s="33"/>
      <c r="H109" s="34"/>
    </row>
    <row r="110" spans="6:8" s="27" customFormat="1">
      <c r="F110" s="33"/>
      <c r="H110" s="34"/>
    </row>
    <row r="111" spans="6:8" s="27" customFormat="1">
      <c r="F111" s="33"/>
      <c r="H111" s="34"/>
    </row>
    <row r="112" spans="6:8" s="27" customFormat="1">
      <c r="F112" s="33"/>
      <c r="H112" s="34"/>
    </row>
    <row r="113" spans="6:8" s="27" customFormat="1">
      <c r="F113" s="33"/>
      <c r="H113" s="34"/>
    </row>
    <row r="114" spans="6:8" s="27" customFormat="1">
      <c r="F114" s="33"/>
      <c r="H114" s="34"/>
    </row>
    <row r="115" spans="6:8" s="27" customFormat="1">
      <c r="F115" s="33"/>
      <c r="H115" s="34"/>
    </row>
    <row r="116" spans="6:8" s="27" customFormat="1">
      <c r="F116" s="33"/>
      <c r="H116" s="34"/>
    </row>
    <row r="117" spans="6:8" s="27" customFormat="1">
      <c r="F117" s="33"/>
      <c r="H117" s="34"/>
    </row>
    <row r="118" spans="6:8" s="27" customFormat="1">
      <c r="F118" s="33"/>
      <c r="H118" s="34"/>
    </row>
    <row r="119" spans="6:8" s="27" customFormat="1">
      <c r="F119" s="33"/>
      <c r="H119" s="34"/>
    </row>
    <row r="120" spans="6:8" s="27" customFormat="1">
      <c r="F120" s="33"/>
      <c r="H120" s="34"/>
    </row>
    <row r="121" spans="6:8" s="27" customFormat="1">
      <c r="F121" s="33"/>
      <c r="H121" s="34"/>
    </row>
    <row r="122" spans="6:8" s="27" customFormat="1">
      <c r="F122" s="33"/>
      <c r="H122" s="34"/>
    </row>
    <row r="123" spans="6:8" s="27" customFormat="1">
      <c r="F123" s="33"/>
      <c r="H123" s="34"/>
    </row>
    <row r="124" spans="6:8" s="27" customFormat="1">
      <c r="F124" s="33"/>
      <c r="H124" s="34"/>
    </row>
    <row r="125" spans="6:8" s="27" customFormat="1">
      <c r="F125" s="33"/>
      <c r="H125" s="34"/>
    </row>
    <row r="126" spans="6:8" s="27" customFormat="1">
      <c r="F126" s="33"/>
      <c r="H126" s="34"/>
    </row>
    <row r="127" spans="6:8" s="27" customFormat="1">
      <c r="F127" s="33"/>
      <c r="H127" s="34"/>
    </row>
    <row r="128" spans="6:8" s="27" customFormat="1">
      <c r="F128" s="33"/>
      <c r="H128" s="34"/>
    </row>
    <row r="129" spans="6:8" s="27" customFormat="1">
      <c r="F129" s="33"/>
      <c r="H129" s="34"/>
    </row>
    <row r="130" spans="6:8" s="27" customFormat="1">
      <c r="F130" s="33"/>
      <c r="H130" s="34"/>
    </row>
    <row r="131" spans="6:8" s="27" customFormat="1">
      <c r="F131" s="33"/>
      <c r="H131" s="34"/>
    </row>
    <row r="132" spans="6:8" s="27" customFormat="1">
      <c r="F132" s="33"/>
      <c r="H132" s="34"/>
    </row>
    <row r="133" spans="6:8" s="27" customFormat="1">
      <c r="F133" s="33"/>
      <c r="H133" s="34"/>
    </row>
    <row r="134" spans="6:8" s="27" customFormat="1">
      <c r="F134" s="33"/>
      <c r="H134" s="34"/>
    </row>
    <row r="135" spans="6:8" s="27" customFormat="1">
      <c r="F135" s="33"/>
      <c r="H135" s="34"/>
    </row>
    <row r="136" spans="6:8" s="27" customFormat="1">
      <c r="F136" s="33"/>
      <c r="H136" s="34"/>
    </row>
    <row r="137" spans="6:8" s="27" customFormat="1">
      <c r="F137" s="33"/>
      <c r="H137" s="34"/>
    </row>
    <row r="138" spans="6:8" s="27" customFormat="1">
      <c r="F138" s="33"/>
      <c r="H138" s="34"/>
    </row>
    <row r="139" spans="6:8" s="27" customFormat="1">
      <c r="F139" s="33"/>
      <c r="H139" s="34"/>
    </row>
    <row r="140" spans="6:8" s="27" customFormat="1">
      <c r="F140" s="33"/>
      <c r="H140" s="34"/>
    </row>
    <row r="141" spans="6:8" s="27" customFormat="1">
      <c r="F141" s="33"/>
      <c r="H141" s="34"/>
    </row>
    <row r="142" spans="6:8" s="27" customFormat="1">
      <c r="F142" s="33"/>
      <c r="H142" s="34"/>
    </row>
    <row r="143" spans="6:8" s="27" customFormat="1">
      <c r="F143" s="33"/>
      <c r="H143" s="34"/>
    </row>
    <row r="144" spans="6:8" s="27" customFormat="1">
      <c r="F144" s="33"/>
      <c r="H144" s="34"/>
    </row>
    <row r="145" spans="6:8" s="27" customFormat="1">
      <c r="F145" s="33"/>
      <c r="H145" s="34"/>
    </row>
    <row r="146" spans="6:8" s="27" customFormat="1">
      <c r="F146" s="33"/>
      <c r="H146" s="34"/>
    </row>
    <row r="147" spans="6:8" s="27" customFormat="1">
      <c r="F147" s="33"/>
      <c r="H147" s="34"/>
    </row>
    <row r="148" spans="6:8" s="27" customFormat="1">
      <c r="F148" s="33"/>
      <c r="H148" s="34"/>
    </row>
    <row r="149" spans="6:8" s="27" customFormat="1">
      <c r="F149" s="33"/>
      <c r="H149" s="34"/>
    </row>
    <row r="150" spans="6:8" s="27" customFormat="1">
      <c r="F150" s="33"/>
      <c r="H150" s="34"/>
    </row>
    <row r="151" spans="6:8" s="27" customFormat="1">
      <c r="F151" s="33"/>
      <c r="H151" s="34"/>
    </row>
    <row r="152" spans="6:8" s="27" customFormat="1">
      <c r="F152" s="33"/>
      <c r="H152" s="34"/>
    </row>
    <row r="153" spans="6:8" s="27" customFormat="1">
      <c r="F153" s="33"/>
      <c r="H153" s="34"/>
    </row>
    <row r="154" spans="6:8" s="27" customFormat="1">
      <c r="F154" s="33"/>
      <c r="H154" s="34"/>
    </row>
    <row r="155" spans="6:8" s="27" customFormat="1">
      <c r="F155" s="33"/>
      <c r="H155" s="34"/>
    </row>
    <row r="156" spans="6:8" s="27" customFormat="1">
      <c r="F156" s="33"/>
      <c r="H156" s="34"/>
    </row>
    <row r="157" spans="6:8" s="27" customFormat="1">
      <c r="F157" s="33"/>
      <c r="H157" s="34"/>
    </row>
    <row r="158" spans="6:8" s="27" customFormat="1">
      <c r="F158" s="33"/>
      <c r="H158" s="34"/>
    </row>
    <row r="159" spans="6:8" s="27" customFormat="1">
      <c r="F159" s="33"/>
      <c r="H159" s="34"/>
    </row>
    <row r="160" spans="6:8" s="27" customFormat="1">
      <c r="F160" s="33"/>
      <c r="H160" s="34"/>
    </row>
    <row r="161" spans="6:8" s="27" customFormat="1">
      <c r="F161" s="33"/>
      <c r="H161" s="34"/>
    </row>
    <row r="162" spans="6:8" s="27" customFormat="1">
      <c r="F162" s="33"/>
      <c r="H162" s="34"/>
    </row>
    <row r="163" spans="6:8" s="27" customFormat="1">
      <c r="F163" s="33"/>
      <c r="H163" s="34"/>
    </row>
    <row r="164" spans="6:8" s="27" customFormat="1">
      <c r="F164" s="33"/>
      <c r="H164" s="34"/>
    </row>
    <row r="165" spans="6:8" s="27" customFormat="1">
      <c r="F165" s="33"/>
      <c r="H165" s="34"/>
    </row>
    <row r="166" spans="6:8" s="27" customFormat="1">
      <c r="F166" s="33"/>
      <c r="H166" s="34"/>
    </row>
    <row r="167" spans="6:8" s="27" customFormat="1">
      <c r="F167" s="33"/>
      <c r="H167" s="34"/>
    </row>
    <row r="168" spans="6:8" s="27" customFormat="1">
      <c r="F168" s="33"/>
      <c r="H168" s="34"/>
    </row>
    <row r="169" spans="6:8" s="27" customFormat="1">
      <c r="F169" s="33"/>
      <c r="H169" s="34"/>
    </row>
    <row r="170" spans="6:8" s="27" customFormat="1">
      <c r="F170" s="33"/>
      <c r="H170" s="34"/>
    </row>
    <row r="171" spans="6:8" s="27" customFormat="1">
      <c r="F171" s="33"/>
      <c r="H171" s="34"/>
    </row>
    <row r="172" spans="6:8" s="27" customFormat="1">
      <c r="F172" s="33"/>
      <c r="H172" s="34"/>
    </row>
    <row r="173" spans="6:8" s="27" customFormat="1">
      <c r="F173" s="33"/>
      <c r="H173" s="34"/>
    </row>
    <row r="174" spans="6:8" s="27" customFormat="1">
      <c r="F174" s="33"/>
      <c r="H174" s="34"/>
    </row>
    <row r="175" spans="6:8" s="27" customFormat="1">
      <c r="F175" s="33"/>
      <c r="H175" s="34"/>
    </row>
    <row r="176" spans="6:8" s="27" customFormat="1">
      <c r="F176" s="33"/>
      <c r="H176" s="34"/>
    </row>
    <row r="177" spans="6:8" s="27" customFormat="1">
      <c r="F177" s="33"/>
      <c r="H177" s="34"/>
    </row>
    <row r="178" spans="6:8" s="27" customFormat="1">
      <c r="F178" s="33"/>
      <c r="H178" s="34"/>
    </row>
    <row r="179" spans="6:8" s="27" customFormat="1">
      <c r="F179" s="33"/>
      <c r="H179" s="34"/>
    </row>
    <row r="180" spans="6:8" s="27" customFormat="1">
      <c r="F180" s="33"/>
      <c r="H180" s="34"/>
    </row>
    <row r="181" spans="6:8" s="27" customFormat="1">
      <c r="F181" s="33"/>
      <c r="H181" s="34"/>
    </row>
    <row r="182" spans="6:8" s="27" customFormat="1">
      <c r="F182" s="33"/>
      <c r="H182" s="34"/>
    </row>
    <row r="183" spans="6:8" s="27" customFormat="1">
      <c r="F183" s="33"/>
      <c r="H183" s="34"/>
    </row>
    <row r="184" spans="6:8" s="27" customFormat="1">
      <c r="F184" s="33"/>
      <c r="H184" s="34"/>
    </row>
    <row r="185" spans="6:8" s="27" customFormat="1">
      <c r="F185" s="33"/>
      <c r="H185" s="34"/>
    </row>
    <row r="186" spans="6:8" s="27" customFormat="1">
      <c r="F186" s="33"/>
      <c r="H186" s="34"/>
    </row>
    <row r="187" spans="6:8" s="27" customFormat="1">
      <c r="F187" s="33"/>
      <c r="H187" s="34"/>
    </row>
    <row r="188" spans="6:8" s="27" customFormat="1">
      <c r="F188" s="33"/>
      <c r="H188" s="34"/>
    </row>
    <row r="189" spans="6:8" s="27" customFormat="1">
      <c r="F189" s="33"/>
      <c r="H189" s="34"/>
    </row>
    <row r="190" spans="6:8" s="27" customFormat="1">
      <c r="F190" s="33"/>
      <c r="H190" s="34"/>
    </row>
    <row r="191" spans="6:8" s="27" customFormat="1">
      <c r="F191" s="33"/>
      <c r="H191" s="34"/>
    </row>
    <row r="192" spans="6:8" s="27" customFormat="1">
      <c r="F192" s="33"/>
      <c r="H192" s="34"/>
    </row>
    <row r="193" spans="6:8" s="27" customFormat="1">
      <c r="F193" s="33"/>
      <c r="H193" s="34"/>
    </row>
    <row r="194" spans="6:8" s="27" customFormat="1">
      <c r="F194" s="33"/>
      <c r="H194" s="34"/>
    </row>
    <row r="195" spans="6:8" s="27" customFormat="1">
      <c r="F195" s="33"/>
      <c r="H195" s="34"/>
    </row>
    <row r="196" spans="6:8" s="27" customFormat="1">
      <c r="F196" s="33"/>
      <c r="H196" s="34"/>
    </row>
    <row r="197" spans="6:8" s="27" customFormat="1">
      <c r="F197" s="33"/>
      <c r="H197" s="34"/>
    </row>
    <row r="198" spans="6:8" s="27" customFormat="1">
      <c r="F198" s="33"/>
      <c r="H198" s="34"/>
    </row>
    <row r="199" spans="6:8" s="27" customFormat="1">
      <c r="F199" s="33"/>
      <c r="H199" s="34"/>
    </row>
    <row r="200" spans="6:8" s="27" customFormat="1">
      <c r="F200" s="33"/>
      <c r="H200" s="34"/>
    </row>
    <row r="201" spans="6:8" s="27" customFormat="1">
      <c r="F201" s="33"/>
      <c r="H201" s="34"/>
    </row>
    <row r="202" spans="6:8" s="27" customFormat="1">
      <c r="F202" s="33"/>
      <c r="H202" s="34"/>
    </row>
    <row r="203" spans="6:8" s="27" customFormat="1">
      <c r="F203" s="33"/>
      <c r="H203" s="34"/>
    </row>
    <row r="204" spans="6:8" s="27" customFormat="1">
      <c r="F204" s="33"/>
      <c r="H204" s="34"/>
    </row>
    <row r="205" spans="6:8" s="27" customFormat="1">
      <c r="F205" s="33"/>
      <c r="H205" s="34"/>
    </row>
    <row r="206" spans="6:8" s="27" customFormat="1">
      <c r="F206" s="33"/>
      <c r="H206" s="34"/>
    </row>
    <row r="207" spans="6:8" s="27" customFormat="1">
      <c r="F207" s="33"/>
      <c r="H207" s="34"/>
    </row>
    <row r="208" spans="6:8" s="27" customFormat="1">
      <c r="F208" s="33"/>
      <c r="H208" s="34"/>
    </row>
    <row r="209" spans="6:8" s="27" customFormat="1">
      <c r="F209" s="33"/>
      <c r="H209" s="34"/>
    </row>
    <row r="210" spans="6:8" s="27" customFormat="1">
      <c r="F210" s="33"/>
      <c r="H210" s="34"/>
    </row>
    <row r="211" spans="6:8" s="27" customFormat="1">
      <c r="F211" s="33"/>
      <c r="H211" s="34"/>
    </row>
    <row r="212" spans="6:8" s="27" customFormat="1">
      <c r="F212" s="33"/>
      <c r="H212" s="34"/>
    </row>
    <row r="213" spans="6:8" s="27" customFormat="1">
      <c r="F213" s="33"/>
      <c r="H213" s="34"/>
    </row>
    <row r="214" spans="6:8" s="27" customFormat="1">
      <c r="F214" s="33"/>
      <c r="H214" s="34"/>
    </row>
    <row r="215" spans="6:8" s="27" customFormat="1">
      <c r="F215" s="33"/>
      <c r="H215" s="34"/>
    </row>
    <row r="216" spans="6:8" s="27" customFormat="1">
      <c r="F216" s="33"/>
      <c r="H216" s="34"/>
    </row>
    <row r="217" spans="6:8" s="27" customFormat="1">
      <c r="F217" s="33"/>
      <c r="H217" s="34"/>
    </row>
    <row r="218" spans="6:8" s="27" customFormat="1">
      <c r="F218" s="33"/>
      <c r="H218" s="34"/>
    </row>
    <row r="219" spans="6:8" s="27" customFormat="1">
      <c r="F219" s="33"/>
      <c r="H219" s="34"/>
    </row>
    <row r="220" spans="6:8" s="27" customFormat="1">
      <c r="F220" s="33"/>
      <c r="H220" s="34"/>
    </row>
    <row r="221" spans="6:8" s="27" customFormat="1">
      <c r="F221" s="33"/>
      <c r="H221" s="34"/>
    </row>
    <row r="222" spans="6:8" s="27" customFormat="1">
      <c r="F222" s="33"/>
      <c r="H222" s="34"/>
    </row>
    <row r="223" spans="6:8" s="27" customFormat="1">
      <c r="F223" s="33"/>
      <c r="H223" s="34"/>
    </row>
    <row r="224" spans="6:8" s="27" customFormat="1">
      <c r="F224" s="33"/>
      <c r="H224" s="34"/>
    </row>
    <row r="225" spans="6:8" s="27" customFormat="1">
      <c r="F225" s="33"/>
      <c r="H225" s="34"/>
    </row>
    <row r="226" spans="6:8" s="27" customFormat="1">
      <c r="F226" s="33"/>
      <c r="H226" s="34"/>
    </row>
    <row r="227" spans="6:8" s="27" customFormat="1">
      <c r="F227" s="33"/>
      <c r="H227" s="34"/>
    </row>
    <row r="228" spans="6:8" s="27" customFormat="1">
      <c r="F228" s="33"/>
      <c r="H228" s="34"/>
    </row>
    <row r="229" spans="6:8" s="27" customFormat="1">
      <c r="F229" s="33"/>
      <c r="H229" s="34"/>
    </row>
    <row r="230" spans="6:8" s="27" customFormat="1">
      <c r="F230" s="33"/>
      <c r="H230" s="34"/>
    </row>
    <row r="231" spans="6:8" s="27" customFormat="1">
      <c r="F231" s="33"/>
      <c r="H231" s="34"/>
    </row>
    <row r="232" spans="6:8" s="27" customFormat="1">
      <c r="F232" s="33"/>
      <c r="H232" s="34"/>
    </row>
    <row r="233" spans="6:8" s="27" customFormat="1">
      <c r="F233" s="33"/>
      <c r="H233" s="34"/>
    </row>
    <row r="234" spans="6:8" s="27" customFormat="1">
      <c r="F234" s="33"/>
      <c r="H234" s="34"/>
    </row>
    <row r="235" spans="6:8" s="27" customFormat="1">
      <c r="F235" s="33"/>
      <c r="H235" s="34"/>
    </row>
    <row r="236" spans="6:8" s="27" customFormat="1">
      <c r="F236" s="33"/>
      <c r="H236" s="34"/>
    </row>
    <row r="237" spans="6:8" s="27" customFormat="1">
      <c r="F237" s="33"/>
      <c r="H237" s="34"/>
    </row>
    <row r="238" spans="6:8" s="27" customFormat="1">
      <c r="F238" s="33"/>
      <c r="H238" s="34"/>
    </row>
    <row r="239" spans="6:8" s="27" customFormat="1">
      <c r="F239" s="33"/>
      <c r="H239" s="34"/>
    </row>
    <row r="240" spans="6:8" s="27" customFormat="1">
      <c r="F240" s="33"/>
      <c r="H240" s="34"/>
    </row>
    <row r="241" spans="6:8" s="27" customFormat="1">
      <c r="F241" s="33"/>
      <c r="H241" s="34"/>
    </row>
    <row r="242" spans="6:8" s="27" customFormat="1">
      <c r="F242" s="33"/>
      <c r="H242" s="34"/>
    </row>
    <row r="243" spans="6:8" s="27" customFormat="1">
      <c r="F243" s="33"/>
      <c r="H243" s="34"/>
    </row>
    <row r="244" spans="6:8" s="27" customFormat="1">
      <c r="F244" s="33"/>
      <c r="H244" s="34"/>
    </row>
    <row r="245" spans="6:8" s="27" customFormat="1">
      <c r="F245" s="33"/>
      <c r="H245" s="34"/>
    </row>
    <row r="246" spans="6:8" s="27" customFormat="1">
      <c r="F246" s="33"/>
      <c r="H246" s="34"/>
    </row>
    <row r="247" spans="6:8" s="27" customFormat="1">
      <c r="F247" s="33"/>
      <c r="H247" s="34"/>
    </row>
    <row r="248" spans="6:8" s="27" customFormat="1">
      <c r="F248" s="33"/>
      <c r="H248" s="34"/>
    </row>
    <row r="249" spans="6:8" s="27" customFormat="1">
      <c r="F249" s="33"/>
      <c r="H249" s="34"/>
    </row>
    <row r="250" spans="6:8" s="27" customFormat="1">
      <c r="F250" s="33"/>
      <c r="H250" s="34"/>
    </row>
    <row r="251" spans="6:8" s="27" customFormat="1">
      <c r="F251" s="33"/>
      <c r="H251" s="34"/>
    </row>
    <row r="252" spans="6:8" s="27" customFormat="1">
      <c r="F252" s="33"/>
      <c r="H252" s="34"/>
    </row>
    <row r="253" spans="6:8" s="27" customFormat="1">
      <c r="F253" s="33"/>
      <c r="H253" s="34"/>
    </row>
    <row r="254" spans="6:8" s="27" customFormat="1">
      <c r="F254" s="33"/>
      <c r="H254" s="34"/>
    </row>
    <row r="255" spans="6:8" s="27" customFormat="1">
      <c r="F255" s="33"/>
      <c r="H255" s="34"/>
    </row>
    <row r="256" spans="6:8" s="27" customFormat="1">
      <c r="F256" s="33"/>
      <c r="H256" s="34"/>
    </row>
    <row r="257" spans="6:8" s="27" customFormat="1">
      <c r="F257" s="33"/>
      <c r="H257" s="34"/>
    </row>
    <row r="258" spans="6:8" s="27" customFormat="1">
      <c r="F258" s="33"/>
      <c r="H258" s="34"/>
    </row>
    <row r="259" spans="6:8" s="27" customFormat="1">
      <c r="F259" s="33"/>
      <c r="H259" s="34"/>
    </row>
    <row r="260" spans="6:8" s="27" customFormat="1">
      <c r="F260" s="33"/>
      <c r="H260" s="34"/>
    </row>
    <row r="261" spans="6:8" s="27" customFormat="1">
      <c r="F261" s="33"/>
      <c r="H261" s="34"/>
    </row>
    <row r="262" spans="6:8" s="27" customFormat="1">
      <c r="F262" s="33"/>
      <c r="H262" s="34"/>
    </row>
    <row r="263" spans="6:8" s="27" customFormat="1">
      <c r="F263" s="33"/>
      <c r="H263" s="34"/>
    </row>
    <row r="264" spans="6:8" s="27" customFormat="1">
      <c r="F264" s="33"/>
      <c r="H264" s="34"/>
    </row>
    <row r="265" spans="6:8" s="27" customFormat="1">
      <c r="F265" s="33"/>
      <c r="H265" s="34"/>
    </row>
    <row r="266" spans="6:8" s="27" customFormat="1">
      <c r="F266" s="33"/>
      <c r="H266" s="34"/>
    </row>
    <row r="267" spans="6:8" s="27" customFormat="1">
      <c r="F267" s="33"/>
      <c r="H267" s="34"/>
    </row>
    <row r="268" spans="6:8" s="27" customFormat="1">
      <c r="F268" s="33"/>
      <c r="H268" s="34"/>
    </row>
    <row r="269" spans="6:8" s="27" customFormat="1">
      <c r="F269" s="33"/>
      <c r="H269" s="34"/>
    </row>
    <row r="270" spans="6:8" s="27" customFormat="1">
      <c r="F270" s="33"/>
      <c r="H270" s="34"/>
    </row>
    <row r="271" spans="6:8" s="27" customFormat="1">
      <c r="F271" s="33"/>
      <c r="H271" s="34"/>
    </row>
    <row r="272" spans="6:8" s="27" customFormat="1">
      <c r="F272" s="33"/>
      <c r="H272" s="34"/>
    </row>
    <row r="273" spans="6:8" s="27" customFormat="1">
      <c r="F273" s="33"/>
      <c r="H273" s="34"/>
    </row>
    <row r="274" spans="6:8" s="27" customFormat="1">
      <c r="F274" s="33"/>
      <c r="H274" s="34"/>
    </row>
    <row r="275" spans="6:8" s="27" customFormat="1">
      <c r="F275" s="33"/>
      <c r="H275" s="34"/>
    </row>
    <row r="276" spans="6:8" s="27" customFormat="1">
      <c r="F276" s="33"/>
      <c r="H276" s="34"/>
    </row>
    <row r="277" spans="6:8" s="27" customFormat="1">
      <c r="F277" s="33"/>
      <c r="H277" s="34"/>
    </row>
    <row r="278" spans="6:8" s="27" customFormat="1">
      <c r="F278" s="33"/>
      <c r="H278" s="34"/>
    </row>
    <row r="279" spans="6:8" s="27" customFormat="1">
      <c r="F279" s="33"/>
      <c r="H279" s="34"/>
    </row>
    <row r="280" spans="6:8" s="27" customFormat="1">
      <c r="F280" s="33"/>
      <c r="H280" s="34"/>
    </row>
    <row r="281" spans="6:8" s="27" customFormat="1">
      <c r="F281" s="33"/>
      <c r="H281" s="34"/>
    </row>
    <row r="282" spans="6:8" s="27" customFormat="1">
      <c r="F282" s="33"/>
      <c r="H282" s="34"/>
    </row>
    <row r="283" spans="6:8" s="27" customFormat="1">
      <c r="F283" s="33"/>
      <c r="H283" s="34"/>
    </row>
    <row r="284" spans="6:8" s="27" customFormat="1">
      <c r="F284" s="33"/>
      <c r="H284" s="34"/>
    </row>
    <row r="285" spans="6:8" s="27" customFormat="1">
      <c r="F285" s="33"/>
      <c r="H285" s="34"/>
    </row>
    <row r="286" spans="6:8" s="27" customFormat="1">
      <c r="F286" s="33"/>
      <c r="H286" s="34"/>
    </row>
    <row r="287" spans="6:8" s="27" customFormat="1">
      <c r="F287" s="33"/>
      <c r="H287" s="34"/>
    </row>
    <row r="288" spans="6:8" s="27" customFormat="1">
      <c r="F288" s="33"/>
      <c r="H288" s="34"/>
    </row>
    <row r="289" spans="6:8" s="27" customFormat="1">
      <c r="F289" s="33"/>
      <c r="H289" s="34"/>
    </row>
    <row r="290" spans="6:8" s="27" customFormat="1">
      <c r="F290" s="33"/>
      <c r="H290" s="34"/>
    </row>
    <row r="291" spans="6:8" s="27" customFormat="1">
      <c r="F291" s="33"/>
      <c r="H291" s="34"/>
    </row>
    <row r="292" spans="6:8" s="27" customFormat="1">
      <c r="F292" s="33"/>
      <c r="H292" s="34"/>
    </row>
    <row r="293" spans="6:8" s="27" customFormat="1">
      <c r="F293" s="33"/>
      <c r="H293" s="34"/>
    </row>
    <row r="294" spans="6:8" s="27" customFormat="1">
      <c r="F294" s="33"/>
      <c r="H294" s="34"/>
    </row>
    <row r="295" spans="6:8" s="27" customFormat="1">
      <c r="F295" s="33"/>
      <c r="H295" s="34"/>
    </row>
    <row r="296" spans="6:8" s="27" customFormat="1">
      <c r="F296" s="33"/>
      <c r="H296" s="34"/>
    </row>
    <row r="297" spans="6:8" s="27" customFormat="1">
      <c r="F297" s="33"/>
      <c r="H297" s="34"/>
    </row>
    <row r="298" spans="6:8" s="27" customFormat="1">
      <c r="F298" s="33"/>
      <c r="H298" s="34"/>
    </row>
    <row r="299" spans="6:8" s="27" customFormat="1">
      <c r="F299" s="33"/>
      <c r="H299" s="34"/>
    </row>
    <row r="300" spans="6:8" s="27" customFormat="1">
      <c r="F300" s="33"/>
      <c r="H300" s="34"/>
    </row>
    <row r="301" spans="6:8" s="27" customFormat="1">
      <c r="F301" s="33"/>
      <c r="H301" s="34"/>
    </row>
    <row r="302" spans="6:8" s="27" customFormat="1">
      <c r="F302" s="33"/>
      <c r="H302" s="34"/>
    </row>
    <row r="303" spans="6:8" s="27" customFormat="1">
      <c r="F303" s="33"/>
      <c r="H303" s="34"/>
    </row>
    <row r="304" spans="6:8" s="27" customFormat="1">
      <c r="F304" s="33"/>
      <c r="H304" s="34"/>
    </row>
    <row r="305" spans="6:8" s="27" customFormat="1">
      <c r="F305" s="33"/>
      <c r="H305" s="34"/>
    </row>
    <row r="306" spans="6:8" s="27" customFormat="1">
      <c r="F306" s="33"/>
      <c r="H306" s="34"/>
    </row>
    <row r="307" spans="6:8" s="27" customFormat="1">
      <c r="F307" s="33"/>
      <c r="H307" s="34"/>
    </row>
    <row r="308" spans="6:8" s="27" customFormat="1">
      <c r="F308" s="33"/>
      <c r="H308" s="34"/>
    </row>
    <row r="309" spans="6:8" s="27" customFormat="1">
      <c r="F309" s="33"/>
      <c r="H309" s="34"/>
    </row>
    <row r="310" spans="6:8" s="27" customFormat="1">
      <c r="F310" s="33"/>
      <c r="H310" s="34"/>
    </row>
    <row r="311" spans="6:8" s="27" customFormat="1">
      <c r="F311" s="33"/>
      <c r="H311" s="34"/>
    </row>
    <row r="312" spans="6:8" s="27" customFormat="1">
      <c r="F312" s="33"/>
      <c r="H312" s="34"/>
    </row>
    <row r="313" spans="6:8" s="27" customFormat="1">
      <c r="F313" s="33"/>
      <c r="H313" s="34"/>
    </row>
    <row r="314" spans="6:8" s="27" customFormat="1">
      <c r="F314" s="33"/>
      <c r="H314" s="34"/>
    </row>
    <row r="315" spans="6:8" s="27" customFormat="1">
      <c r="F315" s="33"/>
      <c r="H315" s="34"/>
    </row>
    <row r="316" spans="6:8" s="27" customFormat="1">
      <c r="F316" s="33"/>
      <c r="H316" s="34"/>
    </row>
    <row r="317" spans="6:8" s="27" customFormat="1">
      <c r="F317" s="33"/>
      <c r="H317" s="34"/>
    </row>
    <row r="318" spans="6:8" s="27" customFormat="1">
      <c r="F318" s="33"/>
      <c r="H318" s="34"/>
    </row>
    <row r="319" spans="6:8" s="27" customFormat="1">
      <c r="F319" s="33"/>
      <c r="H319" s="34"/>
    </row>
    <row r="320" spans="6:8" s="27" customFormat="1">
      <c r="F320" s="33"/>
      <c r="H320" s="34"/>
    </row>
    <row r="321" spans="6:8" s="27" customFormat="1">
      <c r="F321" s="33"/>
      <c r="H321" s="34"/>
    </row>
    <row r="322" spans="6:8" s="27" customFormat="1">
      <c r="F322" s="33"/>
      <c r="H322" s="34"/>
    </row>
    <row r="323" spans="6:8" s="27" customFormat="1">
      <c r="F323" s="33"/>
      <c r="H323" s="34"/>
    </row>
    <row r="324" spans="6:8" s="27" customFormat="1">
      <c r="F324" s="33"/>
      <c r="H324" s="34"/>
    </row>
    <row r="325" spans="6:8" s="27" customFormat="1">
      <c r="F325" s="33"/>
      <c r="H325" s="34"/>
    </row>
    <row r="326" spans="6:8" s="27" customFormat="1">
      <c r="F326" s="33"/>
      <c r="H326" s="34"/>
    </row>
    <row r="327" spans="6:8" s="27" customFormat="1">
      <c r="F327" s="33"/>
      <c r="H327" s="34"/>
    </row>
    <row r="328" spans="6:8" s="27" customFormat="1">
      <c r="F328" s="33"/>
      <c r="H328" s="34"/>
    </row>
    <row r="329" spans="6:8" s="27" customFormat="1">
      <c r="F329" s="33"/>
      <c r="H329" s="34"/>
    </row>
    <row r="330" spans="6:8" s="27" customFormat="1">
      <c r="F330" s="33"/>
      <c r="H330" s="34"/>
    </row>
    <row r="331" spans="6:8" s="27" customFormat="1">
      <c r="F331" s="33"/>
      <c r="H331" s="34"/>
    </row>
    <row r="332" spans="6:8" s="27" customFormat="1">
      <c r="F332" s="33"/>
      <c r="H332" s="34"/>
    </row>
    <row r="333" spans="6:8" s="27" customFormat="1">
      <c r="F333" s="33"/>
      <c r="H333" s="34"/>
    </row>
    <row r="334" spans="6:8" s="27" customFormat="1">
      <c r="F334" s="33"/>
      <c r="H334" s="34"/>
    </row>
    <row r="335" spans="6:8" s="27" customFormat="1">
      <c r="F335" s="33"/>
      <c r="H335" s="34"/>
    </row>
    <row r="336" spans="6:8" s="27" customFormat="1">
      <c r="F336" s="33"/>
      <c r="H336" s="34"/>
    </row>
    <row r="337" spans="6:8" s="27" customFormat="1">
      <c r="F337" s="33"/>
      <c r="H337" s="34"/>
    </row>
    <row r="338" spans="6:8" s="27" customFormat="1">
      <c r="F338" s="33"/>
      <c r="H338" s="34"/>
    </row>
    <row r="339" spans="6:8" s="27" customFormat="1">
      <c r="F339" s="33"/>
      <c r="H339" s="34"/>
    </row>
    <row r="340" spans="6:8" s="27" customFormat="1">
      <c r="F340" s="33"/>
      <c r="H340" s="34"/>
    </row>
    <row r="341" spans="6:8" s="27" customFormat="1">
      <c r="F341" s="33"/>
      <c r="H341" s="34"/>
    </row>
    <row r="342" spans="6:8" s="27" customFormat="1">
      <c r="F342" s="33"/>
      <c r="H342" s="34"/>
    </row>
    <row r="343" spans="6:8" s="27" customFormat="1">
      <c r="F343" s="33"/>
      <c r="H343" s="34"/>
    </row>
    <row r="344" spans="6:8" s="27" customFormat="1">
      <c r="F344" s="33"/>
      <c r="H344" s="34"/>
    </row>
    <row r="345" spans="6:8" s="27" customFormat="1">
      <c r="F345" s="33"/>
      <c r="H345" s="34"/>
    </row>
    <row r="346" spans="6:8" s="27" customFormat="1">
      <c r="F346" s="33"/>
      <c r="H346" s="34"/>
    </row>
    <row r="347" spans="6:8" s="27" customFormat="1">
      <c r="F347" s="33"/>
      <c r="H347" s="34"/>
    </row>
    <row r="348" spans="6:8" s="27" customFormat="1">
      <c r="F348" s="33"/>
      <c r="H348" s="34"/>
    </row>
    <row r="349" spans="6:8" s="27" customFormat="1">
      <c r="F349" s="33"/>
      <c r="H349" s="34"/>
    </row>
    <row r="350" spans="6:8" s="27" customFormat="1">
      <c r="F350" s="33"/>
      <c r="H350" s="34"/>
    </row>
    <row r="351" spans="6:8" s="27" customFormat="1">
      <c r="F351" s="33"/>
      <c r="H351" s="34"/>
    </row>
    <row r="352" spans="6:8" s="27" customFormat="1">
      <c r="F352" s="33"/>
      <c r="H352" s="34"/>
    </row>
    <row r="353" spans="6:8" s="27" customFormat="1">
      <c r="F353" s="33"/>
      <c r="H353" s="34"/>
    </row>
    <row r="354" spans="6:8" s="27" customFormat="1">
      <c r="F354" s="33"/>
      <c r="H354" s="34"/>
    </row>
    <row r="355" spans="6:8" s="27" customFormat="1">
      <c r="F355" s="33"/>
      <c r="H355" s="34"/>
    </row>
    <row r="356" spans="6:8" s="27" customFormat="1">
      <c r="F356" s="33"/>
      <c r="H356" s="34"/>
    </row>
    <row r="357" spans="6:8" s="27" customFormat="1">
      <c r="F357" s="33"/>
      <c r="H357" s="34"/>
    </row>
    <row r="358" spans="6:8" s="27" customFormat="1">
      <c r="F358" s="33"/>
      <c r="H358" s="34"/>
    </row>
    <row r="359" spans="6:8" s="27" customFormat="1">
      <c r="F359" s="33"/>
      <c r="H359" s="34"/>
    </row>
    <row r="360" spans="6:8" s="27" customFormat="1">
      <c r="F360" s="33"/>
      <c r="H360" s="34"/>
    </row>
    <row r="361" spans="6:8" s="27" customFormat="1">
      <c r="F361" s="33"/>
      <c r="H361" s="34"/>
    </row>
    <row r="362" spans="6:8" s="27" customFormat="1">
      <c r="F362" s="33"/>
      <c r="H362" s="34"/>
    </row>
    <row r="363" spans="6:8" s="27" customFormat="1">
      <c r="F363" s="33"/>
      <c r="H363" s="34"/>
    </row>
    <row r="364" spans="6:8" s="27" customFormat="1">
      <c r="F364" s="33"/>
      <c r="H364" s="34"/>
    </row>
    <row r="365" spans="6:8" s="27" customFormat="1">
      <c r="F365" s="33"/>
      <c r="H365" s="34"/>
    </row>
    <row r="366" spans="6:8" s="27" customFormat="1">
      <c r="F366" s="33"/>
      <c r="H366" s="34"/>
    </row>
    <row r="367" spans="6:8" s="27" customFormat="1">
      <c r="F367" s="33"/>
      <c r="H367" s="34"/>
    </row>
    <row r="368" spans="6:8" s="27" customFormat="1">
      <c r="F368" s="33"/>
      <c r="H368" s="34"/>
    </row>
    <row r="369" spans="6:8" s="27" customFormat="1">
      <c r="F369" s="33"/>
      <c r="H369" s="34"/>
    </row>
    <row r="370" spans="6:8" s="27" customFormat="1">
      <c r="F370" s="33"/>
      <c r="H370" s="34"/>
    </row>
    <row r="371" spans="6:8" s="27" customFormat="1">
      <c r="F371" s="33"/>
      <c r="H371" s="34"/>
    </row>
    <row r="372" spans="6:8" s="27" customFormat="1">
      <c r="F372" s="33"/>
      <c r="H372" s="34"/>
    </row>
    <row r="373" spans="6:8" s="27" customFormat="1">
      <c r="F373" s="33"/>
      <c r="H373" s="34"/>
    </row>
    <row r="374" spans="6:8" s="27" customFormat="1">
      <c r="F374" s="33"/>
      <c r="H374" s="34"/>
    </row>
    <row r="375" spans="6:8" s="27" customFormat="1">
      <c r="F375" s="33"/>
      <c r="H375" s="34"/>
    </row>
    <row r="376" spans="6:8" s="27" customFormat="1">
      <c r="F376" s="33"/>
      <c r="H376" s="34"/>
    </row>
    <row r="377" spans="6:8" s="27" customFormat="1">
      <c r="F377" s="33"/>
      <c r="H377" s="34"/>
    </row>
    <row r="378" spans="6:8" s="27" customFormat="1">
      <c r="F378" s="33"/>
      <c r="H378" s="34"/>
    </row>
    <row r="379" spans="6:8" s="27" customFormat="1">
      <c r="F379" s="33"/>
      <c r="H379" s="34"/>
    </row>
    <row r="380" spans="6:8" s="27" customFormat="1">
      <c r="F380" s="33"/>
      <c r="H380" s="34"/>
    </row>
    <row r="381" spans="6:8" s="27" customFormat="1">
      <c r="F381" s="33"/>
      <c r="H381" s="34"/>
    </row>
    <row r="382" spans="6:8" s="27" customFormat="1">
      <c r="F382" s="33"/>
      <c r="H382" s="34"/>
    </row>
    <row r="383" spans="6:8" s="27" customFormat="1">
      <c r="F383" s="33"/>
      <c r="H383" s="34"/>
    </row>
    <row r="384" spans="6:8" s="27" customFormat="1">
      <c r="F384" s="33"/>
      <c r="H384" s="34"/>
    </row>
    <row r="385" spans="6:8" s="27" customFormat="1">
      <c r="F385" s="33"/>
      <c r="H385" s="34"/>
    </row>
    <row r="386" spans="6:8" s="27" customFormat="1">
      <c r="F386" s="33"/>
      <c r="H386" s="34"/>
    </row>
    <row r="387" spans="6:8" s="27" customFormat="1">
      <c r="F387" s="33"/>
      <c r="H387" s="34"/>
    </row>
    <row r="388" spans="6:8" s="27" customFormat="1">
      <c r="F388" s="33"/>
      <c r="H388" s="34"/>
    </row>
    <row r="389" spans="6:8" s="27" customFormat="1">
      <c r="F389" s="33"/>
      <c r="H389" s="34"/>
    </row>
    <row r="390" spans="6:8" s="27" customFormat="1">
      <c r="F390" s="33"/>
      <c r="H390" s="34"/>
    </row>
    <row r="391" spans="6:8" s="27" customFormat="1">
      <c r="F391" s="33"/>
      <c r="H391" s="34"/>
    </row>
    <row r="392" spans="6:8" s="27" customFormat="1">
      <c r="F392" s="33"/>
      <c r="H392" s="34"/>
    </row>
    <row r="393" spans="6:8" s="27" customFormat="1">
      <c r="F393" s="33"/>
      <c r="H393" s="34"/>
    </row>
    <row r="394" spans="6:8" s="27" customFormat="1">
      <c r="F394" s="33"/>
      <c r="H394" s="34"/>
    </row>
    <row r="395" spans="6:8" s="27" customFormat="1">
      <c r="F395" s="33"/>
      <c r="H395" s="34"/>
    </row>
    <row r="396" spans="6:8" s="27" customFormat="1">
      <c r="F396" s="33"/>
      <c r="H396" s="34"/>
    </row>
    <row r="397" spans="6:8" s="27" customFormat="1">
      <c r="F397" s="33"/>
      <c r="H397" s="34"/>
    </row>
    <row r="398" spans="6:8" s="27" customFormat="1">
      <c r="F398" s="33"/>
      <c r="H398" s="34"/>
    </row>
    <row r="399" spans="6:8" s="27" customFormat="1">
      <c r="F399" s="33"/>
      <c r="H399" s="34"/>
    </row>
    <row r="400" spans="6:8" s="27" customFormat="1">
      <c r="F400" s="33"/>
      <c r="H400" s="34"/>
    </row>
    <row r="401" spans="6:8" s="27" customFormat="1">
      <c r="F401" s="33"/>
      <c r="H401" s="34"/>
    </row>
    <row r="402" spans="6:8" s="27" customFormat="1">
      <c r="F402" s="33"/>
      <c r="H402" s="34"/>
    </row>
    <row r="403" spans="6:8" s="27" customFormat="1">
      <c r="F403" s="33"/>
      <c r="H403" s="34"/>
    </row>
    <row r="404" spans="6:8" s="27" customFormat="1">
      <c r="F404" s="33"/>
      <c r="H404" s="34"/>
    </row>
    <row r="405" spans="6:8" s="27" customFormat="1">
      <c r="F405" s="33"/>
      <c r="H405" s="34"/>
    </row>
    <row r="406" spans="6:8" s="27" customFormat="1">
      <c r="F406" s="33"/>
      <c r="H406" s="34"/>
    </row>
    <row r="407" spans="6:8" s="27" customFormat="1">
      <c r="F407" s="33"/>
      <c r="H407" s="34"/>
    </row>
    <row r="408" spans="6:8" s="27" customFormat="1">
      <c r="F408" s="33"/>
      <c r="H408" s="34"/>
    </row>
    <row r="409" spans="6:8" s="27" customFormat="1">
      <c r="F409" s="33"/>
      <c r="H409" s="34"/>
    </row>
    <row r="410" spans="6:8" s="27" customFormat="1">
      <c r="F410" s="33"/>
      <c r="H410" s="34"/>
    </row>
    <row r="411" spans="6:8" s="27" customFormat="1">
      <c r="F411" s="33"/>
      <c r="H411" s="34"/>
    </row>
    <row r="412" spans="6:8" s="27" customFormat="1">
      <c r="F412" s="33"/>
      <c r="H412" s="34"/>
    </row>
    <row r="413" spans="6:8" s="27" customFormat="1">
      <c r="F413" s="33"/>
      <c r="H413" s="34"/>
    </row>
    <row r="414" spans="6:8" s="27" customFormat="1">
      <c r="F414" s="33"/>
      <c r="H414" s="34"/>
    </row>
    <row r="415" spans="6:8" s="27" customFormat="1">
      <c r="F415" s="33"/>
      <c r="H415" s="34"/>
    </row>
    <row r="416" spans="6:8" s="27" customFormat="1">
      <c r="F416" s="33"/>
      <c r="H416" s="34"/>
    </row>
    <row r="417" spans="6:8" s="27" customFormat="1">
      <c r="F417" s="33"/>
      <c r="H417" s="34"/>
    </row>
    <row r="418" spans="6:8" s="27" customFormat="1">
      <c r="F418" s="33"/>
      <c r="H418" s="34"/>
    </row>
    <row r="419" spans="6:8" s="27" customFormat="1">
      <c r="F419" s="33"/>
      <c r="H419" s="34"/>
    </row>
    <row r="420" spans="6:8" s="27" customFormat="1">
      <c r="F420" s="33"/>
      <c r="H420" s="34"/>
    </row>
    <row r="421" spans="6:8" s="27" customFormat="1">
      <c r="F421" s="33"/>
      <c r="H421" s="34"/>
    </row>
    <row r="422" spans="6:8" s="27" customFormat="1">
      <c r="F422" s="33"/>
      <c r="H422" s="34"/>
    </row>
    <row r="423" spans="6:8" s="27" customFormat="1">
      <c r="F423" s="33"/>
      <c r="H423" s="34"/>
    </row>
    <row r="424" spans="6:8" s="27" customFormat="1">
      <c r="F424" s="33"/>
      <c r="H424" s="34"/>
    </row>
    <row r="425" spans="6:8" s="27" customFormat="1">
      <c r="F425" s="33"/>
      <c r="H425" s="34"/>
    </row>
    <row r="426" spans="6:8" s="27" customFormat="1">
      <c r="F426" s="33"/>
      <c r="H426" s="34"/>
    </row>
    <row r="427" spans="6:8" s="27" customFormat="1">
      <c r="F427" s="33"/>
      <c r="H427" s="34"/>
    </row>
    <row r="428" spans="6:8" s="27" customFormat="1">
      <c r="F428" s="33"/>
      <c r="H428" s="34"/>
    </row>
    <row r="429" spans="6:8" s="27" customFormat="1">
      <c r="F429" s="33"/>
      <c r="H429" s="34"/>
    </row>
    <row r="430" spans="6:8" s="27" customFormat="1">
      <c r="F430" s="33"/>
      <c r="H430" s="34"/>
    </row>
    <row r="431" spans="6:8" s="27" customFormat="1">
      <c r="F431" s="33"/>
      <c r="H431" s="34"/>
    </row>
    <row r="432" spans="6:8" s="27" customFormat="1">
      <c r="F432" s="33"/>
      <c r="H432" s="34"/>
    </row>
    <row r="433" spans="6:8" s="27" customFormat="1">
      <c r="F433" s="33"/>
      <c r="H433" s="34"/>
    </row>
    <row r="434" spans="6:8" s="27" customFormat="1">
      <c r="F434" s="33"/>
      <c r="H434" s="34"/>
    </row>
    <row r="435" spans="6:8" s="27" customFormat="1">
      <c r="F435" s="33"/>
      <c r="H435" s="34"/>
    </row>
    <row r="436" spans="6:8" s="27" customFormat="1">
      <c r="F436" s="33"/>
      <c r="H436" s="34"/>
    </row>
    <row r="437" spans="6:8" s="27" customFormat="1">
      <c r="F437" s="33"/>
      <c r="H437" s="34"/>
    </row>
    <row r="438" spans="6:8" s="27" customFormat="1">
      <c r="F438" s="33"/>
      <c r="H438" s="34"/>
    </row>
    <row r="439" spans="6:8" s="27" customFormat="1">
      <c r="F439" s="33"/>
      <c r="H439" s="34"/>
    </row>
    <row r="440" spans="6:8" s="27" customFormat="1">
      <c r="F440" s="33"/>
      <c r="H440" s="34"/>
    </row>
    <row r="441" spans="6:8" s="27" customFormat="1">
      <c r="F441" s="33"/>
      <c r="H441" s="34"/>
    </row>
    <row r="442" spans="6:8" s="27" customFormat="1">
      <c r="F442" s="33"/>
      <c r="H442" s="34"/>
    </row>
    <row r="443" spans="6:8" s="27" customFormat="1">
      <c r="F443" s="33"/>
      <c r="H443" s="34"/>
    </row>
    <row r="444" spans="6:8" s="27" customFormat="1">
      <c r="F444" s="33"/>
      <c r="H444" s="34"/>
    </row>
    <row r="445" spans="6:8" s="27" customFormat="1">
      <c r="F445" s="33"/>
      <c r="H445" s="34"/>
    </row>
    <row r="446" spans="6:8" s="27" customFormat="1">
      <c r="F446" s="33"/>
      <c r="H446" s="34"/>
    </row>
    <row r="447" spans="6:8" s="27" customFormat="1">
      <c r="F447" s="33"/>
      <c r="H447" s="34"/>
    </row>
    <row r="448" spans="6:8" s="27" customFormat="1">
      <c r="F448" s="33"/>
      <c r="H448" s="34"/>
    </row>
    <row r="449" spans="6:8" s="27" customFormat="1">
      <c r="F449" s="33"/>
      <c r="H449" s="34"/>
    </row>
    <row r="450" spans="6:8" s="27" customFormat="1">
      <c r="F450" s="33"/>
      <c r="H450" s="34"/>
    </row>
    <row r="451" spans="6:8" s="27" customFormat="1">
      <c r="F451" s="33"/>
      <c r="H451" s="34"/>
    </row>
    <row r="452" spans="6:8" s="27" customFormat="1">
      <c r="F452" s="33"/>
      <c r="H452" s="34"/>
    </row>
    <row r="453" spans="6:8" s="27" customFormat="1">
      <c r="F453" s="33"/>
      <c r="H453" s="34"/>
    </row>
    <row r="454" spans="6:8" s="27" customFormat="1">
      <c r="F454" s="33"/>
      <c r="H454" s="34"/>
    </row>
    <row r="455" spans="6:8" s="27" customFormat="1">
      <c r="F455" s="33"/>
      <c r="H455" s="34"/>
    </row>
    <row r="456" spans="6:8" s="27" customFormat="1">
      <c r="F456" s="33"/>
      <c r="H456" s="34"/>
    </row>
    <row r="457" spans="6:8" s="27" customFormat="1">
      <c r="F457" s="33"/>
      <c r="H457" s="34"/>
    </row>
    <row r="458" spans="6:8" s="27" customFormat="1">
      <c r="F458" s="33"/>
      <c r="H458" s="34"/>
    </row>
    <row r="459" spans="6:8" s="27" customFormat="1">
      <c r="F459" s="33"/>
      <c r="H459" s="34"/>
    </row>
    <row r="460" spans="6:8" s="27" customFormat="1">
      <c r="F460" s="33"/>
      <c r="H460" s="34"/>
    </row>
    <row r="461" spans="6:8" s="27" customFormat="1">
      <c r="F461" s="33"/>
      <c r="H461" s="34"/>
    </row>
    <row r="462" spans="6:8" s="27" customFormat="1">
      <c r="F462" s="33"/>
      <c r="H462" s="34"/>
    </row>
    <row r="463" spans="6:8" s="27" customFormat="1">
      <c r="F463" s="33"/>
      <c r="H463" s="34"/>
    </row>
    <row r="464" spans="6:8" s="27" customFormat="1">
      <c r="F464" s="33"/>
      <c r="H464" s="34"/>
    </row>
    <row r="465" spans="6:8" s="27" customFormat="1">
      <c r="F465" s="33"/>
      <c r="H465" s="34"/>
    </row>
    <row r="466" spans="6:8" s="27" customFormat="1">
      <c r="F466" s="33"/>
      <c r="H466" s="34"/>
    </row>
    <row r="467" spans="6:8" s="27" customFormat="1">
      <c r="F467" s="33"/>
      <c r="H467" s="34"/>
    </row>
    <row r="468" spans="6:8" s="27" customFormat="1">
      <c r="F468" s="33"/>
      <c r="H468" s="34"/>
    </row>
    <row r="469" spans="6:8" s="27" customFormat="1">
      <c r="F469" s="33"/>
      <c r="H469" s="34"/>
    </row>
    <row r="470" spans="6:8" s="27" customFormat="1">
      <c r="F470" s="33"/>
      <c r="H470" s="34"/>
    </row>
    <row r="471" spans="6:8" s="27" customFormat="1">
      <c r="F471" s="33"/>
      <c r="H471" s="34"/>
    </row>
    <row r="472" spans="6:8" s="27" customFormat="1">
      <c r="F472" s="33"/>
      <c r="H472" s="34"/>
    </row>
    <row r="473" spans="6:8" s="27" customFormat="1">
      <c r="F473" s="33"/>
      <c r="H473" s="34"/>
    </row>
    <row r="474" spans="6:8" s="27" customFormat="1">
      <c r="F474" s="33"/>
      <c r="H474" s="34"/>
    </row>
    <row r="475" spans="6:8" s="27" customFormat="1">
      <c r="F475" s="33"/>
      <c r="H475" s="34"/>
    </row>
    <row r="476" spans="6:8" s="27" customFormat="1">
      <c r="F476" s="33"/>
      <c r="H476" s="34"/>
    </row>
    <row r="477" spans="6:8" s="27" customFormat="1">
      <c r="F477" s="33"/>
      <c r="H477" s="34"/>
    </row>
    <row r="478" spans="6:8" s="27" customFormat="1">
      <c r="F478" s="33"/>
      <c r="H478" s="34"/>
    </row>
    <row r="479" spans="6:8" s="27" customFormat="1">
      <c r="F479" s="33"/>
      <c r="H479" s="34"/>
    </row>
    <row r="480" spans="6:8" s="27" customFormat="1">
      <c r="F480" s="33"/>
      <c r="H480" s="34"/>
    </row>
    <row r="481" spans="6:8" s="27" customFormat="1">
      <c r="F481" s="33"/>
      <c r="H481" s="34"/>
    </row>
    <row r="482" spans="6:8" s="27" customFormat="1">
      <c r="F482" s="33"/>
      <c r="H482" s="34"/>
    </row>
    <row r="483" spans="6:8" s="27" customFormat="1">
      <c r="F483" s="33"/>
      <c r="H483" s="34"/>
    </row>
    <row r="484" spans="6:8" s="27" customFormat="1">
      <c r="F484" s="33"/>
      <c r="H484" s="34"/>
    </row>
    <row r="485" spans="6:8" s="27" customFormat="1">
      <c r="F485" s="33"/>
      <c r="H485" s="34"/>
    </row>
    <row r="486" spans="6:8" s="27" customFormat="1">
      <c r="F486" s="33"/>
      <c r="H486" s="34"/>
    </row>
    <row r="487" spans="6:8" s="27" customFormat="1">
      <c r="F487" s="33"/>
      <c r="H487" s="34"/>
    </row>
    <row r="488" spans="6:8" s="27" customFormat="1">
      <c r="F488" s="33"/>
      <c r="H488" s="34"/>
    </row>
    <row r="489" spans="6:8" s="27" customFormat="1">
      <c r="F489" s="33"/>
      <c r="H489" s="34"/>
    </row>
    <row r="490" spans="6:8" s="27" customFormat="1">
      <c r="F490" s="33"/>
      <c r="H490" s="34"/>
    </row>
    <row r="491" spans="6:8" s="27" customFormat="1">
      <c r="F491" s="33"/>
      <c r="H491" s="34"/>
    </row>
    <row r="492" spans="6:8" s="27" customFormat="1">
      <c r="F492" s="33"/>
      <c r="H492" s="34"/>
    </row>
    <row r="493" spans="6:8" s="27" customFormat="1">
      <c r="F493" s="33"/>
      <c r="H493" s="34"/>
    </row>
    <row r="494" spans="6:8" s="27" customFormat="1">
      <c r="F494" s="33"/>
      <c r="H494" s="34"/>
    </row>
    <row r="495" spans="6:8" s="27" customFormat="1">
      <c r="F495" s="33"/>
      <c r="H495" s="34"/>
    </row>
    <row r="496" spans="6:8" s="27" customFormat="1">
      <c r="F496" s="33"/>
      <c r="H496" s="34"/>
    </row>
    <row r="497" spans="6:8" s="27" customFormat="1">
      <c r="F497" s="33"/>
      <c r="H497" s="34"/>
    </row>
    <row r="498" spans="6:8" s="27" customFormat="1">
      <c r="F498" s="33"/>
      <c r="H498" s="34"/>
    </row>
    <row r="499" spans="6:8" s="27" customFormat="1">
      <c r="F499" s="33"/>
      <c r="H499" s="34"/>
    </row>
    <row r="500" spans="6:8" s="27" customFormat="1">
      <c r="F500" s="33"/>
      <c r="H500" s="34"/>
    </row>
    <row r="501" spans="6:8" s="27" customFormat="1">
      <c r="F501" s="33"/>
      <c r="H501" s="34"/>
    </row>
    <row r="502" spans="6:8" s="27" customFormat="1">
      <c r="F502" s="33"/>
      <c r="H502" s="34"/>
    </row>
    <row r="503" spans="6:8" s="27" customFormat="1">
      <c r="F503" s="33"/>
      <c r="H503" s="34"/>
    </row>
    <row r="504" spans="6:8" s="27" customFormat="1">
      <c r="F504" s="33"/>
      <c r="H504" s="34"/>
    </row>
    <row r="505" spans="6:8" s="27" customFormat="1">
      <c r="F505" s="33"/>
      <c r="H505" s="34"/>
    </row>
    <row r="506" spans="6:8" s="27" customFormat="1">
      <c r="F506" s="33"/>
      <c r="H506" s="34"/>
    </row>
    <row r="507" spans="6:8" s="27" customFormat="1">
      <c r="F507" s="33"/>
      <c r="H507" s="34"/>
    </row>
    <row r="508" spans="6:8" s="27" customFormat="1">
      <c r="F508" s="33"/>
      <c r="H508" s="34"/>
    </row>
    <row r="509" spans="6:8" s="27" customFormat="1">
      <c r="F509" s="33"/>
      <c r="H509" s="34"/>
    </row>
    <row r="510" spans="6:8" s="27" customFormat="1">
      <c r="F510" s="33"/>
      <c r="H510" s="34"/>
    </row>
    <row r="511" spans="6:8" s="27" customFormat="1">
      <c r="F511" s="33"/>
      <c r="H511" s="34"/>
    </row>
    <row r="512" spans="6:8" s="27" customFormat="1">
      <c r="F512" s="33"/>
      <c r="H512" s="34"/>
    </row>
    <row r="513" spans="6:8" s="27" customFormat="1">
      <c r="F513" s="33"/>
      <c r="H513" s="34"/>
    </row>
    <row r="514" spans="6:8" s="27" customFormat="1">
      <c r="F514" s="33"/>
      <c r="H514" s="34"/>
    </row>
    <row r="515" spans="6:8" s="27" customFormat="1">
      <c r="F515" s="33"/>
      <c r="H515" s="34"/>
    </row>
    <row r="516" spans="6:8" s="27" customFormat="1">
      <c r="F516" s="33"/>
      <c r="H516" s="34"/>
    </row>
    <row r="517" spans="6:8" s="27" customFormat="1">
      <c r="F517" s="33"/>
      <c r="H517" s="34"/>
    </row>
    <row r="518" spans="6:8" s="27" customFormat="1">
      <c r="F518" s="33"/>
      <c r="H518" s="34"/>
    </row>
    <row r="519" spans="6:8" s="27" customFormat="1">
      <c r="F519" s="33"/>
      <c r="H519" s="34"/>
    </row>
    <row r="520" spans="6:8" s="27" customFormat="1">
      <c r="F520" s="33"/>
      <c r="H520" s="34"/>
    </row>
    <row r="521" spans="6:8" s="27" customFormat="1">
      <c r="F521" s="33"/>
      <c r="H521" s="34"/>
    </row>
    <row r="522" spans="6:8" s="27" customFormat="1">
      <c r="F522" s="33"/>
      <c r="H522" s="34"/>
    </row>
    <row r="523" spans="6:8" s="27" customFormat="1">
      <c r="F523" s="33"/>
      <c r="H523" s="34"/>
    </row>
    <row r="524" spans="6:8" s="27" customFormat="1">
      <c r="F524" s="33"/>
      <c r="H524" s="34"/>
    </row>
    <row r="525" spans="6:8" s="27" customFormat="1">
      <c r="F525" s="33"/>
      <c r="H525" s="34"/>
    </row>
    <row r="526" spans="6:8" s="27" customFormat="1">
      <c r="F526" s="33"/>
      <c r="H526" s="34"/>
    </row>
    <row r="527" spans="6:8" s="27" customFormat="1">
      <c r="F527" s="33"/>
      <c r="H527" s="34"/>
    </row>
    <row r="528" spans="6:8" s="27" customFormat="1">
      <c r="F528" s="33"/>
      <c r="H528" s="34"/>
    </row>
    <row r="529" spans="6:8" s="27" customFormat="1">
      <c r="F529" s="33"/>
      <c r="H529" s="34"/>
    </row>
    <row r="530" spans="6:8" s="27" customFormat="1">
      <c r="F530" s="33"/>
      <c r="H530" s="34"/>
    </row>
    <row r="531" spans="6:8" s="27" customFormat="1">
      <c r="F531" s="33"/>
      <c r="H531" s="34"/>
    </row>
    <row r="532" spans="6:8" s="27" customFormat="1">
      <c r="F532" s="33"/>
      <c r="H532" s="34"/>
    </row>
    <row r="533" spans="6:8" s="27" customFormat="1">
      <c r="F533" s="33"/>
      <c r="H533" s="34"/>
    </row>
    <row r="534" spans="6:8" s="27" customFormat="1">
      <c r="F534" s="33"/>
      <c r="H534" s="34"/>
    </row>
    <row r="535" spans="6:8" s="27" customFormat="1">
      <c r="F535" s="33"/>
      <c r="H535" s="34"/>
    </row>
    <row r="536" spans="6:8" s="27" customFormat="1">
      <c r="F536" s="33"/>
      <c r="H536" s="34"/>
    </row>
    <row r="537" spans="6:8" s="27" customFormat="1">
      <c r="F537" s="33"/>
      <c r="H537" s="34"/>
    </row>
    <row r="538" spans="6:8" s="27" customFormat="1">
      <c r="F538" s="33"/>
      <c r="H538" s="34"/>
    </row>
    <row r="539" spans="6:8" s="27" customFormat="1">
      <c r="F539" s="33"/>
      <c r="H539" s="34"/>
    </row>
    <row r="540" spans="6:8" s="27" customFormat="1">
      <c r="F540" s="33"/>
      <c r="H540" s="34"/>
    </row>
    <row r="541" spans="6:8" s="27" customFormat="1">
      <c r="F541" s="33"/>
      <c r="H541" s="34"/>
    </row>
    <row r="542" spans="6:8" s="27" customFormat="1">
      <c r="F542" s="33"/>
      <c r="H542" s="34"/>
    </row>
    <row r="543" spans="6:8" s="27" customFormat="1">
      <c r="F543" s="33"/>
      <c r="H543" s="34"/>
    </row>
    <row r="544" spans="6:8" s="27" customFormat="1">
      <c r="F544" s="33"/>
      <c r="H544" s="34"/>
    </row>
    <row r="545" spans="6:8" s="27" customFormat="1">
      <c r="F545" s="33"/>
      <c r="H545" s="34"/>
    </row>
    <row r="546" spans="6:8" s="27" customFormat="1">
      <c r="F546" s="33"/>
      <c r="H546" s="34"/>
    </row>
    <row r="547" spans="6:8" s="27" customFormat="1">
      <c r="F547" s="33"/>
      <c r="H547" s="34"/>
    </row>
    <row r="548" spans="6:8" s="27" customFormat="1">
      <c r="F548" s="33"/>
      <c r="H548" s="34"/>
    </row>
    <row r="549" spans="6:8" s="27" customFormat="1">
      <c r="F549" s="33"/>
      <c r="H549" s="34"/>
    </row>
    <row r="550" spans="6:8" s="27" customFormat="1">
      <c r="F550" s="33"/>
      <c r="H550" s="34"/>
    </row>
    <row r="551" spans="6:8" s="27" customFormat="1">
      <c r="F551" s="33"/>
      <c r="H551" s="34"/>
    </row>
    <row r="552" spans="6:8" s="27" customFormat="1">
      <c r="F552" s="33"/>
      <c r="H552" s="34"/>
    </row>
    <row r="553" spans="6:8" s="27" customFormat="1">
      <c r="F553" s="33"/>
      <c r="H553" s="34"/>
    </row>
    <row r="554" spans="6:8" s="27" customFormat="1">
      <c r="F554" s="33"/>
      <c r="H554" s="34"/>
    </row>
    <row r="555" spans="6:8" s="27" customFormat="1">
      <c r="F555" s="33"/>
      <c r="H555" s="34"/>
    </row>
    <row r="556" spans="6:8" s="27" customFormat="1">
      <c r="F556" s="33"/>
      <c r="H556" s="34"/>
    </row>
    <row r="557" spans="6:8" s="27" customFormat="1">
      <c r="F557" s="33"/>
      <c r="H557" s="34"/>
    </row>
    <row r="558" spans="6:8" s="27" customFormat="1">
      <c r="F558" s="33"/>
      <c r="H558" s="34"/>
    </row>
    <row r="559" spans="6:8" s="27" customFormat="1">
      <c r="F559" s="33"/>
      <c r="H559" s="34"/>
    </row>
    <row r="560" spans="6:8" s="27" customFormat="1">
      <c r="F560" s="33"/>
      <c r="H560" s="34"/>
    </row>
    <row r="561" spans="6:8" s="27" customFormat="1">
      <c r="F561" s="33"/>
      <c r="H561" s="34"/>
    </row>
    <row r="562" spans="6:8" s="27" customFormat="1">
      <c r="F562" s="33"/>
      <c r="H562" s="34"/>
    </row>
    <row r="563" spans="6:8" s="27" customFormat="1">
      <c r="F563" s="33"/>
      <c r="H563" s="34"/>
    </row>
    <row r="564" spans="6:8" s="27" customFormat="1">
      <c r="F564" s="33"/>
      <c r="H564" s="34"/>
    </row>
    <row r="565" spans="6:8" s="27" customFormat="1">
      <c r="F565" s="33"/>
      <c r="H565" s="34"/>
    </row>
    <row r="566" spans="6:8" s="27" customFormat="1">
      <c r="F566" s="33"/>
      <c r="H566" s="34"/>
    </row>
    <row r="567" spans="6:8" s="27" customFormat="1">
      <c r="F567" s="33"/>
      <c r="H567" s="34"/>
    </row>
    <row r="568" spans="6:8" s="27" customFormat="1">
      <c r="F568" s="33"/>
      <c r="H568" s="34"/>
    </row>
    <row r="569" spans="6:8" s="27" customFormat="1">
      <c r="F569" s="33"/>
      <c r="H569" s="34"/>
    </row>
    <row r="570" spans="6:8" s="27" customFormat="1">
      <c r="F570" s="33"/>
      <c r="H570" s="34"/>
    </row>
    <row r="571" spans="6:8" s="27" customFormat="1">
      <c r="F571" s="33"/>
      <c r="H571" s="34"/>
    </row>
    <row r="572" spans="6:8" s="27" customFormat="1">
      <c r="F572" s="33"/>
      <c r="H572" s="34"/>
    </row>
    <row r="573" spans="6:8" s="27" customFormat="1">
      <c r="F573" s="33"/>
      <c r="H573" s="34"/>
    </row>
    <row r="574" spans="6:8" s="27" customFormat="1">
      <c r="F574" s="33"/>
      <c r="H574" s="34"/>
    </row>
    <row r="575" spans="6:8" s="27" customFormat="1">
      <c r="F575" s="33"/>
      <c r="H575" s="34"/>
    </row>
    <row r="576" spans="6:8" s="27" customFormat="1">
      <c r="F576" s="33"/>
      <c r="H576" s="34"/>
    </row>
    <row r="577" spans="6:8" s="27" customFormat="1">
      <c r="F577" s="33"/>
      <c r="H577" s="34"/>
    </row>
    <row r="578" spans="6:8" s="27" customFormat="1">
      <c r="F578" s="33"/>
      <c r="H578" s="34"/>
    </row>
    <row r="579" spans="6:8" s="27" customFormat="1">
      <c r="F579" s="33"/>
      <c r="H579" s="34"/>
    </row>
    <row r="580" spans="6:8" s="27" customFormat="1">
      <c r="F580" s="33"/>
      <c r="H580" s="34"/>
    </row>
    <row r="581" spans="6:8" s="27" customFormat="1">
      <c r="F581" s="33"/>
      <c r="H581" s="34"/>
    </row>
    <row r="582" spans="6:8" s="27" customFormat="1">
      <c r="F582" s="33"/>
      <c r="H582" s="34"/>
    </row>
    <row r="583" spans="6:8" s="27" customFormat="1">
      <c r="F583" s="33"/>
      <c r="H583" s="34"/>
    </row>
    <row r="584" spans="6:8" s="27" customFormat="1">
      <c r="F584" s="33"/>
      <c r="H584" s="34"/>
    </row>
    <row r="585" spans="6:8" s="27" customFormat="1">
      <c r="F585" s="33"/>
      <c r="H585" s="34"/>
    </row>
    <row r="586" spans="6:8" s="27" customFormat="1">
      <c r="F586" s="33"/>
      <c r="H586" s="34"/>
    </row>
    <row r="587" spans="6:8" s="27" customFormat="1">
      <c r="F587" s="33"/>
      <c r="H587" s="34"/>
    </row>
    <row r="588" spans="6:8" s="27" customFormat="1">
      <c r="F588" s="33"/>
      <c r="H588" s="34"/>
    </row>
    <row r="589" spans="6:8" s="27" customFormat="1">
      <c r="F589" s="33"/>
      <c r="H589" s="34"/>
    </row>
    <row r="590" spans="6:8" s="27" customFormat="1">
      <c r="F590" s="33"/>
      <c r="H590" s="34"/>
    </row>
    <row r="591" spans="6:8" s="27" customFormat="1">
      <c r="F591" s="33"/>
      <c r="H591" s="34"/>
    </row>
    <row r="592" spans="6:8" s="27" customFormat="1">
      <c r="F592" s="33"/>
      <c r="H592" s="34"/>
    </row>
    <row r="593" spans="6:8" s="27" customFormat="1">
      <c r="F593" s="33"/>
      <c r="H593" s="34"/>
    </row>
    <row r="594" spans="6:8" s="27" customFormat="1">
      <c r="F594" s="33"/>
      <c r="H594" s="34"/>
    </row>
    <row r="595" spans="6:8" s="27" customFormat="1">
      <c r="F595" s="33"/>
      <c r="H595" s="34"/>
    </row>
    <row r="596" spans="6:8" s="27" customFormat="1">
      <c r="F596" s="33"/>
      <c r="H596" s="34"/>
    </row>
    <row r="597" spans="6:8" s="27" customFormat="1">
      <c r="F597" s="33"/>
      <c r="H597" s="34"/>
    </row>
    <row r="598" spans="6:8" s="27" customFormat="1">
      <c r="F598" s="33"/>
      <c r="H598" s="34"/>
    </row>
    <row r="599" spans="6:8" s="27" customFormat="1">
      <c r="F599" s="33"/>
      <c r="H599" s="34"/>
    </row>
    <row r="600" spans="6:8" s="27" customFormat="1">
      <c r="F600" s="33"/>
      <c r="H600" s="34"/>
    </row>
    <row r="601" spans="6:8" s="27" customFormat="1">
      <c r="F601" s="33"/>
      <c r="H601" s="34"/>
    </row>
    <row r="602" spans="6:8" s="27" customFormat="1">
      <c r="F602" s="33"/>
      <c r="H602" s="34"/>
    </row>
    <row r="603" spans="6:8" s="27" customFormat="1">
      <c r="F603" s="33"/>
      <c r="H603" s="34"/>
    </row>
    <row r="604" spans="6:8" s="27" customFormat="1">
      <c r="F604" s="33"/>
      <c r="H604" s="34"/>
    </row>
    <row r="605" spans="6:8" s="27" customFormat="1">
      <c r="F605" s="33"/>
      <c r="H605" s="34"/>
    </row>
    <row r="606" spans="6:8" s="27" customFormat="1">
      <c r="F606" s="33"/>
      <c r="H606" s="34"/>
    </row>
    <row r="607" spans="6:8" s="27" customFormat="1">
      <c r="F607" s="33"/>
      <c r="H607" s="34"/>
    </row>
    <row r="608" spans="6:8" s="27" customFormat="1">
      <c r="F608" s="33"/>
      <c r="H608" s="34"/>
    </row>
    <row r="609" spans="6:8" s="27" customFormat="1">
      <c r="F609" s="33"/>
      <c r="H609" s="34"/>
    </row>
    <row r="610" spans="6:8" s="27" customFormat="1">
      <c r="F610" s="33"/>
      <c r="H610" s="34"/>
    </row>
    <row r="611" spans="6:8" s="27" customFormat="1">
      <c r="F611" s="33"/>
      <c r="H611" s="34"/>
    </row>
    <row r="612" spans="6:8" s="27" customFormat="1">
      <c r="F612" s="33"/>
      <c r="H612" s="34"/>
    </row>
    <row r="613" spans="6:8" s="27" customFormat="1">
      <c r="F613" s="33"/>
      <c r="H613" s="34"/>
    </row>
    <row r="614" spans="6:8" s="27" customFormat="1">
      <c r="F614" s="33"/>
      <c r="H614" s="34"/>
    </row>
    <row r="615" spans="6:8" s="27" customFormat="1">
      <c r="F615" s="33"/>
      <c r="H615" s="34"/>
    </row>
    <row r="616" spans="6:8" s="27" customFormat="1">
      <c r="F616" s="33"/>
      <c r="H616" s="34"/>
    </row>
    <row r="617" spans="6:8" s="27" customFormat="1">
      <c r="F617" s="33"/>
      <c r="H617" s="34"/>
    </row>
    <row r="618" spans="6:8" s="27" customFormat="1">
      <c r="F618" s="33"/>
      <c r="H618" s="34"/>
    </row>
    <row r="619" spans="6:8" s="27" customFormat="1">
      <c r="F619" s="33"/>
      <c r="H619" s="34"/>
    </row>
    <row r="620" spans="6:8" s="27" customFormat="1">
      <c r="F620" s="33"/>
      <c r="H620" s="34"/>
    </row>
    <row r="621" spans="6:8" s="27" customFormat="1">
      <c r="F621" s="33"/>
      <c r="H621" s="34"/>
    </row>
    <row r="622" spans="6:8" s="27" customFormat="1">
      <c r="F622" s="33"/>
      <c r="H622" s="34"/>
    </row>
    <row r="623" spans="6:8" s="27" customFormat="1">
      <c r="F623" s="33"/>
      <c r="H623" s="34"/>
    </row>
    <row r="624" spans="6:8" s="27" customFormat="1">
      <c r="F624" s="33"/>
      <c r="H624" s="34"/>
    </row>
    <row r="625" spans="6:8" s="27" customFormat="1">
      <c r="F625" s="33"/>
      <c r="H625" s="34"/>
    </row>
    <row r="626" spans="6:8" s="27" customFormat="1">
      <c r="F626" s="33"/>
      <c r="H626" s="34"/>
    </row>
    <row r="627" spans="6:8" s="27" customFormat="1">
      <c r="F627" s="33"/>
      <c r="H627" s="34"/>
    </row>
    <row r="628" spans="6:8" s="27" customFormat="1">
      <c r="F628" s="33"/>
      <c r="H628" s="34"/>
    </row>
    <row r="629" spans="6:8" s="27" customFormat="1">
      <c r="F629" s="33"/>
      <c r="H629" s="34"/>
    </row>
    <row r="630" spans="6:8" s="27" customFormat="1">
      <c r="F630" s="33"/>
      <c r="H630" s="34"/>
    </row>
    <row r="631" spans="6:8" s="27" customFormat="1">
      <c r="F631" s="33"/>
      <c r="H631" s="34"/>
    </row>
    <row r="632" spans="6:8" s="27" customFormat="1">
      <c r="F632" s="33"/>
      <c r="H632" s="34"/>
    </row>
    <row r="633" spans="6:8" s="27" customFormat="1">
      <c r="F633" s="33"/>
      <c r="H633" s="34"/>
    </row>
    <row r="634" spans="6:8" s="27" customFormat="1">
      <c r="F634" s="33"/>
      <c r="H634" s="34"/>
    </row>
    <row r="635" spans="6:8" s="27" customFormat="1">
      <c r="F635" s="33"/>
      <c r="H635" s="34"/>
    </row>
    <row r="636" spans="6:8" s="27" customFormat="1">
      <c r="F636" s="33"/>
      <c r="H636" s="34"/>
    </row>
    <row r="637" spans="6:8" s="27" customFormat="1">
      <c r="F637" s="33"/>
      <c r="H637" s="34"/>
    </row>
    <row r="638" spans="6:8" s="27" customFormat="1">
      <c r="F638" s="33"/>
      <c r="H638" s="34"/>
    </row>
    <row r="639" spans="6:8" s="27" customFormat="1">
      <c r="F639" s="33"/>
      <c r="H639" s="34"/>
    </row>
    <row r="640" spans="6:8" s="27" customFormat="1">
      <c r="F640" s="33"/>
      <c r="H640" s="34"/>
    </row>
    <row r="641" spans="6:8" s="27" customFormat="1">
      <c r="F641" s="33"/>
      <c r="H641" s="34"/>
    </row>
    <row r="642" spans="6:8" s="27" customFormat="1">
      <c r="F642" s="33"/>
      <c r="H642" s="34"/>
    </row>
    <row r="643" spans="6:8" s="27" customFormat="1">
      <c r="F643" s="33"/>
      <c r="H643" s="34"/>
    </row>
    <row r="644" spans="6:8" s="27" customFormat="1">
      <c r="F644" s="33"/>
      <c r="H644" s="34"/>
    </row>
    <row r="645" spans="6:8" s="27" customFormat="1">
      <c r="F645" s="33"/>
      <c r="H645" s="34"/>
    </row>
    <row r="646" spans="6:8" s="27" customFormat="1">
      <c r="F646" s="33"/>
      <c r="H646" s="34"/>
    </row>
    <row r="647" spans="6:8" s="27" customFormat="1">
      <c r="F647" s="33"/>
      <c r="H647" s="34"/>
    </row>
    <row r="648" spans="6:8" s="27" customFormat="1">
      <c r="F648" s="33"/>
      <c r="H648" s="34"/>
    </row>
    <row r="649" spans="6:8" s="27" customFormat="1">
      <c r="F649" s="33"/>
      <c r="H649" s="34"/>
    </row>
    <row r="650" spans="6:8" s="27" customFormat="1">
      <c r="F650" s="33"/>
      <c r="H650" s="34"/>
    </row>
    <row r="651" spans="6:8" s="27" customFormat="1">
      <c r="F651" s="33"/>
      <c r="H651" s="34"/>
    </row>
    <row r="652" spans="6:8" s="27" customFormat="1">
      <c r="F652" s="33"/>
      <c r="H652" s="34"/>
    </row>
    <row r="653" spans="6:8" s="27" customFormat="1">
      <c r="F653" s="33"/>
      <c r="H653" s="34"/>
    </row>
    <row r="654" spans="6:8" s="27" customFormat="1">
      <c r="F654" s="33"/>
      <c r="H654" s="34"/>
    </row>
    <row r="655" spans="6:8" s="27" customFormat="1">
      <c r="F655" s="33"/>
      <c r="H655" s="34"/>
    </row>
    <row r="656" spans="6:8" s="27" customFormat="1">
      <c r="F656" s="33"/>
      <c r="H656" s="34"/>
    </row>
    <row r="657" spans="6:8" s="27" customFormat="1">
      <c r="F657" s="33"/>
      <c r="H657" s="34"/>
    </row>
    <row r="658" spans="6:8" s="27" customFormat="1">
      <c r="F658" s="33"/>
      <c r="H658" s="34"/>
    </row>
    <row r="659" spans="6:8" s="27" customFormat="1">
      <c r="F659" s="33"/>
      <c r="H659" s="34"/>
    </row>
    <row r="660" spans="6:8" s="27" customFormat="1">
      <c r="F660" s="33"/>
      <c r="H660" s="34"/>
    </row>
    <row r="661" spans="6:8" s="27" customFormat="1">
      <c r="F661" s="33"/>
      <c r="H661" s="34"/>
    </row>
    <row r="662" spans="6:8" s="27" customFormat="1">
      <c r="F662" s="33"/>
      <c r="H662" s="34"/>
    </row>
    <row r="663" spans="6:8" s="27" customFormat="1">
      <c r="F663" s="33"/>
      <c r="H663" s="34"/>
    </row>
    <row r="664" spans="6:8" s="27" customFormat="1">
      <c r="F664" s="33"/>
      <c r="H664" s="34"/>
    </row>
    <row r="665" spans="6:8" s="27" customFormat="1">
      <c r="F665" s="33"/>
      <c r="H665" s="34"/>
    </row>
    <row r="666" spans="6:8" s="27" customFormat="1">
      <c r="F666" s="33"/>
      <c r="H666" s="34"/>
    </row>
    <row r="667" spans="6:8" s="27" customFormat="1">
      <c r="F667" s="33"/>
      <c r="H667" s="34"/>
    </row>
    <row r="668" spans="6:8" s="27" customFormat="1">
      <c r="F668" s="33"/>
      <c r="H668" s="34"/>
    </row>
    <row r="669" spans="6:8" s="27" customFormat="1">
      <c r="F669" s="33"/>
      <c r="H669" s="34"/>
    </row>
    <row r="670" spans="6:8" s="27" customFormat="1">
      <c r="F670" s="33"/>
      <c r="H670" s="34"/>
    </row>
    <row r="671" spans="6:8" s="27" customFormat="1">
      <c r="F671" s="33"/>
      <c r="H671" s="34"/>
    </row>
    <row r="672" spans="6:8" s="27" customFormat="1">
      <c r="F672" s="33"/>
      <c r="H672" s="34"/>
    </row>
    <row r="673" spans="6:8" s="27" customFormat="1">
      <c r="F673" s="33"/>
      <c r="H673" s="34"/>
    </row>
    <row r="674" spans="6:8" s="27" customFormat="1">
      <c r="F674" s="33"/>
      <c r="H674" s="34"/>
    </row>
    <row r="675" spans="6:8" s="27" customFormat="1">
      <c r="F675" s="33"/>
      <c r="H675" s="34"/>
    </row>
    <row r="676" spans="6:8" s="27" customFormat="1">
      <c r="F676" s="33"/>
      <c r="H676" s="34"/>
    </row>
    <row r="677" spans="6:8" s="27" customFormat="1">
      <c r="F677" s="33"/>
      <c r="H677" s="34"/>
    </row>
    <row r="678" spans="6:8" s="27" customFormat="1">
      <c r="F678" s="33"/>
      <c r="H678" s="34"/>
    </row>
    <row r="679" spans="6:8" s="27" customFormat="1">
      <c r="F679" s="33"/>
      <c r="H679" s="34"/>
    </row>
    <row r="680" spans="6:8" s="27" customFormat="1">
      <c r="F680" s="33"/>
      <c r="H680" s="34"/>
    </row>
    <row r="681" spans="6:8" s="27" customFormat="1">
      <c r="F681" s="33"/>
      <c r="H681" s="34"/>
    </row>
    <row r="682" spans="6:8" s="27" customFormat="1">
      <c r="F682" s="33"/>
      <c r="H682" s="34"/>
    </row>
    <row r="683" spans="6:8" s="27" customFormat="1">
      <c r="F683" s="33"/>
      <c r="H683" s="34"/>
    </row>
    <row r="684" spans="6:8" s="27" customFormat="1">
      <c r="F684" s="33"/>
      <c r="H684" s="34"/>
    </row>
    <row r="685" spans="6:8" s="27" customFormat="1">
      <c r="F685" s="33"/>
      <c r="H685" s="34"/>
    </row>
    <row r="686" spans="6:8" s="27" customFormat="1">
      <c r="F686" s="33"/>
      <c r="H686" s="34"/>
    </row>
    <row r="687" spans="6:8" s="27" customFormat="1">
      <c r="F687" s="33"/>
      <c r="H687" s="34"/>
    </row>
    <row r="688" spans="6:8" s="27" customFormat="1">
      <c r="F688" s="33"/>
      <c r="H688" s="34"/>
    </row>
    <row r="689" spans="6:8" s="27" customFormat="1">
      <c r="F689" s="33"/>
      <c r="H689" s="34"/>
    </row>
    <row r="690" spans="6:8" s="27" customFormat="1">
      <c r="F690" s="33"/>
      <c r="H690" s="34"/>
    </row>
    <row r="691" spans="6:8" s="27" customFormat="1">
      <c r="F691" s="33"/>
      <c r="H691" s="34"/>
    </row>
    <row r="692" spans="6:8" s="27" customFormat="1">
      <c r="F692" s="33"/>
      <c r="H692" s="34"/>
    </row>
    <row r="693" spans="6:8" s="27" customFormat="1">
      <c r="F693" s="33"/>
      <c r="H693" s="34"/>
    </row>
    <row r="694" spans="6:8" s="27" customFormat="1">
      <c r="F694" s="33"/>
      <c r="H694" s="34"/>
    </row>
    <row r="695" spans="6:8" s="27" customFormat="1">
      <c r="F695" s="33"/>
      <c r="H695" s="34"/>
    </row>
    <row r="696" spans="6:8" s="27" customFormat="1">
      <c r="F696" s="33"/>
      <c r="H696" s="34"/>
    </row>
    <row r="697" spans="6:8" s="27" customFormat="1">
      <c r="F697" s="33"/>
      <c r="H697" s="34"/>
    </row>
    <row r="698" spans="6:8" s="27" customFormat="1">
      <c r="F698" s="33"/>
      <c r="H698" s="34"/>
    </row>
    <row r="699" spans="6:8" s="27" customFormat="1">
      <c r="F699" s="33"/>
      <c r="H699" s="34"/>
    </row>
    <row r="700" spans="6:8" s="27" customFormat="1">
      <c r="F700" s="33"/>
      <c r="H700" s="34"/>
    </row>
    <row r="701" spans="6:8" s="27" customFormat="1">
      <c r="F701" s="33"/>
      <c r="H701" s="34"/>
    </row>
    <row r="702" spans="6:8" s="27" customFormat="1">
      <c r="F702" s="33"/>
      <c r="H702" s="34"/>
    </row>
    <row r="703" spans="6:8" s="27" customFormat="1">
      <c r="F703" s="33"/>
      <c r="H703" s="34"/>
    </row>
    <row r="704" spans="6:8" s="27" customFormat="1">
      <c r="F704" s="33"/>
      <c r="H704" s="34"/>
    </row>
    <row r="705" spans="6:8" s="27" customFormat="1">
      <c r="F705" s="33"/>
      <c r="H705" s="34"/>
    </row>
    <row r="706" spans="6:8" s="27" customFormat="1">
      <c r="F706" s="33"/>
      <c r="H706" s="34"/>
    </row>
    <row r="707" spans="6:8" s="27" customFormat="1">
      <c r="F707" s="33"/>
      <c r="H707" s="34"/>
    </row>
    <row r="708" spans="6:8" s="27" customFormat="1">
      <c r="F708" s="33"/>
      <c r="H708" s="34"/>
    </row>
    <row r="709" spans="6:8" s="27" customFormat="1">
      <c r="F709" s="33"/>
      <c r="H709" s="34"/>
    </row>
    <row r="710" spans="6:8" s="27" customFormat="1">
      <c r="F710" s="33"/>
      <c r="H710" s="34"/>
    </row>
    <row r="711" spans="6:8" s="27" customFormat="1">
      <c r="F711" s="33"/>
      <c r="H711" s="34"/>
    </row>
    <row r="712" spans="6:8" s="27" customFormat="1">
      <c r="F712" s="33"/>
      <c r="H712" s="34"/>
    </row>
    <row r="713" spans="6:8" s="27" customFormat="1">
      <c r="F713" s="33"/>
      <c r="H713" s="34"/>
    </row>
    <row r="714" spans="6:8" s="27" customFormat="1">
      <c r="F714" s="33"/>
      <c r="H714" s="34"/>
    </row>
    <row r="715" spans="6:8" s="27" customFormat="1">
      <c r="F715" s="33"/>
      <c r="H715" s="34"/>
    </row>
    <row r="716" spans="6:8" s="27" customFormat="1">
      <c r="F716" s="33"/>
      <c r="H716" s="34"/>
    </row>
    <row r="717" spans="6:8" s="27" customFormat="1">
      <c r="F717" s="33"/>
      <c r="H717" s="34"/>
    </row>
    <row r="718" spans="6:8" s="27" customFormat="1">
      <c r="F718" s="33"/>
      <c r="H718" s="34"/>
    </row>
    <row r="719" spans="6:8" s="27" customFormat="1">
      <c r="F719" s="33"/>
      <c r="H719" s="34"/>
    </row>
    <row r="720" spans="6:8" s="27" customFormat="1">
      <c r="F720" s="33"/>
      <c r="H720" s="34"/>
    </row>
    <row r="721" spans="6:8" s="27" customFormat="1">
      <c r="F721" s="33"/>
      <c r="H721" s="34"/>
    </row>
    <row r="722" spans="6:8" s="27" customFormat="1">
      <c r="F722" s="33"/>
      <c r="H722" s="34"/>
    </row>
    <row r="723" spans="6:8" s="27" customFormat="1">
      <c r="F723" s="33"/>
      <c r="H723" s="34"/>
    </row>
    <row r="724" spans="6:8" s="27" customFormat="1">
      <c r="F724" s="33"/>
      <c r="H724" s="34"/>
    </row>
    <row r="725" spans="6:8" s="27" customFormat="1">
      <c r="F725" s="33"/>
      <c r="H725" s="34"/>
    </row>
    <row r="726" spans="6:8" s="27" customFormat="1">
      <c r="F726" s="33"/>
      <c r="H726" s="34"/>
    </row>
    <row r="727" spans="6:8" s="27" customFormat="1">
      <c r="F727" s="33"/>
      <c r="H727" s="34"/>
    </row>
    <row r="728" spans="6:8" s="27" customFormat="1">
      <c r="F728" s="33"/>
      <c r="H728" s="34"/>
    </row>
    <row r="729" spans="6:8" s="27" customFormat="1">
      <c r="F729" s="33"/>
      <c r="H729" s="34"/>
    </row>
    <row r="730" spans="6:8" s="27" customFormat="1">
      <c r="F730" s="33"/>
      <c r="H730" s="34"/>
    </row>
    <row r="731" spans="6:8" s="27" customFormat="1">
      <c r="F731" s="33"/>
      <c r="H731" s="34"/>
    </row>
    <row r="732" spans="6:8" s="27" customFormat="1">
      <c r="F732" s="33"/>
      <c r="H732" s="34"/>
    </row>
    <row r="733" spans="6:8" s="27" customFormat="1">
      <c r="F733" s="33"/>
      <c r="H733" s="34"/>
    </row>
    <row r="734" spans="6:8" s="27" customFormat="1">
      <c r="F734" s="33"/>
      <c r="H734" s="34"/>
    </row>
    <row r="735" spans="6:8" s="27" customFormat="1">
      <c r="F735" s="33"/>
      <c r="H735" s="34"/>
    </row>
    <row r="736" spans="6:8" s="27" customFormat="1">
      <c r="F736" s="33"/>
      <c r="H736" s="34"/>
    </row>
    <row r="737" spans="6:8" s="27" customFormat="1">
      <c r="F737" s="33"/>
      <c r="H737" s="34"/>
    </row>
    <row r="738" spans="6:8" s="27" customFormat="1">
      <c r="F738" s="33"/>
      <c r="H738" s="34"/>
    </row>
    <row r="739" spans="6:8" s="27" customFormat="1">
      <c r="F739" s="33"/>
      <c r="H739" s="34"/>
    </row>
    <row r="740" spans="6:8" s="27" customFormat="1">
      <c r="F740" s="33"/>
      <c r="H740" s="34"/>
    </row>
    <row r="741" spans="6:8" s="27" customFormat="1">
      <c r="F741" s="33"/>
      <c r="H741" s="34"/>
    </row>
    <row r="742" spans="6:8" s="27" customFormat="1">
      <c r="F742" s="33"/>
      <c r="H742" s="34"/>
    </row>
    <row r="743" spans="6:8" s="27" customFormat="1">
      <c r="F743" s="33"/>
      <c r="H743" s="34"/>
    </row>
    <row r="744" spans="6:8" s="27" customFormat="1">
      <c r="F744" s="33"/>
      <c r="H744" s="34"/>
    </row>
    <row r="745" spans="6:8" s="27" customFormat="1">
      <c r="F745" s="33"/>
      <c r="H745" s="34"/>
    </row>
    <row r="746" spans="6:8" s="27" customFormat="1">
      <c r="F746" s="33"/>
      <c r="H746" s="34"/>
    </row>
    <row r="747" spans="6:8" s="27" customFormat="1">
      <c r="F747" s="33"/>
      <c r="H747" s="34"/>
    </row>
    <row r="748" spans="6:8" s="27" customFormat="1">
      <c r="F748" s="33"/>
      <c r="H748" s="34"/>
    </row>
    <row r="749" spans="6:8" s="27" customFormat="1">
      <c r="F749" s="33"/>
      <c r="H749" s="34"/>
    </row>
    <row r="750" spans="6:8" s="27" customFormat="1">
      <c r="F750" s="33"/>
      <c r="H750" s="34"/>
    </row>
    <row r="751" spans="6:8" s="27" customFormat="1">
      <c r="F751" s="33"/>
      <c r="H751" s="34"/>
    </row>
    <row r="752" spans="6:8" s="27" customFormat="1">
      <c r="F752" s="33"/>
      <c r="H752" s="34"/>
    </row>
    <row r="753" spans="6:8" s="27" customFormat="1">
      <c r="F753" s="33"/>
      <c r="H753" s="34"/>
    </row>
    <row r="754" spans="6:8" s="27" customFormat="1">
      <c r="F754" s="33"/>
      <c r="H754" s="34"/>
    </row>
    <row r="755" spans="6:8" s="27" customFormat="1">
      <c r="F755" s="33"/>
      <c r="H755" s="34"/>
    </row>
    <row r="756" spans="6:8" s="27" customFormat="1">
      <c r="F756" s="33"/>
      <c r="H756" s="34"/>
    </row>
    <row r="757" spans="6:8" s="27" customFormat="1">
      <c r="F757" s="33"/>
      <c r="H757" s="34"/>
    </row>
    <row r="758" spans="6:8" s="27" customFormat="1">
      <c r="F758" s="33"/>
      <c r="H758" s="34"/>
    </row>
    <row r="759" spans="6:8" s="27" customFormat="1">
      <c r="F759" s="33"/>
      <c r="H759" s="34"/>
    </row>
    <row r="760" spans="6:8" s="27" customFormat="1">
      <c r="F760" s="33"/>
      <c r="H760" s="34"/>
    </row>
    <row r="761" spans="6:8" s="27" customFormat="1">
      <c r="F761" s="33"/>
      <c r="H761" s="34"/>
    </row>
    <row r="762" spans="6:8" s="27" customFormat="1">
      <c r="F762" s="33"/>
      <c r="H762" s="34"/>
    </row>
    <row r="763" spans="6:8" s="27" customFormat="1">
      <c r="F763" s="33"/>
      <c r="H763" s="34"/>
    </row>
    <row r="764" spans="6:8" s="27" customFormat="1">
      <c r="F764" s="33"/>
      <c r="H764" s="34"/>
    </row>
    <row r="765" spans="6:8" s="27" customFormat="1">
      <c r="F765" s="33"/>
      <c r="H765" s="34"/>
    </row>
    <row r="766" spans="6:8" s="27" customFormat="1">
      <c r="F766" s="33"/>
      <c r="H766" s="34"/>
    </row>
    <row r="767" spans="6:8" s="27" customFormat="1">
      <c r="F767" s="33"/>
      <c r="H767" s="34"/>
    </row>
    <row r="768" spans="6:8" s="27" customFormat="1">
      <c r="F768" s="33"/>
      <c r="H768" s="34"/>
    </row>
    <row r="769" spans="6:8" s="27" customFormat="1">
      <c r="F769" s="33"/>
      <c r="H769" s="34"/>
    </row>
    <row r="770" spans="6:8" s="27" customFormat="1">
      <c r="F770" s="33"/>
      <c r="H770" s="34"/>
    </row>
    <row r="771" spans="6:8" s="27" customFormat="1">
      <c r="F771" s="33"/>
      <c r="H771" s="34"/>
    </row>
    <row r="772" spans="6:8" s="27" customFormat="1">
      <c r="F772" s="33"/>
      <c r="H772" s="34"/>
    </row>
    <row r="773" spans="6:8" s="27" customFormat="1">
      <c r="F773" s="33"/>
      <c r="H773" s="34"/>
    </row>
    <row r="774" spans="6:8" s="27" customFormat="1">
      <c r="F774" s="33"/>
      <c r="H774" s="34"/>
    </row>
    <row r="775" spans="6:8" s="27" customFormat="1">
      <c r="F775" s="33"/>
      <c r="H775" s="34"/>
    </row>
    <row r="776" spans="6:8" s="27" customFormat="1">
      <c r="F776" s="33"/>
      <c r="H776" s="34"/>
    </row>
    <row r="777" spans="6:8" s="27" customFormat="1">
      <c r="F777" s="33"/>
      <c r="H777" s="34"/>
    </row>
    <row r="778" spans="6:8" s="27" customFormat="1">
      <c r="F778" s="33"/>
      <c r="H778" s="34"/>
    </row>
    <row r="779" spans="6:8" s="27" customFormat="1">
      <c r="F779" s="33"/>
      <c r="H779" s="34"/>
    </row>
    <row r="780" spans="6:8" s="27" customFormat="1">
      <c r="F780" s="33"/>
      <c r="H780" s="34"/>
    </row>
    <row r="781" spans="6:8" s="27" customFormat="1">
      <c r="F781" s="33"/>
      <c r="H781" s="34"/>
    </row>
    <row r="782" spans="6:8" s="27" customFormat="1">
      <c r="F782" s="33"/>
      <c r="H782" s="34"/>
    </row>
    <row r="783" spans="6:8" s="27" customFormat="1">
      <c r="F783" s="33"/>
      <c r="H783" s="34"/>
    </row>
    <row r="784" spans="6:8" s="27" customFormat="1">
      <c r="F784" s="33"/>
      <c r="H784" s="34"/>
    </row>
    <row r="785" spans="6:8" s="27" customFormat="1">
      <c r="F785" s="33"/>
      <c r="H785" s="34"/>
    </row>
    <row r="786" spans="6:8" s="27" customFormat="1">
      <c r="F786" s="33"/>
      <c r="H786" s="34"/>
    </row>
    <row r="787" spans="6:8" s="27" customFormat="1">
      <c r="F787" s="33"/>
      <c r="H787" s="34"/>
    </row>
    <row r="788" spans="6:8" s="27" customFormat="1">
      <c r="F788" s="33"/>
      <c r="H788" s="34"/>
    </row>
    <row r="789" spans="6:8" s="27" customFormat="1">
      <c r="F789" s="33"/>
      <c r="H789" s="34"/>
    </row>
    <row r="790" spans="6:8" s="27" customFormat="1">
      <c r="F790" s="33"/>
      <c r="H790" s="34"/>
    </row>
    <row r="791" spans="6:8" s="27" customFormat="1">
      <c r="F791" s="33"/>
      <c r="H791" s="34"/>
    </row>
    <row r="792" spans="6:8" s="27" customFormat="1">
      <c r="F792" s="33"/>
      <c r="H792" s="34"/>
    </row>
    <row r="793" spans="6:8" s="27" customFormat="1">
      <c r="F793" s="33"/>
      <c r="H793" s="34"/>
    </row>
    <row r="794" spans="6:8" s="27" customFormat="1">
      <c r="F794" s="33"/>
      <c r="H794" s="34"/>
    </row>
    <row r="795" spans="6:8" s="27" customFormat="1">
      <c r="F795" s="33"/>
      <c r="H795" s="34"/>
    </row>
    <row r="796" spans="6:8" s="27" customFormat="1">
      <c r="F796" s="33"/>
      <c r="H796" s="34"/>
    </row>
    <row r="797" spans="6:8" s="27" customFormat="1">
      <c r="F797" s="33"/>
      <c r="H797" s="34"/>
    </row>
    <row r="798" spans="6:8" s="27" customFormat="1">
      <c r="F798" s="33"/>
      <c r="H798" s="34"/>
    </row>
    <row r="799" spans="6:8" s="27" customFormat="1">
      <c r="F799" s="33"/>
      <c r="H799" s="34"/>
    </row>
    <row r="800" spans="6:8" s="27" customFormat="1">
      <c r="F800" s="33"/>
      <c r="H800" s="34"/>
    </row>
    <row r="801" spans="6:8" s="27" customFormat="1">
      <c r="F801" s="33"/>
      <c r="H801" s="34"/>
    </row>
    <row r="802" spans="6:8" s="27" customFormat="1">
      <c r="F802" s="33"/>
      <c r="H802" s="34"/>
    </row>
    <row r="803" spans="6:8" s="27" customFormat="1">
      <c r="F803" s="33"/>
      <c r="H803" s="34"/>
    </row>
    <row r="804" spans="6:8" s="27" customFormat="1">
      <c r="F804" s="33"/>
      <c r="H804" s="34"/>
    </row>
    <row r="805" spans="6:8" s="27" customFormat="1">
      <c r="F805" s="33"/>
      <c r="H805" s="34"/>
    </row>
    <row r="806" spans="6:8" s="27" customFormat="1">
      <c r="F806" s="33"/>
      <c r="H806" s="34"/>
    </row>
    <row r="807" spans="6:8" s="27" customFormat="1">
      <c r="F807" s="33"/>
      <c r="H807" s="34"/>
    </row>
    <row r="808" spans="6:8" s="27" customFormat="1">
      <c r="F808" s="33"/>
      <c r="H808" s="34"/>
    </row>
    <row r="809" spans="6:8" s="27" customFormat="1">
      <c r="F809" s="33"/>
      <c r="H809" s="34"/>
    </row>
    <row r="810" spans="6:8" s="27" customFormat="1">
      <c r="F810" s="33"/>
      <c r="H810" s="34"/>
    </row>
    <row r="811" spans="6:8" s="27" customFormat="1">
      <c r="F811" s="33"/>
      <c r="H811" s="34"/>
    </row>
    <row r="812" spans="6:8" s="27" customFormat="1">
      <c r="F812" s="33"/>
      <c r="H812" s="34"/>
    </row>
    <row r="813" spans="6:8" s="27" customFormat="1">
      <c r="F813" s="33"/>
      <c r="H813" s="34"/>
    </row>
    <row r="814" spans="6:8" s="27" customFormat="1">
      <c r="F814" s="33"/>
      <c r="H814" s="34"/>
    </row>
    <row r="815" spans="6:8" s="27" customFormat="1">
      <c r="F815" s="33"/>
      <c r="H815" s="34"/>
    </row>
    <row r="816" spans="6:8" s="27" customFormat="1">
      <c r="F816" s="33"/>
      <c r="H816" s="34"/>
    </row>
    <row r="817" spans="6:8" s="27" customFormat="1">
      <c r="F817" s="33"/>
      <c r="H817" s="34"/>
    </row>
    <row r="818" spans="6:8" s="27" customFormat="1">
      <c r="F818" s="33"/>
      <c r="H818" s="34"/>
    </row>
    <row r="819" spans="6:8" s="27" customFormat="1">
      <c r="F819" s="33"/>
      <c r="H819" s="34"/>
    </row>
    <row r="820" spans="6:8" s="27" customFormat="1">
      <c r="F820" s="33"/>
      <c r="H820" s="34"/>
    </row>
    <row r="821" spans="6:8" s="27" customFormat="1">
      <c r="F821" s="33"/>
      <c r="H821" s="34"/>
    </row>
    <row r="822" spans="6:8" s="27" customFormat="1">
      <c r="F822" s="33"/>
      <c r="H822" s="34"/>
    </row>
    <row r="823" spans="6:8" s="27" customFormat="1">
      <c r="F823" s="33"/>
      <c r="H823" s="34"/>
    </row>
    <row r="824" spans="6:8" s="27" customFormat="1">
      <c r="F824" s="33"/>
      <c r="H824" s="34"/>
    </row>
    <row r="825" spans="6:8" s="27" customFormat="1">
      <c r="F825" s="33"/>
      <c r="H825" s="34"/>
    </row>
    <row r="826" spans="6:8" s="27" customFormat="1">
      <c r="F826" s="33"/>
      <c r="H826" s="34"/>
    </row>
    <row r="827" spans="6:8" s="27" customFormat="1">
      <c r="F827" s="33"/>
      <c r="H827" s="34"/>
    </row>
    <row r="828" spans="6:8" s="27" customFormat="1">
      <c r="F828" s="33"/>
      <c r="H828" s="34"/>
    </row>
    <row r="829" spans="6:8" s="27" customFormat="1">
      <c r="F829" s="33"/>
      <c r="H829" s="34"/>
    </row>
    <row r="830" spans="6:8" s="27" customFormat="1">
      <c r="F830" s="33"/>
      <c r="H830" s="34"/>
    </row>
    <row r="831" spans="6:8" s="27" customFormat="1">
      <c r="F831" s="33"/>
      <c r="H831" s="34"/>
    </row>
    <row r="832" spans="6:8" s="27" customFormat="1">
      <c r="F832" s="33"/>
      <c r="H832" s="34"/>
    </row>
    <row r="833" spans="6:8" s="27" customFormat="1">
      <c r="F833" s="33"/>
      <c r="H833" s="34"/>
    </row>
    <row r="834" spans="6:8" s="27" customFormat="1">
      <c r="F834" s="33"/>
      <c r="H834" s="34"/>
    </row>
    <row r="835" spans="6:8" s="27" customFormat="1">
      <c r="F835" s="33"/>
      <c r="H835" s="34"/>
    </row>
    <row r="836" spans="6:8" s="27" customFormat="1">
      <c r="F836" s="33"/>
      <c r="H836" s="34"/>
    </row>
    <row r="837" spans="6:8" s="27" customFormat="1">
      <c r="F837" s="33"/>
      <c r="H837" s="34"/>
    </row>
    <row r="838" spans="6:8" s="27" customFormat="1">
      <c r="F838" s="33"/>
      <c r="H838" s="34"/>
    </row>
    <row r="839" spans="6:8" s="27" customFormat="1">
      <c r="F839" s="33"/>
      <c r="H839" s="34"/>
    </row>
    <row r="840" spans="6:8" s="27" customFormat="1">
      <c r="F840" s="33"/>
      <c r="H840" s="34"/>
    </row>
    <row r="841" spans="6:8" s="27" customFormat="1">
      <c r="F841" s="33"/>
      <c r="H841" s="34"/>
    </row>
    <row r="842" spans="6:8" s="27" customFormat="1">
      <c r="F842" s="33"/>
      <c r="H842" s="34"/>
    </row>
    <row r="843" spans="6:8" s="27" customFormat="1">
      <c r="F843" s="33"/>
      <c r="H843" s="34"/>
    </row>
    <row r="844" spans="6:8" s="27" customFormat="1">
      <c r="F844" s="33"/>
      <c r="H844" s="34"/>
    </row>
    <row r="845" spans="6:8" s="27" customFormat="1">
      <c r="F845" s="33"/>
      <c r="H845" s="34"/>
    </row>
    <row r="846" spans="6:8" s="27" customFormat="1">
      <c r="F846" s="33"/>
      <c r="H846" s="34"/>
    </row>
    <row r="847" spans="6:8" s="27" customFormat="1">
      <c r="F847" s="33"/>
      <c r="H847" s="34"/>
    </row>
    <row r="848" spans="6:8" s="27" customFormat="1">
      <c r="F848" s="33"/>
      <c r="H848" s="34"/>
    </row>
    <row r="849" spans="6:8" s="27" customFormat="1">
      <c r="F849" s="33"/>
      <c r="H849" s="34"/>
    </row>
    <row r="850" spans="6:8" s="27" customFormat="1">
      <c r="F850" s="33"/>
      <c r="H850" s="34"/>
    </row>
    <row r="851" spans="6:8" s="27" customFormat="1">
      <c r="F851" s="33"/>
      <c r="H851" s="34"/>
    </row>
    <row r="852" spans="6:8" s="27" customFormat="1">
      <c r="F852" s="33"/>
      <c r="H852" s="34"/>
    </row>
    <row r="853" spans="6:8" s="27" customFormat="1">
      <c r="F853" s="33"/>
      <c r="H853" s="34"/>
    </row>
    <row r="854" spans="6:8" s="27" customFormat="1">
      <c r="F854" s="33"/>
      <c r="H854" s="34"/>
    </row>
    <row r="855" spans="6:8" s="27" customFormat="1">
      <c r="F855" s="33"/>
      <c r="H855" s="34"/>
    </row>
    <row r="856" spans="6:8" s="27" customFormat="1">
      <c r="F856" s="33"/>
      <c r="H856" s="34"/>
    </row>
    <row r="857" spans="6:8" s="27" customFormat="1">
      <c r="F857" s="33"/>
      <c r="H857" s="34"/>
    </row>
    <row r="858" spans="6:8" s="27" customFormat="1">
      <c r="F858" s="33"/>
      <c r="H858" s="34"/>
    </row>
    <row r="859" spans="6:8" s="27" customFormat="1">
      <c r="F859" s="33"/>
      <c r="H859" s="34"/>
    </row>
    <row r="860" spans="6:8" s="27" customFormat="1">
      <c r="F860" s="33"/>
      <c r="H860" s="34"/>
    </row>
    <row r="861" spans="6:8" s="27" customFormat="1">
      <c r="F861" s="33"/>
      <c r="H861" s="34"/>
    </row>
    <row r="862" spans="6:8" s="27" customFormat="1">
      <c r="F862" s="33"/>
      <c r="H862" s="34"/>
    </row>
    <row r="863" spans="6:8" s="27" customFormat="1">
      <c r="F863" s="33"/>
      <c r="H863" s="34"/>
    </row>
    <row r="864" spans="6:8" s="27" customFormat="1">
      <c r="F864" s="33"/>
      <c r="H864" s="34"/>
    </row>
    <row r="865" spans="6:8" s="27" customFormat="1">
      <c r="F865" s="33"/>
      <c r="H865" s="34"/>
    </row>
    <row r="866" spans="6:8" s="27" customFormat="1">
      <c r="F866" s="33"/>
      <c r="H866" s="34"/>
    </row>
    <row r="867" spans="6:8" s="27" customFormat="1">
      <c r="F867" s="33"/>
      <c r="H867" s="34"/>
    </row>
    <row r="868" spans="6:8" s="27" customFormat="1">
      <c r="F868" s="33"/>
      <c r="H868" s="34"/>
    </row>
    <row r="869" spans="6:8" s="27" customFormat="1">
      <c r="F869" s="33"/>
      <c r="H869" s="34"/>
    </row>
    <row r="870" spans="6:8" s="27" customFormat="1">
      <c r="F870" s="33"/>
      <c r="H870" s="34"/>
    </row>
    <row r="871" spans="6:8" s="27" customFormat="1">
      <c r="F871" s="33"/>
      <c r="H871" s="34"/>
    </row>
    <row r="872" spans="6:8" s="27" customFormat="1">
      <c r="F872" s="33"/>
      <c r="H872" s="34"/>
    </row>
    <row r="873" spans="6:8" s="27" customFormat="1">
      <c r="F873" s="33"/>
      <c r="H873" s="34"/>
    </row>
    <row r="874" spans="6:8" s="27" customFormat="1">
      <c r="F874" s="33"/>
      <c r="H874" s="34"/>
    </row>
    <row r="875" spans="6:8" s="27" customFormat="1">
      <c r="F875" s="33"/>
      <c r="H875" s="34"/>
    </row>
    <row r="876" spans="6:8" s="27" customFormat="1">
      <c r="F876" s="33"/>
      <c r="H876" s="34"/>
    </row>
    <row r="877" spans="6:8" s="27" customFormat="1">
      <c r="F877" s="33"/>
      <c r="H877" s="34"/>
    </row>
    <row r="878" spans="6:8" s="27" customFormat="1">
      <c r="F878" s="33"/>
      <c r="H878" s="34"/>
    </row>
    <row r="879" spans="6:8" s="27" customFormat="1">
      <c r="F879" s="33"/>
      <c r="H879" s="34"/>
    </row>
    <row r="880" spans="6:8" s="27" customFormat="1">
      <c r="F880" s="33"/>
      <c r="H880" s="34"/>
    </row>
    <row r="881" spans="6:8" s="27" customFormat="1">
      <c r="F881" s="33"/>
      <c r="H881" s="34"/>
    </row>
    <row r="882" spans="6:8" s="27" customFormat="1">
      <c r="F882" s="33"/>
      <c r="H882" s="34"/>
    </row>
    <row r="883" spans="6:8" s="27" customFormat="1">
      <c r="F883" s="33"/>
      <c r="H883" s="34"/>
    </row>
    <row r="884" spans="6:8" s="27" customFormat="1">
      <c r="F884" s="33"/>
      <c r="H884" s="34"/>
    </row>
    <row r="885" spans="6:8" s="27" customFormat="1">
      <c r="F885" s="33"/>
      <c r="H885" s="34"/>
    </row>
    <row r="886" spans="6:8" s="27" customFormat="1">
      <c r="F886" s="33"/>
      <c r="H886" s="34"/>
    </row>
    <row r="887" spans="6:8" s="27" customFormat="1">
      <c r="F887" s="33"/>
      <c r="H887" s="34"/>
    </row>
    <row r="888" spans="6:8" s="27" customFormat="1">
      <c r="F888" s="33"/>
      <c r="H888" s="34"/>
    </row>
    <row r="889" spans="6:8" s="27" customFormat="1">
      <c r="F889" s="33"/>
      <c r="H889" s="34"/>
    </row>
    <row r="890" spans="6:8" s="27" customFormat="1">
      <c r="F890" s="33"/>
      <c r="H890" s="34"/>
    </row>
    <row r="891" spans="6:8" s="27" customFormat="1">
      <c r="F891" s="33"/>
      <c r="H891" s="34"/>
    </row>
    <row r="892" spans="6:8" s="27" customFormat="1">
      <c r="F892" s="33"/>
      <c r="H892" s="34"/>
    </row>
    <row r="893" spans="6:8" s="27" customFormat="1">
      <c r="F893" s="33"/>
      <c r="H893" s="34"/>
    </row>
    <row r="894" spans="6:8" s="27" customFormat="1">
      <c r="F894" s="33"/>
      <c r="H894" s="34"/>
    </row>
    <row r="895" spans="6:8" s="27" customFormat="1">
      <c r="F895" s="33"/>
      <c r="H895" s="34"/>
    </row>
    <row r="896" spans="6:8" s="27" customFormat="1">
      <c r="F896" s="33"/>
      <c r="H896" s="34"/>
    </row>
    <row r="897" spans="6:8" s="27" customFormat="1">
      <c r="F897" s="33"/>
      <c r="H897" s="34"/>
    </row>
    <row r="898" spans="6:8" s="27" customFormat="1">
      <c r="F898" s="33"/>
      <c r="H898" s="34"/>
    </row>
    <row r="899" spans="6:8" s="27" customFormat="1">
      <c r="F899" s="33"/>
      <c r="H899" s="34"/>
    </row>
    <row r="900" spans="6:8" s="27" customFormat="1">
      <c r="F900" s="33"/>
      <c r="H900" s="34"/>
    </row>
    <row r="901" spans="6:8" s="27" customFormat="1">
      <c r="F901" s="33"/>
      <c r="H901" s="34"/>
    </row>
    <row r="902" spans="6:8" s="27" customFormat="1">
      <c r="F902" s="33"/>
      <c r="H902" s="34"/>
    </row>
    <row r="903" spans="6:8" s="27" customFormat="1">
      <c r="F903" s="33"/>
      <c r="H903" s="34"/>
    </row>
    <row r="904" spans="6:8" s="27" customFormat="1">
      <c r="F904" s="33"/>
      <c r="H904" s="34"/>
    </row>
    <row r="905" spans="6:8" s="27" customFormat="1">
      <c r="F905" s="33"/>
      <c r="H905" s="34"/>
    </row>
    <row r="906" spans="6:8" s="27" customFormat="1">
      <c r="F906" s="33"/>
      <c r="H906" s="34"/>
    </row>
    <row r="907" spans="6:8" s="27" customFormat="1">
      <c r="F907" s="33"/>
      <c r="H907" s="34"/>
    </row>
    <row r="908" spans="6:8" s="27" customFormat="1">
      <c r="F908" s="33"/>
      <c r="H908" s="34"/>
    </row>
    <row r="909" spans="6:8" s="27" customFormat="1">
      <c r="F909" s="33"/>
      <c r="H909" s="34"/>
    </row>
    <row r="910" spans="6:8" s="27" customFormat="1">
      <c r="F910" s="33"/>
      <c r="H910" s="34"/>
    </row>
    <row r="911" spans="6:8" s="27" customFormat="1">
      <c r="F911" s="33"/>
      <c r="H911" s="34"/>
    </row>
    <row r="912" spans="6:8" s="27" customFormat="1">
      <c r="F912" s="33"/>
      <c r="H912" s="34"/>
    </row>
    <row r="913" spans="6:8" s="27" customFormat="1">
      <c r="F913" s="33"/>
      <c r="H913" s="34"/>
    </row>
    <row r="914" spans="6:8" s="27" customFormat="1">
      <c r="F914" s="33"/>
      <c r="H914" s="34"/>
    </row>
    <row r="915" spans="6:8" s="27" customFormat="1">
      <c r="F915" s="33"/>
      <c r="H915" s="34"/>
    </row>
    <row r="916" spans="6:8" s="27" customFormat="1">
      <c r="F916" s="33"/>
      <c r="H916" s="34"/>
    </row>
    <row r="917" spans="6:8" s="27" customFormat="1">
      <c r="F917" s="33"/>
      <c r="H917" s="34"/>
    </row>
    <row r="918" spans="6:8" s="27" customFormat="1">
      <c r="F918" s="33"/>
      <c r="H918" s="34"/>
    </row>
    <row r="919" spans="6:8" s="27" customFormat="1">
      <c r="F919" s="33"/>
      <c r="H919" s="34"/>
    </row>
    <row r="920" spans="6:8" s="27" customFormat="1">
      <c r="F920" s="33"/>
      <c r="H920" s="34"/>
    </row>
    <row r="921" spans="6:8" s="27" customFormat="1">
      <c r="F921" s="33"/>
      <c r="H921" s="34"/>
    </row>
    <row r="922" spans="6:8" s="27" customFormat="1">
      <c r="F922" s="33"/>
      <c r="H922" s="34"/>
    </row>
    <row r="923" spans="6:8" s="27" customFormat="1">
      <c r="F923" s="33"/>
      <c r="H923" s="34"/>
    </row>
    <row r="924" spans="6:8" s="27" customFormat="1">
      <c r="F924" s="33"/>
      <c r="H924" s="34"/>
    </row>
    <row r="925" spans="6:8" s="27" customFormat="1">
      <c r="F925" s="33"/>
      <c r="H925" s="34"/>
    </row>
    <row r="926" spans="6:8" s="27" customFormat="1">
      <c r="F926" s="33"/>
      <c r="H926" s="34"/>
    </row>
    <row r="927" spans="6:8" s="27" customFormat="1">
      <c r="F927" s="33"/>
      <c r="H927" s="34"/>
    </row>
    <row r="928" spans="6:8" s="27" customFormat="1">
      <c r="F928" s="33"/>
      <c r="H928" s="34"/>
    </row>
    <row r="929" spans="6:8" s="27" customFormat="1">
      <c r="F929" s="33"/>
      <c r="H929" s="34"/>
    </row>
    <row r="930" spans="6:8" s="27" customFormat="1">
      <c r="F930" s="33"/>
      <c r="H930" s="34"/>
    </row>
    <row r="931" spans="6:8" s="27" customFormat="1">
      <c r="F931" s="33"/>
      <c r="H931" s="34"/>
    </row>
    <row r="932" spans="6:8" s="27" customFormat="1">
      <c r="F932" s="33"/>
      <c r="H932" s="34"/>
    </row>
    <row r="933" spans="6:8" s="27" customFormat="1">
      <c r="F933" s="33"/>
      <c r="H933" s="34"/>
    </row>
    <row r="934" spans="6:8" s="27" customFormat="1">
      <c r="F934" s="33"/>
      <c r="H934" s="34"/>
    </row>
    <row r="935" spans="6:8" s="27" customFormat="1">
      <c r="F935" s="33"/>
      <c r="H935" s="34"/>
    </row>
    <row r="936" spans="6:8" s="27" customFormat="1">
      <c r="F936" s="33"/>
      <c r="H936" s="34"/>
    </row>
    <row r="937" spans="6:8" s="27" customFormat="1">
      <c r="F937" s="33"/>
      <c r="H937" s="34"/>
    </row>
    <row r="938" spans="6:8" s="27" customFormat="1">
      <c r="F938" s="33"/>
      <c r="H938" s="34"/>
    </row>
    <row r="939" spans="6:8" s="27" customFormat="1">
      <c r="F939" s="33"/>
      <c r="H939" s="34"/>
    </row>
    <row r="940" spans="6:8" s="27" customFormat="1">
      <c r="F940" s="33"/>
      <c r="H940" s="34"/>
    </row>
    <row r="941" spans="6:8" s="27" customFormat="1">
      <c r="F941" s="33"/>
      <c r="H941" s="34"/>
    </row>
    <row r="942" spans="6:8" s="27" customFormat="1">
      <c r="F942" s="33"/>
      <c r="H942" s="34"/>
    </row>
    <row r="943" spans="6:8" s="27" customFormat="1">
      <c r="F943" s="33"/>
      <c r="H943" s="34"/>
    </row>
    <row r="944" spans="6:8" s="27" customFormat="1">
      <c r="F944" s="33"/>
      <c r="H944" s="34"/>
    </row>
  </sheetData>
  <mergeCells count="2">
    <mergeCell ref="B1:H1"/>
    <mergeCell ref="B2:H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90"/>
  <sheetViews>
    <sheetView zoomScaleNormal="100" workbookViewId="0">
      <selection activeCell="A44" sqref="A44"/>
    </sheetView>
  </sheetViews>
  <sheetFormatPr defaultRowHeight="12.75"/>
  <cols>
    <col min="1" max="1" width="3.42578125" style="27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103" width="9.140625" style="27"/>
  </cols>
  <sheetData>
    <row r="1" spans="1:9" ht="15.95" customHeight="1">
      <c r="A1" s="24"/>
      <c r="B1" s="183" t="s">
        <v>51</v>
      </c>
      <c r="C1" s="184"/>
      <c r="D1" s="184"/>
      <c r="E1" s="184"/>
      <c r="F1" s="184"/>
      <c r="G1" s="184"/>
      <c r="H1" s="185"/>
      <c r="I1" s="1"/>
    </row>
    <row r="2" spans="1:9" ht="12.95" customHeight="1" thickBot="1">
      <c r="A2" s="24"/>
      <c r="B2" s="186" t="s">
        <v>388</v>
      </c>
      <c r="C2" s="187"/>
      <c r="D2" s="187"/>
      <c r="E2" s="187"/>
      <c r="F2" s="187"/>
      <c r="G2" s="187"/>
      <c r="H2" s="188"/>
      <c r="I2" s="1"/>
    </row>
    <row r="3" spans="1:9" s="27" customFormat="1" ht="12.95" customHeight="1">
      <c r="A3" s="24"/>
      <c r="B3" s="69"/>
      <c r="C3" s="69"/>
      <c r="D3" s="69"/>
      <c r="E3" s="69"/>
      <c r="F3" s="69"/>
      <c r="G3" s="69"/>
      <c r="H3" s="69"/>
      <c r="I3" s="24"/>
    </row>
    <row r="4" spans="1:9" s="27" customFormat="1" ht="12.95" customHeight="1">
      <c r="A4" s="25"/>
      <c r="B4" s="29" t="s">
        <v>2</v>
      </c>
      <c r="C4" s="24"/>
      <c r="D4" s="24"/>
      <c r="E4" s="24"/>
      <c r="F4" s="30"/>
      <c r="G4" s="24"/>
      <c r="H4" s="31"/>
      <c r="I4" s="24"/>
    </row>
    <row r="5" spans="1:9" s="27" customFormat="1" ht="12.95" customHeight="1" thickBot="1">
      <c r="A5" s="25"/>
      <c r="B5" s="29"/>
      <c r="C5" s="24"/>
      <c r="D5" s="24"/>
      <c r="E5" s="24"/>
      <c r="F5" s="30"/>
      <c r="G5" s="24"/>
      <c r="H5" s="31"/>
      <c r="I5" s="24"/>
    </row>
    <row r="6" spans="1:9" ht="27.95" customHeight="1" thickBot="1">
      <c r="A6" s="24"/>
      <c r="B6" s="76" t="s">
        <v>3</v>
      </c>
      <c r="C6" s="77" t="s">
        <v>4</v>
      </c>
      <c r="D6" s="104" t="s">
        <v>389</v>
      </c>
      <c r="E6" s="104" t="s">
        <v>6</v>
      </c>
      <c r="F6" s="105" t="s">
        <v>7</v>
      </c>
      <c r="G6" s="104" t="s">
        <v>8</v>
      </c>
      <c r="H6" s="106" t="s">
        <v>9</v>
      </c>
      <c r="I6" s="36" t="s">
        <v>10</v>
      </c>
    </row>
    <row r="7" spans="1:9" ht="12.95" customHeight="1">
      <c r="A7" s="24"/>
      <c r="B7" s="71" t="s">
        <v>53</v>
      </c>
      <c r="C7" s="72" t="s">
        <v>1</v>
      </c>
      <c r="D7" s="72" t="s">
        <v>1</v>
      </c>
      <c r="E7" s="72" t="s">
        <v>1</v>
      </c>
      <c r="F7" s="73" t="s">
        <v>1</v>
      </c>
      <c r="G7" s="74"/>
      <c r="H7" s="75" t="s">
        <v>1</v>
      </c>
      <c r="I7" s="37" t="s">
        <v>1</v>
      </c>
    </row>
    <row r="8" spans="1:9" ht="12.95" customHeight="1">
      <c r="A8" s="24"/>
      <c r="B8" s="53" t="s">
        <v>54</v>
      </c>
      <c r="C8" s="11" t="s">
        <v>1</v>
      </c>
      <c r="D8" s="11" t="s">
        <v>1</v>
      </c>
      <c r="E8" s="11" t="s">
        <v>1</v>
      </c>
      <c r="F8" s="46" t="s">
        <v>1</v>
      </c>
      <c r="G8" s="47"/>
      <c r="H8" s="54" t="s">
        <v>1</v>
      </c>
      <c r="I8" s="37" t="s">
        <v>1</v>
      </c>
    </row>
    <row r="9" spans="1:9" ht="12.95" customHeight="1">
      <c r="A9" s="26"/>
      <c r="B9" s="55" t="s">
        <v>55</v>
      </c>
      <c r="C9" s="11" t="s">
        <v>56</v>
      </c>
      <c r="D9" s="11" t="s">
        <v>57</v>
      </c>
      <c r="E9" s="48">
        <v>92750</v>
      </c>
      <c r="F9" s="49">
        <v>2660.5337500000001</v>
      </c>
      <c r="G9" s="50">
        <v>2660.53</v>
      </c>
      <c r="H9" s="56">
        <v>3.838593728615531E-2</v>
      </c>
      <c r="I9" s="2">
        <v>3.8399999999999997E-2</v>
      </c>
    </row>
    <row r="10" spans="1:9" ht="12.95" customHeight="1">
      <c r="A10" s="26"/>
      <c r="B10" s="55" t="s">
        <v>58</v>
      </c>
      <c r="C10" s="11" t="s">
        <v>59</v>
      </c>
      <c r="D10" s="11" t="s">
        <v>60</v>
      </c>
      <c r="E10" s="48">
        <v>167234</v>
      </c>
      <c r="F10" s="49">
        <v>2528.661697</v>
      </c>
      <c r="G10" s="50">
        <v>2528.66</v>
      </c>
      <c r="H10" s="56">
        <v>3.6483299382669011E-2</v>
      </c>
      <c r="I10" s="2">
        <v>3.6499999999999998E-2</v>
      </c>
    </row>
    <row r="11" spans="1:9" ht="12.95" customHeight="1">
      <c r="A11" s="26"/>
      <c r="B11" s="55" t="s">
        <v>61</v>
      </c>
      <c r="C11" s="11" t="s">
        <v>62</v>
      </c>
      <c r="D11" s="11" t="s">
        <v>63</v>
      </c>
      <c r="E11" s="48">
        <v>292000</v>
      </c>
      <c r="F11" s="49">
        <v>2518.3539999999998</v>
      </c>
      <c r="G11" s="50">
        <v>2518.35</v>
      </c>
      <c r="H11" s="56">
        <v>3.6334580874359652E-2</v>
      </c>
      <c r="I11" s="2">
        <v>3.6299999999999999E-2</v>
      </c>
    </row>
    <row r="12" spans="1:9" ht="12.95" customHeight="1">
      <c r="A12" s="26"/>
      <c r="B12" s="55" t="s">
        <v>64</v>
      </c>
      <c r="C12" s="11" t="s">
        <v>65</v>
      </c>
      <c r="D12" s="11" t="s">
        <v>63</v>
      </c>
      <c r="E12" s="48">
        <v>660500</v>
      </c>
      <c r="F12" s="49">
        <v>2382.4234999999999</v>
      </c>
      <c r="G12" s="50">
        <v>2382.42</v>
      </c>
      <c r="H12" s="56">
        <v>3.4373388069240854E-2</v>
      </c>
      <c r="I12" s="2">
        <v>3.44E-2</v>
      </c>
    </row>
    <row r="13" spans="1:9" ht="12.95" customHeight="1">
      <c r="A13" s="26"/>
      <c r="B13" s="55" t="s">
        <v>66</v>
      </c>
      <c r="C13" s="11" t="s">
        <v>67</v>
      </c>
      <c r="D13" s="11" t="s">
        <v>68</v>
      </c>
      <c r="E13" s="48">
        <v>329588</v>
      </c>
      <c r="F13" s="49">
        <v>2168.5242459999999</v>
      </c>
      <c r="G13" s="50">
        <v>2168.52</v>
      </c>
      <c r="H13" s="56">
        <v>3.1287269221998495E-2</v>
      </c>
      <c r="I13" s="2">
        <v>3.1300000000000001E-2</v>
      </c>
    </row>
    <row r="14" spans="1:9" ht="12.95" customHeight="1">
      <c r="A14" s="26"/>
      <c r="B14" s="55" t="s">
        <v>69</v>
      </c>
      <c r="C14" s="11" t="s">
        <v>70</v>
      </c>
      <c r="D14" s="11" t="s">
        <v>71</v>
      </c>
      <c r="E14" s="48">
        <v>499984</v>
      </c>
      <c r="F14" s="49">
        <v>1918.4386079999999</v>
      </c>
      <c r="G14" s="50">
        <v>1918.44</v>
      </c>
      <c r="H14" s="56">
        <v>2.7679056540450612E-2</v>
      </c>
      <c r="I14" s="2">
        <v>2.7699999999999999E-2</v>
      </c>
    </row>
    <row r="15" spans="1:9" ht="12.95" customHeight="1">
      <c r="A15" s="26"/>
      <c r="B15" s="55" t="s">
        <v>72</v>
      </c>
      <c r="C15" s="11" t="s">
        <v>73</v>
      </c>
      <c r="D15" s="11" t="s">
        <v>63</v>
      </c>
      <c r="E15" s="48">
        <v>207877</v>
      </c>
      <c r="F15" s="49">
        <v>1912.676277</v>
      </c>
      <c r="G15" s="50">
        <v>1912.68</v>
      </c>
      <c r="H15" s="56">
        <v>2.7595918156512401E-2</v>
      </c>
      <c r="I15" s="2">
        <v>2.76E-2</v>
      </c>
    </row>
    <row r="16" spans="1:9" ht="12.95" customHeight="1">
      <c r="A16" s="26"/>
      <c r="B16" s="55" t="s">
        <v>74</v>
      </c>
      <c r="C16" s="11" t="s">
        <v>75</v>
      </c>
      <c r="D16" s="11" t="s">
        <v>63</v>
      </c>
      <c r="E16" s="48">
        <v>305187</v>
      </c>
      <c r="F16" s="49">
        <v>1817.3885849999999</v>
      </c>
      <c r="G16" s="50">
        <v>1817.39</v>
      </c>
      <c r="H16" s="56">
        <v>2.6221116063039809E-2</v>
      </c>
      <c r="I16" s="2">
        <v>2.6200000000000001E-2</v>
      </c>
    </row>
    <row r="17" spans="1:9" ht="12.95" customHeight="1">
      <c r="A17" s="26"/>
      <c r="B17" s="55" t="s">
        <v>76</v>
      </c>
      <c r="C17" s="11" t="s">
        <v>77</v>
      </c>
      <c r="D17" s="11" t="s">
        <v>78</v>
      </c>
      <c r="E17" s="48">
        <v>47573</v>
      </c>
      <c r="F17" s="49">
        <v>1817.0745214999999</v>
      </c>
      <c r="G17" s="50">
        <v>1817.07</v>
      </c>
      <c r="H17" s="56">
        <v>2.621658478362459E-2</v>
      </c>
      <c r="I17" s="2">
        <v>2.6200000000000001E-2</v>
      </c>
    </row>
    <row r="18" spans="1:9" ht="12.95" customHeight="1">
      <c r="A18" s="26"/>
      <c r="B18" s="55" t="s">
        <v>79</v>
      </c>
      <c r="C18" s="11" t="s">
        <v>80</v>
      </c>
      <c r="D18" s="11" t="s">
        <v>81</v>
      </c>
      <c r="E18" s="48">
        <v>10608</v>
      </c>
      <c r="F18" s="49">
        <v>1726.547472</v>
      </c>
      <c r="G18" s="50">
        <v>1726.55</v>
      </c>
      <c r="H18" s="56">
        <v>2.491046880414954E-2</v>
      </c>
      <c r="I18" s="2">
        <v>2.4899999999999999E-2</v>
      </c>
    </row>
    <row r="19" spans="1:9" ht="12.95" customHeight="1">
      <c r="A19" s="26"/>
      <c r="B19" s="55" t="s">
        <v>82</v>
      </c>
      <c r="C19" s="11" t="s">
        <v>83</v>
      </c>
      <c r="D19" s="11" t="s">
        <v>84</v>
      </c>
      <c r="E19" s="48">
        <v>97017</v>
      </c>
      <c r="F19" s="49">
        <v>1690.3756995000001</v>
      </c>
      <c r="G19" s="50">
        <v>1690.38</v>
      </c>
      <c r="H19" s="56">
        <v>2.4388585783227865E-2</v>
      </c>
      <c r="I19" s="2">
        <v>2.4400000000000002E-2</v>
      </c>
    </row>
    <row r="20" spans="1:9" ht="12.95" customHeight="1">
      <c r="A20" s="26"/>
      <c r="B20" s="55" t="s">
        <v>85</v>
      </c>
      <c r="C20" s="11" t="s">
        <v>86</v>
      </c>
      <c r="D20" s="11" t="s">
        <v>87</v>
      </c>
      <c r="E20" s="48">
        <v>220488</v>
      </c>
      <c r="F20" s="49">
        <v>1536.9116039999999</v>
      </c>
      <c r="G20" s="50">
        <v>1536.91</v>
      </c>
      <c r="H20" s="56">
        <v>2.2174419868008954E-2</v>
      </c>
      <c r="I20" s="2">
        <v>2.2200000000000001E-2</v>
      </c>
    </row>
    <row r="21" spans="1:9" ht="12.95" customHeight="1">
      <c r="A21" s="26"/>
      <c r="B21" s="55" t="s">
        <v>88</v>
      </c>
      <c r="C21" s="11" t="s">
        <v>89</v>
      </c>
      <c r="D21" s="11" t="s">
        <v>90</v>
      </c>
      <c r="E21" s="48">
        <v>162678</v>
      </c>
      <c r="F21" s="49">
        <v>1399.762851</v>
      </c>
      <c r="G21" s="50">
        <v>1399.76</v>
      </c>
      <c r="H21" s="56">
        <v>2.0195650220177046E-2</v>
      </c>
      <c r="I21" s="2">
        <v>2.0199999999999999E-2</v>
      </c>
    </row>
    <row r="22" spans="1:9" ht="12.95" customHeight="1">
      <c r="A22" s="26"/>
      <c r="B22" s="55" t="s">
        <v>91</v>
      </c>
      <c r="C22" s="11" t="s">
        <v>92</v>
      </c>
      <c r="D22" s="11" t="s">
        <v>93</v>
      </c>
      <c r="E22" s="48">
        <v>303000</v>
      </c>
      <c r="F22" s="49">
        <v>1383.6495</v>
      </c>
      <c r="G22" s="50">
        <v>1383.65</v>
      </c>
      <c r="H22" s="56">
        <v>1.9963168267653118E-2</v>
      </c>
      <c r="I22" s="2">
        <v>0.02</v>
      </c>
    </row>
    <row r="23" spans="1:9" ht="12.95" customHeight="1">
      <c r="A23" s="26"/>
      <c r="B23" s="55" t="s">
        <v>94</v>
      </c>
      <c r="C23" s="11" t="s">
        <v>95</v>
      </c>
      <c r="D23" s="11" t="s">
        <v>93</v>
      </c>
      <c r="E23" s="48">
        <v>241541</v>
      </c>
      <c r="F23" s="49">
        <v>1378.474487</v>
      </c>
      <c r="G23" s="50">
        <v>1378.47</v>
      </c>
      <c r="H23" s="56">
        <v>1.9888503654030741E-2</v>
      </c>
      <c r="I23" s="2">
        <v>1.9900000000000001E-2</v>
      </c>
    </row>
    <row r="24" spans="1:9" ht="12.95" customHeight="1">
      <c r="A24" s="26"/>
      <c r="B24" s="55" t="s">
        <v>96</v>
      </c>
      <c r="C24" s="11" t="s">
        <v>97</v>
      </c>
      <c r="D24" s="11" t="s">
        <v>63</v>
      </c>
      <c r="E24" s="48">
        <v>967595</v>
      </c>
      <c r="F24" s="49">
        <v>1372.5335075</v>
      </c>
      <c r="G24" s="50">
        <v>1372.53</v>
      </c>
      <c r="H24" s="56">
        <v>1.9802787745895643E-2</v>
      </c>
      <c r="I24" s="2">
        <v>1.9800000000000002E-2</v>
      </c>
    </row>
    <row r="25" spans="1:9" ht="12.95" customHeight="1">
      <c r="A25" s="26"/>
      <c r="B25" s="55" t="s">
        <v>98</v>
      </c>
      <c r="C25" s="11" t="s">
        <v>99</v>
      </c>
      <c r="D25" s="11" t="s">
        <v>90</v>
      </c>
      <c r="E25" s="48">
        <v>736533</v>
      </c>
      <c r="F25" s="49">
        <v>1370.3196465000001</v>
      </c>
      <c r="G25" s="50">
        <v>1370.32</v>
      </c>
      <c r="H25" s="56">
        <v>1.9770846362138994E-2</v>
      </c>
      <c r="I25" s="2">
        <v>1.9800000000000002E-2</v>
      </c>
    </row>
    <row r="26" spans="1:9" ht="12.95" customHeight="1">
      <c r="A26" s="26"/>
      <c r="B26" s="55" t="s">
        <v>100</v>
      </c>
      <c r="C26" s="11" t="s">
        <v>101</v>
      </c>
      <c r="D26" s="11" t="s">
        <v>84</v>
      </c>
      <c r="E26" s="48">
        <v>206286</v>
      </c>
      <c r="F26" s="49">
        <v>1316.723538</v>
      </c>
      <c r="G26" s="50">
        <v>1316.72</v>
      </c>
      <c r="H26" s="56">
        <v>1.8997566617176925E-2</v>
      </c>
      <c r="I26" s="2">
        <v>1.9E-2</v>
      </c>
    </row>
    <row r="27" spans="1:9" ht="12.95" customHeight="1">
      <c r="A27" s="26"/>
      <c r="B27" s="55" t="s">
        <v>102</v>
      </c>
      <c r="C27" s="11" t="s">
        <v>103</v>
      </c>
      <c r="D27" s="11" t="s">
        <v>93</v>
      </c>
      <c r="E27" s="48">
        <v>239084</v>
      </c>
      <c r="F27" s="49">
        <v>1296.5525319999999</v>
      </c>
      <c r="G27" s="50">
        <v>1296.55</v>
      </c>
      <c r="H27" s="56">
        <v>1.8706541189923969E-2</v>
      </c>
      <c r="I27" s="2">
        <v>1.8700000000000001E-2</v>
      </c>
    </row>
    <row r="28" spans="1:9" ht="12.95" customHeight="1">
      <c r="A28" s="26"/>
      <c r="B28" s="55" t="s">
        <v>104</v>
      </c>
      <c r="C28" s="11" t="s">
        <v>105</v>
      </c>
      <c r="D28" s="11" t="s">
        <v>87</v>
      </c>
      <c r="E28" s="48">
        <v>1238610</v>
      </c>
      <c r="F28" s="49">
        <v>1280.103435</v>
      </c>
      <c r="G28" s="50">
        <v>1280.0999999999999</v>
      </c>
      <c r="H28" s="56">
        <v>1.8469215124860563E-2</v>
      </c>
      <c r="I28" s="2">
        <v>1.8499999999999999E-2</v>
      </c>
    </row>
    <row r="29" spans="1:9" ht="12.95" customHeight="1">
      <c r="A29" s="26"/>
      <c r="B29" s="55" t="s">
        <v>106</v>
      </c>
      <c r="C29" s="11" t="s">
        <v>107</v>
      </c>
      <c r="D29" s="11" t="s">
        <v>84</v>
      </c>
      <c r="E29" s="48">
        <v>89300</v>
      </c>
      <c r="F29" s="49">
        <v>1233.3223</v>
      </c>
      <c r="G29" s="50">
        <v>1233.32</v>
      </c>
      <c r="H29" s="56">
        <v>1.779426119342287E-2</v>
      </c>
      <c r="I29" s="2">
        <v>1.78E-2</v>
      </c>
    </row>
    <row r="30" spans="1:9" ht="12.95" customHeight="1">
      <c r="A30" s="26"/>
      <c r="B30" s="55" t="s">
        <v>108</v>
      </c>
      <c r="C30" s="11" t="s">
        <v>109</v>
      </c>
      <c r="D30" s="11" t="s">
        <v>84</v>
      </c>
      <c r="E30" s="48">
        <v>164810</v>
      </c>
      <c r="F30" s="49">
        <v>1185.231115</v>
      </c>
      <c r="G30" s="50">
        <v>1185.23</v>
      </c>
      <c r="H30" s="56">
        <v>1.7100405980563085E-2</v>
      </c>
      <c r="I30" s="2">
        <v>1.7100000000000001E-2</v>
      </c>
    </row>
    <row r="31" spans="1:9" ht="12.95" customHeight="1">
      <c r="A31" s="26"/>
      <c r="B31" s="55" t="s">
        <v>110</v>
      </c>
      <c r="C31" s="11" t="s">
        <v>111</v>
      </c>
      <c r="D31" s="11" t="s">
        <v>112</v>
      </c>
      <c r="E31" s="48">
        <v>292739</v>
      </c>
      <c r="F31" s="49">
        <v>1167.5895015000001</v>
      </c>
      <c r="G31" s="50">
        <v>1167.5899999999999</v>
      </c>
      <c r="H31" s="56">
        <v>1.6845874396651552E-2</v>
      </c>
      <c r="I31" s="2">
        <v>1.6799999999999999E-2</v>
      </c>
    </row>
    <row r="32" spans="1:9" ht="12.95" customHeight="1">
      <c r="A32" s="26"/>
      <c r="B32" s="55" t="s">
        <v>113</v>
      </c>
      <c r="C32" s="11" t="s">
        <v>114</v>
      </c>
      <c r="D32" s="11" t="s">
        <v>78</v>
      </c>
      <c r="E32" s="48">
        <v>648427</v>
      </c>
      <c r="F32" s="49">
        <v>1160.3601165</v>
      </c>
      <c r="G32" s="50">
        <v>1160.3599999999999</v>
      </c>
      <c r="H32" s="56">
        <v>1.6741569491958097E-2</v>
      </c>
      <c r="I32" s="2">
        <v>1.67E-2</v>
      </c>
    </row>
    <row r="33" spans="1:9" ht="12.95" customHeight="1">
      <c r="A33" s="26"/>
      <c r="B33" s="55" t="s">
        <v>115</v>
      </c>
      <c r="C33" s="11" t="s">
        <v>116</v>
      </c>
      <c r="D33" s="11" t="s">
        <v>93</v>
      </c>
      <c r="E33" s="48">
        <v>89243</v>
      </c>
      <c r="F33" s="49">
        <v>1153.6888825000001</v>
      </c>
      <c r="G33" s="50">
        <v>1153.69</v>
      </c>
      <c r="H33" s="56">
        <v>1.664531753877567E-2</v>
      </c>
      <c r="I33" s="2">
        <v>1.66E-2</v>
      </c>
    </row>
    <row r="34" spans="1:9" ht="12.95" customHeight="1">
      <c r="A34" s="26"/>
      <c r="B34" s="55" t="s">
        <v>117</v>
      </c>
      <c r="C34" s="11" t="s">
        <v>118</v>
      </c>
      <c r="D34" s="11" t="s">
        <v>119</v>
      </c>
      <c r="E34" s="48">
        <v>275400</v>
      </c>
      <c r="F34" s="49">
        <v>1122.1172999999999</v>
      </c>
      <c r="G34" s="50">
        <v>1122.1199999999999</v>
      </c>
      <c r="H34" s="56">
        <v>1.6189805637876205E-2</v>
      </c>
      <c r="I34" s="2">
        <v>1.6199999999999999E-2</v>
      </c>
    </row>
    <row r="35" spans="1:9" ht="12.95" customHeight="1">
      <c r="A35" s="26"/>
      <c r="B35" s="55" t="s">
        <v>120</v>
      </c>
      <c r="C35" s="11" t="s">
        <v>121</v>
      </c>
      <c r="D35" s="11" t="s">
        <v>84</v>
      </c>
      <c r="E35" s="48">
        <v>101019</v>
      </c>
      <c r="F35" s="49">
        <v>1110.905943</v>
      </c>
      <c r="G35" s="50">
        <v>1110.9100000000001</v>
      </c>
      <c r="H35" s="56">
        <v>1.6028049205846467E-2</v>
      </c>
      <c r="I35" s="2">
        <v>1.6E-2</v>
      </c>
    </row>
    <row r="36" spans="1:9" ht="12.95" customHeight="1">
      <c r="A36" s="26"/>
      <c r="B36" s="55" t="s">
        <v>122</v>
      </c>
      <c r="C36" s="11" t="s">
        <v>123</v>
      </c>
      <c r="D36" s="11" t="s">
        <v>124</v>
      </c>
      <c r="E36" s="48">
        <v>58625</v>
      </c>
      <c r="F36" s="49">
        <v>1099.5411875</v>
      </c>
      <c r="G36" s="50">
        <v>1099.54</v>
      </c>
      <c r="H36" s="56">
        <v>1.5864079554307377E-2</v>
      </c>
      <c r="I36" s="2">
        <v>1.5900000000000001E-2</v>
      </c>
    </row>
    <row r="37" spans="1:9" ht="12.95" customHeight="1">
      <c r="A37" s="26"/>
      <c r="B37" s="55" t="s">
        <v>125</v>
      </c>
      <c r="C37" s="11" t="s">
        <v>126</v>
      </c>
      <c r="D37" s="11" t="s">
        <v>127</v>
      </c>
      <c r="E37" s="48">
        <v>568027</v>
      </c>
      <c r="F37" s="49">
        <v>1076.6951785000001</v>
      </c>
      <c r="G37" s="50">
        <v>1076.7</v>
      </c>
      <c r="H37" s="56">
        <v>1.5534459428754399E-2</v>
      </c>
      <c r="I37" s="2">
        <v>1.55E-2</v>
      </c>
    </row>
    <row r="38" spans="1:9" ht="12.95" customHeight="1">
      <c r="A38" s="26"/>
      <c r="B38" s="55" t="s">
        <v>128</v>
      </c>
      <c r="C38" s="11" t="s">
        <v>129</v>
      </c>
      <c r="D38" s="11" t="s">
        <v>124</v>
      </c>
      <c r="E38" s="48">
        <v>115923</v>
      </c>
      <c r="F38" s="49">
        <v>1066.2017925</v>
      </c>
      <c r="G38" s="50">
        <v>1066.2</v>
      </c>
      <c r="H38" s="56">
        <v>1.5383061816558944E-2</v>
      </c>
      <c r="I38" s="2">
        <v>1.54E-2</v>
      </c>
    </row>
    <row r="39" spans="1:9" ht="12.95" customHeight="1">
      <c r="A39" s="26"/>
      <c r="B39" s="55" t="s">
        <v>130</v>
      </c>
      <c r="C39" s="11" t="s">
        <v>131</v>
      </c>
      <c r="D39" s="11" t="s">
        <v>68</v>
      </c>
      <c r="E39" s="48">
        <v>197190</v>
      </c>
      <c r="F39" s="49">
        <v>1055.55807</v>
      </c>
      <c r="G39" s="50">
        <v>1055.56</v>
      </c>
      <c r="H39" s="56">
        <v>1.5229495163109709E-2</v>
      </c>
      <c r="I39" s="2">
        <v>1.52E-2</v>
      </c>
    </row>
    <row r="40" spans="1:9" ht="12.95" customHeight="1">
      <c r="A40" s="26"/>
      <c r="B40" s="55" t="s">
        <v>132</v>
      </c>
      <c r="C40" s="11" t="s">
        <v>133</v>
      </c>
      <c r="D40" s="11" t="s">
        <v>124</v>
      </c>
      <c r="E40" s="48">
        <v>53890</v>
      </c>
      <c r="F40" s="49">
        <v>1017.9820999999999</v>
      </c>
      <c r="G40" s="50">
        <v>1017.98</v>
      </c>
      <c r="H40" s="56">
        <v>1.4687352509258221E-2</v>
      </c>
      <c r="I40" s="2">
        <v>1.47E-2</v>
      </c>
    </row>
    <row r="41" spans="1:9" ht="12.95" customHeight="1">
      <c r="A41" s="26"/>
      <c r="B41" s="55" t="s">
        <v>134</v>
      </c>
      <c r="C41" s="11" t="s">
        <v>135</v>
      </c>
      <c r="D41" s="11" t="s">
        <v>124</v>
      </c>
      <c r="E41" s="48">
        <v>118100</v>
      </c>
      <c r="F41" s="49">
        <v>1013.00275</v>
      </c>
      <c r="G41" s="50">
        <v>1013</v>
      </c>
      <c r="H41" s="56">
        <v>1.4615510903480502E-2</v>
      </c>
      <c r="I41" s="2">
        <v>1.46E-2</v>
      </c>
    </row>
    <row r="42" spans="1:9" ht="12.95" customHeight="1">
      <c r="A42" s="26"/>
      <c r="B42" s="55" t="s">
        <v>136</v>
      </c>
      <c r="C42" s="11" t="s">
        <v>137</v>
      </c>
      <c r="D42" s="11" t="s">
        <v>78</v>
      </c>
      <c r="E42" s="48">
        <v>97500</v>
      </c>
      <c r="F42" s="49">
        <v>1008.58875</v>
      </c>
      <c r="G42" s="50">
        <v>1008.59</v>
      </c>
      <c r="H42" s="56">
        <v>1.4551826115726507E-2</v>
      </c>
      <c r="I42" s="2">
        <v>1.46E-2</v>
      </c>
    </row>
    <row r="43" spans="1:9" ht="12.95" customHeight="1">
      <c r="A43" s="26"/>
      <c r="B43" s="55" t="s">
        <v>138</v>
      </c>
      <c r="C43" s="11" t="s">
        <v>139</v>
      </c>
      <c r="D43" s="11" t="s">
        <v>140</v>
      </c>
      <c r="E43" s="48">
        <v>371000</v>
      </c>
      <c r="F43" s="49">
        <v>996.50599999999997</v>
      </c>
      <c r="G43" s="50">
        <v>996.51</v>
      </c>
      <c r="H43" s="56">
        <v>1.4377497305297287E-2</v>
      </c>
      <c r="I43" s="2">
        <v>1.44E-2</v>
      </c>
    </row>
    <row r="44" spans="1:9" ht="12.95" customHeight="1">
      <c r="A44" s="26"/>
      <c r="B44" s="55" t="s">
        <v>141</v>
      </c>
      <c r="C44" s="11" t="s">
        <v>142</v>
      </c>
      <c r="D44" s="11" t="s">
        <v>124</v>
      </c>
      <c r="E44" s="48">
        <v>65136</v>
      </c>
      <c r="F44" s="49">
        <v>975.44416799999999</v>
      </c>
      <c r="G44" s="50">
        <v>975.44</v>
      </c>
      <c r="H44" s="56">
        <v>1.4073619122100573E-2</v>
      </c>
      <c r="I44" s="2">
        <v>1.41E-2</v>
      </c>
    </row>
    <row r="45" spans="1:9" ht="12.95" customHeight="1">
      <c r="A45" s="26"/>
      <c r="B45" s="55" t="s">
        <v>143</v>
      </c>
      <c r="C45" s="11" t="s">
        <v>144</v>
      </c>
      <c r="D45" s="11" t="s">
        <v>60</v>
      </c>
      <c r="E45" s="48">
        <v>201803</v>
      </c>
      <c r="F45" s="49">
        <v>965.62735499999997</v>
      </c>
      <c r="G45" s="50">
        <v>965.63</v>
      </c>
      <c r="H45" s="56">
        <v>1.3931983043186741E-2</v>
      </c>
      <c r="I45" s="2">
        <v>1.3899999999999999E-2</v>
      </c>
    </row>
    <row r="46" spans="1:9" ht="12.95" customHeight="1">
      <c r="A46" s="26"/>
      <c r="B46" s="55" t="s">
        <v>145</v>
      </c>
      <c r="C46" s="11" t="s">
        <v>146</v>
      </c>
      <c r="D46" s="11" t="s">
        <v>124</v>
      </c>
      <c r="E46" s="48">
        <v>162507</v>
      </c>
      <c r="F46" s="49">
        <v>959.76634200000001</v>
      </c>
      <c r="G46" s="50">
        <v>959.77</v>
      </c>
      <c r="H46" s="56">
        <v>1.3847420884390093E-2</v>
      </c>
      <c r="I46" s="2">
        <v>1.38E-2</v>
      </c>
    </row>
    <row r="47" spans="1:9" ht="12.95" customHeight="1">
      <c r="A47" s="26"/>
      <c r="B47" s="55" t="s">
        <v>147</v>
      </c>
      <c r="C47" s="11" t="s">
        <v>148</v>
      </c>
      <c r="D47" s="11" t="s">
        <v>112</v>
      </c>
      <c r="E47" s="48">
        <v>214565</v>
      </c>
      <c r="F47" s="49">
        <v>923.91688999999997</v>
      </c>
      <c r="G47" s="50">
        <v>923.92</v>
      </c>
      <c r="H47" s="56">
        <v>1.3330188274123437E-2</v>
      </c>
      <c r="I47" s="2">
        <v>1.3299999999999999E-2</v>
      </c>
    </row>
    <row r="48" spans="1:9" ht="12.95" customHeight="1">
      <c r="A48" s="26"/>
      <c r="B48" s="55" t="s">
        <v>149</v>
      </c>
      <c r="C48" s="11" t="s">
        <v>150</v>
      </c>
      <c r="D48" s="11" t="s">
        <v>60</v>
      </c>
      <c r="E48" s="48">
        <v>193000</v>
      </c>
      <c r="F48" s="49">
        <v>908.54750000000001</v>
      </c>
      <c r="G48" s="50">
        <v>908.55</v>
      </c>
      <c r="H48" s="56">
        <v>1.3108440122773558E-2</v>
      </c>
      <c r="I48" s="2">
        <v>1.3100000000000001E-2</v>
      </c>
    </row>
    <row r="49" spans="1:9" ht="12.95" customHeight="1">
      <c r="A49" s="26"/>
      <c r="B49" s="55" t="s">
        <v>151</v>
      </c>
      <c r="C49" s="11" t="s">
        <v>152</v>
      </c>
      <c r="D49" s="11" t="s">
        <v>153</v>
      </c>
      <c r="E49" s="48">
        <v>304000</v>
      </c>
      <c r="F49" s="49">
        <v>881.29600000000005</v>
      </c>
      <c r="G49" s="50">
        <v>881.3</v>
      </c>
      <c r="H49" s="56">
        <v>1.2715257976539305E-2</v>
      </c>
      <c r="I49" s="2">
        <v>1.2699999999999999E-2</v>
      </c>
    </row>
    <row r="50" spans="1:9" ht="12.95" customHeight="1">
      <c r="A50" s="26"/>
      <c r="B50" s="55" t="s">
        <v>154</v>
      </c>
      <c r="C50" s="11" t="s">
        <v>155</v>
      </c>
      <c r="D50" s="11" t="s">
        <v>60</v>
      </c>
      <c r="E50" s="48">
        <v>21720</v>
      </c>
      <c r="F50" s="49">
        <v>879.77945999999997</v>
      </c>
      <c r="G50" s="50">
        <v>879.78</v>
      </c>
      <c r="H50" s="56">
        <v>1.2693377476308122E-2</v>
      </c>
      <c r="I50" s="2">
        <v>1.2699999999999999E-2</v>
      </c>
    </row>
    <row r="51" spans="1:9" ht="12.95" customHeight="1">
      <c r="A51" s="26"/>
      <c r="B51" s="55" t="s">
        <v>156</v>
      </c>
      <c r="C51" s="11" t="s">
        <v>157</v>
      </c>
      <c r="D51" s="11" t="s">
        <v>63</v>
      </c>
      <c r="E51" s="48">
        <v>462077</v>
      </c>
      <c r="F51" s="49">
        <v>858.30802749999998</v>
      </c>
      <c r="G51" s="50">
        <v>858.31</v>
      </c>
      <c r="H51" s="56">
        <v>1.2383589614609726E-2</v>
      </c>
      <c r="I51" s="2">
        <v>1.24E-2</v>
      </c>
    </row>
    <row r="52" spans="1:9" ht="12.95" customHeight="1">
      <c r="A52" s="26"/>
      <c r="B52" s="55" t="s">
        <v>158</v>
      </c>
      <c r="C52" s="11" t="s">
        <v>159</v>
      </c>
      <c r="D52" s="11" t="s">
        <v>127</v>
      </c>
      <c r="E52" s="48">
        <v>72584</v>
      </c>
      <c r="F52" s="49">
        <v>831.23196800000005</v>
      </c>
      <c r="G52" s="50">
        <v>831.23</v>
      </c>
      <c r="H52" s="56">
        <v>1.1992938707842161E-2</v>
      </c>
      <c r="I52" s="2">
        <v>1.2E-2</v>
      </c>
    </row>
    <row r="53" spans="1:9" ht="12.95" customHeight="1">
      <c r="A53" s="26"/>
      <c r="B53" s="55" t="s">
        <v>160</v>
      </c>
      <c r="C53" s="11" t="s">
        <v>161</v>
      </c>
      <c r="D53" s="11" t="s">
        <v>81</v>
      </c>
      <c r="E53" s="48">
        <v>54900</v>
      </c>
      <c r="F53" s="49">
        <v>822.29219999999998</v>
      </c>
      <c r="G53" s="50">
        <v>822.29</v>
      </c>
      <c r="H53" s="56">
        <v>1.1863956553866186E-2</v>
      </c>
      <c r="I53" s="2">
        <v>1.1900000000000001E-2</v>
      </c>
    </row>
    <row r="54" spans="1:9" ht="12.95" customHeight="1">
      <c r="A54" s="26"/>
      <c r="B54" s="55" t="s">
        <v>162</v>
      </c>
      <c r="C54" s="11" t="s">
        <v>163</v>
      </c>
      <c r="D54" s="11" t="s">
        <v>57</v>
      </c>
      <c r="E54" s="48">
        <v>93520</v>
      </c>
      <c r="F54" s="49">
        <v>794.40563999999995</v>
      </c>
      <c r="G54" s="50">
        <v>794.41</v>
      </c>
      <c r="H54" s="56">
        <v>1.146161182011244E-2</v>
      </c>
      <c r="I54" s="2">
        <v>1.15E-2</v>
      </c>
    </row>
    <row r="55" spans="1:9" ht="12.95" customHeight="1">
      <c r="A55" s="26"/>
      <c r="B55" s="55" t="s">
        <v>164</v>
      </c>
      <c r="C55" s="11" t="s">
        <v>165</v>
      </c>
      <c r="D55" s="11" t="s">
        <v>119</v>
      </c>
      <c r="E55" s="48">
        <v>560874</v>
      </c>
      <c r="F55" s="49">
        <v>753.253782</v>
      </c>
      <c r="G55" s="50">
        <v>753.25</v>
      </c>
      <c r="H55" s="56">
        <v>1.0867876581686402E-2</v>
      </c>
      <c r="I55" s="2">
        <v>1.09E-2</v>
      </c>
    </row>
    <row r="56" spans="1:9" ht="12.95" customHeight="1">
      <c r="A56" s="26"/>
      <c r="B56" s="55" t="s">
        <v>166</v>
      </c>
      <c r="C56" s="11" t="s">
        <v>167</v>
      </c>
      <c r="D56" s="11" t="s">
        <v>168</v>
      </c>
      <c r="E56" s="48">
        <v>97024</v>
      </c>
      <c r="F56" s="49">
        <v>709.53651200000002</v>
      </c>
      <c r="G56" s="50">
        <v>709.54</v>
      </c>
      <c r="H56" s="56">
        <v>1.0237127813871703E-2</v>
      </c>
      <c r="I56" s="2">
        <v>1.0200000000000001E-2</v>
      </c>
    </row>
    <row r="57" spans="1:9" ht="12.95" customHeight="1">
      <c r="A57" s="26"/>
      <c r="B57" s="55" t="s">
        <v>169</v>
      </c>
      <c r="C57" s="11" t="s">
        <v>170</v>
      </c>
      <c r="D57" s="11" t="s">
        <v>93</v>
      </c>
      <c r="E57" s="48">
        <v>21536</v>
      </c>
      <c r="F57" s="49">
        <v>667.73444800000004</v>
      </c>
      <c r="G57" s="50">
        <v>667.73</v>
      </c>
      <c r="H57" s="56">
        <v>9.6340114628252829E-3</v>
      </c>
      <c r="I57" s="2">
        <v>9.5999999999999992E-3</v>
      </c>
    </row>
    <row r="58" spans="1:9" ht="12.95" customHeight="1">
      <c r="A58" s="26"/>
      <c r="B58" s="55" t="s">
        <v>171</v>
      </c>
      <c r="C58" s="11" t="s">
        <v>172</v>
      </c>
      <c r="D58" s="11" t="s">
        <v>127</v>
      </c>
      <c r="E58" s="48">
        <v>606576</v>
      </c>
      <c r="F58" s="49">
        <v>642.36398399999996</v>
      </c>
      <c r="G58" s="50">
        <v>642.36</v>
      </c>
      <c r="H58" s="56">
        <v>9.2679687317286895E-3</v>
      </c>
      <c r="I58" s="2">
        <v>9.2999999999999992E-3</v>
      </c>
    </row>
    <row r="59" spans="1:9" ht="12.95" customHeight="1">
      <c r="A59" s="26"/>
      <c r="B59" s="55" t="s">
        <v>173</v>
      </c>
      <c r="C59" s="11" t="s">
        <v>174</v>
      </c>
      <c r="D59" s="11" t="s">
        <v>68</v>
      </c>
      <c r="E59" s="48">
        <v>381804</v>
      </c>
      <c r="F59" s="49">
        <v>639.13989600000002</v>
      </c>
      <c r="G59" s="50">
        <v>639.14</v>
      </c>
      <c r="H59" s="56">
        <v>9.2214518853353487E-3</v>
      </c>
      <c r="I59" s="2">
        <v>9.1999999999999998E-3</v>
      </c>
    </row>
    <row r="60" spans="1:9" ht="12.95" customHeight="1">
      <c r="A60" s="26"/>
      <c r="B60" s="55" t="s">
        <v>175</v>
      </c>
      <c r="C60" s="11" t="s">
        <v>176</v>
      </c>
      <c r="D60" s="11" t="s">
        <v>57</v>
      </c>
      <c r="E60" s="48">
        <v>173150</v>
      </c>
      <c r="F60" s="49">
        <v>606.54444999999998</v>
      </c>
      <c r="G60" s="50">
        <v>606.54</v>
      </c>
      <c r="H60" s="56">
        <v>8.7511677756260623E-3</v>
      </c>
      <c r="I60" s="2">
        <v>8.8000000000000005E-3</v>
      </c>
    </row>
    <row r="61" spans="1:9" ht="12.95" customHeight="1">
      <c r="A61" s="26"/>
      <c r="B61" s="55" t="s">
        <v>177</v>
      </c>
      <c r="C61" s="11" t="s">
        <v>178</v>
      </c>
      <c r="D61" s="11" t="s">
        <v>179</v>
      </c>
      <c r="E61" s="48">
        <v>298000</v>
      </c>
      <c r="F61" s="49">
        <v>535.95299999999997</v>
      </c>
      <c r="G61" s="50">
        <v>535.95000000000005</v>
      </c>
      <c r="H61" s="56">
        <v>7.7326807999811304E-3</v>
      </c>
      <c r="I61" s="2">
        <v>7.7000000000000002E-3</v>
      </c>
    </row>
    <row r="62" spans="1:9" ht="12.95" customHeight="1">
      <c r="A62" s="26"/>
      <c r="B62" s="55" t="s">
        <v>180</v>
      </c>
      <c r="C62" s="11" t="s">
        <v>181</v>
      </c>
      <c r="D62" s="11" t="s">
        <v>57</v>
      </c>
      <c r="E62" s="48">
        <v>34999</v>
      </c>
      <c r="F62" s="49">
        <v>448.7046795</v>
      </c>
      <c r="G62" s="50">
        <v>448.7</v>
      </c>
      <c r="H62" s="56">
        <v>6.4738700222432503E-3</v>
      </c>
      <c r="I62" s="2">
        <v>6.4999999999999997E-3</v>
      </c>
    </row>
    <row r="63" spans="1:9" ht="12.95" customHeight="1">
      <c r="A63" s="26"/>
      <c r="B63" s="55" t="s">
        <v>182</v>
      </c>
      <c r="C63" s="11" t="s">
        <v>183</v>
      </c>
      <c r="D63" s="11" t="s">
        <v>60</v>
      </c>
      <c r="E63" s="48">
        <v>49500</v>
      </c>
      <c r="F63" s="49">
        <v>436.02075000000002</v>
      </c>
      <c r="G63" s="50">
        <v>436.02</v>
      </c>
      <c r="H63" s="56">
        <v>6.2908674490456673E-3</v>
      </c>
      <c r="I63" s="2">
        <v>6.3E-3</v>
      </c>
    </row>
    <row r="64" spans="1:9" ht="12.95" customHeight="1">
      <c r="A64" s="26"/>
      <c r="B64" s="55" t="s">
        <v>184</v>
      </c>
      <c r="C64" s="11" t="s">
        <v>185</v>
      </c>
      <c r="D64" s="11" t="s">
        <v>186</v>
      </c>
      <c r="E64" s="48">
        <v>239124</v>
      </c>
      <c r="F64" s="49">
        <v>408.54335400000002</v>
      </c>
      <c r="G64" s="50">
        <v>408.54</v>
      </c>
      <c r="H64" s="56">
        <v>5.8944260960115801E-3</v>
      </c>
      <c r="I64" s="2">
        <v>5.8999999999999999E-3</v>
      </c>
    </row>
    <row r="65" spans="1:9" ht="12.95" customHeight="1">
      <c r="A65" s="26"/>
      <c r="B65" s="55" t="s">
        <v>187</v>
      </c>
      <c r="C65" s="11" t="s">
        <v>188</v>
      </c>
      <c r="D65" s="11" t="s">
        <v>179</v>
      </c>
      <c r="E65" s="48">
        <v>191305</v>
      </c>
      <c r="F65" s="49">
        <v>227.27034</v>
      </c>
      <c r="G65" s="50">
        <v>227.27</v>
      </c>
      <c r="H65" s="56">
        <v>3.2790356514903053E-3</v>
      </c>
      <c r="I65" s="2">
        <v>3.3E-3</v>
      </c>
    </row>
    <row r="66" spans="1:9" ht="12.95" customHeight="1">
      <c r="A66" s="26"/>
      <c r="B66" s="55" t="s">
        <v>189</v>
      </c>
      <c r="C66" s="11" t="s">
        <v>190</v>
      </c>
      <c r="D66" s="11" t="s">
        <v>191</v>
      </c>
      <c r="E66" s="48">
        <v>19500</v>
      </c>
      <c r="F66" s="49">
        <v>104.22750000000001</v>
      </c>
      <c r="G66" s="50">
        <v>104.23</v>
      </c>
      <c r="H66" s="56">
        <v>1.5037848245649027E-3</v>
      </c>
      <c r="I66" s="2">
        <v>1.5E-3</v>
      </c>
    </row>
    <row r="67" spans="1:9" ht="12.95" customHeight="1">
      <c r="A67" s="26"/>
      <c r="B67" s="55" t="s">
        <v>192</v>
      </c>
      <c r="C67" s="11" t="s">
        <v>193</v>
      </c>
      <c r="D67" s="11" t="s">
        <v>194</v>
      </c>
      <c r="E67" s="48">
        <v>6802</v>
      </c>
      <c r="F67" s="49">
        <v>17.787230000000001</v>
      </c>
      <c r="G67" s="50">
        <v>17.79</v>
      </c>
      <c r="H67" s="56">
        <v>2.5663252543758197E-4</v>
      </c>
      <c r="I67" s="2">
        <v>2.9999999999999997E-4</v>
      </c>
    </row>
    <row r="68" spans="1:9" ht="12.95" customHeight="1">
      <c r="A68" s="24"/>
      <c r="B68" s="53" t="s">
        <v>42</v>
      </c>
      <c r="C68" s="11" t="s">
        <v>1</v>
      </c>
      <c r="D68" s="11" t="s">
        <v>1</v>
      </c>
      <c r="E68" s="11" t="s">
        <v>1</v>
      </c>
      <c r="F68" s="12">
        <v>67941.015920000005</v>
      </c>
      <c r="G68" s="51">
        <v>67940.990000000005</v>
      </c>
      <c r="H68" s="57">
        <v>0.98024675547258122</v>
      </c>
      <c r="I68" s="38">
        <v>0.98040000000000005</v>
      </c>
    </row>
    <row r="69" spans="1:9" ht="12.95" customHeight="1">
      <c r="A69" s="24"/>
      <c r="B69" s="53"/>
      <c r="C69" s="11"/>
      <c r="D69" s="11"/>
      <c r="E69" s="11"/>
      <c r="F69" s="12"/>
      <c r="G69" s="51"/>
      <c r="H69" s="57"/>
      <c r="I69" s="38"/>
    </row>
    <row r="70" spans="1:9" ht="12.95" customHeight="1">
      <c r="A70" s="24"/>
      <c r="B70" s="53" t="s">
        <v>195</v>
      </c>
      <c r="C70" s="11" t="s">
        <v>1</v>
      </c>
      <c r="D70" s="11" t="s">
        <v>1</v>
      </c>
      <c r="E70" s="11" t="s">
        <v>1</v>
      </c>
      <c r="F70" s="12" t="s">
        <v>196</v>
      </c>
      <c r="G70" s="52" t="s">
        <v>196</v>
      </c>
      <c r="H70" s="57" t="s">
        <v>196</v>
      </c>
      <c r="I70" s="39" t="s">
        <v>196</v>
      </c>
    </row>
    <row r="71" spans="1:9" ht="12.95" customHeight="1">
      <c r="A71" s="24"/>
      <c r="B71" s="53" t="s">
        <v>42</v>
      </c>
      <c r="C71" s="11" t="s">
        <v>1</v>
      </c>
      <c r="D71" s="11" t="s">
        <v>1</v>
      </c>
      <c r="E71" s="11" t="s">
        <v>1</v>
      </c>
      <c r="F71" s="12" t="s">
        <v>196</v>
      </c>
      <c r="G71" s="52" t="s">
        <v>196</v>
      </c>
      <c r="H71" s="57" t="s">
        <v>196</v>
      </c>
      <c r="I71" s="39" t="s">
        <v>196</v>
      </c>
    </row>
    <row r="72" spans="1:9" ht="12.95" customHeight="1">
      <c r="A72" s="24"/>
      <c r="B72" s="53" t="s">
        <v>43</v>
      </c>
      <c r="C72" s="11" t="s">
        <v>1</v>
      </c>
      <c r="D72" s="11" t="s">
        <v>1</v>
      </c>
      <c r="E72" s="11" t="s">
        <v>1</v>
      </c>
      <c r="F72" s="12">
        <v>67941.015920000005</v>
      </c>
      <c r="G72" s="51">
        <v>67940.990000000005</v>
      </c>
      <c r="H72" s="57">
        <v>0.98024675547258122</v>
      </c>
      <c r="I72" s="38">
        <v>0.98040000000000005</v>
      </c>
    </row>
    <row r="73" spans="1:9" ht="12.95" customHeight="1">
      <c r="A73" s="24"/>
      <c r="B73" s="53"/>
      <c r="C73" s="11"/>
      <c r="D73" s="11"/>
      <c r="E73" s="11"/>
      <c r="F73" s="12"/>
      <c r="G73" s="51"/>
      <c r="H73" s="57"/>
      <c r="I73" s="41"/>
    </row>
    <row r="74" spans="1:9" ht="12.95" customHeight="1">
      <c r="A74" s="24"/>
      <c r="B74" s="9" t="s">
        <v>370</v>
      </c>
      <c r="C74" s="10"/>
      <c r="D74" s="11"/>
      <c r="E74" s="11"/>
      <c r="F74" s="12"/>
      <c r="G74" s="12"/>
      <c r="H74" s="57"/>
      <c r="I74" s="21"/>
    </row>
    <row r="75" spans="1:9" ht="12.95" customHeight="1">
      <c r="A75" s="26"/>
      <c r="B75" s="13" t="s">
        <v>375</v>
      </c>
      <c r="C75" s="10"/>
      <c r="D75" s="11"/>
      <c r="E75" s="52" t="s">
        <v>196</v>
      </c>
      <c r="F75" s="12"/>
      <c r="G75" s="97" t="s">
        <v>196</v>
      </c>
      <c r="H75" s="98" t="s">
        <v>196</v>
      </c>
      <c r="I75" s="22" t="s">
        <v>196</v>
      </c>
    </row>
    <row r="76" spans="1:9" ht="12.95" customHeight="1">
      <c r="A76" s="24"/>
      <c r="B76" s="16" t="s">
        <v>372</v>
      </c>
      <c r="C76" s="10"/>
      <c r="D76" s="11"/>
      <c r="E76" s="52" t="s">
        <v>196</v>
      </c>
      <c r="F76" s="12"/>
      <c r="G76" s="97" t="s">
        <v>196</v>
      </c>
      <c r="H76" s="98" t="s">
        <v>196</v>
      </c>
      <c r="I76" s="22" t="s">
        <v>196</v>
      </c>
    </row>
    <row r="77" spans="1:9" ht="12.95" customHeight="1">
      <c r="A77" s="24"/>
      <c r="B77" s="16" t="s">
        <v>373</v>
      </c>
      <c r="C77" s="10"/>
      <c r="D77" s="11"/>
      <c r="E77" s="52" t="s">
        <v>196</v>
      </c>
      <c r="F77" s="12"/>
      <c r="G77" s="97" t="s">
        <v>196</v>
      </c>
      <c r="H77" s="98" t="s">
        <v>196</v>
      </c>
      <c r="I77" s="89" t="s">
        <v>196</v>
      </c>
    </row>
    <row r="78" spans="1:9" ht="12.95" customHeight="1">
      <c r="A78" s="24"/>
      <c r="B78" s="16"/>
      <c r="C78" s="10"/>
      <c r="D78" s="11"/>
      <c r="E78" s="11"/>
      <c r="F78" s="12"/>
      <c r="G78" s="14"/>
      <c r="H78" s="96"/>
      <c r="I78" s="90"/>
    </row>
    <row r="79" spans="1:9" ht="12.95" customHeight="1">
      <c r="A79" s="24"/>
      <c r="B79" s="70" t="s">
        <v>11</v>
      </c>
      <c r="C79" s="10"/>
      <c r="D79" s="11"/>
      <c r="E79" s="11"/>
      <c r="F79" s="12"/>
      <c r="G79" s="14"/>
      <c r="H79" s="96"/>
      <c r="I79" s="90"/>
    </row>
    <row r="80" spans="1:9" ht="12.95" customHeight="1">
      <c r="A80" s="24"/>
      <c r="B80" s="53"/>
      <c r="C80" s="10"/>
      <c r="D80" s="11"/>
      <c r="E80" s="11"/>
      <c r="F80" s="12"/>
      <c r="G80" s="12"/>
      <c r="H80" s="57"/>
      <c r="I80" s="91"/>
    </row>
    <row r="81" spans="1:9" ht="12.95" customHeight="1">
      <c r="A81" s="24"/>
      <c r="B81" s="53" t="s">
        <v>44</v>
      </c>
      <c r="C81" s="11" t="s">
        <v>1</v>
      </c>
      <c r="D81" s="11" t="s">
        <v>1</v>
      </c>
      <c r="E81" s="11" t="s">
        <v>1</v>
      </c>
      <c r="F81" s="46" t="s">
        <v>1</v>
      </c>
      <c r="G81" s="47"/>
      <c r="H81" s="54" t="s">
        <v>1</v>
      </c>
      <c r="I81" s="37" t="s">
        <v>1</v>
      </c>
    </row>
    <row r="82" spans="1:9" ht="12.95" customHeight="1">
      <c r="A82" s="26"/>
      <c r="B82" s="55" t="s">
        <v>45</v>
      </c>
      <c r="C82" s="11" t="s">
        <v>1</v>
      </c>
      <c r="D82" s="11" t="s">
        <v>46</v>
      </c>
      <c r="E82" s="48"/>
      <c r="F82" s="49">
        <v>726.33136230000002</v>
      </c>
      <c r="G82" s="50">
        <v>726.33</v>
      </c>
      <c r="H82" s="56">
        <v>1.047944237588249E-2</v>
      </c>
      <c r="I82" s="2">
        <v>1.0500000000000001E-2</v>
      </c>
    </row>
    <row r="83" spans="1:9" ht="12.95" customHeight="1">
      <c r="A83" s="24"/>
      <c r="B83" s="53" t="s">
        <v>42</v>
      </c>
      <c r="C83" s="11" t="s">
        <v>1</v>
      </c>
      <c r="D83" s="11" t="s">
        <v>1</v>
      </c>
      <c r="E83" s="11" t="s">
        <v>1</v>
      </c>
      <c r="F83" s="12">
        <v>726.33136230000002</v>
      </c>
      <c r="G83" s="51">
        <v>726.33</v>
      </c>
      <c r="H83" s="57">
        <v>1.047944237588249E-2</v>
      </c>
      <c r="I83" s="38">
        <v>1.0500000000000001E-2</v>
      </c>
    </row>
    <row r="84" spans="1:9" ht="12.95" customHeight="1">
      <c r="A84" s="24"/>
      <c r="B84" s="53"/>
      <c r="C84" s="11"/>
      <c r="D84" s="11"/>
      <c r="E84" s="11"/>
      <c r="F84" s="12"/>
      <c r="G84" s="51"/>
      <c r="H84" s="57"/>
      <c r="I84" s="38"/>
    </row>
    <row r="85" spans="1:9" ht="12.95" customHeight="1">
      <c r="A85" s="24"/>
      <c r="B85" s="53" t="s">
        <v>47</v>
      </c>
      <c r="C85" s="11" t="s">
        <v>1</v>
      </c>
      <c r="D85" s="11" t="s">
        <v>1</v>
      </c>
      <c r="E85" s="11" t="s">
        <v>1</v>
      </c>
      <c r="F85" s="14">
        <v>642.76829900109999</v>
      </c>
      <c r="G85" s="95">
        <v>642.79999999999995</v>
      </c>
      <c r="H85" s="96">
        <v>9.2738021515362742E-3</v>
      </c>
      <c r="I85" s="38">
        <v>9.1000000000000004E-3</v>
      </c>
    </row>
    <row r="86" spans="1:9" ht="12.95" customHeight="1">
      <c r="A86" s="24"/>
      <c r="B86" s="53" t="s">
        <v>42</v>
      </c>
      <c r="C86" s="11"/>
      <c r="D86" s="11"/>
      <c r="E86" s="11"/>
      <c r="F86" s="12">
        <v>642.76829900109999</v>
      </c>
      <c r="G86" s="51">
        <v>642.79999999999995</v>
      </c>
      <c r="H86" s="57">
        <v>9.2738021515362742E-3</v>
      </c>
      <c r="I86" s="41"/>
    </row>
    <row r="87" spans="1:9" ht="12.95" customHeight="1">
      <c r="A87" s="24"/>
      <c r="B87" s="53" t="s">
        <v>43</v>
      </c>
      <c r="C87" s="11"/>
      <c r="D87" s="11"/>
      <c r="E87" s="11"/>
      <c r="F87" s="12">
        <f>F83+F86</f>
        <v>1369.0996613011</v>
      </c>
      <c r="G87" s="12">
        <f t="shared" ref="G87:H87" si="0">G83+G86</f>
        <v>1369.13</v>
      </c>
      <c r="H87" s="57">
        <f t="shared" si="0"/>
        <v>1.9753244527418765E-2</v>
      </c>
      <c r="I87" s="41"/>
    </row>
    <row r="88" spans="1:9" ht="12.95" customHeight="1" thickBot="1">
      <c r="A88" s="24"/>
      <c r="B88" s="80"/>
      <c r="C88" s="17"/>
      <c r="D88" s="17"/>
      <c r="E88" s="17"/>
      <c r="F88" s="18"/>
      <c r="G88" s="99"/>
      <c r="H88" s="100"/>
      <c r="I88" s="41"/>
    </row>
    <row r="89" spans="1:9" ht="12.95" customHeight="1" thickBot="1">
      <c r="A89" s="24"/>
      <c r="B89" s="84" t="s">
        <v>48</v>
      </c>
      <c r="C89" s="85" t="s">
        <v>1</v>
      </c>
      <c r="D89" s="85" t="s">
        <v>1</v>
      </c>
      <c r="E89" s="85" t="s">
        <v>1</v>
      </c>
      <c r="F89" s="101">
        <v>69310.115581301099</v>
      </c>
      <c r="G89" s="102">
        <v>69310.12</v>
      </c>
      <c r="H89" s="103">
        <v>1</v>
      </c>
      <c r="I89" s="42">
        <v>1</v>
      </c>
    </row>
    <row r="90" spans="1:9" s="27" customFormat="1" ht="12.95" customHeight="1">
      <c r="A90" s="24"/>
      <c r="B90" s="25" t="s">
        <v>1</v>
      </c>
      <c r="C90" s="24"/>
      <c r="D90" s="24"/>
      <c r="E90" s="24"/>
      <c r="F90" s="30"/>
      <c r="G90" s="24"/>
      <c r="H90" s="31"/>
      <c r="I90" s="24"/>
    </row>
    <row r="91" spans="1:9" s="27" customFormat="1" ht="12.95" customHeight="1">
      <c r="A91" s="24"/>
      <c r="B91" s="32" t="s">
        <v>376</v>
      </c>
      <c r="C91" s="24"/>
      <c r="D91" s="24"/>
      <c r="E91" s="24"/>
      <c r="F91" s="30"/>
      <c r="G91" s="24"/>
      <c r="H91" s="31"/>
      <c r="I91" s="24"/>
    </row>
    <row r="92" spans="1:9" s="27" customFormat="1" ht="12.95" customHeight="1">
      <c r="A92" s="24"/>
      <c r="B92" s="32" t="s">
        <v>1</v>
      </c>
      <c r="C92" s="24"/>
      <c r="D92" s="24"/>
      <c r="E92" s="24"/>
      <c r="F92" s="30"/>
      <c r="G92" s="24"/>
      <c r="H92" s="31"/>
      <c r="I92" s="24"/>
    </row>
    <row r="93" spans="1:9" s="27" customFormat="1" ht="12.95" customHeight="1" thickBot="1">
      <c r="A93" s="24"/>
      <c r="B93" s="32" t="s">
        <v>1</v>
      </c>
      <c r="C93" s="24"/>
      <c r="D93" s="24"/>
      <c r="E93" s="24"/>
      <c r="F93" s="30"/>
      <c r="G93" s="24"/>
      <c r="H93" s="31"/>
      <c r="I93" s="24"/>
    </row>
    <row r="94" spans="1:9" s="27" customFormat="1" ht="15.75" thickBot="1">
      <c r="B94" s="107" t="s">
        <v>386</v>
      </c>
      <c r="C94" s="108">
        <v>0.71389999999999998</v>
      </c>
      <c r="F94" s="33"/>
      <c r="H94" s="34"/>
    </row>
    <row r="95" spans="1:9" s="27" customFormat="1">
      <c r="B95" s="109" t="s">
        <v>387</v>
      </c>
      <c r="C95" s="109"/>
      <c r="F95" s="33"/>
      <c r="H95" s="34"/>
    </row>
    <row r="96" spans="1:9" s="27" customFormat="1">
      <c r="F96" s="33"/>
      <c r="H96" s="34"/>
    </row>
    <row r="97" spans="6:8" s="27" customFormat="1">
      <c r="F97" s="33"/>
      <c r="H97" s="34"/>
    </row>
    <row r="98" spans="6:8" s="27" customFormat="1">
      <c r="F98" s="33"/>
      <c r="H98" s="34"/>
    </row>
    <row r="99" spans="6:8" s="27" customFormat="1">
      <c r="F99" s="33"/>
      <c r="H99" s="34"/>
    </row>
    <row r="100" spans="6:8" s="27" customFormat="1">
      <c r="F100" s="33"/>
      <c r="H100" s="34"/>
    </row>
    <row r="101" spans="6:8" s="27" customFormat="1">
      <c r="F101" s="33"/>
      <c r="H101" s="34"/>
    </row>
    <row r="102" spans="6:8" s="27" customFormat="1">
      <c r="F102" s="33"/>
      <c r="H102" s="34"/>
    </row>
    <row r="103" spans="6:8" s="27" customFormat="1">
      <c r="F103" s="33"/>
      <c r="H103" s="34"/>
    </row>
    <row r="104" spans="6:8" s="27" customFormat="1">
      <c r="F104" s="33"/>
      <c r="H104" s="34"/>
    </row>
    <row r="105" spans="6:8" s="27" customFormat="1">
      <c r="F105" s="33"/>
      <c r="H105" s="34"/>
    </row>
    <row r="106" spans="6:8" s="27" customFormat="1">
      <c r="F106" s="33"/>
      <c r="H106" s="34"/>
    </row>
    <row r="107" spans="6:8" s="27" customFormat="1">
      <c r="F107" s="33"/>
      <c r="H107" s="34"/>
    </row>
    <row r="108" spans="6:8" s="27" customFormat="1">
      <c r="F108" s="33"/>
      <c r="H108" s="34"/>
    </row>
    <row r="109" spans="6:8" s="27" customFormat="1">
      <c r="F109" s="33"/>
      <c r="H109" s="34"/>
    </row>
    <row r="110" spans="6:8" s="27" customFormat="1">
      <c r="F110" s="33"/>
      <c r="H110" s="34"/>
    </row>
    <row r="111" spans="6:8" s="27" customFormat="1">
      <c r="F111" s="33"/>
      <c r="H111" s="34"/>
    </row>
    <row r="112" spans="6:8" s="27" customFormat="1">
      <c r="F112" s="33"/>
      <c r="H112" s="34"/>
    </row>
    <row r="113" spans="6:8" s="27" customFormat="1">
      <c r="F113" s="33"/>
      <c r="H113" s="34"/>
    </row>
    <row r="114" spans="6:8" s="27" customFormat="1">
      <c r="F114" s="33"/>
      <c r="H114" s="34"/>
    </row>
    <row r="115" spans="6:8" s="27" customFormat="1">
      <c r="F115" s="33"/>
      <c r="H115" s="34"/>
    </row>
    <row r="116" spans="6:8" s="27" customFormat="1">
      <c r="F116" s="33"/>
      <c r="H116" s="34"/>
    </row>
    <row r="117" spans="6:8" s="27" customFormat="1">
      <c r="F117" s="33"/>
      <c r="H117" s="34"/>
    </row>
    <row r="118" spans="6:8" s="27" customFormat="1">
      <c r="F118" s="33"/>
      <c r="H118" s="34"/>
    </row>
    <row r="119" spans="6:8" s="27" customFormat="1">
      <c r="F119" s="33"/>
      <c r="H119" s="34"/>
    </row>
    <row r="120" spans="6:8" s="27" customFormat="1">
      <c r="F120" s="33"/>
      <c r="H120" s="34"/>
    </row>
    <row r="121" spans="6:8" s="27" customFormat="1">
      <c r="F121" s="33"/>
      <c r="H121" s="34"/>
    </row>
    <row r="122" spans="6:8" s="27" customFormat="1">
      <c r="F122" s="33"/>
      <c r="H122" s="34"/>
    </row>
    <row r="123" spans="6:8" s="27" customFormat="1">
      <c r="F123" s="33"/>
      <c r="H123" s="34"/>
    </row>
    <row r="124" spans="6:8" s="27" customFormat="1">
      <c r="F124" s="33"/>
      <c r="H124" s="34"/>
    </row>
    <row r="125" spans="6:8" s="27" customFormat="1">
      <c r="F125" s="33"/>
      <c r="H125" s="34"/>
    </row>
    <row r="126" spans="6:8" s="27" customFormat="1">
      <c r="F126" s="33"/>
      <c r="H126" s="34"/>
    </row>
    <row r="127" spans="6:8" s="27" customFormat="1">
      <c r="F127" s="33"/>
      <c r="H127" s="34"/>
    </row>
    <row r="128" spans="6:8" s="27" customFormat="1">
      <c r="F128" s="33"/>
      <c r="H128" s="34"/>
    </row>
    <row r="129" spans="6:8" s="27" customFormat="1">
      <c r="F129" s="33"/>
      <c r="H129" s="34"/>
    </row>
    <row r="130" spans="6:8" s="27" customFormat="1">
      <c r="F130" s="33"/>
      <c r="H130" s="34"/>
    </row>
    <row r="131" spans="6:8" s="27" customFormat="1">
      <c r="F131" s="33"/>
      <c r="H131" s="34"/>
    </row>
    <row r="132" spans="6:8" s="27" customFormat="1">
      <c r="F132" s="33"/>
      <c r="H132" s="34"/>
    </row>
    <row r="133" spans="6:8" s="27" customFormat="1">
      <c r="F133" s="33"/>
      <c r="H133" s="34"/>
    </row>
    <row r="134" spans="6:8" s="27" customFormat="1">
      <c r="F134" s="33"/>
      <c r="H134" s="34"/>
    </row>
    <row r="135" spans="6:8" s="27" customFormat="1">
      <c r="F135" s="33"/>
      <c r="H135" s="34"/>
    </row>
    <row r="136" spans="6:8" s="27" customFormat="1">
      <c r="F136" s="33"/>
      <c r="H136" s="34"/>
    </row>
    <row r="137" spans="6:8" s="27" customFormat="1">
      <c r="F137" s="33"/>
      <c r="H137" s="34"/>
    </row>
    <row r="138" spans="6:8" s="27" customFormat="1">
      <c r="F138" s="33"/>
      <c r="H138" s="34"/>
    </row>
    <row r="139" spans="6:8" s="27" customFormat="1">
      <c r="F139" s="33"/>
      <c r="H139" s="34"/>
    </row>
    <row r="140" spans="6:8" s="27" customFormat="1">
      <c r="F140" s="33"/>
      <c r="H140" s="34"/>
    </row>
    <row r="141" spans="6:8" s="27" customFormat="1">
      <c r="F141" s="33"/>
      <c r="H141" s="34"/>
    </row>
    <row r="142" spans="6:8" s="27" customFormat="1">
      <c r="F142" s="33"/>
      <c r="H142" s="34"/>
    </row>
    <row r="143" spans="6:8" s="27" customFormat="1">
      <c r="F143" s="33"/>
      <c r="H143" s="34"/>
    </row>
    <row r="144" spans="6:8" s="27" customFormat="1">
      <c r="F144" s="33"/>
      <c r="H144" s="34"/>
    </row>
    <row r="145" spans="6:8" s="27" customFormat="1">
      <c r="F145" s="33"/>
      <c r="H145" s="34"/>
    </row>
    <row r="146" spans="6:8" s="27" customFormat="1">
      <c r="F146" s="33"/>
      <c r="H146" s="34"/>
    </row>
    <row r="147" spans="6:8" s="27" customFormat="1">
      <c r="F147" s="33"/>
      <c r="H147" s="34"/>
    </row>
    <row r="148" spans="6:8" s="27" customFormat="1">
      <c r="F148" s="33"/>
      <c r="H148" s="34"/>
    </row>
    <row r="149" spans="6:8" s="27" customFormat="1">
      <c r="F149" s="33"/>
      <c r="H149" s="34"/>
    </row>
    <row r="150" spans="6:8" s="27" customFormat="1">
      <c r="F150" s="33"/>
      <c r="H150" s="34"/>
    </row>
    <row r="151" spans="6:8" s="27" customFormat="1">
      <c r="F151" s="33"/>
      <c r="H151" s="34"/>
    </row>
    <row r="152" spans="6:8" s="27" customFormat="1">
      <c r="F152" s="33"/>
      <c r="H152" s="34"/>
    </row>
    <row r="153" spans="6:8" s="27" customFormat="1">
      <c r="F153" s="33"/>
      <c r="H153" s="34"/>
    </row>
    <row r="154" spans="6:8" s="27" customFormat="1">
      <c r="F154" s="33"/>
      <c r="H154" s="34"/>
    </row>
    <row r="155" spans="6:8" s="27" customFormat="1">
      <c r="F155" s="33"/>
      <c r="H155" s="34"/>
    </row>
    <row r="156" spans="6:8" s="27" customFormat="1">
      <c r="F156" s="33"/>
      <c r="H156" s="34"/>
    </row>
    <row r="157" spans="6:8" s="27" customFormat="1">
      <c r="F157" s="33"/>
      <c r="H157" s="34"/>
    </row>
    <row r="158" spans="6:8" s="27" customFormat="1">
      <c r="F158" s="33"/>
      <c r="H158" s="34"/>
    </row>
    <row r="159" spans="6:8" s="27" customFormat="1">
      <c r="F159" s="33"/>
      <c r="H159" s="34"/>
    </row>
    <row r="160" spans="6:8" s="27" customFormat="1">
      <c r="F160" s="33"/>
      <c r="H160" s="34"/>
    </row>
    <row r="161" spans="6:8" s="27" customFormat="1">
      <c r="F161" s="33"/>
      <c r="H161" s="34"/>
    </row>
    <row r="162" spans="6:8" s="27" customFormat="1">
      <c r="F162" s="33"/>
      <c r="H162" s="34"/>
    </row>
    <row r="163" spans="6:8" s="27" customFormat="1">
      <c r="F163" s="33"/>
      <c r="H163" s="34"/>
    </row>
    <row r="164" spans="6:8" s="27" customFormat="1">
      <c r="F164" s="33"/>
      <c r="H164" s="34"/>
    </row>
    <row r="165" spans="6:8" s="27" customFormat="1">
      <c r="F165" s="33"/>
      <c r="H165" s="34"/>
    </row>
    <row r="166" spans="6:8" s="27" customFormat="1">
      <c r="F166" s="33"/>
      <c r="H166" s="34"/>
    </row>
    <row r="167" spans="6:8" s="27" customFormat="1">
      <c r="F167" s="33"/>
      <c r="H167" s="34"/>
    </row>
    <row r="168" spans="6:8" s="27" customFormat="1">
      <c r="F168" s="33"/>
      <c r="H168" s="34"/>
    </row>
    <row r="169" spans="6:8" s="27" customFormat="1">
      <c r="F169" s="33"/>
      <c r="H169" s="34"/>
    </row>
    <row r="170" spans="6:8" s="27" customFormat="1">
      <c r="F170" s="33"/>
      <c r="H170" s="34"/>
    </row>
    <row r="171" spans="6:8" s="27" customFormat="1">
      <c r="F171" s="33"/>
      <c r="H171" s="34"/>
    </row>
    <row r="172" spans="6:8" s="27" customFormat="1">
      <c r="F172" s="33"/>
      <c r="H172" s="34"/>
    </row>
    <row r="173" spans="6:8" s="27" customFormat="1">
      <c r="F173" s="33"/>
      <c r="H173" s="34"/>
    </row>
    <row r="174" spans="6:8" s="27" customFormat="1">
      <c r="F174" s="33"/>
      <c r="H174" s="34"/>
    </row>
    <row r="175" spans="6:8" s="27" customFormat="1">
      <c r="F175" s="33"/>
      <c r="H175" s="34"/>
    </row>
    <row r="176" spans="6:8" s="27" customFormat="1">
      <c r="F176" s="33"/>
      <c r="H176" s="34"/>
    </row>
    <row r="177" spans="6:8" s="27" customFormat="1">
      <c r="F177" s="33"/>
      <c r="H177" s="34"/>
    </row>
    <row r="178" spans="6:8" s="27" customFormat="1">
      <c r="F178" s="33"/>
      <c r="H178" s="34"/>
    </row>
    <row r="179" spans="6:8" s="27" customFormat="1">
      <c r="F179" s="33"/>
      <c r="H179" s="34"/>
    </row>
    <row r="180" spans="6:8" s="27" customFormat="1">
      <c r="F180" s="33"/>
      <c r="H180" s="34"/>
    </row>
    <row r="181" spans="6:8" s="27" customFormat="1">
      <c r="F181" s="33"/>
      <c r="H181" s="34"/>
    </row>
    <row r="182" spans="6:8" s="27" customFormat="1">
      <c r="F182" s="33"/>
      <c r="H182" s="34"/>
    </row>
    <row r="183" spans="6:8" s="27" customFormat="1">
      <c r="F183" s="33"/>
      <c r="H183" s="34"/>
    </row>
    <row r="184" spans="6:8" s="27" customFormat="1">
      <c r="F184" s="33"/>
      <c r="H184" s="34"/>
    </row>
    <row r="185" spans="6:8" s="27" customFormat="1">
      <c r="F185" s="33"/>
      <c r="H185" s="34"/>
    </row>
    <row r="186" spans="6:8" s="27" customFormat="1">
      <c r="F186" s="33"/>
      <c r="H186" s="34"/>
    </row>
    <row r="187" spans="6:8" s="27" customFormat="1">
      <c r="F187" s="33"/>
      <c r="H187" s="34"/>
    </row>
    <row r="188" spans="6:8" s="27" customFormat="1">
      <c r="F188" s="33"/>
      <c r="H188" s="34"/>
    </row>
    <row r="189" spans="6:8" s="27" customFormat="1">
      <c r="F189" s="33"/>
      <c r="H189" s="34"/>
    </row>
    <row r="190" spans="6:8" s="27" customFormat="1">
      <c r="F190" s="33"/>
      <c r="H190" s="34"/>
    </row>
    <row r="191" spans="6:8" s="27" customFormat="1">
      <c r="F191" s="33"/>
      <c r="H191" s="34"/>
    </row>
    <row r="192" spans="6:8" s="27" customFormat="1">
      <c r="F192" s="33"/>
      <c r="H192" s="34"/>
    </row>
    <row r="193" spans="6:8" s="27" customFormat="1">
      <c r="F193" s="33"/>
      <c r="H193" s="34"/>
    </row>
    <row r="194" spans="6:8" s="27" customFormat="1">
      <c r="F194" s="33"/>
      <c r="H194" s="34"/>
    </row>
    <row r="195" spans="6:8" s="27" customFormat="1">
      <c r="F195" s="33"/>
      <c r="H195" s="34"/>
    </row>
    <row r="196" spans="6:8" s="27" customFormat="1">
      <c r="F196" s="33"/>
      <c r="H196" s="34"/>
    </row>
    <row r="197" spans="6:8" s="27" customFormat="1">
      <c r="F197" s="33"/>
      <c r="H197" s="34"/>
    </row>
    <row r="198" spans="6:8" s="27" customFormat="1">
      <c r="F198" s="33"/>
      <c r="H198" s="34"/>
    </row>
    <row r="199" spans="6:8" s="27" customFormat="1">
      <c r="F199" s="33"/>
      <c r="H199" s="34"/>
    </row>
    <row r="200" spans="6:8" s="27" customFormat="1">
      <c r="F200" s="33"/>
      <c r="H200" s="34"/>
    </row>
    <row r="201" spans="6:8" s="27" customFormat="1">
      <c r="F201" s="33"/>
      <c r="H201" s="34"/>
    </row>
    <row r="202" spans="6:8" s="27" customFormat="1">
      <c r="F202" s="33"/>
      <c r="H202" s="34"/>
    </row>
    <row r="203" spans="6:8" s="27" customFormat="1">
      <c r="F203" s="33"/>
      <c r="H203" s="34"/>
    </row>
    <row r="204" spans="6:8" s="27" customFormat="1">
      <c r="F204" s="33"/>
      <c r="H204" s="34"/>
    </row>
    <row r="205" spans="6:8" s="27" customFormat="1">
      <c r="F205" s="33"/>
      <c r="H205" s="34"/>
    </row>
    <row r="206" spans="6:8" s="27" customFormat="1">
      <c r="F206" s="33"/>
      <c r="H206" s="34"/>
    </row>
    <row r="207" spans="6:8" s="27" customFormat="1">
      <c r="F207" s="33"/>
      <c r="H207" s="34"/>
    </row>
    <row r="208" spans="6:8" s="27" customFormat="1">
      <c r="F208" s="33"/>
      <c r="H208" s="34"/>
    </row>
    <row r="209" spans="6:8" s="27" customFormat="1">
      <c r="F209" s="33"/>
      <c r="H209" s="34"/>
    </row>
    <row r="210" spans="6:8" s="27" customFormat="1">
      <c r="F210" s="33"/>
      <c r="H210" s="34"/>
    </row>
    <row r="211" spans="6:8" s="27" customFormat="1">
      <c r="F211" s="33"/>
      <c r="H211" s="34"/>
    </row>
    <row r="212" spans="6:8" s="27" customFormat="1">
      <c r="F212" s="33"/>
      <c r="H212" s="34"/>
    </row>
    <row r="213" spans="6:8" s="27" customFormat="1">
      <c r="F213" s="33"/>
      <c r="H213" s="34"/>
    </row>
    <row r="214" spans="6:8" s="27" customFormat="1">
      <c r="F214" s="33"/>
      <c r="H214" s="34"/>
    </row>
    <row r="215" spans="6:8" s="27" customFormat="1">
      <c r="F215" s="33"/>
      <c r="H215" s="34"/>
    </row>
    <row r="216" spans="6:8" s="27" customFormat="1">
      <c r="F216" s="33"/>
      <c r="H216" s="34"/>
    </row>
    <row r="217" spans="6:8" s="27" customFormat="1">
      <c r="F217" s="33"/>
      <c r="H217" s="34"/>
    </row>
    <row r="218" spans="6:8" s="27" customFormat="1">
      <c r="F218" s="33"/>
      <c r="H218" s="34"/>
    </row>
    <row r="219" spans="6:8" s="27" customFormat="1">
      <c r="F219" s="33"/>
      <c r="H219" s="34"/>
    </row>
    <row r="220" spans="6:8" s="27" customFormat="1">
      <c r="F220" s="33"/>
      <c r="H220" s="34"/>
    </row>
    <row r="221" spans="6:8" s="27" customFormat="1">
      <c r="F221" s="33"/>
      <c r="H221" s="34"/>
    </row>
    <row r="222" spans="6:8" s="27" customFormat="1">
      <c r="F222" s="33"/>
      <c r="H222" s="34"/>
    </row>
    <row r="223" spans="6:8" s="27" customFormat="1">
      <c r="F223" s="33"/>
      <c r="H223" s="34"/>
    </row>
    <row r="224" spans="6:8" s="27" customFormat="1">
      <c r="F224" s="33"/>
      <c r="H224" s="34"/>
    </row>
    <row r="225" spans="6:8" s="27" customFormat="1">
      <c r="F225" s="33"/>
      <c r="H225" s="34"/>
    </row>
    <row r="226" spans="6:8" s="27" customFormat="1">
      <c r="F226" s="33"/>
      <c r="H226" s="34"/>
    </row>
    <row r="227" spans="6:8" s="27" customFormat="1">
      <c r="F227" s="33"/>
      <c r="H227" s="34"/>
    </row>
    <row r="228" spans="6:8" s="27" customFormat="1">
      <c r="F228" s="33"/>
      <c r="H228" s="34"/>
    </row>
    <row r="229" spans="6:8" s="27" customFormat="1">
      <c r="F229" s="33"/>
      <c r="H229" s="34"/>
    </row>
    <row r="230" spans="6:8" s="27" customFormat="1">
      <c r="F230" s="33"/>
      <c r="H230" s="34"/>
    </row>
    <row r="231" spans="6:8" s="27" customFormat="1">
      <c r="F231" s="33"/>
      <c r="H231" s="34"/>
    </row>
    <row r="232" spans="6:8" s="27" customFormat="1">
      <c r="F232" s="33"/>
      <c r="H232" s="34"/>
    </row>
    <row r="233" spans="6:8" s="27" customFormat="1">
      <c r="F233" s="33"/>
      <c r="H233" s="34"/>
    </row>
    <row r="234" spans="6:8" s="27" customFormat="1">
      <c r="F234" s="33"/>
      <c r="H234" s="34"/>
    </row>
    <row r="235" spans="6:8" s="27" customFormat="1">
      <c r="F235" s="33"/>
      <c r="H235" s="34"/>
    </row>
    <row r="236" spans="6:8" s="27" customFormat="1">
      <c r="F236" s="33"/>
      <c r="H236" s="34"/>
    </row>
    <row r="237" spans="6:8" s="27" customFormat="1">
      <c r="F237" s="33"/>
      <c r="H237" s="34"/>
    </row>
    <row r="238" spans="6:8" s="27" customFormat="1">
      <c r="F238" s="33"/>
      <c r="H238" s="34"/>
    </row>
    <row r="239" spans="6:8" s="27" customFormat="1">
      <c r="F239" s="33"/>
      <c r="H239" s="34"/>
    </row>
    <row r="240" spans="6:8" s="27" customFormat="1">
      <c r="F240" s="33"/>
      <c r="H240" s="34"/>
    </row>
    <row r="241" spans="6:8" s="27" customFormat="1">
      <c r="F241" s="33"/>
      <c r="H241" s="34"/>
    </row>
    <row r="242" spans="6:8" s="27" customFormat="1">
      <c r="F242" s="33"/>
      <c r="H242" s="34"/>
    </row>
    <row r="243" spans="6:8" s="27" customFormat="1">
      <c r="F243" s="33"/>
      <c r="H243" s="34"/>
    </row>
    <row r="244" spans="6:8" s="27" customFormat="1">
      <c r="F244" s="33"/>
      <c r="H244" s="34"/>
    </row>
    <row r="245" spans="6:8" s="27" customFormat="1">
      <c r="F245" s="33"/>
      <c r="H245" s="34"/>
    </row>
    <row r="246" spans="6:8" s="27" customFormat="1">
      <c r="F246" s="33"/>
      <c r="H246" s="34"/>
    </row>
    <row r="247" spans="6:8" s="27" customFormat="1">
      <c r="F247" s="33"/>
      <c r="H247" s="34"/>
    </row>
    <row r="248" spans="6:8" s="27" customFormat="1">
      <c r="F248" s="33"/>
      <c r="H248" s="34"/>
    </row>
    <row r="249" spans="6:8" s="27" customFormat="1">
      <c r="F249" s="33"/>
      <c r="H249" s="34"/>
    </row>
    <row r="250" spans="6:8" s="27" customFormat="1">
      <c r="F250" s="33"/>
      <c r="H250" s="34"/>
    </row>
    <row r="251" spans="6:8" s="27" customFormat="1">
      <c r="F251" s="33"/>
      <c r="H251" s="34"/>
    </row>
    <row r="252" spans="6:8" s="27" customFormat="1">
      <c r="F252" s="33"/>
      <c r="H252" s="34"/>
    </row>
    <row r="253" spans="6:8" s="27" customFormat="1">
      <c r="F253" s="33"/>
      <c r="H253" s="34"/>
    </row>
    <row r="254" spans="6:8" s="27" customFormat="1">
      <c r="F254" s="33"/>
      <c r="H254" s="34"/>
    </row>
    <row r="255" spans="6:8" s="27" customFormat="1">
      <c r="F255" s="33"/>
      <c r="H255" s="34"/>
    </row>
    <row r="256" spans="6:8" s="27" customFormat="1">
      <c r="F256" s="33"/>
      <c r="H256" s="34"/>
    </row>
    <row r="257" spans="6:8" s="27" customFormat="1">
      <c r="F257" s="33"/>
      <c r="H257" s="34"/>
    </row>
    <row r="258" spans="6:8" s="27" customFormat="1">
      <c r="F258" s="33"/>
      <c r="H258" s="34"/>
    </row>
    <row r="259" spans="6:8" s="27" customFormat="1">
      <c r="F259" s="33"/>
      <c r="H259" s="34"/>
    </row>
    <row r="260" spans="6:8" s="27" customFormat="1">
      <c r="F260" s="33"/>
      <c r="H260" s="34"/>
    </row>
    <row r="261" spans="6:8" s="27" customFormat="1">
      <c r="F261" s="33"/>
      <c r="H261" s="34"/>
    </row>
    <row r="262" spans="6:8" s="27" customFormat="1">
      <c r="F262" s="33"/>
      <c r="H262" s="34"/>
    </row>
    <row r="263" spans="6:8" s="27" customFormat="1">
      <c r="F263" s="33"/>
      <c r="H263" s="34"/>
    </row>
    <row r="264" spans="6:8" s="27" customFormat="1">
      <c r="F264" s="33"/>
      <c r="H264" s="34"/>
    </row>
    <row r="265" spans="6:8" s="27" customFormat="1">
      <c r="F265" s="33"/>
      <c r="H265" s="34"/>
    </row>
    <row r="266" spans="6:8" s="27" customFormat="1">
      <c r="F266" s="33"/>
      <c r="H266" s="34"/>
    </row>
    <row r="267" spans="6:8" s="27" customFormat="1">
      <c r="F267" s="33"/>
      <c r="H267" s="34"/>
    </row>
    <row r="268" spans="6:8" s="27" customFormat="1">
      <c r="F268" s="33"/>
      <c r="H268" s="34"/>
    </row>
    <row r="269" spans="6:8" s="27" customFormat="1">
      <c r="F269" s="33"/>
      <c r="H269" s="34"/>
    </row>
    <row r="270" spans="6:8" s="27" customFormat="1">
      <c r="F270" s="33"/>
      <c r="H270" s="34"/>
    </row>
    <row r="271" spans="6:8" s="27" customFormat="1">
      <c r="F271" s="33"/>
      <c r="H271" s="34"/>
    </row>
    <row r="272" spans="6:8" s="27" customFormat="1">
      <c r="F272" s="33"/>
      <c r="H272" s="34"/>
    </row>
    <row r="273" spans="6:8" s="27" customFormat="1">
      <c r="F273" s="33"/>
      <c r="H273" s="34"/>
    </row>
    <row r="274" spans="6:8" s="27" customFormat="1">
      <c r="F274" s="33"/>
      <c r="H274" s="34"/>
    </row>
    <row r="275" spans="6:8" s="27" customFormat="1">
      <c r="F275" s="33"/>
      <c r="H275" s="34"/>
    </row>
    <row r="276" spans="6:8" s="27" customFormat="1">
      <c r="F276" s="33"/>
      <c r="H276" s="34"/>
    </row>
    <row r="277" spans="6:8" s="27" customFormat="1">
      <c r="F277" s="33"/>
      <c r="H277" s="34"/>
    </row>
    <row r="278" spans="6:8" s="27" customFormat="1">
      <c r="F278" s="33"/>
      <c r="H278" s="34"/>
    </row>
    <row r="279" spans="6:8" s="27" customFormat="1">
      <c r="F279" s="33"/>
      <c r="H279" s="34"/>
    </row>
    <row r="280" spans="6:8" s="27" customFormat="1">
      <c r="F280" s="33"/>
      <c r="H280" s="34"/>
    </row>
    <row r="281" spans="6:8" s="27" customFormat="1">
      <c r="F281" s="33"/>
      <c r="H281" s="34"/>
    </row>
    <row r="282" spans="6:8" s="27" customFormat="1">
      <c r="F282" s="33"/>
      <c r="H282" s="34"/>
    </row>
    <row r="283" spans="6:8" s="27" customFormat="1">
      <c r="F283" s="33"/>
      <c r="H283" s="34"/>
    </row>
    <row r="284" spans="6:8" s="27" customFormat="1">
      <c r="F284" s="33"/>
      <c r="H284" s="34"/>
    </row>
    <row r="285" spans="6:8" s="27" customFormat="1">
      <c r="F285" s="33"/>
      <c r="H285" s="34"/>
    </row>
    <row r="286" spans="6:8" s="27" customFormat="1">
      <c r="F286" s="33"/>
      <c r="H286" s="34"/>
    </row>
    <row r="287" spans="6:8" s="27" customFormat="1">
      <c r="F287" s="33"/>
      <c r="H287" s="34"/>
    </row>
    <row r="288" spans="6:8" s="27" customFormat="1">
      <c r="F288" s="33"/>
      <c r="H288" s="34"/>
    </row>
    <row r="289" spans="6:8" s="27" customFormat="1">
      <c r="F289" s="33"/>
      <c r="H289" s="34"/>
    </row>
    <row r="290" spans="6:8" s="27" customFormat="1">
      <c r="F290" s="33"/>
      <c r="H290" s="34"/>
    </row>
    <row r="291" spans="6:8" s="27" customFormat="1">
      <c r="F291" s="33"/>
      <c r="H291" s="34"/>
    </row>
    <row r="292" spans="6:8" s="27" customFormat="1">
      <c r="F292" s="33"/>
      <c r="H292" s="34"/>
    </row>
    <row r="293" spans="6:8" s="27" customFormat="1">
      <c r="F293" s="33"/>
      <c r="H293" s="34"/>
    </row>
    <row r="294" spans="6:8" s="27" customFormat="1">
      <c r="F294" s="33"/>
      <c r="H294" s="34"/>
    </row>
    <row r="295" spans="6:8" s="27" customFormat="1">
      <c r="F295" s="33"/>
      <c r="H295" s="34"/>
    </row>
    <row r="296" spans="6:8" s="27" customFormat="1">
      <c r="F296" s="33"/>
      <c r="H296" s="34"/>
    </row>
    <row r="297" spans="6:8" s="27" customFormat="1">
      <c r="F297" s="33"/>
      <c r="H297" s="34"/>
    </row>
    <row r="298" spans="6:8" s="27" customFormat="1">
      <c r="F298" s="33"/>
      <c r="H298" s="34"/>
    </row>
    <row r="299" spans="6:8" s="27" customFormat="1">
      <c r="F299" s="33"/>
      <c r="H299" s="34"/>
    </row>
    <row r="300" spans="6:8" s="27" customFormat="1">
      <c r="F300" s="33"/>
      <c r="H300" s="34"/>
    </row>
    <row r="301" spans="6:8" s="27" customFormat="1">
      <c r="F301" s="33"/>
      <c r="H301" s="34"/>
    </row>
    <row r="302" spans="6:8" s="27" customFormat="1">
      <c r="F302" s="33"/>
      <c r="H302" s="34"/>
    </row>
    <row r="303" spans="6:8" s="27" customFormat="1">
      <c r="F303" s="33"/>
      <c r="H303" s="34"/>
    </row>
    <row r="304" spans="6:8" s="27" customFormat="1">
      <c r="F304" s="33"/>
      <c r="H304" s="34"/>
    </row>
    <row r="305" spans="6:8" s="27" customFormat="1">
      <c r="F305" s="33"/>
      <c r="H305" s="34"/>
    </row>
    <row r="306" spans="6:8" s="27" customFormat="1">
      <c r="F306" s="33"/>
      <c r="H306" s="34"/>
    </row>
    <row r="307" spans="6:8" s="27" customFormat="1">
      <c r="F307" s="33"/>
      <c r="H307" s="34"/>
    </row>
    <row r="308" spans="6:8" s="27" customFormat="1">
      <c r="F308" s="33"/>
      <c r="H308" s="34"/>
    </row>
    <row r="309" spans="6:8" s="27" customFormat="1">
      <c r="F309" s="33"/>
      <c r="H309" s="34"/>
    </row>
    <row r="310" spans="6:8" s="27" customFormat="1">
      <c r="F310" s="33"/>
      <c r="H310" s="34"/>
    </row>
    <row r="311" spans="6:8" s="27" customFormat="1">
      <c r="F311" s="33"/>
      <c r="H311" s="34"/>
    </row>
    <row r="312" spans="6:8" s="27" customFormat="1">
      <c r="F312" s="33"/>
      <c r="H312" s="34"/>
    </row>
    <row r="313" spans="6:8" s="27" customFormat="1">
      <c r="F313" s="33"/>
      <c r="H313" s="34"/>
    </row>
    <row r="314" spans="6:8" s="27" customFormat="1">
      <c r="F314" s="33"/>
      <c r="H314" s="34"/>
    </row>
    <row r="315" spans="6:8" s="27" customFormat="1">
      <c r="F315" s="33"/>
      <c r="H315" s="34"/>
    </row>
    <row r="316" spans="6:8" s="27" customFormat="1">
      <c r="F316" s="33"/>
      <c r="H316" s="34"/>
    </row>
    <row r="317" spans="6:8" s="27" customFormat="1">
      <c r="F317" s="33"/>
      <c r="H317" s="34"/>
    </row>
    <row r="318" spans="6:8" s="27" customFormat="1">
      <c r="F318" s="33"/>
      <c r="H318" s="34"/>
    </row>
    <row r="319" spans="6:8" s="27" customFormat="1">
      <c r="F319" s="33"/>
      <c r="H319" s="34"/>
    </row>
    <row r="320" spans="6:8" s="27" customFormat="1">
      <c r="F320" s="33"/>
      <c r="H320" s="34"/>
    </row>
    <row r="321" spans="6:8" s="27" customFormat="1">
      <c r="F321" s="33"/>
      <c r="H321" s="34"/>
    </row>
    <row r="322" spans="6:8" s="27" customFormat="1">
      <c r="F322" s="33"/>
      <c r="H322" s="34"/>
    </row>
    <row r="323" spans="6:8" s="27" customFormat="1">
      <c r="F323" s="33"/>
      <c r="H323" s="34"/>
    </row>
    <row r="324" spans="6:8" s="27" customFormat="1">
      <c r="F324" s="33"/>
      <c r="H324" s="34"/>
    </row>
    <row r="325" spans="6:8" s="27" customFormat="1">
      <c r="F325" s="33"/>
      <c r="H325" s="34"/>
    </row>
    <row r="326" spans="6:8" s="27" customFormat="1">
      <c r="F326" s="33"/>
      <c r="H326" s="34"/>
    </row>
    <row r="327" spans="6:8" s="27" customFormat="1">
      <c r="F327" s="33"/>
      <c r="H327" s="34"/>
    </row>
    <row r="328" spans="6:8" s="27" customFormat="1">
      <c r="F328" s="33"/>
      <c r="H328" s="34"/>
    </row>
    <row r="329" spans="6:8" s="27" customFormat="1">
      <c r="F329" s="33"/>
      <c r="H329" s="34"/>
    </row>
    <row r="330" spans="6:8" s="27" customFormat="1">
      <c r="F330" s="33"/>
      <c r="H330" s="34"/>
    </row>
    <row r="331" spans="6:8" s="27" customFormat="1">
      <c r="F331" s="33"/>
      <c r="H331" s="34"/>
    </row>
    <row r="332" spans="6:8" s="27" customFormat="1">
      <c r="F332" s="33"/>
      <c r="H332" s="34"/>
    </row>
    <row r="333" spans="6:8" s="27" customFormat="1">
      <c r="F333" s="33"/>
      <c r="H333" s="34"/>
    </row>
    <row r="334" spans="6:8" s="27" customFormat="1">
      <c r="F334" s="33"/>
      <c r="H334" s="34"/>
    </row>
    <row r="335" spans="6:8" s="27" customFormat="1">
      <c r="F335" s="33"/>
      <c r="H335" s="34"/>
    </row>
    <row r="336" spans="6:8" s="27" customFormat="1">
      <c r="F336" s="33"/>
      <c r="H336" s="34"/>
    </row>
    <row r="337" spans="6:8" s="27" customFormat="1">
      <c r="F337" s="33"/>
      <c r="H337" s="34"/>
    </row>
    <row r="338" spans="6:8" s="27" customFormat="1">
      <c r="F338" s="33"/>
      <c r="H338" s="34"/>
    </row>
    <row r="339" spans="6:8" s="27" customFormat="1">
      <c r="F339" s="33"/>
      <c r="H339" s="34"/>
    </row>
    <row r="340" spans="6:8" s="27" customFormat="1">
      <c r="F340" s="33"/>
      <c r="H340" s="34"/>
    </row>
    <row r="341" spans="6:8" s="27" customFormat="1">
      <c r="F341" s="33"/>
      <c r="H341" s="34"/>
    </row>
    <row r="342" spans="6:8" s="27" customFormat="1">
      <c r="F342" s="33"/>
      <c r="H342" s="34"/>
    </row>
    <row r="343" spans="6:8" s="27" customFormat="1">
      <c r="F343" s="33"/>
      <c r="H343" s="34"/>
    </row>
    <row r="344" spans="6:8" s="27" customFormat="1">
      <c r="F344" s="33"/>
      <c r="H344" s="34"/>
    </row>
    <row r="345" spans="6:8" s="27" customFormat="1">
      <c r="F345" s="33"/>
      <c r="H345" s="34"/>
    </row>
    <row r="346" spans="6:8" s="27" customFormat="1">
      <c r="F346" s="33"/>
      <c r="H346" s="34"/>
    </row>
    <row r="347" spans="6:8" s="27" customFormat="1">
      <c r="F347" s="33"/>
      <c r="H347" s="34"/>
    </row>
    <row r="348" spans="6:8" s="27" customFormat="1">
      <c r="F348" s="33"/>
      <c r="H348" s="34"/>
    </row>
    <row r="349" spans="6:8" s="27" customFormat="1">
      <c r="F349" s="33"/>
      <c r="H349" s="34"/>
    </row>
    <row r="350" spans="6:8" s="27" customFormat="1">
      <c r="F350" s="33"/>
      <c r="H350" s="34"/>
    </row>
    <row r="351" spans="6:8" s="27" customFormat="1">
      <c r="F351" s="33"/>
      <c r="H351" s="34"/>
    </row>
    <row r="352" spans="6:8" s="27" customFormat="1">
      <c r="F352" s="33"/>
      <c r="H352" s="34"/>
    </row>
    <row r="353" spans="6:8" s="27" customFormat="1">
      <c r="F353" s="33"/>
      <c r="H353" s="34"/>
    </row>
    <row r="354" spans="6:8" s="27" customFormat="1">
      <c r="F354" s="33"/>
      <c r="H354" s="34"/>
    </row>
    <row r="355" spans="6:8" s="27" customFormat="1">
      <c r="F355" s="33"/>
      <c r="H355" s="34"/>
    </row>
    <row r="356" spans="6:8" s="27" customFormat="1">
      <c r="F356" s="33"/>
      <c r="H356" s="34"/>
    </row>
    <row r="357" spans="6:8" s="27" customFormat="1">
      <c r="F357" s="33"/>
      <c r="H357" s="34"/>
    </row>
    <row r="358" spans="6:8" s="27" customFormat="1">
      <c r="F358" s="33"/>
      <c r="H358" s="34"/>
    </row>
    <row r="359" spans="6:8" s="27" customFormat="1">
      <c r="F359" s="33"/>
      <c r="H359" s="34"/>
    </row>
    <row r="360" spans="6:8" s="27" customFormat="1">
      <c r="F360" s="33"/>
      <c r="H360" s="34"/>
    </row>
    <row r="361" spans="6:8" s="27" customFormat="1">
      <c r="F361" s="33"/>
      <c r="H361" s="34"/>
    </row>
    <row r="362" spans="6:8" s="27" customFormat="1">
      <c r="F362" s="33"/>
      <c r="H362" s="34"/>
    </row>
    <row r="363" spans="6:8" s="27" customFormat="1">
      <c r="F363" s="33"/>
      <c r="H363" s="34"/>
    </row>
    <row r="364" spans="6:8" s="27" customFormat="1">
      <c r="F364" s="33"/>
      <c r="H364" s="34"/>
    </row>
    <row r="365" spans="6:8" s="27" customFormat="1">
      <c r="F365" s="33"/>
      <c r="H365" s="34"/>
    </row>
    <row r="366" spans="6:8" s="27" customFormat="1">
      <c r="F366" s="33"/>
      <c r="H366" s="34"/>
    </row>
    <row r="367" spans="6:8" s="27" customFormat="1">
      <c r="F367" s="33"/>
      <c r="H367" s="34"/>
    </row>
    <row r="368" spans="6:8" s="27" customFormat="1">
      <c r="F368" s="33"/>
      <c r="H368" s="34"/>
    </row>
    <row r="369" spans="6:8" s="27" customFormat="1">
      <c r="F369" s="33"/>
      <c r="H369" s="34"/>
    </row>
    <row r="370" spans="6:8" s="27" customFormat="1">
      <c r="F370" s="33"/>
      <c r="H370" s="34"/>
    </row>
    <row r="371" spans="6:8" s="27" customFormat="1">
      <c r="F371" s="33"/>
      <c r="H371" s="34"/>
    </row>
    <row r="372" spans="6:8" s="27" customFormat="1">
      <c r="F372" s="33"/>
      <c r="H372" s="34"/>
    </row>
    <row r="373" spans="6:8" s="27" customFormat="1">
      <c r="F373" s="33"/>
      <c r="H373" s="34"/>
    </row>
    <row r="374" spans="6:8" s="27" customFormat="1">
      <c r="F374" s="33"/>
      <c r="H374" s="34"/>
    </row>
    <row r="375" spans="6:8" s="27" customFormat="1">
      <c r="F375" s="33"/>
      <c r="H375" s="34"/>
    </row>
    <row r="376" spans="6:8" s="27" customFormat="1">
      <c r="F376" s="33"/>
      <c r="H376" s="34"/>
    </row>
    <row r="377" spans="6:8" s="27" customFormat="1">
      <c r="F377" s="33"/>
      <c r="H377" s="34"/>
    </row>
    <row r="378" spans="6:8" s="27" customFormat="1">
      <c r="F378" s="33"/>
      <c r="H378" s="34"/>
    </row>
    <row r="379" spans="6:8" s="27" customFormat="1">
      <c r="F379" s="33"/>
      <c r="H379" s="34"/>
    </row>
    <row r="380" spans="6:8" s="27" customFormat="1">
      <c r="F380" s="33"/>
      <c r="H380" s="34"/>
    </row>
    <row r="381" spans="6:8" s="27" customFormat="1">
      <c r="F381" s="33"/>
      <c r="H381" s="34"/>
    </row>
    <row r="382" spans="6:8" s="27" customFormat="1">
      <c r="F382" s="33"/>
      <c r="H382" s="34"/>
    </row>
    <row r="383" spans="6:8" s="27" customFormat="1">
      <c r="F383" s="33"/>
      <c r="H383" s="34"/>
    </row>
    <row r="384" spans="6:8" s="27" customFormat="1">
      <c r="F384" s="33"/>
      <c r="H384" s="34"/>
    </row>
    <row r="385" spans="6:8" s="27" customFormat="1">
      <c r="F385" s="33"/>
      <c r="H385" s="34"/>
    </row>
    <row r="386" spans="6:8" s="27" customFormat="1">
      <c r="F386" s="33"/>
      <c r="H386" s="34"/>
    </row>
    <row r="387" spans="6:8" s="27" customFormat="1">
      <c r="F387" s="33"/>
      <c r="H387" s="34"/>
    </row>
    <row r="388" spans="6:8" s="27" customFormat="1">
      <c r="F388" s="33"/>
      <c r="H388" s="34"/>
    </row>
    <row r="389" spans="6:8" s="27" customFormat="1">
      <c r="F389" s="33"/>
      <c r="H389" s="34"/>
    </row>
    <row r="390" spans="6:8" s="27" customFormat="1">
      <c r="F390" s="33"/>
      <c r="H390" s="34"/>
    </row>
    <row r="391" spans="6:8" s="27" customFormat="1">
      <c r="F391" s="33"/>
      <c r="H391" s="34"/>
    </row>
    <row r="392" spans="6:8" s="27" customFormat="1">
      <c r="F392" s="33"/>
      <c r="H392" s="34"/>
    </row>
    <row r="393" spans="6:8" s="27" customFormat="1">
      <c r="F393" s="33"/>
      <c r="H393" s="34"/>
    </row>
    <row r="394" spans="6:8" s="27" customFormat="1">
      <c r="F394" s="33"/>
      <c r="H394" s="34"/>
    </row>
    <row r="395" spans="6:8" s="27" customFormat="1">
      <c r="F395" s="33"/>
      <c r="H395" s="34"/>
    </row>
    <row r="396" spans="6:8" s="27" customFormat="1">
      <c r="F396" s="33"/>
      <c r="H396" s="34"/>
    </row>
    <row r="397" spans="6:8" s="27" customFormat="1">
      <c r="F397" s="33"/>
      <c r="H397" s="34"/>
    </row>
    <row r="398" spans="6:8" s="27" customFormat="1">
      <c r="F398" s="33"/>
      <c r="H398" s="34"/>
    </row>
    <row r="399" spans="6:8" s="27" customFormat="1">
      <c r="F399" s="33"/>
      <c r="H399" s="34"/>
    </row>
    <row r="400" spans="6:8" s="27" customFormat="1">
      <c r="F400" s="33"/>
      <c r="H400" s="34"/>
    </row>
    <row r="401" spans="6:8" s="27" customFormat="1">
      <c r="F401" s="33"/>
      <c r="H401" s="34"/>
    </row>
    <row r="402" spans="6:8" s="27" customFormat="1">
      <c r="F402" s="33"/>
      <c r="H402" s="34"/>
    </row>
    <row r="403" spans="6:8" s="27" customFormat="1">
      <c r="F403" s="33"/>
      <c r="H403" s="34"/>
    </row>
    <row r="404" spans="6:8" s="27" customFormat="1">
      <c r="F404" s="33"/>
      <c r="H404" s="34"/>
    </row>
    <row r="405" spans="6:8" s="27" customFormat="1">
      <c r="F405" s="33"/>
      <c r="H405" s="34"/>
    </row>
    <row r="406" spans="6:8" s="27" customFormat="1">
      <c r="F406" s="33"/>
      <c r="H406" s="34"/>
    </row>
    <row r="407" spans="6:8" s="27" customFormat="1">
      <c r="F407" s="33"/>
      <c r="H407" s="34"/>
    </row>
    <row r="408" spans="6:8" s="27" customFormat="1">
      <c r="F408" s="33"/>
      <c r="H408" s="34"/>
    </row>
    <row r="409" spans="6:8" s="27" customFormat="1">
      <c r="F409" s="33"/>
      <c r="H409" s="34"/>
    </row>
    <row r="410" spans="6:8" s="27" customFormat="1">
      <c r="F410" s="33"/>
      <c r="H410" s="34"/>
    </row>
    <row r="411" spans="6:8" s="27" customFormat="1">
      <c r="F411" s="33"/>
      <c r="H411" s="34"/>
    </row>
    <row r="412" spans="6:8" s="27" customFormat="1">
      <c r="F412" s="33"/>
      <c r="H412" s="34"/>
    </row>
    <row r="413" spans="6:8" s="27" customFormat="1">
      <c r="F413" s="33"/>
      <c r="H413" s="34"/>
    </row>
    <row r="414" spans="6:8" s="27" customFormat="1">
      <c r="F414" s="33"/>
      <c r="H414" s="34"/>
    </row>
    <row r="415" spans="6:8" s="27" customFormat="1">
      <c r="F415" s="33"/>
      <c r="H415" s="34"/>
    </row>
    <row r="416" spans="6:8" s="27" customFormat="1">
      <c r="F416" s="33"/>
      <c r="H416" s="34"/>
    </row>
    <row r="417" spans="6:8" s="27" customFormat="1">
      <c r="F417" s="33"/>
      <c r="H417" s="34"/>
    </row>
    <row r="418" spans="6:8" s="27" customFormat="1">
      <c r="F418" s="33"/>
      <c r="H418" s="34"/>
    </row>
    <row r="419" spans="6:8" s="27" customFormat="1">
      <c r="F419" s="33"/>
      <c r="H419" s="34"/>
    </row>
    <row r="420" spans="6:8" s="27" customFormat="1">
      <c r="F420" s="33"/>
      <c r="H420" s="34"/>
    </row>
    <row r="421" spans="6:8" s="27" customFormat="1">
      <c r="F421" s="33"/>
      <c r="H421" s="34"/>
    </row>
    <row r="422" spans="6:8" s="27" customFormat="1">
      <c r="F422" s="33"/>
      <c r="H422" s="34"/>
    </row>
    <row r="423" spans="6:8" s="27" customFormat="1">
      <c r="F423" s="33"/>
      <c r="H423" s="34"/>
    </row>
    <row r="424" spans="6:8" s="27" customFormat="1">
      <c r="F424" s="33"/>
      <c r="H424" s="34"/>
    </row>
    <row r="425" spans="6:8" s="27" customFormat="1">
      <c r="F425" s="33"/>
      <c r="H425" s="34"/>
    </row>
    <row r="426" spans="6:8" s="27" customFormat="1">
      <c r="F426" s="33"/>
      <c r="H426" s="34"/>
    </row>
    <row r="427" spans="6:8" s="27" customFormat="1">
      <c r="F427" s="33"/>
      <c r="H427" s="34"/>
    </row>
    <row r="428" spans="6:8" s="27" customFormat="1">
      <c r="F428" s="33"/>
      <c r="H428" s="34"/>
    </row>
    <row r="429" spans="6:8" s="27" customFormat="1">
      <c r="F429" s="33"/>
      <c r="H429" s="34"/>
    </row>
    <row r="430" spans="6:8" s="27" customFormat="1">
      <c r="F430" s="33"/>
      <c r="H430" s="34"/>
    </row>
    <row r="431" spans="6:8" s="27" customFormat="1">
      <c r="F431" s="33"/>
      <c r="H431" s="34"/>
    </row>
    <row r="432" spans="6:8" s="27" customFormat="1">
      <c r="F432" s="33"/>
      <c r="H432" s="34"/>
    </row>
    <row r="433" spans="6:8" s="27" customFormat="1">
      <c r="F433" s="33"/>
      <c r="H433" s="34"/>
    </row>
    <row r="434" spans="6:8" s="27" customFormat="1">
      <c r="F434" s="33"/>
      <c r="H434" s="34"/>
    </row>
    <row r="435" spans="6:8" s="27" customFormat="1">
      <c r="F435" s="33"/>
      <c r="H435" s="34"/>
    </row>
    <row r="436" spans="6:8" s="27" customFormat="1">
      <c r="F436" s="33"/>
      <c r="H436" s="34"/>
    </row>
    <row r="437" spans="6:8" s="27" customFormat="1">
      <c r="F437" s="33"/>
      <c r="H437" s="34"/>
    </row>
    <row r="438" spans="6:8" s="27" customFormat="1">
      <c r="F438" s="33"/>
      <c r="H438" s="34"/>
    </row>
    <row r="439" spans="6:8" s="27" customFormat="1">
      <c r="F439" s="33"/>
      <c r="H439" s="34"/>
    </row>
    <row r="440" spans="6:8" s="27" customFormat="1">
      <c r="F440" s="33"/>
      <c r="H440" s="34"/>
    </row>
    <row r="441" spans="6:8" s="27" customFormat="1">
      <c r="F441" s="33"/>
      <c r="H441" s="34"/>
    </row>
    <row r="442" spans="6:8" s="27" customFormat="1">
      <c r="F442" s="33"/>
      <c r="H442" s="34"/>
    </row>
    <row r="443" spans="6:8" s="27" customFormat="1">
      <c r="F443" s="33"/>
      <c r="H443" s="34"/>
    </row>
    <row r="444" spans="6:8" s="27" customFormat="1">
      <c r="F444" s="33"/>
      <c r="H444" s="34"/>
    </row>
    <row r="445" spans="6:8" s="27" customFormat="1">
      <c r="F445" s="33"/>
      <c r="H445" s="34"/>
    </row>
    <row r="446" spans="6:8" s="27" customFormat="1">
      <c r="F446" s="33"/>
      <c r="H446" s="34"/>
    </row>
    <row r="447" spans="6:8" s="27" customFormat="1">
      <c r="F447" s="33"/>
      <c r="H447" s="34"/>
    </row>
    <row r="448" spans="6:8" s="27" customFormat="1">
      <c r="F448" s="33"/>
      <c r="H448" s="34"/>
    </row>
    <row r="449" spans="6:8" s="27" customFormat="1">
      <c r="F449" s="33"/>
      <c r="H449" s="34"/>
    </row>
    <row r="450" spans="6:8" s="27" customFormat="1">
      <c r="F450" s="33"/>
      <c r="H450" s="34"/>
    </row>
    <row r="451" spans="6:8" s="27" customFormat="1">
      <c r="F451" s="33"/>
      <c r="H451" s="34"/>
    </row>
    <row r="452" spans="6:8" s="27" customFormat="1">
      <c r="F452" s="33"/>
      <c r="H452" s="34"/>
    </row>
    <row r="453" spans="6:8" s="27" customFormat="1">
      <c r="F453" s="33"/>
      <c r="H453" s="34"/>
    </row>
    <row r="454" spans="6:8" s="27" customFormat="1">
      <c r="F454" s="33"/>
      <c r="H454" s="34"/>
    </row>
    <row r="455" spans="6:8" s="27" customFormat="1">
      <c r="F455" s="33"/>
      <c r="H455" s="34"/>
    </row>
    <row r="456" spans="6:8" s="27" customFormat="1">
      <c r="F456" s="33"/>
      <c r="H456" s="34"/>
    </row>
    <row r="457" spans="6:8" s="27" customFormat="1">
      <c r="F457" s="33"/>
      <c r="H457" s="34"/>
    </row>
    <row r="458" spans="6:8" s="27" customFormat="1">
      <c r="F458" s="33"/>
      <c r="H458" s="34"/>
    </row>
    <row r="459" spans="6:8" s="27" customFormat="1">
      <c r="F459" s="33"/>
      <c r="H459" s="34"/>
    </row>
    <row r="460" spans="6:8" s="27" customFormat="1">
      <c r="F460" s="33"/>
      <c r="H460" s="34"/>
    </row>
    <row r="461" spans="6:8" s="27" customFormat="1">
      <c r="F461" s="33"/>
      <c r="H461" s="34"/>
    </row>
    <row r="462" spans="6:8" s="27" customFormat="1">
      <c r="F462" s="33"/>
      <c r="H462" s="34"/>
    </row>
    <row r="463" spans="6:8" s="27" customFormat="1">
      <c r="F463" s="33"/>
      <c r="H463" s="34"/>
    </row>
    <row r="464" spans="6:8" s="27" customFormat="1">
      <c r="F464" s="33"/>
      <c r="H464" s="34"/>
    </row>
    <row r="465" spans="6:8" s="27" customFormat="1">
      <c r="F465" s="33"/>
      <c r="H465" s="34"/>
    </row>
    <row r="466" spans="6:8" s="27" customFormat="1">
      <c r="F466" s="33"/>
      <c r="H466" s="34"/>
    </row>
    <row r="467" spans="6:8" s="27" customFormat="1">
      <c r="F467" s="33"/>
      <c r="H467" s="34"/>
    </row>
    <row r="468" spans="6:8" s="27" customFormat="1">
      <c r="F468" s="33"/>
      <c r="H468" s="34"/>
    </row>
    <row r="469" spans="6:8" s="27" customFormat="1">
      <c r="F469" s="33"/>
      <c r="H469" s="34"/>
    </row>
    <row r="470" spans="6:8" s="27" customFormat="1">
      <c r="F470" s="33"/>
      <c r="H470" s="34"/>
    </row>
    <row r="471" spans="6:8" s="27" customFormat="1">
      <c r="F471" s="33"/>
      <c r="H471" s="34"/>
    </row>
    <row r="472" spans="6:8" s="27" customFormat="1">
      <c r="F472" s="33"/>
      <c r="H472" s="34"/>
    </row>
    <row r="473" spans="6:8" s="27" customFormat="1">
      <c r="F473" s="33"/>
      <c r="H473" s="34"/>
    </row>
    <row r="474" spans="6:8" s="27" customFormat="1">
      <c r="F474" s="33"/>
      <c r="H474" s="34"/>
    </row>
    <row r="475" spans="6:8" s="27" customFormat="1">
      <c r="F475" s="33"/>
      <c r="H475" s="34"/>
    </row>
    <row r="476" spans="6:8" s="27" customFormat="1">
      <c r="F476" s="33"/>
      <c r="H476" s="34"/>
    </row>
    <row r="477" spans="6:8" s="27" customFormat="1">
      <c r="F477" s="33"/>
      <c r="H477" s="34"/>
    </row>
    <row r="478" spans="6:8" s="27" customFormat="1">
      <c r="F478" s="33"/>
      <c r="H478" s="34"/>
    </row>
    <row r="479" spans="6:8" s="27" customFormat="1">
      <c r="F479" s="33"/>
      <c r="H479" s="34"/>
    </row>
    <row r="480" spans="6:8" s="27" customFormat="1">
      <c r="F480" s="33"/>
      <c r="H480" s="34"/>
    </row>
    <row r="481" spans="6:8" s="27" customFormat="1">
      <c r="F481" s="33"/>
      <c r="H481" s="34"/>
    </row>
    <row r="482" spans="6:8" s="27" customFormat="1">
      <c r="F482" s="33"/>
      <c r="H482" s="34"/>
    </row>
    <row r="483" spans="6:8" s="27" customFormat="1">
      <c r="F483" s="33"/>
      <c r="H483" s="34"/>
    </row>
    <row r="484" spans="6:8" s="27" customFormat="1">
      <c r="F484" s="33"/>
      <c r="H484" s="34"/>
    </row>
    <row r="485" spans="6:8" s="27" customFormat="1">
      <c r="F485" s="33"/>
      <c r="H485" s="34"/>
    </row>
    <row r="486" spans="6:8" s="27" customFormat="1">
      <c r="F486" s="33"/>
      <c r="H486" s="34"/>
    </row>
    <row r="487" spans="6:8" s="27" customFormat="1">
      <c r="F487" s="33"/>
      <c r="H487" s="34"/>
    </row>
    <row r="488" spans="6:8" s="27" customFormat="1">
      <c r="F488" s="33"/>
      <c r="H488" s="34"/>
    </row>
    <row r="489" spans="6:8" s="27" customFormat="1">
      <c r="F489" s="33"/>
      <c r="H489" s="34"/>
    </row>
    <row r="490" spans="6:8" s="27" customFormat="1">
      <c r="F490" s="33"/>
      <c r="H490" s="34"/>
    </row>
    <row r="491" spans="6:8" s="27" customFormat="1">
      <c r="F491" s="33"/>
      <c r="H491" s="34"/>
    </row>
    <row r="492" spans="6:8" s="27" customFormat="1">
      <c r="F492" s="33"/>
      <c r="H492" s="34"/>
    </row>
    <row r="493" spans="6:8" s="27" customFormat="1">
      <c r="F493" s="33"/>
      <c r="H493" s="34"/>
    </row>
    <row r="494" spans="6:8" s="27" customFormat="1">
      <c r="F494" s="33"/>
      <c r="H494" s="34"/>
    </row>
    <row r="495" spans="6:8" s="27" customFormat="1">
      <c r="F495" s="33"/>
      <c r="H495" s="34"/>
    </row>
    <row r="496" spans="6:8" s="27" customFormat="1">
      <c r="F496" s="33"/>
      <c r="H496" s="34"/>
    </row>
    <row r="497" spans="6:8" s="27" customFormat="1">
      <c r="F497" s="33"/>
      <c r="H497" s="34"/>
    </row>
    <row r="498" spans="6:8" s="27" customFormat="1">
      <c r="F498" s="33"/>
      <c r="H498" s="34"/>
    </row>
    <row r="499" spans="6:8" s="27" customFormat="1">
      <c r="F499" s="33"/>
      <c r="H499" s="34"/>
    </row>
    <row r="500" spans="6:8" s="27" customFormat="1">
      <c r="F500" s="33"/>
      <c r="H500" s="34"/>
    </row>
    <row r="501" spans="6:8" s="27" customFormat="1">
      <c r="F501" s="33"/>
      <c r="H501" s="34"/>
    </row>
    <row r="502" spans="6:8" s="27" customFormat="1">
      <c r="F502" s="33"/>
      <c r="H502" s="34"/>
    </row>
    <row r="503" spans="6:8" s="27" customFormat="1">
      <c r="F503" s="33"/>
      <c r="H503" s="34"/>
    </row>
    <row r="504" spans="6:8" s="27" customFormat="1">
      <c r="F504" s="33"/>
      <c r="H504" s="34"/>
    </row>
    <row r="505" spans="6:8" s="27" customFormat="1">
      <c r="F505" s="33"/>
      <c r="H505" s="34"/>
    </row>
    <row r="506" spans="6:8" s="27" customFormat="1">
      <c r="F506" s="33"/>
      <c r="H506" s="34"/>
    </row>
    <row r="507" spans="6:8" s="27" customFormat="1">
      <c r="F507" s="33"/>
      <c r="H507" s="34"/>
    </row>
    <row r="508" spans="6:8" s="27" customFormat="1">
      <c r="F508" s="33"/>
      <c r="H508" s="34"/>
    </row>
    <row r="509" spans="6:8" s="27" customFormat="1">
      <c r="F509" s="33"/>
      <c r="H509" s="34"/>
    </row>
    <row r="510" spans="6:8" s="27" customFormat="1">
      <c r="F510" s="33"/>
      <c r="H510" s="34"/>
    </row>
    <row r="511" spans="6:8" s="27" customFormat="1">
      <c r="F511" s="33"/>
      <c r="H511" s="34"/>
    </row>
    <row r="512" spans="6:8" s="27" customFormat="1">
      <c r="F512" s="33"/>
      <c r="H512" s="34"/>
    </row>
    <row r="513" spans="6:8" s="27" customFormat="1">
      <c r="F513" s="33"/>
      <c r="H513" s="34"/>
    </row>
    <row r="514" spans="6:8" s="27" customFormat="1">
      <c r="F514" s="33"/>
      <c r="H514" s="34"/>
    </row>
    <row r="515" spans="6:8" s="27" customFormat="1">
      <c r="F515" s="33"/>
      <c r="H515" s="34"/>
    </row>
    <row r="516" spans="6:8" s="27" customFormat="1">
      <c r="F516" s="33"/>
      <c r="H516" s="34"/>
    </row>
    <row r="517" spans="6:8" s="27" customFormat="1">
      <c r="F517" s="33"/>
      <c r="H517" s="34"/>
    </row>
    <row r="518" spans="6:8" s="27" customFormat="1">
      <c r="F518" s="33"/>
      <c r="H518" s="34"/>
    </row>
    <row r="519" spans="6:8" s="27" customFormat="1">
      <c r="F519" s="33"/>
      <c r="H519" s="34"/>
    </row>
    <row r="520" spans="6:8" s="27" customFormat="1">
      <c r="F520" s="33"/>
      <c r="H520" s="34"/>
    </row>
    <row r="521" spans="6:8" s="27" customFormat="1">
      <c r="F521" s="33"/>
      <c r="H521" s="34"/>
    </row>
    <row r="522" spans="6:8" s="27" customFormat="1">
      <c r="F522" s="33"/>
      <c r="H522" s="34"/>
    </row>
    <row r="523" spans="6:8" s="27" customFormat="1">
      <c r="F523" s="33"/>
      <c r="H523" s="34"/>
    </row>
    <row r="524" spans="6:8" s="27" customFormat="1">
      <c r="F524" s="33"/>
      <c r="H524" s="34"/>
    </row>
    <row r="525" spans="6:8" s="27" customFormat="1">
      <c r="F525" s="33"/>
      <c r="H525" s="34"/>
    </row>
    <row r="526" spans="6:8" s="27" customFormat="1">
      <c r="F526" s="33"/>
      <c r="H526" s="34"/>
    </row>
    <row r="527" spans="6:8" s="27" customFormat="1">
      <c r="F527" s="33"/>
      <c r="H527" s="34"/>
    </row>
    <row r="528" spans="6:8" s="27" customFormat="1">
      <c r="F528" s="33"/>
      <c r="H528" s="34"/>
    </row>
    <row r="529" spans="6:8" s="27" customFormat="1">
      <c r="F529" s="33"/>
      <c r="H529" s="34"/>
    </row>
    <row r="530" spans="6:8" s="27" customFormat="1">
      <c r="F530" s="33"/>
      <c r="H530" s="34"/>
    </row>
    <row r="531" spans="6:8" s="27" customFormat="1">
      <c r="F531" s="33"/>
      <c r="H531" s="34"/>
    </row>
    <row r="532" spans="6:8" s="27" customFormat="1">
      <c r="F532" s="33"/>
      <c r="H532" s="34"/>
    </row>
    <row r="533" spans="6:8" s="27" customFormat="1">
      <c r="F533" s="33"/>
      <c r="H533" s="34"/>
    </row>
    <row r="534" spans="6:8" s="27" customFormat="1">
      <c r="F534" s="33"/>
      <c r="H534" s="34"/>
    </row>
    <row r="535" spans="6:8" s="27" customFormat="1">
      <c r="F535" s="33"/>
      <c r="H535" s="34"/>
    </row>
    <row r="536" spans="6:8" s="27" customFormat="1">
      <c r="F536" s="33"/>
      <c r="H536" s="34"/>
    </row>
    <row r="537" spans="6:8" s="27" customFormat="1">
      <c r="F537" s="33"/>
      <c r="H537" s="34"/>
    </row>
    <row r="538" spans="6:8" s="27" customFormat="1">
      <c r="F538" s="33"/>
      <c r="H538" s="34"/>
    </row>
    <row r="539" spans="6:8" s="27" customFormat="1">
      <c r="F539" s="33"/>
      <c r="H539" s="34"/>
    </row>
    <row r="540" spans="6:8" s="27" customFormat="1">
      <c r="F540" s="33"/>
      <c r="H540" s="34"/>
    </row>
    <row r="541" spans="6:8" s="27" customFormat="1">
      <c r="F541" s="33"/>
      <c r="H541" s="34"/>
    </row>
    <row r="542" spans="6:8" s="27" customFormat="1">
      <c r="F542" s="33"/>
      <c r="H542" s="34"/>
    </row>
    <row r="543" spans="6:8" s="27" customFormat="1">
      <c r="F543" s="33"/>
      <c r="H543" s="34"/>
    </row>
    <row r="544" spans="6:8" s="27" customFormat="1">
      <c r="F544" s="33"/>
      <c r="H544" s="34"/>
    </row>
    <row r="545" spans="6:8" s="27" customFormat="1">
      <c r="F545" s="33"/>
      <c r="H545" s="34"/>
    </row>
    <row r="546" spans="6:8" s="27" customFormat="1">
      <c r="F546" s="33"/>
      <c r="H546" s="34"/>
    </row>
    <row r="547" spans="6:8" s="27" customFormat="1">
      <c r="F547" s="33"/>
      <c r="H547" s="34"/>
    </row>
    <row r="548" spans="6:8" s="27" customFormat="1">
      <c r="F548" s="33"/>
      <c r="H548" s="34"/>
    </row>
    <row r="549" spans="6:8" s="27" customFormat="1">
      <c r="F549" s="33"/>
      <c r="H549" s="34"/>
    </row>
    <row r="550" spans="6:8" s="27" customFormat="1">
      <c r="F550" s="33"/>
      <c r="H550" s="34"/>
    </row>
    <row r="551" spans="6:8" s="27" customFormat="1">
      <c r="F551" s="33"/>
      <c r="H551" s="34"/>
    </row>
    <row r="552" spans="6:8" s="27" customFormat="1">
      <c r="F552" s="33"/>
      <c r="H552" s="34"/>
    </row>
    <row r="553" spans="6:8" s="27" customFormat="1">
      <c r="F553" s="33"/>
      <c r="H553" s="34"/>
    </row>
    <row r="554" spans="6:8" s="27" customFormat="1">
      <c r="F554" s="33"/>
      <c r="H554" s="34"/>
    </row>
    <row r="555" spans="6:8" s="27" customFormat="1">
      <c r="F555" s="33"/>
      <c r="H555" s="34"/>
    </row>
    <row r="556" spans="6:8" s="27" customFormat="1">
      <c r="F556" s="33"/>
      <c r="H556" s="34"/>
    </row>
    <row r="557" spans="6:8" s="27" customFormat="1">
      <c r="F557" s="33"/>
      <c r="H557" s="34"/>
    </row>
    <row r="558" spans="6:8" s="27" customFormat="1">
      <c r="F558" s="33"/>
      <c r="H558" s="34"/>
    </row>
    <row r="559" spans="6:8" s="27" customFormat="1">
      <c r="F559" s="33"/>
      <c r="H559" s="34"/>
    </row>
    <row r="560" spans="6:8" s="27" customFormat="1">
      <c r="F560" s="33"/>
      <c r="H560" s="34"/>
    </row>
    <row r="561" spans="6:8" s="27" customFormat="1">
      <c r="F561" s="33"/>
      <c r="H561" s="34"/>
    </row>
    <row r="562" spans="6:8" s="27" customFormat="1">
      <c r="F562" s="33"/>
      <c r="H562" s="34"/>
    </row>
    <row r="563" spans="6:8" s="27" customFormat="1">
      <c r="F563" s="33"/>
      <c r="H563" s="34"/>
    </row>
    <row r="564" spans="6:8" s="27" customFormat="1">
      <c r="F564" s="33"/>
      <c r="H564" s="34"/>
    </row>
    <row r="565" spans="6:8" s="27" customFormat="1">
      <c r="F565" s="33"/>
      <c r="H565" s="34"/>
    </row>
    <row r="566" spans="6:8" s="27" customFormat="1">
      <c r="F566" s="33"/>
      <c r="H566" s="34"/>
    </row>
    <row r="567" spans="6:8" s="27" customFormat="1">
      <c r="F567" s="33"/>
      <c r="H567" s="34"/>
    </row>
    <row r="568" spans="6:8" s="27" customFormat="1">
      <c r="F568" s="33"/>
      <c r="H568" s="34"/>
    </row>
    <row r="569" spans="6:8" s="27" customFormat="1">
      <c r="F569" s="33"/>
      <c r="H569" s="34"/>
    </row>
    <row r="570" spans="6:8" s="27" customFormat="1">
      <c r="F570" s="33"/>
      <c r="H570" s="34"/>
    </row>
    <row r="571" spans="6:8" s="27" customFormat="1">
      <c r="F571" s="33"/>
      <c r="H571" s="34"/>
    </row>
    <row r="572" spans="6:8" s="27" customFormat="1">
      <c r="F572" s="33"/>
      <c r="H572" s="34"/>
    </row>
    <row r="573" spans="6:8" s="27" customFormat="1">
      <c r="F573" s="33"/>
      <c r="H573" s="34"/>
    </row>
    <row r="574" spans="6:8" s="27" customFormat="1">
      <c r="F574" s="33"/>
      <c r="H574" s="34"/>
    </row>
    <row r="575" spans="6:8" s="27" customFormat="1">
      <c r="F575" s="33"/>
      <c r="H575" s="34"/>
    </row>
    <row r="576" spans="6:8" s="27" customFormat="1">
      <c r="F576" s="33"/>
      <c r="H576" s="34"/>
    </row>
    <row r="577" spans="6:8" s="27" customFormat="1">
      <c r="F577" s="33"/>
      <c r="H577" s="34"/>
    </row>
    <row r="578" spans="6:8" s="27" customFormat="1">
      <c r="F578" s="33"/>
      <c r="H578" s="34"/>
    </row>
    <row r="579" spans="6:8" s="27" customFormat="1">
      <c r="F579" s="33"/>
      <c r="H579" s="34"/>
    </row>
    <row r="580" spans="6:8" s="27" customFormat="1">
      <c r="F580" s="33"/>
      <c r="H580" s="34"/>
    </row>
    <row r="581" spans="6:8" s="27" customFormat="1">
      <c r="F581" s="33"/>
      <c r="H581" s="34"/>
    </row>
    <row r="582" spans="6:8" s="27" customFormat="1">
      <c r="F582" s="33"/>
      <c r="H582" s="34"/>
    </row>
    <row r="583" spans="6:8" s="27" customFormat="1">
      <c r="F583" s="33"/>
      <c r="H583" s="34"/>
    </row>
    <row r="584" spans="6:8" s="27" customFormat="1">
      <c r="F584" s="33"/>
      <c r="H584" s="34"/>
    </row>
    <row r="585" spans="6:8" s="27" customFormat="1">
      <c r="F585" s="33"/>
      <c r="H585" s="34"/>
    </row>
    <row r="586" spans="6:8" s="27" customFormat="1">
      <c r="F586" s="33"/>
      <c r="H586" s="34"/>
    </row>
    <row r="587" spans="6:8" s="27" customFormat="1">
      <c r="F587" s="33"/>
      <c r="H587" s="34"/>
    </row>
    <row r="588" spans="6:8" s="27" customFormat="1">
      <c r="F588" s="33"/>
      <c r="H588" s="34"/>
    </row>
    <row r="589" spans="6:8" s="27" customFormat="1">
      <c r="F589" s="33"/>
      <c r="H589" s="34"/>
    </row>
    <row r="590" spans="6:8" s="27" customFormat="1">
      <c r="F590" s="33"/>
      <c r="H590" s="34"/>
    </row>
    <row r="591" spans="6:8" s="27" customFormat="1">
      <c r="F591" s="33"/>
      <c r="H591" s="34"/>
    </row>
    <row r="592" spans="6:8" s="27" customFormat="1">
      <c r="F592" s="33"/>
      <c r="H592" s="34"/>
    </row>
    <row r="593" spans="6:8" s="27" customFormat="1">
      <c r="F593" s="33"/>
      <c r="H593" s="34"/>
    </row>
    <row r="594" spans="6:8" s="27" customFormat="1">
      <c r="F594" s="33"/>
      <c r="H594" s="34"/>
    </row>
    <row r="595" spans="6:8" s="27" customFormat="1">
      <c r="F595" s="33"/>
      <c r="H595" s="34"/>
    </row>
    <row r="596" spans="6:8" s="27" customFormat="1">
      <c r="F596" s="33"/>
      <c r="H596" s="34"/>
    </row>
    <row r="597" spans="6:8" s="27" customFormat="1">
      <c r="F597" s="33"/>
      <c r="H597" s="34"/>
    </row>
    <row r="598" spans="6:8" s="27" customFormat="1">
      <c r="F598" s="33"/>
      <c r="H598" s="34"/>
    </row>
    <row r="599" spans="6:8" s="27" customFormat="1">
      <c r="F599" s="33"/>
      <c r="H599" s="34"/>
    </row>
    <row r="600" spans="6:8" s="27" customFormat="1">
      <c r="F600" s="33"/>
      <c r="H600" s="34"/>
    </row>
    <row r="601" spans="6:8" s="27" customFormat="1">
      <c r="F601" s="33"/>
      <c r="H601" s="34"/>
    </row>
    <row r="602" spans="6:8" s="27" customFormat="1">
      <c r="F602" s="33"/>
      <c r="H602" s="34"/>
    </row>
    <row r="603" spans="6:8" s="27" customFormat="1">
      <c r="F603" s="33"/>
      <c r="H603" s="34"/>
    </row>
    <row r="604" spans="6:8" s="27" customFormat="1">
      <c r="F604" s="33"/>
      <c r="H604" s="34"/>
    </row>
    <row r="605" spans="6:8" s="27" customFormat="1">
      <c r="F605" s="33"/>
      <c r="H605" s="34"/>
    </row>
    <row r="606" spans="6:8" s="27" customFormat="1">
      <c r="F606" s="33"/>
      <c r="H606" s="34"/>
    </row>
    <row r="607" spans="6:8" s="27" customFormat="1">
      <c r="F607" s="33"/>
      <c r="H607" s="34"/>
    </row>
    <row r="608" spans="6:8" s="27" customFormat="1">
      <c r="F608" s="33"/>
      <c r="H608" s="34"/>
    </row>
    <row r="609" spans="6:8" s="27" customFormat="1">
      <c r="F609" s="33"/>
      <c r="H609" s="34"/>
    </row>
    <row r="610" spans="6:8" s="27" customFormat="1">
      <c r="F610" s="33"/>
      <c r="H610" s="34"/>
    </row>
    <row r="611" spans="6:8" s="27" customFormat="1">
      <c r="F611" s="33"/>
      <c r="H611" s="34"/>
    </row>
    <row r="612" spans="6:8" s="27" customFormat="1">
      <c r="F612" s="33"/>
      <c r="H612" s="34"/>
    </row>
    <row r="613" spans="6:8" s="27" customFormat="1">
      <c r="F613" s="33"/>
      <c r="H613" s="34"/>
    </row>
    <row r="614" spans="6:8" s="27" customFormat="1">
      <c r="F614" s="33"/>
      <c r="H614" s="34"/>
    </row>
    <row r="615" spans="6:8" s="27" customFormat="1">
      <c r="F615" s="33"/>
      <c r="H615" s="34"/>
    </row>
    <row r="616" spans="6:8" s="27" customFormat="1">
      <c r="F616" s="33"/>
      <c r="H616" s="34"/>
    </row>
    <row r="617" spans="6:8" s="27" customFormat="1">
      <c r="F617" s="33"/>
      <c r="H617" s="34"/>
    </row>
    <row r="618" spans="6:8" s="27" customFormat="1">
      <c r="F618" s="33"/>
      <c r="H618" s="34"/>
    </row>
    <row r="619" spans="6:8" s="27" customFormat="1">
      <c r="F619" s="33"/>
      <c r="H619" s="34"/>
    </row>
    <row r="620" spans="6:8" s="27" customFormat="1">
      <c r="F620" s="33"/>
      <c r="H620" s="34"/>
    </row>
    <row r="621" spans="6:8" s="27" customFormat="1">
      <c r="F621" s="33"/>
      <c r="H621" s="34"/>
    </row>
    <row r="622" spans="6:8" s="27" customFormat="1">
      <c r="F622" s="33"/>
      <c r="H622" s="34"/>
    </row>
    <row r="623" spans="6:8" s="27" customFormat="1">
      <c r="F623" s="33"/>
      <c r="H623" s="34"/>
    </row>
    <row r="624" spans="6:8" s="27" customFormat="1">
      <c r="F624" s="33"/>
      <c r="H624" s="34"/>
    </row>
    <row r="625" spans="6:8" s="27" customFormat="1">
      <c r="F625" s="33"/>
      <c r="H625" s="34"/>
    </row>
    <row r="626" spans="6:8" s="27" customFormat="1">
      <c r="F626" s="33"/>
      <c r="H626" s="34"/>
    </row>
    <row r="627" spans="6:8" s="27" customFormat="1">
      <c r="F627" s="33"/>
      <c r="H627" s="34"/>
    </row>
    <row r="628" spans="6:8" s="27" customFormat="1">
      <c r="F628" s="33"/>
      <c r="H628" s="34"/>
    </row>
    <row r="629" spans="6:8" s="27" customFormat="1">
      <c r="F629" s="33"/>
      <c r="H629" s="34"/>
    </row>
    <row r="630" spans="6:8" s="27" customFormat="1">
      <c r="F630" s="33"/>
      <c r="H630" s="34"/>
    </row>
    <row r="631" spans="6:8" s="27" customFormat="1">
      <c r="F631" s="33"/>
      <c r="H631" s="34"/>
    </row>
    <row r="632" spans="6:8" s="27" customFormat="1">
      <c r="F632" s="33"/>
      <c r="H632" s="34"/>
    </row>
    <row r="633" spans="6:8" s="27" customFormat="1">
      <c r="F633" s="33"/>
      <c r="H633" s="34"/>
    </row>
    <row r="634" spans="6:8" s="27" customFormat="1">
      <c r="F634" s="33"/>
      <c r="H634" s="34"/>
    </row>
    <row r="635" spans="6:8" s="27" customFormat="1">
      <c r="F635" s="33"/>
      <c r="H635" s="34"/>
    </row>
    <row r="636" spans="6:8" s="27" customFormat="1">
      <c r="F636" s="33"/>
      <c r="H636" s="34"/>
    </row>
    <row r="637" spans="6:8" s="27" customFormat="1">
      <c r="F637" s="33"/>
      <c r="H637" s="34"/>
    </row>
    <row r="638" spans="6:8" s="27" customFormat="1">
      <c r="F638" s="33"/>
      <c r="H638" s="34"/>
    </row>
    <row r="639" spans="6:8" s="27" customFormat="1">
      <c r="F639" s="33"/>
      <c r="H639" s="34"/>
    </row>
    <row r="640" spans="6:8" s="27" customFormat="1">
      <c r="F640" s="33"/>
      <c r="H640" s="34"/>
    </row>
    <row r="641" spans="6:8" s="27" customFormat="1">
      <c r="F641" s="33"/>
      <c r="H641" s="34"/>
    </row>
    <row r="642" spans="6:8" s="27" customFormat="1">
      <c r="F642" s="33"/>
      <c r="H642" s="34"/>
    </row>
    <row r="643" spans="6:8" s="27" customFormat="1">
      <c r="F643" s="33"/>
      <c r="H643" s="34"/>
    </row>
    <row r="644" spans="6:8" s="27" customFormat="1">
      <c r="F644" s="33"/>
      <c r="H644" s="34"/>
    </row>
    <row r="645" spans="6:8" s="27" customFormat="1">
      <c r="F645" s="33"/>
      <c r="H645" s="34"/>
    </row>
    <row r="646" spans="6:8" s="27" customFormat="1">
      <c r="F646" s="33"/>
      <c r="H646" s="34"/>
    </row>
    <row r="647" spans="6:8" s="27" customFormat="1">
      <c r="F647" s="33"/>
      <c r="H647" s="34"/>
    </row>
    <row r="648" spans="6:8" s="27" customFormat="1">
      <c r="F648" s="33"/>
      <c r="H648" s="34"/>
    </row>
    <row r="649" spans="6:8" s="27" customFormat="1">
      <c r="F649" s="33"/>
      <c r="H649" s="34"/>
    </row>
    <row r="650" spans="6:8" s="27" customFormat="1">
      <c r="F650" s="33"/>
      <c r="H650" s="34"/>
    </row>
    <row r="651" spans="6:8" s="27" customFormat="1">
      <c r="F651" s="33"/>
      <c r="H651" s="34"/>
    </row>
    <row r="652" spans="6:8" s="27" customFormat="1">
      <c r="F652" s="33"/>
      <c r="H652" s="34"/>
    </row>
    <row r="653" spans="6:8" s="27" customFormat="1">
      <c r="F653" s="33"/>
      <c r="H653" s="34"/>
    </row>
    <row r="654" spans="6:8" s="27" customFormat="1">
      <c r="F654" s="33"/>
      <c r="H654" s="34"/>
    </row>
    <row r="655" spans="6:8" s="27" customFormat="1">
      <c r="F655" s="33"/>
      <c r="H655" s="34"/>
    </row>
    <row r="656" spans="6:8" s="27" customFormat="1">
      <c r="F656" s="33"/>
      <c r="H656" s="34"/>
    </row>
    <row r="657" spans="6:8" s="27" customFormat="1">
      <c r="F657" s="33"/>
      <c r="H657" s="34"/>
    </row>
    <row r="658" spans="6:8" s="27" customFormat="1">
      <c r="F658" s="33"/>
      <c r="H658" s="34"/>
    </row>
    <row r="659" spans="6:8" s="27" customFormat="1">
      <c r="F659" s="33"/>
      <c r="H659" s="34"/>
    </row>
    <row r="660" spans="6:8" s="27" customFormat="1">
      <c r="F660" s="33"/>
      <c r="H660" s="34"/>
    </row>
    <row r="661" spans="6:8" s="27" customFormat="1">
      <c r="F661" s="33"/>
      <c r="H661" s="34"/>
    </row>
    <row r="662" spans="6:8" s="27" customFormat="1">
      <c r="F662" s="33"/>
      <c r="H662" s="34"/>
    </row>
    <row r="663" spans="6:8" s="27" customFormat="1">
      <c r="F663" s="33"/>
      <c r="H663" s="34"/>
    </row>
    <row r="664" spans="6:8" s="27" customFormat="1">
      <c r="F664" s="33"/>
      <c r="H664" s="34"/>
    </row>
    <row r="665" spans="6:8" s="27" customFormat="1">
      <c r="F665" s="33"/>
      <c r="H665" s="34"/>
    </row>
    <row r="666" spans="6:8" s="27" customFormat="1">
      <c r="F666" s="33"/>
      <c r="H666" s="34"/>
    </row>
    <row r="667" spans="6:8" s="27" customFormat="1">
      <c r="F667" s="33"/>
      <c r="H667" s="34"/>
    </row>
    <row r="668" spans="6:8" s="27" customFormat="1">
      <c r="F668" s="33"/>
      <c r="H668" s="34"/>
    </row>
    <row r="669" spans="6:8" s="27" customFormat="1">
      <c r="F669" s="33"/>
      <c r="H669" s="34"/>
    </row>
    <row r="670" spans="6:8" s="27" customFormat="1">
      <c r="F670" s="33"/>
      <c r="H670" s="34"/>
    </row>
    <row r="671" spans="6:8" s="27" customFormat="1">
      <c r="F671" s="33"/>
      <c r="H671" s="34"/>
    </row>
    <row r="672" spans="6:8" s="27" customFormat="1">
      <c r="F672" s="33"/>
      <c r="H672" s="34"/>
    </row>
    <row r="673" spans="6:8" s="27" customFormat="1">
      <c r="F673" s="33"/>
      <c r="H673" s="34"/>
    </row>
    <row r="674" spans="6:8" s="27" customFormat="1">
      <c r="F674" s="33"/>
      <c r="H674" s="34"/>
    </row>
    <row r="675" spans="6:8" s="27" customFormat="1">
      <c r="F675" s="33"/>
      <c r="H675" s="34"/>
    </row>
    <row r="676" spans="6:8" s="27" customFormat="1">
      <c r="F676" s="33"/>
      <c r="H676" s="34"/>
    </row>
    <row r="677" spans="6:8" s="27" customFormat="1">
      <c r="F677" s="33"/>
      <c r="H677" s="34"/>
    </row>
    <row r="678" spans="6:8" s="27" customFormat="1">
      <c r="F678" s="33"/>
      <c r="H678" s="34"/>
    </row>
    <row r="679" spans="6:8" s="27" customFormat="1">
      <c r="F679" s="33"/>
      <c r="H679" s="34"/>
    </row>
    <row r="680" spans="6:8" s="27" customFormat="1">
      <c r="F680" s="33"/>
      <c r="H680" s="34"/>
    </row>
    <row r="681" spans="6:8" s="27" customFormat="1">
      <c r="F681" s="33"/>
      <c r="H681" s="34"/>
    </row>
    <row r="682" spans="6:8" s="27" customFormat="1">
      <c r="F682" s="33"/>
      <c r="H682" s="34"/>
    </row>
    <row r="683" spans="6:8" s="27" customFormat="1">
      <c r="F683" s="33"/>
      <c r="H683" s="34"/>
    </row>
    <row r="684" spans="6:8" s="27" customFormat="1">
      <c r="F684" s="33"/>
      <c r="H684" s="34"/>
    </row>
    <row r="685" spans="6:8" s="27" customFormat="1">
      <c r="F685" s="33"/>
      <c r="H685" s="34"/>
    </row>
    <row r="686" spans="6:8" s="27" customFormat="1">
      <c r="F686" s="33"/>
      <c r="H686" s="34"/>
    </row>
    <row r="687" spans="6:8" s="27" customFormat="1">
      <c r="F687" s="33"/>
      <c r="H687" s="34"/>
    </row>
    <row r="688" spans="6:8" s="27" customFormat="1">
      <c r="F688" s="33"/>
      <c r="H688" s="34"/>
    </row>
    <row r="689" spans="6:8" s="27" customFormat="1">
      <c r="F689" s="33"/>
      <c r="H689" s="34"/>
    </row>
    <row r="690" spans="6:8" s="27" customFormat="1">
      <c r="F690" s="33"/>
      <c r="H690" s="34"/>
    </row>
    <row r="691" spans="6:8" s="27" customFormat="1">
      <c r="F691" s="33"/>
      <c r="H691" s="34"/>
    </row>
    <row r="692" spans="6:8" s="27" customFormat="1">
      <c r="F692" s="33"/>
      <c r="H692" s="34"/>
    </row>
    <row r="693" spans="6:8" s="27" customFormat="1">
      <c r="F693" s="33"/>
      <c r="H693" s="34"/>
    </row>
    <row r="694" spans="6:8" s="27" customFormat="1">
      <c r="F694" s="33"/>
      <c r="H694" s="34"/>
    </row>
    <row r="695" spans="6:8" s="27" customFormat="1">
      <c r="F695" s="33"/>
      <c r="H695" s="34"/>
    </row>
    <row r="696" spans="6:8" s="27" customFormat="1">
      <c r="F696" s="33"/>
      <c r="H696" s="34"/>
    </row>
    <row r="697" spans="6:8" s="27" customFormat="1">
      <c r="F697" s="33"/>
      <c r="H697" s="34"/>
    </row>
    <row r="698" spans="6:8" s="27" customFormat="1">
      <c r="F698" s="33"/>
      <c r="H698" s="34"/>
    </row>
    <row r="699" spans="6:8" s="27" customFormat="1">
      <c r="F699" s="33"/>
      <c r="H699" s="34"/>
    </row>
    <row r="700" spans="6:8" s="27" customFormat="1">
      <c r="F700" s="33"/>
      <c r="H700" s="34"/>
    </row>
    <row r="701" spans="6:8" s="27" customFormat="1">
      <c r="F701" s="33"/>
      <c r="H701" s="34"/>
    </row>
    <row r="702" spans="6:8" s="27" customFormat="1">
      <c r="F702" s="33"/>
      <c r="H702" s="34"/>
    </row>
    <row r="703" spans="6:8" s="27" customFormat="1">
      <c r="F703" s="33"/>
      <c r="H703" s="34"/>
    </row>
    <row r="704" spans="6:8" s="27" customFormat="1">
      <c r="F704" s="33"/>
      <c r="H704" s="34"/>
    </row>
    <row r="705" spans="6:8" s="27" customFormat="1">
      <c r="F705" s="33"/>
      <c r="H705" s="34"/>
    </row>
    <row r="706" spans="6:8" s="27" customFormat="1">
      <c r="F706" s="33"/>
      <c r="H706" s="34"/>
    </row>
    <row r="707" spans="6:8" s="27" customFormat="1">
      <c r="F707" s="33"/>
      <c r="H707" s="34"/>
    </row>
    <row r="708" spans="6:8" s="27" customFormat="1">
      <c r="F708" s="33"/>
      <c r="H708" s="34"/>
    </row>
    <row r="709" spans="6:8" s="27" customFormat="1">
      <c r="F709" s="33"/>
      <c r="H709" s="34"/>
    </row>
    <row r="710" spans="6:8" s="27" customFormat="1">
      <c r="F710" s="33"/>
      <c r="H710" s="34"/>
    </row>
    <row r="711" spans="6:8" s="27" customFormat="1">
      <c r="F711" s="33"/>
      <c r="H711" s="34"/>
    </row>
    <row r="712" spans="6:8" s="27" customFormat="1">
      <c r="F712" s="33"/>
      <c r="H712" s="34"/>
    </row>
    <row r="713" spans="6:8" s="27" customFormat="1">
      <c r="F713" s="33"/>
      <c r="H713" s="34"/>
    </row>
    <row r="714" spans="6:8" s="27" customFormat="1">
      <c r="F714" s="33"/>
      <c r="H714" s="34"/>
    </row>
    <row r="715" spans="6:8" s="27" customFormat="1">
      <c r="F715" s="33"/>
      <c r="H715" s="34"/>
    </row>
    <row r="716" spans="6:8" s="27" customFormat="1">
      <c r="F716" s="33"/>
      <c r="H716" s="34"/>
    </row>
    <row r="717" spans="6:8" s="27" customFormat="1">
      <c r="F717" s="33"/>
      <c r="H717" s="34"/>
    </row>
    <row r="718" spans="6:8" s="27" customFormat="1">
      <c r="F718" s="33"/>
      <c r="H718" s="34"/>
    </row>
    <row r="719" spans="6:8" s="27" customFormat="1">
      <c r="F719" s="33"/>
      <c r="H719" s="34"/>
    </row>
    <row r="720" spans="6:8" s="27" customFormat="1">
      <c r="F720" s="33"/>
      <c r="H720" s="34"/>
    </row>
    <row r="721" spans="6:8" s="27" customFormat="1">
      <c r="F721" s="33"/>
      <c r="H721" s="34"/>
    </row>
    <row r="722" spans="6:8" s="27" customFormat="1">
      <c r="F722" s="33"/>
      <c r="H722" s="34"/>
    </row>
    <row r="723" spans="6:8" s="27" customFormat="1">
      <c r="F723" s="33"/>
      <c r="H723" s="34"/>
    </row>
    <row r="724" spans="6:8" s="27" customFormat="1">
      <c r="F724" s="33"/>
      <c r="H724" s="34"/>
    </row>
    <row r="725" spans="6:8" s="27" customFormat="1">
      <c r="F725" s="33"/>
      <c r="H725" s="34"/>
    </row>
    <row r="726" spans="6:8" s="27" customFormat="1">
      <c r="F726" s="33"/>
      <c r="H726" s="34"/>
    </row>
    <row r="727" spans="6:8" s="27" customFormat="1">
      <c r="F727" s="33"/>
      <c r="H727" s="34"/>
    </row>
    <row r="728" spans="6:8" s="27" customFormat="1">
      <c r="F728" s="33"/>
      <c r="H728" s="34"/>
    </row>
    <row r="729" spans="6:8" s="27" customFormat="1">
      <c r="F729" s="33"/>
      <c r="H729" s="34"/>
    </row>
    <row r="730" spans="6:8" s="27" customFormat="1">
      <c r="F730" s="33"/>
      <c r="H730" s="34"/>
    </row>
    <row r="731" spans="6:8" s="27" customFormat="1">
      <c r="F731" s="33"/>
      <c r="H731" s="34"/>
    </row>
    <row r="732" spans="6:8" s="27" customFormat="1">
      <c r="F732" s="33"/>
      <c r="H732" s="34"/>
    </row>
    <row r="733" spans="6:8" s="27" customFormat="1">
      <c r="F733" s="33"/>
      <c r="H733" s="34"/>
    </row>
    <row r="734" spans="6:8" s="27" customFormat="1">
      <c r="F734" s="33"/>
      <c r="H734" s="34"/>
    </row>
    <row r="735" spans="6:8" s="27" customFormat="1">
      <c r="F735" s="33"/>
      <c r="H735" s="34"/>
    </row>
    <row r="736" spans="6:8" s="27" customFormat="1">
      <c r="F736" s="33"/>
      <c r="H736" s="34"/>
    </row>
    <row r="737" spans="6:8" s="27" customFormat="1">
      <c r="F737" s="33"/>
      <c r="H737" s="34"/>
    </row>
    <row r="738" spans="6:8" s="27" customFormat="1">
      <c r="F738" s="33"/>
      <c r="H738" s="34"/>
    </row>
    <row r="739" spans="6:8" s="27" customFormat="1">
      <c r="F739" s="33"/>
      <c r="H739" s="34"/>
    </row>
    <row r="740" spans="6:8" s="27" customFormat="1">
      <c r="F740" s="33"/>
      <c r="H740" s="34"/>
    </row>
    <row r="741" spans="6:8" s="27" customFormat="1">
      <c r="F741" s="33"/>
      <c r="H741" s="34"/>
    </row>
    <row r="742" spans="6:8" s="27" customFormat="1">
      <c r="F742" s="33"/>
      <c r="H742" s="34"/>
    </row>
    <row r="743" spans="6:8" s="27" customFormat="1">
      <c r="F743" s="33"/>
      <c r="H743" s="34"/>
    </row>
    <row r="744" spans="6:8" s="27" customFormat="1">
      <c r="F744" s="33"/>
      <c r="H744" s="34"/>
    </row>
    <row r="745" spans="6:8" s="27" customFormat="1">
      <c r="F745" s="33"/>
      <c r="H745" s="34"/>
    </row>
    <row r="746" spans="6:8" s="27" customFormat="1">
      <c r="F746" s="33"/>
      <c r="H746" s="34"/>
    </row>
    <row r="747" spans="6:8" s="27" customFormat="1">
      <c r="F747" s="33"/>
      <c r="H747" s="34"/>
    </row>
    <row r="748" spans="6:8" s="27" customFormat="1">
      <c r="F748" s="33"/>
      <c r="H748" s="34"/>
    </row>
    <row r="749" spans="6:8" s="27" customFormat="1">
      <c r="F749" s="33"/>
      <c r="H749" s="34"/>
    </row>
    <row r="750" spans="6:8" s="27" customFormat="1">
      <c r="F750" s="33"/>
      <c r="H750" s="34"/>
    </row>
    <row r="751" spans="6:8" s="27" customFormat="1">
      <c r="F751" s="33"/>
      <c r="H751" s="34"/>
    </row>
    <row r="752" spans="6:8" s="27" customFormat="1">
      <c r="F752" s="33"/>
      <c r="H752" s="34"/>
    </row>
    <row r="753" spans="6:8" s="27" customFormat="1">
      <c r="F753" s="33"/>
      <c r="H753" s="34"/>
    </row>
    <row r="754" spans="6:8" s="27" customFormat="1">
      <c r="F754" s="33"/>
      <c r="H754" s="34"/>
    </row>
    <row r="755" spans="6:8" s="27" customFormat="1">
      <c r="F755" s="33"/>
      <c r="H755" s="34"/>
    </row>
    <row r="756" spans="6:8" s="27" customFormat="1">
      <c r="F756" s="33"/>
      <c r="H756" s="34"/>
    </row>
    <row r="757" spans="6:8" s="27" customFormat="1">
      <c r="F757" s="33"/>
      <c r="H757" s="34"/>
    </row>
    <row r="758" spans="6:8" s="27" customFormat="1">
      <c r="F758" s="33"/>
      <c r="H758" s="34"/>
    </row>
    <row r="759" spans="6:8" s="27" customFormat="1">
      <c r="F759" s="33"/>
      <c r="H759" s="34"/>
    </row>
    <row r="760" spans="6:8" s="27" customFormat="1">
      <c r="F760" s="33"/>
      <c r="H760" s="34"/>
    </row>
    <row r="761" spans="6:8" s="27" customFormat="1">
      <c r="F761" s="33"/>
      <c r="H761" s="34"/>
    </row>
    <row r="762" spans="6:8" s="27" customFormat="1">
      <c r="F762" s="33"/>
      <c r="H762" s="34"/>
    </row>
    <row r="763" spans="6:8" s="27" customFormat="1">
      <c r="F763" s="33"/>
      <c r="H763" s="34"/>
    </row>
    <row r="764" spans="6:8" s="27" customFormat="1">
      <c r="F764" s="33"/>
      <c r="H764" s="34"/>
    </row>
    <row r="765" spans="6:8" s="27" customFormat="1">
      <c r="F765" s="33"/>
      <c r="H765" s="34"/>
    </row>
    <row r="766" spans="6:8" s="27" customFormat="1">
      <c r="F766" s="33"/>
      <c r="H766" s="34"/>
    </row>
    <row r="767" spans="6:8" s="27" customFormat="1">
      <c r="F767" s="33"/>
      <c r="H767" s="34"/>
    </row>
    <row r="768" spans="6:8" s="27" customFormat="1">
      <c r="F768" s="33"/>
      <c r="H768" s="34"/>
    </row>
    <row r="769" spans="6:8" s="27" customFormat="1">
      <c r="F769" s="33"/>
      <c r="H769" s="34"/>
    </row>
    <row r="770" spans="6:8" s="27" customFormat="1">
      <c r="F770" s="33"/>
      <c r="H770" s="34"/>
    </row>
    <row r="771" spans="6:8" s="27" customFormat="1">
      <c r="F771" s="33"/>
      <c r="H771" s="34"/>
    </row>
    <row r="772" spans="6:8" s="27" customFormat="1">
      <c r="F772" s="33"/>
      <c r="H772" s="34"/>
    </row>
    <row r="773" spans="6:8" s="27" customFormat="1">
      <c r="F773" s="33"/>
      <c r="H773" s="34"/>
    </row>
    <row r="774" spans="6:8" s="27" customFormat="1">
      <c r="F774" s="33"/>
      <c r="H774" s="34"/>
    </row>
    <row r="775" spans="6:8" s="27" customFormat="1">
      <c r="F775" s="33"/>
      <c r="H775" s="34"/>
    </row>
    <row r="776" spans="6:8" s="27" customFormat="1">
      <c r="F776" s="33"/>
      <c r="H776" s="34"/>
    </row>
    <row r="777" spans="6:8" s="27" customFormat="1">
      <c r="F777" s="33"/>
      <c r="H777" s="34"/>
    </row>
    <row r="778" spans="6:8" s="27" customFormat="1">
      <c r="F778" s="33"/>
      <c r="H778" s="34"/>
    </row>
    <row r="779" spans="6:8" s="27" customFormat="1">
      <c r="F779" s="33"/>
      <c r="H779" s="34"/>
    </row>
    <row r="780" spans="6:8" s="27" customFormat="1">
      <c r="F780" s="33"/>
      <c r="H780" s="34"/>
    </row>
    <row r="781" spans="6:8" s="27" customFormat="1">
      <c r="F781" s="33"/>
      <c r="H781" s="34"/>
    </row>
    <row r="782" spans="6:8" s="27" customFormat="1">
      <c r="F782" s="33"/>
      <c r="H782" s="34"/>
    </row>
    <row r="783" spans="6:8" s="27" customFormat="1">
      <c r="F783" s="33"/>
      <c r="H783" s="34"/>
    </row>
    <row r="784" spans="6:8" s="27" customFormat="1">
      <c r="F784" s="33"/>
      <c r="H784" s="34"/>
    </row>
    <row r="785" spans="6:8" s="27" customFormat="1">
      <c r="F785" s="33"/>
      <c r="H785" s="34"/>
    </row>
    <row r="786" spans="6:8" s="27" customFormat="1">
      <c r="F786" s="33"/>
      <c r="H786" s="34"/>
    </row>
    <row r="787" spans="6:8" s="27" customFormat="1">
      <c r="F787" s="33"/>
      <c r="H787" s="34"/>
    </row>
    <row r="788" spans="6:8" s="27" customFormat="1">
      <c r="F788" s="33"/>
      <c r="H788" s="34"/>
    </row>
    <row r="789" spans="6:8" s="27" customFormat="1">
      <c r="F789" s="33"/>
      <c r="H789" s="34"/>
    </row>
    <row r="790" spans="6:8" s="27" customFormat="1">
      <c r="F790" s="33"/>
      <c r="H790" s="34"/>
    </row>
    <row r="791" spans="6:8" s="27" customFormat="1">
      <c r="F791" s="33"/>
      <c r="H791" s="34"/>
    </row>
    <row r="792" spans="6:8" s="27" customFormat="1">
      <c r="F792" s="33"/>
      <c r="H792" s="34"/>
    </row>
    <row r="793" spans="6:8" s="27" customFormat="1">
      <c r="F793" s="33"/>
      <c r="H793" s="34"/>
    </row>
    <row r="794" spans="6:8" s="27" customFormat="1">
      <c r="F794" s="33"/>
      <c r="H794" s="34"/>
    </row>
    <row r="795" spans="6:8" s="27" customFormat="1">
      <c r="F795" s="33"/>
      <c r="H795" s="34"/>
    </row>
    <row r="796" spans="6:8" s="27" customFormat="1">
      <c r="F796" s="33"/>
      <c r="H796" s="34"/>
    </row>
    <row r="797" spans="6:8" s="27" customFormat="1">
      <c r="F797" s="33"/>
      <c r="H797" s="34"/>
    </row>
    <row r="798" spans="6:8" s="27" customFormat="1">
      <c r="F798" s="33"/>
      <c r="H798" s="34"/>
    </row>
    <row r="799" spans="6:8" s="27" customFormat="1">
      <c r="F799" s="33"/>
      <c r="H799" s="34"/>
    </row>
    <row r="800" spans="6:8" s="27" customFormat="1">
      <c r="F800" s="33"/>
      <c r="H800" s="34"/>
    </row>
    <row r="801" spans="6:8" s="27" customFormat="1">
      <c r="F801" s="33"/>
      <c r="H801" s="34"/>
    </row>
    <row r="802" spans="6:8" s="27" customFormat="1">
      <c r="F802" s="33"/>
      <c r="H802" s="34"/>
    </row>
    <row r="803" spans="6:8" s="27" customFormat="1">
      <c r="F803" s="33"/>
      <c r="H803" s="34"/>
    </row>
    <row r="804" spans="6:8" s="27" customFormat="1">
      <c r="F804" s="33"/>
      <c r="H804" s="34"/>
    </row>
    <row r="805" spans="6:8" s="27" customFormat="1">
      <c r="F805" s="33"/>
      <c r="H805" s="34"/>
    </row>
    <row r="806" spans="6:8" s="27" customFormat="1">
      <c r="F806" s="33"/>
      <c r="H806" s="34"/>
    </row>
    <row r="807" spans="6:8" s="27" customFormat="1">
      <c r="F807" s="33"/>
      <c r="H807" s="34"/>
    </row>
    <row r="808" spans="6:8" s="27" customFormat="1">
      <c r="F808" s="33"/>
      <c r="H808" s="34"/>
    </row>
    <row r="809" spans="6:8" s="27" customFormat="1">
      <c r="F809" s="33"/>
      <c r="H809" s="34"/>
    </row>
    <row r="810" spans="6:8" s="27" customFormat="1">
      <c r="F810" s="33"/>
      <c r="H810" s="34"/>
    </row>
    <row r="811" spans="6:8" s="27" customFormat="1">
      <c r="F811" s="33"/>
      <c r="H811" s="34"/>
    </row>
    <row r="812" spans="6:8" s="27" customFormat="1">
      <c r="F812" s="33"/>
      <c r="H812" s="34"/>
    </row>
    <row r="813" spans="6:8" s="27" customFormat="1">
      <c r="F813" s="33"/>
      <c r="H813" s="34"/>
    </row>
    <row r="814" spans="6:8" s="27" customFormat="1">
      <c r="F814" s="33"/>
      <c r="H814" s="34"/>
    </row>
    <row r="815" spans="6:8" s="27" customFormat="1">
      <c r="F815" s="33"/>
      <c r="H815" s="34"/>
    </row>
    <row r="816" spans="6:8" s="27" customFormat="1">
      <c r="F816" s="33"/>
      <c r="H816" s="34"/>
    </row>
    <row r="817" spans="6:8" s="27" customFormat="1">
      <c r="F817" s="33"/>
      <c r="H817" s="34"/>
    </row>
    <row r="818" spans="6:8" s="27" customFormat="1">
      <c r="F818" s="33"/>
      <c r="H818" s="34"/>
    </row>
    <row r="819" spans="6:8" s="27" customFormat="1">
      <c r="F819" s="33"/>
      <c r="H819" s="34"/>
    </row>
    <row r="820" spans="6:8" s="27" customFormat="1">
      <c r="F820" s="33"/>
      <c r="H820" s="34"/>
    </row>
    <row r="821" spans="6:8" s="27" customFormat="1">
      <c r="F821" s="33"/>
      <c r="H821" s="34"/>
    </row>
    <row r="822" spans="6:8" s="27" customFormat="1">
      <c r="F822" s="33"/>
      <c r="H822" s="34"/>
    </row>
    <row r="823" spans="6:8" s="27" customFormat="1">
      <c r="F823" s="33"/>
      <c r="H823" s="34"/>
    </row>
    <row r="824" spans="6:8" s="27" customFormat="1">
      <c r="F824" s="33"/>
      <c r="H824" s="34"/>
    </row>
    <row r="825" spans="6:8" s="27" customFormat="1">
      <c r="F825" s="33"/>
      <c r="H825" s="34"/>
    </row>
    <row r="826" spans="6:8" s="27" customFormat="1">
      <c r="F826" s="33"/>
      <c r="H826" s="34"/>
    </row>
    <row r="827" spans="6:8" s="27" customFormat="1">
      <c r="F827" s="33"/>
      <c r="H827" s="34"/>
    </row>
    <row r="828" spans="6:8" s="27" customFormat="1">
      <c r="F828" s="33"/>
      <c r="H828" s="34"/>
    </row>
    <row r="829" spans="6:8" s="27" customFormat="1">
      <c r="F829" s="33"/>
      <c r="H829" s="34"/>
    </row>
    <row r="830" spans="6:8" s="27" customFormat="1">
      <c r="F830" s="33"/>
      <c r="H830" s="34"/>
    </row>
    <row r="831" spans="6:8" s="27" customFormat="1">
      <c r="F831" s="33"/>
      <c r="H831" s="34"/>
    </row>
    <row r="832" spans="6:8" s="27" customFormat="1">
      <c r="F832" s="33"/>
      <c r="H832" s="34"/>
    </row>
    <row r="833" spans="6:8" s="27" customFormat="1">
      <c r="F833" s="33"/>
      <c r="H833" s="34"/>
    </row>
    <row r="834" spans="6:8" s="27" customFormat="1">
      <c r="F834" s="33"/>
      <c r="H834" s="34"/>
    </row>
    <row r="835" spans="6:8" s="27" customFormat="1">
      <c r="F835" s="33"/>
      <c r="H835" s="34"/>
    </row>
    <row r="836" spans="6:8" s="27" customFormat="1">
      <c r="F836" s="33"/>
      <c r="H836" s="34"/>
    </row>
    <row r="837" spans="6:8" s="27" customFormat="1">
      <c r="F837" s="33"/>
      <c r="H837" s="34"/>
    </row>
    <row r="838" spans="6:8" s="27" customFormat="1">
      <c r="F838" s="33"/>
      <c r="H838" s="34"/>
    </row>
    <row r="839" spans="6:8" s="27" customFormat="1">
      <c r="F839" s="33"/>
      <c r="H839" s="34"/>
    </row>
    <row r="840" spans="6:8" s="27" customFormat="1">
      <c r="F840" s="33"/>
      <c r="H840" s="34"/>
    </row>
    <row r="841" spans="6:8" s="27" customFormat="1">
      <c r="F841" s="33"/>
      <c r="H841" s="34"/>
    </row>
    <row r="842" spans="6:8" s="27" customFormat="1">
      <c r="F842" s="33"/>
      <c r="H842" s="34"/>
    </row>
    <row r="843" spans="6:8" s="27" customFormat="1">
      <c r="F843" s="33"/>
      <c r="H843" s="34"/>
    </row>
    <row r="844" spans="6:8" s="27" customFormat="1">
      <c r="F844" s="33"/>
      <c r="H844" s="34"/>
    </row>
    <row r="845" spans="6:8" s="27" customFormat="1">
      <c r="F845" s="33"/>
      <c r="H845" s="34"/>
    </row>
    <row r="846" spans="6:8" s="27" customFormat="1">
      <c r="F846" s="33"/>
      <c r="H846" s="34"/>
    </row>
    <row r="847" spans="6:8" s="27" customFormat="1">
      <c r="F847" s="33"/>
      <c r="H847" s="34"/>
    </row>
    <row r="848" spans="6:8" s="27" customFormat="1">
      <c r="F848" s="33"/>
      <c r="H848" s="34"/>
    </row>
    <row r="849" spans="6:8" s="27" customFormat="1">
      <c r="F849" s="33"/>
      <c r="H849" s="34"/>
    </row>
    <row r="850" spans="6:8" s="27" customFormat="1">
      <c r="F850" s="33"/>
      <c r="H850" s="34"/>
    </row>
    <row r="851" spans="6:8" s="27" customFormat="1">
      <c r="F851" s="33"/>
      <c r="H851" s="34"/>
    </row>
    <row r="852" spans="6:8" s="27" customFormat="1">
      <c r="F852" s="33"/>
      <c r="H852" s="34"/>
    </row>
    <row r="853" spans="6:8" s="27" customFormat="1">
      <c r="F853" s="33"/>
      <c r="H853" s="34"/>
    </row>
    <row r="854" spans="6:8" s="27" customFormat="1">
      <c r="F854" s="33"/>
      <c r="H854" s="34"/>
    </row>
    <row r="855" spans="6:8" s="27" customFormat="1">
      <c r="F855" s="33"/>
      <c r="H855" s="34"/>
    </row>
    <row r="856" spans="6:8" s="27" customFormat="1">
      <c r="F856" s="33"/>
      <c r="H856" s="34"/>
    </row>
    <row r="857" spans="6:8" s="27" customFormat="1">
      <c r="F857" s="33"/>
      <c r="H857" s="34"/>
    </row>
    <row r="858" spans="6:8" s="27" customFormat="1">
      <c r="F858" s="33"/>
      <c r="H858" s="34"/>
    </row>
    <row r="859" spans="6:8" s="27" customFormat="1">
      <c r="F859" s="33"/>
      <c r="H859" s="34"/>
    </row>
    <row r="860" spans="6:8" s="27" customFormat="1">
      <c r="F860" s="33"/>
      <c r="H860" s="34"/>
    </row>
    <row r="861" spans="6:8" s="27" customFormat="1">
      <c r="F861" s="33"/>
      <c r="H861" s="34"/>
    </row>
    <row r="862" spans="6:8" s="27" customFormat="1">
      <c r="F862" s="33"/>
      <c r="H862" s="34"/>
    </row>
    <row r="863" spans="6:8" s="27" customFormat="1">
      <c r="F863" s="33"/>
      <c r="H863" s="34"/>
    </row>
    <row r="864" spans="6:8" s="27" customFormat="1">
      <c r="F864" s="33"/>
      <c r="H864" s="34"/>
    </row>
    <row r="865" spans="6:8" s="27" customFormat="1">
      <c r="F865" s="33"/>
      <c r="H865" s="34"/>
    </row>
    <row r="866" spans="6:8" s="27" customFormat="1">
      <c r="F866" s="33"/>
      <c r="H866" s="34"/>
    </row>
    <row r="867" spans="6:8" s="27" customFormat="1">
      <c r="F867" s="33"/>
      <c r="H867" s="34"/>
    </row>
    <row r="868" spans="6:8" s="27" customFormat="1">
      <c r="F868" s="33"/>
      <c r="H868" s="34"/>
    </row>
    <row r="869" spans="6:8" s="27" customFormat="1">
      <c r="F869" s="33"/>
      <c r="H869" s="34"/>
    </row>
    <row r="870" spans="6:8" s="27" customFormat="1">
      <c r="F870" s="33"/>
      <c r="H870" s="34"/>
    </row>
    <row r="871" spans="6:8" s="27" customFormat="1">
      <c r="F871" s="33"/>
      <c r="H871" s="34"/>
    </row>
    <row r="872" spans="6:8" s="27" customFormat="1">
      <c r="F872" s="33"/>
      <c r="H872" s="34"/>
    </row>
    <row r="873" spans="6:8" s="27" customFormat="1">
      <c r="F873" s="33"/>
      <c r="H873" s="34"/>
    </row>
    <row r="874" spans="6:8" s="27" customFormat="1">
      <c r="F874" s="33"/>
      <c r="H874" s="34"/>
    </row>
    <row r="875" spans="6:8" s="27" customFormat="1">
      <c r="F875" s="33"/>
      <c r="H875" s="34"/>
    </row>
    <row r="876" spans="6:8" s="27" customFormat="1">
      <c r="F876" s="33"/>
      <c r="H876" s="34"/>
    </row>
    <row r="877" spans="6:8" s="27" customFormat="1">
      <c r="F877" s="33"/>
      <c r="H877" s="34"/>
    </row>
    <row r="878" spans="6:8" s="27" customFormat="1">
      <c r="F878" s="33"/>
      <c r="H878" s="34"/>
    </row>
    <row r="879" spans="6:8" s="27" customFormat="1">
      <c r="F879" s="33"/>
      <c r="H879" s="34"/>
    </row>
    <row r="880" spans="6:8" s="27" customFormat="1">
      <c r="F880" s="33"/>
      <c r="H880" s="34"/>
    </row>
    <row r="881" spans="6:8" s="27" customFormat="1">
      <c r="F881" s="33"/>
      <c r="H881" s="34"/>
    </row>
    <row r="882" spans="6:8" s="27" customFormat="1">
      <c r="F882" s="33"/>
      <c r="H882" s="34"/>
    </row>
    <row r="883" spans="6:8" s="27" customFormat="1">
      <c r="F883" s="33"/>
      <c r="H883" s="34"/>
    </row>
    <row r="884" spans="6:8" s="27" customFormat="1">
      <c r="F884" s="33"/>
      <c r="H884" s="34"/>
    </row>
    <row r="885" spans="6:8" s="27" customFormat="1">
      <c r="F885" s="33"/>
      <c r="H885" s="34"/>
    </row>
    <row r="886" spans="6:8" s="27" customFormat="1">
      <c r="F886" s="33"/>
      <c r="H886" s="34"/>
    </row>
    <row r="887" spans="6:8" s="27" customFormat="1">
      <c r="F887" s="33"/>
      <c r="H887" s="34"/>
    </row>
    <row r="888" spans="6:8" s="27" customFormat="1">
      <c r="F888" s="33"/>
      <c r="H888" s="34"/>
    </row>
    <row r="889" spans="6:8" s="27" customFormat="1">
      <c r="F889" s="33"/>
      <c r="H889" s="34"/>
    </row>
    <row r="890" spans="6:8" s="27" customFormat="1">
      <c r="F890" s="33"/>
      <c r="H890" s="34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789"/>
  <sheetViews>
    <sheetView zoomScaleNormal="100" workbookViewId="0">
      <selection activeCell="A44" sqref="A44"/>
    </sheetView>
  </sheetViews>
  <sheetFormatPr defaultRowHeight="12.75"/>
  <cols>
    <col min="1" max="1" width="3.42578125" style="27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79" width="9.140625" style="27"/>
  </cols>
  <sheetData>
    <row r="1" spans="1:9" ht="15.95" customHeight="1">
      <c r="A1" s="24"/>
      <c r="B1" s="177" t="s">
        <v>208</v>
      </c>
      <c r="C1" s="178"/>
      <c r="D1" s="178"/>
      <c r="E1" s="178"/>
      <c r="F1" s="178"/>
      <c r="G1" s="178"/>
      <c r="H1" s="179"/>
      <c r="I1" s="1"/>
    </row>
    <row r="2" spans="1:9" ht="12.95" customHeight="1" thickBot="1">
      <c r="A2" s="24"/>
      <c r="B2" s="189" t="s">
        <v>384</v>
      </c>
      <c r="C2" s="190"/>
      <c r="D2" s="190"/>
      <c r="E2" s="190"/>
      <c r="F2" s="190"/>
      <c r="G2" s="190"/>
      <c r="H2" s="191"/>
      <c r="I2" s="1"/>
    </row>
    <row r="3" spans="1:9" s="27" customFormat="1" ht="12.95" customHeight="1">
      <c r="A3" s="24"/>
      <c r="B3" s="110"/>
      <c r="C3" s="110"/>
      <c r="D3" s="110"/>
      <c r="E3" s="110"/>
      <c r="F3" s="110"/>
      <c r="G3" s="110"/>
      <c r="H3" s="110"/>
      <c r="I3" s="24"/>
    </row>
    <row r="4" spans="1:9" s="27" customFormat="1" ht="12.95" customHeight="1">
      <c r="A4" s="25"/>
      <c r="B4" s="29" t="s">
        <v>2</v>
      </c>
      <c r="C4" s="24"/>
      <c r="D4" s="24"/>
      <c r="E4" s="24"/>
      <c r="F4" s="30"/>
      <c r="G4" s="24"/>
      <c r="H4" s="31"/>
      <c r="I4" s="24"/>
    </row>
    <row r="5" spans="1:9" s="27" customFormat="1" ht="12.95" customHeight="1" thickBot="1">
      <c r="A5" s="25"/>
      <c r="B5" s="29"/>
      <c r="C5" s="24"/>
      <c r="D5" s="24"/>
      <c r="E5" s="24"/>
      <c r="F5" s="30"/>
      <c r="G5" s="24"/>
      <c r="H5" s="31"/>
      <c r="I5" s="24"/>
    </row>
    <row r="6" spans="1:9" ht="27.95" customHeight="1" thickBot="1">
      <c r="A6" s="24"/>
      <c r="B6" s="76" t="s">
        <v>3</v>
      </c>
      <c r="C6" s="77" t="s">
        <v>4</v>
      </c>
      <c r="D6" s="104" t="s">
        <v>52</v>
      </c>
      <c r="E6" s="104" t="s">
        <v>6</v>
      </c>
      <c r="F6" s="105" t="s">
        <v>7</v>
      </c>
      <c r="G6" s="104" t="s">
        <v>8</v>
      </c>
      <c r="H6" s="106" t="s">
        <v>9</v>
      </c>
      <c r="I6" s="36" t="s">
        <v>10</v>
      </c>
    </row>
    <row r="7" spans="1:9">
      <c r="A7" s="24"/>
      <c r="B7" s="119" t="s">
        <v>53</v>
      </c>
      <c r="C7" s="120"/>
      <c r="D7" s="121"/>
      <c r="E7" s="121"/>
      <c r="F7" s="122"/>
      <c r="G7" s="121"/>
      <c r="H7" s="123"/>
      <c r="I7" s="113"/>
    </row>
    <row r="8" spans="1:9">
      <c r="A8" s="24"/>
      <c r="B8" s="116" t="s">
        <v>54</v>
      </c>
      <c r="C8" s="43"/>
      <c r="D8" s="44"/>
      <c r="E8" s="44"/>
      <c r="F8" s="45"/>
      <c r="G8" s="44"/>
      <c r="H8" s="117"/>
      <c r="I8" s="113"/>
    </row>
    <row r="9" spans="1:9">
      <c r="A9" s="24"/>
      <c r="B9" s="116" t="s">
        <v>378</v>
      </c>
      <c r="C9" s="43"/>
      <c r="D9" s="44"/>
      <c r="E9" s="44"/>
      <c r="F9" s="45"/>
      <c r="G9" s="44"/>
      <c r="H9" s="117"/>
      <c r="I9" s="113"/>
    </row>
    <row r="10" spans="1:9" ht="12.95" customHeight="1">
      <c r="A10" s="26"/>
      <c r="B10" s="55" t="s">
        <v>64</v>
      </c>
      <c r="C10" s="11" t="s">
        <v>65</v>
      </c>
      <c r="D10" s="11" t="s">
        <v>63</v>
      </c>
      <c r="E10" s="48">
        <v>63250</v>
      </c>
      <c r="F10" s="49">
        <v>228.14275000000001</v>
      </c>
      <c r="G10" s="50">
        <v>228.14</v>
      </c>
      <c r="H10" s="56">
        <v>7.5368594292571478E-2</v>
      </c>
      <c r="I10" s="2">
        <v>7.5399999999999995E-2</v>
      </c>
    </row>
    <row r="11" spans="1:9" ht="12.95" customHeight="1">
      <c r="A11" s="26"/>
      <c r="B11" s="55" t="s">
        <v>209</v>
      </c>
      <c r="C11" s="11" t="s">
        <v>210</v>
      </c>
      <c r="D11" s="11" t="s">
        <v>63</v>
      </c>
      <c r="E11" s="48">
        <v>16500</v>
      </c>
      <c r="F11" s="49">
        <v>177.76275000000001</v>
      </c>
      <c r="G11" s="50">
        <v>177.76</v>
      </c>
      <c r="H11" s="56">
        <v>5.8725199836864465E-2</v>
      </c>
      <c r="I11" s="2">
        <v>5.8700000000000002E-2</v>
      </c>
    </row>
    <row r="12" spans="1:9" ht="12.95" customHeight="1">
      <c r="A12" s="26"/>
      <c r="B12" s="55" t="s">
        <v>383</v>
      </c>
      <c r="C12" s="11" t="s">
        <v>211</v>
      </c>
      <c r="D12" s="11" t="s">
        <v>81</v>
      </c>
      <c r="E12" s="48">
        <v>31550</v>
      </c>
      <c r="F12" s="49">
        <v>114.82622499999999</v>
      </c>
      <c r="G12" s="50">
        <v>114.83</v>
      </c>
      <c r="H12" s="56">
        <v>3.7933667259522942E-2</v>
      </c>
      <c r="I12" s="2">
        <v>3.7900000000000003E-2</v>
      </c>
    </row>
    <row r="13" spans="1:9" ht="12.95" customHeight="1">
      <c r="A13" s="26"/>
      <c r="B13" s="55" t="s">
        <v>122</v>
      </c>
      <c r="C13" s="11" t="s">
        <v>123</v>
      </c>
      <c r="D13" s="11" t="s">
        <v>124</v>
      </c>
      <c r="E13" s="48">
        <v>4900</v>
      </c>
      <c r="F13" s="49">
        <v>91.901949999999999</v>
      </c>
      <c r="G13" s="50">
        <v>91.9</v>
      </c>
      <c r="H13" s="56">
        <v>3.0360468541061197E-2</v>
      </c>
      <c r="I13" s="2">
        <v>3.04E-2</v>
      </c>
    </row>
    <row r="14" spans="1:9" ht="12.95" customHeight="1">
      <c r="A14" s="26"/>
      <c r="B14" s="55" t="s">
        <v>215</v>
      </c>
      <c r="C14" s="11" t="s">
        <v>216</v>
      </c>
      <c r="D14" s="11" t="s">
        <v>124</v>
      </c>
      <c r="E14" s="48">
        <v>24500</v>
      </c>
      <c r="F14" s="49">
        <v>90.294749999999993</v>
      </c>
      <c r="G14" s="50">
        <v>90.29</v>
      </c>
      <c r="H14" s="56">
        <v>2.9829518490064526E-2</v>
      </c>
      <c r="I14" s="2">
        <v>2.98E-2</v>
      </c>
    </row>
    <row r="15" spans="1:9" ht="12.95" customHeight="1">
      <c r="A15" s="26"/>
      <c r="B15" s="55" t="s">
        <v>132</v>
      </c>
      <c r="C15" s="11" t="s">
        <v>133</v>
      </c>
      <c r="D15" s="11" t="s">
        <v>124</v>
      </c>
      <c r="E15" s="48">
        <v>4696</v>
      </c>
      <c r="F15" s="49">
        <v>88.707440000000005</v>
      </c>
      <c r="G15" s="50">
        <v>88.71</v>
      </c>
      <c r="H15" s="56">
        <v>2.9305139243270394E-2</v>
      </c>
      <c r="I15" s="2">
        <v>2.93E-2</v>
      </c>
    </row>
    <row r="16" spans="1:9" ht="12.95" customHeight="1">
      <c r="A16" s="26"/>
      <c r="B16" s="55" t="s">
        <v>69</v>
      </c>
      <c r="C16" s="11" t="s">
        <v>70</v>
      </c>
      <c r="D16" s="11" t="s">
        <v>71</v>
      </c>
      <c r="E16" s="48">
        <v>22479</v>
      </c>
      <c r="F16" s="49">
        <v>86.251923000000005</v>
      </c>
      <c r="G16" s="50">
        <v>86.25</v>
      </c>
      <c r="H16" s="56">
        <v>2.8493941584999367E-2</v>
      </c>
      <c r="I16" s="2">
        <v>2.8500000000000001E-2</v>
      </c>
    </row>
    <row r="17" spans="1:9" ht="12.95" customHeight="1">
      <c r="A17" s="26"/>
      <c r="B17" s="55" t="s">
        <v>217</v>
      </c>
      <c r="C17" s="11" t="s">
        <v>218</v>
      </c>
      <c r="D17" s="11" t="s">
        <v>81</v>
      </c>
      <c r="E17" s="48">
        <v>2982</v>
      </c>
      <c r="F17" s="49">
        <v>85.449209999999994</v>
      </c>
      <c r="G17" s="50">
        <v>85.45</v>
      </c>
      <c r="H17" s="56">
        <v>2.8228759586314892E-2</v>
      </c>
      <c r="I17" s="2">
        <v>2.8199999999999999E-2</v>
      </c>
    </row>
    <row r="18" spans="1:9" ht="12.95" customHeight="1">
      <c r="A18" s="26"/>
      <c r="B18" s="55" t="s">
        <v>219</v>
      </c>
      <c r="C18" s="11" t="s">
        <v>220</v>
      </c>
      <c r="D18" s="11" t="s">
        <v>81</v>
      </c>
      <c r="E18" s="48">
        <v>2250</v>
      </c>
      <c r="F18" s="49">
        <v>82.065375000000003</v>
      </c>
      <c r="G18" s="50">
        <v>82.07</v>
      </c>
      <c r="H18" s="56">
        <v>2.7110885416445352E-2</v>
      </c>
      <c r="I18" s="2">
        <v>2.7099999999999999E-2</v>
      </c>
    </row>
    <row r="19" spans="1:9" ht="12.95" customHeight="1">
      <c r="A19" s="26"/>
      <c r="B19" s="55" t="s">
        <v>88</v>
      </c>
      <c r="C19" s="11" t="s">
        <v>89</v>
      </c>
      <c r="D19" s="11" t="s">
        <v>90</v>
      </c>
      <c r="E19" s="48">
        <v>9185</v>
      </c>
      <c r="F19" s="49">
        <v>79.032332499999995</v>
      </c>
      <c r="G19" s="50">
        <v>79.03</v>
      </c>
      <c r="H19" s="56">
        <v>2.6108898065742223E-2</v>
      </c>
      <c r="I19" s="2">
        <v>2.6100000000000002E-2</v>
      </c>
    </row>
    <row r="20" spans="1:9" ht="12.95" customHeight="1">
      <c r="A20" s="26"/>
      <c r="B20" s="55" t="s">
        <v>227</v>
      </c>
      <c r="C20" s="11" t="s">
        <v>228</v>
      </c>
      <c r="D20" s="11" t="s">
        <v>60</v>
      </c>
      <c r="E20" s="48">
        <v>6000</v>
      </c>
      <c r="F20" s="49">
        <v>75.75</v>
      </c>
      <c r="G20" s="50">
        <v>75.75</v>
      </c>
      <c r="H20" s="56">
        <v>2.5024555974986228E-2</v>
      </c>
      <c r="I20" s="2">
        <v>2.5000000000000001E-2</v>
      </c>
    </row>
    <row r="21" spans="1:9" ht="12.95" customHeight="1">
      <c r="A21" s="26"/>
      <c r="B21" s="55" t="s">
        <v>229</v>
      </c>
      <c r="C21" s="11" t="s">
        <v>230</v>
      </c>
      <c r="D21" s="11" t="s">
        <v>124</v>
      </c>
      <c r="E21" s="48">
        <v>1200</v>
      </c>
      <c r="F21" s="49">
        <v>75.164400000000001</v>
      </c>
      <c r="G21" s="50">
        <v>75.16</v>
      </c>
      <c r="H21" s="56">
        <v>2.4831098813547919E-2</v>
      </c>
      <c r="I21" s="2">
        <v>2.4799999999999999E-2</v>
      </c>
    </row>
    <row r="22" spans="1:9" ht="12.95" customHeight="1">
      <c r="A22" s="26"/>
      <c r="B22" s="55" t="s">
        <v>128</v>
      </c>
      <c r="C22" s="11" t="s">
        <v>129</v>
      </c>
      <c r="D22" s="11" t="s">
        <v>124</v>
      </c>
      <c r="E22" s="48">
        <v>7800</v>
      </c>
      <c r="F22" s="49">
        <v>71.740499999999997</v>
      </c>
      <c r="G22" s="50">
        <v>71.739999999999995</v>
      </c>
      <c r="H22" s="56">
        <v>2.3699988883478542E-2</v>
      </c>
      <c r="I22" s="2">
        <v>2.3699999999999999E-2</v>
      </c>
    </row>
    <row r="23" spans="1:9" ht="12.95" customHeight="1">
      <c r="A23" s="26"/>
      <c r="B23" s="55" t="s">
        <v>85</v>
      </c>
      <c r="C23" s="11" t="s">
        <v>86</v>
      </c>
      <c r="D23" s="11" t="s">
        <v>87</v>
      </c>
      <c r="E23" s="48">
        <v>9250</v>
      </c>
      <c r="F23" s="49">
        <v>64.477125000000001</v>
      </c>
      <c r="G23" s="50">
        <v>64.48</v>
      </c>
      <c r="H23" s="56">
        <v>2.1300480840510679E-2</v>
      </c>
      <c r="I23" s="2">
        <v>2.1299999999999999E-2</v>
      </c>
    </row>
    <row r="24" spans="1:9" ht="12.95" customHeight="1">
      <c r="A24" s="26"/>
      <c r="B24" s="55" t="s">
        <v>134</v>
      </c>
      <c r="C24" s="11" t="s">
        <v>135</v>
      </c>
      <c r="D24" s="11" t="s">
        <v>124</v>
      </c>
      <c r="E24" s="48">
        <v>7300</v>
      </c>
      <c r="F24" s="49">
        <v>62.615749999999998</v>
      </c>
      <c r="G24" s="50">
        <v>62.62</v>
      </c>
      <c r="H24" s="56">
        <v>2.0685562254663288E-2</v>
      </c>
      <c r="I24" s="2">
        <v>2.07E-2</v>
      </c>
    </row>
    <row r="25" spans="1:9" ht="12.95" customHeight="1">
      <c r="A25" s="26"/>
      <c r="B25" s="55" t="s">
        <v>244</v>
      </c>
      <c r="C25" s="11" t="s">
        <v>245</v>
      </c>
      <c r="D25" s="11" t="s">
        <v>63</v>
      </c>
      <c r="E25" s="48">
        <v>19950</v>
      </c>
      <c r="F25" s="49">
        <v>61.635525000000001</v>
      </c>
      <c r="G25" s="50">
        <v>61.64</v>
      </c>
      <c r="H25" s="56">
        <v>2.0361737893203474E-2</v>
      </c>
      <c r="I25" s="2">
        <v>2.0400000000000001E-2</v>
      </c>
    </row>
    <row r="26" spans="1:9" ht="12.95" customHeight="1">
      <c r="A26" s="26"/>
      <c r="B26" s="55" t="s">
        <v>246</v>
      </c>
      <c r="C26" s="11" t="s">
        <v>247</v>
      </c>
      <c r="D26" s="11" t="s">
        <v>63</v>
      </c>
      <c r="E26" s="48">
        <v>7000</v>
      </c>
      <c r="F26" s="49">
        <v>60.914000000000001</v>
      </c>
      <c r="G26" s="50">
        <v>60.91</v>
      </c>
      <c r="H26" s="56">
        <v>2.0123376932809387E-2</v>
      </c>
      <c r="I26" s="2">
        <v>2.01E-2</v>
      </c>
    </row>
    <row r="27" spans="1:9" ht="12.95" customHeight="1">
      <c r="A27" s="26"/>
      <c r="B27" s="55" t="s">
        <v>66</v>
      </c>
      <c r="C27" s="11" t="s">
        <v>67</v>
      </c>
      <c r="D27" s="11" t="s">
        <v>68</v>
      </c>
      <c r="E27" s="48">
        <v>9100</v>
      </c>
      <c r="F27" s="49">
        <v>59.873449999999998</v>
      </c>
      <c r="G27" s="50">
        <v>59.87</v>
      </c>
      <c r="H27" s="56">
        <v>1.9779623774792598E-2</v>
      </c>
      <c r="I27" s="2">
        <v>1.9800000000000002E-2</v>
      </c>
    </row>
    <row r="28" spans="1:9" ht="12.95" customHeight="1">
      <c r="A28" s="26"/>
      <c r="B28" s="55" t="s">
        <v>110</v>
      </c>
      <c r="C28" s="11" t="s">
        <v>111</v>
      </c>
      <c r="D28" s="11" t="s">
        <v>112</v>
      </c>
      <c r="E28" s="48">
        <v>14809</v>
      </c>
      <c r="F28" s="49">
        <v>59.065696500000001</v>
      </c>
      <c r="G28" s="50">
        <v>59.07</v>
      </c>
      <c r="H28" s="56">
        <v>1.9512776610769614E-2</v>
      </c>
      <c r="I28" s="2">
        <v>1.95E-2</v>
      </c>
    </row>
    <row r="29" spans="1:9" ht="12.95" customHeight="1">
      <c r="A29" s="26"/>
      <c r="B29" s="55" t="s">
        <v>248</v>
      </c>
      <c r="C29" s="11" t="s">
        <v>249</v>
      </c>
      <c r="D29" s="11" t="s">
        <v>124</v>
      </c>
      <c r="E29" s="48">
        <v>825</v>
      </c>
      <c r="F29" s="49">
        <v>58.682662499999999</v>
      </c>
      <c r="G29" s="50">
        <v>58.68</v>
      </c>
      <c r="H29" s="56">
        <v>1.938623858075875E-2</v>
      </c>
      <c r="I29" s="2">
        <v>1.9400000000000001E-2</v>
      </c>
    </row>
    <row r="30" spans="1:9" ht="12.95" customHeight="1">
      <c r="A30" s="26"/>
      <c r="B30" s="55" t="s">
        <v>94</v>
      </c>
      <c r="C30" s="11" t="s">
        <v>95</v>
      </c>
      <c r="D30" s="11" t="s">
        <v>93</v>
      </c>
      <c r="E30" s="48">
        <v>9800</v>
      </c>
      <c r="F30" s="49">
        <v>55.928600000000003</v>
      </c>
      <c r="G30" s="50">
        <v>55.93</v>
      </c>
      <c r="H30" s="56">
        <v>1.8476414274621978E-2</v>
      </c>
      <c r="I30" s="2">
        <v>1.8499999999999999E-2</v>
      </c>
    </row>
    <row r="31" spans="1:9" ht="12.95" customHeight="1">
      <c r="A31" s="26"/>
      <c r="B31" s="55" t="s">
        <v>147</v>
      </c>
      <c r="C31" s="11" t="s">
        <v>148</v>
      </c>
      <c r="D31" s="11" t="s">
        <v>112</v>
      </c>
      <c r="E31" s="48">
        <v>11850</v>
      </c>
      <c r="F31" s="49">
        <v>51.0261</v>
      </c>
      <c r="G31" s="50">
        <v>51.03</v>
      </c>
      <c r="H31" s="56">
        <v>1.6856838226207854E-2</v>
      </c>
      <c r="I31" s="2">
        <v>1.6899999999999998E-2</v>
      </c>
    </row>
    <row r="32" spans="1:9" ht="12.95" customHeight="1">
      <c r="A32" s="26"/>
      <c r="B32" s="55" t="s">
        <v>117</v>
      </c>
      <c r="C32" s="11" t="s">
        <v>118</v>
      </c>
      <c r="D32" s="11" t="s">
        <v>119</v>
      </c>
      <c r="E32" s="48">
        <v>11000</v>
      </c>
      <c r="F32" s="49">
        <v>44.819499999999998</v>
      </c>
      <c r="G32" s="50">
        <v>44.82</v>
      </c>
      <c r="H32" s="56">
        <v>1.4806443386414458E-2</v>
      </c>
      <c r="I32" s="2">
        <v>1.4800000000000001E-2</v>
      </c>
    </row>
    <row r="33" spans="1:9" ht="12.95" customHeight="1">
      <c r="A33" s="26"/>
      <c r="B33" s="55" t="s">
        <v>104</v>
      </c>
      <c r="C33" s="11" t="s">
        <v>105</v>
      </c>
      <c r="D33" s="11" t="s">
        <v>87</v>
      </c>
      <c r="E33" s="48">
        <v>42624</v>
      </c>
      <c r="F33" s="49">
        <v>44.051904</v>
      </c>
      <c r="G33" s="50">
        <v>44.05</v>
      </c>
      <c r="H33" s="56">
        <v>1.4552862540629964E-2</v>
      </c>
      <c r="I33" s="2">
        <v>1.46E-2</v>
      </c>
    </row>
    <row r="34" spans="1:9" ht="12.95" customHeight="1">
      <c r="A34" s="26"/>
      <c r="B34" s="55" t="s">
        <v>162</v>
      </c>
      <c r="C34" s="11" t="s">
        <v>163</v>
      </c>
      <c r="D34" s="11" t="s">
        <v>57</v>
      </c>
      <c r="E34" s="48">
        <v>5051</v>
      </c>
      <c r="F34" s="49">
        <v>42.905719499999996</v>
      </c>
      <c r="G34" s="50">
        <v>42.91</v>
      </c>
      <c r="H34" s="56">
        <v>1.4174212267654232E-2</v>
      </c>
      <c r="I34" s="2">
        <v>1.4200000000000001E-2</v>
      </c>
    </row>
    <row r="35" spans="1:9" ht="12.95" customHeight="1">
      <c r="A35" s="26"/>
      <c r="B35" s="55" t="s">
        <v>149</v>
      </c>
      <c r="C35" s="11" t="s">
        <v>150</v>
      </c>
      <c r="D35" s="11" t="s">
        <v>60</v>
      </c>
      <c r="E35" s="48">
        <v>9000</v>
      </c>
      <c r="F35" s="49">
        <v>42.3675</v>
      </c>
      <c r="G35" s="50">
        <v>42.37</v>
      </c>
      <c r="H35" s="56">
        <v>1.3996407594326457E-2</v>
      </c>
      <c r="I35" s="2">
        <v>1.4E-2</v>
      </c>
    </row>
    <row r="36" spans="1:9" ht="12.95" customHeight="1">
      <c r="A36" s="26"/>
      <c r="B36" s="55" t="s">
        <v>257</v>
      </c>
      <c r="C36" s="11" t="s">
        <v>258</v>
      </c>
      <c r="D36" s="11" t="s">
        <v>259</v>
      </c>
      <c r="E36" s="48">
        <v>10078</v>
      </c>
      <c r="F36" s="49">
        <v>37.661485999999996</v>
      </c>
      <c r="G36" s="50">
        <v>37.659999999999997</v>
      </c>
      <c r="H36" s="56">
        <v>1.2441742105718287E-2</v>
      </c>
      <c r="I36" s="2">
        <v>1.24E-2</v>
      </c>
    </row>
    <row r="37" spans="1:9" ht="12.95" customHeight="1">
      <c r="A37" s="26"/>
      <c r="B37" s="55" t="s">
        <v>130</v>
      </c>
      <c r="C37" s="11" t="s">
        <v>131</v>
      </c>
      <c r="D37" s="11" t="s">
        <v>68</v>
      </c>
      <c r="E37" s="48">
        <v>6500</v>
      </c>
      <c r="F37" s="49">
        <v>34.794499999999999</v>
      </c>
      <c r="G37" s="50">
        <v>34.79</v>
      </c>
      <c r="H37" s="56">
        <v>1.1494612711177007E-2</v>
      </c>
      <c r="I37" s="2">
        <v>1.15E-2</v>
      </c>
    </row>
    <row r="38" spans="1:9" ht="12.95" customHeight="1">
      <c r="A38" s="26"/>
      <c r="B38" s="55" t="s">
        <v>145</v>
      </c>
      <c r="C38" s="11" t="s">
        <v>146</v>
      </c>
      <c r="D38" s="11" t="s">
        <v>124</v>
      </c>
      <c r="E38" s="48">
        <v>4695</v>
      </c>
      <c r="F38" s="49">
        <v>27.728670000000001</v>
      </c>
      <c r="G38" s="50">
        <v>27.73</v>
      </c>
      <c r="H38" s="56">
        <v>9.1603650762629892E-3</v>
      </c>
      <c r="I38" s="2">
        <v>9.1999999999999998E-3</v>
      </c>
    </row>
    <row r="39" spans="1:9" ht="12.95" customHeight="1">
      <c r="A39" s="26"/>
      <c r="B39" s="55" t="s">
        <v>100</v>
      </c>
      <c r="C39" s="11" t="s">
        <v>101</v>
      </c>
      <c r="D39" s="11" t="s">
        <v>84</v>
      </c>
      <c r="E39" s="48">
        <v>3850</v>
      </c>
      <c r="F39" s="49">
        <v>24.574549999999999</v>
      </c>
      <c r="G39" s="50">
        <v>24.57</v>
      </c>
      <c r="H39" s="56">
        <v>8.1183789047537674E-3</v>
      </c>
      <c r="I39" s="2">
        <v>8.0999999999999996E-3</v>
      </c>
    </row>
    <row r="40" spans="1:9" ht="12.95" customHeight="1">
      <c r="A40" s="26"/>
      <c r="B40" s="55"/>
      <c r="C40" s="11"/>
      <c r="D40" s="11"/>
      <c r="E40" s="48"/>
      <c r="F40" s="19">
        <f>SUM(F10:F39)</f>
        <v>2180.2123439999996</v>
      </c>
      <c r="G40" s="20"/>
      <c r="H40" s="98">
        <f>SUM(H10:H39)</f>
        <v>0.7202487899641441</v>
      </c>
      <c r="I40" s="2"/>
    </row>
    <row r="41" spans="1:9" ht="12.95" customHeight="1">
      <c r="A41" s="26"/>
      <c r="B41" s="55"/>
      <c r="C41" s="11"/>
      <c r="D41" s="11"/>
      <c r="E41" s="48"/>
      <c r="F41" s="49"/>
      <c r="G41" s="50"/>
      <c r="H41" s="56"/>
      <c r="I41" s="2"/>
    </row>
    <row r="42" spans="1:9" ht="12.95" customHeight="1">
      <c r="A42" s="26"/>
      <c r="B42" s="118" t="s">
        <v>379</v>
      </c>
      <c r="C42" s="11"/>
      <c r="D42" s="11"/>
      <c r="E42" s="48"/>
      <c r="F42" s="49"/>
      <c r="G42" s="50"/>
      <c r="H42" s="56"/>
      <c r="I42" s="2"/>
    </row>
    <row r="43" spans="1:9" ht="12.95" customHeight="1">
      <c r="A43" s="26"/>
      <c r="B43" s="118" t="s">
        <v>377</v>
      </c>
      <c r="C43" s="11"/>
      <c r="D43" s="11"/>
      <c r="E43" s="48"/>
      <c r="F43" s="49"/>
      <c r="G43" s="50"/>
      <c r="H43" s="56"/>
      <c r="I43" s="2"/>
    </row>
    <row r="44" spans="1:9" ht="12.95" customHeight="1">
      <c r="A44" s="26"/>
      <c r="B44" s="55" t="s">
        <v>233</v>
      </c>
      <c r="C44" s="11" t="s">
        <v>234</v>
      </c>
      <c r="D44" s="11" t="s">
        <v>235</v>
      </c>
      <c r="E44" s="48">
        <v>5000</v>
      </c>
      <c r="F44" s="49">
        <v>67.8406138</v>
      </c>
      <c r="G44" s="50">
        <v>67.84</v>
      </c>
      <c r="H44" s="56">
        <v>2.2411633497234629E-2</v>
      </c>
      <c r="I44" s="2">
        <v>2.24E-2</v>
      </c>
    </row>
    <row r="45" spans="1:9" ht="12.95" customHeight="1">
      <c r="A45" s="26"/>
      <c r="B45" s="55" t="s">
        <v>239</v>
      </c>
      <c r="C45" s="11" t="s">
        <v>240</v>
      </c>
      <c r="D45" s="11" t="s">
        <v>214</v>
      </c>
      <c r="E45" s="48">
        <v>1150</v>
      </c>
      <c r="F45" s="49">
        <v>63.784072399999999</v>
      </c>
      <c r="G45" s="50">
        <v>63.78</v>
      </c>
      <c r="H45" s="56">
        <v>2.1071525941734313E-2</v>
      </c>
      <c r="I45" s="2">
        <v>2.1100000000000001E-2</v>
      </c>
    </row>
    <row r="46" spans="1:9" ht="12.95" customHeight="1">
      <c r="A46" s="26"/>
      <c r="B46" s="55" t="s">
        <v>255</v>
      </c>
      <c r="C46" s="11" t="s">
        <v>256</v>
      </c>
      <c r="D46" s="11" t="s">
        <v>214</v>
      </c>
      <c r="E46" s="48">
        <v>350</v>
      </c>
      <c r="F46" s="49">
        <v>47.637574000000001</v>
      </c>
      <c r="G46" s="50">
        <v>47.64</v>
      </c>
      <c r="H46" s="56">
        <v>1.5737414350832327E-2</v>
      </c>
      <c r="I46" s="2">
        <v>1.5699999999999999E-2</v>
      </c>
    </row>
    <row r="47" spans="1:9" ht="12.95" customHeight="1">
      <c r="A47" s="26"/>
      <c r="B47" s="55"/>
      <c r="C47" s="11"/>
      <c r="D47" s="11"/>
      <c r="E47" s="48"/>
      <c r="F47" s="19">
        <f>SUM(F44:F46)</f>
        <v>179.26226019999999</v>
      </c>
      <c r="G47" s="20"/>
      <c r="H47" s="98">
        <f>SUM(H44:H46)</f>
        <v>5.9220573789801265E-2</v>
      </c>
      <c r="I47" s="2"/>
    </row>
    <row r="48" spans="1:9" ht="12.95" customHeight="1">
      <c r="A48" s="26"/>
      <c r="B48" s="55"/>
      <c r="C48" s="11"/>
      <c r="D48" s="11"/>
      <c r="E48" s="48"/>
      <c r="F48" s="49"/>
      <c r="G48" s="50"/>
      <c r="H48" s="56"/>
      <c r="I48" s="2"/>
    </row>
    <row r="49" spans="1:9" ht="12.95" customHeight="1">
      <c r="A49" s="26"/>
      <c r="B49" s="118" t="s">
        <v>380</v>
      </c>
      <c r="C49" s="11"/>
      <c r="D49" s="11"/>
      <c r="E49" s="48"/>
      <c r="F49" s="49"/>
      <c r="G49" s="50"/>
      <c r="H49" s="56"/>
      <c r="I49" s="2"/>
    </row>
    <row r="50" spans="1:9" ht="12.95" customHeight="1">
      <c r="A50" s="26"/>
      <c r="B50" s="55" t="s">
        <v>212</v>
      </c>
      <c r="C50" s="11" t="s">
        <v>213</v>
      </c>
      <c r="D50" s="11" t="s">
        <v>214</v>
      </c>
      <c r="E50" s="48">
        <v>10800</v>
      </c>
      <c r="F50" s="49">
        <v>113.76288</v>
      </c>
      <c r="G50" s="50">
        <v>113.76</v>
      </c>
      <c r="H50" s="56">
        <v>3.7582383609711438E-2</v>
      </c>
      <c r="I50" s="2">
        <v>3.7600000000000001E-2</v>
      </c>
    </row>
    <row r="51" spans="1:9" ht="12.95" customHeight="1">
      <c r="A51" s="26"/>
      <c r="B51" s="55" t="s">
        <v>221</v>
      </c>
      <c r="C51" s="11" t="s">
        <v>222</v>
      </c>
      <c r="D51" s="11" t="s">
        <v>223</v>
      </c>
      <c r="E51" s="48">
        <v>40800</v>
      </c>
      <c r="F51" s="49">
        <v>76.675032000000002</v>
      </c>
      <c r="G51" s="50">
        <v>76.680000000000007</v>
      </c>
      <c r="H51" s="56">
        <v>2.5330146932909046E-2</v>
      </c>
      <c r="I51" s="2">
        <v>2.53E-2</v>
      </c>
    </row>
    <row r="52" spans="1:9" ht="12.95" customHeight="1">
      <c r="A52" s="26"/>
      <c r="B52" s="55" t="s">
        <v>224</v>
      </c>
      <c r="C52" s="11" t="s">
        <v>225</v>
      </c>
      <c r="D52" s="11" t="s">
        <v>226</v>
      </c>
      <c r="E52" s="48">
        <v>21200</v>
      </c>
      <c r="F52" s="49">
        <v>76.552139999999994</v>
      </c>
      <c r="G52" s="50">
        <v>76.55</v>
      </c>
      <c r="H52" s="56">
        <v>2.5289548679009666E-2</v>
      </c>
      <c r="I52" s="2">
        <v>2.53E-2</v>
      </c>
    </row>
    <row r="53" spans="1:9" ht="12.95" customHeight="1">
      <c r="A53" s="26"/>
      <c r="B53" s="55" t="s">
        <v>231</v>
      </c>
      <c r="C53" s="11" t="s">
        <v>232</v>
      </c>
      <c r="D53" s="11" t="s">
        <v>226</v>
      </c>
      <c r="E53" s="48">
        <v>11000</v>
      </c>
      <c r="F53" s="49">
        <v>72.506280000000004</v>
      </c>
      <c r="G53" s="50">
        <v>72.510000000000005</v>
      </c>
      <c r="H53" s="56">
        <v>2.3952969800633987E-2</v>
      </c>
      <c r="I53" s="2">
        <v>2.4E-2</v>
      </c>
    </row>
    <row r="54" spans="1:9" ht="12.95" customHeight="1">
      <c r="A54" s="26"/>
      <c r="B54" s="55" t="s">
        <v>236</v>
      </c>
      <c r="C54" s="11" t="s">
        <v>237</v>
      </c>
      <c r="D54" s="11" t="s">
        <v>238</v>
      </c>
      <c r="E54" s="48">
        <v>58000</v>
      </c>
      <c r="F54" s="49">
        <v>65.815848000000003</v>
      </c>
      <c r="G54" s="50">
        <v>65.819999999999993</v>
      </c>
      <c r="H54" s="56">
        <v>2.1742737588345683E-2</v>
      </c>
      <c r="I54" s="2">
        <v>2.1700000000000001E-2</v>
      </c>
    </row>
    <row r="55" spans="1:9" ht="12.95" customHeight="1">
      <c r="A55" s="26"/>
      <c r="B55" s="55" t="s">
        <v>241</v>
      </c>
      <c r="C55" s="11" t="s">
        <v>242</v>
      </c>
      <c r="D55" s="11" t="s">
        <v>243</v>
      </c>
      <c r="E55" s="48">
        <v>78000</v>
      </c>
      <c r="F55" s="49">
        <v>62.492975999999999</v>
      </c>
      <c r="G55" s="50">
        <v>62.49</v>
      </c>
      <c r="H55" s="56">
        <v>2.0645002982910509E-2</v>
      </c>
      <c r="I55" s="2">
        <v>2.06E-2</v>
      </c>
    </row>
    <row r="56" spans="1:9" ht="12.95" customHeight="1">
      <c r="A56" s="26"/>
      <c r="B56" s="55" t="s">
        <v>250</v>
      </c>
      <c r="C56" s="11" t="s">
        <v>251</v>
      </c>
      <c r="D56" s="11" t="s">
        <v>252</v>
      </c>
      <c r="E56" s="48">
        <v>18400</v>
      </c>
      <c r="F56" s="49">
        <v>55.869576000000002</v>
      </c>
      <c r="G56" s="50">
        <v>55.87</v>
      </c>
      <c r="H56" s="56">
        <v>1.8456915272749137E-2</v>
      </c>
      <c r="I56" s="2">
        <v>1.8499999999999999E-2</v>
      </c>
    </row>
    <row r="57" spans="1:9" ht="12.95" customHeight="1">
      <c r="A57" s="26"/>
      <c r="B57" s="55" t="s">
        <v>253</v>
      </c>
      <c r="C57" s="11" t="s">
        <v>254</v>
      </c>
      <c r="D57" s="11" t="s">
        <v>84</v>
      </c>
      <c r="E57" s="48">
        <v>127000</v>
      </c>
      <c r="F57" s="49">
        <v>50.774346000000001</v>
      </c>
      <c r="G57" s="50">
        <v>50.77</v>
      </c>
      <c r="H57" s="56">
        <v>1.6773669486076805E-2</v>
      </c>
      <c r="I57" s="2">
        <v>1.6799999999999999E-2</v>
      </c>
    </row>
    <row r="58" spans="1:9" ht="12.95" customHeight="1">
      <c r="A58" s="24"/>
      <c r="B58" s="53" t="s">
        <v>42</v>
      </c>
      <c r="C58" s="11" t="s">
        <v>1</v>
      </c>
      <c r="D58" s="11" t="s">
        <v>1</v>
      </c>
      <c r="E58" s="11" t="s">
        <v>1</v>
      </c>
      <c r="F58" s="114">
        <f>SUM(F50:F57)</f>
        <v>574.4490780000001</v>
      </c>
      <c r="G58" s="51">
        <v>2933.92</v>
      </c>
      <c r="H58" s="57">
        <f>SUM(H50:H57)</f>
        <v>0.18977337435234629</v>
      </c>
      <c r="I58" s="38">
        <v>0.96930000000000005</v>
      </c>
    </row>
    <row r="59" spans="1:9" ht="12.95" customHeight="1">
      <c r="A59" s="24"/>
      <c r="B59" s="53"/>
      <c r="C59" s="11"/>
      <c r="D59" s="11"/>
      <c r="E59" s="11"/>
      <c r="F59" s="114"/>
      <c r="G59" s="51"/>
      <c r="H59" s="57"/>
      <c r="I59" s="38"/>
    </row>
    <row r="60" spans="1:9" ht="12.95" customHeight="1">
      <c r="A60" s="24"/>
      <c r="B60" s="53" t="s">
        <v>195</v>
      </c>
      <c r="C60" s="11" t="s">
        <v>1</v>
      </c>
      <c r="D60" s="11" t="s">
        <v>1</v>
      </c>
      <c r="E60" s="11" t="s">
        <v>1</v>
      </c>
      <c r="F60" s="12" t="s">
        <v>196</v>
      </c>
      <c r="G60" s="52" t="s">
        <v>196</v>
      </c>
      <c r="H60" s="57" t="s">
        <v>196</v>
      </c>
      <c r="I60" s="39" t="s">
        <v>196</v>
      </c>
    </row>
    <row r="61" spans="1:9" ht="12.95" customHeight="1">
      <c r="A61" s="24"/>
      <c r="B61" s="53" t="s">
        <v>42</v>
      </c>
      <c r="C61" s="11" t="s">
        <v>1</v>
      </c>
      <c r="D61" s="11" t="s">
        <v>1</v>
      </c>
      <c r="E61" s="11" t="s">
        <v>1</v>
      </c>
      <c r="F61" s="12" t="s">
        <v>196</v>
      </c>
      <c r="G61" s="52" t="s">
        <v>196</v>
      </c>
      <c r="H61" s="57" t="s">
        <v>196</v>
      </c>
      <c r="I61" s="39" t="s">
        <v>196</v>
      </c>
    </row>
    <row r="62" spans="1:9" ht="12.95" customHeight="1">
      <c r="A62" s="24"/>
      <c r="B62" s="53" t="s">
        <v>43</v>
      </c>
      <c r="C62" s="11" t="s">
        <v>1</v>
      </c>
      <c r="D62" s="11" t="s">
        <v>1</v>
      </c>
      <c r="E62" s="11" t="s">
        <v>1</v>
      </c>
      <c r="F62" s="12">
        <v>2933.9236821999998</v>
      </c>
      <c r="G62" s="51">
        <v>2933.92</v>
      </c>
      <c r="H62" s="57">
        <v>0.9692427381062918</v>
      </c>
      <c r="I62" s="38">
        <v>0.96930000000000005</v>
      </c>
    </row>
    <row r="63" spans="1:9" ht="12.95" customHeight="1">
      <c r="A63" s="24"/>
      <c r="B63" s="53"/>
      <c r="C63" s="11"/>
      <c r="D63" s="11"/>
      <c r="E63" s="11"/>
      <c r="F63" s="12"/>
      <c r="G63" s="51"/>
      <c r="H63" s="57"/>
      <c r="I63" s="41"/>
    </row>
    <row r="64" spans="1:9" ht="12.95" customHeight="1">
      <c r="A64" s="24"/>
      <c r="B64" s="9" t="s">
        <v>370</v>
      </c>
      <c r="C64" s="11"/>
      <c r="D64" s="11"/>
      <c r="E64" s="11"/>
      <c r="F64" s="114"/>
      <c r="G64" s="51"/>
      <c r="H64" s="57"/>
      <c r="I64" s="21"/>
    </row>
    <row r="65" spans="1:9" ht="12.95" customHeight="1">
      <c r="A65" s="26"/>
      <c r="B65" s="13" t="s">
        <v>375</v>
      </c>
      <c r="C65" s="11"/>
      <c r="D65" s="11"/>
      <c r="E65" s="52" t="s">
        <v>196</v>
      </c>
      <c r="F65" s="114"/>
      <c r="G65" s="20" t="s">
        <v>196</v>
      </c>
      <c r="H65" s="98" t="s">
        <v>196</v>
      </c>
      <c r="I65" s="22" t="s">
        <v>196</v>
      </c>
    </row>
    <row r="66" spans="1:9" ht="12.95" customHeight="1">
      <c r="A66" s="24"/>
      <c r="B66" s="16" t="s">
        <v>372</v>
      </c>
      <c r="C66" s="11"/>
      <c r="D66" s="11"/>
      <c r="E66" s="52" t="s">
        <v>196</v>
      </c>
      <c r="F66" s="114"/>
      <c r="G66" s="20" t="s">
        <v>196</v>
      </c>
      <c r="H66" s="98" t="s">
        <v>196</v>
      </c>
      <c r="I66" s="22" t="s">
        <v>196</v>
      </c>
    </row>
    <row r="67" spans="1:9" ht="12.95" customHeight="1">
      <c r="A67" s="24"/>
      <c r="B67" s="16" t="s">
        <v>373</v>
      </c>
      <c r="C67" s="11"/>
      <c r="D67" s="11"/>
      <c r="E67" s="52" t="s">
        <v>196</v>
      </c>
      <c r="F67" s="114"/>
      <c r="G67" s="20" t="s">
        <v>196</v>
      </c>
      <c r="H67" s="98" t="s">
        <v>196</v>
      </c>
      <c r="I67" s="22" t="s">
        <v>196</v>
      </c>
    </row>
    <row r="68" spans="1:9" ht="12.95" customHeight="1">
      <c r="A68" s="24"/>
      <c r="B68" s="16"/>
      <c r="C68" s="11"/>
      <c r="D68" s="11"/>
      <c r="E68" s="11"/>
      <c r="F68" s="115"/>
      <c r="G68" s="95"/>
      <c r="H68" s="96"/>
      <c r="I68" s="112"/>
    </row>
    <row r="69" spans="1:9" ht="12.95" customHeight="1">
      <c r="A69" s="24"/>
      <c r="B69" s="70" t="s">
        <v>11</v>
      </c>
      <c r="C69" s="11"/>
      <c r="D69" s="11"/>
      <c r="E69" s="11"/>
      <c r="F69" s="115"/>
      <c r="G69" s="95"/>
      <c r="H69" s="96"/>
      <c r="I69" s="112"/>
    </row>
    <row r="70" spans="1:9" ht="12.95" customHeight="1">
      <c r="A70" s="24"/>
      <c r="B70" s="16"/>
      <c r="C70" s="11"/>
      <c r="D70" s="11"/>
      <c r="E70" s="11"/>
      <c r="F70" s="115"/>
      <c r="G70" s="95"/>
      <c r="H70" s="96"/>
      <c r="I70" s="112"/>
    </row>
    <row r="71" spans="1:9" ht="12.95" customHeight="1">
      <c r="A71" s="24"/>
      <c r="B71" s="53" t="s">
        <v>44</v>
      </c>
      <c r="C71" s="11" t="s">
        <v>1</v>
      </c>
      <c r="D71" s="11" t="s">
        <v>1</v>
      </c>
      <c r="E71" s="11" t="s">
        <v>1</v>
      </c>
      <c r="F71" s="46" t="s">
        <v>1</v>
      </c>
      <c r="G71" s="47"/>
      <c r="H71" s="54" t="s">
        <v>1</v>
      </c>
      <c r="I71" s="37" t="s">
        <v>1</v>
      </c>
    </row>
    <row r="72" spans="1:9" ht="12.95" customHeight="1">
      <c r="A72" s="26"/>
      <c r="B72" s="55" t="s">
        <v>45</v>
      </c>
      <c r="C72" s="11" t="s">
        <v>1</v>
      </c>
      <c r="D72" s="11" t="s">
        <v>46</v>
      </c>
      <c r="E72" s="48"/>
      <c r="F72" s="49">
        <v>44.0177464</v>
      </c>
      <c r="G72" s="50">
        <v>44.02</v>
      </c>
      <c r="H72" s="56">
        <v>1.4541578332403281E-2</v>
      </c>
      <c r="I72" s="2">
        <v>1.4500000000000001E-2</v>
      </c>
    </row>
    <row r="73" spans="1:9" ht="12.95" customHeight="1">
      <c r="A73" s="24"/>
      <c r="B73" s="53" t="s">
        <v>42</v>
      </c>
      <c r="C73" s="11" t="s">
        <v>1</v>
      </c>
      <c r="D73" s="11" t="s">
        <v>1</v>
      </c>
      <c r="E73" s="11" t="s">
        <v>1</v>
      </c>
      <c r="F73" s="12">
        <v>44.0177464</v>
      </c>
      <c r="G73" s="51">
        <v>44.02</v>
      </c>
      <c r="H73" s="57">
        <v>1.4541578332403281E-2</v>
      </c>
      <c r="I73" s="38">
        <v>1.4500000000000001E-2</v>
      </c>
    </row>
    <row r="74" spans="1:9" ht="12.95" customHeight="1">
      <c r="A74" s="24"/>
      <c r="B74" s="53"/>
      <c r="C74" s="11"/>
      <c r="D74" s="11"/>
      <c r="E74" s="11"/>
      <c r="F74" s="12"/>
      <c r="G74" s="51"/>
      <c r="H74" s="57"/>
      <c r="I74" s="38"/>
    </row>
    <row r="75" spans="1:9" ht="12.95" customHeight="1">
      <c r="A75" s="24"/>
      <c r="B75" s="53" t="s">
        <v>47</v>
      </c>
      <c r="C75" s="11" t="s">
        <v>1</v>
      </c>
      <c r="D75" s="11" t="s">
        <v>1</v>
      </c>
      <c r="E75" s="11" t="s">
        <v>1</v>
      </c>
      <c r="F75" s="14">
        <v>49.0853076872</v>
      </c>
      <c r="G75" s="95">
        <v>49.09</v>
      </c>
      <c r="H75" s="96">
        <v>1.6215683561304876E-2</v>
      </c>
      <c r="I75" s="38">
        <v>1.6199999999999999E-2</v>
      </c>
    </row>
    <row r="76" spans="1:9" ht="12.95" customHeight="1">
      <c r="A76" s="24"/>
      <c r="B76" s="53" t="s">
        <v>42</v>
      </c>
      <c r="C76" s="11"/>
      <c r="D76" s="11"/>
      <c r="E76" s="11"/>
      <c r="F76" s="12">
        <v>49.0853076872</v>
      </c>
      <c r="G76" s="51">
        <v>49.09</v>
      </c>
      <c r="H76" s="57">
        <v>1.6215683561304876E-2</v>
      </c>
      <c r="I76" s="41"/>
    </row>
    <row r="77" spans="1:9" ht="12.95" customHeight="1">
      <c r="A77" s="24"/>
      <c r="B77" s="53" t="s">
        <v>43</v>
      </c>
      <c r="C77" s="11"/>
      <c r="D77" s="11"/>
      <c r="E77" s="11"/>
      <c r="F77" s="12">
        <f>F73+F76</f>
        <v>93.103054087200007</v>
      </c>
      <c r="G77" s="12">
        <f t="shared" ref="G77:H77" si="0">G73+G76</f>
        <v>93.110000000000014</v>
      </c>
      <c r="H77" s="57">
        <f t="shared" si="0"/>
        <v>3.0757261893708157E-2</v>
      </c>
      <c r="I77" s="41"/>
    </row>
    <row r="78" spans="1:9" ht="12.95" customHeight="1" thickBot="1">
      <c r="A78" s="24"/>
      <c r="B78" s="80"/>
      <c r="C78" s="17"/>
      <c r="D78" s="17"/>
      <c r="E78" s="17"/>
      <c r="F78" s="18"/>
      <c r="G78" s="99"/>
      <c r="H78" s="100"/>
      <c r="I78" s="41"/>
    </row>
    <row r="79" spans="1:9" ht="12.95" customHeight="1" thickBot="1">
      <c r="A79" s="24"/>
      <c r="B79" s="84" t="s">
        <v>48</v>
      </c>
      <c r="C79" s="85" t="s">
        <v>1</v>
      </c>
      <c r="D79" s="85" t="s">
        <v>1</v>
      </c>
      <c r="E79" s="85" t="s">
        <v>1</v>
      </c>
      <c r="F79" s="101">
        <v>3027.0267362872</v>
      </c>
      <c r="G79" s="102">
        <v>3027.03</v>
      </c>
      <c r="H79" s="103">
        <v>1</v>
      </c>
      <c r="I79" s="42">
        <v>1</v>
      </c>
    </row>
    <row r="80" spans="1:9" s="27" customFormat="1" ht="12.95" customHeight="1">
      <c r="A80" s="24"/>
      <c r="B80" s="25" t="s">
        <v>1</v>
      </c>
      <c r="C80" s="24"/>
      <c r="D80" s="24"/>
      <c r="E80" s="24"/>
      <c r="F80" s="30"/>
      <c r="G80" s="24"/>
      <c r="H80" s="31"/>
      <c r="I80" s="24"/>
    </row>
    <row r="81" spans="1:9" s="27" customFormat="1" ht="12.95" customHeight="1">
      <c r="A81" s="24"/>
      <c r="B81" s="32" t="s">
        <v>46</v>
      </c>
      <c r="C81" s="24"/>
      <c r="D81" s="24"/>
      <c r="E81" s="24"/>
      <c r="F81" s="30"/>
      <c r="G81" s="24"/>
      <c r="H81" s="31"/>
      <c r="I81" s="24"/>
    </row>
    <row r="82" spans="1:9" s="27" customFormat="1" ht="12.95" customHeight="1">
      <c r="A82" s="24"/>
      <c r="B82" s="32" t="s">
        <v>376</v>
      </c>
      <c r="C82" s="24"/>
      <c r="D82" s="24"/>
      <c r="E82" s="24"/>
      <c r="F82" s="30"/>
      <c r="G82" s="24"/>
      <c r="H82" s="31"/>
      <c r="I82" s="24"/>
    </row>
    <row r="83" spans="1:9" s="27" customFormat="1" ht="12.95" customHeight="1">
      <c r="A83" s="24"/>
      <c r="B83" s="111" t="s">
        <v>381</v>
      </c>
      <c r="C83" s="24"/>
      <c r="D83" s="24"/>
      <c r="E83" s="24"/>
      <c r="F83" s="30"/>
      <c r="G83" s="24"/>
      <c r="H83" s="31"/>
      <c r="I83" s="24"/>
    </row>
    <row r="84" spans="1:9" s="27" customFormat="1" ht="13.5" thickBot="1">
      <c r="B84" s="32" t="s">
        <v>1</v>
      </c>
      <c r="F84" s="33"/>
      <c r="H84" s="34"/>
    </row>
    <row r="85" spans="1:9" s="27" customFormat="1" ht="13.5" thickBot="1">
      <c r="B85" s="107" t="s">
        <v>386</v>
      </c>
      <c r="C85" s="124">
        <v>0.81140000000000001</v>
      </c>
      <c r="F85" s="33"/>
      <c r="H85" s="34"/>
    </row>
    <row r="86" spans="1:9" s="27" customFormat="1">
      <c r="B86" s="109" t="s">
        <v>387</v>
      </c>
      <c r="C86" s="109"/>
      <c r="F86" s="33"/>
      <c r="H86" s="34"/>
    </row>
    <row r="87" spans="1:9" s="27" customFormat="1">
      <c r="F87" s="33"/>
      <c r="H87" s="34"/>
    </row>
    <row r="88" spans="1:9" s="27" customFormat="1">
      <c r="F88" s="33"/>
      <c r="H88" s="34"/>
    </row>
    <row r="89" spans="1:9" s="27" customFormat="1">
      <c r="F89" s="33"/>
      <c r="H89" s="34"/>
    </row>
    <row r="90" spans="1:9" s="27" customFormat="1">
      <c r="F90" s="33"/>
      <c r="H90" s="34"/>
    </row>
    <row r="91" spans="1:9" s="27" customFormat="1">
      <c r="F91" s="33"/>
      <c r="H91" s="34"/>
    </row>
    <row r="92" spans="1:9" s="27" customFormat="1">
      <c r="F92" s="33"/>
      <c r="H92" s="34"/>
    </row>
    <row r="93" spans="1:9" s="27" customFormat="1">
      <c r="F93" s="33"/>
      <c r="H93" s="34"/>
    </row>
    <row r="94" spans="1:9" s="27" customFormat="1">
      <c r="F94" s="33"/>
      <c r="H94" s="34"/>
    </row>
    <row r="95" spans="1:9" s="27" customFormat="1">
      <c r="F95" s="33"/>
      <c r="H95" s="34"/>
    </row>
    <row r="96" spans="1:9" s="27" customFormat="1">
      <c r="F96" s="33"/>
      <c r="H96" s="34"/>
    </row>
    <row r="97" spans="6:8" s="27" customFormat="1">
      <c r="F97" s="33"/>
      <c r="H97" s="34"/>
    </row>
    <row r="98" spans="6:8" s="27" customFormat="1">
      <c r="F98" s="33"/>
      <c r="H98" s="34"/>
    </row>
    <row r="99" spans="6:8" s="27" customFormat="1">
      <c r="F99" s="33"/>
      <c r="H99" s="34"/>
    </row>
    <row r="100" spans="6:8" s="27" customFormat="1">
      <c r="F100" s="33"/>
      <c r="H100" s="34"/>
    </row>
    <row r="101" spans="6:8" s="27" customFormat="1">
      <c r="F101" s="33"/>
      <c r="H101" s="34"/>
    </row>
    <row r="102" spans="6:8" s="27" customFormat="1">
      <c r="F102" s="33"/>
      <c r="H102" s="34"/>
    </row>
    <row r="103" spans="6:8" s="27" customFormat="1">
      <c r="F103" s="33"/>
      <c r="H103" s="34"/>
    </row>
    <row r="104" spans="6:8" s="27" customFormat="1">
      <c r="F104" s="33"/>
      <c r="H104" s="34"/>
    </row>
    <row r="105" spans="6:8" s="27" customFormat="1">
      <c r="F105" s="33"/>
      <c r="H105" s="34"/>
    </row>
    <row r="106" spans="6:8" s="27" customFormat="1">
      <c r="F106" s="33"/>
      <c r="H106" s="34"/>
    </row>
    <row r="107" spans="6:8" s="27" customFormat="1">
      <c r="F107" s="33"/>
      <c r="H107" s="34"/>
    </row>
    <row r="108" spans="6:8" s="27" customFormat="1">
      <c r="F108" s="33"/>
      <c r="H108" s="34"/>
    </row>
    <row r="109" spans="6:8" s="27" customFormat="1">
      <c r="F109" s="33"/>
      <c r="H109" s="34"/>
    </row>
    <row r="110" spans="6:8" s="27" customFormat="1">
      <c r="F110" s="33"/>
      <c r="H110" s="34"/>
    </row>
    <row r="111" spans="6:8" s="27" customFormat="1">
      <c r="F111" s="33"/>
      <c r="H111" s="34"/>
    </row>
    <row r="112" spans="6:8" s="27" customFormat="1">
      <c r="F112" s="33"/>
      <c r="H112" s="34"/>
    </row>
    <row r="113" spans="6:8" s="27" customFormat="1">
      <c r="F113" s="33"/>
      <c r="H113" s="34"/>
    </row>
    <row r="114" spans="6:8" s="27" customFormat="1">
      <c r="F114" s="33"/>
      <c r="H114" s="34"/>
    </row>
    <row r="115" spans="6:8" s="27" customFormat="1">
      <c r="F115" s="33"/>
      <c r="H115" s="34"/>
    </row>
    <row r="116" spans="6:8" s="27" customFormat="1">
      <c r="F116" s="33"/>
      <c r="H116" s="34"/>
    </row>
    <row r="117" spans="6:8" s="27" customFormat="1">
      <c r="F117" s="33"/>
      <c r="H117" s="34"/>
    </row>
    <row r="118" spans="6:8" s="27" customFormat="1">
      <c r="F118" s="33"/>
      <c r="H118" s="34"/>
    </row>
    <row r="119" spans="6:8" s="27" customFormat="1">
      <c r="F119" s="33"/>
      <c r="H119" s="34"/>
    </row>
    <row r="120" spans="6:8" s="27" customFormat="1">
      <c r="F120" s="33"/>
      <c r="H120" s="34"/>
    </row>
    <row r="121" spans="6:8" s="27" customFormat="1">
      <c r="F121" s="33"/>
      <c r="H121" s="34"/>
    </row>
    <row r="122" spans="6:8" s="27" customFormat="1">
      <c r="F122" s="33"/>
      <c r="H122" s="34"/>
    </row>
    <row r="123" spans="6:8" s="27" customFormat="1">
      <c r="F123" s="33"/>
      <c r="H123" s="34"/>
    </row>
    <row r="124" spans="6:8" s="27" customFormat="1">
      <c r="F124" s="33"/>
      <c r="H124" s="34"/>
    </row>
    <row r="125" spans="6:8" s="27" customFormat="1">
      <c r="F125" s="33"/>
      <c r="H125" s="34"/>
    </row>
    <row r="126" spans="6:8" s="27" customFormat="1">
      <c r="F126" s="33"/>
      <c r="H126" s="34"/>
    </row>
    <row r="127" spans="6:8" s="27" customFormat="1">
      <c r="F127" s="33"/>
      <c r="H127" s="34"/>
    </row>
    <row r="128" spans="6:8" s="27" customFormat="1">
      <c r="F128" s="33"/>
      <c r="H128" s="34"/>
    </row>
    <row r="129" spans="6:8" s="27" customFormat="1">
      <c r="F129" s="33"/>
      <c r="H129" s="34"/>
    </row>
    <row r="130" spans="6:8" s="27" customFormat="1">
      <c r="F130" s="33"/>
      <c r="H130" s="34"/>
    </row>
    <row r="131" spans="6:8" s="27" customFormat="1">
      <c r="F131" s="33"/>
      <c r="H131" s="34"/>
    </row>
    <row r="132" spans="6:8" s="27" customFormat="1">
      <c r="F132" s="33"/>
      <c r="H132" s="34"/>
    </row>
    <row r="133" spans="6:8" s="27" customFormat="1">
      <c r="F133" s="33"/>
      <c r="H133" s="34"/>
    </row>
    <row r="134" spans="6:8" s="27" customFormat="1">
      <c r="F134" s="33"/>
      <c r="H134" s="34"/>
    </row>
    <row r="135" spans="6:8" s="27" customFormat="1">
      <c r="F135" s="33"/>
      <c r="H135" s="34"/>
    </row>
    <row r="136" spans="6:8" s="27" customFormat="1">
      <c r="F136" s="33"/>
      <c r="H136" s="34"/>
    </row>
    <row r="137" spans="6:8" s="27" customFormat="1">
      <c r="F137" s="33"/>
      <c r="H137" s="34"/>
    </row>
    <row r="138" spans="6:8" s="27" customFormat="1">
      <c r="F138" s="33"/>
      <c r="H138" s="34"/>
    </row>
    <row r="139" spans="6:8" s="27" customFormat="1">
      <c r="F139" s="33"/>
      <c r="H139" s="34"/>
    </row>
    <row r="140" spans="6:8" s="27" customFormat="1">
      <c r="F140" s="33"/>
      <c r="H140" s="34"/>
    </row>
    <row r="141" spans="6:8" s="27" customFormat="1">
      <c r="F141" s="33"/>
      <c r="H141" s="34"/>
    </row>
    <row r="142" spans="6:8" s="27" customFormat="1">
      <c r="F142" s="33"/>
      <c r="H142" s="34"/>
    </row>
    <row r="143" spans="6:8" s="27" customFormat="1">
      <c r="F143" s="33"/>
      <c r="H143" s="34"/>
    </row>
    <row r="144" spans="6:8" s="27" customFormat="1">
      <c r="F144" s="33"/>
      <c r="H144" s="34"/>
    </row>
    <row r="145" spans="6:8" s="27" customFormat="1">
      <c r="F145" s="33"/>
      <c r="H145" s="34"/>
    </row>
    <row r="146" spans="6:8" s="27" customFormat="1">
      <c r="F146" s="33"/>
      <c r="H146" s="34"/>
    </row>
    <row r="147" spans="6:8" s="27" customFormat="1">
      <c r="F147" s="33"/>
      <c r="H147" s="34"/>
    </row>
    <row r="148" spans="6:8" s="27" customFormat="1">
      <c r="F148" s="33"/>
      <c r="H148" s="34"/>
    </row>
    <row r="149" spans="6:8" s="27" customFormat="1">
      <c r="F149" s="33"/>
      <c r="H149" s="34"/>
    </row>
    <row r="150" spans="6:8" s="27" customFormat="1">
      <c r="F150" s="33"/>
      <c r="H150" s="34"/>
    </row>
    <row r="151" spans="6:8" s="27" customFormat="1">
      <c r="F151" s="33"/>
      <c r="H151" s="34"/>
    </row>
    <row r="152" spans="6:8" s="27" customFormat="1">
      <c r="F152" s="33"/>
      <c r="H152" s="34"/>
    </row>
    <row r="153" spans="6:8" s="27" customFormat="1">
      <c r="F153" s="33"/>
      <c r="H153" s="34"/>
    </row>
    <row r="154" spans="6:8" s="27" customFormat="1">
      <c r="F154" s="33"/>
      <c r="H154" s="34"/>
    </row>
    <row r="155" spans="6:8" s="27" customFormat="1">
      <c r="F155" s="33"/>
      <c r="H155" s="34"/>
    </row>
    <row r="156" spans="6:8" s="27" customFormat="1">
      <c r="F156" s="33"/>
      <c r="H156" s="34"/>
    </row>
    <row r="157" spans="6:8" s="27" customFormat="1">
      <c r="F157" s="33"/>
      <c r="H157" s="34"/>
    </row>
    <row r="158" spans="6:8" s="27" customFormat="1">
      <c r="F158" s="33"/>
      <c r="H158" s="34"/>
    </row>
    <row r="159" spans="6:8" s="27" customFormat="1">
      <c r="F159" s="33"/>
      <c r="H159" s="34"/>
    </row>
    <row r="160" spans="6:8" s="27" customFormat="1">
      <c r="F160" s="33"/>
      <c r="H160" s="34"/>
    </row>
    <row r="161" spans="6:8" s="27" customFormat="1">
      <c r="F161" s="33"/>
      <c r="H161" s="34"/>
    </row>
    <row r="162" spans="6:8" s="27" customFormat="1">
      <c r="F162" s="33"/>
      <c r="H162" s="34"/>
    </row>
    <row r="163" spans="6:8" s="27" customFormat="1">
      <c r="F163" s="33"/>
      <c r="H163" s="34"/>
    </row>
    <row r="164" spans="6:8" s="27" customFormat="1">
      <c r="F164" s="33"/>
      <c r="H164" s="34"/>
    </row>
    <row r="165" spans="6:8" s="27" customFormat="1">
      <c r="F165" s="33"/>
      <c r="H165" s="34"/>
    </row>
    <row r="166" spans="6:8" s="27" customFormat="1">
      <c r="F166" s="33"/>
      <c r="H166" s="34"/>
    </row>
    <row r="167" spans="6:8" s="27" customFormat="1">
      <c r="F167" s="33"/>
      <c r="H167" s="34"/>
    </row>
    <row r="168" spans="6:8" s="27" customFormat="1">
      <c r="F168" s="33"/>
      <c r="H168" s="34"/>
    </row>
    <row r="169" spans="6:8" s="27" customFormat="1">
      <c r="F169" s="33"/>
      <c r="H169" s="34"/>
    </row>
    <row r="170" spans="6:8" s="27" customFormat="1">
      <c r="F170" s="33"/>
      <c r="H170" s="34"/>
    </row>
    <row r="171" spans="6:8" s="27" customFormat="1">
      <c r="F171" s="33"/>
      <c r="H171" s="34"/>
    </row>
    <row r="172" spans="6:8" s="27" customFormat="1">
      <c r="F172" s="33"/>
      <c r="H172" s="34"/>
    </row>
    <row r="173" spans="6:8" s="27" customFormat="1">
      <c r="F173" s="33"/>
      <c r="H173" s="34"/>
    </row>
    <row r="174" spans="6:8" s="27" customFormat="1">
      <c r="F174" s="33"/>
      <c r="H174" s="34"/>
    </row>
    <row r="175" spans="6:8" s="27" customFormat="1">
      <c r="F175" s="33"/>
      <c r="H175" s="34"/>
    </row>
    <row r="176" spans="6:8" s="27" customFormat="1">
      <c r="F176" s="33"/>
      <c r="H176" s="34"/>
    </row>
    <row r="177" spans="6:8" s="27" customFormat="1">
      <c r="F177" s="33"/>
      <c r="H177" s="34"/>
    </row>
    <row r="178" spans="6:8" s="27" customFormat="1">
      <c r="F178" s="33"/>
      <c r="H178" s="34"/>
    </row>
    <row r="179" spans="6:8" s="27" customFormat="1">
      <c r="F179" s="33"/>
      <c r="H179" s="34"/>
    </row>
    <row r="180" spans="6:8" s="27" customFormat="1">
      <c r="F180" s="33"/>
      <c r="H180" s="34"/>
    </row>
    <row r="181" spans="6:8" s="27" customFormat="1">
      <c r="F181" s="33"/>
      <c r="H181" s="34"/>
    </row>
    <row r="182" spans="6:8" s="27" customFormat="1">
      <c r="F182" s="33"/>
      <c r="H182" s="34"/>
    </row>
    <row r="183" spans="6:8" s="27" customFormat="1">
      <c r="F183" s="33"/>
      <c r="H183" s="34"/>
    </row>
    <row r="184" spans="6:8" s="27" customFormat="1">
      <c r="F184" s="33"/>
      <c r="H184" s="34"/>
    </row>
    <row r="185" spans="6:8" s="27" customFormat="1">
      <c r="F185" s="33"/>
      <c r="H185" s="34"/>
    </row>
    <row r="186" spans="6:8" s="27" customFormat="1">
      <c r="F186" s="33"/>
      <c r="H186" s="34"/>
    </row>
    <row r="187" spans="6:8" s="27" customFormat="1">
      <c r="F187" s="33"/>
      <c r="H187" s="34"/>
    </row>
    <row r="188" spans="6:8" s="27" customFormat="1">
      <c r="F188" s="33"/>
      <c r="H188" s="34"/>
    </row>
    <row r="189" spans="6:8" s="27" customFormat="1">
      <c r="F189" s="33"/>
      <c r="H189" s="34"/>
    </row>
    <row r="190" spans="6:8" s="27" customFormat="1">
      <c r="F190" s="33"/>
      <c r="H190" s="34"/>
    </row>
    <row r="191" spans="6:8" s="27" customFormat="1">
      <c r="F191" s="33"/>
      <c r="H191" s="34"/>
    </row>
    <row r="192" spans="6:8" s="27" customFormat="1">
      <c r="F192" s="33"/>
      <c r="H192" s="34"/>
    </row>
    <row r="193" spans="6:8" s="27" customFormat="1">
      <c r="F193" s="33"/>
      <c r="H193" s="34"/>
    </row>
    <row r="194" spans="6:8" s="27" customFormat="1">
      <c r="F194" s="33"/>
      <c r="H194" s="34"/>
    </row>
    <row r="195" spans="6:8" s="27" customFormat="1">
      <c r="F195" s="33"/>
      <c r="H195" s="34"/>
    </row>
    <row r="196" spans="6:8" s="27" customFormat="1">
      <c r="F196" s="33"/>
      <c r="H196" s="34"/>
    </row>
    <row r="197" spans="6:8" s="27" customFormat="1">
      <c r="F197" s="33"/>
      <c r="H197" s="34"/>
    </row>
    <row r="198" spans="6:8" s="27" customFormat="1">
      <c r="F198" s="33"/>
      <c r="H198" s="34"/>
    </row>
    <row r="199" spans="6:8" s="27" customFormat="1">
      <c r="F199" s="33"/>
      <c r="H199" s="34"/>
    </row>
    <row r="200" spans="6:8" s="27" customFormat="1">
      <c r="F200" s="33"/>
      <c r="H200" s="34"/>
    </row>
    <row r="201" spans="6:8" s="27" customFormat="1">
      <c r="F201" s="33"/>
      <c r="H201" s="34"/>
    </row>
    <row r="202" spans="6:8" s="27" customFormat="1">
      <c r="F202" s="33"/>
      <c r="H202" s="34"/>
    </row>
    <row r="203" spans="6:8" s="27" customFormat="1">
      <c r="F203" s="33"/>
      <c r="H203" s="34"/>
    </row>
    <row r="204" spans="6:8" s="27" customFormat="1">
      <c r="F204" s="33"/>
      <c r="H204" s="34"/>
    </row>
    <row r="205" spans="6:8" s="27" customFormat="1">
      <c r="F205" s="33"/>
      <c r="H205" s="34"/>
    </row>
    <row r="206" spans="6:8" s="27" customFormat="1">
      <c r="F206" s="33"/>
      <c r="H206" s="34"/>
    </row>
    <row r="207" spans="6:8" s="27" customFormat="1">
      <c r="F207" s="33"/>
      <c r="H207" s="34"/>
    </row>
    <row r="208" spans="6:8" s="27" customFormat="1">
      <c r="F208" s="33"/>
      <c r="H208" s="34"/>
    </row>
    <row r="209" spans="6:8" s="27" customFormat="1">
      <c r="F209" s="33"/>
      <c r="H209" s="34"/>
    </row>
    <row r="210" spans="6:8" s="27" customFormat="1">
      <c r="F210" s="33"/>
      <c r="H210" s="34"/>
    </row>
    <row r="211" spans="6:8" s="27" customFormat="1">
      <c r="F211" s="33"/>
      <c r="H211" s="34"/>
    </row>
    <row r="212" spans="6:8" s="27" customFormat="1">
      <c r="F212" s="33"/>
      <c r="H212" s="34"/>
    </row>
    <row r="213" spans="6:8" s="27" customFormat="1">
      <c r="F213" s="33"/>
      <c r="H213" s="34"/>
    </row>
    <row r="214" spans="6:8" s="27" customFormat="1">
      <c r="F214" s="33"/>
      <c r="H214" s="34"/>
    </row>
    <row r="215" spans="6:8" s="27" customFormat="1">
      <c r="F215" s="33"/>
      <c r="H215" s="34"/>
    </row>
    <row r="216" spans="6:8" s="27" customFormat="1">
      <c r="F216" s="33"/>
      <c r="H216" s="34"/>
    </row>
    <row r="217" spans="6:8" s="27" customFormat="1">
      <c r="F217" s="33"/>
      <c r="H217" s="34"/>
    </row>
    <row r="218" spans="6:8" s="27" customFormat="1">
      <c r="F218" s="33"/>
      <c r="H218" s="34"/>
    </row>
    <row r="219" spans="6:8" s="27" customFormat="1">
      <c r="F219" s="33"/>
      <c r="H219" s="34"/>
    </row>
    <row r="220" spans="6:8" s="27" customFormat="1">
      <c r="F220" s="33"/>
      <c r="H220" s="34"/>
    </row>
    <row r="221" spans="6:8" s="27" customFormat="1">
      <c r="F221" s="33"/>
      <c r="H221" s="34"/>
    </row>
    <row r="222" spans="6:8" s="27" customFormat="1">
      <c r="F222" s="33"/>
      <c r="H222" s="34"/>
    </row>
    <row r="223" spans="6:8" s="27" customFormat="1">
      <c r="F223" s="33"/>
      <c r="H223" s="34"/>
    </row>
    <row r="224" spans="6:8" s="27" customFormat="1">
      <c r="F224" s="33"/>
      <c r="H224" s="34"/>
    </row>
    <row r="225" spans="6:8" s="27" customFormat="1">
      <c r="F225" s="33"/>
      <c r="H225" s="34"/>
    </row>
    <row r="226" spans="6:8" s="27" customFormat="1">
      <c r="F226" s="33"/>
      <c r="H226" s="34"/>
    </row>
    <row r="227" spans="6:8" s="27" customFormat="1">
      <c r="F227" s="33"/>
      <c r="H227" s="34"/>
    </row>
    <row r="228" spans="6:8" s="27" customFormat="1">
      <c r="F228" s="33"/>
      <c r="H228" s="34"/>
    </row>
    <row r="229" spans="6:8" s="27" customFormat="1">
      <c r="F229" s="33"/>
      <c r="H229" s="34"/>
    </row>
    <row r="230" spans="6:8" s="27" customFormat="1">
      <c r="F230" s="33"/>
      <c r="H230" s="34"/>
    </row>
    <row r="231" spans="6:8" s="27" customFormat="1">
      <c r="F231" s="33"/>
      <c r="H231" s="34"/>
    </row>
    <row r="232" spans="6:8" s="27" customFormat="1">
      <c r="F232" s="33"/>
      <c r="H232" s="34"/>
    </row>
    <row r="233" spans="6:8" s="27" customFormat="1">
      <c r="F233" s="33"/>
      <c r="H233" s="34"/>
    </row>
    <row r="234" spans="6:8" s="27" customFormat="1">
      <c r="F234" s="33"/>
      <c r="H234" s="34"/>
    </row>
    <row r="235" spans="6:8" s="27" customFormat="1">
      <c r="F235" s="33"/>
      <c r="H235" s="34"/>
    </row>
    <row r="236" spans="6:8" s="27" customFormat="1">
      <c r="F236" s="33"/>
      <c r="H236" s="34"/>
    </row>
    <row r="237" spans="6:8" s="27" customFormat="1">
      <c r="F237" s="33"/>
      <c r="H237" s="34"/>
    </row>
    <row r="238" spans="6:8" s="27" customFormat="1">
      <c r="F238" s="33"/>
      <c r="H238" s="34"/>
    </row>
    <row r="239" spans="6:8" s="27" customFormat="1">
      <c r="F239" s="33"/>
      <c r="H239" s="34"/>
    </row>
    <row r="240" spans="6:8" s="27" customFormat="1">
      <c r="F240" s="33"/>
      <c r="H240" s="34"/>
    </row>
    <row r="241" spans="6:8" s="27" customFormat="1">
      <c r="F241" s="33"/>
      <c r="H241" s="34"/>
    </row>
    <row r="242" spans="6:8" s="27" customFormat="1">
      <c r="F242" s="33"/>
      <c r="H242" s="34"/>
    </row>
    <row r="243" spans="6:8" s="27" customFormat="1">
      <c r="F243" s="33"/>
      <c r="H243" s="34"/>
    </row>
    <row r="244" spans="6:8" s="27" customFormat="1">
      <c r="F244" s="33"/>
      <c r="H244" s="34"/>
    </row>
    <row r="245" spans="6:8" s="27" customFormat="1">
      <c r="F245" s="33"/>
      <c r="H245" s="34"/>
    </row>
    <row r="246" spans="6:8" s="27" customFormat="1">
      <c r="F246" s="33"/>
      <c r="H246" s="34"/>
    </row>
    <row r="247" spans="6:8" s="27" customFormat="1">
      <c r="F247" s="33"/>
      <c r="H247" s="34"/>
    </row>
    <row r="248" spans="6:8" s="27" customFormat="1">
      <c r="F248" s="33"/>
      <c r="H248" s="34"/>
    </row>
    <row r="249" spans="6:8" s="27" customFormat="1">
      <c r="F249" s="33"/>
      <c r="H249" s="34"/>
    </row>
    <row r="250" spans="6:8" s="27" customFormat="1">
      <c r="F250" s="33"/>
      <c r="H250" s="34"/>
    </row>
    <row r="251" spans="6:8" s="27" customFormat="1">
      <c r="F251" s="33"/>
      <c r="H251" s="34"/>
    </row>
    <row r="252" spans="6:8" s="27" customFormat="1">
      <c r="F252" s="33"/>
      <c r="H252" s="34"/>
    </row>
    <row r="253" spans="6:8" s="27" customFormat="1">
      <c r="F253" s="33"/>
      <c r="H253" s="34"/>
    </row>
    <row r="254" spans="6:8" s="27" customFormat="1">
      <c r="F254" s="33"/>
      <c r="H254" s="34"/>
    </row>
    <row r="255" spans="6:8" s="27" customFormat="1">
      <c r="F255" s="33"/>
      <c r="H255" s="34"/>
    </row>
    <row r="256" spans="6:8" s="27" customFormat="1">
      <c r="F256" s="33"/>
      <c r="H256" s="34"/>
    </row>
    <row r="257" spans="6:8" s="27" customFormat="1">
      <c r="F257" s="33"/>
      <c r="H257" s="34"/>
    </row>
    <row r="258" spans="6:8" s="27" customFormat="1">
      <c r="F258" s="33"/>
      <c r="H258" s="34"/>
    </row>
    <row r="259" spans="6:8" s="27" customFormat="1">
      <c r="F259" s="33"/>
      <c r="H259" s="34"/>
    </row>
    <row r="260" spans="6:8" s="27" customFormat="1">
      <c r="F260" s="33"/>
      <c r="H260" s="34"/>
    </row>
    <row r="261" spans="6:8" s="27" customFormat="1">
      <c r="F261" s="33"/>
      <c r="H261" s="34"/>
    </row>
    <row r="262" spans="6:8" s="27" customFormat="1">
      <c r="F262" s="33"/>
      <c r="H262" s="34"/>
    </row>
    <row r="263" spans="6:8" s="27" customFormat="1">
      <c r="F263" s="33"/>
      <c r="H263" s="34"/>
    </row>
    <row r="264" spans="6:8" s="27" customFormat="1">
      <c r="F264" s="33"/>
      <c r="H264" s="34"/>
    </row>
    <row r="265" spans="6:8" s="27" customFormat="1">
      <c r="F265" s="33"/>
      <c r="H265" s="34"/>
    </row>
    <row r="266" spans="6:8" s="27" customFormat="1">
      <c r="F266" s="33"/>
      <c r="H266" s="34"/>
    </row>
    <row r="267" spans="6:8" s="27" customFormat="1">
      <c r="F267" s="33"/>
      <c r="H267" s="34"/>
    </row>
    <row r="268" spans="6:8" s="27" customFormat="1">
      <c r="F268" s="33"/>
      <c r="H268" s="34"/>
    </row>
    <row r="269" spans="6:8" s="27" customFormat="1">
      <c r="F269" s="33"/>
      <c r="H269" s="34"/>
    </row>
    <row r="270" spans="6:8" s="27" customFormat="1">
      <c r="F270" s="33"/>
      <c r="H270" s="34"/>
    </row>
    <row r="271" spans="6:8" s="27" customFormat="1">
      <c r="F271" s="33"/>
      <c r="H271" s="34"/>
    </row>
    <row r="272" spans="6:8" s="27" customFormat="1">
      <c r="F272" s="33"/>
      <c r="H272" s="34"/>
    </row>
    <row r="273" spans="6:8" s="27" customFormat="1">
      <c r="F273" s="33"/>
      <c r="H273" s="34"/>
    </row>
    <row r="274" spans="6:8" s="27" customFormat="1">
      <c r="F274" s="33"/>
      <c r="H274" s="34"/>
    </row>
    <row r="275" spans="6:8" s="27" customFormat="1">
      <c r="F275" s="33"/>
      <c r="H275" s="34"/>
    </row>
    <row r="276" spans="6:8" s="27" customFormat="1">
      <c r="F276" s="33"/>
      <c r="H276" s="34"/>
    </row>
    <row r="277" spans="6:8" s="27" customFormat="1">
      <c r="F277" s="33"/>
      <c r="H277" s="34"/>
    </row>
    <row r="278" spans="6:8" s="27" customFormat="1">
      <c r="F278" s="33"/>
      <c r="H278" s="34"/>
    </row>
    <row r="279" spans="6:8" s="27" customFormat="1">
      <c r="F279" s="33"/>
      <c r="H279" s="34"/>
    </row>
    <row r="280" spans="6:8" s="27" customFormat="1">
      <c r="F280" s="33"/>
      <c r="H280" s="34"/>
    </row>
    <row r="281" spans="6:8" s="27" customFormat="1">
      <c r="F281" s="33"/>
      <c r="H281" s="34"/>
    </row>
    <row r="282" spans="6:8" s="27" customFormat="1">
      <c r="F282" s="33"/>
      <c r="H282" s="34"/>
    </row>
    <row r="283" spans="6:8" s="27" customFormat="1">
      <c r="F283" s="33"/>
      <c r="H283" s="34"/>
    </row>
    <row r="284" spans="6:8" s="27" customFormat="1">
      <c r="F284" s="33"/>
      <c r="H284" s="34"/>
    </row>
    <row r="285" spans="6:8" s="27" customFormat="1">
      <c r="F285" s="33"/>
      <c r="H285" s="34"/>
    </row>
    <row r="286" spans="6:8" s="27" customFormat="1">
      <c r="F286" s="33"/>
      <c r="H286" s="34"/>
    </row>
    <row r="287" spans="6:8" s="27" customFormat="1">
      <c r="F287" s="33"/>
      <c r="H287" s="34"/>
    </row>
    <row r="288" spans="6:8" s="27" customFormat="1">
      <c r="F288" s="33"/>
      <c r="H288" s="34"/>
    </row>
    <row r="289" spans="6:8" s="27" customFormat="1">
      <c r="F289" s="33"/>
      <c r="H289" s="34"/>
    </row>
    <row r="290" spans="6:8" s="27" customFormat="1">
      <c r="F290" s="33"/>
      <c r="H290" s="34"/>
    </row>
    <row r="291" spans="6:8" s="27" customFormat="1">
      <c r="F291" s="33"/>
      <c r="H291" s="34"/>
    </row>
    <row r="292" spans="6:8" s="27" customFormat="1">
      <c r="F292" s="33"/>
      <c r="H292" s="34"/>
    </row>
    <row r="293" spans="6:8" s="27" customFormat="1">
      <c r="F293" s="33"/>
      <c r="H293" s="34"/>
    </row>
    <row r="294" spans="6:8" s="27" customFormat="1">
      <c r="F294" s="33"/>
      <c r="H294" s="34"/>
    </row>
    <row r="295" spans="6:8" s="27" customFormat="1">
      <c r="F295" s="33"/>
      <c r="H295" s="34"/>
    </row>
    <row r="296" spans="6:8" s="27" customFormat="1">
      <c r="F296" s="33"/>
      <c r="H296" s="34"/>
    </row>
    <row r="297" spans="6:8" s="27" customFormat="1">
      <c r="F297" s="33"/>
      <c r="H297" s="34"/>
    </row>
    <row r="298" spans="6:8" s="27" customFormat="1">
      <c r="F298" s="33"/>
      <c r="H298" s="34"/>
    </row>
    <row r="299" spans="6:8" s="27" customFormat="1">
      <c r="F299" s="33"/>
      <c r="H299" s="34"/>
    </row>
    <row r="300" spans="6:8" s="27" customFormat="1">
      <c r="F300" s="33"/>
      <c r="H300" s="34"/>
    </row>
    <row r="301" spans="6:8" s="27" customFormat="1">
      <c r="F301" s="33"/>
      <c r="H301" s="34"/>
    </row>
    <row r="302" spans="6:8" s="27" customFormat="1">
      <c r="F302" s="33"/>
      <c r="H302" s="34"/>
    </row>
    <row r="303" spans="6:8" s="27" customFormat="1">
      <c r="F303" s="33"/>
      <c r="H303" s="34"/>
    </row>
    <row r="304" spans="6:8" s="27" customFormat="1">
      <c r="F304" s="33"/>
      <c r="H304" s="34"/>
    </row>
    <row r="305" spans="6:8" s="27" customFormat="1">
      <c r="F305" s="33"/>
      <c r="H305" s="34"/>
    </row>
    <row r="306" spans="6:8" s="27" customFormat="1">
      <c r="F306" s="33"/>
      <c r="H306" s="34"/>
    </row>
    <row r="307" spans="6:8" s="27" customFormat="1">
      <c r="F307" s="33"/>
      <c r="H307" s="34"/>
    </row>
    <row r="308" spans="6:8" s="27" customFormat="1">
      <c r="F308" s="33"/>
      <c r="H308" s="34"/>
    </row>
    <row r="309" spans="6:8" s="27" customFormat="1">
      <c r="F309" s="33"/>
      <c r="H309" s="34"/>
    </row>
    <row r="310" spans="6:8" s="27" customFormat="1">
      <c r="F310" s="33"/>
      <c r="H310" s="34"/>
    </row>
    <row r="311" spans="6:8" s="27" customFormat="1">
      <c r="F311" s="33"/>
      <c r="H311" s="34"/>
    </row>
    <row r="312" spans="6:8" s="27" customFormat="1">
      <c r="F312" s="33"/>
      <c r="H312" s="34"/>
    </row>
    <row r="313" spans="6:8" s="27" customFormat="1">
      <c r="F313" s="33"/>
      <c r="H313" s="34"/>
    </row>
    <row r="314" spans="6:8" s="27" customFormat="1">
      <c r="F314" s="33"/>
      <c r="H314" s="34"/>
    </row>
    <row r="315" spans="6:8" s="27" customFormat="1">
      <c r="F315" s="33"/>
      <c r="H315" s="34"/>
    </row>
    <row r="316" spans="6:8" s="27" customFormat="1">
      <c r="F316" s="33"/>
      <c r="H316" s="34"/>
    </row>
    <row r="317" spans="6:8" s="27" customFormat="1">
      <c r="F317" s="33"/>
      <c r="H317" s="34"/>
    </row>
    <row r="318" spans="6:8" s="27" customFormat="1">
      <c r="F318" s="33"/>
      <c r="H318" s="34"/>
    </row>
    <row r="319" spans="6:8" s="27" customFormat="1">
      <c r="F319" s="33"/>
      <c r="H319" s="34"/>
    </row>
    <row r="320" spans="6:8" s="27" customFormat="1">
      <c r="F320" s="33"/>
      <c r="H320" s="34"/>
    </row>
    <row r="321" spans="6:8" s="27" customFormat="1">
      <c r="F321" s="33"/>
      <c r="H321" s="34"/>
    </row>
    <row r="322" spans="6:8" s="27" customFormat="1">
      <c r="F322" s="33"/>
      <c r="H322" s="34"/>
    </row>
    <row r="323" spans="6:8" s="27" customFormat="1">
      <c r="F323" s="33"/>
      <c r="H323" s="34"/>
    </row>
    <row r="324" spans="6:8" s="27" customFormat="1">
      <c r="F324" s="33"/>
      <c r="H324" s="34"/>
    </row>
    <row r="325" spans="6:8" s="27" customFormat="1">
      <c r="F325" s="33"/>
      <c r="H325" s="34"/>
    </row>
    <row r="326" spans="6:8" s="27" customFormat="1">
      <c r="F326" s="33"/>
      <c r="H326" s="34"/>
    </row>
    <row r="327" spans="6:8" s="27" customFormat="1">
      <c r="F327" s="33"/>
      <c r="H327" s="34"/>
    </row>
    <row r="328" spans="6:8" s="27" customFormat="1">
      <c r="F328" s="33"/>
      <c r="H328" s="34"/>
    </row>
    <row r="329" spans="6:8" s="27" customFormat="1">
      <c r="F329" s="33"/>
      <c r="H329" s="34"/>
    </row>
    <row r="330" spans="6:8" s="27" customFormat="1">
      <c r="F330" s="33"/>
      <c r="H330" s="34"/>
    </row>
    <row r="331" spans="6:8" s="27" customFormat="1">
      <c r="F331" s="33"/>
      <c r="H331" s="34"/>
    </row>
    <row r="332" spans="6:8" s="27" customFormat="1">
      <c r="F332" s="33"/>
      <c r="H332" s="34"/>
    </row>
    <row r="333" spans="6:8" s="27" customFormat="1">
      <c r="F333" s="33"/>
      <c r="H333" s="34"/>
    </row>
    <row r="334" spans="6:8" s="27" customFormat="1">
      <c r="F334" s="33"/>
      <c r="H334" s="34"/>
    </row>
    <row r="335" spans="6:8" s="27" customFormat="1">
      <c r="F335" s="33"/>
      <c r="H335" s="34"/>
    </row>
    <row r="336" spans="6:8" s="27" customFormat="1">
      <c r="F336" s="33"/>
      <c r="H336" s="34"/>
    </row>
    <row r="337" spans="6:8" s="27" customFormat="1">
      <c r="F337" s="33"/>
      <c r="H337" s="34"/>
    </row>
    <row r="338" spans="6:8" s="27" customFormat="1">
      <c r="F338" s="33"/>
      <c r="H338" s="34"/>
    </row>
    <row r="339" spans="6:8" s="27" customFormat="1">
      <c r="F339" s="33"/>
      <c r="H339" s="34"/>
    </row>
    <row r="340" spans="6:8" s="27" customFormat="1">
      <c r="F340" s="33"/>
      <c r="H340" s="34"/>
    </row>
    <row r="341" spans="6:8" s="27" customFormat="1">
      <c r="F341" s="33"/>
      <c r="H341" s="34"/>
    </row>
    <row r="342" spans="6:8" s="27" customFormat="1">
      <c r="F342" s="33"/>
      <c r="H342" s="34"/>
    </row>
    <row r="343" spans="6:8" s="27" customFormat="1">
      <c r="F343" s="33"/>
      <c r="H343" s="34"/>
    </row>
    <row r="344" spans="6:8" s="27" customFormat="1">
      <c r="F344" s="33"/>
      <c r="H344" s="34"/>
    </row>
    <row r="345" spans="6:8" s="27" customFormat="1">
      <c r="F345" s="33"/>
      <c r="H345" s="34"/>
    </row>
    <row r="346" spans="6:8" s="27" customFormat="1">
      <c r="F346" s="33"/>
      <c r="H346" s="34"/>
    </row>
    <row r="347" spans="6:8" s="27" customFormat="1">
      <c r="F347" s="33"/>
      <c r="H347" s="34"/>
    </row>
    <row r="348" spans="6:8" s="27" customFormat="1">
      <c r="F348" s="33"/>
      <c r="H348" s="34"/>
    </row>
    <row r="349" spans="6:8" s="27" customFormat="1">
      <c r="F349" s="33"/>
      <c r="H349" s="34"/>
    </row>
    <row r="350" spans="6:8" s="27" customFormat="1">
      <c r="F350" s="33"/>
      <c r="H350" s="34"/>
    </row>
    <row r="351" spans="6:8" s="27" customFormat="1">
      <c r="F351" s="33"/>
      <c r="H351" s="34"/>
    </row>
    <row r="352" spans="6:8" s="27" customFormat="1">
      <c r="F352" s="33"/>
      <c r="H352" s="34"/>
    </row>
    <row r="353" spans="6:8" s="27" customFormat="1">
      <c r="F353" s="33"/>
      <c r="H353" s="34"/>
    </row>
    <row r="354" spans="6:8" s="27" customFormat="1">
      <c r="F354" s="33"/>
      <c r="H354" s="34"/>
    </row>
    <row r="355" spans="6:8" s="27" customFormat="1">
      <c r="F355" s="33"/>
      <c r="H355" s="34"/>
    </row>
    <row r="356" spans="6:8" s="27" customFormat="1">
      <c r="F356" s="33"/>
      <c r="H356" s="34"/>
    </row>
    <row r="357" spans="6:8" s="27" customFormat="1">
      <c r="F357" s="33"/>
      <c r="H357" s="34"/>
    </row>
    <row r="358" spans="6:8" s="27" customFormat="1">
      <c r="F358" s="33"/>
      <c r="H358" s="34"/>
    </row>
    <row r="359" spans="6:8" s="27" customFormat="1">
      <c r="F359" s="33"/>
      <c r="H359" s="34"/>
    </row>
    <row r="360" spans="6:8" s="27" customFormat="1">
      <c r="F360" s="33"/>
      <c r="H360" s="34"/>
    </row>
    <row r="361" spans="6:8" s="27" customFormat="1">
      <c r="F361" s="33"/>
      <c r="H361" s="34"/>
    </row>
    <row r="362" spans="6:8" s="27" customFormat="1">
      <c r="F362" s="33"/>
      <c r="H362" s="34"/>
    </row>
    <row r="363" spans="6:8" s="27" customFormat="1">
      <c r="F363" s="33"/>
      <c r="H363" s="34"/>
    </row>
    <row r="364" spans="6:8" s="27" customFormat="1">
      <c r="F364" s="33"/>
      <c r="H364" s="34"/>
    </row>
    <row r="365" spans="6:8" s="27" customFormat="1">
      <c r="F365" s="33"/>
      <c r="H365" s="34"/>
    </row>
    <row r="366" spans="6:8" s="27" customFormat="1">
      <c r="F366" s="33"/>
      <c r="H366" s="34"/>
    </row>
    <row r="367" spans="6:8" s="27" customFormat="1">
      <c r="F367" s="33"/>
      <c r="H367" s="34"/>
    </row>
    <row r="368" spans="6:8" s="27" customFormat="1">
      <c r="F368" s="33"/>
      <c r="H368" s="34"/>
    </row>
    <row r="369" spans="6:8" s="27" customFormat="1">
      <c r="F369" s="33"/>
      <c r="H369" s="34"/>
    </row>
    <row r="370" spans="6:8" s="27" customFormat="1">
      <c r="F370" s="33"/>
      <c r="H370" s="34"/>
    </row>
    <row r="371" spans="6:8" s="27" customFormat="1">
      <c r="F371" s="33"/>
      <c r="H371" s="34"/>
    </row>
    <row r="372" spans="6:8" s="27" customFormat="1">
      <c r="F372" s="33"/>
      <c r="H372" s="34"/>
    </row>
    <row r="373" spans="6:8" s="27" customFormat="1">
      <c r="F373" s="33"/>
      <c r="H373" s="34"/>
    </row>
    <row r="374" spans="6:8" s="27" customFormat="1">
      <c r="F374" s="33"/>
      <c r="H374" s="34"/>
    </row>
    <row r="375" spans="6:8" s="27" customFormat="1">
      <c r="F375" s="33"/>
      <c r="H375" s="34"/>
    </row>
    <row r="376" spans="6:8" s="27" customFormat="1">
      <c r="F376" s="33"/>
      <c r="H376" s="34"/>
    </row>
    <row r="377" spans="6:8" s="27" customFormat="1">
      <c r="F377" s="33"/>
      <c r="H377" s="34"/>
    </row>
    <row r="378" spans="6:8" s="27" customFormat="1">
      <c r="F378" s="33"/>
      <c r="H378" s="34"/>
    </row>
    <row r="379" spans="6:8" s="27" customFormat="1">
      <c r="F379" s="33"/>
      <c r="H379" s="34"/>
    </row>
    <row r="380" spans="6:8" s="27" customFormat="1">
      <c r="F380" s="33"/>
      <c r="H380" s="34"/>
    </row>
    <row r="381" spans="6:8" s="27" customFormat="1">
      <c r="F381" s="33"/>
      <c r="H381" s="34"/>
    </row>
    <row r="382" spans="6:8" s="27" customFormat="1">
      <c r="F382" s="33"/>
      <c r="H382" s="34"/>
    </row>
    <row r="383" spans="6:8" s="27" customFormat="1">
      <c r="F383" s="33"/>
      <c r="H383" s="34"/>
    </row>
    <row r="384" spans="6:8" s="27" customFormat="1">
      <c r="F384" s="33"/>
      <c r="H384" s="34"/>
    </row>
    <row r="385" spans="6:8" s="27" customFormat="1">
      <c r="F385" s="33"/>
      <c r="H385" s="34"/>
    </row>
    <row r="386" spans="6:8" s="27" customFormat="1">
      <c r="F386" s="33"/>
      <c r="H386" s="34"/>
    </row>
    <row r="387" spans="6:8" s="27" customFormat="1">
      <c r="F387" s="33"/>
      <c r="H387" s="34"/>
    </row>
    <row r="388" spans="6:8" s="27" customFormat="1">
      <c r="F388" s="33"/>
      <c r="H388" s="34"/>
    </row>
    <row r="389" spans="6:8" s="27" customFormat="1">
      <c r="F389" s="33"/>
      <c r="H389" s="34"/>
    </row>
    <row r="390" spans="6:8" s="27" customFormat="1">
      <c r="F390" s="33"/>
      <c r="H390" s="34"/>
    </row>
    <row r="391" spans="6:8" s="27" customFormat="1">
      <c r="F391" s="33"/>
      <c r="H391" s="34"/>
    </row>
    <row r="392" spans="6:8" s="27" customFormat="1">
      <c r="F392" s="33"/>
      <c r="H392" s="34"/>
    </row>
    <row r="393" spans="6:8" s="27" customFormat="1">
      <c r="F393" s="33"/>
      <c r="H393" s="34"/>
    </row>
    <row r="394" spans="6:8" s="27" customFormat="1">
      <c r="F394" s="33"/>
      <c r="H394" s="34"/>
    </row>
    <row r="395" spans="6:8" s="27" customFormat="1">
      <c r="F395" s="33"/>
      <c r="H395" s="34"/>
    </row>
    <row r="396" spans="6:8" s="27" customFormat="1">
      <c r="F396" s="33"/>
      <c r="H396" s="34"/>
    </row>
    <row r="397" spans="6:8" s="27" customFormat="1">
      <c r="F397" s="33"/>
      <c r="H397" s="34"/>
    </row>
    <row r="398" spans="6:8" s="27" customFormat="1">
      <c r="F398" s="33"/>
      <c r="H398" s="34"/>
    </row>
    <row r="399" spans="6:8" s="27" customFormat="1">
      <c r="F399" s="33"/>
      <c r="H399" s="34"/>
    </row>
    <row r="400" spans="6:8" s="27" customFormat="1">
      <c r="F400" s="33"/>
      <c r="H400" s="34"/>
    </row>
    <row r="401" spans="6:8" s="27" customFormat="1">
      <c r="F401" s="33"/>
      <c r="H401" s="34"/>
    </row>
    <row r="402" spans="6:8" s="27" customFormat="1">
      <c r="F402" s="33"/>
      <c r="H402" s="34"/>
    </row>
    <row r="403" spans="6:8" s="27" customFormat="1">
      <c r="F403" s="33"/>
      <c r="H403" s="34"/>
    </row>
    <row r="404" spans="6:8" s="27" customFormat="1">
      <c r="F404" s="33"/>
      <c r="H404" s="34"/>
    </row>
    <row r="405" spans="6:8" s="27" customFormat="1">
      <c r="F405" s="33"/>
      <c r="H405" s="34"/>
    </row>
    <row r="406" spans="6:8" s="27" customFormat="1">
      <c r="F406" s="33"/>
      <c r="H406" s="34"/>
    </row>
    <row r="407" spans="6:8" s="27" customFormat="1">
      <c r="F407" s="33"/>
      <c r="H407" s="34"/>
    </row>
    <row r="408" spans="6:8" s="27" customFormat="1">
      <c r="F408" s="33"/>
      <c r="H408" s="34"/>
    </row>
    <row r="409" spans="6:8" s="27" customFormat="1">
      <c r="F409" s="33"/>
      <c r="H409" s="34"/>
    </row>
    <row r="410" spans="6:8" s="27" customFormat="1">
      <c r="F410" s="33"/>
      <c r="H410" s="34"/>
    </row>
    <row r="411" spans="6:8" s="27" customFormat="1">
      <c r="F411" s="33"/>
      <c r="H411" s="34"/>
    </row>
    <row r="412" spans="6:8" s="27" customFormat="1">
      <c r="F412" s="33"/>
      <c r="H412" s="34"/>
    </row>
    <row r="413" spans="6:8" s="27" customFormat="1">
      <c r="F413" s="33"/>
      <c r="H413" s="34"/>
    </row>
    <row r="414" spans="6:8" s="27" customFormat="1">
      <c r="F414" s="33"/>
      <c r="H414" s="34"/>
    </row>
    <row r="415" spans="6:8" s="27" customFormat="1">
      <c r="F415" s="33"/>
      <c r="H415" s="34"/>
    </row>
    <row r="416" spans="6:8" s="27" customFormat="1">
      <c r="F416" s="33"/>
      <c r="H416" s="34"/>
    </row>
    <row r="417" spans="6:8" s="27" customFormat="1">
      <c r="F417" s="33"/>
      <c r="H417" s="34"/>
    </row>
    <row r="418" spans="6:8" s="27" customFormat="1">
      <c r="F418" s="33"/>
      <c r="H418" s="34"/>
    </row>
    <row r="419" spans="6:8" s="27" customFormat="1">
      <c r="F419" s="33"/>
      <c r="H419" s="34"/>
    </row>
    <row r="420" spans="6:8" s="27" customFormat="1">
      <c r="F420" s="33"/>
      <c r="H420" s="34"/>
    </row>
    <row r="421" spans="6:8" s="27" customFormat="1">
      <c r="F421" s="33"/>
      <c r="H421" s="34"/>
    </row>
    <row r="422" spans="6:8" s="27" customFormat="1">
      <c r="F422" s="33"/>
      <c r="H422" s="34"/>
    </row>
    <row r="423" spans="6:8" s="27" customFormat="1">
      <c r="F423" s="33"/>
      <c r="H423" s="34"/>
    </row>
    <row r="424" spans="6:8" s="27" customFormat="1">
      <c r="F424" s="33"/>
      <c r="H424" s="34"/>
    </row>
    <row r="425" spans="6:8" s="27" customFormat="1">
      <c r="F425" s="33"/>
      <c r="H425" s="34"/>
    </row>
    <row r="426" spans="6:8" s="27" customFormat="1">
      <c r="F426" s="33"/>
      <c r="H426" s="34"/>
    </row>
    <row r="427" spans="6:8" s="27" customFormat="1">
      <c r="F427" s="33"/>
      <c r="H427" s="34"/>
    </row>
    <row r="428" spans="6:8" s="27" customFormat="1">
      <c r="F428" s="33"/>
      <c r="H428" s="34"/>
    </row>
    <row r="429" spans="6:8" s="27" customFormat="1">
      <c r="F429" s="33"/>
      <c r="H429" s="34"/>
    </row>
    <row r="430" spans="6:8" s="27" customFormat="1">
      <c r="F430" s="33"/>
      <c r="H430" s="34"/>
    </row>
    <row r="431" spans="6:8" s="27" customFormat="1">
      <c r="F431" s="33"/>
      <c r="H431" s="34"/>
    </row>
    <row r="432" spans="6:8" s="27" customFormat="1">
      <c r="F432" s="33"/>
      <c r="H432" s="34"/>
    </row>
    <row r="433" spans="6:8" s="27" customFormat="1">
      <c r="F433" s="33"/>
      <c r="H433" s="34"/>
    </row>
    <row r="434" spans="6:8" s="27" customFormat="1">
      <c r="F434" s="33"/>
      <c r="H434" s="34"/>
    </row>
    <row r="435" spans="6:8" s="27" customFormat="1">
      <c r="F435" s="33"/>
      <c r="H435" s="34"/>
    </row>
    <row r="436" spans="6:8" s="27" customFormat="1">
      <c r="F436" s="33"/>
      <c r="H436" s="34"/>
    </row>
    <row r="437" spans="6:8" s="27" customFormat="1">
      <c r="F437" s="33"/>
      <c r="H437" s="34"/>
    </row>
    <row r="438" spans="6:8" s="27" customFormat="1">
      <c r="F438" s="33"/>
      <c r="H438" s="34"/>
    </row>
    <row r="439" spans="6:8" s="27" customFormat="1">
      <c r="F439" s="33"/>
      <c r="H439" s="34"/>
    </row>
    <row r="440" spans="6:8" s="27" customFormat="1">
      <c r="F440" s="33"/>
      <c r="H440" s="34"/>
    </row>
    <row r="441" spans="6:8" s="27" customFormat="1">
      <c r="F441" s="33"/>
      <c r="H441" s="34"/>
    </row>
    <row r="442" spans="6:8" s="27" customFormat="1">
      <c r="F442" s="33"/>
      <c r="H442" s="34"/>
    </row>
    <row r="443" spans="6:8" s="27" customFormat="1">
      <c r="F443" s="33"/>
      <c r="H443" s="34"/>
    </row>
    <row r="444" spans="6:8" s="27" customFormat="1">
      <c r="F444" s="33"/>
      <c r="H444" s="34"/>
    </row>
    <row r="445" spans="6:8" s="27" customFormat="1">
      <c r="F445" s="33"/>
      <c r="H445" s="34"/>
    </row>
    <row r="446" spans="6:8" s="27" customFormat="1">
      <c r="F446" s="33"/>
      <c r="H446" s="34"/>
    </row>
    <row r="447" spans="6:8" s="27" customFormat="1">
      <c r="F447" s="33"/>
      <c r="H447" s="34"/>
    </row>
    <row r="448" spans="6:8" s="27" customFormat="1">
      <c r="F448" s="33"/>
      <c r="H448" s="34"/>
    </row>
    <row r="449" spans="6:8" s="27" customFormat="1">
      <c r="F449" s="33"/>
      <c r="H449" s="34"/>
    </row>
    <row r="450" spans="6:8" s="27" customFormat="1">
      <c r="F450" s="33"/>
      <c r="H450" s="34"/>
    </row>
    <row r="451" spans="6:8" s="27" customFormat="1">
      <c r="F451" s="33"/>
      <c r="H451" s="34"/>
    </row>
    <row r="452" spans="6:8" s="27" customFormat="1">
      <c r="F452" s="33"/>
      <c r="H452" s="34"/>
    </row>
    <row r="453" spans="6:8" s="27" customFormat="1">
      <c r="F453" s="33"/>
      <c r="H453" s="34"/>
    </row>
    <row r="454" spans="6:8" s="27" customFormat="1">
      <c r="F454" s="33"/>
      <c r="H454" s="34"/>
    </row>
    <row r="455" spans="6:8" s="27" customFormat="1">
      <c r="F455" s="33"/>
      <c r="H455" s="34"/>
    </row>
    <row r="456" spans="6:8" s="27" customFormat="1">
      <c r="F456" s="33"/>
      <c r="H456" s="34"/>
    </row>
    <row r="457" spans="6:8" s="27" customFormat="1">
      <c r="F457" s="33"/>
      <c r="H457" s="34"/>
    </row>
    <row r="458" spans="6:8" s="27" customFormat="1">
      <c r="F458" s="33"/>
      <c r="H458" s="34"/>
    </row>
    <row r="459" spans="6:8" s="27" customFormat="1">
      <c r="F459" s="33"/>
      <c r="H459" s="34"/>
    </row>
    <row r="460" spans="6:8" s="27" customFormat="1">
      <c r="F460" s="33"/>
      <c r="H460" s="34"/>
    </row>
    <row r="461" spans="6:8" s="27" customFormat="1">
      <c r="F461" s="33"/>
      <c r="H461" s="34"/>
    </row>
    <row r="462" spans="6:8" s="27" customFormat="1">
      <c r="F462" s="33"/>
      <c r="H462" s="34"/>
    </row>
    <row r="463" spans="6:8" s="27" customFormat="1">
      <c r="F463" s="33"/>
      <c r="H463" s="34"/>
    </row>
    <row r="464" spans="6:8" s="27" customFormat="1">
      <c r="F464" s="33"/>
      <c r="H464" s="34"/>
    </row>
    <row r="465" spans="6:8" s="27" customFormat="1">
      <c r="F465" s="33"/>
      <c r="H465" s="34"/>
    </row>
    <row r="466" spans="6:8" s="27" customFormat="1">
      <c r="F466" s="33"/>
      <c r="H466" s="34"/>
    </row>
    <row r="467" spans="6:8" s="27" customFormat="1">
      <c r="F467" s="33"/>
      <c r="H467" s="34"/>
    </row>
    <row r="468" spans="6:8" s="27" customFormat="1">
      <c r="F468" s="33"/>
      <c r="H468" s="34"/>
    </row>
    <row r="469" spans="6:8" s="27" customFormat="1">
      <c r="F469" s="33"/>
      <c r="H469" s="34"/>
    </row>
    <row r="470" spans="6:8" s="27" customFormat="1">
      <c r="F470" s="33"/>
      <c r="H470" s="34"/>
    </row>
    <row r="471" spans="6:8" s="27" customFormat="1">
      <c r="F471" s="33"/>
      <c r="H471" s="34"/>
    </row>
    <row r="472" spans="6:8" s="27" customFormat="1">
      <c r="F472" s="33"/>
      <c r="H472" s="34"/>
    </row>
    <row r="473" spans="6:8" s="27" customFormat="1">
      <c r="F473" s="33"/>
      <c r="H473" s="34"/>
    </row>
    <row r="474" spans="6:8" s="27" customFormat="1">
      <c r="F474" s="33"/>
      <c r="H474" s="34"/>
    </row>
    <row r="475" spans="6:8" s="27" customFormat="1">
      <c r="F475" s="33"/>
      <c r="H475" s="34"/>
    </row>
    <row r="476" spans="6:8" s="27" customFormat="1">
      <c r="F476" s="33"/>
      <c r="H476" s="34"/>
    </row>
    <row r="477" spans="6:8" s="27" customFormat="1">
      <c r="F477" s="33"/>
      <c r="H477" s="34"/>
    </row>
    <row r="478" spans="6:8" s="27" customFormat="1">
      <c r="F478" s="33"/>
      <c r="H478" s="34"/>
    </row>
    <row r="479" spans="6:8" s="27" customFormat="1">
      <c r="F479" s="33"/>
      <c r="H479" s="34"/>
    </row>
    <row r="480" spans="6:8" s="27" customFormat="1">
      <c r="F480" s="33"/>
      <c r="H480" s="34"/>
    </row>
    <row r="481" spans="6:8" s="27" customFormat="1">
      <c r="F481" s="33"/>
      <c r="H481" s="34"/>
    </row>
    <row r="482" spans="6:8" s="27" customFormat="1">
      <c r="F482" s="33"/>
      <c r="H482" s="34"/>
    </row>
    <row r="483" spans="6:8" s="27" customFormat="1">
      <c r="F483" s="33"/>
      <c r="H483" s="34"/>
    </row>
    <row r="484" spans="6:8" s="27" customFormat="1">
      <c r="F484" s="33"/>
      <c r="H484" s="34"/>
    </row>
    <row r="485" spans="6:8" s="27" customFormat="1">
      <c r="F485" s="33"/>
      <c r="H485" s="34"/>
    </row>
    <row r="486" spans="6:8" s="27" customFormat="1">
      <c r="F486" s="33"/>
      <c r="H486" s="34"/>
    </row>
    <row r="487" spans="6:8" s="27" customFormat="1">
      <c r="F487" s="33"/>
      <c r="H487" s="34"/>
    </row>
    <row r="488" spans="6:8" s="27" customFormat="1">
      <c r="F488" s="33"/>
      <c r="H488" s="34"/>
    </row>
    <row r="489" spans="6:8" s="27" customFormat="1">
      <c r="F489" s="33"/>
      <c r="H489" s="34"/>
    </row>
    <row r="490" spans="6:8" s="27" customFormat="1">
      <c r="F490" s="33"/>
      <c r="H490" s="34"/>
    </row>
    <row r="491" spans="6:8" s="27" customFormat="1">
      <c r="F491" s="33"/>
      <c r="H491" s="34"/>
    </row>
    <row r="492" spans="6:8" s="27" customFormat="1">
      <c r="F492" s="33"/>
      <c r="H492" s="34"/>
    </row>
    <row r="493" spans="6:8" s="27" customFormat="1">
      <c r="F493" s="33"/>
      <c r="H493" s="34"/>
    </row>
    <row r="494" spans="6:8" s="27" customFormat="1">
      <c r="F494" s="33"/>
      <c r="H494" s="34"/>
    </row>
    <row r="495" spans="6:8" s="27" customFormat="1">
      <c r="F495" s="33"/>
      <c r="H495" s="34"/>
    </row>
    <row r="496" spans="6:8" s="27" customFormat="1">
      <c r="F496" s="33"/>
      <c r="H496" s="34"/>
    </row>
    <row r="497" spans="6:8" s="27" customFormat="1">
      <c r="F497" s="33"/>
      <c r="H497" s="34"/>
    </row>
    <row r="498" spans="6:8" s="27" customFormat="1">
      <c r="F498" s="33"/>
      <c r="H498" s="34"/>
    </row>
    <row r="499" spans="6:8" s="27" customFormat="1">
      <c r="F499" s="33"/>
      <c r="H499" s="34"/>
    </row>
    <row r="500" spans="6:8" s="27" customFormat="1">
      <c r="F500" s="33"/>
      <c r="H500" s="34"/>
    </row>
    <row r="501" spans="6:8" s="27" customFormat="1">
      <c r="F501" s="33"/>
      <c r="H501" s="34"/>
    </row>
    <row r="502" spans="6:8" s="27" customFormat="1">
      <c r="F502" s="33"/>
      <c r="H502" s="34"/>
    </row>
    <row r="503" spans="6:8" s="27" customFormat="1">
      <c r="F503" s="33"/>
      <c r="H503" s="34"/>
    </row>
    <row r="504" spans="6:8" s="27" customFormat="1">
      <c r="F504" s="33"/>
      <c r="H504" s="34"/>
    </row>
    <row r="505" spans="6:8" s="27" customFormat="1">
      <c r="F505" s="33"/>
      <c r="H505" s="34"/>
    </row>
    <row r="506" spans="6:8" s="27" customFormat="1">
      <c r="F506" s="33"/>
      <c r="H506" s="34"/>
    </row>
    <row r="507" spans="6:8" s="27" customFormat="1">
      <c r="F507" s="33"/>
      <c r="H507" s="34"/>
    </row>
    <row r="508" spans="6:8" s="27" customFormat="1">
      <c r="F508" s="33"/>
      <c r="H508" s="34"/>
    </row>
    <row r="509" spans="6:8" s="27" customFormat="1">
      <c r="F509" s="33"/>
      <c r="H509" s="34"/>
    </row>
    <row r="510" spans="6:8" s="27" customFormat="1">
      <c r="F510" s="33"/>
      <c r="H510" s="34"/>
    </row>
    <row r="511" spans="6:8" s="27" customFormat="1">
      <c r="F511" s="33"/>
      <c r="H511" s="34"/>
    </row>
    <row r="512" spans="6:8" s="27" customFormat="1">
      <c r="F512" s="33"/>
      <c r="H512" s="34"/>
    </row>
    <row r="513" spans="6:8" s="27" customFormat="1">
      <c r="F513" s="33"/>
      <c r="H513" s="34"/>
    </row>
    <row r="514" spans="6:8" s="27" customFormat="1">
      <c r="F514" s="33"/>
      <c r="H514" s="34"/>
    </row>
    <row r="515" spans="6:8" s="27" customFormat="1">
      <c r="F515" s="33"/>
      <c r="H515" s="34"/>
    </row>
    <row r="516" spans="6:8" s="27" customFormat="1">
      <c r="F516" s="33"/>
      <c r="H516" s="34"/>
    </row>
    <row r="517" spans="6:8" s="27" customFormat="1">
      <c r="F517" s="33"/>
      <c r="H517" s="34"/>
    </row>
    <row r="518" spans="6:8" s="27" customFormat="1">
      <c r="F518" s="33"/>
      <c r="H518" s="34"/>
    </row>
    <row r="519" spans="6:8" s="27" customFormat="1">
      <c r="F519" s="33"/>
      <c r="H519" s="34"/>
    </row>
    <row r="520" spans="6:8" s="27" customFormat="1">
      <c r="F520" s="33"/>
      <c r="H520" s="34"/>
    </row>
    <row r="521" spans="6:8" s="27" customFormat="1">
      <c r="F521" s="33"/>
      <c r="H521" s="34"/>
    </row>
    <row r="522" spans="6:8" s="27" customFormat="1">
      <c r="F522" s="33"/>
      <c r="H522" s="34"/>
    </row>
    <row r="523" spans="6:8" s="27" customFormat="1">
      <c r="F523" s="33"/>
      <c r="H523" s="34"/>
    </row>
    <row r="524" spans="6:8" s="27" customFormat="1">
      <c r="F524" s="33"/>
      <c r="H524" s="34"/>
    </row>
    <row r="525" spans="6:8" s="27" customFormat="1">
      <c r="F525" s="33"/>
      <c r="H525" s="34"/>
    </row>
    <row r="526" spans="6:8" s="27" customFormat="1">
      <c r="F526" s="33"/>
      <c r="H526" s="34"/>
    </row>
    <row r="527" spans="6:8" s="27" customFormat="1">
      <c r="F527" s="33"/>
      <c r="H527" s="34"/>
    </row>
    <row r="528" spans="6:8" s="27" customFormat="1">
      <c r="F528" s="33"/>
      <c r="H528" s="34"/>
    </row>
    <row r="529" spans="6:8" s="27" customFormat="1">
      <c r="F529" s="33"/>
      <c r="H529" s="34"/>
    </row>
    <row r="530" spans="6:8" s="27" customFormat="1">
      <c r="F530" s="33"/>
      <c r="H530" s="34"/>
    </row>
    <row r="531" spans="6:8" s="27" customFormat="1">
      <c r="F531" s="33"/>
      <c r="H531" s="34"/>
    </row>
    <row r="532" spans="6:8" s="27" customFormat="1">
      <c r="F532" s="33"/>
      <c r="H532" s="34"/>
    </row>
    <row r="533" spans="6:8" s="27" customFormat="1">
      <c r="F533" s="33"/>
      <c r="H533" s="34"/>
    </row>
    <row r="534" spans="6:8" s="27" customFormat="1">
      <c r="F534" s="33"/>
      <c r="H534" s="34"/>
    </row>
    <row r="535" spans="6:8" s="27" customFormat="1">
      <c r="F535" s="33"/>
      <c r="H535" s="34"/>
    </row>
    <row r="536" spans="6:8" s="27" customFormat="1">
      <c r="F536" s="33"/>
      <c r="H536" s="34"/>
    </row>
    <row r="537" spans="6:8" s="27" customFormat="1">
      <c r="F537" s="33"/>
      <c r="H537" s="34"/>
    </row>
    <row r="538" spans="6:8" s="27" customFormat="1">
      <c r="F538" s="33"/>
      <c r="H538" s="34"/>
    </row>
    <row r="539" spans="6:8" s="27" customFormat="1">
      <c r="F539" s="33"/>
      <c r="H539" s="34"/>
    </row>
    <row r="540" spans="6:8" s="27" customFormat="1">
      <c r="F540" s="33"/>
      <c r="H540" s="34"/>
    </row>
    <row r="541" spans="6:8" s="27" customFormat="1">
      <c r="F541" s="33"/>
      <c r="H541" s="34"/>
    </row>
    <row r="542" spans="6:8" s="27" customFormat="1">
      <c r="F542" s="33"/>
      <c r="H542" s="34"/>
    </row>
    <row r="543" spans="6:8" s="27" customFormat="1">
      <c r="F543" s="33"/>
      <c r="H543" s="34"/>
    </row>
    <row r="544" spans="6:8" s="27" customFormat="1">
      <c r="F544" s="33"/>
      <c r="H544" s="34"/>
    </row>
    <row r="545" spans="6:8" s="27" customFormat="1">
      <c r="F545" s="33"/>
      <c r="H545" s="34"/>
    </row>
    <row r="546" spans="6:8" s="27" customFormat="1">
      <c r="F546" s="33"/>
      <c r="H546" s="34"/>
    </row>
    <row r="547" spans="6:8" s="27" customFormat="1">
      <c r="F547" s="33"/>
      <c r="H547" s="34"/>
    </row>
    <row r="548" spans="6:8" s="27" customFormat="1">
      <c r="F548" s="33"/>
      <c r="H548" s="34"/>
    </row>
    <row r="549" spans="6:8" s="27" customFormat="1">
      <c r="F549" s="33"/>
      <c r="H549" s="34"/>
    </row>
    <row r="550" spans="6:8" s="27" customFormat="1">
      <c r="F550" s="33"/>
      <c r="H550" s="34"/>
    </row>
    <row r="551" spans="6:8" s="27" customFormat="1">
      <c r="F551" s="33"/>
      <c r="H551" s="34"/>
    </row>
    <row r="552" spans="6:8" s="27" customFormat="1">
      <c r="F552" s="33"/>
      <c r="H552" s="34"/>
    </row>
    <row r="553" spans="6:8" s="27" customFormat="1">
      <c r="F553" s="33"/>
      <c r="H553" s="34"/>
    </row>
    <row r="554" spans="6:8" s="27" customFormat="1">
      <c r="F554" s="33"/>
      <c r="H554" s="34"/>
    </row>
    <row r="555" spans="6:8" s="27" customFormat="1">
      <c r="F555" s="33"/>
      <c r="H555" s="34"/>
    </row>
    <row r="556" spans="6:8" s="27" customFormat="1">
      <c r="F556" s="33"/>
      <c r="H556" s="34"/>
    </row>
    <row r="557" spans="6:8" s="27" customFormat="1">
      <c r="F557" s="33"/>
      <c r="H557" s="34"/>
    </row>
    <row r="558" spans="6:8" s="27" customFormat="1">
      <c r="F558" s="33"/>
      <c r="H558" s="34"/>
    </row>
    <row r="559" spans="6:8" s="27" customFormat="1">
      <c r="F559" s="33"/>
      <c r="H559" s="34"/>
    </row>
    <row r="560" spans="6:8" s="27" customFormat="1">
      <c r="F560" s="33"/>
      <c r="H560" s="34"/>
    </row>
    <row r="561" spans="6:8" s="27" customFormat="1">
      <c r="F561" s="33"/>
      <c r="H561" s="34"/>
    </row>
    <row r="562" spans="6:8" s="27" customFormat="1">
      <c r="F562" s="33"/>
      <c r="H562" s="34"/>
    </row>
    <row r="563" spans="6:8" s="27" customFormat="1">
      <c r="F563" s="33"/>
      <c r="H563" s="34"/>
    </row>
    <row r="564" spans="6:8" s="27" customFormat="1">
      <c r="F564" s="33"/>
      <c r="H564" s="34"/>
    </row>
    <row r="565" spans="6:8" s="27" customFormat="1">
      <c r="F565" s="33"/>
      <c r="H565" s="34"/>
    </row>
    <row r="566" spans="6:8" s="27" customFormat="1">
      <c r="F566" s="33"/>
      <c r="H566" s="34"/>
    </row>
    <row r="567" spans="6:8" s="27" customFormat="1">
      <c r="F567" s="33"/>
      <c r="H567" s="34"/>
    </row>
    <row r="568" spans="6:8" s="27" customFormat="1">
      <c r="F568" s="33"/>
      <c r="H568" s="34"/>
    </row>
    <row r="569" spans="6:8" s="27" customFormat="1">
      <c r="F569" s="33"/>
      <c r="H569" s="34"/>
    </row>
    <row r="570" spans="6:8" s="27" customFormat="1">
      <c r="F570" s="33"/>
      <c r="H570" s="34"/>
    </row>
    <row r="571" spans="6:8" s="27" customFormat="1">
      <c r="F571" s="33"/>
      <c r="H571" s="34"/>
    </row>
    <row r="572" spans="6:8" s="27" customFormat="1">
      <c r="F572" s="33"/>
      <c r="H572" s="34"/>
    </row>
    <row r="573" spans="6:8" s="27" customFormat="1">
      <c r="F573" s="33"/>
      <c r="H573" s="34"/>
    </row>
    <row r="574" spans="6:8" s="27" customFormat="1">
      <c r="F574" s="33"/>
      <c r="H574" s="34"/>
    </row>
    <row r="575" spans="6:8" s="27" customFormat="1">
      <c r="F575" s="33"/>
      <c r="H575" s="34"/>
    </row>
    <row r="576" spans="6:8" s="27" customFormat="1">
      <c r="F576" s="33"/>
      <c r="H576" s="34"/>
    </row>
    <row r="577" spans="6:8" s="27" customFormat="1">
      <c r="F577" s="33"/>
      <c r="H577" s="34"/>
    </row>
    <row r="578" spans="6:8" s="27" customFormat="1">
      <c r="F578" s="33"/>
      <c r="H578" s="34"/>
    </row>
    <row r="579" spans="6:8" s="27" customFormat="1">
      <c r="F579" s="33"/>
      <c r="H579" s="34"/>
    </row>
    <row r="580" spans="6:8" s="27" customFormat="1">
      <c r="F580" s="33"/>
      <c r="H580" s="34"/>
    </row>
    <row r="581" spans="6:8" s="27" customFormat="1">
      <c r="F581" s="33"/>
      <c r="H581" s="34"/>
    </row>
    <row r="582" spans="6:8" s="27" customFormat="1">
      <c r="F582" s="33"/>
      <c r="H582" s="34"/>
    </row>
    <row r="583" spans="6:8" s="27" customFormat="1">
      <c r="F583" s="33"/>
      <c r="H583" s="34"/>
    </row>
    <row r="584" spans="6:8" s="27" customFormat="1">
      <c r="F584" s="33"/>
      <c r="H584" s="34"/>
    </row>
    <row r="585" spans="6:8" s="27" customFormat="1">
      <c r="F585" s="33"/>
      <c r="H585" s="34"/>
    </row>
    <row r="586" spans="6:8" s="27" customFormat="1">
      <c r="F586" s="33"/>
      <c r="H586" s="34"/>
    </row>
    <row r="587" spans="6:8" s="27" customFormat="1">
      <c r="F587" s="33"/>
      <c r="H587" s="34"/>
    </row>
    <row r="588" spans="6:8" s="27" customFormat="1">
      <c r="F588" s="33"/>
      <c r="H588" s="34"/>
    </row>
    <row r="589" spans="6:8" s="27" customFormat="1">
      <c r="F589" s="33"/>
      <c r="H589" s="34"/>
    </row>
    <row r="590" spans="6:8" s="27" customFormat="1">
      <c r="F590" s="33"/>
      <c r="H590" s="34"/>
    </row>
    <row r="591" spans="6:8" s="27" customFormat="1">
      <c r="F591" s="33"/>
      <c r="H591" s="34"/>
    </row>
    <row r="592" spans="6:8" s="27" customFormat="1">
      <c r="F592" s="33"/>
      <c r="H592" s="34"/>
    </row>
    <row r="593" spans="6:8" s="27" customFormat="1">
      <c r="F593" s="33"/>
      <c r="H593" s="34"/>
    </row>
    <row r="594" spans="6:8" s="27" customFormat="1">
      <c r="F594" s="33"/>
      <c r="H594" s="34"/>
    </row>
    <row r="595" spans="6:8" s="27" customFormat="1">
      <c r="F595" s="33"/>
      <c r="H595" s="34"/>
    </row>
    <row r="596" spans="6:8" s="27" customFormat="1">
      <c r="F596" s="33"/>
      <c r="H596" s="34"/>
    </row>
    <row r="597" spans="6:8" s="27" customFormat="1">
      <c r="F597" s="33"/>
      <c r="H597" s="34"/>
    </row>
    <row r="598" spans="6:8" s="27" customFormat="1">
      <c r="F598" s="33"/>
      <c r="H598" s="34"/>
    </row>
    <row r="599" spans="6:8" s="27" customFormat="1">
      <c r="F599" s="33"/>
      <c r="H599" s="34"/>
    </row>
    <row r="600" spans="6:8" s="27" customFormat="1">
      <c r="F600" s="33"/>
      <c r="H600" s="34"/>
    </row>
    <row r="601" spans="6:8" s="27" customFormat="1">
      <c r="F601" s="33"/>
      <c r="H601" s="34"/>
    </row>
    <row r="602" spans="6:8" s="27" customFormat="1">
      <c r="F602" s="33"/>
      <c r="H602" s="34"/>
    </row>
    <row r="603" spans="6:8" s="27" customFormat="1">
      <c r="F603" s="33"/>
      <c r="H603" s="34"/>
    </row>
    <row r="604" spans="6:8" s="27" customFormat="1">
      <c r="F604" s="33"/>
      <c r="H604" s="34"/>
    </row>
    <row r="605" spans="6:8" s="27" customFormat="1">
      <c r="F605" s="33"/>
      <c r="H605" s="34"/>
    </row>
    <row r="606" spans="6:8" s="27" customFormat="1">
      <c r="F606" s="33"/>
      <c r="H606" s="34"/>
    </row>
    <row r="607" spans="6:8" s="27" customFormat="1">
      <c r="F607" s="33"/>
      <c r="H607" s="34"/>
    </row>
    <row r="608" spans="6:8" s="27" customFormat="1">
      <c r="F608" s="33"/>
      <c r="H608" s="34"/>
    </row>
    <row r="609" spans="6:8" s="27" customFormat="1">
      <c r="F609" s="33"/>
      <c r="H609" s="34"/>
    </row>
    <row r="610" spans="6:8" s="27" customFormat="1">
      <c r="F610" s="33"/>
      <c r="H610" s="34"/>
    </row>
    <row r="611" spans="6:8" s="27" customFormat="1">
      <c r="F611" s="33"/>
      <c r="H611" s="34"/>
    </row>
    <row r="612" spans="6:8" s="27" customFormat="1">
      <c r="F612" s="33"/>
      <c r="H612" s="34"/>
    </row>
    <row r="613" spans="6:8" s="27" customFormat="1">
      <c r="F613" s="33"/>
      <c r="H613" s="34"/>
    </row>
    <row r="614" spans="6:8" s="27" customFormat="1">
      <c r="F614" s="33"/>
      <c r="H614" s="34"/>
    </row>
    <row r="615" spans="6:8" s="27" customFormat="1">
      <c r="F615" s="33"/>
      <c r="H615" s="34"/>
    </row>
    <row r="616" spans="6:8" s="27" customFormat="1">
      <c r="F616" s="33"/>
      <c r="H616" s="34"/>
    </row>
    <row r="617" spans="6:8" s="27" customFormat="1">
      <c r="F617" s="33"/>
      <c r="H617" s="34"/>
    </row>
    <row r="618" spans="6:8" s="27" customFormat="1">
      <c r="F618" s="33"/>
      <c r="H618" s="34"/>
    </row>
    <row r="619" spans="6:8" s="27" customFormat="1">
      <c r="F619" s="33"/>
      <c r="H619" s="34"/>
    </row>
    <row r="620" spans="6:8" s="27" customFormat="1">
      <c r="F620" s="33"/>
      <c r="H620" s="34"/>
    </row>
    <row r="621" spans="6:8" s="27" customFormat="1">
      <c r="F621" s="33"/>
      <c r="H621" s="34"/>
    </row>
    <row r="622" spans="6:8" s="27" customFormat="1">
      <c r="F622" s="33"/>
      <c r="H622" s="34"/>
    </row>
    <row r="623" spans="6:8" s="27" customFormat="1">
      <c r="F623" s="33"/>
      <c r="H623" s="34"/>
    </row>
    <row r="624" spans="6:8" s="27" customFormat="1">
      <c r="F624" s="33"/>
      <c r="H624" s="34"/>
    </row>
    <row r="625" spans="6:8" s="27" customFormat="1">
      <c r="F625" s="33"/>
      <c r="H625" s="34"/>
    </row>
    <row r="626" spans="6:8" s="27" customFormat="1">
      <c r="F626" s="33"/>
      <c r="H626" s="34"/>
    </row>
    <row r="627" spans="6:8" s="27" customFormat="1">
      <c r="F627" s="33"/>
      <c r="H627" s="34"/>
    </row>
    <row r="628" spans="6:8" s="27" customFormat="1">
      <c r="F628" s="33"/>
      <c r="H628" s="34"/>
    </row>
    <row r="629" spans="6:8" s="27" customFormat="1">
      <c r="F629" s="33"/>
      <c r="H629" s="34"/>
    </row>
    <row r="630" spans="6:8" s="27" customFormat="1">
      <c r="F630" s="33"/>
      <c r="H630" s="34"/>
    </row>
    <row r="631" spans="6:8" s="27" customFormat="1">
      <c r="F631" s="33"/>
      <c r="H631" s="34"/>
    </row>
    <row r="632" spans="6:8" s="27" customFormat="1">
      <c r="F632" s="33"/>
      <c r="H632" s="34"/>
    </row>
    <row r="633" spans="6:8" s="27" customFormat="1">
      <c r="F633" s="33"/>
      <c r="H633" s="34"/>
    </row>
    <row r="634" spans="6:8" s="27" customFormat="1">
      <c r="F634" s="33"/>
      <c r="H634" s="34"/>
    </row>
    <row r="635" spans="6:8" s="27" customFormat="1">
      <c r="F635" s="33"/>
      <c r="H635" s="34"/>
    </row>
    <row r="636" spans="6:8" s="27" customFormat="1">
      <c r="F636" s="33"/>
      <c r="H636" s="34"/>
    </row>
    <row r="637" spans="6:8" s="27" customFormat="1">
      <c r="F637" s="33"/>
      <c r="H637" s="34"/>
    </row>
    <row r="638" spans="6:8" s="27" customFormat="1">
      <c r="F638" s="33"/>
      <c r="H638" s="34"/>
    </row>
    <row r="639" spans="6:8" s="27" customFormat="1">
      <c r="F639" s="33"/>
      <c r="H639" s="34"/>
    </row>
    <row r="640" spans="6:8" s="27" customFormat="1">
      <c r="F640" s="33"/>
      <c r="H640" s="34"/>
    </row>
    <row r="641" spans="6:8" s="27" customFormat="1">
      <c r="F641" s="33"/>
      <c r="H641" s="34"/>
    </row>
    <row r="642" spans="6:8" s="27" customFormat="1">
      <c r="F642" s="33"/>
      <c r="H642" s="34"/>
    </row>
    <row r="643" spans="6:8" s="27" customFormat="1">
      <c r="F643" s="33"/>
      <c r="H643" s="34"/>
    </row>
    <row r="644" spans="6:8" s="27" customFormat="1">
      <c r="F644" s="33"/>
      <c r="H644" s="34"/>
    </row>
    <row r="645" spans="6:8" s="27" customFormat="1">
      <c r="F645" s="33"/>
      <c r="H645" s="34"/>
    </row>
    <row r="646" spans="6:8" s="27" customFormat="1">
      <c r="F646" s="33"/>
      <c r="H646" s="34"/>
    </row>
    <row r="647" spans="6:8" s="27" customFormat="1">
      <c r="F647" s="33"/>
      <c r="H647" s="34"/>
    </row>
    <row r="648" spans="6:8" s="27" customFormat="1">
      <c r="F648" s="33"/>
      <c r="H648" s="34"/>
    </row>
    <row r="649" spans="6:8" s="27" customFormat="1">
      <c r="F649" s="33"/>
      <c r="H649" s="34"/>
    </row>
    <row r="650" spans="6:8" s="27" customFormat="1">
      <c r="F650" s="33"/>
      <c r="H650" s="34"/>
    </row>
    <row r="651" spans="6:8" s="27" customFormat="1">
      <c r="F651" s="33"/>
      <c r="H651" s="34"/>
    </row>
    <row r="652" spans="6:8" s="27" customFormat="1">
      <c r="F652" s="33"/>
      <c r="H652" s="34"/>
    </row>
    <row r="653" spans="6:8" s="27" customFormat="1">
      <c r="F653" s="33"/>
      <c r="H653" s="34"/>
    </row>
    <row r="654" spans="6:8" s="27" customFormat="1">
      <c r="F654" s="33"/>
      <c r="H654" s="34"/>
    </row>
    <row r="655" spans="6:8" s="27" customFormat="1">
      <c r="F655" s="33"/>
      <c r="H655" s="34"/>
    </row>
    <row r="656" spans="6:8" s="27" customFormat="1">
      <c r="F656" s="33"/>
      <c r="H656" s="34"/>
    </row>
    <row r="657" spans="6:8" s="27" customFormat="1">
      <c r="F657" s="33"/>
      <c r="H657" s="34"/>
    </row>
    <row r="658" spans="6:8" s="27" customFormat="1">
      <c r="F658" s="33"/>
      <c r="H658" s="34"/>
    </row>
    <row r="659" spans="6:8" s="27" customFormat="1">
      <c r="F659" s="33"/>
      <c r="H659" s="34"/>
    </row>
    <row r="660" spans="6:8" s="27" customFormat="1">
      <c r="F660" s="33"/>
      <c r="H660" s="34"/>
    </row>
    <row r="661" spans="6:8" s="27" customFormat="1">
      <c r="F661" s="33"/>
      <c r="H661" s="34"/>
    </row>
    <row r="662" spans="6:8" s="27" customFormat="1">
      <c r="F662" s="33"/>
      <c r="H662" s="34"/>
    </row>
    <row r="663" spans="6:8" s="27" customFormat="1">
      <c r="F663" s="33"/>
      <c r="H663" s="34"/>
    </row>
    <row r="664" spans="6:8" s="27" customFormat="1">
      <c r="F664" s="33"/>
      <c r="H664" s="34"/>
    </row>
    <row r="665" spans="6:8" s="27" customFormat="1">
      <c r="F665" s="33"/>
      <c r="H665" s="34"/>
    </row>
    <row r="666" spans="6:8" s="27" customFormat="1">
      <c r="F666" s="33"/>
      <c r="H666" s="34"/>
    </row>
    <row r="667" spans="6:8" s="27" customFormat="1">
      <c r="F667" s="33"/>
      <c r="H667" s="34"/>
    </row>
    <row r="668" spans="6:8" s="27" customFormat="1">
      <c r="F668" s="33"/>
      <c r="H668" s="34"/>
    </row>
    <row r="669" spans="6:8" s="27" customFormat="1">
      <c r="F669" s="33"/>
      <c r="H669" s="34"/>
    </row>
    <row r="670" spans="6:8" s="27" customFormat="1">
      <c r="F670" s="33"/>
      <c r="H670" s="34"/>
    </row>
    <row r="671" spans="6:8" s="27" customFormat="1">
      <c r="F671" s="33"/>
      <c r="H671" s="34"/>
    </row>
    <row r="672" spans="6:8" s="27" customFormat="1">
      <c r="F672" s="33"/>
      <c r="H672" s="34"/>
    </row>
    <row r="673" spans="6:8" s="27" customFormat="1">
      <c r="F673" s="33"/>
      <c r="H673" s="34"/>
    </row>
    <row r="674" spans="6:8" s="27" customFormat="1">
      <c r="F674" s="33"/>
      <c r="H674" s="34"/>
    </row>
    <row r="675" spans="6:8" s="27" customFormat="1">
      <c r="F675" s="33"/>
      <c r="H675" s="34"/>
    </row>
    <row r="676" spans="6:8" s="27" customFormat="1">
      <c r="F676" s="33"/>
      <c r="H676" s="34"/>
    </row>
    <row r="677" spans="6:8" s="27" customFormat="1">
      <c r="F677" s="33"/>
      <c r="H677" s="34"/>
    </row>
    <row r="678" spans="6:8" s="27" customFormat="1">
      <c r="F678" s="33"/>
      <c r="H678" s="34"/>
    </row>
    <row r="679" spans="6:8" s="27" customFormat="1">
      <c r="F679" s="33"/>
      <c r="H679" s="34"/>
    </row>
    <row r="680" spans="6:8" s="27" customFormat="1">
      <c r="F680" s="33"/>
      <c r="H680" s="34"/>
    </row>
    <row r="681" spans="6:8" s="27" customFormat="1">
      <c r="F681" s="33"/>
      <c r="H681" s="34"/>
    </row>
    <row r="682" spans="6:8" s="27" customFormat="1">
      <c r="F682" s="33"/>
      <c r="H682" s="34"/>
    </row>
    <row r="683" spans="6:8" s="27" customFormat="1">
      <c r="F683" s="33"/>
      <c r="H683" s="34"/>
    </row>
    <row r="684" spans="6:8" s="27" customFormat="1">
      <c r="F684" s="33"/>
      <c r="H684" s="34"/>
    </row>
    <row r="685" spans="6:8" s="27" customFormat="1">
      <c r="F685" s="33"/>
      <c r="H685" s="34"/>
    </row>
    <row r="686" spans="6:8" s="27" customFormat="1">
      <c r="F686" s="33"/>
      <c r="H686" s="34"/>
    </row>
    <row r="687" spans="6:8" s="27" customFormat="1">
      <c r="F687" s="33"/>
      <c r="H687" s="34"/>
    </row>
    <row r="688" spans="6:8" s="27" customFormat="1">
      <c r="F688" s="33"/>
      <c r="H688" s="34"/>
    </row>
    <row r="689" spans="6:8" s="27" customFormat="1">
      <c r="F689" s="33"/>
      <c r="H689" s="34"/>
    </row>
    <row r="690" spans="6:8" s="27" customFormat="1">
      <c r="F690" s="33"/>
      <c r="H690" s="34"/>
    </row>
    <row r="691" spans="6:8" s="27" customFormat="1">
      <c r="F691" s="33"/>
      <c r="H691" s="34"/>
    </row>
    <row r="692" spans="6:8" s="27" customFormat="1">
      <c r="F692" s="33"/>
      <c r="H692" s="34"/>
    </row>
    <row r="693" spans="6:8" s="27" customFormat="1">
      <c r="F693" s="33"/>
      <c r="H693" s="34"/>
    </row>
    <row r="694" spans="6:8" s="27" customFormat="1">
      <c r="F694" s="33"/>
      <c r="H694" s="34"/>
    </row>
    <row r="695" spans="6:8" s="27" customFormat="1">
      <c r="F695" s="33"/>
      <c r="H695" s="34"/>
    </row>
    <row r="696" spans="6:8" s="27" customFormat="1">
      <c r="F696" s="33"/>
      <c r="H696" s="34"/>
    </row>
    <row r="697" spans="6:8" s="27" customFormat="1">
      <c r="F697" s="33"/>
      <c r="H697" s="34"/>
    </row>
    <row r="698" spans="6:8" s="27" customFormat="1">
      <c r="F698" s="33"/>
      <c r="H698" s="34"/>
    </row>
    <row r="699" spans="6:8" s="27" customFormat="1">
      <c r="F699" s="33"/>
      <c r="H699" s="34"/>
    </row>
    <row r="700" spans="6:8" s="27" customFormat="1">
      <c r="F700" s="33"/>
      <c r="H700" s="34"/>
    </row>
    <row r="701" spans="6:8" s="27" customFormat="1">
      <c r="F701" s="33"/>
      <c r="H701" s="34"/>
    </row>
    <row r="702" spans="6:8" s="27" customFormat="1">
      <c r="F702" s="33"/>
      <c r="H702" s="34"/>
    </row>
    <row r="703" spans="6:8" s="27" customFormat="1">
      <c r="F703" s="33"/>
      <c r="H703" s="34"/>
    </row>
    <row r="704" spans="6:8" s="27" customFormat="1">
      <c r="F704" s="33"/>
      <c r="H704" s="34"/>
    </row>
    <row r="705" spans="6:8" s="27" customFormat="1">
      <c r="F705" s="33"/>
      <c r="H705" s="34"/>
    </row>
    <row r="706" spans="6:8" s="27" customFormat="1">
      <c r="F706" s="33"/>
      <c r="H706" s="34"/>
    </row>
    <row r="707" spans="6:8" s="27" customFormat="1">
      <c r="F707" s="33"/>
      <c r="H707" s="34"/>
    </row>
    <row r="708" spans="6:8" s="27" customFormat="1">
      <c r="F708" s="33"/>
      <c r="H708" s="34"/>
    </row>
    <row r="709" spans="6:8" s="27" customFormat="1">
      <c r="F709" s="33"/>
      <c r="H709" s="34"/>
    </row>
    <row r="710" spans="6:8" s="27" customFormat="1">
      <c r="F710" s="33"/>
      <c r="H710" s="34"/>
    </row>
    <row r="711" spans="6:8" s="27" customFormat="1">
      <c r="F711" s="33"/>
      <c r="H711" s="34"/>
    </row>
    <row r="712" spans="6:8" s="27" customFormat="1">
      <c r="F712" s="33"/>
      <c r="H712" s="34"/>
    </row>
    <row r="713" spans="6:8" s="27" customFormat="1">
      <c r="F713" s="33"/>
      <c r="H713" s="34"/>
    </row>
    <row r="714" spans="6:8" s="27" customFormat="1">
      <c r="F714" s="33"/>
      <c r="H714" s="34"/>
    </row>
    <row r="715" spans="6:8" s="27" customFormat="1">
      <c r="F715" s="33"/>
      <c r="H715" s="34"/>
    </row>
    <row r="716" spans="6:8" s="27" customFormat="1">
      <c r="F716" s="33"/>
      <c r="H716" s="34"/>
    </row>
    <row r="717" spans="6:8" s="27" customFormat="1">
      <c r="F717" s="33"/>
      <c r="H717" s="34"/>
    </row>
    <row r="718" spans="6:8" s="27" customFormat="1">
      <c r="F718" s="33"/>
      <c r="H718" s="34"/>
    </row>
    <row r="719" spans="6:8" s="27" customFormat="1">
      <c r="F719" s="33"/>
      <c r="H719" s="34"/>
    </row>
    <row r="720" spans="6:8" s="27" customFormat="1">
      <c r="F720" s="33"/>
      <c r="H720" s="34"/>
    </row>
    <row r="721" spans="6:8" s="27" customFormat="1">
      <c r="F721" s="33"/>
      <c r="H721" s="34"/>
    </row>
    <row r="722" spans="6:8" s="27" customFormat="1">
      <c r="F722" s="33"/>
      <c r="H722" s="34"/>
    </row>
    <row r="723" spans="6:8" s="27" customFormat="1">
      <c r="F723" s="33"/>
      <c r="H723" s="34"/>
    </row>
    <row r="724" spans="6:8" s="27" customFormat="1">
      <c r="F724" s="33"/>
      <c r="H724" s="34"/>
    </row>
    <row r="725" spans="6:8" s="27" customFormat="1">
      <c r="F725" s="33"/>
      <c r="H725" s="34"/>
    </row>
    <row r="726" spans="6:8" s="27" customFormat="1">
      <c r="F726" s="33"/>
      <c r="H726" s="34"/>
    </row>
    <row r="727" spans="6:8" s="27" customFormat="1">
      <c r="F727" s="33"/>
      <c r="H727" s="34"/>
    </row>
    <row r="728" spans="6:8" s="27" customFormat="1">
      <c r="F728" s="33"/>
      <c r="H728" s="34"/>
    </row>
    <row r="729" spans="6:8" s="27" customFormat="1">
      <c r="F729" s="33"/>
      <c r="H729" s="34"/>
    </row>
    <row r="730" spans="6:8" s="27" customFormat="1">
      <c r="F730" s="33"/>
      <c r="H730" s="34"/>
    </row>
    <row r="731" spans="6:8" s="27" customFormat="1">
      <c r="F731" s="33"/>
      <c r="H731" s="34"/>
    </row>
    <row r="732" spans="6:8" s="27" customFormat="1">
      <c r="F732" s="33"/>
      <c r="H732" s="34"/>
    </row>
    <row r="733" spans="6:8" s="27" customFormat="1">
      <c r="F733" s="33"/>
      <c r="H733" s="34"/>
    </row>
    <row r="734" spans="6:8" s="27" customFormat="1">
      <c r="F734" s="33"/>
      <c r="H734" s="34"/>
    </row>
    <row r="735" spans="6:8" s="27" customFormat="1">
      <c r="F735" s="33"/>
      <c r="H735" s="34"/>
    </row>
    <row r="736" spans="6:8" s="27" customFormat="1">
      <c r="F736" s="33"/>
      <c r="H736" s="34"/>
    </row>
    <row r="737" spans="6:8" s="27" customFormat="1">
      <c r="F737" s="33"/>
      <c r="H737" s="34"/>
    </row>
    <row r="738" spans="6:8" s="27" customFormat="1">
      <c r="F738" s="33"/>
      <c r="H738" s="34"/>
    </row>
    <row r="739" spans="6:8" s="27" customFormat="1">
      <c r="F739" s="33"/>
      <c r="H739" s="34"/>
    </row>
    <row r="740" spans="6:8" s="27" customFormat="1">
      <c r="F740" s="33"/>
      <c r="H740" s="34"/>
    </row>
    <row r="741" spans="6:8" s="27" customFormat="1">
      <c r="F741" s="33"/>
      <c r="H741" s="34"/>
    </row>
    <row r="742" spans="6:8" s="27" customFormat="1">
      <c r="F742" s="33"/>
      <c r="H742" s="34"/>
    </row>
    <row r="743" spans="6:8" s="27" customFormat="1">
      <c r="F743" s="33"/>
      <c r="H743" s="34"/>
    </row>
    <row r="744" spans="6:8" s="27" customFormat="1">
      <c r="F744" s="33"/>
      <c r="H744" s="34"/>
    </row>
    <row r="745" spans="6:8" s="27" customFormat="1">
      <c r="F745" s="33"/>
      <c r="H745" s="34"/>
    </row>
    <row r="746" spans="6:8" s="27" customFormat="1">
      <c r="F746" s="33"/>
      <c r="H746" s="34"/>
    </row>
    <row r="747" spans="6:8" s="27" customFormat="1">
      <c r="F747" s="33"/>
      <c r="H747" s="34"/>
    </row>
    <row r="748" spans="6:8" s="27" customFormat="1">
      <c r="F748" s="33"/>
      <c r="H748" s="34"/>
    </row>
    <row r="749" spans="6:8" s="27" customFormat="1">
      <c r="F749" s="33"/>
      <c r="H749" s="34"/>
    </row>
    <row r="750" spans="6:8" s="27" customFormat="1">
      <c r="F750" s="33"/>
      <c r="H750" s="34"/>
    </row>
    <row r="751" spans="6:8" s="27" customFormat="1">
      <c r="F751" s="33"/>
      <c r="H751" s="34"/>
    </row>
    <row r="752" spans="6:8" s="27" customFormat="1">
      <c r="F752" s="33"/>
      <c r="H752" s="34"/>
    </row>
    <row r="753" spans="6:8" s="27" customFormat="1">
      <c r="F753" s="33"/>
      <c r="H753" s="34"/>
    </row>
    <row r="754" spans="6:8" s="27" customFormat="1">
      <c r="F754" s="33"/>
      <c r="H754" s="34"/>
    </row>
    <row r="755" spans="6:8" s="27" customFormat="1">
      <c r="F755" s="33"/>
      <c r="H755" s="34"/>
    </row>
    <row r="756" spans="6:8" s="27" customFormat="1">
      <c r="F756" s="33"/>
      <c r="H756" s="34"/>
    </row>
    <row r="757" spans="6:8" s="27" customFormat="1">
      <c r="F757" s="33"/>
      <c r="H757" s="34"/>
    </row>
    <row r="758" spans="6:8" s="27" customFormat="1">
      <c r="F758" s="33"/>
      <c r="H758" s="34"/>
    </row>
    <row r="759" spans="6:8" s="27" customFormat="1">
      <c r="F759" s="33"/>
      <c r="H759" s="34"/>
    </row>
    <row r="760" spans="6:8" s="27" customFormat="1">
      <c r="F760" s="33"/>
      <c r="H760" s="34"/>
    </row>
    <row r="761" spans="6:8" s="27" customFormat="1">
      <c r="F761" s="33"/>
      <c r="H761" s="34"/>
    </row>
    <row r="762" spans="6:8" s="27" customFormat="1">
      <c r="F762" s="33"/>
      <c r="H762" s="34"/>
    </row>
    <row r="763" spans="6:8" s="27" customFormat="1">
      <c r="F763" s="33"/>
      <c r="H763" s="34"/>
    </row>
    <row r="764" spans="6:8" s="27" customFormat="1">
      <c r="F764" s="33"/>
      <c r="H764" s="34"/>
    </row>
    <row r="765" spans="6:8" s="27" customFormat="1">
      <c r="F765" s="33"/>
      <c r="H765" s="34"/>
    </row>
    <row r="766" spans="6:8" s="27" customFormat="1">
      <c r="F766" s="33"/>
      <c r="H766" s="34"/>
    </row>
    <row r="767" spans="6:8" s="27" customFormat="1">
      <c r="F767" s="33"/>
      <c r="H767" s="34"/>
    </row>
    <row r="768" spans="6:8" s="27" customFormat="1">
      <c r="F768" s="33"/>
      <c r="H768" s="34"/>
    </row>
    <row r="769" spans="6:8" s="27" customFormat="1">
      <c r="F769" s="33"/>
      <c r="H769" s="34"/>
    </row>
    <row r="770" spans="6:8" s="27" customFormat="1">
      <c r="F770" s="33"/>
      <c r="H770" s="34"/>
    </row>
    <row r="771" spans="6:8" s="27" customFormat="1">
      <c r="F771" s="33"/>
      <c r="H771" s="34"/>
    </row>
    <row r="772" spans="6:8" s="27" customFormat="1">
      <c r="F772" s="33"/>
      <c r="H772" s="34"/>
    </row>
    <row r="773" spans="6:8" s="27" customFormat="1">
      <c r="F773" s="33"/>
      <c r="H773" s="34"/>
    </row>
    <row r="774" spans="6:8" s="27" customFormat="1">
      <c r="F774" s="33"/>
      <c r="H774" s="34"/>
    </row>
    <row r="775" spans="6:8" s="27" customFormat="1">
      <c r="F775" s="33"/>
      <c r="H775" s="34"/>
    </row>
    <row r="776" spans="6:8" s="27" customFormat="1">
      <c r="F776" s="33"/>
      <c r="H776" s="34"/>
    </row>
    <row r="777" spans="6:8" s="27" customFormat="1">
      <c r="F777" s="33"/>
      <c r="H777" s="34"/>
    </row>
    <row r="778" spans="6:8" s="27" customFormat="1">
      <c r="F778" s="33"/>
      <c r="H778" s="34"/>
    </row>
    <row r="779" spans="6:8" s="27" customFormat="1">
      <c r="F779" s="33"/>
      <c r="H779" s="34"/>
    </row>
    <row r="780" spans="6:8" s="27" customFormat="1">
      <c r="F780" s="33"/>
      <c r="H780" s="34"/>
    </row>
    <row r="781" spans="6:8" s="27" customFormat="1">
      <c r="F781" s="33"/>
      <c r="H781" s="34"/>
    </row>
    <row r="782" spans="6:8" s="27" customFormat="1">
      <c r="F782" s="33"/>
      <c r="H782" s="34"/>
    </row>
    <row r="783" spans="6:8" s="27" customFormat="1">
      <c r="F783" s="33"/>
      <c r="H783" s="34"/>
    </row>
    <row r="784" spans="6:8" s="27" customFormat="1">
      <c r="F784" s="33"/>
      <c r="H784" s="34"/>
    </row>
    <row r="785" spans="6:8" s="27" customFormat="1">
      <c r="F785" s="33"/>
      <c r="H785" s="34"/>
    </row>
    <row r="786" spans="6:8" s="27" customFormat="1">
      <c r="F786" s="33"/>
      <c r="H786" s="34"/>
    </row>
    <row r="787" spans="6:8" s="27" customFormat="1">
      <c r="F787" s="33"/>
      <c r="H787" s="34"/>
    </row>
    <row r="788" spans="6:8" s="27" customFormat="1">
      <c r="F788" s="33"/>
      <c r="H788" s="34"/>
    </row>
    <row r="789" spans="6:8" s="27" customFormat="1">
      <c r="F789" s="33"/>
      <c r="H789" s="34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792"/>
  <sheetViews>
    <sheetView zoomScaleNormal="100" workbookViewId="0"/>
  </sheetViews>
  <sheetFormatPr defaultRowHeight="12.75"/>
  <cols>
    <col min="1" max="1" width="3.42578125" style="27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89" width="9.140625" style="27"/>
  </cols>
  <sheetData>
    <row r="1" spans="1:9" ht="15.95" customHeight="1">
      <c r="A1" s="24"/>
      <c r="B1" s="177" t="s">
        <v>260</v>
      </c>
      <c r="C1" s="178"/>
      <c r="D1" s="178"/>
      <c r="E1" s="178"/>
      <c r="F1" s="178"/>
      <c r="G1" s="178"/>
      <c r="H1" s="179"/>
      <c r="I1" s="1"/>
    </row>
    <row r="2" spans="1:9" ht="12.95" customHeight="1" thickBot="1">
      <c r="A2" s="24"/>
      <c r="B2" s="186" t="s">
        <v>390</v>
      </c>
      <c r="C2" s="187"/>
      <c r="D2" s="187"/>
      <c r="E2" s="187"/>
      <c r="F2" s="187"/>
      <c r="G2" s="187"/>
      <c r="H2" s="188"/>
      <c r="I2" s="1"/>
    </row>
    <row r="3" spans="1:9" s="27" customFormat="1" ht="12.95" customHeight="1">
      <c r="A3" s="24"/>
      <c r="B3" s="69"/>
      <c r="C3" s="69"/>
      <c r="D3" s="69"/>
      <c r="E3" s="69"/>
      <c r="F3" s="69"/>
      <c r="G3" s="69"/>
      <c r="H3" s="69"/>
      <c r="I3" s="24"/>
    </row>
    <row r="4" spans="1:9" s="27" customFormat="1" ht="12.95" customHeight="1">
      <c r="A4" s="25"/>
      <c r="B4" s="29" t="s">
        <v>2</v>
      </c>
      <c r="C4" s="24"/>
      <c r="D4" s="24"/>
      <c r="E4" s="24"/>
      <c r="F4" s="30"/>
      <c r="G4" s="24"/>
      <c r="H4" s="31"/>
      <c r="I4" s="24"/>
    </row>
    <row r="5" spans="1:9" s="27" customFormat="1" ht="12.95" customHeight="1" thickBot="1">
      <c r="A5" s="25"/>
      <c r="B5" s="29"/>
      <c r="C5" s="24"/>
      <c r="D5" s="24"/>
      <c r="E5" s="24"/>
      <c r="F5" s="30"/>
      <c r="G5" s="24"/>
      <c r="H5" s="31"/>
      <c r="I5" s="24"/>
    </row>
    <row r="6" spans="1:9" ht="27.95" customHeight="1" thickBot="1">
      <c r="A6" s="24"/>
      <c r="B6" s="76" t="s">
        <v>3</v>
      </c>
      <c r="C6" s="77" t="s">
        <v>4</v>
      </c>
      <c r="D6" s="104" t="s">
        <v>261</v>
      </c>
      <c r="E6" s="104" t="s">
        <v>6</v>
      </c>
      <c r="F6" s="105" t="s">
        <v>7</v>
      </c>
      <c r="G6" s="104" t="s">
        <v>8</v>
      </c>
      <c r="H6" s="106" t="s">
        <v>9</v>
      </c>
      <c r="I6" s="36" t="s">
        <v>10</v>
      </c>
    </row>
    <row r="7" spans="1:9" ht="12.95" customHeight="1">
      <c r="A7" s="24"/>
      <c r="B7" s="142" t="s">
        <v>368</v>
      </c>
      <c r="C7" s="143"/>
      <c r="D7" s="144"/>
      <c r="E7" s="144"/>
      <c r="F7" s="145"/>
      <c r="G7" s="146"/>
      <c r="H7" s="147"/>
      <c r="I7" s="37" t="s">
        <v>1</v>
      </c>
    </row>
    <row r="8" spans="1:9" ht="12.95" customHeight="1">
      <c r="A8" s="24"/>
      <c r="B8" s="131" t="s">
        <v>369</v>
      </c>
      <c r="C8" s="126"/>
      <c r="D8" s="127"/>
      <c r="E8" s="132" t="s">
        <v>196</v>
      </c>
      <c r="F8" s="132" t="s">
        <v>196</v>
      </c>
      <c r="G8" s="132" t="s">
        <v>196</v>
      </c>
      <c r="H8" s="133" t="s">
        <v>196</v>
      </c>
      <c r="I8" s="37" t="s">
        <v>1</v>
      </c>
    </row>
    <row r="9" spans="1:9" ht="12.95" customHeight="1">
      <c r="A9" s="26"/>
      <c r="B9" s="131" t="s">
        <v>195</v>
      </c>
      <c r="C9" s="126"/>
      <c r="D9" s="127"/>
      <c r="E9" s="132" t="s">
        <v>196</v>
      </c>
      <c r="F9" s="132" t="s">
        <v>196</v>
      </c>
      <c r="G9" s="132" t="s">
        <v>196</v>
      </c>
      <c r="H9" s="133" t="s">
        <v>196</v>
      </c>
      <c r="I9" s="2">
        <v>0.99460000000000004</v>
      </c>
    </row>
    <row r="10" spans="1:9" ht="12.95" customHeight="1">
      <c r="A10" s="24"/>
      <c r="B10" s="134"/>
      <c r="C10" s="126"/>
      <c r="D10" s="127"/>
      <c r="E10" s="127"/>
      <c r="F10" s="128"/>
      <c r="G10" s="129"/>
      <c r="H10" s="130"/>
      <c r="I10" s="38">
        <v>0.99460000000000004</v>
      </c>
    </row>
    <row r="11" spans="1:9" ht="12.95" customHeight="1">
      <c r="A11" s="24"/>
      <c r="B11" s="125" t="s">
        <v>370</v>
      </c>
      <c r="C11" s="126"/>
      <c r="D11" s="127"/>
      <c r="E11" s="127"/>
      <c r="F11" s="128"/>
      <c r="G11" s="129"/>
      <c r="H11" s="130"/>
      <c r="I11" s="38">
        <v>0.99460000000000004</v>
      </c>
    </row>
    <row r="12" spans="1:9" ht="12.95" customHeight="1">
      <c r="A12" s="24"/>
      <c r="B12" s="135" t="s">
        <v>375</v>
      </c>
      <c r="C12" s="126"/>
      <c r="D12" s="127"/>
      <c r="E12" s="132" t="s">
        <v>196</v>
      </c>
      <c r="F12" s="132" t="s">
        <v>196</v>
      </c>
      <c r="G12" s="132" t="s">
        <v>196</v>
      </c>
      <c r="H12" s="133" t="s">
        <v>196</v>
      </c>
      <c r="I12" s="37" t="s">
        <v>1</v>
      </c>
    </row>
    <row r="13" spans="1:9" ht="12.95" customHeight="1">
      <c r="A13" s="26"/>
      <c r="B13" s="135" t="s">
        <v>372</v>
      </c>
      <c r="C13" s="126"/>
      <c r="D13" s="127"/>
      <c r="E13" s="132" t="s">
        <v>196</v>
      </c>
      <c r="F13" s="132" t="s">
        <v>196</v>
      </c>
      <c r="G13" s="132" t="s">
        <v>196</v>
      </c>
      <c r="H13" s="133" t="s">
        <v>196</v>
      </c>
      <c r="I13" s="2">
        <v>1.2200000000000001E-2</v>
      </c>
    </row>
    <row r="14" spans="1:9" ht="12.95" customHeight="1">
      <c r="A14" s="24"/>
      <c r="B14" s="135" t="s">
        <v>373</v>
      </c>
      <c r="C14" s="126"/>
      <c r="D14" s="127"/>
      <c r="E14" s="132" t="s">
        <v>196</v>
      </c>
      <c r="F14" s="132" t="s">
        <v>196</v>
      </c>
      <c r="G14" s="132" t="s">
        <v>196</v>
      </c>
      <c r="H14" s="133" t="s">
        <v>196</v>
      </c>
      <c r="I14" s="38">
        <v>1.2200000000000001E-2</v>
      </c>
    </row>
    <row r="15" spans="1:9" ht="12.95" customHeight="1">
      <c r="A15" s="24"/>
      <c r="B15" s="134"/>
      <c r="C15" s="126"/>
      <c r="D15" s="127"/>
      <c r="E15" s="127"/>
      <c r="F15" s="136"/>
      <c r="G15" s="127"/>
      <c r="H15" s="137"/>
      <c r="I15" s="38">
        <v>1.2200000000000001E-2</v>
      </c>
    </row>
    <row r="16" spans="1:9" ht="12.95" customHeight="1">
      <c r="A16" s="24"/>
      <c r="B16" s="35" t="s">
        <v>11</v>
      </c>
      <c r="C16" s="138"/>
      <c r="D16" s="139"/>
      <c r="E16" s="139"/>
      <c r="F16" s="140"/>
      <c r="G16" s="139"/>
      <c r="H16" s="141"/>
      <c r="I16" s="38">
        <v>-6.7999999999999996E-3</v>
      </c>
    </row>
    <row r="17" spans="1:10" ht="12.95" customHeight="1">
      <c r="A17" s="24"/>
      <c r="B17" s="35"/>
      <c r="C17" s="138"/>
      <c r="D17" s="139"/>
      <c r="E17" s="139"/>
      <c r="F17" s="140"/>
      <c r="G17" s="139"/>
      <c r="H17" s="141"/>
      <c r="I17" s="41"/>
    </row>
    <row r="18" spans="1:10" ht="12.95" customHeight="1" thickBot="1">
      <c r="A18" s="24"/>
      <c r="B18" s="53" t="s">
        <v>204</v>
      </c>
      <c r="C18" s="11" t="s">
        <v>1</v>
      </c>
      <c r="D18" s="11" t="s">
        <v>1</v>
      </c>
      <c r="E18" s="11" t="s">
        <v>1</v>
      </c>
      <c r="F18" s="46" t="s">
        <v>1</v>
      </c>
      <c r="G18" s="47"/>
      <c r="H18" s="54" t="s">
        <v>1</v>
      </c>
      <c r="I18" s="42">
        <v>1</v>
      </c>
    </row>
    <row r="19" spans="1:10" ht="12.95" customHeight="1">
      <c r="A19" s="24"/>
      <c r="B19" s="53" t="s">
        <v>262</v>
      </c>
      <c r="C19" s="11" t="s">
        <v>1</v>
      </c>
      <c r="D19" s="11" t="s">
        <v>1</v>
      </c>
      <c r="E19" s="11" t="s">
        <v>1</v>
      </c>
      <c r="F19" s="46" t="s">
        <v>1</v>
      </c>
      <c r="G19" s="47"/>
      <c r="H19" s="54" t="s">
        <v>1</v>
      </c>
      <c r="I19" s="1"/>
    </row>
    <row r="20" spans="1:10" ht="12.95" customHeight="1">
      <c r="A20" s="24"/>
      <c r="B20" s="55" t="s">
        <v>263</v>
      </c>
      <c r="C20" s="11" t="s">
        <v>264</v>
      </c>
      <c r="D20" s="11" t="s">
        <v>1</v>
      </c>
      <c r="E20" s="48">
        <v>319627.16827189998</v>
      </c>
      <c r="F20" s="49">
        <v>2033.1556069999999</v>
      </c>
      <c r="G20" s="50">
        <v>2033.16</v>
      </c>
      <c r="H20" s="56">
        <v>0.99463184374913571</v>
      </c>
      <c r="I20" s="1"/>
      <c r="J20" s="173"/>
    </row>
    <row r="21" spans="1:10" ht="12.95" customHeight="1">
      <c r="A21" s="24"/>
      <c r="B21" s="53" t="s">
        <v>42</v>
      </c>
      <c r="C21" s="11" t="s">
        <v>1</v>
      </c>
      <c r="D21" s="11" t="s">
        <v>1</v>
      </c>
      <c r="E21" s="11" t="s">
        <v>1</v>
      </c>
      <c r="F21" s="49">
        <v>2033.1556069999999</v>
      </c>
      <c r="G21" s="50">
        <v>2033.16</v>
      </c>
      <c r="H21" s="56">
        <v>0.99463184374913571</v>
      </c>
      <c r="I21" s="1"/>
      <c r="J21" s="173"/>
    </row>
    <row r="22" spans="1:10" ht="12.95" customHeight="1">
      <c r="A22" s="24"/>
      <c r="B22" s="53" t="s">
        <v>43</v>
      </c>
      <c r="C22" s="11"/>
      <c r="D22" s="11"/>
      <c r="E22" s="11"/>
      <c r="F22" s="12"/>
      <c r="G22" s="51">
        <v>2033.16</v>
      </c>
      <c r="H22" s="57">
        <v>0.99463184374913571</v>
      </c>
      <c r="I22" s="1"/>
    </row>
    <row r="23" spans="1:10" ht="12.95" customHeight="1">
      <c r="A23" s="24"/>
      <c r="B23" s="53"/>
      <c r="C23" s="11"/>
      <c r="D23" s="11"/>
      <c r="E23" s="11"/>
      <c r="F23" s="12"/>
      <c r="G23" s="51"/>
      <c r="H23" s="57"/>
      <c r="I23" s="1"/>
    </row>
    <row r="24" spans="1:10">
      <c r="B24" s="53" t="s">
        <v>44</v>
      </c>
      <c r="C24" s="11" t="s">
        <v>1</v>
      </c>
      <c r="D24" s="11" t="s">
        <v>1</v>
      </c>
      <c r="E24" s="11" t="s">
        <v>1</v>
      </c>
      <c r="F24" s="46" t="s">
        <v>1</v>
      </c>
      <c r="G24" s="47"/>
      <c r="H24" s="54" t="s">
        <v>1</v>
      </c>
    </row>
    <row r="25" spans="1:10">
      <c r="B25" s="55" t="s">
        <v>45</v>
      </c>
      <c r="C25" s="11" t="s">
        <v>1</v>
      </c>
      <c r="D25" s="11" t="s">
        <v>46</v>
      </c>
      <c r="E25" s="48"/>
      <c r="F25" s="49">
        <v>24.975658599999999</v>
      </c>
      <c r="G25" s="50">
        <v>24.98</v>
      </c>
      <c r="H25" s="56">
        <v>1.2218241081321701E-2</v>
      </c>
    </row>
    <row r="26" spans="1:10">
      <c r="B26" s="53" t="s">
        <v>42</v>
      </c>
      <c r="C26" s="11" t="s">
        <v>1</v>
      </c>
      <c r="D26" s="11" t="s">
        <v>1</v>
      </c>
      <c r="E26" s="11" t="s">
        <v>1</v>
      </c>
      <c r="F26" s="12">
        <v>24.975658599999999</v>
      </c>
      <c r="G26" s="51">
        <v>24.98</v>
      </c>
      <c r="H26" s="57">
        <v>1.2218241081321701E-2</v>
      </c>
    </row>
    <row r="27" spans="1:10">
      <c r="B27" s="53"/>
      <c r="C27" s="11"/>
      <c r="D27" s="11"/>
      <c r="E27" s="11"/>
      <c r="F27" s="12"/>
      <c r="G27" s="51"/>
      <c r="H27" s="57"/>
    </row>
    <row r="28" spans="1:10">
      <c r="B28" s="53" t="s">
        <v>47</v>
      </c>
      <c r="C28" s="11" t="s">
        <v>1</v>
      </c>
      <c r="D28" s="11" t="s">
        <v>1</v>
      </c>
      <c r="E28" s="11" t="s">
        <v>1</v>
      </c>
      <c r="F28" s="14">
        <v>-14.002455751799999</v>
      </c>
      <c r="G28" s="95">
        <v>-14.01</v>
      </c>
      <c r="H28" s="96">
        <v>-6.8500848304574452E-3</v>
      </c>
    </row>
    <row r="29" spans="1:10">
      <c r="B29" s="53" t="s">
        <v>42</v>
      </c>
      <c r="C29" s="11"/>
      <c r="D29" s="11"/>
      <c r="E29" s="11"/>
      <c r="F29" s="12">
        <v>-14.002455751799999</v>
      </c>
      <c r="G29" s="51">
        <v>-14.01</v>
      </c>
      <c r="H29" s="57">
        <v>-6.8500848304574452E-3</v>
      </c>
    </row>
    <row r="30" spans="1:10">
      <c r="B30" s="53" t="s">
        <v>43</v>
      </c>
      <c r="C30" s="11"/>
      <c r="D30" s="11"/>
      <c r="E30" s="11"/>
      <c r="F30" s="12">
        <f>F26+F29</f>
        <v>10.9732028482</v>
      </c>
      <c r="G30" s="12">
        <f t="shared" ref="G30:H30" si="0">G26+G29</f>
        <v>10.97</v>
      </c>
      <c r="H30" s="57">
        <f t="shared" si="0"/>
        <v>5.3681562508642554E-3</v>
      </c>
    </row>
    <row r="31" spans="1:10" ht="13.5" thickBot="1">
      <c r="B31" s="80"/>
      <c r="C31" s="17"/>
      <c r="D31" s="17"/>
      <c r="E31" s="17"/>
      <c r="F31" s="18"/>
      <c r="G31" s="99"/>
      <c r="H31" s="100"/>
    </row>
    <row r="32" spans="1:10" ht="13.5" thickBot="1">
      <c r="B32" s="84" t="s">
        <v>48</v>
      </c>
      <c r="C32" s="85" t="s">
        <v>1</v>
      </c>
      <c r="D32" s="85" t="s">
        <v>1</v>
      </c>
      <c r="E32" s="85" t="s">
        <v>1</v>
      </c>
      <c r="F32" s="101">
        <v>2044.1288098482</v>
      </c>
      <c r="G32" s="102">
        <v>2044.13</v>
      </c>
      <c r="H32" s="103">
        <v>1</v>
      </c>
    </row>
    <row r="33" spans="2:8" s="27" customFormat="1">
      <c r="B33" s="25" t="s">
        <v>1</v>
      </c>
      <c r="C33" s="24"/>
      <c r="D33" s="24"/>
      <c r="E33" s="24"/>
      <c r="F33" s="30"/>
      <c r="G33" s="24"/>
      <c r="H33" s="31"/>
    </row>
    <row r="34" spans="2:8" s="27" customFormat="1">
      <c r="B34" s="32" t="s">
        <v>46</v>
      </c>
      <c r="C34" s="24"/>
      <c r="D34" s="24"/>
      <c r="E34" s="24"/>
      <c r="F34" s="30"/>
      <c r="G34" s="24"/>
      <c r="H34" s="31"/>
    </row>
    <row r="35" spans="2:8" s="27" customFormat="1">
      <c r="B35" s="32" t="s">
        <v>1</v>
      </c>
      <c r="C35" s="24"/>
      <c r="D35" s="24"/>
      <c r="E35" s="24"/>
      <c r="F35" s="30"/>
      <c r="G35" s="24"/>
      <c r="H35" s="31"/>
    </row>
    <row r="36" spans="2:8" s="27" customFormat="1">
      <c r="B36" s="32" t="s">
        <v>1</v>
      </c>
      <c r="C36" s="24"/>
      <c r="D36" s="24"/>
      <c r="E36" s="24"/>
      <c r="F36" s="30"/>
      <c r="G36" s="24"/>
      <c r="H36" s="31"/>
    </row>
    <row r="37" spans="2:8" s="27" customFormat="1">
      <c r="F37" s="33"/>
      <c r="H37" s="34"/>
    </row>
    <row r="38" spans="2:8" s="27" customFormat="1">
      <c r="F38" s="33"/>
      <c r="H38" s="34"/>
    </row>
    <row r="39" spans="2:8" s="27" customFormat="1">
      <c r="F39" s="33"/>
      <c r="H39" s="34"/>
    </row>
    <row r="40" spans="2:8" s="27" customFormat="1">
      <c r="F40" s="33"/>
      <c r="H40" s="34"/>
    </row>
    <row r="41" spans="2:8" s="27" customFormat="1">
      <c r="F41" s="33"/>
      <c r="H41" s="34"/>
    </row>
    <row r="42" spans="2:8" s="27" customFormat="1">
      <c r="F42" s="33"/>
      <c r="H42" s="34"/>
    </row>
    <row r="43" spans="2:8" s="27" customFormat="1">
      <c r="F43" s="33"/>
      <c r="H43" s="34"/>
    </row>
    <row r="44" spans="2:8" s="27" customFormat="1">
      <c r="F44" s="33"/>
      <c r="H44" s="34"/>
    </row>
    <row r="45" spans="2:8" s="27" customFormat="1">
      <c r="F45" s="33"/>
      <c r="H45" s="34"/>
    </row>
    <row r="46" spans="2:8" s="27" customFormat="1">
      <c r="F46" s="33"/>
      <c r="H46" s="34"/>
    </row>
    <row r="47" spans="2:8" s="27" customFormat="1">
      <c r="F47" s="33"/>
      <c r="H47" s="34"/>
    </row>
    <row r="48" spans="2:8" s="27" customFormat="1">
      <c r="F48" s="33"/>
      <c r="H48" s="34"/>
    </row>
    <row r="49" spans="6:8" s="27" customFormat="1">
      <c r="F49" s="33"/>
      <c r="H49" s="34"/>
    </row>
    <row r="50" spans="6:8" s="27" customFormat="1">
      <c r="F50" s="33"/>
      <c r="H50" s="34"/>
    </row>
    <row r="51" spans="6:8" s="27" customFormat="1">
      <c r="F51" s="33"/>
      <c r="H51" s="34"/>
    </row>
    <row r="52" spans="6:8" s="27" customFormat="1">
      <c r="F52" s="33"/>
      <c r="H52" s="34"/>
    </row>
    <row r="53" spans="6:8" s="27" customFormat="1">
      <c r="F53" s="33"/>
      <c r="H53" s="34"/>
    </row>
    <row r="54" spans="6:8" s="27" customFormat="1">
      <c r="F54" s="33"/>
      <c r="H54" s="34"/>
    </row>
    <row r="55" spans="6:8" s="27" customFormat="1">
      <c r="F55" s="33"/>
      <c r="H55" s="34"/>
    </row>
    <row r="56" spans="6:8" s="27" customFormat="1">
      <c r="F56" s="33"/>
      <c r="H56" s="34"/>
    </row>
    <row r="57" spans="6:8" s="27" customFormat="1">
      <c r="F57" s="33"/>
      <c r="H57" s="34"/>
    </row>
    <row r="58" spans="6:8" s="27" customFormat="1">
      <c r="F58" s="33"/>
      <c r="H58" s="34"/>
    </row>
    <row r="59" spans="6:8" s="27" customFormat="1">
      <c r="F59" s="33"/>
      <c r="H59" s="34"/>
    </row>
    <row r="60" spans="6:8" s="27" customFormat="1">
      <c r="F60" s="33"/>
      <c r="H60" s="34"/>
    </row>
    <row r="61" spans="6:8" s="27" customFormat="1">
      <c r="F61" s="33"/>
      <c r="H61" s="34"/>
    </row>
    <row r="62" spans="6:8" s="27" customFormat="1">
      <c r="F62" s="33"/>
      <c r="H62" s="34"/>
    </row>
    <row r="63" spans="6:8" s="27" customFormat="1">
      <c r="F63" s="33"/>
      <c r="H63" s="34"/>
    </row>
    <row r="64" spans="6:8" s="27" customFormat="1">
      <c r="F64" s="33"/>
      <c r="H64" s="34"/>
    </row>
    <row r="65" spans="6:8" s="27" customFormat="1">
      <c r="F65" s="33"/>
      <c r="H65" s="34"/>
    </row>
    <row r="66" spans="6:8" s="27" customFormat="1">
      <c r="F66" s="33"/>
      <c r="H66" s="34"/>
    </row>
    <row r="67" spans="6:8" s="27" customFormat="1">
      <c r="F67" s="33"/>
      <c r="H67" s="34"/>
    </row>
    <row r="68" spans="6:8" s="27" customFormat="1">
      <c r="F68" s="33"/>
      <c r="H68" s="34"/>
    </row>
    <row r="69" spans="6:8" s="27" customFormat="1">
      <c r="F69" s="33"/>
      <c r="H69" s="34"/>
    </row>
    <row r="70" spans="6:8" s="27" customFormat="1">
      <c r="F70" s="33"/>
      <c r="H70" s="34"/>
    </row>
    <row r="71" spans="6:8" s="27" customFormat="1">
      <c r="F71" s="33"/>
      <c r="H71" s="34"/>
    </row>
    <row r="72" spans="6:8" s="27" customFormat="1">
      <c r="F72" s="33"/>
      <c r="H72" s="34"/>
    </row>
    <row r="73" spans="6:8" s="27" customFormat="1">
      <c r="F73" s="33"/>
      <c r="H73" s="34"/>
    </row>
    <row r="74" spans="6:8" s="27" customFormat="1">
      <c r="F74" s="33"/>
      <c r="H74" s="34"/>
    </row>
    <row r="75" spans="6:8" s="27" customFormat="1">
      <c r="F75" s="33"/>
      <c r="H75" s="34"/>
    </row>
    <row r="76" spans="6:8" s="27" customFormat="1">
      <c r="F76" s="33"/>
      <c r="H76" s="34"/>
    </row>
    <row r="77" spans="6:8" s="27" customFormat="1">
      <c r="F77" s="33"/>
      <c r="H77" s="34"/>
    </row>
    <row r="78" spans="6:8" s="27" customFormat="1">
      <c r="F78" s="33"/>
      <c r="H78" s="34"/>
    </row>
    <row r="79" spans="6:8" s="27" customFormat="1">
      <c r="F79" s="33"/>
      <c r="H79" s="34"/>
    </row>
    <row r="80" spans="6:8" s="27" customFormat="1">
      <c r="F80" s="33"/>
      <c r="H80" s="34"/>
    </row>
    <row r="81" spans="6:8" s="27" customFormat="1">
      <c r="F81" s="33"/>
      <c r="H81" s="34"/>
    </row>
    <row r="82" spans="6:8" s="27" customFormat="1">
      <c r="F82" s="33"/>
      <c r="H82" s="34"/>
    </row>
    <row r="83" spans="6:8" s="27" customFormat="1">
      <c r="F83" s="33"/>
      <c r="H83" s="34"/>
    </row>
    <row r="84" spans="6:8" s="27" customFormat="1">
      <c r="F84" s="33"/>
      <c r="H84" s="34"/>
    </row>
    <row r="85" spans="6:8" s="27" customFormat="1">
      <c r="F85" s="33"/>
      <c r="H85" s="34"/>
    </row>
    <row r="86" spans="6:8" s="27" customFormat="1">
      <c r="F86" s="33"/>
      <c r="H86" s="34"/>
    </row>
    <row r="87" spans="6:8" s="27" customFormat="1">
      <c r="F87" s="33"/>
      <c r="H87" s="34"/>
    </row>
    <row r="88" spans="6:8" s="27" customFormat="1">
      <c r="F88" s="33"/>
      <c r="H88" s="34"/>
    </row>
    <row r="89" spans="6:8" s="27" customFormat="1">
      <c r="F89" s="33"/>
      <c r="H89" s="34"/>
    </row>
    <row r="90" spans="6:8" s="27" customFormat="1">
      <c r="F90" s="33"/>
      <c r="H90" s="34"/>
    </row>
    <row r="91" spans="6:8" s="27" customFormat="1">
      <c r="F91" s="33"/>
      <c r="H91" s="34"/>
    </row>
    <row r="92" spans="6:8" s="27" customFormat="1">
      <c r="F92" s="33"/>
      <c r="H92" s="34"/>
    </row>
    <row r="93" spans="6:8" s="27" customFormat="1">
      <c r="F93" s="33"/>
      <c r="H93" s="34"/>
    </row>
    <row r="94" spans="6:8" s="27" customFormat="1">
      <c r="F94" s="33"/>
      <c r="H94" s="34"/>
    </row>
    <row r="95" spans="6:8" s="27" customFormat="1">
      <c r="F95" s="33"/>
      <c r="H95" s="34"/>
    </row>
    <row r="96" spans="6:8" s="27" customFormat="1">
      <c r="F96" s="33"/>
      <c r="H96" s="34"/>
    </row>
    <row r="97" spans="6:8" s="27" customFormat="1">
      <c r="F97" s="33"/>
      <c r="H97" s="34"/>
    </row>
    <row r="98" spans="6:8" s="27" customFormat="1">
      <c r="F98" s="33"/>
      <c r="H98" s="34"/>
    </row>
    <row r="99" spans="6:8" s="27" customFormat="1">
      <c r="F99" s="33"/>
      <c r="H99" s="34"/>
    </row>
    <row r="100" spans="6:8" s="27" customFormat="1">
      <c r="F100" s="33"/>
      <c r="H100" s="34"/>
    </row>
    <row r="101" spans="6:8" s="27" customFormat="1">
      <c r="F101" s="33"/>
      <c r="H101" s="34"/>
    </row>
    <row r="102" spans="6:8" s="27" customFormat="1">
      <c r="F102" s="33"/>
      <c r="H102" s="34"/>
    </row>
    <row r="103" spans="6:8" s="27" customFormat="1">
      <c r="F103" s="33"/>
      <c r="H103" s="34"/>
    </row>
    <row r="104" spans="6:8" s="27" customFormat="1">
      <c r="F104" s="33"/>
      <c r="H104" s="34"/>
    </row>
    <row r="105" spans="6:8" s="27" customFormat="1">
      <c r="F105" s="33"/>
      <c r="H105" s="34"/>
    </row>
    <row r="106" spans="6:8" s="27" customFormat="1">
      <c r="F106" s="33"/>
      <c r="H106" s="34"/>
    </row>
    <row r="107" spans="6:8" s="27" customFormat="1">
      <c r="F107" s="33"/>
      <c r="H107" s="34"/>
    </row>
    <row r="108" spans="6:8" s="27" customFormat="1">
      <c r="F108" s="33"/>
      <c r="H108" s="34"/>
    </row>
    <row r="109" spans="6:8" s="27" customFormat="1">
      <c r="F109" s="33"/>
      <c r="H109" s="34"/>
    </row>
    <row r="110" spans="6:8" s="27" customFormat="1">
      <c r="F110" s="33"/>
      <c r="H110" s="34"/>
    </row>
    <row r="111" spans="6:8" s="27" customFormat="1">
      <c r="F111" s="33"/>
      <c r="H111" s="34"/>
    </row>
    <row r="112" spans="6:8" s="27" customFormat="1">
      <c r="F112" s="33"/>
      <c r="H112" s="34"/>
    </row>
    <row r="113" spans="6:8" s="27" customFormat="1">
      <c r="F113" s="33"/>
      <c r="H113" s="34"/>
    </row>
    <row r="114" spans="6:8" s="27" customFormat="1">
      <c r="F114" s="33"/>
      <c r="H114" s="34"/>
    </row>
    <row r="115" spans="6:8" s="27" customFormat="1">
      <c r="F115" s="33"/>
      <c r="H115" s="34"/>
    </row>
    <row r="116" spans="6:8" s="27" customFormat="1">
      <c r="F116" s="33"/>
      <c r="H116" s="34"/>
    </row>
    <row r="117" spans="6:8" s="27" customFormat="1">
      <c r="F117" s="33"/>
      <c r="H117" s="34"/>
    </row>
    <row r="118" spans="6:8" s="27" customFormat="1">
      <c r="F118" s="33"/>
      <c r="H118" s="34"/>
    </row>
    <row r="119" spans="6:8" s="27" customFormat="1">
      <c r="F119" s="33"/>
      <c r="H119" s="34"/>
    </row>
    <row r="120" spans="6:8" s="27" customFormat="1">
      <c r="F120" s="33"/>
      <c r="H120" s="34"/>
    </row>
    <row r="121" spans="6:8" s="27" customFormat="1">
      <c r="F121" s="33"/>
      <c r="H121" s="34"/>
    </row>
    <row r="122" spans="6:8" s="27" customFormat="1">
      <c r="F122" s="33"/>
      <c r="H122" s="34"/>
    </row>
    <row r="123" spans="6:8" s="27" customFormat="1">
      <c r="F123" s="33"/>
      <c r="H123" s="34"/>
    </row>
    <row r="124" spans="6:8" s="27" customFormat="1">
      <c r="F124" s="33"/>
      <c r="H124" s="34"/>
    </row>
    <row r="125" spans="6:8" s="27" customFormat="1">
      <c r="F125" s="33"/>
      <c r="H125" s="34"/>
    </row>
    <row r="126" spans="6:8" s="27" customFormat="1">
      <c r="F126" s="33"/>
      <c r="H126" s="34"/>
    </row>
    <row r="127" spans="6:8" s="27" customFormat="1">
      <c r="F127" s="33"/>
      <c r="H127" s="34"/>
    </row>
    <row r="128" spans="6:8" s="27" customFormat="1">
      <c r="F128" s="33"/>
      <c r="H128" s="34"/>
    </row>
    <row r="129" spans="6:8" s="27" customFormat="1">
      <c r="F129" s="33"/>
      <c r="H129" s="34"/>
    </row>
    <row r="130" spans="6:8" s="27" customFormat="1">
      <c r="F130" s="33"/>
      <c r="H130" s="34"/>
    </row>
    <row r="131" spans="6:8" s="27" customFormat="1">
      <c r="F131" s="33"/>
      <c r="H131" s="34"/>
    </row>
    <row r="132" spans="6:8" s="27" customFormat="1">
      <c r="F132" s="33"/>
      <c r="H132" s="34"/>
    </row>
    <row r="133" spans="6:8" s="27" customFormat="1">
      <c r="F133" s="33"/>
      <c r="H133" s="34"/>
    </row>
    <row r="134" spans="6:8" s="27" customFormat="1">
      <c r="F134" s="33"/>
      <c r="H134" s="34"/>
    </row>
    <row r="135" spans="6:8" s="27" customFormat="1">
      <c r="F135" s="33"/>
      <c r="H135" s="34"/>
    </row>
    <row r="136" spans="6:8" s="27" customFormat="1">
      <c r="F136" s="33"/>
      <c r="H136" s="34"/>
    </row>
    <row r="137" spans="6:8" s="27" customFormat="1">
      <c r="F137" s="33"/>
      <c r="H137" s="34"/>
    </row>
    <row r="138" spans="6:8" s="27" customFormat="1">
      <c r="F138" s="33"/>
      <c r="H138" s="34"/>
    </row>
    <row r="139" spans="6:8" s="27" customFormat="1">
      <c r="F139" s="33"/>
      <c r="H139" s="34"/>
    </row>
    <row r="140" spans="6:8" s="27" customFormat="1">
      <c r="F140" s="33"/>
      <c r="H140" s="34"/>
    </row>
    <row r="141" spans="6:8" s="27" customFormat="1">
      <c r="F141" s="33"/>
      <c r="H141" s="34"/>
    </row>
    <row r="142" spans="6:8" s="27" customFormat="1">
      <c r="F142" s="33"/>
      <c r="H142" s="34"/>
    </row>
    <row r="143" spans="6:8" s="27" customFormat="1">
      <c r="F143" s="33"/>
      <c r="H143" s="34"/>
    </row>
    <row r="144" spans="6:8" s="27" customFormat="1">
      <c r="F144" s="33"/>
      <c r="H144" s="34"/>
    </row>
    <row r="145" spans="6:8" s="27" customFormat="1">
      <c r="F145" s="33"/>
      <c r="H145" s="34"/>
    </row>
    <row r="146" spans="6:8" s="27" customFormat="1">
      <c r="F146" s="33"/>
      <c r="H146" s="34"/>
    </row>
    <row r="147" spans="6:8" s="27" customFormat="1">
      <c r="F147" s="33"/>
      <c r="H147" s="34"/>
    </row>
    <row r="148" spans="6:8" s="27" customFormat="1">
      <c r="F148" s="33"/>
      <c r="H148" s="34"/>
    </row>
    <row r="149" spans="6:8" s="27" customFormat="1">
      <c r="F149" s="33"/>
      <c r="H149" s="34"/>
    </row>
    <row r="150" spans="6:8" s="27" customFormat="1">
      <c r="F150" s="33"/>
      <c r="H150" s="34"/>
    </row>
    <row r="151" spans="6:8" s="27" customFormat="1">
      <c r="F151" s="33"/>
      <c r="H151" s="34"/>
    </row>
    <row r="152" spans="6:8" s="27" customFormat="1">
      <c r="F152" s="33"/>
      <c r="H152" s="34"/>
    </row>
    <row r="153" spans="6:8" s="27" customFormat="1">
      <c r="F153" s="33"/>
      <c r="H153" s="34"/>
    </row>
    <row r="154" spans="6:8" s="27" customFormat="1">
      <c r="F154" s="33"/>
      <c r="H154" s="34"/>
    </row>
    <row r="155" spans="6:8" s="27" customFormat="1">
      <c r="F155" s="33"/>
      <c r="H155" s="34"/>
    </row>
    <row r="156" spans="6:8" s="27" customFormat="1">
      <c r="F156" s="33"/>
      <c r="H156" s="34"/>
    </row>
    <row r="157" spans="6:8" s="27" customFormat="1">
      <c r="F157" s="33"/>
      <c r="H157" s="34"/>
    </row>
    <row r="158" spans="6:8" s="27" customFormat="1">
      <c r="F158" s="33"/>
      <c r="H158" s="34"/>
    </row>
    <row r="159" spans="6:8" s="27" customFormat="1">
      <c r="F159" s="33"/>
      <c r="H159" s="34"/>
    </row>
    <row r="160" spans="6:8" s="27" customFormat="1">
      <c r="F160" s="33"/>
      <c r="H160" s="34"/>
    </row>
    <row r="161" spans="6:8" s="27" customFormat="1">
      <c r="F161" s="33"/>
      <c r="H161" s="34"/>
    </row>
    <row r="162" spans="6:8" s="27" customFormat="1">
      <c r="F162" s="33"/>
      <c r="H162" s="34"/>
    </row>
    <row r="163" spans="6:8" s="27" customFormat="1">
      <c r="F163" s="33"/>
      <c r="H163" s="34"/>
    </row>
    <row r="164" spans="6:8" s="27" customFormat="1">
      <c r="F164" s="33"/>
      <c r="H164" s="34"/>
    </row>
    <row r="165" spans="6:8" s="27" customFormat="1">
      <c r="F165" s="33"/>
      <c r="H165" s="34"/>
    </row>
    <row r="166" spans="6:8" s="27" customFormat="1">
      <c r="F166" s="33"/>
      <c r="H166" s="34"/>
    </row>
    <row r="167" spans="6:8" s="27" customFormat="1">
      <c r="F167" s="33"/>
      <c r="H167" s="34"/>
    </row>
    <row r="168" spans="6:8" s="27" customFormat="1">
      <c r="F168" s="33"/>
      <c r="H168" s="34"/>
    </row>
    <row r="169" spans="6:8" s="27" customFormat="1">
      <c r="F169" s="33"/>
      <c r="H169" s="34"/>
    </row>
    <row r="170" spans="6:8" s="27" customFormat="1">
      <c r="F170" s="33"/>
      <c r="H170" s="34"/>
    </row>
    <row r="171" spans="6:8" s="27" customFormat="1">
      <c r="F171" s="33"/>
      <c r="H171" s="34"/>
    </row>
    <row r="172" spans="6:8" s="27" customFormat="1">
      <c r="F172" s="33"/>
      <c r="H172" s="34"/>
    </row>
    <row r="173" spans="6:8" s="27" customFormat="1">
      <c r="F173" s="33"/>
      <c r="H173" s="34"/>
    </row>
    <row r="174" spans="6:8" s="27" customFormat="1">
      <c r="F174" s="33"/>
      <c r="H174" s="34"/>
    </row>
    <row r="175" spans="6:8" s="27" customFormat="1">
      <c r="F175" s="33"/>
      <c r="H175" s="34"/>
    </row>
    <row r="176" spans="6:8" s="27" customFormat="1">
      <c r="F176" s="33"/>
      <c r="H176" s="34"/>
    </row>
    <row r="177" spans="6:8" s="27" customFormat="1">
      <c r="F177" s="33"/>
      <c r="H177" s="34"/>
    </row>
    <row r="178" spans="6:8" s="27" customFormat="1">
      <c r="F178" s="33"/>
      <c r="H178" s="34"/>
    </row>
    <row r="179" spans="6:8" s="27" customFormat="1">
      <c r="F179" s="33"/>
      <c r="H179" s="34"/>
    </row>
    <row r="180" spans="6:8" s="27" customFormat="1">
      <c r="F180" s="33"/>
      <c r="H180" s="34"/>
    </row>
    <row r="181" spans="6:8" s="27" customFormat="1">
      <c r="F181" s="33"/>
      <c r="H181" s="34"/>
    </row>
    <row r="182" spans="6:8" s="27" customFormat="1">
      <c r="F182" s="33"/>
      <c r="H182" s="34"/>
    </row>
    <row r="183" spans="6:8" s="27" customFormat="1">
      <c r="F183" s="33"/>
      <c r="H183" s="34"/>
    </row>
    <row r="184" spans="6:8" s="27" customFormat="1">
      <c r="F184" s="33"/>
      <c r="H184" s="34"/>
    </row>
    <row r="185" spans="6:8" s="27" customFormat="1">
      <c r="F185" s="33"/>
      <c r="H185" s="34"/>
    </row>
    <row r="186" spans="6:8" s="27" customFormat="1">
      <c r="F186" s="33"/>
      <c r="H186" s="34"/>
    </row>
    <row r="187" spans="6:8" s="27" customFormat="1">
      <c r="F187" s="33"/>
      <c r="H187" s="34"/>
    </row>
    <row r="188" spans="6:8" s="27" customFormat="1">
      <c r="F188" s="33"/>
      <c r="H188" s="34"/>
    </row>
    <row r="189" spans="6:8" s="27" customFormat="1">
      <c r="F189" s="33"/>
      <c r="H189" s="34"/>
    </row>
    <row r="190" spans="6:8" s="27" customFormat="1">
      <c r="F190" s="33"/>
      <c r="H190" s="34"/>
    </row>
    <row r="191" spans="6:8" s="27" customFormat="1">
      <c r="F191" s="33"/>
      <c r="H191" s="34"/>
    </row>
    <row r="192" spans="6:8" s="27" customFormat="1">
      <c r="F192" s="33"/>
      <c r="H192" s="34"/>
    </row>
    <row r="193" spans="6:8" s="27" customFormat="1">
      <c r="F193" s="33"/>
      <c r="H193" s="34"/>
    </row>
    <row r="194" spans="6:8" s="27" customFormat="1">
      <c r="F194" s="33"/>
      <c r="H194" s="34"/>
    </row>
    <row r="195" spans="6:8" s="27" customFormat="1">
      <c r="F195" s="33"/>
      <c r="H195" s="34"/>
    </row>
    <row r="196" spans="6:8" s="27" customFormat="1">
      <c r="F196" s="33"/>
      <c r="H196" s="34"/>
    </row>
    <row r="197" spans="6:8" s="27" customFormat="1">
      <c r="F197" s="33"/>
      <c r="H197" s="34"/>
    </row>
    <row r="198" spans="6:8" s="27" customFormat="1">
      <c r="F198" s="33"/>
      <c r="H198" s="34"/>
    </row>
    <row r="199" spans="6:8" s="27" customFormat="1">
      <c r="F199" s="33"/>
      <c r="H199" s="34"/>
    </row>
    <row r="200" spans="6:8" s="27" customFormat="1">
      <c r="F200" s="33"/>
      <c r="H200" s="34"/>
    </row>
    <row r="201" spans="6:8" s="27" customFormat="1">
      <c r="F201" s="33"/>
      <c r="H201" s="34"/>
    </row>
    <row r="202" spans="6:8" s="27" customFormat="1">
      <c r="F202" s="33"/>
      <c r="H202" s="34"/>
    </row>
    <row r="203" spans="6:8" s="27" customFormat="1">
      <c r="F203" s="33"/>
      <c r="H203" s="34"/>
    </row>
    <row r="204" spans="6:8" s="27" customFormat="1">
      <c r="F204" s="33"/>
      <c r="H204" s="34"/>
    </row>
    <row r="205" spans="6:8" s="27" customFormat="1">
      <c r="F205" s="33"/>
      <c r="H205" s="34"/>
    </row>
    <row r="206" spans="6:8" s="27" customFormat="1">
      <c r="F206" s="33"/>
      <c r="H206" s="34"/>
    </row>
    <row r="207" spans="6:8" s="27" customFormat="1">
      <c r="F207" s="33"/>
      <c r="H207" s="34"/>
    </row>
    <row r="208" spans="6:8" s="27" customFormat="1">
      <c r="F208" s="33"/>
      <c r="H208" s="34"/>
    </row>
    <row r="209" spans="6:8" s="27" customFormat="1">
      <c r="F209" s="33"/>
      <c r="H209" s="34"/>
    </row>
    <row r="210" spans="6:8" s="27" customFormat="1">
      <c r="F210" s="33"/>
      <c r="H210" s="34"/>
    </row>
    <row r="211" spans="6:8" s="27" customFormat="1">
      <c r="F211" s="33"/>
      <c r="H211" s="34"/>
    </row>
    <row r="212" spans="6:8" s="27" customFormat="1">
      <c r="F212" s="33"/>
      <c r="H212" s="34"/>
    </row>
    <row r="213" spans="6:8" s="27" customFormat="1">
      <c r="F213" s="33"/>
      <c r="H213" s="34"/>
    </row>
    <row r="214" spans="6:8" s="27" customFormat="1">
      <c r="F214" s="33"/>
      <c r="H214" s="34"/>
    </row>
    <row r="215" spans="6:8" s="27" customFormat="1">
      <c r="F215" s="33"/>
      <c r="H215" s="34"/>
    </row>
    <row r="216" spans="6:8" s="27" customFormat="1">
      <c r="F216" s="33"/>
      <c r="H216" s="34"/>
    </row>
    <row r="217" spans="6:8" s="27" customFormat="1">
      <c r="F217" s="33"/>
      <c r="H217" s="34"/>
    </row>
    <row r="218" spans="6:8" s="27" customFormat="1">
      <c r="F218" s="33"/>
      <c r="H218" s="34"/>
    </row>
    <row r="219" spans="6:8" s="27" customFormat="1">
      <c r="F219" s="33"/>
      <c r="H219" s="34"/>
    </row>
    <row r="220" spans="6:8" s="27" customFormat="1">
      <c r="F220" s="33"/>
      <c r="H220" s="34"/>
    </row>
    <row r="221" spans="6:8" s="27" customFormat="1">
      <c r="F221" s="33"/>
      <c r="H221" s="34"/>
    </row>
    <row r="222" spans="6:8" s="27" customFormat="1">
      <c r="F222" s="33"/>
      <c r="H222" s="34"/>
    </row>
    <row r="223" spans="6:8" s="27" customFormat="1">
      <c r="F223" s="33"/>
      <c r="H223" s="34"/>
    </row>
    <row r="224" spans="6:8" s="27" customFormat="1">
      <c r="F224" s="33"/>
      <c r="H224" s="34"/>
    </row>
    <row r="225" spans="6:8" s="27" customFormat="1">
      <c r="F225" s="33"/>
      <c r="H225" s="34"/>
    </row>
    <row r="226" spans="6:8" s="27" customFormat="1">
      <c r="F226" s="33"/>
      <c r="H226" s="34"/>
    </row>
    <row r="227" spans="6:8" s="27" customFormat="1">
      <c r="F227" s="33"/>
      <c r="H227" s="34"/>
    </row>
    <row r="228" spans="6:8" s="27" customFormat="1">
      <c r="F228" s="33"/>
      <c r="H228" s="34"/>
    </row>
    <row r="229" spans="6:8" s="27" customFormat="1">
      <c r="F229" s="33"/>
      <c r="H229" s="34"/>
    </row>
    <row r="230" spans="6:8" s="27" customFormat="1">
      <c r="F230" s="33"/>
      <c r="H230" s="34"/>
    </row>
    <row r="231" spans="6:8" s="27" customFormat="1">
      <c r="F231" s="33"/>
      <c r="H231" s="34"/>
    </row>
    <row r="232" spans="6:8" s="27" customFormat="1">
      <c r="F232" s="33"/>
      <c r="H232" s="34"/>
    </row>
    <row r="233" spans="6:8" s="27" customFormat="1">
      <c r="F233" s="33"/>
      <c r="H233" s="34"/>
    </row>
    <row r="234" spans="6:8" s="27" customFormat="1">
      <c r="F234" s="33"/>
      <c r="H234" s="34"/>
    </row>
    <row r="235" spans="6:8" s="27" customFormat="1">
      <c r="F235" s="33"/>
      <c r="H235" s="34"/>
    </row>
    <row r="236" spans="6:8" s="27" customFormat="1">
      <c r="F236" s="33"/>
      <c r="H236" s="34"/>
    </row>
    <row r="237" spans="6:8" s="27" customFormat="1">
      <c r="F237" s="33"/>
      <c r="H237" s="34"/>
    </row>
    <row r="238" spans="6:8" s="27" customFormat="1">
      <c r="F238" s="33"/>
      <c r="H238" s="34"/>
    </row>
    <row r="239" spans="6:8" s="27" customFormat="1">
      <c r="F239" s="33"/>
      <c r="H239" s="34"/>
    </row>
    <row r="240" spans="6:8" s="27" customFormat="1">
      <c r="F240" s="33"/>
      <c r="H240" s="34"/>
    </row>
    <row r="241" spans="6:8" s="27" customFormat="1">
      <c r="F241" s="33"/>
      <c r="H241" s="34"/>
    </row>
    <row r="242" spans="6:8" s="27" customFormat="1">
      <c r="F242" s="33"/>
      <c r="H242" s="34"/>
    </row>
    <row r="243" spans="6:8" s="27" customFormat="1">
      <c r="F243" s="33"/>
      <c r="H243" s="34"/>
    </row>
    <row r="244" spans="6:8" s="27" customFormat="1">
      <c r="F244" s="33"/>
      <c r="H244" s="34"/>
    </row>
    <row r="245" spans="6:8" s="27" customFormat="1">
      <c r="F245" s="33"/>
      <c r="H245" s="34"/>
    </row>
    <row r="246" spans="6:8" s="27" customFormat="1">
      <c r="F246" s="33"/>
      <c r="H246" s="34"/>
    </row>
    <row r="247" spans="6:8" s="27" customFormat="1">
      <c r="F247" s="33"/>
      <c r="H247" s="34"/>
    </row>
    <row r="248" spans="6:8" s="27" customFormat="1">
      <c r="F248" s="33"/>
      <c r="H248" s="34"/>
    </row>
    <row r="249" spans="6:8" s="27" customFormat="1">
      <c r="F249" s="33"/>
      <c r="H249" s="34"/>
    </row>
    <row r="250" spans="6:8" s="27" customFormat="1">
      <c r="F250" s="33"/>
      <c r="H250" s="34"/>
    </row>
    <row r="251" spans="6:8" s="27" customFormat="1">
      <c r="F251" s="33"/>
      <c r="H251" s="34"/>
    </row>
    <row r="252" spans="6:8" s="27" customFormat="1">
      <c r="F252" s="33"/>
      <c r="H252" s="34"/>
    </row>
    <row r="253" spans="6:8" s="27" customFormat="1">
      <c r="F253" s="33"/>
      <c r="H253" s="34"/>
    </row>
    <row r="254" spans="6:8" s="27" customFormat="1">
      <c r="F254" s="33"/>
      <c r="H254" s="34"/>
    </row>
    <row r="255" spans="6:8" s="27" customFormat="1">
      <c r="F255" s="33"/>
      <c r="H255" s="34"/>
    </row>
    <row r="256" spans="6:8" s="27" customFormat="1">
      <c r="F256" s="33"/>
      <c r="H256" s="34"/>
    </row>
    <row r="257" spans="6:8" s="27" customFormat="1">
      <c r="F257" s="33"/>
      <c r="H257" s="34"/>
    </row>
    <row r="258" spans="6:8" s="27" customFormat="1">
      <c r="F258" s="33"/>
      <c r="H258" s="34"/>
    </row>
    <row r="259" spans="6:8" s="27" customFormat="1">
      <c r="F259" s="33"/>
      <c r="H259" s="34"/>
    </row>
    <row r="260" spans="6:8" s="27" customFormat="1">
      <c r="F260" s="33"/>
      <c r="H260" s="34"/>
    </row>
    <row r="261" spans="6:8" s="27" customFormat="1">
      <c r="F261" s="33"/>
      <c r="H261" s="34"/>
    </row>
    <row r="262" spans="6:8" s="27" customFormat="1">
      <c r="F262" s="33"/>
      <c r="H262" s="34"/>
    </row>
    <row r="263" spans="6:8" s="27" customFormat="1">
      <c r="F263" s="33"/>
      <c r="H263" s="34"/>
    </row>
    <row r="264" spans="6:8" s="27" customFormat="1">
      <c r="F264" s="33"/>
      <c r="H264" s="34"/>
    </row>
    <row r="265" spans="6:8" s="27" customFormat="1">
      <c r="F265" s="33"/>
      <c r="H265" s="34"/>
    </row>
    <row r="266" spans="6:8" s="27" customFormat="1">
      <c r="F266" s="33"/>
      <c r="H266" s="34"/>
    </row>
    <row r="267" spans="6:8" s="27" customFormat="1">
      <c r="F267" s="33"/>
      <c r="H267" s="34"/>
    </row>
    <row r="268" spans="6:8" s="27" customFormat="1">
      <c r="F268" s="33"/>
      <c r="H268" s="34"/>
    </row>
    <row r="269" spans="6:8" s="27" customFormat="1">
      <c r="F269" s="33"/>
      <c r="H269" s="34"/>
    </row>
    <row r="270" spans="6:8" s="27" customFormat="1">
      <c r="F270" s="33"/>
      <c r="H270" s="34"/>
    </row>
    <row r="271" spans="6:8" s="27" customFormat="1">
      <c r="F271" s="33"/>
      <c r="H271" s="34"/>
    </row>
    <row r="272" spans="6:8" s="27" customFormat="1">
      <c r="F272" s="33"/>
      <c r="H272" s="34"/>
    </row>
    <row r="273" spans="6:8" s="27" customFormat="1">
      <c r="F273" s="33"/>
      <c r="H273" s="34"/>
    </row>
    <row r="274" spans="6:8" s="27" customFormat="1">
      <c r="F274" s="33"/>
      <c r="H274" s="34"/>
    </row>
    <row r="275" spans="6:8" s="27" customFormat="1">
      <c r="F275" s="33"/>
      <c r="H275" s="34"/>
    </row>
    <row r="276" spans="6:8" s="27" customFormat="1">
      <c r="F276" s="33"/>
      <c r="H276" s="34"/>
    </row>
    <row r="277" spans="6:8" s="27" customFormat="1">
      <c r="F277" s="33"/>
      <c r="H277" s="34"/>
    </row>
    <row r="278" spans="6:8" s="27" customFormat="1">
      <c r="F278" s="33"/>
      <c r="H278" s="34"/>
    </row>
    <row r="279" spans="6:8" s="27" customFormat="1">
      <c r="F279" s="33"/>
      <c r="H279" s="34"/>
    </row>
    <row r="280" spans="6:8" s="27" customFormat="1">
      <c r="F280" s="33"/>
      <c r="H280" s="34"/>
    </row>
    <row r="281" spans="6:8" s="27" customFormat="1">
      <c r="F281" s="33"/>
      <c r="H281" s="34"/>
    </row>
    <row r="282" spans="6:8" s="27" customFormat="1">
      <c r="F282" s="33"/>
      <c r="H282" s="34"/>
    </row>
    <row r="283" spans="6:8" s="27" customFormat="1">
      <c r="F283" s="33"/>
      <c r="H283" s="34"/>
    </row>
    <row r="284" spans="6:8" s="27" customFormat="1">
      <c r="F284" s="33"/>
      <c r="H284" s="34"/>
    </row>
    <row r="285" spans="6:8" s="27" customFormat="1">
      <c r="F285" s="33"/>
      <c r="H285" s="34"/>
    </row>
    <row r="286" spans="6:8" s="27" customFormat="1">
      <c r="F286" s="33"/>
      <c r="H286" s="34"/>
    </row>
    <row r="287" spans="6:8" s="27" customFormat="1">
      <c r="F287" s="33"/>
      <c r="H287" s="34"/>
    </row>
    <row r="288" spans="6:8" s="27" customFormat="1">
      <c r="F288" s="33"/>
      <c r="H288" s="34"/>
    </row>
    <row r="289" spans="6:8" s="27" customFormat="1">
      <c r="F289" s="33"/>
      <c r="H289" s="34"/>
    </row>
    <row r="290" spans="6:8" s="27" customFormat="1">
      <c r="F290" s="33"/>
      <c r="H290" s="34"/>
    </row>
    <row r="291" spans="6:8" s="27" customFormat="1">
      <c r="F291" s="33"/>
      <c r="H291" s="34"/>
    </row>
    <row r="292" spans="6:8" s="27" customFormat="1">
      <c r="F292" s="33"/>
      <c r="H292" s="34"/>
    </row>
    <row r="293" spans="6:8" s="27" customFormat="1">
      <c r="F293" s="33"/>
      <c r="H293" s="34"/>
    </row>
    <row r="294" spans="6:8" s="27" customFormat="1">
      <c r="F294" s="33"/>
      <c r="H294" s="34"/>
    </row>
    <row r="295" spans="6:8" s="27" customFormat="1">
      <c r="F295" s="33"/>
      <c r="H295" s="34"/>
    </row>
    <row r="296" spans="6:8" s="27" customFormat="1">
      <c r="F296" s="33"/>
      <c r="H296" s="34"/>
    </row>
    <row r="297" spans="6:8" s="27" customFormat="1">
      <c r="F297" s="33"/>
      <c r="H297" s="34"/>
    </row>
    <row r="298" spans="6:8" s="27" customFormat="1">
      <c r="F298" s="33"/>
      <c r="H298" s="34"/>
    </row>
    <row r="299" spans="6:8" s="27" customFormat="1">
      <c r="F299" s="33"/>
      <c r="H299" s="34"/>
    </row>
    <row r="300" spans="6:8" s="27" customFormat="1">
      <c r="F300" s="33"/>
      <c r="H300" s="34"/>
    </row>
    <row r="301" spans="6:8" s="27" customFormat="1">
      <c r="F301" s="33"/>
      <c r="H301" s="34"/>
    </row>
    <row r="302" spans="6:8" s="27" customFormat="1">
      <c r="F302" s="33"/>
      <c r="H302" s="34"/>
    </row>
    <row r="303" spans="6:8" s="27" customFormat="1">
      <c r="F303" s="33"/>
      <c r="H303" s="34"/>
    </row>
    <row r="304" spans="6:8" s="27" customFormat="1">
      <c r="F304" s="33"/>
      <c r="H304" s="34"/>
    </row>
    <row r="305" spans="6:8" s="27" customFormat="1">
      <c r="F305" s="33"/>
      <c r="H305" s="34"/>
    </row>
    <row r="306" spans="6:8" s="27" customFormat="1">
      <c r="F306" s="33"/>
      <c r="H306" s="34"/>
    </row>
    <row r="307" spans="6:8" s="27" customFormat="1">
      <c r="F307" s="33"/>
      <c r="H307" s="34"/>
    </row>
    <row r="308" spans="6:8" s="27" customFormat="1">
      <c r="F308" s="33"/>
      <c r="H308" s="34"/>
    </row>
    <row r="309" spans="6:8" s="27" customFormat="1">
      <c r="F309" s="33"/>
      <c r="H309" s="34"/>
    </row>
    <row r="310" spans="6:8" s="27" customFormat="1">
      <c r="F310" s="33"/>
      <c r="H310" s="34"/>
    </row>
    <row r="311" spans="6:8" s="27" customFormat="1">
      <c r="F311" s="33"/>
      <c r="H311" s="34"/>
    </row>
    <row r="312" spans="6:8" s="27" customFormat="1">
      <c r="F312" s="33"/>
      <c r="H312" s="34"/>
    </row>
    <row r="313" spans="6:8" s="27" customFormat="1">
      <c r="F313" s="33"/>
      <c r="H313" s="34"/>
    </row>
    <row r="314" spans="6:8" s="27" customFormat="1">
      <c r="F314" s="33"/>
      <c r="H314" s="34"/>
    </row>
    <row r="315" spans="6:8" s="27" customFormat="1">
      <c r="F315" s="33"/>
      <c r="H315" s="34"/>
    </row>
    <row r="316" spans="6:8" s="27" customFormat="1">
      <c r="F316" s="33"/>
      <c r="H316" s="34"/>
    </row>
    <row r="317" spans="6:8" s="27" customFormat="1">
      <c r="F317" s="33"/>
      <c r="H317" s="34"/>
    </row>
    <row r="318" spans="6:8" s="27" customFormat="1">
      <c r="F318" s="33"/>
      <c r="H318" s="34"/>
    </row>
    <row r="319" spans="6:8" s="27" customFormat="1">
      <c r="F319" s="33"/>
      <c r="H319" s="34"/>
    </row>
    <row r="320" spans="6:8" s="27" customFormat="1">
      <c r="F320" s="33"/>
      <c r="H320" s="34"/>
    </row>
    <row r="321" spans="6:8" s="27" customFormat="1">
      <c r="F321" s="33"/>
      <c r="H321" s="34"/>
    </row>
    <row r="322" spans="6:8" s="27" customFormat="1">
      <c r="F322" s="33"/>
      <c r="H322" s="34"/>
    </row>
    <row r="323" spans="6:8" s="27" customFormat="1">
      <c r="F323" s="33"/>
      <c r="H323" s="34"/>
    </row>
    <row r="324" spans="6:8" s="27" customFormat="1">
      <c r="F324" s="33"/>
      <c r="H324" s="34"/>
    </row>
    <row r="325" spans="6:8" s="27" customFormat="1">
      <c r="F325" s="33"/>
      <c r="H325" s="34"/>
    </row>
    <row r="326" spans="6:8" s="27" customFormat="1">
      <c r="F326" s="33"/>
      <c r="H326" s="34"/>
    </row>
    <row r="327" spans="6:8" s="27" customFormat="1">
      <c r="F327" s="33"/>
      <c r="H327" s="34"/>
    </row>
    <row r="328" spans="6:8" s="27" customFormat="1">
      <c r="F328" s="33"/>
      <c r="H328" s="34"/>
    </row>
    <row r="329" spans="6:8" s="27" customFormat="1">
      <c r="F329" s="33"/>
      <c r="H329" s="34"/>
    </row>
    <row r="330" spans="6:8" s="27" customFormat="1">
      <c r="F330" s="33"/>
      <c r="H330" s="34"/>
    </row>
    <row r="331" spans="6:8" s="27" customFormat="1">
      <c r="F331" s="33"/>
      <c r="H331" s="34"/>
    </row>
    <row r="332" spans="6:8" s="27" customFormat="1">
      <c r="F332" s="33"/>
      <c r="H332" s="34"/>
    </row>
    <row r="333" spans="6:8" s="27" customFormat="1">
      <c r="F333" s="33"/>
      <c r="H333" s="34"/>
    </row>
    <row r="334" spans="6:8" s="27" customFormat="1">
      <c r="F334" s="33"/>
      <c r="H334" s="34"/>
    </row>
    <row r="335" spans="6:8" s="27" customFormat="1">
      <c r="F335" s="33"/>
      <c r="H335" s="34"/>
    </row>
    <row r="336" spans="6:8" s="27" customFormat="1">
      <c r="F336" s="33"/>
      <c r="H336" s="34"/>
    </row>
    <row r="337" spans="6:8" s="27" customFormat="1">
      <c r="F337" s="33"/>
      <c r="H337" s="34"/>
    </row>
    <row r="338" spans="6:8" s="27" customFormat="1">
      <c r="F338" s="33"/>
      <c r="H338" s="34"/>
    </row>
    <row r="339" spans="6:8" s="27" customFormat="1">
      <c r="F339" s="33"/>
      <c r="H339" s="34"/>
    </row>
    <row r="340" spans="6:8" s="27" customFormat="1">
      <c r="F340" s="33"/>
      <c r="H340" s="34"/>
    </row>
    <row r="341" spans="6:8" s="27" customFormat="1">
      <c r="F341" s="33"/>
      <c r="H341" s="34"/>
    </row>
    <row r="342" spans="6:8" s="27" customFormat="1">
      <c r="F342" s="33"/>
      <c r="H342" s="34"/>
    </row>
    <row r="343" spans="6:8" s="27" customFormat="1">
      <c r="F343" s="33"/>
      <c r="H343" s="34"/>
    </row>
    <row r="344" spans="6:8" s="27" customFormat="1">
      <c r="F344" s="33"/>
      <c r="H344" s="34"/>
    </row>
    <row r="345" spans="6:8" s="27" customFormat="1">
      <c r="F345" s="33"/>
      <c r="H345" s="34"/>
    </row>
    <row r="346" spans="6:8" s="27" customFormat="1">
      <c r="F346" s="33"/>
      <c r="H346" s="34"/>
    </row>
    <row r="347" spans="6:8" s="27" customFormat="1">
      <c r="F347" s="33"/>
      <c r="H347" s="34"/>
    </row>
    <row r="348" spans="6:8" s="27" customFormat="1">
      <c r="F348" s="33"/>
      <c r="H348" s="34"/>
    </row>
    <row r="349" spans="6:8" s="27" customFormat="1">
      <c r="F349" s="33"/>
      <c r="H349" s="34"/>
    </row>
    <row r="350" spans="6:8" s="27" customFormat="1">
      <c r="F350" s="33"/>
      <c r="H350" s="34"/>
    </row>
    <row r="351" spans="6:8" s="27" customFormat="1">
      <c r="F351" s="33"/>
      <c r="H351" s="34"/>
    </row>
    <row r="352" spans="6:8" s="27" customFormat="1">
      <c r="F352" s="33"/>
      <c r="H352" s="34"/>
    </row>
    <row r="353" spans="6:8" s="27" customFormat="1">
      <c r="F353" s="33"/>
      <c r="H353" s="34"/>
    </row>
    <row r="354" spans="6:8" s="27" customFormat="1">
      <c r="F354" s="33"/>
      <c r="H354" s="34"/>
    </row>
    <row r="355" spans="6:8" s="27" customFormat="1">
      <c r="F355" s="33"/>
      <c r="H355" s="34"/>
    </row>
    <row r="356" spans="6:8" s="27" customFormat="1">
      <c r="F356" s="33"/>
      <c r="H356" s="34"/>
    </row>
    <row r="357" spans="6:8" s="27" customFormat="1">
      <c r="F357" s="33"/>
      <c r="H357" s="34"/>
    </row>
    <row r="358" spans="6:8" s="27" customFormat="1">
      <c r="F358" s="33"/>
      <c r="H358" s="34"/>
    </row>
    <row r="359" spans="6:8" s="27" customFormat="1">
      <c r="F359" s="33"/>
      <c r="H359" s="34"/>
    </row>
    <row r="360" spans="6:8" s="27" customFormat="1">
      <c r="F360" s="33"/>
      <c r="H360" s="34"/>
    </row>
    <row r="361" spans="6:8" s="27" customFormat="1">
      <c r="F361" s="33"/>
      <c r="H361" s="34"/>
    </row>
    <row r="362" spans="6:8" s="27" customFormat="1">
      <c r="F362" s="33"/>
      <c r="H362" s="34"/>
    </row>
    <row r="363" spans="6:8" s="27" customFormat="1">
      <c r="F363" s="33"/>
      <c r="H363" s="34"/>
    </row>
    <row r="364" spans="6:8" s="27" customFormat="1">
      <c r="F364" s="33"/>
      <c r="H364" s="34"/>
    </row>
    <row r="365" spans="6:8" s="27" customFormat="1">
      <c r="F365" s="33"/>
      <c r="H365" s="34"/>
    </row>
    <row r="366" spans="6:8" s="27" customFormat="1">
      <c r="F366" s="33"/>
      <c r="H366" s="34"/>
    </row>
    <row r="367" spans="6:8" s="27" customFormat="1">
      <c r="F367" s="33"/>
      <c r="H367" s="34"/>
    </row>
    <row r="368" spans="6:8" s="27" customFormat="1">
      <c r="F368" s="33"/>
      <c r="H368" s="34"/>
    </row>
    <row r="369" spans="6:8" s="27" customFormat="1">
      <c r="F369" s="33"/>
      <c r="H369" s="34"/>
    </row>
    <row r="370" spans="6:8" s="27" customFormat="1">
      <c r="F370" s="33"/>
      <c r="H370" s="34"/>
    </row>
    <row r="371" spans="6:8" s="27" customFormat="1">
      <c r="F371" s="33"/>
      <c r="H371" s="34"/>
    </row>
    <row r="372" spans="6:8" s="27" customFormat="1">
      <c r="F372" s="33"/>
      <c r="H372" s="34"/>
    </row>
    <row r="373" spans="6:8" s="27" customFormat="1">
      <c r="F373" s="33"/>
      <c r="H373" s="34"/>
    </row>
    <row r="374" spans="6:8" s="27" customFormat="1">
      <c r="F374" s="33"/>
      <c r="H374" s="34"/>
    </row>
    <row r="375" spans="6:8" s="27" customFormat="1">
      <c r="F375" s="33"/>
      <c r="H375" s="34"/>
    </row>
    <row r="376" spans="6:8" s="27" customFormat="1">
      <c r="F376" s="33"/>
      <c r="H376" s="34"/>
    </row>
    <row r="377" spans="6:8" s="27" customFormat="1">
      <c r="F377" s="33"/>
      <c r="H377" s="34"/>
    </row>
    <row r="378" spans="6:8" s="27" customFormat="1">
      <c r="F378" s="33"/>
      <c r="H378" s="34"/>
    </row>
    <row r="379" spans="6:8" s="27" customFormat="1">
      <c r="F379" s="33"/>
      <c r="H379" s="34"/>
    </row>
    <row r="380" spans="6:8" s="27" customFormat="1">
      <c r="F380" s="33"/>
      <c r="H380" s="34"/>
    </row>
    <row r="381" spans="6:8" s="27" customFormat="1">
      <c r="F381" s="33"/>
      <c r="H381" s="34"/>
    </row>
    <row r="382" spans="6:8" s="27" customFormat="1">
      <c r="F382" s="33"/>
      <c r="H382" s="34"/>
    </row>
    <row r="383" spans="6:8" s="27" customFormat="1">
      <c r="F383" s="33"/>
      <c r="H383" s="34"/>
    </row>
    <row r="384" spans="6:8" s="27" customFormat="1">
      <c r="F384" s="33"/>
      <c r="H384" s="34"/>
    </row>
    <row r="385" spans="6:8" s="27" customFormat="1">
      <c r="F385" s="33"/>
      <c r="H385" s="34"/>
    </row>
    <row r="386" spans="6:8" s="27" customFormat="1">
      <c r="F386" s="33"/>
      <c r="H386" s="34"/>
    </row>
    <row r="387" spans="6:8" s="27" customFormat="1">
      <c r="F387" s="33"/>
      <c r="H387" s="34"/>
    </row>
    <row r="388" spans="6:8" s="27" customFormat="1">
      <c r="F388" s="33"/>
      <c r="H388" s="34"/>
    </row>
    <row r="389" spans="6:8" s="27" customFormat="1">
      <c r="F389" s="33"/>
      <c r="H389" s="34"/>
    </row>
    <row r="390" spans="6:8" s="27" customFormat="1">
      <c r="F390" s="33"/>
      <c r="H390" s="34"/>
    </row>
    <row r="391" spans="6:8" s="27" customFormat="1">
      <c r="F391" s="33"/>
      <c r="H391" s="34"/>
    </row>
    <row r="392" spans="6:8" s="27" customFormat="1">
      <c r="F392" s="33"/>
      <c r="H392" s="34"/>
    </row>
    <row r="393" spans="6:8" s="27" customFormat="1">
      <c r="F393" s="33"/>
      <c r="H393" s="34"/>
    </row>
    <row r="394" spans="6:8" s="27" customFormat="1">
      <c r="F394" s="33"/>
      <c r="H394" s="34"/>
    </row>
    <row r="395" spans="6:8" s="27" customFormat="1">
      <c r="F395" s="33"/>
      <c r="H395" s="34"/>
    </row>
    <row r="396" spans="6:8" s="27" customFormat="1">
      <c r="F396" s="33"/>
      <c r="H396" s="34"/>
    </row>
    <row r="397" spans="6:8" s="27" customFormat="1">
      <c r="F397" s="33"/>
      <c r="H397" s="34"/>
    </row>
    <row r="398" spans="6:8" s="27" customFormat="1">
      <c r="F398" s="33"/>
      <c r="H398" s="34"/>
    </row>
    <row r="399" spans="6:8" s="27" customFormat="1">
      <c r="F399" s="33"/>
      <c r="H399" s="34"/>
    </row>
    <row r="400" spans="6:8" s="27" customFormat="1">
      <c r="F400" s="33"/>
      <c r="H400" s="34"/>
    </row>
    <row r="401" spans="6:8" s="27" customFormat="1">
      <c r="F401" s="33"/>
      <c r="H401" s="34"/>
    </row>
    <row r="402" spans="6:8" s="27" customFormat="1">
      <c r="F402" s="33"/>
      <c r="H402" s="34"/>
    </row>
    <row r="403" spans="6:8" s="27" customFormat="1">
      <c r="F403" s="33"/>
      <c r="H403" s="34"/>
    </row>
    <row r="404" spans="6:8" s="27" customFormat="1">
      <c r="F404" s="33"/>
      <c r="H404" s="34"/>
    </row>
    <row r="405" spans="6:8" s="27" customFormat="1">
      <c r="F405" s="33"/>
      <c r="H405" s="34"/>
    </row>
    <row r="406" spans="6:8" s="27" customFormat="1">
      <c r="F406" s="33"/>
      <c r="H406" s="34"/>
    </row>
    <row r="407" spans="6:8" s="27" customFormat="1">
      <c r="F407" s="33"/>
      <c r="H407" s="34"/>
    </row>
    <row r="408" spans="6:8" s="27" customFormat="1">
      <c r="F408" s="33"/>
      <c r="H408" s="34"/>
    </row>
    <row r="409" spans="6:8" s="27" customFormat="1">
      <c r="F409" s="33"/>
      <c r="H409" s="34"/>
    </row>
    <row r="410" spans="6:8" s="27" customFormat="1">
      <c r="F410" s="33"/>
      <c r="H410" s="34"/>
    </row>
    <row r="411" spans="6:8" s="27" customFormat="1">
      <c r="F411" s="33"/>
      <c r="H411" s="34"/>
    </row>
    <row r="412" spans="6:8" s="27" customFormat="1">
      <c r="F412" s="33"/>
      <c r="H412" s="34"/>
    </row>
    <row r="413" spans="6:8" s="27" customFormat="1">
      <c r="F413" s="33"/>
      <c r="H413" s="34"/>
    </row>
    <row r="414" spans="6:8" s="27" customFormat="1">
      <c r="F414" s="33"/>
      <c r="H414" s="34"/>
    </row>
    <row r="415" spans="6:8" s="27" customFormat="1">
      <c r="F415" s="33"/>
      <c r="H415" s="34"/>
    </row>
    <row r="416" spans="6:8" s="27" customFormat="1">
      <c r="F416" s="33"/>
      <c r="H416" s="34"/>
    </row>
    <row r="417" spans="6:8" s="27" customFormat="1">
      <c r="F417" s="33"/>
      <c r="H417" s="34"/>
    </row>
    <row r="418" spans="6:8" s="27" customFormat="1">
      <c r="F418" s="33"/>
      <c r="H418" s="34"/>
    </row>
    <row r="419" spans="6:8" s="27" customFormat="1">
      <c r="F419" s="33"/>
      <c r="H419" s="34"/>
    </row>
    <row r="420" spans="6:8" s="27" customFormat="1">
      <c r="F420" s="33"/>
      <c r="H420" s="34"/>
    </row>
    <row r="421" spans="6:8" s="27" customFormat="1">
      <c r="F421" s="33"/>
      <c r="H421" s="34"/>
    </row>
    <row r="422" spans="6:8" s="27" customFormat="1">
      <c r="F422" s="33"/>
      <c r="H422" s="34"/>
    </row>
    <row r="423" spans="6:8" s="27" customFormat="1">
      <c r="F423" s="33"/>
      <c r="H423" s="34"/>
    </row>
    <row r="424" spans="6:8" s="27" customFormat="1">
      <c r="F424" s="33"/>
      <c r="H424" s="34"/>
    </row>
    <row r="425" spans="6:8" s="27" customFormat="1">
      <c r="F425" s="33"/>
      <c r="H425" s="34"/>
    </row>
    <row r="426" spans="6:8" s="27" customFormat="1">
      <c r="F426" s="33"/>
      <c r="H426" s="34"/>
    </row>
    <row r="427" spans="6:8" s="27" customFormat="1">
      <c r="F427" s="33"/>
      <c r="H427" s="34"/>
    </row>
    <row r="428" spans="6:8" s="27" customFormat="1">
      <c r="F428" s="33"/>
      <c r="H428" s="34"/>
    </row>
    <row r="429" spans="6:8" s="27" customFormat="1">
      <c r="F429" s="33"/>
      <c r="H429" s="34"/>
    </row>
    <row r="430" spans="6:8" s="27" customFormat="1">
      <c r="F430" s="33"/>
      <c r="H430" s="34"/>
    </row>
    <row r="431" spans="6:8" s="27" customFormat="1">
      <c r="F431" s="33"/>
      <c r="H431" s="34"/>
    </row>
    <row r="432" spans="6:8" s="27" customFormat="1">
      <c r="F432" s="33"/>
      <c r="H432" s="34"/>
    </row>
    <row r="433" spans="6:8" s="27" customFormat="1">
      <c r="F433" s="33"/>
      <c r="H433" s="34"/>
    </row>
    <row r="434" spans="6:8" s="27" customFormat="1">
      <c r="F434" s="33"/>
      <c r="H434" s="34"/>
    </row>
    <row r="435" spans="6:8" s="27" customFormat="1">
      <c r="F435" s="33"/>
      <c r="H435" s="34"/>
    </row>
    <row r="436" spans="6:8" s="27" customFormat="1">
      <c r="F436" s="33"/>
      <c r="H436" s="34"/>
    </row>
    <row r="437" spans="6:8" s="27" customFormat="1">
      <c r="F437" s="33"/>
      <c r="H437" s="34"/>
    </row>
    <row r="438" spans="6:8" s="27" customFormat="1">
      <c r="F438" s="33"/>
      <c r="H438" s="34"/>
    </row>
    <row r="439" spans="6:8" s="27" customFormat="1">
      <c r="F439" s="33"/>
      <c r="H439" s="34"/>
    </row>
    <row r="440" spans="6:8" s="27" customFormat="1">
      <c r="F440" s="33"/>
      <c r="H440" s="34"/>
    </row>
    <row r="441" spans="6:8" s="27" customFormat="1">
      <c r="F441" s="33"/>
      <c r="H441" s="34"/>
    </row>
    <row r="442" spans="6:8" s="27" customFormat="1">
      <c r="F442" s="33"/>
      <c r="H442" s="34"/>
    </row>
    <row r="443" spans="6:8" s="27" customFormat="1">
      <c r="F443" s="33"/>
      <c r="H443" s="34"/>
    </row>
    <row r="444" spans="6:8" s="27" customFormat="1">
      <c r="F444" s="33"/>
      <c r="H444" s="34"/>
    </row>
    <row r="445" spans="6:8" s="27" customFormat="1">
      <c r="F445" s="33"/>
      <c r="H445" s="34"/>
    </row>
    <row r="446" spans="6:8" s="27" customFormat="1">
      <c r="F446" s="33"/>
      <c r="H446" s="34"/>
    </row>
    <row r="447" spans="6:8" s="27" customFormat="1">
      <c r="F447" s="33"/>
      <c r="H447" s="34"/>
    </row>
    <row r="448" spans="6:8" s="27" customFormat="1">
      <c r="F448" s="33"/>
      <c r="H448" s="34"/>
    </row>
    <row r="449" spans="6:8" s="27" customFormat="1">
      <c r="F449" s="33"/>
      <c r="H449" s="34"/>
    </row>
    <row r="450" spans="6:8" s="27" customFormat="1">
      <c r="F450" s="33"/>
      <c r="H450" s="34"/>
    </row>
    <row r="451" spans="6:8" s="27" customFormat="1">
      <c r="F451" s="33"/>
      <c r="H451" s="34"/>
    </row>
    <row r="452" spans="6:8" s="27" customFormat="1">
      <c r="F452" s="33"/>
      <c r="H452" s="34"/>
    </row>
    <row r="453" spans="6:8" s="27" customFormat="1">
      <c r="F453" s="33"/>
      <c r="H453" s="34"/>
    </row>
    <row r="454" spans="6:8" s="27" customFormat="1">
      <c r="F454" s="33"/>
      <c r="H454" s="34"/>
    </row>
    <row r="455" spans="6:8" s="27" customFormat="1">
      <c r="F455" s="33"/>
      <c r="H455" s="34"/>
    </row>
    <row r="456" spans="6:8" s="27" customFormat="1">
      <c r="F456" s="33"/>
      <c r="H456" s="34"/>
    </row>
    <row r="457" spans="6:8" s="27" customFormat="1">
      <c r="F457" s="33"/>
      <c r="H457" s="34"/>
    </row>
    <row r="458" spans="6:8" s="27" customFormat="1">
      <c r="F458" s="33"/>
      <c r="H458" s="34"/>
    </row>
    <row r="459" spans="6:8" s="27" customFormat="1">
      <c r="F459" s="33"/>
      <c r="H459" s="34"/>
    </row>
    <row r="460" spans="6:8" s="27" customFormat="1">
      <c r="F460" s="33"/>
      <c r="H460" s="34"/>
    </row>
    <row r="461" spans="6:8" s="27" customFormat="1">
      <c r="F461" s="33"/>
      <c r="H461" s="34"/>
    </row>
    <row r="462" spans="6:8" s="27" customFormat="1">
      <c r="F462" s="33"/>
      <c r="H462" s="34"/>
    </row>
    <row r="463" spans="6:8" s="27" customFormat="1">
      <c r="F463" s="33"/>
      <c r="H463" s="34"/>
    </row>
    <row r="464" spans="6:8" s="27" customFormat="1">
      <c r="F464" s="33"/>
      <c r="H464" s="34"/>
    </row>
    <row r="465" spans="6:8" s="27" customFormat="1">
      <c r="F465" s="33"/>
      <c r="H465" s="34"/>
    </row>
    <row r="466" spans="6:8" s="27" customFormat="1">
      <c r="F466" s="33"/>
      <c r="H466" s="34"/>
    </row>
    <row r="467" spans="6:8" s="27" customFormat="1">
      <c r="F467" s="33"/>
      <c r="H467" s="34"/>
    </row>
    <row r="468" spans="6:8" s="27" customFormat="1">
      <c r="F468" s="33"/>
      <c r="H468" s="34"/>
    </row>
    <row r="469" spans="6:8" s="27" customFormat="1">
      <c r="F469" s="33"/>
      <c r="H469" s="34"/>
    </row>
    <row r="470" spans="6:8" s="27" customFormat="1">
      <c r="F470" s="33"/>
      <c r="H470" s="34"/>
    </row>
    <row r="471" spans="6:8" s="27" customFormat="1">
      <c r="F471" s="33"/>
      <c r="H471" s="34"/>
    </row>
    <row r="472" spans="6:8" s="27" customFormat="1">
      <c r="F472" s="33"/>
      <c r="H472" s="34"/>
    </row>
    <row r="473" spans="6:8" s="27" customFormat="1">
      <c r="F473" s="33"/>
      <c r="H473" s="34"/>
    </row>
    <row r="474" spans="6:8" s="27" customFormat="1">
      <c r="F474" s="33"/>
      <c r="H474" s="34"/>
    </row>
    <row r="475" spans="6:8" s="27" customFormat="1">
      <c r="F475" s="33"/>
      <c r="H475" s="34"/>
    </row>
    <row r="476" spans="6:8" s="27" customFormat="1">
      <c r="F476" s="33"/>
      <c r="H476" s="34"/>
    </row>
    <row r="477" spans="6:8" s="27" customFormat="1">
      <c r="F477" s="33"/>
      <c r="H477" s="34"/>
    </row>
    <row r="478" spans="6:8" s="27" customFormat="1">
      <c r="F478" s="33"/>
      <c r="H478" s="34"/>
    </row>
    <row r="479" spans="6:8" s="27" customFormat="1">
      <c r="F479" s="33"/>
      <c r="H479" s="34"/>
    </row>
    <row r="480" spans="6:8" s="27" customFormat="1">
      <c r="F480" s="33"/>
      <c r="H480" s="34"/>
    </row>
    <row r="481" spans="6:8" s="27" customFormat="1">
      <c r="F481" s="33"/>
      <c r="H481" s="34"/>
    </row>
    <row r="482" spans="6:8" s="27" customFormat="1">
      <c r="F482" s="33"/>
      <c r="H482" s="34"/>
    </row>
    <row r="483" spans="6:8" s="27" customFormat="1">
      <c r="F483" s="33"/>
      <c r="H483" s="34"/>
    </row>
    <row r="484" spans="6:8" s="27" customFormat="1">
      <c r="F484" s="33"/>
      <c r="H484" s="34"/>
    </row>
    <row r="485" spans="6:8" s="27" customFormat="1">
      <c r="F485" s="33"/>
      <c r="H485" s="34"/>
    </row>
    <row r="486" spans="6:8" s="27" customFormat="1">
      <c r="F486" s="33"/>
      <c r="H486" s="34"/>
    </row>
    <row r="487" spans="6:8" s="27" customFormat="1">
      <c r="F487" s="33"/>
      <c r="H487" s="34"/>
    </row>
    <row r="488" spans="6:8" s="27" customFormat="1">
      <c r="F488" s="33"/>
      <c r="H488" s="34"/>
    </row>
    <row r="489" spans="6:8" s="27" customFormat="1">
      <c r="F489" s="33"/>
      <c r="H489" s="34"/>
    </row>
    <row r="490" spans="6:8" s="27" customFormat="1">
      <c r="F490" s="33"/>
      <c r="H490" s="34"/>
    </row>
    <row r="491" spans="6:8" s="27" customFormat="1">
      <c r="F491" s="33"/>
      <c r="H491" s="34"/>
    </row>
    <row r="492" spans="6:8" s="27" customFormat="1">
      <c r="F492" s="33"/>
      <c r="H492" s="34"/>
    </row>
    <row r="493" spans="6:8" s="27" customFormat="1">
      <c r="F493" s="33"/>
      <c r="H493" s="34"/>
    </row>
    <row r="494" spans="6:8" s="27" customFormat="1">
      <c r="F494" s="33"/>
      <c r="H494" s="34"/>
    </row>
    <row r="495" spans="6:8" s="27" customFormat="1">
      <c r="F495" s="33"/>
      <c r="H495" s="34"/>
    </row>
    <row r="496" spans="6:8" s="27" customFormat="1">
      <c r="F496" s="33"/>
      <c r="H496" s="34"/>
    </row>
    <row r="497" spans="6:8" s="27" customFormat="1">
      <c r="F497" s="33"/>
      <c r="H497" s="34"/>
    </row>
    <row r="498" spans="6:8" s="27" customFormat="1">
      <c r="F498" s="33"/>
      <c r="H498" s="34"/>
    </row>
    <row r="499" spans="6:8" s="27" customFormat="1">
      <c r="F499" s="33"/>
      <c r="H499" s="34"/>
    </row>
    <row r="500" spans="6:8" s="27" customFormat="1">
      <c r="F500" s="33"/>
      <c r="H500" s="34"/>
    </row>
    <row r="501" spans="6:8" s="27" customFormat="1">
      <c r="F501" s="33"/>
      <c r="H501" s="34"/>
    </row>
    <row r="502" spans="6:8" s="27" customFormat="1">
      <c r="F502" s="33"/>
      <c r="H502" s="34"/>
    </row>
    <row r="503" spans="6:8" s="27" customFormat="1">
      <c r="F503" s="33"/>
      <c r="H503" s="34"/>
    </row>
    <row r="504" spans="6:8" s="27" customFormat="1">
      <c r="F504" s="33"/>
      <c r="H504" s="34"/>
    </row>
    <row r="505" spans="6:8" s="27" customFormat="1">
      <c r="F505" s="33"/>
      <c r="H505" s="34"/>
    </row>
    <row r="506" spans="6:8" s="27" customFormat="1">
      <c r="F506" s="33"/>
      <c r="H506" s="34"/>
    </row>
    <row r="507" spans="6:8" s="27" customFormat="1">
      <c r="F507" s="33"/>
      <c r="H507" s="34"/>
    </row>
    <row r="508" spans="6:8" s="27" customFormat="1">
      <c r="F508" s="33"/>
      <c r="H508" s="34"/>
    </row>
    <row r="509" spans="6:8" s="27" customFormat="1">
      <c r="F509" s="33"/>
      <c r="H509" s="34"/>
    </row>
    <row r="510" spans="6:8" s="27" customFormat="1">
      <c r="F510" s="33"/>
      <c r="H510" s="34"/>
    </row>
    <row r="511" spans="6:8" s="27" customFormat="1">
      <c r="F511" s="33"/>
      <c r="H511" s="34"/>
    </row>
    <row r="512" spans="6:8" s="27" customFormat="1">
      <c r="F512" s="33"/>
      <c r="H512" s="34"/>
    </row>
    <row r="513" spans="6:8" s="27" customFormat="1">
      <c r="F513" s="33"/>
      <c r="H513" s="34"/>
    </row>
    <row r="514" spans="6:8" s="27" customFormat="1">
      <c r="F514" s="33"/>
      <c r="H514" s="34"/>
    </row>
    <row r="515" spans="6:8" s="27" customFormat="1">
      <c r="F515" s="33"/>
      <c r="H515" s="34"/>
    </row>
    <row r="516" spans="6:8" s="27" customFormat="1">
      <c r="F516" s="33"/>
      <c r="H516" s="34"/>
    </row>
    <row r="517" spans="6:8" s="27" customFormat="1">
      <c r="F517" s="33"/>
      <c r="H517" s="34"/>
    </row>
    <row r="518" spans="6:8" s="27" customFormat="1">
      <c r="F518" s="33"/>
      <c r="H518" s="34"/>
    </row>
    <row r="519" spans="6:8" s="27" customFormat="1">
      <c r="F519" s="33"/>
      <c r="H519" s="34"/>
    </row>
    <row r="520" spans="6:8" s="27" customFormat="1">
      <c r="F520" s="33"/>
      <c r="H520" s="34"/>
    </row>
    <row r="521" spans="6:8" s="27" customFormat="1">
      <c r="F521" s="33"/>
      <c r="H521" s="34"/>
    </row>
    <row r="522" spans="6:8" s="27" customFormat="1">
      <c r="F522" s="33"/>
      <c r="H522" s="34"/>
    </row>
    <row r="523" spans="6:8" s="27" customFormat="1">
      <c r="F523" s="33"/>
      <c r="H523" s="34"/>
    </row>
    <row r="524" spans="6:8" s="27" customFormat="1">
      <c r="F524" s="33"/>
      <c r="H524" s="34"/>
    </row>
    <row r="525" spans="6:8" s="27" customFormat="1">
      <c r="F525" s="33"/>
      <c r="H525" s="34"/>
    </row>
    <row r="526" spans="6:8" s="27" customFormat="1">
      <c r="F526" s="33"/>
      <c r="H526" s="34"/>
    </row>
    <row r="527" spans="6:8" s="27" customFormat="1">
      <c r="F527" s="33"/>
      <c r="H527" s="34"/>
    </row>
    <row r="528" spans="6:8" s="27" customFormat="1">
      <c r="F528" s="33"/>
      <c r="H528" s="34"/>
    </row>
    <row r="529" spans="6:8" s="27" customFormat="1">
      <c r="F529" s="33"/>
      <c r="H529" s="34"/>
    </row>
    <row r="530" spans="6:8" s="27" customFormat="1">
      <c r="F530" s="33"/>
      <c r="H530" s="34"/>
    </row>
    <row r="531" spans="6:8" s="27" customFormat="1">
      <c r="F531" s="33"/>
      <c r="H531" s="34"/>
    </row>
    <row r="532" spans="6:8" s="27" customFormat="1">
      <c r="F532" s="33"/>
      <c r="H532" s="34"/>
    </row>
    <row r="533" spans="6:8" s="27" customFormat="1">
      <c r="F533" s="33"/>
      <c r="H533" s="34"/>
    </row>
    <row r="534" spans="6:8" s="27" customFormat="1">
      <c r="F534" s="33"/>
      <c r="H534" s="34"/>
    </row>
    <row r="535" spans="6:8" s="27" customFormat="1">
      <c r="F535" s="33"/>
      <c r="H535" s="34"/>
    </row>
    <row r="536" spans="6:8" s="27" customFormat="1">
      <c r="F536" s="33"/>
      <c r="H536" s="34"/>
    </row>
    <row r="537" spans="6:8" s="27" customFormat="1">
      <c r="F537" s="33"/>
      <c r="H537" s="34"/>
    </row>
    <row r="538" spans="6:8" s="27" customFormat="1">
      <c r="F538" s="33"/>
      <c r="H538" s="34"/>
    </row>
    <row r="539" spans="6:8" s="27" customFormat="1">
      <c r="F539" s="33"/>
      <c r="H539" s="34"/>
    </row>
    <row r="540" spans="6:8" s="27" customFormat="1">
      <c r="F540" s="33"/>
      <c r="H540" s="34"/>
    </row>
    <row r="541" spans="6:8" s="27" customFormat="1">
      <c r="F541" s="33"/>
      <c r="H541" s="34"/>
    </row>
    <row r="542" spans="6:8" s="27" customFormat="1">
      <c r="F542" s="33"/>
      <c r="H542" s="34"/>
    </row>
    <row r="543" spans="6:8" s="27" customFormat="1">
      <c r="F543" s="33"/>
      <c r="H543" s="34"/>
    </row>
    <row r="544" spans="6:8" s="27" customFormat="1">
      <c r="F544" s="33"/>
      <c r="H544" s="34"/>
    </row>
    <row r="545" spans="6:8" s="27" customFormat="1">
      <c r="F545" s="33"/>
      <c r="H545" s="34"/>
    </row>
    <row r="546" spans="6:8" s="27" customFormat="1">
      <c r="F546" s="33"/>
      <c r="H546" s="34"/>
    </row>
    <row r="547" spans="6:8" s="27" customFormat="1">
      <c r="F547" s="33"/>
      <c r="H547" s="34"/>
    </row>
    <row r="548" spans="6:8" s="27" customFormat="1">
      <c r="F548" s="33"/>
      <c r="H548" s="34"/>
    </row>
    <row r="549" spans="6:8" s="27" customFormat="1">
      <c r="F549" s="33"/>
      <c r="H549" s="34"/>
    </row>
    <row r="550" spans="6:8" s="27" customFormat="1">
      <c r="F550" s="33"/>
      <c r="H550" s="34"/>
    </row>
    <row r="551" spans="6:8" s="27" customFormat="1">
      <c r="F551" s="33"/>
      <c r="H551" s="34"/>
    </row>
    <row r="552" spans="6:8" s="27" customFormat="1">
      <c r="F552" s="33"/>
      <c r="H552" s="34"/>
    </row>
    <row r="553" spans="6:8" s="27" customFormat="1">
      <c r="F553" s="33"/>
      <c r="H553" s="34"/>
    </row>
    <row r="554" spans="6:8" s="27" customFormat="1">
      <c r="F554" s="33"/>
      <c r="H554" s="34"/>
    </row>
    <row r="555" spans="6:8" s="27" customFormat="1">
      <c r="F555" s="33"/>
      <c r="H555" s="34"/>
    </row>
    <row r="556" spans="6:8" s="27" customFormat="1">
      <c r="F556" s="33"/>
      <c r="H556" s="34"/>
    </row>
    <row r="557" spans="6:8" s="27" customFormat="1">
      <c r="F557" s="33"/>
      <c r="H557" s="34"/>
    </row>
    <row r="558" spans="6:8" s="27" customFormat="1">
      <c r="F558" s="33"/>
      <c r="H558" s="34"/>
    </row>
    <row r="559" spans="6:8" s="27" customFormat="1">
      <c r="F559" s="33"/>
      <c r="H559" s="34"/>
    </row>
    <row r="560" spans="6:8" s="27" customFormat="1">
      <c r="F560" s="33"/>
      <c r="H560" s="34"/>
    </row>
    <row r="561" spans="6:8" s="27" customFormat="1">
      <c r="F561" s="33"/>
      <c r="H561" s="34"/>
    </row>
    <row r="562" spans="6:8" s="27" customFormat="1">
      <c r="F562" s="33"/>
      <c r="H562" s="34"/>
    </row>
    <row r="563" spans="6:8" s="27" customFormat="1">
      <c r="F563" s="33"/>
      <c r="H563" s="34"/>
    </row>
    <row r="564" spans="6:8" s="27" customFormat="1">
      <c r="F564" s="33"/>
      <c r="H564" s="34"/>
    </row>
    <row r="565" spans="6:8" s="27" customFormat="1">
      <c r="F565" s="33"/>
      <c r="H565" s="34"/>
    </row>
    <row r="566" spans="6:8" s="27" customFormat="1">
      <c r="F566" s="33"/>
      <c r="H566" s="34"/>
    </row>
    <row r="567" spans="6:8" s="27" customFormat="1">
      <c r="F567" s="33"/>
      <c r="H567" s="34"/>
    </row>
    <row r="568" spans="6:8" s="27" customFormat="1">
      <c r="F568" s="33"/>
      <c r="H568" s="34"/>
    </row>
    <row r="569" spans="6:8" s="27" customFormat="1">
      <c r="F569" s="33"/>
      <c r="H569" s="34"/>
    </row>
    <row r="570" spans="6:8" s="27" customFormat="1">
      <c r="F570" s="33"/>
      <c r="H570" s="34"/>
    </row>
    <row r="571" spans="6:8" s="27" customFormat="1">
      <c r="F571" s="33"/>
      <c r="H571" s="34"/>
    </row>
    <row r="572" spans="6:8" s="27" customFormat="1">
      <c r="F572" s="33"/>
      <c r="H572" s="34"/>
    </row>
    <row r="573" spans="6:8" s="27" customFormat="1">
      <c r="F573" s="33"/>
      <c r="H573" s="34"/>
    </row>
    <row r="574" spans="6:8" s="27" customFormat="1">
      <c r="F574" s="33"/>
      <c r="H574" s="34"/>
    </row>
    <row r="575" spans="6:8" s="27" customFormat="1">
      <c r="F575" s="33"/>
      <c r="H575" s="34"/>
    </row>
    <row r="576" spans="6:8" s="27" customFormat="1">
      <c r="F576" s="33"/>
      <c r="H576" s="34"/>
    </row>
    <row r="577" spans="6:8" s="27" customFormat="1">
      <c r="F577" s="33"/>
      <c r="H577" s="34"/>
    </row>
    <row r="578" spans="6:8" s="27" customFormat="1">
      <c r="F578" s="33"/>
      <c r="H578" s="34"/>
    </row>
    <row r="579" spans="6:8" s="27" customFormat="1">
      <c r="F579" s="33"/>
      <c r="H579" s="34"/>
    </row>
    <row r="580" spans="6:8" s="27" customFormat="1">
      <c r="F580" s="33"/>
      <c r="H580" s="34"/>
    </row>
    <row r="581" spans="6:8" s="27" customFormat="1">
      <c r="F581" s="33"/>
      <c r="H581" s="34"/>
    </row>
    <row r="582" spans="6:8" s="27" customFormat="1">
      <c r="F582" s="33"/>
      <c r="H582" s="34"/>
    </row>
    <row r="583" spans="6:8" s="27" customFormat="1">
      <c r="F583" s="33"/>
      <c r="H583" s="34"/>
    </row>
    <row r="584" spans="6:8" s="27" customFormat="1">
      <c r="F584" s="33"/>
      <c r="H584" s="34"/>
    </row>
    <row r="585" spans="6:8" s="27" customFormat="1">
      <c r="F585" s="33"/>
      <c r="H585" s="34"/>
    </row>
    <row r="586" spans="6:8" s="27" customFormat="1">
      <c r="F586" s="33"/>
      <c r="H586" s="34"/>
    </row>
    <row r="587" spans="6:8" s="27" customFormat="1">
      <c r="F587" s="33"/>
      <c r="H587" s="34"/>
    </row>
    <row r="588" spans="6:8" s="27" customFormat="1">
      <c r="F588" s="33"/>
      <c r="H588" s="34"/>
    </row>
    <row r="589" spans="6:8" s="27" customFormat="1">
      <c r="F589" s="33"/>
      <c r="H589" s="34"/>
    </row>
    <row r="590" spans="6:8" s="27" customFormat="1">
      <c r="F590" s="33"/>
      <c r="H590" s="34"/>
    </row>
    <row r="591" spans="6:8" s="27" customFormat="1">
      <c r="F591" s="33"/>
      <c r="H591" s="34"/>
    </row>
    <row r="592" spans="6:8" s="27" customFormat="1">
      <c r="F592" s="33"/>
      <c r="H592" s="34"/>
    </row>
    <row r="593" spans="6:8" s="27" customFormat="1">
      <c r="F593" s="33"/>
      <c r="H593" s="34"/>
    </row>
    <row r="594" spans="6:8" s="27" customFormat="1">
      <c r="F594" s="33"/>
      <c r="H594" s="34"/>
    </row>
    <row r="595" spans="6:8" s="27" customFormat="1">
      <c r="F595" s="33"/>
      <c r="H595" s="34"/>
    </row>
    <row r="596" spans="6:8" s="27" customFormat="1">
      <c r="F596" s="33"/>
      <c r="H596" s="34"/>
    </row>
    <row r="597" spans="6:8" s="27" customFormat="1">
      <c r="F597" s="33"/>
      <c r="H597" s="34"/>
    </row>
    <row r="598" spans="6:8" s="27" customFormat="1">
      <c r="F598" s="33"/>
      <c r="H598" s="34"/>
    </row>
    <row r="599" spans="6:8" s="27" customFormat="1">
      <c r="F599" s="33"/>
      <c r="H599" s="34"/>
    </row>
    <row r="600" spans="6:8" s="27" customFormat="1">
      <c r="F600" s="33"/>
      <c r="H600" s="34"/>
    </row>
    <row r="601" spans="6:8" s="27" customFormat="1">
      <c r="F601" s="33"/>
      <c r="H601" s="34"/>
    </row>
    <row r="602" spans="6:8" s="27" customFormat="1">
      <c r="F602" s="33"/>
      <c r="H602" s="34"/>
    </row>
    <row r="603" spans="6:8" s="27" customFormat="1">
      <c r="F603" s="33"/>
      <c r="H603" s="34"/>
    </row>
    <row r="604" spans="6:8" s="27" customFormat="1">
      <c r="F604" s="33"/>
      <c r="H604" s="34"/>
    </row>
    <row r="605" spans="6:8" s="27" customFormat="1">
      <c r="F605" s="33"/>
      <c r="H605" s="34"/>
    </row>
    <row r="606" spans="6:8" s="27" customFormat="1">
      <c r="F606" s="33"/>
      <c r="H606" s="34"/>
    </row>
    <row r="607" spans="6:8" s="27" customFormat="1">
      <c r="F607" s="33"/>
      <c r="H607" s="34"/>
    </row>
    <row r="608" spans="6:8" s="27" customFormat="1">
      <c r="F608" s="33"/>
      <c r="H608" s="34"/>
    </row>
    <row r="609" spans="6:8" s="27" customFormat="1">
      <c r="F609" s="33"/>
      <c r="H609" s="34"/>
    </row>
    <row r="610" spans="6:8" s="27" customFormat="1">
      <c r="F610" s="33"/>
      <c r="H610" s="34"/>
    </row>
    <row r="611" spans="6:8" s="27" customFormat="1">
      <c r="F611" s="33"/>
      <c r="H611" s="34"/>
    </row>
    <row r="612" spans="6:8" s="27" customFormat="1">
      <c r="F612" s="33"/>
      <c r="H612" s="34"/>
    </row>
    <row r="613" spans="6:8" s="27" customFormat="1">
      <c r="F613" s="33"/>
      <c r="H613" s="34"/>
    </row>
    <row r="614" spans="6:8" s="27" customFormat="1">
      <c r="F614" s="33"/>
      <c r="H614" s="34"/>
    </row>
    <row r="615" spans="6:8" s="27" customFormat="1">
      <c r="F615" s="33"/>
      <c r="H615" s="34"/>
    </row>
    <row r="616" spans="6:8" s="27" customFormat="1">
      <c r="F616" s="33"/>
      <c r="H616" s="34"/>
    </row>
    <row r="617" spans="6:8" s="27" customFormat="1">
      <c r="F617" s="33"/>
      <c r="H617" s="34"/>
    </row>
    <row r="618" spans="6:8" s="27" customFormat="1">
      <c r="F618" s="33"/>
      <c r="H618" s="34"/>
    </row>
    <row r="619" spans="6:8" s="27" customFormat="1">
      <c r="F619" s="33"/>
      <c r="H619" s="34"/>
    </row>
    <row r="620" spans="6:8" s="27" customFormat="1">
      <c r="F620" s="33"/>
      <c r="H620" s="34"/>
    </row>
    <row r="621" spans="6:8" s="27" customFormat="1">
      <c r="F621" s="33"/>
      <c r="H621" s="34"/>
    </row>
    <row r="622" spans="6:8" s="27" customFormat="1">
      <c r="F622" s="33"/>
      <c r="H622" s="34"/>
    </row>
    <row r="623" spans="6:8" s="27" customFormat="1">
      <c r="F623" s="33"/>
      <c r="H623" s="34"/>
    </row>
    <row r="624" spans="6:8" s="27" customFormat="1">
      <c r="F624" s="33"/>
      <c r="H624" s="34"/>
    </row>
    <row r="625" spans="6:8" s="27" customFormat="1">
      <c r="F625" s="33"/>
      <c r="H625" s="34"/>
    </row>
    <row r="626" spans="6:8" s="27" customFormat="1">
      <c r="F626" s="33"/>
      <c r="H626" s="34"/>
    </row>
    <row r="627" spans="6:8" s="27" customFormat="1">
      <c r="F627" s="33"/>
      <c r="H627" s="34"/>
    </row>
    <row r="628" spans="6:8" s="27" customFormat="1">
      <c r="F628" s="33"/>
      <c r="H628" s="34"/>
    </row>
    <row r="629" spans="6:8" s="27" customFormat="1">
      <c r="F629" s="33"/>
      <c r="H629" s="34"/>
    </row>
    <row r="630" spans="6:8" s="27" customFormat="1">
      <c r="F630" s="33"/>
      <c r="H630" s="34"/>
    </row>
    <row r="631" spans="6:8" s="27" customFormat="1">
      <c r="F631" s="33"/>
      <c r="H631" s="34"/>
    </row>
    <row r="632" spans="6:8" s="27" customFormat="1">
      <c r="F632" s="33"/>
      <c r="H632" s="34"/>
    </row>
    <row r="633" spans="6:8" s="27" customFormat="1">
      <c r="F633" s="33"/>
      <c r="H633" s="34"/>
    </row>
    <row r="634" spans="6:8" s="27" customFormat="1">
      <c r="F634" s="33"/>
      <c r="H634" s="34"/>
    </row>
    <row r="635" spans="6:8" s="27" customFormat="1">
      <c r="F635" s="33"/>
      <c r="H635" s="34"/>
    </row>
    <row r="636" spans="6:8" s="27" customFormat="1">
      <c r="F636" s="33"/>
      <c r="H636" s="34"/>
    </row>
    <row r="637" spans="6:8" s="27" customFormat="1">
      <c r="F637" s="33"/>
      <c r="H637" s="34"/>
    </row>
    <row r="638" spans="6:8" s="27" customFormat="1">
      <c r="F638" s="33"/>
      <c r="H638" s="34"/>
    </row>
    <row r="639" spans="6:8" s="27" customFormat="1">
      <c r="F639" s="33"/>
      <c r="H639" s="34"/>
    </row>
    <row r="640" spans="6:8" s="27" customFormat="1">
      <c r="F640" s="33"/>
      <c r="H640" s="34"/>
    </row>
    <row r="641" spans="6:8" s="27" customFormat="1">
      <c r="F641" s="33"/>
      <c r="H641" s="34"/>
    </row>
    <row r="642" spans="6:8" s="27" customFormat="1">
      <c r="F642" s="33"/>
      <c r="H642" s="34"/>
    </row>
    <row r="643" spans="6:8" s="27" customFormat="1">
      <c r="F643" s="33"/>
      <c r="H643" s="34"/>
    </row>
    <row r="644" spans="6:8" s="27" customFormat="1">
      <c r="F644" s="33"/>
      <c r="H644" s="34"/>
    </row>
    <row r="645" spans="6:8" s="27" customFormat="1">
      <c r="F645" s="33"/>
      <c r="H645" s="34"/>
    </row>
    <row r="646" spans="6:8" s="27" customFormat="1">
      <c r="F646" s="33"/>
      <c r="H646" s="34"/>
    </row>
    <row r="647" spans="6:8" s="27" customFormat="1">
      <c r="F647" s="33"/>
      <c r="H647" s="34"/>
    </row>
    <row r="648" spans="6:8" s="27" customFormat="1">
      <c r="F648" s="33"/>
      <c r="H648" s="34"/>
    </row>
    <row r="649" spans="6:8" s="27" customFormat="1">
      <c r="F649" s="33"/>
      <c r="H649" s="34"/>
    </row>
    <row r="650" spans="6:8" s="27" customFormat="1">
      <c r="F650" s="33"/>
      <c r="H650" s="34"/>
    </row>
    <row r="651" spans="6:8" s="27" customFormat="1">
      <c r="F651" s="33"/>
      <c r="H651" s="34"/>
    </row>
    <row r="652" spans="6:8" s="27" customFormat="1">
      <c r="F652" s="33"/>
      <c r="H652" s="34"/>
    </row>
    <row r="653" spans="6:8" s="27" customFormat="1">
      <c r="F653" s="33"/>
      <c r="H653" s="34"/>
    </row>
    <row r="654" spans="6:8" s="27" customFormat="1">
      <c r="F654" s="33"/>
      <c r="H654" s="34"/>
    </row>
    <row r="655" spans="6:8" s="27" customFormat="1">
      <c r="F655" s="33"/>
      <c r="H655" s="34"/>
    </row>
    <row r="656" spans="6:8" s="27" customFormat="1">
      <c r="F656" s="33"/>
      <c r="H656" s="34"/>
    </row>
    <row r="657" spans="6:8" s="27" customFormat="1">
      <c r="F657" s="33"/>
      <c r="H657" s="34"/>
    </row>
    <row r="658" spans="6:8" s="27" customFormat="1">
      <c r="F658" s="33"/>
      <c r="H658" s="34"/>
    </row>
    <row r="659" spans="6:8" s="27" customFormat="1">
      <c r="F659" s="33"/>
      <c r="H659" s="34"/>
    </row>
    <row r="660" spans="6:8" s="27" customFormat="1">
      <c r="F660" s="33"/>
      <c r="H660" s="34"/>
    </row>
    <row r="661" spans="6:8" s="27" customFormat="1">
      <c r="F661" s="33"/>
      <c r="H661" s="34"/>
    </row>
    <row r="662" spans="6:8" s="27" customFormat="1">
      <c r="F662" s="33"/>
      <c r="H662" s="34"/>
    </row>
    <row r="663" spans="6:8" s="27" customFormat="1">
      <c r="F663" s="33"/>
      <c r="H663" s="34"/>
    </row>
    <row r="664" spans="6:8" s="27" customFormat="1">
      <c r="F664" s="33"/>
      <c r="H664" s="34"/>
    </row>
    <row r="665" spans="6:8" s="27" customFormat="1">
      <c r="F665" s="33"/>
      <c r="H665" s="34"/>
    </row>
    <row r="666" spans="6:8" s="27" customFormat="1">
      <c r="F666" s="33"/>
      <c r="H666" s="34"/>
    </row>
    <row r="667" spans="6:8" s="27" customFormat="1">
      <c r="F667" s="33"/>
      <c r="H667" s="34"/>
    </row>
    <row r="668" spans="6:8" s="27" customFormat="1">
      <c r="F668" s="33"/>
      <c r="H668" s="34"/>
    </row>
    <row r="669" spans="6:8" s="27" customFormat="1">
      <c r="F669" s="33"/>
      <c r="H669" s="34"/>
    </row>
    <row r="670" spans="6:8" s="27" customFormat="1">
      <c r="F670" s="33"/>
      <c r="H670" s="34"/>
    </row>
    <row r="671" spans="6:8" s="27" customFormat="1">
      <c r="F671" s="33"/>
      <c r="H671" s="34"/>
    </row>
    <row r="672" spans="6:8" s="27" customFormat="1">
      <c r="F672" s="33"/>
      <c r="H672" s="34"/>
    </row>
    <row r="673" spans="6:8" s="27" customFormat="1">
      <c r="F673" s="33"/>
      <c r="H673" s="34"/>
    </row>
    <row r="674" spans="6:8" s="27" customFormat="1">
      <c r="F674" s="33"/>
      <c r="H674" s="34"/>
    </row>
    <row r="675" spans="6:8" s="27" customFormat="1">
      <c r="F675" s="33"/>
      <c r="H675" s="34"/>
    </row>
    <row r="676" spans="6:8" s="27" customFormat="1">
      <c r="F676" s="33"/>
      <c r="H676" s="34"/>
    </row>
    <row r="677" spans="6:8" s="27" customFormat="1">
      <c r="F677" s="33"/>
      <c r="H677" s="34"/>
    </row>
    <row r="678" spans="6:8" s="27" customFormat="1">
      <c r="F678" s="33"/>
      <c r="H678" s="34"/>
    </row>
    <row r="679" spans="6:8" s="27" customFormat="1">
      <c r="F679" s="33"/>
      <c r="H679" s="34"/>
    </row>
    <row r="680" spans="6:8" s="27" customFormat="1">
      <c r="F680" s="33"/>
      <c r="H680" s="34"/>
    </row>
    <row r="681" spans="6:8" s="27" customFormat="1">
      <c r="F681" s="33"/>
      <c r="H681" s="34"/>
    </row>
    <row r="682" spans="6:8" s="27" customFormat="1">
      <c r="F682" s="33"/>
      <c r="H682" s="34"/>
    </row>
    <row r="683" spans="6:8" s="27" customFormat="1">
      <c r="F683" s="33"/>
      <c r="H683" s="34"/>
    </row>
    <row r="684" spans="6:8" s="27" customFormat="1">
      <c r="F684" s="33"/>
      <c r="H684" s="34"/>
    </row>
    <row r="685" spans="6:8" s="27" customFormat="1">
      <c r="F685" s="33"/>
      <c r="H685" s="34"/>
    </row>
    <row r="686" spans="6:8" s="27" customFormat="1">
      <c r="F686" s="33"/>
      <c r="H686" s="34"/>
    </row>
    <row r="687" spans="6:8" s="27" customFormat="1">
      <c r="F687" s="33"/>
      <c r="H687" s="34"/>
    </row>
    <row r="688" spans="6:8" s="27" customFormat="1">
      <c r="F688" s="33"/>
      <c r="H688" s="34"/>
    </row>
    <row r="689" spans="6:8" s="27" customFormat="1">
      <c r="F689" s="33"/>
      <c r="H689" s="34"/>
    </row>
    <row r="690" spans="6:8" s="27" customFormat="1">
      <c r="F690" s="33"/>
      <c r="H690" s="34"/>
    </row>
    <row r="691" spans="6:8" s="27" customFormat="1">
      <c r="F691" s="33"/>
      <c r="H691" s="34"/>
    </row>
    <row r="692" spans="6:8" s="27" customFormat="1">
      <c r="F692" s="33"/>
      <c r="H692" s="34"/>
    </row>
    <row r="693" spans="6:8" s="27" customFormat="1">
      <c r="F693" s="33"/>
      <c r="H693" s="34"/>
    </row>
    <row r="694" spans="6:8" s="27" customFormat="1">
      <c r="F694" s="33"/>
      <c r="H694" s="34"/>
    </row>
    <row r="695" spans="6:8" s="27" customFormat="1">
      <c r="F695" s="33"/>
      <c r="H695" s="34"/>
    </row>
    <row r="696" spans="6:8" s="27" customFormat="1">
      <c r="F696" s="33"/>
      <c r="H696" s="34"/>
    </row>
    <row r="697" spans="6:8" s="27" customFormat="1">
      <c r="F697" s="33"/>
      <c r="H697" s="34"/>
    </row>
    <row r="698" spans="6:8" s="27" customFormat="1">
      <c r="F698" s="33"/>
      <c r="H698" s="34"/>
    </row>
    <row r="699" spans="6:8" s="27" customFormat="1">
      <c r="F699" s="33"/>
      <c r="H699" s="34"/>
    </row>
    <row r="700" spans="6:8" s="27" customFormat="1">
      <c r="F700" s="33"/>
      <c r="H700" s="34"/>
    </row>
    <row r="701" spans="6:8" s="27" customFormat="1">
      <c r="F701" s="33"/>
      <c r="H701" s="34"/>
    </row>
    <row r="702" spans="6:8" s="27" customFormat="1">
      <c r="F702" s="33"/>
      <c r="H702" s="34"/>
    </row>
    <row r="703" spans="6:8" s="27" customFormat="1">
      <c r="F703" s="33"/>
      <c r="H703" s="34"/>
    </row>
    <row r="704" spans="6:8" s="27" customFormat="1">
      <c r="F704" s="33"/>
      <c r="H704" s="34"/>
    </row>
    <row r="705" spans="6:8" s="27" customFormat="1">
      <c r="F705" s="33"/>
      <c r="H705" s="34"/>
    </row>
    <row r="706" spans="6:8" s="27" customFormat="1">
      <c r="F706" s="33"/>
      <c r="H706" s="34"/>
    </row>
    <row r="707" spans="6:8" s="27" customFormat="1">
      <c r="F707" s="33"/>
      <c r="H707" s="34"/>
    </row>
    <row r="708" spans="6:8" s="27" customFormat="1">
      <c r="F708" s="33"/>
      <c r="H708" s="34"/>
    </row>
    <row r="709" spans="6:8" s="27" customFormat="1">
      <c r="F709" s="33"/>
      <c r="H709" s="34"/>
    </row>
    <row r="710" spans="6:8" s="27" customFormat="1">
      <c r="F710" s="33"/>
      <c r="H710" s="34"/>
    </row>
    <row r="711" spans="6:8" s="27" customFormat="1">
      <c r="F711" s="33"/>
      <c r="H711" s="34"/>
    </row>
    <row r="712" spans="6:8" s="27" customFormat="1">
      <c r="F712" s="33"/>
      <c r="H712" s="34"/>
    </row>
    <row r="713" spans="6:8" s="27" customFormat="1">
      <c r="F713" s="33"/>
      <c r="H713" s="34"/>
    </row>
    <row r="714" spans="6:8" s="27" customFormat="1">
      <c r="F714" s="33"/>
      <c r="H714" s="34"/>
    </row>
    <row r="715" spans="6:8" s="27" customFormat="1">
      <c r="F715" s="33"/>
      <c r="H715" s="34"/>
    </row>
    <row r="716" spans="6:8" s="27" customFormat="1">
      <c r="F716" s="33"/>
      <c r="H716" s="34"/>
    </row>
    <row r="717" spans="6:8" s="27" customFormat="1">
      <c r="F717" s="33"/>
      <c r="H717" s="34"/>
    </row>
    <row r="718" spans="6:8" s="27" customFormat="1">
      <c r="F718" s="33"/>
      <c r="H718" s="34"/>
    </row>
    <row r="719" spans="6:8" s="27" customFormat="1">
      <c r="F719" s="33"/>
      <c r="H719" s="34"/>
    </row>
    <row r="720" spans="6:8" s="27" customFormat="1">
      <c r="F720" s="33"/>
      <c r="H720" s="34"/>
    </row>
    <row r="721" spans="6:8" s="27" customFormat="1">
      <c r="F721" s="33"/>
      <c r="H721" s="34"/>
    </row>
    <row r="722" spans="6:8" s="27" customFormat="1">
      <c r="F722" s="33"/>
      <c r="H722" s="34"/>
    </row>
    <row r="723" spans="6:8" s="27" customFormat="1">
      <c r="F723" s="33"/>
      <c r="H723" s="34"/>
    </row>
    <row r="724" spans="6:8" s="27" customFormat="1">
      <c r="F724" s="33"/>
      <c r="H724" s="34"/>
    </row>
    <row r="725" spans="6:8" s="27" customFormat="1">
      <c r="F725" s="33"/>
      <c r="H725" s="34"/>
    </row>
    <row r="726" spans="6:8" s="27" customFormat="1">
      <c r="F726" s="33"/>
      <c r="H726" s="34"/>
    </row>
    <row r="727" spans="6:8" s="27" customFormat="1">
      <c r="F727" s="33"/>
      <c r="H727" s="34"/>
    </row>
    <row r="728" spans="6:8" s="27" customFormat="1">
      <c r="F728" s="33"/>
      <c r="H728" s="34"/>
    </row>
    <row r="729" spans="6:8" s="27" customFormat="1">
      <c r="F729" s="33"/>
      <c r="H729" s="34"/>
    </row>
    <row r="730" spans="6:8" s="27" customFormat="1">
      <c r="F730" s="33"/>
      <c r="H730" s="34"/>
    </row>
    <row r="731" spans="6:8" s="27" customFormat="1">
      <c r="F731" s="33"/>
      <c r="H731" s="34"/>
    </row>
    <row r="732" spans="6:8" s="27" customFormat="1">
      <c r="F732" s="33"/>
      <c r="H732" s="34"/>
    </row>
    <row r="733" spans="6:8" s="27" customFormat="1">
      <c r="F733" s="33"/>
      <c r="H733" s="34"/>
    </row>
    <row r="734" spans="6:8" s="27" customFormat="1">
      <c r="F734" s="33"/>
      <c r="H734" s="34"/>
    </row>
    <row r="735" spans="6:8" s="27" customFormat="1">
      <c r="F735" s="33"/>
      <c r="H735" s="34"/>
    </row>
    <row r="736" spans="6:8" s="27" customFormat="1">
      <c r="F736" s="33"/>
      <c r="H736" s="34"/>
    </row>
    <row r="737" spans="6:8" s="27" customFormat="1">
      <c r="F737" s="33"/>
      <c r="H737" s="34"/>
    </row>
    <row r="738" spans="6:8" s="27" customFormat="1">
      <c r="F738" s="33"/>
      <c r="H738" s="34"/>
    </row>
    <row r="739" spans="6:8" s="27" customFormat="1">
      <c r="F739" s="33"/>
      <c r="H739" s="34"/>
    </row>
    <row r="740" spans="6:8" s="27" customFormat="1">
      <c r="F740" s="33"/>
      <c r="H740" s="34"/>
    </row>
    <row r="741" spans="6:8" s="27" customFormat="1">
      <c r="F741" s="33"/>
      <c r="H741" s="34"/>
    </row>
    <row r="742" spans="6:8" s="27" customFormat="1">
      <c r="F742" s="33"/>
      <c r="H742" s="34"/>
    </row>
    <row r="743" spans="6:8" s="27" customFormat="1">
      <c r="F743" s="33"/>
      <c r="H743" s="34"/>
    </row>
    <row r="744" spans="6:8" s="27" customFormat="1">
      <c r="F744" s="33"/>
      <c r="H744" s="34"/>
    </row>
    <row r="745" spans="6:8" s="27" customFormat="1">
      <c r="F745" s="33"/>
      <c r="H745" s="34"/>
    </row>
    <row r="746" spans="6:8" s="27" customFormat="1">
      <c r="F746" s="33"/>
      <c r="H746" s="34"/>
    </row>
    <row r="747" spans="6:8" s="27" customFormat="1">
      <c r="F747" s="33"/>
      <c r="H747" s="34"/>
    </row>
    <row r="748" spans="6:8" s="27" customFormat="1">
      <c r="F748" s="33"/>
      <c r="H748" s="34"/>
    </row>
    <row r="749" spans="6:8" s="27" customFormat="1">
      <c r="F749" s="33"/>
      <c r="H749" s="34"/>
    </row>
    <row r="750" spans="6:8" s="27" customFormat="1">
      <c r="F750" s="33"/>
      <c r="H750" s="34"/>
    </row>
    <row r="751" spans="6:8" s="27" customFormat="1">
      <c r="F751" s="33"/>
      <c r="H751" s="34"/>
    </row>
    <row r="752" spans="6:8" s="27" customFormat="1">
      <c r="F752" s="33"/>
      <c r="H752" s="34"/>
    </row>
    <row r="753" spans="6:8" s="27" customFormat="1">
      <c r="F753" s="33"/>
      <c r="H753" s="34"/>
    </row>
    <row r="754" spans="6:8" s="27" customFormat="1">
      <c r="F754" s="33"/>
      <c r="H754" s="34"/>
    </row>
    <row r="755" spans="6:8" s="27" customFormat="1">
      <c r="F755" s="33"/>
      <c r="H755" s="34"/>
    </row>
    <row r="756" spans="6:8" s="27" customFormat="1">
      <c r="F756" s="33"/>
      <c r="H756" s="34"/>
    </row>
    <row r="757" spans="6:8" s="27" customFormat="1">
      <c r="F757" s="33"/>
      <c r="H757" s="34"/>
    </row>
    <row r="758" spans="6:8" s="27" customFormat="1">
      <c r="F758" s="33"/>
      <c r="H758" s="34"/>
    </row>
    <row r="759" spans="6:8" s="27" customFormat="1">
      <c r="F759" s="33"/>
      <c r="H759" s="34"/>
    </row>
    <row r="760" spans="6:8" s="27" customFormat="1">
      <c r="F760" s="33"/>
      <c r="H760" s="34"/>
    </row>
    <row r="761" spans="6:8" s="27" customFormat="1">
      <c r="F761" s="33"/>
      <c r="H761" s="34"/>
    </row>
    <row r="762" spans="6:8" s="27" customFormat="1">
      <c r="F762" s="33"/>
      <c r="H762" s="34"/>
    </row>
    <row r="763" spans="6:8" s="27" customFormat="1">
      <c r="F763" s="33"/>
      <c r="H763" s="34"/>
    </row>
    <row r="764" spans="6:8" s="27" customFormat="1">
      <c r="F764" s="33"/>
      <c r="H764" s="34"/>
    </row>
    <row r="765" spans="6:8" s="27" customFormat="1">
      <c r="F765" s="33"/>
      <c r="H765" s="34"/>
    </row>
    <row r="766" spans="6:8" s="27" customFormat="1">
      <c r="F766" s="33"/>
      <c r="H766" s="34"/>
    </row>
    <row r="767" spans="6:8" s="27" customFormat="1">
      <c r="F767" s="33"/>
      <c r="H767" s="34"/>
    </row>
    <row r="768" spans="6:8" s="27" customFormat="1">
      <c r="F768" s="33"/>
      <c r="H768" s="34"/>
    </row>
    <row r="769" spans="6:8" s="27" customFormat="1">
      <c r="F769" s="33"/>
      <c r="H769" s="34"/>
    </row>
    <row r="770" spans="6:8" s="27" customFormat="1">
      <c r="F770" s="33"/>
      <c r="H770" s="34"/>
    </row>
    <row r="771" spans="6:8" s="27" customFormat="1">
      <c r="F771" s="33"/>
      <c r="H771" s="34"/>
    </row>
    <row r="772" spans="6:8" s="27" customFormat="1">
      <c r="F772" s="33"/>
      <c r="H772" s="34"/>
    </row>
    <row r="773" spans="6:8" s="27" customFormat="1">
      <c r="F773" s="33"/>
      <c r="H773" s="34"/>
    </row>
    <row r="774" spans="6:8" s="27" customFormat="1">
      <c r="F774" s="33"/>
      <c r="H774" s="34"/>
    </row>
    <row r="775" spans="6:8" s="27" customFormat="1">
      <c r="F775" s="33"/>
      <c r="H775" s="34"/>
    </row>
    <row r="776" spans="6:8" s="27" customFormat="1">
      <c r="F776" s="33"/>
      <c r="H776" s="34"/>
    </row>
    <row r="777" spans="6:8" s="27" customFormat="1">
      <c r="F777" s="33"/>
      <c r="H777" s="34"/>
    </row>
    <row r="778" spans="6:8" s="27" customFormat="1">
      <c r="F778" s="33"/>
      <c r="H778" s="34"/>
    </row>
    <row r="779" spans="6:8" s="27" customFormat="1">
      <c r="F779" s="33"/>
      <c r="H779" s="34"/>
    </row>
    <row r="780" spans="6:8" s="27" customFormat="1">
      <c r="F780" s="33"/>
      <c r="H780" s="34"/>
    </row>
    <row r="781" spans="6:8" s="27" customFormat="1">
      <c r="F781" s="33"/>
      <c r="H781" s="34"/>
    </row>
    <row r="782" spans="6:8" s="27" customFormat="1">
      <c r="F782" s="33"/>
      <c r="H782" s="34"/>
    </row>
    <row r="783" spans="6:8" s="27" customFormat="1">
      <c r="F783" s="33"/>
      <c r="H783" s="34"/>
    </row>
    <row r="784" spans="6:8" s="27" customFormat="1">
      <c r="F784" s="33"/>
      <c r="H784" s="34"/>
    </row>
    <row r="785" spans="6:8" s="27" customFormat="1">
      <c r="F785" s="33"/>
      <c r="H785" s="34"/>
    </row>
    <row r="786" spans="6:8" s="27" customFormat="1">
      <c r="F786" s="33"/>
      <c r="H786" s="34"/>
    </row>
    <row r="787" spans="6:8" s="27" customFormat="1">
      <c r="F787" s="33"/>
      <c r="H787" s="34"/>
    </row>
    <row r="788" spans="6:8" s="27" customFormat="1">
      <c r="F788" s="33"/>
      <c r="H788" s="34"/>
    </row>
    <row r="789" spans="6:8" s="27" customFormat="1">
      <c r="F789" s="33"/>
      <c r="H789" s="34"/>
    </row>
    <row r="790" spans="6:8" s="27" customFormat="1">
      <c r="F790" s="33"/>
      <c r="H790" s="34"/>
    </row>
    <row r="791" spans="6:8" s="27" customFormat="1">
      <c r="F791" s="33"/>
      <c r="H791" s="34"/>
    </row>
    <row r="792" spans="6:8" s="27" customFormat="1">
      <c r="F792" s="33"/>
      <c r="H792" s="34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688"/>
  <sheetViews>
    <sheetView zoomScaleNormal="100" workbookViewId="0">
      <selection activeCell="B99" sqref="B99"/>
    </sheetView>
  </sheetViews>
  <sheetFormatPr defaultRowHeight="12.75"/>
  <cols>
    <col min="1" max="1" width="3.42578125" style="27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89" width="9.140625" style="27"/>
  </cols>
  <sheetData>
    <row r="1" spans="1:9" ht="15.95" customHeight="1">
      <c r="A1" s="24"/>
      <c r="B1" s="177" t="s">
        <v>265</v>
      </c>
      <c r="C1" s="178"/>
      <c r="D1" s="178"/>
      <c r="E1" s="178"/>
      <c r="F1" s="178"/>
      <c r="G1" s="178"/>
      <c r="H1" s="179"/>
      <c r="I1" s="1"/>
    </row>
    <row r="2" spans="1:9" ht="12.95" customHeight="1" thickBot="1">
      <c r="A2" s="24"/>
      <c r="B2" s="186" t="s">
        <v>384</v>
      </c>
      <c r="C2" s="187"/>
      <c r="D2" s="187"/>
      <c r="E2" s="187"/>
      <c r="F2" s="187"/>
      <c r="G2" s="187"/>
      <c r="H2" s="188"/>
      <c r="I2" s="1"/>
    </row>
    <row r="3" spans="1:9" s="27" customFormat="1" ht="12.95" customHeight="1">
      <c r="A3" s="24"/>
      <c r="B3" s="69"/>
      <c r="C3" s="69"/>
      <c r="D3" s="69"/>
      <c r="E3" s="69"/>
      <c r="F3" s="69"/>
      <c r="G3" s="69"/>
      <c r="H3" s="69"/>
      <c r="I3" s="24"/>
    </row>
    <row r="4" spans="1:9" s="27" customFormat="1" ht="12.95" customHeight="1">
      <c r="A4" s="25"/>
      <c r="B4" s="29" t="s">
        <v>2</v>
      </c>
      <c r="C4" s="24"/>
      <c r="D4" s="24"/>
      <c r="E4" s="24"/>
      <c r="F4" s="30"/>
      <c r="G4" s="24"/>
      <c r="H4" s="31"/>
      <c r="I4" s="24"/>
    </row>
    <row r="5" spans="1:9" s="27" customFormat="1" ht="12.95" customHeight="1" thickBot="1">
      <c r="A5" s="25"/>
      <c r="B5" s="29"/>
      <c r="C5" s="24"/>
      <c r="D5" s="24"/>
      <c r="E5" s="24"/>
      <c r="F5" s="30"/>
      <c r="G5" s="24"/>
      <c r="H5" s="31"/>
      <c r="I5" s="24"/>
    </row>
    <row r="6" spans="1:9" ht="27.95" customHeight="1" thickBot="1">
      <c r="A6" s="24"/>
      <c r="B6" s="76" t="s">
        <v>3</v>
      </c>
      <c r="C6" s="77" t="s">
        <v>4</v>
      </c>
      <c r="D6" s="104" t="s">
        <v>52</v>
      </c>
      <c r="E6" s="104" t="s">
        <v>6</v>
      </c>
      <c r="F6" s="105" t="s">
        <v>7</v>
      </c>
      <c r="G6" s="104" t="s">
        <v>8</v>
      </c>
      <c r="H6" s="106" t="s">
        <v>9</v>
      </c>
      <c r="I6" s="36" t="s">
        <v>10</v>
      </c>
    </row>
    <row r="7" spans="1:9">
      <c r="A7" s="24"/>
      <c r="B7" s="119" t="s">
        <v>53</v>
      </c>
      <c r="C7" s="120"/>
      <c r="D7" s="121"/>
      <c r="E7" s="121"/>
      <c r="F7" s="122"/>
      <c r="G7" s="121"/>
      <c r="H7" s="123"/>
      <c r="I7" s="113"/>
    </row>
    <row r="8" spans="1:9">
      <c r="A8" s="24"/>
      <c r="B8" s="116" t="s">
        <v>54</v>
      </c>
      <c r="C8" s="43"/>
      <c r="D8" s="44"/>
      <c r="E8" s="44"/>
      <c r="F8" s="45"/>
      <c r="G8" s="44"/>
      <c r="H8" s="117"/>
      <c r="I8" s="113"/>
    </row>
    <row r="9" spans="1:9">
      <c r="A9" s="24"/>
      <c r="B9" s="116" t="s">
        <v>378</v>
      </c>
      <c r="C9" s="43"/>
      <c r="D9" s="44"/>
      <c r="E9" s="44"/>
      <c r="F9" s="45"/>
      <c r="G9" s="44"/>
      <c r="H9" s="117"/>
      <c r="I9" s="113"/>
    </row>
    <row r="10" spans="1:9" ht="12.95" customHeight="1">
      <c r="A10" s="26"/>
      <c r="B10" s="55" t="s">
        <v>266</v>
      </c>
      <c r="C10" s="11" t="s">
        <v>267</v>
      </c>
      <c r="D10" s="11" t="s">
        <v>191</v>
      </c>
      <c r="E10" s="48">
        <v>27000</v>
      </c>
      <c r="F10" s="49">
        <v>94.864500000000007</v>
      </c>
      <c r="G10" s="50">
        <v>94.86</v>
      </c>
      <c r="H10" s="56">
        <v>0.1048122767489391</v>
      </c>
      <c r="I10" s="2">
        <v>0.1048</v>
      </c>
    </row>
    <row r="11" spans="1:9" ht="12.95" customHeight="1">
      <c r="A11" s="26"/>
      <c r="B11" s="55" t="s">
        <v>268</v>
      </c>
      <c r="C11" s="11" t="s">
        <v>269</v>
      </c>
      <c r="D11" s="11" t="s">
        <v>68</v>
      </c>
      <c r="E11" s="48">
        <v>9300</v>
      </c>
      <c r="F11" s="49">
        <v>85.118250000000003</v>
      </c>
      <c r="G11" s="50">
        <v>85.12</v>
      </c>
      <c r="H11" s="56">
        <v>9.4044005664768018E-2</v>
      </c>
      <c r="I11" s="2">
        <v>9.4E-2</v>
      </c>
    </row>
    <row r="12" spans="1:9" ht="12.95" customHeight="1">
      <c r="A12" s="26"/>
      <c r="B12" s="55" t="s">
        <v>283</v>
      </c>
      <c r="C12" s="11" t="s">
        <v>284</v>
      </c>
      <c r="D12" s="11" t="s">
        <v>285</v>
      </c>
      <c r="E12" s="48">
        <v>19000</v>
      </c>
      <c r="F12" s="49">
        <v>38.3705</v>
      </c>
      <c r="G12" s="50">
        <v>38.369999999999997</v>
      </c>
      <c r="H12" s="56">
        <v>4.2394146018744291E-2</v>
      </c>
      <c r="I12" s="2">
        <v>4.24E-2</v>
      </c>
    </row>
    <row r="13" spans="1:9" ht="12.95" customHeight="1">
      <c r="A13" s="26"/>
      <c r="B13" s="55" t="s">
        <v>288</v>
      </c>
      <c r="C13" s="11" t="s">
        <v>289</v>
      </c>
      <c r="D13" s="11" t="s">
        <v>290</v>
      </c>
      <c r="E13" s="48">
        <v>9500</v>
      </c>
      <c r="F13" s="49">
        <v>34.280749999999998</v>
      </c>
      <c r="G13" s="50">
        <v>34.28</v>
      </c>
      <c r="H13" s="56">
        <v>3.7875532534943988E-2</v>
      </c>
      <c r="I13" s="2">
        <v>3.7900000000000003E-2</v>
      </c>
    </row>
    <row r="14" spans="1:9" ht="12.95" customHeight="1">
      <c r="A14" s="26"/>
      <c r="B14" s="55" t="s">
        <v>306</v>
      </c>
      <c r="C14" s="11" t="s">
        <v>307</v>
      </c>
      <c r="D14" s="11" t="s">
        <v>68</v>
      </c>
      <c r="E14" s="48">
        <v>2400</v>
      </c>
      <c r="F14" s="49">
        <v>17.9724</v>
      </c>
      <c r="G14" s="50">
        <v>17.97</v>
      </c>
      <c r="H14" s="56">
        <v>1.9857039911058753E-2</v>
      </c>
      <c r="I14" s="2">
        <v>1.9900000000000001E-2</v>
      </c>
    </row>
    <row r="15" spans="1:9" ht="12.95" customHeight="1">
      <c r="A15" s="26"/>
      <c r="B15" s="55" t="s">
        <v>311</v>
      </c>
      <c r="C15" s="11" t="s">
        <v>312</v>
      </c>
      <c r="D15" s="11" t="s">
        <v>285</v>
      </c>
      <c r="E15" s="48">
        <v>12000</v>
      </c>
      <c r="F15" s="49">
        <v>16.763999999999999</v>
      </c>
      <c r="G15" s="50">
        <v>16.760000000000002</v>
      </c>
      <c r="H15" s="56">
        <v>1.8521923453127514E-2</v>
      </c>
      <c r="I15" s="2">
        <v>1.8499999999999999E-2</v>
      </c>
    </row>
    <row r="16" spans="1:9" ht="12.95" customHeight="1">
      <c r="A16" s="26"/>
      <c r="B16" s="55" t="s">
        <v>322</v>
      </c>
      <c r="C16" s="11" t="s">
        <v>323</v>
      </c>
      <c r="D16" s="11" t="s">
        <v>191</v>
      </c>
      <c r="E16" s="48">
        <v>5000</v>
      </c>
      <c r="F16" s="49">
        <v>11.6425</v>
      </c>
      <c r="G16" s="50">
        <v>11.64</v>
      </c>
      <c r="H16" s="56">
        <v>1.2863367561622352E-2</v>
      </c>
      <c r="I16" s="2">
        <v>1.29E-2</v>
      </c>
    </row>
    <row r="17" spans="1:9" ht="12.95" customHeight="1">
      <c r="A17" s="26"/>
      <c r="B17" s="55" t="s">
        <v>189</v>
      </c>
      <c r="C17" s="11" t="s">
        <v>190</v>
      </c>
      <c r="D17" s="11" t="s">
        <v>191</v>
      </c>
      <c r="E17" s="48">
        <v>1500</v>
      </c>
      <c r="F17" s="49">
        <v>8.0175000000000001</v>
      </c>
      <c r="G17" s="50">
        <v>8.02</v>
      </c>
      <c r="H17" s="56">
        <v>8.8582391604300793E-3</v>
      </c>
      <c r="I17" s="2">
        <v>8.8999999999999999E-3</v>
      </c>
    </row>
    <row r="18" spans="1:9" ht="12.95" customHeight="1">
      <c r="A18" s="26"/>
      <c r="B18" s="55"/>
      <c r="C18" s="11"/>
      <c r="D18" s="11"/>
      <c r="E18" s="48"/>
      <c r="F18" s="19">
        <f>SUM(F10:F17)</f>
        <v>307.03039999999999</v>
      </c>
      <c r="G18" s="20"/>
      <c r="H18" s="98">
        <f>SUM(H10:H17)</f>
        <v>0.33922653105363415</v>
      </c>
      <c r="I18" s="2"/>
    </row>
    <row r="19" spans="1:9" ht="12.95" customHeight="1">
      <c r="A19" s="26"/>
      <c r="B19" s="55"/>
      <c r="C19" s="11"/>
      <c r="D19" s="11"/>
      <c r="E19" s="48"/>
      <c r="F19" s="49"/>
      <c r="G19" s="50"/>
      <c r="H19" s="56"/>
      <c r="I19" s="2"/>
    </row>
    <row r="20" spans="1:9" ht="12.95" customHeight="1">
      <c r="A20" s="26"/>
      <c r="B20" s="118" t="s">
        <v>379</v>
      </c>
      <c r="C20" s="11"/>
      <c r="D20" s="11"/>
      <c r="E20" s="48"/>
      <c r="F20" s="49"/>
      <c r="G20" s="50"/>
      <c r="H20" s="56"/>
      <c r="I20" s="2"/>
    </row>
    <row r="21" spans="1:9" ht="12.95" customHeight="1">
      <c r="A21" s="26"/>
      <c r="B21" s="118" t="s">
        <v>380</v>
      </c>
      <c r="C21" s="11"/>
      <c r="D21" s="11"/>
      <c r="E21" s="48"/>
      <c r="F21" s="49"/>
      <c r="G21" s="50"/>
      <c r="H21" s="56"/>
      <c r="I21" s="2"/>
    </row>
    <row r="22" spans="1:9" ht="12.95" customHeight="1">
      <c r="A22" s="26"/>
      <c r="B22" s="55" t="s">
        <v>270</v>
      </c>
      <c r="C22" s="11" t="s">
        <v>271</v>
      </c>
      <c r="D22" s="11" t="s">
        <v>272</v>
      </c>
      <c r="E22" s="48">
        <v>6000</v>
      </c>
      <c r="F22" s="49">
        <v>84.154685999999998</v>
      </c>
      <c r="G22" s="50">
        <v>84.15</v>
      </c>
      <c r="H22" s="56">
        <v>9.2979399446073835E-2</v>
      </c>
      <c r="I22" s="2">
        <v>9.2999999999999999E-2</v>
      </c>
    </row>
    <row r="23" spans="1:9" ht="12.95" customHeight="1">
      <c r="A23" s="26"/>
      <c r="B23" s="55" t="s">
        <v>273</v>
      </c>
      <c r="C23" s="11" t="s">
        <v>274</v>
      </c>
      <c r="D23" s="11" t="s">
        <v>275</v>
      </c>
      <c r="E23" s="48">
        <v>102000</v>
      </c>
      <c r="F23" s="49">
        <v>68.291244000000006</v>
      </c>
      <c r="G23" s="50">
        <v>68.290000000000006</v>
      </c>
      <c r="H23" s="56">
        <v>7.5452469213007259E-2</v>
      </c>
      <c r="I23" s="2">
        <v>7.5499999999999998E-2</v>
      </c>
    </row>
    <row r="24" spans="1:9" ht="12.95" customHeight="1">
      <c r="A24" s="26"/>
      <c r="B24" s="55" t="s">
        <v>276</v>
      </c>
      <c r="C24" s="11" t="s">
        <v>277</v>
      </c>
      <c r="D24" s="11" t="s">
        <v>275</v>
      </c>
      <c r="E24" s="48">
        <v>116000</v>
      </c>
      <c r="F24" s="49">
        <v>56.744183999999997</v>
      </c>
      <c r="G24" s="50">
        <v>56.74</v>
      </c>
      <c r="H24" s="56">
        <v>6.2694549776794506E-2</v>
      </c>
      <c r="I24" s="2">
        <v>6.2700000000000006E-2</v>
      </c>
    </row>
    <row r="25" spans="1:9" ht="12.95" customHeight="1">
      <c r="A25" s="26"/>
      <c r="B25" s="55" t="s">
        <v>278</v>
      </c>
      <c r="C25" s="11" t="s">
        <v>279</v>
      </c>
      <c r="D25" s="11" t="s">
        <v>280</v>
      </c>
      <c r="E25" s="48">
        <v>63000</v>
      </c>
      <c r="F25" s="49">
        <v>51.178932000000003</v>
      </c>
      <c r="G25" s="50">
        <v>51.18</v>
      </c>
      <c r="H25" s="56">
        <v>5.6545708716107035E-2</v>
      </c>
      <c r="I25" s="2">
        <v>5.6500000000000002E-2</v>
      </c>
    </row>
    <row r="26" spans="1:9" ht="12.95" customHeight="1">
      <c r="A26" s="26"/>
      <c r="B26" s="55" t="s">
        <v>281</v>
      </c>
      <c r="C26" s="11" t="s">
        <v>282</v>
      </c>
      <c r="D26" s="11" t="s">
        <v>272</v>
      </c>
      <c r="E26" s="48">
        <v>1779</v>
      </c>
      <c r="F26" s="49">
        <v>49.085075699999997</v>
      </c>
      <c r="G26" s="50">
        <v>49.09</v>
      </c>
      <c r="H26" s="56">
        <v>5.4232284347791072E-2</v>
      </c>
      <c r="I26" s="2">
        <v>5.4199999999999998E-2</v>
      </c>
    </row>
    <row r="27" spans="1:9" ht="12.95" customHeight="1">
      <c r="A27" s="26"/>
      <c r="B27" s="55" t="s">
        <v>286</v>
      </c>
      <c r="C27" s="11" t="s">
        <v>287</v>
      </c>
      <c r="D27" s="11" t="s">
        <v>280</v>
      </c>
      <c r="E27" s="48">
        <v>2300</v>
      </c>
      <c r="F27" s="49">
        <v>37.7938714</v>
      </c>
      <c r="G27" s="50">
        <v>37.79</v>
      </c>
      <c r="H27" s="56">
        <v>4.1757050409696087E-2</v>
      </c>
      <c r="I27" s="2">
        <v>4.1799999999999997E-2</v>
      </c>
    </row>
    <row r="28" spans="1:9" ht="12.95" customHeight="1">
      <c r="A28" s="26"/>
      <c r="B28" s="55" t="s">
        <v>291</v>
      </c>
      <c r="C28" s="11" t="s">
        <v>292</v>
      </c>
      <c r="D28" s="11" t="s">
        <v>293</v>
      </c>
      <c r="E28" s="48">
        <v>4761</v>
      </c>
      <c r="F28" s="49">
        <v>29.166328799999999</v>
      </c>
      <c r="G28" s="50">
        <v>29.17</v>
      </c>
      <c r="H28" s="56">
        <v>3.2224797747694378E-2</v>
      </c>
      <c r="I28" s="2">
        <v>3.2199999999999999E-2</v>
      </c>
    </row>
    <row r="29" spans="1:9" ht="12.95" customHeight="1">
      <c r="A29" s="26"/>
      <c r="B29" s="55" t="s">
        <v>294</v>
      </c>
      <c r="C29" s="11" t="s">
        <v>295</v>
      </c>
      <c r="D29" s="11" t="s">
        <v>296</v>
      </c>
      <c r="E29" s="48">
        <v>16000</v>
      </c>
      <c r="F29" s="49">
        <v>27.132000000000001</v>
      </c>
      <c r="G29" s="50">
        <v>27.13</v>
      </c>
      <c r="H29" s="56">
        <v>2.9977143112041024E-2</v>
      </c>
      <c r="I29" s="2">
        <v>0.03</v>
      </c>
    </row>
    <row r="30" spans="1:9" ht="12.95" customHeight="1">
      <c r="A30" s="26"/>
      <c r="B30" s="55" t="s">
        <v>297</v>
      </c>
      <c r="C30" s="11" t="s">
        <v>298</v>
      </c>
      <c r="D30" s="11" t="s">
        <v>275</v>
      </c>
      <c r="E30" s="48">
        <v>4466</v>
      </c>
      <c r="F30" s="49">
        <v>22.863499399999998</v>
      </c>
      <c r="G30" s="50">
        <v>22.86</v>
      </c>
      <c r="H30" s="56">
        <v>2.5261034702781369E-2</v>
      </c>
      <c r="I30" s="2">
        <v>2.53E-2</v>
      </c>
    </row>
    <row r="31" spans="1:9" ht="12.95" customHeight="1">
      <c r="A31" s="26"/>
      <c r="B31" s="55" t="s">
        <v>299</v>
      </c>
      <c r="C31" s="11" t="s">
        <v>300</v>
      </c>
      <c r="D31" s="11" t="s">
        <v>280</v>
      </c>
      <c r="E31" s="48">
        <v>5237</v>
      </c>
      <c r="F31" s="49">
        <v>19.781604900000001</v>
      </c>
      <c r="G31" s="50">
        <v>19.78</v>
      </c>
      <c r="H31" s="56">
        <v>2.1855963477559782E-2</v>
      </c>
      <c r="I31" s="2">
        <v>2.1899999999999999E-2</v>
      </c>
    </row>
    <row r="32" spans="1:9" ht="12.95" customHeight="1">
      <c r="A32" s="26"/>
      <c r="B32" s="55" t="s">
        <v>301</v>
      </c>
      <c r="C32" s="11" t="s">
        <v>302</v>
      </c>
      <c r="D32" s="11" t="s">
        <v>280</v>
      </c>
      <c r="E32" s="48">
        <v>5043</v>
      </c>
      <c r="F32" s="49">
        <v>18.782903099999999</v>
      </c>
      <c r="G32" s="50">
        <v>18.78</v>
      </c>
      <c r="H32" s="56">
        <v>2.0752534803490309E-2</v>
      </c>
      <c r="I32" s="2">
        <v>2.0799999999999999E-2</v>
      </c>
    </row>
    <row r="33" spans="1:9" ht="12.95" customHeight="1">
      <c r="A33" s="26"/>
      <c r="B33" s="55" t="s">
        <v>303</v>
      </c>
      <c r="C33" s="11" t="s">
        <v>304</v>
      </c>
      <c r="D33" s="11" t="s">
        <v>305</v>
      </c>
      <c r="E33" s="48">
        <v>9000</v>
      </c>
      <c r="F33" s="49">
        <v>18.780930000000001</v>
      </c>
      <c r="G33" s="50">
        <v>18.78</v>
      </c>
      <c r="H33" s="56">
        <v>2.0750354798290752E-2</v>
      </c>
      <c r="I33" s="2">
        <v>2.0799999999999999E-2</v>
      </c>
    </row>
    <row r="34" spans="1:9" ht="12.95" customHeight="1">
      <c r="A34" s="26"/>
      <c r="B34" s="55" t="s">
        <v>308</v>
      </c>
      <c r="C34" s="11" t="s">
        <v>309</v>
      </c>
      <c r="D34" s="11" t="s">
        <v>310</v>
      </c>
      <c r="E34" s="48">
        <v>2048</v>
      </c>
      <c r="F34" s="49">
        <v>17.8081976</v>
      </c>
      <c r="G34" s="50">
        <v>17.809999999999999</v>
      </c>
      <c r="H34" s="56">
        <v>1.9675618753601118E-2</v>
      </c>
      <c r="I34" s="2">
        <v>1.9699999999999999E-2</v>
      </c>
    </row>
    <row r="35" spans="1:9" ht="12.95" customHeight="1">
      <c r="A35" s="26"/>
      <c r="B35" s="55" t="s">
        <v>313</v>
      </c>
      <c r="C35" s="11" t="s">
        <v>314</v>
      </c>
      <c r="D35" s="11" t="s">
        <v>315</v>
      </c>
      <c r="E35" s="48">
        <v>100</v>
      </c>
      <c r="F35" s="49">
        <v>14.238474999999999</v>
      </c>
      <c r="G35" s="50">
        <v>14.24</v>
      </c>
      <c r="H35" s="56">
        <v>1.573156430680445E-2</v>
      </c>
      <c r="I35" s="2">
        <v>1.5699999999999999E-2</v>
      </c>
    </row>
    <row r="36" spans="1:9" ht="12.95" customHeight="1">
      <c r="A36" s="26"/>
      <c r="B36" s="55" t="s">
        <v>316</v>
      </c>
      <c r="C36" s="11" t="s">
        <v>317</v>
      </c>
      <c r="D36" s="11" t="s">
        <v>305</v>
      </c>
      <c r="E36" s="48">
        <v>20000</v>
      </c>
      <c r="F36" s="49">
        <v>14.233945</v>
      </c>
      <c r="G36" s="50">
        <v>14.23</v>
      </c>
      <c r="H36" s="56">
        <v>1.5726559277381719E-2</v>
      </c>
      <c r="I36" s="2">
        <v>1.5699999999999999E-2</v>
      </c>
    </row>
    <row r="37" spans="1:9" ht="12.95" customHeight="1">
      <c r="A37" s="26"/>
      <c r="B37" s="55" t="s">
        <v>318</v>
      </c>
      <c r="C37" s="11" t="s">
        <v>319</v>
      </c>
      <c r="D37" s="11" t="s">
        <v>280</v>
      </c>
      <c r="E37" s="48">
        <v>22000</v>
      </c>
      <c r="F37" s="49">
        <v>14.167692000000001</v>
      </c>
      <c r="G37" s="50">
        <v>14.17</v>
      </c>
      <c r="H37" s="56">
        <v>1.5653358788564012E-2</v>
      </c>
      <c r="I37" s="2">
        <v>1.5699999999999999E-2</v>
      </c>
    </row>
    <row r="38" spans="1:9" ht="12.95" customHeight="1">
      <c r="A38" s="26"/>
      <c r="B38" s="55" t="s">
        <v>320</v>
      </c>
      <c r="C38" s="11" t="s">
        <v>321</v>
      </c>
      <c r="D38" s="11" t="s">
        <v>272</v>
      </c>
      <c r="E38" s="48">
        <v>12000</v>
      </c>
      <c r="F38" s="49">
        <v>12.123215999999999</v>
      </c>
      <c r="G38" s="50">
        <v>12.12</v>
      </c>
      <c r="H38" s="56">
        <v>1.3394492887003742E-2</v>
      </c>
      <c r="I38" s="2">
        <v>1.34E-2</v>
      </c>
    </row>
    <row r="39" spans="1:9" ht="12.95" customHeight="1">
      <c r="A39" s="26"/>
      <c r="B39" s="55" t="s">
        <v>324</v>
      </c>
      <c r="C39" s="11" t="s">
        <v>325</v>
      </c>
      <c r="D39" s="11" t="s">
        <v>310</v>
      </c>
      <c r="E39" s="48">
        <v>100</v>
      </c>
      <c r="F39" s="49">
        <v>11.193415</v>
      </c>
      <c r="G39" s="50">
        <v>11.19</v>
      </c>
      <c r="H39" s="56">
        <v>1.2367190158022508E-2</v>
      </c>
      <c r="I39" s="2">
        <v>1.24E-2</v>
      </c>
    </row>
    <row r="40" spans="1:9" ht="12.95" customHeight="1">
      <c r="A40" s="26"/>
      <c r="B40" s="55" t="s">
        <v>326</v>
      </c>
      <c r="C40" s="11" t="s">
        <v>327</v>
      </c>
      <c r="D40" s="11" t="s">
        <v>328</v>
      </c>
      <c r="E40" s="48">
        <v>200</v>
      </c>
      <c r="F40" s="49">
        <v>10.567486000000001</v>
      </c>
      <c r="G40" s="50">
        <v>10.57</v>
      </c>
      <c r="H40" s="56">
        <v>1.1675624360772886E-2</v>
      </c>
      <c r="I40" s="2">
        <v>1.17E-2</v>
      </c>
    </row>
    <row r="41" spans="1:9" ht="12.95" customHeight="1">
      <c r="A41" s="26"/>
      <c r="B41" s="55" t="s">
        <v>329</v>
      </c>
      <c r="C41" s="11" t="s">
        <v>330</v>
      </c>
      <c r="D41" s="11" t="s">
        <v>305</v>
      </c>
      <c r="E41" s="48">
        <v>16000</v>
      </c>
      <c r="F41" s="49">
        <v>9.5632319999999993</v>
      </c>
      <c r="G41" s="50">
        <v>9.56</v>
      </c>
      <c r="H41" s="56">
        <v>1.0566061266314696E-2</v>
      </c>
      <c r="I41" s="2">
        <v>1.06E-2</v>
      </c>
    </row>
    <row r="42" spans="1:9" ht="12.95" customHeight="1">
      <c r="A42" s="26"/>
      <c r="B42" s="55" t="s">
        <v>331</v>
      </c>
      <c r="C42" s="11" t="s">
        <v>332</v>
      </c>
      <c r="D42" s="11" t="s">
        <v>315</v>
      </c>
      <c r="E42" s="48">
        <v>2700</v>
      </c>
      <c r="F42" s="49">
        <v>8.5261680000000002</v>
      </c>
      <c r="G42" s="50">
        <v>8.5299999999999994</v>
      </c>
      <c r="H42" s="56">
        <v>9.4202476165894371E-3</v>
      </c>
      <c r="I42" s="2">
        <v>9.4000000000000004E-3</v>
      </c>
    </row>
    <row r="43" spans="1:9" ht="12.95" customHeight="1">
      <c r="A43" s="26"/>
      <c r="B43" s="55" t="s">
        <v>333</v>
      </c>
      <c r="C43" s="11" t="s">
        <v>334</v>
      </c>
      <c r="D43" s="11" t="s">
        <v>293</v>
      </c>
      <c r="E43" s="48">
        <v>4659</v>
      </c>
      <c r="F43" s="49">
        <v>4.7569112000000002</v>
      </c>
      <c r="G43" s="50">
        <v>4.76</v>
      </c>
      <c r="H43" s="56">
        <v>5.2557352135364447E-3</v>
      </c>
      <c r="I43" s="2">
        <v>5.3E-3</v>
      </c>
    </row>
    <row r="44" spans="1:9" ht="12.95" customHeight="1">
      <c r="A44" s="26"/>
      <c r="B44" s="53" t="s">
        <v>42</v>
      </c>
      <c r="C44" s="11"/>
      <c r="D44" s="11"/>
      <c r="E44" s="48"/>
      <c r="F44" s="114">
        <f>SUM(F22:F43)</f>
        <v>600.93399709999983</v>
      </c>
      <c r="G44" s="51"/>
      <c r="H44" s="57">
        <f>SUM(H22:H43)</f>
        <v>0.66394974317991839</v>
      </c>
      <c r="I44" s="2"/>
    </row>
    <row r="45" spans="1:9" ht="12.95" customHeight="1">
      <c r="A45" s="26"/>
      <c r="B45" s="55"/>
      <c r="C45" s="11"/>
      <c r="D45" s="11"/>
      <c r="E45" s="48"/>
      <c r="F45" s="49"/>
      <c r="G45" s="50"/>
      <c r="H45" s="56"/>
      <c r="I45" s="2"/>
    </row>
    <row r="46" spans="1:9" ht="12.95" customHeight="1">
      <c r="A46" s="24"/>
      <c r="B46" s="53" t="s">
        <v>195</v>
      </c>
      <c r="C46" s="11" t="s">
        <v>1</v>
      </c>
      <c r="D46" s="11" t="s">
        <v>1</v>
      </c>
      <c r="E46" s="11" t="s">
        <v>1</v>
      </c>
      <c r="F46" s="12" t="s">
        <v>196</v>
      </c>
      <c r="G46" s="52" t="s">
        <v>196</v>
      </c>
      <c r="H46" s="57" t="s">
        <v>196</v>
      </c>
      <c r="I46" s="39" t="s">
        <v>196</v>
      </c>
    </row>
    <row r="47" spans="1:9" ht="12.95" customHeight="1">
      <c r="A47" s="24"/>
      <c r="B47" s="53" t="s">
        <v>42</v>
      </c>
      <c r="C47" s="11" t="s">
        <v>1</v>
      </c>
      <c r="D47" s="11" t="s">
        <v>1</v>
      </c>
      <c r="E47" s="11" t="s">
        <v>1</v>
      </c>
      <c r="F47" s="12" t="s">
        <v>196</v>
      </c>
      <c r="G47" s="52" t="s">
        <v>196</v>
      </c>
      <c r="H47" s="57" t="s">
        <v>196</v>
      </c>
      <c r="I47" s="39" t="s">
        <v>196</v>
      </c>
    </row>
    <row r="48" spans="1:9" ht="12.95" customHeight="1">
      <c r="A48" s="24"/>
      <c r="B48" s="53" t="s">
        <v>43</v>
      </c>
      <c r="C48" s="11" t="s">
        <v>1</v>
      </c>
      <c r="D48" s="11" t="s">
        <v>1</v>
      </c>
      <c r="E48" s="11" t="s">
        <v>1</v>
      </c>
      <c r="F48" s="12">
        <v>907.96439710000004</v>
      </c>
      <c r="G48" s="51">
        <v>907.94</v>
      </c>
      <c r="H48" s="57">
        <v>1.0031762742335526</v>
      </c>
      <c r="I48" s="38">
        <v>1.0036</v>
      </c>
    </row>
    <row r="49" spans="1:9" ht="12.95" customHeight="1">
      <c r="A49" s="24"/>
      <c r="B49" s="53"/>
      <c r="C49" s="11"/>
      <c r="D49" s="11"/>
      <c r="E49" s="11"/>
      <c r="F49" s="12"/>
      <c r="G49" s="51"/>
      <c r="H49" s="57"/>
      <c r="I49" s="41"/>
    </row>
    <row r="50" spans="1:9" ht="12.95" customHeight="1">
      <c r="A50" s="24"/>
      <c r="B50" s="9" t="s">
        <v>370</v>
      </c>
      <c r="C50" s="10"/>
      <c r="D50" s="11"/>
      <c r="E50" s="11"/>
      <c r="F50" s="114"/>
      <c r="G50" s="51"/>
      <c r="H50" s="57"/>
      <c r="I50" s="21"/>
    </row>
    <row r="51" spans="1:9" ht="12.95" customHeight="1">
      <c r="A51" s="26"/>
      <c r="B51" s="13" t="s">
        <v>375</v>
      </c>
      <c r="C51" s="10"/>
      <c r="D51" s="11"/>
      <c r="E51" s="20" t="s">
        <v>196</v>
      </c>
      <c r="F51" s="20"/>
      <c r="G51" s="20" t="s">
        <v>196</v>
      </c>
      <c r="H51" s="148" t="s">
        <v>196</v>
      </c>
      <c r="I51" s="22" t="s">
        <v>196</v>
      </c>
    </row>
    <row r="52" spans="1:9" ht="12.95" customHeight="1">
      <c r="A52" s="24"/>
      <c r="B52" s="16" t="s">
        <v>372</v>
      </c>
      <c r="C52" s="10"/>
      <c r="D52" s="11"/>
      <c r="E52" s="20" t="s">
        <v>196</v>
      </c>
      <c r="F52" s="20"/>
      <c r="G52" s="20" t="s">
        <v>196</v>
      </c>
      <c r="H52" s="148" t="s">
        <v>196</v>
      </c>
      <c r="I52" s="22" t="s">
        <v>196</v>
      </c>
    </row>
    <row r="53" spans="1:9" ht="12.95" customHeight="1">
      <c r="A53" s="24"/>
      <c r="B53" s="16" t="s">
        <v>373</v>
      </c>
      <c r="C53" s="10"/>
      <c r="D53" s="11"/>
      <c r="E53" s="20" t="s">
        <v>196</v>
      </c>
      <c r="F53" s="20"/>
      <c r="G53" s="20" t="s">
        <v>196</v>
      </c>
      <c r="H53" s="148" t="s">
        <v>196</v>
      </c>
      <c r="I53" s="22" t="s">
        <v>196</v>
      </c>
    </row>
    <row r="54" spans="1:9" ht="12.95" customHeight="1">
      <c r="A54" s="24"/>
      <c r="B54" s="16"/>
      <c r="C54" s="10"/>
      <c r="D54" s="11"/>
      <c r="E54" s="95"/>
      <c r="F54" s="95"/>
      <c r="G54" s="95"/>
      <c r="H54" s="15"/>
      <c r="I54" s="112"/>
    </row>
    <row r="55" spans="1:9" ht="12.95" customHeight="1">
      <c r="A55" s="24"/>
      <c r="B55" s="35" t="s">
        <v>11</v>
      </c>
      <c r="C55" s="10"/>
      <c r="D55" s="11"/>
      <c r="E55" s="95"/>
      <c r="F55" s="95"/>
      <c r="G55" s="95"/>
      <c r="H55" s="15"/>
      <c r="I55" s="112"/>
    </row>
    <row r="56" spans="1:9" ht="12.95" customHeight="1">
      <c r="A56" s="24"/>
      <c r="B56" s="35"/>
      <c r="C56" s="10"/>
      <c r="D56" s="11"/>
      <c r="E56" s="95"/>
      <c r="F56" s="95"/>
      <c r="G56" s="95"/>
      <c r="H56" s="15"/>
      <c r="I56" s="112"/>
    </row>
    <row r="57" spans="1:9" ht="12.95" customHeight="1">
      <c r="A57" s="24"/>
      <c r="B57" s="53" t="s">
        <v>44</v>
      </c>
      <c r="C57" s="11" t="s">
        <v>1</v>
      </c>
      <c r="D57" s="11" t="s">
        <v>1</v>
      </c>
      <c r="E57" s="11" t="s">
        <v>1</v>
      </c>
      <c r="F57" s="46" t="s">
        <v>1</v>
      </c>
      <c r="G57" s="47"/>
      <c r="H57" s="54" t="s">
        <v>1</v>
      </c>
      <c r="I57" s="37" t="s">
        <v>1</v>
      </c>
    </row>
    <row r="58" spans="1:9" ht="12.95" customHeight="1">
      <c r="A58" s="26"/>
      <c r="B58" s="55" t="s">
        <v>45</v>
      </c>
      <c r="C58" s="11" t="s">
        <v>1</v>
      </c>
      <c r="D58" s="11" t="s">
        <v>46</v>
      </c>
      <c r="E58" s="48"/>
      <c r="F58" s="49">
        <v>8.3403276999999996</v>
      </c>
      <c r="G58" s="50">
        <v>8.34</v>
      </c>
      <c r="H58" s="56">
        <v>9.2149195438677566E-3</v>
      </c>
      <c r="I58" s="2">
        <v>9.1999999999999998E-3</v>
      </c>
    </row>
    <row r="59" spans="1:9" ht="12.95" customHeight="1">
      <c r="A59" s="24"/>
      <c r="B59" s="53" t="s">
        <v>42</v>
      </c>
      <c r="C59" s="11" t="s">
        <v>1</v>
      </c>
      <c r="D59" s="11" t="s">
        <v>1</v>
      </c>
      <c r="E59" s="11" t="s">
        <v>1</v>
      </c>
      <c r="F59" s="12">
        <v>8.3403276999999996</v>
      </c>
      <c r="G59" s="51">
        <v>8.34</v>
      </c>
      <c r="H59" s="57">
        <v>9.2149195438677566E-3</v>
      </c>
      <c r="I59" s="38">
        <v>9.1999999999999998E-3</v>
      </c>
    </row>
    <row r="60" spans="1:9" ht="12.95" customHeight="1">
      <c r="A60" s="24"/>
      <c r="B60" s="53"/>
      <c r="C60" s="11"/>
      <c r="D60" s="11"/>
      <c r="E60" s="11"/>
      <c r="F60" s="12"/>
      <c r="G60" s="51"/>
      <c r="H60" s="57"/>
      <c r="I60" s="38"/>
    </row>
    <row r="61" spans="1:9" ht="12.95" customHeight="1">
      <c r="A61" s="24"/>
      <c r="B61" s="53" t="s">
        <v>47</v>
      </c>
      <c r="C61" s="11" t="s">
        <v>1</v>
      </c>
      <c r="D61" s="11" t="s">
        <v>1</v>
      </c>
      <c r="E61" s="11" t="s">
        <v>1</v>
      </c>
      <c r="F61" s="12">
        <v>-11.2151404259</v>
      </c>
      <c r="G61" s="51">
        <v>-11.19</v>
      </c>
      <c r="H61" s="57">
        <v>-1.2391193777420276E-2</v>
      </c>
      <c r="I61" s="38">
        <v>-1.2800000000000001E-2</v>
      </c>
    </row>
    <row r="62" spans="1:9" ht="12.95" customHeight="1">
      <c r="A62" s="24"/>
      <c r="B62" s="53" t="s">
        <v>42</v>
      </c>
      <c r="C62" s="11"/>
      <c r="D62" s="11"/>
      <c r="E62" s="11"/>
      <c r="F62" s="12">
        <v>-11.2151404259</v>
      </c>
      <c r="G62" s="51">
        <v>-11.19</v>
      </c>
      <c r="H62" s="57">
        <v>-1.2391193777420276E-2</v>
      </c>
      <c r="I62" s="41"/>
    </row>
    <row r="63" spans="1:9" ht="12.95" customHeight="1">
      <c r="A63" s="24"/>
      <c r="B63" s="53" t="s">
        <v>43</v>
      </c>
      <c r="C63" s="11"/>
      <c r="D63" s="11"/>
      <c r="E63" s="11"/>
      <c r="F63" s="12">
        <f>F59+F62</f>
        <v>-2.8748127259</v>
      </c>
      <c r="G63" s="12">
        <f t="shared" ref="G63:H63" si="0">G59+G62</f>
        <v>-2.8499999999999996</v>
      </c>
      <c r="H63" s="57">
        <f t="shared" si="0"/>
        <v>-3.1762742335525191E-3</v>
      </c>
      <c r="I63" s="41"/>
    </row>
    <row r="64" spans="1:9" ht="12.95" customHeight="1" thickBot="1">
      <c r="A64" s="24"/>
      <c r="B64" s="80"/>
      <c r="C64" s="17"/>
      <c r="D64" s="17"/>
      <c r="E64" s="17"/>
      <c r="F64" s="18"/>
      <c r="G64" s="99"/>
      <c r="H64" s="100"/>
      <c r="I64" s="41"/>
    </row>
    <row r="65" spans="1:9" ht="12.95" customHeight="1" thickBot="1">
      <c r="A65" s="24"/>
      <c r="B65" s="84" t="s">
        <v>48</v>
      </c>
      <c r="C65" s="85" t="s">
        <v>1</v>
      </c>
      <c r="D65" s="85" t="s">
        <v>1</v>
      </c>
      <c r="E65" s="85" t="s">
        <v>1</v>
      </c>
      <c r="F65" s="101">
        <v>905.08958437410001</v>
      </c>
      <c r="G65" s="102">
        <v>905.09</v>
      </c>
      <c r="H65" s="103">
        <v>1</v>
      </c>
      <c r="I65" s="42">
        <v>1</v>
      </c>
    </row>
    <row r="66" spans="1:9" s="27" customFormat="1" ht="12.95" customHeight="1">
      <c r="A66" s="24"/>
      <c r="B66" s="25" t="s">
        <v>1</v>
      </c>
      <c r="C66" s="24"/>
      <c r="D66" s="24"/>
      <c r="E66" s="24"/>
      <c r="F66" s="30"/>
      <c r="G66" s="24"/>
      <c r="H66" s="31"/>
      <c r="I66" s="24"/>
    </row>
    <row r="67" spans="1:9" s="27" customFormat="1" ht="12.95" customHeight="1">
      <c r="A67" s="24"/>
      <c r="B67" s="32" t="s">
        <v>376</v>
      </c>
      <c r="C67" s="24"/>
      <c r="D67" s="24"/>
      <c r="E67" s="24"/>
      <c r="F67" s="30"/>
      <c r="G67" s="24"/>
      <c r="H67" s="31"/>
      <c r="I67" s="24"/>
    </row>
    <row r="68" spans="1:9" s="27" customFormat="1" ht="12.95" customHeight="1">
      <c r="A68" s="24"/>
      <c r="B68" s="111" t="s">
        <v>381</v>
      </c>
      <c r="C68" s="24"/>
      <c r="D68" s="24"/>
      <c r="E68" s="24"/>
      <c r="F68" s="30"/>
      <c r="G68" s="24"/>
      <c r="H68" s="31"/>
      <c r="I68" s="24"/>
    </row>
    <row r="69" spans="1:9" s="27" customFormat="1" ht="12.95" customHeight="1" thickBot="1">
      <c r="A69" s="24"/>
      <c r="B69" s="32" t="s">
        <v>1</v>
      </c>
      <c r="C69" s="24"/>
      <c r="D69" s="24"/>
      <c r="E69" s="24"/>
      <c r="F69" s="30"/>
      <c r="G69" s="24"/>
      <c r="H69" s="31"/>
      <c r="I69" s="24"/>
    </row>
    <row r="70" spans="1:9" s="27" customFormat="1" ht="13.5" thickBot="1">
      <c r="B70" s="149" t="s">
        <v>386</v>
      </c>
      <c r="C70" s="150">
        <v>0.1502</v>
      </c>
      <c r="F70" s="33"/>
      <c r="H70" s="34"/>
    </row>
    <row r="71" spans="1:9" s="27" customFormat="1">
      <c r="B71" s="109" t="s">
        <v>387</v>
      </c>
      <c r="C71" s="109"/>
      <c r="F71" s="33"/>
      <c r="H71" s="34"/>
    </row>
    <row r="72" spans="1:9" s="27" customFormat="1">
      <c r="F72" s="33"/>
      <c r="H72" s="34"/>
    </row>
    <row r="73" spans="1:9" s="27" customFormat="1">
      <c r="F73" s="33"/>
      <c r="H73" s="34"/>
    </row>
    <row r="74" spans="1:9" s="27" customFormat="1">
      <c r="F74" s="33"/>
      <c r="H74" s="34"/>
    </row>
    <row r="75" spans="1:9" s="27" customFormat="1">
      <c r="F75" s="33"/>
      <c r="H75" s="34"/>
    </row>
    <row r="76" spans="1:9" s="27" customFormat="1">
      <c r="F76" s="33"/>
      <c r="H76" s="34"/>
    </row>
    <row r="77" spans="1:9" s="27" customFormat="1">
      <c r="F77" s="33"/>
      <c r="H77" s="34"/>
    </row>
    <row r="78" spans="1:9" s="27" customFormat="1">
      <c r="F78" s="33"/>
      <c r="H78" s="34"/>
    </row>
    <row r="79" spans="1:9" s="27" customFormat="1">
      <c r="F79" s="33"/>
      <c r="H79" s="34"/>
    </row>
    <row r="80" spans="1:9" s="27" customFormat="1">
      <c r="F80" s="33"/>
      <c r="H80" s="34"/>
    </row>
    <row r="81" spans="6:8" s="27" customFormat="1">
      <c r="F81" s="33"/>
      <c r="H81" s="34"/>
    </row>
    <row r="82" spans="6:8" s="27" customFormat="1">
      <c r="F82" s="33"/>
      <c r="H82" s="34"/>
    </row>
    <row r="83" spans="6:8" s="27" customFormat="1">
      <c r="F83" s="33"/>
      <c r="H83" s="34"/>
    </row>
    <row r="84" spans="6:8" s="27" customFormat="1">
      <c r="F84" s="33"/>
      <c r="H84" s="34"/>
    </row>
    <row r="85" spans="6:8" s="27" customFormat="1">
      <c r="F85" s="33"/>
      <c r="H85" s="34"/>
    </row>
    <row r="86" spans="6:8" s="27" customFormat="1">
      <c r="F86" s="33"/>
      <c r="H86" s="34"/>
    </row>
    <row r="87" spans="6:8" s="27" customFormat="1">
      <c r="F87" s="33"/>
      <c r="H87" s="34"/>
    </row>
    <row r="88" spans="6:8" s="27" customFormat="1">
      <c r="F88" s="33"/>
      <c r="H88" s="34"/>
    </row>
    <row r="89" spans="6:8" s="27" customFormat="1">
      <c r="F89" s="33"/>
      <c r="H89" s="34"/>
    </row>
    <row r="90" spans="6:8" s="27" customFormat="1">
      <c r="F90" s="33"/>
      <c r="H90" s="34"/>
    </row>
    <row r="91" spans="6:8" s="27" customFormat="1">
      <c r="F91" s="33"/>
      <c r="H91" s="34"/>
    </row>
    <row r="92" spans="6:8" s="27" customFormat="1">
      <c r="F92" s="33"/>
      <c r="H92" s="34"/>
    </row>
    <row r="93" spans="6:8" s="27" customFormat="1">
      <c r="F93" s="33"/>
      <c r="H93" s="34"/>
    </row>
    <row r="94" spans="6:8" s="27" customFormat="1">
      <c r="F94" s="33"/>
      <c r="H94" s="34"/>
    </row>
    <row r="95" spans="6:8" s="27" customFormat="1">
      <c r="F95" s="33"/>
      <c r="H95" s="34"/>
    </row>
    <row r="96" spans="6:8" s="27" customFormat="1">
      <c r="F96" s="33"/>
      <c r="H96" s="34"/>
    </row>
    <row r="97" spans="6:8" s="27" customFormat="1">
      <c r="F97" s="33"/>
      <c r="H97" s="34"/>
    </row>
    <row r="98" spans="6:8" s="27" customFormat="1">
      <c r="F98" s="33"/>
      <c r="H98" s="34"/>
    </row>
    <row r="99" spans="6:8" s="27" customFormat="1">
      <c r="F99" s="33"/>
      <c r="H99" s="34"/>
    </row>
    <row r="100" spans="6:8" s="27" customFormat="1">
      <c r="F100" s="33"/>
      <c r="H100" s="34"/>
    </row>
    <row r="101" spans="6:8" s="27" customFormat="1">
      <c r="F101" s="33"/>
      <c r="H101" s="34"/>
    </row>
    <row r="102" spans="6:8" s="27" customFormat="1">
      <c r="F102" s="33"/>
      <c r="H102" s="34"/>
    </row>
    <row r="103" spans="6:8" s="27" customFormat="1">
      <c r="F103" s="33"/>
      <c r="H103" s="34"/>
    </row>
    <row r="104" spans="6:8" s="27" customFormat="1">
      <c r="F104" s="33"/>
      <c r="H104" s="34"/>
    </row>
    <row r="105" spans="6:8" s="27" customFormat="1">
      <c r="F105" s="33"/>
      <c r="H105" s="34"/>
    </row>
    <row r="106" spans="6:8" s="27" customFormat="1">
      <c r="F106" s="33"/>
      <c r="H106" s="34"/>
    </row>
    <row r="107" spans="6:8" s="27" customFormat="1">
      <c r="F107" s="33"/>
      <c r="H107" s="34"/>
    </row>
    <row r="108" spans="6:8" s="27" customFormat="1">
      <c r="F108" s="33"/>
      <c r="H108" s="34"/>
    </row>
    <row r="109" spans="6:8" s="27" customFormat="1">
      <c r="F109" s="33"/>
      <c r="H109" s="34"/>
    </row>
    <row r="110" spans="6:8" s="27" customFormat="1">
      <c r="F110" s="33"/>
      <c r="H110" s="34"/>
    </row>
    <row r="111" spans="6:8" s="27" customFormat="1">
      <c r="F111" s="33"/>
      <c r="H111" s="34"/>
    </row>
    <row r="112" spans="6:8" s="27" customFormat="1">
      <c r="F112" s="33"/>
      <c r="H112" s="34"/>
    </row>
    <row r="113" spans="6:8" s="27" customFormat="1">
      <c r="F113" s="33"/>
      <c r="H113" s="34"/>
    </row>
    <row r="114" spans="6:8" s="27" customFormat="1">
      <c r="F114" s="33"/>
      <c r="H114" s="34"/>
    </row>
    <row r="115" spans="6:8" s="27" customFormat="1">
      <c r="F115" s="33"/>
      <c r="H115" s="34"/>
    </row>
    <row r="116" spans="6:8" s="27" customFormat="1">
      <c r="F116" s="33"/>
      <c r="H116" s="34"/>
    </row>
    <row r="117" spans="6:8" s="27" customFormat="1">
      <c r="F117" s="33"/>
      <c r="H117" s="34"/>
    </row>
    <row r="118" spans="6:8" s="27" customFormat="1">
      <c r="F118" s="33"/>
      <c r="H118" s="34"/>
    </row>
    <row r="119" spans="6:8" s="27" customFormat="1">
      <c r="F119" s="33"/>
      <c r="H119" s="34"/>
    </row>
    <row r="120" spans="6:8" s="27" customFormat="1">
      <c r="F120" s="33"/>
      <c r="H120" s="34"/>
    </row>
    <row r="121" spans="6:8" s="27" customFormat="1">
      <c r="F121" s="33"/>
      <c r="H121" s="34"/>
    </row>
    <row r="122" spans="6:8" s="27" customFormat="1">
      <c r="F122" s="33"/>
      <c r="H122" s="34"/>
    </row>
    <row r="123" spans="6:8" s="27" customFormat="1">
      <c r="F123" s="33"/>
      <c r="H123" s="34"/>
    </row>
    <row r="124" spans="6:8" s="27" customFormat="1">
      <c r="F124" s="33"/>
      <c r="H124" s="34"/>
    </row>
    <row r="125" spans="6:8" s="27" customFormat="1">
      <c r="F125" s="33"/>
      <c r="H125" s="34"/>
    </row>
    <row r="126" spans="6:8" s="27" customFormat="1">
      <c r="F126" s="33"/>
      <c r="H126" s="34"/>
    </row>
    <row r="127" spans="6:8" s="27" customFormat="1">
      <c r="F127" s="33"/>
      <c r="H127" s="34"/>
    </row>
    <row r="128" spans="6:8" s="27" customFormat="1">
      <c r="F128" s="33"/>
      <c r="H128" s="34"/>
    </row>
    <row r="129" spans="6:8" s="27" customFormat="1">
      <c r="F129" s="33"/>
      <c r="H129" s="34"/>
    </row>
    <row r="130" spans="6:8" s="27" customFormat="1">
      <c r="F130" s="33"/>
      <c r="H130" s="34"/>
    </row>
    <row r="131" spans="6:8" s="27" customFormat="1">
      <c r="F131" s="33"/>
      <c r="H131" s="34"/>
    </row>
    <row r="132" spans="6:8" s="27" customFormat="1">
      <c r="F132" s="33"/>
      <c r="H132" s="34"/>
    </row>
    <row r="133" spans="6:8" s="27" customFormat="1">
      <c r="F133" s="33"/>
      <c r="H133" s="34"/>
    </row>
    <row r="134" spans="6:8" s="27" customFormat="1">
      <c r="F134" s="33"/>
      <c r="H134" s="34"/>
    </row>
    <row r="135" spans="6:8" s="27" customFormat="1">
      <c r="F135" s="33"/>
      <c r="H135" s="34"/>
    </row>
    <row r="136" spans="6:8" s="27" customFormat="1">
      <c r="F136" s="33"/>
      <c r="H136" s="34"/>
    </row>
    <row r="137" spans="6:8" s="27" customFormat="1">
      <c r="F137" s="33"/>
      <c r="H137" s="34"/>
    </row>
    <row r="138" spans="6:8" s="27" customFormat="1">
      <c r="F138" s="33"/>
      <c r="H138" s="34"/>
    </row>
    <row r="139" spans="6:8" s="27" customFormat="1">
      <c r="F139" s="33"/>
      <c r="H139" s="34"/>
    </row>
    <row r="140" spans="6:8" s="27" customFormat="1">
      <c r="F140" s="33"/>
      <c r="H140" s="34"/>
    </row>
    <row r="141" spans="6:8" s="27" customFormat="1">
      <c r="F141" s="33"/>
      <c r="H141" s="34"/>
    </row>
    <row r="142" spans="6:8" s="27" customFormat="1">
      <c r="F142" s="33"/>
      <c r="H142" s="34"/>
    </row>
    <row r="143" spans="6:8" s="27" customFormat="1">
      <c r="F143" s="33"/>
      <c r="H143" s="34"/>
    </row>
    <row r="144" spans="6:8" s="27" customFormat="1">
      <c r="F144" s="33"/>
      <c r="H144" s="34"/>
    </row>
    <row r="145" spans="6:8" s="27" customFormat="1">
      <c r="F145" s="33"/>
      <c r="H145" s="34"/>
    </row>
    <row r="146" spans="6:8" s="27" customFormat="1">
      <c r="F146" s="33"/>
      <c r="H146" s="34"/>
    </row>
    <row r="147" spans="6:8" s="27" customFormat="1">
      <c r="F147" s="33"/>
      <c r="H147" s="34"/>
    </row>
    <row r="148" spans="6:8" s="27" customFormat="1">
      <c r="F148" s="33"/>
      <c r="H148" s="34"/>
    </row>
    <row r="149" spans="6:8" s="27" customFormat="1">
      <c r="F149" s="33"/>
      <c r="H149" s="34"/>
    </row>
    <row r="150" spans="6:8" s="27" customFormat="1">
      <c r="F150" s="33"/>
      <c r="H150" s="34"/>
    </row>
    <row r="151" spans="6:8" s="27" customFormat="1">
      <c r="F151" s="33"/>
      <c r="H151" s="34"/>
    </row>
    <row r="152" spans="6:8" s="27" customFormat="1">
      <c r="F152" s="33"/>
      <c r="H152" s="34"/>
    </row>
    <row r="153" spans="6:8" s="27" customFormat="1">
      <c r="F153" s="33"/>
      <c r="H153" s="34"/>
    </row>
    <row r="154" spans="6:8" s="27" customFormat="1">
      <c r="F154" s="33"/>
      <c r="H154" s="34"/>
    </row>
    <row r="155" spans="6:8" s="27" customFormat="1">
      <c r="F155" s="33"/>
      <c r="H155" s="34"/>
    </row>
    <row r="156" spans="6:8" s="27" customFormat="1">
      <c r="F156" s="33"/>
      <c r="H156" s="34"/>
    </row>
    <row r="157" spans="6:8" s="27" customFormat="1">
      <c r="F157" s="33"/>
      <c r="H157" s="34"/>
    </row>
    <row r="158" spans="6:8" s="27" customFormat="1">
      <c r="F158" s="33"/>
      <c r="H158" s="34"/>
    </row>
    <row r="159" spans="6:8" s="27" customFormat="1">
      <c r="F159" s="33"/>
      <c r="H159" s="34"/>
    </row>
    <row r="160" spans="6:8" s="27" customFormat="1">
      <c r="F160" s="33"/>
      <c r="H160" s="34"/>
    </row>
    <row r="161" spans="6:8" s="27" customFormat="1">
      <c r="F161" s="33"/>
      <c r="H161" s="34"/>
    </row>
    <row r="162" spans="6:8" s="27" customFormat="1">
      <c r="F162" s="33"/>
      <c r="H162" s="34"/>
    </row>
    <row r="163" spans="6:8" s="27" customFormat="1">
      <c r="F163" s="33"/>
      <c r="H163" s="34"/>
    </row>
    <row r="164" spans="6:8" s="27" customFormat="1">
      <c r="F164" s="33"/>
      <c r="H164" s="34"/>
    </row>
    <row r="165" spans="6:8" s="27" customFormat="1">
      <c r="F165" s="33"/>
      <c r="H165" s="34"/>
    </row>
    <row r="166" spans="6:8" s="27" customFormat="1">
      <c r="F166" s="33"/>
      <c r="H166" s="34"/>
    </row>
    <row r="167" spans="6:8" s="27" customFormat="1">
      <c r="F167" s="33"/>
      <c r="H167" s="34"/>
    </row>
    <row r="168" spans="6:8" s="27" customFormat="1">
      <c r="F168" s="33"/>
      <c r="H168" s="34"/>
    </row>
    <row r="169" spans="6:8" s="27" customFormat="1">
      <c r="F169" s="33"/>
      <c r="H169" s="34"/>
    </row>
    <row r="170" spans="6:8" s="27" customFormat="1">
      <c r="F170" s="33"/>
      <c r="H170" s="34"/>
    </row>
    <row r="171" spans="6:8" s="27" customFormat="1">
      <c r="F171" s="33"/>
      <c r="H171" s="34"/>
    </row>
    <row r="172" spans="6:8" s="27" customFormat="1">
      <c r="F172" s="33"/>
      <c r="H172" s="34"/>
    </row>
    <row r="173" spans="6:8" s="27" customFormat="1">
      <c r="F173" s="33"/>
      <c r="H173" s="34"/>
    </row>
    <row r="174" spans="6:8" s="27" customFormat="1">
      <c r="F174" s="33"/>
      <c r="H174" s="34"/>
    </row>
    <row r="175" spans="6:8" s="27" customFormat="1">
      <c r="F175" s="33"/>
      <c r="H175" s="34"/>
    </row>
    <row r="176" spans="6:8" s="27" customFormat="1">
      <c r="F176" s="33"/>
      <c r="H176" s="34"/>
    </row>
    <row r="177" spans="6:8" s="27" customFormat="1">
      <c r="F177" s="33"/>
      <c r="H177" s="34"/>
    </row>
    <row r="178" spans="6:8" s="27" customFormat="1">
      <c r="F178" s="33"/>
      <c r="H178" s="34"/>
    </row>
    <row r="179" spans="6:8" s="27" customFormat="1">
      <c r="F179" s="33"/>
      <c r="H179" s="34"/>
    </row>
    <row r="180" spans="6:8" s="27" customFormat="1">
      <c r="F180" s="33"/>
      <c r="H180" s="34"/>
    </row>
    <row r="181" spans="6:8" s="27" customFormat="1">
      <c r="F181" s="33"/>
      <c r="H181" s="34"/>
    </row>
    <row r="182" spans="6:8" s="27" customFormat="1">
      <c r="F182" s="33"/>
      <c r="H182" s="34"/>
    </row>
    <row r="183" spans="6:8" s="27" customFormat="1">
      <c r="F183" s="33"/>
      <c r="H183" s="34"/>
    </row>
    <row r="184" spans="6:8" s="27" customFormat="1">
      <c r="F184" s="33"/>
      <c r="H184" s="34"/>
    </row>
    <row r="185" spans="6:8" s="27" customFormat="1">
      <c r="F185" s="33"/>
      <c r="H185" s="34"/>
    </row>
    <row r="186" spans="6:8" s="27" customFormat="1">
      <c r="F186" s="33"/>
      <c r="H186" s="34"/>
    </row>
    <row r="187" spans="6:8" s="27" customFormat="1">
      <c r="F187" s="33"/>
      <c r="H187" s="34"/>
    </row>
    <row r="188" spans="6:8" s="27" customFormat="1">
      <c r="F188" s="33"/>
      <c r="H188" s="34"/>
    </row>
    <row r="189" spans="6:8" s="27" customFormat="1">
      <c r="F189" s="33"/>
      <c r="H189" s="34"/>
    </row>
    <row r="190" spans="6:8" s="27" customFormat="1">
      <c r="F190" s="33"/>
      <c r="H190" s="34"/>
    </row>
    <row r="191" spans="6:8" s="27" customFormat="1">
      <c r="F191" s="33"/>
      <c r="H191" s="34"/>
    </row>
    <row r="192" spans="6:8" s="27" customFormat="1">
      <c r="F192" s="33"/>
      <c r="H192" s="34"/>
    </row>
    <row r="193" spans="6:8" s="27" customFormat="1">
      <c r="F193" s="33"/>
      <c r="H193" s="34"/>
    </row>
    <row r="194" spans="6:8" s="27" customFormat="1">
      <c r="F194" s="33"/>
      <c r="H194" s="34"/>
    </row>
    <row r="195" spans="6:8" s="27" customFormat="1">
      <c r="F195" s="33"/>
      <c r="H195" s="34"/>
    </row>
    <row r="196" spans="6:8" s="27" customFormat="1">
      <c r="F196" s="33"/>
      <c r="H196" s="34"/>
    </row>
    <row r="197" spans="6:8" s="27" customFormat="1">
      <c r="F197" s="33"/>
      <c r="H197" s="34"/>
    </row>
    <row r="198" spans="6:8" s="27" customFormat="1">
      <c r="F198" s="33"/>
      <c r="H198" s="34"/>
    </row>
    <row r="199" spans="6:8" s="27" customFormat="1">
      <c r="F199" s="33"/>
      <c r="H199" s="34"/>
    </row>
    <row r="200" spans="6:8" s="27" customFormat="1">
      <c r="F200" s="33"/>
      <c r="H200" s="34"/>
    </row>
    <row r="201" spans="6:8" s="27" customFormat="1">
      <c r="F201" s="33"/>
      <c r="H201" s="34"/>
    </row>
    <row r="202" spans="6:8" s="27" customFormat="1">
      <c r="F202" s="33"/>
      <c r="H202" s="34"/>
    </row>
    <row r="203" spans="6:8" s="27" customFormat="1">
      <c r="F203" s="33"/>
      <c r="H203" s="34"/>
    </row>
    <row r="204" spans="6:8" s="27" customFormat="1">
      <c r="F204" s="33"/>
      <c r="H204" s="34"/>
    </row>
    <row r="205" spans="6:8" s="27" customFormat="1">
      <c r="F205" s="33"/>
      <c r="H205" s="34"/>
    </row>
    <row r="206" spans="6:8" s="27" customFormat="1">
      <c r="F206" s="33"/>
      <c r="H206" s="34"/>
    </row>
    <row r="207" spans="6:8" s="27" customFormat="1">
      <c r="F207" s="33"/>
      <c r="H207" s="34"/>
    </row>
    <row r="208" spans="6:8" s="27" customFormat="1">
      <c r="F208" s="33"/>
      <c r="H208" s="34"/>
    </row>
    <row r="209" spans="6:8" s="27" customFormat="1">
      <c r="F209" s="33"/>
      <c r="H209" s="34"/>
    </row>
    <row r="210" spans="6:8" s="27" customFormat="1">
      <c r="F210" s="33"/>
      <c r="H210" s="34"/>
    </row>
    <row r="211" spans="6:8" s="27" customFormat="1">
      <c r="F211" s="33"/>
      <c r="H211" s="34"/>
    </row>
    <row r="212" spans="6:8" s="27" customFormat="1">
      <c r="F212" s="33"/>
      <c r="H212" s="34"/>
    </row>
    <row r="213" spans="6:8" s="27" customFormat="1">
      <c r="F213" s="33"/>
      <c r="H213" s="34"/>
    </row>
    <row r="214" spans="6:8" s="27" customFormat="1">
      <c r="F214" s="33"/>
      <c r="H214" s="34"/>
    </row>
    <row r="215" spans="6:8" s="27" customFormat="1">
      <c r="F215" s="33"/>
      <c r="H215" s="34"/>
    </row>
    <row r="216" spans="6:8" s="27" customFormat="1">
      <c r="F216" s="33"/>
      <c r="H216" s="34"/>
    </row>
    <row r="217" spans="6:8" s="27" customFormat="1">
      <c r="F217" s="33"/>
      <c r="H217" s="34"/>
    </row>
    <row r="218" spans="6:8" s="27" customFormat="1">
      <c r="F218" s="33"/>
      <c r="H218" s="34"/>
    </row>
    <row r="219" spans="6:8" s="27" customFormat="1">
      <c r="F219" s="33"/>
      <c r="H219" s="34"/>
    </row>
    <row r="220" spans="6:8" s="27" customFormat="1">
      <c r="F220" s="33"/>
      <c r="H220" s="34"/>
    </row>
    <row r="221" spans="6:8" s="27" customFormat="1">
      <c r="F221" s="33"/>
      <c r="H221" s="34"/>
    </row>
    <row r="222" spans="6:8" s="27" customFormat="1">
      <c r="F222" s="33"/>
      <c r="H222" s="34"/>
    </row>
    <row r="223" spans="6:8" s="27" customFormat="1">
      <c r="F223" s="33"/>
      <c r="H223" s="34"/>
    </row>
    <row r="224" spans="6:8" s="27" customFormat="1">
      <c r="F224" s="33"/>
      <c r="H224" s="34"/>
    </row>
    <row r="225" spans="6:8" s="27" customFormat="1">
      <c r="F225" s="33"/>
      <c r="H225" s="34"/>
    </row>
    <row r="226" spans="6:8" s="27" customFormat="1">
      <c r="F226" s="33"/>
      <c r="H226" s="34"/>
    </row>
    <row r="227" spans="6:8" s="27" customFormat="1">
      <c r="F227" s="33"/>
      <c r="H227" s="34"/>
    </row>
    <row r="228" spans="6:8" s="27" customFormat="1">
      <c r="F228" s="33"/>
      <c r="H228" s="34"/>
    </row>
    <row r="229" spans="6:8" s="27" customFormat="1">
      <c r="F229" s="33"/>
      <c r="H229" s="34"/>
    </row>
    <row r="230" spans="6:8" s="27" customFormat="1">
      <c r="F230" s="33"/>
      <c r="H230" s="34"/>
    </row>
    <row r="231" spans="6:8" s="27" customFormat="1">
      <c r="F231" s="33"/>
      <c r="H231" s="34"/>
    </row>
    <row r="232" spans="6:8" s="27" customFormat="1">
      <c r="F232" s="33"/>
      <c r="H232" s="34"/>
    </row>
    <row r="233" spans="6:8" s="27" customFormat="1">
      <c r="F233" s="33"/>
      <c r="H233" s="34"/>
    </row>
    <row r="234" spans="6:8" s="27" customFormat="1">
      <c r="F234" s="33"/>
      <c r="H234" s="34"/>
    </row>
    <row r="235" spans="6:8" s="27" customFormat="1">
      <c r="F235" s="33"/>
      <c r="H235" s="34"/>
    </row>
    <row r="236" spans="6:8" s="27" customFormat="1">
      <c r="F236" s="33"/>
      <c r="H236" s="34"/>
    </row>
    <row r="237" spans="6:8" s="27" customFormat="1">
      <c r="F237" s="33"/>
      <c r="H237" s="34"/>
    </row>
    <row r="238" spans="6:8" s="27" customFormat="1">
      <c r="F238" s="33"/>
      <c r="H238" s="34"/>
    </row>
    <row r="239" spans="6:8" s="27" customFormat="1">
      <c r="F239" s="33"/>
      <c r="H239" s="34"/>
    </row>
    <row r="240" spans="6:8" s="27" customFormat="1">
      <c r="F240" s="33"/>
      <c r="H240" s="34"/>
    </row>
    <row r="241" spans="6:8" s="27" customFormat="1">
      <c r="F241" s="33"/>
      <c r="H241" s="34"/>
    </row>
    <row r="242" spans="6:8" s="27" customFormat="1">
      <c r="F242" s="33"/>
      <c r="H242" s="34"/>
    </row>
    <row r="243" spans="6:8" s="27" customFormat="1">
      <c r="F243" s="33"/>
      <c r="H243" s="34"/>
    </row>
    <row r="244" spans="6:8" s="27" customFormat="1">
      <c r="F244" s="33"/>
      <c r="H244" s="34"/>
    </row>
    <row r="245" spans="6:8" s="27" customFormat="1">
      <c r="F245" s="33"/>
      <c r="H245" s="34"/>
    </row>
    <row r="246" spans="6:8" s="27" customFormat="1">
      <c r="F246" s="33"/>
      <c r="H246" s="34"/>
    </row>
    <row r="247" spans="6:8" s="27" customFormat="1">
      <c r="F247" s="33"/>
      <c r="H247" s="34"/>
    </row>
    <row r="248" spans="6:8" s="27" customFormat="1">
      <c r="F248" s="33"/>
      <c r="H248" s="34"/>
    </row>
    <row r="249" spans="6:8" s="27" customFormat="1">
      <c r="F249" s="33"/>
      <c r="H249" s="34"/>
    </row>
    <row r="250" spans="6:8" s="27" customFormat="1">
      <c r="F250" s="33"/>
      <c r="H250" s="34"/>
    </row>
    <row r="251" spans="6:8" s="27" customFormat="1">
      <c r="F251" s="33"/>
      <c r="H251" s="34"/>
    </row>
    <row r="252" spans="6:8" s="27" customFormat="1">
      <c r="F252" s="33"/>
      <c r="H252" s="34"/>
    </row>
    <row r="253" spans="6:8" s="27" customFormat="1">
      <c r="F253" s="33"/>
      <c r="H253" s="34"/>
    </row>
    <row r="254" spans="6:8" s="27" customFormat="1">
      <c r="F254" s="33"/>
      <c r="H254" s="34"/>
    </row>
    <row r="255" spans="6:8" s="27" customFormat="1">
      <c r="F255" s="33"/>
      <c r="H255" s="34"/>
    </row>
    <row r="256" spans="6:8" s="27" customFormat="1">
      <c r="F256" s="33"/>
      <c r="H256" s="34"/>
    </row>
    <row r="257" spans="6:8" s="27" customFormat="1">
      <c r="F257" s="33"/>
      <c r="H257" s="34"/>
    </row>
    <row r="258" spans="6:8" s="27" customFormat="1">
      <c r="F258" s="33"/>
      <c r="H258" s="34"/>
    </row>
    <row r="259" spans="6:8" s="27" customFormat="1">
      <c r="F259" s="33"/>
      <c r="H259" s="34"/>
    </row>
    <row r="260" spans="6:8" s="27" customFormat="1">
      <c r="F260" s="33"/>
      <c r="H260" s="34"/>
    </row>
    <row r="261" spans="6:8" s="27" customFormat="1">
      <c r="F261" s="33"/>
      <c r="H261" s="34"/>
    </row>
    <row r="262" spans="6:8" s="27" customFormat="1">
      <c r="F262" s="33"/>
      <c r="H262" s="34"/>
    </row>
    <row r="263" spans="6:8" s="27" customFormat="1">
      <c r="F263" s="33"/>
      <c r="H263" s="34"/>
    </row>
    <row r="264" spans="6:8" s="27" customFormat="1">
      <c r="F264" s="33"/>
      <c r="H264" s="34"/>
    </row>
    <row r="265" spans="6:8" s="27" customFormat="1">
      <c r="F265" s="33"/>
      <c r="H265" s="34"/>
    </row>
    <row r="266" spans="6:8" s="27" customFormat="1">
      <c r="F266" s="33"/>
      <c r="H266" s="34"/>
    </row>
    <row r="267" spans="6:8" s="27" customFormat="1">
      <c r="F267" s="33"/>
      <c r="H267" s="34"/>
    </row>
    <row r="268" spans="6:8" s="27" customFormat="1">
      <c r="F268" s="33"/>
      <c r="H268" s="34"/>
    </row>
    <row r="269" spans="6:8" s="27" customFormat="1">
      <c r="F269" s="33"/>
      <c r="H269" s="34"/>
    </row>
    <row r="270" spans="6:8" s="27" customFormat="1">
      <c r="F270" s="33"/>
      <c r="H270" s="34"/>
    </row>
    <row r="271" spans="6:8" s="27" customFormat="1">
      <c r="F271" s="33"/>
      <c r="H271" s="34"/>
    </row>
    <row r="272" spans="6:8" s="27" customFormat="1">
      <c r="F272" s="33"/>
      <c r="H272" s="34"/>
    </row>
    <row r="273" spans="6:8" s="27" customFormat="1">
      <c r="F273" s="33"/>
      <c r="H273" s="34"/>
    </row>
    <row r="274" spans="6:8" s="27" customFormat="1">
      <c r="F274" s="33"/>
      <c r="H274" s="34"/>
    </row>
    <row r="275" spans="6:8" s="27" customFormat="1">
      <c r="F275" s="33"/>
      <c r="H275" s="34"/>
    </row>
    <row r="276" spans="6:8" s="27" customFormat="1">
      <c r="F276" s="33"/>
      <c r="H276" s="34"/>
    </row>
    <row r="277" spans="6:8" s="27" customFormat="1">
      <c r="F277" s="33"/>
      <c r="H277" s="34"/>
    </row>
    <row r="278" spans="6:8" s="27" customFormat="1">
      <c r="F278" s="33"/>
      <c r="H278" s="34"/>
    </row>
    <row r="279" spans="6:8" s="27" customFormat="1">
      <c r="F279" s="33"/>
      <c r="H279" s="34"/>
    </row>
    <row r="280" spans="6:8" s="27" customFormat="1">
      <c r="F280" s="33"/>
      <c r="H280" s="34"/>
    </row>
    <row r="281" spans="6:8" s="27" customFormat="1">
      <c r="F281" s="33"/>
      <c r="H281" s="34"/>
    </row>
    <row r="282" spans="6:8" s="27" customFormat="1">
      <c r="F282" s="33"/>
      <c r="H282" s="34"/>
    </row>
    <row r="283" spans="6:8" s="27" customFormat="1">
      <c r="F283" s="33"/>
      <c r="H283" s="34"/>
    </row>
    <row r="284" spans="6:8" s="27" customFormat="1">
      <c r="F284" s="33"/>
      <c r="H284" s="34"/>
    </row>
    <row r="285" spans="6:8" s="27" customFormat="1">
      <c r="F285" s="33"/>
      <c r="H285" s="34"/>
    </row>
    <row r="286" spans="6:8" s="27" customFormat="1">
      <c r="F286" s="33"/>
      <c r="H286" s="34"/>
    </row>
    <row r="287" spans="6:8" s="27" customFormat="1">
      <c r="F287" s="33"/>
      <c r="H287" s="34"/>
    </row>
    <row r="288" spans="6:8" s="27" customFormat="1">
      <c r="F288" s="33"/>
      <c r="H288" s="34"/>
    </row>
    <row r="289" spans="6:8" s="27" customFormat="1">
      <c r="F289" s="33"/>
      <c r="H289" s="34"/>
    </row>
    <row r="290" spans="6:8" s="27" customFormat="1">
      <c r="F290" s="33"/>
      <c r="H290" s="34"/>
    </row>
    <row r="291" spans="6:8" s="27" customFormat="1">
      <c r="F291" s="33"/>
      <c r="H291" s="34"/>
    </row>
    <row r="292" spans="6:8" s="27" customFormat="1">
      <c r="F292" s="33"/>
      <c r="H292" s="34"/>
    </row>
    <row r="293" spans="6:8" s="27" customFormat="1">
      <c r="F293" s="33"/>
      <c r="H293" s="34"/>
    </row>
    <row r="294" spans="6:8" s="27" customFormat="1">
      <c r="F294" s="33"/>
      <c r="H294" s="34"/>
    </row>
    <row r="295" spans="6:8" s="27" customFormat="1">
      <c r="F295" s="33"/>
      <c r="H295" s="34"/>
    </row>
    <row r="296" spans="6:8" s="27" customFormat="1">
      <c r="F296" s="33"/>
      <c r="H296" s="34"/>
    </row>
    <row r="297" spans="6:8" s="27" customFormat="1">
      <c r="F297" s="33"/>
      <c r="H297" s="34"/>
    </row>
    <row r="298" spans="6:8" s="27" customFormat="1">
      <c r="F298" s="33"/>
      <c r="H298" s="34"/>
    </row>
    <row r="299" spans="6:8" s="27" customFormat="1">
      <c r="F299" s="33"/>
      <c r="H299" s="34"/>
    </row>
    <row r="300" spans="6:8" s="27" customFormat="1">
      <c r="F300" s="33"/>
      <c r="H300" s="34"/>
    </row>
    <row r="301" spans="6:8" s="27" customFormat="1">
      <c r="F301" s="33"/>
      <c r="H301" s="34"/>
    </row>
    <row r="302" spans="6:8" s="27" customFormat="1">
      <c r="F302" s="33"/>
      <c r="H302" s="34"/>
    </row>
    <row r="303" spans="6:8" s="27" customFormat="1">
      <c r="F303" s="33"/>
      <c r="H303" s="34"/>
    </row>
    <row r="304" spans="6:8" s="27" customFormat="1">
      <c r="F304" s="33"/>
      <c r="H304" s="34"/>
    </row>
    <row r="305" spans="6:8" s="27" customFormat="1">
      <c r="F305" s="33"/>
      <c r="H305" s="34"/>
    </row>
    <row r="306" spans="6:8" s="27" customFormat="1">
      <c r="F306" s="33"/>
      <c r="H306" s="34"/>
    </row>
    <row r="307" spans="6:8" s="27" customFormat="1">
      <c r="F307" s="33"/>
      <c r="H307" s="34"/>
    </row>
    <row r="308" spans="6:8" s="27" customFormat="1">
      <c r="F308" s="33"/>
      <c r="H308" s="34"/>
    </row>
    <row r="309" spans="6:8" s="27" customFormat="1">
      <c r="F309" s="33"/>
      <c r="H309" s="34"/>
    </row>
    <row r="310" spans="6:8" s="27" customFormat="1">
      <c r="F310" s="33"/>
      <c r="H310" s="34"/>
    </row>
    <row r="311" spans="6:8" s="27" customFormat="1">
      <c r="F311" s="33"/>
      <c r="H311" s="34"/>
    </row>
    <row r="312" spans="6:8" s="27" customFormat="1">
      <c r="F312" s="33"/>
      <c r="H312" s="34"/>
    </row>
    <row r="313" spans="6:8" s="27" customFormat="1">
      <c r="F313" s="33"/>
      <c r="H313" s="34"/>
    </row>
    <row r="314" spans="6:8" s="27" customFormat="1">
      <c r="F314" s="33"/>
      <c r="H314" s="34"/>
    </row>
    <row r="315" spans="6:8" s="27" customFormat="1">
      <c r="F315" s="33"/>
      <c r="H315" s="34"/>
    </row>
    <row r="316" spans="6:8" s="27" customFormat="1">
      <c r="F316" s="33"/>
      <c r="H316" s="34"/>
    </row>
    <row r="317" spans="6:8" s="27" customFormat="1">
      <c r="F317" s="33"/>
      <c r="H317" s="34"/>
    </row>
    <row r="318" spans="6:8" s="27" customFormat="1">
      <c r="F318" s="33"/>
      <c r="H318" s="34"/>
    </row>
    <row r="319" spans="6:8" s="27" customFormat="1">
      <c r="F319" s="33"/>
      <c r="H319" s="34"/>
    </row>
    <row r="320" spans="6:8" s="27" customFormat="1">
      <c r="F320" s="33"/>
      <c r="H320" s="34"/>
    </row>
    <row r="321" spans="6:8" s="27" customFormat="1">
      <c r="F321" s="33"/>
      <c r="H321" s="34"/>
    </row>
    <row r="322" spans="6:8" s="27" customFormat="1">
      <c r="F322" s="33"/>
      <c r="H322" s="34"/>
    </row>
    <row r="323" spans="6:8" s="27" customFormat="1">
      <c r="F323" s="33"/>
      <c r="H323" s="34"/>
    </row>
    <row r="324" spans="6:8" s="27" customFormat="1">
      <c r="F324" s="33"/>
      <c r="H324" s="34"/>
    </row>
    <row r="325" spans="6:8" s="27" customFormat="1">
      <c r="F325" s="33"/>
      <c r="H325" s="34"/>
    </row>
    <row r="326" spans="6:8" s="27" customFormat="1">
      <c r="F326" s="33"/>
      <c r="H326" s="34"/>
    </row>
    <row r="327" spans="6:8" s="27" customFormat="1">
      <c r="F327" s="33"/>
      <c r="H327" s="34"/>
    </row>
    <row r="328" spans="6:8" s="27" customFormat="1">
      <c r="F328" s="33"/>
      <c r="H328" s="34"/>
    </row>
    <row r="329" spans="6:8" s="27" customFormat="1">
      <c r="F329" s="33"/>
      <c r="H329" s="34"/>
    </row>
    <row r="330" spans="6:8" s="27" customFormat="1">
      <c r="F330" s="33"/>
      <c r="H330" s="34"/>
    </row>
    <row r="331" spans="6:8" s="27" customFormat="1">
      <c r="F331" s="33"/>
      <c r="H331" s="34"/>
    </row>
    <row r="332" spans="6:8" s="27" customFormat="1">
      <c r="F332" s="33"/>
      <c r="H332" s="34"/>
    </row>
    <row r="333" spans="6:8" s="27" customFormat="1">
      <c r="F333" s="33"/>
      <c r="H333" s="34"/>
    </row>
    <row r="334" spans="6:8" s="27" customFormat="1">
      <c r="F334" s="33"/>
      <c r="H334" s="34"/>
    </row>
    <row r="335" spans="6:8" s="27" customFormat="1">
      <c r="F335" s="33"/>
      <c r="H335" s="34"/>
    </row>
    <row r="336" spans="6:8" s="27" customFormat="1">
      <c r="F336" s="33"/>
      <c r="H336" s="34"/>
    </row>
    <row r="337" spans="6:8" s="27" customFormat="1">
      <c r="F337" s="33"/>
      <c r="H337" s="34"/>
    </row>
    <row r="338" spans="6:8" s="27" customFormat="1">
      <c r="F338" s="33"/>
      <c r="H338" s="34"/>
    </row>
    <row r="339" spans="6:8" s="27" customFormat="1">
      <c r="F339" s="33"/>
      <c r="H339" s="34"/>
    </row>
    <row r="340" spans="6:8" s="27" customFormat="1">
      <c r="F340" s="33"/>
      <c r="H340" s="34"/>
    </row>
    <row r="341" spans="6:8" s="27" customFormat="1">
      <c r="F341" s="33"/>
      <c r="H341" s="34"/>
    </row>
    <row r="342" spans="6:8" s="27" customFormat="1">
      <c r="F342" s="33"/>
      <c r="H342" s="34"/>
    </row>
    <row r="343" spans="6:8" s="27" customFormat="1">
      <c r="F343" s="33"/>
      <c r="H343" s="34"/>
    </row>
    <row r="344" spans="6:8" s="27" customFormat="1">
      <c r="F344" s="33"/>
      <c r="H344" s="34"/>
    </row>
    <row r="345" spans="6:8" s="27" customFormat="1">
      <c r="F345" s="33"/>
      <c r="H345" s="34"/>
    </row>
    <row r="346" spans="6:8" s="27" customFormat="1">
      <c r="F346" s="33"/>
      <c r="H346" s="34"/>
    </row>
    <row r="347" spans="6:8" s="27" customFormat="1">
      <c r="F347" s="33"/>
      <c r="H347" s="34"/>
    </row>
    <row r="348" spans="6:8" s="27" customFormat="1">
      <c r="F348" s="33"/>
      <c r="H348" s="34"/>
    </row>
    <row r="349" spans="6:8" s="27" customFormat="1">
      <c r="F349" s="33"/>
      <c r="H349" s="34"/>
    </row>
    <row r="350" spans="6:8" s="27" customFormat="1">
      <c r="F350" s="33"/>
      <c r="H350" s="34"/>
    </row>
    <row r="351" spans="6:8" s="27" customFormat="1">
      <c r="F351" s="33"/>
      <c r="H351" s="34"/>
    </row>
    <row r="352" spans="6:8" s="27" customFormat="1">
      <c r="F352" s="33"/>
      <c r="H352" s="34"/>
    </row>
    <row r="353" spans="6:8" s="27" customFormat="1">
      <c r="F353" s="33"/>
      <c r="H353" s="34"/>
    </row>
    <row r="354" spans="6:8" s="27" customFormat="1">
      <c r="F354" s="33"/>
      <c r="H354" s="34"/>
    </row>
    <row r="355" spans="6:8" s="27" customFormat="1">
      <c r="F355" s="33"/>
      <c r="H355" s="34"/>
    </row>
    <row r="356" spans="6:8" s="27" customFormat="1">
      <c r="F356" s="33"/>
      <c r="H356" s="34"/>
    </row>
    <row r="357" spans="6:8" s="27" customFormat="1">
      <c r="F357" s="33"/>
      <c r="H357" s="34"/>
    </row>
    <row r="358" spans="6:8" s="27" customFormat="1">
      <c r="F358" s="33"/>
      <c r="H358" s="34"/>
    </row>
    <row r="359" spans="6:8" s="27" customFormat="1">
      <c r="F359" s="33"/>
      <c r="H359" s="34"/>
    </row>
    <row r="360" spans="6:8" s="27" customFormat="1">
      <c r="F360" s="33"/>
      <c r="H360" s="34"/>
    </row>
    <row r="361" spans="6:8" s="27" customFormat="1">
      <c r="F361" s="33"/>
      <c r="H361" s="34"/>
    </row>
    <row r="362" spans="6:8" s="27" customFormat="1">
      <c r="F362" s="33"/>
      <c r="H362" s="34"/>
    </row>
    <row r="363" spans="6:8" s="27" customFormat="1">
      <c r="F363" s="33"/>
      <c r="H363" s="34"/>
    </row>
    <row r="364" spans="6:8" s="27" customFormat="1">
      <c r="F364" s="33"/>
      <c r="H364" s="34"/>
    </row>
    <row r="365" spans="6:8" s="27" customFormat="1">
      <c r="F365" s="33"/>
      <c r="H365" s="34"/>
    </row>
    <row r="366" spans="6:8" s="27" customFormat="1">
      <c r="F366" s="33"/>
      <c r="H366" s="34"/>
    </row>
    <row r="367" spans="6:8" s="27" customFormat="1">
      <c r="F367" s="33"/>
      <c r="H367" s="34"/>
    </row>
    <row r="368" spans="6:8" s="27" customFormat="1">
      <c r="F368" s="33"/>
      <c r="H368" s="34"/>
    </row>
    <row r="369" spans="6:8" s="27" customFormat="1">
      <c r="F369" s="33"/>
      <c r="H369" s="34"/>
    </row>
    <row r="370" spans="6:8" s="27" customFormat="1">
      <c r="F370" s="33"/>
      <c r="H370" s="34"/>
    </row>
    <row r="371" spans="6:8" s="27" customFormat="1">
      <c r="F371" s="33"/>
      <c r="H371" s="34"/>
    </row>
    <row r="372" spans="6:8" s="27" customFormat="1">
      <c r="F372" s="33"/>
      <c r="H372" s="34"/>
    </row>
    <row r="373" spans="6:8" s="27" customFormat="1">
      <c r="F373" s="33"/>
      <c r="H373" s="34"/>
    </row>
    <row r="374" spans="6:8" s="27" customFormat="1">
      <c r="F374" s="33"/>
      <c r="H374" s="34"/>
    </row>
    <row r="375" spans="6:8" s="27" customFormat="1">
      <c r="F375" s="33"/>
      <c r="H375" s="34"/>
    </row>
    <row r="376" spans="6:8" s="27" customFormat="1">
      <c r="F376" s="33"/>
      <c r="H376" s="34"/>
    </row>
    <row r="377" spans="6:8" s="27" customFormat="1">
      <c r="F377" s="33"/>
      <c r="H377" s="34"/>
    </row>
    <row r="378" spans="6:8" s="27" customFormat="1">
      <c r="F378" s="33"/>
      <c r="H378" s="34"/>
    </row>
    <row r="379" spans="6:8" s="27" customFormat="1">
      <c r="F379" s="33"/>
      <c r="H379" s="34"/>
    </row>
    <row r="380" spans="6:8" s="27" customFormat="1">
      <c r="F380" s="33"/>
      <c r="H380" s="34"/>
    </row>
    <row r="381" spans="6:8" s="27" customFormat="1">
      <c r="F381" s="33"/>
      <c r="H381" s="34"/>
    </row>
    <row r="382" spans="6:8" s="27" customFormat="1">
      <c r="F382" s="33"/>
      <c r="H382" s="34"/>
    </row>
    <row r="383" spans="6:8" s="27" customFormat="1">
      <c r="F383" s="33"/>
      <c r="H383" s="34"/>
    </row>
    <row r="384" spans="6:8" s="27" customFormat="1">
      <c r="F384" s="33"/>
      <c r="H384" s="34"/>
    </row>
    <row r="385" spans="6:8" s="27" customFormat="1">
      <c r="F385" s="33"/>
      <c r="H385" s="34"/>
    </row>
    <row r="386" spans="6:8" s="27" customFormat="1">
      <c r="F386" s="33"/>
      <c r="H386" s="34"/>
    </row>
    <row r="387" spans="6:8" s="27" customFormat="1">
      <c r="F387" s="33"/>
      <c r="H387" s="34"/>
    </row>
    <row r="388" spans="6:8" s="27" customFormat="1">
      <c r="F388" s="33"/>
      <c r="H388" s="34"/>
    </row>
    <row r="389" spans="6:8" s="27" customFormat="1">
      <c r="F389" s="33"/>
      <c r="H389" s="34"/>
    </row>
    <row r="390" spans="6:8" s="27" customFormat="1">
      <c r="F390" s="33"/>
      <c r="H390" s="34"/>
    </row>
    <row r="391" spans="6:8" s="27" customFormat="1">
      <c r="F391" s="33"/>
      <c r="H391" s="34"/>
    </row>
    <row r="392" spans="6:8" s="27" customFormat="1">
      <c r="F392" s="33"/>
      <c r="H392" s="34"/>
    </row>
    <row r="393" spans="6:8" s="27" customFormat="1">
      <c r="F393" s="33"/>
      <c r="H393" s="34"/>
    </row>
    <row r="394" spans="6:8" s="27" customFormat="1">
      <c r="F394" s="33"/>
      <c r="H394" s="34"/>
    </row>
    <row r="395" spans="6:8" s="27" customFormat="1">
      <c r="F395" s="33"/>
      <c r="H395" s="34"/>
    </row>
    <row r="396" spans="6:8" s="27" customFormat="1">
      <c r="F396" s="33"/>
      <c r="H396" s="34"/>
    </row>
    <row r="397" spans="6:8" s="27" customFormat="1">
      <c r="F397" s="33"/>
      <c r="H397" s="34"/>
    </row>
    <row r="398" spans="6:8" s="27" customFormat="1">
      <c r="F398" s="33"/>
      <c r="H398" s="34"/>
    </row>
    <row r="399" spans="6:8" s="27" customFormat="1">
      <c r="F399" s="33"/>
      <c r="H399" s="34"/>
    </row>
    <row r="400" spans="6:8" s="27" customFormat="1">
      <c r="F400" s="33"/>
      <c r="H400" s="34"/>
    </row>
    <row r="401" spans="6:8" s="27" customFormat="1">
      <c r="F401" s="33"/>
      <c r="H401" s="34"/>
    </row>
    <row r="402" spans="6:8" s="27" customFormat="1">
      <c r="F402" s="33"/>
      <c r="H402" s="34"/>
    </row>
    <row r="403" spans="6:8" s="27" customFormat="1">
      <c r="F403" s="33"/>
      <c r="H403" s="34"/>
    </row>
    <row r="404" spans="6:8" s="27" customFormat="1">
      <c r="F404" s="33"/>
      <c r="H404" s="34"/>
    </row>
    <row r="405" spans="6:8" s="27" customFormat="1">
      <c r="F405" s="33"/>
      <c r="H405" s="34"/>
    </row>
    <row r="406" spans="6:8" s="27" customFormat="1">
      <c r="F406" s="33"/>
      <c r="H406" s="34"/>
    </row>
    <row r="407" spans="6:8" s="27" customFormat="1">
      <c r="F407" s="33"/>
      <c r="H407" s="34"/>
    </row>
    <row r="408" spans="6:8" s="27" customFormat="1">
      <c r="F408" s="33"/>
      <c r="H408" s="34"/>
    </row>
    <row r="409" spans="6:8" s="27" customFormat="1">
      <c r="F409" s="33"/>
      <c r="H409" s="34"/>
    </row>
    <row r="410" spans="6:8" s="27" customFormat="1">
      <c r="F410" s="33"/>
      <c r="H410" s="34"/>
    </row>
    <row r="411" spans="6:8" s="27" customFormat="1">
      <c r="F411" s="33"/>
      <c r="H411" s="34"/>
    </row>
    <row r="412" spans="6:8" s="27" customFormat="1">
      <c r="F412" s="33"/>
      <c r="H412" s="34"/>
    </row>
    <row r="413" spans="6:8" s="27" customFormat="1">
      <c r="F413" s="33"/>
      <c r="H413" s="34"/>
    </row>
    <row r="414" spans="6:8" s="27" customFormat="1">
      <c r="F414" s="33"/>
      <c r="H414" s="34"/>
    </row>
    <row r="415" spans="6:8" s="27" customFormat="1">
      <c r="F415" s="33"/>
      <c r="H415" s="34"/>
    </row>
    <row r="416" spans="6:8" s="27" customFormat="1">
      <c r="F416" s="33"/>
      <c r="H416" s="34"/>
    </row>
    <row r="417" spans="6:8" s="27" customFormat="1">
      <c r="F417" s="33"/>
      <c r="H417" s="34"/>
    </row>
    <row r="418" spans="6:8" s="27" customFormat="1">
      <c r="F418" s="33"/>
      <c r="H418" s="34"/>
    </row>
    <row r="419" spans="6:8" s="27" customFormat="1">
      <c r="F419" s="33"/>
      <c r="H419" s="34"/>
    </row>
    <row r="420" spans="6:8" s="27" customFormat="1">
      <c r="F420" s="33"/>
      <c r="H420" s="34"/>
    </row>
    <row r="421" spans="6:8" s="27" customFormat="1">
      <c r="F421" s="33"/>
      <c r="H421" s="34"/>
    </row>
    <row r="422" spans="6:8" s="27" customFormat="1">
      <c r="F422" s="33"/>
      <c r="H422" s="34"/>
    </row>
    <row r="423" spans="6:8" s="27" customFormat="1">
      <c r="F423" s="33"/>
      <c r="H423" s="34"/>
    </row>
    <row r="424" spans="6:8" s="27" customFormat="1">
      <c r="F424" s="33"/>
      <c r="H424" s="34"/>
    </row>
    <row r="425" spans="6:8" s="27" customFormat="1">
      <c r="F425" s="33"/>
      <c r="H425" s="34"/>
    </row>
    <row r="426" spans="6:8" s="27" customFormat="1">
      <c r="F426" s="33"/>
      <c r="H426" s="34"/>
    </row>
    <row r="427" spans="6:8" s="27" customFormat="1">
      <c r="F427" s="33"/>
      <c r="H427" s="34"/>
    </row>
    <row r="428" spans="6:8" s="27" customFormat="1">
      <c r="F428" s="33"/>
      <c r="H428" s="34"/>
    </row>
    <row r="429" spans="6:8" s="27" customFormat="1">
      <c r="F429" s="33"/>
      <c r="H429" s="34"/>
    </row>
    <row r="430" spans="6:8" s="27" customFormat="1">
      <c r="F430" s="33"/>
      <c r="H430" s="34"/>
    </row>
    <row r="431" spans="6:8" s="27" customFormat="1">
      <c r="F431" s="33"/>
      <c r="H431" s="34"/>
    </row>
    <row r="432" spans="6:8" s="27" customFormat="1">
      <c r="F432" s="33"/>
      <c r="H432" s="34"/>
    </row>
    <row r="433" spans="6:8" s="27" customFormat="1">
      <c r="F433" s="33"/>
      <c r="H433" s="34"/>
    </row>
    <row r="434" spans="6:8" s="27" customFormat="1">
      <c r="F434" s="33"/>
      <c r="H434" s="34"/>
    </row>
    <row r="435" spans="6:8" s="27" customFormat="1">
      <c r="F435" s="33"/>
      <c r="H435" s="34"/>
    </row>
    <row r="436" spans="6:8" s="27" customFormat="1">
      <c r="F436" s="33"/>
      <c r="H436" s="34"/>
    </row>
    <row r="437" spans="6:8" s="27" customFormat="1">
      <c r="F437" s="33"/>
      <c r="H437" s="34"/>
    </row>
    <row r="438" spans="6:8" s="27" customFormat="1">
      <c r="F438" s="33"/>
      <c r="H438" s="34"/>
    </row>
    <row r="439" spans="6:8" s="27" customFormat="1">
      <c r="F439" s="33"/>
      <c r="H439" s="34"/>
    </row>
    <row r="440" spans="6:8" s="27" customFormat="1">
      <c r="F440" s="33"/>
      <c r="H440" s="34"/>
    </row>
    <row r="441" spans="6:8" s="27" customFormat="1">
      <c r="F441" s="33"/>
      <c r="H441" s="34"/>
    </row>
    <row r="442" spans="6:8" s="27" customFormat="1">
      <c r="F442" s="33"/>
      <c r="H442" s="34"/>
    </row>
    <row r="443" spans="6:8" s="27" customFormat="1">
      <c r="F443" s="33"/>
      <c r="H443" s="34"/>
    </row>
    <row r="444" spans="6:8" s="27" customFormat="1">
      <c r="F444" s="33"/>
      <c r="H444" s="34"/>
    </row>
    <row r="445" spans="6:8" s="27" customFormat="1">
      <c r="F445" s="33"/>
      <c r="H445" s="34"/>
    </row>
    <row r="446" spans="6:8" s="27" customFormat="1">
      <c r="F446" s="33"/>
      <c r="H446" s="34"/>
    </row>
    <row r="447" spans="6:8" s="27" customFormat="1">
      <c r="F447" s="33"/>
      <c r="H447" s="34"/>
    </row>
    <row r="448" spans="6:8" s="27" customFormat="1">
      <c r="F448" s="33"/>
      <c r="H448" s="34"/>
    </row>
    <row r="449" spans="6:8" s="27" customFormat="1">
      <c r="F449" s="33"/>
      <c r="H449" s="34"/>
    </row>
    <row r="450" spans="6:8" s="27" customFormat="1">
      <c r="F450" s="33"/>
      <c r="H450" s="34"/>
    </row>
    <row r="451" spans="6:8" s="27" customFormat="1">
      <c r="F451" s="33"/>
      <c r="H451" s="34"/>
    </row>
    <row r="452" spans="6:8" s="27" customFormat="1">
      <c r="F452" s="33"/>
      <c r="H452" s="34"/>
    </row>
    <row r="453" spans="6:8" s="27" customFormat="1">
      <c r="F453" s="33"/>
      <c r="H453" s="34"/>
    </row>
    <row r="454" spans="6:8" s="27" customFormat="1">
      <c r="F454" s="33"/>
      <c r="H454" s="34"/>
    </row>
    <row r="455" spans="6:8" s="27" customFormat="1">
      <c r="F455" s="33"/>
      <c r="H455" s="34"/>
    </row>
    <row r="456" spans="6:8" s="27" customFormat="1">
      <c r="F456" s="33"/>
      <c r="H456" s="34"/>
    </row>
    <row r="457" spans="6:8" s="27" customFormat="1">
      <c r="F457" s="33"/>
      <c r="H457" s="34"/>
    </row>
    <row r="458" spans="6:8" s="27" customFormat="1">
      <c r="F458" s="33"/>
      <c r="H458" s="34"/>
    </row>
    <row r="459" spans="6:8" s="27" customFormat="1">
      <c r="F459" s="33"/>
      <c r="H459" s="34"/>
    </row>
    <row r="460" spans="6:8" s="27" customFormat="1">
      <c r="F460" s="33"/>
      <c r="H460" s="34"/>
    </row>
    <row r="461" spans="6:8" s="27" customFormat="1">
      <c r="F461" s="33"/>
      <c r="H461" s="34"/>
    </row>
    <row r="462" spans="6:8" s="27" customFormat="1">
      <c r="F462" s="33"/>
      <c r="H462" s="34"/>
    </row>
    <row r="463" spans="6:8" s="27" customFormat="1">
      <c r="F463" s="33"/>
      <c r="H463" s="34"/>
    </row>
    <row r="464" spans="6:8" s="27" customFormat="1">
      <c r="F464" s="33"/>
      <c r="H464" s="34"/>
    </row>
    <row r="465" spans="6:8" s="27" customFormat="1">
      <c r="F465" s="33"/>
      <c r="H465" s="34"/>
    </row>
    <row r="466" spans="6:8" s="27" customFormat="1">
      <c r="F466" s="33"/>
      <c r="H466" s="34"/>
    </row>
    <row r="467" spans="6:8" s="27" customFormat="1">
      <c r="F467" s="33"/>
      <c r="H467" s="34"/>
    </row>
    <row r="468" spans="6:8" s="27" customFormat="1">
      <c r="F468" s="33"/>
      <c r="H468" s="34"/>
    </row>
    <row r="469" spans="6:8" s="27" customFormat="1">
      <c r="F469" s="33"/>
      <c r="H469" s="34"/>
    </row>
    <row r="470" spans="6:8" s="27" customFormat="1">
      <c r="F470" s="33"/>
      <c r="H470" s="34"/>
    </row>
    <row r="471" spans="6:8" s="27" customFormat="1">
      <c r="F471" s="33"/>
      <c r="H471" s="34"/>
    </row>
    <row r="472" spans="6:8" s="27" customFormat="1">
      <c r="F472" s="33"/>
      <c r="H472" s="34"/>
    </row>
    <row r="473" spans="6:8" s="27" customFormat="1">
      <c r="F473" s="33"/>
      <c r="H473" s="34"/>
    </row>
    <row r="474" spans="6:8" s="27" customFormat="1">
      <c r="F474" s="33"/>
      <c r="H474" s="34"/>
    </row>
    <row r="475" spans="6:8" s="27" customFormat="1">
      <c r="F475" s="33"/>
      <c r="H475" s="34"/>
    </row>
    <row r="476" spans="6:8" s="27" customFormat="1">
      <c r="F476" s="33"/>
      <c r="H476" s="34"/>
    </row>
    <row r="477" spans="6:8" s="27" customFormat="1">
      <c r="F477" s="33"/>
      <c r="H477" s="34"/>
    </row>
    <row r="478" spans="6:8" s="27" customFormat="1">
      <c r="F478" s="33"/>
      <c r="H478" s="34"/>
    </row>
    <row r="479" spans="6:8" s="27" customFormat="1">
      <c r="F479" s="33"/>
      <c r="H479" s="34"/>
    </row>
    <row r="480" spans="6:8" s="27" customFormat="1">
      <c r="F480" s="33"/>
      <c r="H480" s="34"/>
    </row>
    <row r="481" spans="6:8" s="27" customFormat="1">
      <c r="F481" s="33"/>
      <c r="H481" s="34"/>
    </row>
    <row r="482" spans="6:8" s="27" customFormat="1">
      <c r="F482" s="33"/>
      <c r="H482" s="34"/>
    </row>
    <row r="483" spans="6:8" s="27" customFormat="1">
      <c r="F483" s="33"/>
      <c r="H483" s="34"/>
    </row>
    <row r="484" spans="6:8" s="27" customFormat="1">
      <c r="F484" s="33"/>
      <c r="H484" s="34"/>
    </row>
    <row r="485" spans="6:8" s="27" customFormat="1">
      <c r="F485" s="33"/>
      <c r="H485" s="34"/>
    </row>
    <row r="486" spans="6:8" s="27" customFormat="1">
      <c r="F486" s="33"/>
      <c r="H486" s="34"/>
    </row>
    <row r="487" spans="6:8" s="27" customFormat="1">
      <c r="F487" s="33"/>
      <c r="H487" s="34"/>
    </row>
    <row r="488" spans="6:8" s="27" customFormat="1">
      <c r="F488" s="33"/>
      <c r="H488" s="34"/>
    </row>
    <row r="489" spans="6:8" s="27" customFormat="1">
      <c r="F489" s="33"/>
      <c r="H489" s="34"/>
    </row>
    <row r="490" spans="6:8" s="27" customFormat="1">
      <c r="F490" s="33"/>
      <c r="H490" s="34"/>
    </row>
    <row r="491" spans="6:8" s="27" customFormat="1">
      <c r="F491" s="33"/>
      <c r="H491" s="34"/>
    </row>
    <row r="492" spans="6:8" s="27" customFormat="1">
      <c r="F492" s="33"/>
      <c r="H492" s="34"/>
    </row>
    <row r="493" spans="6:8" s="27" customFormat="1">
      <c r="F493" s="33"/>
      <c r="H493" s="34"/>
    </row>
    <row r="494" spans="6:8" s="27" customFormat="1">
      <c r="F494" s="33"/>
      <c r="H494" s="34"/>
    </row>
    <row r="495" spans="6:8" s="27" customFormat="1">
      <c r="F495" s="33"/>
      <c r="H495" s="34"/>
    </row>
    <row r="496" spans="6:8" s="27" customFormat="1">
      <c r="F496" s="33"/>
      <c r="H496" s="34"/>
    </row>
    <row r="497" spans="6:8" s="27" customFormat="1">
      <c r="F497" s="33"/>
      <c r="H497" s="34"/>
    </row>
    <row r="498" spans="6:8" s="27" customFormat="1">
      <c r="F498" s="33"/>
      <c r="H498" s="34"/>
    </row>
    <row r="499" spans="6:8" s="27" customFormat="1">
      <c r="F499" s="33"/>
      <c r="H499" s="34"/>
    </row>
    <row r="500" spans="6:8" s="27" customFormat="1">
      <c r="F500" s="33"/>
      <c r="H500" s="34"/>
    </row>
    <row r="501" spans="6:8" s="27" customFormat="1">
      <c r="F501" s="33"/>
      <c r="H501" s="34"/>
    </row>
    <row r="502" spans="6:8" s="27" customFormat="1">
      <c r="F502" s="33"/>
      <c r="H502" s="34"/>
    </row>
    <row r="503" spans="6:8" s="27" customFormat="1">
      <c r="F503" s="33"/>
      <c r="H503" s="34"/>
    </row>
    <row r="504" spans="6:8" s="27" customFormat="1">
      <c r="F504" s="33"/>
      <c r="H504" s="34"/>
    </row>
    <row r="505" spans="6:8" s="27" customFormat="1">
      <c r="F505" s="33"/>
      <c r="H505" s="34"/>
    </row>
    <row r="506" spans="6:8" s="27" customFormat="1">
      <c r="F506" s="33"/>
      <c r="H506" s="34"/>
    </row>
    <row r="507" spans="6:8" s="27" customFormat="1">
      <c r="F507" s="33"/>
      <c r="H507" s="34"/>
    </row>
    <row r="508" spans="6:8" s="27" customFormat="1">
      <c r="F508" s="33"/>
      <c r="H508" s="34"/>
    </row>
    <row r="509" spans="6:8" s="27" customFormat="1">
      <c r="F509" s="33"/>
      <c r="H509" s="34"/>
    </row>
    <row r="510" spans="6:8" s="27" customFormat="1">
      <c r="F510" s="33"/>
      <c r="H510" s="34"/>
    </row>
    <row r="511" spans="6:8" s="27" customFormat="1">
      <c r="F511" s="33"/>
      <c r="H511" s="34"/>
    </row>
    <row r="512" spans="6:8" s="27" customFormat="1">
      <c r="F512" s="33"/>
      <c r="H512" s="34"/>
    </row>
    <row r="513" spans="6:8" s="27" customFormat="1">
      <c r="F513" s="33"/>
      <c r="H513" s="34"/>
    </row>
    <row r="514" spans="6:8" s="27" customFormat="1">
      <c r="F514" s="33"/>
      <c r="H514" s="34"/>
    </row>
    <row r="515" spans="6:8" s="27" customFormat="1">
      <c r="F515" s="33"/>
      <c r="H515" s="34"/>
    </row>
    <row r="516" spans="6:8" s="27" customFormat="1">
      <c r="F516" s="33"/>
      <c r="H516" s="34"/>
    </row>
    <row r="517" spans="6:8" s="27" customFormat="1">
      <c r="F517" s="33"/>
      <c r="H517" s="34"/>
    </row>
    <row r="518" spans="6:8" s="27" customFormat="1">
      <c r="F518" s="33"/>
      <c r="H518" s="34"/>
    </row>
    <row r="519" spans="6:8" s="27" customFormat="1">
      <c r="F519" s="33"/>
      <c r="H519" s="34"/>
    </row>
    <row r="520" spans="6:8" s="27" customFormat="1">
      <c r="F520" s="33"/>
      <c r="H520" s="34"/>
    </row>
    <row r="521" spans="6:8" s="27" customFormat="1">
      <c r="F521" s="33"/>
      <c r="H521" s="34"/>
    </row>
    <row r="522" spans="6:8" s="27" customFormat="1">
      <c r="F522" s="33"/>
      <c r="H522" s="34"/>
    </row>
    <row r="523" spans="6:8" s="27" customFormat="1">
      <c r="F523" s="33"/>
      <c r="H523" s="34"/>
    </row>
    <row r="524" spans="6:8" s="27" customFormat="1">
      <c r="F524" s="33"/>
      <c r="H524" s="34"/>
    </row>
    <row r="525" spans="6:8" s="27" customFormat="1">
      <c r="F525" s="33"/>
      <c r="H525" s="34"/>
    </row>
    <row r="526" spans="6:8" s="27" customFormat="1">
      <c r="F526" s="33"/>
      <c r="H526" s="34"/>
    </row>
    <row r="527" spans="6:8" s="27" customFormat="1">
      <c r="F527" s="33"/>
      <c r="H527" s="34"/>
    </row>
    <row r="528" spans="6:8" s="27" customFormat="1">
      <c r="F528" s="33"/>
      <c r="H528" s="34"/>
    </row>
    <row r="529" spans="6:8" s="27" customFormat="1">
      <c r="F529" s="33"/>
      <c r="H529" s="34"/>
    </row>
    <row r="530" spans="6:8" s="27" customFormat="1">
      <c r="F530" s="33"/>
      <c r="H530" s="34"/>
    </row>
    <row r="531" spans="6:8" s="27" customFormat="1">
      <c r="F531" s="33"/>
      <c r="H531" s="34"/>
    </row>
    <row r="532" spans="6:8" s="27" customFormat="1">
      <c r="F532" s="33"/>
      <c r="H532" s="34"/>
    </row>
    <row r="533" spans="6:8" s="27" customFormat="1">
      <c r="F533" s="33"/>
      <c r="H533" s="34"/>
    </row>
    <row r="534" spans="6:8" s="27" customFormat="1">
      <c r="F534" s="33"/>
      <c r="H534" s="34"/>
    </row>
    <row r="535" spans="6:8" s="27" customFormat="1">
      <c r="F535" s="33"/>
      <c r="H535" s="34"/>
    </row>
    <row r="536" spans="6:8" s="27" customFormat="1">
      <c r="F536" s="33"/>
      <c r="H536" s="34"/>
    </row>
    <row r="537" spans="6:8" s="27" customFormat="1">
      <c r="F537" s="33"/>
      <c r="H537" s="34"/>
    </row>
    <row r="538" spans="6:8" s="27" customFormat="1">
      <c r="F538" s="33"/>
      <c r="H538" s="34"/>
    </row>
    <row r="539" spans="6:8" s="27" customFormat="1">
      <c r="F539" s="33"/>
      <c r="H539" s="34"/>
    </row>
    <row r="540" spans="6:8" s="27" customFormat="1">
      <c r="F540" s="33"/>
      <c r="H540" s="34"/>
    </row>
    <row r="541" spans="6:8" s="27" customFormat="1">
      <c r="F541" s="33"/>
      <c r="H541" s="34"/>
    </row>
    <row r="542" spans="6:8" s="27" customFormat="1">
      <c r="F542" s="33"/>
      <c r="H542" s="34"/>
    </row>
    <row r="543" spans="6:8" s="27" customFormat="1">
      <c r="F543" s="33"/>
      <c r="H543" s="34"/>
    </row>
    <row r="544" spans="6:8" s="27" customFormat="1">
      <c r="F544" s="33"/>
      <c r="H544" s="34"/>
    </row>
    <row r="545" spans="6:8" s="27" customFormat="1">
      <c r="F545" s="33"/>
      <c r="H545" s="34"/>
    </row>
    <row r="546" spans="6:8" s="27" customFormat="1">
      <c r="F546" s="33"/>
      <c r="H546" s="34"/>
    </row>
    <row r="547" spans="6:8" s="27" customFormat="1">
      <c r="F547" s="33"/>
      <c r="H547" s="34"/>
    </row>
    <row r="548" spans="6:8" s="27" customFormat="1">
      <c r="F548" s="33"/>
      <c r="H548" s="34"/>
    </row>
    <row r="549" spans="6:8" s="27" customFormat="1">
      <c r="F549" s="33"/>
      <c r="H549" s="34"/>
    </row>
    <row r="550" spans="6:8" s="27" customFormat="1">
      <c r="F550" s="33"/>
      <c r="H550" s="34"/>
    </row>
    <row r="551" spans="6:8" s="27" customFormat="1">
      <c r="F551" s="33"/>
      <c r="H551" s="34"/>
    </row>
    <row r="552" spans="6:8" s="27" customFormat="1">
      <c r="F552" s="33"/>
      <c r="H552" s="34"/>
    </row>
    <row r="553" spans="6:8" s="27" customFormat="1">
      <c r="F553" s="33"/>
      <c r="H553" s="34"/>
    </row>
    <row r="554" spans="6:8" s="27" customFormat="1">
      <c r="F554" s="33"/>
      <c r="H554" s="34"/>
    </row>
    <row r="555" spans="6:8" s="27" customFormat="1">
      <c r="F555" s="33"/>
      <c r="H555" s="34"/>
    </row>
    <row r="556" spans="6:8" s="27" customFormat="1">
      <c r="F556" s="33"/>
      <c r="H556" s="34"/>
    </row>
    <row r="557" spans="6:8" s="27" customFormat="1">
      <c r="F557" s="33"/>
      <c r="H557" s="34"/>
    </row>
    <row r="558" spans="6:8" s="27" customFormat="1">
      <c r="F558" s="33"/>
      <c r="H558" s="34"/>
    </row>
    <row r="559" spans="6:8" s="27" customFormat="1">
      <c r="F559" s="33"/>
      <c r="H559" s="34"/>
    </row>
    <row r="560" spans="6:8" s="27" customFormat="1">
      <c r="F560" s="33"/>
      <c r="H560" s="34"/>
    </row>
    <row r="561" spans="6:8" s="27" customFormat="1">
      <c r="F561" s="33"/>
      <c r="H561" s="34"/>
    </row>
    <row r="562" spans="6:8" s="27" customFormat="1">
      <c r="F562" s="33"/>
      <c r="H562" s="34"/>
    </row>
    <row r="563" spans="6:8" s="27" customFormat="1">
      <c r="F563" s="33"/>
      <c r="H563" s="34"/>
    </row>
    <row r="564" spans="6:8" s="27" customFormat="1">
      <c r="F564" s="33"/>
      <c r="H564" s="34"/>
    </row>
    <row r="565" spans="6:8" s="27" customFormat="1">
      <c r="F565" s="33"/>
      <c r="H565" s="34"/>
    </row>
    <row r="566" spans="6:8" s="27" customFormat="1">
      <c r="F566" s="33"/>
      <c r="H566" s="34"/>
    </row>
    <row r="567" spans="6:8" s="27" customFormat="1">
      <c r="F567" s="33"/>
      <c r="H567" s="34"/>
    </row>
    <row r="568" spans="6:8" s="27" customFormat="1">
      <c r="F568" s="33"/>
      <c r="H568" s="34"/>
    </row>
    <row r="569" spans="6:8" s="27" customFormat="1">
      <c r="F569" s="33"/>
      <c r="H569" s="34"/>
    </row>
    <row r="570" spans="6:8" s="27" customFormat="1">
      <c r="F570" s="33"/>
      <c r="H570" s="34"/>
    </row>
    <row r="571" spans="6:8" s="27" customFormat="1">
      <c r="F571" s="33"/>
      <c r="H571" s="34"/>
    </row>
    <row r="572" spans="6:8" s="27" customFormat="1">
      <c r="F572" s="33"/>
      <c r="H572" s="34"/>
    </row>
    <row r="573" spans="6:8" s="27" customFormat="1">
      <c r="F573" s="33"/>
      <c r="H573" s="34"/>
    </row>
    <row r="574" spans="6:8" s="27" customFormat="1">
      <c r="F574" s="33"/>
      <c r="H574" s="34"/>
    </row>
    <row r="575" spans="6:8" s="27" customFormat="1">
      <c r="F575" s="33"/>
      <c r="H575" s="34"/>
    </row>
    <row r="576" spans="6:8" s="27" customFormat="1">
      <c r="F576" s="33"/>
      <c r="H576" s="34"/>
    </row>
    <row r="577" spans="6:8" s="27" customFormat="1">
      <c r="F577" s="33"/>
      <c r="H577" s="34"/>
    </row>
    <row r="578" spans="6:8" s="27" customFormat="1">
      <c r="F578" s="33"/>
      <c r="H578" s="34"/>
    </row>
    <row r="579" spans="6:8" s="27" customFormat="1">
      <c r="F579" s="33"/>
      <c r="H579" s="34"/>
    </row>
    <row r="580" spans="6:8" s="27" customFormat="1">
      <c r="F580" s="33"/>
      <c r="H580" s="34"/>
    </row>
    <row r="581" spans="6:8" s="27" customFormat="1">
      <c r="F581" s="33"/>
      <c r="H581" s="34"/>
    </row>
    <row r="582" spans="6:8" s="27" customFormat="1">
      <c r="F582" s="33"/>
      <c r="H582" s="34"/>
    </row>
    <row r="583" spans="6:8" s="27" customFormat="1">
      <c r="F583" s="33"/>
      <c r="H583" s="34"/>
    </row>
    <row r="584" spans="6:8" s="27" customFormat="1">
      <c r="F584" s="33"/>
      <c r="H584" s="34"/>
    </row>
    <row r="585" spans="6:8" s="27" customFormat="1">
      <c r="F585" s="33"/>
      <c r="H585" s="34"/>
    </row>
    <row r="586" spans="6:8" s="27" customFormat="1">
      <c r="F586" s="33"/>
      <c r="H586" s="34"/>
    </row>
    <row r="587" spans="6:8" s="27" customFormat="1">
      <c r="F587" s="33"/>
      <c r="H587" s="34"/>
    </row>
    <row r="588" spans="6:8" s="27" customFormat="1">
      <c r="F588" s="33"/>
      <c r="H588" s="34"/>
    </row>
    <row r="589" spans="6:8" s="27" customFormat="1">
      <c r="F589" s="33"/>
      <c r="H589" s="34"/>
    </row>
    <row r="590" spans="6:8" s="27" customFormat="1">
      <c r="F590" s="33"/>
      <c r="H590" s="34"/>
    </row>
    <row r="591" spans="6:8" s="27" customFormat="1">
      <c r="F591" s="33"/>
      <c r="H591" s="34"/>
    </row>
    <row r="592" spans="6:8" s="27" customFormat="1">
      <c r="F592" s="33"/>
      <c r="H592" s="34"/>
    </row>
    <row r="593" spans="6:8" s="27" customFormat="1">
      <c r="F593" s="33"/>
      <c r="H593" s="34"/>
    </row>
    <row r="594" spans="6:8" s="27" customFormat="1">
      <c r="F594" s="33"/>
      <c r="H594" s="34"/>
    </row>
    <row r="595" spans="6:8" s="27" customFormat="1">
      <c r="F595" s="33"/>
      <c r="H595" s="34"/>
    </row>
    <row r="596" spans="6:8" s="27" customFormat="1">
      <c r="F596" s="33"/>
      <c r="H596" s="34"/>
    </row>
    <row r="597" spans="6:8" s="27" customFormat="1">
      <c r="F597" s="33"/>
      <c r="H597" s="34"/>
    </row>
    <row r="598" spans="6:8" s="27" customFormat="1">
      <c r="F598" s="33"/>
      <c r="H598" s="34"/>
    </row>
    <row r="599" spans="6:8" s="27" customFormat="1">
      <c r="F599" s="33"/>
      <c r="H599" s="34"/>
    </row>
    <row r="600" spans="6:8" s="27" customFormat="1">
      <c r="F600" s="33"/>
      <c r="H600" s="34"/>
    </row>
    <row r="601" spans="6:8" s="27" customFormat="1">
      <c r="F601" s="33"/>
      <c r="H601" s="34"/>
    </row>
    <row r="602" spans="6:8" s="27" customFormat="1">
      <c r="F602" s="33"/>
      <c r="H602" s="34"/>
    </row>
    <row r="603" spans="6:8" s="27" customFormat="1">
      <c r="F603" s="33"/>
      <c r="H603" s="34"/>
    </row>
    <row r="604" spans="6:8" s="27" customFormat="1">
      <c r="F604" s="33"/>
      <c r="H604" s="34"/>
    </row>
    <row r="605" spans="6:8" s="27" customFormat="1">
      <c r="F605" s="33"/>
      <c r="H605" s="34"/>
    </row>
    <row r="606" spans="6:8" s="27" customFormat="1">
      <c r="F606" s="33"/>
      <c r="H606" s="34"/>
    </row>
    <row r="607" spans="6:8" s="27" customFormat="1">
      <c r="F607" s="33"/>
      <c r="H607" s="34"/>
    </row>
    <row r="608" spans="6:8" s="27" customFormat="1">
      <c r="F608" s="33"/>
      <c r="H608" s="34"/>
    </row>
    <row r="609" spans="6:8" s="27" customFormat="1">
      <c r="F609" s="33"/>
      <c r="H609" s="34"/>
    </row>
    <row r="610" spans="6:8" s="27" customFormat="1">
      <c r="F610" s="33"/>
      <c r="H610" s="34"/>
    </row>
    <row r="611" spans="6:8" s="27" customFormat="1">
      <c r="F611" s="33"/>
      <c r="H611" s="34"/>
    </row>
    <row r="612" spans="6:8" s="27" customFormat="1">
      <c r="F612" s="33"/>
      <c r="H612" s="34"/>
    </row>
    <row r="613" spans="6:8" s="27" customFormat="1">
      <c r="F613" s="33"/>
      <c r="H613" s="34"/>
    </row>
    <row r="614" spans="6:8" s="27" customFormat="1">
      <c r="F614" s="33"/>
      <c r="H614" s="34"/>
    </row>
    <row r="615" spans="6:8" s="27" customFormat="1">
      <c r="F615" s="33"/>
      <c r="H615" s="34"/>
    </row>
    <row r="616" spans="6:8" s="27" customFormat="1">
      <c r="F616" s="33"/>
      <c r="H616" s="34"/>
    </row>
    <row r="617" spans="6:8" s="27" customFormat="1">
      <c r="F617" s="33"/>
      <c r="H617" s="34"/>
    </row>
    <row r="618" spans="6:8" s="27" customFormat="1">
      <c r="F618" s="33"/>
      <c r="H618" s="34"/>
    </row>
    <row r="619" spans="6:8" s="27" customFormat="1">
      <c r="F619" s="33"/>
      <c r="H619" s="34"/>
    </row>
    <row r="620" spans="6:8" s="27" customFormat="1">
      <c r="F620" s="33"/>
      <c r="H620" s="34"/>
    </row>
    <row r="621" spans="6:8" s="27" customFormat="1">
      <c r="F621" s="33"/>
      <c r="H621" s="34"/>
    </row>
    <row r="622" spans="6:8" s="27" customFormat="1">
      <c r="F622" s="33"/>
      <c r="H622" s="34"/>
    </row>
    <row r="623" spans="6:8" s="27" customFormat="1">
      <c r="F623" s="33"/>
      <c r="H623" s="34"/>
    </row>
    <row r="624" spans="6:8" s="27" customFormat="1">
      <c r="F624" s="33"/>
      <c r="H624" s="34"/>
    </row>
    <row r="625" spans="6:8" s="27" customFormat="1">
      <c r="F625" s="33"/>
      <c r="H625" s="34"/>
    </row>
    <row r="626" spans="6:8" s="27" customFormat="1">
      <c r="F626" s="33"/>
      <c r="H626" s="34"/>
    </row>
    <row r="627" spans="6:8" s="27" customFormat="1">
      <c r="F627" s="33"/>
      <c r="H627" s="34"/>
    </row>
    <row r="628" spans="6:8" s="27" customFormat="1">
      <c r="F628" s="33"/>
      <c r="H628" s="34"/>
    </row>
    <row r="629" spans="6:8" s="27" customFormat="1">
      <c r="F629" s="33"/>
      <c r="H629" s="34"/>
    </row>
    <row r="630" spans="6:8" s="27" customFormat="1">
      <c r="F630" s="33"/>
      <c r="H630" s="34"/>
    </row>
    <row r="631" spans="6:8" s="27" customFormat="1">
      <c r="F631" s="33"/>
      <c r="H631" s="34"/>
    </row>
    <row r="632" spans="6:8" s="27" customFormat="1">
      <c r="F632" s="33"/>
      <c r="H632" s="34"/>
    </row>
    <row r="633" spans="6:8" s="27" customFormat="1">
      <c r="F633" s="33"/>
      <c r="H633" s="34"/>
    </row>
    <row r="634" spans="6:8" s="27" customFormat="1">
      <c r="F634" s="33"/>
      <c r="H634" s="34"/>
    </row>
    <row r="635" spans="6:8" s="27" customFormat="1">
      <c r="F635" s="33"/>
      <c r="H635" s="34"/>
    </row>
    <row r="636" spans="6:8" s="27" customFormat="1">
      <c r="F636" s="33"/>
      <c r="H636" s="34"/>
    </row>
    <row r="637" spans="6:8" s="27" customFormat="1">
      <c r="F637" s="33"/>
      <c r="H637" s="34"/>
    </row>
    <row r="638" spans="6:8" s="27" customFormat="1">
      <c r="F638" s="33"/>
      <c r="H638" s="34"/>
    </row>
    <row r="639" spans="6:8" s="27" customFormat="1">
      <c r="F639" s="33"/>
      <c r="H639" s="34"/>
    </row>
    <row r="640" spans="6:8" s="27" customFormat="1">
      <c r="F640" s="33"/>
      <c r="H640" s="34"/>
    </row>
    <row r="641" spans="6:8" s="27" customFormat="1">
      <c r="F641" s="33"/>
      <c r="H641" s="34"/>
    </row>
    <row r="642" spans="6:8" s="27" customFormat="1">
      <c r="F642" s="33"/>
      <c r="H642" s="34"/>
    </row>
    <row r="643" spans="6:8" s="27" customFormat="1">
      <c r="F643" s="33"/>
      <c r="H643" s="34"/>
    </row>
    <row r="644" spans="6:8" s="27" customFormat="1">
      <c r="F644" s="33"/>
      <c r="H644" s="34"/>
    </row>
    <row r="645" spans="6:8" s="27" customFormat="1">
      <c r="F645" s="33"/>
      <c r="H645" s="34"/>
    </row>
    <row r="646" spans="6:8" s="27" customFormat="1">
      <c r="F646" s="33"/>
      <c r="H646" s="34"/>
    </row>
    <row r="647" spans="6:8" s="27" customFormat="1">
      <c r="F647" s="33"/>
      <c r="H647" s="34"/>
    </row>
    <row r="648" spans="6:8" s="27" customFormat="1">
      <c r="F648" s="33"/>
      <c r="H648" s="34"/>
    </row>
    <row r="649" spans="6:8" s="27" customFormat="1">
      <c r="F649" s="33"/>
      <c r="H649" s="34"/>
    </row>
    <row r="650" spans="6:8" s="27" customFormat="1">
      <c r="F650" s="33"/>
      <c r="H650" s="34"/>
    </row>
    <row r="651" spans="6:8" s="27" customFormat="1">
      <c r="F651" s="33"/>
      <c r="H651" s="34"/>
    </row>
    <row r="652" spans="6:8" s="27" customFormat="1">
      <c r="F652" s="33"/>
      <c r="H652" s="34"/>
    </row>
    <row r="653" spans="6:8" s="27" customFormat="1">
      <c r="F653" s="33"/>
      <c r="H653" s="34"/>
    </row>
    <row r="654" spans="6:8" s="27" customFormat="1">
      <c r="F654" s="33"/>
      <c r="H654" s="34"/>
    </row>
    <row r="655" spans="6:8" s="27" customFormat="1">
      <c r="F655" s="33"/>
      <c r="H655" s="34"/>
    </row>
    <row r="656" spans="6:8" s="27" customFormat="1">
      <c r="F656" s="33"/>
      <c r="H656" s="34"/>
    </row>
    <row r="657" spans="6:8" s="27" customFormat="1">
      <c r="F657" s="33"/>
      <c r="H657" s="34"/>
    </row>
    <row r="658" spans="6:8" s="27" customFormat="1">
      <c r="F658" s="33"/>
      <c r="H658" s="34"/>
    </row>
    <row r="659" spans="6:8" s="27" customFormat="1">
      <c r="F659" s="33"/>
      <c r="H659" s="34"/>
    </row>
    <row r="660" spans="6:8" s="27" customFormat="1">
      <c r="F660" s="33"/>
      <c r="H660" s="34"/>
    </row>
    <row r="661" spans="6:8" s="27" customFormat="1">
      <c r="F661" s="33"/>
      <c r="H661" s="34"/>
    </row>
    <row r="662" spans="6:8" s="27" customFormat="1">
      <c r="F662" s="33"/>
      <c r="H662" s="34"/>
    </row>
    <row r="663" spans="6:8" s="27" customFormat="1">
      <c r="F663" s="33"/>
      <c r="H663" s="34"/>
    </row>
    <row r="664" spans="6:8" s="27" customFormat="1">
      <c r="F664" s="33"/>
      <c r="H664" s="34"/>
    </row>
    <row r="665" spans="6:8" s="27" customFormat="1">
      <c r="F665" s="33"/>
      <c r="H665" s="34"/>
    </row>
    <row r="666" spans="6:8" s="27" customFormat="1">
      <c r="F666" s="33"/>
      <c r="H666" s="34"/>
    </row>
    <row r="667" spans="6:8" s="27" customFormat="1">
      <c r="F667" s="33"/>
      <c r="H667" s="34"/>
    </row>
    <row r="668" spans="6:8" s="27" customFormat="1">
      <c r="F668" s="33"/>
      <c r="H668" s="34"/>
    </row>
    <row r="669" spans="6:8" s="27" customFormat="1">
      <c r="F669" s="33"/>
      <c r="H669" s="34"/>
    </row>
    <row r="670" spans="6:8" s="27" customFormat="1">
      <c r="F670" s="33"/>
      <c r="H670" s="34"/>
    </row>
    <row r="671" spans="6:8" s="27" customFormat="1">
      <c r="F671" s="33"/>
      <c r="H671" s="34"/>
    </row>
    <row r="672" spans="6:8" s="27" customFormat="1">
      <c r="F672" s="33"/>
      <c r="H672" s="34"/>
    </row>
    <row r="673" spans="6:8" s="27" customFormat="1">
      <c r="F673" s="33"/>
      <c r="H673" s="34"/>
    </row>
    <row r="674" spans="6:8" s="27" customFormat="1">
      <c r="F674" s="33"/>
      <c r="H674" s="34"/>
    </row>
    <row r="675" spans="6:8" s="27" customFormat="1">
      <c r="F675" s="33"/>
      <c r="H675" s="34"/>
    </row>
    <row r="676" spans="6:8" s="27" customFormat="1">
      <c r="F676" s="33"/>
      <c r="H676" s="34"/>
    </row>
    <row r="677" spans="6:8" s="27" customFormat="1">
      <c r="F677" s="33"/>
      <c r="H677" s="34"/>
    </row>
    <row r="678" spans="6:8" s="27" customFormat="1">
      <c r="F678" s="33"/>
      <c r="H678" s="34"/>
    </row>
    <row r="679" spans="6:8" s="27" customFormat="1">
      <c r="F679" s="33"/>
      <c r="H679" s="34"/>
    </row>
    <row r="680" spans="6:8" s="27" customFormat="1">
      <c r="F680" s="33"/>
      <c r="H680" s="34"/>
    </row>
    <row r="681" spans="6:8" s="27" customFormat="1">
      <c r="F681" s="33"/>
      <c r="H681" s="34"/>
    </row>
    <row r="682" spans="6:8" s="27" customFormat="1">
      <c r="F682" s="33"/>
      <c r="H682" s="34"/>
    </row>
    <row r="683" spans="6:8" s="27" customFormat="1">
      <c r="F683" s="33"/>
      <c r="H683" s="34"/>
    </row>
    <row r="684" spans="6:8" s="27" customFormat="1">
      <c r="F684" s="33"/>
      <c r="H684" s="34"/>
    </row>
    <row r="685" spans="6:8" s="27" customFormat="1">
      <c r="F685" s="33"/>
      <c r="H685" s="34"/>
    </row>
    <row r="686" spans="6:8" s="27" customFormat="1">
      <c r="F686" s="33"/>
      <c r="H686" s="34"/>
    </row>
    <row r="687" spans="6:8" s="27" customFormat="1">
      <c r="F687" s="33"/>
      <c r="H687" s="34"/>
    </row>
    <row r="688" spans="6:8" s="27" customFormat="1">
      <c r="F688" s="33"/>
      <c r="H688" s="34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749"/>
  <sheetViews>
    <sheetView zoomScaleNormal="100" workbookViewId="0">
      <selection activeCell="D16" sqref="D16"/>
    </sheetView>
  </sheetViews>
  <sheetFormatPr defaultRowHeight="12.75"/>
  <cols>
    <col min="1" max="1" width="3.42578125" style="27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81" width="9.140625" style="27"/>
  </cols>
  <sheetData>
    <row r="1" spans="1:9" ht="15.95" customHeight="1">
      <c r="A1" s="24"/>
      <c r="B1" s="192" t="s">
        <v>0</v>
      </c>
      <c r="C1" s="193"/>
      <c r="D1" s="193"/>
      <c r="E1" s="193"/>
      <c r="F1" s="193"/>
      <c r="G1" s="193"/>
      <c r="H1" s="194"/>
      <c r="I1" s="1"/>
    </row>
    <row r="2" spans="1:9" ht="12.95" customHeight="1" thickBot="1">
      <c r="A2" s="24"/>
      <c r="B2" s="195" t="s">
        <v>391</v>
      </c>
      <c r="C2" s="196"/>
      <c r="D2" s="196"/>
      <c r="E2" s="196"/>
      <c r="F2" s="196"/>
      <c r="G2" s="196"/>
      <c r="H2" s="197"/>
      <c r="I2" s="1"/>
    </row>
    <row r="3" spans="1:9" s="27" customFormat="1" ht="12.95" customHeight="1">
      <c r="A3" s="24"/>
      <c r="B3" s="151"/>
      <c r="C3" s="151"/>
      <c r="D3" s="151"/>
      <c r="E3" s="151"/>
      <c r="F3" s="151"/>
      <c r="G3" s="151"/>
      <c r="H3" s="151"/>
      <c r="I3" s="24"/>
    </row>
    <row r="4" spans="1:9" s="27" customFormat="1" ht="12.95" customHeight="1">
      <c r="A4" s="25"/>
      <c r="B4" s="29" t="s">
        <v>2</v>
      </c>
      <c r="C4" s="24"/>
      <c r="D4" s="24"/>
      <c r="E4" s="24"/>
      <c r="F4" s="30"/>
      <c r="G4" s="24"/>
      <c r="H4" s="31"/>
      <c r="I4" s="24"/>
    </row>
    <row r="5" spans="1:9" s="27" customFormat="1" ht="12.95" customHeight="1" thickBot="1">
      <c r="A5" s="25"/>
      <c r="B5" s="29"/>
      <c r="C5" s="24"/>
      <c r="D5" s="24"/>
      <c r="E5" s="24"/>
      <c r="F5" s="30"/>
      <c r="G5" s="24"/>
      <c r="H5" s="31"/>
      <c r="I5" s="24"/>
    </row>
    <row r="6" spans="1:9" ht="27.95" customHeight="1" thickBot="1">
      <c r="A6" s="24"/>
      <c r="B6" s="76" t="s">
        <v>3</v>
      </c>
      <c r="C6" s="77" t="s">
        <v>4</v>
      </c>
      <c r="D6" s="104" t="s">
        <v>5</v>
      </c>
      <c r="E6" s="104" t="s">
        <v>6</v>
      </c>
      <c r="F6" s="105" t="s">
        <v>7</v>
      </c>
      <c r="G6" s="104" t="s">
        <v>8</v>
      </c>
      <c r="H6" s="106" t="s">
        <v>9</v>
      </c>
      <c r="I6" s="36" t="s">
        <v>10</v>
      </c>
    </row>
    <row r="7" spans="1:9" ht="12.95" customHeight="1">
      <c r="A7" s="24"/>
      <c r="B7" s="158" t="s">
        <v>368</v>
      </c>
      <c r="C7" s="159"/>
      <c r="D7" s="121"/>
      <c r="E7" s="121"/>
      <c r="F7" s="122"/>
      <c r="G7" s="121"/>
      <c r="H7" s="123"/>
      <c r="I7" s="6"/>
    </row>
    <row r="8" spans="1:9" ht="12.95" customHeight="1">
      <c r="A8" s="24"/>
      <c r="B8" s="13" t="s">
        <v>369</v>
      </c>
      <c r="C8" s="43"/>
      <c r="D8" s="44"/>
      <c r="E8" s="154" t="s">
        <v>196</v>
      </c>
      <c r="F8" s="154" t="s">
        <v>196</v>
      </c>
      <c r="G8" s="154" t="s">
        <v>196</v>
      </c>
      <c r="H8" s="157" t="s">
        <v>196</v>
      </c>
      <c r="I8" s="7" t="s">
        <v>196</v>
      </c>
    </row>
    <row r="9" spans="1:9" ht="12.95" customHeight="1">
      <c r="A9" s="26"/>
      <c r="B9" s="16" t="s">
        <v>195</v>
      </c>
      <c r="C9" s="43"/>
      <c r="D9" s="44"/>
      <c r="E9" s="154" t="s">
        <v>196</v>
      </c>
      <c r="F9" s="154" t="s">
        <v>196</v>
      </c>
      <c r="G9" s="154" t="s">
        <v>196</v>
      </c>
      <c r="H9" s="157" t="s">
        <v>196</v>
      </c>
      <c r="I9" s="7" t="s">
        <v>196</v>
      </c>
    </row>
    <row r="10" spans="1:9" ht="12.95" customHeight="1">
      <c r="A10" s="24"/>
      <c r="B10" s="16"/>
      <c r="C10" s="43"/>
      <c r="D10" s="44"/>
      <c r="E10" s="154"/>
      <c r="F10" s="154"/>
      <c r="G10" s="154"/>
      <c r="H10" s="157"/>
      <c r="I10" s="7"/>
    </row>
    <row r="11" spans="1:9" ht="12.95" customHeight="1">
      <c r="A11" s="24"/>
      <c r="B11" s="9" t="s">
        <v>370</v>
      </c>
      <c r="C11" s="43"/>
      <c r="D11" s="44"/>
      <c r="E11" s="154"/>
      <c r="F11" s="154"/>
      <c r="G11" s="154"/>
      <c r="H11" s="157"/>
      <c r="I11" s="7"/>
    </row>
    <row r="12" spans="1:9" ht="12.95" customHeight="1">
      <c r="A12" s="24"/>
      <c r="B12" s="13" t="s">
        <v>371</v>
      </c>
      <c r="C12" s="43"/>
      <c r="D12" s="44"/>
      <c r="E12" s="154" t="s">
        <v>196</v>
      </c>
      <c r="F12" s="154" t="s">
        <v>196</v>
      </c>
      <c r="G12" s="154" t="s">
        <v>196</v>
      </c>
      <c r="H12" s="157" t="s">
        <v>196</v>
      </c>
      <c r="I12" s="7" t="s">
        <v>196</v>
      </c>
    </row>
    <row r="13" spans="1:9" ht="12.95" customHeight="1">
      <c r="A13" s="26"/>
      <c r="B13" s="16" t="s">
        <v>372</v>
      </c>
      <c r="C13" s="43"/>
      <c r="D13" s="44"/>
      <c r="E13" s="154" t="s">
        <v>196</v>
      </c>
      <c r="F13" s="154" t="s">
        <v>196</v>
      </c>
      <c r="G13" s="156"/>
      <c r="H13" s="157" t="s">
        <v>196</v>
      </c>
      <c r="I13" s="8"/>
    </row>
    <row r="14" spans="1:9" ht="12.95" customHeight="1">
      <c r="A14" s="24"/>
      <c r="B14" s="16" t="s">
        <v>373</v>
      </c>
      <c r="C14" s="43"/>
      <c r="D14" s="44"/>
      <c r="E14" s="154" t="s">
        <v>196</v>
      </c>
      <c r="F14" s="154" t="s">
        <v>196</v>
      </c>
      <c r="G14" s="156"/>
      <c r="H14" s="157" t="s">
        <v>196</v>
      </c>
      <c r="I14" s="8"/>
    </row>
    <row r="15" spans="1:9" ht="12.95" customHeight="1">
      <c r="A15" s="24"/>
      <c r="B15" s="16"/>
      <c r="C15" s="43"/>
      <c r="D15" s="44"/>
      <c r="E15" s="154"/>
      <c r="F15" s="155"/>
      <c r="G15" s="156"/>
      <c r="H15" s="157"/>
      <c r="I15" s="5"/>
    </row>
    <row r="16" spans="1:9" ht="12.95" customHeight="1">
      <c r="A16" s="24"/>
      <c r="B16" s="53" t="s">
        <v>11</v>
      </c>
      <c r="C16" s="11" t="s">
        <v>1</v>
      </c>
      <c r="D16" s="11" t="s">
        <v>1</v>
      </c>
      <c r="E16" s="11" t="s">
        <v>1</v>
      </c>
      <c r="F16" s="46" t="s">
        <v>1</v>
      </c>
      <c r="G16" s="47"/>
      <c r="H16" s="54" t="s">
        <v>1</v>
      </c>
      <c r="I16" s="37" t="s">
        <v>1</v>
      </c>
    </row>
    <row r="17" spans="1:9" ht="12.95" customHeight="1">
      <c r="A17" s="24"/>
      <c r="B17" s="53" t="s">
        <v>12</v>
      </c>
      <c r="C17" s="11" t="s">
        <v>1</v>
      </c>
      <c r="D17" s="11" t="s">
        <v>1</v>
      </c>
      <c r="E17" s="11" t="s">
        <v>1</v>
      </c>
      <c r="F17" s="46" t="s">
        <v>1</v>
      </c>
      <c r="G17" s="47"/>
      <c r="H17" s="54" t="s">
        <v>1</v>
      </c>
      <c r="I17" s="37" t="s">
        <v>1</v>
      </c>
    </row>
    <row r="18" spans="1:9" ht="12.95" customHeight="1">
      <c r="A18" s="26"/>
      <c r="B18" s="55" t="s">
        <v>13</v>
      </c>
      <c r="C18" s="11" t="s">
        <v>14</v>
      </c>
      <c r="D18" s="11" t="s">
        <v>15</v>
      </c>
      <c r="E18" s="48">
        <v>1000000</v>
      </c>
      <c r="F18" s="49">
        <v>998.19482000000005</v>
      </c>
      <c r="G18" s="50">
        <v>998.19</v>
      </c>
      <c r="H18" s="56">
        <v>0.15032599708579261</v>
      </c>
      <c r="I18" s="2">
        <v>0.15029999999999999</v>
      </c>
    </row>
    <row r="19" spans="1:9" ht="12.95" customHeight="1">
      <c r="A19" s="26"/>
      <c r="B19" s="55" t="s">
        <v>16</v>
      </c>
      <c r="C19" s="11" t="s">
        <v>17</v>
      </c>
      <c r="D19" s="11" t="s">
        <v>18</v>
      </c>
      <c r="E19" s="48">
        <v>500000</v>
      </c>
      <c r="F19" s="49">
        <v>499.89069999999998</v>
      </c>
      <c r="G19" s="50">
        <v>499.89</v>
      </c>
      <c r="H19" s="56">
        <v>7.5282466313955465E-2</v>
      </c>
      <c r="I19" s="2">
        <v>7.5300000000000006E-2</v>
      </c>
    </row>
    <row r="20" spans="1:9" ht="12.95" customHeight="1">
      <c r="A20" s="26"/>
      <c r="B20" s="55" t="s">
        <v>19</v>
      </c>
      <c r="C20" s="11" t="s">
        <v>20</v>
      </c>
      <c r="D20" s="11" t="s">
        <v>18</v>
      </c>
      <c r="E20" s="48">
        <v>500000</v>
      </c>
      <c r="F20" s="49">
        <v>499.09845999999999</v>
      </c>
      <c r="G20" s="50">
        <v>499.1</v>
      </c>
      <c r="H20" s="56">
        <v>7.51631566706423E-2</v>
      </c>
      <c r="I20" s="2">
        <v>7.5200000000000003E-2</v>
      </c>
    </row>
    <row r="21" spans="1:9" ht="12.95" customHeight="1">
      <c r="A21" s="26"/>
      <c r="B21" s="55" t="s">
        <v>21</v>
      </c>
      <c r="C21" s="11" t="s">
        <v>22</v>
      </c>
      <c r="D21" s="11" t="s">
        <v>18</v>
      </c>
      <c r="E21" s="48">
        <v>500000</v>
      </c>
      <c r="F21" s="49">
        <v>498.10611999999998</v>
      </c>
      <c r="G21" s="50">
        <v>498.11</v>
      </c>
      <c r="H21" s="56">
        <v>7.5013712396880067E-2</v>
      </c>
      <c r="I21" s="2">
        <v>7.4999999999999997E-2</v>
      </c>
    </row>
    <row r="22" spans="1:9" ht="12.95" customHeight="1">
      <c r="A22" s="26"/>
      <c r="B22" s="55" t="s">
        <v>23</v>
      </c>
      <c r="C22" s="11" t="s">
        <v>24</v>
      </c>
      <c r="D22" s="11" t="s">
        <v>25</v>
      </c>
      <c r="E22" s="48">
        <v>500000</v>
      </c>
      <c r="F22" s="49">
        <v>497.10966500000001</v>
      </c>
      <c r="G22" s="50">
        <v>497.11</v>
      </c>
      <c r="H22" s="56">
        <v>7.4863648412951442E-2</v>
      </c>
      <c r="I22" s="2">
        <v>7.4899999999999994E-2</v>
      </c>
    </row>
    <row r="23" spans="1:9" ht="12.95" customHeight="1">
      <c r="A23" s="26"/>
      <c r="B23" s="55" t="s">
        <v>26</v>
      </c>
      <c r="C23" s="11" t="s">
        <v>27</v>
      </c>
      <c r="D23" s="11" t="s">
        <v>18</v>
      </c>
      <c r="E23" s="48">
        <v>500000</v>
      </c>
      <c r="F23" s="49">
        <v>496.81139000000002</v>
      </c>
      <c r="G23" s="50">
        <v>496.81</v>
      </c>
      <c r="H23" s="56">
        <v>7.4818728838252815E-2</v>
      </c>
      <c r="I23" s="2">
        <v>7.4800000000000005E-2</v>
      </c>
    </row>
    <row r="24" spans="1:9" ht="12.95" customHeight="1">
      <c r="A24" s="26"/>
      <c r="B24" s="55" t="s">
        <v>28</v>
      </c>
      <c r="C24" s="11" t="s">
        <v>29</v>
      </c>
      <c r="D24" s="11" t="s">
        <v>18</v>
      </c>
      <c r="E24" s="48">
        <v>500000</v>
      </c>
      <c r="F24" s="49">
        <v>496.64675</v>
      </c>
      <c r="G24" s="50">
        <v>496.65</v>
      </c>
      <c r="H24" s="56">
        <v>7.4793934407682436E-2</v>
      </c>
      <c r="I24" s="2">
        <v>7.4800000000000005E-2</v>
      </c>
    </row>
    <row r="25" spans="1:9" ht="12.95" customHeight="1">
      <c r="A25" s="26"/>
      <c r="B25" s="55" t="s">
        <v>30</v>
      </c>
      <c r="C25" s="11" t="s">
        <v>31</v>
      </c>
      <c r="D25" s="11" t="s">
        <v>18</v>
      </c>
      <c r="E25" s="48">
        <v>500000</v>
      </c>
      <c r="F25" s="49">
        <v>495.97973999999999</v>
      </c>
      <c r="G25" s="50">
        <v>495.98</v>
      </c>
      <c r="H25" s="56">
        <v>7.4693484133540364E-2</v>
      </c>
      <c r="I25" s="2">
        <v>7.4700000000000003E-2</v>
      </c>
    </row>
    <row r="26" spans="1:9" ht="12.95" customHeight="1">
      <c r="A26" s="26"/>
      <c r="B26" s="55" t="s">
        <v>32</v>
      </c>
      <c r="C26" s="11" t="s">
        <v>33</v>
      </c>
      <c r="D26" s="11" t="s">
        <v>18</v>
      </c>
      <c r="E26" s="48">
        <v>500000</v>
      </c>
      <c r="F26" s="49">
        <v>495.73354999999998</v>
      </c>
      <c r="G26" s="50">
        <v>495.73</v>
      </c>
      <c r="H26" s="56">
        <v>7.4656408448031855E-2</v>
      </c>
      <c r="I26" s="2">
        <v>7.4700000000000003E-2</v>
      </c>
    </row>
    <row r="27" spans="1:9" ht="12.95" customHeight="1">
      <c r="A27" s="26"/>
      <c r="B27" s="55" t="s">
        <v>34</v>
      </c>
      <c r="C27" s="11" t="s">
        <v>35</v>
      </c>
      <c r="D27" s="11" t="s">
        <v>18</v>
      </c>
      <c r="E27" s="48">
        <v>500000</v>
      </c>
      <c r="F27" s="49">
        <v>495.62994500000002</v>
      </c>
      <c r="G27" s="50">
        <v>495.63</v>
      </c>
      <c r="H27" s="56">
        <v>7.4640805757438769E-2</v>
      </c>
      <c r="I27" s="2">
        <v>7.46E-2</v>
      </c>
    </row>
    <row r="28" spans="1:9" ht="12.95" customHeight="1">
      <c r="A28" s="26"/>
      <c r="B28" s="55" t="s">
        <v>36</v>
      </c>
      <c r="C28" s="11" t="s">
        <v>37</v>
      </c>
      <c r="D28" s="11" t="s">
        <v>18</v>
      </c>
      <c r="E28" s="48">
        <v>500000</v>
      </c>
      <c r="F28" s="49">
        <v>495.54076500000002</v>
      </c>
      <c r="G28" s="50">
        <v>495.54</v>
      </c>
      <c r="H28" s="56">
        <v>7.4627375440879815E-2</v>
      </c>
      <c r="I28" s="2">
        <v>7.46E-2</v>
      </c>
    </row>
    <row r="29" spans="1:9" ht="12.95" customHeight="1">
      <c r="A29" s="26"/>
      <c r="B29" s="55" t="s">
        <v>38</v>
      </c>
      <c r="C29" s="11" t="s">
        <v>39</v>
      </c>
      <c r="D29" s="11" t="s">
        <v>18</v>
      </c>
      <c r="E29" s="48">
        <v>500000</v>
      </c>
      <c r="F29" s="49">
        <v>492.61450000000002</v>
      </c>
      <c r="G29" s="50">
        <v>492.61</v>
      </c>
      <c r="H29" s="56">
        <v>7.4186686213638331E-2</v>
      </c>
      <c r="I29" s="2">
        <v>7.4200000000000002E-2</v>
      </c>
    </row>
    <row r="30" spans="1:9" ht="12.95" customHeight="1">
      <c r="A30" s="26"/>
      <c r="B30" s="55" t="s">
        <v>40</v>
      </c>
      <c r="C30" s="11" t="s">
        <v>41</v>
      </c>
      <c r="D30" s="11" t="s">
        <v>18</v>
      </c>
      <c r="E30" s="48">
        <v>40000</v>
      </c>
      <c r="F30" s="49">
        <v>39.7993308</v>
      </c>
      <c r="G30" s="50">
        <v>39.799999999999997</v>
      </c>
      <c r="H30" s="56">
        <v>5.993693781998685E-3</v>
      </c>
      <c r="I30" s="2">
        <v>6.0000000000000001E-3</v>
      </c>
    </row>
    <row r="31" spans="1:9" ht="12.95" customHeight="1">
      <c r="A31" s="24"/>
      <c r="B31" s="53" t="s">
        <v>42</v>
      </c>
      <c r="C31" s="11" t="s">
        <v>1</v>
      </c>
      <c r="D31" s="11" t="s">
        <v>1</v>
      </c>
      <c r="E31" s="11" t="s">
        <v>1</v>
      </c>
      <c r="F31" s="12">
        <v>6501.1557358</v>
      </c>
      <c r="G31" s="51">
        <v>6501.15</v>
      </c>
      <c r="H31" s="57">
        <v>0.97906009790168502</v>
      </c>
      <c r="I31" s="38">
        <v>0.97909999999999997</v>
      </c>
    </row>
    <row r="32" spans="1:9" ht="12.95" customHeight="1">
      <c r="A32" s="24"/>
      <c r="B32" s="53" t="s">
        <v>43</v>
      </c>
      <c r="C32" s="11" t="s">
        <v>1</v>
      </c>
      <c r="D32" s="11" t="s">
        <v>1</v>
      </c>
      <c r="E32" s="11" t="s">
        <v>1</v>
      </c>
      <c r="F32" s="12">
        <v>6501.1557358</v>
      </c>
      <c r="G32" s="51">
        <v>6501.15</v>
      </c>
      <c r="H32" s="57">
        <v>0.97906009790168502</v>
      </c>
      <c r="I32" s="38">
        <v>0.97909999999999997</v>
      </c>
    </row>
    <row r="33" spans="1:9" ht="12.95" customHeight="1">
      <c r="A33" s="24"/>
      <c r="B33" s="53"/>
      <c r="C33" s="11"/>
      <c r="D33" s="11"/>
      <c r="E33" s="11"/>
      <c r="F33" s="12"/>
      <c r="G33" s="51"/>
      <c r="H33" s="57"/>
      <c r="I33" s="40"/>
    </row>
    <row r="34" spans="1:9" ht="12.95" customHeight="1">
      <c r="A34" s="24"/>
      <c r="B34" s="53" t="s">
        <v>204</v>
      </c>
      <c r="C34" s="11"/>
      <c r="D34" s="11"/>
      <c r="E34" s="11"/>
      <c r="F34" s="12"/>
      <c r="G34" s="51"/>
      <c r="H34" s="57"/>
      <c r="I34" s="40"/>
    </row>
    <row r="35" spans="1:9" ht="12.95" customHeight="1">
      <c r="A35" s="24"/>
      <c r="B35" s="53" t="s">
        <v>44</v>
      </c>
      <c r="C35" s="11" t="s">
        <v>1</v>
      </c>
      <c r="D35" s="11" t="s">
        <v>1</v>
      </c>
      <c r="E35" s="11" t="s">
        <v>1</v>
      </c>
      <c r="F35" s="46" t="s">
        <v>1</v>
      </c>
      <c r="G35" s="47"/>
      <c r="H35" s="54" t="s">
        <v>1</v>
      </c>
      <c r="I35" s="37" t="s">
        <v>1</v>
      </c>
    </row>
    <row r="36" spans="1:9" ht="12.95" customHeight="1">
      <c r="A36" s="26"/>
      <c r="B36" s="55" t="s">
        <v>45</v>
      </c>
      <c r="C36" s="11" t="s">
        <v>1</v>
      </c>
      <c r="D36" s="11" t="s">
        <v>46</v>
      </c>
      <c r="E36" s="48"/>
      <c r="F36" s="49">
        <v>639.62605770000005</v>
      </c>
      <c r="G36" s="50">
        <v>639.63</v>
      </c>
      <c r="H36" s="56">
        <v>9.6326311216288651E-2</v>
      </c>
      <c r="I36" s="2">
        <v>9.6299999999999997E-2</v>
      </c>
    </row>
    <row r="37" spans="1:9" ht="12.95" customHeight="1">
      <c r="A37" s="24"/>
      <c r="B37" s="53" t="s">
        <v>42</v>
      </c>
      <c r="C37" s="11" t="s">
        <v>1</v>
      </c>
      <c r="D37" s="11" t="s">
        <v>1</v>
      </c>
      <c r="E37" s="11" t="s">
        <v>1</v>
      </c>
      <c r="F37" s="12">
        <v>639.62605770000005</v>
      </c>
      <c r="G37" s="51">
        <v>639.63</v>
      </c>
      <c r="H37" s="57">
        <v>9.6326311216288651E-2</v>
      </c>
      <c r="I37" s="38">
        <v>9.6299999999999997E-2</v>
      </c>
    </row>
    <row r="38" spans="1:9" ht="12.95" customHeight="1">
      <c r="A38" s="24"/>
      <c r="B38" s="53"/>
      <c r="C38" s="11"/>
      <c r="D38" s="11"/>
      <c r="E38" s="11"/>
      <c r="F38" s="12"/>
      <c r="G38" s="51"/>
      <c r="H38" s="57"/>
      <c r="I38" s="38"/>
    </row>
    <row r="39" spans="1:9" ht="12.95" customHeight="1">
      <c r="A39" s="24"/>
      <c r="B39" s="53" t="s">
        <v>47</v>
      </c>
      <c r="C39" s="11" t="s">
        <v>1</v>
      </c>
      <c r="D39" s="11" t="s">
        <v>1</v>
      </c>
      <c r="E39" s="11" t="s">
        <v>1</v>
      </c>
      <c r="F39" s="14">
        <v>-500.58090110000001</v>
      </c>
      <c r="G39" s="95">
        <v>-500.58</v>
      </c>
      <c r="H39" s="96">
        <v>-7.5386409117973618E-2</v>
      </c>
      <c r="I39" s="38">
        <v>-7.5399999999999995E-2</v>
      </c>
    </row>
    <row r="40" spans="1:9" ht="12.95" customHeight="1">
      <c r="A40" s="24"/>
      <c r="B40" s="53" t="s">
        <v>42</v>
      </c>
      <c r="C40" s="11"/>
      <c r="D40" s="11"/>
      <c r="E40" s="11"/>
      <c r="F40" s="12">
        <v>-500.58090110000001</v>
      </c>
      <c r="G40" s="51">
        <v>-500.58</v>
      </c>
      <c r="H40" s="57">
        <v>-7.5386409117973618E-2</v>
      </c>
      <c r="I40" s="41"/>
    </row>
    <row r="41" spans="1:9" ht="12.95" customHeight="1">
      <c r="A41" s="24"/>
      <c r="B41" s="53" t="s">
        <v>43</v>
      </c>
      <c r="C41" s="11"/>
      <c r="D41" s="11"/>
      <c r="E41" s="11"/>
      <c r="F41" s="12">
        <f>F37+F40</f>
        <v>139.04515660000004</v>
      </c>
      <c r="G41" s="12">
        <f t="shared" ref="G41:H41" si="0">G37+G40</f>
        <v>139.05000000000001</v>
      </c>
      <c r="H41" s="57">
        <f t="shared" si="0"/>
        <v>2.0939902098315033E-2</v>
      </c>
      <c r="I41" s="41"/>
    </row>
    <row r="42" spans="1:9" ht="12.95" customHeight="1" thickBot="1">
      <c r="A42" s="24"/>
      <c r="B42" s="80"/>
      <c r="C42" s="17"/>
      <c r="D42" s="17"/>
      <c r="E42" s="17"/>
      <c r="F42" s="18"/>
      <c r="G42" s="99"/>
      <c r="H42" s="100"/>
      <c r="I42" s="41"/>
    </row>
    <row r="43" spans="1:9" ht="12.95" customHeight="1" thickBot="1">
      <c r="A43" s="24"/>
      <c r="B43" s="84" t="s">
        <v>48</v>
      </c>
      <c r="C43" s="85" t="s">
        <v>1</v>
      </c>
      <c r="D43" s="85" t="s">
        <v>1</v>
      </c>
      <c r="E43" s="85" t="s">
        <v>1</v>
      </c>
      <c r="F43" s="101">
        <v>6640.2008924000002</v>
      </c>
      <c r="G43" s="102">
        <v>6640.2</v>
      </c>
      <c r="H43" s="103">
        <v>1</v>
      </c>
      <c r="I43" s="42">
        <v>1</v>
      </c>
    </row>
    <row r="44" spans="1:9" s="27" customFormat="1" ht="12.95" customHeight="1">
      <c r="A44" s="24"/>
      <c r="B44" s="25" t="s">
        <v>1</v>
      </c>
      <c r="C44" s="24"/>
      <c r="D44" s="24"/>
      <c r="E44" s="24"/>
      <c r="F44" s="30"/>
      <c r="G44" s="24"/>
      <c r="H44" s="31"/>
      <c r="I44" s="24"/>
    </row>
    <row r="45" spans="1:9" s="27" customFormat="1" ht="12.95" customHeight="1">
      <c r="A45" s="24"/>
      <c r="B45" s="32" t="s">
        <v>46</v>
      </c>
      <c r="C45" s="24"/>
      <c r="D45" s="24"/>
      <c r="E45" s="24"/>
      <c r="F45" s="30"/>
      <c r="G45" s="24"/>
      <c r="H45" s="31"/>
      <c r="I45" s="24"/>
    </row>
    <row r="46" spans="1:9" s="27" customFormat="1" ht="12.95" customHeight="1">
      <c r="A46" s="24"/>
      <c r="B46" s="32" t="s">
        <v>49</v>
      </c>
      <c r="C46" s="24"/>
      <c r="D46" s="24"/>
      <c r="E46" s="24"/>
      <c r="F46" s="30"/>
      <c r="G46" s="24"/>
      <c r="H46" s="31"/>
      <c r="I46" s="24"/>
    </row>
    <row r="47" spans="1:9" s="27" customFormat="1" ht="12.95" customHeight="1">
      <c r="A47" s="24"/>
      <c r="B47" s="32" t="s">
        <v>50</v>
      </c>
      <c r="C47" s="24"/>
      <c r="D47" s="24"/>
      <c r="E47" s="24"/>
      <c r="F47" s="30"/>
      <c r="G47" s="24"/>
      <c r="H47" s="31"/>
      <c r="I47" s="24"/>
    </row>
    <row r="48" spans="1:9" s="27" customFormat="1" ht="12.95" customHeight="1" thickBot="1">
      <c r="A48" s="24"/>
      <c r="B48" s="32" t="s">
        <v>1</v>
      </c>
      <c r="C48" s="24"/>
      <c r="D48" s="24"/>
      <c r="E48" s="24"/>
      <c r="F48" s="30"/>
      <c r="G48" s="24"/>
      <c r="H48" s="31"/>
      <c r="I48" s="24"/>
    </row>
    <row r="49" spans="1:9" s="27" customFormat="1" ht="12.95" customHeight="1" thickBot="1">
      <c r="A49" s="24"/>
      <c r="B49" s="152" t="s">
        <v>392</v>
      </c>
      <c r="C49" s="153">
        <v>26.76</v>
      </c>
      <c r="D49" s="24"/>
      <c r="E49" s="24"/>
      <c r="F49" s="30"/>
      <c r="G49" s="24"/>
      <c r="H49" s="31"/>
      <c r="I49" s="24"/>
    </row>
    <row r="50" spans="1:9" s="27" customFormat="1">
      <c r="F50" s="33"/>
      <c r="H50" s="34"/>
    </row>
    <row r="51" spans="1:9" s="27" customFormat="1">
      <c r="F51" s="33"/>
      <c r="H51" s="34"/>
    </row>
    <row r="52" spans="1:9" s="27" customFormat="1">
      <c r="F52" s="33"/>
      <c r="H52" s="34"/>
    </row>
    <row r="53" spans="1:9" s="27" customFormat="1">
      <c r="F53" s="33"/>
      <c r="H53" s="34"/>
    </row>
    <row r="54" spans="1:9" s="27" customFormat="1">
      <c r="F54" s="33"/>
      <c r="H54" s="34"/>
    </row>
    <row r="55" spans="1:9" s="27" customFormat="1">
      <c r="F55" s="33"/>
      <c r="H55" s="34"/>
    </row>
    <row r="56" spans="1:9" s="27" customFormat="1">
      <c r="F56" s="33"/>
      <c r="H56" s="34"/>
    </row>
    <row r="57" spans="1:9" s="27" customFormat="1">
      <c r="F57" s="33"/>
      <c r="H57" s="34"/>
    </row>
    <row r="58" spans="1:9" s="27" customFormat="1">
      <c r="F58" s="33"/>
      <c r="H58" s="34"/>
    </row>
    <row r="59" spans="1:9" s="27" customFormat="1">
      <c r="F59" s="33"/>
      <c r="H59" s="34"/>
    </row>
    <row r="60" spans="1:9" s="27" customFormat="1">
      <c r="F60" s="33"/>
      <c r="H60" s="34"/>
    </row>
    <row r="61" spans="1:9" s="27" customFormat="1">
      <c r="F61" s="33"/>
      <c r="H61" s="34"/>
    </row>
    <row r="62" spans="1:9" s="27" customFormat="1">
      <c r="F62" s="33"/>
      <c r="H62" s="34"/>
    </row>
    <row r="63" spans="1:9" s="27" customFormat="1">
      <c r="F63" s="33"/>
      <c r="H63" s="34"/>
    </row>
    <row r="64" spans="1:9" s="27" customFormat="1">
      <c r="F64" s="33"/>
      <c r="H64" s="34"/>
    </row>
    <row r="65" spans="6:8" s="27" customFormat="1">
      <c r="F65" s="33"/>
      <c r="H65" s="34"/>
    </row>
    <row r="66" spans="6:8" s="27" customFormat="1">
      <c r="F66" s="33"/>
      <c r="H66" s="34"/>
    </row>
    <row r="67" spans="6:8" s="27" customFormat="1">
      <c r="F67" s="33"/>
      <c r="H67" s="34"/>
    </row>
    <row r="68" spans="6:8" s="27" customFormat="1">
      <c r="F68" s="33"/>
      <c r="H68" s="34"/>
    </row>
    <row r="69" spans="6:8" s="27" customFormat="1">
      <c r="F69" s="33"/>
      <c r="H69" s="34"/>
    </row>
    <row r="70" spans="6:8" s="27" customFormat="1">
      <c r="F70" s="33"/>
      <c r="H70" s="34"/>
    </row>
    <row r="71" spans="6:8" s="27" customFormat="1">
      <c r="F71" s="33"/>
      <c r="H71" s="34"/>
    </row>
    <row r="72" spans="6:8" s="27" customFormat="1">
      <c r="F72" s="33"/>
      <c r="H72" s="34"/>
    </row>
    <row r="73" spans="6:8" s="27" customFormat="1">
      <c r="F73" s="33"/>
      <c r="H73" s="34"/>
    </row>
    <row r="74" spans="6:8" s="27" customFormat="1">
      <c r="F74" s="33"/>
      <c r="H74" s="34"/>
    </row>
    <row r="75" spans="6:8" s="27" customFormat="1">
      <c r="F75" s="33"/>
      <c r="H75" s="34"/>
    </row>
    <row r="76" spans="6:8" s="27" customFormat="1">
      <c r="F76" s="33"/>
      <c r="H76" s="34"/>
    </row>
    <row r="77" spans="6:8" s="27" customFormat="1">
      <c r="F77" s="33"/>
      <c r="H77" s="34"/>
    </row>
    <row r="78" spans="6:8" s="27" customFormat="1">
      <c r="F78" s="33"/>
      <c r="H78" s="34"/>
    </row>
    <row r="79" spans="6:8" s="27" customFormat="1">
      <c r="F79" s="33"/>
      <c r="H79" s="34"/>
    </row>
    <row r="80" spans="6:8" s="27" customFormat="1">
      <c r="F80" s="33"/>
      <c r="H80" s="34"/>
    </row>
    <row r="81" spans="6:8" s="27" customFormat="1">
      <c r="F81" s="33"/>
      <c r="H81" s="34"/>
    </row>
    <row r="82" spans="6:8" s="27" customFormat="1">
      <c r="F82" s="33"/>
      <c r="H82" s="34"/>
    </row>
    <row r="83" spans="6:8" s="27" customFormat="1">
      <c r="F83" s="33"/>
      <c r="H83" s="34"/>
    </row>
    <row r="84" spans="6:8" s="27" customFormat="1">
      <c r="F84" s="33"/>
      <c r="H84" s="34"/>
    </row>
    <row r="85" spans="6:8" s="27" customFormat="1">
      <c r="F85" s="33"/>
      <c r="H85" s="34"/>
    </row>
    <row r="86" spans="6:8" s="27" customFormat="1">
      <c r="F86" s="33"/>
      <c r="H86" s="34"/>
    </row>
    <row r="87" spans="6:8" s="27" customFormat="1">
      <c r="F87" s="33"/>
      <c r="H87" s="34"/>
    </row>
    <row r="88" spans="6:8" s="27" customFormat="1">
      <c r="F88" s="33"/>
      <c r="H88" s="34"/>
    </row>
    <row r="89" spans="6:8" s="27" customFormat="1">
      <c r="F89" s="33"/>
      <c r="H89" s="34"/>
    </row>
    <row r="90" spans="6:8" s="27" customFormat="1">
      <c r="F90" s="33"/>
      <c r="H90" s="34"/>
    </row>
    <row r="91" spans="6:8" s="27" customFormat="1">
      <c r="F91" s="33"/>
      <c r="H91" s="34"/>
    </row>
    <row r="92" spans="6:8" s="27" customFormat="1">
      <c r="F92" s="33"/>
      <c r="H92" s="34"/>
    </row>
    <row r="93" spans="6:8" s="27" customFormat="1">
      <c r="F93" s="33"/>
      <c r="H93" s="34"/>
    </row>
    <row r="94" spans="6:8" s="27" customFormat="1">
      <c r="F94" s="33"/>
      <c r="H94" s="34"/>
    </row>
    <row r="95" spans="6:8" s="27" customFormat="1">
      <c r="F95" s="33"/>
      <c r="H95" s="34"/>
    </row>
    <row r="96" spans="6:8" s="27" customFormat="1">
      <c r="F96" s="33"/>
      <c r="H96" s="34"/>
    </row>
    <row r="97" spans="6:8" s="27" customFormat="1">
      <c r="F97" s="33"/>
      <c r="H97" s="34"/>
    </row>
    <row r="98" spans="6:8" s="27" customFormat="1">
      <c r="F98" s="33"/>
      <c r="H98" s="34"/>
    </row>
    <row r="99" spans="6:8" s="27" customFormat="1">
      <c r="F99" s="33"/>
      <c r="H99" s="34"/>
    </row>
    <row r="100" spans="6:8" s="27" customFormat="1">
      <c r="F100" s="33"/>
      <c r="H100" s="34"/>
    </row>
    <row r="101" spans="6:8" s="27" customFormat="1">
      <c r="F101" s="33"/>
      <c r="H101" s="34"/>
    </row>
    <row r="102" spans="6:8" s="27" customFormat="1">
      <c r="F102" s="33"/>
      <c r="H102" s="34"/>
    </row>
    <row r="103" spans="6:8" s="27" customFormat="1">
      <c r="F103" s="33"/>
      <c r="H103" s="34"/>
    </row>
    <row r="104" spans="6:8" s="27" customFormat="1">
      <c r="F104" s="33"/>
      <c r="H104" s="34"/>
    </row>
    <row r="105" spans="6:8" s="27" customFormat="1">
      <c r="F105" s="33"/>
      <c r="H105" s="34"/>
    </row>
    <row r="106" spans="6:8" s="27" customFormat="1">
      <c r="F106" s="33"/>
      <c r="H106" s="34"/>
    </row>
    <row r="107" spans="6:8" s="27" customFormat="1">
      <c r="F107" s="33"/>
      <c r="H107" s="34"/>
    </row>
    <row r="108" spans="6:8" s="27" customFormat="1">
      <c r="F108" s="33"/>
      <c r="H108" s="34"/>
    </row>
    <row r="109" spans="6:8" s="27" customFormat="1">
      <c r="F109" s="33"/>
      <c r="H109" s="34"/>
    </row>
    <row r="110" spans="6:8" s="27" customFormat="1">
      <c r="F110" s="33"/>
      <c r="H110" s="34"/>
    </row>
    <row r="111" spans="6:8" s="27" customFormat="1">
      <c r="F111" s="33"/>
      <c r="H111" s="34"/>
    </row>
    <row r="112" spans="6:8" s="27" customFormat="1">
      <c r="F112" s="33"/>
      <c r="H112" s="34"/>
    </row>
    <row r="113" spans="6:8" s="27" customFormat="1">
      <c r="F113" s="33"/>
      <c r="H113" s="34"/>
    </row>
    <row r="114" spans="6:8" s="27" customFormat="1">
      <c r="F114" s="33"/>
      <c r="H114" s="34"/>
    </row>
    <row r="115" spans="6:8" s="27" customFormat="1">
      <c r="F115" s="33"/>
      <c r="H115" s="34"/>
    </row>
    <row r="116" spans="6:8" s="27" customFormat="1">
      <c r="F116" s="33"/>
      <c r="H116" s="34"/>
    </row>
    <row r="117" spans="6:8" s="27" customFormat="1">
      <c r="F117" s="33"/>
      <c r="H117" s="34"/>
    </row>
    <row r="118" spans="6:8" s="27" customFormat="1">
      <c r="F118" s="33"/>
      <c r="H118" s="34"/>
    </row>
    <row r="119" spans="6:8" s="27" customFormat="1">
      <c r="F119" s="33"/>
      <c r="H119" s="34"/>
    </row>
    <row r="120" spans="6:8" s="27" customFormat="1">
      <c r="F120" s="33"/>
      <c r="H120" s="34"/>
    </row>
    <row r="121" spans="6:8" s="27" customFormat="1">
      <c r="F121" s="33"/>
      <c r="H121" s="34"/>
    </row>
    <row r="122" spans="6:8" s="27" customFormat="1">
      <c r="F122" s="33"/>
      <c r="H122" s="34"/>
    </row>
    <row r="123" spans="6:8" s="27" customFormat="1">
      <c r="F123" s="33"/>
      <c r="H123" s="34"/>
    </row>
    <row r="124" spans="6:8" s="27" customFormat="1">
      <c r="F124" s="33"/>
      <c r="H124" s="34"/>
    </row>
    <row r="125" spans="6:8" s="27" customFormat="1">
      <c r="F125" s="33"/>
      <c r="H125" s="34"/>
    </row>
    <row r="126" spans="6:8" s="27" customFormat="1">
      <c r="F126" s="33"/>
      <c r="H126" s="34"/>
    </row>
    <row r="127" spans="6:8" s="27" customFormat="1">
      <c r="F127" s="33"/>
      <c r="H127" s="34"/>
    </row>
    <row r="128" spans="6:8" s="27" customFormat="1">
      <c r="F128" s="33"/>
      <c r="H128" s="34"/>
    </row>
    <row r="129" spans="6:8" s="27" customFormat="1">
      <c r="F129" s="33"/>
      <c r="H129" s="34"/>
    </row>
    <row r="130" spans="6:8" s="27" customFormat="1">
      <c r="F130" s="33"/>
      <c r="H130" s="34"/>
    </row>
    <row r="131" spans="6:8" s="27" customFormat="1">
      <c r="F131" s="33"/>
      <c r="H131" s="34"/>
    </row>
    <row r="132" spans="6:8" s="27" customFormat="1">
      <c r="F132" s="33"/>
      <c r="H132" s="34"/>
    </row>
    <row r="133" spans="6:8" s="27" customFormat="1">
      <c r="F133" s="33"/>
      <c r="H133" s="34"/>
    </row>
    <row r="134" spans="6:8" s="27" customFormat="1">
      <c r="F134" s="33"/>
      <c r="H134" s="34"/>
    </row>
    <row r="135" spans="6:8" s="27" customFormat="1">
      <c r="F135" s="33"/>
      <c r="H135" s="34"/>
    </row>
    <row r="136" spans="6:8" s="27" customFormat="1">
      <c r="F136" s="33"/>
      <c r="H136" s="34"/>
    </row>
    <row r="137" spans="6:8" s="27" customFormat="1">
      <c r="F137" s="33"/>
      <c r="H137" s="34"/>
    </row>
    <row r="138" spans="6:8" s="27" customFormat="1">
      <c r="F138" s="33"/>
      <c r="H138" s="34"/>
    </row>
    <row r="139" spans="6:8" s="27" customFormat="1">
      <c r="F139" s="33"/>
      <c r="H139" s="34"/>
    </row>
    <row r="140" spans="6:8" s="27" customFormat="1">
      <c r="F140" s="33"/>
      <c r="H140" s="34"/>
    </row>
    <row r="141" spans="6:8" s="27" customFormat="1">
      <c r="F141" s="33"/>
      <c r="H141" s="34"/>
    </row>
    <row r="142" spans="6:8" s="27" customFormat="1">
      <c r="F142" s="33"/>
      <c r="H142" s="34"/>
    </row>
    <row r="143" spans="6:8" s="27" customFormat="1">
      <c r="F143" s="33"/>
      <c r="H143" s="34"/>
    </row>
    <row r="144" spans="6:8" s="27" customFormat="1">
      <c r="F144" s="33"/>
      <c r="H144" s="34"/>
    </row>
    <row r="145" spans="6:8" s="27" customFormat="1">
      <c r="F145" s="33"/>
      <c r="H145" s="34"/>
    </row>
    <row r="146" spans="6:8" s="27" customFormat="1">
      <c r="F146" s="33"/>
      <c r="H146" s="34"/>
    </row>
    <row r="147" spans="6:8" s="27" customFormat="1">
      <c r="F147" s="33"/>
      <c r="H147" s="34"/>
    </row>
    <row r="148" spans="6:8" s="27" customFormat="1">
      <c r="F148" s="33"/>
      <c r="H148" s="34"/>
    </row>
    <row r="149" spans="6:8" s="27" customFormat="1">
      <c r="F149" s="33"/>
      <c r="H149" s="34"/>
    </row>
    <row r="150" spans="6:8" s="27" customFormat="1">
      <c r="F150" s="33"/>
      <c r="H150" s="34"/>
    </row>
    <row r="151" spans="6:8" s="27" customFormat="1">
      <c r="F151" s="33"/>
      <c r="H151" s="34"/>
    </row>
    <row r="152" spans="6:8" s="27" customFormat="1">
      <c r="F152" s="33"/>
      <c r="H152" s="34"/>
    </row>
    <row r="153" spans="6:8" s="27" customFormat="1">
      <c r="F153" s="33"/>
      <c r="H153" s="34"/>
    </row>
    <row r="154" spans="6:8" s="27" customFormat="1">
      <c r="F154" s="33"/>
      <c r="H154" s="34"/>
    </row>
    <row r="155" spans="6:8" s="27" customFormat="1">
      <c r="F155" s="33"/>
      <c r="H155" s="34"/>
    </row>
    <row r="156" spans="6:8" s="27" customFormat="1">
      <c r="F156" s="33"/>
      <c r="H156" s="34"/>
    </row>
    <row r="157" spans="6:8" s="27" customFormat="1">
      <c r="F157" s="33"/>
      <c r="H157" s="34"/>
    </row>
    <row r="158" spans="6:8" s="27" customFormat="1">
      <c r="F158" s="33"/>
      <c r="H158" s="34"/>
    </row>
    <row r="159" spans="6:8" s="27" customFormat="1">
      <c r="F159" s="33"/>
      <c r="H159" s="34"/>
    </row>
    <row r="160" spans="6:8" s="27" customFormat="1">
      <c r="F160" s="33"/>
      <c r="H160" s="34"/>
    </row>
    <row r="161" spans="6:8" s="27" customFormat="1">
      <c r="F161" s="33"/>
      <c r="H161" s="34"/>
    </row>
    <row r="162" spans="6:8" s="27" customFormat="1">
      <c r="F162" s="33"/>
      <c r="H162" s="34"/>
    </row>
    <row r="163" spans="6:8" s="27" customFormat="1">
      <c r="F163" s="33"/>
      <c r="H163" s="34"/>
    </row>
    <row r="164" spans="6:8" s="27" customFormat="1">
      <c r="F164" s="33"/>
      <c r="H164" s="34"/>
    </row>
    <row r="165" spans="6:8" s="27" customFormat="1">
      <c r="F165" s="33"/>
      <c r="H165" s="34"/>
    </row>
    <row r="166" spans="6:8" s="27" customFormat="1">
      <c r="F166" s="33"/>
      <c r="H166" s="34"/>
    </row>
    <row r="167" spans="6:8" s="27" customFormat="1">
      <c r="F167" s="33"/>
      <c r="H167" s="34"/>
    </row>
    <row r="168" spans="6:8" s="27" customFormat="1">
      <c r="F168" s="33"/>
      <c r="H168" s="34"/>
    </row>
    <row r="169" spans="6:8" s="27" customFormat="1">
      <c r="F169" s="33"/>
      <c r="H169" s="34"/>
    </row>
    <row r="170" spans="6:8" s="27" customFormat="1">
      <c r="F170" s="33"/>
      <c r="H170" s="34"/>
    </row>
    <row r="171" spans="6:8" s="27" customFormat="1">
      <c r="F171" s="33"/>
      <c r="H171" s="34"/>
    </row>
    <row r="172" spans="6:8" s="27" customFormat="1">
      <c r="F172" s="33"/>
      <c r="H172" s="34"/>
    </row>
    <row r="173" spans="6:8" s="27" customFormat="1">
      <c r="F173" s="33"/>
      <c r="H173" s="34"/>
    </row>
    <row r="174" spans="6:8" s="27" customFormat="1">
      <c r="F174" s="33"/>
      <c r="H174" s="34"/>
    </row>
    <row r="175" spans="6:8" s="27" customFormat="1">
      <c r="F175" s="33"/>
      <c r="H175" s="34"/>
    </row>
    <row r="176" spans="6:8" s="27" customFormat="1">
      <c r="F176" s="33"/>
      <c r="H176" s="34"/>
    </row>
    <row r="177" spans="6:8" s="27" customFormat="1">
      <c r="F177" s="33"/>
      <c r="H177" s="34"/>
    </row>
    <row r="178" spans="6:8" s="27" customFormat="1">
      <c r="F178" s="33"/>
      <c r="H178" s="34"/>
    </row>
    <row r="179" spans="6:8" s="27" customFormat="1">
      <c r="F179" s="33"/>
      <c r="H179" s="34"/>
    </row>
    <row r="180" spans="6:8" s="27" customFormat="1">
      <c r="F180" s="33"/>
      <c r="H180" s="34"/>
    </row>
    <row r="181" spans="6:8" s="27" customFormat="1">
      <c r="F181" s="33"/>
      <c r="H181" s="34"/>
    </row>
    <row r="182" spans="6:8" s="27" customFormat="1">
      <c r="F182" s="33"/>
      <c r="H182" s="34"/>
    </row>
    <row r="183" spans="6:8" s="27" customFormat="1">
      <c r="F183" s="33"/>
      <c r="H183" s="34"/>
    </row>
    <row r="184" spans="6:8" s="27" customFormat="1">
      <c r="F184" s="33"/>
      <c r="H184" s="34"/>
    </row>
    <row r="185" spans="6:8" s="27" customFormat="1">
      <c r="F185" s="33"/>
      <c r="H185" s="34"/>
    </row>
    <row r="186" spans="6:8" s="27" customFormat="1">
      <c r="F186" s="33"/>
      <c r="H186" s="34"/>
    </row>
    <row r="187" spans="6:8" s="27" customFormat="1">
      <c r="F187" s="33"/>
      <c r="H187" s="34"/>
    </row>
    <row r="188" spans="6:8" s="27" customFormat="1">
      <c r="F188" s="33"/>
      <c r="H188" s="34"/>
    </row>
    <row r="189" spans="6:8" s="27" customFormat="1">
      <c r="F189" s="33"/>
      <c r="H189" s="34"/>
    </row>
    <row r="190" spans="6:8" s="27" customFormat="1">
      <c r="F190" s="33"/>
      <c r="H190" s="34"/>
    </row>
    <row r="191" spans="6:8" s="27" customFormat="1">
      <c r="F191" s="33"/>
      <c r="H191" s="34"/>
    </row>
    <row r="192" spans="6:8" s="27" customFormat="1">
      <c r="F192" s="33"/>
      <c r="H192" s="34"/>
    </row>
    <row r="193" spans="6:8" s="27" customFormat="1">
      <c r="F193" s="33"/>
      <c r="H193" s="34"/>
    </row>
    <row r="194" spans="6:8" s="27" customFormat="1">
      <c r="F194" s="33"/>
      <c r="H194" s="34"/>
    </row>
    <row r="195" spans="6:8" s="27" customFormat="1">
      <c r="F195" s="33"/>
      <c r="H195" s="34"/>
    </row>
    <row r="196" spans="6:8" s="27" customFormat="1">
      <c r="F196" s="33"/>
      <c r="H196" s="34"/>
    </row>
    <row r="197" spans="6:8" s="27" customFormat="1">
      <c r="F197" s="33"/>
      <c r="H197" s="34"/>
    </row>
    <row r="198" spans="6:8" s="27" customFormat="1">
      <c r="F198" s="33"/>
      <c r="H198" s="34"/>
    </row>
    <row r="199" spans="6:8" s="27" customFormat="1">
      <c r="F199" s="33"/>
      <c r="H199" s="34"/>
    </row>
    <row r="200" spans="6:8" s="27" customFormat="1">
      <c r="F200" s="33"/>
      <c r="H200" s="34"/>
    </row>
    <row r="201" spans="6:8" s="27" customFormat="1">
      <c r="F201" s="33"/>
      <c r="H201" s="34"/>
    </row>
    <row r="202" spans="6:8" s="27" customFormat="1">
      <c r="F202" s="33"/>
      <c r="H202" s="34"/>
    </row>
    <row r="203" spans="6:8" s="27" customFormat="1">
      <c r="F203" s="33"/>
      <c r="H203" s="34"/>
    </row>
    <row r="204" spans="6:8" s="27" customFormat="1">
      <c r="F204" s="33"/>
      <c r="H204" s="34"/>
    </row>
    <row r="205" spans="6:8" s="27" customFormat="1">
      <c r="F205" s="33"/>
      <c r="H205" s="34"/>
    </row>
    <row r="206" spans="6:8" s="27" customFormat="1">
      <c r="F206" s="33"/>
      <c r="H206" s="34"/>
    </row>
    <row r="207" spans="6:8" s="27" customFormat="1">
      <c r="F207" s="33"/>
      <c r="H207" s="34"/>
    </row>
    <row r="208" spans="6:8" s="27" customFormat="1">
      <c r="F208" s="33"/>
      <c r="H208" s="34"/>
    </row>
    <row r="209" spans="6:8" s="27" customFormat="1">
      <c r="F209" s="33"/>
      <c r="H209" s="34"/>
    </row>
    <row r="210" spans="6:8" s="27" customFormat="1">
      <c r="F210" s="33"/>
      <c r="H210" s="34"/>
    </row>
    <row r="211" spans="6:8" s="27" customFormat="1">
      <c r="F211" s="33"/>
      <c r="H211" s="34"/>
    </row>
    <row r="212" spans="6:8" s="27" customFormat="1">
      <c r="F212" s="33"/>
      <c r="H212" s="34"/>
    </row>
    <row r="213" spans="6:8" s="27" customFormat="1">
      <c r="F213" s="33"/>
      <c r="H213" s="34"/>
    </row>
    <row r="214" spans="6:8" s="27" customFormat="1">
      <c r="F214" s="33"/>
      <c r="H214" s="34"/>
    </row>
    <row r="215" spans="6:8" s="27" customFormat="1">
      <c r="F215" s="33"/>
      <c r="H215" s="34"/>
    </row>
    <row r="216" spans="6:8" s="27" customFormat="1">
      <c r="F216" s="33"/>
      <c r="H216" s="34"/>
    </row>
    <row r="217" spans="6:8" s="27" customFormat="1">
      <c r="F217" s="33"/>
      <c r="H217" s="34"/>
    </row>
    <row r="218" spans="6:8" s="27" customFormat="1">
      <c r="F218" s="33"/>
      <c r="H218" s="34"/>
    </row>
    <row r="219" spans="6:8" s="27" customFormat="1">
      <c r="F219" s="33"/>
      <c r="H219" s="34"/>
    </row>
    <row r="220" spans="6:8" s="27" customFormat="1">
      <c r="F220" s="33"/>
      <c r="H220" s="34"/>
    </row>
    <row r="221" spans="6:8" s="27" customFormat="1">
      <c r="F221" s="33"/>
      <c r="H221" s="34"/>
    </row>
    <row r="222" spans="6:8" s="27" customFormat="1">
      <c r="F222" s="33"/>
      <c r="H222" s="34"/>
    </row>
    <row r="223" spans="6:8" s="27" customFormat="1">
      <c r="F223" s="33"/>
      <c r="H223" s="34"/>
    </row>
    <row r="224" spans="6:8" s="27" customFormat="1">
      <c r="F224" s="33"/>
      <c r="H224" s="34"/>
    </row>
    <row r="225" spans="6:8" s="27" customFormat="1">
      <c r="F225" s="33"/>
      <c r="H225" s="34"/>
    </row>
    <row r="226" spans="6:8" s="27" customFormat="1">
      <c r="F226" s="33"/>
      <c r="H226" s="34"/>
    </row>
    <row r="227" spans="6:8" s="27" customFormat="1">
      <c r="F227" s="33"/>
      <c r="H227" s="34"/>
    </row>
    <row r="228" spans="6:8" s="27" customFormat="1">
      <c r="F228" s="33"/>
      <c r="H228" s="34"/>
    </row>
    <row r="229" spans="6:8" s="27" customFormat="1">
      <c r="F229" s="33"/>
      <c r="H229" s="34"/>
    </row>
    <row r="230" spans="6:8" s="27" customFormat="1">
      <c r="F230" s="33"/>
      <c r="H230" s="34"/>
    </row>
    <row r="231" spans="6:8" s="27" customFormat="1">
      <c r="F231" s="33"/>
      <c r="H231" s="34"/>
    </row>
    <row r="232" spans="6:8" s="27" customFormat="1">
      <c r="F232" s="33"/>
      <c r="H232" s="34"/>
    </row>
    <row r="233" spans="6:8" s="27" customFormat="1">
      <c r="F233" s="33"/>
      <c r="H233" s="34"/>
    </row>
    <row r="234" spans="6:8" s="27" customFormat="1">
      <c r="F234" s="33"/>
      <c r="H234" s="34"/>
    </row>
    <row r="235" spans="6:8" s="27" customFormat="1">
      <c r="F235" s="33"/>
      <c r="H235" s="34"/>
    </row>
    <row r="236" spans="6:8" s="27" customFormat="1">
      <c r="F236" s="33"/>
      <c r="H236" s="34"/>
    </row>
    <row r="237" spans="6:8" s="27" customFormat="1">
      <c r="F237" s="33"/>
      <c r="H237" s="34"/>
    </row>
    <row r="238" spans="6:8" s="27" customFormat="1">
      <c r="F238" s="33"/>
      <c r="H238" s="34"/>
    </row>
    <row r="239" spans="6:8" s="27" customFormat="1">
      <c r="F239" s="33"/>
      <c r="H239" s="34"/>
    </row>
    <row r="240" spans="6:8" s="27" customFormat="1">
      <c r="F240" s="33"/>
      <c r="H240" s="34"/>
    </row>
    <row r="241" spans="6:8" s="27" customFormat="1">
      <c r="F241" s="33"/>
      <c r="H241" s="34"/>
    </row>
    <row r="242" spans="6:8" s="27" customFormat="1">
      <c r="F242" s="33"/>
      <c r="H242" s="34"/>
    </row>
    <row r="243" spans="6:8" s="27" customFormat="1">
      <c r="F243" s="33"/>
      <c r="H243" s="34"/>
    </row>
    <row r="244" spans="6:8" s="27" customFormat="1">
      <c r="F244" s="33"/>
      <c r="H244" s="34"/>
    </row>
    <row r="245" spans="6:8" s="27" customFormat="1">
      <c r="F245" s="33"/>
      <c r="H245" s="34"/>
    </row>
    <row r="246" spans="6:8" s="27" customFormat="1">
      <c r="F246" s="33"/>
      <c r="H246" s="34"/>
    </row>
    <row r="247" spans="6:8" s="27" customFormat="1">
      <c r="F247" s="33"/>
      <c r="H247" s="34"/>
    </row>
    <row r="248" spans="6:8" s="27" customFormat="1">
      <c r="F248" s="33"/>
      <c r="H248" s="34"/>
    </row>
    <row r="249" spans="6:8" s="27" customFormat="1">
      <c r="F249" s="33"/>
      <c r="H249" s="34"/>
    </row>
    <row r="250" spans="6:8" s="27" customFormat="1">
      <c r="F250" s="33"/>
      <c r="H250" s="34"/>
    </row>
    <row r="251" spans="6:8" s="27" customFormat="1">
      <c r="F251" s="33"/>
      <c r="H251" s="34"/>
    </row>
    <row r="252" spans="6:8" s="27" customFormat="1">
      <c r="F252" s="33"/>
      <c r="H252" s="34"/>
    </row>
    <row r="253" spans="6:8" s="27" customFormat="1">
      <c r="F253" s="33"/>
      <c r="H253" s="34"/>
    </row>
    <row r="254" spans="6:8" s="27" customFormat="1">
      <c r="F254" s="33"/>
      <c r="H254" s="34"/>
    </row>
    <row r="255" spans="6:8" s="27" customFormat="1">
      <c r="F255" s="33"/>
      <c r="H255" s="34"/>
    </row>
    <row r="256" spans="6:8" s="27" customFormat="1">
      <c r="F256" s="33"/>
      <c r="H256" s="34"/>
    </row>
    <row r="257" spans="6:8" s="27" customFormat="1">
      <c r="F257" s="33"/>
      <c r="H257" s="34"/>
    </row>
    <row r="258" spans="6:8" s="27" customFormat="1">
      <c r="F258" s="33"/>
      <c r="H258" s="34"/>
    </row>
    <row r="259" spans="6:8" s="27" customFormat="1">
      <c r="F259" s="33"/>
      <c r="H259" s="34"/>
    </row>
    <row r="260" spans="6:8" s="27" customFormat="1">
      <c r="F260" s="33"/>
      <c r="H260" s="34"/>
    </row>
    <row r="261" spans="6:8" s="27" customFormat="1">
      <c r="F261" s="33"/>
      <c r="H261" s="34"/>
    </row>
    <row r="262" spans="6:8" s="27" customFormat="1">
      <c r="F262" s="33"/>
      <c r="H262" s="34"/>
    </row>
    <row r="263" spans="6:8" s="27" customFormat="1">
      <c r="F263" s="33"/>
      <c r="H263" s="34"/>
    </row>
    <row r="264" spans="6:8" s="27" customFormat="1">
      <c r="F264" s="33"/>
      <c r="H264" s="34"/>
    </row>
    <row r="265" spans="6:8" s="27" customFormat="1">
      <c r="F265" s="33"/>
      <c r="H265" s="34"/>
    </row>
    <row r="266" spans="6:8" s="27" customFormat="1">
      <c r="F266" s="33"/>
      <c r="H266" s="34"/>
    </row>
    <row r="267" spans="6:8" s="27" customFormat="1">
      <c r="F267" s="33"/>
      <c r="H267" s="34"/>
    </row>
    <row r="268" spans="6:8" s="27" customFormat="1">
      <c r="F268" s="33"/>
      <c r="H268" s="34"/>
    </row>
    <row r="269" spans="6:8" s="27" customFormat="1">
      <c r="F269" s="33"/>
      <c r="H269" s="34"/>
    </row>
    <row r="270" spans="6:8" s="27" customFormat="1">
      <c r="F270" s="33"/>
      <c r="H270" s="34"/>
    </row>
    <row r="271" spans="6:8" s="27" customFormat="1">
      <c r="F271" s="33"/>
      <c r="H271" s="34"/>
    </row>
    <row r="272" spans="6:8" s="27" customFormat="1">
      <c r="F272" s="33"/>
      <c r="H272" s="34"/>
    </row>
    <row r="273" spans="6:8" s="27" customFormat="1">
      <c r="F273" s="33"/>
      <c r="H273" s="34"/>
    </row>
    <row r="274" spans="6:8" s="27" customFormat="1">
      <c r="F274" s="33"/>
      <c r="H274" s="34"/>
    </row>
    <row r="275" spans="6:8" s="27" customFormat="1">
      <c r="F275" s="33"/>
      <c r="H275" s="34"/>
    </row>
    <row r="276" spans="6:8" s="27" customFormat="1">
      <c r="F276" s="33"/>
      <c r="H276" s="34"/>
    </row>
    <row r="277" spans="6:8" s="27" customFormat="1">
      <c r="F277" s="33"/>
      <c r="H277" s="34"/>
    </row>
    <row r="278" spans="6:8" s="27" customFormat="1">
      <c r="F278" s="33"/>
      <c r="H278" s="34"/>
    </row>
    <row r="279" spans="6:8" s="27" customFormat="1">
      <c r="F279" s="33"/>
      <c r="H279" s="34"/>
    </row>
    <row r="280" spans="6:8" s="27" customFormat="1">
      <c r="F280" s="33"/>
      <c r="H280" s="34"/>
    </row>
    <row r="281" spans="6:8" s="27" customFormat="1">
      <c r="F281" s="33"/>
      <c r="H281" s="34"/>
    </row>
    <row r="282" spans="6:8" s="27" customFormat="1">
      <c r="F282" s="33"/>
      <c r="H282" s="34"/>
    </row>
    <row r="283" spans="6:8" s="27" customFormat="1">
      <c r="F283" s="33"/>
      <c r="H283" s="34"/>
    </row>
    <row r="284" spans="6:8" s="27" customFormat="1">
      <c r="F284" s="33"/>
      <c r="H284" s="34"/>
    </row>
    <row r="285" spans="6:8" s="27" customFormat="1">
      <c r="F285" s="33"/>
      <c r="H285" s="34"/>
    </row>
    <row r="286" spans="6:8" s="27" customFormat="1">
      <c r="F286" s="33"/>
      <c r="H286" s="34"/>
    </row>
    <row r="287" spans="6:8" s="27" customFormat="1">
      <c r="F287" s="33"/>
      <c r="H287" s="34"/>
    </row>
    <row r="288" spans="6:8" s="27" customFormat="1">
      <c r="F288" s="33"/>
      <c r="H288" s="34"/>
    </row>
    <row r="289" spans="6:8" s="27" customFormat="1">
      <c r="F289" s="33"/>
      <c r="H289" s="34"/>
    </row>
    <row r="290" spans="6:8" s="27" customFormat="1">
      <c r="F290" s="33"/>
      <c r="H290" s="34"/>
    </row>
    <row r="291" spans="6:8" s="27" customFormat="1">
      <c r="F291" s="33"/>
      <c r="H291" s="34"/>
    </row>
    <row r="292" spans="6:8" s="27" customFormat="1">
      <c r="F292" s="33"/>
      <c r="H292" s="34"/>
    </row>
    <row r="293" spans="6:8" s="27" customFormat="1">
      <c r="F293" s="33"/>
      <c r="H293" s="34"/>
    </row>
    <row r="294" spans="6:8" s="27" customFormat="1">
      <c r="F294" s="33"/>
      <c r="H294" s="34"/>
    </row>
    <row r="295" spans="6:8" s="27" customFormat="1">
      <c r="F295" s="33"/>
      <c r="H295" s="34"/>
    </row>
    <row r="296" spans="6:8" s="27" customFormat="1">
      <c r="F296" s="33"/>
      <c r="H296" s="34"/>
    </row>
    <row r="297" spans="6:8" s="27" customFormat="1">
      <c r="F297" s="33"/>
      <c r="H297" s="34"/>
    </row>
    <row r="298" spans="6:8" s="27" customFormat="1">
      <c r="F298" s="33"/>
      <c r="H298" s="34"/>
    </row>
    <row r="299" spans="6:8" s="27" customFormat="1">
      <c r="F299" s="33"/>
      <c r="H299" s="34"/>
    </row>
    <row r="300" spans="6:8" s="27" customFormat="1">
      <c r="F300" s="33"/>
      <c r="H300" s="34"/>
    </row>
    <row r="301" spans="6:8" s="27" customFormat="1">
      <c r="F301" s="33"/>
      <c r="H301" s="34"/>
    </row>
    <row r="302" spans="6:8" s="27" customFormat="1">
      <c r="F302" s="33"/>
      <c r="H302" s="34"/>
    </row>
    <row r="303" spans="6:8" s="27" customFormat="1">
      <c r="F303" s="33"/>
      <c r="H303" s="34"/>
    </row>
    <row r="304" spans="6:8" s="27" customFormat="1">
      <c r="F304" s="33"/>
      <c r="H304" s="34"/>
    </row>
    <row r="305" spans="6:8" s="27" customFormat="1">
      <c r="F305" s="33"/>
      <c r="H305" s="34"/>
    </row>
    <row r="306" spans="6:8" s="27" customFormat="1">
      <c r="F306" s="33"/>
      <c r="H306" s="34"/>
    </row>
    <row r="307" spans="6:8" s="27" customFormat="1">
      <c r="F307" s="33"/>
      <c r="H307" s="34"/>
    </row>
    <row r="308" spans="6:8" s="27" customFormat="1">
      <c r="F308" s="33"/>
      <c r="H308" s="34"/>
    </row>
    <row r="309" spans="6:8" s="27" customFormat="1">
      <c r="F309" s="33"/>
      <c r="H309" s="34"/>
    </row>
    <row r="310" spans="6:8" s="27" customFormat="1">
      <c r="F310" s="33"/>
      <c r="H310" s="34"/>
    </row>
    <row r="311" spans="6:8" s="27" customFormat="1">
      <c r="F311" s="33"/>
      <c r="H311" s="34"/>
    </row>
    <row r="312" spans="6:8" s="27" customFormat="1">
      <c r="F312" s="33"/>
      <c r="H312" s="34"/>
    </row>
    <row r="313" spans="6:8" s="27" customFormat="1">
      <c r="F313" s="33"/>
      <c r="H313" s="34"/>
    </row>
    <row r="314" spans="6:8" s="27" customFormat="1">
      <c r="F314" s="33"/>
      <c r="H314" s="34"/>
    </row>
    <row r="315" spans="6:8" s="27" customFormat="1">
      <c r="F315" s="33"/>
      <c r="H315" s="34"/>
    </row>
    <row r="316" spans="6:8" s="27" customFormat="1">
      <c r="F316" s="33"/>
      <c r="H316" s="34"/>
    </row>
    <row r="317" spans="6:8" s="27" customFormat="1">
      <c r="F317" s="33"/>
      <c r="H317" s="34"/>
    </row>
    <row r="318" spans="6:8" s="27" customFormat="1">
      <c r="F318" s="33"/>
      <c r="H318" s="34"/>
    </row>
    <row r="319" spans="6:8" s="27" customFormat="1">
      <c r="F319" s="33"/>
      <c r="H319" s="34"/>
    </row>
    <row r="320" spans="6:8" s="27" customFormat="1">
      <c r="F320" s="33"/>
      <c r="H320" s="34"/>
    </row>
    <row r="321" spans="6:8" s="27" customFormat="1">
      <c r="F321" s="33"/>
      <c r="H321" s="34"/>
    </row>
    <row r="322" spans="6:8" s="27" customFormat="1">
      <c r="F322" s="33"/>
      <c r="H322" s="34"/>
    </row>
    <row r="323" spans="6:8" s="27" customFormat="1">
      <c r="F323" s="33"/>
      <c r="H323" s="34"/>
    </row>
    <row r="324" spans="6:8" s="27" customFormat="1">
      <c r="F324" s="33"/>
      <c r="H324" s="34"/>
    </row>
    <row r="325" spans="6:8" s="27" customFormat="1">
      <c r="F325" s="33"/>
      <c r="H325" s="34"/>
    </row>
    <row r="326" spans="6:8" s="27" customFormat="1">
      <c r="F326" s="33"/>
      <c r="H326" s="34"/>
    </row>
    <row r="327" spans="6:8" s="27" customFormat="1">
      <c r="F327" s="33"/>
      <c r="H327" s="34"/>
    </row>
    <row r="328" spans="6:8" s="27" customFormat="1">
      <c r="F328" s="33"/>
      <c r="H328" s="34"/>
    </row>
    <row r="329" spans="6:8" s="27" customFormat="1">
      <c r="F329" s="33"/>
      <c r="H329" s="34"/>
    </row>
    <row r="330" spans="6:8" s="27" customFormat="1">
      <c r="F330" s="33"/>
      <c r="H330" s="34"/>
    </row>
    <row r="331" spans="6:8" s="27" customFormat="1">
      <c r="F331" s="33"/>
      <c r="H331" s="34"/>
    </row>
    <row r="332" spans="6:8" s="27" customFormat="1">
      <c r="F332" s="33"/>
      <c r="H332" s="34"/>
    </row>
    <row r="333" spans="6:8" s="27" customFormat="1">
      <c r="F333" s="33"/>
      <c r="H333" s="34"/>
    </row>
    <row r="334" spans="6:8" s="27" customFormat="1">
      <c r="F334" s="33"/>
      <c r="H334" s="34"/>
    </row>
    <row r="335" spans="6:8" s="27" customFormat="1">
      <c r="F335" s="33"/>
      <c r="H335" s="34"/>
    </row>
    <row r="336" spans="6:8" s="27" customFormat="1">
      <c r="F336" s="33"/>
      <c r="H336" s="34"/>
    </row>
    <row r="337" spans="6:8" s="27" customFormat="1">
      <c r="F337" s="33"/>
      <c r="H337" s="34"/>
    </row>
    <row r="338" spans="6:8" s="27" customFormat="1">
      <c r="F338" s="33"/>
      <c r="H338" s="34"/>
    </row>
    <row r="339" spans="6:8" s="27" customFormat="1">
      <c r="F339" s="33"/>
      <c r="H339" s="34"/>
    </row>
    <row r="340" spans="6:8" s="27" customFormat="1">
      <c r="F340" s="33"/>
      <c r="H340" s="34"/>
    </row>
    <row r="341" spans="6:8" s="27" customFormat="1">
      <c r="F341" s="33"/>
      <c r="H341" s="34"/>
    </row>
    <row r="342" spans="6:8" s="27" customFormat="1">
      <c r="F342" s="33"/>
      <c r="H342" s="34"/>
    </row>
    <row r="343" spans="6:8" s="27" customFormat="1">
      <c r="F343" s="33"/>
      <c r="H343" s="34"/>
    </row>
    <row r="344" spans="6:8" s="27" customFormat="1">
      <c r="F344" s="33"/>
      <c r="H344" s="34"/>
    </row>
    <row r="345" spans="6:8" s="27" customFormat="1">
      <c r="F345" s="33"/>
      <c r="H345" s="34"/>
    </row>
    <row r="346" spans="6:8" s="27" customFormat="1">
      <c r="F346" s="33"/>
      <c r="H346" s="34"/>
    </row>
    <row r="347" spans="6:8" s="27" customFormat="1">
      <c r="F347" s="33"/>
      <c r="H347" s="34"/>
    </row>
    <row r="348" spans="6:8" s="27" customFormat="1">
      <c r="F348" s="33"/>
      <c r="H348" s="34"/>
    </row>
    <row r="349" spans="6:8" s="27" customFormat="1">
      <c r="F349" s="33"/>
      <c r="H349" s="34"/>
    </row>
    <row r="350" spans="6:8" s="27" customFormat="1">
      <c r="F350" s="33"/>
      <c r="H350" s="34"/>
    </row>
    <row r="351" spans="6:8" s="27" customFormat="1">
      <c r="F351" s="33"/>
      <c r="H351" s="34"/>
    </row>
    <row r="352" spans="6:8" s="27" customFormat="1">
      <c r="F352" s="33"/>
      <c r="H352" s="34"/>
    </row>
    <row r="353" spans="6:8" s="27" customFormat="1">
      <c r="F353" s="33"/>
      <c r="H353" s="34"/>
    </row>
    <row r="354" spans="6:8" s="27" customFormat="1">
      <c r="F354" s="33"/>
      <c r="H354" s="34"/>
    </row>
    <row r="355" spans="6:8" s="27" customFormat="1">
      <c r="F355" s="33"/>
      <c r="H355" s="34"/>
    </row>
    <row r="356" spans="6:8" s="27" customFormat="1">
      <c r="F356" s="33"/>
      <c r="H356" s="34"/>
    </row>
    <row r="357" spans="6:8" s="27" customFormat="1">
      <c r="F357" s="33"/>
      <c r="H357" s="34"/>
    </row>
    <row r="358" spans="6:8" s="27" customFormat="1">
      <c r="F358" s="33"/>
      <c r="H358" s="34"/>
    </row>
    <row r="359" spans="6:8" s="27" customFormat="1">
      <c r="F359" s="33"/>
      <c r="H359" s="34"/>
    </row>
    <row r="360" spans="6:8" s="27" customFormat="1">
      <c r="F360" s="33"/>
      <c r="H360" s="34"/>
    </row>
    <row r="361" spans="6:8" s="27" customFormat="1">
      <c r="F361" s="33"/>
      <c r="H361" s="34"/>
    </row>
    <row r="362" spans="6:8" s="27" customFormat="1">
      <c r="F362" s="33"/>
      <c r="H362" s="34"/>
    </row>
    <row r="363" spans="6:8" s="27" customFormat="1">
      <c r="F363" s="33"/>
      <c r="H363" s="34"/>
    </row>
    <row r="364" spans="6:8" s="27" customFormat="1">
      <c r="F364" s="33"/>
      <c r="H364" s="34"/>
    </row>
    <row r="365" spans="6:8" s="27" customFormat="1">
      <c r="F365" s="33"/>
      <c r="H365" s="34"/>
    </row>
    <row r="366" spans="6:8" s="27" customFormat="1">
      <c r="F366" s="33"/>
      <c r="H366" s="34"/>
    </row>
    <row r="367" spans="6:8" s="27" customFormat="1">
      <c r="F367" s="33"/>
      <c r="H367" s="34"/>
    </row>
    <row r="368" spans="6:8" s="27" customFormat="1">
      <c r="F368" s="33"/>
      <c r="H368" s="34"/>
    </row>
    <row r="369" spans="6:8" s="27" customFormat="1">
      <c r="F369" s="33"/>
      <c r="H369" s="34"/>
    </row>
    <row r="370" spans="6:8" s="27" customFormat="1">
      <c r="F370" s="33"/>
      <c r="H370" s="34"/>
    </row>
    <row r="371" spans="6:8" s="27" customFormat="1">
      <c r="F371" s="33"/>
      <c r="H371" s="34"/>
    </row>
    <row r="372" spans="6:8" s="27" customFormat="1">
      <c r="F372" s="33"/>
      <c r="H372" s="34"/>
    </row>
    <row r="373" spans="6:8" s="27" customFormat="1">
      <c r="F373" s="33"/>
      <c r="H373" s="34"/>
    </row>
    <row r="374" spans="6:8" s="27" customFormat="1">
      <c r="F374" s="33"/>
      <c r="H374" s="34"/>
    </row>
    <row r="375" spans="6:8" s="27" customFormat="1">
      <c r="F375" s="33"/>
      <c r="H375" s="34"/>
    </row>
    <row r="376" spans="6:8" s="27" customFormat="1">
      <c r="F376" s="33"/>
      <c r="H376" s="34"/>
    </row>
    <row r="377" spans="6:8" s="27" customFormat="1">
      <c r="F377" s="33"/>
      <c r="H377" s="34"/>
    </row>
    <row r="378" spans="6:8" s="27" customFormat="1">
      <c r="F378" s="33"/>
      <c r="H378" s="34"/>
    </row>
    <row r="379" spans="6:8" s="27" customFormat="1">
      <c r="F379" s="33"/>
      <c r="H379" s="34"/>
    </row>
    <row r="380" spans="6:8" s="27" customFormat="1">
      <c r="F380" s="33"/>
      <c r="H380" s="34"/>
    </row>
    <row r="381" spans="6:8" s="27" customFormat="1">
      <c r="F381" s="33"/>
      <c r="H381" s="34"/>
    </row>
    <row r="382" spans="6:8" s="27" customFormat="1">
      <c r="F382" s="33"/>
      <c r="H382" s="34"/>
    </row>
    <row r="383" spans="6:8" s="27" customFormat="1">
      <c r="F383" s="33"/>
      <c r="H383" s="34"/>
    </row>
    <row r="384" spans="6:8" s="27" customFormat="1">
      <c r="F384" s="33"/>
      <c r="H384" s="34"/>
    </row>
    <row r="385" spans="6:8" s="27" customFormat="1">
      <c r="F385" s="33"/>
      <c r="H385" s="34"/>
    </row>
    <row r="386" spans="6:8" s="27" customFormat="1">
      <c r="F386" s="33"/>
      <c r="H386" s="34"/>
    </row>
    <row r="387" spans="6:8" s="27" customFormat="1">
      <c r="F387" s="33"/>
      <c r="H387" s="34"/>
    </row>
    <row r="388" spans="6:8" s="27" customFormat="1">
      <c r="F388" s="33"/>
      <c r="H388" s="34"/>
    </row>
    <row r="389" spans="6:8" s="27" customFormat="1">
      <c r="F389" s="33"/>
      <c r="H389" s="34"/>
    </row>
    <row r="390" spans="6:8" s="27" customFormat="1">
      <c r="F390" s="33"/>
      <c r="H390" s="34"/>
    </row>
    <row r="391" spans="6:8" s="27" customFormat="1">
      <c r="F391" s="33"/>
      <c r="H391" s="34"/>
    </row>
    <row r="392" spans="6:8" s="27" customFormat="1">
      <c r="F392" s="33"/>
      <c r="H392" s="34"/>
    </row>
    <row r="393" spans="6:8" s="27" customFormat="1">
      <c r="F393" s="33"/>
      <c r="H393" s="34"/>
    </row>
    <row r="394" spans="6:8" s="27" customFormat="1">
      <c r="F394" s="33"/>
      <c r="H394" s="34"/>
    </row>
    <row r="395" spans="6:8" s="27" customFormat="1">
      <c r="F395" s="33"/>
      <c r="H395" s="34"/>
    </row>
    <row r="396" spans="6:8" s="27" customFormat="1">
      <c r="F396" s="33"/>
      <c r="H396" s="34"/>
    </row>
    <row r="397" spans="6:8" s="27" customFormat="1">
      <c r="F397" s="33"/>
      <c r="H397" s="34"/>
    </row>
    <row r="398" spans="6:8" s="27" customFormat="1">
      <c r="F398" s="33"/>
      <c r="H398" s="34"/>
    </row>
    <row r="399" spans="6:8" s="27" customFormat="1">
      <c r="F399" s="33"/>
      <c r="H399" s="34"/>
    </row>
    <row r="400" spans="6:8" s="27" customFormat="1">
      <c r="F400" s="33"/>
      <c r="H400" s="34"/>
    </row>
    <row r="401" spans="6:8" s="27" customFormat="1">
      <c r="F401" s="33"/>
      <c r="H401" s="34"/>
    </row>
    <row r="402" spans="6:8" s="27" customFormat="1">
      <c r="F402" s="33"/>
      <c r="H402" s="34"/>
    </row>
    <row r="403" spans="6:8" s="27" customFormat="1">
      <c r="F403" s="33"/>
      <c r="H403" s="34"/>
    </row>
    <row r="404" spans="6:8" s="27" customFormat="1">
      <c r="F404" s="33"/>
      <c r="H404" s="34"/>
    </row>
    <row r="405" spans="6:8" s="27" customFormat="1">
      <c r="F405" s="33"/>
      <c r="H405" s="34"/>
    </row>
    <row r="406" spans="6:8" s="27" customFormat="1">
      <c r="F406" s="33"/>
      <c r="H406" s="34"/>
    </row>
    <row r="407" spans="6:8" s="27" customFormat="1">
      <c r="F407" s="33"/>
      <c r="H407" s="34"/>
    </row>
    <row r="408" spans="6:8" s="27" customFormat="1">
      <c r="F408" s="33"/>
      <c r="H408" s="34"/>
    </row>
    <row r="409" spans="6:8" s="27" customFormat="1">
      <c r="F409" s="33"/>
      <c r="H409" s="34"/>
    </row>
    <row r="410" spans="6:8" s="27" customFormat="1">
      <c r="F410" s="33"/>
      <c r="H410" s="34"/>
    </row>
    <row r="411" spans="6:8" s="27" customFormat="1">
      <c r="F411" s="33"/>
      <c r="H411" s="34"/>
    </row>
    <row r="412" spans="6:8" s="27" customFormat="1">
      <c r="F412" s="33"/>
      <c r="H412" s="34"/>
    </row>
    <row r="413" spans="6:8" s="27" customFormat="1">
      <c r="F413" s="33"/>
      <c r="H413" s="34"/>
    </row>
    <row r="414" spans="6:8" s="27" customFormat="1">
      <c r="F414" s="33"/>
      <c r="H414" s="34"/>
    </row>
    <row r="415" spans="6:8" s="27" customFormat="1">
      <c r="F415" s="33"/>
      <c r="H415" s="34"/>
    </row>
    <row r="416" spans="6:8" s="27" customFormat="1">
      <c r="F416" s="33"/>
      <c r="H416" s="34"/>
    </row>
    <row r="417" spans="6:8" s="27" customFormat="1">
      <c r="F417" s="33"/>
      <c r="H417" s="34"/>
    </row>
    <row r="418" spans="6:8" s="27" customFormat="1">
      <c r="F418" s="33"/>
      <c r="H418" s="34"/>
    </row>
    <row r="419" spans="6:8" s="27" customFormat="1">
      <c r="F419" s="33"/>
      <c r="H419" s="34"/>
    </row>
    <row r="420" spans="6:8" s="27" customFormat="1">
      <c r="F420" s="33"/>
      <c r="H420" s="34"/>
    </row>
    <row r="421" spans="6:8" s="27" customFormat="1">
      <c r="F421" s="33"/>
      <c r="H421" s="34"/>
    </row>
    <row r="422" spans="6:8" s="27" customFormat="1">
      <c r="F422" s="33"/>
      <c r="H422" s="34"/>
    </row>
    <row r="423" spans="6:8" s="27" customFormat="1">
      <c r="F423" s="33"/>
      <c r="H423" s="34"/>
    </row>
    <row r="424" spans="6:8" s="27" customFormat="1">
      <c r="F424" s="33"/>
      <c r="H424" s="34"/>
    </row>
    <row r="425" spans="6:8" s="27" customFormat="1">
      <c r="F425" s="33"/>
      <c r="H425" s="34"/>
    </row>
    <row r="426" spans="6:8" s="27" customFormat="1">
      <c r="F426" s="33"/>
      <c r="H426" s="34"/>
    </row>
    <row r="427" spans="6:8" s="27" customFormat="1">
      <c r="F427" s="33"/>
      <c r="H427" s="34"/>
    </row>
    <row r="428" spans="6:8" s="27" customFormat="1">
      <c r="F428" s="33"/>
      <c r="H428" s="34"/>
    </row>
    <row r="429" spans="6:8" s="27" customFormat="1">
      <c r="F429" s="33"/>
      <c r="H429" s="34"/>
    </row>
    <row r="430" spans="6:8" s="27" customFormat="1">
      <c r="F430" s="33"/>
      <c r="H430" s="34"/>
    </row>
    <row r="431" spans="6:8" s="27" customFormat="1">
      <c r="F431" s="33"/>
      <c r="H431" s="34"/>
    </row>
    <row r="432" spans="6:8" s="27" customFormat="1">
      <c r="F432" s="33"/>
      <c r="H432" s="34"/>
    </row>
    <row r="433" spans="6:8" s="27" customFormat="1">
      <c r="F433" s="33"/>
      <c r="H433" s="34"/>
    </row>
    <row r="434" spans="6:8" s="27" customFormat="1">
      <c r="F434" s="33"/>
      <c r="H434" s="34"/>
    </row>
    <row r="435" spans="6:8" s="27" customFormat="1">
      <c r="F435" s="33"/>
      <c r="H435" s="34"/>
    </row>
    <row r="436" spans="6:8" s="27" customFormat="1">
      <c r="F436" s="33"/>
      <c r="H436" s="34"/>
    </row>
    <row r="437" spans="6:8" s="27" customFormat="1">
      <c r="F437" s="33"/>
      <c r="H437" s="34"/>
    </row>
    <row r="438" spans="6:8" s="27" customFormat="1">
      <c r="F438" s="33"/>
      <c r="H438" s="34"/>
    </row>
    <row r="439" spans="6:8" s="27" customFormat="1">
      <c r="F439" s="33"/>
      <c r="H439" s="34"/>
    </row>
    <row r="440" spans="6:8" s="27" customFormat="1">
      <c r="F440" s="33"/>
      <c r="H440" s="34"/>
    </row>
    <row r="441" spans="6:8" s="27" customFormat="1">
      <c r="F441" s="33"/>
      <c r="H441" s="34"/>
    </row>
    <row r="442" spans="6:8" s="27" customFormat="1">
      <c r="F442" s="33"/>
      <c r="H442" s="34"/>
    </row>
    <row r="443" spans="6:8" s="27" customFormat="1">
      <c r="F443" s="33"/>
      <c r="H443" s="34"/>
    </row>
    <row r="444" spans="6:8" s="27" customFormat="1">
      <c r="F444" s="33"/>
      <c r="H444" s="34"/>
    </row>
    <row r="445" spans="6:8" s="27" customFormat="1">
      <c r="F445" s="33"/>
      <c r="H445" s="34"/>
    </row>
    <row r="446" spans="6:8" s="27" customFormat="1">
      <c r="F446" s="33"/>
      <c r="H446" s="34"/>
    </row>
    <row r="447" spans="6:8" s="27" customFormat="1">
      <c r="F447" s="33"/>
      <c r="H447" s="34"/>
    </row>
    <row r="448" spans="6:8" s="27" customFormat="1">
      <c r="F448" s="33"/>
      <c r="H448" s="34"/>
    </row>
    <row r="449" spans="6:8" s="27" customFormat="1">
      <c r="F449" s="33"/>
      <c r="H449" s="34"/>
    </row>
    <row r="450" spans="6:8" s="27" customFormat="1">
      <c r="F450" s="33"/>
      <c r="H450" s="34"/>
    </row>
    <row r="451" spans="6:8" s="27" customFormat="1">
      <c r="F451" s="33"/>
      <c r="H451" s="34"/>
    </row>
    <row r="452" spans="6:8" s="27" customFormat="1">
      <c r="F452" s="33"/>
      <c r="H452" s="34"/>
    </row>
    <row r="453" spans="6:8" s="27" customFormat="1">
      <c r="F453" s="33"/>
      <c r="H453" s="34"/>
    </row>
    <row r="454" spans="6:8" s="27" customFormat="1">
      <c r="F454" s="33"/>
      <c r="H454" s="34"/>
    </row>
    <row r="455" spans="6:8" s="27" customFormat="1">
      <c r="F455" s="33"/>
      <c r="H455" s="34"/>
    </row>
    <row r="456" spans="6:8" s="27" customFormat="1">
      <c r="F456" s="33"/>
      <c r="H456" s="34"/>
    </row>
    <row r="457" spans="6:8" s="27" customFormat="1">
      <c r="F457" s="33"/>
      <c r="H457" s="34"/>
    </row>
    <row r="458" spans="6:8" s="27" customFormat="1">
      <c r="F458" s="33"/>
      <c r="H458" s="34"/>
    </row>
    <row r="459" spans="6:8" s="27" customFormat="1">
      <c r="F459" s="33"/>
      <c r="H459" s="34"/>
    </row>
    <row r="460" spans="6:8" s="27" customFormat="1">
      <c r="F460" s="33"/>
      <c r="H460" s="34"/>
    </row>
    <row r="461" spans="6:8" s="27" customFormat="1">
      <c r="F461" s="33"/>
      <c r="H461" s="34"/>
    </row>
    <row r="462" spans="6:8" s="27" customFormat="1">
      <c r="F462" s="33"/>
      <c r="H462" s="34"/>
    </row>
    <row r="463" spans="6:8" s="27" customFormat="1">
      <c r="F463" s="33"/>
      <c r="H463" s="34"/>
    </row>
    <row r="464" spans="6:8" s="27" customFormat="1">
      <c r="F464" s="33"/>
      <c r="H464" s="34"/>
    </row>
    <row r="465" spans="6:8" s="27" customFormat="1">
      <c r="F465" s="33"/>
      <c r="H465" s="34"/>
    </row>
    <row r="466" spans="6:8" s="27" customFormat="1">
      <c r="F466" s="33"/>
      <c r="H466" s="34"/>
    </row>
    <row r="467" spans="6:8" s="27" customFormat="1">
      <c r="F467" s="33"/>
      <c r="H467" s="34"/>
    </row>
    <row r="468" spans="6:8" s="27" customFormat="1">
      <c r="F468" s="33"/>
      <c r="H468" s="34"/>
    </row>
    <row r="469" spans="6:8" s="27" customFormat="1">
      <c r="F469" s="33"/>
      <c r="H469" s="34"/>
    </row>
    <row r="470" spans="6:8" s="27" customFormat="1">
      <c r="F470" s="33"/>
      <c r="H470" s="34"/>
    </row>
    <row r="471" spans="6:8" s="27" customFormat="1">
      <c r="F471" s="33"/>
      <c r="H471" s="34"/>
    </row>
    <row r="472" spans="6:8" s="27" customFormat="1">
      <c r="F472" s="33"/>
      <c r="H472" s="34"/>
    </row>
    <row r="473" spans="6:8" s="27" customFormat="1">
      <c r="F473" s="33"/>
      <c r="H473" s="34"/>
    </row>
    <row r="474" spans="6:8" s="27" customFormat="1">
      <c r="F474" s="33"/>
      <c r="H474" s="34"/>
    </row>
    <row r="475" spans="6:8" s="27" customFormat="1">
      <c r="F475" s="33"/>
      <c r="H475" s="34"/>
    </row>
    <row r="476" spans="6:8" s="27" customFormat="1">
      <c r="F476" s="33"/>
      <c r="H476" s="34"/>
    </row>
    <row r="477" spans="6:8" s="27" customFormat="1">
      <c r="F477" s="33"/>
      <c r="H477" s="34"/>
    </row>
    <row r="478" spans="6:8" s="27" customFormat="1">
      <c r="F478" s="33"/>
      <c r="H478" s="34"/>
    </row>
    <row r="479" spans="6:8" s="27" customFormat="1">
      <c r="F479" s="33"/>
      <c r="H479" s="34"/>
    </row>
    <row r="480" spans="6:8" s="27" customFormat="1">
      <c r="F480" s="33"/>
      <c r="H480" s="34"/>
    </row>
    <row r="481" spans="6:8" s="27" customFormat="1">
      <c r="F481" s="33"/>
      <c r="H481" s="34"/>
    </row>
    <row r="482" spans="6:8" s="27" customFormat="1">
      <c r="F482" s="33"/>
      <c r="H482" s="34"/>
    </row>
    <row r="483" spans="6:8" s="27" customFormat="1">
      <c r="F483" s="33"/>
      <c r="H483" s="34"/>
    </row>
    <row r="484" spans="6:8" s="27" customFormat="1">
      <c r="F484" s="33"/>
      <c r="H484" s="34"/>
    </row>
    <row r="485" spans="6:8" s="27" customFormat="1">
      <c r="F485" s="33"/>
      <c r="H485" s="34"/>
    </row>
    <row r="486" spans="6:8" s="27" customFormat="1">
      <c r="F486" s="33"/>
      <c r="H486" s="34"/>
    </row>
    <row r="487" spans="6:8" s="27" customFormat="1">
      <c r="F487" s="33"/>
      <c r="H487" s="34"/>
    </row>
    <row r="488" spans="6:8" s="27" customFormat="1">
      <c r="F488" s="33"/>
      <c r="H488" s="34"/>
    </row>
    <row r="489" spans="6:8" s="27" customFormat="1">
      <c r="F489" s="33"/>
      <c r="H489" s="34"/>
    </row>
    <row r="490" spans="6:8" s="27" customFormat="1">
      <c r="F490" s="33"/>
      <c r="H490" s="34"/>
    </row>
    <row r="491" spans="6:8" s="27" customFormat="1">
      <c r="F491" s="33"/>
      <c r="H491" s="34"/>
    </row>
    <row r="492" spans="6:8" s="27" customFormat="1">
      <c r="F492" s="33"/>
      <c r="H492" s="34"/>
    </row>
    <row r="493" spans="6:8" s="27" customFormat="1">
      <c r="F493" s="33"/>
      <c r="H493" s="34"/>
    </row>
    <row r="494" spans="6:8" s="27" customFormat="1">
      <c r="F494" s="33"/>
      <c r="H494" s="34"/>
    </row>
    <row r="495" spans="6:8" s="27" customFormat="1">
      <c r="F495" s="33"/>
      <c r="H495" s="34"/>
    </row>
    <row r="496" spans="6:8" s="27" customFormat="1">
      <c r="F496" s="33"/>
      <c r="H496" s="34"/>
    </row>
    <row r="497" spans="6:8" s="27" customFormat="1">
      <c r="F497" s="33"/>
      <c r="H497" s="34"/>
    </row>
    <row r="498" spans="6:8" s="27" customFormat="1">
      <c r="F498" s="33"/>
      <c r="H498" s="34"/>
    </row>
    <row r="499" spans="6:8" s="27" customFormat="1">
      <c r="F499" s="33"/>
      <c r="H499" s="34"/>
    </row>
    <row r="500" spans="6:8" s="27" customFormat="1">
      <c r="F500" s="33"/>
      <c r="H500" s="34"/>
    </row>
    <row r="501" spans="6:8" s="27" customFormat="1">
      <c r="F501" s="33"/>
      <c r="H501" s="34"/>
    </row>
    <row r="502" spans="6:8" s="27" customFormat="1">
      <c r="F502" s="33"/>
      <c r="H502" s="34"/>
    </row>
    <row r="503" spans="6:8" s="27" customFormat="1">
      <c r="F503" s="33"/>
      <c r="H503" s="34"/>
    </row>
    <row r="504" spans="6:8" s="27" customFormat="1">
      <c r="F504" s="33"/>
      <c r="H504" s="34"/>
    </row>
    <row r="505" spans="6:8" s="27" customFormat="1">
      <c r="F505" s="33"/>
      <c r="H505" s="34"/>
    </row>
    <row r="506" spans="6:8" s="27" customFormat="1">
      <c r="F506" s="33"/>
      <c r="H506" s="34"/>
    </row>
    <row r="507" spans="6:8" s="27" customFormat="1">
      <c r="F507" s="33"/>
      <c r="H507" s="34"/>
    </row>
    <row r="508" spans="6:8" s="27" customFormat="1">
      <c r="F508" s="33"/>
      <c r="H508" s="34"/>
    </row>
    <row r="509" spans="6:8" s="27" customFormat="1">
      <c r="F509" s="33"/>
      <c r="H509" s="34"/>
    </row>
    <row r="510" spans="6:8" s="27" customFormat="1">
      <c r="F510" s="33"/>
      <c r="H510" s="34"/>
    </row>
    <row r="511" spans="6:8" s="27" customFormat="1">
      <c r="F511" s="33"/>
      <c r="H511" s="34"/>
    </row>
    <row r="512" spans="6:8" s="27" customFormat="1">
      <c r="F512" s="33"/>
      <c r="H512" s="34"/>
    </row>
    <row r="513" spans="6:8" s="27" customFormat="1">
      <c r="F513" s="33"/>
      <c r="H513" s="34"/>
    </row>
    <row r="514" spans="6:8" s="27" customFormat="1">
      <c r="F514" s="33"/>
      <c r="H514" s="34"/>
    </row>
    <row r="515" spans="6:8" s="27" customFormat="1">
      <c r="F515" s="33"/>
      <c r="H515" s="34"/>
    </row>
    <row r="516" spans="6:8" s="27" customFormat="1">
      <c r="F516" s="33"/>
      <c r="H516" s="34"/>
    </row>
    <row r="517" spans="6:8" s="27" customFormat="1">
      <c r="F517" s="33"/>
      <c r="H517" s="34"/>
    </row>
    <row r="518" spans="6:8" s="27" customFormat="1">
      <c r="F518" s="33"/>
      <c r="H518" s="34"/>
    </row>
    <row r="519" spans="6:8" s="27" customFormat="1">
      <c r="F519" s="33"/>
      <c r="H519" s="34"/>
    </row>
    <row r="520" spans="6:8" s="27" customFormat="1">
      <c r="F520" s="33"/>
      <c r="H520" s="34"/>
    </row>
    <row r="521" spans="6:8" s="27" customFormat="1">
      <c r="F521" s="33"/>
      <c r="H521" s="34"/>
    </row>
    <row r="522" spans="6:8" s="27" customFormat="1">
      <c r="F522" s="33"/>
      <c r="H522" s="34"/>
    </row>
    <row r="523" spans="6:8" s="27" customFormat="1">
      <c r="F523" s="33"/>
      <c r="H523" s="34"/>
    </row>
    <row r="524" spans="6:8" s="27" customFormat="1">
      <c r="F524" s="33"/>
      <c r="H524" s="34"/>
    </row>
    <row r="525" spans="6:8" s="27" customFormat="1">
      <c r="F525" s="33"/>
      <c r="H525" s="34"/>
    </row>
    <row r="526" spans="6:8" s="27" customFormat="1">
      <c r="F526" s="33"/>
      <c r="H526" s="34"/>
    </row>
    <row r="527" spans="6:8" s="27" customFormat="1">
      <c r="F527" s="33"/>
      <c r="H527" s="34"/>
    </row>
    <row r="528" spans="6:8" s="27" customFormat="1">
      <c r="F528" s="33"/>
      <c r="H528" s="34"/>
    </row>
    <row r="529" spans="6:8" s="27" customFormat="1">
      <c r="F529" s="33"/>
      <c r="H529" s="34"/>
    </row>
    <row r="530" spans="6:8" s="27" customFormat="1">
      <c r="F530" s="33"/>
      <c r="H530" s="34"/>
    </row>
    <row r="531" spans="6:8" s="27" customFormat="1">
      <c r="F531" s="33"/>
      <c r="H531" s="34"/>
    </row>
    <row r="532" spans="6:8" s="27" customFormat="1">
      <c r="F532" s="33"/>
      <c r="H532" s="34"/>
    </row>
    <row r="533" spans="6:8" s="27" customFormat="1">
      <c r="F533" s="33"/>
      <c r="H533" s="34"/>
    </row>
    <row r="534" spans="6:8" s="27" customFormat="1">
      <c r="F534" s="33"/>
      <c r="H534" s="34"/>
    </row>
    <row r="535" spans="6:8" s="27" customFormat="1">
      <c r="F535" s="33"/>
      <c r="H535" s="34"/>
    </row>
    <row r="536" spans="6:8" s="27" customFormat="1">
      <c r="F536" s="33"/>
      <c r="H536" s="34"/>
    </row>
    <row r="537" spans="6:8" s="27" customFormat="1">
      <c r="F537" s="33"/>
      <c r="H537" s="34"/>
    </row>
    <row r="538" spans="6:8" s="27" customFormat="1">
      <c r="F538" s="33"/>
      <c r="H538" s="34"/>
    </row>
    <row r="539" spans="6:8" s="27" customFormat="1">
      <c r="F539" s="33"/>
      <c r="H539" s="34"/>
    </row>
    <row r="540" spans="6:8" s="27" customFormat="1">
      <c r="F540" s="33"/>
      <c r="H540" s="34"/>
    </row>
    <row r="541" spans="6:8" s="27" customFormat="1">
      <c r="F541" s="33"/>
      <c r="H541" s="34"/>
    </row>
    <row r="542" spans="6:8" s="27" customFormat="1">
      <c r="F542" s="33"/>
      <c r="H542" s="34"/>
    </row>
    <row r="543" spans="6:8" s="27" customFormat="1">
      <c r="F543" s="33"/>
      <c r="H543" s="34"/>
    </row>
    <row r="544" spans="6:8" s="27" customFormat="1">
      <c r="F544" s="33"/>
      <c r="H544" s="34"/>
    </row>
    <row r="545" spans="6:8" s="27" customFormat="1">
      <c r="F545" s="33"/>
      <c r="H545" s="34"/>
    </row>
    <row r="546" spans="6:8" s="27" customFormat="1">
      <c r="F546" s="33"/>
      <c r="H546" s="34"/>
    </row>
    <row r="547" spans="6:8" s="27" customFormat="1">
      <c r="F547" s="33"/>
      <c r="H547" s="34"/>
    </row>
    <row r="548" spans="6:8" s="27" customFormat="1">
      <c r="F548" s="33"/>
      <c r="H548" s="34"/>
    </row>
    <row r="549" spans="6:8" s="27" customFormat="1">
      <c r="F549" s="33"/>
      <c r="H549" s="34"/>
    </row>
    <row r="550" spans="6:8" s="27" customFormat="1">
      <c r="F550" s="33"/>
      <c r="H550" s="34"/>
    </row>
    <row r="551" spans="6:8" s="27" customFormat="1">
      <c r="F551" s="33"/>
      <c r="H551" s="34"/>
    </row>
    <row r="552" spans="6:8" s="27" customFormat="1">
      <c r="F552" s="33"/>
      <c r="H552" s="34"/>
    </row>
    <row r="553" spans="6:8" s="27" customFormat="1">
      <c r="F553" s="33"/>
      <c r="H553" s="34"/>
    </row>
    <row r="554" spans="6:8" s="27" customFormat="1">
      <c r="F554" s="33"/>
      <c r="H554" s="34"/>
    </row>
    <row r="555" spans="6:8" s="27" customFormat="1">
      <c r="F555" s="33"/>
      <c r="H555" s="34"/>
    </row>
    <row r="556" spans="6:8" s="27" customFormat="1">
      <c r="F556" s="33"/>
      <c r="H556" s="34"/>
    </row>
    <row r="557" spans="6:8" s="27" customFormat="1">
      <c r="F557" s="33"/>
      <c r="H557" s="34"/>
    </row>
    <row r="558" spans="6:8" s="27" customFormat="1">
      <c r="F558" s="33"/>
      <c r="H558" s="34"/>
    </row>
    <row r="559" spans="6:8" s="27" customFormat="1">
      <c r="F559" s="33"/>
      <c r="H559" s="34"/>
    </row>
    <row r="560" spans="6:8" s="27" customFormat="1">
      <c r="F560" s="33"/>
      <c r="H560" s="34"/>
    </row>
    <row r="561" spans="6:8" s="27" customFormat="1">
      <c r="F561" s="33"/>
      <c r="H561" s="34"/>
    </row>
    <row r="562" spans="6:8" s="27" customFormat="1">
      <c r="F562" s="33"/>
      <c r="H562" s="34"/>
    </row>
    <row r="563" spans="6:8" s="27" customFormat="1">
      <c r="F563" s="33"/>
      <c r="H563" s="34"/>
    </row>
    <row r="564" spans="6:8" s="27" customFormat="1">
      <c r="F564" s="33"/>
      <c r="H564" s="34"/>
    </row>
    <row r="565" spans="6:8" s="27" customFormat="1">
      <c r="F565" s="33"/>
      <c r="H565" s="34"/>
    </row>
    <row r="566" spans="6:8" s="27" customFormat="1">
      <c r="F566" s="33"/>
      <c r="H566" s="34"/>
    </row>
    <row r="567" spans="6:8" s="27" customFormat="1">
      <c r="F567" s="33"/>
      <c r="H567" s="34"/>
    </row>
    <row r="568" spans="6:8" s="27" customFormat="1">
      <c r="F568" s="33"/>
      <c r="H568" s="34"/>
    </row>
    <row r="569" spans="6:8" s="27" customFormat="1">
      <c r="F569" s="33"/>
      <c r="H569" s="34"/>
    </row>
    <row r="570" spans="6:8" s="27" customFormat="1">
      <c r="F570" s="33"/>
      <c r="H570" s="34"/>
    </row>
    <row r="571" spans="6:8" s="27" customFormat="1">
      <c r="F571" s="33"/>
      <c r="H571" s="34"/>
    </row>
    <row r="572" spans="6:8" s="27" customFormat="1">
      <c r="F572" s="33"/>
      <c r="H572" s="34"/>
    </row>
    <row r="573" spans="6:8" s="27" customFormat="1">
      <c r="F573" s="33"/>
      <c r="H573" s="34"/>
    </row>
    <row r="574" spans="6:8" s="27" customFormat="1">
      <c r="F574" s="33"/>
      <c r="H574" s="34"/>
    </row>
    <row r="575" spans="6:8" s="27" customFormat="1">
      <c r="F575" s="33"/>
      <c r="H575" s="34"/>
    </row>
    <row r="576" spans="6:8" s="27" customFormat="1">
      <c r="F576" s="33"/>
      <c r="H576" s="34"/>
    </row>
    <row r="577" spans="6:8" s="27" customFormat="1">
      <c r="F577" s="33"/>
      <c r="H577" s="34"/>
    </row>
    <row r="578" spans="6:8" s="27" customFormat="1">
      <c r="F578" s="33"/>
      <c r="H578" s="34"/>
    </row>
    <row r="579" spans="6:8" s="27" customFormat="1">
      <c r="F579" s="33"/>
      <c r="H579" s="34"/>
    </row>
    <row r="580" spans="6:8" s="27" customFormat="1">
      <c r="F580" s="33"/>
      <c r="H580" s="34"/>
    </row>
    <row r="581" spans="6:8" s="27" customFormat="1">
      <c r="F581" s="33"/>
      <c r="H581" s="34"/>
    </row>
    <row r="582" spans="6:8" s="27" customFormat="1">
      <c r="F582" s="33"/>
      <c r="H582" s="34"/>
    </row>
    <row r="583" spans="6:8" s="27" customFormat="1">
      <c r="F583" s="33"/>
      <c r="H583" s="34"/>
    </row>
    <row r="584" spans="6:8" s="27" customFormat="1">
      <c r="F584" s="33"/>
      <c r="H584" s="34"/>
    </row>
    <row r="585" spans="6:8" s="27" customFormat="1">
      <c r="F585" s="33"/>
      <c r="H585" s="34"/>
    </row>
    <row r="586" spans="6:8" s="27" customFormat="1">
      <c r="F586" s="33"/>
      <c r="H586" s="34"/>
    </row>
    <row r="587" spans="6:8" s="27" customFormat="1">
      <c r="F587" s="33"/>
      <c r="H587" s="34"/>
    </row>
    <row r="588" spans="6:8" s="27" customFormat="1">
      <c r="F588" s="33"/>
      <c r="H588" s="34"/>
    </row>
    <row r="589" spans="6:8" s="27" customFormat="1">
      <c r="F589" s="33"/>
      <c r="H589" s="34"/>
    </row>
    <row r="590" spans="6:8" s="27" customFormat="1">
      <c r="F590" s="33"/>
      <c r="H590" s="34"/>
    </row>
    <row r="591" spans="6:8" s="27" customFormat="1">
      <c r="F591" s="33"/>
      <c r="H591" s="34"/>
    </row>
    <row r="592" spans="6:8" s="27" customFormat="1">
      <c r="F592" s="33"/>
      <c r="H592" s="34"/>
    </row>
    <row r="593" spans="6:8" s="27" customFormat="1">
      <c r="F593" s="33"/>
      <c r="H593" s="34"/>
    </row>
    <row r="594" spans="6:8" s="27" customFormat="1">
      <c r="F594" s="33"/>
      <c r="H594" s="34"/>
    </row>
    <row r="595" spans="6:8" s="27" customFormat="1">
      <c r="F595" s="33"/>
      <c r="H595" s="34"/>
    </row>
    <row r="596" spans="6:8" s="27" customFormat="1">
      <c r="F596" s="33"/>
      <c r="H596" s="34"/>
    </row>
    <row r="597" spans="6:8" s="27" customFormat="1">
      <c r="F597" s="33"/>
      <c r="H597" s="34"/>
    </row>
    <row r="598" spans="6:8" s="27" customFormat="1">
      <c r="F598" s="33"/>
      <c r="H598" s="34"/>
    </row>
    <row r="599" spans="6:8" s="27" customFormat="1">
      <c r="F599" s="33"/>
      <c r="H599" s="34"/>
    </row>
    <row r="600" spans="6:8" s="27" customFormat="1">
      <c r="F600" s="33"/>
      <c r="H600" s="34"/>
    </row>
    <row r="601" spans="6:8" s="27" customFormat="1">
      <c r="F601" s="33"/>
      <c r="H601" s="34"/>
    </row>
    <row r="602" spans="6:8" s="27" customFormat="1">
      <c r="F602" s="33"/>
      <c r="H602" s="34"/>
    </row>
    <row r="603" spans="6:8" s="27" customFormat="1">
      <c r="F603" s="33"/>
      <c r="H603" s="34"/>
    </row>
    <row r="604" spans="6:8" s="27" customFormat="1">
      <c r="F604" s="33"/>
      <c r="H604" s="34"/>
    </row>
    <row r="605" spans="6:8" s="27" customFormat="1">
      <c r="F605" s="33"/>
      <c r="H605" s="34"/>
    </row>
    <row r="606" spans="6:8" s="27" customFormat="1">
      <c r="F606" s="33"/>
      <c r="H606" s="34"/>
    </row>
    <row r="607" spans="6:8" s="27" customFormat="1">
      <c r="F607" s="33"/>
      <c r="H607" s="34"/>
    </row>
    <row r="608" spans="6:8" s="27" customFormat="1">
      <c r="F608" s="33"/>
      <c r="H608" s="34"/>
    </row>
    <row r="609" spans="6:8" s="27" customFormat="1">
      <c r="F609" s="33"/>
      <c r="H609" s="34"/>
    </row>
    <row r="610" spans="6:8" s="27" customFormat="1">
      <c r="F610" s="33"/>
      <c r="H610" s="34"/>
    </row>
    <row r="611" spans="6:8" s="27" customFormat="1">
      <c r="F611" s="33"/>
      <c r="H611" s="34"/>
    </row>
    <row r="612" spans="6:8" s="27" customFormat="1">
      <c r="F612" s="33"/>
      <c r="H612" s="34"/>
    </row>
    <row r="613" spans="6:8" s="27" customFormat="1">
      <c r="F613" s="33"/>
      <c r="H613" s="34"/>
    </row>
    <row r="614" spans="6:8" s="27" customFormat="1">
      <c r="F614" s="33"/>
      <c r="H614" s="34"/>
    </row>
    <row r="615" spans="6:8" s="27" customFormat="1">
      <c r="F615" s="33"/>
      <c r="H615" s="34"/>
    </row>
    <row r="616" spans="6:8" s="27" customFormat="1">
      <c r="F616" s="33"/>
      <c r="H616" s="34"/>
    </row>
    <row r="617" spans="6:8" s="27" customFormat="1">
      <c r="F617" s="33"/>
      <c r="H617" s="34"/>
    </row>
    <row r="618" spans="6:8" s="27" customFormat="1">
      <c r="F618" s="33"/>
      <c r="H618" s="34"/>
    </row>
    <row r="619" spans="6:8" s="27" customFormat="1">
      <c r="F619" s="33"/>
      <c r="H619" s="34"/>
    </row>
    <row r="620" spans="6:8" s="27" customFormat="1">
      <c r="F620" s="33"/>
      <c r="H620" s="34"/>
    </row>
    <row r="621" spans="6:8" s="27" customFormat="1">
      <c r="F621" s="33"/>
      <c r="H621" s="34"/>
    </row>
    <row r="622" spans="6:8" s="27" customFormat="1">
      <c r="F622" s="33"/>
      <c r="H622" s="34"/>
    </row>
    <row r="623" spans="6:8" s="27" customFormat="1">
      <c r="F623" s="33"/>
      <c r="H623" s="34"/>
    </row>
    <row r="624" spans="6:8" s="27" customFormat="1">
      <c r="F624" s="33"/>
      <c r="H624" s="34"/>
    </row>
    <row r="625" spans="6:8" s="27" customFormat="1">
      <c r="F625" s="33"/>
      <c r="H625" s="34"/>
    </row>
    <row r="626" spans="6:8" s="27" customFormat="1">
      <c r="F626" s="33"/>
      <c r="H626" s="34"/>
    </row>
    <row r="627" spans="6:8" s="27" customFormat="1">
      <c r="F627" s="33"/>
      <c r="H627" s="34"/>
    </row>
    <row r="628" spans="6:8" s="27" customFormat="1">
      <c r="F628" s="33"/>
      <c r="H628" s="34"/>
    </row>
    <row r="629" spans="6:8" s="27" customFormat="1">
      <c r="F629" s="33"/>
      <c r="H629" s="34"/>
    </row>
    <row r="630" spans="6:8" s="27" customFormat="1">
      <c r="F630" s="33"/>
      <c r="H630" s="34"/>
    </row>
    <row r="631" spans="6:8" s="27" customFormat="1">
      <c r="F631" s="33"/>
      <c r="H631" s="34"/>
    </row>
    <row r="632" spans="6:8" s="27" customFormat="1">
      <c r="F632" s="33"/>
      <c r="H632" s="34"/>
    </row>
    <row r="633" spans="6:8" s="27" customFormat="1">
      <c r="F633" s="33"/>
      <c r="H633" s="34"/>
    </row>
    <row r="634" spans="6:8" s="27" customFormat="1">
      <c r="F634" s="33"/>
      <c r="H634" s="34"/>
    </row>
    <row r="635" spans="6:8" s="27" customFormat="1">
      <c r="F635" s="33"/>
      <c r="H635" s="34"/>
    </row>
    <row r="636" spans="6:8" s="27" customFormat="1">
      <c r="F636" s="33"/>
      <c r="H636" s="34"/>
    </row>
    <row r="637" spans="6:8" s="27" customFormat="1">
      <c r="F637" s="33"/>
      <c r="H637" s="34"/>
    </row>
    <row r="638" spans="6:8" s="27" customFormat="1">
      <c r="F638" s="33"/>
      <c r="H638" s="34"/>
    </row>
    <row r="639" spans="6:8" s="27" customFormat="1">
      <c r="F639" s="33"/>
      <c r="H639" s="34"/>
    </row>
    <row r="640" spans="6:8" s="27" customFormat="1">
      <c r="F640" s="33"/>
      <c r="H640" s="34"/>
    </row>
    <row r="641" spans="6:8" s="27" customFormat="1">
      <c r="F641" s="33"/>
      <c r="H641" s="34"/>
    </row>
    <row r="642" spans="6:8" s="27" customFormat="1">
      <c r="F642" s="33"/>
      <c r="H642" s="34"/>
    </row>
    <row r="643" spans="6:8" s="27" customFormat="1">
      <c r="F643" s="33"/>
      <c r="H643" s="34"/>
    </row>
    <row r="644" spans="6:8" s="27" customFormat="1">
      <c r="F644" s="33"/>
      <c r="H644" s="34"/>
    </row>
    <row r="645" spans="6:8" s="27" customFormat="1">
      <c r="F645" s="33"/>
      <c r="H645" s="34"/>
    </row>
    <row r="646" spans="6:8" s="27" customFormat="1">
      <c r="F646" s="33"/>
      <c r="H646" s="34"/>
    </row>
    <row r="647" spans="6:8" s="27" customFormat="1">
      <c r="F647" s="33"/>
      <c r="H647" s="34"/>
    </row>
    <row r="648" spans="6:8" s="27" customFormat="1">
      <c r="F648" s="33"/>
      <c r="H648" s="34"/>
    </row>
    <row r="649" spans="6:8" s="27" customFormat="1">
      <c r="F649" s="33"/>
      <c r="H649" s="34"/>
    </row>
    <row r="650" spans="6:8" s="27" customFormat="1">
      <c r="F650" s="33"/>
      <c r="H650" s="34"/>
    </row>
    <row r="651" spans="6:8" s="27" customFormat="1">
      <c r="F651" s="33"/>
      <c r="H651" s="34"/>
    </row>
    <row r="652" spans="6:8" s="27" customFormat="1">
      <c r="F652" s="33"/>
      <c r="H652" s="34"/>
    </row>
    <row r="653" spans="6:8" s="27" customFormat="1">
      <c r="F653" s="33"/>
      <c r="H653" s="34"/>
    </row>
    <row r="654" spans="6:8" s="27" customFormat="1">
      <c r="F654" s="33"/>
      <c r="H654" s="34"/>
    </row>
    <row r="655" spans="6:8" s="27" customFormat="1">
      <c r="F655" s="33"/>
      <c r="H655" s="34"/>
    </row>
    <row r="656" spans="6:8" s="27" customFormat="1">
      <c r="F656" s="33"/>
      <c r="H656" s="34"/>
    </row>
    <row r="657" spans="6:8" s="27" customFormat="1">
      <c r="F657" s="33"/>
      <c r="H657" s="34"/>
    </row>
    <row r="658" spans="6:8" s="27" customFormat="1">
      <c r="F658" s="33"/>
      <c r="H658" s="34"/>
    </row>
    <row r="659" spans="6:8" s="27" customFormat="1">
      <c r="F659" s="33"/>
      <c r="H659" s="34"/>
    </row>
    <row r="660" spans="6:8" s="27" customFormat="1">
      <c r="F660" s="33"/>
      <c r="H660" s="34"/>
    </row>
    <row r="661" spans="6:8" s="27" customFormat="1">
      <c r="F661" s="33"/>
      <c r="H661" s="34"/>
    </row>
    <row r="662" spans="6:8" s="27" customFormat="1">
      <c r="F662" s="33"/>
      <c r="H662" s="34"/>
    </row>
    <row r="663" spans="6:8" s="27" customFormat="1">
      <c r="F663" s="33"/>
      <c r="H663" s="34"/>
    </row>
    <row r="664" spans="6:8" s="27" customFormat="1">
      <c r="F664" s="33"/>
      <c r="H664" s="34"/>
    </row>
    <row r="665" spans="6:8" s="27" customFormat="1">
      <c r="F665" s="33"/>
      <c r="H665" s="34"/>
    </row>
    <row r="666" spans="6:8" s="27" customFormat="1">
      <c r="F666" s="33"/>
      <c r="H666" s="34"/>
    </row>
    <row r="667" spans="6:8" s="27" customFormat="1">
      <c r="F667" s="33"/>
      <c r="H667" s="34"/>
    </row>
    <row r="668" spans="6:8" s="27" customFormat="1">
      <c r="F668" s="33"/>
      <c r="H668" s="34"/>
    </row>
    <row r="669" spans="6:8" s="27" customFormat="1">
      <c r="F669" s="33"/>
      <c r="H669" s="34"/>
    </row>
    <row r="670" spans="6:8" s="27" customFormat="1">
      <c r="F670" s="33"/>
      <c r="H670" s="34"/>
    </row>
    <row r="671" spans="6:8" s="27" customFormat="1">
      <c r="F671" s="33"/>
      <c r="H671" s="34"/>
    </row>
    <row r="672" spans="6:8" s="27" customFormat="1">
      <c r="F672" s="33"/>
      <c r="H672" s="34"/>
    </row>
    <row r="673" spans="6:8" s="27" customFormat="1">
      <c r="F673" s="33"/>
      <c r="H673" s="34"/>
    </row>
    <row r="674" spans="6:8" s="27" customFormat="1">
      <c r="F674" s="33"/>
      <c r="H674" s="34"/>
    </row>
    <row r="675" spans="6:8" s="27" customFormat="1">
      <c r="F675" s="33"/>
      <c r="H675" s="34"/>
    </row>
    <row r="676" spans="6:8" s="27" customFormat="1">
      <c r="F676" s="33"/>
      <c r="H676" s="34"/>
    </row>
    <row r="677" spans="6:8" s="27" customFormat="1">
      <c r="F677" s="33"/>
      <c r="H677" s="34"/>
    </row>
    <row r="678" spans="6:8" s="27" customFormat="1">
      <c r="F678" s="33"/>
      <c r="H678" s="34"/>
    </row>
    <row r="679" spans="6:8" s="27" customFormat="1">
      <c r="F679" s="33"/>
      <c r="H679" s="34"/>
    </row>
    <row r="680" spans="6:8" s="27" customFormat="1">
      <c r="F680" s="33"/>
      <c r="H680" s="34"/>
    </row>
    <row r="681" spans="6:8" s="27" customFormat="1">
      <c r="F681" s="33"/>
      <c r="H681" s="34"/>
    </row>
    <row r="682" spans="6:8" s="27" customFormat="1">
      <c r="F682" s="33"/>
      <c r="H682" s="34"/>
    </row>
    <row r="683" spans="6:8" s="27" customFormat="1">
      <c r="F683" s="33"/>
      <c r="H683" s="34"/>
    </row>
    <row r="684" spans="6:8" s="27" customFormat="1">
      <c r="F684" s="33"/>
      <c r="H684" s="34"/>
    </row>
    <row r="685" spans="6:8" s="27" customFormat="1">
      <c r="F685" s="33"/>
      <c r="H685" s="34"/>
    </row>
    <row r="686" spans="6:8" s="27" customFormat="1">
      <c r="F686" s="33"/>
      <c r="H686" s="34"/>
    </row>
    <row r="687" spans="6:8" s="27" customFormat="1">
      <c r="F687" s="33"/>
      <c r="H687" s="34"/>
    </row>
    <row r="688" spans="6:8" s="27" customFormat="1">
      <c r="F688" s="33"/>
      <c r="H688" s="34"/>
    </row>
    <row r="689" spans="6:8" s="27" customFormat="1">
      <c r="F689" s="33"/>
      <c r="H689" s="34"/>
    </row>
    <row r="690" spans="6:8" s="27" customFormat="1">
      <c r="F690" s="33"/>
      <c r="H690" s="34"/>
    </row>
    <row r="691" spans="6:8" s="27" customFormat="1">
      <c r="F691" s="33"/>
      <c r="H691" s="34"/>
    </row>
    <row r="692" spans="6:8" s="27" customFormat="1">
      <c r="F692" s="33"/>
      <c r="H692" s="34"/>
    </row>
    <row r="693" spans="6:8" s="27" customFormat="1">
      <c r="F693" s="33"/>
      <c r="H693" s="34"/>
    </row>
    <row r="694" spans="6:8" s="27" customFormat="1">
      <c r="F694" s="33"/>
      <c r="H694" s="34"/>
    </row>
    <row r="695" spans="6:8" s="27" customFormat="1">
      <c r="F695" s="33"/>
      <c r="H695" s="34"/>
    </row>
    <row r="696" spans="6:8" s="27" customFormat="1">
      <c r="F696" s="33"/>
      <c r="H696" s="34"/>
    </row>
    <row r="697" spans="6:8" s="27" customFormat="1">
      <c r="F697" s="33"/>
      <c r="H697" s="34"/>
    </row>
    <row r="698" spans="6:8" s="27" customFormat="1">
      <c r="F698" s="33"/>
      <c r="H698" s="34"/>
    </row>
    <row r="699" spans="6:8" s="27" customFormat="1">
      <c r="F699" s="33"/>
      <c r="H699" s="34"/>
    </row>
    <row r="700" spans="6:8" s="27" customFormat="1">
      <c r="F700" s="33"/>
      <c r="H700" s="34"/>
    </row>
    <row r="701" spans="6:8" s="27" customFormat="1">
      <c r="F701" s="33"/>
      <c r="H701" s="34"/>
    </row>
    <row r="702" spans="6:8" s="27" customFormat="1">
      <c r="F702" s="33"/>
      <c r="H702" s="34"/>
    </row>
    <row r="703" spans="6:8" s="27" customFormat="1">
      <c r="F703" s="33"/>
      <c r="H703" s="34"/>
    </row>
    <row r="704" spans="6:8" s="27" customFormat="1">
      <c r="F704" s="33"/>
      <c r="H704" s="34"/>
    </row>
    <row r="705" spans="6:8" s="27" customFormat="1">
      <c r="F705" s="33"/>
      <c r="H705" s="34"/>
    </row>
    <row r="706" spans="6:8" s="27" customFormat="1">
      <c r="F706" s="33"/>
      <c r="H706" s="34"/>
    </row>
    <row r="707" spans="6:8" s="27" customFormat="1">
      <c r="F707" s="33"/>
      <c r="H707" s="34"/>
    </row>
    <row r="708" spans="6:8" s="27" customFormat="1">
      <c r="F708" s="33"/>
      <c r="H708" s="34"/>
    </row>
    <row r="709" spans="6:8" s="27" customFormat="1">
      <c r="F709" s="33"/>
      <c r="H709" s="34"/>
    </row>
    <row r="710" spans="6:8" s="27" customFormat="1">
      <c r="F710" s="33"/>
      <c r="H710" s="34"/>
    </row>
    <row r="711" spans="6:8" s="27" customFormat="1">
      <c r="F711" s="33"/>
      <c r="H711" s="34"/>
    </row>
    <row r="712" spans="6:8" s="27" customFormat="1">
      <c r="F712" s="33"/>
      <c r="H712" s="34"/>
    </row>
    <row r="713" spans="6:8" s="27" customFormat="1">
      <c r="F713" s="33"/>
      <c r="H713" s="34"/>
    </row>
    <row r="714" spans="6:8" s="27" customFormat="1">
      <c r="F714" s="33"/>
      <c r="H714" s="34"/>
    </row>
    <row r="715" spans="6:8" s="27" customFormat="1">
      <c r="F715" s="33"/>
      <c r="H715" s="34"/>
    </row>
    <row r="716" spans="6:8" s="27" customFormat="1">
      <c r="F716" s="33"/>
      <c r="H716" s="34"/>
    </row>
    <row r="717" spans="6:8" s="27" customFormat="1">
      <c r="F717" s="33"/>
      <c r="H717" s="34"/>
    </row>
    <row r="718" spans="6:8" s="27" customFormat="1">
      <c r="F718" s="33"/>
      <c r="H718" s="34"/>
    </row>
    <row r="719" spans="6:8" s="27" customFormat="1">
      <c r="F719" s="33"/>
      <c r="H719" s="34"/>
    </row>
    <row r="720" spans="6:8" s="27" customFormat="1">
      <c r="F720" s="33"/>
      <c r="H720" s="34"/>
    </row>
    <row r="721" spans="6:8" s="27" customFormat="1">
      <c r="F721" s="33"/>
      <c r="H721" s="34"/>
    </row>
    <row r="722" spans="6:8" s="27" customFormat="1">
      <c r="F722" s="33"/>
      <c r="H722" s="34"/>
    </row>
    <row r="723" spans="6:8" s="27" customFormat="1">
      <c r="F723" s="33"/>
      <c r="H723" s="34"/>
    </row>
    <row r="724" spans="6:8" s="27" customFormat="1">
      <c r="F724" s="33"/>
      <c r="H724" s="34"/>
    </row>
    <row r="725" spans="6:8" s="27" customFormat="1">
      <c r="F725" s="33"/>
      <c r="H725" s="34"/>
    </row>
    <row r="726" spans="6:8" s="27" customFormat="1">
      <c r="F726" s="33"/>
      <c r="H726" s="34"/>
    </row>
    <row r="727" spans="6:8" s="27" customFormat="1">
      <c r="F727" s="33"/>
      <c r="H727" s="34"/>
    </row>
    <row r="728" spans="6:8" s="27" customFormat="1">
      <c r="F728" s="33"/>
      <c r="H728" s="34"/>
    </row>
    <row r="729" spans="6:8" s="27" customFormat="1">
      <c r="F729" s="33"/>
      <c r="H729" s="34"/>
    </row>
    <row r="730" spans="6:8" s="27" customFormat="1">
      <c r="F730" s="33"/>
      <c r="H730" s="34"/>
    </row>
    <row r="731" spans="6:8" s="27" customFormat="1">
      <c r="F731" s="33"/>
      <c r="H731" s="34"/>
    </row>
    <row r="732" spans="6:8" s="27" customFormat="1">
      <c r="F732" s="33"/>
      <c r="H732" s="34"/>
    </row>
    <row r="733" spans="6:8" s="27" customFormat="1">
      <c r="F733" s="33"/>
      <c r="H733" s="34"/>
    </row>
    <row r="734" spans="6:8" s="27" customFormat="1">
      <c r="F734" s="33"/>
      <c r="H734" s="34"/>
    </row>
    <row r="735" spans="6:8" s="27" customFormat="1">
      <c r="F735" s="33"/>
      <c r="H735" s="34"/>
    </row>
    <row r="736" spans="6:8" s="27" customFormat="1">
      <c r="F736" s="33"/>
      <c r="H736" s="34"/>
    </row>
    <row r="737" spans="6:8" s="27" customFormat="1">
      <c r="F737" s="33"/>
      <c r="H737" s="34"/>
    </row>
    <row r="738" spans="6:8" s="27" customFormat="1">
      <c r="F738" s="33"/>
      <c r="H738" s="34"/>
    </row>
    <row r="739" spans="6:8" s="27" customFormat="1">
      <c r="F739" s="33"/>
      <c r="H739" s="34"/>
    </row>
    <row r="740" spans="6:8" s="27" customFormat="1">
      <c r="F740" s="33"/>
      <c r="H740" s="34"/>
    </row>
    <row r="741" spans="6:8" s="27" customFormat="1">
      <c r="F741" s="33"/>
      <c r="H741" s="34"/>
    </row>
    <row r="742" spans="6:8" s="27" customFormat="1">
      <c r="F742" s="33"/>
      <c r="H742" s="34"/>
    </row>
    <row r="743" spans="6:8" s="27" customFormat="1">
      <c r="F743" s="33"/>
      <c r="H743" s="34"/>
    </row>
    <row r="744" spans="6:8" s="27" customFormat="1">
      <c r="F744" s="33"/>
      <c r="H744" s="34"/>
    </row>
    <row r="745" spans="6:8" s="27" customFormat="1">
      <c r="F745" s="33"/>
      <c r="H745" s="34"/>
    </row>
    <row r="746" spans="6:8" s="27" customFormat="1">
      <c r="F746" s="33"/>
      <c r="H746" s="34"/>
    </row>
    <row r="747" spans="6:8" s="27" customFormat="1">
      <c r="F747" s="33"/>
      <c r="H747" s="34"/>
    </row>
    <row r="748" spans="6:8" s="27" customFormat="1">
      <c r="F748" s="33"/>
      <c r="H748" s="34"/>
    </row>
    <row r="749" spans="6:8" s="27" customFormat="1">
      <c r="F749" s="33"/>
      <c r="H749" s="34"/>
    </row>
  </sheetData>
  <mergeCells count="2">
    <mergeCell ref="B1:H1"/>
    <mergeCell ref="B2:H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92"/>
  <sheetViews>
    <sheetView zoomScaleNormal="100" workbookViewId="0">
      <selection activeCell="K11" sqref="K11"/>
    </sheetView>
  </sheetViews>
  <sheetFormatPr defaultRowHeight="12.75"/>
  <cols>
    <col min="1" max="1" width="3.42578125" style="27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87" width="9.140625" style="27"/>
  </cols>
  <sheetData>
    <row r="1" spans="1:9" ht="15.95" customHeight="1">
      <c r="A1" s="24"/>
      <c r="B1" s="183" t="s">
        <v>355</v>
      </c>
      <c r="C1" s="184"/>
      <c r="D1" s="184"/>
      <c r="E1" s="184"/>
      <c r="F1" s="184"/>
      <c r="G1" s="184"/>
      <c r="H1" s="185"/>
      <c r="I1" s="1"/>
    </row>
    <row r="2" spans="1:9" ht="12.95" customHeight="1" thickBot="1">
      <c r="A2" s="24"/>
      <c r="B2" s="186" t="s">
        <v>393</v>
      </c>
      <c r="C2" s="187"/>
      <c r="D2" s="187"/>
      <c r="E2" s="187"/>
      <c r="F2" s="187"/>
      <c r="G2" s="187"/>
      <c r="H2" s="188"/>
      <c r="I2" s="1"/>
    </row>
    <row r="3" spans="1:9" s="27" customFormat="1" ht="12.95" customHeight="1">
      <c r="A3" s="24"/>
      <c r="B3" s="69"/>
      <c r="C3" s="69"/>
      <c r="D3" s="69"/>
      <c r="E3" s="69"/>
      <c r="F3" s="69"/>
      <c r="G3" s="69"/>
      <c r="H3" s="69"/>
      <c r="I3" s="24"/>
    </row>
    <row r="4" spans="1:9" s="27" customFormat="1" ht="12.95" customHeight="1">
      <c r="A4" s="25"/>
      <c r="B4" s="29" t="s">
        <v>2</v>
      </c>
      <c r="C4" s="24"/>
      <c r="D4" s="24"/>
      <c r="E4" s="24"/>
      <c r="F4" s="30"/>
      <c r="G4" s="24"/>
      <c r="H4" s="31"/>
      <c r="I4" s="24"/>
    </row>
    <row r="5" spans="1:9" s="27" customFormat="1" ht="12.95" customHeight="1" thickBot="1">
      <c r="A5" s="25"/>
      <c r="B5" s="29"/>
      <c r="C5" s="24"/>
      <c r="D5" s="24"/>
      <c r="E5" s="24"/>
      <c r="F5" s="30"/>
      <c r="G5" s="24"/>
      <c r="H5" s="31"/>
      <c r="I5" s="24"/>
    </row>
    <row r="6" spans="1:9" ht="27.95" customHeight="1" thickBot="1">
      <c r="A6" s="24"/>
      <c r="B6" s="165" t="s">
        <v>3</v>
      </c>
      <c r="C6" s="166" t="s">
        <v>4</v>
      </c>
      <c r="D6" s="167" t="s">
        <v>5</v>
      </c>
      <c r="E6" s="167" t="s">
        <v>6</v>
      </c>
      <c r="F6" s="168" t="s">
        <v>7</v>
      </c>
      <c r="G6" s="167" t="s">
        <v>8</v>
      </c>
      <c r="H6" s="169" t="s">
        <v>9</v>
      </c>
      <c r="I6" s="36" t="s">
        <v>10</v>
      </c>
    </row>
    <row r="7" spans="1:9" ht="12.95" customHeight="1">
      <c r="A7" s="24"/>
      <c r="B7" s="158" t="s">
        <v>368</v>
      </c>
      <c r="C7" s="159"/>
      <c r="D7" s="121"/>
      <c r="E7" s="121"/>
      <c r="F7" s="122"/>
      <c r="G7" s="121"/>
      <c r="H7" s="164"/>
      <c r="I7" s="23"/>
    </row>
    <row r="8" spans="1:9" ht="12.95" customHeight="1">
      <c r="A8" s="24"/>
      <c r="B8" s="13" t="s">
        <v>369</v>
      </c>
      <c r="C8" s="93"/>
      <c r="D8" s="44"/>
      <c r="E8" s="154" t="s">
        <v>196</v>
      </c>
      <c r="F8" s="154" t="s">
        <v>196</v>
      </c>
      <c r="G8" s="154" t="s">
        <v>196</v>
      </c>
      <c r="H8" s="157" t="s">
        <v>196</v>
      </c>
      <c r="I8" s="7" t="s">
        <v>196</v>
      </c>
    </row>
    <row r="9" spans="1:9" ht="12.95" customHeight="1">
      <c r="A9" s="26"/>
      <c r="B9" s="16" t="s">
        <v>195</v>
      </c>
      <c r="C9" s="94"/>
      <c r="D9" s="44"/>
      <c r="E9" s="154" t="s">
        <v>196</v>
      </c>
      <c r="F9" s="154" t="s">
        <v>196</v>
      </c>
      <c r="G9" s="154" t="s">
        <v>196</v>
      </c>
      <c r="H9" s="157" t="s">
        <v>196</v>
      </c>
      <c r="I9" s="7" t="s">
        <v>196</v>
      </c>
    </row>
    <row r="10" spans="1:9" ht="12.95" customHeight="1">
      <c r="A10" s="26"/>
      <c r="B10" s="116"/>
      <c r="C10" s="43"/>
      <c r="D10" s="44"/>
      <c r="E10" s="156"/>
      <c r="F10" s="156"/>
      <c r="G10" s="156"/>
      <c r="H10" s="170"/>
      <c r="I10" s="8"/>
    </row>
    <row r="11" spans="1:9" ht="12.95" customHeight="1">
      <c r="A11" s="26"/>
      <c r="B11" s="9" t="s">
        <v>370</v>
      </c>
      <c r="C11" s="92"/>
      <c r="D11" s="44"/>
      <c r="E11" s="156"/>
      <c r="F11" s="156"/>
      <c r="G11" s="156"/>
      <c r="H11" s="170"/>
      <c r="I11" s="8"/>
    </row>
    <row r="12" spans="1:9" ht="12.95" customHeight="1">
      <c r="A12" s="26"/>
      <c r="B12" s="13" t="s">
        <v>375</v>
      </c>
      <c r="C12" s="93"/>
      <c r="D12" s="44"/>
      <c r="E12" s="154" t="s">
        <v>196</v>
      </c>
      <c r="F12" s="154" t="s">
        <v>196</v>
      </c>
      <c r="G12" s="154" t="s">
        <v>196</v>
      </c>
      <c r="H12" s="157" t="s">
        <v>196</v>
      </c>
      <c r="I12" s="7" t="s">
        <v>196</v>
      </c>
    </row>
    <row r="13" spans="1:9" ht="12.95" customHeight="1">
      <c r="A13" s="26"/>
      <c r="B13" s="16" t="s">
        <v>372</v>
      </c>
      <c r="C13" s="94"/>
      <c r="D13" s="44"/>
      <c r="E13" s="154" t="s">
        <v>196</v>
      </c>
      <c r="F13" s="154" t="s">
        <v>196</v>
      </c>
      <c r="G13" s="154" t="s">
        <v>196</v>
      </c>
      <c r="H13" s="157" t="s">
        <v>196</v>
      </c>
      <c r="I13" s="7" t="s">
        <v>196</v>
      </c>
    </row>
    <row r="14" spans="1:9" ht="12.95" customHeight="1">
      <c r="A14" s="24"/>
      <c r="B14" s="16" t="s">
        <v>373</v>
      </c>
      <c r="C14" s="94"/>
      <c r="D14" s="44"/>
      <c r="E14" s="154" t="s">
        <v>196</v>
      </c>
      <c r="F14" s="154" t="s">
        <v>196</v>
      </c>
      <c r="G14" s="154" t="s">
        <v>196</v>
      </c>
      <c r="H14" s="157" t="s">
        <v>196</v>
      </c>
      <c r="I14" s="7" t="s">
        <v>196</v>
      </c>
    </row>
    <row r="15" spans="1:9" ht="12.95" customHeight="1">
      <c r="A15" s="24"/>
      <c r="B15" s="16"/>
      <c r="C15" s="94"/>
      <c r="D15" s="44"/>
      <c r="E15" s="174"/>
      <c r="F15" s="174"/>
      <c r="G15" s="174"/>
      <c r="H15" s="175"/>
      <c r="I15" s="176"/>
    </row>
    <row r="16" spans="1:9" ht="12.95" customHeight="1">
      <c r="A16" s="24"/>
      <c r="B16" s="53" t="s">
        <v>11</v>
      </c>
      <c r="C16" s="11" t="s">
        <v>1</v>
      </c>
      <c r="D16" s="11" t="s">
        <v>1</v>
      </c>
      <c r="E16" s="11" t="s">
        <v>1</v>
      </c>
      <c r="F16" s="46" t="s">
        <v>1</v>
      </c>
      <c r="G16" s="47"/>
      <c r="H16" s="54" t="s">
        <v>1</v>
      </c>
      <c r="I16" s="37" t="s">
        <v>1</v>
      </c>
    </row>
    <row r="17" spans="1:9" ht="12.95" customHeight="1">
      <c r="A17" s="24"/>
      <c r="B17" s="53"/>
      <c r="C17" s="11"/>
      <c r="D17" s="11"/>
      <c r="E17" s="11"/>
      <c r="F17" s="46"/>
      <c r="G17" s="47"/>
      <c r="H17" s="54"/>
      <c r="I17" s="37"/>
    </row>
    <row r="18" spans="1:9" ht="12.95" customHeight="1">
      <c r="A18" s="24"/>
      <c r="B18" s="53" t="s">
        <v>12</v>
      </c>
      <c r="C18" s="11" t="s">
        <v>1</v>
      </c>
      <c r="D18" s="11" t="s">
        <v>1</v>
      </c>
      <c r="E18" s="11" t="s">
        <v>1</v>
      </c>
      <c r="F18" s="46" t="s">
        <v>1</v>
      </c>
      <c r="G18" s="47"/>
      <c r="H18" s="54" t="s">
        <v>1</v>
      </c>
      <c r="I18" s="37" t="s">
        <v>1</v>
      </c>
    </row>
    <row r="19" spans="1:9" ht="12.95" customHeight="1">
      <c r="A19" s="26"/>
      <c r="B19" s="55" t="s">
        <v>382</v>
      </c>
      <c r="C19" s="11" t="s">
        <v>356</v>
      </c>
      <c r="D19" s="11" t="s">
        <v>18</v>
      </c>
      <c r="E19" s="48">
        <v>500000</v>
      </c>
      <c r="F19" s="49">
        <v>489.97372999999999</v>
      </c>
      <c r="G19" s="50">
        <v>489.97</v>
      </c>
      <c r="H19" s="56">
        <v>0.16113681243161909</v>
      </c>
      <c r="I19" s="2">
        <v>0.16109999999999999</v>
      </c>
    </row>
    <row r="20" spans="1:9" ht="12.95" customHeight="1">
      <c r="A20" s="26"/>
      <c r="B20" s="55" t="s">
        <v>357</v>
      </c>
      <c r="C20" s="11" t="s">
        <v>358</v>
      </c>
      <c r="D20" s="11" t="s">
        <v>18</v>
      </c>
      <c r="E20" s="48">
        <v>500000</v>
      </c>
      <c r="F20" s="49">
        <v>486.029</v>
      </c>
      <c r="G20" s="50">
        <v>486.03</v>
      </c>
      <c r="H20" s="56">
        <v>0.15983951590491882</v>
      </c>
      <c r="I20" s="2">
        <v>0.1598</v>
      </c>
    </row>
    <row r="21" spans="1:9" ht="12.95" customHeight="1">
      <c r="A21" s="26"/>
      <c r="B21" s="55" t="s">
        <v>359</v>
      </c>
      <c r="C21" s="11" t="s">
        <v>360</v>
      </c>
      <c r="D21" s="11" t="s">
        <v>18</v>
      </c>
      <c r="E21" s="48">
        <v>500000</v>
      </c>
      <c r="F21" s="49">
        <v>466.048</v>
      </c>
      <c r="G21" s="50">
        <v>466.05</v>
      </c>
      <c r="H21" s="56">
        <v>0.15326839902239497</v>
      </c>
      <c r="I21" s="2">
        <v>0.15329999999999999</v>
      </c>
    </row>
    <row r="22" spans="1:9" ht="12.95" customHeight="1">
      <c r="A22" s="26"/>
      <c r="B22" s="55" t="s">
        <v>361</v>
      </c>
      <c r="C22" s="11" t="s">
        <v>362</v>
      </c>
      <c r="D22" s="11" t="s">
        <v>18</v>
      </c>
      <c r="E22" s="48">
        <v>500000</v>
      </c>
      <c r="F22" s="49">
        <v>461.46100000000001</v>
      </c>
      <c r="G22" s="50">
        <v>461.46</v>
      </c>
      <c r="H22" s="56">
        <v>0.15175988027257581</v>
      </c>
      <c r="I22" s="2">
        <v>0.15179999999999999</v>
      </c>
    </row>
    <row r="23" spans="1:9" ht="12.95" customHeight="1">
      <c r="A23" s="26"/>
      <c r="B23" s="55" t="s">
        <v>363</v>
      </c>
      <c r="C23" s="11" t="s">
        <v>364</v>
      </c>
      <c r="D23" s="11" t="s">
        <v>18</v>
      </c>
      <c r="E23" s="48">
        <v>350000</v>
      </c>
      <c r="F23" s="49">
        <v>340.58920000000001</v>
      </c>
      <c r="G23" s="50">
        <v>340.59</v>
      </c>
      <c r="H23" s="56">
        <v>0.11200898063787053</v>
      </c>
      <c r="I23" s="2">
        <v>0.112</v>
      </c>
    </row>
    <row r="24" spans="1:9" ht="12.95" customHeight="1">
      <c r="A24" s="26"/>
      <c r="B24" s="55" t="s">
        <v>365</v>
      </c>
      <c r="C24" s="11" t="s">
        <v>366</v>
      </c>
      <c r="D24" s="11" t="s">
        <v>18</v>
      </c>
      <c r="E24" s="48">
        <v>350000</v>
      </c>
      <c r="F24" s="49">
        <v>325.72084999999998</v>
      </c>
      <c r="G24" s="50">
        <v>325.72000000000003</v>
      </c>
      <c r="H24" s="56">
        <v>0.1071192521107561</v>
      </c>
      <c r="I24" s="2">
        <v>0.1071</v>
      </c>
    </row>
    <row r="25" spans="1:9" ht="12.95" customHeight="1">
      <c r="A25" s="24"/>
      <c r="B25" s="53" t="s">
        <v>42</v>
      </c>
      <c r="C25" s="11" t="s">
        <v>1</v>
      </c>
      <c r="D25" s="11" t="s">
        <v>1</v>
      </c>
      <c r="E25" s="11" t="s">
        <v>1</v>
      </c>
      <c r="F25" s="12">
        <v>2569.8217800000002</v>
      </c>
      <c r="G25" s="51">
        <v>2569.8200000000002</v>
      </c>
      <c r="H25" s="57">
        <v>0.84513284038013536</v>
      </c>
      <c r="I25" s="38">
        <v>0.84509999999999996</v>
      </c>
    </row>
    <row r="26" spans="1:9" ht="12.95" customHeight="1">
      <c r="A26" s="24"/>
      <c r="B26" s="53" t="s">
        <v>43</v>
      </c>
      <c r="C26" s="11" t="s">
        <v>1</v>
      </c>
      <c r="D26" s="11" t="s">
        <v>1</v>
      </c>
      <c r="E26" s="11" t="s">
        <v>1</v>
      </c>
      <c r="F26" s="12">
        <v>2569.8217800000002</v>
      </c>
      <c r="G26" s="51">
        <v>2569.8200000000002</v>
      </c>
      <c r="H26" s="57">
        <v>0.84513284038013536</v>
      </c>
      <c r="I26" s="38">
        <v>0.84509999999999996</v>
      </c>
    </row>
    <row r="27" spans="1:9" ht="12.95" customHeight="1">
      <c r="A27" s="24"/>
      <c r="B27" s="53"/>
      <c r="C27" s="11"/>
      <c r="D27" s="11"/>
      <c r="E27" s="11"/>
      <c r="F27" s="12"/>
      <c r="G27" s="51"/>
      <c r="H27" s="57"/>
      <c r="I27" s="40"/>
    </row>
    <row r="28" spans="1:9" ht="12.95" customHeight="1">
      <c r="A28" s="24"/>
      <c r="B28" s="53" t="s">
        <v>204</v>
      </c>
      <c r="C28" s="11" t="s">
        <v>1</v>
      </c>
      <c r="D28" s="11" t="s">
        <v>1</v>
      </c>
      <c r="E28" s="11" t="s">
        <v>1</v>
      </c>
      <c r="F28" s="46" t="s">
        <v>1</v>
      </c>
      <c r="G28" s="47"/>
      <c r="H28" s="54" t="s">
        <v>1</v>
      </c>
      <c r="I28" s="37" t="s">
        <v>1</v>
      </c>
    </row>
    <row r="29" spans="1:9" ht="12.95" customHeight="1">
      <c r="A29" s="24"/>
      <c r="B29" s="53" t="s">
        <v>205</v>
      </c>
      <c r="C29" s="11" t="s">
        <v>1</v>
      </c>
      <c r="D29" s="11" t="s">
        <v>1</v>
      </c>
      <c r="E29" s="11" t="s">
        <v>1</v>
      </c>
      <c r="F29" s="46" t="s">
        <v>1</v>
      </c>
      <c r="G29" s="47"/>
      <c r="H29" s="54" t="s">
        <v>1</v>
      </c>
      <c r="I29" s="37" t="s">
        <v>1</v>
      </c>
    </row>
    <row r="30" spans="1:9" ht="12.95" customHeight="1">
      <c r="A30" s="26"/>
      <c r="B30" s="55" t="s">
        <v>353</v>
      </c>
      <c r="C30" s="11" t="s">
        <v>354</v>
      </c>
      <c r="D30" s="11" t="s">
        <v>1</v>
      </c>
      <c r="E30" s="48">
        <v>1300000</v>
      </c>
      <c r="F30" s="49">
        <v>142.0146</v>
      </c>
      <c r="G30" s="50">
        <v>142.01</v>
      </c>
      <c r="H30" s="56">
        <v>4.6704095672132087E-2</v>
      </c>
      <c r="I30" s="2">
        <v>4.6699999999999998E-2</v>
      </c>
    </row>
    <row r="31" spans="1:9" ht="12.95" customHeight="1">
      <c r="A31" s="24"/>
      <c r="B31" s="53" t="s">
        <v>42</v>
      </c>
      <c r="C31" s="11" t="s">
        <v>1</v>
      </c>
      <c r="D31" s="11" t="s">
        <v>1</v>
      </c>
      <c r="E31" s="11" t="s">
        <v>1</v>
      </c>
      <c r="F31" s="12">
        <v>142.0146</v>
      </c>
      <c r="G31" s="51">
        <v>142.01</v>
      </c>
      <c r="H31" s="57">
        <v>4.6704095672132087E-2</v>
      </c>
      <c r="I31" s="38">
        <v>4.6699999999999998E-2</v>
      </c>
    </row>
    <row r="32" spans="1:9" ht="12.95" customHeight="1">
      <c r="A32" s="24"/>
      <c r="B32" s="53" t="s">
        <v>43</v>
      </c>
      <c r="C32" s="11" t="s">
        <v>1</v>
      </c>
      <c r="D32" s="11" t="s">
        <v>1</v>
      </c>
      <c r="E32" s="11" t="s">
        <v>1</v>
      </c>
      <c r="F32" s="12">
        <v>142.0146</v>
      </c>
      <c r="G32" s="51">
        <v>142.01</v>
      </c>
      <c r="H32" s="57">
        <v>4.6704095672132087E-2</v>
      </c>
      <c r="I32" s="38">
        <v>4.6699999999999998E-2</v>
      </c>
    </row>
    <row r="33" spans="1:9" ht="12.95" customHeight="1">
      <c r="A33" s="24"/>
      <c r="B33" s="53"/>
      <c r="C33" s="11"/>
      <c r="D33" s="11"/>
      <c r="E33" s="11"/>
      <c r="F33" s="12"/>
      <c r="G33" s="51"/>
      <c r="H33" s="57"/>
      <c r="I33" s="40"/>
    </row>
    <row r="34" spans="1:9" ht="12.95" customHeight="1">
      <c r="A34" s="24"/>
      <c r="B34" s="53" t="s">
        <v>44</v>
      </c>
      <c r="C34" s="11" t="s">
        <v>1</v>
      </c>
      <c r="D34" s="11" t="s">
        <v>1</v>
      </c>
      <c r="E34" s="11" t="s">
        <v>1</v>
      </c>
      <c r="F34" s="46" t="s">
        <v>1</v>
      </c>
      <c r="G34" s="47"/>
      <c r="H34" s="54" t="s">
        <v>1</v>
      </c>
      <c r="I34" s="37" t="s">
        <v>1</v>
      </c>
    </row>
    <row r="35" spans="1:9" ht="12.95" customHeight="1">
      <c r="A35" s="26"/>
      <c r="B35" s="55" t="s">
        <v>45</v>
      </c>
      <c r="C35" s="11" t="s">
        <v>1</v>
      </c>
      <c r="D35" s="11" t="s">
        <v>46</v>
      </c>
      <c r="E35" s="48"/>
      <c r="F35" s="49">
        <v>328.78082899999998</v>
      </c>
      <c r="G35" s="50">
        <v>328.78</v>
      </c>
      <c r="H35" s="56">
        <v>0.10812558210760653</v>
      </c>
      <c r="I35" s="2">
        <v>0.1081</v>
      </c>
    </row>
    <row r="36" spans="1:9" ht="12.95" customHeight="1">
      <c r="A36" s="24"/>
      <c r="B36" s="53" t="s">
        <v>42</v>
      </c>
      <c r="C36" s="11" t="s">
        <v>1</v>
      </c>
      <c r="D36" s="11" t="s">
        <v>1</v>
      </c>
      <c r="E36" s="11" t="s">
        <v>1</v>
      </c>
      <c r="F36" s="12">
        <v>328.78082899999998</v>
      </c>
      <c r="G36" s="51">
        <v>328.78</v>
      </c>
      <c r="H36" s="57">
        <v>0.10812558210760653</v>
      </c>
      <c r="I36" s="38">
        <v>0.1081</v>
      </c>
    </row>
    <row r="37" spans="1:9" ht="12.95" customHeight="1">
      <c r="A37" s="24"/>
      <c r="B37" s="53"/>
      <c r="C37" s="11"/>
      <c r="D37" s="11"/>
      <c r="E37" s="11"/>
      <c r="F37" s="12"/>
      <c r="G37" s="51"/>
      <c r="H37" s="57"/>
      <c r="I37" s="38"/>
    </row>
    <row r="38" spans="1:9" ht="12.95" customHeight="1">
      <c r="A38" s="24"/>
      <c r="B38" s="53" t="s">
        <v>47</v>
      </c>
      <c r="C38" s="11" t="s">
        <v>1</v>
      </c>
      <c r="D38" s="11" t="s">
        <v>1</v>
      </c>
      <c r="E38" s="11" t="s">
        <v>1</v>
      </c>
      <c r="F38" s="14">
        <v>0.1139722</v>
      </c>
      <c r="G38" s="95">
        <v>0.12</v>
      </c>
      <c r="H38" s="96">
        <v>3.7481840126038957E-5</v>
      </c>
      <c r="I38" s="38">
        <v>1E-4</v>
      </c>
    </row>
    <row r="39" spans="1:9" ht="12.95" customHeight="1">
      <c r="A39" s="24"/>
      <c r="B39" s="53" t="s">
        <v>42</v>
      </c>
      <c r="C39" s="11"/>
      <c r="D39" s="11"/>
      <c r="E39" s="11"/>
      <c r="F39" s="12">
        <v>0.1139722</v>
      </c>
      <c r="G39" s="51">
        <v>0.12</v>
      </c>
      <c r="H39" s="57">
        <v>3.7481840126038957E-5</v>
      </c>
      <c r="I39" s="41"/>
    </row>
    <row r="40" spans="1:9" ht="12.95" customHeight="1">
      <c r="A40" s="24"/>
      <c r="B40" s="53" t="s">
        <v>43</v>
      </c>
      <c r="C40" s="11"/>
      <c r="D40" s="11"/>
      <c r="E40" s="11"/>
      <c r="F40" s="12">
        <f>F36+F39</f>
        <v>328.89480119999996</v>
      </c>
      <c r="G40" s="12">
        <f t="shared" ref="G40:H40" si="0">G36+G39</f>
        <v>328.9</v>
      </c>
      <c r="H40" s="57">
        <f t="shared" si="0"/>
        <v>0.10816306394773258</v>
      </c>
      <c r="I40" s="41"/>
    </row>
    <row r="41" spans="1:9" ht="12.95" customHeight="1" thickBot="1">
      <c r="A41" s="24"/>
      <c r="B41" s="80"/>
      <c r="C41" s="17"/>
      <c r="D41" s="17"/>
      <c r="E41" s="17"/>
      <c r="F41" s="18"/>
      <c r="G41" s="99"/>
      <c r="H41" s="100"/>
      <c r="I41" s="41"/>
    </row>
    <row r="42" spans="1:9" ht="12.95" customHeight="1" thickBot="1">
      <c r="A42" s="24"/>
      <c r="B42" s="84" t="s">
        <v>48</v>
      </c>
      <c r="C42" s="85" t="s">
        <v>1</v>
      </c>
      <c r="D42" s="85" t="s">
        <v>1</v>
      </c>
      <c r="E42" s="85" t="s">
        <v>1</v>
      </c>
      <c r="F42" s="101">
        <v>3040.7311811999998</v>
      </c>
      <c r="G42" s="102">
        <v>3040.73</v>
      </c>
      <c r="H42" s="103">
        <v>1</v>
      </c>
      <c r="I42" s="42">
        <v>1</v>
      </c>
    </row>
    <row r="43" spans="1:9" s="27" customFormat="1" ht="12.95" customHeight="1">
      <c r="A43" s="24"/>
      <c r="B43" s="25" t="s">
        <v>1</v>
      </c>
      <c r="C43" s="24"/>
      <c r="D43" s="24"/>
      <c r="E43" s="24"/>
      <c r="F43" s="30"/>
      <c r="G43" s="24"/>
      <c r="H43" s="31"/>
      <c r="I43" s="24"/>
    </row>
    <row r="44" spans="1:9" s="27" customFormat="1" ht="12.95" customHeight="1">
      <c r="A44" s="24"/>
      <c r="B44" s="32" t="s">
        <v>46</v>
      </c>
      <c r="C44" s="24"/>
      <c r="D44" s="24"/>
      <c r="E44" s="24"/>
      <c r="F44" s="30"/>
      <c r="G44" s="24"/>
      <c r="H44" s="31"/>
      <c r="I44" s="24"/>
    </row>
    <row r="45" spans="1:9" s="27" customFormat="1" ht="12.95" customHeight="1">
      <c r="A45" s="24"/>
      <c r="B45" s="32" t="s">
        <v>49</v>
      </c>
      <c r="C45" s="24"/>
      <c r="D45" s="24"/>
      <c r="E45" s="24"/>
      <c r="F45" s="30"/>
      <c r="G45" s="24"/>
      <c r="H45" s="31"/>
      <c r="I45" s="24"/>
    </row>
    <row r="46" spans="1:9" s="27" customFormat="1" ht="12.95" customHeight="1">
      <c r="A46" s="24"/>
      <c r="B46" s="32" t="s">
        <v>50</v>
      </c>
      <c r="C46" s="24"/>
      <c r="D46" s="24"/>
      <c r="E46" s="24"/>
      <c r="F46" s="30"/>
      <c r="G46" s="24"/>
      <c r="H46" s="31"/>
      <c r="I46" s="24"/>
    </row>
    <row r="47" spans="1:9" s="27" customFormat="1" ht="12.95" customHeight="1" thickBot="1">
      <c r="A47" s="24"/>
      <c r="B47" s="32" t="s">
        <v>1</v>
      </c>
      <c r="C47" s="24"/>
      <c r="D47" s="24"/>
      <c r="E47" s="24"/>
      <c r="F47" s="30"/>
      <c r="G47" s="24"/>
      <c r="H47" s="31"/>
      <c r="I47" s="24"/>
    </row>
    <row r="48" spans="1:9" s="27" customFormat="1" ht="12.95" customHeight="1" thickBot="1">
      <c r="A48" s="24"/>
      <c r="B48" s="160" t="s">
        <v>392</v>
      </c>
      <c r="C48" s="161">
        <v>186.08</v>
      </c>
      <c r="D48" s="24"/>
      <c r="E48" s="24"/>
      <c r="F48" s="30"/>
      <c r="G48" s="24"/>
      <c r="H48" s="31"/>
      <c r="I48" s="24"/>
    </row>
    <row r="49" spans="6:8" s="27" customFormat="1">
      <c r="F49" s="33"/>
      <c r="H49" s="34"/>
    </row>
    <row r="50" spans="6:8" s="27" customFormat="1">
      <c r="F50" s="33"/>
      <c r="H50" s="34"/>
    </row>
    <row r="51" spans="6:8" s="27" customFormat="1">
      <c r="F51" s="33"/>
      <c r="H51" s="34"/>
    </row>
    <row r="52" spans="6:8" s="27" customFormat="1">
      <c r="F52" s="33"/>
      <c r="H52" s="34"/>
    </row>
    <row r="53" spans="6:8" s="27" customFormat="1">
      <c r="F53" s="33"/>
      <c r="H53" s="34"/>
    </row>
    <row r="54" spans="6:8" s="27" customFormat="1">
      <c r="F54" s="33"/>
      <c r="H54" s="34"/>
    </row>
    <row r="55" spans="6:8" s="27" customFormat="1">
      <c r="F55" s="33"/>
      <c r="H55" s="34"/>
    </row>
    <row r="56" spans="6:8" s="27" customFormat="1">
      <c r="F56" s="33"/>
      <c r="H56" s="34"/>
    </row>
    <row r="57" spans="6:8" s="27" customFormat="1">
      <c r="F57" s="33"/>
      <c r="H57" s="34"/>
    </row>
    <row r="58" spans="6:8" s="27" customFormat="1">
      <c r="F58" s="33"/>
      <c r="H58" s="34"/>
    </row>
    <row r="59" spans="6:8" s="27" customFormat="1">
      <c r="F59" s="33"/>
      <c r="H59" s="34"/>
    </row>
    <row r="60" spans="6:8" s="27" customFormat="1">
      <c r="F60" s="33"/>
      <c r="H60" s="34"/>
    </row>
    <row r="61" spans="6:8" s="27" customFormat="1">
      <c r="F61" s="33"/>
      <c r="H61" s="34"/>
    </row>
    <row r="62" spans="6:8" s="27" customFormat="1">
      <c r="F62" s="33"/>
      <c r="H62" s="34"/>
    </row>
    <row r="63" spans="6:8" s="27" customFormat="1">
      <c r="F63" s="33"/>
      <c r="H63" s="34"/>
    </row>
    <row r="64" spans="6:8" s="27" customFormat="1">
      <c r="F64" s="33"/>
      <c r="H64" s="34"/>
    </row>
    <row r="65" spans="6:8" s="27" customFormat="1">
      <c r="F65" s="33"/>
      <c r="H65" s="34"/>
    </row>
    <row r="66" spans="6:8" s="27" customFormat="1">
      <c r="F66" s="33"/>
      <c r="H66" s="34"/>
    </row>
    <row r="67" spans="6:8" s="27" customFormat="1">
      <c r="F67" s="33"/>
      <c r="H67" s="34"/>
    </row>
    <row r="68" spans="6:8" s="27" customFormat="1">
      <c r="F68" s="33"/>
      <c r="H68" s="34"/>
    </row>
    <row r="69" spans="6:8" s="27" customFormat="1">
      <c r="F69" s="33"/>
      <c r="H69" s="34"/>
    </row>
    <row r="70" spans="6:8" s="27" customFormat="1">
      <c r="F70" s="33"/>
      <c r="H70" s="34"/>
    </row>
    <row r="71" spans="6:8" s="27" customFormat="1">
      <c r="F71" s="33"/>
      <c r="H71" s="34"/>
    </row>
    <row r="72" spans="6:8" s="27" customFormat="1">
      <c r="F72" s="33"/>
      <c r="H72" s="34"/>
    </row>
    <row r="73" spans="6:8" s="27" customFormat="1">
      <c r="F73" s="33"/>
      <c r="H73" s="34"/>
    </row>
    <row r="74" spans="6:8" s="27" customFormat="1">
      <c r="F74" s="33"/>
      <c r="H74" s="34"/>
    </row>
    <row r="75" spans="6:8" s="27" customFormat="1">
      <c r="F75" s="33"/>
      <c r="H75" s="34"/>
    </row>
    <row r="76" spans="6:8" s="27" customFormat="1">
      <c r="F76" s="33"/>
      <c r="H76" s="34"/>
    </row>
    <row r="77" spans="6:8" s="27" customFormat="1">
      <c r="F77" s="33"/>
      <c r="H77" s="34"/>
    </row>
    <row r="78" spans="6:8" s="27" customFormat="1">
      <c r="F78" s="33"/>
      <c r="H78" s="34"/>
    </row>
    <row r="79" spans="6:8" s="27" customFormat="1">
      <c r="F79" s="33"/>
      <c r="H79" s="34"/>
    </row>
    <row r="80" spans="6:8" s="27" customFormat="1">
      <c r="F80" s="33"/>
      <c r="H80" s="34"/>
    </row>
    <row r="81" spans="6:8" s="27" customFormat="1">
      <c r="F81" s="33"/>
      <c r="H81" s="34"/>
    </row>
    <row r="82" spans="6:8" s="27" customFormat="1">
      <c r="F82" s="33"/>
      <c r="H82" s="34"/>
    </row>
    <row r="83" spans="6:8" s="27" customFormat="1">
      <c r="F83" s="33"/>
      <c r="H83" s="34"/>
    </row>
    <row r="84" spans="6:8" s="27" customFormat="1">
      <c r="F84" s="33"/>
      <c r="H84" s="34"/>
    </row>
    <row r="85" spans="6:8" s="27" customFormat="1">
      <c r="F85" s="33"/>
      <c r="H85" s="34"/>
    </row>
    <row r="86" spans="6:8" s="27" customFormat="1">
      <c r="F86" s="33"/>
      <c r="H86" s="34"/>
    </row>
    <row r="87" spans="6:8" s="27" customFormat="1">
      <c r="F87" s="33"/>
      <c r="H87" s="34"/>
    </row>
    <row r="88" spans="6:8" s="27" customFormat="1">
      <c r="F88" s="33"/>
      <c r="H88" s="34"/>
    </row>
    <row r="89" spans="6:8" s="27" customFormat="1">
      <c r="F89" s="33"/>
      <c r="H89" s="34"/>
    </row>
    <row r="90" spans="6:8" s="27" customFormat="1">
      <c r="F90" s="33"/>
      <c r="H90" s="34"/>
    </row>
    <row r="91" spans="6:8" s="27" customFormat="1">
      <c r="F91" s="33"/>
      <c r="H91" s="34"/>
    </row>
    <row r="92" spans="6:8" s="27" customFormat="1">
      <c r="F92" s="33"/>
      <c r="H92" s="34"/>
    </row>
    <row r="93" spans="6:8" s="27" customFormat="1">
      <c r="F93" s="33"/>
      <c r="H93" s="34"/>
    </row>
    <row r="94" spans="6:8" s="27" customFormat="1">
      <c r="F94" s="33"/>
      <c r="H94" s="34"/>
    </row>
    <row r="95" spans="6:8" s="27" customFormat="1">
      <c r="F95" s="33"/>
      <c r="H95" s="34"/>
    </row>
    <row r="96" spans="6:8" s="27" customFormat="1">
      <c r="F96" s="33"/>
      <c r="H96" s="34"/>
    </row>
    <row r="97" spans="6:8" s="27" customFormat="1">
      <c r="F97" s="33"/>
      <c r="H97" s="34"/>
    </row>
    <row r="98" spans="6:8" s="27" customFormat="1">
      <c r="F98" s="33"/>
      <c r="H98" s="34"/>
    </row>
    <row r="99" spans="6:8" s="27" customFormat="1">
      <c r="F99" s="33"/>
      <c r="H99" s="34"/>
    </row>
    <row r="100" spans="6:8" s="27" customFormat="1">
      <c r="F100" s="33"/>
      <c r="H100" s="34"/>
    </row>
    <row r="101" spans="6:8" s="27" customFormat="1">
      <c r="F101" s="33"/>
      <c r="H101" s="34"/>
    </row>
    <row r="102" spans="6:8" s="27" customFormat="1">
      <c r="F102" s="33"/>
      <c r="H102" s="34"/>
    </row>
    <row r="103" spans="6:8" s="27" customFormat="1">
      <c r="F103" s="33"/>
      <c r="H103" s="34"/>
    </row>
    <row r="104" spans="6:8" s="27" customFormat="1">
      <c r="F104" s="33"/>
      <c r="H104" s="34"/>
    </row>
    <row r="105" spans="6:8" s="27" customFormat="1">
      <c r="F105" s="33"/>
      <c r="H105" s="34"/>
    </row>
    <row r="106" spans="6:8" s="27" customFormat="1">
      <c r="F106" s="33"/>
      <c r="H106" s="34"/>
    </row>
    <row r="107" spans="6:8" s="27" customFormat="1">
      <c r="F107" s="33"/>
      <c r="H107" s="34"/>
    </row>
    <row r="108" spans="6:8" s="27" customFormat="1">
      <c r="F108" s="33"/>
      <c r="H108" s="34"/>
    </row>
    <row r="109" spans="6:8" s="27" customFormat="1">
      <c r="F109" s="33"/>
      <c r="H109" s="34"/>
    </row>
    <row r="110" spans="6:8" s="27" customFormat="1">
      <c r="F110" s="33"/>
      <c r="H110" s="34"/>
    </row>
    <row r="111" spans="6:8" s="27" customFormat="1">
      <c r="F111" s="33"/>
      <c r="H111" s="34"/>
    </row>
    <row r="112" spans="6:8" s="27" customFormat="1">
      <c r="F112" s="33"/>
      <c r="H112" s="34"/>
    </row>
    <row r="113" spans="6:8" s="27" customFormat="1">
      <c r="F113" s="33"/>
      <c r="H113" s="34"/>
    </row>
    <row r="114" spans="6:8" s="27" customFormat="1">
      <c r="F114" s="33"/>
      <c r="H114" s="34"/>
    </row>
    <row r="115" spans="6:8" s="27" customFormat="1">
      <c r="F115" s="33"/>
      <c r="H115" s="34"/>
    </row>
    <row r="116" spans="6:8" s="27" customFormat="1">
      <c r="F116" s="33"/>
      <c r="H116" s="34"/>
    </row>
    <row r="117" spans="6:8" s="27" customFormat="1">
      <c r="F117" s="33"/>
      <c r="H117" s="34"/>
    </row>
    <row r="118" spans="6:8" s="27" customFormat="1">
      <c r="F118" s="33"/>
      <c r="H118" s="34"/>
    </row>
    <row r="119" spans="6:8" s="27" customFormat="1">
      <c r="F119" s="33"/>
      <c r="H119" s="34"/>
    </row>
    <row r="120" spans="6:8" s="27" customFormat="1">
      <c r="F120" s="33"/>
      <c r="H120" s="34"/>
    </row>
    <row r="121" spans="6:8" s="27" customFormat="1">
      <c r="F121" s="33"/>
      <c r="H121" s="34"/>
    </row>
    <row r="122" spans="6:8" s="27" customFormat="1">
      <c r="F122" s="33"/>
      <c r="H122" s="34"/>
    </row>
    <row r="123" spans="6:8" s="27" customFormat="1">
      <c r="F123" s="33"/>
      <c r="H123" s="34"/>
    </row>
    <row r="124" spans="6:8" s="27" customFormat="1">
      <c r="F124" s="33"/>
      <c r="H124" s="34"/>
    </row>
    <row r="125" spans="6:8" s="27" customFormat="1">
      <c r="F125" s="33"/>
      <c r="H125" s="34"/>
    </row>
    <row r="126" spans="6:8" s="27" customFormat="1">
      <c r="F126" s="33"/>
      <c r="H126" s="34"/>
    </row>
    <row r="127" spans="6:8" s="27" customFormat="1">
      <c r="F127" s="33"/>
      <c r="H127" s="34"/>
    </row>
    <row r="128" spans="6:8" s="27" customFormat="1">
      <c r="F128" s="33"/>
      <c r="H128" s="34"/>
    </row>
    <row r="129" spans="6:8" s="27" customFormat="1">
      <c r="F129" s="33"/>
      <c r="H129" s="34"/>
    </row>
    <row r="130" spans="6:8" s="27" customFormat="1">
      <c r="F130" s="33"/>
      <c r="H130" s="34"/>
    </row>
    <row r="131" spans="6:8" s="27" customFormat="1">
      <c r="F131" s="33"/>
      <c r="H131" s="34"/>
    </row>
    <row r="132" spans="6:8" s="27" customFormat="1">
      <c r="F132" s="33"/>
      <c r="H132" s="34"/>
    </row>
    <row r="133" spans="6:8" s="27" customFormat="1">
      <c r="F133" s="33"/>
      <c r="H133" s="34"/>
    </row>
    <row r="134" spans="6:8" s="27" customFormat="1">
      <c r="F134" s="33"/>
      <c r="H134" s="34"/>
    </row>
    <row r="135" spans="6:8" s="27" customFormat="1">
      <c r="F135" s="33"/>
      <c r="H135" s="34"/>
    </row>
    <row r="136" spans="6:8" s="27" customFormat="1">
      <c r="F136" s="33"/>
      <c r="H136" s="34"/>
    </row>
    <row r="137" spans="6:8" s="27" customFormat="1">
      <c r="F137" s="33"/>
      <c r="H137" s="34"/>
    </row>
    <row r="138" spans="6:8" s="27" customFormat="1">
      <c r="F138" s="33"/>
      <c r="H138" s="34"/>
    </row>
    <row r="139" spans="6:8" s="27" customFormat="1">
      <c r="F139" s="33"/>
      <c r="H139" s="34"/>
    </row>
    <row r="140" spans="6:8" s="27" customFormat="1">
      <c r="F140" s="33"/>
      <c r="H140" s="34"/>
    </row>
    <row r="141" spans="6:8" s="27" customFormat="1">
      <c r="F141" s="33"/>
      <c r="H141" s="34"/>
    </row>
    <row r="142" spans="6:8" s="27" customFormat="1">
      <c r="F142" s="33"/>
      <c r="H142" s="34"/>
    </row>
    <row r="143" spans="6:8" s="27" customFormat="1">
      <c r="F143" s="33"/>
      <c r="H143" s="34"/>
    </row>
    <row r="144" spans="6:8" s="27" customFormat="1">
      <c r="F144" s="33"/>
      <c r="H144" s="34"/>
    </row>
    <row r="145" spans="6:8" s="27" customFormat="1">
      <c r="F145" s="33"/>
      <c r="H145" s="34"/>
    </row>
    <row r="146" spans="6:8" s="27" customFormat="1">
      <c r="F146" s="33"/>
      <c r="H146" s="34"/>
    </row>
    <row r="147" spans="6:8" s="27" customFormat="1">
      <c r="F147" s="33"/>
      <c r="H147" s="34"/>
    </row>
    <row r="148" spans="6:8" s="27" customFormat="1">
      <c r="F148" s="33"/>
      <c r="H148" s="34"/>
    </row>
    <row r="149" spans="6:8" s="27" customFormat="1">
      <c r="F149" s="33"/>
      <c r="H149" s="34"/>
    </row>
    <row r="150" spans="6:8" s="27" customFormat="1">
      <c r="F150" s="33"/>
      <c r="H150" s="34"/>
    </row>
    <row r="151" spans="6:8" s="27" customFormat="1">
      <c r="F151" s="33"/>
      <c r="H151" s="34"/>
    </row>
    <row r="152" spans="6:8" s="27" customFormat="1">
      <c r="F152" s="33"/>
      <c r="H152" s="34"/>
    </row>
    <row r="153" spans="6:8" s="27" customFormat="1">
      <c r="F153" s="33"/>
      <c r="H153" s="34"/>
    </row>
    <row r="154" spans="6:8" s="27" customFormat="1">
      <c r="F154" s="33"/>
      <c r="H154" s="34"/>
    </row>
    <row r="155" spans="6:8" s="27" customFormat="1">
      <c r="F155" s="33"/>
      <c r="H155" s="34"/>
    </row>
    <row r="156" spans="6:8" s="27" customFormat="1">
      <c r="F156" s="33"/>
      <c r="H156" s="34"/>
    </row>
    <row r="157" spans="6:8" s="27" customFormat="1">
      <c r="F157" s="33"/>
      <c r="H157" s="34"/>
    </row>
    <row r="158" spans="6:8" s="27" customFormat="1">
      <c r="F158" s="33"/>
      <c r="H158" s="34"/>
    </row>
    <row r="159" spans="6:8" s="27" customFormat="1">
      <c r="F159" s="33"/>
      <c r="H159" s="34"/>
    </row>
    <row r="160" spans="6:8" s="27" customFormat="1">
      <c r="F160" s="33"/>
      <c r="H160" s="34"/>
    </row>
    <row r="161" spans="6:8" s="27" customFormat="1">
      <c r="F161" s="33"/>
      <c r="H161" s="34"/>
    </row>
    <row r="162" spans="6:8" s="27" customFormat="1">
      <c r="F162" s="33"/>
      <c r="H162" s="34"/>
    </row>
    <row r="163" spans="6:8" s="27" customFormat="1">
      <c r="F163" s="33"/>
      <c r="H163" s="34"/>
    </row>
    <row r="164" spans="6:8" s="27" customFormat="1">
      <c r="F164" s="33"/>
      <c r="H164" s="34"/>
    </row>
    <row r="165" spans="6:8" s="27" customFormat="1">
      <c r="F165" s="33"/>
      <c r="H165" s="34"/>
    </row>
    <row r="166" spans="6:8" s="27" customFormat="1">
      <c r="F166" s="33"/>
      <c r="H166" s="34"/>
    </row>
    <row r="167" spans="6:8" s="27" customFormat="1">
      <c r="F167" s="33"/>
      <c r="H167" s="34"/>
    </row>
    <row r="168" spans="6:8" s="27" customFormat="1">
      <c r="F168" s="33"/>
      <c r="H168" s="34"/>
    </row>
    <row r="169" spans="6:8" s="27" customFormat="1">
      <c r="F169" s="33"/>
      <c r="H169" s="34"/>
    </row>
    <row r="170" spans="6:8" s="27" customFormat="1">
      <c r="F170" s="33"/>
      <c r="H170" s="34"/>
    </row>
    <row r="171" spans="6:8" s="27" customFormat="1">
      <c r="F171" s="33"/>
      <c r="H171" s="34"/>
    </row>
    <row r="172" spans="6:8" s="27" customFormat="1">
      <c r="F172" s="33"/>
      <c r="H172" s="34"/>
    </row>
    <row r="173" spans="6:8" s="27" customFormat="1">
      <c r="F173" s="33"/>
      <c r="H173" s="34"/>
    </row>
    <row r="174" spans="6:8" s="27" customFormat="1">
      <c r="F174" s="33"/>
      <c r="H174" s="34"/>
    </row>
    <row r="175" spans="6:8" s="27" customFormat="1">
      <c r="F175" s="33"/>
      <c r="H175" s="34"/>
    </row>
    <row r="176" spans="6:8" s="27" customFormat="1">
      <c r="F176" s="33"/>
      <c r="H176" s="34"/>
    </row>
    <row r="177" spans="6:8" s="27" customFormat="1">
      <c r="F177" s="33"/>
      <c r="H177" s="34"/>
    </row>
    <row r="178" spans="6:8" s="27" customFormat="1">
      <c r="F178" s="33"/>
      <c r="H178" s="34"/>
    </row>
    <row r="179" spans="6:8" s="27" customFormat="1">
      <c r="F179" s="33"/>
      <c r="H179" s="34"/>
    </row>
    <row r="180" spans="6:8" s="27" customFormat="1">
      <c r="F180" s="33"/>
      <c r="H180" s="34"/>
    </row>
    <row r="181" spans="6:8" s="27" customFormat="1">
      <c r="F181" s="33"/>
      <c r="H181" s="34"/>
    </row>
    <row r="182" spans="6:8" s="27" customFormat="1">
      <c r="F182" s="33"/>
      <c r="H182" s="34"/>
    </row>
    <row r="183" spans="6:8" s="27" customFormat="1">
      <c r="F183" s="33"/>
      <c r="H183" s="34"/>
    </row>
    <row r="184" spans="6:8" s="27" customFormat="1">
      <c r="F184" s="33"/>
      <c r="H184" s="34"/>
    </row>
    <row r="185" spans="6:8" s="27" customFormat="1">
      <c r="F185" s="33"/>
      <c r="H185" s="34"/>
    </row>
    <row r="186" spans="6:8" s="27" customFormat="1">
      <c r="F186" s="33"/>
      <c r="H186" s="34"/>
    </row>
    <row r="187" spans="6:8" s="27" customFormat="1">
      <c r="F187" s="33"/>
      <c r="H187" s="34"/>
    </row>
    <row r="188" spans="6:8" s="27" customFormat="1">
      <c r="F188" s="33"/>
      <c r="H188" s="34"/>
    </row>
    <row r="189" spans="6:8" s="27" customFormat="1">
      <c r="F189" s="33"/>
      <c r="H189" s="34"/>
    </row>
    <row r="190" spans="6:8" s="27" customFormat="1">
      <c r="F190" s="33"/>
      <c r="H190" s="34"/>
    </row>
    <row r="191" spans="6:8" s="27" customFormat="1">
      <c r="F191" s="33"/>
      <c r="H191" s="34"/>
    </row>
    <row r="192" spans="6:8" s="27" customFormat="1">
      <c r="F192" s="33"/>
      <c r="H192" s="34"/>
    </row>
    <row r="193" spans="6:8" s="27" customFormat="1">
      <c r="F193" s="33"/>
      <c r="H193" s="34"/>
    </row>
    <row r="194" spans="6:8" s="27" customFormat="1">
      <c r="F194" s="33"/>
      <c r="H194" s="34"/>
    </row>
    <row r="195" spans="6:8" s="27" customFormat="1">
      <c r="F195" s="33"/>
      <c r="H195" s="34"/>
    </row>
    <row r="196" spans="6:8" s="27" customFormat="1">
      <c r="F196" s="33"/>
      <c r="H196" s="34"/>
    </row>
    <row r="197" spans="6:8" s="27" customFormat="1">
      <c r="F197" s="33"/>
      <c r="H197" s="34"/>
    </row>
    <row r="198" spans="6:8" s="27" customFormat="1">
      <c r="F198" s="33"/>
      <c r="H198" s="34"/>
    </row>
    <row r="199" spans="6:8" s="27" customFormat="1">
      <c r="F199" s="33"/>
      <c r="H199" s="34"/>
    </row>
    <row r="200" spans="6:8" s="27" customFormat="1">
      <c r="F200" s="33"/>
      <c r="H200" s="34"/>
    </row>
    <row r="201" spans="6:8" s="27" customFormat="1">
      <c r="F201" s="33"/>
      <c r="H201" s="34"/>
    </row>
    <row r="202" spans="6:8" s="27" customFormat="1">
      <c r="F202" s="33"/>
      <c r="H202" s="34"/>
    </row>
    <row r="203" spans="6:8" s="27" customFormat="1">
      <c r="F203" s="33"/>
      <c r="H203" s="34"/>
    </row>
    <row r="204" spans="6:8" s="27" customFormat="1">
      <c r="F204" s="33"/>
      <c r="H204" s="34"/>
    </row>
    <row r="205" spans="6:8" s="27" customFormat="1">
      <c r="F205" s="33"/>
      <c r="H205" s="34"/>
    </row>
    <row r="206" spans="6:8" s="27" customFormat="1">
      <c r="F206" s="33"/>
      <c r="H206" s="34"/>
    </row>
    <row r="207" spans="6:8" s="27" customFormat="1">
      <c r="F207" s="33"/>
      <c r="H207" s="34"/>
    </row>
    <row r="208" spans="6:8" s="27" customFormat="1">
      <c r="F208" s="33"/>
      <c r="H208" s="34"/>
    </row>
    <row r="209" spans="6:8" s="27" customFormat="1">
      <c r="F209" s="33"/>
      <c r="H209" s="34"/>
    </row>
    <row r="210" spans="6:8" s="27" customFormat="1">
      <c r="F210" s="33"/>
      <c r="H210" s="34"/>
    </row>
    <row r="211" spans="6:8" s="27" customFormat="1">
      <c r="F211" s="33"/>
      <c r="H211" s="34"/>
    </row>
    <row r="212" spans="6:8" s="27" customFormat="1">
      <c r="F212" s="33"/>
      <c r="H212" s="34"/>
    </row>
    <row r="213" spans="6:8" s="27" customFormat="1">
      <c r="F213" s="33"/>
      <c r="H213" s="34"/>
    </row>
    <row r="214" spans="6:8" s="27" customFormat="1">
      <c r="F214" s="33"/>
      <c r="H214" s="34"/>
    </row>
    <row r="215" spans="6:8" s="27" customFormat="1">
      <c r="F215" s="33"/>
      <c r="H215" s="34"/>
    </row>
    <row r="216" spans="6:8" s="27" customFormat="1">
      <c r="F216" s="33"/>
      <c r="H216" s="34"/>
    </row>
    <row r="217" spans="6:8" s="27" customFormat="1">
      <c r="F217" s="33"/>
      <c r="H217" s="34"/>
    </row>
    <row r="218" spans="6:8" s="27" customFormat="1">
      <c r="F218" s="33"/>
      <c r="H218" s="34"/>
    </row>
    <row r="219" spans="6:8" s="27" customFormat="1">
      <c r="F219" s="33"/>
      <c r="H219" s="34"/>
    </row>
    <row r="220" spans="6:8" s="27" customFormat="1">
      <c r="F220" s="33"/>
      <c r="H220" s="34"/>
    </row>
    <row r="221" spans="6:8" s="27" customFormat="1">
      <c r="F221" s="33"/>
      <c r="H221" s="34"/>
    </row>
    <row r="222" spans="6:8" s="27" customFormat="1">
      <c r="F222" s="33"/>
      <c r="H222" s="34"/>
    </row>
    <row r="223" spans="6:8" s="27" customFormat="1">
      <c r="F223" s="33"/>
      <c r="H223" s="34"/>
    </row>
    <row r="224" spans="6:8" s="27" customFormat="1">
      <c r="F224" s="33"/>
      <c r="H224" s="34"/>
    </row>
    <row r="225" spans="6:8" s="27" customFormat="1">
      <c r="F225" s="33"/>
      <c r="H225" s="34"/>
    </row>
    <row r="226" spans="6:8" s="27" customFormat="1">
      <c r="F226" s="33"/>
      <c r="H226" s="34"/>
    </row>
    <row r="227" spans="6:8" s="27" customFormat="1">
      <c r="F227" s="33"/>
      <c r="H227" s="34"/>
    </row>
    <row r="228" spans="6:8" s="27" customFormat="1">
      <c r="F228" s="33"/>
      <c r="H228" s="34"/>
    </row>
    <row r="229" spans="6:8" s="27" customFormat="1">
      <c r="F229" s="33"/>
      <c r="H229" s="34"/>
    </row>
    <row r="230" spans="6:8" s="27" customFormat="1">
      <c r="F230" s="33"/>
      <c r="H230" s="34"/>
    </row>
    <row r="231" spans="6:8" s="27" customFormat="1">
      <c r="F231" s="33"/>
      <c r="H231" s="34"/>
    </row>
    <row r="232" spans="6:8" s="27" customFormat="1">
      <c r="F232" s="33"/>
      <c r="H232" s="34"/>
    </row>
    <row r="233" spans="6:8" s="27" customFormat="1">
      <c r="F233" s="33"/>
      <c r="H233" s="34"/>
    </row>
    <row r="234" spans="6:8" s="27" customFormat="1">
      <c r="F234" s="33"/>
      <c r="H234" s="34"/>
    </row>
    <row r="235" spans="6:8" s="27" customFormat="1">
      <c r="F235" s="33"/>
      <c r="H235" s="34"/>
    </row>
    <row r="236" spans="6:8" s="27" customFormat="1">
      <c r="F236" s="33"/>
      <c r="H236" s="34"/>
    </row>
    <row r="237" spans="6:8" s="27" customFormat="1">
      <c r="F237" s="33"/>
      <c r="H237" s="34"/>
    </row>
    <row r="238" spans="6:8" s="27" customFormat="1">
      <c r="F238" s="33"/>
      <c r="H238" s="34"/>
    </row>
    <row r="239" spans="6:8" s="27" customFormat="1">
      <c r="F239" s="33"/>
      <c r="H239" s="34"/>
    </row>
    <row r="240" spans="6:8" s="27" customFormat="1">
      <c r="F240" s="33"/>
      <c r="H240" s="34"/>
    </row>
    <row r="241" spans="6:8" s="27" customFormat="1">
      <c r="F241" s="33"/>
      <c r="H241" s="34"/>
    </row>
    <row r="242" spans="6:8" s="27" customFormat="1">
      <c r="F242" s="33"/>
      <c r="H242" s="34"/>
    </row>
    <row r="243" spans="6:8" s="27" customFormat="1">
      <c r="F243" s="33"/>
      <c r="H243" s="34"/>
    </row>
    <row r="244" spans="6:8" s="27" customFormat="1">
      <c r="F244" s="33"/>
      <c r="H244" s="34"/>
    </row>
    <row r="245" spans="6:8" s="27" customFormat="1">
      <c r="F245" s="33"/>
      <c r="H245" s="34"/>
    </row>
    <row r="246" spans="6:8" s="27" customFormat="1">
      <c r="F246" s="33"/>
      <c r="H246" s="34"/>
    </row>
    <row r="247" spans="6:8" s="27" customFormat="1">
      <c r="F247" s="33"/>
      <c r="H247" s="34"/>
    </row>
    <row r="248" spans="6:8" s="27" customFormat="1">
      <c r="F248" s="33"/>
      <c r="H248" s="34"/>
    </row>
    <row r="249" spans="6:8" s="27" customFormat="1">
      <c r="F249" s="33"/>
      <c r="H249" s="34"/>
    </row>
    <row r="250" spans="6:8" s="27" customFormat="1">
      <c r="F250" s="33"/>
      <c r="H250" s="34"/>
    </row>
    <row r="251" spans="6:8" s="27" customFormat="1">
      <c r="F251" s="33"/>
      <c r="H251" s="34"/>
    </row>
    <row r="252" spans="6:8" s="27" customFormat="1">
      <c r="F252" s="33"/>
      <c r="H252" s="34"/>
    </row>
    <row r="253" spans="6:8" s="27" customFormat="1">
      <c r="F253" s="33"/>
      <c r="H253" s="34"/>
    </row>
    <row r="254" spans="6:8" s="27" customFormat="1">
      <c r="F254" s="33"/>
      <c r="H254" s="34"/>
    </row>
    <row r="255" spans="6:8" s="27" customFormat="1">
      <c r="F255" s="33"/>
      <c r="H255" s="34"/>
    </row>
    <row r="256" spans="6:8" s="27" customFormat="1">
      <c r="F256" s="33"/>
      <c r="H256" s="34"/>
    </row>
    <row r="257" spans="6:8" s="27" customFormat="1">
      <c r="F257" s="33"/>
      <c r="H257" s="34"/>
    </row>
    <row r="258" spans="6:8" s="27" customFormat="1">
      <c r="F258" s="33"/>
      <c r="H258" s="34"/>
    </row>
    <row r="259" spans="6:8" s="27" customFormat="1">
      <c r="F259" s="33"/>
      <c r="H259" s="34"/>
    </row>
    <row r="260" spans="6:8" s="27" customFormat="1">
      <c r="F260" s="33"/>
      <c r="H260" s="34"/>
    </row>
    <row r="261" spans="6:8" s="27" customFormat="1">
      <c r="F261" s="33"/>
      <c r="H261" s="34"/>
    </row>
    <row r="262" spans="6:8" s="27" customFormat="1">
      <c r="F262" s="33"/>
      <c r="H262" s="34"/>
    </row>
    <row r="263" spans="6:8" s="27" customFormat="1">
      <c r="F263" s="33"/>
      <c r="H263" s="34"/>
    </row>
    <row r="264" spans="6:8" s="27" customFormat="1">
      <c r="F264" s="33"/>
      <c r="H264" s="34"/>
    </row>
    <row r="265" spans="6:8" s="27" customFormat="1">
      <c r="F265" s="33"/>
      <c r="H265" s="34"/>
    </row>
    <row r="266" spans="6:8" s="27" customFormat="1">
      <c r="F266" s="33"/>
      <c r="H266" s="34"/>
    </row>
    <row r="267" spans="6:8" s="27" customFormat="1">
      <c r="F267" s="33"/>
      <c r="H267" s="34"/>
    </row>
    <row r="268" spans="6:8" s="27" customFormat="1">
      <c r="F268" s="33"/>
      <c r="H268" s="34"/>
    </row>
    <row r="269" spans="6:8" s="27" customFormat="1">
      <c r="F269" s="33"/>
      <c r="H269" s="34"/>
    </row>
    <row r="270" spans="6:8" s="27" customFormat="1">
      <c r="F270" s="33"/>
      <c r="H270" s="34"/>
    </row>
    <row r="271" spans="6:8" s="27" customFormat="1">
      <c r="F271" s="33"/>
      <c r="H271" s="34"/>
    </row>
    <row r="272" spans="6:8" s="27" customFormat="1">
      <c r="F272" s="33"/>
      <c r="H272" s="34"/>
    </row>
    <row r="273" spans="6:8" s="27" customFormat="1">
      <c r="F273" s="33"/>
      <c r="H273" s="34"/>
    </row>
    <row r="274" spans="6:8" s="27" customFormat="1">
      <c r="F274" s="33"/>
      <c r="H274" s="34"/>
    </row>
    <row r="275" spans="6:8" s="27" customFormat="1">
      <c r="F275" s="33"/>
      <c r="H275" s="34"/>
    </row>
    <row r="276" spans="6:8" s="27" customFormat="1">
      <c r="F276" s="33"/>
      <c r="H276" s="34"/>
    </row>
    <row r="277" spans="6:8" s="27" customFormat="1">
      <c r="F277" s="33"/>
      <c r="H277" s="34"/>
    </row>
    <row r="278" spans="6:8" s="27" customFormat="1">
      <c r="F278" s="33"/>
      <c r="H278" s="34"/>
    </row>
    <row r="279" spans="6:8" s="27" customFormat="1">
      <c r="F279" s="33"/>
      <c r="H279" s="34"/>
    </row>
    <row r="280" spans="6:8" s="27" customFormat="1">
      <c r="F280" s="33"/>
      <c r="H280" s="34"/>
    </row>
    <row r="281" spans="6:8" s="27" customFormat="1">
      <c r="F281" s="33"/>
      <c r="H281" s="34"/>
    </row>
    <row r="282" spans="6:8" s="27" customFormat="1">
      <c r="F282" s="33"/>
      <c r="H282" s="34"/>
    </row>
    <row r="283" spans="6:8" s="27" customFormat="1">
      <c r="F283" s="33"/>
      <c r="H283" s="34"/>
    </row>
    <row r="284" spans="6:8" s="27" customFormat="1">
      <c r="F284" s="33"/>
      <c r="H284" s="34"/>
    </row>
    <row r="285" spans="6:8" s="27" customFormat="1">
      <c r="F285" s="33"/>
      <c r="H285" s="34"/>
    </row>
    <row r="286" spans="6:8" s="27" customFormat="1">
      <c r="F286" s="33"/>
      <c r="H286" s="34"/>
    </row>
    <row r="287" spans="6:8" s="27" customFormat="1">
      <c r="F287" s="33"/>
      <c r="H287" s="34"/>
    </row>
    <row r="288" spans="6:8" s="27" customFormat="1">
      <c r="F288" s="33"/>
      <c r="H288" s="34"/>
    </row>
    <row r="289" spans="6:8" s="27" customFormat="1">
      <c r="F289" s="33"/>
      <c r="H289" s="34"/>
    </row>
    <row r="290" spans="6:8" s="27" customFormat="1">
      <c r="F290" s="33"/>
      <c r="H290" s="34"/>
    </row>
    <row r="291" spans="6:8" s="27" customFormat="1">
      <c r="F291" s="33"/>
      <c r="H291" s="34"/>
    </row>
    <row r="292" spans="6:8" s="27" customFormat="1">
      <c r="F292" s="33"/>
      <c r="H292" s="34"/>
    </row>
    <row r="293" spans="6:8" s="27" customFormat="1">
      <c r="F293" s="33"/>
      <c r="H293" s="34"/>
    </row>
    <row r="294" spans="6:8" s="27" customFormat="1">
      <c r="F294" s="33"/>
      <c r="H294" s="34"/>
    </row>
    <row r="295" spans="6:8" s="27" customFormat="1">
      <c r="F295" s="33"/>
      <c r="H295" s="34"/>
    </row>
    <row r="296" spans="6:8" s="27" customFormat="1">
      <c r="F296" s="33"/>
      <c r="H296" s="34"/>
    </row>
    <row r="297" spans="6:8" s="27" customFormat="1">
      <c r="F297" s="33"/>
      <c r="H297" s="34"/>
    </row>
    <row r="298" spans="6:8" s="27" customFormat="1">
      <c r="F298" s="33"/>
      <c r="H298" s="34"/>
    </row>
    <row r="299" spans="6:8" s="27" customFormat="1">
      <c r="F299" s="33"/>
      <c r="H299" s="34"/>
    </row>
    <row r="300" spans="6:8" s="27" customFormat="1">
      <c r="F300" s="33"/>
      <c r="H300" s="34"/>
    </row>
    <row r="301" spans="6:8" s="27" customFormat="1">
      <c r="F301" s="33"/>
      <c r="H301" s="34"/>
    </row>
    <row r="302" spans="6:8" s="27" customFormat="1">
      <c r="F302" s="33"/>
      <c r="H302" s="34"/>
    </row>
    <row r="303" spans="6:8" s="27" customFormat="1">
      <c r="F303" s="33"/>
      <c r="H303" s="34"/>
    </row>
    <row r="304" spans="6:8" s="27" customFormat="1">
      <c r="F304" s="33"/>
      <c r="H304" s="34"/>
    </row>
    <row r="305" spans="6:8" s="27" customFormat="1">
      <c r="F305" s="33"/>
      <c r="H305" s="34"/>
    </row>
    <row r="306" spans="6:8" s="27" customFormat="1">
      <c r="F306" s="33"/>
      <c r="H306" s="34"/>
    </row>
    <row r="307" spans="6:8" s="27" customFormat="1">
      <c r="F307" s="33"/>
      <c r="H307" s="34"/>
    </row>
    <row r="308" spans="6:8" s="27" customFormat="1">
      <c r="F308" s="33"/>
      <c r="H308" s="34"/>
    </row>
    <row r="309" spans="6:8" s="27" customFormat="1">
      <c r="F309" s="33"/>
      <c r="H309" s="34"/>
    </row>
    <row r="310" spans="6:8" s="27" customFormat="1">
      <c r="F310" s="33"/>
      <c r="H310" s="34"/>
    </row>
    <row r="311" spans="6:8" s="27" customFormat="1">
      <c r="F311" s="33"/>
      <c r="H311" s="34"/>
    </row>
    <row r="312" spans="6:8" s="27" customFormat="1">
      <c r="F312" s="33"/>
      <c r="H312" s="34"/>
    </row>
    <row r="313" spans="6:8" s="27" customFormat="1">
      <c r="F313" s="33"/>
      <c r="H313" s="34"/>
    </row>
    <row r="314" spans="6:8" s="27" customFormat="1">
      <c r="F314" s="33"/>
      <c r="H314" s="34"/>
    </row>
    <row r="315" spans="6:8" s="27" customFormat="1">
      <c r="F315" s="33"/>
      <c r="H315" s="34"/>
    </row>
    <row r="316" spans="6:8" s="27" customFormat="1">
      <c r="F316" s="33"/>
      <c r="H316" s="34"/>
    </row>
    <row r="317" spans="6:8" s="27" customFormat="1">
      <c r="F317" s="33"/>
      <c r="H317" s="34"/>
    </row>
    <row r="318" spans="6:8" s="27" customFormat="1">
      <c r="F318" s="33"/>
      <c r="H318" s="34"/>
    </row>
    <row r="319" spans="6:8" s="27" customFormat="1">
      <c r="F319" s="33"/>
      <c r="H319" s="34"/>
    </row>
    <row r="320" spans="6:8" s="27" customFormat="1">
      <c r="F320" s="33"/>
      <c r="H320" s="34"/>
    </row>
    <row r="321" spans="6:8" s="27" customFormat="1">
      <c r="F321" s="33"/>
      <c r="H321" s="34"/>
    </row>
    <row r="322" spans="6:8" s="27" customFormat="1">
      <c r="F322" s="33"/>
      <c r="H322" s="34"/>
    </row>
    <row r="323" spans="6:8" s="27" customFormat="1">
      <c r="F323" s="33"/>
      <c r="H323" s="34"/>
    </row>
    <row r="324" spans="6:8" s="27" customFormat="1">
      <c r="F324" s="33"/>
      <c r="H324" s="34"/>
    </row>
    <row r="325" spans="6:8" s="27" customFormat="1">
      <c r="F325" s="33"/>
      <c r="H325" s="34"/>
    </row>
    <row r="326" spans="6:8" s="27" customFormat="1">
      <c r="F326" s="33"/>
      <c r="H326" s="34"/>
    </row>
    <row r="327" spans="6:8" s="27" customFormat="1">
      <c r="F327" s="33"/>
      <c r="H327" s="34"/>
    </row>
    <row r="328" spans="6:8" s="27" customFormat="1">
      <c r="F328" s="33"/>
      <c r="H328" s="34"/>
    </row>
    <row r="329" spans="6:8" s="27" customFormat="1">
      <c r="F329" s="33"/>
      <c r="H329" s="34"/>
    </row>
    <row r="330" spans="6:8" s="27" customFormat="1">
      <c r="F330" s="33"/>
      <c r="H330" s="34"/>
    </row>
    <row r="331" spans="6:8" s="27" customFormat="1">
      <c r="F331" s="33"/>
      <c r="H331" s="34"/>
    </row>
    <row r="332" spans="6:8" s="27" customFormat="1">
      <c r="F332" s="33"/>
      <c r="H332" s="34"/>
    </row>
    <row r="333" spans="6:8" s="27" customFormat="1">
      <c r="F333" s="33"/>
      <c r="H333" s="34"/>
    </row>
    <row r="334" spans="6:8" s="27" customFormat="1">
      <c r="F334" s="33"/>
      <c r="H334" s="34"/>
    </row>
    <row r="335" spans="6:8" s="27" customFormat="1">
      <c r="F335" s="33"/>
      <c r="H335" s="34"/>
    </row>
    <row r="336" spans="6:8" s="27" customFormat="1">
      <c r="F336" s="33"/>
      <c r="H336" s="34"/>
    </row>
    <row r="337" spans="6:8" s="27" customFormat="1">
      <c r="F337" s="33"/>
      <c r="H337" s="34"/>
    </row>
    <row r="338" spans="6:8" s="27" customFormat="1">
      <c r="F338" s="33"/>
      <c r="H338" s="34"/>
    </row>
    <row r="339" spans="6:8" s="27" customFormat="1">
      <c r="F339" s="33"/>
      <c r="H339" s="34"/>
    </row>
    <row r="340" spans="6:8" s="27" customFormat="1">
      <c r="F340" s="33"/>
      <c r="H340" s="34"/>
    </row>
    <row r="341" spans="6:8" s="27" customFormat="1">
      <c r="F341" s="33"/>
      <c r="H341" s="34"/>
    </row>
    <row r="342" spans="6:8" s="27" customFormat="1">
      <c r="F342" s="33"/>
      <c r="H342" s="34"/>
    </row>
    <row r="343" spans="6:8" s="27" customFormat="1">
      <c r="F343" s="33"/>
      <c r="H343" s="34"/>
    </row>
    <row r="344" spans="6:8" s="27" customFormat="1">
      <c r="F344" s="33"/>
      <c r="H344" s="34"/>
    </row>
    <row r="345" spans="6:8" s="27" customFormat="1">
      <c r="F345" s="33"/>
      <c r="H345" s="34"/>
    </row>
    <row r="346" spans="6:8" s="27" customFormat="1">
      <c r="F346" s="33"/>
      <c r="H346" s="34"/>
    </row>
    <row r="347" spans="6:8" s="27" customFormat="1">
      <c r="F347" s="33"/>
      <c r="H347" s="34"/>
    </row>
    <row r="348" spans="6:8" s="27" customFormat="1">
      <c r="F348" s="33"/>
      <c r="H348" s="34"/>
    </row>
    <row r="349" spans="6:8" s="27" customFormat="1">
      <c r="F349" s="33"/>
      <c r="H349" s="34"/>
    </row>
    <row r="350" spans="6:8" s="27" customFormat="1">
      <c r="F350" s="33"/>
      <c r="H350" s="34"/>
    </row>
    <row r="351" spans="6:8" s="27" customFormat="1">
      <c r="F351" s="33"/>
      <c r="H351" s="34"/>
    </row>
    <row r="352" spans="6:8" s="27" customFormat="1">
      <c r="F352" s="33"/>
      <c r="H352" s="34"/>
    </row>
    <row r="353" spans="6:8" s="27" customFormat="1">
      <c r="F353" s="33"/>
      <c r="H353" s="34"/>
    </row>
    <row r="354" spans="6:8" s="27" customFormat="1">
      <c r="F354" s="33"/>
      <c r="H354" s="34"/>
    </row>
    <row r="355" spans="6:8" s="27" customFormat="1">
      <c r="F355" s="33"/>
      <c r="H355" s="34"/>
    </row>
    <row r="356" spans="6:8" s="27" customFormat="1">
      <c r="F356" s="33"/>
      <c r="H356" s="34"/>
    </row>
    <row r="357" spans="6:8" s="27" customFormat="1">
      <c r="F357" s="33"/>
      <c r="H357" s="34"/>
    </row>
    <row r="358" spans="6:8" s="27" customFormat="1">
      <c r="F358" s="33"/>
      <c r="H358" s="34"/>
    </row>
    <row r="359" spans="6:8" s="27" customFormat="1">
      <c r="F359" s="33"/>
      <c r="H359" s="34"/>
    </row>
    <row r="360" spans="6:8" s="27" customFormat="1">
      <c r="F360" s="33"/>
      <c r="H360" s="34"/>
    </row>
    <row r="361" spans="6:8" s="27" customFormat="1">
      <c r="F361" s="33"/>
      <c r="H361" s="34"/>
    </row>
    <row r="362" spans="6:8" s="27" customFormat="1">
      <c r="F362" s="33"/>
      <c r="H362" s="34"/>
    </row>
    <row r="363" spans="6:8" s="27" customFormat="1">
      <c r="F363" s="33"/>
      <c r="H363" s="34"/>
    </row>
    <row r="364" spans="6:8" s="27" customFormat="1">
      <c r="F364" s="33"/>
      <c r="H364" s="34"/>
    </row>
    <row r="365" spans="6:8" s="27" customFormat="1">
      <c r="F365" s="33"/>
      <c r="H365" s="34"/>
    </row>
    <row r="366" spans="6:8" s="27" customFormat="1">
      <c r="F366" s="33"/>
      <c r="H366" s="34"/>
    </row>
    <row r="367" spans="6:8" s="27" customFormat="1">
      <c r="F367" s="33"/>
      <c r="H367" s="34"/>
    </row>
    <row r="368" spans="6:8" s="27" customFormat="1">
      <c r="F368" s="33"/>
      <c r="H368" s="34"/>
    </row>
    <row r="369" spans="6:8" s="27" customFormat="1">
      <c r="F369" s="33"/>
      <c r="H369" s="34"/>
    </row>
    <row r="370" spans="6:8" s="27" customFormat="1">
      <c r="F370" s="33"/>
      <c r="H370" s="34"/>
    </row>
    <row r="371" spans="6:8" s="27" customFormat="1">
      <c r="F371" s="33"/>
      <c r="H371" s="34"/>
    </row>
    <row r="372" spans="6:8" s="27" customFormat="1">
      <c r="F372" s="33"/>
      <c r="H372" s="34"/>
    </row>
    <row r="373" spans="6:8" s="27" customFormat="1">
      <c r="F373" s="33"/>
      <c r="H373" s="34"/>
    </row>
    <row r="374" spans="6:8" s="27" customFormat="1">
      <c r="F374" s="33"/>
      <c r="H374" s="34"/>
    </row>
    <row r="375" spans="6:8" s="27" customFormat="1">
      <c r="F375" s="33"/>
      <c r="H375" s="34"/>
    </row>
    <row r="376" spans="6:8" s="27" customFormat="1">
      <c r="F376" s="33"/>
      <c r="H376" s="34"/>
    </row>
    <row r="377" spans="6:8" s="27" customFormat="1">
      <c r="F377" s="33"/>
      <c r="H377" s="34"/>
    </row>
    <row r="378" spans="6:8" s="27" customFormat="1">
      <c r="F378" s="33"/>
      <c r="H378" s="34"/>
    </row>
    <row r="379" spans="6:8" s="27" customFormat="1">
      <c r="F379" s="33"/>
      <c r="H379" s="34"/>
    </row>
    <row r="380" spans="6:8" s="27" customFormat="1">
      <c r="F380" s="33"/>
      <c r="H380" s="34"/>
    </row>
    <row r="381" spans="6:8" s="27" customFormat="1">
      <c r="F381" s="33"/>
      <c r="H381" s="34"/>
    </row>
    <row r="382" spans="6:8" s="27" customFormat="1">
      <c r="F382" s="33"/>
      <c r="H382" s="34"/>
    </row>
    <row r="383" spans="6:8" s="27" customFormat="1">
      <c r="F383" s="33"/>
      <c r="H383" s="34"/>
    </row>
    <row r="384" spans="6:8" s="27" customFormat="1">
      <c r="F384" s="33"/>
      <c r="H384" s="34"/>
    </row>
    <row r="385" spans="6:8" s="27" customFormat="1">
      <c r="F385" s="33"/>
      <c r="H385" s="34"/>
    </row>
    <row r="386" spans="6:8" s="27" customFormat="1">
      <c r="F386" s="33"/>
      <c r="H386" s="34"/>
    </row>
    <row r="387" spans="6:8" s="27" customFormat="1">
      <c r="F387" s="33"/>
      <c r="H387" s="34"/>
    </row>
    <row r="388" spans="6:8" s="27" customFormat="1">
      <c r="F388" s="33"/>
      <c r="H388" s="34"/>
    </row>
    <row r="389" spans="6:8" s="27" customFormat="1">
      <c r="F389" s="33"/>
      <c r="H389" s="34"/>
    </row>
    <row r="390" spans="6:8" s="27" customFormat="1">
      <c r="F390" s="33"/>
      <c r="H390" s="34"/>
    </row>
    <row r="391" spans="6:8" s="27" customFormat="1">
      <c r="F391" s="33"/>
      <c r="H391" s="34"/>
    </row>
    <row r="392" spans="6:8" s="27" customFormat="1">
      <c r="F392" s="33"/>
      <c r="H392" s="34"/>
    </row>
    <row r="393" spans="6:8" s="27" customFormat="1">
      <c r="F393" s="33"/>
      <c r="H393" s="34"/>
    </row>
    <row r="394" spans="6:8" s="27" customFormat="1">
      <c r="F394" s="33"/>
      <c r="H394" s="34"/>
    </row>
    <row r="395" spans="6:8" s="27" customFormat="1">
      <c r="F395" s="33"/>
      <c r="H395" s="34"/>
    </row>
    <row r="396" spans="6:8" s="27" customFormat="1">
      <c r="F396" s="33"/>
      <c r="H396" s="34"/>
    </row>
    <row r="397" spans="6:8" s="27" customFormat="1">
      <c r="F397" s="33"/>
      <c r="H397" s="34"/>
    </row>
    <row r="398" spans="6:8" s="27" customFormat="1">
      <c r="F398" s="33"/>
      <c r="H398" s="34"/>
    </row>
    <row r="399" spans="6:8" s="27" customFormat="1">
      <c r="F399" s="33"/>
      <c r="H399" s="34"/>
    </row>
    <row r="400" spans="6:8" s="27" customFormat="1">
      <c r="F400" s="33"/>
      <c r="H400" s="34"/>
    </row>
    <row r="401" spans="6:8" s="27" customFormat="1">
      <c r="F401" s="33"/>
      <c r="H401" s="34"/>
    </row>
    <row r="402" spans="6:8" s="27" customFormat="1">
      <c r="F402" s="33"/>
      <c r="H402" s="34"/>
    </row>
    <row r="403" spans="6:8" s="27" customFormat="1">
      <c r="F403" s="33"/>
      <c r="H403" s="34"/>
    </row>
    <row r="404" spans="6:8" s="27" customFormat="1">
      <c r="F404" s="33"/>
      <c r="H404" s="34"/>
    </row>
    <row r="405" spans="6:8" s="27" customFormat="1">
      <c r="F405" s="33"/>
      <c r="H405" s="34"/>
    </row>
    <row r="406" spans="6:8" s="27" customFormat="1">
      <c r="F406" s="33"/>
      <c r="H406" s="34"/>
    </row>
    <row r="407" spans="6:8" s="27" customFormat="1">
      <c r="F407" s="33"/>
      <c r="H407" s="34"/>
    </row>
    <row r="408" spans="6:8" s="27" customFormat="1">
      <c r="F408" s="33"/>
      <c r="H408" s="34"/>
    </row>
    <row r="409" spans="6:8" s="27" customFormat="1">
      <c r="F409" s="33"/>
      <c r="H409" s="34"/>
    </row>
    <row r="410" spans="6:8" s="27" customFormat="1">
      <c r="F410" s="33"/>
      <c r="H410" s="34"/>
    </row>
    <row r="411" spans="6:8" s="27" customFormat="1">
      <c r="F411" s="33"/>
      <c r="H411" s="34"/>
    </row>
    <row r="412" spans="6:8" s="27" customFormat="1">
      <c r="F412" s="33"/>
      <c r="H412" s="34"/>
    </row>
    <row r="413" spans="6:8" s="27" customFormat="1">
      <c r="F413" s="33"/>
      <c r="H413" s="34"/>
    </row>
    <row r="414" spans="6:8" s="27" customFormat="1">
      <c r="F414" s="33"/>
      <c r="H414" s="34"/>
    </row>
    <row r="415" spans="6:8" s="27" customFormat="1">
      <c r="F415" s="33"/>
      <c r="H415" s="34"/>
    </row>
    <row r="416" spans="6:8" s="27" customFormat="1">
      <c r="F416" s="33"/>
      <c r="H416" s="34"/>
    </row>
    <row r="417" spans="6:8" s="27" customFormat="1">
      <c r="F417" s="33"/>
      <c r="H417" s="34"/>
    </row>
    <row r="418" spans="6:8" s="27" customFormat="1">
      <c r="F418" s="33"/>
      <c r="H418" s="34"/>
    </row>
    <row r="419" spans="6:8" s="27" customFormat="1">
      <c r="F419" s="33"/>
      <c r="H419" s="34"/>
    </row>
    <row r="420" spans="6:8" s="27" customFormat="1">
      <c r="F420" s="33"/>
      <c r="H420" s="34"/>
    </row>
    <row r="421" spans="6:8" s="27" customFormat="1">
      <c r="F421" s="33"/>
      <c r="H421" s="34"/>
    </row>
    <row r="422" spans="6:8" s="27" customFormat="1">
      <c r="F422" s="33"/>
      <c r="H422" s="34"/>
    </row>
    <row r="423" spans="6:8" s="27" customFormat="1">
      <c r="F423" s="33"/>
      <c r="H423" s="34"/>
    </row>
    <row r="424" spans="6:8" s="27" customFormat="1">
      <c r="F424" s="33"/>
      <c r="H424" s="34"/>
    </row>
    <row r="425" spans="6:8" s="27" customFormat="1">
      <c r="F425" s="33"/>
      <c r="H425" s="34"/>
    </row>
    <row r="426" spans="6:8" s="27" customFormat="1">
      <c r="F426" s="33"/>
      <c r="H426" s="34"/>
    </row>
    <row r="427" spans="6:8" s="27" customFormat="1">
      <c r="F427" s="33"/>
      <c r="H427" s="34"/>
    </row>
    <row r="428" spans="6:8" s="27" customFormat="1">
      <c r="F428" s="33"/>
      <c r="H428" s="34"/>
    </row>
    <row r="429" spans="6:8" s="27" customFormat="1">
      <c r="F429" s="33"/>
      <c r="H429" s="34"/>
    </row>
    <row r="430" spans="6:8" s="27" customFormat="1">
      <c r="F430" s="33"/>
      <c r="H430" s="34"/>
    </row>
    <row r="431" spans="6:8" s="27" customFormat="1">
      <c r="F431" s="33"/>
      <c r="H431" s="34"/>
    </row>
    <row r="432" spans="6:8" s="27" customFormat="1">
      <c r="F432" s="33"/>
      <c r="H432" s="34"/>
    </row>
    <row r="433" spans="6:8" s="27" customFormat="1">
      <c r="F433" s="33"/>
      <c r="H433" s="34"/>
    </row>
    <row r="434" spans="6:8" s="27" customFormat="1">
      <c r="F434" s="33"/>
      <c r="H434" s="34"/>
    </row>
    <row r="435" spans="6:8" s="27" customFormat="1">
      <c r="F435" s="33"/>
      <c r="H435" s="34"/>
    </row>
    <row r="436" spans="6:8" s="27" customFormat="1">
      <c r="F436" s="33"/>
      <c r="H436" s="34"/>
    </row>
    <row r="437" spans="6:8" s="27" customFormat="1">
      <c r="F437" s="33"/>
      <c r="H437" s="34"/>
    </row>
    <row r="438" spans="6:8" s="27" customFormat="1">
      <c r="F438" s="33"/>
      <c r="H438" s="34"/>
    </row>
    <row r="439" spans="6:8" s="27" customFormat="1">
      <c r="F439" s="33"/>
      <c r="H439" s="34"/>
    </row>
    <row r="440" spans="6:8" s="27" customFormat="1">
      <c r="F440" s="33"/>
      <c r="H440" s="34"/>
    </row>
    <row r="441" spans="6:8" s="27" customFormat="1">
      <c r="F441" s="33"/>
      <c r="H441" s="34"/>
    </row>
    <row r="442" spans="6:8" s="27" customFormat="1">
      <c r="F442" s="33"/>
      <c r="H442" s="34"/>
    </row>
    <row r="443" spans="6:8" s="27" customFormat="1">
      <c r="F443" s="33"/>
      <c r="H443" s="34"/>
    </row>
    <row r="444" spans="6:8" s="27" customFormat="1">
      <c r="F444" s="33"/>
      <c r="H444" s="34"/>
    </row>
    <row r="445" spans="6:8" s="27" customFormat="1">
      <c r="F445" s="33"/>
      <c r="H445" s="34"/>
    </row>
    <row r="446" spans="6:8" s="27" customFormat="1">
      <c r="F446" s="33"/>
      <c r="H446" s="34"/>
    </row>
    <row r="447" spans="6:8" s="27" customFormat="1">
      <c r="F447" s="33"/>
      <c r="H447" s="34"/>
    </row>
    <row r="448" spans="6:8" s="27" customFormat="1">
      <c r="F448" s="33"/>
      <c r="H448" s="34"/>
    </row>
    <row r="449" spans="6:8" s="27" customFormat="1">
      <c r="F449" s="33"/>
      <c r="H449" s="34"/>
    </row>
    <row r="450" spans="6:8" s="27" customFormat="1">
      <c r="F450" s="33"/>
      <c r="H450" s="34"/>
    </row>
    <row r="451" spans="6:8" s="27" customFormat="1">
      <c r="F451" s="33"/>
      <c r="H451" s="34"/>
    </row>
    <row r="452" spans="6:8" s="27" customFormat="1">
      <c r="F452" s="33"/>
      <c r="H452" s="34"/>
    </row>
    <row r="453" spans="6:8" s="27" customFormat="1">
      <c r="F453" s="33"/>
      <c r="H453" s="34"/>
    </row>
    <row r="454" spans="6:8" s="27" customFormat="1">
      <c r="F454" s="33"/>
      <c r="H454" s="34"/>
    </row>
    <row r="455" spans="6:8" s="27" customFormat="1">
      <c r="F455" s="33"/>
      <c r="H455" s="34"/>
    </row>
    <row r="456" spans="6:8" s="27" customFormat="1">
      <c r="F456" s="33"/>
      <c r="H456" s="34"/>
    </row>
    <row r="457" spans="6:8" s="27" customFormat="1">
      <c r="F457" s="33"/>
      <c r="H457" s="34"/>
    </row>
    <row r="458" spans="6:8" s="27" customFormat="1">
      <c r="F458" s="33"/>
      <c r="H458" s="34"/>
    </row>
    <row r="459" spans="6:8" s="27" customFormat="1">
      <c r="F459" s="33"/>
      <c r="H459" s="34"/>
    </row>
    <row r="460" spans="6:8" s="27" customFormat="1">
      <c r="F460" s="33"/>
      <c r="H460" s="34"/>
    </row>
    <row r="461" spans="6:8" s="27" customFormat="1">
      <c r="F461" s="33"/>
      <c r="H461" s="34"/>
    </row>
    <row r="462" spans="6:8" s="27" customFormat="1">
      <c r="F462" s="33"/>
      <c r="H462" s="34"/>
    </row>
    <row r="463" spans="6:8" s="27" customFormat="1">
      <c r="F463" s="33"/>
      <c r="H463" s="34"/>
    </row>
    <row r="464" spans="6:8" s="27" customFormat="1">
      <c r="F464" s="33"/>
      <c r="H464" s="34"/>
    </row>
    <row r="465" spans="6:8" s="27" customFormat="1">
      <c r="F465" s="33"/>
      <c r="H465" s="34"/>
    </row>
    <row r="466" spans="6:8" s="27" customFormat="1">
      <c r="F466" s="33"/>
      <c r="H466" s="34"/>
    </row>
    <row r="467" spans="6:8" s="27" customFormat="1">
      <c r="F467" s="33"/>
      <c r="H467" s="34"/>
    </row>
    <row r="468" spans="6:8" s="27" customFormat="1">
      <c r="F468" s="33"/>
      <c r="H468" s="34"/>
    </row>
    <row r="469" spans="6:8" s="27" customFormat="1">
      <c r="F469" s="33"/>
      <c r="H469" s="34"/>
    </row>
    <row r="470" spans="6:8" s="27" customFormat="1">
      <c r="F470" s="33"/>
      <c r="H470" s="34"/>
    </row>
    <row r="471" spans="6:8" s="27" customFormat="1">
      <c r="F471" s="33"/>
      <c r="H471" s="34"/>
    </row>
    <row r="472" spans="6:8" s="27" customFormat="1">
      <c r="F472" s="33"/>
      <c r="H472" s="34"/>
    </row>
    <row r="473" spans="6:8" s="27" customFormat="1">
      <c r="F473" s="33"/>
      <c r="H473" s="34"/>
    </row>
    <row r="474" spans="6:8" s="27" customFormat="1">
      <c r="F474" s="33"/>
      <c r="H474" s="34"/>
    </row>
    <row r="475" spans="6:8" s="27" customFormat="1">
      <c r="F475" s="33"/>
      <c r="H475" s="34"/>
    </row>
    <row r="476" spans="6:8" s="27" customFormat="1">
      <c r="F476" s="33"/>
      <c r="H476" s="34"/>
    </row>
    <row r="477" spans="6:8" s="27" customFormat="1">
      <c r="F477" s="33"/>
      <c r="H477" s="34"/>
    </row>
    <row r="478" spans="6:8" s="27" customFormat="1">
      <c r="F478" s="33"/>
      <c r="H478" s="34"/>
    </row>
    <row r="479" spans="6:8" s="27" customFormat="1">
      <c r="F479" s="33"/>
      <c r="H479" s="34"/>
    </row>
    <row r="480" spans="6:8" s="27" customFormat="1">
      <c r="F480" s="33"/>
      <c r="H480" s="34"/>
    </row>
    <row r="481" spans="6:8" s="27" customFormat="1">
      <c r="F481" s="33"/>
      <c r="H481" s="34"/>
    </row>
    <row r="482" spans="6:8" s="27" customFormat="1">
      <c r="F482" s="33"/>
      <c r="H482" s="34"/>
    </row>
    <row r="483" spans="6:8" s="27" customFormat="1">
      <c r="F483" s="33"/>
      <c r="H483" s="34"/>
    </row>
    <row r="484" spans="6:8" s="27" customFormat="1">
      <c r="F484" s="33"/>
      <c r="H484" s="34"/>
    </row>
    <row r="485" spans="6:8" s="27" customFormat="1">
      <c r="F485" s="33"/>
      <c r="H485" s="34"/>
    </row>
    <row r="486" spans="6:8" s="27" customFormat="1">
      <c r="F486" s="33"/>
      <c r="H486" s="34"/>
    </row>
    <row r="487" spans="6:8" s="27" customFormat="1">
      <c r="F487" s="33"/>
      <c r="H487" s="34"/>
    </row>
    <row r="488" spans="6:8" s="27" customFormat="1">
      <c r="F488" s="33"/>
      <c r="H488" s="34"/>
    </row>
    <row r="489" spans="6:8" s="27" customFormat="1">
      <c r="F489" s="33"/>
      <c r="H489" s="34"/>
    </row>
    <row r="490" spans="6:8" s="27" customFormat="1">
      <c r="F490" s="33"/>
      <c r="H490" s="34"/>
    </row>
    <row r="491" spans="6:8" s="27" customFormat="1">
      <c r="F491" s="33"/>
      <c r="H491" s="34"/>
    </row>
    <row r="492" spans="6:8" s="27" customFormat="1">
      <c r="F492" s="33"/>
      <c r="H492" s="34"/>
    </row>
    <row r="493" spans="6:8" s="27" customFormat="1">
      <c r="F493" s="33"/>
      <c r="H493" s="34"/>
    </row>
    <row r="494" spans="6:8" s="27" customFormat="1">
      <c r="F494" s="33"/>
      <c r="H494" s="34"/>
    </row>
    <row r="495" spans="6:8" s="27" customFormat="1">
      <c r="F495" s="33"/>
      <c r="H495" s="34"/>
    </row>
    <row r="496" spans="6:8" s="27" customFormat="1">
      <c r="F496" s="33"/>
      <c r="H496" s="34"/>
    </row>
    <row r="497" spans="6:8" s="27" customFormat="1">
      <c r="F497" s="33"/>
      <c r="H497" s="34"/>
    </row>
    <row r="498" spans="6:8" s="27" customFormat="1">
      <c r="F498" s="33"/>
      <c r="H498" s="34"/>
    </row>
    <row r="499" spans="6:8" s="27" customFormat="1">
      <c r="F499" s="33"/>
      <c r="H499" s="34"/>
    </row>
    <row r="500" spans="6:8" s="27" customFormat="1">
      <c r="F500" s="33"/>
      <c r="H500" s="34"/>
    </row>
    <row r="501" spans="6:8" s="27" customFormat="1">
      <c r="F501" s="33"/>
      <c r="H501" s="34"/>
    </row>
    <row r="502" spans="6:8" s="27" customFormat="1">
      <c r="F502" s="33"/>
      <c r="H502" s="34"/>
    </row>
    <row r="503" spans="6:8" s="27" customFormat="1">
      <c r="F503" s="33"/>
      <c r="H503" s="34"/>
    </row>
    <row r="504" spans="6:8" s="27" customFormat="1">
      <c r="F504" s="33"/>
      <c r="H504" s="34"/>
    </row>
    <row r="505" spans="6:8" s="27" customFormat="1">
      <c r="F505" s="33"/>
      <c r="H505" s="34"/>
    </row>
    <row r="506" spans="6:8" s="27" customFormat="1">
      <c r="F506" s="33"/>
      <c r="H506" s="34"/>
    </row>
    <row r="507" spans="6:8" s="27" customFormat="1">
      <c r="F507" s="33"/>
      <c r="H507" s="34"/>
    </row>
    <row r="508" spans="6:8" s="27" customFormat="1">
      <c r="F508" s="33"/>
      <c r="H508" s="34"/>
    </row>
    <row r="509" spans="6:8" s="27" customFormat="1">
      <c r="F509" s="33"/>
      <c r="H509" s="34"/>
    </row>
    <row r="510" spans="6:8" s="27" customFormat="1">
      <c r="F510" s="33"/>
      <c r="H510" s="34"/>
    </row>
    <row r="511" spans="6:8" s="27" customFormat="1">
      <c r="F511" s="33"/>
      <c r="H511" s="34"/>
    </row>
    <row r="512" spans="6:8" s="27" customFormat="1">
      <c r="F512" s="33"/>
      <c r="H512" s="34"/>
    </row>
    <row r="513" spans="6:8" s="27" customFormat="1">
      <c r="F513" s="33"/>
      <c r="H513" s="34"/>
    </row>
    <row r="514" spans="6:8" s="27" customFormat="1">
      <c r="F514" s="33"/>
      <c r="H514" s="34"/>
    </row>
    <row r="515" spans="6:8" s="27" customFormat="1">
      <c r="F515" s="33"/>
      <c r="H515" s="34"/>
    </row>
    <row r="516" spans="6:8" s="27" customFormat="1">
      <c r="F516" s="33"/>
      <c r="H516" s="34"/>
    </row>
    <row r="517" spans="6:8" s="27" customFormat="1">
      <c r="F517" s="33"/>
      <c r="H517" s="34"/>
    </row>
    <row r="518" spans="6:8" s="27" customFormat="1">
      <c r="F518" s="33"/>
      <c r="H518" s="34"/>
    </row>
    <row r="519" spans="6:8" s="27" customFormat="1">
      <c r="F519" s="33"/>
      <c r="H519" s="34"/>
    </row>
    <row r="520" spans="6:8" s="27" customFormat="1">
      <c r="F520" s="33"/>
      <c r="H520" s="34"/>
    </row>
    <row r="521" spans="6:8" s="27" customFormat="1">
      <c r="F521" s="33"/>
      <c r="H521" s="34"/>
    </row>
    <row r="522" spans="6:8" s="27" customFormat="1">
      <c r="F522" s="33"/>
      <c r="H522" s="34"/>
    </row>
    <row r="523" spans="6:8" s="27" customFormat="1">
      <c r="F523" s="33"/>
      <c r="H523" s="34"/>
    </row>
    <row r="524" spans="6:8" s="27" customFormat="1">
      <c r="F524" s="33"/>
      <c r="H524" s="34"/>
    </row>
    <row r="525" spans="6:8" s="27" customFormat="1">
      <c r="F525" s="33"/>
      <c r="H525" s="34"/>
    </row>
    <row r="526" spans="6:8" s="27" customFormat="1">
      <c r="F526" s="33"/>
      <c r="H526" s="34"/>
    </row>
    <row r="527" spans="6:8" s="27" customFormat="1">
      <c r="F527" s="33"/>
      <c r="H527" s="34"/>
    </row>
    <row r="528" spans="6:8" s="27" customFormat="1">
      <c r="F528" s="33"/>
      <c r="H528" s="34"/>
    </row>
    <row r="529" spans="6:8" s="27" customFormat="1">
      <c r="F529" s="33"/>
      <c r="H529" s="34"/>
    </row>
    <row r="530" spans="6:8" s="27" customFormat="1">
      <c r="F530" s="33"/>
      <c r="H530" s="34"/>
    </row>
    <row r="531" spans="6:8" s="27" customFormat="1">
      <c r="F531" s="33"/>
      <c r="H531" s="34"/>
    </row>
    <row r="532" spans="6:8" s="27" customFormat="1">
      <c r="F532" s="33"/>
      <c r="H532" s="34"/>
    </row>
    <row r="533" spans="6:8" s="27" customFormat="1">
      <c r="F533" s="33"/>
      <c r="H533" s="34"/>
    </row>
    <row r="534" spans="6:8" s="27" customFormat="1">
      <c r="F534" s="33"/>
      <c r="H534" s="34"/>
    </row>
    <row r="535" spans="6:8" s="27" customFormat="1">
      <c r="F535" s="33"/>
      <c r="H535" s="34"/>
    </row>
    <row r="536" spans="6:8" s="27" customFormat="1">
      <c r="F536" s="33"/>
      <c r="H536" s="34"/>
    </row>
    <row r="537" spans="6:8" s="27" customFormat="1">
      <c r="F537" s="33"/>
      <c r="H537" s="34"/>
    </row>
    <row r="538" spans="6:8" s="27" customFormat="1">
      <c r="F538" s="33"/>
      <c r="H538" s="34"/>
    </row>
    <row r="539" spans="6:8" s="27" customFormat="1">
      <c r="F539" s="33"/>
      <c r="H539" s="34"/>
    </row>
    <row r="540" spans="6:8" s="27" customFormat="1">
      <c r="F540" s="33"/>
      <c r="H540" s="34"/>
    </row>
    <row r="541" spans="6:8" s="27" customFormat="1">
      <c r="F541" s="33"/>
      <c r="H541" s="34"/>
    </row>
    <row r="542" spans="6:8" s="27" customFormat="1">
      <c r="F542" s="33"/>
      <c r="H542" s="34"/>
    </row>
    <row r="543" spans="6:8" s="27" customFormat="1">
      <c r="F543" s="33"/>
      <c r="H543" s="34"/>
    </row>
    <row r="544" spans="6:8" s="27" customFormat="1">
      <c r="F544" s="33"/>
      <c r="H544" s="34"/>
    </row>
    <row r="545" spans="6:8" s="27" customFormat="1">
      <c r="F545" s="33"/>
      <c r="H545" s="34"/>
    </row>
    <row r="546" spans="6:8" s="27" customFormat="1">
      <c r="F546" s="33"/>
      <c r="H546" s="34"/>
    </row>
    <row r="547" spans="6:8" s="27" customFormat="1">
      <c r="F547" s="33"/>
      <c r="H547" s="34"/>
    </row>
    <row r="548" spans="6:8" s="27" customFormat="1">
      <c r="F548" s="33"/>
      <c r="H548" s="34"/>
    </row>
    <row r="549" spans="6:8" s="27" customFormat="1">
      <c r="F549" s="33"/>
      <c r="H549" s="34"/>
    </row>
    <row r="550" spans="6:8" s="27" customFormat="1">
      <c r="F550" s="33"/>
      <c r="H550" s="34"/>
    </row>
    <row r="551" spans="6:8" s="27" customFormat="1">
      <c r="F551" s="33"/>
      <c r="H551" s="34"/>
    </row>
    <row r="552" spans="6:8" s="27" customFormat="1">
      <c r="F552" s="33"/>
      <c r="H552" s="34"/>
    </row>
    <row r="553" spans="6:8" s="27" customFormat="1">
      <c r="F553" s="33"/>
      <c r="H553" s="34"/>
    </row>
    <row r="554" spans="6:8" s="27" customFormat="1">
      <c r="F554" s="33"/>
      <c r="H554" s="34"/>
    </row>
    <row r="555" spans="6:8" s="27" customFormat="1">
      <c r="F555" s="33"/>
      <c r="H555" s="34"/>
    </row>
    <row r="556" spans="6:8" s="27" customFormat="1">
      <c r="F556" s="33"/>
      <c r="H556" s="34"/>
    </row>
    <row r="557" spans="6:8" s="27" customFormat="1">
      <c r="F557" s="33"/>
      <c r="H557" s="34"/>
    </row>
    <row r="558" spans="6:8" s="27" customFormat="1">
      <c r="F558" s="33"/>
      <c r="H558" s="34"/>
    </row>
    <row r="559" spans="6:8" s="27" customFormat="1">
      <c r="F559" s="33"/>
      <c r="H559" s="34"/>
    </row>
    <row r="560" spans="6:8" s="27" customFormat="1">
      <c r="F560" s="33"/>
      <c r="H560" s="34"/>
    </row>
    <row r="561" spans="6:8" s="27" customFormat="1">
      <c r="F561" s="33"/>
      <c r="H561" s="34"/>
    </row>
    <row r="562" spans="6:8" s="27" customFormat="1">
      <c r="F562" s="33"/>
      <c r="H562" s="34"/>
    </row>
    <row r="563" spans="6:8" s="27" customFormat="1">
      <c r="F563" s="33"/>
      <c r="H563" s="34"/>
    </row>
    <row r="564" spans="6:8" s="27" customFormat="1">
      <c r="F564" s="33"/>
      <c r="H564" s="34"/>
    </row>
    <row r="565" spans="6:8" s="27" customFormat="1">
      <c r="F565" s="33"/>
      <c r="H565" s="34"/>
    </row>
    <row r="566" spans="6:8" s="27" customFormat="1">
      <c r="F566" s="33"/>
      <c r="H566" s="34"/>
    </row>
    <row r="567" spans="6:8" s="27" customFormat="1">
      <c r="F567" s="33"/>
      <c r="H567" s="34"/>
    </row>
    <row r="568" spans="6:8" s="27" customFormat="1">
      <c r="F568" s="33"/>
      <c r="H568" s="34"/>
    </row>
    <row r="569" spans="6:8" s="27" customFormat="1">
      <c r="F569" s="33"/>
      <c r="H569" s="34"/>
    </row>
    <row r="570" spans="6:8" s="27" customFormat="1">
      <c r="F570" s="33"/>
      <c r="H570" s="34"/>
    </row>
    <row r="571" spans="6:8" s="27" customFormat="1">
      <c r="F571" s="33"/>
      <c r="H571" s="34"/>
    </row>
    <row r="572" spans="6:8" s="27" customFormat="1">
      <c r="F572" s="33"/>
      <c r="H572" s="34"/>
    </row>
    <row r="573" spans="6:8" s="27" customFormat="1">
      <c r="F573" s="33"/>
      <c r="H573" s="34"/>
    </row>
    <row r="574" spans="6:8" s="27" customFormat="1">
      <c r="F574" s="33"/>
      <c r="H574" s="34"/>
    </row>
    <row r="575" spans="6:8" s="27" customFormat="1">
      <c r="F575" s="33"/>
      <c r="H575" s="34"/>
    </row>
    <row r="576" spans="6:8" s="27" customFormat="1">
      <c r="F576" s="33"/>
      <c r="H576" s="34"/>
    </row>
    <row r="577" spans="6:8" s="27" customFormat="1">
      <c r="F577" s="33"/>
      <c r="H577" s="34"/>
    </row>
    <row r="578" spans="6:8" s="27" customFormat="1">
      <c r="F578" s="33"/>
      <c r="H578" s="34"/>
    </row>
    <row r="579" spans="6:8" s="27" customFormat="1">
      <c r="F579" s="33"/>
      <c r="H579" s="34"/>
    </row>
    <row r="580" spans="6:8" s="27" customFormat="1">
      <c r="F580" s="33"/>
      <c r="H580" s="34"/>
    </row>
    <row r="581" spans="6:8" s="27" customFormat="1">
      <c r="F581" s="33"/>
      <c r="H581" s="34"/>
    </row>
    <row r="582" spans="6:8" s="27" customFormat="1">
      <c r="F582" s="33"/>
      <c r="H582" s="34"/>
    </row>
    <row r="583" spans="6:8" s="27" customFormat="1">
      <c r="F583" s="33"/>
      <c r="H583" s="34"/>
    </row>
    <row r="584" spans="6:8" s="27" customFormat="1">
      <c r="F584" s="33"/>
      <c r="H584" s="34"/>
    </row>
    <row r="585" spans="6:8" s="27" customFormat="1">
      <c r="F585" s="33"/>
      <c r="H585" s="34"/>
    </row>
    <row r="586" spans="6:8" s="27" customFormat="1">
      <c r="F586" s="33"/>
      <c r="H586" s="34"/>
    </row>
    <row r="587" spans="6:8" s="27" customFormat="1">
      <c r="F587" s="33"/>
      <c r="H587" s="34"/>
    </row>
    <row r="588" spans="6:8" s="27" customFormat="1">
      <c r="F588" s="33"/>
      <c r="H588" s="34"/>
    </row>
    <row r="589" spans="6:8" s="27" customFormat="1">
      <c r="F589" s="33"/>
      <c r="H589" s="34"/>
    </row>
    <row r="590" spans="6:8" s="27" customFormat="1">
      <c r="F590" s="33"/>
      <c r="H590" s="34"/>
    </row>
    <row r="591" spans="6:8" s="27" customFormat="1">
      <c r="F591" s="33"/>
      <c r="H591" s="34"/>
    </row>
    <row r="592" spans="6:8" s="27" customFormat="1">
      <c r="F592" s="33"/>
      <c r="H592" s="34"/>
    </row>
  </sheetData>
  <mergeCells count="2">
    <mergeCell ref="B1:H1"/>
    <mergeCell ref="B2:H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027"/>
  <sheetViews>
    <sheetView zoomScaleNormal="100" workbookViewId="0">
      <selection activeCell="H22" activeCellId="1" sqref="H35 H22"/>
    </sheetView>
  </sheetViews>
  <sheetFormatPr defaultRowHeight="12.75"/>
  <cols>
    <col min="1" max="1" width="3.42578125" style="27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79" width="9.140625" style="27"/>
  </cols>
  <sheetData>
    <row r="1" spans="1:9" ht="15.95" customHeight="1">
      <c r="A1" s="24"/>
      <c r="B1" s="183" t="s">
        <v>367</v>
      </c>
      <c r="C1" s="184"/>
      <c r="D1" s="184"/>
      <c r="E1" s="184"/>
      <c r="F1" s="184"/>
      <c r="G1" s="184"/>
      <c r="H1" s="185"/>
      <c r="I1" s="1"/>
    </row>
    <row r="2" spans="1:9" ht="12.95" customHeight="1" thickBot="1">
      <c r="A2" s="24"/>
      <c r="B2" s="186" t="s">
        <v>393</v>
      </c>
      <c r="C2" s="187"/>
      <c r="D2" s="187"/>
      <c r="E2" s="187"/>
      <c r="F2" s="187"/>
      <c r="G2" s="187"/>
      <c r="H2" s="188"/>
      <c r="I2" s="1"/>
    </row>
    <row r="3" spans="1:9" s="27" customFormat="1" ht="12.95" customHeight="1">
      <c r="A3" s="24"/>
      <c r="B3" s="69"/>
      <c r="C3" s="69"/>
      <c r="D3" s="69"/>
      <c r="E3" s="69"/>
      <c r="F3" s="69"/>
      <c r="G3" s="69"/>
      <c r="H3" s="69"/>
      <c r="I3" s="24"/>
    </row>
    <row r="4" spans="1:9" s="27" customFormat="1" ht="12.95" customHeight="1">
      <c r="A4" s="25"/>
      <c r="B4" s="29" t="s">
        <v>2</v>
      </c>
      <c r="C4" s="24"/>
      <c r="D4" s="24"/>
      <c r="E4" s="24"/>
      <c r="F4" s="30"/>
      <c r="G4" s="24"/>
      <c r="H4" s="31"/>
      <c r="I4" s="24"/>
    </row>
    <row r="5" spans="1:9" s="27" customFormat="1" ht="12.95" customHeight="1" thickBot="1">
      <c r="A5" s="25"/>
      <c r="B5" s="29"/>
      <c r="C5" s="24"/>
      <c r="D5" s="24"/>
      <c r="E5" s="24"/>
      <c r="F5" s="30"/>
      <c r="G5" s="24"/>
      <c r="H5" s="31"/>
      <c r="I5" s="24"/>
    </row>
    <row r="6" spans="1:9" ht="27.95" customHeight="1" thickBot="1">
      <c r="A6" s="24"/>
      <c r="B6" s="76" t="s">
        <v>3</v>
      </c>
      <c r="C6" s="77" t="s">
        <v>4</v>
      </c>
      <c r="D6" s="104" t="s">
        <v>5</v>
      </c>
      <c r="E6" s="104" t="s">
        <v>6</v>
      </c>
      <c r="F6" s="105" t="s">
        <v>7</v>
      </c>
      <c r="G6" s="104" t="s">
        <v>8</v>
      </c>
      <c r="H6" s="106" t="s">
        <v>9</v>
      </c>
      <c r="I6" s="36" t="s">
        <v>10</v>
      </c>
    </row>
    <row r="7" spans="1:9" ht="12.95" customHeight="1">
      <c r="A7" s="24"/>
      <c r="B7" s="158" t="s">
        <v>368</v>
      </c>
      <c r="C7" s="159"/>
      <c r="D7" s="121"/>
      <c r="E7" s="121"/>
      <c r="F7" s="122"/>
      <c r="G7" s="121"/>
      <c r="H7" s="164"/>
      <c r="I7" s="23"/>
    </row>
    <row r="8" spans="1:9" ht="12.95" customHeight="1">
      <c r="A8" s="24"/>
      <c r="B8" s="13" t="s">
        <v>369</v>
      </c>
      <c r="C8" s="93"/>
      <c r="D8" s="44"/>
      <c r="E8" s="154" t="s">
        <v>196</v>
      </c>
      <c r="F8" s="154" t="s">
        <v>196</v>
      </c>
      <c r="G8" s="154" t="s">
        <v>196</v>
      </c>
      <c r="H8" s="157" t="s">
        <v>196</v>
      </c>
      <c r="I8" s="7" t="s">
        <v>196</v>
      </c>
    </row>
    <row r="9" spans="1:9" ht="12.95" customHeight="1">
      <c r="A9" s="26"/>
      <c r="B9" s="16" t="s">
        <v>195</v>
      </c>
      <c r="C9" s="94"/>
      <c r="D9" s="44"/>
      <c r="E9" s="154" t="s">
        <v>196</v>
      </c>
      <c r="F9" s="154" t="s">
        <v>196</v>
      </c>
      <c r="G9" s="154" t="s">
        <v>196</v>
      </c>
      <c r="H9" s="157" t="s">
        <v>196</v>
      </c>
      <c r="I9" s="7" t="s">
        <v>196</v>
      </c>
    </row>
    <row r="10" spans="1:9" ht="12.95" customHeight="1">
      <c r="A10" s="26"/>
      <c r="B10" s="116"/>
      <c r="C10" s="43"/>
      <c r="D10" s="44"/>
      <c r="E10" s="156"/>
      <c r="F10" s="156"/>
      <c r="G10" s="156"/>
      <c r="H10" s="170"/>
      <c r="I10" s="8"/>
    </row>
    <row r="11" spans="1:9" ht="12.95" customHeight="1">
      <c r="A11" s="26"/>
      <c r="B11" s="9" t="s">
        <v>370</v>
      </c>
      <c r="C11" s="92"/>
      <c r="D11" s="44"/>
      <c r="E11" s="156"/>
      <c r="F11" s="156"/>
      <c r="G11" s="156"/>
      <c r="H11" s="170"/>
      <c r="I11" s="8"/>
    </row>
    <row r="12" spans="1:9" ht="12.95" customHeight="1">
      <c r="A12" s="26"/>
      <c r="B12" s="13" t="s">
        <v>375</v>
      </c>
      <c r="C12" s="93"/>
      <c r="D12" s="44"/>
      <c r="E12" s="154" t="s">
        <v>196</v>
      </c>
      <c r="F12" s="154" t="s">
        <v>196</v>
      </c>
      <c r="G12" s="154" t="s">
        <v>196</v>
      </c>
      <c r="H12" s="157" t="s">
        <v>196</v>
      </c>
      <c r="I12" s="7" t="s">
        <v>196</v>
      </c>
    </row>
    <row r="13" spans="1:9" ht="12.95" customHeight="1">
      <c r="A13" s="26"/>
      <c r="B13" s="16" t="s">
        <v>372</v>
      </c>
      <c r="C13" s="94"/>
      <c r="D13" s="44"/>
      <c r="E13" s="154" t="s">
        <v>196</v>
      </c>
      <c r="F13" s="154" t="s">
        <v>196</v>
      </c>
      <c r="G13" s="154" t="s">
        <v>196</v>
      </c>
      <c r="H13" s="157" t="s">
        <v>196</v>
      </c>
      <c r="I13" s="7" t="s">
        <v>196</v>
      </c>
    </row>
    <row r="14" spans="1:9" ht="12.95" customHeight="1">
      <c r="A14" s="24"/>
      <c r="B14" s="16" t="s">
        <v>373</v>
      </c>
      <c r="C14" s="94"/>
      <c r="D14" s="44"/>
      <c r="E14" s="154" t="s">
        <v>196</v>
      </c>
      <c r="F14" s="154" t="s">
        <v>196</v>
      </c>
      <c r="G14" s="154" t="s">
        <v>196</v>
      </c>
      <c r="H14" s="157" t="s">
        <v>196</v>
      </c>
      <c r="I14" s="7" t="s">
        <v>196</v>
      </c>
    </row>
    <row r="15" spans="1:9" ht="12.95" customHeight="1">
      <c r="A15" s="24"/>
      <c r="B15" s="16"/>
      <c r="C15" s="94"/>
      <c r="D15" s="44"/>
      <c r="E15" s="154"/>
      <c r="F15" s="154"/>
      <c r="G15" s="154"/>
      <c r="H15" s="157"/>
      <c r="I15" s="176"/>
    </row>
    <row r="16" spans="1:9" ht="12.95" customHeight="1">
      <c r="A16" s="24"/>
      <c r="B16" s="53" t="s">
        <v>11</v>
      </c>
      <c r="C16" s="11" t="s">
        <v>1</v>
      </c>
      <c r="D16" s="11" t="s">
        <v>1</v>
      </c>
      <c r="E16" s="11" t="s">
        <v>1</v>
      </c>
      <c r="F16" s="46" t="s">
        <v>1</v>
      </c>
      <c r="G16" s="47"/>
      <c r="H16" s="54" t="s">
        <v>1</v>
      </c>
      <c r="I16" s="37" t="s">
        <v>1</v>
      </c>
    </row>
    <row r="17" spans="1:9" ht="12.95" customHeight="1">
      <c r="A17" s="24"/>
      <c r="B17" s="53"/>
      <c r="C17" s="11"/>
      <c r="D17" s="11"/>
      <c r="E17" s="11"/>
      <c r="F17" s="46"/>
      <c r="G17" s="47"/>
      <c r="H17" s="54"/>
      <c r="I17" s="37"/>
    </row>
    <row r="18" spans="1:9" ht="12.95" customHeight="1">
      <c r="A18" s="24"/>
      <c r="B18" s="53" t="s">
        <v>12</v>
      </c>
      <c r="C18" s="11" t="s">
        <v>1</v>
      </c>
      <c r="D18" s="11" t="s">
        <v>1</v>
      </c>
      <c r="E18" s="11" t="s">
        <v>1</v>
      </c>
      <c r="F18" s="46" t="s">
        <v>1</v>
      </c>
      <c r="G18" s="47"/>
      <c r="H18" s="54" t="s">
        <v>1</v>
      </c>
      <c r="I18" s="37" t="s">
        <v>1</v>
      </c>
    </row>
    <row r="19" spans="1:9" ht="12.95" customHeight="1">
      <c r="A19" s="26"/>
      <c r="B19" s="55" t="s">
        <v>363</v>
      </c>
      <c r="C19" s="11" t="s">
        <v>364</v>
      </c>
      <c r="D19" s="11" t="s">
        <v>18</v>
      </c>
      <c r="E19" s="48">
        <v>150000</v>
      </c>
      <c r="F19" s="49">
        <v>145.96680000000001</v>
      </c>
      <c r="G19" s="50">
        <v>145.97</v>
      </c>
      <c r="H19" s="56">
        <v>0.23147203210883219</v>
      </c>
      <c r="I19" s="2">
        <v>0.23150000000000001</v>
      </c>
    </row>
    <row r="20" spans="1:9" ht="12.95" customHeight="1">
      <c r="A20" s="26"/>
      <c r="B20" s="55" t="s">
        <v>365</v>
      </c>
      <c r="C20" s="11" t="s">
        <v>366</v>
      </c>
      <c r="D20" s="11" t="s">
        <v>18</v>
      </c>
      <c r="E20" s="48">
        <v>150000</v>
      </c>
      <c r="F20" s="49">
        <v>139.59465</v>
      </c>
      <c r="G20" s="50">
        <v>139.59</v>
      </c>
      <c r="H20" s="56">
        <v>0.22136716915778926</v>
      </c>
      <c r="I20" s="2">
        <v>0.22140000000000001</v>
      </c>
    </row>
    <row r="21" spans="1:9" ht="12.95" customHeight="1">
      <c r="A21" s="24"/>
      <c r="B21" s="53" t="s">
        <v>42</v>
      </c>
      <c r="C21" s="11" t="s">
        <v>1</v>
      </c>
      <c r="D21" s="11" t="s">
        <v>1</v>
      </c>
      <c r="E21" s="11" t="s">
        <v>1</v>
      </c>
      <c r="F21" s="12">
        <v>285.56144999999998</v>
      </c>
      <c r="G21" s="51">
        <v>285.56</v>
      </c>
      <c r="H21" s="57">
        <v>0.45283920126662142</v>
      </c>
      <c r="I21" s="38">
        <v>0.45290000000000002</v>
      </c>
    </row>
    <row r="22" spans="1:9" ht="12.95" customHeight="1">
      <c r="A22" s="24"/>
      <c r="B22" s="53" t="s">
        <v>43</v>
      </c>
      <c r="C22" s="11" t="s">
        <v>1</v>
      </c>
      <c r="D22" s="11" t="s">
        <v>1</v>
      </c>
      <c r="E22" s="11" t="s">
        <v>1</v>
      </c>
      <c r="F22" s="12">
        <v>285.56144999999998</v>
      </c>
      <c r="G22" s="51">
        <v>285.56</v>
      </c>
      <c r="H22" s="57">
        <v>0.45283920126662142</v>
      </c>
      <c r="I22" s="38">
        <v>0.45290000000000002</v>
      </c>
    </row>
    <row r="23" spans="1:9" ht="12.95" customHeight="1">
      <c r="A23" s="24"/>
      <c r="B23" s="53"/>
      <c r="C23" s="11"/>
      <c r="D23" s="11"/>
      <c r="E23" s="11"/>
      <c r="F23" s="12"/>
      <c r="G23" s="51"/>
      <c r="H23" s="57"/>
      <c r="I23" s="40"/>
    </row>
    <row r="24" spans="1:9" ht="12.95" customHeight="1">
      <c r="A24" s="24"/>
      <c r="B24" s="53" t="s">
        <v>204</v>
      </c>
      <c r="C24" s="11" t="s">
        <v>1</v>
      </c>
      <c r="D24" s="11" t="s">
        <v>1</v>
      </c>
      <c r="E24" s="11" t="s">
        <v>1</v>
      </c>
      <c r="F24" s="46" t="s">
        <v>1</v>
      </c>
      <c r="G24" s="47"/>
      <c r="H24" s="54" t="s">
        <v>1</v>
      </c>
      <c r="I24" s="37" t="s">
        <v>1</v>
      </c>
    </row>
    <row r="25" spans="1:9" ht="12.95" customHeight="1">
      <c r="A25" s="24"/>
      <c r="B25" s="53" t="s">
        <v>205</v>
      </c>
      <c r="C25" s="11" t="s">
        <v>1</v>
      </c>
      <c r="D25" s="11" t="s">
        <v>1</v>
      </c>
      <c r="E25" s="11" t="s">
        <v>1</v>
      </c>
      <c r="F25" s="46" t="s">
        <v>1</v>
      </c>
      <c r="G25" s="47"/>
      <c r="H25" s="54" t="s">
        <v>1</v>
      </c>
      <c r="I25" s="37" t="s">
        <v>1</v>
      </c>
    </row>
    <row r="26" spans="1:9" ht="12.95" customHeight="1">
      <c r="A26" s="26"/>
      <c r="B26" s="55" t="s">
        <v>353</v>
      </c>
      <c r="C26" s="11" t="s">
        <v>354</v>
      </c>
      <c r="D26" s="11" t="s">
        <v>1</v>
      </c>
      <c r="E26" s="48">
        <v>2200440</v>
      </c>
      <c r="F26" s="49">
        <v>240.38046650000001</v>
      </c>
      <c r="G26" s="50">
        <v>240.38</v>
      </c>
      <c r="H26" s="56">
        <v>0.38119185362715396</v>
      </c>
      <c r="I26" s="2">
        <v>0.38119999999999998</v>
      </c>
    </row>
    <row r="27" spans="1:9" ht="12.95" customHeight="1">
      <c r="A27" s="24"/>
      <c r="B27" s="53" t="s">
        <v>42</v>
      </c>
      <c r="C27" s="11" t="s">
        <v>1</v>
      </c>
      <c r="D27" s="11" t="s">
        <v>1</v>
      </c>
      <c r="E27" s="11" t="s">
        <v>1</v>
      </c>
      <c r="F27" s="12">
        <v>240.38046650000001</v>
      </c>
      <c r="G27" s="51">
        <v>240.38</v>
      </c>
      <c r="H27" s="57">
        <v>0.38119185362715396</v>
      </c>
      <c r="I27" s="38">
        <v>0.38119999999999998</v>
      </c>
    </row>
    <row r="28" spans="1:9" ht="12.95" customHeight="1">
      <c r="A28" s="24"/>
      <c r="B28" s="53"/>
      <c r="C28" s="11"/>
      <c r="D28" s="11"/>
      <c r="E28" s="11"/>
      <c r="F28" s="12"/>
      <c r="G28" s="51"/>
      <c r="H28" s="57"/>
      <c r="I28" s="40"/>
    </row>
    <row r="29" spans="1:9" ht="12.95" customHeight="1">
      <c r="A29" s="24"/>
      <c r="B29" s="53" t="s">
        <v>44</v>
      </c>
      <c r="C29" s="11" t="s">
        <v>1</v>
      </c>
      <c r="D29" s="11" t="s">
        <v>1</v>
      </c>
      <c r="E29" s="11" t="s">
        <v>1</v>
      </c>
      <c r="F29" s="46" t="s">
        <v>1</v>
      </c>
      <c r="G29" s="47"/>
      <c r="H29" s="54" t="s">
        <v>1</v>
      </c>
      <c r="I29" s="37" t="s">
        <v>1</v>
      </c>
    </row>
    <row r="30" spans="1:9" ht="12.95" customHeight="1">
      <c r="A30" s="26"/>
      <c r="B30" s="55" t="s">
        <v>45</v>
      </c>
      <c r="C30" s="11" t="s">
        <v>1</v>
      </c>
      <c r="D30" s="11" t="s">
        <v>46</v>
      </c>
      <c r="E30" s="48"/>
      <c r="F30" s="49">
        <v>113.2988692</v>
      </c>
      <c r="G30" s="50">
        <v>113.3</v>
      </c>
      <c r="H30" s="56">
        <v>0.17966770176065228</v>
      </c>
      <c r="I30" s="2">
        <v>0.1797</v>
      </c>
    </row>
    <row r="31" spans="1:9" ht="12.95" customHeight="1">
      <c r="A31" s="24"/>
      <c r="B31" s="53" t="s">
        <v>42</v>
      </c>
      <c r="C31" s="11" t="s">
        <v>1</v>
      </c>
      <c r="D31" s="11" t="s">
        <v>1</v>
      </c>
      <c r="E31" s="11" t="s">
        <v>1</v>
      </c>
      <c r="F31" s="12">
        <v>113.2988692</v>
      </c>
      <c r="G31" s="51">
        <v>113.3</v>
      </c>
      <c r="H31" s="57">
        <v>0.17966770176065228</v>
      </c>
      <c r="I31" s="38">
        <v>0.1797</v>
      </c>
    </row>
    <row r="32" spans="1:9" ht="12.95" customHeight="1">
      <c r="A32" s="24"/>
      <c r="B32" s="53"/>
      <c r="C32" s="11"/>
      <c r="D32" s="11"/>
      <c r="E32" s="11"/>
      <c r="F32" s="12"/>
      <c r="G32" s="51"/>
      <c r="H32" s="57"/>
      <c r="I32" s="38"/>
    </row>
    <row r="33" spans="1:9" ht="12.95" customHeight="1">
      <c r="A33" s="24"/>
      <c r="B33" s="53" t="s">
        <v>47</v>
      </c>
      <c r="C33" s="11" t="s">
        <v>1</v>
      </c>
      <c r="D33" s="11" t="s">
        <v>1</v>
      </c>
      <c r="E33" s="11" t="s">
        <v>1</v>
      </c>
      <c r="F33" s="14">
        <v>-8.6384676999999996</v>
      </c>
      <c r="G33" s="95">
        <v>-8.64</v>
      </c>
      <c r="H33" s="96">
        <v>-1.3698756654427697E-2</v>
      </c>
      <c r="I33" s="38">
        <v>-1.38E-2</v>
      </c>
    </row>
    <row r="34" spans="1:9" ht="12.95" customHeight="1">
      <c r="A34" s="24"/>
      <c r="B34" s="53" t="s">
        <v>42</v>
      </c>
      <c r="C34" s="11"/>
      <c r="D34" s="11"/>
      <c r="E34" s="11"/>
      <c r="F34" s="12">
        <v>-8.6384676999999996</v>
      </c>
      <c r="G34" s="51">
        <v>-8.64</v>
      </c>
      <c r="H34" s="57">
        <v>-1.3698756654427697E-2</v>
      </c>
      <c r="I34" s="41"/>
    </row>
    <row r="35" spans="1:9" ht="12.95" customHeight="1">
      <c r="A35" s="24"/>
      <c r="B35" s="53" t="s">
        <v>43</v>
      </c>
      <c r="C35" s="11"/>
      <c r="D35" s="11"/>
      <c r="E35" s="11"/>
      <c r="F35" s="12">
        <f>F27+F31+F34</f>
        <v>345.04086800000005</v>
      </c>
      <c r="G35" s="12">
        <f t="shared" ref="G35" si="0">G31+G34</f>
        <v>104.66</v>
      </c>
      <c r="H35" s="57">
        <f>H27+H31+H34</f>
        <v>0.54716079873337853</v>
      </c>
      <c r="I35" s="41"/>
    </row>
    <row r="36" spans="1:9" ht="12.95" customHeight="1" thickBot="1">
      <c r="A36" s="24"/>
      <c r="B36" s="80"/>
      <c r="C36" s="17"/>
      <c r="D36" s="17"/>
      <c r="E36" s="17"/>
      <c r="F36" s="18"/>
      <c r="G36" s="99"/>
      <c r="H36" s="100"/>
      <c r="I36" s="41"/>
    </row>
    <row r="37" spans="1:9" ht="12.95" customHeight="1" thickBot="1">
      <c r="A37" s="24"/>
      <c r="B37" s="84" t="s">
        <v>48</v>
      </c>
      <c r="C37" s="85" t="s">
        <v>1</v>
      </c>
      <c r="D37" s="85" t="s">
        <v>1</v>
      </c>
      <c r="E37" s="85" t="s">
        <v>1</v>
      </c>
      <c r="F37" s="101">
        <v>630.60231799999997</v>
      </c>
      <c r="G37" s="102">
        <v>630.6</v>
      </c>
      <c r="H37" s="103">
        <v>1</v>
      </c>
      <c r="I37" s="42">
        <v>1</v>
      </c>
    </row>
    <row r="38" spans="1:9" s="27" customFormat="1" ht="12.95" customHeight="1">
      <c r="A38" s="24"/>
      <c r="B38" s="25" t="s">
        <v>1</v>
      </c>
      <c r="C38" s="24"/>
      <c r="D38" s="24"/>
      <c r="E38" s="24"/>
      <c r="F38" s="30"/>
      <c r="G38" s="24"/>
      <c r="H38" s="31"/>
      <c r="I38" s="24"/>
    </row>
    <row r="39" spans="1:9" s="27" customFormat="1" ht="12.95" customHeight="1">
      <c r="A39" s="24"/>
      <c r="B39" s="32" t="s">
        <v>46</v>
      </c>
      <c r="C39" s="24"/>
      <c r="D39" s="24"/>
      <c r="E39" s="24"/>
      <c r="F39" s="30"/>
      <c r="G39" s="24"/>
      <c r="H39" s="31"/>
      <c r="I39" s="24"/>
    </row>
    <row r="40" spans="1:9" s="27" customFormat="1" ht="12.95" customHeight="1">
      <c r="A40" s="24"/>
      <c r="B40" s="32" t="s">
        <v>49</v>
      </c>
      <c r="C40" s="24"/>
      <c r="D40" s="24"/>
      <c r="E40" s="24"/>
      <c r="F40" s="30"/>
      <c r="G40" s="24"/>
      <c r="H40" s="31"/>
      <c r="I40" s="24"/>
    </row>
    <row r="41" spans="1:9" s="27" customFormat="1" ht="12.95" customHeight="1">
      <c r="A41" s="24"/>
      <c r="B41" s="32" t="s">
        <v>50</v>
      </c>
      <c r="C41" s="24"/>
      <c r="D41" s="24"/>
      <c r="E41" s="24"/>
      <c r="F41" s="30"/>
      <c r="G41" s="24"/>
      <c r="H41" s="31"/>
      <c r="I41" s="24"/>
    </row>
    <row r="42" spans="1:9" s="27" customFormat="1" ht="12.95" customHeight="1" thickBot="1">
      <c r="A42" s="24"/>
      <c r="B42" s="32" t="s">
        <v>1</v>
      </c>
      <c r="C42" s="24"/>
      <c r="D42" s="24"/>
      <c r="E42" s="24"/>
      <c r="F42" s="30"/>
      <c r="G42" s="24"/>
      <c r="H42" s="31"/>
      <c r="I42" s="24"/>
    </row>
    <row r="43" spans="1:9" s="27" customFormat="1" ht="12.95" customHeight="1" thickBot="1">
      <c r="A43" s="24"/>
      <c r="B43" s="160" t="s">
        <v>392</v>
      </c>
      <c r="C43" s="161">
        <v>106.48</v>
      </c>
      <c r="D43" s="24"/>
      <c r="E43" s="24"/>
      <c r="F43" s="30"/>
      <c r="G43" s="24"/>
      <c r="H43" s="31"/>
      <c r="I43" s="24"/>
    </row>
    <row r="44" spans="1:9" s="27" customFormat="1">
      <c r="F44" s="33"/>
      <c r="H44" s="34"/>
    </row>
    <row r="45" spans="1:9" s="27" customFormat="1">
      <c r="F45" s="33"/>
      <c r="H45" s="34"/>
    </row>
    <row r="46" spans="1:9" s="27" customFormat="1">
      <c r="F46" s="33"/>
      <c r="H46" s="34"/>
    </row>
    <row r="47" spans="1:9" s="27" customFormat="1">
      <c r="F47" s="33"/>
      <c r="H47" s="34"/>
    </row>
    <row r="48" spans="1:9" s="27" customFormat="1">
      <c r="F48" s="33"/>
      <c r="H48" s="34"/>
    </row>
    <row r="49" spans="6:8" s="27" customFormat="1">
      <c r="F49" s="33"/>
      <c r="H49" s="34"/>
    </row>
    <row r="50" spans="6:8" s="27" customFormat="1">
      <c r="F50" s="33"/>
      <c r="H50" s="34"/>
    </row>
    <row r="51" spans="6:8" s="27" customFormat="1">
      <c r="F51" s="33"/>
      <c r="H51" s="34"/>
    </row>
    <row r="52" spans="6:8" s="27" customFormat="1">
      <c r="F52" s="33"/>
      <c r="H52" s="34"/>
    </row>
    <row r="53" spans="6:8" s="27" customFormat="1">
      <c r="F53" s="33"/>
      <c r="H53" s="34"/>
    </row>
    <row r="54" spans="6:8" s="27" customFormat="1">
      <c r="F54" s="33"/>
      <c r="H54" s="34"/>
    </row>
    <row r="55" spans="6:8" s="27" customFormat="1">
      <c r="F55" s="33"/>
      <c r="H55" s="34"/>
    </row>
    <row r="56" spans="6:8" s="27" customFormat="1">
      <c r="F56" s="33"/>
      <c r="H56" s="34"/>
    </row>
    <row r="57" spans="6:8" s="27" customFormat="1">
      <c r="F57" s="33"/>
      <c r="H57" s="34"/>
    </row>
    <row r="58" spans="6:8" s="27" customFormat="1">
      <c r="F58" s="33"/>
      <c r="H58" s="34"/>
    </row>
    <row r="59" spans="6:8" s="27" customFormat="1">
      <c r="F59" s="33"/>
      <c r="H59" s="34"/>
    </row>
    <row r="60" spans="6:8" s="27" customFormat="1">
      <c r="F60" s="33"/>
      <c r="H60" s="34"/>
    </row>
    <row r="61" spans="6:8" s="27" customFormat="1">
      <c r="F61" s="33"/>
      <c r="H61" s="34"/>
    </row>
    <row r="62" spans="6:8" s="27" customFormat="1">
      <c r="F62" s="33"/>
      <c r="H62" s="34"/>
    </row>
    <row r="63" spans="6:8" s="27" customFormat="1">
      <c r="F63" s="33"/>
      <c r="H63" s="34"/>
    </row>
    <row r="64" spans="6:8" s="27" customFormat="1">
      <c r="F64" s="33"/>
      <c r="H64" s="34"/>
    </row>
    <row r="65" spans="6:8" s="27" customFormat="1">
      <c r="F65" s="33"/>
      <c r="H65" s="34"/>
    </row>
    <row r="66" spans="6:8" s="27" customFormat="1">
      <c r="F66" s="33"/>
      <c r="H66" s="34"/>
    </row>
    <row r="67" spans="6:8" s="27" customFormat="1">
      <c r="F67" s="33"/>
      <c r="H67" s="34"/>
    </row>
    <row r="68" spans="6:8" s="27" customFormat="1">
      <c r="F68" s="33"/>
      <c r="H68" s="34"/>
    </row>
    <row r="69" spans="6:8" s="27" customFormat="1">
      <c r="F69" s="33"/>
      <c r="H69" s="34"/>
    </row>
    <row r="70" spans="6:8" s="27" customFormat="1">
      <c r="F70" s="33"/>
      <c r="H70" s="34"/>
    </row>
    <row r="71" spans="6:8" s="27" customFormat="1">
      <c r="F71" s="33"/>
      <c r="H71" s="34"/>
    </row>
    <row r="72" spans="6:8" s="27" customFormat="1">
      <c r="F72" s="33"/>
      <c r="H72" s="34"/>
    </row>
    <row r="73" spans="6:8" s="27" customFormat="1">
      <c r="F73" s="33"/>
      <c r="H73" s="34"/>
    </row>
    <row r="74" spans="6:8" s="27" customFormat="1">
      <c r="F74" s="33"/>
      <c r="H74" s="34"/>
    </row>
    <row r="75" spans="6:8" s="27" customFormat="1">
      <c r="F75" s="33"/>
      <c r="H75" s="34"/>
    </row>
    <row r="76" spans="6:8" s="27" customFormat="1">
      <c r="F76" s="33"/>
      <c r="H76" s="34"/>
    </row>
    <row r="77" spans="6:8" s="27" customFormat="1">
      <c r="F77" s="33"/>
      <c r="H77" s="34"/>
    </row>
    <row r="78" spans="6:8" s="27" customFormat="1">
      <c r="F78" s="33"/>
      <c r="H78" s="34"/>
    </row>
    <row r="79" spans="6:8" s="27" customFormat="1">
      <c r="F79" s="33"/>
      <c r="H79" s="34"/>
    </row>
    <row r="80" spans="6:8" s="27" customFormat="1">
      <c r="F80" s="33"/>
      <c r="H80" s="34"/>
    </row>
    <row r="81" spans="6:8" s="27" customFormat="1">
      <c r="F81" s="33"/>
      <c r="H81" s="34"/>
    </row>
    <row r="82" spans="6:8" s="27" customFormat="1">
      <c r="F82" s="33"/>
      <c r="H82" s="34"/>
    </row>
    <row r="83" spans="6:8" s="27" customFormat="1">
      <c r="F83" s="33"/>
      <c r="H83" s="34"/>
    </row>
    <row r="84" spans="6:8" s="27" customFormat="1">
      <c r="F84" s="33"/>
      <c r="H84" s="34"/>
    </row>
    <row r="85" spans="6:8" s="27" customFormat="1">
      <c r="F85" s="33"/>
      <c r="H85" s="34"/>
    </row>
    <row r="86" spans="6:8" s="27" customFormat="1">
      <c r="F86" s="33"/>
      <c r="H86" s="34"/>
    </row>
    <row r="87" spans="6:8" s="27" customFormat="1">
      <c r="F87" s="33"/>
      <c r="H87" s="34"/>
    </row>
    <row r="88" spans="6:8" s="27" customFormat="1">
      <c r="F88" s="33"/>
      <c r="H88" s="34"/>
    </row>
    <row r="89" spans="6:8" s="27" customFormat="1">
      <c r="F89" s="33"/>
      <c r="H89" s="34"/>
    </row>
    <row r="90" spans="6:8" s="27" customFormat="1">
      <c r="F90" s="33"/>
      <c r="H90" s="34"/>
    </row>
    <row r="91" spans="6:8" s="27" customFormat="1">
      <c r="F91" s="33"/>
      <c r="H91" s="34"/>
    </row>
    <row r="92" spans="6:8" s="27" customFormat="1">
      <c r="F92" s="33"/>
      <c r="H92" s="34"/>
    </row>
    <row r="93" spans="6:8" s="27" customFormat="1">
      <c r="F93" s="33"/>
      <c r="H93" s="34"/>
    </row>
    <row r="94" spans="6:8" s="27" customFormat="1">
      <c r="F94" s="33"/>
      <c r="H94" s="34"/>
    </row>
    <row r="95" spans="6:8" s="27" customFormat="1">
      <c r="F95" s="33"/>
      <c r="H95" s="34"/>
    </row>
    <row r="96" spans="6:8" s="27" customFormat="1">
      <c r="F96" s="33"/>
      <c r="H96" s="34"/>
    </row>
    <row r="97" spans="6:8" s="27" customFormat="1">
      <c r="F97" s="33"/>
      <c r="H97" s="34"/>
    </row>
    <row r="98" spans="6:8" s="27" customFormat="1">
      <c r="F98" s="33"/>
      <c r="H98" s="34"/>
    </row>
    <row r="99" spans="6:8" s="27" customFormat="1">
      <c r="F99" s="33"/>
      <c r="H99" s="34"/>
    </row>
    <row r="100" spans="6:8" s="27" customFormat="1">
      <c r="F100" s="33"/>
      <c r="H100" s="34"/>
    </row>
    <row r="101" spans="6:8" s="27" customFormat="1">
      <c r="F101" s="33"/>
      <c r="H101" s="34"/>
    </row>
    <row r="102" spans="6:8" s="27" customFormat="1">
      <c r="F102" s="33"/>
      <c r="H102" s="34"/>
    </row>
    <row r="103" spans="6:8" s="27" customFormat="1">
      <c r="F103" s="33"/>
      <c r="H103" s="34"/>
    </row>
    <row r="104" spans="6:8" s="27" customFormat="1">
      <c r="F104" s="33"/>
      <c r="H104" s="34"/>
    </row>
    <row r="105" spans="6:8" s="27" customFormat="1">
      <c r="F105" s="33"/>
      <c r="H105" s="34"/>
    </row>
    <row r="106" spans="6:8" s="27" customFormat="1">
      <c r="F106" s="33"/>
      <c r="H106" s="34"/>
    </row>
    <row r="107" spans="6:8" s="27" customFormat="1">
      <c r="F107" s="33"/>
      <c r="H107" s="34"/>
    </row>
    <row r="108" spans="6:8" s="27" customFormat="1">
      <c r="F108" s="33"/>
      <c r="H108" s="34"/>
    </row>
    <row r="109" spans="6:8" s="27" customFormat="1">
      <c r="F109" s="33"/>
      <c r="H109" s="34"/>
    </row>
    <row r="110" spans="6:8" s="27" customFormat="1">
      <c r="F110" s="33"/>
      <c r="H110" s="34"/>
    </row>
    <row r="111" spans="6:8" s="27" customFormat="1">
      <c r="F111" s="33"/>
      <c r="H111" s="34"/>
    </row>
    <row r="112" spans="6:8" s="27" customFormat="1">
      <c r="F112" s="33"/>
      <c r="H112" s="34"/>
    </row>
    <row r="113" spans="6:8" s="27" customFormat="1">
      <c r="F113" s="33"/>
      <c r="H113" s="34"/>
    </row>
    <row r="114" spans="6:8" s="27" customFormat="1">
      <c r="F114" s="33"/>
      <c r="H114" s="34"/>
    </row>
    <row r="115" spans="6:8" s="27" customFormat="1">
      <c r="F115" s="33"/>
      <c r="H115" s="34"/>
    </row>
    <row r="116" spans="6:8" s="27" customFormat="1">
      <c r="F116" s="33"/>
      <c r="H116" s="34"/>
    </row>
    <row r="117" spans="6:8" s="27" customFormat="1">
      <c r="F117" s="33"/>
      <c r="H117" s="34"/>
    </row>
    <row r="118" spans="6:8" s="27" customFormat="1">
      <c r="F118" s="33"/>
      <c r="H118" s="34"/>
    </row>
    <row r="119" spans="6:8" s="27" customFormat="1">
      <c r="F119" s="33"/>
      <c r="H119" s="34"/>
    </row>
    <row r="120" spans="6:8" s="27" customFormat="1">
      <c r="F120" s="33"/>
      <c r="H120" s="34"/>
    </row>
    <row r="121" spans="6:8" s="27" customFormat="1">
      <c r="F121" s="33"/>
      <c r="H121" s="34"/>
    </row>
    <row r="122" spans="6:8" s="27" customFormat="1">
      <c r="F122" s="33"/>
      <c r="H122" s="34"/>
    </row>
    <row r="123" spans="6:8" s="27" customFormat="1">
      <c r="F123" s="33"/>
      <c r="H123" s="34"/>
    </row>
    <row r="124" spans="6:8" s="27" customFormat="1">
      <c r="F124" s="33"/>
      <c r="H124" s="34"/>
    </row>
    <row r="125" spans="6:8" s="27" customFormat="1">
      <c r="F125" s="33"/>
      <c r="H125" s="34"/>
    </row>
    <row r="126" spans="6:8" s="27" customFormat="1">
      <c r="F126" s="33"/>
      <c r="H126" s="34"/>
    </row>
    <row r="127" spans="6:8" s="27" customFormat="1">
      <c r="F127" s="33"/>
      <c r="H127" s="34"/>
    </row>
    <row r="128" spans="6:8" s="27" customFormat="1">
      <c r="F128" s="33"/>
      <c r="H128" s="34"/>
    </row>
    <row r="129" spans="6:8" s="27" customFormat="1">
      <c r="F129" s="33"/>
      <c r="H129" s="34"/>
    </row>
    <row r="130" spans="6:8" s="27" customFormat="1">
      <c r="F130" s="33"/>
      <c r="H130" s="34"/>
    </row>
    <row r="131" spans="6:8" s="27" customFormat="1">
      <c r="F131" s="33"/>
      <c r="H131" s="34"/>
    </row>
    <row r="132" spans="6:8" s="27" customFormat="1">
      <c r="F132" s="33"/>
      <c r="H132" s="34"/>
    </row>
    <row r="133" spans="6:8" s="27" customFormat="1">
      <c r="F133" s="33"/>
      <c r="H133" s="34"/>
    </row>
    <row r="134" spans="6:8" s="27" customFormat="1">
      <c r="F134" s="33"/>
      <c r="H134" s="34"/>
    </row>
    <row r="135" spans="6:8" s="27" customFormat="1">
      <c r="F135" s="33"/>
      <c r="H135" s="34"/>
    </row>
    <row r="136" spans="6:8" s="27" customFormat="1">
      <c r="F136" s="33"/>
      <c r="H136" s="34"/>
    </row>
    <row r="137" spans="6:8" s="27" customFormat="1">
      <c r="F137" s="33"/>
      <c r="H137" s="34"/>
    </row>
    <row r="138" spans="6:8" s="27" customFormat="1">
      <c r="F138" s="33"/>
      <c r="H138" s="34"/>
    </row>
    <row r="139" spans="6:8" s="27" customFormat="1">
      <c r="F139" s="33"/>
      <c r="H139" s="34"/>
    </row>
    <row r="140" spans="6:8" s="27" customFormat="1">
      <c r="F140" s="33"/>
      <c r="H140" s="34"/>
    </row>
    <row r="141" spans="6:8" s="27" customFormat="1">
      <c r="F141" s="33"/>
      <c r="H141" s="34"/>
    </row>
    <row r="142" spans="6:8" s="27" customFormat="1">
      <c r="F142" s="33"/>
      <c r="H142" s="34"/>
    </row>
    <row r="143" spans="6:8" s="27" customFormat="1">
      <c r="F143" s="33"/>
      <c r="H143" s="34"/>
    </row>
    <row r="144" spans="6:8" s="27" customFormat="1">
      <c r="F144" s="33"/>
      <c r="H144" s="34"/>
    </row>
    <row r="145" spans="6:8" s="27" customFormat="1">
      <c r="F145" s="33"/>
      <c r="H145" s="34"/>
    </row>
    <row r="146" spans="6:8" s="27" customFormat="1">
      <c r="F146" s="33"/>
      <c r="H146" s="34"/>
    </row>
    <row r="147" spans="6:8" s="27" customFormat="1">
      <c r="F147" s="33"/>
      <c r="H147" s="34"/>
    </row>
    <row r="148" spans="6:8" s="27" customFormat="1">
      <c r="F148" s="33"/>
      <c r="H148" s="34"/>
    </row>
    <row r="149" spans="6:8" s="27" customFormat="1">
      <c r="F149" s="33"/>
      <c r="H149" s="34"/>
    </row>
    <row r="150" spans="6:8" s="27" customFormat="1">
      <c r="F150" s="33"/>
      <c r="H150" s="34"/>
    </row>
    <row r="151" spans="6:8" s="27" customFormat="1">
      <c r="F151" s="33"/>
      <c r="H151" s="34"/>
    </row>
    <row r="152" spans="6:8" s="27" customFormat="1">
      <c r="F152" s="33"/>
      <c r="H152" s="34"/>
    </row>
    <row r="153" spans="6:8" s="27" customFormat="1">
      <c r="F153" s="33"/>
      <c r="H153" s="34"/>
    </row>
    <row r="154" spans="6:8" s="27" customFormat="1">
      <c r="F154" s="33"/>
      <c r="H154" s="34"/>
    </row>
    <row r="155" spans="6:8" s="27" customFormat="1">
      <c r="F155" s="33"/>
      <c r="H155" s="34"/>
    </row>
    <row r="156" spans="6:8" s="27" customFormat="1">
      <c r="F156" s="33"/>
      <c r="H156" s="34"/>
    </row>
    <row r="157" spans="6:8" s="27" customFormat="1">
      <c r="F157" s="33"/>
      <c r="H157" s="34"/>
    </row>
    <row r="158" spans="6:8" s="27" customFormat="1">
      <c r="F158" s="33"/>
      <c r="H158" s="34"/>
    </row>
    <row r="159" spans="6:8" s="27" customFormat="1">
      <c r="F159" s="33"/>
      <c r="H159" s="34"/>
    </row>
    <row r="160" spans="6:8" s="27" customFormat="1">
      <c r="F160" s="33"/>
      <c r="H160" s="34"/>
    </row>
    <row r="161" spans="6:8" s="27" customFormat="1">
      <c r="F161" s="33"/>
      <c r="H161" s="34"/>
    </row>
    <row r="162" spans="6:8" s="27" customFormat="1">
      <c r="F162" s="33"/>
      <c r="H162" s="34"/>
    </row>
    <row r="163" spans="6:8" s="27" customFormat="1">
      <c r="F163" s="33"/>
      <c r="H163" s="34"/>
    </row>
    <row r="164" spans="6:8" s="27" customFormat="1">
      <c r="F164" s="33"/>
      <c r="H164" s="34"/>
    </row>
    <row r="165" spans="6:8" s="27" customFormat="1">
      <c r="F165" s="33"/>
      <c r="H165" s="34"/>
    </row>
    <row r="166" spans="6:8" s="27" customFormat="1">
      <c r="F166" s="33"/>
      <c r="H166" s="34"/>
    </row>
    <row r="167" spans="6:8" s="27" customFormat="1">
      <c r="F167" s="33"/>
      <c r="H167" s="34"/>
    </row>
    <row r="168" spans="6:8" s="27" customFormat="1">
      <c r="F168" s="33"/>
      <c r="H168" s="34"/>
    </row>
    <row r="169" spans="6:8" s="27" customFormat="1">
      <c r="F169" s="33"/>
      <c r="H169" s="34"/>
    </row>
    <row r="170" spans="6:8" s="27" customFormat="1">
      <c r="F170" s="33"/>
      <c r="H170" s="34"/>
    </row>
    <row r="171" spans="6:8" s="27" customFormat="1">
      <c r="F171" s="33"/>
      <c r="H171" s="34"/>
    </row>
    <row r="172" spans="6:8" s="27" customFormat="1">
      <c r="F172" s="33"/>
      <c r="H172" s="34"/>
    </row>
    <row r="173" spans="6:8" s="27" customFormat="1">
      <c r="F173" s="33"/>
      <c r="H173" s="34"/>
    </row>
    <row r="174" spans="6:8" s="27" customFormat="1">
      <c r="F174" s="33"/>
      <c r="H174" s="34"/>
    </row>
    <row r="175" spans="6:8" s="27" customFormat="1">
      <c r="F175" s="33"/>
      <c r="H175" s="34"/>
    </row>
    <row r="176" spans="6:8" s="27" customFormat="1">
      <c r="F176" s="33"/>
      <c r="H176" s="34"/>
    </row>
    <row r="177" spans="6:8" s="27" customFormat="1">
      <c r="F177" s="33"/>
      <c r="H177" s="34"/>
    </row>
    <row r="178" spans="6:8" s="27" customFormat="1">
      <c r="F178" s="33"/>
      <c r="H178" s="34"/>
    </row>
    <row r="179" spans="6:8" s="27" customFormat="1">
      <c r="F179" s="33"/>
      <c r="H179" s="34"/>
    </row>
    <row r="180" spans="6:8" s="27" customFormat="1">
      <c r="F180" s="33"/>
      <c r="H180" s="34"/>
    </row>
    <row r="181" spans="6:8" s="27" customFormat="1">
      <c r="F181" s="33"/>
      <c r="H181" s="34"/>
    </row>
    <row r="182" spans="6:8" s="27" customFormat="1">
      <c r="F182" s="33"/>
      <c r="H182" s="34"/>
    </row>
    <row r="183" spans="6:8" s="27" customFormat="1">
      <c r="F183" s="33"/>
      <c r="H183" s="34"/>
    </row>
    <row r="184" spans="6:8" s="27" customFormat="1">
      <c r="F184" s="33"/>
      <c r="H184" s="34"/>
    </row>
    <row r="185" spans="6:8" s="27" customFormat="1">
      <c r="F185" s="33"/>
      <c r="H185" s="34"/>
    </row>
    <row r="186" spans="6:8" s="27" customFormat="1">
      <c r="F186" s="33"/>
      <c r="H186" s="34"/>
    </row>
    <row r="187" spans="6:8" s="27" customFormat="1">
      <c r="F187" s="33"/>
      <c r="H187" s="34"/>
    </row>
    <row r="188" spans="6:8" s="27" customFormat="1">
      <c r="F188" s="33"/>
      <c r="H188" s="34"/>
    </row>
    <row r="189" spans="6:8" s="27" customFormat="1">
      <c r="F189" s="33"/>
      <c r="H189" s="34"/>
    </row>
    <row r="190" spans="6:8" s="27" customFormat="1">
      <c r="F190" s="33"/>
      <c r="H190" s="34"/>
    </row>
    <row r="191" spans="6:8" s="27" customFormat="1">
      <c r="F191" s="33"/>
      <c r="H191" s="34"/>
    </row>
    <row r="192" spans="6:8" s="27" customFormat="1">
      <c r="F192" s="33"/>
      <c r="H192" s="34"/>
    </row>
    <row r="193" spans="6:8" s="27" customFormat="1">
      <c r="F193" s="33"/>
      <c r="H193" s="34"/>
    </row>
    <row r="194" spans="6:8" s="27" customFormat="1">
      <c r="F194" s="33"/>
      <c r="H194" s="34"/>
    </row>
    <row r="195" spans="6:8" s="27" customFormat="1">
      <c r="F195" s="33"/>
      <c r="H195" s="34"/>
    </row>
    <row r="196" spans="6:8" s="27" customFormat="1">
      <c r="F196" s="33"/>
      <c r="H196" s="34"/>
    </row>
    <row r="197" spans="6:8" s="27" customFormat="1">
      <c r="F197" s="33"/>
      <c r="H197" s="34"/>
    </row>
    <row r="198" spans="6:8" s="27" customFormat="1">
      <c r="F198" s="33"/>
      <c r="H198" s="34"/>
    </row>
    <row r="199" spans="6:8" s="27" customFormat="1">
      <c r="F199" s="33"/>
      <c r="H199" s="34"/>
    </row>
    <row r="200" spans="6:8" s="27" customFormat="1">
      <c r="F200" s="33"/>
      <c r="H200" s="34"/>
    </row>
    <row r="201" spans="6:8" s="27" customFormat="1">
      <c r="F201" s="33"/>
      <c r="H201" s="34"/>
    </row>
    <row r="202" spans="6:8" s="27" customFormat="1">
      <c r="F202" s="33"/>
      <c r="H202" s="34"/>
    </row>
    <row r="203" spans="6:8" s="27" customFormat="1">
      <c r="F203" s="33"/>
      <c r="H203" s="34"/>
    </row>
    <row r="204" spans="6:8" s="27" customFormat="1">
      <c r="F204" s="33"/>
      <c r="H204" s="34"/>
    </row>
    <row r="205" spans="6:8" s="27" customFormat="1">
      <c r="F205" s="33"/>
      <c r="H205" s="34"/>
    </row>
    <row r="206" spans="6:8" s="27" customFormat="1">
      <c r="F206" s="33"/>
      <c r="H206" s="34"/>
    </row>
    <row r="207" spans="6:8" s="27" customFormat="1">
      <c r="F207" s="33"/>
      <c r="H207" s="34"/>
    </row>
    <row r="208" spans="6:8" s="27" customFormat="1">
      <c r="F208" s="33"/>
      <c r="H208" s="34"/>
    </row>
    <row r="209" spans="6:8" s="27" customFormat="1">
      <c r="F209" s="33"/>
      <c r="H209" s="34"/>
    </row>
    <row r="210" spans="6:8" s="27" customFormat="1">
      <c r="F210" s="33"/>
      <c r="H210" s="34"/>
    </row>
    <row r="211" spans="6:8" s="27" customFormat="1">
      <c r="F211" s="33"/>
      <c r="H211" s="34"/>
    </row>
    <row r="212" spans="6:8" s="27" customFormat="1">
      <c r="F212" s="33"/>
      <c r="H212" s="34"/>
    </row>
    <row r="213" spans="6:8" s="27" customFormat="1">
      <c r="F213" s="33"/>
      <c r="H213" s="34"/>
    </row>
    <row r="214" spans="6:8" s="27" customFormat="1">
      <c r="F214" s="33"/>
      <c r="H214" s="34"/>
    </row>
    <row r="215" spans="6:8" s="27" customFormat="1">
      <c r="F215" s="33"/>
      <c r="H215" s="34"/>
    </row>
    <row r="216" spans="6:8" s="27" customFormat="1">
      <c r="F216" s="33"/>
      <c r="H216" s="34"/>
    </row>
    <row r="217" spans="6:8" s="27" customFormat="1">
      <c r="F217" s="33"/>
      <c r="H217" s="34"/>
    </row>
    <row r="218" spans="6:8" s="27" customFormat="1">
      <c r="F218" s="33"/>
      <c r="H218" s="34"/>
    </row>
    <row r="219" spans="6:8" s="27" customFormat="1">
      <c r="F219" s="33"/>
      <c r="H219" s="34"/>
    </row>
    <row r="220" spans="6:8" s="27" customFormat="1">
      <c r="F220" s="33"/>
      <c r="H220" s="34"/>
    </row>
    <row r="221" spans="6:8" s="27" customFormat="1">
      <c r="F221" s="33"/>
      <c r="H221" s="34"/>
    </row>
    <row r="222" spans="6:8" s="27" customFormat="1">
      <c r="F222" s="33"/>
      <c r="H222" s="34"/>
    </row>
    <row r="223" spans="6:8" s="27" customFormat="1">
      <c r="F223" s="33"/>
      <c r="H223" s="34"/>
    </row>
    <row r="224" spans="6:8" s="27" customFormat="1">
      <c r="F224" s="33"/>
      <c r="H224" s="34"/>
    </row>
    <row r="225" spans="6:8" s="27" customFormat="1">
      <c r="F225" s="33"/>
      <c r="H225" s="34"/>
    </row>
    <row r="226" spans="6:8" s="27" customFormat="1">
      <c r="F226" s="33"/>
      <c r="H226" s="34"/>
    </row>
    <row r="227" spans="6:8" s="27" customFormat="1">
      <c r="F227" s="33"/>
      <c r="H227" s="34"/>
    </row>
    <row r="228" spans="6:8" s="27" customFormat="1">
      <c r="F228" s="33"/>
      <c r="H228" s="34"/>
    </row>
    <row r="229" spans="6:8" s="27" customFormat="1">
      <c r="F229" s="33"/>
      <c r="H229" s="34"/>
    </row>
    <row r="230" spans="6:8" s="27" customFormat="1">
      <c r="F230" s="33"/>
      <c r="H230" s="34"/>
    </row>
    <row r="231" spans="6:8" s="27" customFormat="1">
      <c r="F231" s="33"/>
      <c r="H231" s="34"/>
    </row>
    <row r="232" spans="6:8" s="27" customFormat="1">
      <c r="F232" s="33"/>
      <c r="H232" s="34"/>
    </row>
    <row r="233" spans="6:8" s="27" customFormat="1">
      <c r="F233" s="33"/>
      <c r="H233" s="34"/>
    </row>
    <row r="234" spans="6:8" s="27" customFormat="1">
      <c r="F234" s="33"/>
      <c r="H234" s="34"/>
    </row>
    <row r="235" spans="6:8" s="27" customFormat="1">
      <c r="F235" s="33"/>
      <c r="H235" s="34"/>
    </row>
    <row r="236" spans="6:8" s="27" customFormat="1">
      <c r="F236" s="33"/>
      <c r="H236" s="34"/>
    </row>
    <row r="237" spans="6:8" s="27" customFormat="1">
      <c r="F237" s="33"/>
      <c r="H237" s="34"/>
    </row>
    <row r="238" spans="6:8" s="27" customFormat="1">
      <c r="F238" s="33"/>
      <c r="H238" s="34"/>
    </row>
    <row r="239" spans="6:8" s="27" customFormat="1">
      <c r="F239" s="33"/>
      <c r="H239" s="34"/>
    </row>
    <row r="240" spans="6:8" s="27" customFormat="1">
      <c r="F240" s="33"/>
      <c r="H240" s="34"/>
    </row>
    <row r="241" spans="6:8" s="27" customFormat="1">
      <c r="F241" s="33"/>
      <c r="H241" s="34"/>
    </row>
    <row r="242" spans="6:8" s="27" customFormat="1">
      <c r="F242" s="33"/>
      <c r="H242" s="34"/>
    </row>
    <row r="243" spans="6:8" s="27" customFormat="1">
      <c r="F243" s="33"/>
      <c r="H243" s="34"/>
    </row>
    <row r="244" spans="6:8" s="27" customFormat="1">
      <c r="F244" s="33"/>
      <c r="H244" s="34"/>
    </row>
    <row r="245" spans="6:8" s="27" customFormat="1">
      <c r="F245" s="33"/>
      <c r="H245" s="34"/>
    </row>
    <row r="246" spans="6:8" s="27" customFormat="1">
      <c r="F246" s="33"/>
      <c r="H246" s="34"/>
    </row>
    <row r="247" spans="6:8" s="27" customFormat="1">
      <c r="F247" s="33"/>
      <c r="H247" s="34"/>
    </row>
    <row r="248" spans="6:8" s="27" customFormat="1">
      <c r="F248" s="33"/>
      <c r="H248" s="34"/>
    </row>
    <row r="249" spans="6:8" s="27" customFormat="1">
      <c r="F249" s="33"/>
      <c r="H249" s="34"/>
    </row>
    <row r="250" spans="6:8" s="27" customFormat="1">
      <c r="F250" s="33"/>
      <c r="H250" s="34"/>
    </row>
    <row r="251" spans="6:8" s="27" customFormat="1">
      <c r="F251" s="33"/>
      <c r="H251" s="34"/>
    </row>
    <row r="252" spans="6:8" s="27" customFormat="1">
      <c r="F252" s="33"/>
      <c r="H252" s="34"/>
    </row>
    <row r="253" spans="6:8" s="27" customFormat="1">
      <c r="F253" s="33"/>
      <c r="H253" s="34"/>
    </row>
    <row r="254" spans="6:8" s="27" customFormat="1">
      <c r="F254" s="33"/>
      <c r="H254" s="34"/>
    </row>
    <row r="255" spans="6:8" s="27" customFormat="1">
      <c r="F255" s="33"/>
      <c r="H255" s="34"/>
    </row>
    <row r="256" spans="6:8" s="27" customFormat="1">
      <c r="F256" s="33"/>
      <c r="H256" s="34"/>
    </row>
    <row r="257" spans="6:8" s="27" customFormat="1">
      <c r="F257" s="33"/>
      <c r="H257" s="34"/>
    </row>
    <row r="258" spans="6:8" s="27" customFormat="1">
      <c r="F258" s="33"/>
      <c r="H258" s="34"/>
    </row>
    <row r="259" spans="6:8" s="27" customFormat="1">
      <c r="F259" s="33"/>
      <c r="H259" s="34"/>
    </row>
    <row r="260" spans="6:8" s="27" customFormat="1">
      <c r="F260" s="33"/>
      <c r="H260" s="34"/>
    </row>
    <row r="261" spans="6:8" s="27" customFormat="1">
      <c r="F261" s="33"/>
      <c r="H261" s="34"/>
    </row>
    <row r="262" spans="6:8" s="27" customFormat="1">
      <c r="F262" s="33"/>
      <c r="H262" s="34"/>
    </row>
    <row r="263" spans="6:8" s="27" customFormat="1">
      <c r="F263" s="33"/>
      <c r="H263" s="34"/>
    </row>
    <row r="264" spans="6:8" s="27" customFormat="1">
      <c r="F264" s="33"/>
      <c r="H264" s="34"/>
    </row>
    <row r="265" spans="6:8" s="27" customFormat="1">
      <c r="F265" s="33"/>
      <c r="H265" s="34"/>
    </row>
    <row r="266" spans="6:8" s="27" customFormat="1">
      <c r="F266" s="33"/>
      <c r="H266" s="34"/>
    </row>
    <row r="267" spans="6:8" s="27" customFormat="1">
      <c r="F267" s="33"/>
      <c r="H267" s="34"/>
    </row>
    <row r="268" spans="6:8" s="27" customFormat="1">
      <c r="F268" s="33"/>
      <c r="H268" s="34"/>
    </row>
    <row r="269" spans="6:8" s="27" customFormat="1">
      <c r="F269" s="33"/>
      <c r="H269" s="34"/>
    </row>
    <row r="270" spans="6:8" s="27" customFormat="1">
      <c r="F270" s="33"/>
      <c r="H270" s="34"/>
    </row>
    <row r="271" spans="6:8" s="27" customFormat="1">
      <c r="F271" s="33"/>
      <c r="H271" s="34"/>
    </row>
    <row r="272" spans="6:8" s="27" customFormat="1">
      <c r="F272" s="33"/>
      <c r="H272" s="34"/>
    </row>
    <row r="273" spans="6:8" s="27" customFormat="1">
      <c r="F273" s="33"/>
      <c r="H273" s="34"/>
    </row>
    <row r="274" spans="6:8" s="27" customFormat="1">
      <c r="F274" s="33"/>
      <c r="H274" s="34"/>
    </row>
    <row r="275" spans="6:8" s="27" customFormat="1">
      <c r="F275" s="33"/>
      <c r="H275" s="34"/>
    </row>
    <row r="276" spans="6:8" s="27" customFormat="1">
      <c r="F276" s="33"/>
      <c r="H276" s="34"/>
    </row>
    <row r="277" spans="6:8" s="27" customFormat="1">
      <c r="F277" s="33"/>
      <c r="H277" s="34"/>
    </row>
    <row r="278" spans="6:8" s="27" customFormat="1">
      <c r="F278" s="33"/>
      <c r="H278" s="34"/>
    </row>
    <row r="279" spans="6:8" s="27" customFormat="1">
      <c r="F279" s="33"/>
      <c r="H279" s="34"/>
    </row>
    <row r="280" spans="6:8" s="27" customFormat="1">
      <c r="F280" s="33"/>
      <c r="H280" s="34"/>
    </row>
    <row r="281" spans="6:8" s="27" customFormat="1">
      <c r="F281" s="33"/>
      <c r="H281" s="34"/>
    </row>
    <row r="282" spans="6:8" s="27" customFormat="1">
      <c r="F282" s="33"/>
      <c r="H282" s="34"/>
    </row>
    <row r="283" spans="6:8" s="27" customFormat="1">
      <c r="F283" s="33"/>
      <c r="H283" s="34"/>
    </row>
    <row r="284" spans="6:8" s="27" customFormat="1">
      <c r="F284" s="33"/>
      <c r="H284" s="34"/>
    </row>
    <row r="285" spans="6:8" s="27" customFormat="1">
      <c r="F285" s="33"/>
      <c r="H285" s="34"/>
    </row>
    <row r="286" spans="6:8" s="27" customFormat="1">
      <c r="F286" s="33"/>
      <c r="H286" s="34"/>
    </row>
    <row r="287" spans="6:8" s="27" customFormat="1">
      <c r="F287" s="33"/>
      <c r="H287" s="34"/>
    </row>
    <row r="288" spans="6:8" s="27" customFormat="1">
      <c r="F288" s="33"/>
      <c r="H288" s="34"/>
    </row>
    <row r="289" spans="6:8" s="27" customFormat="1">
      <c r="F289" s="33"/>
      <c r="H289" s="34"/>
    </row>
    <row r="290" spans="6:8" s="27" customFormat="1">
      <c r="F290" s="33"/>
      <c r="H290" s="34"/>
    </row>
    <row r="291" spans="6:8" s="27" customFormat="1">
      <c r="F291" s="33"/>
      <c r="H291" s="34"/>
    </row>
    <row r="292" spans="6:8" s="27" customFormat="1">
      <c r="F292" s="33"/>
      <c r="H292" s="34"/>
    </row>
    <row r="293" spans="6:8" s="27" customFormat="1">
      <c r="F293" s="33"/>
      <c r="H293" s="34"/>
    </row>
    <row r="294" spans="6:8" s="27" customFormat="1">
      <c r="F294" s="33"/>
      <c r="H294" s="34"/>
    </row>
    <row r="295" spans="6:8" s="27" customFormat="1">
      <c r="F295" s="33"/>
      <c r="H295" s="34"/>
    </row>
    <row r="296" spans="6:8" s="27" customFormat="1">
      <c r="F296" s="33"/>
      <c r="H296" s="34"/>
    </row>
    <row r="297" spans="6:8" s="27" customFormat="1">
      <c r="F297" s="33"/>
      <c r="H297" s="34"/>
    </row>
    <row r="298" spans="6:8" s="27" customFormat="1">
      <c r="F298" s="33"/>
      <c r="H298" s="34"/>
    </row>
    <row r="299" spans="6:8" s="27" customFormat="1">
      <c r="F299" s="33"/>
      <c r="H299" s="34"/>
    </row>
    <row r="300" spans="6:8" s="27" customFormat="1">
      <c r="F300" s="33"/>
      <c r="H300" s="34"/>
    </row>
    <row r="301" spans="6:8" s="27" customFormat="1">
      <c r="F301" s="33"/>
      <c r="H301" s="34"/>
    </row>
    <row r="302" spans="6:8" s="27" customFormat="1">
      <c r="F302" s="33"/>
      <c r="H302" s="34"/>
    </row>
    <row r="303" spans="6:8" s="27" customFormat="1">
      <c r="F303" s="33"/>
      <c r="H303" s="34"/>
    </row>
    <row r="304" spans="6:8" s="27" customFormat="1">
      <c r="F304" s="33"/>
      <c r="H304" s="34"/>
    </row>
    <row r="305" spans="6:8" s="27" customFormat="1">
      <c r="F305" s="33"/>
      <c r="H305" s="34"/>
    </row>
    <row r="306" spans="6:8" s="27" customFormat="1">
      <c r="F306" s="33"/>
      <c r="H306" s="34"/>
    </row>
    <row r="307" spans="6:8" s="27" customFormat="1">
      <c r="F307" s="33"/>
      <c r="H307" s="34"/>
    </row>
    <row r="308" spans="6:8" s="27" customFormat="1">
      <c r="F308" s="33"/>
      <c r="H308" s="34"/>
    </row>
    <row r="309" spans="6:8" s="27" customFormat="1">
      <c r="F309" s="33"/>
      <c r="H309" s="34"/>
    </row>
    <row r="310" spans="6:8" s="27" customFormat="1">
      <c r="F310" s="33"/>
      <c r="H310" s="34"/>
    </row>
    <row r="311" spans="6:8" s="27" customFormat="1">
      <c r="F311" s="33"/>
      <c r="H311" s="34"/>
    </row>
    <row r="312" spans="6:8" s="27" customFormat="1">
      <c r="F312" s="33"/>
      <c r="H312" s="34"/>
    </row>
    <row r="313" spans="6:8" s="27" customFormat="1">
      <c r="F313" s="33"/>
      <c r="H313" s="34"/>
    </row>
    <row r="314" spans="6:8" s="27" customFormat="1">
      <c r="F314" s="33"/>
      <c r="H314" s="34"/>
    </row>
    <row r="315" spans="6:8" s="27" customFormat="1">
      <c r="F315" s="33"/>
      <c r="H315" s="34"/>
    </row>
    <row r="316" spans="6:8" s="27" customFormat="1">
      <c r="F316" s="33"/>
      <c r="H316" s="34"/>
    </row>
    <row r="317" spans="6:8" s="27" customFormat="1">
      <c r="F317" s="33"/>
      <c r="H317" s="34"/>
    </row>
    <row r="318" spans="6:8" s="27" customFormat="1">
      <c r="F318" s="33"/>
      <c r="H318" s="34"/>
    </row>
    <row r="319" spans="6:8" s="27" customFormat="1">
      <c r="F319" s="33"/>
      <c r="H319" s="34"/>
    </row>
    <row r="320" spans="6:8" s="27" customFormat="1">
      <c r="F320" s="33"/>
      <c r="H320" s="34"/>
    </row>
    <row r="321" spans="6:8" s="27" customFormat="1">
      <c r="F321" s="33"/>
      <c r="H321" s="34"/>
    </row>
    <row r="322" spans="6:8" s="27" customFormat="1">
      <c r="F322" s="33"/>
      <c r="H322" s="34"/>
    </row>
    <row r="323" spans="6:8" s="27" customFormat="1">
      <c r="F323" s="33"/>
      <c r="H323" s="34"/>
    </row>
    <row r="324" spans="6:8" s="27" customFormat="1">
      <c r="F324" s="33"/>
      <c r="H324" s="34"/>
    </row>
    <row r="325" spans="6:8" s="27" customFormat="1">
      <c r="F325" s="33"/>
      <c r="H325" s="34"/>
    </row>
    <row r="326" spans="6:8" s="27" customFormat="1">
      <c r="F326" s="33"/>
      <c r="H326" s="34"/>
    </row>
    <row r="327" spans="6:8" s="27" customFormat="1">
      <c r="F327" s="33"/>
      <c r="H327" s="34"/>
    </row>
    <row r="328" spans="6:8" s="27" customFormat="1">
      <c r="F328" s="33"/>
      <c r="H328" s="34"/>
    </row>
    <row r="329" spans="6:8" s="27" customFormat="1">
      <c r="F329" s="33"/>
      <c r="H329" s="34"/>
    </row>
    <row r="330" spans="6:8" s="27" customFormat="1">
      <c r="F330" s="33"/>
      <c r="H330" s="34"/>
    </row>
    <row r="331" spans="6:8" s="27" customFormat="1">
      <c r="F331" s="33"/>
      <c r="H331" s="34"/>
    </row>
    <row r="332" spans="6:8" s="27" customFormat="1">
      <c r="F332" s="33"/>
      <c r="H332" s="34"/>
    </row>
    <row r="333" spans="6:8" s="27" customFormat="1">
      <c r="F333" s="33"/>
      <c r="H333" s="34"/>
    </row>
    <row r="334" spans="6:8" s="27" customFormat="1">
      <c r="F334" s="33"/>
      <c r="H334" s="34"/>
    </row>
    <row r="335" spans="6:8" s="27" customFormat="1">
      <c r="F335" s="33"/>
      <c r="H335" s="34"/>
    </row>
    <row r="336" spans="6:8" s="27" customFormat="1">
      <c r="F336" s="33"/>
      <c r="H336" s="34"/>
    </row>
    <row r="337" spans="6:8" s="27" customFormat="1">
      <c r="F337" s="33"/>
      <c r="H337" s="34"/>
    </row>
    <row r="338" spans="6:8" s="27" customFormat="1">
      <c r="F338" s="33"/>
      <c r="H338" s="34"/>
    </row>
    <row r="339" spans="6:8" s="27" customFormat="1">
      <c r="F339" s="33"/>
      <c r="H339" s="34"/>
    </row>
    <row r="340" spans="6:8" s="27" customFormat="1">
      <c r="F340" s="33"/>
      <c r="H340" s="34"/>
    </row>
    <row r="341" spans="6:8" s="27" customFormat="1">
      <c r="F341" s="33"/>
      <c r="H341" s="34"/>
    </row>
    <row r="342" spans="6:8" s="27" customFormat="1">
      <c r="F342" s="33"/>
      <c r="H342" s="34"/>
    </row>
    <row r="343" spans="6:8" s="27" customFormat="1">
      <c r="F343" s="33"/>
      <c r="H343" s="34"/>
    </row>
    <row r="344" spans="6:8" s="27" customFormat="1">
      <c r="F344" s="33"/>
      <c r="H344" s="34"/>
    </row>
    <row r="345" spans="6:8" s="27" customFormat="1">
      <c r="F345" s="33"/>
      <c r="H345" s="34"/>
    </row>
    <row r="346" spans="6:8" s="27" customFormat="1">
      <c r="F346" s="33"/>
      <c r="H346" s="34"/>
    </row>
    <row r="347" spans="6:8" s="27" customFormat="1">
      <c r="F347" s="33"/>
      <c r="H347" s="34"/>
    </row>
    <row r="348" spans="6:8" s="27" customFormat="1">
      <c r="F348" s="33"/>
      <c r="H348" s="34"/>
    </row>
    <row r="349" spans="6:8" s="27" customFormat="1">
      <c r="F349" s="33"/>
      <c r="H349" s="34"/>
    </row>
    <row r="350" spans="6:8" s="27" customFormat="1">
      <c r="F350" s="33"/>
      <c r="H350" s="34"/>
    </row>
    <row r="351" spans="6:8" s="27" customFormat="1">
      <c r="F351" s="33"/>
      <c r="H351" s="34"/>
    </row>
    <row r="352" spans="6:8" s="27" customFormat="1">
      <c r="F352" s="33"/>
      <c r="H352" s="34"/>
    </row>
    <row r="353" spans="6:8" s="27" customFormat="1">
      <c r="F353" s="33"/>
      <c r="H353" s="34"/>
    </row>
    <row r="354" spans="6:8" s="27" customFormat="1">
      <c r="F354" s="33"/>
      <c r="H354" s="34"/>
    </row>
    <row r="355" spans="6:8" s="27" customFormat="1">
      <c r="F355" s="33"/>
      <c r="H355" s="34"/>
    </row>
    <row r="356" spans="6:8" s="27" customFormat="1">
      <c r="F356" s="33"/>
      <c r="H356" s="34"/>
    </row>
    <row r="357" spans="6:8" s="27" customFormat="1">
      <c r="F357" s="33"/>
      <c r="H357" s="34"/>
    </row>
    <row r="358" spans="6:8" s="27" customFormat="1">
      <c r="F358" s="33"/>
      <c r="H358" s="34"/>
    </row>
    <row r="359" spans="6:8" s="27" customFormat="1">
      <c r="F359" s="33"/>
      <c r="H359" s="34"/>
    </row>
    <row r="360" spans="6:8" s="27" customFormat="1">
      <c r="F360" s="33"/>
      <c r="H360" s="34"/>
    </row>
    <row r="361" spans="6:8" s="27" customFormat="1">
      <c r="F361" s="33"/>
      <c r="H361" s="34"/>
    </row>
    <row r="362" spans="6:8" s="27" customFormat="1">
      <c r="F362" s="33"/>
      <c r="H362" s="34"/>
    </row>
    <row r="363" spans="6:8" s="27" customFormat="1">
      <c r="F363" s="33"/>
      <c r="H363" s="34"/>
    </row>
    <row r="364" spans="6:8" s="27" customFormat="1">
      <c r="F364" s="33"/>
      <c r="H364" s="34"/>
    </row>
    <row r="365" spans="6:8" s="27" customFormat="1">
      <c r="F365" s="33"/>
      <c r="H365" s="34"/>
    </row>
    <row r="366" spans="6:8" s="27" customFormat="1">
      <c r="F366" s="33"/>
      <c r="H366" s="34"/>
    </row>
    <row r="367" spans="6:8" s="27" customFormat="1">
      <c r="F367" s="33"/>
      <c r="H367" s="34"/>
    </row>
    <row r="368" spans="6:8" s="27" customFormat="1">
      <c r="F368" s="33"/>
      <c r="H368" s="34"/>
    </row>
    <row r="369" spans="6:8" s="27" customFormat="1">
      <c r="F369" s="33"/>
      <c r="H369" s="34"/>
    </row>
    <row r="370" spans="6:8" s="27" customFormat="1">
      <c r="F370" s="33"/>
      <c r="H370" s="34"/>
    </row>
    <row r="371" spans="6:8" s="27" customFormat="1">
      <c r="F371" s="33"/>
      <c r="H371" s="34"/>
    </row>
    <row r="372" spans="6:8" s="27" customFormat="1">
      <c r="F372" s="33"/>
      <c r="H372" s="34"/>
    </row>
    <row r="373" spans="6:8" s="27" customFormat="1">
      <c r="F373" s="33"/>
      <c r="H373" s="34"/>
    </row>
    <row r="374" spans="6:8" s="27" customFormat="1">
      <c r="F374" s="33"/>
      <c r="H374" s="34"/>
    </row>
    <row r="375" spans="6:8" s="27" customFormat="1">
      <c r="F375" s="33"/>
      <c r="H375" s="34"/>
    </row>
    <row r="376" spans="6:8" s="27" customFormat="1">
      <c r="F376" s="33"/>
      <c r="H376" s="34"/>
    </row>
    <row r="377" spans="6:8" s="27" customFormat="1">
      <c r="F377" s="33"/>
      <c r="H377" s="34"/>
    </row>
    <row r="378" spans="6:8" s="27" customFormat="1">
      <c r="F378" s="33"/>
      <c r="H378" s="34"/>
    </row>
    <row r="379" spans="6:8" s="27" customFormat="1">
      <c r="F379" s="33"/>
      <c r="H379" s="34"/>
    </row>
    <row r="380" spans="6:8" s="27" customFormat="1">
      <c r="F380" s="33"/>
      <c r="H380" s="34"/>
    </row>
    <row r="381" spans="6:8" s="27" customFormat="1">
      <c r="F381" s="33"/>
      <c r="H381" s="34"/>
    </row>
    <row r="382" spans="6:8" s="27" customFormat="1">
      <c r="F382" s="33"/>
      <c r="H382" s="34"/>
    </row>
    <row r="383" spans="6:8" s="27" customFormat="1">
      <c r="F383" s="33"/>
      <c r="H383" s="34"/>
    </row>
    <row r="384" spans="6:8" s="27" customFormat="1">
      <c r="F384" s="33"/>
      <c r="H384" s="34"/>
    </row>
    <row r="385" spans="6:8" s="27" customFormat="1">
      <c r="F385" s="33"/>
      <c r="H385" s="34"/>
    </row>
    <row r="386" spans="6:8" s="27" customFormat="1">
      <c r="F386" s="33"/>
      <c r="H386" s="34"/>
    </row>
    <row r="387" spans="6:8" s="27" customFormat="1">
      <c r="F387" s="33"/>
      <c r="H387" s="34"/>
    </row>
    <row r="388" spans="6:8" s="27" customFormat="1">
      <c r="F388" s="33"/>
      <c r="H388" s="34"/>
    </row>
    <row r="389" spans="6:8" s="27" customFormat="1">
      <c r="F389" s="33"/>
      <c r="H389" s="34"/>
    </row>
    <row r="390" spans="6:8" s="27" customFormat="1">
      <c r="F390" s="33"/>
      <c r="H390" s="34"/>
    </row>
    <row r="391" spans="6:8" s="27" customFormat="1">
      <c r="F391" s="33"/>
      <c r="H391" s="34"/>
    </row>
    <row r="392" spans="6:8" s="27" customFormat="1">
      <c r="F392" s="33"/>
      <c r="H392" s="34"/>
    </row>
    <row r="393" spans="6:8" s="27" customFormat="1">
      <c r="F393" s="33"/>
      <c r="H393" s="34"/>
    </row>
    <row r="394" spans="6:8" s="27" customFormat="1">
      <c r="F394" s="33"/>
      <c r="H394" s="34"/>
    </row>
    <row r="395" spans="6:8" s="27" customFormat="1">
      <c r="F395" s="33"/>
      <c r="H395" s="34"/>
    </row>
    <row r="396" spans="6:8" s="27" customFormat="1">
      <c r="F396" s="33"/>
      <c r="H396" s="34"/>
    </row>
    <row r="397" spans="6:8" s="27" customFormat="1">
      <c r="F397" s="33"/>
      <c r="H397" s="34"/>
    </row>
    <row r="398" spans="6:8" s="27" customFormat="1">
      <c r="F398" s="33"/>
      <c r="H398" s="34"/>
    </row>
    <row r="399" spans="6:8" s="27" customFormat="1">
      <c r="F399" s="33"/>
      <c r="H399" s="34"/>
    </row>
    <row r="400" spans="6:8" s="27" customFormat="1">
      <c r="F400" s="33"/>
      <c r="H400" s="34"/>
    </row>
    <row r="401" spans="6:8" s="27" customFormat="1">
      <c r="F401" s="33"/>
      <c r="H401" s="34"/>
    </row>
    <row r="402" spans="6:8" s="27" customFormat="1">
      <c r="F402" s="33"/>
      <c r="H402" s="34"/>
    </row>
    <row r="403" spans="6:8" s="27" customFormat="1">
      <c r="F403" s="33"/>
      <c r="H403" s="34"/>
    </row>
    <row r="404" spans="6:8" s="27" customFormat="1">
      <c r="F404" s="33"/>
      <c r="H404" s="34"/>
    </row>
    <row r="405" spans="6:8" s="27" customFormat="1">
      <c r="F405" s="33"/>
      <c r="H405" s="34"/>
    </row>
    <row r="406" spans="6:8" s="27" customFormat="1">
      <c r="F406" s="33"/>
      <c r="H406" s="34"/>
    </row>
    <row r="407" spans="6:8" s="27" customFormat="1">
      <c r="F407" s="33"/>
      <c r="H407" s="34"/>
    </row>
    <row r="408" spans="6:8" s="27" customFormat="1">
      <c r="F408" s="33"/>
      <c r="H408" s="34"/>
    </row>
    <row r="409" spans="6:8" s="27" customFormat="1">
      <c r="F409" s="33"/>
      <c r="H409" s="34"/>
    </row>
    <row r="410" spans="6:8" s="27" customFormat="1">
      <c r="F410" s="33"/>
      <c r="H410" s="34"/>
    </row>
    <row r="411" spans="6:8" s="27" customFormat="1">
      <c r="F411" s="33"/>
      <c r="H411" s="34"/>
    </row>
    <row r="412" spans="6:8" s="27" customFormat="1">
      <c r="F412" s="33"/>
      <c r="H412" s="34"/>
    </row>
    <row r="413" spans="6:8" s="27" customFormat="1">
      <c r="F413" s="33"/>
      <c r="H413" s="34"/>
    </row>
    <row r="414" spans="6:8" s="27" customFormat="1">
      <c r="F414" s="33"/>
      <c r="H414" s="34"/>
    </row>
    <row r="415" spans="6:8" s="27" customFormat="1">
      <c r="F415" s="33"/>
      <c r="H415" s="34"/>
    </row>
    <row r="416" spans="6:8" s="27" customFormat="1">
      <c r="F416" s="33"/>
      <c r="H416" s="34"/>
    </row>
    <row r="417" spans="6:8" s="27" customFormat="1">
      <c r="F417" s="33"/>
      <c r="H417" s="34"/>
    </row>
    <row r="418" spans="6:8" s="27" customFormat="1">
      <c r="F418" s="33"/>
      <c r="H418" s="34"/>
    </row>
    <row r="419" spans="6:8" s="27" customFormat="1">
      <c r="F419" s="33"/>
      <c r="H419" s="34"/>
    </row>
    <row r="420" spans="6:8" s="27" customFormat="1">
      <c r="F420" s="33"/>
      <c r="H420" s="34"/>
    </row>
    <row r="421" spans="6:8" s="27" customFormat="1">
      <c r="F421" s="33"/>
      <c r="H421" s="34"/>
    </row>
    <row r="422" spans="6:8" s="27" customFormat="1">
      <c r="F422" s="33"/>
      <c r="H422" s="34"/>
    </row>
    <row r="423" spans="6:8" s="27" customFormat="1">
      <c r="F423" s="33"/>
      <c r="H423" s="34"/>
    </row>
    <row r="424" spans="6:8" s="27" customFormat="1">
      <c r="F424" s="33"/>
      <c r="H424" s="34"/>
    </row>
    <row r="425" spans="6:8" s="27" customFormat="1">
      <c r="F425" s="33"/>
      <c r="H425" s="34"/>
    </row>
    <row r="426" spans="6:8" s="27" customFormat="1">
      <c r="F426" s="33"/>
      <c r="H426" s="34"/>
    </row>
    <row r="427" spans="6:8" s="27" customFormat="1">
      <c r="F427" s="33"/>
      <c r="H427" s="34"/>
    </row>
    <row r="428" spans="6:8" s="27" customFormat="1">
      <c r="F428" s="33"/>
      <c r="H428" s="34"/>
    </row>
    <row r="429" spans="6:8" s="27" customFormat="1">
      <c r="F429" s="33"/>
      <c r="H429" s="34"/>
    </row>
    <row r="430" spans="6:8" s="27" customFormat="1">
      <c r="F430" s="33"/>
      <c r="H430" s="34"/>
    </row>
    <row r="431" spans="6:8" s="27" customFormat="1">
      <c r="F431" s="33"/>
      <c r="H431" s="34"/>
    </row>
    <row r="432" spans="6:8" s="27" customFormat="1">
      <c r="F432" s="33"/>
      <c r="H432" s="34"/>
    </row>
    <row r="433" spans="6:8" s="27" customFormat="1">
      <c r="F433" s="33"/>
      <c r="H433" s="34"/>
    </row>
    <row r="434" spans="6:8" s="27" customFormat="1">
      <c r="F434" s="33"/>
      <c r="H434" s="34"/>
    </row>
    <row r="435" spans="6:8" s="27" customFormat="1">
      <c r="F435" s="33"/>
      <c r="H435" s="34"/>
    </row>
    <row r="436" spans="6:8" s="27" customFormat="1">
      <c r="F436" s="33"/>
      <c r="H436" s="34"/>
    </row>
    <row r="437" spans="6:8" s="27" customFormat="1">
      <c r="F437" s="33"/>
      <c r="H437" s="34"/>
    </row>
    <row r="438" spans="6:8" s="27" customFormat="1">
      <c r="F438" s="33"/>
      <c r="H438" s="34"/>
    </row>
    <row r="439" spans="6:8" s="27" customFormat="1">
      <c r="F439" s="33"/>
      <c r="H439" s="34"/>
    </row>
    <row r="440" spans="6:8" s="27" customFormat="1">
      <c r="F440" s="33"/>
      <c r="H440" s="34"/>
    </row>
    <row r="441" spans="6:8" s="27" customFormat="1">
      <c r="F441" s="33"/>
      <c r="H441" s="34"/>
    </row>
    <row r="442" spans="6:8" s="27" customFormat="1">
      <c r="F442" s="33"/>
      <c r="H442" s="34"/>
    </row>
    <row r="443" spans="6:8" s="27" customFormat="1">
      <c r="F443" s="33"/>
      <c r="H443" s="34"/>
    </row>
    <row r="444" spans="6:8" s="27" customFormat="1">
      <c r="F444" s="33"/>
      <c r="H444" s="34"/>
    </row>
    <row r="445" spans="6:8" s="27" customFormat="1">
      <c r="F445" s="33"/>
      <c r="H445" s="34"/>
    </row>
    <row r="446" spans="6:8" s="27" customFormat="1">
      <c r="F446" s="33"/>
      <c r="H446" s="34"/>
    </row>
    <row r="447" spans="6:8" s="27" customFormat="1">
      <c r="F447" s="33"/>
      <c r="H447" s="34"/>
    </row>
    <row r="448" spans="6:8" s="27" customFormat="1">
      <c r="F448" s="33"/>
      <c r="H448" s="34"/>
    </row>
    <row r="449" spans="6:8" s="27" customFormat="1">
      <c r="F449" s="33"/>
      <c r="H449" s="34"/>
    </row>
    <row r="450" spans="6:8" s="27" customFormat="1">
      <c r="F450" s="33"/>
      <c r="H450" s="34"/>
    </row>
    <row r="451" spans="6:8" s="27" customFormat="1">
      <c r="F451" s="33"/>
      <c r="H451" s="34"/>
    </row>
    <row r="452" spans="6:8" s="27" customFormat="1">
      <c r="F452" s="33"/>
      <c r="H452" s="34"/>
    </row>
    <row r="453" spans="6:8" s="27" customFormat="1">
      <c r="F453" s="33"/>
      <c r="H453" s="34"/>
    </row>
    <row r="454" spans="6:8" s="27" customFormat="1">
      <c r="F454" s="33"/>
      <c r="H454" s="34"/>
    </row>
    <row r="455" spans="6:8" s="27" customFormat="1">
      <c r="F455" s="33"/>
      <c r="H455" s="34"/>
    </row>
    <row r="456" spans="6:8" s="27" customFormat="1">
      <c r="F456" s="33"/>
      <c r="H456" s="34"/>
    </row>
    <row r="457" spans="6:8" s="27" customFormat="1">
      <c r="F457" s="33"/>
      <c r="H457" s="34"/>
    </row>
    <row r="458" spans="6:8" s="27" customFormat="1">
      <c r="F458" s="33"/>
      <c r="H458" s="34"/>
    </row>
    <row r="459" spans="6:8" s="27" customFormat="1">
      <c r="F459" s="33"/>
      <c r="H459" s="34"/>
    </row>
    <row r="460" spans="6:8" s="27" customFormat="1">
      <c r="F460" s="33"/>
      <c r="H460" s="34"/>
    </row>
    <row r="461" spans="6:8" s="27" customFormat="1">
      <c r="F461" s="33"/>
      <c r="H461" s="34"/>
    </row>
    <row r="462" spans="6:8" s="27" customFormat="1">
      <c r="F462" s="33"/>
      <c r="H462" s="34"/>
    </row>
    <row r="463" spans="6:8" s="27" customFormat="1">
      <c r="F463" s="33"/>
      <c r="H463" s="34"/>
    </row>
    <row r="464" spans="6:8" s="27" customFormat="1">
      <c r="F464" s="33"/>
      <c r="H464" s="34"/>
    </row>
    <row r="465" spans="6:8" s="27" customFormat="1">
      <c r="F465" s="33"/>
      <c r="H465" s="34"/>
    </row>
    <row r="466" spans="6:8" s="27" customFormat="1">
      <c r="F466" s="33"/>
      <c r="H466" s="34"/>
    </row>
    <row r="467" spans="6:8" s="27" customFormat="1">
      <c r="F467" s="33"/>
      <c r="H467" s="34"/>
    </row>
    <row r="468" spans="6:8" s="27" customFormat="1">
      <c r="F468" s="33"/>
      <c r="H468" s="34"/>
    </row>
    <row r="469" spans="6:8" s="27" customFormat="1">
      <c r="F469" s="33"/>
      <c r="H469" s="34"/>
    </row>
    <row r="470" spans="6:8" s="27" customFormat="1">
      <c r="F470" s="33"/>
      <c r="H470" s="34"/>
    </row>
    <row r="471" spans="6:8" s="27" customFormat="1">
      <c r="F471" s="33"/>
      <c r="H471" s="34"/>
    </row>
    <row r="472" spans="6:8" s="27" customFormat="1">
      <c r="F472" s="33"/>
      <c r="H472" s="34"/>
    </row>
    <row r="473" spans="6:8" s="27" customFormat="1">
      <c r="F473" s="33"/>
      <c r="H473" s="34"/>
    </row>
    <row r="474" spans="6:8" s="27" customFormat="1">
      <c r="F474" s="33"/>
      <c r="H474" s="34"/>
    </row>
    <row r="475" spans="6:8" s="27" customFormat="1">
      <c r="F475" s="33"/>
      <c r="H475" s="34"/>
    </row>
    <row r="476" spans="6:8" s="27" customFormat="1">
      <c r="F476" s="33"/>
      <c r="H476" s="34"/>
    </row>
    <row r="477" spans="6:8" s="27" customFormat="1">
      <c r="F477" s="33"/>
      <c r="H477" s="34"/>
    </row>
    <row r="478" spans="6:8" s="27" customFormat="1">
      <c r="F478" s="33"/>
      <c r="H478" s="34"/>
    </row>
    <row r="479" spans="6:8" s="27" customFormat="1">
      <c r="F479" s="33"/>
      <c r="H479" s="34"/>
    </row>
    <row r="480" spans="6:8" s="27" customFormat="1">
      <c r="F480" s="33"/>
      <c r="H480" s="34"/>
    </row>
    <row r="481" spans="6:8" s="27" customFormat="1">
      <c r="F481" s="33"/>
      <c r="H481" s="34"/>
    </row>
    <row r="482" spans="6:8" s="27" customFormat="1">
      <c r="F482" s="33"/>
      <c r="H482" s="34"/>
    </row>
    <row r="483" spans="6:8" s="27" customFormat="1">
      <c r="F483" s="33"/>
      <c r="H483" s="34"/>
    </row>
    <row r="484" spans="6:8" s="27" customFormat="1">
      <c r="F484" s="33"/>
      <c r="H484" s="34"/>
    </row>
    <row r="485" spans="6:8" s="27" customFormat="1">
      <c r="F485" s="33"/>
      <c r="H485" s="34"/>
    </row>
    <row r="486" spans="6:8" s="27" customFormat="1">
      <c r="F486" s="33"/>
      <c r="H486" s="34"/>
    </row>
    <row r="487" spans="6:8" s="27" customFormat="1">
      <c r="F487" s="33"/>
      <c r="H487" s="34"/>
    </row>
    <row r="488" spans="6:8" s="27" customFormat="1">
      <c r="F488" s="33"/>
      <c r="H488" s="34"/>
    </row>
    <row r="489" spans="6:8" s="27" customFormat="1">
      <c r="F489" s="33"/>
      <c r="H489" s="34"/>
    </row>
    <row r="490" spans="6:8" s="27" customFormat="1">
      <c r="F490" s="33"/>
      <c r="H490" s="34"/>
    </row>
    <row r="491" spans="6:8" s="27" customFormat="1">
      <c r="F491" s="33"/>
      <c r="H491" s="34"/>
    </row>
    <row r="492" spans="6:8" s="27" customFormat="1">
      <c r="F492" s="33"/>
      <c r="H492" s="34"/>
    </row>
    <row r="493" spans="6:8" s="27" customFormat="1">
      <c r="F493" s="33"/>
      <c r="H493" s="34"/>
    </row>
    <row r="494" spans="6:8" s="27" customFormat="1">
      <c r="F494" s="33"/>
      <c r="H494" s="34"/>
    </row>
    <row r="495" spans="6:8" s="27" customFormat="1">
      <c r="F495" s="33"/>
      <c r="H495" s="34"/>
    </row>
    <row r="496" spans="6:8" s="27" customFormat="1">
      <c r="F496" s="33"/>
      <c r="H496" s="34"/>
    </row>
    <row r="497" spans="6:8" s="27" customFormat="1">
      <c r="F497" s="33"/>
      <c r="H497" s="34"/>
    </row>
    <row r="498" spans="6:8" s="27" customFormat="1">
      <c r="F498" s="33"/>
      <c r="H498" s="34"/>
    </row>
    <row r="499" spans="6:8" s="27" customFormat="1">
      <c r="F499" s="33"/>
      <c r="H499" s="34"/>
    </row>
    <row r="500" spans="6:8" s="27" customFormat="1">
      <c r="F500" s="33"/>
      <c r="H500" s="34"/>
    </row>
    <row r="501" spans="6:8" s="27" customFormat="1">
      <c r="F501" s="33"/>
      <c r="H501" s="34"/>
    </row>
    <row r="502" spans="6:8" s="27" customFormat="1">
      <c r="F502" s="33"/>
      <c r="H502" s="34"/>
    </row>
    <row r="503" spans="6:8" s="27" customFormat="1">
      <c r="F503" s="33"/>
      <c r="H503" s="34"/>
    </row>
    <row r="504" spans="6:8" s="27" customFormat="1">
      <c r="F504" s="33"/>
      <c r="H504" s="34"/>
    </row>
    <row r="505" spans="6:8" s="27" customFormat="1">
      <c r="F505" s="33"/>
      <c r="H505" s="34"/>
    </row>
    <row r="506" spans="6:8" s="27" customFormat="1">
      <c r="F506" s="33"/>
      <c r="H506" s="34"/>
    </row>
    <row r="507" spans="6:8" s="27" customFormat="1">
      <c r="F507" s="33"/>
      <c r="H507" s="34"/>
    </row>
    <row r="508" spans="6:8" s="27" customFormat="1">
      <c r="F508" s="33"/>
      <c r="H508" s="34"/>
    </row>
    <row r="509" spans="6:8" s="27" customFormat="1">
      <c r="F509" s="33"/>
      <c r="H509" s="34"/>
    </row>
    <row r="510" spans="6:8" s="27" customFormat="1">
      <c r="F510" s="33"/>
      <c r="H510" s="34"/>
    </row>
    <row r="511" spans="6:8" s="27" customFormat="1">
      <c r="F511" s="33"/>
      <c r="H511" s="34"/>
    </row>
    <row r="512" spans="6:8" s="27" customFormat="1">
      <c r="F512" s="33"/>
      <c r="H512" s="34"/>
    </row>
    <row r="513" spans="6:8" s="27" customFormat="1">
      <c r="F513" s="33"/>
      <c r="H513" s="34"/>
    </row>
    <row r="514" spans="6:8" s="27" customFormat="1">
      <c r="F514" s="33"/>
      <c r="H514" s="34"/>
    </row>
    <row r="515" spans="6:8" s="27" customFormat="1">
      <c r="F515" s="33"/>
      <c r="H515" s="34"/>
    </row>
    <row r="516" spans="6:8" s="27" customFormat="1">
      <c r="F516" s="33"/>
      <c r="H516" s="34"/>
    </row>
    <row r="517" spans="6:8" s="27" customFormat="1">
      <c r="F517" s="33"/>
      <c r="H517" s="34"/>
    </row>
    <row r="518" spans="6:8" s="27" customFormat="1">
      <c r="F518" s="33"/>
      <c r="H518" s="34"/>
    </row>
    <row r="519" spans="6:8" s="27" customFormat="1">
      <c r="F519" s="33"/>
      <c r="H519" s="34"/>
    </row>
    <row r="520" spans="6:8" s="27" customFormat="1">
      <c r="F520" s="33"/>
      <c r="H520" s="34"/>
    </row>
    <row r="521" spans="6:8" s="27" customFormat="1">
      <c r="F521" s="33"/>
      <c r="H521" s="34"/>
    </row>
    <row r="522" spans="6:8" s="27" customFormat="1">
      <c r="F522" s="33"/>
      <c r="H522" s="34"/>
    </row>
    <row r="523" spans="6:8" s="27" customFormat="1">
      <c r="F523" s="33"/>
      <c r="H523" s="34"/>
    </row>
    <row r="524" spans="6:8" s="27" customFormat="1">
      <c r="F524" s="33"/>
      <c r="H524" s="34"/>
    </row>
    <row r="525" spans="6:8" s="27" customFormat="1">
      <c r="F525" s="33"/>
      <c r="H525" s="34"/>
    </row>
    <row r="526" spans="6:8" s="27" customFormat="1">
      <c r="F526" s="33"/>
      <c r="H526" s="34"/>
    </row>
    <row r="527" spans="6:8" s="27" customFormat="1">
      <c r="F527" s="33"/>
      <c r="H527" s="34"/>
    </row>
    <row r="528" spans="6:8" s="27" customFormat="1">
      <c r="F528" s="33"/>
      <c r="H528" s="34"/>
    </row>
    <row r="529" spans="6:8" s="27" customFormat="1">
      <c r="F529" s="33"/>
      <c r="H529" s="34"/>
    </row>
    <row r="530" spans="6:8" s="27" customFormat="1">
      <c r="F530" s="33"/>
      <c r="H530" s="34"/>
    </row>
    <row r="531" spans="6:8" s="27" customFormat="1">
      <c r="F531" s="33"/>
      <c r="H531" s="34"/>
    </row>
    <row r="532" spans="6:8" s="27" customFormat="1">
      <c r="F532" s="33"/>
      <c r="H532" s="34"/>
    </row>
    <row r="533" spans="6:8" s="27" customFormat="1">
      <c r="F533" s="33"/>
      <c r="H533" s="34"/>
    </row>
    <row r="534" spans="6:8" s="27" customFormat="1">
      <c r="F534" s="33"/>
      <c r="H534" s="34"/>
    </row>
    <row r="535" spans="6:8" s="27" customFormat="1">
      <c r="F535" s="33"/>
      <c r="H535" s="34"/>
    </row>
    <row r="536" spans="6:8" s="27" customFormat="1">
      <c r="F536" s="33"/>
      <c r="H536" s="34"/>
    </row>
    <row r="537" spans="6:8" s="27" customFormat="1">
      <c r="F537" s="33"/>
      <c r="H537" s="34"/>
    </row>
    <row r="538" spans="6:8" s="27" customFormat="1">
      <c r="F538" s="33"/>
      <c r="H538" s="34"/>
    </row>
    <row r="539" spans="6:8" s="27" customFormat="1">
      <c r="F539" s="33"/>
      <c r="H539" s="34"/>
    </row>
    <row r="540" spans="6:8" s="27" customFormat="1">
      <c r="F540" s="33"/>
      <c r="H540" s="34"/>
    </row>
    <row r="541" spans="6:8" s="27" customFormat="1">
      <c r="F541" s="33"/>
      <c r="H541" s="34"/>
    </row>
    <row r="542" spans="6:8" s="27" customFormat="1">
      <c r="F542" s="33"/>
      <c r="H542" s="34"/>
    </row>
    <row r="543" spans="6:8" s="27" customFormat="1">
      <c r="F543" s="33"/>
      <c r="H543" s="34"/>
    </row>
    <row r="544" spans="6:8" s="27" customFormat="1">
      <c r="F544" s="33"/>
      <c r="H544" s="34"/>
    </row>
    <row r="545" spans="6:8" s="27" customFormat="1">
      <c r="F545" s="33"/>
      <c r="H545" s="34"/>
    </row>
    <row r="546" spans="6:8" s="27" customFormat="1">
      <c r="F546" s="33"/>
      <c r="H546" s="34"/>
    </row>
    <row r="547" spans="6:8" s="27" customFormat="1">
      <c r="F547" s="33"/>
      <c r="H547" s="34"/>
    </row>
    <row r="548" spans="6:8" s="27" customFormat="1">
      <c r="F548" s="33"/>
      <c r="H548" s="34"/>
    </row>
    <row r="549" spans="6:8" s="27" customFormat="1">
      <c r="F549" s="33"/>
      <c r="H549" s="34"/>
    </row>
    <row r="550" spans="6:8" s="27" customFormat="1">
      <c r="F550" s="33"/>
      <c r="H550" s="34"/>
    </row>
    <row r="551" spans="6:8" s="27" customFormat="1">
      <c r="F551" s="33"/>
      <c r="H551" s="34"/>
    </row>
    <row r="552" spans="6:8" s="27" customFormat="1">
      <c r="F552" s="33"/>
      <c r="H552" s="34"/>
    </row>
    <row r="553" spans="6:8" s="27" customFormat="1">
      <c r="F553" s="33"/>
      <c r="H553" s="34"/>
    </row>
    <row r="554" spans="6:8" s="27" customFormat="1">
      <c r="F554" s="33"/>
      <c r="H554" s="34"/>
    </row>
    <row r="555" spans="6:8" s="27" customFormat="1">
      <c r="F555" s="33"/>
      <c r="H555" s="34"/>
    </row>
    <row r="556" spans="6:8" s="27" customFormat="1">
      <c r="F556" s="33"/>
      <c r="H556" s="34"/>
    </row>
    <row r="557" spans="6:8" s="27" customFormat="1">
      <c r="F557" s="33"/>
      <c r="H557" s="34"/>
    </row>
    <row r="558" spans="6:8" s="27" customFormat="1">
      <c r="F558" s="33"/>
      <c r="H558" s="34"/>
    </row>
    <row r="559" spans="6:8" s="27" customFormat="1">
      <c r="F559" s="33"/>
      <c r="H559" s="34"/>
    </row>
    <row r="560" spans="6:8" s="27" customFormat="1">
      <c r="F560" s="33"/>
      <c r="H560" s="34"/>
    </row>
    <row r="561" spans="6:8" s="27" customFormat="1">
      <c r="F561" s="33"/>
      <c r="H561" s="34"/>
    </row>
    <row r="562" spans="6:8" s="27" customFormat="1">
      <c r="F562" s="33"/>
      <c r="H562" s="34"/>
    </row>
    <row r="563" spans="6:8" s="27" customFormat="1">
      <c r="F563" s="33"/>
      <c r="H563" s="34"/>
    </row>
    <row r="564" spans="6:8" s="27" customFormat="1">
      <c r="F564" s="33"/>
      <c r="H564" s="34"/>
    </row>
    <row r="565" spans="6:8" s="27" customFormat="1">
      <c r="F565" s="33"/>
      <c r="H565" s="34"/>
    </row>
    <row r="566" spans="6:8" s="27" customFormat="1">
      <c r="F566" s="33"/>
      <c r="H566" s="34"/>
    </row>
    <row r="567" spans="6:8" s="27" customFormat="1">
      <c r="F567" s="33"/>
      <c r="H567" s="34"/>
    </row>
    <row r="568" spans="6:8" s="27" customFormat="1">
      <c r="F568" s="33"/>
      <c r="H568" s="34"/>
    </row>
    <row r="569" spans="6:8" s="27" customFormat="1">
      <c r="F569" s="33"/>
      <c r="H569" s="34"/>
    </row>
    <row r="570" spans="6:8" s="27" customFormat="1">
      <c r="F570" s="33"/>
      <c r="H570" s="34"/>
    </row>
    <row r="571" spans="6:8" s="27" customFormat="1">
      <c r="F571" s="33"/>
      <c r="H571" s="34"/>
    </row>
    <row r="572" spans="6:8" s="27" customFormat="1">
      <c r="F572" s="33"/>
      <c r="H572" s="34"/>
    </row>
    <row r="573" spans="6:8" s="27" customFormat="1">
      <c r="F573" s="33"/>
      <c r="H573" s="34"/>
    </row>
    <row r="574" spans="6:8" s="27" customFormat="1">
      <c r="F574" s="33"/>
      <c r="H574" s="34"/>
    </row>
    <row r="575" spans="6:8" s="27" customFormat="1">
      <c r="F575" s="33"/>
      <c r="H575" s="34"/>
    </row>
    <row r="576" spans="6:8" s="27" customFormat="1">
      <c r="F576" s="33"/>
      <c r="H576" s="34"/>
    </row>
    <row r="577" spans="6:8" s="27" customFormat="1">
      <c r="F577" s="33"/>
      <c r="H577" s="34"/>
    </row>
    <row r="578" spans="6:8" s="27" customFormat="1">
      <c r="F578" s="33"/>
      <c r="H578" s="34"/>
    </row>
    <row r="579" spans="6:8" s="27" customFormat="1">
      <c r="F579" s="33"/>
      <c r="H579" s="34"/>
    </row>
    <row r="580" spans="6:8" s="27" customFormat="1">
      <c r="F580" s="33"/>
      <c r="H580" s="34"/>
    </row>
    <row r="581" spans="6:8" s="27" customFormat="1">
      <c r="F581" s="33"/>
      <c r="H581" s="34"/>
    </row>
    <row r="582" spans="6:8" s="27" customFormat="1">
      <c r="F582" s="33"/>
      <c r="H582" s="34"/>
    </row>
    <row r="583" spans="6:8" s="27" customFormat="1">
      <c r="F583" s="33"/>
      <c r="H583" s="34"/>
    </row>
    <row r="584" spans="6:8" s="27" customFormat="1">
      <c r="F584" s="33"/>
      <c r="H584" s="34"/>
    </row>
    <row r="585" spans="6:8" s="27" customFormat="1">
      <c r="F585" s="33"/>
      <c r="H585" s="34"/>
    </row>
    <row r="586" spans="6:8" s="27" customFormat="1">
      <c r="F586" s="33"/>
      <c r="H586" s="34"/>
    </row>
    <row r="587" spans="6:8" s="27" customFormat="1">
      <c r="F587" s="33"/>
      <c r="H587" s="34"/>
    </row>
    <row r="588" spans="6:8" s="27" customFormat="1">
      <c r="F588" s="33"/>
      <c r="H588" s="34"/>
    </row>
    <row r="589" spans="6:8" s="27" customFormat="1">
      <c r="F589" s="33"/>
      <c r="H589" s="34"/>
    </row>
    <row r="590" spans="6:8" s="27" customFormat="1">
      <c r="F590" s="33"/>
      <c r="H590" s="34"/>
    </row>
    <row r="591" spans="6:8" s="27" customFormat="1">
      <c r="F591" s="33"/>
      <c r="H591" s="34"/>
    </row>
    <row r="592" spans="6:8" s="27" customFormat="1">
      <c r="F592" s="33"/>
      <c r="H592" s="34"/>
    </row>
    <row r="593" spans="6:8" s="27" customFormat="1">
      <c r="F593" s="33"/>
      <c r="H593" s="34"/>
    </row>
    <row r="594" spans="6:8" s="27" customFormat="1">
      <c r="F594" s="33"/>
      <c r="H594" s="34"/>
    </row>
    <row r="595" spans="6:8" s="27" customFormat="1">
      <c r="F595" s="33"/>
      <c r="H595" s="34"/>
    </row>
    <row r="596" spans="6:8" s="27" customFormat="1">
      <c r="F596" s="33"/>
      <c r="H596" s="34"/>
    </row>
    <row r="597" spans="6:8" s="27" customFormat="1">
      <c r="F597" s="33"/>
      <c r="H597" s="34"/>
    </row>
    <row r="598" spans="6:8" s="27" customFormat="1">
      <c r="F598" s="33"/>
      <c r="H598" s="34"/>
    </row>
    <row r="599" spans="6:8" s="27" customFormat="1">
      <c r="F599" s="33"/>
      <c r="H599" s="34"/>
    </row>
    <row r="600" spans="6:8" s="27" customFormat="1">
      <c r="F600" s="33"/>
      <c r="H600" s="34"/>
    </row>
    <row r="601" spans="6:8" s="27" customFormat="1">
      <c r="F601" s="33"/>
      <c r="H601" s="34"/>
    </row>
    <row r="602" spans="6:8" s="27" customFormat="1">
      <c r="F602" s="33"/>
      <c r="H602" s="34"/>
    </row>
    <row r="603" spans="6:8" s="27" customFormat="1">
      <c r="F603" s="33"/>
      <c r="H603" s="34"/>
    </row>
    <row r="604" spans="6:8" s="27" customFormat="1">
      <c r="F604" s="33"/>
      <c r="H604" s="34"/>
    </row>
    <row r="605" spans="6:8" s="27" customFormat="1">
      <c r="F605" s="33"/>
      <c r="H605" s="34"/>
    </row>
    <row r="606" spans="6:8" s="27" customFormat="1">
      <c r="F606" s="33"/>
      <c r="H606" s="34"/>
    </row>
    <row r="607" spans="6:8" s="27" customFormat="1">
      <c r="F607" s="33"/>
      <c r="H607" s="34"/>
    </row>
    <row r="608" spans="6:8" s="27" customFormat="1">
      <c r="F608" s="33"/>
      <c r="H608" s="34"/>
    </row>
    <row r="609" spans="6:8" s="27" customFormat="1">
      <c r="F609" s="33"/>
      <c r="H609" s="34"/>
    </row>
    <row r="610" spans="6:8" s="27" customFormat="1">
      <c r="F610" s="33"/>
      <c r="H610" s="34"/>
    </row>
    <row r="611" spans="6:8" s="27" customFormat="1">
      <c r="F611" s="33"/>
      <c r="H611" s="34"/>
    </row>
    <row r="612" spans="6:8" s="27" customFormat="1">
      <c r="F612" s="33"/>
      <c r="H612" s="34"/>
    </row>
    <row r="613" spans="6:8" s="27" customFormat="1">
      <c r="F613" s="33"/>
      <c r="H613" s="34"/>
    </row>
    <row r="614" spans="6:8" s="27" customFormat="1">
      <c r="F614" s="33"/>
      <c r="H614" s="34"/>
    </row>
    <row r="615" spans="6:8" s="27" customFormat="1">
      <c r="F615" s="33"/>
      <c r="H615" s="34"/>
    </row>
    <row r="616" spans="6:8" s="27" customFormat="1">
      <c r="F616" s="33"/>
      <c r="H616" s="34"/>
    </row>
    <row r="617" spans="6:8" s="27" customFormat="1">
      <c r="F617" s="33"/>
      <c r="H617" s="34"/>
    </row>
    <row r="618" spans="6:8" s="27" customFormat="1">
      <c r="F618" s="33"/>
      <c r="H618" s="34"/>
    </row>
    <row r="619" spans="6:8" s="27" customFormat="1">
      <c r="F619" s="33"/>
      <c r="H619" s="34"/>
    </row>
    <row r="620" spans="6:8" s="27" customFormat="1">
      <c r="F620" s="33"/>
      <c r="H620" s="34"/>
    </row>
    <row r="621" spans="6:8" s="27" customFormat="1">
      <c r="F621" s="33"/>
      <c r="H621" s="34"/>
    </row>
    <row r="622" spans="6:8" s="27" customFormat="1">
      <c r="F622" s="33"/>
      <c r="H622" s="34"/>
    </row>
    <row r="623" spans="6:8" s="27" customFormat="1">
      <c r="F623" s="33"/>
      <c r="H623" s="34"/>
    </row>
    <row r="624" spans="6:8" s="27" customFormat="1">
      <c r="F624" s="33"/>
      <c r="H624" s="34"/>
    </row>
    <row r="625" spans="6:8" s="27" customFormat="1">
      <c r="F625" s="33"/>
      <c r="H625" s="34"/>
    </row>
    <row r="626" spans="6:8" s="27" customFormat="1">
      <c r="F626" s="33"/>
      <c r="H626" s="34"/>
    </row>
    <row r="627" spans="6:8" s="27" customFormat="1">
      <c r="F627" s="33"/>
      <c r="H627" s="34"/>
    </row>
    <row r="628" spans="6:8" s="27" customFormat="1">
      <c r="F628" s="33"/>
      <c r="H628" s="34"/>
    </row>
    <row r="629" spans="6:8" s="27" customFormat="1">
      <c r="F629" s="33"/>
      <c r="H629" s="34"/>
    </row>
    <row r="630" spans="6:8" s="27" customFormat="1">
      <c r="F630" s="33"/>
      <c r="H630" s="34"/>
    </row>
    <row r="631" spans="6:8" s="27" customFormat="1">
      <c r="F631" s="33"/>
      <c r="H631" s="34"/>
    </row>
    <row r="632" spans="6:8" s="27" customFormat="1">
      <c r="F632" s="33"/>
      <c r="H632" s="34"/>
    </row>
    <row r="633" spans="6:8" s="27" customFormat="1">
      <c r="F633" s="33"/>
      <c r="H633" s="34"/>
    </row>
    <row r="634" spans="6:8" s="27" customFormat="1">
      <c r="F634" s="33"/>
      <c r="H634" s="34"/>
    </row>
    <row r="635" spans="6:8" s="27" customFormat="1">
      <c r="F635" s="33"/>
      <c r="H635" s="34"/>
    </row>
    <row r="636" spans="6:8" s="27" customFormat="1">
      <c r="F636" s="33"/>
      <c r="H636" s="34"/>
    </row>
    <row r="637" spans="6:8" s="27" customFormat="1">
      <c r="F637" s="33"/>
      <c r="H637" s="34"/>
    </row>
    <row r="638" spans="6:8" s="27" customFormat="1">
      <c r="F638" s="33"/>
      <c r="H638" s="34"/>
    </row>
    <row r="639" spans="6:8" s="27" customFormat="1">
      <c r="F639" s="33"/>
      <c r="H639" s="34"/>
    </row>
    <row r="640" spans="6:8" s="27" customFormat="1">
      <c r="F640" s="33"/>
      <c r="H640" s="34"/>
    </row>
    <row r="641" spans="6:8" s="27" customFormat="1">
      <c r="F641" s="33"/>
      <c r="H641" s="34"/>
    </row>
    <row r="642" spans="6:8" s="27" customFormat="1">
      <c r="F642" s="33"/>
      <c r="H642" s="34"/>
    </row>
    <row r="643" spans="6:8" s="27" customFormat="1">
      <c r="F643" s="33"/>
      <c r="H643" s="34"/>
    </row>
    <row r="644" spans="6:8" s="27" customFormat="1">
      <c r="F644" s="33"/>
      <c r="H644" s="34"/>
    </row>
    <row r="645" spans="6:8" s="27" customFormat="1">
      <c r="F645" s="33"/>
      <c r="H645" s="34"/>
    </row>
    <row r="646" spans="6:8" s="27" customFormat="1">
      <c r="F646" s="33"/>
      <c r="H646" s="34"/>
    </row>
    <row r="647" spans="6:8" s="27" customFormat="1">
      <c r="F647" s="33"/>
      <c r="H647" s="34"/>
    </row>
    <row r="648" spans="6:8" s="27" customFormat="1">
      <c r="F648" s="33"/>
      <c r="H648" s="34"/>
    </row>
    <row r="649" spans="6:8" s="27" customFormat="1">
      <c r="F649" s="33"/>
      <c r="H649" s="34"/>
    </row>
    <row r="650" spans="6:8" s="27" customFormat="1">
      <c r="F650" s="33"/>
      <c r="H650" s="34"/>
    </row>
    <row r="651" spans="6:8" s="27" customFormat="1">
      <c r="F651" s="33"/>
      <c r="H651" s="34"/>
    </row>
    <row r="652" spans="6:8" s="27" customFormat="1">
      <c r="F652" s="33"/>
      <c r="H652" s="34"/>
    </row>
    <row r="653" spans="6:8" s="27" customFormat="1">
      <c r="F653" s="33"/>
      <c r="H653" s="34"/>
    </row>
    <row r="654" spans="6:8" s="27" customFormat="1">
      <c r="F654" s="33"/>
      <c r="H654" s="34"/>
    </row>
    <row r="655" spans="6:8" s="27" customFormat="1">
      <c r="F655" s="33"/>
      <c r="H655" s="34"/>
    </row>
    <row r="656" spans="6:8" s="27" customFormat="1">
      <c r="F656" s="33"/>
      <c r="H656" s="34"/>
    </row>
    <row r="657" spans="6:8" s="27" customFormat="1">
      <c r="F657" s="33"/>
      <c r="H657" s="34"/>
    </row>
    <row r="658" spans="6:8" s="27" customFormat="1">
      <c r="F658" s="33"/>
      <c r="H658" s="34"/>
    </row>
    <row r="659" spans="6:8" s="27" customFormat="1">
      <c r="F659" s="33"/>
      <c r="H659" s="34"/>
    </row>
    <row r="660" spans="6:8" s="27" customFormat="1">
      <c r="F660" s="33"/>
      <c r="H660" s="34"/>
    </row>
    <row r="661" spans="6:8" s="27" customFormat="1">
      <c r="F661" s="33"/>
      <c r="H661" s="34"/>
    </row>
    <row r="662" spans="6:8" s="27" customFormat="1">
      <c r="F662" s="33"/>
      <c r="H662" s="34"/>
    </row>
    <row r="663" spans="6:8" s="27" customFormat="1">
      <c r="F663" s="33"/>
      <c r="H663" s="34"/>
    </row>
    <row r="664" spans="6:8" s="27" customFormat="1">
      <c r="F664" s="33"/>
      <c r="H664" s="34"/>
    </row>
    <row r="665" spans="6:8" s="27" customFormat="1">
      <c r="F665" s="33"/>
      <c r="H665" s="34"/>
    </row>
    <row r="666" spans="6:8" s="27" customFormat="1">
      <c r="F666" s="33"/>
      <c r="H666" s="34"/>
    </row>
    <row r="667" spans="6:8" s="27" customFormat="1">
      <c r="F667" s="33"/>
      <c r="H667" s="34"/>
    </row>
    <row r="668" spans="6:8" s="27" customFormat="1">
      <c r="F668" s="33"/>
      <c r="H668" s="34"/>
    </row>
    <row r="669" spans="6:8" s="27" customFormat="1">
      <c r="F669" s="33"/>
      <c r="H669" s="34"/>
    </row>
    <row r="670" spans="6:8" s="27" customFormat="1">
      <c r="F670" s="33"/>
      <c r="H670" s="34"/>
    </row>
    <row r="671" spans="6:8" s="27" customFormat="1">
      <c r="F671" s="33"/>
      <c r="H671" s="34"/>
    </row>
    <row r="672" spans="6:8" s="27" customFormat="1">
      <c r="F672" s="33"/>
      <c r="H672" s="34"/>
    </row>
    <row r="673" spans="6:8" s="27" customFormat="1">
      <c r="F673" s="33"/>
      <c r="H673" s="34"/>
    </row>
    <row r="674" spans="6:8" s="27" customFormat="1">
      <c r="F674" s="33"/>
      <c r="H674" s="34"/>
    </row>
    <row r="675" spans="6:8" s="27" customFormat="1">
      <c r="F675" s="33"/>
      <c r="H675" s="34"/>
    </row>
    <row r="676" spans="6:8" s="27" customFormat="1">
      <c r="F676" s="33"/>
      <c r="H676" s="34"/>
    </row>
    <row r="677" spans="6:8" s="27" customFormat="1">
      <c r="F677" s="33"/>
      <c r="H677" s="34"/>
    </row>
    <row r="678" spans="6:8" s="27" customFormat="1">
      <c r="F678" s="33"/>
      <c r="H678" s="34"/>
    </row>
    <row r="679" spans="6:8" s="27" customFormat="1">
      <c r="F679" s="33"/>
      <c r="H679" s="34"/>
    </row>
    <row r="680" spans="6:8" s="27" customFormat="1">
      <c r="F680" s="33"/>
      <c r="H680" s="34"/>
    </row>
    <row r="681" spans="6:8" s="27" customFormat="1">
      <c r="F681" s="33"/>
      <c r="H681" s="34"/>
    </row>
    <row r="682" spans="6:8" s="27" customFormat="1">
      <c r="F682" s="33"/>
      <c r="H682" s="34"/>
    </row>
    <row r="683" spans="6:8" s="27" customFormat="1">
      <c r="F683" s="33"/>
      <c r="H683" s="34"/>
    </row>
    <row r="684" spans="6:8" s="27" customFormat="1">
      <c r="F684" s="33"/>
      <c r="H684" s="34"/>
    </row>
    <row r="685" spans="6:8" s="27" customFormat="1">
      <c r="F685" s="33"/>
      <c r="H685" s="34"/>
    </row>
    <row r="686" spans="6:8" s="27" customFormat="1">
      <c r="F686" s="33"/>
      <c r="H686" s="34"/>
    </row>
    <row r="687" spans="6:8" s="27" customFormat="1">
      <c r="F687" s="33"/>
      <c r="H687" s="34"/>
    </row>
    <row r="688" spans="6:8" s="27" customFormat="1">
      <c r="F688" s="33"/>
      <c r="H688" s="34"/>
    </row>
    <row r="689" spans="6:8" s="27" customFormat="1">
      <c r="F689" s="33"/>
      <c r="H689" s="34"/>
    </row>
    <row r="690" spans="6:8" s="27" customFormat="1">
      <c r="F690" s="33"/>
      <c r="H690" s="34"/>
    </row>
    <row r="691" spans="6:8" s="27" customFormat="1">
      <c r="F691" s="33"/>
      <c r="H691" s="34"/>
    </row>
    <row r="692" spans="6:8" s="27" customFormat="1">
      <c r="F692" s="33"/>
      <c r="H692" s="34"/>
    </row>
    <row r="693" spans="6:8" s="27" customFormat="1">
      <c r="F693" s="33"/>
      <c r="H693" s="34"/>
    </row>
    <row r="694" spans="6:8" s="27" customFormat="1">
      <c r="F694" s="33"/>
      <c r="H694" s="34"/>
    </row>
    <row r="695" spans="6:8" s="27" customFormat="1">
      <c r="F695" s="33"/>
      <c r="H695" s="34"/>
    </row>
    <row r="696" spans="6:8" s="27" customFormat="1">
      <c r="F696" s="33"/>
      <c r="H696" s="34"/>
    </row>
    <row r="697" spans="6:8" s="27" customFormat="1">
      <c r="F697" s="33"/>
      <c r="H697" s="34"/>
    </row>
    <row r="698" spans="6:8" s="27" customFormat="1">
      <c r="F698" s="33"/>
      <c r="H698" s="34"/>
    </row>
    <row r="699" spans="6:8" s="27" customFormat="1">
      <c r="F699" s="33"/>
      <c r="H699" s="34"/>
    </row>
    <row r="700" spans="6:8" s="27" customFormat="1">
      <c r="F700" s="33"/>
      <c r="H700" s="34"/>
    </row>
    <row r="701" spans="6:8" s="27" customFormat="1">
      <c r="F701" s="33"/>
      <c r="H701" s="34"/>
    </row>
    <row r="702" spans="6:8" s="27" customFormat="1">
      <c r="F702" s="33"/>
      <c r="H702" s="34"/>
    </row>
    <row r="703" spans="6:8" s="27" customFormat="1">
      <c r="F703" s="33"/>
      <c r="H703" s="34"/>
    </row>
    <row r="704" spans="6:8" s="27" customFormat="1">
      <c r="F704" s="33"/>
      <c r="H704" s="34"/>
    </row>
    <row r="705" spans="6:8" s="27" customFormat="1">
      <c r="F705" s="33"/>
      <c r="H705" s="34"/>
    </row>
    <row r="706" spans="6:8" s="27" customFormat="1">
      <c r="F706" s="33"/>
      <c r="H706" s="34"/>
    </row>
    <row r="707" spans="6:8" s="27" customFormat="1">
      <c r="F707" s="33"/>
      <c r="H707" s="34"/>
    </row>
    <row r="708" spans="6:8" s="27" customFormat="1">
      <c r="F708" s="33"/>
      <c r="H708" s="34"/>
    </row>
    <row r="709" spans="6:8" s="27" customFormat="1">
      <c r="F709" s="33"/>
      <c r="H709" s="34"/>
    </row>
    <row r="710" spans="6:8" s="27" customFormat="1">
      <c r="F710" s="33"/>
      <c r="H710" s="34"/>
    </row>
    <row r="711" spans="6:8" s="27" customFormat="1">
      <c r="F711" s="33"/>
      <c r="H711" s="34"/>
    </row>
    <row r="712" spans="6:8" s="27" customFormat="1">
      <c r="F712" s="33"/>
      <c r="H712" s="34"/>
    </row>
    <row r="713" spans="6:8" s="27" customFormat="1">
      <c r="F713" s="33"/>
      <c r="H713" s="34"/>
    </row>
    <row r="714" spans="6:8" s="27" customFormat="1">
      <c r="F714" s="33"/>
      <c r="H714" s="34"/>
    </row>
    <row r="715" spans="6:8" s="27" customFormat="1">
      <c r="F715" s="33"/>
      <c r="H715" s="34"/>
    </row>
    <row r="716" spans="6:8" s="27" customFormat="1">
      <c r="F716" s="33"/>
      <c r="H716" s="34"/>
    </row>
    <row r="717" spans="6:8" s="27" customFormat="1">
      <c r="F717" s="33"/>
      <c r="H717" s="34"/>
    </row>
    <row r="718" spans="6:8" s="27" customFormat="1">
      <c r="F718" s="33"/>
      <c r="H718" s="34"/>
    </row>
    <row r="719" spans="6:8" s="27" customFormat="1">
      <c r="F719" s="33"/>
      <c r="H719" s="34"/>
    </row>
    <row r="720" spans="6:8" s="27" customFormat="1">
      <c r="F720" s="33"/>
      <c r="H720" s="34"/>
    </row>
    <row r="721" spans="6:8" s="27" customFormat="1">
      <c r="F721" s="33"/>
      <c r="H721" s="34"/>
    </row>
    <row r="722" spans="6:8" s="27" customFormat="1">
      <c r="F722" s="33"/>
      <c r="H722" s="34"/>
    </row>
    <row r="723" spans="6:8" s="27" customFormat="1">
      <c r="F723" s="33"/>
      <c r="H723" s="34"/>
    </row>
    <row r="724" spans="6:8" s="27" customFormat="1">
      <c r="F724" s="33"/>
      <c r="H724" s="34"/>
    </row>
    <row r="725" spans="6:8" s="27" customFormat="1">
      <c r="F725" s="33"/>
      <c r="H725" s="34"/>
    </row>
    <row r="726" spans="6:8" s="27" customFormat="1">
      <c r="F726" s="33"/>
      <c r="H726" s="34"/>
    </row>
    <row r="727" spans="6:8" s="27" customFormat="1">
      <c r="F727" s="33"/>
      <c r="H727" s="34"/>
    </row>
    <row r="728" spans="6:8" s="27" customFormat="1">
      <c r="F728" s="33"/>
      <c r="H728" s="34"/>
    </row>
    <row r="729" spans="6:8" s="27" customFormat="1">
      <c r="F729" s="33"/>
      <c r="H729" s="34"/>
    </row>
    <row r="730" spans="6:8" s="27" customFormat="1">
      <c r="F730" s="33"/>
      <c r="H730" s="34"/>
    </row>
    <row r="731" spans="6:8" s="27" customFormat="1">
      <c r="F731" s="33"/>
      <c r="H731" s="34"/>
    </row>
    <row r="732" spans="6:8" s="27" customFormat="1">
      <c r="F732" s="33"/>
      <c r="H732" s="34"/>
    </row>
    <row r="733" spans="6:8" s="27" customFormat="1">
      <c r="F733" s="33"/>
      <c r="H733" s="34"/>
    </row>
    <row r="734" spans="6:8" s="27" customFormat="1">
      <c r="F734" s="33"/>
      <c r="H734" s="34"/>
    </row>
    <row r="735" spans="6:8" s="27" customFormat="1">
      <c r="F735" s="33"/>
      <c r="H735" s="34"/>
    </row>
    <row r="736" spans="6:8" s="27" customFormat="1">
      <c r="F736" s="33"/>
      <c r="H736" s="34"/>
    </row>
    <row r="737" spans="6:8" s="27" customFormat="1">
      <c r="F737" s="33"/>
      <c r="H737" s="34"/>
    </row>
    <row r="738" spans="6:8" s="27" customFormat="1">
      <c r="F738" s="33"/>
      <c r="H738" s="34"/>
    </row>
    <row r="739" spans="6:8" s="27" customFormat="1">
      <c r="F739" s="33"/>
      <c r="H739" s="34"/>
    </row>
    <row r="740" spans="6:8" s="27" customFormat="1">
      <c r="F740" s="33"/>
      <c r="H740" s="34"/>
    </row>
    <row r="741" spans="6:8" s="27" customFormat="1">
      <c r="F741" s="33"/>
      <c r="H741" s="34"/>
    </row>
    <row r="742" spans="6:8" s="27" customFormat="1">
      <c r="F742" s="33"/>
      <c r="H742" s="34"/>
    </row>
    <row r="743" spans="6:8" s="27" customFormat="1">
      <c r="F743" s="33"/>
      <c r="H743" s="34"/>
    </row>
    <row r="744" spans="6:8" s="27" customFormat="1">
      <c r="F744" s="33"/>
      <c r="H744" s="34"/>
    </row>
    <row r="745" spans="6:8" s="27" customFormat="1">
      <c r="F745" s="33"/>
      <c r="H745" s="34"/>
    </row>
    <row r="746" spans="6:8" s="27" customFormat="1">
      <c r="F746" s="33"/>
      <c r="H746" s="34"/>
    </row>
    <row r="747" spans="6:8" s="27" customFormat="1">
      <c r="F747" s="33"/>
      <c r="H747" s="34"/>
    </row>
    <row r="748" spans="6:8" s="27" customFormat="1">
      <c r="F748" s="33"/>
      <c r="H748" s="34"/>
    </row>
    <row r="749" spans="6:8" s="27" customFormat="1">
      <c r="F749" s="33"/>
      <c r="H749" s="34"/>
    </row>
    <row r="750" spans="6:8" s="27" customFormat="1">
      <c r="F750" s="33"/>
      <c r="H750" s="34"/>
    </row>
    <row r="751" spans="6:8" s="27" customFormat="1">
      <c r="F751" s="33"/>
      <c r="H751" s="34"/>
    </row>
    <row r="752" spans="6:8" s="27" customFormat="1">
      <c r="F752" s="33"/>
      <c r="H752" s="34"/>
    </row>
    <row r="753" spans="6:8" s="27" customFormat="1">
      <c r="F753" s="33"/>
      <c r="H753" s="34"/>
    </row>
    <row r="754" spans="6:8" s="27" customFormat="1">
      <c r="F754" s="33"/>
      <c r="H754" s="34"/>
    </row>
    <row r="755" spans="6:8" s="27" customFormat="1">
      <c r="F755" s="33"/>
      <c r="H755" s="34"/>
    </row>
    <row r="756" spans="6:8" s="27" customFormat="1">
      <c r="F756" s="33"/>
      <c r="H756" s="34"/>
    </row>
    <row r="757" spans="6:8" s="27" customFormat="1">
      <c r="F757" s="33"/>
      <c r="H757" s="34"/>
    </row>
    <row r="758" spans="6:8" s="27" customFormat="1">
      <c r="F758" s="33"/>
      <c r="H758" s="34"/>
    </row>
    <row r="759" spans="6:8" s="27" customFormat="1">
      <c r="F759" s="33"/>
      <c r="H759" s="34"/>
    </row>
    <row r="760" spans="6:8" s="27" customFormat="1">
      <c r="F760" s="33"/>
      <c r="H760" s="34"/>
    </row>
    <row r="761" spans="6:8" s="27" customFormat="1">
      <c r="F761" s="33"/>
      <c r="H761" s="34"/>
    </row>
    <row r="762" spans="6:8" s="27" customFormat="1">
      <c r="F762" s="33"/>
      <c r="H762" s="34"/>
    </row>
    <row r="763" spans="6:8" s="27" customFormat="1">
      <c r="F763" s="33"/>
      <c r="H763" s="34"/>
    </row>
    <row r="764" spans="6:8" s="27" customFormat="1">
      <c r="F764" s="33"/>
      <c r="H764" s="34"/>
    </row>
    <row r="765" spans="6:8" s="27" customFormat="1">
      <c r="F765" s="33"/>
      <c r="H765" s="34"/>
    </row>
    <row r="766" spans="6:8" s="27" customFormat="1">
      <c r="F766" s="33"/>
      <c r="H766" s="34"/>
    </row>
    <row r="767" spans="6:8" s="27" customFormat="1">
      <c r="F767" s="33"/>
      <c r="H767" s="34"/>
    </row>
    <row r="768" spans="6:8" s="27" customFormat="1">
      <c r="F768" s="33"/>
      <c r="H768" s="34"/>
    </row>
    <row r="769" spans="6:8" s="27" customFormat="1">
      <c r="F769" s="33"/>
      <c r="H769" s="34"/>
    </row>
    <row r="770" spans="6:8" s="27" customFormat="1">
      <c r="F770" s="33"/>
      <c r="H770" s="34"/>
    </row>
    <row r="771" spans="6:8" s="27" customFormat="1">
      <c r="F771" s="33"/>
      <c r="H771" s="34"/>
    </row>
    <row r="772" spans="6:8" s="27" customFormat="1">
      <c r="F772" s="33"/>
      <c r="H772" s="34"/>
    </row>
    <row r="773" spans="6:8" s="27" customFormat="1">
      <c r="F773" s="33"/>
      <c r="H773" s="34"/>
    </row>
    <row r="774" spans="6:8" s="27" customFormat="1">
      <c r="F774" s="33"/>
      <c r="H774" s="34"/>
    </row>
    <row r="775" spans="6:8" s="27" customFormat="1">
      <c r="F775" s="33"/>
      <c r="H775" s="34"/>
    </row>
    <row r="776" spans="6:8" s="27" customFormat="1">
      <c r="F776" s="33"/>
      <c r="H776" s="34"/>
    </row>
    <row r="777" spans="6:8" s="27" customFormat="1">
      <c r="F777" s="33"/>
      <c r="H777" s="34"/>
    </row>
    <row r="778" spans="6:8" s="27" customFormat="1">
      <c r="F778" s="33"/>
      <c r="H778" s="34"/>
    </row>
    <row r="779" spans="6:8" s="27" customFormat="1">
      <c r="F779" s="33"/>
      <c r="H779" s="34"/>
    </row>
    <row r="780" spans="6:8" s="27" customFormat="1">
      <c r="F780" s="33"/>
      <c r="H780" s="34"/>
    </row>
    <row r="781" spans="6:8" s="27" customFormat="1">
      <c r="F781" s="33"/>
      <c r="H781" s="34"/>
    </row>
    <row r="782" spans="6:8" s="27" customFormat="1">
      <c r="F782" s="33"/>
      <c r="H782" s="34"/>
    </row>
    <row r="783" spans="6:8" s="27" customFormat="1">
      <c r="F783" s="33"/>
      <c r="H783" s="34"/>
    </row>
    <row r="784" spans="6:8" s="27" customFormat="1">
      <c r="F784" s="33"/>
      <c r="H784" s="34"/>
    </row>
    <row r="785" spans="6:8" s="27" customFormat="1">
      <c r="F785" s="33"/>
      <c r="H785" s="34"/>
    </row>
    <row r="786" spans="6:8" s="27" customFormat="1">
      <c r="F786" s="33"/>
      <c r="H786" s="34"/>
    </row>
    <row r="787" spans="6:8" s="27" customFormat="1">
      <c r="F787" s="33"/>
      <c r="H787" s="34"/>
    </row>
    <row r="788" spans="6:8" s="27" customFormat="1">
      <c r="F788" s="33"/>
      <c r="H788" s="34"/>
    </row>
    <row r="789" spans="6:8" s="27" customFormat="1">
      <c r="F789" s="33"/>
      <c r="H789" s="34"/>
    </row>
    <row r="790" spans="6:8" s="27" customFormat="1">
      <c r="F790" s="33"/>
      <c r="H790" s="34"/>
    </row>
    <row r="791" spans="6:8" s="27" customFormat="1">
      <c r="F791" s="33"/>
      <c r="H791" s="34"/>
    </row>
    <row r="792" spans="6:8" s="27" customFormat="1">
      <c r="F792" s="33"/>
      <c r="H792" s="34"/>
    </row>
    <row r="793" spans="6:8" s="27" customFormat="1">
      <c r="F793" s="33"/>
      <c r="H793" s="34"/>
    </row>
    <row r="794" spans="6:8" s="27" customFormat="1">
      <c r="F794" s="33"/>
      <c r="H794" s="34"/>
    </row>
    <row r="795" spans="6:8" s="27" customFormat="1">
      <c r="F795" s="33"/>
      <c r="H795" s="34"/>
    </row>
    <row r="796" spans="6:8" s="27" customFormat="1">
      <c r="F796" s="33"/>
      <c r="H796" s="34"/>
    </row>
    <row r="797" spans="6:8" s="27" customFormat="1">
      <c r="F797" s="33"/>
      <c r="H797" s="34"/>
    </row>
    <row r="798" spans="6:8" s="27" customFormat="1">
      <c r="F798" s="33"/>
      <c r="H798" s="34"/>
    </row>
    <row r="799" spans="6:8" s="27" customFormat="1">
      <c r="F799" s="33"/>
      <c r="H799" s="34"/>
    </row>
    <row r="800" spans="6:8" s="27" customFormat="1">
      <c r="F800" s="33"/>
      <c r="H800" s="34"/>
    </row>
    <row r="801" spans="6:8" s="27" customFormat="1">
      <c r="F801" s="33"/>
      <c r="H801" s="34"/>
    </row>
    <row r="802" spans="6:8" s="27" customFormat="1">
      <c r="F802" s="33"/>
      <c r="H802" s="34"/>
    </row>
    <row r="803" spans="6:8" s="27" customFormat="1">
      <c r="F803" s="33"/>
      <c r="H803" s="34"/>
    </row>
    <row r="804" spans="6:8" s="27" customFormat="1">
      <c r="F804" s="33"/>
      <c r="H804" s="34"/>
    </row>
    <row r="805" spans="6:8" s="27" customFormat="1">
      <c r="F805" s="33"/>
      <c r="H805" s="34"/>
    </row>
    <row r="806" spans="6:8" s="27" customFormat="1">
      <c r="F806" s="33"/>
      <c r="H806" s="34"/>
    </row>
    <row r="807" spans="6:8" s="27" customFormat="1">
      <c r="F807" s="33"/>
      <c r="H807" s="34"/>
    </row>
    <row r="808" spans="6:8" s="27" customFormat="1">
      <c r="F808" s="33"/>
      <c r="H808" s="34"/>
    </row>
    <row r="809" spans="6:8" s="27" customFormat="1">
      <c r="F809" s="33"/>
      <c r="H809" s="34"/>
    </row>
    <row r="810" spans="6:8" s="27" customFormat="1">
      <c r="F810" s="33"/>
      <c r="H810" s="34"/>
    </row>
    <row r="811" spans="6:8" s="27" customFormat="1">
      <c r="F811" s="33"/>
      <c r="H811" s="34"/>
    </row>
    <row r="812" spans="6:8" s="27" customFormat="1">
      <c r="F812" s="33"/>
      <c r="H812" s="34"/>
    </row>
    <row r="813" spans="6:8" s="27" customFormat="1">
      <c r="F813" s="33"/>
      <c r="H813" s="34"/>
    </row>
    <row r="814" spans="6:8" s="27" customFormat="1">
      <c r="F814" s="33"/>
      <c r="H814" s="34"/>
    </row>
    <row r="815" spans="6:8" s="27" customFormat="1">
      <c r="F815" s="33"/>
      <c r="H815" s="34"/>
    </row>
    <row r="816" spans="6:8" s="27" customFormat="1">
      <c r="F816" s="33"/>
      <c r="H816" s="34"/>
    </row>
    <row r="817" spans="6:8" s="27" customFormat="1">
      <c r="F817" s="33"/>
      <c r="H817" s="34"/>
    </row>
    <row r="818" spans="6:8" s="27" customFormat="1">
      <c r="F818" s="33"/>
      <c r="H818" s="34"/>
    </row>
    <row r="819" spans="6:8" s="27" customFormat="1">
      <c r="F819" s="33"/>
      <c r="H819" s="34"/>
    </row>
    <row r="820" spans="6:8" s="27" customFormat="1">
      <c r="F820" s="33"/>
      <c r="H820" s="34"/>
    </row>
    <row r="821" spans="6:8" s="27" customFormat="1">
      <c r="F821" s="33"/>
      <c r="H821" s="34"/>
    </row>
    <row r="822" spans="6:8" s="27" customFormat="1">
      <c r="F822" s="33"/>
      <c r="H822" s="34"/>
    </row>
    <row r="823" spans="6:8" s="27" customFormat="1">
      <c r="F823" s="33"/>
      <c r="H823" s="34"/>
    </row>
    <row r="824" spans="6:8" s="27" customFormat="1">
      <c r="F824" s="33"/>
      <c r="H824" s="34"/>
    </row>
    <row r="825" spans="6:8" s="27" customFormat="1">
      <c r="F825" s="33"/>
      <c r="H825" s="34"/>
    </row>
    <row r="826" spans="6:8" s="27" customFormat="1">
      <c r="F826" s="33"/>
      <c r="H826" s="34"/>
    </row>
    <row r="827" spans="6:8" s="27" customFormat="1">
      <c r="F827" s="33"/>
      <c r="H827" s="34"/>
    </row>
    <row r="828" spans="6:8" s="27" customFormat="1">
      <c r="F828" s="33"/>
      <c r="H828" s="34"/>
    </row>
    <row r="829" spans="6:8" s="27" customFormat="1">
      <c r="F829" s="33"/>
      <c r="H829" s="34"/>
    </row>
    <row r="830" spans="6:8" s="27" customFormat="1">
      <c r="F830" s="33"/>
      <c r="H830" s="34"/>
    </row>
    <row r="831" spans="6:8" s="27" customFormat="1">
      <c r="F831" s="33"/>
      <c r="H831" s="34"/>
    </row>
    <row r="832" spans="6:8" s="27" customFormat="1">
      <c r="F832" s="33"/>
      <c r="H832" s="34"/>
    </row>
    <row r="833" spans="6:8" s="27" customFormat="1">
      <c r="F833" s="33"/>
      <c r="H833" s="34"/>
    </row>
    <row r="834" spans="6:8" s="27" customFormat="1">
      <c r="F834" s="33"/>
      <c r="H834" s="34"/>
    </row>
    <row r="835" spans="6:8" s="27" customFormat="1">
      <c r="F835" s="33"/>
      <c r="H835" s="34"/>
    </row>
    <row r="836" spans="6:8" s="27" customFormat="1">
      <c r="F836" s="33"/>
      <c r="H836" s="34"/>
    </row>
    <row r="837" spans="6:8" s="27" customFormat="1">
      <c r="F837" s="33"/>
      <c r="H837" s="34"/>
    </row>
    <row r="838" spans="6:8" s="27" customFormat="1">
      <c r="F838" s="33"/>
      <c r="H838" s="34"/>
    </row>
    <row r="839" spans="6:8" s="27" customFormat="1">
      <c r="F839" s="33"/>
      <c r="H839" s="34"/>
    </row>
    <row r="840" spans="6:8" s="27" customFormat="1">
      <c r="F840" s="33"/>
      <c r="H840" s="34"/>
    </row>
    <row r="841" spans="6:8" s="27" customFormat="1">
      <c r="F841" s="33"/>
      <c r="H841" s="34"/>
    </row>
    <row r="842" spans="6:8" s="27" customFormat="1">
      <c r="F842" s="33"/>
      <c r="H842" s="34"/>
    </row>
    <row r="843" spans="6:8" s="27" customFormat="1">
      <c r="F843" s="33"/>
      <c r="H843" s="34"/>
    </row>
    <row r="844" spans="6:8" s="27" customFormat="1">
      <c r="F844" s="33"/>
      <c r="H844" s="34"/>
    </row>
    <row r="845" spans="6:8" s="27" customFormat="1">
      <c r="F845" s="33"/>
      <c r="H845" s="34"/>
    </row>
    <row r="846" spans="6:8" s="27" customFormat="1">
      <c r="F846" s="33"/>
      <c r="H846" s="34"/>
    </row>
    <row r="847" spans="6:8" s="27" customFormat="1">
      <c r="F847" s="33"/>
      <c r="H847" s="34"/>
    </row>
    <row r="848" spans="6:8" s="27" customFormat="1">
      <c r="F848" s="33"/>
      <c r="H848" s="34"/>
    </row>
    <row r="849" spans="6:8" s="27" customFormat="1">
      <c r="F849" s="33"/>
      <c r="H849" s="34"/>
    </row>
    <row r="850" spans="6:8" s="27" customFormat="1">
      <c r="F850" s="33"/>
      <c r="H850" s="34"/>
    </row>
    <row r="851" spans="6:8" s="27" customFormat="1">
      <c r="F851" s="33"/>
      <c r="H851" s="34"/>
    </row>
    <row r="852" spans="6:8" s="27" customFormat="1">
      <c r="F852" s="33"/>
      <c r="H852" s="34"/>
    </row>
    <row r="853" spans="6:8" s="27" customFormat="1">
      <c r="F853" s="33"/>
      <c r="H853" s="34"/>
    </row>
    <row r="854" spans="6:8" s="27" customFormat="1">
      <c r="F854" s="33"/>
      <c r="H854" s="34"/>
    </row>
    <row r="855" spans="6:8" s="27" customFormat="1">
      <c r="F855" s="33"/>
      <c r="H855" s="34"/>
    </row>
    <row r="856" spans="6:8" s="27" customFormat="1">
      <c r="F856" s="33"/>
      <c r="H856" s="34"/>
    </row>
    <row r="857" spans="6:8" s="27" customFormat="1">
      <c r="F857" s="33"/>
      <c r="H857" s="34"/>
    </row>
    <row r="858" spans="6:8" s="27" customFormat="1">
      <c r="F858" s="33"/>
      <c r="H858" s="34"/>
    </row>
    <row r="859" spans="6:8" s="27" customFormat="1">
      <c r="F859" s="33"/>
      <c r="H859" s="34"/>
    </row>
    <row r="860" spans="6:8" s="27" customFormat="1">
      <c r="F860" s="33"/>
      <c r="H860" s="34"/>
    </row>
    <row r="861" spans="6:8" s="27" customFormat="1">
      <c r="F861" s="33"/>
      <c r="H861" s="34"/>
    </row>
    <row r="862" spans="6:8" s="27" customFormat="1">
      <c r="F862" s="33"/>
      <c r="H862" s="34"/>
    </row>
    <row r="863" spans="6:8" s="27" customFormat="1">
      <c r="F863" s="33"/>
      <c r="H863" s="34"/>
    </row>
    <row r="864" spans="6:8" s="27" customFormat="1">
      <c r="F864" s="33"/>
      <c r="H864" s="34"/>
    </row>
    <row r="865" spans="6:8" s="27" customFormat="1">
      <c r="F865" s="33"/>
      <c r="H865" s="34"/>
    </row>
    <row r="866" spans="6:8" s="27" customFormat="1">
      <c r="F866" s="33"/>
      <c r="H866" s="34"/>
    </row>
    <row r="867" spans="6:8" s="27" customFormat="1">
      <c r="F867" s="33"/>
      <c r="H867" s="34"/>
    </row>
    <row r="868" spans="6:8" s="27" customFormat="1">
      <c r="F868" s="33"/>
      <c r="H868" s="34"/>
    </row>
    <row r="869" spans="6:8" s="27" customFormat="1">
      <c r="F869" s="33"/>
      <c r="H869" s="34"/>
    </row>
    <row r="870" spans="6:8" s="27" customFormat="1">
      <c r="F870" s="33"/>
      <c r="H870" s="34"/>
    </row>
    <row r="871" spans="6:8" s="27" customFormat="1">
      <c r="F871" s="33"/>
      <c r="H871" s="34"/>
    </row>
    <row r="872" spans="6:8" s="27" customFormat="1">
      <c r="F872" s="33"/>
      <c r="H872" s="34"/>
    </row>
    <row r="873" spans="6:8" s="27" customFormat="1">
      <c r="F873" s="33"/>
      <c r="H873" s="34"/>
    </row>
    <row r="874" spans="6:8" s="27" customFormat="1">
      <c r="F874" s="33"/>
      <c r="H874" s="34"/>
    </row>
    <row r="875" spans="6:8" s="27" customFormat="1">
      <c r="F875" s="33"/>
      <c r="H875" s="34"/>
    </row>
    <row r="876" spans="6:8" s="27" customFormat="1">
      <c r="F876" s="33"/>
      <c r="H876" s="34"/>
    </row>
    <row r="877" spans="6:8" s="27" customFormat="1">
      <c r="F877" s="33"/>
      <c r="H877" s="34"/>
    </row>
    <row r="878" spans="6:8" s="27" customFormat="1">
      <c r="F878" s="33"/>
      <c r="H878" s="34"/>
    </row>
    <row r="879" spans="6:8" s="27" customFormat="1">
      <c r="F879" s="33"/>
      <c r="H879" s="34"/>
    </row>
    <row r="880" spans="6:8" s="27" customFormat="1">
      <c r="F880" s="33"/>
      <c r="H880" s="34"/>
    </row>
    <row r="881" spans="6:8" s="27" customFormat="1">
      <c r="F881" s="33"/>
      <c r="H881" s="34"/>
    </row>
    <row r="882" spans="6:8" s="27" customFormat="1">
      <c r="F882" s="33"/>
      <c r="H882" s="34"/>
    </row>
    <row r="883" spans="6:8" s="27" customFormat="1">
      <c r="F883" s="33"/>
      <c r="H883" s="34"/>
    </row>
    <row r="884" spans="6:8" s="27" customFormat="1">
      <c r="F884" s="33"/>
      <c r="H884" s="34"/>
    </row>
    <row r="885" spans="6:8" s="27" customFormat="1">
      <c r="F885" s="33"/>
      <c r="H885" s="34"/>
    </row>
    <row r="886" spans="6:8" s="27" customFormat="1">
      <c r="F886" s="33"/>
      <c r="H886" s="34"/>
    </row>
    <row r="887" spans="6:8" s="27" customFormat="1">
      <c r="F887" s="33"/>
      <c r="H887" s="34"/>
    </row>
    <row r="888" spans="6:8" s="27" customFormat="1">
      <c r="F888" s="33"/>
      <c r="H888" s="34"/>
    </row>
    <row r="889" spans="6:8" s="27" customFormat="1">
      <c r="F889" s="33"/>
      <c r="H889" s="34"/>
    </row>
    <row r="890" spans="6:8" s="27" customFormat="1">
      <c r="F890" s="33"/>
      <c r="H890" s="34"/>
    </row>
    <row r="891" spans="6:8" s="27" customFormat="1">
      <c r="F891" s="33"/>
      <c r="H891" s="34"/>
    </row>
    <row r="892" spans="6:8" s="27" customFormat="1">
      <c r="F892" s="33"/>
      <c r="H892" s="34"/>
    </row>
    <row r="893" spans="6:8" s="27" customFormat="1">
      <c r="F893" s="33"/>
      <c r="H893" s="34"/>
    </row>
    <row r="894" spans="6:8" s="27" customFormat="1">
      <c r="F894" s="33"/>
      <c r="H894" s="34"/>
    </row>
    <row r="895" spans="6:8" s="27" customFormat="1">
      <c r="F895" s="33"/>
      <c r="H895" s="34"/>
    </row>
    <row r="896" spans="6:8" s="27" customFormat="1">
      <c r="F896" s="33"/>
      <c r="H896" s="34"/>
    </row>
    <row r="897" spans="6:8" s="27" customFormat="1">
      <c r="F897" s="33"/>
      <c r="H897" s="34"/>
    </row>
    <row r="898" spans="6:8" s="27" customFormat="1">
      <c r="F898" s="33"/>
      <c r="H898" s="34"/>
    </row>
    <row r="899" spans="6:8" s="27" customFormat="1">
      <c r="F899" s="33"/>
      <c r="H899" s="34"/>
    </row>
    <row r="900" spans="6:8" s="27" customFormat="1">
      <c r="F900" s="33"/>
      <c r="H900" s="34"/>
    </row>
    <row r="901" spans="6:8" s="27" customFormat="1">
      <c r="F901" s="33"/>
      <c r="H901" s="34"/>
    </row>
    <row r="902" spans="6:8" s="27" customFormat="1">
      <c r="F902" s="33"/>
      <c r="H902" s="34"/>
    </row>
    <row r="903" spans="6:8" s="27" customFormat="1">
      <c r="F903" s="33"/>
      <c r="H903" s="34"/>
    </row>
    <row r="904" spans="6:8" s="27" customFormat="1">
      <c r="F904" s="33"/>
      <c r="H904" s="34"/>
    </row>
    <row r="905" spans="6:8" s="27" customFormat="1">
      <c r="F905" s="33"/>
      <c r="H905" s="34"/>
    </row>
    <row r="906" spans="6:8" s="27" customFormat="1">
      <c r="F906" s="33"/>
      <c r="H906" s="34"/>
    </row>
    <row r="907" spans="6:8" s="27" customFormat="1">
      <c r="F907" s="33"/>
      <c r="H907" s="34"/>
    </row>
    <row r="908" spans="6:8" s="27" customFormat="1">
      <c r="F908" s="33"/>
      <c r="H908" s="34"/>
    </row>
    <row r="909" spans="6:8" s="27" customFormat="1">
      <c r="F909" s="33"/>
      <c r="H909" s="34"/>
    </row>
    <row r="910" spans="6:8" s="27" customFormat="1">
      <c r="F910" s="33"/>
      <c r="H910" s="34"/>
    </row>
    <row r="911" spans="6:8" s="27" customFormat="1">
      <c r="F911" s="33"/>
      <c r="H911" s="34"/>
    </row>
    <row r="912" spans="6:8" s="27" customFormat="1">
      <c r="F912" s="33"/>
      <c r="H912" s="34"/>
    </row>
    <row r="913" spans="6:8" s="27" customFormat="1">
      <c r="F913" s="33"/>
      <c r="H913" s="34"/>
    </row>
    <row r="914" spans="6:8" s="27" customFormat="1">
      <c r="F914" s="33"/>
      <c r="H914" s="34"/>
    </row>
    <row r="915" spans="6:8" s="27" customFormat="1">
      <c r="F915" s="33"/>
      <c r="H915" s="34"/>
    </row>
    <row r="916" spans="6:8" s="27" customFormat="1">
      <c r="F916" s="33"/>
      <c r="H916" s="34"/>
    </row>
    <row r="917" spans="6:8" s="27" customFormat="1">
      <c r="F917" s="33"/>
      <c r="H917" s="34"/>
    </row>
    <row r="918" spans="6:8" s="27" customFormat="1">
      <c r="F918" s="33"/>
      <c r="H918" s="34"/>
    </row>
    <row r="919" spans="6:8" s="27" customFormat="1">
      <c r="F919" s="33"/>
      <c r="H919" s="34"/>
    </row>
    <row r="920" spans="6:8" s="27" customFormat="1">
      <c r="F920" s="33"/>
      <c r="H920" s="34"/>
    </row>
    <row r="921" spans="6:8" s="27" customFormat="1">
      <c r="F921" s="33"/>
      <c r="H921" s="34"/>
    </row>
    <row r="922" spans="6:8" s="27" customFormat="1">
      <c r="F922" s="33"/>
      <c r="H922" s="34"/>
    </row>
    <row r="923" spans="6:8" s="27" customFormat="1">
      <c r="F923" s="33"/>
      <c r="H923" s="34"/>
    </row>
    <row r="924" spans="6:8" s="27" customFormat="1">
      <c r="F924" s="33"/>
      <c r="H924" s="34"/>
    </row>
    <row r="925" spans="6:8" s="27" customFormat="1">
      <c r="F925" s="33"/>
      <c r="H925" s="34"/>
    </row>
    <row r="926" spans="6:8" s="27" customFormat="1">
      <c r="F926" s="33"/>
      <c r="H926" s="34"/>
    </row>
    <row r="927" spans="6:8" s="27" customFormat="1">
      <c r="F927" s="33"/>
      <c r="H927" s="34"/>
    </row>
    <row r="928" spans="6:8" s="27" customFormat="1">
      <c r="F928" s="33"/>
      <c r="H928" s="34"/>
    </row>
    <row r="929" spans="6:8" s="27" customFormat="1">
      <c r="F929" s="33"/>
      <c r="H929" s="34"/>
    </row>
    <row r="930" spans="6:8" s="27" customFormat="1">
      <c r="F930" s="33"/>
      <c r="H930" s="34"/>
    </row>
    <row r="931" spans="6:8" s="27" customFormat="1">
      <c r="F931" s="33"/>
      <c r="H931" s="34"/>
    </row>
    <row r="932" spans="6:8" s="27" customFormat="1">
      <c r="F932" s="33"/>
      <c r="H932" s="34"/>
    </row>
    <row r="933" spans="6:8" s="27" customFormat="1">
      <c r="F933" s="33"/>
      <c r="H933" s="34"/>
    </row>
    <row r="934" spans="6:8" s="27" customFormat="1">
      <c r="F934" s="33"/>
      <c r="H934" s="34"/>
    </row>
    <row r="935" spans="6:8" s="27" customFormat="1">
      <c r="F935" s="33"/>
      <c r="H935" s="34"/>
    </row>
    <row r="936" spans="6:8" s="27" customFormat="1">
      <c r="F936" s="33"/>
      <c r="H936" s="34"/>
    </row>
    <row r="937" spans="6:8" s="27" customFormat="1">
      <c r="F937" s="33"/>
      <c r="H937" s="34"/>
    </row>
    <row r="938" spans="6:8" s="27" customFormat="1">
      <c r="F938" s="33"/>
      <c r="H938" s="34"/>
    </row>
    <row r="939" spans="6:8" s="27" customFormat="1">
      <c r="F939" s="33"/>
      <c r="H939" s="34"/>
    </row>
    <row r="940" spans="6:8" s="27" customFormat="1">
      <c r="F940" s="33"/>
      <c r="H940" s="34"/>
    </row>
    <row r="941" spans="6:8" s="27" customFormat="1">
      <c r="F941" s="33"/>
      <c r="H941" s="34"/>
    </row>
    <row r="942" spans="6:8" s="27" customFormat="1">
      <c r="F942" s="33"/>
      <c r="H942" s="34"/>
    </row>
    <row r="943" spans="6:8" s="27" customFormat="1">
      <c r="F943" s="33"/>
      <c r="H943" s="34"/>
    </row>
    <row r="944" spans="6:8" s="27" customFormat="1">
      <c r="F944" s="33"/>
      <c r="H944" s="34"/>
    </row>
    <row r="945" spans="6:8" s="27" customFormat="1">
      <c r="F945" s="33"/>
      <c r="H945" s="34"/>
    </row>
    <row r="946" spans="6:8" s="27" customFormat="1">
      <c r="F946" s="33"/>
      <c r="H946" s="34"/>
    </row>
    <row r="947" spans="6:8" s="27" customFormat="1">
      <c r="F947" s="33"/>
      <c r="H947" s="34"/>
    </row>
    <row r="948" spans="6:8" s="27" customFormat="1">
      <c r="F948" s="33"/>
      <c r="H948" s="34"/>
    </row>
    <row r="949" spans="6:8" s="27" customFormat="1">
      <c r="F949" s="33"/>
      <c r="H949" s="34"/>
    </row>
    <row r="950" spans="6:8" s="27" customFormat="1">
      <c r="F950" s="33"/>
      <c r="H950" s="34"/>
    </row>
    <row r="951" spans="6:8" s="27" customFormat="1">
      <c r="F951" s="33"/>
      <c r="H951" s="34"/>
    </row>
    <row r="952" spans="6:8" s="27" customFormat="1">
      <c r="F952" s="33"/>
      <c r="H952" s="34"/>
    </row>
    <row r="953" spans="6:8" s="27" customFormat="1">
      <c r="F953" s="33"/>
      <c r="H953" s="34"/>
    </row>
    <row r="954" spans="6:8" s="27" customFormat="1">
      <c r="F954" s="33"/>
      <c r="H954" s="34"/>
    </row>
    <row r="955" spans="6:8" s="27" customFormat="1">
      <c r="F955" s="33"/>
      <c r="H955" s="34"/>
    </row>
    <row r="956" spans="6:8" s="27" customFormat="1">
      <c r="F956" s="33"/>
      <c r="H956" s="34"/>
    </row>
    <row r="957" spans="6:8" s="27" customFormat="1">
      <c r="F957" s="33"/>
      <c r="H957" s="34"/>
    </row>
    <row r="958" spans="6:8" s="27" customFormat="1">
      <c r="F958" s="33"/>
      <c r="H958" s="34"/>
    </row>
    <row r="959" spans="6:8" s="27" customFormat="1">
      <c r="F959" s="33"/>
      <c r="H959" s="34"/>
    </row>
    <row r="960" spans="6:8" s="27" customFormat="1">
      <c r="F960" s="33"/>
      <c r="H960" s="34"/>
    </row>
    <row r="961" spans="6:8" s="27" customFormat="1">
      <c r="F961" s="33"/>
      <c r="H961" s="34"/>
    </row>
    <row r="962" spans="6:8" s="27" customFormat="1">
      <c r="F962" s="33"/>
      <c r="H962" s="34"/>
    </row>
    <row r="963" spans="6:8" s="27" customFormat="1">
      <c r="F963" s="33"/>
      <c r="H963" s="34"/>
    </row>
    <row r="964" spans="6:8" s="27" customFormat="1">
      <c r="F964" s="33"/>
      <c r="H964" s="34"/>
    </row>
    <row r="965" spans="6:8" s="27" customFormat="1">
      <c r="F965" s="33"/>
      <c r="H965" s="34"/>
    </row>
    <row r="966" spans="6:8" s="27" customFormat="1">
      <c r="F966" s="33"/>
      <c r="H966" s="34"/>
    </row>
    <row r="967" spans="6:8" s="27" customFormat="1">
      <c r="F967" s="33"/>
      <c r="H967" s="34"/>
    </row>
    <row r="968" spans="6:8" s="27" customFormat="1">
      <c r="F968" s="33"/>
      <c r="H968" s="34"/>
    </row>
    <row r="969" spans="6:8" s="27" customFormat="1">
      <c r="F969" s="33"/>
      <c r="H969" s="34"/>
    </row>
    <row r="970" spans="6:8" s="27" customFormat="1">
      <c r="F970" s="33"/>
      <c r="H970" s="34"/>
    </row>
    <row r="971" spans="6:8" s="27" customFormat="1">
      <c r="F971" s="33"/>
      <c r="H971" s="34"/>
    </row>
    <row r="972" spans="6:8" s="27" customFormat="1">
      <c r="F972" s="33"/>
      <c r="H972" s="34"/>
    </row>
    <row r="973" spans="6:8" s="27" customFormat="1">
      <c r="F973" s="33"/>
      <c r="H973" s="34"/>
    </row>
    <row r="974" spans="6:8" s="27" customFormat="1">
      <c r="F974" s="33"/>
      <c r="H974" s="34"/>
    </row>
    <row r="975" spans="6:8" s="27" customFormat="1">
      <c r="F975" s="33"/>
      <c r="H975" s="34"/>
    </row>
    <row r="976" spans="6:8" s="27" customFormat="1">
      <c r="F976" s="33"/>
      <c r="H976" s="34"/>
    </row>
    <row r="977" spans="6:8" s="27" customFormat="1">
      <c r="F977" s="33"/>
      <c r="H977" s="34"/>
    </row>
    <row r="978" spans="6:8" s="27" customFormat="1">
      <c r="F978" s="33"/>
      <c r="H978" s="34"/>
    </row>
    <row r="979" spans="6:8" s="27" customFormat="1">
      <c r="F979" s="33"/>
      <c r="H979" s="34"/>
    </row>
    <row r="980" spans="6:8" s="27" customFormat="1">
      <c r="F980" s="33"/>
      <c r="H980" s="34"/>
    </row>
    <row r="981" spans="6:8" s="27" customFormat="1">
      <c r="F981" s="33"/>
      <c r="H981" s="34"/>
    </row>
    <row r="982" spans="6:8" s="27" customFormat="1">
      <c r="F982" s="33"/>
      <c r="H982" s="34"/>
    </row>
    <row r="983" spans="6:8" s="27" customFormat="1">
      <c r="F983" s="33"/>
      <c r="H983" s="34"/>
    </row>
    <row r="984" spans="6:8" s="27" customFormat="1">
      <c r="F984" s="33"/>
      <c r="H984" s="34"/>
    </row>
    <row r="985" spans="6:8" s="27" customFormat="1">
      <c r="F985" s="33"/>
      <c r="H985" s="34"/>
    </row>
    <row r="986" spans="6:8" s="27" customFormat="1">
      <c r="F986" s="33"/>
      <c r="H986" s="34"/>
    </row>
    <row r="987" spans="6:8" s="27" customFormat="1">
      <c r="F987" s="33"/>
      <c r="H987" s="34"/>
    </row>
    <row r="988" spans="6:8" s="27" customFormat="1">
      <c r="F988" s="33"/>
      <c r="H988" s="34"/>
    </row>
    <row r="989" spans="6:8" s="27" customFormat="1">
      <c r="F989" s="33"/>
      <c r="H989" s="34"/>
    </row>
    <row r="990" spans="6:8" s="27" customFormat="1">
      <c r="F990" s="33"/>
      <c r="H990" s="34"/>
    </row>
    <row r="991" spans="6:8" s="27" customFormat="1">
      <c r="F991" s="33"/>
      <c r="H991" s="34"/>
    </row>
    <row r="992" spans="6:8" s="27" customFormat="1">
      <c r="F992" s="33"/>
      <c r="H992" s="34"/>
    </row>
    <row r="993" spans="6:8" s="27" customFormat="1">
      <c r="F993" s="33"/>
      <c r="H993" s="34"/>
    </row>
    <row r="994" spans="6:8" s="27" customFormat="1">
      <c r="F994" s="33"/>
      <c r="H994" s="34"/>
    </row>
    <row r="995" spans="6:8" s="27" customFormat="1">
      <c r="F995" s="33"/>
      <c r="H995" s="34"/>
    </row>
    <row r="996" spans="6:8" s="27" customFormat="1">
      <c r="F996" s="33"/>
      <c r="H996" s="34"/>
    </row>
    <row r="997" spans="6:8" s="27" customFormat="1">
      <c r="F997" s="33"/>
      <c r="H997" s="34"/>
    </row>
    <row r="998" spans="6:8" s="27" customFormat="1">
      <c r="F998" s="33"/>
      <c r="H998" s="34"/>
    </row>
    <row r="999" spans="6:8" s="27" customFormat="1">
      <c r="F999" s="33"/>
      <c r="H999" s="34"/>
    </row>
    <row r="1000" spans="6:8" s="27" customFormat="1">
      <c r="F1000" s="33"/>
      <c r="H1000" s="34"/>
    </row>
    <row r="1001" spans="6:8" s="27" customFormat="1">
      <c r="F1001" s="33"/>
      <c r="H1001" s="34"/>
    </row>
    <row r="1002" spans="6:8" s="27" customFormat="1">
      <c r="F1002" s="33"/>
      <c r="H1002" s="34"/>
    </row>
    <row r="1003" spans="6:8" s="27" customFormat="1">
      <c r="F1003" s="33"/>
      <c r="H1003" s="34"/>
    </row>
    <row r="1004" spans="6:8" s="27" customFormat="1">
      <c r="F1004" s="33"/>
      <c r="H1004" s="34"/>
    </row>
    <row r="1005" spans="6:8" s="27" customFormat="1">
      <c r="F1005" s="33"/>
      <c r="H1005" s="34"/>
    </row>
    <row r="1006" spans="6:8" s="27" customFormat="1">
      <c r="F1006" s="33"/>
      <c r="H1006" s="34"/>
    </row>
    <row r="1007" spans="6:8" s="27" customFormat="1">
      <c r="F1007" s="33"/>
      <c r="H1007" s="34"/>
    </row>
    <row r="1008" spans="6:8" s="27" customFormat="1">
      <c r="F1008" s="33"/>
      <c r="H1008" s="34"/>
    </row>
    <row r="1009" spans="6:8" s="27" customFormat="1">
      <c r="F1009" s="33"/>
      <c r="H1009" s="34"/>
    </row>
    <row r="1010" spans="6:8" s="27" customFormat="1">
      <c r="F1010" s="33"/>
      <c r="H1010" s="34"/>
    </row>
    <row r="1011" spans="6:8" s="27" customFormat="1">
      <c r="F1011" s="33"/>
      <c r="H1011" s="34"/>
    </row>
    <row r="1012" spans="6:8" s="27" customFormat="1">
      <c r="F1012" s="33"/>
      <c r="H1012" s="34"/>
    </row>
    <row r="1013" spans="6:8" s="27" customFormat="1">
      <c r="F1013" s="33"/>
      <c r="H1013" s="34"/>
    </row>
    <row r="1014" spans="6:8" s="27" customFormat="1">
      <c r="F1014" s="33"/>
      <c r="H1014" s="34"/>
    </row>
    <row r="1015" spans="6:8" s="27" customFormat="1">
      <c r="F1015" s="33"/>
      <c r="H1015" s="34"/>
    </row>
    <row r="1016" spans="6:8" s="27" customFormat="1">
      <c r="F1016" s="33"/>
      <c r="H1016" s="34"/>
    </row>
    <row r="1017" spans="6:8" s="27" customFormat="1">
      <c r="F1017" s="33"/>
      <c r="H1017" s="34"/>
    </row>
    <row r="1018" spans="6:8" s="27" customFormat="1">
      <c r="F1018" s="33"/>
      <c r="H1018" s="34"/>
    </row>
    <row r="1019" spans="6:8" s="27" customFormat="1">
      <c r="F1019" s="33"/>
      <c r="H1019" s="34"/>
    </row>
    <row r="1020" spans="6:8" s="27" customFormat="1">
      <c r="F1020" s="33"/>
      <c r="H1020" s="34"/>
    </row>
    <row r="1021" spans="6:8" s="27" customFormat="1">
      <c r="F1021" s="33"/>
      <c r="H1021" s="34"/>
    </row>
    <row r="1022" spans="6:8" s="27" customFormat="1">
      <c r="F1022" s="33"/>
      <c r="H1022" s="34"/>
    </row>
    <row r="1023" spans="6:8" s="27" customFormat="1">
      <c r="F1023" s="33"/>
      <c r="H1023" s="34"/>
    </row>
    <row r="1024" spans="6:8" s="27" customFormat="1">
      <c r="F1024" s="33"/>
      <c r="H1024" s="34"/>
    </row>
    <row r="1025" spans="6:8" s="27" customFormat="1">
      <c r="F1025" s="33"/>
      <c r="H1025" s="34"/>
    </row>
    <row r="1026" spans="6:8" s="27" customFormat="1">
      <c r="F1026" s="33"/>
      <c r="H1026" s="34"/>
    </row>
    <row r="1027" spans="6:8" s="27" customFormat="1">
      <c r="F1027" s="33"/>
      <c r="H1027" s="34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790"/>
  <sheetViews>
    <sheetView zoomScaleNormal="100" workbookViewId="0"/>
  </sheetViews>
  <sheetFormatPr defaultRowHeight="12.75"/>
  <cols>
    <col min="1" max="1" width="3.42578125" style="27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97" width="9.140625" style="27"/>
  </cols>
  <sheetData>
    <row r="1" spans="1:9" ht="15.95" customHeight="1">
      <c r="A1" s="24"/>
      <c r="B1" s="183" t="s">
        <v>394</v>
      </c>
      <c r="C1" s="184"/>
      <c r="D1" s="184"/>
      <c r="E1" s="184"/>
      <c r="F1" s="184"/>
      <c r="G1" s="184"/>
      <c r="H1" s="185"/>
      <c r="I1" s="1"/>
    </row>
    <row r="2" spans="1:9" ht="12.95" customHeight="1" thickBot="1">
      <c r="A2" s="24"/>
      <c r="B2" s="189" t="s">
        <v>395</v>
      </c>
      <c r="C2" s="190"/>
      <c r="D2" s="190"/>
      <c r="E2" s="190"/>
      <c r="F2" s="190"/>
      <c r="G2" s="190"/>
      <c r="H2" s="191"/>
      <c r="I2" s="1"/>
    </row>
    <row r="3" spans="1:9" s="27" customFormat="1" ht="12.95" customHeight="1">
      <c r="A3" s="24"/>
      <c r="B3" s="110"/>
      <c r="C3" s="110"/>
      <c r="D3" s="110"/>
      <c r="E3" s="110"/>
      <c r="F3" s="110"/>
      <c r="G3" s="110"/>
      <c r="H3" s="110"/>
      <c r="I3" s="24"/>
    </row>
    <row r="4" spans="1:9" s="27" customFormat="1" ht="12.95" customHeight="1">
      <c r="A4" s="25"/>
      <c r="B4" s="29" t="s">
        <v>2</v>
      </c>
      <c r="C4" s="24"/>
      <c r="D4" s="24"/>
      <c r="E4" s="24"/>
      <c r="F4" s="30"/>
      <c r="G4" s="24"/>
      <c r="H4" s="31"/>
      <c r="I4" s="24"/>
    </row>
    <row r="5" spans="1:9" s="27" customFormat="1" ht="12.95" customHeight="1" thickBot="1">
      <c r="A5" s="25"/>
      <c r="B5" s="29"/>
      <c r="C5" s="24"/>
      <c r="D5" s="24"/>
      <c r="E5" s="24"/>
      <c r="F5" s="30"/>
      <c r="G5" s="24"/>
      <c r="H5" s="31"/>
      <c r="I5" s="24"/>
    </row>
    <row r="6" spans="1:9" ht="27.95" customHeight="1" thickBot="1">
      <c r="A6" s="24"/>
      <c r="B6" s="76" t="s">
        <v>3</v>
      </c>
      <c r="C6" s="77" t="s">
        <v>4</v>
      </c>
      <c r="D6" s="104" t="s">
        <v>5</v>
      </c>
      <c r="E6" s="104" t="s">
        <v>6</v>
      </c>
      <c r="F6" s="105" t="s">
        <v>7</v>
      </c>
      <c r="G6" s="104" t="s">
        <v>8</v>
      </c>
      <c r="H6" s="106" t="s">
        <v>9</v>
      </c>
      <c r="I6" s="36" t="s">
        <v>10</v>
      </c>
    </row>
    <row r="7" spans="1:9" ht="12.95" customHeight="1">
      <c r="A7" s="24"/>
      <c r="B7" s="158" t="s">
        <v>368</v>
      </c>
      <c r="C7" s="159"/>
      <c r="D7" s="121"/>
      <c r="E7" s="121"/>
      <c r="F7" s="122"/>
      <c r="G7" s="121"/>
      <c r="H7" s="123"/>
      <c r="I7" s="6"/>
    </row>
    <row r="8" spans="1:9" ht="12.95" customHeight="1">
      <c r="A8" s="24"/>
      <c r="B8" s="13" t="s">
        <v>369</v>
      </c>
      <c r="C8" s="43"/>
      <c r="D8" s="44"/>
      <c r="E8" s="154" t="s">
        <v>196</v>
      </c>
      <c r="F8" s="154" t="s">
        <v>196</v>
      </c>
      <c r="G8" s="154" t="s">
        <v>196</v>
      </c>
      <c r="H8" s="157" t="s">
        <v>196</v>
      </c>
      <c r="I8" s="7" t="s">
        <v>196</v>
      </c>
    </row>
    <row r="9" spans="1:9" ht="12.95" customHeight="1">
      <c r="A9" s="26"/>
      <c r="B9" s="16" t="s">
        <v>195</v>
      </c>
      <c r="C9" s="43"/>
      <c r="D9" s="44"/>
      <c r="E9" s="154" t="s">
        <v>196</v>
      </c>
      <c r="F9" s="154" t="s">
        <v>196</v>
      </c>
      <c r="G9" s="154" t="s">
        <v>196</v>
      </c>
      <c r="H9" s="157" t="s">
        <v>196</v>
      </c>
      <c r="I9" s="7" t="s">
        <v>196</v>
      </c>
    </row>
    <row r="10" spans="1:9" ht="12.95" customHeight="1">
      <c r="A10" s="24"/>
      <c r="B10" s="16"/>
      <c r="C10" s="43"/>
      <c r="D10" s="44"/>
      <c r="E10" s="156"/>
      <c r="F10" s="156"/>
      <c r="G10" s="156"/>
      <c r="H10" s="170"/>
      <c r="I10" s="7"/>
    </row>
    <row r="11" spans="1:9" ht="12.95" customHeight="1">
      <c r="A11" s="24"/>
      <c r="B11" s="9" t="s">
        <v>370</v>
      </c>
      <c r="C11" s="43"/>
      <c r="D11" s="44"/>
      <c r="E11" s="156"/>
      <c r="F11" s="156"/>
      <c r="G11" s="156"/>
      <c r="H11" s="170"/>
      <c r="I11" s="7"/>
    </row>
    <row r="12" spans="1:9" ht="12.95" customHeight="1">
      <c r="A12" s="24"/>
      <c r="B12" s="13" t="s">
        <v>371</v>
      </c>
      <c r="C12" s="43"/>
      <c r="D12" s="44"/>
      <c r="E12" s="154" t="s">
        <v>196</v>
      </c>
      <c r="F12" s="154" t="s">
        <v>196</v>
      </c>
      <c r="G12" s="154" t="s">
        <v>196</v>
      </c>
      <c r="H12" s="157" t="s">
        <v>196</v>
      </c>
      <c r="I12" s="7" t="s">
        <v>196</v>
      </c>
    </row>
    <row r="13" spans="1:9" ht="12.95" customHeight="1">
      <c r="A13" s="26"/>
      <c r="B13" s="16" t="s">
        <v>372</v>
      </c>
      <c r="C13" s="43"/>
      <c r="D13" s="44"/>
      <c r="E13" s="154" t="s">
        <v>196</v>
      </c>
      <c r="F13" s="154" t="s">
        <v>196</v>
      </c>
      <c r="G13" s="154" t="s">
        <v>196</v>
      </c>
      <c r="H13" s="157" t="s">
        <v>196</v>
      </c>
      <c r="I13" s="8"/>
    </row>
    <row r="14" spans="1:9" ht="12.95" customHeight="1">
      <c r="A14" s="24"/>
      <c r="B14" s="16" t="s">
        <v>373</v>
      </c>
      <c r="C14" s="43"/>
      <c r="D14" s="44"/>
      <c r="E14" s="154" t="s">
        <v>196</v>
      </c>
      <c r="F14" s="154" t="s">
        <v>196</v>
      </c>
      <c r="G14" s="154" t="s">
        <v>196</v>
      </c>
      <c r="H14" s="157" t="s">
        <v>196</v>
      </c>
      <c r="I14" s="8"/>
    </row>
    <row r="15" spans="1:9" ht="12.95" customHeight="1">
      <c r="A15" s="24"/>
      <c r="B15" s="16"/>
      <c r="C15" s="43"/>
      <c r="D15" s="44"/>
      <c r="E15" s="162"/>
      <c r="F15" s="45"/>
      <c r="G15" s="44"/>
      <c r="H15" s="163"/>
      <c r="I15" s="5"/>
    </row>
    <row r="16" spans="1:9" ht="12.95" customHeight="1">
      <c r="A16" s="24"/>
      <c r="B16" s="53" t="s">
        <v>11</v>
      </c>
      <c r="C16" s="11" t="s">
        <v>1</v>
      </c>
      <c r="D16" s="11" t="s">
        <v>1</v>
      </c>
      <c r="E16" s="11" t="s">
        <v>1</v>
      </c>
      <c r="F16" s="46" t="s">
        <v>1</v>
      </c>
      <c r="G16" s="47"/>
      <c r="H16" s="54" t="s">
        <v>1</v>
      </c>
      <c r="I16" s="37" t="s">
        <v>1</v>
      </c>
    </row>
    <row r="17" spans="1:9" ht="12.95" customHeight="1">
      <c r="A17" s="24"/>
      <c r="B17" s="53"/>
      <c r="C17" s="11"/>
      <c r="D17" s="11"/>
      <c r="E17" s="11"/>
      <c r="F17" s="46"/>
      <c r="G17" s="47"/>
      <c r="H17" s="54"/>
      <c r="I17" s="37"/>
    </row>
    <row r="18" spans="1:9" ht="12.95" customHeight="1">
      <c r="A18" s="24"/>
      <c r="B18" s="53" t="s">
        <v>12</v>
      </c>
      <c r="C18" s="11" t="s">
        <v>1</v>
      </c>
      <c r="D18" s="11" t="s">
        <v>1</v>
      </c>
      <c r="E18" s="11" t="s">
        <v>1</v>
      </c>
      <c r="F18" s="46" t="s">
        <v>1</v>
      </c>
      <c r="G18" s="47"/>
      <c r="H18" s="54" t="s">
        <v>1</v>
      </c>
      <c r="I18" s="37" t="s">
        <v>1</v>
      </c>
    </row>
    <row r="19" spans="1:9" ht="12.95" customHeight="1">
      <c r="A19" s="26"/>
      <c r="B19" s="55" t="s">
        <v>40</v>
      </c>
      <c r="C19" s="11" t="s">
        <v>41</v>
      </c>
      <c r="D19" s="11" t="s">
        <v>18</v>
      </c>
      <c r="E19" s="48">
        <v>610000</v>
      </c>
      <c r="F19" s="49">
        <v>606.93979469999999</v>
      </c>
      <c r="G19" s="50">
        <v>606.94000000000005</v>
      </c>
      <c r="H19" s="56">
        <v>0.27605814377306526</v>
      </c>
      <c r="I19" s="2">
        <v>0.27610000000000001</v>
      </c>
    </row>
    <row r="20" spans="1:9" ht="12.95" customHeight="1">
      <c r="A20" s="26"/>
      <c r="B20" s="55" t="s">
        <v>197</v>
      </c>
      <c r="C20" s="11" t="s">
        <v>198</v>
      </c>
      <c r="D20" s="11" t="s">
        <v>15</v>
      </c>
      <c r="E20" s="48">
        <v>600000</v>
      </c>
      <c r="F20" s="49">
        <v>596.97763799999996</v>
      </c>
      <c r="G20" s="50">
        <v>596.98</v>
      </c>
      <c r="H20" s="56">
        <v>0.27152699503213001</v>
      </c>
      <c r="I20" s="2">
        <v>0.27150000000000002</v>
      </c>
    </row>
    <row r="21" spans="1:9" ht="12.95" customHeight="1">
      <c r="A21" s="26"/>
      <c r="B21" s="55" t="s">
        <v>199</v>
      </c>
      <c r="C21" s="11" t="s">
        <v>200</v>
      </c>
      <c r="D21" s="11" t="s">
        <v>18</v>
      </c>
      <c r="E21" s="48">
        <v>500000</v>
      </c>
      <c r="F21" s="49">
        <v>497.77201500000001</v>
      </c>
      <c r="G21" s="50">
        <v>497.77</v>
      </c>
      <c r="H21" s="56">
        <v>0.22640469397957305</v>
      </c>
      <c r="I21" s="2">
        <v>0.22639999999999999</v>
      </c>
    </row>
    <row r="22" spans="1:9" ht="12.95" customHeight="1">
      <c r="A22" s="24"/>
      <c r="B22" s="53" t="s">
        <v>42</v>
      </c>
      <c r="C22" s="11" t="s">
        <v>1</v>
      </c>
      <c r="D22" s="11" t="s">
        <v>1</v>
      </c>
      <c r="E22" s="11" t="s">
        <v>1</v>
      </c>
      <c r="F22" s="12">
        <v>1701.6894477000001</v>
      </c>
      <c r="G22" s="51">
        <v>1701.69</v>
      </c>
      <c r="H22" s="57">
        <v>0.77398983278476829</v>
      </c>
      <c r="I22" s="38">
        <v>0.77400000000000002</v>
      </c>
    </row>
    <row r="23" spans="1:9" ht="12.95" customHeight="1">
      <c r="A23" s="24"/>
      <c r="B23" s="53"/>
      <c r="C23" s="11"/>
      <c r="D23" s="11"/>
      <c r="E23" s="11"/>
      <c r="F23" s="12"/>
      <c r="G23" s="51"/>
      <c r="H23" s="57"/>
      <c r="I23" s="40"/>
    </row>
    <row r="24" spans="1:9" ht="12.95" customHeight="1">
      <c r="A24" s="24"/>
      <c r="B24" s="53" t="s">
        <v>201</v>
      </c>
      <c r="C24" s="11" t="s">
        <v>1</v>
      </c>
      <c r="D24" s="11" t="s">
        <v>1</v>
      </c>
      <c r="E24" s="11" t="s">
        <v>1</v>
      </c>
      <c r="F24" s="46" t="s">
        <v>1</v>
      </c>
      <c r="G24" s="47"/>
      <c r="H24" s="54" t="s">
        <v>1</v>
      </c>
      <c r="I24" s="37" t="s">
        <v>1</v>
      </c>
    </row>
    <row r="25" spans="1:9" ht="12.95" customHeight="1">
      <c r="A25" s="26"/>
      <c r="B25" s="55" t="s">
        <v>202</v>
      </c>
      <c r="C25" s="11" t="s">
        <v>203</v>
      </c>
      <c r="D25" s="11" t="s">
        <v>18</v>
      </c>
      <c r="E25" s="48">
        <v>500000</v>
      </c>
      <c r="F25" s="49">
        <v>497.43993499999999</v>
      </c>
      <c r="G25" s="50">
        <v>497.44</v>
      </c>
      <c r="H25" s="56">
        <v>0.22625365199948758</v>
      </c>
      <c r="I25" s="2">
        <v>0.2263</v>
      </c>
    </row>
    <row r="26" spans="1:9" ht="12.95" customHeight="1">
      <c r="A26" s="24"/>
      <c r="B26" s="53" t="s">
        <v>42</v>
      </c>
      <c r="C26" s="11" t="s">
        <v>1</v>
      </c>
      <c r="D26" s="11" t="s">
        <v>1</v>
      </c>
      <c r="E26" s="11" t="s">
        <v>1</v>
      </c>
      <c r="F26" s="12">
        <v>497.43993499999999</v>
      </c>
      <c r="G26" s="51">
        <v>497.44</v>
      </c>
      <c r="H26" s="57">
        <v>0.22625365199948758</v>
      </c>
      <c r="I26" s="38">
        <v>0.2263</v>
      </c>
    </row>
    <row r="27" spans="1:9" ht="12.95" customHeight="1">
      <c r="A27" s="24"/>
      <c r="B27" s="53" t="s">
        <v>43</v>
      </c>
      <c r="C27" s="11" t="s">
        <v>1</v>
      </c>
      <c r="D27" s="11" t="s">
        <v>1</v>
      </c>
      <c r="E27" s="11" t="s">
        <v>1</v>
      </c>
      <c r="F27" s="12">
        <v>2199.1293827</v>
      </c>
      <c r="G27" s="51">
        <v>2199.13</v>
      </c>
      <c r="H27" s="57">
        <v>1.0002434847842558</v>
      </c>
      <c r="I27" s="38">
        <v>1.0003</v>
      </c>
    </row>
    <row r="28" spans="1:9" ht="12.95" customHeight="1">
      <c r="A28" s="24"/>
      <c r="B28" s="53"/>
      <c r="C28" s="11"/>
      <c r="D28" s="11"/>
      <c r="E28" s="11"/>
      <c r="F28" s="12"/>
      <c r="G28" s="51"/>
      <c r="H28" s="57"/>
      <c r="I28" s="40"/>
    </row>
    <row r="29" spans="1:9" ht="12.95" customHeight="1">
      <c r="A29" s="24"/>
      <c r="B29" s="53" t="s">
        <v>204</v>
      </c>
      <c r="C29" s="11" t="s">
        <v>1</v>
      </c>
      <c r="D29" s="11" t="s">
        <v>1</v>
      </c>
      <c r="E29" s="11" t="s">
        <v>1</v>
      </c>
      <c r="F29" s="46" t="s">
        <v>1</v>
      </c>
      <c r="G29" s="47"/>
      <c r="H29" s="54" t="s">
        <v>1</v>
      </c>
      <c r="I29" s="37" t="s">
        <v>1</v>
      </c>
    </row>
    <row r="30" spans="1:9" ht="12.95" customHeight="1">
      <c r="A30" s="24"/>
      <c r="B30" s="53" t="s">
        <v>205</v>
      </c>
      <c r="C30" s="11" t="s">
        <v>1</v>
      </c>
      <c r="D30" s="11" t="s">
        <v>1</v>
      </c>
      <c r="E30" s="11" t="s">
        <v>1</v>
      </c>
      <c r="F30" s="46" t="s">
        <v>1</v>
      </c>
      <c r="G30" s="47"/>
      <c r="H30" s="54" t="s">
        <v>1</v>
      </c>
      <c r="I30" s="37" t="s">
        <v>1</v>
      </c>
    </row>
    <row r="31" spans="1:9" ht="12.95" customHeight="1">
      <c r="A31" s="26"/>
      <c r="B31" s="55" t="s">
        <v>206</v>
      </c>
      <c r="C31" s="11" t="s">
        <v>207</v>
      </c>
      <c r="D31" s="11" t="s">
        <v>1</v>
      </c>
      <c r="E31" s="48">
        <v>9.0663855000000009</v>
      </c>
      <c r="F31" s="49">
        <v>0.13269529999999999</v>
      </c>
      <c r="G31" s="50">
        <v>0.13</v>
      </c>
      <c r="H31" s="56">
        <v>6.0354615936027739E-5</v>
      </c>
      <c r="I31" s="2">
        <v>1E-4</v>
      </c>
    </row>
    <row r="32" spans="1:9" ht="12.95" customHeight="1">
      <c r="A32" s="24"/>
      <c r="B32" s="53" t="s">
        <v>42</v>
      </c>
      <c r="C32" s="11" t="s">
        <v>1</v>
      </c>
      <c r="D32" s="11" t="s">
        <v>1</v>
      </c>
      <c r="E32" s="11" t="s">
        <v>1</v>
      </c>
      <c r="F32" s="12">
        <v>0.13269529999999999</v>
      </c>
      <c r="G32" s="51">
        <v>0.13</v>
      </c>
      <c r="H32" s="57">
        <v>6.0354615936027739E-5</v>
      </c>
      <c r="I32" s="38">
        <v>1E-4</v>
      </c>
    </row>
    <row r="33" spans="1:9" ht="12.95" customHeight="1">
      <c r="A33" s="24"/>
      <c r="B33" s="53"/>
      <c r="C33" s="11"/>
      <c r="D33" s="11"/>
      <c r="E33" s="11"/>
      <c r="F33" s="12"/>
      <c r="G33" s="51"/>
      <c r="H33" s="57"/>
      <c r="I33" s="38"/>
    </row>
    <row r="34" spans="1:9" ht="12.95" customHeight="1">
      <c r="A34" s="24"/>
      <c r="B34" s="53" t="s">
        <v>47</v>
      </c>
      <c r="C34" s="11" t="s">
        <v>1</v>
      </c>
      <c r="D34" s="11" t="s">
        <v>1</v>
      </c>
      <c r="E34" s="11" t="s">
        <v>1</v>
      </c>
      <c r="F34" s="14">
        <v>-0.66801949999999999</v>
      </c>
      <c r="G34" s="95">
        <v>-0.67</v>
      </c>
      <c r="H34" s="96">
        <v>-3.0383940019189316E-4</v>
      </c>
      <c r="I34" s="38">
        <v>-4.0000000000000002E-4</v>
      </c>
    </row>
    <row r="35" spans="1:9" ht="12.95" customHeight="1">
      <c r="A35" s="24"/>
      <c r="B35" s="53" t="s">
        <v>42</v>
      </c>
      <c r="C35" s="11"/>
      <c r="D35" s="11"/>
      <c r="E35" s="11"/>
      <c r="F35" s="12">
        <v>-0.66801949999999999</v>
      </c>
      <c r="G35" s="51">
        <v>-0.67</v>
      </c>
      <c r="H35" s="57">
        <v>-3.0383940019189316E-4</v>
      </c>
      <c r="I35" s="41"/>
    </row>
    <row r="36" spans="1:9" ht="12.95" customHeight="1">
      <c r="A36" s="24"/>
      <c r="B36" s="53" t="s">
        <v>43</v>
      </c>
      <c r="C36" s="11"/>
      <c r="D36" s="11"/>
      <c r="E36" s="11"/>
      <c r="F36" s="12">
        <f>F32+F35</f>
        <v>-0.53532420000000003</v>
      </c>
      <c r="G36" s="12">
        <f t="shared" ref="G36:H36" si="0">G32+G35</f>
        <v>-0.54</v>
      </c>
      <c r="H36" s="57">
        <f t="shared" si="0"/>
        <v>-2.4348478425586541E-4</v>
      </c>
      <c r="I36" s="41"/>
    </row>
    <row r="37" spans="1:9" ht="12.95" customHeight="1" thickBot="1">
      <c r="A37" s="24"/>
      <c r="B37" s="80"/>
      <c r="C37" s="17"/>
      <c r="D37" s="17"/>
      <c r="E37" s="17"/>
      <c r="F37" s="18"/>
      <c r="G37" s="99"/>
      <c r="H37" s="100"/>
      <c r="I37" s="41"/>
    </row>
    <row r="38" spans="1:9" ht="12.95" customHeight="1" thickBot="1">
      <c r="A38" s="24"/>
      <c r="B38" s="84" t="s">
        <v>48</v>
      </c>
      <c r="C38" s="85" t="s">
        <v>1</v>
      </c>
      <c r="D38" s="85" t="s">
        <v>1</v>
      </c>
      <c r="E38" s="85" t="s">
        <v>1</v>
      </c>
      <c r="F38" s="101">
        <v>2198.5940584999998</v>
      </c>
      <c r="G38" s="102">
        <v>2198.59</v>
      </c>
      <c r="H38" s="103">
        <v>1</v>
      </c>
      <c r="I38" s="42">
        <v>1</v>
      </c>
    </row>
    <row r="39" spans="1:9" s="27" customFormat="1" ht="12.95" customHeight="1">
      <c r="A39" s="24"/>
      <c r="B39" s="25" t="s">
        <v>1</v>
      </c>
      <c r="C39" s="24"/>
      <c r="D39" s="24"/>
      <c r="E39" s="24"/>
      <c r="F39" s="30"/>
      <c r="G39" s="24"/>
      <c r="H39" s="31"/>
      <c r="I39" s="24"/>
    </row>
    <row r="40" spans="1:9" s="27" customFormat="1" ht="12.95" customHeight="1">
      <c r="A40" s="24"/>
      <c r="B40" s="32" t="s">
        <v>46</v>
      </c>
      <c r="C40" s="24"/>
      <c r="D40" s="24"/>
      <c r="E40" s="24"/>
      <c r="F40" s="30"/>
      <c r="G40" s="24"/>
      <c r="H40" s="31"/>
      <c r="I40" s="24"/>
    </row>
    <row r="41" spans="1:9" s="27" customFormat="1" ht="12.95" customHeight="1">
      <c r="A41" s="24"/>
      <c r="B41" s="32" t="s">
        <v>49</v>
      </c>
      <c r="C41" s="24"/>
      <c r="D41" s="24"/>
      <c r="E41" s="24"/>
      <c r="F41" s="30"/>
      <c r="G41" s="24"/>
      <c r="H41" s="31"/>
      <c r="I41" s="24"/>
    </row>
    <row r="42" spans="1:9" s="27" customFormat="1" ht="12.95" customHeight="1">
      <c r="A42" s="24"/>
      <c r="B42" s="32" t="s">
        <v>50</v>
      </c>
      <c r="C42" s="24"/>
      <c r="D42" s="24"/>
      <c r="E42" s="24"/>
      <c r="F42" s="30"/>
      <c r="G42" s="24"/>
      <c r="H42" s="31"/>
      <c r="I42" s="24"/>
    </row>
    <row r="43" spans="1:9" s="27" customFormat="1" ht="12.95" customHeight="1" thickBot="1">
      <c r="A43" s="24"/>
      <c r="B43" s="32" t="s">
        <v>1</v>
      </c>
      <c r="C43" s="24"/>
      <c r="D43" s="24"/>
      <c r="E43" s="24"/>
      <c r="F43" s="30"/>
      <c r="G43" s="24"/>
      <c r="H43" s="31"/>
      <c r="I43" s="24"/>
    </row>
    <row r="44" spans="1:9" s="27" customFormat="1" ht="12.95" customHeight="1" thickBot="1">
      <c r="A44" s="24"/>
      <c r="B44" s="171" t="s">
        <v>392</v>
      </c>
      <c r="C44" s="172">
        <v>22.33</v>
      </c>
      <c r="D44" s="24"/>
      <c r="E44" s="24"/>
      <c r="F44" s="30"/>
      <c r="G44" s="24"/>
      <c r="H44" s="31"/>
      <c r="I44" s="24"/>
    </row>
    <row r="45" spans="1:9" s="27" customFormat="1">
      <c r="F45" s="33"/>
      <c r="H45" s="34"/>
    </row>
    <row r="46" spans="1:9" s="27" customFormat="1">
      <c r="F46" s="33"/>
      <c r="H46" s="34"/>
    </row>
    <row r="47" spans="1:9" s="27" customFormat="1">
      <c r="F47" s="33"/>
      <c r="H47" s="34"/>
    </row>
    <row r="48" spans="1:9" s="27" customFormat="1">
      <c r="F48" s="33"/>
      <c r="H48" s="34"/>
    </row>
    <row r="49" spans="6:8" s="27" customFormat="1">
      <c r="F49" s="33"/>
      <c r="H49" s="34"/>
    </row>
    <row r="50" spans="6:8" s="27" customFormat="1">
      <c r="F50" s="33"/>
      <c r="H50" s="34"/>
    </row>
    <row r="51" spans="6:8" s="27" customFormat="1">
      <c r="F51" s="33"/>
      <c r="H51" s="34"/>
    </row>
    <row r="52" spans="6:8" s="27" customFormat="1">
      <c r="F52" s="33"/>
      <c r="H52" s="34"/>
    </row>
    <row r="53" spans="6:8" s="27" customFormat="1">
      <c r="F53" s="33"/>
      <c r="H53" s="34"/>
    </row>
    <row r="54" spans="6:8" s="27" customFormat="1">
      <c r="F54" s="33"/>
      <c r="H54" s="34"/>
    </row>
    <row r="55" spans="6:8" s="27" customFormat="1">
      <c r="F55" s="33"/>
      <c r="H55" s="34"/>
    </row>
    <row r="56" spans="6:8" s="27" customFormat="1">
      <c r="F56" s="33"/>
      <c r="H56" s="34"/>
    </row>
    <row r="57" spans="6:8" s="27" customFormat="1">
      <c r="F57" s="33"/>
      <c r="H57" s="34"/>
    </row>
    <row r="58" spans="6:8" s="27" customFormat="1">
      <c r="F58" s="33"/>
      <c r="H58" s="34"/>
    </row>
    <row r="59" spans="6:8" s="27" customFormat="1">
      <c r="F59" s="33"/>
      <c r="H59" s="34"/>
    </row>
    <row r="60" spans="6:8" s="27" customFormat="1">
      <c r="F60" s="33"/>
      <c r="H60" s="34"/>
    </row>
    <row r="61" spans="6:8" s="27" customFormat="1">
      <c r="F61" s="33"/>
      <c r="H61" s="34"/>
    </row>
    <row r="62" spans="6:8" s="27" customFormat="1">
      <c r="F62" s="33"/>
      <c r="H62" s="34"/>
    </row>
    <row r="63" spans="6:8" s="27" customFormat="1">
      <c r="F63" s="33"/>
      <c r="H63" s="34"/>
    </row>
    <row r="64" spans="6:8" s="27" customFormat="1">
      <c r="F64" s="33"/>
      <c r="H64" s="34"/>
    </row>
    <row r="65" spans="6:8" s="27" customFormat="1">
      <c r="F65" s="33"/>
      <c r="H65" s="34"/>
    </row>
    <row r="66" spans="6:8" s="27" customFormat="1">
      <c r="F66" s="33"/>
      <c r="H66" s="34"/>
    </row>
    <row r="67" spans="6:8" s="27" customFormat="1">
      <c r="F67" s="33"/>
      <c r="H67" s="34"/>
    </row>
    <row r="68" spans="6:8" s="27" customFormat="1">
      <c r="F68" s="33"/>
      <c r="H68" s="34"/>
    </row>
    <row r="69" spans="6:8" s="27" customFormat="1">
      <c r="F69" s="33"/>
      <c r="H69" s="34"/>
    </row>
    <row r="70" spans="6:8" s="27" customFormat="1">
      <c r="F70" s="33"/>
      <c r="H70" s="34"/>
    </row>
    <row r="71" spans="6:8" s="27" customFormat="1">
      <c r="F71" s="33"/>
      <c r="H71" s="34"/>
    </row>
    <row r="72" spans="6:8" s="27" customFormat="1">
      <c r="F72" s="33"/>
      <c r="H72" s="34"/>
    </row>
    <row r="73" spans="6:8" s="27" customFormat="1">
      <c r="F73" s="33"/>
      <c r="H73" s="34"/>
    </row>
    <row r="74" spans="6:8" s="27" customFormat="1">
      <c r="F74" s="33"/>
      <c r="H74" s="34"/>
    </row>
    <row r="75" spans="6:8" s="27" customFormat="1">
      <c r="F75" s="33"/>
      <c r="H75" s="34"/>
    </row>
    <row r="76" spans="6:8" s="27" customFormat="1">
      <c r="F76" s="33"/>
      <c r="H76" s="34"/>
    </row>
    <row r="77" spans="6:8" s="27" customFormat="1">
      <c r="F77" s="33"/>
      <c r="H77" s="34"/>
    </row>
    <row r="78" spans="6:8" s="27" customFormat="1">
      <c r="F78" s="33"/>
      <c r="H78" s="34"/>
    </row>
    <row r="79" spans="6:8" s="27" customFormat="1">
      <c r="F79" s="33"/>
      <c r="H79" s="34"/>
    </row>
    <row r="80" spans="6:8" s="27" customFormat="1">
      <c r="F80" s="33"/>
      <c r="H80" s="34"/>
    </row>
    <row r="81" spans="6:8" s="27" customFormat="1">
      <c r="F81" s="33"/>
      <c r="H81" s="34"/>
    </row>
    <row r="82" spans="6:8" s="27" customFormat="1">
      <c r="F82" s="33"/>
      <c r="H82" s="34"/>
    </row>
    <row r="83" spans="6:8" s="27" customFormat="1">
      <c r="F83" s="33"/>
      <c r="H83" s="34"/>
    </row>
    <row r="84" spans="6:8" s="27" customFormat="1">
      <c r="F84" s="33"/>
      <c r="H84" s="34"/>
    </row>
    <row r="85" spans="6:8" s="27" customFormat="1">
      <c r="F85" s="33"/>
      <c r="H85" s="34"/>
    </row>
    <row r="86" spans="6:8" s="27" customFormat="1">
      <c r="F86" s="33"/>
      <c r="H86" s="34"/>
    </row>
    <row r="87" spans="6:8" s="27" customFormat="1">
      <c r="F87" s="33"/>
      <c r="H87" s="34"/>
    </row>
    <row r="88" spans="6:8" s="27" customFormat="1">
      <c r="F88" s="33"/>
      <c r="H88" s="34"/>
    </row>
    <row r="89" spans="6:8" s="27" customFormat="1">
      <c r="F89" s="33"/>
      <c r="H89" s="34"/>
    </row>
    <row r="90" spans="6:8" s="27" customFormat="1">
      <c r="F90" s="33"/>
      <c r="H90" s="34"/>
    </row>
    <row r="91" spans="6:8" s="27" customFormat="1">
      <c r="F91" s="33"/>
      <c r="H91" s="34"/>
    </row>
    <row r="92" spans="6:8" s="27" customFormat="1">
      <c r="F92" s="33"/>
      <c r="H92" s="34"/>
    </row>
    <row r="93" spans="6:8" s="27" customFormat="1">
      <c r="F93" s="33"/>
      <c r="H93" s="34"/>
    </row>
    <row r="94" spans="6:8" s="27" customFormat="1">
      <c r="F94" s="33"/>
      <c r="H94" s="34"/>
    </row>
    <row r="95" spans="6:8" s="27" customFormat="1">
      <c r="F95" s="33"/>
      <c r="H95" s="34"/>
    </row>
    <row r="96" spans="6:8" s="27" customFormat="1">
      <c r="F96" s="33"/>
      <c r="H96" s="34"/>
    </row>
    <row r="97" spans="6:8" s="27" customFormat="1">
      <c r="F97" s="33"/>
      <c r="H97" s="34"/>
    </row>
    <row r="98" spans="6:8" s="27" customFormat="1">
      <c r="F98" s="33"/>
      <c r="H98" s="34"/>
    </row>
    <row r="99" spans="6:8" s="27" customFormat="1">
      <c r="F99" s="33"/>
      <c r="H99" s="34"/>
    </row>
    <row r="100" spans="6:8" s="27" customFormat="1">
      <c r="F100" s="33"/>
      <c r="H100" s="34"/>
    </row>
    <row r="101" spans="6:8" s="27" customFormat="1">
      <c r="F101" s="33"/>
      <c r="H101" s="34"/>
    </row>
    <row r="102" spans="6:8" s="27" customFormat="1">
      <c r="F102" s="33"/>
      <c r="H102" s="34"/>
    </row>
    <row r="103" spans="6:8" s="27" customFormat="1">
      <c r="F103" s="33"/>
      <c r="H103" s="34"/>
    </row>
    <row r="104" spans="6:8" s="27" customFormat="1">
      <c r="F104" s="33"/>
      <c r="H104" s="34"/>
    </row>
    <row r="105" spans="6:8" s="27" customFormat="1">
      <c r="F105" s="33"/>
      <c r="H105" s="34"/>
    </row>
    <row r="106" spans="6:8" s="27" customFormat="1">
      <c r="F106" s="33"/>
      <c r="H106" s="34"/>
    </row>
    <row r="107" spans="6:8" s="27" customFormat="1">
      <c r="F107" s="33"/>
      <c r="H107" s="34"/>
    </row>
    <row r="108" spans="6:8" s="27" customFormat="1">
      <c r="F108" s="33"/>
      <c r="H108" s="34"/>
    </row>
    <row r="109" spans="6:8" s="27" customFormat="1">
      <c r="F109" s="33"/>
      <c r="H109" s="34"/>
    </row>
    <row r="110" spans="6:8" s="27" customFormat="1">
      <c r="F110" s="33"/>
      <c r="H110" s="34"/>
    </row>
    <row r="111" spans="6:8" s="27" customFormat="1">
      <c r="F111" s="33"/>
      <c r="H111" s="34"/>
    </row>
    <row r="112" spans="6:8" s="27" customFormat="1">
      <c r="F112" s="33"/>
      <c r="H112" s="34"/>
    </row>
    <row r="113" spans="6:8" s="27" customFormat="1">
      <c r="F113" s="33"/>
      <c r="H113" s="34"/>
    </row>
    <row r="114" spans="6:8" s="27" customFormat="1">
      <c r="F114" s="33"/>
      <c r="H114" s="34"/>
    </row>
    <row r="115" spans="6:8" s="27" customFormat="1">
      <c r="F115" s="33"/>
      <c r="H115" s="34"/>
    </row>
    <row r="116" spans="6:8" s="27" customFormat="1">
      <c r="F116" s="33"/>
      <c r="H116" s="34"/>
    </row>
    <row r="117" spans="6:8" s="27" customFormat="1">
      <c r="F117" s="33"/>
      <c r="H117" s="34"/>
    </row>
    <row r="118" spans="6:8" s="27" customFormat="1">
      <c r="F118" s="33"/>
      <c r="H118" s="34"/>
    </row>
    <row r="119" spans="6:8" s="27" customFormat="1">
      <c r="F119" s="33"/>
      <c r="H119" s="34"/>
    </row>
    <row r="120" spans="6:8" s="27" customFormat="1">
      <c r="F120" s="33"/>
      <c r="H120" s="34"/>
    </row>
    <row r="121" spans="6:8" s="27" customFormat="1">
      <c r="F121" s="33"/>
      <c r="H121" s="34"/>
    </row>
    <row r="122" spans="6:8" s="27" customFormat="1">
      <c r="F122" s="33"/>
      <c r="H122" s="34"/>
    </row>
    <row r="123" spans="6:8" s="27" customFormat="1">
      <c r="F123" s="33"/>
      <c r="H123" s="34"/>
    </row>
    <row r="124" spans="6:8" s="27" customFormat="1">
      <c r="F124" s="33"/>
      <c r="H124" s="34"/>
    </row>
    <row r="125" spans="6:8" s="27" customFormat="1">
      <c r="F125" s="33"/>
      <c r="H125" s="34"/>
    </row>
    <row r="126" spans="6:8" s="27" customFormat="1">
      <c r="F126" s="33"/>
      <c r="H126" s="34"/>
    </row>
    <row r="127" spans="6:8" s="27" customFormat="1">
      <c r="F127" s="33"/>
      <c r="H127" s="34"/>
    </row>
    <row r="128" spans="6:8" s="27" customFormat="1">
      <c r="F128" s="33"/>
      <c r="H128" s="34"/>
    </row>
    <row r="129" spans="6:8" s="27" customFormat="1">
      <c r="F129" s="33"/>
      <c r="H129" s="34"/>
    </row>
    <row r="130" spans="6:8" s="27" customFormat="1">
      <c r="F130" s="33"/>
      <c r="H130" s="34"/>
    </row>
    <row r="131" spans="6:8" s="27" customFormat="1">
      <c r="F131" s="33"/>
      <c r="H131" s="34"/>
    </row>
    <row r="132" spans="6:8" s="27" customFormat="1">
      <c r="F132" s="33"/>
      <c r="H132" s="34"/>
    </row>
    <row r="133" spans="6:8" s="27" customFormat="1">
      <c r="F133" s="33"/>
      <c r="H133" s="34"/>
    </row>
    <row r="134" spans="6:8" s="27" customFormat="1">
      <c r="F134" s="33"/>
      <c r="H134" s="34"/>
    </row>
    <row r="135" spans="6:8" s="27" customFormat="1">
      <c r="F135" s="33"/>
      <c r="H135" s="34"/>
    </row>
    <row r="136" spans="6:8" s="27" customFormat="1">
      <c r="F136" s="33"/>
      <c r="H136" s="34"/>
    </row>
    <row r="137" spans="6:8" s="27" customFormat="1">
      <c r="F137" s="33"/>
      <c r="H137" s="34"/>
    </row>
    <row r="138" spans="6:8" s="27" customFormat="1">
      <c r="F138" s="33"/>
      <c r="H138" s="34"/>
    </row>
    <row r="139" spans="6:8" s="27" customFormat="1">
      <c r="F139" s="33"/>
      <c r="H139" s="34"/>
    </row>
    <row r="140" spans="6:8" s="27" customFormat="1">
      <c r="F140" s="33"/>
      <c r="H140" s="34"/>
    </row>
    <row r="141" spans="6:8" s="27" customFormat="1">
      <c r="F141" s="33"/>
      <c r="H141" s="34"/>
    </row>
    <row r="142" spans="6:8" s="27" customFormat="1">
      <c r="F142" s="33"/>
      <c r="H142" s="34"/>
    </row>
    <row r="143" spans="6:8" s="27" customFormat="1">
      <c r="F143" s="33"/>
      <c r="H143" s="34"/>
    </row>
    <row r="144" spans="6:8" s="27" customFormat="1">
      <c r="F144" s="33"/>
      <c r="H144" s="34"/>
    </row>
    <row r="145" spans="6:8" s="27" customFormat="1">
      <c r="F145" s="33"/>
      <c r="H145" s="34"/>
    </row>
    <row r="146" spans="6:8" s="27" customFormat="1">
      <c r="F146" s="33"/>
      <c r="H146" s="34"/>
    </row>
    <row r="147" spans="6:8" s="27" customFormat="1">
      <c r="F147" s="33"/>
      <c r="H147" s="34"/>
    </row>
    <row r="148" spans="6:8" s="27" customFormat="1">
      <c r="F148" s="33"/>
      <c r="H148" s="34"/>
    </row>
    <row r="149" spans="6:8" s="27" customFormat="1">
      <c r="F149" s="33"/>
      <c r="H149" s="34"/>
    </row>
    <row r="150" spans="6:8" s="27" customFormat="1">
      <c r="F150" s="33"/>
      <c r="H150" s="34"/>
    </row>
    <row r="151" spans="6:8" s="27" customFormat="1">
      <c r="F151" s="33"/>
      <c r="H151" s="34"/>
    </row>
    <row r="152" spans="6:8" s="27" customFormat="1">
      <c r="F152" s="33"/>
      <c r="H152" s="34"/>
    </row>
    <row r="153" spans="6:8" s="27" customFormat="1">
      <c r="F153" s="33"/>
      <c r="H153" s="34"/>
    </row>
    <row r="154" spans="6:8" s="27" customFormat="1">
      <c r="F154" s="33"/>
      <c r="H154" s="34"/>
    </row>
    <row r="155" spans="6:8" s="27" customFormat="1">
      <c r="F155" s="33"/>
      <c r="H155" s="34"/>
    </row>
    <row r="156" spans="6:8" s="27" customFormat="1">
      <c r="F156" s="33"/>
      <c r="H156" s="34"/>
    </row>
    <row r="157" spans="6:8" s="27" customFormat="1">
      <c r="F157" s="33"/>
      <c r="H157" s="34"/>
    </row>
    <row r="158" spans="6:8" s="27" customFormat="1">
      <c r="F158" s="33"/>
      <c r="H158" s="34"/>
    </row>
    <row r="159" spans="6:8" s="27" customFormat="1">
      <c r="F159" s="33"/>
      <c r="H159" s="34"/>
    </row>
    <row r="160" spans="6:8" s="27" customFormat="1">
      <c r="F160" s="33"/>
      <c r="H160" s="34"/>
    </row>
    <row r="161" spans="6:8" s="27" customFormat="1">
      <c r="F161" s="33"/>
      <c r="H161" s="34"/>
    </row>
    <row r="162" spans="6:8" s="27" customFormat="1">
      <c r="F162" s="33"/>
      <c r="H162" s="34"/>
    </row>
    <row r="163" spans="6:8" s="27" customFormat="1">
      <c r="F163" s="33"/>
      <c r="H163" s="34"/>
    </row>
    <row r="164" spans="6:8" s="27" customFormat="1">
      <c r="F164" s="33"/>
      <c r="H164" s="34"/>
    </row>
    <row r="165" spans="6:8" s="27" customFormat="1">
      <c r="F165" s="33"/>
      <c r="H165" s="34"/>
    </row>
    <row r="166" spans="6:8" s="27" customFormat="1">
      <c r="F166" s="33"/>
      <c r="H166" s="34"/>
    </row>
    <row r="167" spans="6:8" s="27" customFormat="1">
      <c r="F167" s="33"/>
      <c r="H167" s="34"/>
    </row>
    <row r="168" spans="6:8" s="27" customFormat="1">
      <c r="F168" s="33"/>
      <c r="H168" s="34"/>
    </row>
    <row r="169" spans="6:8" s="27" customFormat="1">
      <c r="F169" s="33"/>
      <c r="H169" s="34"/>
    </row>
    <row r="170" spans="6:8" s="27" customFormat="1">
      <c r="F170" s="33"/>
      <c r="H170" s="34"/>
    </row>
    <row r="171" spans="6:8" s="27" customFormat="1">
      <c r="F171" s="33"/>
      <c r="H171" s="34"/>
    </row>
    <row r="172" spans="6:8" s="27" customFormat="1">
      <c r="F172" s="33"/>
      <c r="H172" s="34"/>
    </row>
    <row r="173" spans="6:8" s="27" customFormat="1">
      <c r="F173" s="33"/>
      <c r="H173" s="34"/>
    </row>
    <row r="174" spans="6:8" s="27" customFormat="1">
      <c r="F174" s="33"/>
      <c r="H174" s="34"/>
    </row>
    <row r="175" spans="6:8" s="27" customFormat="1">
      <c r="F175" s="33"/>
      <c r="H175" s="34"/>
    </row>
    <row r="176" spans="6:8" s="27" customFormat="1">
      <c r="F176" s="33"/>
      <c r="H176" s="34"/>
    </row>
    <row r="177" spans="6:8" s="27" customFormat="1">
      <c r="F177" s="33"/>
      <c r="H177" s="34"/>
    </row>
    <row r="178" spans="6:8" s="27" customFormat="1">
      <c r="F178" s="33"/>
      <c r="H178" s="34"/>
    </row>
    <row r="179" spans="6:8" s="27" customFormat="1">
      <c r="F179" s="33"/>
      <c r="H179" s="34"/>
    </row>
    <row r="180" spans="6:8" s="27" customFormat="1">
      <c r="F180" s="33"/>
      <c r="H180" s="34"/>
    </row>
    <row r="181" spans="6:8" s="27" customFormat="1">
      <c r="F181" s="33"/>
      <c r="H181" s="34"/>
    </row>
    <row r="182" spans="6:8" s="27" customFormat="1">
      <c r="F182" s="33"/>
      <c r="H182" s="34"/>
    </row>
    <row r="183" spans="6:8" s="27" customFormat="1">
      <c r="F183" s="33"/>
      <c r="H183" s="34"/>
    </row>
    <row r="184" spans="6:8" s="27" customFormat="1">
      <c r="F184" s="33"/>
      <c r="H184" s="34"/>
    </row>
    <row r="185" spans="6:8" s="27" customFormat="1">
      <c r="F185" s="33"/>
      <c r="H185" s="34"/>
    </row>
    <row r="186" spans="6:8" s="27" customFormat="1">
      <c r="F186" s="33"/>
      <c r="H186" s="34"/>
    </row>
    <row r="187" spans="6:8" s="27" customFormat="1">
      <c r="F187" s="33"/>
      <c r="H187" s="34"/>
    </row>
    <row r="188" spans="6:8" s="27" customFormat="1">
      <c r="F188" s="33"/>
      <c r="H188" s="34"/>
    </row>
    <row r="189" spans="6:8" s="27" customFormat="1">
      <c r="F189" s="33"/>
      <c r="H189" s="34"/>
    </row>
    <row r="190" spans="6:8" s="27" customFormat="1">
      <c r="F190" s="33"/>
      <c r="H190" s="34"/>
    </row>
    <row r="191" spans="6:8" s="27" customFormat="1">
      <c r="F191" s="33"/>
      <c r="H191" s="34"/>
    </row>
    <row r="192" spans="6:8" s="27" customFormat="1">
      <c r="F192" s="33"/>
      <c r="H192" s="34"/>
    </row>
    <row r="193" spans="6:8" s="27" customFormat="1">
      <c r="F193" s="33"/>
      <c r="H193" s="34"/>
    </row>
    <row r="194" spans="6:8" s="27" customFormat="1">
      <c r="F194" s="33"/>
      <c r="H194" s="34"/>
    </row>
    <row r="195" spans="6:8" s="27" customFormat="1">
      <c r="F195" s="33"/>
      <c r="H195" s="34"/>
    </row>
    <row r="196" spans="6:8" s="27" customFormat="1">
      <c r="F196" s="33"/>
      <c r="H196" s="34"/>
    </row>
    <row r="197" spans="6:8" s="27" customFormat="1">
      <c r="F197" s="33"/>
      <c r="H197" s="34"/>
    </row>
    <row r="198" spans="6:8" s="27" customFormat="1">
      <c r="F198" s="33"/>
      <c r="H198" s="34"/>
    </row>
    <row r="199" spans="6:8" s="27" customFormat="1">
      <c r="F199" s="33"/>
      <c r="H199" s="34"/>
    </row>
    <row r="200" spans="6:8" s="27" customFormat="1">
      <c r="F200" s="33"/>
      <c r="H200" s="34"/>
    </row>
    <row r="201" spans="6:8" s="27" customFormat="1">
      <c r="F201" s="33"/>
      <c r="H201" s="34"/>
    </row>
    <row r="202" spans="6:8" s="27" customFormat="1">
      <c r="F202" s="33"/>
      <c r="H202" s="34"/>
    </row>
    <row r="203" spans="6:8" s="27" customFormat="1">
      <c r="F203" s="33"/>
      <c r="H203" s="34"/>
    </row>
    <row r="204" spans="6:8" s="27" customFormat="1">
      <c r="F204" s="33"/>
      <c r="H204" s="34"/>
    </row>
    <row r="205" spans="6:8" s="27" customFormat="1">
      <c r="F205" s="33"/>
      <c r="H205" s="34"/>
    </row>
    <row r="206" spans="6:8" s="27" customFormat="1">
      <c r="F206" s="33"/>
      <c r="H206" s="34"/>
    </row>
    <row r="207" spans="6:8" s="27" customFormat="1">
      <c r="F207" s="33"/>
      <c r="H207" s="34"/>
    </row>
    <row r="208" spans="6:8" s="27" customFormat="1">
      <c r="F208" s="33"/>
      <c r="H208" s="34"/>
    </row>
    <row r="209" spans="6:8" s="27" customFormat="1">
      <c r="F209" s="33"/>
      <c r="H209" s="34"/>
    </row>
    <row r="210" spans="6:8" s="27" customFormat="1">
      <c r="F210" s="33"/>
      <c r="H210" s="34"/>
    </row>
    <row r="211" spans="6:8" s="27" customFormat="1">
      <c r="F211" s="33"/>
      <c r="H211" s="34"/>
    </row>
    <row r="212" spans="6:8" s="27" customFormat="1">
      <c r="F212" s="33"/>
      <c r="H212" s="34"/>
    </row>
    <row r="213" spans="6:8" s="27" customFormat="1">
      <c r="F213" s="33"/>
      <c r="H213" s="34"/>
    </row>
    <row r="214" spans="6:8" s="27" customFormat="1">
      <c r="F214" s="33"/>
      <c r="H214" s="34"/>
    </row>
    <row r="215" spans="6:8" s="27" customFormat="1">
      <c r="F215" s="33"/>
      <c r="H215" s="34"/>
    </row>
    <row r="216" spans="6:8" s="27" customFormat="1">
      <c r="F216" s="33"/>
      <c r="H216" s="34"/>
    </row>
    <row r="217" spans="6:8" s="27" customFormat="1">
      <c r="F217" s="33"/>
      <c r="H217" s="34"/>
    </row>
    <row r="218" spans="6:8" s="27" customFormat="1">
      <c r="F218" s="33"/>
      <c r="H218" s="34"/>
    </row>
    <row r="219" spans="6:8" s="27" customFormat="1">
      <c r="F219" s="33"/>
      <c r="H219" s="34"/>
    </row>
    <row r="220" spans="6:8" s="27" customFormat="1">
      <c r="F220" s="33"/>
      <c r="H220" s="34"/>
    </row>
    <row r="221" spans="6:8" s="27" customFormat="1">
      <c r="F221" s="33"/>
      <c r="H221" s="34"/>
    </row>
    <row r="222" spans="6:8" s="27" customFormat="1">
      <c r="F222" s="33"/>
      <c r="H222" s="34"/>
    </row>
    <row r="223" spans="6:8" s="27" customFormat="1">
      <c r="F223" s="33"/>
      <c r="H223" s="34"/>
    </row>
    <row r="224" spans="6:8" s="27" customFormat="1">
      <c r="F224" s="33"/>
      <c r="H224" s="34"/>
    </row>
    <row r="225" spans="6:8" s="27" customFormat="1">
      <c r="F225" s="33"/>
      <c r="H225" s="34"/>
    </row>
    <row r="226" spans="6:8" s="27" customFormat="1">
      <c r="F226" s="33"/>
      <c r="H226" s="34"/>
    </row>
    <row r="227" spans="6:8" s="27" customFormat="1">
      <c r="F227" s="33"/>
      <c r="H227" s="34"/>
    </row>
    <row r="228" spans="6:8" s="27" customFormat="1">
      <c r="F228" s="33"/>
      <c r="H228" s="34"/>
    </row>
    <row r="229" spans="6:8" s="27" customFormat="1">
      <c r="F229" s="33"/>
      <c r="H229" s="34"/>
    </row>
    <row r="230" spans="6:8" s="27" customFormat="1">
      <c r="F230" s="33"/>
      <c r="H230" s="34"/>
    </row>
    <row r="231" spans="6:8" s="27" customFormat="1">
      <c r="F231" s="33"/>
      <c r="H231" s="34"/>
    </row>
    <row r="232" spans="6:8" s="27" customFormat="1">
      <c r="F232" s="33"/>
      <c r="H232" s="34"/>
    </row>
    <row r="233" spans="6:8" s="27" customFormat="1">
      <c r="F233" s="33"/>
      <c r="H233" s="34"/>
    </row>
    <row r="234" spans="6:8" s="27" customFormat="1">
      <c r="F234" s="33"/>
      <c r="H234" s="34"/>
    </row>
    <row r="235" spans="6:8" s="27" customFormat="1">
      <c r="F235" s="33"/>
      <c r="H235" s="34"/>
    </row>
    <row r="236" spans="6:8" s="27" customFormat="1">
      <c r="F236" s="33"/>
      <c r="H236" s="34"/>
    </row>
    <row r="237" spans="6:8" s="27" customFormat="1">
      <c r="F237" s="33"/>
      <c r="H237" s="34"/>
    </row>
    <row r="238" spans="6:8" s="27" customFormat="1">
      <c r="F238" s="33"/>
      <c r="H238" s="34"/>
    </row>
    <row r="239" spans="6:8" s="27" customFormat="1">
      <c r="F239" s="33"/>
      <c r="H239" s="34"/>
    </row>
    <row r="240" spans="6:8" s="27" customFormat="1">
      <c r="F240" s="33"/>
      <c r="H240" s="34"/>
    </row>
    <row r="241" spans="6:8" s="27" customFormat="1">
      <c r="F241" s="33"/>
      <c r="H241" s="34"/>
    </row>
    <row r="242" spans="6:8" s="27" customFormat="1">
      <c r="F242" s="33"/>
      <c r="H242" s="34"/>
    </row>
    <row r="243" spans="6:8" s="27" customFormat="1">
      <c r="F243" s="33"/>
      <c r="H243" s="34"/>
    </row>
    <row r="244" spans="6:8" s="27" customFormat="1">
      <c r="F244" s="33"/>
      <c r="H244" s="34"/>
    </row>
    <row r="245" spans="6:8" s="27" customFormat="1">
      <c r="F245" s="33"/>
      <c r="H245" s="34"/>
    </row>
    <row r="246" spans="6:8" s="27" customFormat="1">
      <c r="F246" s="33"/>
      <c r="H246" s="34"/>
    </row>
    <row r="247" spans="6:8" s="27" customFormat="1">
      <c r="F247" s="33"/>
      <c r="H247" s="34"/>
    </row>
    <row r="248" spans="6:8" s="27" customFormat="1">
      <c r="F248" s="33"/>
      <c r="H248" s="34"/>
    </row>
    <row r="249" spans="6:8" s="27" customFormat="1">
      <c r="F249" s="33"/>
      <c r="H249" s="34"/>
    </row>
    <row r="250" spans="6:8" s="27" customFormat="1">
      <c r="F250" s="33"/>
      <c r="H250" s="34"/>
    </row>
    <row r="251" spans="6:8" s="27" customFormat="1">
      <c r="F251" s="33"/>
      <c r="H251" s="34"/>
    </row>
    <row r="252" spans="6:8" s="27" customFormat="1">
      <c r="F252" s="33"/>
      <c r="H252" s="34"/>
    </row>
    <row r="253" spans="6:8" s="27" customFormat="1">
      <c r="F253" s="33"/>
      <c r="H253" s="34"/>
    </row>
    <row r="254" spans="6:8" s="27" customFormat="1">
      <c r="F254" s="33"/>
      <c r="H254" s="34"/>
    </row>
    <row r="255" spans="6:8" s="27" customFormat="1">
      <c r="F255" s="33"/>
      <c r="H255" s="34"/>
    </row>
    <row r="256" spans="6:8" s="27" customFormat="1">
      <c r="F256" s="33"/>
      <c r="H256" s="34"/>
    </row>
    <row r="257" spans="6:8" s="27" customFormat="1">
      <c r="F257" s="33"/>
      <c r="H257" s="34"/>
    </row>
    <row r="258" spans="6:8" s="27" customFormat="1">
      <c r="F258" s="33"/>
      <c r="H258" s="34"/>
    </row>
    <row r="259" spans="6:8" s="27" customFormat="1">
      <c r="F259" s="33"/>
      <c r="H259" s="34"/>
    </row>
    <row r="260" spans="6:8" s="27" customFormat="1">
      <c r="F260" s="33"/>
      <c r="H260" s="34"/>
    </row>
    <row r="261" spans="6:8" s="27" customFormat="1">
      <c r="F261" s="33"/>
      <c r="H261" s="34"/>
    </row>
    <row r="262" spans="6:8" s="27" customFormat="1">
      <c r="F262" s="33"/>
      <c r="H262" s="34"/>
    </row>
    <row r="263" spans="6:8" s="27" customFormat="1">
      <c r="F263" s="33"/>
      <c r="H263" s="34"/>
    </row>
    <row r="264" spans="6:8" s="27" customFormat="1">
      <c r="F264" s="33"/>
      <c r="H264" s="34"/>
    </row>
    <row r="265" spans="6:8" s="27" customFormat="1">
      <c r="F265" s="33"/>
      <c r="H265" s="34"/>
    </row>
    <row r="266" spans="6:8" s="27" customFormat="1">
      <c r="F266" s="33"/>
      <c r="H266" s="34"/>
    </row>
    <row r="267" spans="6:8" s="27" customFormat="1">
      <c r="F267" s="33"/>
      <c r="H267" s="34"/>
    </row>
    <row r="268" spans="6:8" s="27" customFormat="1">
      <c r="F268" s="33"/>
      <c r="H268" s="34"/>
    </row>
    <row r="269" spans="6:8" s="27" customFormat="1">
      <c r="F269" s="33"/>
      <c r="H269" s="34"/>
    </row>
    <row r="270" spans="6:8" s="27" customFormat="1">
      <c r="F270" s="33"/>
      <c r="H270" s="34"/>
    </row>
    <row r="271" spans="6:8" s="27" customFormat="1">
      <c r="F271" s="33"/>
      <c r="H271" s="34"/>
    </row>
    <row r="272" spans="6:8" s="27" customFormat="1">
      <c r="F272" s="33"/>
      <c r="H272" s="34"/>
    </row>
    <row r="273" spans="6:8" s="27" customFormat="1">
      <c r="F273" s="33"/>
      <c r="H273" s="34"/>
    </row>
    <row r="274" spans="6:8" s="27" customFormat="1">
      <c r="F274" s="33"/>
      <c r="H274" s="34"/>
    </row>
    <row r="275" spans="6:8" s="27" customFormat="1">
      <c r="F275" s="33"/>
      <c r="H275" s="34"/>
    </row>
    <row r="276" spans="6:8" s="27" customFormat="1">
      <c r="F276" s="33"/>
      <c r="H276" s="34"/>
    </row>
    <row r="277" spans="6:8" s="27" customFormat="1">
      <c r="F277" s="33"/>
      <c r="H277" s="34"/>
    </row>
    <row r="278" spans="6:8" s="27" customFormat="1">
      <c r="F278" s="33"/>
      <c r="H278" s="34"/>
    </row>
    <row r="279" spans="6:8" s="27" customFormat="1">
      <c r="F279" s="33"/>
      <c r="H279" s="34"/>
    </row>
    <row r="280" spans="6:8" s="27" customFormat="1">
      <c r="F280" s="33"/>
      <c r="H280" s="34"/>
    </row>
    <row r="281" spans="6:8" s="27" customFormat="1">
      <c r="F281" s="33"/>
      <c r="H281" s="34"/>
    </row>
    <row r="282" spans="6:8" s="27" customFormat="1">
      <c r="F282" s="33"/>
      <c r="H282" s="34"/>
    </row>
    <row r="283" spans="6:8" s="27" customFormat="1">
      <c r="F283" s="33"/>
      <c r="H283" s="34"/>
    </row>
    <row r="284" spans="6:8" s="27" customFormat="1">
      <c r="F284" s="33"/>
      <c r="H284" s="34"/>
    </row>
    <row r="285" spans="6:8" s="27" customFormat="1">
      <c r="F285" s="33"/>
      <c r="H285" s="34"/>
    </row>
    <row r="286" spans="6:8" s="27" customFormat="1">
      <c r="F286" s="33"/>
      <c r="H286" s="34"/>
    </row>
    <row r="287" spans="6:8" s="27" customFormat="1">
      <c r="F287" s="33"/>
      <c r="H287" s="34"/>
    </row>
    <row r="288" spans="6:8" s="27" customFormat="1">
      <c r="F288" s="33"/>
      <c r="H288" s="34"/>
    </row>
    <row r="289" spans="6:8" s="27" customFormat="1">
      <c r="F289" s="33"/>
      <c r="H289" s="34"/>
    </row>
    <row r="290" spans="6:8" s="27" customFormat="1">
      <c r="F290" s="33"/>
      <c r="H290" s="34"/>
    </row>
    <row r="291" spans="6:8" s="27" customFormat="1">
      <c r="F291" s="33"/>
      <c r="H291" s="34"/>
    </row>
    <row r="292" spans="6:8" s="27" customFormat="1">
      <c r="F292" s="33"/>
      <c r="H292" s="34"/>
    </row>
    <row r="293" spans="6:8" s="27" customFormat="1">
      <c r="F293" s="33"/>
      <c r="H293" s="34"/>
    </row>
    <row r="294" spans="6:8" s="27" customFormat="1">
      <c r="F294" s="33"/>
      <c r="H294" s="34"/>
    </row>
    <row r="295" spans="6:8" s="27" customFormat="1">
      <c r="F295" s="33"/>
      <c r="H295" s="34"/>
    </row>
    <row r="296" spans="6:8" s="27" customFormat="1">
      <c r="F296" s="33"/>
      <c r="H296" s="34"/>
    </row>
    <row r="297" spans="6:8" s="27" customFormat="1">
      <c r="F297" s="33"/>
      <c r="H297" s="34"/>
    </row>
    <row r="298" spans="6:8" s="27" customFormat="1">
      <c r="F298" s="33"/>
      <c r="H298" s="34"/>
    </row>
    <row r="299" spans="6:8" s="27" customFormat="1">
      <c r="F299" s="33"/>
      <c r="H299" s="34"/>
    </row>
    <row r="300" spans="6:8" s="27" customFormat="1">
      <c r="F300" s="33"/>
      <c r="H300" s="34"/>
    </row>
    <row r="301" spans="6:8" s="27" customFormat="1">
      <c r="F301" s="33"/>
      <c r="H301" s="34"/>
    </row>
    <row r="302" spans="6:8" s="27" customFormat="1">
      <c r="F302" s="33"/>
      <c r="H302" s="34"/>
    </row>
    <row r="303" spans="6:8" s="27" customFormat="1">
      <c r="F303" s="33"/>
      <c r="H303" s="34"/>
    </row>
    <row r="304" spans="6:8" s="27" customFormat="1">
      <c r="F304" s="33"/>
      <c r="H304" s="34"/>
    </row>
    <row r="305" spans="6:8" s="27" customFormat="1">
      <c r="F305" s="33"/>
      <c r="H305" s="34"/>
    </row>
    <row r="306" spans="6:8" s="27" customFormat="1">
      <c r="F306" s="33"/>
      <c r="H306" s="34"/>
    </row>
    <row r="307" spans="6:8" s="27" customFormat="1">
      <c r="F307" s="33"/>
      <c r="H307" s="34"/>
    </row>
    <row r="308" spans="6:8" s="27" customFormat="1">
      <c r="F308" s="33"/>
      <c r="H308" s="34"/>
    </row>
    <row r="309" spans="6:8" s="27" customFormat="1">
      <c r="F309" s="33"/>
      <c r="H309" s="34"/>
    </row>
    <row r="310" spans="6:8" s="27" customFormat="1">
      <c r="F310" s="33"/>
      <c r="H310" s="34"/>
    </row>
    <row r="311" spans="6:8" s="27" customFormat="1">
      <c r="F311" s="33"/>
      <c r="H311" s="34"/>
    </row>
    <row r="312" spans="6:8" s="27" customFormat="1">
      <c r="F312" s="33"/>
      <c r="H312" s="34"/>
    </row>
    <row r="313" spans="6:8" s="27" customFormat="1">
      <c r="F313" s="33"/>
      <c r="H313" s="34"/>
    </row>
    <row r="314" spans="6:8" s="27" customFormat="1">
      <c r="F314" s="33"/>
      <c r="H314" s="34"/>
    </row>
    <row r="315" spans="6:8" s="27" customFormat="1">
      <c r="F315" s="33"/>
      <c r="H315" s="34"/>
    </row>
    <row r="316" spans="6:8" s="27" customFormat="1">
      <c r="F316" s="33"/>
      <c r="H316" s="34"/>
    </row>
    <row r="317" spans="6:8" s="27" customFormat="1">
      <c r="F317" s="33"/>
      <c r="H317" s="34"/>
    </row>
    <row r="318" spans="6:8" s="27" customFormat="1">
      <c r="F318" s="33"/>
      <c r="H318" s="34"/>
    </row>
    <row r="319" spans="6:8" s="27" customFormat="1">
      <c r="F319" s="33"/>
      <c r="H319" s="34"/>
    </row>
    <row r="320" spans="6:8" s="27" customFormat="1">
      <c r="F320" s="33"/>
      <c r="H320" s="34"/>
    </row>
    <row r="321" spans="6:8" s="27" customFormat="1">
      <c r="F321" s="33"/>
      <c r="H321" s="34"/>
    </row>
    <row r="322" spans="6:8" s="27" customFormat="1">
      <c r="F322" s="33"/>
      <c r="H322" s="34"/>
    </row>
    <row r="323" spans="6:8" s="27" customFormat="1">
      <c r="F323" s="33"/>
      <c r="H323" s="34"/>
    </row>
    <row r="324" spans="6:8" s="27" customFormat="1">
      <c r="F324" s="33"/>
      <c r="H324" s="34"/>
    </row>
    <row r="325" spans="6:8" s="27" customFormat="1">
      <c r="F325" s="33"/>
      <c r="H325" s="34"/>
    </row>
    <row r="326" spans="6:8" s="27" customFormat="1">
      <c r="F326" s="33"/>
      <c r="H326" s="34"/>
    </row>
    <row r="327" spans="6:8" s="27" customFormat="1">
      <c r="F327" s="33"/>
      <c r="H327" s="34"/>
    </row>
    <row r="328" spans="6:8" s="27" customFormat="1">
      <c r="F328" s="33"/>
      <c r="H328" s="34"/>
    </row>
    <row r="329" spans="6:8" s="27" customFormat="1">
      <c r="F329" s="33"/>
      <c r="H329" s="34"/>
    </row>
    <row r="330" spans="6:8" s="27" customFormat="1">
      <c r="F330" s="33"/>
      <c r="H330" s="34"/>
    </row>
    <row r="331" spans="6:8" s="27" customFormat="1">
      <c r="F331" s="33"/>
      <c r="H331" s="34"/>
    </row>
    <row r="332" spans="6:8" s="27" customFormat="1">
      <c r="F332" s="33"/>
      <c r="H332" s="34"/>
    </row>
    <row r="333" spans="6:8" s="27" customFormat="1">
      <c r="F333" s="33"/>
      <c r="H333" s="34"/>
    </row>
    <row r="334" spans="6:8" s="27" customFormat="1">
      <c r="F334" s="33"/>
      <c r="H334" s="34"/>
    </row>
    <row r="335" spans="6:8" s="27" customFormat="1">
      <c r="F335" s="33"/>
      <c r="H335" s="34"/>
    </row>
    <row r="336" spans="6:8" s="27" customFormat="1">
      <c r="F336" s="33"/>
      <c r="H336" s="34"/>
    </row>
    <row r="337" spans="6:8" s="27" customFormat="1">
      <c r="F337" s="33"/>
      <c r="H337" s="34"/>
    </row>
    <row r="338" spans="6:8" s="27" customFormat="1">
      <c r="F338" s="33"/>
      <c r="H338" s="34"/>
    </row>
    <row r="339" spans="6:8" s="27" customFormat="1">
      <c r="F339" s="33"/>
      <c r="H339" s="34"/>
    </row>
    <row r="340" spans="6:8" s="27" customFormat="1">
      <c r="F340" s="33"/>
      <c r="H340" s="34"/>
    </row>
    <row r="341" spans="6:8" s="27" customFormat="1">
      <c r="F341" s="33"/>
      <c r="H341" s="34"/>
    </row>
    <row r="342" spans="6:8" s="27" customFormat="1">
      <c r="F342" s="33"/>
      <c r="H342" s="34"/>
    </row>
    <row r="343" spans="6:8" s="27" customFormat="1">
      <c r="F343" s="33"/>
      <c r="H343" s="34"/>
    </row>
    <row r="344" spans="6:8" s="27" customFormat="1">
      <c r="F344" s="33"/>
      <c r="H344" s="34"/>
    </row>
    <row r="345" spans="6:8" s="27" customFormat="1">
      <c r="F345" s="33"/>
      <c r="H345" s="34"/>
    </row>
    <row r="346" spans="6:8" s="27" customFormat="1">
      <c r="F346" s="33"/>
      <c r="H346" s="34"/>
    </row>
    <row r="347" spans="6:8" s="27" customFormat="1">
      <c r="F347" s="33"/>
      <c r="H347" s="34"/>
    </row>
    <row r="348" spans="6:8" s="27" customFormat="1">
      <c r="F348" s="33"/>
      <c r="H348" s="34"/>
    </row>
    <row r="349" spans="6:8" s="27" customFormat="1">
      <c r="F349" s="33"/>
      <c r="H349" s="34"/>
    </row>
    <row r="350" spans="6:8" s="27" customFormat="1">
      <c r="F350" s="33"/>
      <c r="H350" s="34"/>
    </row>
    <row r="351" spans="6:8" s="27" customFormat="1">
      <c r="F351" s="33"/>
      <c r="H351" s="34"/>
    </row>
    <row r="352" spans="6:8" s="27" customFormat="1">
      <c r="F352" s="33"/>
      <c r="H352" s="34"/>
    </row>
    <row r="353" spans="6:8" s="27" customFormat="1">
      <c r="F353" s="33"/>
      <c r="H353" s="34"/>
    </row>
    <row r="354" spans="6:8" s="27" customFormat="1">
      <c r="F354" s="33"/>
      <c r="H354" s="34"/>
    </row>
    <row r="355" spans="6:8" s="27" customFormat="1">
      <c r="F355" s="33"/>
      <c r="H355" s="34"/>
    </row>
    <row r="356" spans="6:8" s="27" customFormat="1">
      <c r="F356" s="33"/>
      <c r="H356" s="34"/>
    </row>
    <row r="357" spans="6:8" s="27" customFormat="1">
      <c r="F357" s="33"/>
      <c r="H357" s="34"/>
    </row>
    <row r="358" spans="6:8" s="27" customFormat="1">
      <c r="F358" s="33"/>
      <c r="H358" s="34"/>
    </row>
    <row r="359" spans="6:8" s="27" customFormat="1">
      <c r="F359" s="33"/>
      <c r="H359" s="34"/>
    </row>
    <row r="360" spans="6:8" s="27" customFormat="1">
      <c r="F360" s="33"/>
      <c r="H360" s="34"/>
    </row>
    <row r="361" spans="6:8" s="27" customFormat="1">
      <c r="F361" s="33"/>
      <c r="H361" s="34"/>
    </row>
    <row r="362" spans="6:8" s="27" customFormat="1">
      <c r="F362" s="33"/>
      <c r="H362" s="34"/>
    </row>
    <row r="363" spans="6:8" s="27" customFormat="1">
      <c r="F363" s="33"/>
      <c r="H363" s="34"/>
    </row>
    <row r="364" spans="6:8" s="27" customFormat="1">
      <c r="F364" s="33"/>
      <c r="H364" s="34"/>
    </row>
    <row r="365" spans="6:8" s="27" customFormat="1">
      <c r="F365" s="33"/>
      <c r="H365" s="34"/>
    </row>
    <row r="366" spans="6:8" s="27" customFormat="1">
      <c r="F366" s="33"/>
      <c r="H366" s="34"/>
    </row>
    <row r="367" spans="6:8" s="27" customFormat="1">
      <c r="F367" s="33"/>
      <c r="H367" s="34"/>
    </row>
    <row r="368" spans="6:8" s="27" customFormat="1">
      <c r="F368" s="33"/>
      <c r="H368" s="34"/>
    </row>
    <row r="369" spans="6:8" s="27" customFormat="1">
      <c r="F369" s="33"/>
      <c r="H369" s="34"/>
    </row>
    <row r="370" spans="6:8" s="27" customFormat="1">
      <c r="F370" s="33"/>
      <c r="H370" s="34"/>
    </row>
    <row r="371" spans="6:8" s="27" customFormat="1">
      <c r="F371" s="33"/>
      <c r="H371" s="34"/>
    </row>
    <row r="372" spans="6:8" s="27" customFormat="1">
      <c r="F372" s="33"/>
      <c r="H372" s="34"/>
    </row>
    <row r="373" spans="6:8" s="27" customFormat="1">
      <c r="F373" s="33"/>
      <c r="H373" s="34"/>
    </row>
    <row r="374" spans="6:8" s="27" customFormat="1">
      <c r="F374" s="33"/>
      <c r="H374" s="34"/>
    </row>
    <row r="375" spans="6:8" s="27" customFormat="1">
      <c r="F375" s="33"/>
      <c r="H375" s="34"/>
    </row>
    <row r="376" spans="6:8" s="27" customFormat="1">
      <c r="F376" s="33"/>
      <c r="H376" s="34"/>
    </row>
    <row r="377" spans="6:8" s="27" customFormat="1">
      <c r="F377" s="33"/>
      <c r="H377" s="34"/>
    </row>
    <row r="378" spans="6:8" s="27" customFormat="1">
      <c r="F378" s="33"/>
      <c r="H378" s="34"/>
    </row>
    <row r="379" spans="6:8" s="27" customFormat="1">
      <c r="F379" s="33"/>
      <c r="H379" s="34"/>
    </row>
    <row r="380" spans="6:8" s="27" customFormat="1">
      <c r="F380" s="33"/>
      <c r="H380" s="34"/>
    </row>
    <row r="381" spans="6:8" s="27" customFormat="1">
      <c r="F381" s="33"/>
      <c r="H381" s="34"/>
    </row>
    <row r="382" spans="6:8" s="27" customFormat="1">
      <c r="F382" s="33"/>
      <c r="H382" s="34"/>
    </row>
    <row r="383" spans="6:8" s="27" customFormat="1">
      <c r="F383" s="33"/>
      <c r="H383" s="34"/>
    </row>
    <row r="384" spans="6:8" s="27" customFormat="1">
      <c r="F384" s="33"/>
      <c r="H384" s="34"/>
    </row>
    <row r="385" spans="6:8" s="27" customFormat="1">
      <c r="F385" s="33"/>
      <c r="H385" s="34"/>
    </row>
    <row r="386" spans="6:8" s="27" customFormat="1">
      <c r="F386" s="33"/>
      <c r="H386" s="34"/>
    </row>
    <row r="387" spans="6:8" s="27" customFormat="1">
      <c r="F387" s="33"/>
      <c r="H387" s="34"/>
    </row>
    <row r="388" spans="6:8" s="27" customFormat="1">
      <c r="F388" s="33"/>
      <c r="H388" s="34"/>
    </row>
    <row r="389" spans="6:8" s="27" customFormat="1">
      <c r="F389" s="33"/>
      <c r="H389" s="34"/>
    </row>
    <row r="390" spans="6:8" s="27" customFormat="1">
      <c r="F390" s="33"/>
      <c r="H390" s="34"/>
    </row>
    <row r="391" spans="6:8" s="27" customFormat="1">
      <c r="F391" s="33"/>
      <c r="H391" s="34"/>
    </row>
    <row r="392" spans="6:8" s="27" customFormat="1">
      <c r="F392" s="33"/>
      <c r="H392" s="34"/>
    </row>
    <row r="393" spans="6:8" s="27" customFormat="1">
      <c r="F393" s="33"/>
      <c r="H393" s="34"/>
    </row>
    <row r="394" spans="6:8" s="27" customFormat="1">
      <c r="F394" s="33"/>
      <c r="H394" s="34"/>
    </row>
    <row r="395" spans="6:8" s="27" customFormat="1">
      <c r="F395" s="33"/>
      <c r="H395" s="34"/>
    </row>
    <row r="396" spans="6:8" s="27" customFormat="1">
      <c r="F396" s="33"/>
      <c r="H396" s="34"/>
    </row>
    <row r="397" spans="6:8" s="27" customFormat="1">
      <c r="F397" s="33"/>
      <c r="H397" s="34"/>
    </row>
    <row r="398" spans="6:8" s="27" customFormat="1">
      <c r="F398" s="33"/>
      <c r="H398" s="34"/>
    </row>
    <row r="399" spans="6:8" s="27" customFormat="1">
      <c r="F399" s="33"/>
      <c r="H399" s="34"/>
    </row>
    <row r="400" spans="6:8" s="27" customFormat="1">
      <c r="F400" s="33"/>
      <c r="H400" s="34"/>
    </row>
    <row r="401" spans="6:8" s="27" customFormat="1">
      <c r="F401" s="33"/>
      <c r="H401" s="34"/>
    </row>
    <row r="402" spans="6:8" s="27" customFormat="1">
      <c r="F402" s="33"/>
      <c r="H402" s="34"/>
    </row>
    <row r="403" spans="6:8" s="27" customFormat="1">
      <c r="F403" s="33"/>
      <c r="H403" s="34"/>
    </row>
    <row r="404" spans="6:8" s="27" customFormat="1">
      <c r="F404" s="33"/>
      <c r="H404" s="34"/>
    </row>
    <row r="405" spans="6:8" s="27" customFormat="1">
      <c r="F405" s="33"/>
      <c r="H405" s="34"/>
    </row>
    <row r="406" spans="6:8" s="27" customFormat="1">
      <c r="F406" s="33"/>
      <c r="H406" s="34"/>
    </row>
    <row r="407" spans="6:8" s="27" customFormat="1">
      <c r="F407" s="33"/>
      <c r="H407" s="34"/>
    </row>
    <row r="408" spans="6:8" s="27" customFormat="1">
      <c r="F408" s="33"/>
      <c r="H408" s="34"/>
    </row>
    <row r="409" spans="6:8" s="27" customFormat="1">
      <c r="F409" s="33"/>
      <c r="H409" s="34"/>
    </row>
    <row r="410" spans="6:8" s="27" customFormat="1">
      <c r="F410" s="33"/>
      <c r="H410" s="34"/>
    </row>
    <row r="411" spans="6:8" s="27" customFormat="1">
      <c r="F411" s="33"/>
      <c r="H411" s="34"/>
    </row>
    <row r="412" spans="6:8" s="27" customFormat="1">
      <c r="F412" s="33"/>
      <c r="H412" s="34"/>
    </row>
    <row r="413" spans="6:8" s="27" customFormat="1">
      <c r="F413" s="33"/>
      <c r="H413" s="34"/>
    </row>
    <row r="414" spans="6:8" s="27" customFormat="1">
      <c r="F414" s="33"/>
      <c r="H414" s="34"/>
    </row>
    <row r="415" spans="6:8" s="27" customFormat="1">
      <c r="F415" s="33"/>
      <c r="H415" s="34"/>
    </row>
    <row r="416" spans="6:8" s="27" customFormat="1">
      <c r="F416" s="33"/>
      <c r="H416" s="34"/>
    </row>
    <row r="417" spans="6:8" s="27" customFormat="1">
      <c r="F417" s="33"/>
      <c r="H417" s="34"/>
    </row>
    <row r="418" spans="6:8" s="27" customFormat="1">
      <c r="F418" s="33"/>
      <c r="H418" s="34"/>
    </row>
    <row r="419" spans="6:8" s="27" customFormat="1">
      <c r="F419" s="33"/>
      <c r="H419" s="34"/>
    </row>
    <row r="420" spans="6:8" s="27" customFormat="1">
      <c r="F420" s="33"/>
      <c r="H420" s="34"/>
    </row>
    <row r="421" spans="6:8" s="27" customFormat="1">
      <c r="F421" s="33"/>
      <c r="H421" s="34"/>
    </row>
    <row r="422" spans="6:8" s="27" customFormat="1">
      <c r="F422" s="33"/>
      <c r="H422" s="34"/>
    </row>
    <row r="423" spans="6:8" s="27" customFormat="1">
      <c r="F423" s="33"/>
      <c r="H423" s="34"/>
    </row>
    <row r="424" spans="6:8" s="27" customFormat="1">
      <c r="F424" s="33"/>
      <c r="H424" s="34"/>
    </row>
    <row r="425" spans="6:8" s="27" customFormat="1">
      <c r="F425" s="33"/>
      <c r="H425" s="34"/>
    </row>
    <row r="426" spans="6:8" s="27" customFormat="1">
      <c r="F426" s="33"/>
      <c r="H426" s="34"/>
    </row>
    <row r="427" spans="6:8" s="27" customFormat="1">
      <c r="F427" s="33"/>
      <c r="H427" s="34"/>
    </row>
    <row r="428" spans="6:8" s="27" customFormat="1">
      <c r="F428" s="33"/>
      <c r="H428" s="34"/>
    </row>
    <row r="429" spans="6:8" s="27" customFormat="1">
      <c r="F429" s="33"/>
      <c r="H429" s="34"/>
    </row>
    <row r="430" spans="6:8" s="27" customFormat="1">
      <c r="F430" s="33"/>
      <c r="H430" s="34"/>
    </row>
    <row r="431" spans="6:8" s="27" customFormat="1">
      <c r="F431" s="33"/>
      <c r="H431" s="34"/>
    </row>
    <row r="432" spans="6:8" s="27" customFormat="1">
      <c r="F432" s="33"/>
      <c r="H432" s="34"/>
    </row>
    <row r="433" spans="6:8" s="27" customFormat="1">
      <c r="F433" s="33"/>
      <c r="H433" s="34"/>
    </row>
    <row r="434" spans="6:8" s="27" customFormat="1">
      <c r="F434" s="33"/>
      <c r="H434" s="34"/>
    </row>
    <row r="435" spans="6:8" s="27" customFormat="1">
      <c r="F435" s="33"/>
      <c r="H435" s="34"/>
    </row>
    <row r="436" spans="6:8" s="27" customFormat="1">
      <c r="F436" s="33"/>
      <c r="H436" s="34"/>
    </row>
    <row r="437" spans="6:8" s="27" customFormat="1">
      <c r="F437" s="33"/>
      <c r="H437" s="34"/>
    </row>
    <row r="438" spans="6:8" s="27" customFormat="1">
      <c r="F438" s="33"/>
      <c r="H438" s="34"/>
    </row>
    <row r="439" spans="6:8" s="27" customFormat="1">
      <c r="F439" s="33"/>
      <c r="H439" s="34"/>
    </row>
    <row r="440" spans="6:8" s="27" customFormat="1">
      <c r="F440" s="33"/>
      <c r="H440" s="34"/>
    </row>
    <row r="441" spans="6:8" s="27" customFormat="1">
      <c r="F441" s="33"/>
      <c r="H441" s="34"/>
    </row>
    <row r="442" spans="6:8" s="27" customFormat="1">
      <c r="F442" s="33"/>
      <c r="H442" s="34"/>
    </row>
    <row r="443" spans="6:8" s="27" customFormat="1">
      <c r="F443" s="33"/>
      <c r="H443" s="34"/>
    </row>
    <row r="444" spans="6:8" s="27" customFormat="1">
      <c r="F444" s="33"/>
      <c r="H444" s="34"/>
    </row>
    <row r="445" spans="6:8" s="27" customFormat="1">
      <c r="F445" s="33"/>
      <c r="H445" s="34"/>
    </row>
    <row r="446" spans="6:8" s="27" customFormat="1">
      <c r="F446" s="33"/>
      <c r="H446" s="34"/>
    </row>
    <row r="447" spans="6:8" s="27" customFormat="1">
      <c r="F447" s="33"/>
      <c r="H447" s="34"/>
    </row>
    <row r="448" spans="6:8" s="27" customFormat="1">
      <c r="F448" s="33"/>
      <c r="H448" s="34"/>
    </row>
    <row r="449" spans="6:8" s="27" customFormat="1">
      <c r="F449" s="33"/>
      <c r="H449" s="34"/>
    </row>
    <row r="450" spans="6:8" s="27" customFormat="1">
      <c r="F450" s="33"/>
      <c r="H450" s="34"/>
    </row>
    <row r="451" spans="6:8" s="27" customFormat="1">
      <c r="F451" s="33"/>
      <c r="H451" s="34"/>
    </row>
    <row r="452" spans="6:8" s="27" customFormat="1">
      <c r="F452" s="33"/>
      <c r="H452" s="34"/>
    </row>
    <row r="453" spans="6:8" s="27" customFormat="1">
      <c r="F453" s="33"/>
      <c r="H453" s="34"/>
    </row>
    <row r="454" spans="6:8" s="27" customFormat="1">
      <c r="F454" s="33"/>
      <c r="H454" s="34"/>
    </row>
    <row r="455" spans="6:8" s="27" customFormat="1">
      <c r="F455" s="33"/>
      <c r="H455" s="34"/>
    </row>
    <row r="456" spans="6:8" s="27" customFormat="1">
      <c r="F456" s="33"/>
      <c r="H456" s="34"/>
    </row>
    <row r="457" spans="6:8" s="27" customFormat="1">
      <c r="F457" s="33"/>
      <c r="H457" s="34"/>
    </row>
    <row r="458" spans="6:8" s="27" customFormat="1">
      <c r="F458" s="33"/>
      <c r="H458" s="34"/>
    </row>
    <row r="459" spans="6:8" s="27" customFormat="1">
      <c r="F459" s="33"/>
      <c r="H459" s="34"/>
    </row>
    <row r="460" spans="6:8" s="27" customFormat="1">
      <c r="F460" s="33"/>
      <c r="H460" s="34"/>
    </row>
    <row r="461" spans="6:8" s="27" customFormat="1">
      <c r="F461" s="33"/>
      <c r="H461" s="34"/>
    </row>
    <row r="462" spans="6:8" s="27" customFormat="1">
      <c r="F462" s="33"/>
      <c r="H462" s="34"/>
    </row>
    <row r="463" spans="6:8" s="27" customFormat="1">
      <c r="F463" s="33"/>
      <c r="H463" s="34"/>
    </row>
    <row r="464" spans="6:8" s="27" customFormat="1">
      <c r="F464" s="33"/>
      <c r="H464" s="34"/>
    </row>
    <row r="465" spans="6:8" s="27" customFormat="1">
      <c r="F465" s="33"/>
      <c r="H465" s="34"/>
    </row>
    <row r="466" spans="6:8" s="27" customFormat="1">
      <c r="F466" s="33"/>
      <c r="H466" s="34"/>
    </row>
    <row r="467" spans="6:8" s="27" customFormat="1">
      <c r="F467" s="33"/>
      <c r="H467" s="34"/>
    </row>
    <row r="468" spans="6:8" s="27" customFormat="1">
      <c r="F468" s="33"/>
      <c r="H468" s="34"/>
    </row>
    <row r="469" spans="6:8" s="27" customFormat="1">
      <c r="F469" s="33"/>
      <c r="H469" s="34"/>
    </row>
    <row r="470" spans="6:8" s="27" customFormat="1">
      <c r="F470" s="33"/>
      <c r="H470" s="34"/>
    </row>
    <row r="471" spans="6:8" s="27" customFormat="1">
      <c r="F471" s="33"/>
      <c r="H471" s="34"/>
    </row>
    <row r="472" spans="6:8" s="27" customFormat="1">
      <c r="F472" s="33"/>
      <c r="H472" s="34"/>
    </row>
    <row r="473" spans="6:8" s="27" customFormat="1">
      <c r="F473" s="33"/>
      <c r="H473" s="34"/>
    </row>
    <row r="474" spans="6:8" s="27" customFormat="1">
      <c r="F474" s="33"/>
      <c r="H474" s="34"/>
    </row>
    <row r="475" spans="6:8" s="27" customFormat="1">
      <c r="F475" s="33"/>
      <c r="H475" s="34"/>
    </row>
    <row r="476" spans="6:8" s="27" customFormat="1">
      <c r="F476" s="33"/>
      <c r="H476" s="34"/>
    </row>
    <row r="477" spans="6:8" s="27" customFormat="1">
      <c r="F477" s="33"/>
      <c r="H477" s="34"/>
    </row>
    <row r="478" spans="6:8" s="27" customFormat="1">
      <c r="F478" s="33"/>
      <c r="H478" s="34"/>
    </row>
    <row r="479" spans="6:8" s="27" customFormat="1">
      <c r="F479" s="33"/>
      <c r="H479" s="34"/>
    </row>
    <row r="480" spans="6:8" s="27" customFormat="1">
      <c r="F480" s="33"/>
      <c r="H480" s="34"/>
    </row>
    <row r="481" spans="6:8" s="27" customFormat="1">
      <c r="F481" s="33"/>
      <c r="H481" s="34"/>
    </row>
    <row r="482" spans="6:8" s="27" customFormat="1">
      <c r="F482" s="33"/>
      <c r="H482" s="34"/>
    </row>
    <row r="483" spans="6:8" s="27" customFormat="1">
      <c r="F483" s="33"/>
      <c r="H483" s="34"/>
    </row>
    <row r="484" spans="6:8" s="27" customFormat="1">
      <c r="F484" s="33"/>
      <c r="H484" s="34"/>
    </row>
    <row r="485" spans="6:8" s="27" customFormat="1">
      <c r="F485" s="33"/>
      <c r="H485" s="34"/>
    </row>
    <row r="486" spans="6:8" s="27" customFormat="1">
      <c r="F486" s="33"/>
      <c r="H486" s="34"/>
    </row>
    <row r="487" spans="6:8" s="27" customFormat="1">
      <c r="F487" s="33"/>
      <c r="H487" s="34"/>
    </row>
    <row r="488" spans="6:8" s="27" customFormat="1">
      <c r="F488" s="33"/>
      <c r="H488" s="34"/>
    </row>
    <row r="489" spans="6:8" s="27" customFormat="1">
      <c r="F489" s="33"/>
      <c r="H489" s="34"/>
    </row>
    <row r="490" spans="6:8" s="27" customFormat="1">
      <c r="F490" s="33"/>
      <c r="H490" s="34"/>
    </row>
    <row r="491" spans="6:8" s="27" customFormat="1">
      <c r="F491" s="33"/>
      <c r="H491" s="34"/>
    </row>
    <row r="492" spans="6:8" s="27" customFormat="1">
      <c r="F492" s="33"/>
      <c r="H492" s="34"/>
    </row>
    <row r="493" spans="6:8" s="27" customFormat="1">
      <c r="F493" s="33"/>
      <c r="H493" s="34"/>
    </row>
    <row r="494" spans="6:8" s="27" customFormat="1">
      <c r="F494" s="33"/>
      <c r="H494" s="34"/>
    </row>
    <row r="495" spans="6:8" s="27" customFormat="1">
      <c r="F495" s="33"/>
      <c r="H495" s="34"/>
    </row>
    <row r="496" spans="6:8" s="27" customFormat="1">
      <c r="F496" s="33"/>
      <c r="H496" s="34"/>
    </row>
    <row r="497" spans="6:8" s="27" customFormat="1">
      <c r="F497" s="33"/>
      <c r="H497" s="34"/>
    </row>
    <row r="498" spans="6:8" s="27" customFormat="1">
      <c r="F498" s="33"/>
      <c r="H498" s="34"/>
    </row>
    <row r="499" spans="6:8" s="27" customFormat="1">
      <c r="F499" s="33"/>
      <c r="H499" s="34"/>
    </row>
    <row r="500" spans="6:8" s="27" customFormat="1">
      <c r="F500" s="33"/>
      <c r="H500" s="34"/>
    </row>
    <row r="501" spans="6:8" s="27" customFormat="1">
      <c r="F501" s="33"/>
      <c r="H501" s="34"/>
    </row>
    <row r="502" spans="6:8" s="27" customFormat="1">
      <c r="F502" s="33"/>
      <c r="H502" s="34"/>
    </row>
    <row r="503" spans="6:8" s="27" customFormat="1">
      <c r="F503" s="33"/>
      <c r="H503" s="34"/>
    </row>
    <row r="504" spans="6:8" s="27" customFormat="1">
      <c r="F504" s="33"/>
      <c r="H504" s="34"/>
    </row>
    <row r="505" spans="6:8" s="27" customFormat="1">
      <c r="F505" s="33"/>
      <c r="H505" s="34"/>
    </row>
    <row r="506" spans="6:8" s="27" customFormat="1">
      <c r="F506" s="33"/>
      <c r="H506" s="34"/>
    </row>
    <row r="507" spans="6:8" s="27" customFormat="1">
      <c r="F507" s="33"/>
      <c r="H507" s="34"/>
    </row>
    <row r="508" spans="6:8" s="27" customFormat="1">
      <c r="F508" s="33"/>
      <c r="H508" s="34"/>
    </row>
    <row r="509" spans="6:8" s="27" customFormat="1">
      <c r="F509" s="33"/>
      <c r="H509" s="34"/>
    </row>
    <row r="510" spans="6:8" s="27" customFormat="1">
      <c r="F510" s="33"/>
      <c r="H510" s="34"/>
    </row>
    <row r="511" spans="6:8" s="27" customFormat="1">
      <c r="F511" s="33"/>
      <c r="H511" s="34"/>
    </row>
    <row r="512" spans="6:8" s="27" customFormat="1">
      <c r="F512" s="33"/>
      <c r="H512" s="34"/>
    </row>
    <row r="513" spans="6:8" s="27" customFormat="1">
      <c r="F513" s="33"/>
      <c r="H513" s="34"/>
    </row>
    <row r="514" spans="6:8" s="27" customFormat="1">
      <c r="F514" s="33"/>
      <c r="H514" s="34"/>
    </row>
    <row r="515" spans="6:8" s="27" customFormat="1">
      <c r="F515" s="33"/>
      <c r="H515" s="34"/>
    </row>
    <row r="516" spans="6:8" s="27" customFormat="1">
      <c r="F516" s="33"/>
      <c r="H516" s="34"/>
    </row>
    <row r="517" spans="6:8" s="27" customFormat="1">
      <c r="F517" s="33"/>
      <c r="H517" s="34"/>
    </row>
    <row r="518" spans="6:8" s="27" customFormat="1">
      <c r="F518" s="33"/>
      <c r="H518" s="34"/>
    </row>
    <row r="519" spans="6:8" s="27" customFormat="1">
      <c r="F519" s="33"/>
      <c r="H519" s="34"/>
    </row>
    <row r="520" spans="6:8" s="27" customFormat="1">
      <c r="F520" s="33"/>
      <c r="H520" s="34"/>
    </row>
    <row r="521" spans="6:8" s="27" customFormat="1">
      <c r="F521" s="33"/>
      <c r="H521" s="34"/>
    </row>
    <row r="522" spans="6:8" s="27" customFormat="1">
      <c r="F522" s="33"/>
      <c r="H522" s="34"/>
    </row>
    <row r="523" spans="6:8" s="27" customFormat="1">
      <c r="F523" s="33"/>
      <c r="H523" s="34"/>
    </row>
    <row r="524" spans="6:8" s="27" customFormat="1">
      <c r="F524" s="33"/>
      <c r="H524" s="34"/>
    </row>
    <row r="525" spans="6:8" s="27" customFormat="1">
      <c r="F525" s="33"/>
      <c r="H525" s="34"/>
    </row>
    <row r="526" spans="6:8" s="27" customFormat="1">
      <c r="F526" s="33"/>
      <c r="H526" s="34"/>
    </row>
    <row r="527" spans="6:8" s="27" customFormat="1">
      <c r="F527" s="33"/>
      <c r="H527" s="34"/>
    </row>
    <row r="528" spans="6:8" s="27" customFormat="1">
      <c r="F528" s="33"/>
      <c r="H528" s="34"/>
    </row>
    <row r="529" spans="6:8" s="27" customFormat="1">
      <c r="F529" s="33"/>
      <c r="H529" s="34"/>
    </row>
    <row r="530" spans="6:8" s="27" customFormat="1">
      <c r="F530" s="33"/>
      <c r="H530" s="34"/>
    </row>
    <row r="531" spans="6:8" s="27" customFormat="1">
      <c r="F531" s="33"/>
      <c r="H531" s="34"/>
    </row>
    <row r="532" spans="6:8" s="27" customFormat="1">
      <c r="F532" s="33"/>
      <c r="H532" s="34"/>
    </row>
    <row r="533" spans="6:8" s="27" customFormat="1">
      <c r="F533" s="33"/>
      <c r="H533" s="34"/>
    </row>
    <row r="534" spans="6:8" s="27" customFormat="1">
      <c r="F534" s="33"/>
      <c r="H534" s="34"/>
    </row>
    <row r="535" spans="6:8" s="27" customFormat="1">
      <c r="F535" s="33"/>
      <c r="H535" s="34"/>
    </row>
    <row r="536" spans="6:8" s="27" customFormat="1">
      <c r="F536" s="33"/>
      <c r="H536" s="34"/>
    </row>
    <row r="537" spans="6:8" s="27" customFormat="1">
      <c r="F537" s="33"/>
      <c r="H537" s="34"/>
    </row>
    <row r="538" spans="6:8" s="27" customFormat="1">
      <c r="F538" s="33"/>
      <c r="H538" s="34"/>
    </row>
    <row r="539" spans="6:8" s="27" customFormat="1">
      <c r="F539" s="33"/>
      <c r="H539" s="34"/>
    </row>
    <row r="540" spans="6:8" s="27" customFormat="1">
      <c r="F540" s="33"/>
      <c r="H540" s="34"/>
    </row>
    <row r="541" spans="6:8" s="27" customFormat="1">
      <c r="F541" s="33"/>
      <c r="H541" s="34"/>
    </row>
    <row r="542" spans="6:8" s="27" customFormat="1">
      <c r="F542" s="33"/>
      <c r="H542" s="34"/>
    </row>
    <row r="543" spans="6:8" s="27" customFormat="1">
      <c r="F543" s="33"/>
      <c r="H543" s="34"/>
    </row>
    <row r="544" spans="6:8" s="27" customFormat="1">
      <c r="F544" s="33"/>
      <c r="H544" s="34"/>
    </row>
    <row r="545" spans="6:8" s="27" customFormat="1">
      <c r="F545" s="33"/>
      <c r="H545" s="34"/>
    </row>
    <row r="546" spans="6:8" s="27" customFormat="1">
      <c r="F546" s="33"/>
      <c r="H546" s="34"/>
    </row>
    <row r="547" spans="6:8" s="27" customFormat="1">
      <c r="F547" s="33"/>
      <c r="H547" s="34"/>
    </row>
    <row r="548" spans="6:8" s="27" customFormat="1">
      <c r="F548" s="33"/>
      <c r="H548" s="34"/>
    </row>
    <row r="549" spans="6:8" s="27" customFormat="1">
      <c r="F549" s="33"/>
      <c r="H549" s="34"/>
    </row>
    <row r="550" spans="6:8" s="27" customFormat="1">
      <c r="F550" s="33"/>
      <c r="H550" s="34"/>
    </row>
    <row r="551" spans="6:8" s="27" customFormat="1">
      <c r="F551" s="33"/>
      <c r="H551" s="34"/>
    </row>
    <row r="552" spans="6:8" s="27" customFormat="1">
      <c r="F552" s="33"/>
      <c r="H552" s="34"/>
    </row>
    <row r="553" spans="6:8" s="27" customFormat="1">
      <c r="F553" s="33"/>
      <c r="H553" s="34"/>
    </row>
    <row r="554" spans="6:8" s="27" customFormat="1">
      <c r="F554" s="33"/>
      <c r="H554" s="34"/>
    </row>
    <row r="555" spans="6:8" s="27" customFormat="1">
      <c r="F555" s="33"/>
      <c r="H555" s="34"/>
    </row>
    <row r="556" spans="6:8" s="27" customFormat="1">
      <c r="F556" s="33"/>
      <c r="H556" s="34"/>
    </row>
    <row r="557" spans="6:8" s="27" customFormat="1">
      <c r="F557" s="33"/>
      <c r="H557" s="34"/>
    </row>
    <row r="558" spans="6:8" s="27" customFormat="1">
      <c r="F558" s="33"/>
      <c r="H558" s="34"/>
    </row>
    <row r="559" spans="6:8" s="27" customFormat="1">
      <c r="F559" s="33"/>
      <c r="H559" s="34"/>
    </row>
    <row r="560" spans="6:8" s="27" customFormat="1">
      <c r="F560" s="33"/>
      <c r="H560" s="34"/>
    </row>
    <row r="561" spans="6:8" s="27" customFormat="1">
      <c r="F561" s="33"/>
      <c r="H561" s="34"/>
    </row>
    <row r="562" spans="6:8" s="27" customFormat="1">
      <c r="F562" s="33"/>
      <c r="H562" s="34"/>
    </row>
    <row r="563" spans="6:8" s="27" customFormat="1">
      <c r="F563" s="33"/>
      <c r="H563" s="34"/>
    </row>
    <row r="564" spans="6:8" s="27" customFormat="1">
      <c r="F564" s="33"/>
      <c r="H564" s="34"/>
    </row>
    <row r="565" spans="6:8" s="27" customFormat="1">
      <c r="F565" s="33"/>
      <c r="H565" s="34"/>
    </row>
    <row r="566" spans="6:8" s="27" customFormat="1">
      <c r="F566" s="33"/>
      <c r="H566" s="34"/>
    </row>
    <row r="567" spans="6:8" s="27" customFormat="1">
      <c r="F567" s="33"/>
      <c r="H567" s="34"/>
    </row>
    <row r="568" spans="6:8" s="27" customFormat="1">
      <c r="F568" s="33"/>
      <c r="H568" s="34"/>
    </row>
    <row r="569" spans="6:8" s="27" customFormat="1">
      <c r="F569" s="33"/>
      <c r="H569" s="34"/>
    </row>
    <row r="570" spans="6:8" s="27" customFormat="1">
      <c r="F570" s="33"/>
      <c r="H570" s="34"/>
    </row>
    <row r="571" spans="6:8" s="27" customFormat="1">
      <c r="F571" s="33"/>
      <c r="H571" s="34"/>
    </row>
    <row r="572" spans="6:8" s="27" customFormat="1">
      <c r="F572" s="33"/>
      <c r="H572" s="34"/>
    </row>
    <row r="573" spans="6:8" s="27" customFormat="1">
      <c r="F573" s="33"/>
      <c r="H573" s="34"/>
    </row>
    <row r="574" spans="6:8" s="27" customFormat="1">
      <c r="F574" s="33"/>
      <c r="H574" s="34"/>
    </row>
    <row r="575" spans="6:8" s="27" customFormat="1">
      <c r="F575" s="33"/>
      <c r="H575" s="34"/>
    </row>
    <row r="576" spans="6:8" s="27" customFormat="1">
      <c r="F576" s="33"/>
      <c r="H576" s="34"/>
    </row>
    <row r="577" spans="6:8" s="27" customFormat="1">
      <c r="F577" s="33"/>
      <c r="H577" s="34"/>
    </row>
    <row r="578" spans="6:8" s="27" customFormat="1">
      <c r="F578" s="33"/>
      <c r="H578" s="34"/>
    </row>
    <row r="579" spans="6:8" s="27" customFormat="1">
      <c r="F579" s="33"/>
      <c r="H579" s="34"/>
    </row>
    <row r="580" spans="6:8" s="27" customFormat="1">
      <c r="F580" s="33"/>
      <c r="H580" s="34"/>
    </row>
    <row r="581" spans="6:8" s="27" customFormat="1">
      <c r="F581" s="33"/>
      <c r="H581" s="34"/>
    </row>
    <row r="582" spans="6:8" s="27" customFormat="1">
      <c r="F582" s="33"/>
      <c r="H582" s="34"/>
    </row>
    <row r="583" spans="6:8" s="27" customFormat="1">
      <c r="F583" s="33"/>
      <c r="H583" s="34"/>
    </row>
    <row r="584" spans="6:8" s="27" customFormat="1">
      <c r="F584" s="33"/>
      <c r="H584" s="34"/>
    </row>
    <row r="585" spans="6:8" s="27" customFormat="1">
      <c r="F585" s="33"/>
      <c r="H585" s="34"/>
    </row>
    <row r="586" spans="6:8" s="27" customFormat="1">
      <c r="F586" s="33"/>
      <c r="H586" s="34"/>
    </row>
    <row r="587" spans="6:8" s="27" customFormat="1">
      <c r="F587" s="33"/>
      <c r="H587" s="34"/>
    </row>
    <row r="588" spans="6:8" s="27" customFormat="1">
      <c r="F588" s="33"/>
      <c r="H588" s="34"/>
    </row>
    <row r="589" spans="6:8" s="27" customFormat="1">
      <c r="F589" s="33"/>
      <c r="H589" s="34"/>
    </row>
    <row r="590" spans="6:8" s="27" customFormat="1">
      <c r="F590" s="33"/>
      <c r="H590" s="34"/>
    </row>
    <row r="591" spans="6:8" s="27" customFormat="1">
      <c r="F591" s="33"/>
      <c r="H591" s="34"/>
    </row>
    <row r="592" spans="6:8" s="27" customFormat="1">
      <c r="F592" s="33"/>
      <c r="H592" s="34"/>
    </row>
    <row r="593" spans="6:8" s="27" customFormat="1">
      <c r="F593" s="33"/>
      <c r="H593" s="34"/>
    </row>
    <row r="594" spans="6:8" s="27" customFormat="1">
      <c r="F594" s="33"/>
      <c r="H594" s="34"/>
    </row>
    <row r="595" spans="6:8" s="27" customFormat="1">
      <c r="F595" s="33"/>
      <c r="H595" s="34"/>
    </row>
    <row r="596" spans="6:8" s="27" customFormat="1">
      <c r="F596" s="33"/>
      <c r="H596" s="34"/>
    </row>
    <row r="597" spans="6:8" s="27" customFormat="1">
      <c r="F597" s="33"/>
      <c r="H597" s="34"/>
    </row>
    <row r="598" spans="6:8" s="27" customFormat="1">
      <c r="F598" s="33"/>
      <c r="H598" s="34"/>
    </row>
    <row r="599" spans="6:8" s="27" customFormat="1">
      <c r="F599" s="33"/>
      <c r="H599" s="34"/>
    </row>
    <row r="600" spans="6:8" s="27" customFormat="1">
      <c r="F600" s="33"/>
      <c r="H600" s="34"/>
    </row>
    <row r="601" spans="6:8" s="27" customFormat="1">
      <c r="F601" s="33"/>
      <c r="H601" s="34"/>
    </row>
    <row r="602" spans="6:8" s="27" customFormat="1">
      <c r="F602" s="33"/>
      <c r="H602" s="34"/>
    </row>
    <row r="603" spans="6:8" s="27" customFormat="1">
      <c r="F603" s="33"/>
      <c r="H603" s="34"/>
    </row>
    <row r="604" spans="6:8" s="27" customFormat="1">
      <c r="F604" s="33"/>
      <c r="H604" s="34"/>
    </row>
    <row r="605" spans="6:8" s="27" customFormat="1">
      <c r="F605" s="33"/>
      <c r="H605" s="34"/>
    </row>
    <row r="606" spans="6:8" s="27" customFormat="1">
      <c r="F606" s="33"/>
      <c r="H606" s="34"/>
    </row>
    <row r="607" spans="6:8" s="27" customFormat="1">
      <c r="F607" s="33"/>
      <c r="H607" s="34"/>
    </row>
    <row r="608" spans="6:8" s="27" customFormat="1">
      <c r="F608" s="33"/>
      <c r="H608" s="34"/>
    </row>
    <row r="609" spans="6:8" s="27" customFormat="1">
      <c r="F609" s="33"/>
      <c r="H609" s="34"/>
    </row>
    <row r="610" spans="6:8" s="27" customFormat="1">
      <c r="F610" s="33"/>
      <c r="H610" s="34"/>
    </row>
    <row r="611" spans="6:8" s="27" customFormat="1">
      <c r="F611" s="33"/>
      <c r="H611" s="34"/>
    </row>
    <row r="612" spans="6:8" s="27" customFormat="1">
      <c r="F612" s="33"/>
      <c r="H612" s="34"/>
    </row>
    <row r="613" spans="6:8" s="27" customFormat="1">
      <c r="F613" s="33"/>
      <c r="H613" s="34"/>
    </row>
    <row r="614" spans="6:8" s="27" customFormat="1">
      <c r="F614" s="33"/>
      <c r="H614" s="34"/>
    </row>
    <row r="615" spans="6:8" s="27" customFormat="1">
      <c r="F615" s="33"/>
      <c r="H615" s="34"/>
    </row>
    <row r="616" spans="6:8" s="27" customFormat="1">
      <c r="F616" s="33"/>
      <c r="H616" s="34"/>
    </row>
    <row r="617" spans="6:8" s="27" customFormat="1">
      <c r="F617" s="33"/>
      <c r="H617" s="34"/>
    </row>
    <row r="618" spans="6:8" s="27" customFormat="1">
      <c r="F618" s="33"/>
      <c r="H618" s="34"/>
    </row>
    <row r="619" spans="6:8" s="27" customFormat="1">
      <c r="F619" s="33"/>
      <c r="H619" s="34"/>
    </row>
    <row r="620" spans="6:8" s="27" customFormat="1">
      <c r="F620" s="33"/>
      <c r="H620" s="34"/>
    </row>
    <row r="621" spans="6:8" s="27" customFormat="1">
      <c r="F621" s="33"/>
      <c r="H621" s="34"/>
    </row>
    <row r="622" spans="6:8" s="27" customFormat="1">
      <c r="F622" s="33"/>
      <c r="H622" s="34"/>
    </row>
    <row r="623" spans="6:8" s="27" customFormat="1">
      <c r="F623" s="33"/>
      <c r="H623" s="34"/>
    </row>
    <row r="624" spans="6:8" s="27" customFormat="1">
      <c r="F624" s="33"/>
      <c r="H624" s="34"/>
    </row>
    <row r="625" spans="6:8" s="27" customFormat="1">
      <c r="F625" s="33"/>
      <c r="H625" s="34"/>
    </row>
    <row r="626" spans="6:8" s="27" customFormat="1">
      <c r="F626" s="33"/>
      <c r="H626" s="34"/>
    </row>
    <row r="627" spans="6:8" s="27" customFormat="1">
      <c r="F627" s="33"/>
      <c r="H627" s="34"/>
    </row>
    <row r="628" spans="6:8" s="27" customFormat="1">
      <c r="F628" s="33"/>
      <c r="H628" s="34"/>
    </row>
    <row r="629" spans="6:8" s="27" customFormat="1">
      <c r="F629" s="33"/>
      <c r="H629" s="34"/>
    </row>
    <row r="630" spans="6:8" s="27" customFormat="1">
      <c r="F630" s="33"/>
      <c r="H630" s="34"/>
    </row>
    <row r="631" spans="6:8" s="27" customFormat="1">
      <c r="F631" s="33"/>
      <c r="H631" s="34"/>
    </row>
    <row r="632" spans="6:8" s="27" customFormat="1">
      <c r="F632" s="33"/>
      <c r="H632" s="34"/>
    </row>
    <row r="633" spans="6:8" s="27" customFormat="1">
      <c r="F633" s="33"/>
      <c r="H633" s="34"/>
    </row>
    <row r="634" spans="6:8" s="27" customFormat="1">
      <c r="F634" s="33"/>
      <c r="H634" s="34"/>
    </row>
    <row r="635" spans="6:8" s="27" customFormat="1">
      <c r="F635" s="33"/>
      <c r="H635" s="34"/>
    </row>
    <row r="636" spans="6:8" s="27" customFormat="1">
      <c r="F636" s="33"/>
      <c r="H636" s="34"/>
    </row>
    <row r="637" spans="6:8" s="27" customFormat="1">
      <c r="F637" s="33"/>
      <c r="H637" s="34"/>
    </row>
    <row r="638" spans="6:8" s="27" customFormat="1">
      <c r="F638" s="33"/>
      <c r="H638" s="34"/>
    </row>
    <row r="639" spans="6:8" s="27" customFormat="1">
      <c r="F639" s="33"/>
      <c r="H639" s="34"/>
    </row>
    <row r="640" spans="6:8" s="27" customFormat="1">
      <c r="F640" s="33"/>
      <c r="H640" s="34"/>
    </row>
    <row r="641" spans="6:8" s="27" customFormat="1">
      <c r="F641" s="33"/>
      <c r="H641" s="34"/>
    </row>
    <row r="642" spans="6:8" s="27" customFormat="1">
      <c r="F642" s="33"/>
      <c r="H642" s="34"/>
    </row>
    <row r="643" spans="6:8" s="27" customFormat="1">
      <c r="F643" s="33"/>
      <c r="H643" s="34"/>
    </row>
    <row r="644" spans="6:8" s="27" customFormat="1">
      <c r="F644" s="33"/>
      <c r="H644" s="34"/>
    </row>
    <row r="645" spans="6:8" s="27" customFormat="1">
      <c r="F645" s="33"/>
      <c r="H645" s="34"/>
    </row>
    <row r="646" spans="6:8" s="27" customFormat="1">
      <c r="F646" s="33"/>
      <c r="H646" s="34"/>
    </row>
    <row r="647" spans="6:8" s="27" customFormat="1">
      <c r="F647" s="33"/>
      <c r="H647" s="34"/>
    </row>
    <row r="648" spans="6:8" s="27" customFormat="1">
      <c r="F648" s="33"/>
      <c r="H648" s="34"/>
    </row>
    <row r="649" spans="6:8" s="27" customFormat="1">
      <c r="F649" s="33"/>
      <c r="H649" s="34"/>
    </row>
    <row r="650" spans="6:8" s="27" customFormat="1">
      <c r="F650" s="33"/>
      <c r="H650" s="34"/>
    </row>
    <row r="651" spans="6:8" s="27" customFormat="1">
      <c r="F651" s="33"/>
      <c r="H651" s="34"/>
    </row>
    <row r="652" spans="6:8" s="27" customFormat="1">
      <c r="F652" s="33"/>
      <c r="H652" s="34"/>
    </row>
    <row r="653" spans="6:8" s="27" customFormat="1">
      <c r="F653" s="33"/>
      <c r="H653" s="34"/>
    </row>
    <row r="654" spans="6:8" s="27" customFormat="1">
      <c r="F654" s="33"/>
      <c r="H654" s="34"/>
    </row>
    <row r="655" spans="6:8" s="27" customFormat="1">
      <c r="F655" s="33"/>
      <c r="H655" s="34"/>
    </row>
    <row r="656" spans="6:8" s="27" customFormat="1">
      <c r="F656" s="33"/>
      <c r="H656" s="34"/>
    </row>
    <row r="657" spans="6:8" s="27" customFormat="1">
      <c r="F657" s="33"/>
      <c r="H657" s="34"/>
    </row>
    <row r="658" spans="6:8" s="27" customFormat="1">
      <c r="F658" s="33"/>
      <c r="H658" s="34"/>
    </row>
    <row r="659" spans="6:8" s="27" customFormat="1">
      <c r="F659" s="33"/>
      <c r="H659" s="34"/>
    </row>
    <row r="660" spans="6:8" s="27" customFormat="1">
      <c r="F660" s="33"/>
      <c r="H660" s="34"/>
    </row>
    <row r="661" spans="6:8" s="27" customFormat="1">
      <c r="F661" s="33"/>
      <c r="H661" s="34"/>
    </row>
    <row r="662" spans="6:8" s="27" customFormat="1">
      <c r="F662" s="33"/>
      <c r="H662" s="34"/>
    </row>
    <row r="663" spans="6:8" s="27" customFormat="1">
      <c r="F663" s="33"/>
      <c r="H663" s="34"/>
    </row>
    <row r="664" spans="6:8" s="27" customFormat="1">
      <c r="F664" s="33"/>
      <c r="H664" s="34"/>
    </row>
    <row r="665" spans="6:8" s="27" customFormat="1">
      <c r="F665" s="33"/>
      <c r="H665" s="34"/>
    </row>
    <row r="666" spans="6:8" s="27" customFormat="1">
      <c r="F666" s="33"/>
      <c r="H666" s="34"/>
    </row>
    <row r="667" spans="6:8" s="27" customFormat="1">
      <c r="F667" s="33"/>
      <c r="H667" s="34"/>
    </row>
    <row r="668" spans="6:8" s="27" customFormat="1">
      <c r="F668" s="33"/>
      <c r="H668" s="34"/>
    </row>
    <row r="669" spans="6:8" s="27" customFormat="1">
      <c r="F669" s="33"/>
      <c r="H669" s="34"/>
    </row>
    <row r="670" spans="6:8" s="27" customFormat="1">
      <c r="F670" s="33"/>
      <c r="H670" s="34"/>
    </row>
    <row r="671" spans="6:8" s="27" customFormat="1">
      <c r="F671" s="33"/>
      <c r="H671" s="34"/>
    </row>
    <row r="672" spans="6:8" s="27" customFormat="1">
      <c r="F672" s="33"/>
      <c r="H672" s="34"/>
    </row>
    <row r="673" spans="6:8" s="27" customFormat="1">
      <c r="F673" s="33"/>
      <c r="H673" s="34"/>
    </row>
    <row r="674" spans="6:8" s="27" customFormat="1">
      <c r="F674" s="33"/>
      <c r="H674" s="34"/>
    </row>
    <row r="675" spans="6:8" s="27" customFormat="1">
      <c r="F675" s="33"/>
      <c r="H675" s="34"/>
    </row>
    <row r="676" spans="6:8" s="27" customFormat="1">
      <c r="F676" s="33"/>
      <c r="H676" s="34"/>
    </row>
    <row r="677" spans="6:8" s="27" customFormat="1">
      <c r="F677" s="33"/>
      <c r="H677" s="34"/>
    </row>
    <row r="678" spans="6:8" s="27" customFormat="1">
      <c r="F678" s="33"/>
      <c r="H678" s="34"/>
    </row>
    <row r="679" spans="6:8" s="27" customFormat="1">
      <c r="F679" s="33"/>
      <c r="H679" s="34"/>
    </row>
    <row r="680" spans="6:8" s="27" customFormat="1">
      <c r="F680" s="33"/>
      <c r="H680" s="34"/>
    </row>
    <row r="681" spans="6:8" s="27" customFormat="1">
      <c r="F681" s="33"/>
      <c r="H681" s="34"/>
    </row>
    <row r="682" spans="6:8" s="27" customFormat="1">
      <c r="F682" s="33"/>
      <c r="H682" s="34"/>
    </row>
    <row r="683" spans="6:8" s="27" customFormat="1">
      <c r="F683" s="33"/>
      <c r="H683" s="34"/>
    </row>
    <row r="684" spans="6:8" s="27" customFormat="1">
      <c r="F684" s="33"/>
      <c r="H684" s="34"/>
    </row>
    <row r="685" spans="6:8" s="27" customFormat="1">
      <c r="F685" s="33"/>
      <c r="H685" s="34"/>
    </row>
    <row r="686" spans="6:8" s="27" customFormat="1">
      <c r="F686" s="33"/>
      <c r="H686" s="34"/>
    </row>
    <row r="687" spans="6:8" s="27" customFormat="1">
      <c r="F687" s="33"/>
      <c r="H687" s="34"/>
    </row>
    <row r="688" spans="6:8" s="27" customFormat="1">
      <c r="F688" s="33"/>
      <c r="H688" s="34"/>
    </row>
    <row r="689" spans="6:8" s="27" customFormat="1">
      <c r="F689" s="33"/>
      <c r="H689" s="34"/>
    </row>
    <row r="690" spans="6:8" s="27" customFormat="1">
      <c r="F690" s="33"/>
      <c r="H690" s="34"/>
    </row>
    <row r="691" spans="6:8" s="27" customFormat="1">
      <c r="F691" s="33"/>
      <c r="H691" s="34"/>
    </row>
    <row r="692" spans="6:8" s="27" customFormat="1">
      <c r="F692" s="33"/>
      <c r="H692" s="34"/>
    </row>
    <row r="693" spans="6:8" s="27" customFormat="1">
      <c r="F693" s="33"/>
      <c r="H693" s="34"/>
    </row>
    <row r="694" spans="6:8" s="27" customFormat="1">
      <c r="F694" s="33"/>
      <c r="H694" s="34"/>
    </row>
    <row r="695" spans="6:8" s="27" customFormat="1">
      <c r="F695" s="33"/>
      <c r="H695" s="34"/>
    </row>
    <row r="696" spans="6:8" s="27" customFormat="1">
      <c r="F696" s="33"/>
      <c r="H696" s="34"/>
    </row>
    <row r="697" spans="6:8" s="27" customFormat="1">
      <c r="F697" s="33"/>
      <c r="H697" s="34"/>
    </row>
    <row r="698" spans="6:8" s="27" customFormat="1">
      <c r="F698" s="33"/>
      <c r="H698" s="34"/>
    </row>
    <row r="699" spans="6:8" s="27" customFormat="1">
      <c r="F699" s="33"/>
      <c r="H699" s="34"/>
    </row>
    <row r="700" spans="6:8" s="27" customFormat="1">
      <c r="F700" s="33"/>
      <c r="H700" s="34"/>
    </row>
    <row r="701" spans="6:8" s="27" customFormat="1">
      <c r="F701" s="33"/>
      <c r="H701" s="34"/>
    </row>
    <row r="702" spans="6:8" s="27" customFormat="1">
      <c r="F702" s="33"/>
      <c r="H702" s="34"/>
    </row>
    <row r="703" spans="6:8" s="27" customFormat="1">
      <c r="F703" s="33"/>
      <c r="H703" s="34"/>
    </row>
    <row r="704" spans="6:8" s="27" customFormat="1">
      <c r="F704" s="33"/>
      <c r="H704" s="34"/>
    </row>
    <row r="705" spans="6:8" s="27" customFormat="1">
      <c r="F705" s="33"/>
      <c r="H705" s="34"/>
    </row>
    <row r="706" spans="6:8" s="27" customFormat="1">
      <c r="F706" s="33"/>
      <c r="H706" s="34"/>
    </row>
    <row r="707" spans="6:8" s="27" customFormat="1">
      <c r="F707" s="33"/>
      <c r="H707" s="34"/>
    </row>
    <row r="708" spans="6:8" s="27" customFormat="1">
      <c r="F708" s="33"/>
      <c r="H708" s="34"/>
    </row>
    <row r="709" spans="6:8" s="27" customFormat="1">
      <c r="F709" s="33"/>
      <c r="H709" s="34"/>
    </row>
    <row r="710" spans="6:8" s="27" customFormat="1">
      <c r="F710" s="33"/>
      <c r="H710" s="34"/>
    </row>
    <row r="711" spans="6:8" s="27" customFormat="1">
      <c r="F711" s="33"/>
      <c r="H711" s="34"/>
    </row>
    <row r="712" spans="6:8" s="27" customFormat="1">
      <c r="F712" s="33"/>
      <c r="H712" s="34"/>
    </row>
    <row r="713" spans="6:8" s="27" customFormat="1">
      <c r="F713" s="33"/>
      <c r="H713" s="34"/>
    </row>
    <row r="714" spans="6:8" s="27" customFormat="1">
      <c r="F714" s="33"/>
      <c r="H714" s="34"/>
    </row>
    <row r="715" spans="6:8" s="27" customFormat="1">
      <c r="F715" s="33"/>
      <c r="H715" s="34"/>
    </row>
    <row r="716" spans="6:8" s="27" customFormat="1">
      <c r="F716" s="33"/>
      <c r="H716" s="34"/>
    </row>
    <row r="717" spans="6:8" s="27" customFormat="1">
      <c r="F717" s="33"/>
      <c r="H717" s="34"/>
    </row>
    <row r="718" spans="6:8" s="27" customFormat="1">
      <c r="F718" s="33"/>
      <c r="H718" s="34"/>
    </row>
    <row r="719" spans="6:8" s="27" customFormat="1">
      <c r="F719" s="33"/>
      <c r="H719" s="34"/>
    </row>
    <row r="720" spans="6:8" s="27" customFormat="1">
      <c r="F720" s="33"/>
      <c r="H720" s="34"/>
    </row>
    <row r="721" spans="6:8" s="27" customFormat="1">
      <c r="F721" s="33"/>
      <c r="H721" s="34"/>
    </row>
    <row r="722" spans="6:8" s="27" customFormat="1">
      <c r="F722" s="33"/>
      <c r="H722" s="34"/>
    </row>
    <row r="723" spans="6:8" s="27" customFormat="1">
      <c r="F723" s="33"/>
      <c r="H723" s="34"/>
    </row>
    <row r="724" spans="6:8" s="27" customFormat="1">
      <c r="F724" s="33"/>
      <c r="H724" s="34"/>
    </row>
    <row r="725" spans="6:8" s="27" customFormat="1">
      <c r="F725" s="33"/>
      <c r="H725" s="34"/>
    </row>
    <row r="726" spans="6:8" s="27" customFormat="1">
      <c r="F726" s="33"/>
      <c r="H726" s="34"/>
    </row>
    <row r="727" spans="6:8" s="27" customFormat="1">
      <c r="F727" s="33"/>
      <c r="H727" s="34"/>
    </row>
    <row r="728" spans="6:8" s="27" customFormat="1">
      <c r="F728" s="33"/>
      <c r="H728" s="34"/>
    </row>
    <row r="729" spans="6:8" s="27" customFormat="1">
      <c r="F729" s="33"/>
      <c r="H729" s="34"/>
    </row>
    <row r="730" spans="6:8" s="27" customFormat="1">
      <c r="F730" s="33"/>
      <c r="H730" s="34"/>
    </row>
    <row r="731" spans="6:8" s="27" customFormat="1">
      <c r="F731" s="33"/>
      <c r="H731" s="34"/>
    </row>
    <row r="732" spans="6:8" s="27" customFormat="1">
      <c r="F732" s="33"/>
      <c r="H732" s="34"/>
    </row>
    <row r="733" spans="6:8" s="27" customFormat="1">
      <c r="F733" s="33"/>
      <c r="H733" s="34"/>
    </row>
    <row r="734" spans="6:8" s="27" customFormat="1">
      <c r="F734" s="33"/>
      <c r="H734" s="34"/>
    </row>
    <row r="735" spans="6:8" s="27" customFormat="1">
      <c r="F735" s="33"/>
      <c r="H735" s="34"/>
    </row>
    <row r="736" spans="6:8" s="27" customFormat="1">
      <c r="F736" s="33"/>
      <c r="H736" s="34"/>
    </row>
    <row r="737" spans="6:8" s="27" customFormat="1">
      <c r="F737" s="33"/>
      <c r="H737" s="34"/>
    </row>
    <row r="738" spans="6:8" s="27" customFormat="1">
      <c r="F738" s="33"/>
      <c r="H738" s="34"/>
    </row>
    <row r="739" spans="6:8" s="27" customFormat="1">
      <c r="F739" s="33"/>
      <c r="H739" s="34"/>
    </row>
    <row r="740" spans="6:8" s="27" customFormat="1">
      <c r="F740" s="33"/>
      <c r="H740" s="34"/>
    </row>
    <row r="741" spans="6:8" s="27" customFormat="1">
      <c r="F741" s="33"/>
      <c r="H741" s="34"/>
    </row>
    <row r="742" spans="6:8" s="27" customFormat="1">
      <c r="F742" s="33"/>
      <c r="H742" s="34"/>
    </row>
    <row r="743" spans="6:8" s="27" customFormat="1">
      <c r="F743" s="33"/>
      <c r="H743" s="34"/>
    </row>
    <row r="744" spans="6:8" s="27" customFormat="1">
      <c r="F744" s="33"/>
      <c r="H744" s="34"/>
    </row>
    <row r="745" spans="6:8" s="27" customFormat="1">
      <c r="F745" s="33"/>
      <c r="H745" s="34"/>
    </row>
    <row r="746" spans="6:8" s="27" customFormat="1">
      <c r="F746" s="33"/>
      <c r="H746" s="34"/>
    </row>
    <row r="747" spans="6:8" s="27" customFormat="1">
      <c r="F747" s="33"/>
      <c r="H747" s="34"/>
    </row>
    <row r="748" spans="6:8" s="27" customFormat="1">
      <c r="F748" s="33"/>
      <c r="H748" s="34"/>
    </row>
    <row r="749" spans="6:8" s="27" customFormat="1">
      <c r="F749" s="33"/>
      <c r="H749" s="34"/>
    </row>
    <row r="750" spans="6:8" s="27" customFormat="1">
      <c r="F750" s="33"/>
      <c r="H750" s="34"/>
    </row>
    <row r="751" spans="6:8" s="27" customFormat="1">
      <c r="F751" s="33"/>
      <c r="H751" s="34"/>
    </row>
    <row r="752" spans="6:8" s="27" customFormat="1">
      <c r="F752" s="33"/>
      <c r="H752" s="34"/>
    </row>
    <row r="753" spans="6:8" s="27" customFormat="1">
      <c r="F753" s="33"/>
      <c r="H753" s="34"/>
    </row>
    <row r="754" spans="6:8" s="27" customFormat="1">
      <c r="F754" s="33"/>
      <c r="H754" s="34"/>
    </row>
    <row r="755" spans="6:8" s="27" customFormat="1">
      <c r="F755" s="33"/>
      <c r="H755" s="34"/>
    </row>
    <row r="756" spans="6:8" s="27" customFormat="1">
      <c r="F756" s="33"/>
      <c r="H756" s="34"/>
    </row>
    <row r="757" spans="6:8" s="27" customFormat="1">
      <c r="F757" s="33"/>
      <c r="H757" s="34"/>
    </row>
    <row r="758" spans="6:8" s="27" customFormat="1">
      <c r="F758" s="33"/>
      <c r="H758" s="34"/>
    </row>
    <row r="759" spans="6:8" s="27" customFormat="1">
      <c r="F759" s="33"/>
      <c r="H759" s="34"/>
    </row>
    <row r="760" spans="6:8" s="27" customFormat="1">
      <c r="F760" s="33"/>
      <c r="H760" s="34"/>
    </row>
    <row r="761" spans="6:8" s="27" customFormat="1">
      <c r="F761" s="33"/>
      <c r="H761" s="34"/>
    </row>
    <row r="762" spans="6:8" s="27" customFormat="1">
      <c r="F762" s="33"/>
      <c r="H762" s="34"/>
    </row>
    <row r="763" spans="6:8" s="27" customFormat="1">
      <c r="F763" s="33"/>
      <c r="H763" s="34"/>
    </row>
    <row r="764" spans="6:8" s="27" customFormat="1">
      <c r="F764" s="33"/>
      <c r="H764" s="34"/>
    </row>
    <row r="765" spans="6:8" s="27" customFormat="1">
      <c r="F765" s="33"/>
      <c r="H765" s="34"/>
    </row>
    <row r="766" spans="6:8" s="27" customFormat="1">
      <c r="F766" s="33"/>
      <c r="H766" s="34"/>
    </row>
    <row r="767" spans="6:8" s="27" customFormat="1">
      <c r="F767" s="33"/>
      <c r="H767" s="34"/>
    </row>
    <row r="768" spans="6:8" s="27" customFormat="1">
      <c r="F768" s="33"/>
      <c r="H768" s="34"/>
    </row>
    <row r="769" spans="6:8" s="27" customFormat="1">
      <c r="F769" s="33"/>
      <c r="H769" s="34"/>
    </row>
    <row r="770" spans="6:8" s="27" customFormat="1">
      <c r="F770" s="33"/>
      <c r="H770" s="34"/>
    </row>
    <row r="771" spans="6:8" s="27" customFormat="1">
      <c r="F771" s="33"/>
      <c r="H771" s="34"/>
    </row>
    <row r="772" spans="6:8" s="27" customFormat="1">
      <c r="F772" s="33"/>
      <c r="H772" s="34"/>
    </row>
    <row r="773" spans="6:8" s="27" customFormat="1">
      <c r="F773" s="33"/>
      <c r="H773" s="34"/>
    </row>
    <row r="774" spans="6:8" s="27" customFormat="1">
      <c r="F774" s="33"/>
      <c r="H774" s="34"/>
    </row>
    <row r="775" spans="6:8" s="27" customFormat="1">
      <c r="F775" s="33"/>
      <c r="H775" s="34"/>
    </row>
    <row r="776" spans="6:8" s="27" customFormat="1">
      <c r="F776" s="33"/>
      <c r="H776" s="34"/>
    </row>
    <row r="777" spans="6:8" s="27" customFormat="1">
      <c r="F777" s="33"/>
      <c r="H777" s="34"/>
    </row>
    <row r="778" spans="6:8" s="27" customFormat="1">
      <c r="F778" s="33"/>
      <c r="H778" s="34"/>
    </row>
    <row r="779" spans="6:8" s="27" customFormat="1">
      <c r="F779" s="33"/>
      <c r="H779" s="34"/>
    </row>
    <row r="780" spans="6:8" s="27" customFormat="1">
      <c r="F780" s="33"/>
      <c r="H780" s="34"/>
    </row>
    <row r="781" spans="6:8" s="27" customFormat="1">
      <c r="F781" s="33"/>
      <c r="H781" s="34"/>
    </row>
    <row r="782" spans="6:8" s="27" customFormat="1">
      <c r="F782" s="33"/>
      <c r="H782" s="34"/>
    </row>
    <row r="783" spans="6:8" s="27" customFormat="1">
      <c r="F783" s="33"/>
      <c r="H783" s="34"/>
    </row>
    <row r="784" spans="6:8" s="27" customFormat="1">
      <c r="F784" s="33"/>
      <c r="H784" s="34"/>
    </row>
    <row r="785" spans="6:8" s="27" customFormat="1">
      <c r="F785" s="33"/>
      <c r="H785" s="34"/>
    </row>
    <row r="786" spans="6:8" s="27" customFormat="1">
      <c r="F786" s="33"/>
      <c r="H786" s="34"/>
    </row>
    <row r="787" spans="6:8" s="27" customFormat="1">
      <c r="F787" s="33"/>
      <c r="H787" s="34"/>
    </row>
    <row r="788" spans="6:8" s="27" customFormat="1">
      <c r="F788" s="33"/>
      <c r="H788" s="34"/>
    </row>
    <row r="789" spans="6:8" s="27" customFormat="1">
      <c r="F789" s="33"/>
      <c r="H789" s="34"/>
    </row>
    <row r="790" spans="6:8" s="27" customFormat="1">
      <c r="F790" s="33"/>
      <c r="H790" s="34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MIIOF</vt:lpstr>
      <vt:lpstr>MAEBF</vt:lpstr>
      <vt:lpstr>MICCF</vt:lpstr>
      <vt:lpstr>MICHF</vt:lpstr>
      <vt:lpstr>MIGCS</vt:lpstr>
      <vt:lpstr>MACMF</vt:lpstr>
      <vt:lpstr>MILPF</vt:lpstr>
      <vt:lpstr>MISTB</vt:lpstr>
      <vt:lpstr>MAFM368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Anshul-a Jain</dc:creator>
  <cp:lastModifiedBy>Harshad Iyer</cp:lastModifiedBy>
  <dcterms:created xsi:type="dcterms:W3CDTF">2015-02-05T07:28:06Z</dcterms:created>
  <dcterms:modified xsi:type="dcterms:W3CDTF">2015-02-09T09:11:38Z</dcterms:modified>
</cp:coreProperties>
</file>