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30" windowWidth="14940" windowHeight="9090"/>
  </bookViews>
  <sheets>
    <sheet name="MIIOF" sheetId="6" r:id="rId1"/>
    <sheet name="MAEBF" sheetId="2" r:id="rId2"/>
    <sheet name="MICCF" sheetId="3" r:id="rId3"/>
    <sheet name="MIGCS" sheetId="5" r:id="rId4"/>
    <sheet name="MICHF" sheetId="4" r:id="rId5"/>
    <sheet name="MACMF" sheetId="1" r:id="rId6"/>
    <sheet name="MILPF" sheetId="7" r:id="rId7"/>
    <sheet name="MISTB" sheetId="8" r:id="rId8"/>
  </sheets>
  <definedNames>
    <definedName name="_xlnm._FilterDatabase" localSheetId="2" hidden="1">MICCF!$A$5:$G$59</definedName>
  </definedNames>
  <calcPr calcId="145621"/>
</workbook>
</file>

<file path=xl/calcChain.xml><?xml version="1.0" encoding="utf-8"?>
<calcChain xmlns="http://schemas.openxmlformats.org/spreadsheetml/2006/main">
  <c r="F90" i="2" l="1"/>
  <c r="G90" i="2"/>
  <c r="G30" i="8"/>
  <c r="F30" i="8"/>
  <c r="G32" i="7"/>
  <c r="F32" i="7"/>
  <c r="G34" i="1"/>
  <c r="F34" i="1"/>
  <c r="G27" i="4"/>
  <c r="F27" i="4"/>
  <c r="G61" i="5"/>
  <c r="F61" i="5"/>
  <c r="G79" i="3"/>
  <c r="F79" i="3"/>
  <c r="G86" i="6" l="1"/>
  <c r="F86" i="6"/>
  <c r="G42" i="5" l="1"/>
  <c r="F42" i="5"/>
  <c r="G17" i="5"/>
  <c r="F17" i="5"/>
  <c r="G60" i="3"/>
  <c r="F60" i="3"/>
  <c r="G47" i="3"/>
  <c r="F47" i="3"/>
  <c r="G39" i="3"/>
  <c r="F39" i="3"/>
</calcChain>
</file>

<file path=xl/sharedStrings.xml><?xml version="1.0" encoding="utf-8"?>
<sst xmlns="http://schemas.openxmlformats.org/spreadsheetml/2006/main" count="1314" uniqueCount="390">
  <si>
    <t>Mirae Asset Cash Management Fund</t>
  </si>
  <si>
    <t/>
  </si>
  <si>
    <t>Monthly Portfolio Statement as on June 30,2015</t>
  </si>
  <si>
    <t>Name of the Instrument</t>
  </si>
  <si>
    <t>ISIN</t>
  </si>
  <si>
    <t>Rating</t>
  </si>
  <si>
    <t>Quantity</t>
  </si>
  <si>
    <t>Market/Fair Value
 (Rs. in Lacs)</t>
  </si>
  <si>
    <t>% to Net
 Assets</t>
  </si>
  <si>
    <t>Money Market Instruments</t>
  </si>
  <si>
    <t>Certificate of Deposit</t>
  </si>
  <si>
    <t>Union Bank of India (24/07/2015) ** #</t>
  </si>
  <si>
    <t>INE692A16EJ7</t>
  </si>
  <si>
    <t>CRISIL A1+</t>
  </si>
  <si>
    <t>Oriental Bank of Commerce (06/07/2015) #</t>
  </si>
  <si>
    <t>INE141A16UD4</t>
  </si>
  <si>
    <t>Indusind Bank Ltd (15/07/2015) ** #</t>
  </si>
  <si>
    <t>INE095A16QJ7</t>
  </si>
  <si>
    <t>IDBI Bank Ltd (04/08/2015) #</t>
  </si>
  <si>
    <t>INE008A16B20</t>
  </si>
  <si>
    <t>Axis Bank Ltd (17/08/2015) ** #</t>
  </si>
  <si>
    <t>INE238A16ZY3</t>
  </si>
  <si>
    <t>Corporation Bank (21/08/2015) ** #</t>
  </si>
  <si>
    <t>INE112A16HW2</t>
  </si>
  <si>
    <t>Andhra Bank (25/08/2015) ** #</t>
  </si>
  <si>
    <t>INE434A16LR2</t>
  </si>
  <si>
    <t>ICRA A1+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</si>
  <si>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</si>
  <si>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</si>
  <si>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</si>
  <si>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</si>
  <si>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</si>
  <si>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</si>
  <si>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</si>
  <si>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</si>
  <si>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</si>
  <si>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</si>
  <si>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</si>
  <si>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</si>
  <si>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</si>
  <si>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Kotak Mahindra Bank Ltd</t>
  </si>
  <si>
    <t>INE237A01028</t>
  </si>
  <si>
    <t>Banks</t>
  </si>
  <si>
    <t>Hindustan Petroleum Corporation Ltd</t>
  </si>
  <si>
    <t>INE094A01015</t>
  </si>
  <si>
    <t>Petroleum Products</t>
  </si>
  <si>
    <t>Yes Bank Ltd</t>
  </si>
  <si>
    <t>INE528G01019</t>
  </si>
  <si>
    <t>Sundaram Finance Ltd</t>
  </si>
  <si>
    <t>INE660A01013</t>
  </si>
  <si>
    <t>Finance</t>
  </si>
  <si>
    <t>ICICI Bank Ltd</t>
  </si>
  <si>
    <t>INE090A01021</t>
  </si>
  <si>
    <t>Amara Raja Batteries Ltd</t>
  </si>
  <si>
    <t>INE885A01032</t>
  </si>
  <si>
    <t>Auto Ancillaries</t>
  </si>
  <si>
    <t>The Federal Bank  Ltd</t>
  </si>
  <si>
    <t>INE171A01029</t>
  </si>
  <si>
    <t>Natco Pharma Ltd</t>
  </si>
  <si>
    <t>INE987B01018</t>
  </si>
  <si>
    <t>Pharmaceuticals</t>
  </si>
  <si>
    <t>Glenmark Pharmaceuticals Ltd</t>
  </si>
  <si>
    <t>INE935A01035</t>
  </si>
  <si>
    <t>FAG Bearings India Ltd</t>
  </si>
  <si>
    <t>INE513A01014</t>
  </si>
  <si>
    <t>Industrial Products</t>
  </si>
  <si>
    <t>Info Edge (India) Ltd</t>
  </si>
  <si>
    <t>INE663F01024</t>
  </si>
  <si>
    <t>Software</t>
  </si>
  <si>
    <t>IPCA Laboratories Ltd</t>
  </si>
  <si>
    <t>INE571A01020</t>
  </si>
  <si>
    <t>Tata Chemicals Ltd</t>
  </si>
  <si>
    <t>INE092A01019</t>
  </si>
  <si>
    <t>Chemicals</t>
  </si>
  <si>
    <t>Gateway Distriparks Ltd</t>
  </si>
  <si>
    <t>INE852F01015</t>
  </si>
  <si>
    <t>Transportation</t>
  </si>
  <si>
    <t>Voltas Ltd</t>
  </si>
  <si>
    <t>INE226A01021</t>
  </si>
  <si>
    <t>Construction Project</t>
  </si>
  <si>
    <t>Asian Paints Ltd</t>
  </si>
  <si>
    <t>INE021A01026</t>
  </si>
  <si>
    <t>Consumer Non Durables</t>
  </si>
  <si>
    <t>Bharat Forge Ltd</t>
  </si>
  <si>
    <t>INE465A01025</t>
  </si>
  <si>
    <t>JK Cement Ltd</t>
  </si>
  <si>
    <t>INE823G01014</t>
  </si>
  <si>
    <t>Cement</t>
  </si>
  <si>
    <t>Torrent Pharmaceuticals Ltd</t>
  </si>
  <si>
    <t>INE685A01028</t>
  </si>
  <si>
    <t>Emami Ltd</t>
  </si>
  <si>
    <t>INE548C01032</t>
  </si>
  <si>
    <t>Ramkrishna Forgings Ltd</t>
  </si>
  <si>
    <t>INE399G01015</t>
  </si>
  <si>
    <t>Atul Ltd</t>
  </si>
  <si>
    <t>INE100A01010</t>
  </si>
  <si>
    <t>AIA Engineering Ltd</t>
  </si>
  <si>
    <t>INE212H01026</t>
  </si>
  <si>
    <t>Coromandel International Ltd</t>
  </si>
  <si>
    <t>INE169A01031</t>
  </si>
  <si>
    <t>Fertilisers</t>
  </si>
  <si>
    <t>Crompton  Greaves Ltd</t>
  </si>
  <si>
    <t>INE067A01029</t>
  </si>
  <si>
    <t>Industrial Capital Goods</t>
  </si>
  <si>
    <t>HSIL Ltd</t>
  </si>
  <si>
    <t>INE415A01038</t>
  </si>
  <si>
    <t>Consumer Durables</t>
  </si>
  <si>
    <t>Carborundum Universal Ltd</t>
  </si>
  <si>
    <t>INE120A01034</t>
  </si>
  <si>
    <t>KEC International Ltd</t>
  </si>
  <si>
    <t>INE389H01022</t>
  </si>
  <si>
    <t>LIC Housing Finance Ltd</t>
  </si>
  <si>
    <t>INE115A01026</t>
  </si>
  <si>
    <t>Akzo Nobel India Ltd</t>
  </si>
  <si>
    <t>INE133A01011</t>
  </si>
  <si>
    <t>Gillette India Ltd</t>
  </si>
  <si>
    <t>INE322A01010</t>
  </si>
  <si>
    <t>Karur Vysya Bank Ltd</t>
  </si>
  <si>
    <t>INE036D01010</t>
  </si>
  <si>
    <t>Gulf Oil Lubricants India Ltd</t>
  </si>
  <si>
    <t>INE635Q01029</t>
  </si>
  <si>
    <t>Indusind Bank Ltd</t>
  </si>
  <si>
    <t>INE095A01012</t>
  </si>
  <si>
    <t>Dewan Housing Finance Corporation Ltd</t>
  </si>
  <si>
    <t>INE202B01012</t>
  </si>
  <si>
    <t>Exide Industries Ltd</t>
  </si>
  <si>
    <t>INE302A01020</t>
  </si>
  <si>
    <t>Vinati Organics Ltd</t>
  </si>
  <si>
    <t>INE410B01029</t>
  </si>
  <si>
    <t>Britannia Industries Ltd</t>
  </si>
  <si>
    <t>INE216A01022</t>
  </si>
  <si>
    <t>VST Tillers Tractors Ltd</t>
  </si>
  <si>
    <t>INE764D01017</t>
  </si>
  <si>
    <t>Auto</t>
  </si>
  <si>
    <t>Bajaj Finance Ltd</t>
  </si>
  <si>
    <t>INE296A01016</t>
  </si>
  <si>
    <t>Multi Commodity Exchange of India Ltd</t>
  </si>
  <si>
    <t>INE745G01035</t>
  </si>
  <si>
    <t>Eclerx Services Ltd</t>
  </si>
  <si>
    <t>INE738I01010</t>
  </si>
  <si>
    <t>Prism CEMENT Ltd</t>
  </si>
  <si>
    <t>INE010A01011</t>
  </si>
  <si>
    <t>Thermax Ltd</t>
  </si>
  <si>
    <t>INE152A01029</t>
  </si>
  <si>
    <t>Divi's Laboratories Ltd</t>
  </si>
  <si>
    <t>INE361B01024</t>
  </si>
  <si>
    <t>Pidilite Industries Ltd</t>
  </si>
  <si>
    <t>INE318A01026</t>
  </si>
  <si>
    <t>Petronet LNG Ltd</t>
  </si>
  <si>
    <t>INE347G01014</t>
  </si>
  <si>
    <t>Gas</t>
  </si>
  <si>
    <t>Godfrey Phillips India Ltd</t>
  </si>
  <si>
    <t>INE260B01028</t>
  </si>
  <si>
    <t>Triveni Turbine Ltd</t>
  </si>
  <si>
    <t>INE152M01016</t>
  </si>
  <si>
    <t>Gayatri Projects Ltd</t>
  </si>
  <si>
    <t>INE336H01015</t>
  </si>
  <si>
    <t>Construction</t>
  </si>
  <si>
    <t>Welspun India Ltd</t>
  </si>
  <si>
    <t>INE192B01023</t>
  </si>
  <si>
    <t>Textile Products</t>
  </si>
  <si>
    <t>Indian Bank</t>
  </si>
  <si>
    <t>INE562A01011</t>
  </si>
  <si>
    <t>IRB Infrastructure Developers Ltd</t>
  </si>
  <si>
    <t>INE821I01014</t>
  </si>
  <si>
    <t>Solar Industries India Ltd</t>
  </si>
  <si>
    <t>INE343H01011</t>
  </si>
  <si>
    <t>HT Media Ltd</t>
  </si>
  <si>
    <t>INE501G01024</t>
  </si>
  <si>
    <t>Media &amp; Entertainment</t>
  </si>
  <si>
    <t>CESC Ltd</t>
  </si>
  <si>
    <t>INE486A01013</t>
  </si>
  <si>
    <t>Power</t>
  </si>
  <si>
    <t>NIIT Technologies Ltd</t>
  </si>
  <si>
    <t>INE591G01017</t>
  </si>
  <si>
    <t>Blue Dart Express Ltd</t>
  </si>
  <si>
    <t>INE233B01017</t>
  </si>
  <si>
    <t>Tech Mahindra Ltd</t>
  </si>
  <si>
    <t>INE669C01036</t>
  </si>
  <si>
    <t>Gulf Oil Corporation Ltd</t>
  </si>
  <si>
    <t>INE077F01035</t>
  </si>
  <si>
    <t>Sun TV Network Ltd</t>
  </si>
  <si>
    <t>INE424H01027</t>
  </si>
  <si>
    <t>Oil India Ltd</t>
  </si>
  <si>
    <t>INE274J01014</t>
  </si>
  <si>
    <t>Oil</t>
  </si>
  <si>
    <t>Eicher Motors Ltd</t>
  </si>
  <si>
    <t>INE066A01013</t>
  </si>
  <si>
    <t>$0.00%</t>
  </si>
  <si>
    <t>Titan Company Limited</t>
  </si>
  <si>
    <t>INE280A01028</t>
  </si>
  <si>
    <t>(b) Unlisted</t>
  </si>
  <si>
    <t>NIL</t>
  </si>
  <si>
    <t xml:space="preserve">$  Less Than 0.01% of Net Asset Value </t>
  </si>
  <si>
    <t>Mirae Asset India China Consumption Fund</t>
  </si>
  <si>
    <t>HDFC Bank Ltd</t>
  </si>
  <si>
    <t>INE040A01026</t>
  </si>
  <si>
    <t>Maruti Suzuki India Ltd</t>
  </si>
  <si>
    <t>INE585B01010</t>
  </si>
  <si>
    <t>Tencent Holdings</t>
  </si>
  <si>
    <t>KYG875721634</t>
  </si>
  <si>
    <t>Internet Software &amp; Services</t>
  </si>
  <si>
    <t>ITC Ltd</t>
  </si>
  <si>
    <t>INE154A01025</t>
  </si>
  <si>
    <t>Ping An Ins Grp-H</t>
  </si>
  <si>
    <t>CNE1000003X6</t>
  </si>
  <si>
    <t>Life &amp; Health Insurance</t>
  </si>
  <si>
    <t>Samsonite  International  S A</t>
  </si>
  <si>
    <t>LU0633102719</t>
  </si>
  <si>
    <t>Apparel, Accessories and Luxury Goods</t>
  </si>
  <si>
    <t>State Bank of India</t>
  </si>
  <si>
    <t>INE062A01020</t>
  </si>
  <si>
    <t>AIA GROUP LTD</t>
  </si>
  <si>
    <t>HK0000069689</t>
  </si>
  <si>
    <t>IN9155A01020</t>
  </si>
  <si>
    <t>ALIBABA GROUP HOLDING ADR</t>
  </si>
  <si>
    <t>US01609W1027</t>
  </si>
  <si>
    <t>Procter &amp; Gamble Hygiene and Health Care Ltd</t>
  </si>
  <si>
    <t>INE179A01014</t>
  </si>
  <si>
    <t>Housing Development Finance Corporation Ltd</t>
  </si>
  <si>
    <t>INE001A01036</t>
  </si>
  <si>
    <t>Vipshop Holding Ltd</t>
  </si>
  <si>
    <t>US92763W1036</t>
  </si>
  <si>
    <t>Miscellaneous</t>
  </si>
  <si>
    <t>Glaxosmithkline Consumer Healthcare Ltd</t>
  </si>
  <si>
    <t>INE264A01014</t>
  </si>
  <si>
    <t>Colgate Palmolive (India) Ltd</t>
  </si>
  <si>
    <t>INE259A01022</t>
  </si>
  <si>
    <t>Luye Pharma Group Ltd</t>
  </si>
  <si>
    <t>BMG570071099</t>
  </si>
  <si>
    <t>JD Com Inc ADR</t>
  </si>
  <si>
    <t>US47215P1066</t>
  </si>
  <si>
    <t>Hero MotoCorp Ltd</t>
  </si>
  <si>
    <t>INE158A01026</t>
  </si>
  <si>
    <t>Lenovo Group Ltd</t>
  </si>
  <si>
    <t>HK0992009065</t>
  </si>
  <si>
    <t>Computer Hardware</t>
  </si>
  <si>
    <t>Sihuan Pharmaceutical Holdings Group Ord Shs</t>
  </si>
  <si>
    <t>BMG8162K1137</t>
  </si>
  <si>
    <t>Baidu Sp ADR-A</t>
  </si>
  <si>
    <t>US0567521085</t>
  </si>
  <si>
    <t>Bharti Airtel Ltd</t>
  </si>
  <si>
    <t>INE397D01024</t>
  </si>
  <si>
    <t>Telecom - Services</t>
  </si>
  <si>
    <t>China Life Insurance Co Ltd</t>
  </si>
  <si>
    <t>CNE1000002L3</t>
  </si>
  <si>
    <t>CSPC Pharmaceutical Group Ltd</t>
  </si>
  <si>
    <t>HK1093012172</t>
  </si>
  <si>
    <t>Brilliance China Automotive Holdings Ltd</t>
  </si>
  <si>
    <t>BMG1368B1028</t>
  </si>
  <si>
    <t>Automobile Manufacturers</t>
  </si>
  <si>
    <t>Mirae Asset China Advantage Fund</t>
  </si>
  <si>
    <t>Industry / Rating</t>
  </si>
  <si>
    <t>Others</t>
  </si>
  <si>
    <t>International  Mutual Fund Units</t>
  </si>
  <si>
    <t>Mirae Asset China Sector Leader Eq Class X Cap USD</t>
  </si>
  <si>
    <t>LU0587760769</t>
  </si>
  <si>
    <t>Mirae Asset Global Commodity Stocks Fund</t>
  </si>
  <si>
    <t>Reliance Industries Ltd</t>
  </si>
  <si>
    <t>INE002A01018</t>
  </si>
  <si>
    <t>Oil &amp; Natural Gas Corporation Ltd</t>
  </si>
  <si>
    <t>INE213A01029</t>
  </si>
  <si>
    <t>BHP Billiton Ltd</t>
  </si>
  <si>
    <t>AU000000BHP4</t>
  </si>
  <si>
    <t>Diversified Metals &amp; Mining</t>
  </si>
  <si>
    <t>Petrochina Company Ltd</t>
  </si>
  <si>
    <t>CNE1000003W8</t>
  </si>
  <si>
    <t>Integrated Oil &amp; Gas</t>
  </si>
  <si>
    <t>China Petroleum -H-</t>
  </si>
  <si>
    <t>CNE1000002Q2</t>
  </si>
  <si>
    <t>Cnooc Ltd</t>
  </si>
  <si>
    <t>HK0883013259</t>
  </si>
  <si>
    <t>Oil &amp; Gas Exploration &amp; Production</t>
  </si>
  <si>
    <t>Rio Tinto Ltd</t>
  </si>
  <si>
    <t>AU000000RIO1</t>
  </si>
  <si>
    <t>Coal India Ltd</t>
  </si>
  <si>
    <t>INE522F01014</t>
  </si>
  <si>
    <t>Minerals/Mining</t>
  </si>
  <si>
    <t>Woodside Petroleum Ltd</t>
  </si>
  <si>
    <t>AU000000WPL2</t>
  </si>
  <si>
    <t>Vedanta Ltd</t>
  </si>
  <si>
    <t>INE205A01025</t>
  </si>
  <si>
    <t>Non - Ferrous Metals</t>
  </si>
  <si>
    <t>AMCOR LIMITED</t>
  </si>
  <si>
    <t>AU000000AMC4</t>
  </si>
  <si>
    <t>Paper Packaging</t>
  </si>
  <si>
    <t>Origin Energy Ltd</t>
  </si>
  <si>
    <t>AU000000ORG5</t>
  </si>
  <si>
    <t>China Shenhua - H</t>
  </si>
  <si>
    <t>CNE1000002R0</t>
  </si>
  <si>
    <t>Coal &amp; Consumable Fuels</t>
  </si>
  <si>
    <t>Orica Ltd</t>
  </si>
  <si>
    <t>AU000000ORI1</t>
  </si>
  <si>
    <t>Commodity Chemicals</t>
  </si>
  <si>
    <t>Bharat Petroleum Corporation Ltd</t>
  </si>
  <si>
    <t>INE029A01011</t>
  </si>
  <si>
    <t>Santos Ltd-AUD</t>
  </si>
  <si>
    <t>AU000000STO6</t>
  </si>
  <si>
    <t>Anhui Conch -H-</t>
  </si>
  <si>
    <t>CNE1000001W2</t>
  </si>
  <si>
    <t>Construction Materials</t>
  </si>
  <si>
    <t>Oil Search Ltd</t>
  </si>
  <si>
    <t>PG0008579883</t>
  </si>
  <si>
    <t>LG Chemicals Ltd</t>
  </si>
  <si>
    <t>KR7051910008</t>
  </si>
  <si>
    <t>Kunlun Energy Company Ltd</t>
  </si>
  <si>
    <t>BMG5320C1082</t>
  </si>
  <si>
    <t>SK Innovation Co Ltd</t>
  </si>
  <si>
    <t>KR7096770003</t>
  </si>
  <si>
    <t>Oil &amp; Gas Refining &amp; Marketing</t>
  </si>
  <si>
    <t>Hindalco Industries Ltd</t>
  </si>
  <si>
    <t>INE038A01020</t>
  </si>
  <si>
    <t>POSCO (Pohang Iron &amp; Steel Co Ltd )</t>
  </si>
  <si>
    <t>KR7005490008</t>
  </si>
  <si>
    <t>Steel</t>
  </si>
  <si>
    <t>Jiangxi Copper Company Ltd</t>
  </si>
  <si>
    <t>CNE1000003K3</t>
  </si>
  <si>
    <t>PT Semen Indonesia ( Persero) TBK</t>
  </si>
  <si>
    <t>ID1000106800</t>
  </si>
  <si>
    <t>China National Building Materia Ltd</t>
  </si>
  <si>
    <t>CNE1000002N9</t>
  </si>
  <si>
    <t>Cairn India Ltd</t>
  </si>
  <si>
    <t>INE910H01017</t>
  </si>
  <si>
    <t>Orora Ltd</t>
  </si>
  <si>
    <t>AU000000ORA8</t>
  </si>
  <si>
    <t>Mirae Asset India Opportunities Fund</t>
  </si>
  <si>
    <t>Larsen &amp; Toubro Ltd</t>
  </si>
  <si>
    <t>INE018A01030</t>
  </si>
  <si>
    <t>Tata Consultancy Services Ltd</t>
  </si>
  <si>
    <t>INE467B01029</t>
  </si>
  <si>
    <t>Sun Pharmaceuticals Industries Ltd</t>
  </si>
  <si>
    <t>INE044A01036</t>
  </si>
  <si>
    <t>Axis Bank Ltd</t>
  </si>
  <si>
    <t>INE238A01034</t>
  </si>
  <si>
    <t>Infosys Ltd</t>
  </si>
  <si>
    <t>INE009A01021</t>
  </si>
  <si>
    <t>Ultratech Cement Ltd</t>
  </si>
  <si>
    <t>INE481G01011</t>
  </si>
  <si>
    <t>HCL Technologies Ltd</t>
  </si>
  <si>
    <t>INE860A01027</t>
  </si>
  <si>
    <t>Tata Steel Ltd</t>
  </si>
  <si>
    <t>INE081A01012</t>
  </si>
  <si>
    <t>Ferrous Metals</t>
  </si>
  <si>
    <t>Adani Ports and Special Economic Zone Ltd</t>
  </si>
  <si>
    <t>INE742F01042</t>
  </si>
  <si>
    <t>Bank of Baroda</t>
  </si>
  <si>
    <t>INE028A01039</t>
  </si>
  <si>
    <t>Lupin Ltd</t>
  </si>
  <si>
    <t>INE326A01037</t>
  </si>
  <si>
    <t>Mirae Asset Ultra Short Term Bond Fund</t>
  </si>
  <si>
    <t>Andhra Bank (31/07/2015) ** #</t>
  </si>
  <si>
    <t>INE434A16LJ9</t>
  </si>
  <si>
    <t>CARE A1+</t>
  </si>
  <si>
    <t>Syndicate Bank (05/08/2015) ** #</t>
  </si>
  <si>
    <t>INE667A16FD9</t>
  </si>
  <si>
    <t>Axis Bank Ltd (19/01/2016) ** #</t>
  </si>
  <si>
    <t>INE238A16YO7</t>
  </si>
  <si>
    <t>Bank of India (09/06/2016) ** #</t>
  </si>
  <si>
    <t>INE084A16BS4</t>
  </si>
  <si>
    <t>Corporation Bank (08/12/2015) ** #</t>
  </si>
  <si>
    <t>INE112A16HG5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</si>
  <si>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</si>
  <si>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</si>
  <si>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</si>
  <si>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</si>
  <si>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</si>
  <si>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</si>
  <si>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</si>
  <si>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* Industry classification as recommended by AMFI.</t>
  </si>
  <si>
    <t>(a) Listed/Awaiting Listing on Stock Exchanges</t>
  </si>
  <si>
    <t>American Depository Receipt</t>
  </si>
  <si>
    <t>India Equity Share*</t>
  </si>
  <si>
    <t>FOREIGN SECURITIES/OVERSEAS ETFS@@</t>
  </si>
  <si>
    <t>International Equity Shares</t>
  </si>
  <si>
    <t>@@ Industry Classification as per GICS Sub-Industry Classification</t>
  </si>
  <si>
    <t>Tata Motors Ltd DVR Shares</t>
  </si>
  <si>
    <t>(An Open - Ended Liquid Scheme)</t>
  </si>
  <si>
    <t>Average maturity in days</t>
  </si>
  <si>
    <r>
      <t>Industry</t>
    </r>
    <r>
      <rPr>
        <sz val="10"/>
        <rFont val="Tahoma"/>
        <family val="2"/>
      </rPr>
      <t>*</t>
    </r>
  </si>
  <si>
    <t>OTHERS</t>
  </si>
  <si>
    <t>Portfolio Turnover Ratio^</t>
  </si>
  <si>
    <t>^Basis last rolling 12 month</t>
  </si>
  <si>
    <t xml:space="preserve"> (An Open - Ended Equity Fund)</t>
  </si>
  <si>
    <t>(An Open - Ended Equity Oriented Scheme)</t>
  </si>
  <si>
    <t>(An Open - Ended Fund of Funds Scheme)</t>
  </si>
  <si>
    <t>(An Open - Ended Debt Scheme)</t>
  </si>
  <si>
    <t>% to Net
Assets</t>
  </si>
  <si>
    <t>26.77 days</t>
  </si>
  <si>
    <t>85.25 days</t>
  </si>
  <si>
    <t>150.74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</si>
</sst>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(#,##0.00\)"/>
  </numFmts>
  <fonts count="21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color indexed="9"/>
      <name val="Arial"/>
      <family val="2"/>
    </font>
    <font>
      <sz val="10"/>
      <name val="Arial"/>
      <family val="2"/>
    </font>
    <font>
      <b/>
      <sz val="9"/>
      <color indexed="72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9"/>
      <color indexed="72"/>
      <name val="Tahoma"/>
      <family val="2"/>
    </font>
    <font>
      <b/>
      <sz val="10"/>
      <color indexed="72"/>
      <name val="Tahoma"/>
      <family val="2"/>
    </font>
    <font>
      <b/>
      <sz val="10"/>
      <color theme="1"/>
      <name val="Tahoma"/>
      <family val="2"/>
    </font>
    <font>
      <sz val="10"/>
      <color indexed="72"/>
      <name val="Tahoma"/>
      <family val="2"/>
    </font>
    <font>
      <b/>
      <sz val="10"/>
      <name val="Tahoma"/>
      <family val="2"/>
    </font>
    <font>
      <b/>
      <sz val="14"/>
      <name val="Tahoma"/>
      <family val="2"/>
    </font>
    <font>
      <b/>
      <sz val="9"/>
      <name val="Tahoma"/>
      <family val="2"/>
    </font>
    <font>
      <b/>
      <sz val="9"/>
      <color theme="1"/>
      <name val="Tahoma"/>
      <family val="2"/>
    </font>
    <font>
      <sz val="10"/>
      <color indexed="9"/>
      <name val="Tahoma"/>
      <family val="2"/>
    </font>
    <font>
      <b/>
      <sz val="10"/>
      <color rgb="FF000000"/>
      <name val="Calibri"/>
      <family val="2"/>
    </font>
    <font>
      <b/>
      <sz val="15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</cellStyleXfs>
  <cellXfs count="15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/>
    <xf numFmtId="10" fontId="1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/>
    <xf numFmtId="0" fontId="7" fillId="0" borderId="2" xfId="0" applyFont="1" applyBorder="1"/>
    <xf numFmtId="0" fontId="6" fillId="0" borderId="1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left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4" fontId="10" fillId="0" borderId="2" xfId="0" applyNumberFormat="1" applyFont="1" applyFill="1" applyBorder="1" applyAlignment="1" applyProtection="1">
      <alignment horizontal="center" vertical="center" wrapText="1"/>
    </xf>
    <xf numFmtId="0" fontId="11" fillId="0" borderId="2" xfId="0" applyFont="1" applyBorder="1"/>
    <xf numFmtId="0" fontId="7" fillId="0" borderId="2" xfId="0" applyNumberFormat="1" applyFont="1" applyFill="1" applyBorder="1" applyAlignment="1" applyProtection="1">
      <alignment horizontal="center" vertical="center" wrapText="1"/>
    </xf>
    <xf numFmtId="4" fontId="7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left" vertical="top" wrapText="1"/>
    </xf>
    <xf numFmtId="0" fontId="12" fillId="0" borderId="2" xfId="0" applyNumberFormat="1" applyFont="1" applyFill="1" applyBorder="1" applyAlignment="1" applyProtection="1">
      <alignment horizontal="left" vertical="top" wrapText="1"/>
    </xf>
    <xf numFmtId="4" fontId="12" fillId="0" borderId="2" xfId="0" applyNumberFormat="1" applyFont="1" applyFill="1" applyBorder="1" applyAlignment="1" applyProtection="1">
      <alignment horizontal="left" vertical="top" wrapText="1"/>
    </xf>
    <xf numFmtId="3" fontId="12" fillId="0" borderId="2" xfId="0" applyNumberFormat="1" applyFont="1" applyFill="1" applyBorder="1" applyAlignment="1" applyProtection="1">
      <alignment horizontal="right" vertical="top" wrapText="1"/>
    </xf>
    <xf numFmtId="4" fontId="12" fillId="0" borderId="2" xfId="0" applyNumberFormat="1" applyFont="1" applyFill="1" applyBorder="1" applyAlignment="1" applyProtection="1">
      <alignment horizontal="right" vertical="top" wrapText="1"/>
    </xf>
    <xf numFmtId="4" fontId="10" fillId="0" borderId="2" xfId="0" applyNumberFormat="1" applyFont="1" applyFill="1" applyBorder="1" applyAlignment="1" applyProtection="1">
      <alignment horizontal="right" vertical="top" wrapText="1"/>
    </xf>
    <xf numFmtId="0" fontId="10" fillId="0" borderId="1" xfId="0" applyNumberFormat="1" applyFont="1" applyFill="1" applyBorder="1" applyAlignment="1" applyProtection="1">
      <alignment horizontal="left" vertical="top" wrapText="1"/>
    </xf>
    <xf numFmtId="0" fontId="11" fillId="0" borderId="1" xfId="0" applyFont="1" applyBorder="1"/>
    <xf numFmtId="10" fontId="10" fillId="0" borderId="3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/>
    <xf numFmtId="10" fontId="7" fillId="0" borderId="3" xfId="0" applyNumberFormat="1" applyFont="1" applyFill="1" applyBorder="1" applyAlignment="1" applyProtection="1">
      <alignment horizontal="center" vertical="center" wrapText="1"/>
    </xf>
    <xf numFmtId="10" fontId="12" fillId="0" borderId="3" xfId="0" applyNumberFormat="1" applyFont="1" applyFill="1" applyBorder="1" applyAlignment="1" applyProtection="1">
      <alignment horizontal="left" vertical="top" wrapText="1"/>
    </xf>
    <xf numFmtId="0" fontId="12" fillId="0" borderId="1" xfId="0" applyNumberFormat="1" applyFont="1" applyFill="1" applyBorder="1" applyAlignment="1" applyProtection="1">
      <alignment horizontal="left" vertical="top" wrapText="1"/>
    </xf>
    <xf numFmtId="10" fontId="12" fillId="0" borderId="3" xfId="0" applyNumberFormat="1" applyFont="1" applyFill="1" applyBorder="1" applyAlignment="1" applyProtection="1">
      <alignment horizontal="right" vertical="top" wrapText="1"/>
    </xf>
    <xf numFmtId="10" fontId="10" fillId="0" borderId="3" xfId="0" applyNumberFormat="1" applyFont="1" applyFill="1" applyBorder="1" applyAlignment="1" applyProtection="1">
      <alignment horizontal="right" vertical="top" wrapText="1"/>
    </xf>
    <xf numFmtId="0" fontId="11" fillId="0" borderId="11" xfId="0" applyFont="1" applyBorder="1"/>
    <xf numFmtId="0" fontId="11" fillId="0" borderId="12" xfId="0" applyFont="1" applyBorder="1"/>
    <xf numFmtId="0" fontId="10" fillId="0" borderId="12" xfId="0" applyNumberFormat="1" applyFont="1" applyFill="1" applyBorder="1" applyAlignment="1" applyProtection="1">
      <alignment horizontal="center" vertical="center" wrapText="1"/>
    </xf>
    <xf numFmtId="4" fontId="10" fillId="0" borderId="12" xfId="0" applyNumberFormat="1" applyFont="1" applyFill="1" applyBorder="1" applyAlignment="1" applyProtection="1">
      <alignment horizontal="center" vertical="center" wrapText="1"/>
    </xf>
    <xf numFmtId="10" fontId="10" fillId="0" borderId="13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left" vertical="center" wrapText="1"/>
    </xf>
    <xf numFmtId="0" fontId="10" fillId="0" borderId="15" xfId="0" applyNumberFormat="1" applyFont="1" applyFill="1" applyBorder="1" applyAlignment="1" applyProtection="1">
      <alignment horizontal="left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4" fontId="10" fillId="0" borderId="15" xfId="0" applyNumberFormat="1" applyFont="1" applyFill="1" applyBorder="1" applyAlignment="1" applyProtection="1">
      <alignment horizontal="center" vertical="center" wrapText="1"/>
    </xf>
    <xf numFmtId="1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0" fontId="12" fillId="0" borderId="5" xfId="0" applyNumberFormat="1" applyFont="1" applyFill="1" applyBorder="1" applyAlignment="1" applyProtection="1">
      <alignment horizontal="left" vertical="top" wrapText="1"/>
    </xf>
    <xf numFmtId="4" fontId="10" fillId="0" borderId="5" xfId="0" applyNumberFormat="1" applyFont="1" applyFill="1" applyBorder="1" applyAlignment="1" applyProtection="1">
      <alignment horizontal="right" vertical="top" wrapText="1"/>
    </xf>
    <xf numFmtId="10" fontId="10" fillId="0" borderId="6" xfId="0" applyNumberFormat="1" applyFont="1" applyFill="1" applyBorder="1" applyAlignment="1" applyProtection="1">
      <alignment horizontal="right" vertical="top" wrapText="1"/>
    </xf>
    <xf numFmtId="0" fontId="10" fillId="0" borderId="14" xfId="0" applyNumberFormat="1" applyFont="1" applyFill="1" applyBorder="1" applyAlignment="1" applyProtection="1">
      <alignment horizontal="left" vertical="top" wrapText="1"/>
    </xf>
    <xf numFmtId="0" fontId="12" fillId="0" borderId="15" xfId="0" applyNumberFormat="1" applyFont="1" applyFill="1" applyBorder="1" applyAlignment="1" applyProtection="1">
      <alignment horizontal="left" vertical="top" wrapText="1"/>
    </xf>
    <xf numFmtId="4" fontId="10" fillId="0" borderId="15" xfId="0" applyNumberFormat="1" applyFont="1" applyFill="1" applyBorder="1" applyAlignment="1" applyProtection="1">
      <alignment horizontal="right" vertical="top" wrapText="1"/>
    </xf>
    <xf numFmtId="10" fontId="10" fillId="0" borderId="16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 applyProtection="1">
      <alignment horizontal="right" vertical="center" wrapText="1"/>
    </xf>
    <xf numFmtId="4" fontId="7" fillId="0" borderId="2" xfId="0" applyNumberFormat="1" applyFont="1" applyFill="1" applyBorder="1" applyAlignment="1" applyProtection="1">
      <alignment horizontal="right" vertical="center" wrapText="1"/>
    </xf>
    <xf numFmtId="10" fontId="7" fillId="0" borderId="3" xfId="0" applyNumberFormat="1" applyFont="1" applyFill="1" applyBorder="1" applyAlignment="1" applyProtection="1">
      <alignment horizontal="right" vertical="center" wrapText="1"/>
    </xf>
    <xf numFmtId="0" fontId="13" fillId="0" borderId="2" xfId="0" applyNumberFormat="1" applyFont="1" applyFill="1" applyBorder="1" applyAlignment="1" applyProtection="1">
      <alignment horizontal="right" vertical="center" wrapText="1"/>
    </xf>
    <xf numFmtId="0" fontId="13" fillId="0" borderId="3" xfId="0" applyNumberFormat="1" applyFont="1" applyFill="1" applyBorder="1" applyAlignment="1" applyProtection="1">
      <alignment horizontal="right" vertical="center" wrapText="1"/>
    </xf>
    <xf numFmtId="0" fontId="16" fillId="0" borderId="7" xfId="0" applyNumberFormat="1" applyFont="1" applyFill="1" applyBorder="1" applyAlignment="1" applyProtection="1">
      <alignment horizontal="center" wrapText="1"/>
    </xf>
    <xf numFmtId="2" fontId="6" fillId="0" borderId="23" xfId="0" applyNumberFormat="1" applyFont="1" applyFill="1" applyBorder="1" applyAlignment="1" applyProtection="1">
      <alignment horizontal="center" vertical="top" wrapText="1"/>
    </xf>
    <xf numFmtId="0" fontId="15" fillId="0" borderId="0" xfId="0" applyNumberFormat="1" applyFont="1" applyFill="1" applyBorder="1" applyAlignment="1" applyProtection="1">
      <alignment horizontal="left" vertical="top" wrapText="1"/>
    </xf>
    <xf numFmtId="10" fontId="7" fillId="0" borderId="3" xfId="0" applyNumberFormat="1" applyFont="1" applyFill="1" applyBorder="1" applyAlignment="1" applyProtection="1">
      <alignment horizontal="right" vertical="top" wrapText="1"/>
    </xf>
    <xf numFmtId="0" fontId="13" fillId="0" borderId="1" xfId="0" applyNumberFormat="1" applyFont="1" applyFill="1" applyBorder="1" applyAlignment="1" applyProtection="1">
      <alignment horizontal="left" vertical="top" wrapText="1"/>
    </xf>
    <xf numFmtId="0" fontId="13" fillId="0" borderId="2" xfId="0" applyNumberFormat="1" applyFont="1" applyFill="1" applyBorder="1" applyAlignment="1" applyProtection="1">
      <alignment horizontal="left" vertical="top" wrapText="1"/>
    </xf>
    <xf numFmtId="4" fontId="13" fillId="0" borderId="2" xfId="0" applyNumberFormat="1" applyFont="1" applyFill="1" applyBorder="1" applyAlignment="1" applyProtection="1">
      <alignment horizontal="right" vertical="top" wrapText="1"/>
    </xf>
    <xf numFmtId="10" fontId="13" fillId="0" borderId="3" xfId="0" applyNumberFormat="1" applyFont="1" applyFill="1" applyBorder="1" applyAlignment="1" applyProtection="1">
      <alignment horizontal="right" vertical="top" wrapText="1"/>
    </xf>
    <xf numFmtId="0" fontId="13" fillId="0" borderId="4" xfId="0" applyNumberFormat="1" applyFont="1" applyFill="1" applyBorder="1" applyAlignment="1" applyProtection="1">
      <alignment horizontal="left" vertical="top" wrapText="1"/>
    </xf>
    <xf numFmtId="0" fontId="13" fillId="0" borderId="5" xfId="0" applyNumberFormat="1" applyFont="1" applyFill="1" applyBorder="1" applyAlignment="1" applyProtection="1">
      <alignment horizontal="left" vertical="top" wrapText="1"/>
    </xf>
    <xf numFmtId="4" fontId="13" fillId="0" borderId="5" xfId="0" applyNumberFormat="1" applyFont="1" applyFill="1" applyBorder="1" applyAlignment="1" applyProtection="1">
      <alignment horizontal="right" vertical="top" wrapText="1"/>
    </xf>
    <xf numFmtId="0" fontId="12" fillId="0" borderId="2" xfId="0" applyNumberFormat="1" applyFont="1" applyFill="1" applyBorder="1" applyAlignment="1" applyProtection="1">
      <alignment horizontal="center" vertical="top" wrapText="1"/>
    </xf>
    <xf numFmtId="0" fontId="12" fillId="0" borderId="2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 applyProtection="1">
      <alignment horizontal="left" vertical="top" wrapText="1"/>
    </xf>
    <xf numFmtId="10" fontId="7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/>
    <xf numFmtId="0" fontId="10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/>
    <xf numFmtId="10" fontId="7" fillId="0" borderId="0" xfId="0" applyNumberFormat="1" applyFont="1" applyFill="1" applyBorder="1" applyAlignment="1"/>
    <xf numFmtId="0" fontId="10" fillId="0" borderId="0" xfId="0" applyNumberFormat="1" applyFont="1" applyFill="1" applyBorder="1" applyAlignment="1" applyProtection="1">
      <alignment horizontal="center" vertical="top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7" fillId="0" borderId="0" xfId="0" applyNumberFormat="1" applyFont="1" applyFill="1" applyBorder="1" applyAlignment="1" applyProtection="1">
      <alignment horizontal="left" vertical="top" wrapText="1"/>
    </xf>
    <xf numFmtId="0" fontId="2" fillId="0" borderId="2" xfId="0" applyNumberFormat="1" applyFont="1" applyFill="1" applyBorder="1" applyAlignment="1" applyProtection="1">
      <alignment horizontal="right" vertical="top" wrapText="1"/>
    </xf>
    <xf numFmtId="0" fontId="6" fillId="2" borderId="1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left" vertical="top" wrapText="1"/>
    </xf>
    <xf numFmtId="0" fontId="13" fillId="0" borderId="24" xfId="0" applyNumberFormat="1" applyFont="1" applyFill="1" applyBorder="1" applyAlignment="1" applyProtection="1">
      <alignment horizontal="left" vertical="top" wrapText="1"/>
    </xf>
    <xf numFmtId="2" fontId="18" fillId="0" borderId="7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left" vertical="top" wrapText="1"/>
    </xf>
    <xf numFmtId="0" fontId="2" fillId="0" borderId="3" xfId="0" applyNumberFormat="1" applyFont="1" applyFill="1" applyBorder="1" applyAlignment="1" applyProtection="1">
      <alignment horizontal="right" vertical="top" wrapText="1"/>
    </xf>
    <xf numFmtId="0" fontId="10" fillId="0" borderId="11" xfId="0" applyNumberFormat="1" applyFont="1" applyFill="1" applyBorder="1" applyAlignment="1" applyProtection="1">
      <alignment horizontal="left" vertical="top" wrapText="1"/>
    </xf>
    <xf numFmtId="0" fontId="12" fillId="0" borderId="12" xfId="0" applyNumberFormat="1" applyFont="1" applyFill="1" applyBorder="1" applyAlignment="1" applyProtection="1">
      <alignment horizontal="left" vertical="top" wrapText="1"/>
    </xf>
    <xf numFmtId="4" fontId="12" fillId="0" borderId="12" xfId="0" applyNumberFormat="1" applyFont="1" applyFill="1" applyBorder="1" applyAlignment="1" applyProtection="1">
      <alignment horizontal="left" vertical="top" wrapText="1"/>
    </xf>
    <xf numFmtId="10" fontId="12" fillId="0" borderId="13" xfId="0" applyNumberFormat="1" applyFont="1" applyFill="1" applyBorder="1" applyAlignment="1" applyProtection="1">
      <alignment horizontal="left" vertical="top" wrapText="1"/>
    </xf>
    <xf numFmtId="0" fontId="13" fillId="0" borderId="0" xfId="0" applyNumberFormat="1" applyFont="1" applyFill="1" applyBorder="1" applyAlignment="1"/>
    <xf numFmtId="2" fontId="13" fillId="0" borderId="2" xfId="0" applyNumberFormat="1" applyFont="1" applyFill="1" applyBorder="1" applyAlignment="1" applyProtection="1">
      <alignment horizontal="right" vertical="top" wrapText="1"/>
    </xf>
    <xf numFmtId="2" fontId="10" fillId="0" borderId="2" xfId="0" applyNumberFormat="1" applyFont="1" applyFill="1" applyBorder="1" applyAlignment="1" applyProtection="1">
      <alignment horizontal="right" vertical="top" wrapText="1"/>
    </xf>
    <xf numFmtId="2" fontId="12" fillId="0" borderId="2" xfId="0" applyNumberFormat="1" applyFont="1" applyFill="1" applyBorder="1" applyAlignment="1" applyProtection="1">
      <alignment horizontal="right" vertical="top" wrapText="1"/>
    </xf>
    <xf numFmtId="0" fontId="13" fillId="0" borderId="2" xfId="0" applyNumberFormat="1" applyFont="1" applyFill="1" applyBorder="1" applyAlignment="1" applyProtection="1">
      <alignment horizontal="right" vertical="top" wrapText="1"/>
    </xf>
    <xf numFmtId="0" fontId="10" fillId="0" borderId="1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right" vertical="top" wrapText="1"/>
    </xf>
    <xf numFmtId="0" fontId="15" fillId="2" borderId="24" xfId="0" applyNumberFormat="1" applyFont="1" applyFill="1" applyBorder="1" applyAlignment="1" applyProtection="1">
      <alignment horizontal="left" vertical="top" wrapText="1"/>
    </xf>
    <xf numFmtId="2" fontId="15" fillId="2" borderId="7" xfId="0" applyNumberFormat="1" applyFont="1" applyFill="1" applyBorder="1" applyAlignment="1" applyProtection="1">
      <alignment horizontal="center" vertical="top" wrapText="1"/>
    </xf>
    <xf numFmtId="0" fontId="11" fillId="0" borderId="2" xfId="0" applyNumberFormat="1" applyFont="1" applyFill="1" applyBorder="1" applyAlignment="1" applyProtection="1">
      <alignment horizontal="right" vertical="center"/>
    </xf>
    <xf numFmtId="0" fontId="11" fillId="0" borderId="11" xfId="0" applyFont="1" applyBorder="1" applyAlignment="1"/>
    <xf numFmtId="0" fontId="7" fillId="0" borderId="1" xfId="0" applyFont="1" applyBorder="1" applyAlignment="1"/>
    <xf numFmtId="0" fontId="11" fillId="0" borderId="1" xfId="0" applyFont="1" applyBorder="1" applyAlignment="1"/>
    <xf numFmtId="0" fontId="20" fillId="0" borderId="1" xfId="0" applyFont="1" applyBorder="1" applyAlignment="1"/>
    <xf numFmtId="0" fontId="11" fillId="0" borderId="3" xfId="0" applyNumberFormat="1" applyFont="1" applyFill="1" applyBorder="1" applyAlignment="1" applyProtection="1">
      <alignment horizontal="right" vertical="center"/>
    </xf>
    <xf numFmtId="0" fontId="10" fillId="0" borderId="12" xfId="0" applyNumberFormat="1" applyFont="1" applyFill="1" applyBorder="1" applyAlignment="1" applyProtection="1">
      <alignment horizontal="left" vertical="center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3" xfId="0" applyNumberFormat="1" applyFont="1" applyFill="1" applyBorder="1" applyAlignment="1" applyProtection="1">
      <alignment horizontal="right" vertical="top" wrapText="1"/>
    </xf>
    <xf numFmtId="164" fontId="13" fillId="0" borderId="2" xfId="0" applyNumberFormat="1" applyFont="1" applyFill="1" applyBorder="1" applyAlignment="1" applyProtection="1">
      <alignment horizontal="right" vertical="top" wrapText="1"/>
    </xf>
    <xf numFmtId="0" fontId="10" fillId="0" borderId="8" xfId="0" applyNumberFormat="1" applyFont="1" applyFill="1" applyBorder="1" applyAlignment="1" applyProtection="1">
      <alignment horizontal="left" vertical="top" wrapText="1"/>
    </xf>
    <xf numFmtId="0" fontId="12" fillId="0" borderId="9" xfId="0" applyNumberFormat="1" applyFont="1" applyFill="1" applyBorder="1" applyAlignment="1" applyProtection="1">
      <alignment horizontal="left" vertical="top" wrapText="1"/>
    </xf>
    <xf numFmtId="4" fontId="12" fillId="0" borderId="9" xfId="0" applyNumberFormat="1" applyFont="1" applyFill="1" applyBorder="1" applyAlignment="1" applyProtection="1">
      <alignment horizontal="left" vertical="top" wrapText="1"/>
    </xf>
    <xf numFmtId="10" fontId="12" fillId="0" borderId="10" xfId="0" applyNumberFormat="1" applyFont="1" applyFill="1" applyBorder="1" applyAlignment="1" applyProtection="1">
      <alignment horizontal="left" vertical="top" wrapText="1"/>
    </xf>
    <xf numFmtId="164" fontId="13" fillId="0" borderId="3" xfId="0" applyNumberFormat="1" applyFont="1" applyFill="1" applyBorder="1" applyAlignment="1" applyProtection="1">
      <alignment horizontal="right" vertical="top" wrapText="1"/>
    </xf>
    <xf numFmtId="0" fontId="9" fillId="2" borderId="0" xfId="0" applyNumberFormat="1" applyFont="1" applyFill="1" applyBorder="1" applyAlignment="1" applyProtection="1">
      <alignment horizontal="left" vertical="top" wrapText="1"/>
    </xf>
    <xf numFmtId="0" fontId="10" fillId="0" borderId="13" xfId="0" applyNumberFormat="1" applyFont="1" applyFill="1" applyBorder="1" applyAlignment="1" applyProtection="1">
      <alignment horizontal="center" vertical="center" wrapText="1"/>
    </xf>
    <xf numFmtId="0" fontId="11" fillId="0" borderId="1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5" xfId="0" applyNumberFormat="1" applyFont="1" applyFill="1" applyBorder="1" applyAlignment="1" applyProtection="1">
      <alignment horizontal="center" vertical="top" wrapText="1"/>
    </xf>
    <xf numFmtId="0" fontId="12" fillId="0" borderId="15" xfId="0" applyNumberFormat="1" applyFont="1" applyFill="1" applyBorder="1" applyAlignment="1" applyProtection="1">
      <alignment horizontal="center" vertical="top" wrapText="1"/>
    </xf>
    <xf numFmtId="0" fontId="10" fillId="0" borderId="2" xfId="0" applyNumberFormat="1" applyFont="1" applyFill="1" applyBorder="1" applyAlignment="1" applyProtection="1">
      <alignment horizontal="right" vertical="center" wrapText="1"/>
    </xf>
    <xf numFmtId="4" fontId="10" fillId="0" borderId="2" xfId="0" applyNumberFormat="1" applyFont="1" applyFill="1" applyBorder="1" applyAlignment="1" applyProtection="1">
      <alignment horizontal="right" vertical="center" wrapText="1"/>
    </xf>
    <xf numFmtId="10" fontId="10" fillId="0" borderId="3" xfId="0" applyNumberFormat="1" applyFont="1" applyFill="1" applyBorder="1" applyAlignment="1" applyProtection="1">
      <alignment horizontal="right" vertical="center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19" fillId="2" borderId="17" xfId="0" applyNumberFormat="1" applyFont="1" applyFill="1" applyBorder="1" applyAlignment="1" applyProtection="1">
      <alignment horizontal="center" vertical="top" wrapText="1"/>
    </xf>
    <xf numFmtId="0" fontId="19" fillId="2" borderId="18" xfId="0" applyNumberFormat="1" applyFont="1" applyFill="1" applyBorder="1" applyAlignment="1" applyProtection="1">
      <alignment horizontal="center" vertical="top" wrapText="1"/>
    </xf>
    <xf numFmtId="0" fontId="19" fillId="2" borderId="19" xfId="0" applyNumberFormat="1" applyFont="1" applyFill="1" applyBorder="1" applyAlignment="1" applyProtection="1">
      <alignment horizontal="center" vertical="top" wrapText="1"/>
    </xf>
    <xf numFmtId="0" fontId="6" fillId="2" borderId="20" xfId="0" applyNumberFormat="1" applyFont="1" applyFill="1" applyBorder="1" applyAlignment="1" applyProtection="1">
      <alignment horizontal="center" vertical="center" wrapText="1"/>
    </xf>
    <xf numFmtId="0" fontId="6" fillId="2" borderId="21" xfId="0" applyNumberFormat="1" applyFont="1" applyFill="1" applyBorder="1" applyAlignment="1" applyProtection="1">
      <alignment horizontal="center" vertical="center" wrapText="1"/>
    </xf>
    <xf numFmtId="0" fontId="6" fillId="2" borderId="22" xfId="0" applyNumberFormat="1" applyFont="1" applyFill="1" applyBorder="1" applyAlignment="1" applyProtection="1">
      <alignment horizontal="center" vertical="center" wrapText="1"/>
    </xf>
    <xf numFmtId="0" fontId="14" fillId="2" borderId="17" xfId="0" applyNumberFormat="1" applyFont="1" applyFill="1" applyBorder="1" applyAlignment="1" applyProtection="1">
      <alignment horizontal="center" vertical="top" wrapText="1"/>
    </xf>
    <xf numFmtId="0" fontId="14" fillId="2" borderId="18" xfId="0" applyNumberFormat="1" applyFont="1" applyFill="1" applyBorder="1" applyAlignment="1" applyProtection="1">
      <alignment horizontal="center" vertical="top" wrapText="1"/>
    </xf>
    <xf numFmtId="0" fontId="14" fillId="2" borderId="19" xfId="0" applyNumberFormat="1" applyFont="1" applyFill="1" applyBorder="1" applyAlignment="1" applyProtection="1">
      <alignment horizontal="center" vertical="top" wrapText="1"/>
    </xf>
    <xf numFmtId="0" fontId="6" fillId="2" borderId="20" xfId="0" applyNumberFormat="1" applyFont="1" applyFill="1" applyBorder="1" applyAlignment="1" applyProtection="1">
      <alignment horizontal="center" vertical="top" wrapText="1"/>
    </xf>
    <xf numFmtId="0" fontId="6" fillId="2" borderId="21" xfId="0" applyNumberFormat="1" applyFont="1" applyFill="1" applyBorder="1" applyAlignment="1" applyProtection="1">
      <alignment horizontal="center" vertical="top" wrapText="1"/>
    </xf>
    <xf numFmtId="0" fontId="6" fillId="2" borderId="22" xfId="0" applyNumberFormat="1" applyFont="1" applyFill="1" applyBorder="1" applyAlignment="1" applyProtection="1">
      <alignment horizontal="center" vertical="top" wrapText="1"/>
    </xf>
    <xf numFmtId="0" fontId="15" fillId="2" borderId="20" xfId="0" applyNumberFormat="1" applyFont="1" applyFill="1" applyBorder="1" applyAlignment="1" applyProtection="1">
      <alignment horizontal="center" vertical="top" wrapText="1"/>
    </xf>
    <xf numFmtId="0" fontId="15" fillId="2" borderId="21" xfId="0" applyNumberFormat="1" applyFont="1" applyFill="1" applyBorder="1" applyAlignment="1" applyProtection="1">
      <alignment horizontal="center" vertical="top" wrapText="1"/>
    </xf>
    <xf numFmtId="0" fontId="15" fillId="2" borderId="22" xfId="0" applyNumberFormat="1" applyFont="1" applyFill="1" applyBorder="1" applyAlignment="1" applyProtection="1">
      <alignment horizontal="center" vertical="top" wrapText="1"/>
    </xf>
    <xf numFmtId="0" fontId="14" fillId="2" borderId="17" xfId="1" applyNumberFormat="1" applyFont="1" applyFill="1" applyBorder="1" applyAlignment="1" applyProtection="1">
      <alignment horizontal="center" vertical="top" wrapText="1"/>
    </xf>
    <xf numFmtId="0" fontId="14" fillId="2" borderId="18" xfId="1" applyNumberFormat="1" applyFont="1" applyFill="1" applyBorder="1" applyAlignment="1" applyProtection="1">
      <alignment horizontal="center" vertical="top" wrapText="1"/>
    </xf>
    <xf numFmtId="0" fontId="14" fillId="2" borderId="19" xfId="1" applyNumberFormat="1" applyFont="1" applyFill="1" applyBorder="1" applyAlignment="1" applyProtection="1">
      <alignment horizontal="center" vertical="top" wrapText="1"/>
    </xf>
    <xf numFmtId="0" fontId="15" fillId="2" borderId="20" xfId="1" applyNumberFormat="1" applyFont="1" applyFill="1" applyBorder="1" applyAlignment="1" applyProtection="1">
      <alignment horizontal="center" vertical="top" wrapText="1"/>
    </xf>
    <xf numFmtId="0" fontId="15" fillId="2" borderId="21" xfId="1" applyNumberFormat="1" applyFont="1" applyFill="1" applyBorder="1" applyAlignment="1" applyProtection="1">
      <alignment horizontal="center" vertical="top" wrapText="1"/>
    </xf>
    <xf numFmtId="0" fontId="15" fillId="2" borderId="22" xfId="1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tabSelected="1" zoomScaleNormal="100" workbookViewId="0">
      <selection activeCell="A44" sqref="A44"/>
    </sheetView>
  </sheetViews>
  <sheetFormatPr defaultRowHeight="12.75"/>
  <cols>
    <col min="1" max="1" width="11.42578125" style="73" bestFit="1" customWidth="1"/>
    <col min="2" max="2" width="49.28515625" style="73" bestFit="1" customWidth="1"/>
    <col min="3" max="3" width="14" style="73" customWidth="1"/>
    <col min="4" max="4" width="21.140625" style="73" bestFit="1" customWidth="1"/>
    <col min="5" max="5" width="12.5703125" style="73" customWidth="1"/>
    <col min="6" max="6" width="18.28515625" style="75" customWidth="1"/>
    <col min="7" max="7" width="18.28515625" style="76" customWidth="1"/>
    <col min="8" max="16384" width="9.140625" style="73"/>
  </cols>
  <sheetData>
    <row r="1" spans="1:7" ht="18.75">
      <c r="A1" s="70"/>
      <c r="B1" s="129" t="s">
        <v>325</v>
      </c>
      <c r="C1" s="130"/>
      <c r="D1" s="130"/>
      <c r="E1" s="130"/>
      <c r="F1" s="130"/>
      <c r="G1" s="131"/>
    </row>
    <row r="2" spans="1:7" ht="15.95" customHeight="1" thickBot="1">
      <c r="A2" s="70"/>
      <c r="B2" s="132" t="s">
        <v>383</v>
      </c>
      <c r="C2" s="133"/>
      <c r="D2" s="133"/>
      <c r="E2" s="133"/>
      <c r="F2" s="133"/>
      <c r="G2" s="134"/>
    </row>
    <row r="3" spans="1:7" ht="12.95" customHeight="1">
      <c r="A3" s="70"/>
      <c r="B3" s="77" t="s">
        <v>1</v>
      </c>
      <c r="C3" s="70"/>
      <c r="D3" s="70"/>
      <c r="E3" s="70"/>
      <c r="F3" s="71"/>
      <c r="G3" s="72"/>
    </row>
    <row r="4" spans="1:7" ht="12.95" customHeight="1" thickBot="1">
      <c r="A4" s="78"/>
      <c r="B4" s="74" t="s">
        <v>2</v>
      </c>
      <c r="C4" s="70"/>
      <c r="D4" s="70"/>
      <c r="E4" s="70"/>
      <c r="F4" s="71"/>
      <c r="G4" s="72"/>
    </row>
    <row r="5" spans="1:7" ht="27.95" customHeight="1" thickBot="1">
      <c r="A5" s="70"/>
      <c r="B5" s="38" t="s">
        <v>3</v>
      </c>
      <c r="C5" s="39" t="s">
        <v>4</v>
      </c>
      <c r="D5" s="40" t="s">
        <v>378</v>
      </c>
      <c r="E5" s="40" t="s">
        <v>6</v>
      </c>
      <c r="F5" s="41" t="s">
        <v>7</v>
      </c>
      <c r="G5" s="42" t="s">
        <v>8</v>
      </c>
    </row>
    <row r="6" spans="1:7" ht="12.95" customHeight="1">
      <c r="A6" s="70"/>
      <c r="B6" s="87" t="s">
        <v>38</v>
      </c>
      <c r="C6" s="88" t="s">
        <v>1</v>
      </c>
      <c r="D6" s="88" t="s">
        <v>1</v>
      </c>
      <c r="E6" s="88" t="s">
        <v>1</v>
      </c>
      <c r="F6" s="89" t="s">
        <v>1</v>
      </c>
      <c r="G6" s="90" t="s">
        <v>1</v>
      </c>
    </row>
    <row r="7" spans="1:7" ht="12.95" customHeight="1">
      <c r="A7" s="70"/>
      <c r="B7" s="24" t="s">
        <v>39</v>
      </c>
      <c r="C7" s="19" t="s">
        <v>1</v>
      </c>
      <c r="D7" s="19" t="s">
        <v>1</v>
      </c>
      <c r="E7" s="19" t="s">
        <v>1</v>
      </c>
      <c r="F7" s="20" t="s">
        <v>1</v>
      </c>
      <c r="G7" s="29" t="s">
        <v>1</v>
      </c>
    </row>
    <row r="8" spans="1:7" ht="12.95" customHeight="1">
      <c r="A8" s="79"/>
      <c r="B8" s="30" t="s">
        <v>195</v>
      </c>
      <c r="C8" s="19" t="s">
        <v>196</v>
      </c>
      <c r="D8" s="19" t="s">
        <v>42</v>
      </c>
      <c r="E8" s="21">
        <v>840000</v>
      </c>
      <c r="F8" s="22">
        <v>8964.06</v>
      </c>
      <c r="G8" s="31">
        <v>7.6034851576024354E-2</v>
      </c>
    </row>
    <row r="9" spans="1:7" ht="12.95" customHeight="1">
      <c r="A9" s="79"/>
      <c r="B9" s="30" t="s">
        <v>51</v>
      </c>
      <c r="C9" s="19" t="s">
        <v>52</v>
      </c>
      <c r="D9" s="19" t="s">
        <v>42</v>
      </c>
      <c r="E9" s="21">
        <v>2102500</v>
      </c>
      <c r="F9" s="22">
        <v>6475.7</v>
      </c>
      <c r="G9" s="31">
        <v>5.4928111631432734E-2</v>
      </c>
    </row>
    <row r="10" spans="1:7" ht="12.95" customHeight="1">
      <c r="A10" s="79"/>
      <c r="B10" s="30" t="s">
        <v>326</v>
      </c>
      <c r="C10" s="19" t="s">
        <v>327</v>
      </c>
      <c r="D10" s="19" t="s">
        <v>79</v>
      </c>
      <c r="E10" s="21">
        <v>336750</v>
      </c>
      <c r="F10" s="22">
        <v>6003.5789999999997</v>
      </c>
      <c r="G10" s="31">
        <v>5.0923492054932337E-2</v>
      </c>
    </row>
    <row r="11" spans="1:7" ht="12.95" customHeight="1">
      <c r="A11" s="79"/>
      <c r="B11" s="30" t="s">
        <v>197</v>
      </c>
      <c r="C11" s="19" t="s">
        <v>198</v>
      </c>
      <c r="D11" s="19" t="s">
        <v>133</v>
      </c>
      <c r="E11" s="21">
        <v>123970</v>
      </c>
      <c r="F11" s="22">
        <v>4987.7469950000004</v>
      </c>
      <c r="G11" s="31">
        <v>4.2307012945427241E-2</v>
      </c>
    </row>
    <row r="12" spans="1:7" ht="12.95" customHeight="1">
      <c r="A12" s="79"/>
      <c r="B12" s="30" t="s">
        <v>328</v>
      </c>
      <c r="C12" s="19" t="s">
        <v>329</v>
      </c>
      <c r="D12" s="19" t="s">
        <v>68</v>
      </c>
      <c r="E12" s="21">
        <v>168700</v>
      </c>
      <c r="F12" s="22">
        <v>4303.4526500000002</v>
      </c>
      <c r="G12" s="31">
        <v>3.6502698945254569E-2</v>
      </c>
    </row>
    <row r="13" spans="1:7" ht="12.95" customHeight="1">
      <c r="A13" s="79"/>
      <c r="B13" s="30" t="s">
        <v>121</v>
      </c>
      <c r="C13" s="19" t="s">
        <v>122</v>
      </c>
      <c r="D13" s="19" t="s">
        <v>42</v>
      </c>
      <c r="E13" s="21">
        <v>471342</v>
      </c>
      <c r="F13" s="22">
        <v>4113.4016339999998</v>
      </c>
      <c r="G13" s="31">
        <v>3.4890650298387789E-2</v>
      </c>
    </row>
    <row r="14" spans="1:7" ht="12.95" customHeight="1">
      <c r="A14" s="79"/>
      <c r="B14" s="30" t="s">
        <v>43</v>
      </c>
      <c r="C14" s="19" t="s">
        <v>44</v>
      </c>
      <c r="D14" s="19" t="s">
        <v>45</v>
      </c>
      <c r="E14" s="21">
        <v>544750</v>
      </c>
      <c r="F14" s="22">
        <v>3972.044625</v>
      </c>
      <c r="G14" s="31">
        <v>3.3691633424499649E-2</v>
      </c>
    </row>
    <row r="15" spans="1:7" ht="12.95" customHeight="1">
      <c r="A15" s="79"/>
      <c r="B15" s="30" t="s">
        <v>330</v>
      </c>
      <c r="C15" s="19" t="s">
        <v>331</v>
      </c>
      <c r="D15" s="19" t="s">
        <v>60</v>
      </c>
      <c r="E15" s="21">
        <v>450200</v>
      </c>
      <c r="F15" s="22">
        <v>3937.4492</v>
      </c>
      <c r="G15" s="31">
        <v>3.3398188489382696E-2</v>
      </c>
    </row>
    <row r="16" spans="1:7" ht="12.95" customHeight="1">
      <c r="A16" s="79"/>
      <c r="B16" s="30" t="s">
        <v>258</v>
      </c>
      <c r="C16" s="19" t="s">
        <v>259</v>
      </c>
      <c r="D16" s="19" t="s">
        <v>45</v>
      </c>
      <c r="E16" s="21">
        <v>381400</v>
      </c>
      <c r="F16" s="22">
        <v>3814.3814000000002</v>
      </c>
      <c r="G16" s="31">
        <v>3.23543041438085E-2</v>
      </c>
    </row>
    <row r="17" spans="1:7" ht="12.95" customHeight="1">
      <c r="A17" s="79"/>
      <c r="B17" s="30" t="s">
        <v>210</v>
      </c>
      <c r="C17" s="19" t="s">
        <v>211</v>
      </c>
      <c r="D17" s="19" t="s">
        <v>42</v>
      </c>
      <c r="E17" s="21">
        <v>1304350</v>
      </c>
      <c r="F17" s="22">
        <v>3427.1796250000002</v>
      </c>
      <c r="G17" s="31">
        <v>2.9069985487742141E-2</v>
      </c>
    </row>
    <row r="18" spans="1:7" ht="12.95" customHeight="1">
      <c r="A18" s="79"/>
      <c r="B18" s="30" t="s">
        <v>332</v>
      </c>
      <c r="C18" s="19" t="s">
        <v>333</v>
      </c>
      <c r="D18" s="19" t="s">
        <v>42</v>
      </c>
      <c r="E18" s="21">
        <v>612000</v>
      </c>
      <c r="F18" s="22">
        <v>3420.7739999999999</v>
      </c>
      <c r="G18" s="31">
        <v>2.9015651765508393E-2</v>
      </c>
    </row>
    <row r="19" spans="1:7" ht="12.95" customHeight="1">
      <c r="A19" s="79"/>
      <c r="B19" s="30" t="s">
        <v>334</v>
      </c>
      <c r="C19" s="19" t="s">
        <v>335</v>
      </c>
      <c r="D19" s="19" t="s">
        <v>68</v>
      </c>
      <c r="E19" s="21">
        <v>341812</v>
      </c>
      <c r="F19" s="22">
        <v>3364.6264219999998</v>
      </c>
      <c r="G19" s="31">
        <v>2.8539397394209756E-2</v>
      </c>
    </row>
    <row r="20" spans="1:7" ht="12.95" customHeight="1">
      <c r="A20" s="79"/>
      <c r="B20" s="30" t="s">
        <v>80</v>
      </c>
      <c r="C20" s="19" t="s">
        <v>81</v>
      </c>
      <c r="D20" s="19" t="s">
        <v>82</v>
      </c>
      <c r="E20" s="21">
        <v>419600</v>
      </c>
      <c r="F20" s="22">
        <v>3169.4486000000002</v>
      </c>
      <c r="G20" s="31">
        <v>2.6883862209628025E-2</v>
      </c>
    </row>
    <row r="21" spans="1:7" ht="12.95" customHeight="1">
      <c r="A21" s="79"/>
      <c r="B21" s="30" t="s">
        <v>202</v>
      </c>
      <c r="C21" s="19" t="s">
        <v>203</v>
      </c>
      <c r="D21" s="19" t="s">
        <v>82</v>
      </c>
      <c r="E21" s="21">
        <v>938500</v>
      </c>
      <c r="F21" s="22">
        <v>2957.6827499999999</v>
      </c>
      <c r="G21" s="31">
        <v>2.5087624235582712E-2</v>
      </c>
    </row>
    <row r="22" spans="1:7" ht="12.95" customHeight="1">
      <c r="A22" s="79"/>
      <c r="B22" s="30" t="s">
        <v>219</v>
      </c>
      <c r="C22" s="19" t="s">
        <v>220</v>
      </c>
      <c r="D22" s="19" t="s">
        <v>50</v>
      </c>
      <c r="E22" s="21">
        <v>219275</v>
      </c>
      <c r="F22" s="22">
        <v>2842.7907375</v>
      </c>
      <c r="G22" s="31">
        <v>2.4113088465216578E-2</v>
      </c>
    </row>
    <row r="23" spans="1:7" ht="12.95" customHeight="1">
      <c r="A23" s="79"/>
      <c r="B23" s="30" t="s">
        <v>61</v>
      </c>
      <c r="C23" s="19" t="s">
        <v>62</v>
      </c>
      <c r="D23" s="19" t="s">
        <v>60</v>
      </c>
      <c r="E23" s="21">
        <v>246900</v>
      </c>
      <c r="F23" s="22">
        <v>2454.5563499999998</v>
      </c>
      <c r="G23" s="31">
        <v>2.0820010994709773E-2</v>
      </c>
    </row>
    <row r="24" spans="1:7" ht="12.95" customHeight="1">
      <c r="A24" s="79"/>
      <c r="B24" s="30" t="s">
        <v>241</v>
      </c>
      <c r="C24" s="19" t="s">
        <v>242</v>
      </c>
      <c r="D24" s="19" t="s">
        <v>243</v>
      </c>
      <c r="E24" s="21">
        <v>565291</v>
      </c>
      <c r="F24" s="22">
        <v>2374.5048455000001</v>
      </c>
      <c r="G24" s="31">
        <v>2.0140998999799549E-2</v>
      </c>
    </row>
    <row r="25" spans="1:7" ht="12.95" customHeight="1">
      <c r="A25" s="79"/>
      <c r="B25" s="30" t="s">
        <v>336</v>
      </c>
      <c r="C25" s="19" t="s">
        <v>337</v>
      </c>
      <c r="D25" s="19" t="s">
        <v>87</v>
      </c>
      <c r="E25" s="21">
        <v>79000</v>
      </c>
      <c r="F25" s="22">
        <v>2364.8254999999999</v>
      </c>
      <c r="G25" s="31">
        <v>2.0058896961387764E-2</v>
      </c>
    </row>
    <row r="26" spans="1:7" ht="12.95" customHeight="1">
      <c r="A26" s="79"/>
      <c r="B26" s="30" t="s">
        <v>53</v>
      </c>
      <c r="C26" s="19" t="s">
        <v>54</v>
      </c>
      <c r="D26" s="19" t="s">
        <v>55</v>
      </c>
      <c r="E26" s="21">
        <v>261178</v>
      </c>
      <c r="F26" s="22">
        <v>2307.115863</v>
      </c>
      <c r="G26" s="31">
        <v>1.9569392910343788E-2</v>
      </c>
    </row>
    <row r="27" spans="1:7" ht="12.95" customHeight="1">
      <c r="A27" s="79"/>
      <c r="B27" s="30" t="s">
        <v>77</v>
      </c>
      <c r="C27" s="19" t="s">
        <v>78</v>
      </c>
      <c r="D27" s="19" t="s">
        <v>79</v>
      </c>
      <c r="E27" s="21">
        <v>648665</v>
      </c>
      <c r="F27" s="22">
        <v>2045.2407450000001</v>
      </c>
      <c r="G27" s="31">
        <v>1.7348118651962671E-2</v>
      </c>
    </row>
    <row r="28" spans="1:7" ht="12.95" customHeight="1">
      <c r="A28" s="79"/>
      <c r="B28" s="30" t="s">
        <v>338</v>
      </c>
      <c r="C28" s="19" t="s">
        <v>339</v>
      </c>
      <c r="D28" s="19" t="s">
        <v>68</v>
      </c>
      <c r="E28" s="21">
        <v>214000</v>
      </c>
      <c r="F28" s="22">
        <v>1968.2650000000001</v>
      </c>
      <c r="G28" s="31">
        <v>1.6695195830603943E-2</v>
      </c>
    </row>
    <row r="29" spans="1:7" ht="12.95" customHeight="1">
      <c r="A29" s="79"/>
      <c r="B29" s="30" t="s">
        <v>375</v>
      </c>
      <c r="C29" s="19" t="s">
        <v>214</v>
      </c>
      <c r="D29" s="19" t="s">
        <v>133</v>
      </c>
      <c r="E29" s="21">
        <v>749662</v>
      </c>
      <c r="F29" s="22">
        <v>1954.3688340000001</v>
      </c>
      <c r="G29" s="31">
        <v>1.6577325923521014E-2</v>
      </c>
    </row>
    <row r="30" spans="1:7" ht="12.95" customHeight="1">
      <c r="A30" s="79"/>
      <c r="B30" s="30" t="s">
        <v>66</v>
      </c>
      <c r="C30" s="19" t="s">
        <v>67</v>
      </c>
      <c r="D30" s="19" t="s">
        <v>68</v>
      </c>
      <c r="E30" s="21">
        <v>228631</v>
      </c>
      <c r="F30" s="22">
        <v>1952.6230555</v>
      </c>
      <c r="G30" s="31">
        <v>1.6562517900244496E-2</v>
      </c>
    </row>
    <row r="31" spans="1:7" ht="12.95" customHeight="1">
      <c r="A31" s="79"/>
      <c r="B31" s="30" t="s">
        <v>74</v>
      </c>
      <c r="C31" s="19" t="s">
        <v>75</v>
      </c>
      <c r="D31" s="19" t="s">
        <v>76</v>
      </c>
      <c r="E31" s="21">
        <v>498926</v>
      </c>
      <c r="F31" s="22">
        <v>1710.5677909999999</v>
      </c>
      <c r="G31" s="31">
        <v>1.4509359386194744E-2</v>
      </c>
    </row>
    <row r="32" spans="1:7" ht="12.95" customHeight="1">
      <c r="A32" s="79"/>
      <c r="B32" s="30" t="s">
        <v>71</v>
      </c>
      <c r="C32" s="19" t="s">
        <v>72</v>
      </c>
      <c r="D32" s="19" t="s">
        <v>73</v>
      </c>
      <c r="E32" s="21">
        <v>403072</v>
      </c>
      <c r="F32" s="22">
        <v>1696.5300480000001</v>
      </c>
      <c r="G32" s="31">
        <v>1.4390288596232675E-2</v>
      </c>
    </row>
    <row r="33" spans="1:7" ht="12.95" customHeight="1">
      <c r="A33" s="79"/>
      <c r="B33" s="30" t="s">
        <v>58</v>
      </c>
      <c r="C33" s="19" t="s">
        <v>59</v>
      </c>
      <c r="D33" s="19" t="s">
        <v>60</v>
      </c>
      <c r="E33" s="21">
        <v>71005</v>
      </c>
      <c r="F33" s="22">
        <v>1621.3636724999999</v>
      </c>
      <c r="G33" s="31">
        <v>1.375271318903435E-2</v>
      </c>
    </row>
    <row r="34" spans="1:7" ht="12.95" customHeight="1">
      <c r="A34" s="79"/>
      <c r="B34" s="30" t="s">
        <v>85</v>
      </c>
      <c r="C34" s="19" t="s">
        <v>86</v>
      </c>
      <c r="D34" s="19" t="s">
        <v>87</v>
      </c>
      <c r="E34" s="21">
        <v>234750</v>
      </c>
      <c r="F34" s="22">
        <v>1583.154</v>
      </c>
      <c r="G34" s="31">
        <v>1.3428611523348713E-2</v>
      </c>
    </row>
    <row r="35" spans="1:7" ht="12.95" customHeight="1">
      <c r="A35" s="79"/>
      <c r="B35" s="30" t="s">
        <v>90</v>
      </c>
      <c r="C35" s="19" t="s">
        <v>91</v>
      </c>
      <c r="D35" s="19" t="s">
        <v>82</v>
      </c>
      <c r="E35" s="21">
        <v>132831</v>
      </c>
      <c r="F35" s="22">
        <v>1540.5075225000001</v>
      </c>
      <c r="G35" s="31">
        <v>1.3066876038874851E-2</v>
      </c>
    </row>
    <row r="36" spans="1:7" ht="12.95" customHeight="1">
      <c r="A36" s="79"/>
      <c r="B36" s="30" t="s">
        <v>46</v>
      </c>
      <c r="C36" s="19" t="s">
        <v>47</v>
      </c>
      <c r="D36" s="19" t="s">
        <v>42</v>
      </c>
      <c r="E36" s="21">
        <v>182000</v>
      </c>
      <c r="F36" s="22">
        <v>1535.807</v>
      </c>
      <c r="G36" s="31">
        <v>1.3027005318395821E-2</v>
      </c>
    </row>
    <row r="37" spans="1:7" ht="12.95" customHeight="1">
      <c r="A37" s="79"/>
      <c r="B37" s="30" t="s">
        <v>232</v>
      </c>
      <c r="C37" s="19" t="s">
        <v>233</v>
      </c>
      <c r="D37" s="19" t="s">
        <v>133</v>
      </c>
      <c r="E37" s="21">
        <v>58179</v>
      </c>
      <c r="F37" s="22">
        <v>1468.1470650000001</v>
      </c>
      <c r="G37" s="31">
        <v>1.2453100958611477E-2</v>
      </c>
    </row>
    <row r="38" spans="1:7" ht="12.95" customHeight="1">
      <c r="A38" s="79"/>
      <c r="B38" s="30" t="s">
        <v>69</v>
      </c>
      <c r="C38" s="19" t="s">
        <v>70</v>
      </c>
      <c r="D38" s="19" t="s">
        <v>60</v>
      </c>
      <c r="E38" s="21">
        <v>201300</v>
      </c>
      <c r="F38" s="22">
        <v>1428.5254500000001</v>
      </c>
      <c r="G38" s="31">
        <v>1.2117022929713032E-2</v>
      </c>
    </row>
    <row r="39" spans="1:7" ht="12.95" customHeight="1">
      <c r="A39" s="79"/>
      <c r="B39" s="30" t="s">
        <v>101</v>
      </c>
      <c r="C39" s="19" t="s">
        <v>102</v>
      </c>
      <c r="D39" s="19" t="s">
        <v>103</v>
      </c>
      <c r="E39" s="21">
        <v>853000</v>
      </c>
      <c r="F39" s="22">
        <v>1386.125</v>
      </c>
      <c r="G39" s="31">
        <v>1.1757374297005683E-2</v>
      </c>
    </row>
    <row r="40" spans="1:7" ht="12.95" customHeight="1">
      <c r="A40" s="79"/>
      <c r="B40" s="30" t="s">
        <v>83</v>
      </c>
      <c r="C40" s="19" t="s">
        <v>84</v>
      </c>
      <c r="D40" s="19" t="s">
        <v>65</v>
      </c>
      <c r="E40" s="21">
        <v>124300</v>
      </c>
      <c r="F40" s="22">
        <v>1321.6197500000001</v>
      </c>
      <c r="G40" s="31">
        <v>1.1210228571784707E-2</v>
      </c>
    </row>
    <row r="41" spans="1:7" ht="12.95" customHeight="1">
      <c r="A41" s="79"/>
      <c r="B41" s="30" t="s">
        <v>48</v>
      </c>
      <c r="C41" s="19" t="s">
        <v>49</v>
      </c>
      <c r="D41" s="19" t="s">
        <v>50</v>
      </c>
      <c r="E41" s="21">
        <v>81589</v>
      </c>
      <c r="F41" s="22">
        <v>1288.6166659999999</v>
      </c>
      <c r="G41" s="31">
        <v>1.0930290174061904E-2</v>
      </c>
    </row>
    <row r="42" spans="1:7" ht="12.95" customHeight="1">
      <c r="A42" s="79"/>
      <c r="B42" s="30" t="s">
        <v>144</v>
      </c>
      <c r="C42" s="19" t="s">
        <v>145</v>
      </c>
      <c r="D42" s="19" t="s">
        <v>60</v>
      </c>
      <c r="E42" s="21">
        <v>63056</v>
      </c>
      <c r="F42" s="22">
        <v>1185.3582160000001</v>
      </c>
      <c r="G42" s="31">
        <v>1.0054432480146386E-2</v>
      </c>
    </row>
    <row r="43" spans="1:7" ht="12.95" customHeight="1">
      <c r="A43" s="79"/>
      <c r="B43" s="30" t="s">
        <v>56</v>
      </c>
      <c r="C43" s="19" t="s">
        <v>57</v>
      </c>
      <c r="D43" s="19" t="s">
        <v>42</v>
      </c>
      <c r="E43" s="21">
        <v>722016</v>
      </c>
      <c r="F43" s="22">
        <v>1067.1396480000001</v>
      </c>
      <c r="G43" s="31">
        <v>9.0516802371437589E-3</v>
      </c>
    </row>
    <row r="44" spans="1:7" ht="12.95" customHeight="1">
      <c r="A44" s="79"/>
      <c r="B44" s="30" t="s">
        <v>96</v>
      </c>
      <c r="C44" s="19" t="s">
        <v>97</v>
      </c>
      <c r="D44" s="19" t="s">
        <v>65</v>
      </c>
      <c r="E44" s="21">
        <v>100604</v>
      </c>
      <c r="F44" s="22">
        <v>1013.384092</v>
      </c>
      <c r="G44" s="31">
        <v>8.5957154486610097E-3</v>
      </c>
    </row>
    <row r="45" spans="1:7" ht="12.95" customHeight="1">
      <c r="A45" s="79"/>
      <c r="B45" s="30" t="s">
        <v>125</v>
      </c>
      <c r="C45" s="19" t="s">
        <v>126</v>
      </c>
      <c r="D45" s="19" t="s">
        <v>55</v>
      </c>
      <c r="E45" s="21">
        <v>675500</v>
      </c>
      <c r="F45" s="22">
        <v>1001.7665</v>
      </c>
      <c r="G45" s="31">
        <v>8.4971728370106178E-3</v>
      </c>
    </row>
    <row r="46" spans="1:7" ht="12.95" customHeight="1">
      <c r="A46" s="79"/>
      <c r="B46" s="30" t="s">
        <v>127</v>
      </c>
      <c r="C46" s="19" t="s">
        <v>128</v>
      </c>
      <c r="D46" s="19" t="s">
        <v>73</v>
      </c>
      <c r="E46" s="21">
        <v>185273</v>
      </c>
      <c r="F46" s="22">
        <v>971.94215799999995</v>
      </c>
      <c r="G46" s="31">
        <v>8.2441971298731626E-3</v>
      </c>
    </row>
    <row r="47" spans="1:7" ht="12.95" customHeight="1">
      <c r="A47" s="79"/>
      <c r="B47" s="30" t="s">
        <v>104</v>
      </c>
      <c r="C47" s="19" t="s">
        <v>105</v>
      </c>
      <c r="D47" s="19" t="s">
        <v>106</v>
      </c>
      <c r="E47" s="21">
        <v>261213</v>
      </c>
      <c r="F47" s="22">
        <v>914.63731949999999</v>
      </c>
      <c r="G47" s="31">
        <v>7.758126656233366E-3</v>
      </c>
    </row>
    <row r="48" spans="1:7" ht="12.95" customHeight="1">
      <c r="A48" s="79"/>
      <c r="B48" s="30" t="s">
        <v>275</v>
      </c>
      <c r="C48" s="19" t="s">
        <v>276</v>
      </c>
      <c r="D48" s="19" t="s">
        <v>277</v>
      </c>
      <c r="E48" s="21">
        <v>211000</v>
      </c>
      <c r="F48" s="22">
        <v>888.83749999999998</v>
      </c>
      <c r="G48" s="31">
        <v>7.5392877097771047E-3</v>
      </c>
    </row>
    <row r="49" spans="1:7" ht="12.95" customHeight="1">
      <c r="A49" s="79"/>
      <c r="B49" s="30" t="s">
        <v>136</v>
      </c>
      <c r="C49" s="19" t="s">
        <v>137</v>
      </c>
      <c r="D49" s="19" t="s">
        <v>50</v>
      </c>
      <c r="E49" s="21">
        <v>83000</v>
      </c>
      <c r="F49" s="22">
        <v>866.18799999999999</v>
      </c>
      <c r="G49" s="31">
        <v>7.3471703688879134E-3</v>
      </c>
    </row>
    <row r="50" spans="1:7" ht="12.95" customHeight="1">
      <c r="A50" s="79"/>
      <c r="B50" s="30" t="s">
        <v>163</v>
      </c>
      <c r="C50" s="19" t="s">
        <v>164</v>
      </c>
      <c r="D50" s="19" t="s">
        <v>157</v>
      </c>
      <c r="E50" s="21">
        <v>370000</v>
      </c>
      <c r="F50" s="22">
        <v>863.76499999999999</v>
      </c>
      <c r="G50" s="31">
        <v>7.3266180248196333E-3</v>
      </c>
    </row>
    <row r="51" spans="1:7" ht="12.95" customHeight="1">
      <c r="A51" s="79"/>
      <c r="B51" s="30" t="s">
        <v>340</v>
      </c>
      <c r="C51" s="19" t="s">
        <v>341</v>
      </c>
      <c r="D51" s="19" t="s">
        <v>342</v>
      </c>
      <c r="E51" s="21">
        <v>280400</v>
      </c>
      <c r="F51" s="22">
        <v>854.09839999999997</v>
      </c>
      <c r="G51" s="31">
        <v>7.2446240961483842E-3</v>
      </c>
    </row>
    <row r="52" spans="1:7" ht="12.95" customHeight="1">
      <c r="A52" s="79"/>
      <c r="B52" s="30" t="s">
        <v>107</v>
      </c>
      <c r="C52" s="19" t="s">
        <v>108</v>
      </c>
      <c r="D52" s="19" t="s">
        <v>65</v>
      </c>
      <c r="E52" s="21">
        <v>492854</v>
      </c>
      <c r="F52" s="22">
        <v>828.487574</v>
      </c>
      <c r="G52" s="31">
        <v>7.0273882282883534E-3</v>
      </c>
    </row>
    <row r="53" spans="1:7" ht="12.95" customHeight="1">
      <c r="A53" s="79"/>
      <c r="B53" s="30" t="s">
        <v>343</v>
      </c>
      <c r="C53" s="19" t="s">
        <v>344</v>
      </c>
      <c r="D53" s="19" t="s">
        <v>76</v>
      </c>
      <c r="E53" s="21">
        <v>250000</v>
      </c>
      <c r="F53" s="22">
        <v>769.75</v>
      </c>
      <c r="G53" s="31">
        <v>6.5291650212788346E-3</v>
      </c>
    </row>
    <row r="54" spans="1:7" ht="12.95" customHeight="1">
      <c r="A54" s="79"/>
      <c r="B54" s="30" t="s">
        <v>140</v>
      </c>
      <c r="C54" s="19" t="s">
        <v>141</v>
      </c>
      <c r="D54" s="19" t="s">
        <v>87</v>
      </c>
      <c r="E54" s="21">
        <v>541102</v>
      </c>
      <c r="F54" s="22">
        <v>594.12999600000001</v>
      </c>
      <c r="G54" s="31">
        <v>5.0395229463796477E-3</v>
      </c>
    </row>
    <row r="55" spans="1:7" ht="12.95" customHeight="1">
      <c r="A55" s="79"/>
      <c r="B55" s="30" t="s">
        <v>158</v>
      </c>
      <c r="C55" s="19" t="s">
        <v>159</v>
      </c>
      <c r="D55" s="19" t="s">
        <v>160</v>
      </c>
      <c r="E55" s="21">
        <v>83900</v>
      </c>
      <c r="F55" s="22">
        <v>539.35114999999996</v>
      </c>
      <c r="G55" s="31">
        <v>4.5748784186638702E-3</v>
      </c>
    </row>
    <row r="56" spans="1:7" ht="12.95" customHeight="1">
      <c r="A56" s="79"/>
      <c r="B56" s="30" t="s">
        <v>170</v>
      </c>
      <c r="C56" s="19" t="s">
        <v>171</v>
      </c>
      <c r="D56" s="19" t="s">
        <v>172</v>
      </c>
      <c r="E56" s="21">
        <v>87287</v>
      </c>
      <c r="F56" s="22">
        <v>487.71611250000001</v>
      </c>
      <c r="G56" s="31">
        <v>4.1369002689822581E-3</v>
      </c>
    </row>
    <row r="57" spans="1:7" ht="12.95" customHeight="1">
      <c r="A57" s="79"/>
      <c r="B57" s="30" t="s">
        <v>167</v>
      </c>
      <c r="C57" s="19" t="s">
        <v>168</v>
      </c>
      <c r="D57" s="19" t="s">
        <v>169</v>
      </c>
      <c r="E57" s="21">
        <v>514879</v>
      </c>
      <c r="F57" s="22">
        <v>475.233317</v>
      </c>
      <c r="G57" s="31">
        <v>4.0310188376780987E-3</v>
      </c>
    </row>
    <row r="58" spans="1:7" ht="12.95" customHeight="1">
      <c r="A58" s="79"/>
      <c r="B58" s="30" t="s">
        <v>177</v>
      </c>
      <c r="C58" s="19" t="s">
        <v>178</v>
      </c>
      <c r="D58" s="19" t="s">
        <v>68</v>
      </c>
      <c r="E58" s="21">
        <v>81100</v>
      </c>
      <c r="F58" s="22">
        <v>387.49579999999997</v>
      </c>
      <c r="G58" s="31">
        <v>3.2868126317017981E-3</v>
      </c>
    </row>
    <row r="59" spans="1:7" ht="12.95" customHeight="1">
      <c r="A59" s="79"/>
      <c r="B59" s="30" t="s">
        <v>226</v>
      </c>
      <c r="C59" s="19" t="s">
        <v>227</v>
      </c>
      <c r="D59" s="19" t="s">
        <v>82</v>
      </c>
      <c r="E59" s="21">
        <v>16129</v>
      </c>
      <c r="F59" s="22">
        <v>328.99127750000002</v>
      </c>
      <c r="G59" s="31">
        <v>2.7905662115736778E-3</v>
      </c>
    </row>
    <row r="60" spans="1:7" ht="12.95" customHeight="1">
      <c r="A60" s="79"/>
      <c r="B60" s="30" t="s">
        <v>179</v>
      </c>
      <c r="C60" s="19" t="s">
        <v>180</v>
      </c>
      <c r="D60" s="19" t="s">
        <v>45</v>
      </c>
      <c r="E60" s="21">
        <v>203818</v>
      </c>
      <c r="F60" s="22">
        <v>299.81627800000001</v>
      </c>
      <c r="G60" s="31">
        <v>2.5430983502794558E-3</v>
      </c>
    </row>
    <row r="61" spans="1:7" ht="12.95" customHeight="1">
      <c r="A61" s="79"/>
      <c r="B61" s="30" t="s">
        <v>151</v>
      </c>
      <c r="C61" s="19" t="s">
        <v>152</v>
      </c>
      <c r="D61" s="19" t="s">
        <v>82</v>
      </c>
      <c r="E61" s="21">
        <v>58670</v>
      </c>
      <c r="F61" s="22">
        <v>268.59125999999998</v>
      </c>
      <c r="G61" s="31">
        <v>2.2782418445121259E-3</v>
      </c>
    </row>
    <row r="62" spans="1:7" ht="12.95" customHeight="1">
      <c r="A62" s="79"/>
      <c r="B62" s="30" t="s">
        <v>260</v>
      </c>
      <c r="C62" s="19" t="s">
        <v>261</v>
      </c>
      <c r="D62" s="19" t="s">
        <v>185</v>
      </c>
      <c r="E62" s="21">
        <v>82096</v>
      </c>
      <c r="F62" s="22">
        <v>254.16921600000001</v>
      </c>
      <c r="G62" s="31">
        <v>2.1559113408159336E-3</v>
      </c>
    </row>
    <row r="63" spans="1:7" ht="12.95" customHeight="1">
      <c r="A63" s="79"/>
      <c r="B63" s="30" t="s">
        <v>345</v>
      </c>
      <c r="C63" s="19" t="s">
        <v>346</v>
      </c>
      <c r="D63" s="19" t="s">
        <v>42</v>
      </c>
      <c r="E63" s="21">
        <v>3500</v>
      </c>
      <c r="F63" s="22">
        <v>5.0452500000000002</v>
      </c>
      <c r="G63" s="31" t="s">
        <v>188</v>
      </c>
    </row>
    <row r="64" spans="1:7" ht="12.95" customHeight="1">
      <c r="A64" s="79"/>
      <c r="B64" s="30" t="s">
        <v>347</v>
      </c>
      <c r="C64" s="19" t="s">
        <v>348</v>
      </c>
      <c r="D64" s="19" t="s">
        <v>60</v>
      </c>
      <c r="E64" s="21">
        <v>220</v>
      </c>
      <c r="F64" s="22">
        <v>4.1493099999999998</v>
      </c>
      <c r="G64" s="31" t="s">
        <v>188</v>
      </c>
    </row>
    <row r="65" spans="1:7" ht="12.95" customHeight="1">
      <c r="A65" s="79"/>
      <c r="B65" s="30" t="s">
        <v>186</v>
      </c>
      <c r="C65" s="19" t="s">
        <v>187</v>
      </c>
      <c r="D65" s="19" t="s">
        <v>133</v>
      </c>
      <c r="E65" s="21">
        <v>21</v>
      </c>
      <c r="F65" s="22">
        <v>4.1132070000000001</v>
      </c>
      <c r="G65" s="31" t="s">
        <v>188</v>
      </c>
    </row>
    <row r="66" spans="1:7" ht="12.95" customHeight="1">
      <c r="A66" s="79"/>
      <c r="B66" s="30" t="s">
        <v>189</v>
      </c>
      <c r="C66" s="19" t="s">
        <v>190</v>
      </c>
      <c r="D66" s="19" t="s">
        <v>106</v>
      </c>
      <c r="E66" s="21">
        <v>200</v>
      </c>
      <c r="F66" s="22">
        <v>0.73260000000000003</v>
      </c>
      <c r="G66" s="31" t="s">
        <v>188</v>
      </c>
    </row>
    <row r="67" spans="1:7" ht="12.95" customHeight="1">
      <c r="A67" s="70"/>
      <c r="B67" s="24" t="s">
        <v>27</v>
      </c>
      <c r="C67" s="19" t="s">
        <v>1</v>
      </c>
      <c r="D67" s="19" t="s">
        <v>1</v>
      </c>
      <c r="E67" s="19" t="s">
        <v>1</v>
      </c>
      <c r="F67" s="23">
        <v>114631.67097799999</v>
      </c>
      <c r="G67" s="32">
        <v>0.97232750435894999</v>
      </c>
    </row>
    <row r="68" spans="1:7" ht="12.95" customHeight="1">
      <c r="A68" s="70"/>
      <c r="B68" s="24"/>
      <c r="C68" s="19"/>
      <c r="D68" s="19"/>
      <c r="E68" s="19"/>
      <c r="F68" s="23"/>
      <c r="G68" s="32"/>
    </row>
    <row r="69" spans="1:7" ht="12.95" customHeight="1">
      <c r="A69" s="70"/>
      <c r="B69" s="24" t="s">
        <v>191</v>
      </c>
      <c r="C69" s="19" t="s">
        <v>1</v>
      </c>
      <c r="D69" s="19" t="s">
        <v>1</v>
      </c>
      <c r="E69" s="19" t="s">
        <v>1</v>
      </c>
      <c r="F69" s="23" t="s">
        <v>192</v>
      </c>
      <c r="G69" s="32" t="s">
        <v>192</v>
      </c>
    </row>
    <row r="70" spans="1:7" ht="12.95" customHeight="1">
      <c r="A70" s="70"/>
      <c r="B70" s="24" t="s">
        <v>27</v>
      </c>
      <c r="C70" s="19" t="s">
        <v>1</v>
      </c>
      <c r="D70" s="19" t="s">
        <v>1</v>
      </c>
      <c r="E70" s="19" t="s">
        <v>1</v>
      </c>
      <c r="F70" s="23" t="s">
        <v>192</v>
      </c>
      <c r="G70" s="32" t="s">
        <v>192</v>
      </c>
    </row>
    <row r="71" spans="1:7" ht="12.95" customHeight="1">
      <c r="A71" s="70"/>
      <c r="B71" s="24" t="s">
        <v>28</v>
      </c>
      <c r="C71" s="19" t="s">
        <v>1</v>
      </c>
      <c r="D71" s="19" t="s">
        <v>1</v>
      </c>
      <c r="E71" s="19" t="s">
        <v>1</v>
      </c>
      <c r="F71" s="23">
        <v>114631.67097799999</v>
      </c>
      <c r="G71" s="32">
        <v>0.97232750435894999</v>
      </c>
    </row>
    <row r="72" spans="1:7" ht="12.95" customHeight="1">
      <c r="A72" s="70"/>
      <c r="B72" s="24"/>
      <c r="C72" s="19"/>
      <c r="D72" s="19"/>
      <c r="E72" s="19"/>
      <c r="F72" s="23"/>
      <c r="G72" s="32"/>
    </row>
    <row r="73" spans="1:7" ht="12.95" customHeight="1">
      <c r="A73" s="70"/>
      <c r="B73" s="25" t="s">
        <v>364</v>
      </c>
      <c r="C73" s="18"/>
      <c r="D73" s="19"/>
      <c r="E73" s="19"/>
      <c r="F73" s="23"/>
      <c r="G73" s="32"/>
    </row>
    <row r="74" spans="1:7" ht="12.95" customHeight="1">
      <c r="A74" s="79"/>
      <c r="B74" s="27" t="s">
        <v>369</v>
      </c>
      <c r="C74" s="18"/>
      <c r="D74" s="19"/>
      <c r="E74" s="95" t="s">
        <v>192</v>
      </c>
      <c r="F74" s="95" t="s">
        <v>192</v>
      </c>
      <c r="G74" s="97" t="s">
        <v>192</v>
      </c>
    </row>
    <row r="75" spans="1:7" ht="12.95" customHeight="1">
      <c r="A75" s="70"/>
      <c r="B75" s="27" t="s">
        <v>366</v>
      </c>
      <c r="C75" s="18"/>
      <c r="D75" s="19"/>
      <c r="E75" s="95" t="s">
        <v>192</v>
      </c>
      <c r="F75" s="95" t="s">
        <v>192</v>
      </c>
      <c r="G75" s="97" t="s">
        <v>192</v>
      </c>
    </row>
    <row r="76" spans="1:7" ht="12.95" customHeight="1">
      <c r="A76" s="70"/>
      <c r="B76" s="27" t="s">
        <v>367</v>
      </c>
      <c r="C76" s="18"/>
      <c r="D76" s="19"/>
      <c r="E76" s="95" t="s">
        <v>192</v>
      </c>
      <c r="F76" s="95" t="s">
        <v>192</v>
      </c>
      <c r="G76" s="97" t="s">
        <v>192</v>
      </c>
    </row>
    <row r="77" spans="1:7" ht="12.95" customHeight="1">
      <c r="A77" s="70"/>
      <c r="B77" s="27"/>
      <c r="C77" s="18"/>
      <c r="D77" s="19"/>
      <c r="E77" s="95"/>
      <c r="F77" s="95"/>
      <c r="G77" s="97"/>
    </row>
    <row r="78" spans="1:7" ht="12.95" customHeight="1">
      <c r="A78" s="70"/>
      <c r="B78" s="25" t="s">
        <v>9</v>
      </c>
      <c r="C78" s="18"/>
      <c r="D78" s="19"/>
      <c r="E78" s="19"/>
      <c r="F78" s="23"/>
      <c r="G78" s="60"/>
    </row>
    <row r="79" spans="1:7" ht="12.95" customHeight="1">
      <c r="A79" s="70"/>
      <c r="B79" s="24" t="s">
        <v>29</v>
      </c>
      <c r="C79" s="19" t="s">
        <v>1</v>
      </c>
      <c r="D79" s="19" t="s">
        <v>1</v>
      </c>
      <c r="E79" s="19" t="s">
        <v>1</v>
      </c>
      <c r="F79" s="20" t="s">
        <v>1</v>
      </c>
      <c r="G79" s="29" t="s">
        <v>1</v>
      </c>
    </row>
    <row r="80" spans="1:7" ht="12.95" customHeight="1">
      <c r="A80" s="79"/>
      <c r="B80" s="30" t="s">
        <v>30</v>
      </c>
      <c r="C80" s="19" t="s">
        <v>1</v>
      </c>
      <c r="D80" s="19" t="s">
        <v>31</v>
      </c>
      <c r="E80" s="21"/>
      <c r="F80" s="22">
        <v>2686.6097</v>
      </c>
      <c r="G80" s="31">
        <v>2.2788331379108052E-2</v>
      </c>
    </row>
    <row r="81" spans="1:7" ht="12.95" customHeight="1">
      <c r="A81" s="70"/>
      <c r="B81" s="24" t="s">
        <v>27</v>
      </c>
      <c r="C81" s="19" t="s">
        <v>1</v>
      </c>
      <c r="D81" s="19" t="s">
        <v>1</v>
      </c>
      <c r="E81" s="19" t="s">
        <v>1</v>
      </c>
      <c r="F81" s="23">
        <v>2686.6097</v>
      </c>
      <c r="G81" s="32">
        <v>2.2788331379108052E-2</v>
      </c>
    </row>
    <row r="82" spans="1:7" ht="12.95" customHeight="1">
      <c r="A82" s="70"/>
      <c r="B82" s="24"/>
      <c r="C82" s="19"/>
      <c r="D82" s="19"/>
      <c r="E82" s="19"/>
      <c r="F82" s="23"/>
      <c r="G82" s="32"/>
    </row>
    <row r="83" spans="1:7" ht="12.95" customHeight="1">
      <c r="A83" s="70"/>
      <c r="B83" s="24" t="s">
        <v>253</v>
      </c>
      <c r="C83" s="19"/>
      <c r="D83" s="19"/>
      <c r="E83" s="19"/>
      <c r="F83" s="23"/>
      <c r="G83" s="32"/>
    </row>
    <row r="84" spans="1:7" ht="12.95" customHeight="1">
      <c r="A84" s="70"/>
      <c r="B84" s="30" t="s">
        <v>32</v>
      </c>
      <c r="C84" s="19" t="s">
        <v>1</v>
      </c>
      <c r="D84" s="19" t="s">
        <v>1</v>
      </c>
      <c r="E84" s="19" t="s">
        <v>1</v>
      </c>
      <c r="F84" s="22">
        <v>575.81412452849997</v>
      </c>
      <c r="G84" s="31">
        <v>4.8841642619419845E-3</v>
      </c>
    </row>
    <row r="85" spans="1:7" ht="12.95" customHeight="1">
      <c r="A85" s="70"/>
      <c r="B85" s="24" t="s">
        <v>27</v>
      </c>
      <c r="C85" s="19"/>
      <c r="D85" s="19"/>
      <c r="E85" s="19"/>
      <c r="F85" s="23">
        <v>575.81412452849997</v>
      </c>
      <c r="G85" s="32">
        <v>4.8841642619419845E-3</v>
      </c>
    </row>
    <row r="86" spans="1:7" ht="12.95" customHeight="1" thickBot="1">
      <c r="A86" s="70"/>
      <c r="B86" s="43" t="s">
        <v>28</v>
      </c>
      <c r="C86" s="44"/>
      <c r="D86" s="44"/>
      <c r="E86" s="44"/>
      <c r="F86" s="45">
        <f>F85+F81</f>
        <v>3262.4238245285001</v>
      </c>
      <c r="G86" s="46">
        <f>G85+G81</f>
        <v>2.7672495641050038E-2</v>
      </c>
    </row>
    <row r="87" spans="1:7" ht="12.95" customHeight="1" thickBot="1">
      <c r="A87" s="70"/>
      <c r="B87" s="47" t="s">
        <v>33</v>
      </c>
      <c r="C87" s="48" t="s">
        <v>1</v>
      </c>
      <c r="D87" s="48" t="s">
        <v>1</v>
      </c>
      <c r="E87" s="48" t="s">
        <v>1</v>
      </c>
      <c r="F87" s="49">
        <v>117894.0948025285</v>
      </c>
      <c r="G87" s="50">
        <v>1</v>
      </c>
    </row>
    <row r="88" spans="1:7" ht="12.95" customHeight="1">
      <c r="A88" s="70"/>
      <c r="B88" s="78" t="s">
        <v>1</v>
      </c>
      <c r="C88" s="70"/>
      <c r="D88" s="70"/>
      <c r="E88" s="70"/>
      <c r="F88" s="71"/>
      <c r="G88" s="72"/>
    </row>
    <row r="89" spans="1:7" ht="12.95" customHeight="1">
      <c r="A89" s="70"/>
      <c r="B89" s="74" t="s">
        <v>31</v>
      </c>
      <c r="C89" s="70"/>
      <c r="D89" s="70"/>
      <c r="E89" s="70"/>
      <c r="F89" s="71"/>
      <c r="G89" s="72"/>
    </row>
    <row r="90" spans="1:7" ht="12.95" customHeight="1">
      <c r="A90" s="70"/>
      <c r="B90" s="74" t="s">
        <v>193</v>
      </c>
      <c r="C90" s="70"/>
      <c r="D90" s="70"/>
      <c r="E90" s="70"/>
      <c r="F90" s="71"/>
      <c r="G90" s="72"/>
    </row>
    <row r="91" spans="1:7" ht="12.95" customHeight="1">
      <c r="A91" s="70"/>
      <c r="B91" s="74" t="s">
        <v>368</v>
      </c>
      <c r="C91" s="70"/>
      <c r="D91" s="70"/>
      <c r="E91" s="70"/>
      <c r="F91" s="71"/>
      <c r="G91" s="72"/>
    </row>
    <row r="92" spans="1:7" ht="12.95" customHeight="1" thickBot="1">
      <c r="A92" s="70"/>
      <c r="B92" s="74" t="s">
        <v>1</v>
      </c>
      <c r="C92" s="70"/>
      <c r="D92" s="70"/>
      <c r="E92" s="70"/>
      <c r="F92" s="71"/>
      <c r="G92" s="72"/>
    </row>
    <row r="93" spans="1:7" ht="13.5" thickBot="1">
      <c r="B93" s="125" t="s">
        <v>380</v>
      </c>
      <c r="C93" s="84">
        <v>0.5806</v>
      </c>
    </row>
    <row r="94" spans="1:7">
      <c r="B94" s="115" t="s">
        <v>381</v>
      </c>
      <c r="C94" s="115"/>
    </row>
  </sheetData>
  <mergeCells count="2">
    <mergeCell ref="B1:G1"/>
    <mergeCell ref="B2:G2"/>
  </mergeCells>
  <pageMargins left="0" right="0" top="0" bottom="0" header="0" footer="0"/>
  <pageSetup paperSize="9" scale="10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showGridLines="0" zoomScaleNormal="100" workbookViewId="0">
      <selection activeCell="A102" sqref="A102"/>
    </sheetView>
  </sheetViews>
  <sheetFormatPr defaultRowHeight="12.75"/>
  <cols>
    <col min="1" max="1" width="11.42578125" style="73" bestFit="1" customWidth="1"/>
    <col min="2" max="2" width="49.28515625" style="73" bestFit="1" customWidth="1"/>
    <col min="3" max="5" width="18.85546875" style="73" customWidth="1"/>
    <col min="6" max="6" width="18.85546875" style="75" customWidth="1"/>
    <col min="7" max="7" width="18.85546875" style="76" customWidth="1"/>
    <col min="8" max="16384" width="9.140625" style="73"/>
  </cols>
  <sheetData>
    <row r="1" spans="1:7" ht="18">
      <c r="A1" s="70"/>
      <c r="B1" s="135" t="s">
        <v>36</v>
      </c>
      <c r="C1" s="136"/>
      <c r="D1" s="136"/>
      <c r="E1" s="136"/>
      <c r="F1" s="136"/>
      <c r="G1" s="137"/>
    </row>
    <row r="2" spans="1:7" ht="15.95" customHeight="1" thickBot="1">
      <c r="A2" s="70"/>
      <c r="B2" s="138" t="s">
        <v>382</v>
      </c>
      <c r="C2" s="139"/>
      <c r="D2" s="139"/>
      <c r="E2" s="139"/>
      <c r="F2" s="139"/>
      <c r="G2" s="140"/>
    </row>
    <row r="3" spans="1:7" ht="12.95" customHeight="1">
      <c r="A3" s="70"/>
      <c r="B3" s="77" t="s">
        <v>1</v>
      </c>
      <c r="C3" s="70"/>
      <c r="D3" s="70"/>
      <c r="E3" s="70"/>
      <c r="F3" s="71"/>
      <c r="G3" s="72"/>
    </row>
    <row r="4" spans="1:7" ht="12.95" customHeight="1" thickBot="1">
      <c r="A4" s="78"/>
      <c r="B4" s="74" t="s">
        <v>2</v>
      </c>
      <c r="C4" s="70"/>
      <c r="D4" s="70"/>
      <c r="E4" s="70"/>
      <c r="F4" s="71"/>
      <c r="G4" s="72"/>
    </row>
    <row r="5" spans="1:7" ht="27.95" customHeight="1" thickBot="1">
      <c r="A5" s="70"/>
      <c r="B5" s="38" t="s">
        <v>3</v>
      </c>
      <c r="C5" s="39" t="s">
        <v>4</v>
      </c>
      <c r="D5" s="40" t="s">
        <v>378</v>
      </c>
      <c r="E5" s="40" t="s">
        <v>6</v>
      </c>
      <c r="F5" s="41" t="s">
        <v>7</v>
      </c>
      <c r="G5" s="42" t="s">
        <v>8</v>
      </c>
    </row>
    <row r="6" spans="1:7" ht="12.95" customHeight="1">
      <c r="A6" s="70"/>
      <c r="B6" s="87" t="s">
        <v>38</v>
      </c>
      <c r="C6" s="88" t="s">
        <v>1</v>
      </c>
      <c r="D6" s="88" t="s">
        <v>1</v>
      </c>
      <c r="E6" s="88" t="s">
        <v>1</v>
      </c>
      <c r="F6" s="89" t="s">
        <v>1</v>
      </c>
      <c r="G6" s="90" t="s">
        <v>1</v>
      </c>
    </row>
    <row r="7" spans="1:7" ht="12.95" customHeight="1">
      <c r="A7" s="70"/>
      <c r="B7" s="24" t="s">
        <v>39</v>
      </c>
      <c r="C7" s="19" t="s">
        <v>1</v>
      </c>
      <c r="D7" s="19" t="s">
        <v>1</v>
      </c>
      <c r="E7" s="19" t="s">
        <v>1</v>
      </c>
      <c r="F7" s="20" t="s">
        <v>1</v>
      </c>
      <c r="G7" s="29" t="s">
        <v>1</v>
      </c>
    </row>
    <row r="8" spans="1:7" ht="12.95" customHeight="1">
      <c r="A8" s="79"/>
      <c r="B8" s="30" t="s">
        <v>40</v>
      </c>
      <c r="C8" s="19" t="s">
        <v>41</v>
      </c>
      <c r="D8" s="19" t="s">
        <v>42</v>
      </c>
      <c r="E8" s="21">
        <v>257273</v>
      </c>
      <c r="F8" s="22">
        <v>3565.2892339999999</v>
      </c>
      <c r="G8" s="31">
        <v>4.5719363257616816E-2</v>
      </c>
    </row>
    <row r="9" spans="1:7" ht="12.95" customHeight="1">
      <c r="A9" s="79"/>
      <c r="B9" s="30" t="s">
        <v>43</v>
      </c>
      <c r="C9" s="19" t="s">
        <v>44</v>
      </c>
      <c r="D9" s="19" t="s">
        <v>45</v>
      </c>
      <c r="E9" s="21">
        <v>426088</v>
      </c>
      <c r="F9" s="22">
        <v>3106.8206519999999</v>
      </c>
      <c r="G9" s="31">
        <v>3.9840207243352625E-2</v>
      </c>
    </row>
    <row r="10" spans="1:7" ht="12.95" customHeight="1">
      <c r="A10" s="79"/>
      <c r="B10" s="30" t="s">
        <v>46</v>
      </c>
      <c r="C10" s="19" t="s">
        <v>47</v>
      </c>
      <c r="D10" s="19" t="s">
        <v>42</v>
      </c>
      <c r="E10" s="21">
        <v>338000</v>
      </c>
      <c r="F10" s="22">
        <v>2852.2130000000002</v>
      </c>
      <c r="G10" s="31">
        <v>3.6575254818469807E-2</v>
      </c>
    </row>
    <row r="11" spans="1:7" ht="12.95" customHeight="1">
      <c r="A11" s="79"/>
      <c r="B11" s="30" t="s">
        <v>48</v>
      </c>
      <c r="C11" s="19" t="s">
        <v>49</v>
      </c>
      <c r="D11" s="19" t="s">
        <v>50</v>
      </c>
      <c r="E11" s="21">
        <v>161234</v>
      </c>
      <c r="F11" s="22">
        <v>2546.5297959999998</v>
      </c>
      <c r="G11" s="31">
        <v>3.2655336817946606E-2</v>
      </c>
    </row>
    <row r="12" spans="1:7" ht="12.95" customHeight="1">
      <c r="A12" s="79"/>
      <c r="B12" s="30" t="s">
        <v>51</v>
      </c>
      <c r="C12" s="19" t="s">
        <v>52</v>
      </c>
      <c r="D12" s="19" t="s">
        <v>42</v>
      </c>
      <c r="E12" s="21">
        <v>797500</v>
      </c>
      <c r="F12" s="22">
        <v>2456.3000000000002</v>
      </c>
      <c r="G12" s="31">
        <v>3.1498278147742607E-2</v>
      </c>
    </row>
    <row r="13" spans="1:7" ht="12.95" customHeight="1">
      <c r="A13" s="79"/>
      <c r="B13" s="30" t="s">
        <v>53</v>
      </c>
      <c r="C13" s="19" t="s">
        <v>54</v>
      </c>
      <c r="D13" s="19" t="s">
        <v>55</v>
      </c>
      <c r="E13" s="21">
        <v>263178</v>
      </c>
      <c r="F13" s="22">
        <v>2324.7828629999999</v>
      </c>
      <c r="G13" s="31">
        <v>2.9811772687326224E-2</v>
      </c>
    </row>
    <row r="14" spans="1:7" ht="12.95" customHeight="1">
      <c r="A14" s="79"/>
      <c r="B14" s="30" t="s">
        <v>56</v>
      </c>
      <c r="C14" s="19" t="s">
        <v>57</v>
      </c>
      <c r="D14" s="19" t="s">
        <v>42</v>
      </c>
      <c r="E14" s="21">
        <v>1462595</v>
      </c>
      <c r="F14" s="22">
        <v>2161.7154099999998</v>
      </c>
      <c r="G14" s="31">
        <v>2.7720682840223693E-2</v>
      </c>
    </row>
    <row r="15" spans="1:7" ht="12.95" customHeight="1">
      <c r="A15" s="79"/>
      <c r="B15" s="30" t="s">
        <v>58</v>
      </c>
      <c r="C15" s="19" t="s">
        <v>59</v>
      </c>
      <c r="D15" s="19" t="s">
        <v>60</v>
      </c>
      <c r="E15" s="21">
        <v>93300</v>
      </c>
      <c r="F15" s="22">
        <v>2130.45885</v>
      </c>
      <c r="G15" s="31">
        <v>2.7319865423449843E-2</v>
      </c>
    </row>
    <row r="16" spans="1:7" ht="12.95" customHeight="1">
      <c r="A16" s="79"/>
      <c r="B16" s="30" t="s">
        <v>61</v>
      </c>
      <c r="C16" s="19" t="s">
        <v>62</v>
      </c>
      <c r="D16" s="19" t="s">
        <v>60</v>
      </c>
      <c r="E16" s="21">
        <v>213310</v>
      </c>
      <c r="F16" s="22">
        <v>2120.621365</v>
      </c>
      <c r="G16" s="31">
        <v>2.7193714774586004E-2</v>
      </c>
    </row>
    <row r="17" spans="1:7" ht="12.95" customHeight="1">
      <c r="A17" s="79"/>
      <c r="B17" s="30" t="s">
        <v>63</v>
      </c>
      <c r="C17" s="19" t="s">
        <v>64</v>
      </c>
      <c r="D17" s="19" t="s">
        <v>65</v>
      </c>
      <c r="E17" s="21">
        <v>47573</v>
      </c>
      <c r="F17" s="22">
        <v>1959.341578</v>
      </c>
      <c r="G17" s="31">
        <v>2.5125549000643621E-2</v>
      </c>
    </row>
    <row r="18" spans="1:7" ht="12.95" customHeight="1">
      <c r="A18" s="79"/>
      <c r="B18" s="30" t="s">
        <v>66</v>
      </c>
      <c r="C18" s="19" t="s">
        <v>67</v>
      </c>
      <c r="D18" s="19" t="s">
        <v>68</v>
      </c>
      <c r="E18" s="21">
        <v>225348</v>
      </c>
      <c r="F18" s="22">
        <v>1924.5845939999999</v>
      </c>
      <c r="G18" s="31">
        <v>2.467984401769828E-2</v>
      </c>
    </row>
    <row r="19" spans="1:7" ht="12.95" customHeight="1">
      <c r="A19" s="79"/>
      <c r="B19" s="30" t="s">
        <v>69</v>
      </c>
      <c r="C19" s="19" t="s">
        <v>70</v>
      </c>
      <c r="D19" s="19" t="s">
        <v>60</v>
      </c>
      <c r="E19" s="21">
        <v>268786</v>
      </c>
      <c r="F19" s="22">
        <v>1907.4398490000001</v>
      </c>
      <c r="G19" s="31">
        <v>2.445998897280062E-2</v>
      </c>
    </row>
    <row r="20" spans="1:7" ht="12.95" customHeight="1">
      <c r="A20" s="79"/>
      <c r="B20" s="30" t="s">
        <v>71</v>
      </c>
      <c r="C20" s="19" t="s">
        <v>72</v>
      </c>
      <c r="D20" s="19" t="s">
        <v>73</v>
      </c>
      <c r="E20" s="21">
        <v>440535</v>
      </c>
      <c r="F20" s="22">
        <v>1854.2118149999999</v>
      </c>
      <c r="G20" s="31">
        <v>2.3777421118633988E-2</v>
      </c>
    </row>
    <row r="21" spans="1:7" ht="12.95" customHeight="1">
      <c r="A21" s="79"/>
      <c r="B21" s="30" t="s">
        <v>74</v>
      </c>
      <c r="C21" s="19" t="s">
        <v>75</v>
      </c>
      <c r="D21" s="19" t="s">
        <v>76</v>
      </c>
      <c r="E21" s="21">
        <v>540234</v>
      </c>
      <c r="F21" s="22">
        <v>1852.1922689999999</v>
      </c>
      <c r="G21" s="31">
        <v>2.3751523540308798E-2</v>
      </c>
    </row>
    <row r="22" spans="1:7" ht="12.95" customHeight="1">
      <c r="A22" s="79"/>
      <c r="B22" s="30" t="s">
        <v>77</v>
      </c>
      <c r="C22" s="19" t="s">
        <v>78</v>
      </c>
      <c r="D22" s="19" t="s">
        <v>79</v>
      </c>
      <c r="E22" s="21">
        <v>564946</v>
      </c>
      <c r="F22" s="22">
        <v>1781.2747380000001</v>
      </c>
      <c r="G22" s="31">
        <v>2.2842115032801914E-2</v>
      </c>
    </row>
    <row r="23" spans="1:7" ht="12.95" customHeight="1">
      <c r="A23" s="79"/>
      <c r="B23" s="30" t="s">
        <v>80</v>
      </c>
      <c r="C23" s="19" t="s">
        <v>81</v>
      </c>
      <c r="D23" s="19" t="s">
        <v>82</v>
      </c>
      <c r="E23" s="21">
        <v>213600</v>
      </c>
      <c r="F23" s="22">
        <v>1613.4276</v>
      </c>
      <c r="G23" s="31">
        <v>2.0689733060312177E-2</v>
      </c>
    </row>
    <row r="24" spans="1:7" ht="12.95" customHeight="1">
      <c r="A24" s="79"/>
      <c r="B24" s="30" t="s">
        <v>83</v>
      </c>
      <c r="C24" s="19" t="s">
        <v>84</v>
      </c>
      <c r="D24" s="19" t="s">
        <v>65</v>
      </c>
      <c r="E24" s="21">
        <v>141200</v>
      </c>
      <c r="F24" s="22">
        <v>1501.309</v>
      </c>
      <c r="G24" s="31">
        <v>1.9251984068602904E-2</v>
      </c>
    </row>
    <row r="25" spans="1:7" ht="12.95" customHeight="1">
      <c r="A25" s="79"/>
      <c r="B25" s="30" t="s">
        <v>85</v>
      </c>
      <c r="C25" s="19" t="s">
        <v>86</v>
      </c>
      <c r="D25" s="19" t="s">
        <v>87</v>
      </c>
      <c r="E25" s="21">
        <v>220487</v>
      </c>
      <c r="F25" s="22">
        <v>1486.964328</v>
      </c>
      <c r="G25" s="31">
        <v>1.9068035663035939E-2</v>
      </c>
    </row>
    <row r="26" spans="1:7" ht="12.95" customHeight="1">
      <c r="A26" s="79"/>
      <c r="B26" s="30" t="s">
        <v>88</v>
      </c>
      <c r="C26" s="19" t="s">
        <v>89</v>
      </c>
      <c r="D26" s="19" t="s">
        <v>60</v>
      </c>
      <c r="E26" s="21">
        <v>112019</v>
      </c>
      <c r="F26" s="22">
        <v>1457.8712754999999</v>
      </c>
      <c r="G26" s="31">
        <v>1.8694961909906483E-2</v>
      </c>
    </row>
    <row r="27" spans="1:7" ht="12.95" customHeight="1">
      <c r="A27" s="79"/>
      <c r="B27" s="30" t="s">
        <v>90</v>
      </c>
      <c r="C27" s="19" t="s">
        <v>91</v>
      </c>
      <c r="D27" s="19" t="s">
        <v>82</v>
      </c>
      <c r="E27" s="21">
        <v>124800</v>
      </c>
      <c r="F27" s="22">
        <v>1447.3679999999999</v>
      </c>
      <c r="G27" s="31">
        <v>1.856027351957901E-2</v>
      </c>
    </row>
    <row r="28" spans="1:7" ht="12.95" customHeight="1">
      <c r="A28" s="79"/>
      <c r="B28" s="30" t="s">
        <v>92</v>
      </c>
      <c r="C28" s="19" t="s">
        <v>93</v>
      </c>
      <c r="D28" s="19" t="s">
        <v>65</v>
      </c>
      <c r="E28" s="21">
        <v>197000</v>
      </c>
      <c r="F28" s="22">
        <v>1281.4849999999999</v>
      </c>
      <c r="G28" s="31">
        <v>1.6433078602841648E-2</v>
      </c>
    </row>
    <row r="29" spans="1:7" ht="12.95" customHeight="1">
      <c r="A29" s="79"/>
      <c r="B29" s="30" t="s">
        <v>94</v>
      </c>
      <c r="C29" s="19" t="s">
        <v>95</v>
      </c>
      <c r="D29" s="19" t="s">
        <v>73</v>
      </c>
      <c r="E29" s="21">
        <v>106380</v>
      </c>
      <c r="F29" s="22">
        <v>1271.4537600000001</v>
      </c>
      <c r="G29" s="31">
        <v>1.6304443343432472E-2</v>
      </c>
    </row>
    <row r="30" spans="1:7" ht="12.95" customHeight="1">
      <c r="A30" s="79"/>
      <c r="B30" s="30" t="s">
        <v>96</v>
      </c>
      <c r="C30" s="19" t="s">
        <v>97</v>
      </c>
      <c r="D30" s="19" t="s">
        <v>65</v>
      </c>
      <c r="E30" s="21">
        <v>125304</v>
      </c>
      <c r="F30" s="22">
        <v>1262.1871920000001</v>
      </c>
      <c r="G30" s="31">
        <v>1.6185613828984327E-2</v>
      </c>
    </row>
    <row r="31" spans="1:7" ht="12.95" customHeight="1">
      <c r="A31" s="79"/>
      <c r="B31" s="30" t="s">
        <v>98</v>
      </c>
      <c r="C31" s="19" t="s">
        <v>99</v>
      </c>
      <c r="D31" s="19" t="s">
        <v>100</v>
      </c>
      <c r="E31" s="21">
        <v>504000</v>
      </c>
      <c r="F31" s="22">
        <v>1259.4960000000001</v>
      </c>
      <c r="G31" s="31">
        <v>1.6151103421393653E-2</v>
      </c>
    </row>
    <row r="32" spans="1:7" ht="12.95" customHeight="1">
      <c r="A32" s="79"/>
      <c r="B32" s="30" t="s">
        <v>101</v>
      </c>
      <c r="C32" s="19" t="s">
        <v>102</v>
      </c>
      <c r="D32" s="19" t="s">
        <v>103</v>
      </c>
      <c r="E32" s="21">
        <v>711027</v>
      </c>
      <c r="F32" s="22">
        <v>1155.4188750000001</v>
      </c>
      <c r="G32" s="31">
        <v>1.481647400639248E-2</v>
      </c>
    </row>
    <row r="33" spans="1:7" ht="12.95" customHeight="1">
      <c r="A33" s="79"/>
      <c r="B33" s="30" t="s">
        <v>104</v>
      </c>
      <c r="C33" s="19" t="s">
        <v>105</v>
      </c>
      <c r="D33" s="19" t="s">
        <v>106</v>
      </c>
      <c r="E33" s="21">
        <v>325739</v>
      </c>
      <c r="F33" s="22">
        <v>1140.5751084999999</v>
      </c>
      <c r="G33" s="31">
        <v>1.4626125479756018E-2</v>
      </c>
    </row>
    <row r="34" spans="1:7" ht="12.95" customHeight="1">
      <c r="A34" s="79"/>
      <c r="B34" s="30" t="s">
        <v>107</v>
      </c>
      <c r="C34" s="19" t="s">
        <v>108</v>
      </c>
      <c r="D34" s="19" t="s">
        <v>65</v>
      </c>
      <c r="E34" s="21">
        <v>673495</v>
      </c>
      <c r="F34" s="22">
        <v>1132.1450950000001</v>
      </c>
      <c r="G34" s="31">
        <v>1.4518023493023035E-2</v>
      </c>
    </row>
    <row r="35" spans="1:7" ht="12.95" customHeight="1">
      <c r="A35" s="79"/>
      <c r="B35" s="30" t="s">
        <v>109</v>
      </c>
      <c r="C35" s="19" t="s">
        <v>110</v>
      </c>
      <c r="D35" s="19" t="s">
        <v>79</v>
      </c>
      <c r="E35" s="21">
        <v>850000</v>
      </c>
      <c r="F35" s="22">
        <v>1106.2750000000001</v>
      </c>
      <c r="G35" s="31">
        <v>1.418627922399298E-2</v>
      </c>
    </row>
    <row r="36" spans="1:7" ht="12.95" customHeight="1">
      <c r="A36" s="79"/>
      <c r="B36" s="30" t="s">
        <v>111</v>
      </c>
      <c r="C36" s="19" t="s">
        <v>112</v>
      </c>
      <c r="D36" s="19" t="s">
        <v>50</v>
      </c>
      <c r="E36" s="21">
        <v>244803</v>
      </c>
      <c r="F36" s="22">
        <v>1103.8167269999999</v>
      </c>
      <c r="G36" s="31">
        <v>1.4154755645147933E-2</v>
      </c>
    </row>
    <row r="37" spans="1:7" ht="12.95" customHeight="1">
      <c r="A37" s="79"/>
      <c r="B37" s="30" t="s">
        <v>113</v>
      </c>
      <c r="C37" s="19" t="s">
        <v>114</v>
      </c>
      <c r="D37" s="19" t="s">
        <v>82</v>
      </c>
      <c r="E37" s="21">
        <v>88166</v>
      </c>
      <c r="F37" s="22">
        <v>1102.119083</v>
      </c>
      <c r="G37" s="31">
        <v>1.413298596599317E-2</v>
      </c>
    </row>
    <row r="38" spans="1:7" ht="12.95" customHeight="1">
      <c r="A38" s="79"/>
      <c r="B38" s="30" t="s">
        <v>115</v>
      </c>
      <c r="C38" s="19" t="s">
        <v>116</v>
      </c>
      <c r="D38" s="19" t="s">
        <v>82</v>
      </c>
      <c r="E38" s="21">
        <v>23823</v>
      </c>
      <c r="F38" s="22">
        <v>1094.6668500000001</v>
      </c>
      <c r="G38" s="31">
        <v>1.4037422513704855E-2</v>
      </c>
    </row>
    <row r="39" spans="1:7" ht="12.95" customHeight="1">
      <c r="A39" s="79"/>
      <c r="B39" s="30" t="s">
        <v>117</v>
      </c>
      <c r="C39" s="19" t="s">
        <v>118</v>
      </c>
      <c r="D39" s="19" t="s">
        <v>42</v>
      </c>
      <c r="E39" s="21">
        <v>218302</v>
      </c>
      <c r="F39" s="22">
        <v>1057.5640390000001</v>
      </c>
      <c r="G39" s="31">
        <v>1.3561635899308762E-2</v>
      </c>
    </row>
    <row r="40" spans="1:7" ht="12.95" customHeight="1">
      <c r="A40" s="79"/>
      <c r="B40" s="30" t="s">
        <v>119</v>
      </c>
      <c r="C40" s="19" t="s">
        <v>120</v>
      </c>
      <c r="D40" s="19" t="s">
        <v>45</v>
      </c>
      <c r="E40" s="21">
        <v>221821</v>
      </c>
      <c r="F40" s="22">
        <v>1011.6146705</v>
      </c>
      <c r="G40" s="31">
        <v>1.2972405760593572E-2</v>
      </c>
    </row>
    <row r="41" spans="1:7" ht="12.95" customHeight="1">
      <c r="A41" s="79"/>
      <c r="B41" s="30" t="s">
        <v>121</v>
      </c>
      <c r="C41" s="19" t="s">
        <v>122</v>
      </c>
      <c r="D41" s="19" t="s">
        <v>42</v>
      </c>
      <c r="E41" s="21">
        <v>113258</v>
      </c>
      <c r="F41" s="22">
        <v>988.40256599999998</v>
      </c>
      <c r="G41" s="31">
        <v>1.2674746140866557E-2</v>
      </c>
    </row>
    <row r="42" spans="1:7" ht="12.95" customHeight="1">
      <c r="A42" s="79"/>
      <c r="B42" s="30" t="s">
        <v>123</v>
      </c>
      <c r="C42" s="19" t="s">
        <v>124</v>
      </c>
      <c r="D42" s="19" t="s">
        <v>50</v>
      </c>
      <c r="E42" s="21">
        <v>231500</v>
      </c>
      <c r="F42" s="22">
        <v>974.49924999999996</v>
      </c>
      <c r="G42" s="31">
        <v>1.2496457448710077E-2</v>
      </c>
    </row>
    <row r="43" spans="1:7" ht="12.95" customHeight="1">
      <c r="A43" s="79"/>
      <c r="B43" s="30" t="s">
        <v>125</v>
      </c>
      <c r="C43" s="19" t="s">
        <v>126</v>
      </c>
      <c r="D43" s="19" t="s">
        <v>55</v>
      </c>
      <c r="E43" s="21">
        <v>646533</v>
      </c>
      <c r="F43" s="22">
        <v>958.80843900000002</v>
      </c>
      <c r="G43" s="31">
        <v>1.2295246876206043E-2</v>
      </c>
    </row>
    <row r="44" spans="1:7" ht="12.95" customHeight="1">
      <c r="A44" s="79"/>
      <c r="B44" s="30" t="s">
        <v>127</v>
      </c>
      <c r="C44" s="19" t="s">
        <v>128</v>
      </c>
      <c r="D44" s="19" t="s">
        <v>73</v>
      </c>
      <c r="E44" s="21">
        <v>181527</v>
      </c>
      <c r="F44" s="22">
        <v>952.29064200000005</v>
      </c>
      <c r="G44" s="31">
        <v>1.2211666131664854E-2</v>
      </c>
    </row>
    <row r="45" spans="1:7" ht="12.95" customHeight="1">
      <c r="A45" s="79"/>
      <c r="B45" s="30" t="s">
        <v>129</v>
      </c>
      <c r="C45" s="19" t="s">
        <v>130</v>
      </c>
      <c r="D45" s="19" t="s">
        <v>82</v>
      </c>
      <c r="E45" s="21">
        <v>31590</v>
      </c>
      <c r="F45" s="22">
        <v>872.81590500000004</v>
      </c>
      <c r="G45" s="31">
        <v>1.1192524588797659E-2</v>
      </c>
    </row>
    <row r="46" spans="1:7" ht="12.95" customHeight="1">
      <c r="A46" s="79"/>
      <c r="B46" s="30" t="s">
        <v>131</v>
      </c>
      <c r="C46" s="19" t="s">
        <v>132</v>
      </c>
      <c r="D46" s="19" t="s">
        <v>133</v>
      </c>
      <c r="E46" s="21">
        <v>61987</v>
      </c>
      <c r="F46" s="22">
        <v>869.42966200000001</v>
      </c>
      <c r="G46" s="31">
        <v>1.114910121873299E-2</v>
      </c>
    </row>
    <row r="47" spans="1:7" ht="12.95" customHeight="1">
      <c r="A47" s="79"/>
      <c r="B47" s="30" t="s">
        <v>134</v>
      </c>
      <c r="C47" s="19" t="s">
        <v>135</v>
      </c>
      <c r="D47" s="19" t="s">
        <v>50</v>
      </c>
      <c r="E47" s="21">
        <v>15720</v>
      </c>
      <c r="F47" s="22">
        <v>855.70248000000004</v>
      </c>
      <c r="G47" s="31">
        <v>1.0973071174837421E-2</v>
      </c>
    </row>
    <row r="48" spans="1:7" ht="12.95" customHeight="1">
      <c r="A48" s="79"/>
      <c r="B48" s="30" t="s">
        <v>136</v>
      </c>
      <c r="C48" s="19" t="s">
        <v>137</v>
      </c>
      <c r="D48" s="19" t="s">
        <v>50</v>
      </c>
      <c r="E48" s="21">
        <v>81000</v>
      </c>
      <c r="F48" s="22">
        <v>845.31600000000003</v>
      </c>
      <c r="G48" s="31">
        <v>1.0839880507567151E-2</v>
      </c>
    </row>
    <row r="49" spans="1:7" ht="12.95" customHeight="1">
      <c r="A49" s="79"/>
      <c r="B49" s="30" t="s">
        <v>138</v>
      </c>
      <c r="C49" s="19" t="s">
        <v>139</v>
      </c>
      <c r="D49" s="19" t="s">
        <v>68</v>
      </c>
      <c r="E49" s="21">
        <v>55355</v>
      </c>
      <c r="F49" s="22">
        <v>823.71007750000001</v>
      </c>
      <c r="G49" s="31">
        <v>1.0562817707199293E-2</v>
      </c>
    </row>
    <row r="50" spans="1:7" ht="12.95" customHeight="1">
      <c r="A50" s="79"/>
      <c r="B50" s="30" t="s">
        <v>140</v>
      </c>
      <c r="C50" s="19" t="s">
        <v>141</v>
      </c>
      <c r="D50" s="19" t="s">
        <v>87</v>
      </c>
      <c r="E50" s="21">
        <v>736610</v>
      </c>
      <c r="F50" s="22">
        <v>808.79777999999999</v>
      </c>
      <c r="G50" s="31">
        <v>1.0371590375653111E-2</v>
      </c>
    </row>
    <row r="51" spans="1:7" ht="12.95" customHeight="1">
      <c r="A51" s="79"/>
      <c r="B51" s="30" t="s">
        <v>142</v>
      </c>
      <c r="C51" s="19" t="s">
        <v>143</v>
      </c>
      <c r="D51" s="19" t="s">
        <v>103</v>
      </c>
      <c r="E51" s="21">
        <v>77301</v>
      </c>
      <c r="F51" s="22">
        <v>808.29790649999995</v>
      </c>
      <c r="G51" s="31">
        <v>1.0365180265104038E-2</v>
      </c>
    </row>
    <row r="52" spans="1:7" ht="12.95" customHeight="1">
      <c r="A52" s="79"/>
      <c r="B52" s="30" t="s">
        <v>144</v>
      </c>
      <c r="C52" s="19" t="s">
        <v>145</v>
      </c>
      <c r="D52" s="19" t="s">
        <v>60</v>
      </c>
      <c r="E52" s="21">
        <v>42517</v>
      </c>
      <c r="F52" s="22">
        <v>799.25582450000002</v>
      </c>
      <c r="G52" s="31">
        <v>1.0249229439117515E-2</v>
      </c>
    </row>
    <row r="53" spans="1:7" ht="12.95" customHeight="1">
      <c r="A53" s="79"/>
      <c r="B53" s="30" t="s">
        <v>146</v>
      </c>
      <c r="C53" s="19" t="s">
        <v>147</v>
      </c>
      <c r="D53" s="19" t="s">
        <v>73</v>
      </c>
      <c r="E53" s="21">
        <v>141541</v>
      </c>
      <c r="F53" s="22">
        <v>779.04166399999997</v>
      </c>
      <c r="G53" s="31">
        <v>9.9900138506502627E-3</v>
      </c>
    </row>
    <row r="54" spans="1:7" ht="12.95" customHeight="1">
      <c r="A54" s="79"/>
      <c r="B54" s="30" t="s">
        <v>148</v>
      </c>
      <c r="C54" s="19" t="s">
        <v>149</v>
      </c>
      <c r="D54" s="19" t="s">
        <v>150</v>
      </c>
      <c r="E54" s="21">
        <v>403000</v>
      </c>
      <c r="F54" s="22">
        <v>753.61</v>
      </c>
      <c r="G54" s="31">
        <v>9.663891786394296E-3</v>
      </c>
    </row>
    <row r="55" spans="1:7" ht="12.95" customHeight="1">
      <c r="A55" s="79"/>
      <c r="B55" s="30" t="s">
        <v>151</v>
      </c>
      <c r="C55" s="19" t="s">
        <v>152</v>
      </c>
      <c r="D55" s="19" t="s">
        <v>82</v>
      </c>
      <c r="E55" s="21">
        <v>159151</v>
      </c>
      <c r="F55" s="22">
        <v>728.59327800000005</v>
      </c>
      <c r="G55" s="31">
        <v>9.3430907165328158E-3</v>
      </c>
    </row>
    <row r="56" spans="1:7" ht="12.95" customHeight="1">
      <c r="A56" s="79"/>
      <c r="B56" s="30" t="s">
        <v>153</v>
      </c>
      <c r="C56" s="19" t="s">
        <v>154</v>
      </c>
      <c r="D56" s="19" t="s">
        <v>103</v>
      </c>
      <c r="E56" s="21">
        <v>610425</v>
      </c>
      <c r="F56" s="22">
        <v>713.58682499999998</v>
      </c>
      <c r="G56" s="31">
        <v>9.1506559851868789E-3</v>
      </c>
    </row>
    <row r="57" spans="1:7" ht="12.95" customHeight="1">
      <c r="A57" s="79"/>
      <c r="B57" s="30" t="s">
        <v>155</v>
      </c>
      <c r="C57" s="19" t="s">
        <v>156</v>
      </c>
      <c r="D57" s="19" t="s">
        <v>157</v>
      </c>
      <c r="E57" s="21">
        <v>239124</v>
      </c>
      <c r="F57" s="22">
        <v>689.15536799999995</v>
      </c>
      <c r="G57" s="31">
        <v>8.8373600408231546E-3</v>
      </c>
    </row>
    <row r="58" spans="1:7" ht="12.95" customHeight="1">
      <c r="A58" s="79"/>
      <c r="B58" s="30" t="s">
        <v>158</v>
      </c>
      <c r="C58" s="19" t="s">
        <v>159</v>
      </c>
      <c r="D58" s="19" t="s">
        <v>160</v>
      </c>
      <c r="E58" s="21">
        <v>105100</v>
      </c>
      <c r="F58" s="22">
        <v>675.63535000000002</v>
      </c>
      <c r="G58" s="31">
        <v>8.6639865573209414E-3</v>
      </c>
    </row>
    <row r="59" spans="1:7" ht="12.95" customHeight="1">
      <c r="A59" s="79"/>
      <c r="B59" s="30" t="s">
        <v>161</v>
      </c>
      <c r="C59" s="19" t="s">
        <v>162</v>
      </c>
      <c r="D59" s="19" t="s">
        <v>42</v>
      </c>
      <c r="E59" s="21">
        <v>472077</v>
      </c>
      <c r="F59" s="22">
        <v>671.05745549999995</v>
      </c>
      <c r="G59" s="31">
        <v>8.6052820854355776E-3</v>
      </c>
    </row>
    <row r="60" spans="1:7" ht="12.95" customHeight="1">
      <c r="A60" s="79"/>
      <c r="B60" s="30" t="s">
        <v>163</v>
      </c>
      <c r="C60" s="19" t="s">
        <v>164</v>
      </c>
      <c r="D60" s="19" t="s">
        <v>157</v>
      </c>
      <c r="E60" s="21">
        <v>250000</v>
      </c>
      <c r="F60" s="22">
        <v>583.625</v>
      </c>
      <c r="G60" s="31">
        <v>7.4840950144429751E-3</v>
      </c>
    </row>
    <row r="61" spans="1:7" ht="12.95" customHeight="1">
      <c r="A61" s="79"/>
      <c r="B61" s="30" t="s">
        <v>165</v>
      </c>
      <c r="C61" s="19" t="s">
        <v>166</v>
      </c>
      <c r="D61" s="19" t="s">
        <v>73</v>
      </c>
      <c r="E61" s="21">
        <v>14250</v>
      </c>
      <c r="F61" s="22">
        <v>529.06687499999998</v>
      </c>
      <c r="G61" s="31">
        <v>6.7844707843125723E-3</v>
      </c>
    </row>
    <row r="62" spans="1:7" ht="12.95" customHeight="1">
      <c r="A62" s="79"/>
      <c r="B62" s="30" t="s">
        <v>167</v>
      </c>
      <c r="C62" s="19" t="s">
        <v>168</v>
      </c>
      <c r="D62" s="19" t="s">
        <v>169</v>
      </c>
      <c r="E62" s="21">
        <v>560874</v>
      </c>
      <c r="F62" s="22">
        <v>517.68670199999997</v>
      </c>
      <c r="G62" s="31">
        <v>6.6385375292039002E-3</v>
      </c>
    </row>
    <row r="63" spans="1:7" ht="12.95" customHeight="1">
      <c r="A63" s="79"/>
      <c r="B63" s="30" t="s">
        <v>170</v>
      </c>
      <c r="C63" s="19" t="s">
        <v>171</v>
      </c>
      <c r="D63" s="19" t="s">
        <v>172</v>
      </c>
      <c r="E63" s="21">
        <v>89024</v>
      </c>
      <c r="F63" s="22">
        <v>497.42160000000001</v>
      </c>
      <c r="G63" s="31">
        <v>6.378668694172196E-3</v>
      </c>
    </row>
    <row r="64" spans="1:7" ht="12.95" customHeight="1">
      <c r="A64" s="79"/>
      <c r="B64" s="30" t="s">
        <v>173</v>
      </c>
      <c r="C64" s="19" t="s">
        <v>174</v>
      </c>
      <c r="D64" s="19" t="s">
        <v>68</v>
      </c>
      <c r="E64" s="21">
        <v>76803</v>
      </c>
      <c r="F64" s="22">
        <v>299.57010150000002</v>
      </c>
      <c r="G64" s="31">
        <v>3.8415268419144592E-3</v>
      </c>
    </row>
    <row r="65" spans="1:7" ht="12.95" customHeight="1">
      <c r="A65" s="79"/>
      <c r="B65" s="30" t="s">
        <v>175</v>
      </c>
      <c r="C65" s="19" t="s">
        <v>176</v>
      </c>
      <c r="D65" s="19" t="s">
        <v>76</v>
      </c>
      <c r="E65" s="21">
        <v>4000</v>
      </c>
      <c r="F65" s="22">
        <v>247.51599999999999</v>
      </c>
      <c r="G65" s="31">
        <v>3.1740128705844807E-3</v>
      </c>
    </row>
    <row r="66" spans="1:7" ht="12.95" customHeight="1">
      <c r="A66" s="79"/>
      <c r="B66" s="30" t="s">
        <v>177</v>
      </c>
      <c r="C66" s="19" t="s">
        <v>178</v>
      </c>
      <c r="D66" s="19" t="s">
        <v>68</v>
      </c>
      <c r="E66" s="21">
        <v>51000</v>
      </c>
      <c r="F66" s="22">
        <v>243.678</v>
      </c>
      <c r="G66" s="31">
        <v>3.1247964102453381E-3</v>
      </c>
    </row>
    <row r="67" spans="1:7" ht="12.95" customHeight="1">
      <c r="A67" s="79"/>
      <c r="B67" s="30" t="s">
        <v>179</v>
      </c>
      <c r="C67" s="19" t="s">
        <v>180</v>
      </c>
      <c r="D67" s="19" t="s">
        <v>45</v>
      </c>
      <c r="E67" s="21">
        <v>104230</v>
      </c>
      <c r="F67" s="22">
        <v>153.32232999999999</v>
      </c>
      <c r="G67" s="31">
        <v>1.9661235991531903E-3</v>
      </c>
    </row>
    <row r="68" spans="1:7" ht="12.95" customHeight="1">
      <c r="A68" s="79"/>
      <c r="B68" s="30" t="s">
        <v>181</v>
      </c>
      <c r="C68" s="19" t="s">
        <v>182</v>
      </c>
      <c r="D68" s="19" t="s">
        <v>169</v>
      </c>
      <c r="E68" s="21">
        <v>10000</v>
      </c>
      <c r="F68" s="22">
        <v>28.25</v>
      </c>
      <c r="G68" s="31">
        <v>3.6226289853589903E-4</v>
      </c>
    </row>
    <row r="69" spans="1:7" ht="12.95" customHeight="1">
      <c r="A69" s="79"/>
      <c r="B69" s="30" t="s">
        <v>183</v>
      </c>
      <c r="C69" s="19" t="s">
        <v>184</v>
      </c>
      <c r="D69" s="19" t="s">
        <v>185</v>
      </c>
      <c r="E69" s="21">
        <v>1500</v>
      </c>
      <c r="F69" s="22">
        <v>6.702</v>
      </c>
      <c r="G69" s="31">
        <v>8.5942865344693632E-5</v>
      </c>
    </row>
    <row r="70" spans="1:7" ht="12.95" customHeight="1">
      <c r="A70" s="79"/>
      <c r="B70" s="30" t="s">
        <v>186</v>
      </c>
      <c r="C70" s="19" t="s">
        <v>187</v>
      </c>
      <c r="D70" s="19" t="s">
        <v>133</v>
      </c>
      <c r="E70" s="21">
        <v>13</v>
      </c>
      <c r="F70" s="22">
        <v>2.546271</v>
      </c>
      <c r="G70" s="31" t="s">
        <v>188</v>
      </c>
    </row>
    <row r="71" spans="1:7" ht="12.95" customHeight="1">
      <c r="A71" s="79"/>
      <c r="B71" s="30" t="s">
        <v>189</v>
      </c>
      <c r="C71" s="19" t="s">
        <v>190</v>
      </c>
      <c r="D71" s="19" t="s">
        <v>106</v>
      </c>
      <c r="E71" s="21">
        <v>565</v>
      </c>
      <c r="F71" s="22">
        <v>2.0695950000000001</v>
      </c>
      <c r="G71" s="31" t="s">
        <v>188</v>
      </c>
    </row>
    <row r="72" spans="1:7" ht="12.95" customHeight="1">
      <c r="A72" s="70"/>
      <c r="B72" s="24" t="s">
        <v>27</v>
      </c>
      <c r="C72" s="19" t="s">
        <v>1</v>
      </c>
      <c r="D72" s="19" t="s">
        <v>1</v>
      </c>
      <c r="E72" s="19" t="s">
        <v>1</v>
      </c>
      <c r="F72" s="23">
        <v>75708.994563999993</v>
      </c>
      <c r="G72" s="32">
        <v>0.97085167490241631</v>
      </c>
    </row>
    <row r="73" spans="1:7" ht="12.95" customHeight="1">
      <c r="A73" s="70"/>
      <c r="B73" s="24" t="s">
        <v>191</v>
      </c>
      <c r="C73" s="19" t="s">
        <v>1</v>
      </c>
      <c r="D73" s="19" t="s">
        <v>1</v>
      </c>
      <c r="E73" s="19" t="s">
        <v>1</v>
      </c>
      <c r="F73" s="23" t="s">
        <v>192</v>
      </c>
      <c r="G73" s="32" t="s">
        <v>192</v>
      </c>
    </row>
    <row r="74" spans="1:7" ht="12.95" customHeight="1">
      <c r="A74" s="70"/>
      <c r="B74" s="24" t="s">
        <v>27</v>
      </c>
      <c r="C74" s="19" t="s">
        <v>1</v>
      </c>
      <c r="D74" s="19" t="s">
        <v>1</v>
      </c>
      <c r="E74" s="19" t="s">
        <v>1</v>
      </c>
      <c r="F74" s="23" t="s">
        <v>192</v>
      </c>
      <c r="G74" s="32" t="s">
        <v>192</v>
      </c>
    </row>
    <row r="75" spans="1:7" ht="12.95" customHeight="1">
      <c r="A75" s="70"/>
      <c r="B75" s="24" t="s">
        <v>28</v>
      </c>
      <c r="C75" s="19" t="s">
        <v>1</v>
      </c>
      <c r="D75" s="19" t="s">
        <v>1</v>
      </c>
      <c r="E75" s="19" t="s">
        <v>1</v>
      </c>
      <c r="F75" s="23">
        <v>75708.994563999993</v>
      </c>
      <c r="G75" s="32">
        <v>0.97085167490241631</v>
      </c>
    </row>
    <row r="76" spans="1:7" ht="12.95" customHeight="1">
      <c r="A76" s="70"/>
      <c r="B76" s="24"/>
      <c r="C76" s="19"/>
      <c r="D76" s="19"/>
      <c r="E76" s="19"/>
      <c r="F76" s="23"/>
      <c r="G76" s="32"/>
    </row>
    <row r="77" spans="1:7" ht="12.95" customHeight="1">
      <c r="A77" s="70"/>
      <c r="B77" s="25" t="s">
        <v>364</v>
      </c>
      <c r="C77" s="19"/>
      <c r="D77" s="19"/>
      <c r="E77" s="19"/>
      <c r="F77" s="23"/>
      <c r="G77" s="32"/>
    </row>
    <row r="78" spans="1:7" ht="12.95" customHeight="1">
      <c r="A78" s="70"/>
      <c r="B78" s="27" t="s">
        <v>369</v>
      </c>
      <c r="C78" s="19"/>
      <c r="D78" s="19"/>
      <c r="E78" s="80" t="s">
        <v>192</v>
      </c>
      <c r="F78" s="80" t="s">
        <v>192</v>
      </c>
      <c r="G78" s="86" t="s">
        <v>192</v>
      </c>
    </row>
    <row r="79" spans="1:7" ht="12.95" customHeight="1">
      <c r="A79" s="70"/>
      <c r="B79" s="27" t="s">
        <v>366</v>
      </c>
      <c r="C79" s="19"/>
      <c r="D79" s="19"/>
      <c r="E79" s="80" t="s">
        <v>192</v>
      </c>
      <c r="F79" s="80" t="s">
        <v>192</v>
      </c>
      <c r="G79" s="86" t="s">
        <v>192</v>
      </c>
    </row>
    <row r="80" spans="1:7" ht="12.95" customHeight="1">
      <c r="A80" s="70"/>
      <c r="B80" s="27" t="s">
        <v>367</v>
      </c>
      <c r="C80" s="19"/>
      <c r="D80" s="19"/>
      <c r="E80" s="80" t="s">
        <v>192</v>
      </c>
      <c r="F80" s="80" t="s">
        <v>192</v>
      </c>
      <c r="G80" s="86" t="s">
        <v>192</v>
      </c>
    </row>
    <row r="81" spans="1:7" ht="12.95" customHeight="1">
      <c r="A81" s="70"/>
      <c r="B81" s="24"/>
      <c r="C81" s="19"/>
      <c r="D81" s="19"/>
      <c r="E81" s="19"/>
      <c r="F81" s="23"/>
      <c r="G81" s="32"/>
    </row>
    <row r="82" spans="1:7" ht="12.95" customHeight="1">
      <c r="A82" s="70"/>
      <c r="B82" s="25" t="s">
        <v>9</v>
      </c>
      <c r="C82" s="19"/>
      <c r="D82" s="19"/>
      <c r="E82" s="19"/>
      <c r="F82" s="23"/>
      <c r="G82" s="32"/>
    </row>
    <row r="83" spans="1:7" ht="12.95" customHeight="1">
      <c r="A83" s="70"/>
      <c r="B83" s="25" t="s">
        <v>29</v>
      </c>
      <c r="C83" s="19" t="s">
        <v>1</v>
      </c>
      <c r="D83" s="19" t="s">
        <v>1</v>
      </c>
      <c r="E83" s="19" t="s">
        <v>1</v>
      </c>
      <c r="F83" s="20" t="s">
        <v>1</v>
      </c>
      <c r="G83" s="29" t="s">
        <v>1</v>
      </c>
    </row>
    <row r="84" spans="1:7" ht="12.95" customHeight="1">
      <c r="A84" s="79"/>
      <c r="B84" s="30" t="s">
        <v>30</v>
      </c>
      <c r="C84" s="19" t="s">
        <v>1</v>
      </c>
      <c r="D84" s="19" t="s">
        <v>31</v>
      </c>
      <c r="E84" s="21"/>
      <c r="F84" s="22">
        <v>1939.9699000000001</v>
      </c>
      <c r="G84" s="31">
        <v>2.4877136957394623E-2</v>
      </c>
    </row>
    <row r="85" spans="1:7" ht="12.95" customHeight="1">
      <c r="A85" s="70"/>
      <c r="B85" s="24" t="s">
        <v>27</v>
      </c>
      <c r="C85" s="19" t="s">
        <v>1</v>
      </c>
      <c r="D85" s="19" t="s">
        <v>1</v>
      </c>
      <c r="E85" s="19" t="s">
        <v>1</v>
      </c>
      <c r="F85" s="23">
        <v>1939.9699000000001</v>
      </c>
      <c r="G85" s="32">
        <v>2.4877136957394623E-2</v>
      </c>
    </row>
    <row r="86" spans="1:7" ht="12.95" customHeight="1">
      <c r="A86" s="70"/>
      <c r="B86" s="24"/>
      <c r="C86" s="19"/>
      <c r="D86" s="19"/>
      <c r="E86" s="19"/>
      <c r="F86" s="23"/>
      <c r="G86" s="32"/>
    </row>
    <row r="87" spans="1:7" ht="12.95" customHeight="1">
      <c r="A87" s="70"/>
      <c r="B87" s="25" t="s">
        <v>379</v>
      </c>
      <c r="C87" s="19"/>
      <c r="D87" s="19"/>
      <c r="E87" s="19"/>
      <c r="F87" s="23"/>
      <c r="G87" s="32"/>
    </row>
    <row r="88" spans="1:7" ht="12.95" customHeight="1">
      <c r="A88" s="70"/>
      <c r="B88" s="30" t="s">
        <v>32</v>
      </c>
      <c r="C88" s="19" t="s">
        <v>1</v>
      </c>
      <c r="D88" s="19" t="s">
        <v>1</v>
      </c>
      <c r="E88" s="19" t="s">
        <v>1</v>
      </c>
      <c r="F88" s="22">
        <v>333.07596623339998</v>
      </c>
      <c r="G88" s="31">
        <v>4.2711881401890413E-3</v>
      </c>
    </row>
    <row r="89" spans="1:7" ht="12.95" customHeight="1">
      <c r="A89" s="70"/>
      <c r="B89" s="24" t="s">
        <v>27</v>
      </c>
      <c r="C89" s="19"/>
      <c r="D89" s="19"/>
      <c r="E89" s="19"/>
      <c r="F89" s="23">
        <v>333.07596623339998</v>
      </c>
      <c r="G89" s="32">
        <v>4.2711881401890413E-3</v>
      </c>
    </row>
    <row r="90" spans="1:7" ht="12.95" customHeight="1" thickBot="1">
      <c r="A90" s="70"/>
      <c r="B90" s="43" t="s">
        <v>28</v>
      </c>
      <c r="C90" s="44"/>
      <c r="D90" s="44"/>
      <c r="E90" s="44"/>
      <c r="F90" s="45">
        <f>F89+F85</f>
        <v>2273.0458662333999</v>
      </c>
      <c r="G90" s="46">
        <f>G89+G85</f>
        <v>2.9148325097583666E-2</v>
      </c>
    </row>
    <row r="91" spans="1:7" ht="12.95" customHeight="1" thickBot="1">
      <c r="A91" s="70"/>
      <c r="B91" s="47" t="s">
        <v>33</v>
      </c>
      <c r="C91" s="48" t="s">
        <v>1</v>
      </c>
      <c r="D91" s="48" t="s">
        <v>1</v>
      </c>
      <c r="E91" s="48" t="s">
        <v>1</v>
      </c>
      <c r="F91" s="49">
        <v>77982.040430233406</v>
      </c>
      <c r="G91" s="50">
        <v>1</v>
      </c>
    </row>
    <row r="92" spans="1:7" ht="12.95" customHeight="1">
      <c r="A92" s="70"/>
      <c r="B92" s="74" t="s">
        <v>31</v>
      </c>
      <c r="C92" s="70"/>
      <c r="D92" s="70"/>
      <c r="E92" s="70"/>
      <c r="F92" s="71"/>
      <c r="G92" s="72"/>
    </row>
    <row r="93" spans="1:7" ht="12.95" customHeight="1">
      <c r="A93" s="70"/>
      <c r="B93" s="74" t="s">
        <v>193</v>
      </c>
      <c r="C93" s="70"/>
      <c r="D93" s="70"/>
      <c r="E93" s="70"/>
      <c r="F93" s="71"/>
      <c r="G93" s="72"/>
    </row>
    <row r="94" spans="1:7" ht="12.95" customHeight="1">
      <c r="A94" s="70"/>
      <c r="B94" s="74" t="s">
        <v>368</v>
      </c>
      <c r="C94" s="70"/>
      <c r="D94" s="70"/>
      <c r="E94" s="70"/>
      <c r="F94" s="71"/>
      <c r="G94" s="72"/>
    </row>
    <row r="95" spans="1:7" ht="12.95" customHeight="1" thickBot="1">
      <c r="A95" s="70"/>
      <c r="B95" s="74" t="s">
        <v>1</v>
      </c>
      <c r="C95" s="70"/>
      <c r="D95" s="70"/>
      <c r="E95" s="70"/>
      <c r="F95" s="71"/>
      <c r="G95" s="72"/>
    </row>
    <row r="96" spans="1:7" ht="13.5" thickBot="1">
      <c r="B96" s="83" t="s">
        <v>380</v>
      </c>
      <c r="C96" s="84">
        <v>0.74439999999999995</v>
      </c>
    </row>
    <row r="97" spans="2:3">
      <c r="B97" s="85" t="s">
        <v>381</v>
      </c>
      <c r="C97" s="85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showGridLines="0" zoomScaleNormal="100" workbookViewId="0">
      <selection activeCell="B47" sqref="B47"/>
    </sheetView>
  </sheetViews>
  <sheetFormatPr defaultRowHeight="12.75"/>
  <cols>
    <col min="1" max="1" width="13.85546875" style="73" bestFit="1" customWidth="1"/>
    <col min="2" max="2" width="52.42578125" style="73" customWidth="1"/>
    <col min="3" max="3" width="14.140625" style="73" bestFit="1" customWidth="1"/>
    <col min="4" max="4" width="32.85546875" style="73" bestFit="1" customWidth="1"/>
    <col min="5" max="5" width="15.7109375" style="73" customWidth="1"/>
    <col min="6" max="6" width="18" style="75" customWidth="1"/>
    <col min="7" max="7" width="15.7109375" style="76" customWidth="1"/>
    <col min="8" max="16384" width="9.140625" style="73"/>
  </cols>
  <sheetData>
    <row r="1" spans="1:7" ht="18.75">
      <c r="A1" s="70"/>
      <c r="B1" s="129" t="s">
        <v>194</v>
      </c>
      <c r="C1" s="130"/>
      <c r="D1" s="130"/>
      <c r="E1" s="130"/>
      <c r="F1" s="130"/>
      <c r="G1" s="131"/>
    </row>
    <row r="2" spans="1:7" ht="15.95" customHeight="1" thickBot="1">
      <c r="A2" s="70"/>
      <c r="B2" s="141" t="s">
        <v>383</v>
      </c>
      <c r="C2" s="142"/>
      <c r="D2" s="142"/>
      <c r="E2" s="142"/>
      <c r="F2" s="142"/>
      <c r="G2" s="143"/>
    </row>
    <row r="3" spans="1:7" ht="12.95" customHeight="1">
      <c r="A3" s="70"/>
      <c r="B3" s="77" t="s">
        <v>1</v>
      </c>
      <c r="C3" s="70"/>
      <c r="D3" s="70"/>
      <c r="E3" s="70"/>
      <c r="F3" s="71"/>
      <c r="G3" s="72"/>
    </row>
    <row r="4" spans="1:7" ht="12.95" customHeight="1" thickBot="1">
      <c r="A4" s="78"/>
      <c r="B4" s="74" t="s">
        <v>2</v>
      </c>
      <c r="C4" s="70"/>
      <c r="D4" s="70"/>
      <c r="E4" s="70"/>
      <c r="F4" s="71"/>
      <c r="G4" s="72"/>
    </row>
    <row r="5" spans="1:7" ht="27.95" customHeight="1" thickBot="1">
      <c r="A5" s="70"/>
      <c r="B5" s="38" t="s">
        <v>3</v>
      </c>
      <c r="C5" s="39" t="s">
        <v>4</v>
      </c>
      <c r="D5" s="40" t="s">
        <v>37</v>
      </c>
      <c r="E5" s="40" t="s">
        <v>6</v>
      </c>
      <c r="F5" s="41" t="s">
        <v>7</v>
      </c>
      <c r="G5" s="42" t="s">
        <v>8</v>
      </c>
    </row>
    <row r="6" spans="1:7" ht="12.95" customHeight="1">
      <c r="A6" s="70"/>
      <c r="B6" s="87" t="s">
        <v>38</v>
      </c>
      <c r="C6" s="88" t="s">
        <v>1</v>
      </c>
      <c r="D6" s="88" t="s">
        <v>1</v>
      </c>
      <c r="E6" s="88" t="s">
        <v>1</v>
      </c>
      <c r="F6" s="89" t="s">
        <v>1</v>
      </c>
      <c r="G6" s="90" t="s">
        <v>1</v>
      </c>
    </row>
    <row r="7" spans="1:7" ht="12.95" customHeight="1">
      <c r="A7" s="70"/>
      <c r="B7" s="24" t="s">
        <v>39</v>
      </c>
      <c r="C7" s="19" t="s">
        <v>1</v>
      </c>
      <c r="D7" s="19" t="s">
        <v>1</v>
      </c>
      <c r="E7" s="19" t="s">
        <v>1</v>
      </c>
      <c r="F7" s="20" t="s">
        <v>1</v>
      </c>
      <c r="G7" s="29" t="s">
        <v>1</v>
      </c>
    </row>
    <row r="8" spans="1:7">
      <c r="A8" s="70"/>
      <c r="B8" s="96" t="s">
        <v>371</v>
      </c>
      <c r="C8" s="12"/>
      <c r="D8" s="13"/>
      <c r="E8" s="13"/>
      <c r="F8" s="14"/>
      <c r="G8" s="26"/>
    </row>
    <row r="9" spans="1:7" ht="12.95" customHeight="1">
      <c r="A9" s="79"/>
      <c r="B9" s="30" t="s">
        <v>195</v>
      </c>
      <c r="C9" s="19" t="s">
        <v>196</v>
      </c>
      <c r="D9" s="19" t="s">
        <v>42</v>
      </c>
      <c r="E9" s="21">
        <v>28000</v>
      </c>
      <c r="F9" s="22">
        <v>298.80200000000002</v>
      </c>
      <c r="G9" s="31">
        <v>8.0220080648350484E-2</v>
      </c>
    </row>
    <row r="10" spans="1:7" ht="12.95" customHeight="1">
      <c r="A10" s="79"/>
      <c r="B10" s="30" t="s">
        <v>51</v>
      </c>
      <c r="C10" s="19" t="s">
        <v>52</v>
      </c>
      <c r="D10" s="19" t="s">
        <v>42</v>
      </c>
      <c r="E10" s="21">
        <v>65250</v>
      </c>
      <c r="F10" s="22">
        <v>200.97</v>
      </c>
      <c r="G10" s="31">
        <v>5.3954891894629216E-2</v>
      </c>
    </row>
    <row r="11" spans="1:7" ht="12.95" customHeight="1">
      <c r="A11" s="79"/>
      <c r="B11" s="30" t="s">
        <v>197</v>
      </c>
      <c r="C11" s="19" t="s">
        <v>198</v>
      </c>
      <c r="D11" s="19" t="s">
        <v>133</v>
      </c>
      <c r="E11" s="21">
        <v>3930</v>
      </c>
      <c r="F11" s="22">
        <v>158.11765500000001</v>
      </c>
      <c r="G11" s="31">
        <v>4.2450221337300482E-2</v>
      </c>
    </row>
    <row r="12" spans="1:7" ht="12.95" customHeight="1">
      <c r="A12" s="79"/>
      <c r="B12" s="30" t="s">
        <v>80</v>
      </c>
      <c r="C12" s="19" t="s">
        <v>81</v>
      </c>
      <c r="D12" s="19" t="s">
        <v>82</v>
      </c>
      <c r="E12" s="21">
        <v>18250</v>
      </c>
      <c r="F12" s="22">
        <v>137.85137499999999</v>
      </c>
      <c r="G12" s="31">
        <v>3.7009285145300254E-2</v>
      </c>
    </row>
    <row r="13" spans="1:7" ht="12.95" customHeight="1">
      <c r="A13" s="79"/>
      <c r="B13" s="30" t="s">
        <v>121</v>
      </c>
      <c r="C13" s="19" t="s">
        <v>122</v>
      </c>
      <c r="D13" s="19" t="s">
        <v>42</v>
      </c>
      <c r="E13" s="21">
        <v>15000</v>
      </c>
      <c r="F13" s="22">
        <v>130.905</v>
      </c>
      <c r="G13" s="31">
        <v>3.5144375396658392E-2</v>
      </c>
    </row>
    <row r="14" spans="1:7" ht="12.95" customHeight="1">
      <c r="A14" s="79"/>
      <c r="B14" s="30" t="s">
        <v>202</v>
      </c>
      <c r="C14" s="19" t="s">
        <v>203</v>
      </c>
      <c r="D14" s="19" t="s">
        <v>82</v>
      </c>
      <c r="E14" s="21">
        <v>40100</v>
      </c>
      <c r="F14" s="22">
        <v>126.37515</v>
      </c>
      <c r="G14" s="31">
        <v>3.3928235838272133E-2</v>
      </c>
    </row>
    <row r="15" spans="1:7" ht="12.95" customHeight="1">
      <c r="A15" s="79"/>
      <c r="B15" s="30" t="s">
        <v>66</v>
      </c>
      <c r="C15" s="19" t="s">
        <v>67</v>
      </c>
      <c r="D15" s="19" t="s">
        <v>68</v>
      </c>
      <c r="E15" s="21">
        <v>13444</v>
      </c>
      <c r="F15" s="22">
        <v>114.818482</v>
      </c>
      <c r="G15" s="31">
        <v>3.0825589808505898E-2</v>
      </c>
    </row>
    <row r="16" spans="1:7" ht="12.95" customHeight="1">
      <c r="A16" s="79"/>
      <c r="B16" s="30" t="s">
        <v>129</v>
      </c>
      <c r="C16" s="19" t="s">
        <v>130</v>
      </c>
      <c r="D16" s="19" t="s">
        <v>82</v>
      </c>
      <c r="E16" s="21">
        <v>3796</v>
      </c>
      <c r="F16" s="22">
        <v>104.88158199999999</v>
      </c>
      <c r="G16" s="31">
        <v>2.8157806730097473E-2</v>
      </c>
    </row>
    <row r="17" spans="1:7" ht="12.95" customHeight="1">
      <c r="A17" s="79"/>
      <c r="B17" s="30" t="s">
        <v>90</v>
      </c>
      <c r="C17" s="19" t="s">
        <v>91</v>
      </c>
      <c r="D17" s="19" t="s">
        <v>82</v>
      </c>
      <c r="E17" s="21">
        <v>9000</v>
      </c>
      <c r="F17" s="22">
        <v>104.3775</v>
      </c>
      <c r="G17" s="31">
        <v>2.8022474641646318E-2</v>
      </c>
    </row>
    <row r="18" spans="1:7" ht="12.95" customHeight="1">
      <c r="A18" s="79"/>
      <c r="B18" s="30" t="s">
        <v>43</v>
      </c>
      <c r="C18" s="19" t="s">
        <v>44</v>
      </c>
      <c r="D18" s="19" t="s">
        <v>45</v>
      </c>
      <c r="E18" s="21">
        <v>14100</v>
      </c>
      <c r="F18" s="22">
        <v>102.81014999999999</v>
      </c>
      <c r="G18" s="31">
        <v>2.7601684474899805E-2</v>
      </c>
    </row>
    <row r="19" spans="1:7" ht="12.95" customHeight="1">
      <c r="A19" s="79"/>
      <c r="B19" s="30" t="s">
        <v>53</v>
      </c>
      <c r="C19" s="19" t="s">
        <v>54</v>
      </c>
      <c r="D19" s="19" t="s">
        <v>55</v>
      </c>
      <c r="E19" s="21">
        <v>11185</v>
      </c>
      <c r="F19" s="22">
        <v>98.802697499999994</v>
      </c>
      <c r="G19" s="31">
        <v>2.6525794210629706E-2</v>
      </c>
    </row>
    <row r="20" spans="1:7" ht="12.95" customHeight="1">
      <c r="A20" s="79"/>
      <c r="B20" s="30" t="s">
        <v>210</v>
      </c>
      <c r="C20" s="19" t="s">
        <v>211</v>
      </c>
      <c r="D20" s="19" t="s">
        <v>42</v>
      </c>
      <c r="E20" s="21">
        <v>33950</v>
      </c>
      <c r="F20" s="22">
        <v>89.203625000000002</v>
      </c>
      <c r="G20" s="31">
        <v>2.3948708481285982E-2</v>
      </c>
    </row>
    <row r="21" spans="1:7" ht="12.95" customHeight="1">
      <c r="A21" s="79"/>
      <c r="B21" s="30" t="s">
        <v>74</v>
      </c>
      <c r="C21" s="19" t="s">
        <v>75</v>
      </c>
      <c r="D21" s="19" t="s">
        <v>76</v>
      </c>
      <c r="E21" s="21">
        <v>25979</v>
      </c>
      <c r="F21" s="22">
        <v>89.069001499999999</v>
      </c>
      <c r="G21" s="31">
        <v>2.3912565791387109E-2</v>
      </c>
    </row>
    <row r="22" spans="1:7" ht="12.95" customHeight="1">
      <c r="A22" s="79"/>
      <c r="B22" s="30" t="s">
        <v>375</v>
      </c>
      <c r="C22" s="19" t="s">
        <v>214</v>
      </c>
      <c r="D22" s="19" t="s">
        <v>133</v>
      </c>
      <c r="E22" s="21">
        <v>33286</v>
      </c>
      <c r="F22" s="22">
        <v>86.776601999999997</v>
      </c>
      <c r="G22" s="31">
        <v>2.3297119868106012E-2</v>
      </c>
    </row>
    <row r="23" spans="1:7" ht="12.95" customHeight="1">
      <c r="A23" s="79"/>
      <c r="B23" s="30" t="s">
        <v>217</v>
      </c>
      <c r="C23" s="19" t="s">
        <v>218</v>
      </c>
      <c r="D23" s="19" t="s">
        <v>82</v>
      </c>
      <c r="E23" s="21">
        <v>1200</v>
      </c>
      <c r="F23" s="22">
        <v>82.02</v>
      </c>
      <c r="G23" s="31">
        <v>2.2020103663220818E-2</v>
      </c>
    </row>
    <row r="24" spans="1:7" ht="12.95" customHeight="1">
      <c r="A24" s="79"/>
      <c r="B24" s="30" t="s">
        <v>115</v>
      </c>
      <c r="C24" s="19" t="s">
        <v>116</v>
      </c>
      <c r="D24" s="19" t="s">
        <v>82</v>
      </c>
      <c r="E24" s="21">
        <v>1700</v>
      </c>
      <c r="F24" s="22">
        <v>78.114999999999995</v>
      </c>
      <c r="G24" s="31">
        <v>2.0971719064283034E-2</v>
      </c>
    </row>
    <row r="25" spans="1:7" ht="12.95" customHeight="1">
      <c r="A25" s="79"/>
      <c r="B25" s="30" t="s">
        <v>219</v>
      </c>
      <c r="C25" s="19" t="s">
        <v>220</v>
      </c>
      <c r="D25" s="19" t="s">
        <v>50</v>
      </c>
      <c r="E25" s="21">
        <v>6000</v>
      </c>
      <c r="F25" s="22">
        <v>77.787000000000006</v>
      </c>
      <c r="G25" s="31">
        <v>2.0883660127419629E-2</v>
      </c>
    </row>
    <row r="26" spans="1:7" ht="12.95" customHeight="1">
      <c r="A26" s="79"/>
      <c r="B26" s="30" t="s">
        <v>224</v>
      </c>
      <c r="C26" s="19" t="s">
        <v>225</v>
      </c>
      <c r="D26" s="19" t="s">
        <v>82</v>
      </c>
      <c r="E26" s="21">
        <v>1000</v>
      </c>
      <c r="F26" s="22">
        <v>62.72</v>
      </c>
      <c r="G26" s="31">
        <v>1.683858695144123E-2</v>
      </c>
    </row>
    <row r="27" spans="1:7" ht="12.95" customHeight="1">
      <c r="A27" s="79"/>
      <c r="B27" s="30" t="s">
        <v>85</v>
      </c>
      <c r="C27" s="19" t="s">
        <v>86</v>
      </c>
      <c r="D27" s="19" t="s">
        <v>87</v>
      </c>
      <c r="E27" s="21">
        <v>9250</v>
      </c>
      <c r="F27" s="22">
        <v>62.381999999999998</v>
      </c>
      <c r="G27" s="31">
        <v>1.6747843290892968E-2</v>
      </c>
    </row>
    <row r="28" spans="1:7" ht="12.95" customHeight="1">
      <c r="A28" s="79"/>
      <c r="B28" s="30" t="s">
        <v>226</v>
      </c>
      <c r="C28" s="19" t="s">
        <v>227</v>
      </c>
      <c r="D28" s="19" t="s">
        <v>82</v>
      </c>
      <c r="E28" s="21">
        <v>3025</v>
      </c>
      <c r="F28" s="22">
        <v>61.702437500000002</v>
      </c>
      <c r="G28" s="31">
        <v>1.6565399536983706E-2</v>
      </c>
    </row>
    <row r="29" spans="1:7" ht="12.95" customHeight="1">
      <c r="A29" s="79"/>
      <c r="B29" s="30" t="s">
        <v>232</v>
      </c>
      <c r="C29" s="19" t="s">
        <v>233</v>
      </c>
      <c r="D29" s="19" t="s">
        <v>133</v>
      </c>
      <c r="E29" s="21">
        <v>2303</v>
      </c>
      <c r="F29" s="22">
        <v>58.116205000000001</v>
      </c>
      <c r="G29" s="31">
        <v>1.5602595203767278E-2</v>
      </c>
    </row>
    <row r="30" spans="1:7" ht="12.95" customHeight="1">
      <c r="A30" s="79"/>
      <c r="B30" s="30" t="s">
        <v>123</v>
      </c>
      <c r="C30" s="19" t="s">
        <v>124</v>
      </c>
      <c r="D30" s="19" t="s">
        <v>50</v>
      </c>
      <c r="E30" s="21">
        <v>13000</v>
      </c>
      <c r="F30" s="22">
        <v>54.723500000000001</v>
      </c>
      <c r="G30" s="31">
        <v>1.4691747656843021E-2</v>
      </c>
    </row>
    <row r="31" spans="1:7" ht="12.95" customHeight="1">
      <c r="A31" s="79"/>
      <c r="B31" s="30" t="s">
        <v>104</v>
      </c>
      <c r="C31" s="19" t="s">
        <v>105</v>
      </c>
      <c r="D31" s="19" t="s">
        <v>106</v>
      </c>
      <c r="E31" s="21">
        <v>14809</v>
      </c>
      <c r="F31" s="22">
        <v>51.853713499999998</v>
      </c>
      <c r="G31" s="31">
        <v>1.3921289278138902E-2</v>
      </c>
    </row>
    <row r="32" spans="1:7" ht="12.95" customHeight="1">
      <c r="A32" s="79"/>
      <c r="B32" s="30" t="s">
        <v>119</v>
      </c>
      <c r="C32" s="19" t="s">
        <v>120</v>
      </c>
      <c r="D32" s="19" t="s">
        <v>45</v>
      </c>
      <c r="E32" s="21">
        <v>10071</v>
      </c>
      <c r="F32" s="22">
        <v>45.9287955</v>
      </c>
      <c r="G32" s="31">
        <v>1.2330612509593634E-2</v>
      </c>
    </row>
    <row r="33" spans="1:7" ht="12.95" customHeight="1">
      <c r="A33" s="79"/>
      <c r="B33" s="30" t="s">
        <v>140</v>
      </c>
      <c r="C33" s="19" t="s">
        <v>141</v>
      </c>
      <c r="D33" s="19" t="s">
        <v>87</v>
      </c>
      <c r="E33" s="21">
        <v>41624</v>
      </c>
      <c r="F33" s="22">
        <v>45.703152000000003</v>
      </c>
      <c r="G33" s="31">
        <v>1.2270033464715165E-2</v>
      </c>
    </row>
    <row r="34" spans="1:7" ht="12.95" customHeight="1">
      <c r="A34" s="79"/>
      <c r="B34" s="30" t="s">
        <v>189</v>
      </c>
      <c r="C34" s="19" t="s">
        <v>190</v>
      </c>
      <c r="D34" s="19" t="s">
        <v>106</v>
      </c>
      <c r="E34" s="21">
        <v>11850</v>
      </c>
      <c r="F34" s="22">
        <v>43.406550000000003</v>
      </c>
      <c r="G34" s="31">
        <v>1.1653459286305507E-2</v>
      </c>
    </row>
    <row r="35" spans="1:7" ht="12.95" customHeight="1">
      <c r="A35" s="79"/>
      <c r="B35" s="30" t="s">
        <v>175</v>
      </c>
      <c r="C35" s="19" t="s">
        <v>176</v>
      </c>
      <c r="D35" s="19" t="s">
        <v>76</v>
      </c>
      <c r="E35" s="21">
        <v>700</v>
      </c>
      <c r="F35" s="22">
        <v>43.315300000000001</v>
      </c>
      <c r="G35" s="31">
        <v>1.162896118268116E-2</v>
      </c>
    </row>
    <row r="36" spans="1:7" ht="12.95" customHeight="1">
      <c r="A36" s="79"/>
      <c r="B36" s="30" t="s">
        <v>241</v>
      </c>
      <c r="C36" s="19" t="s">
        <v>242</v>
      </c>
      <c r="D36" s="19" t="s">
        <v>243</v>
      </c>
      <c r="E36" s="21">
        <v>10078</v>
      </c>
      <c r="F36" s="22">
        <v>42.332639</v>
      </c>
      <c r="G36" s="31">
        <v>1.136514385659235E-2</v>
      </c>
    </row>
    <row r="37" spans="1:7" ht="12.95" customHeight="1">
      <c r="A37" s="79"/>
      <c r="B37" s="30" t="s">
        <v>101</v>
      </c>
      <c r="C37" s="19" t="s">
        <v>102</v>
      </c>
      <c r="D37" s="19" t="s">
        <v>103</v>
      </c>
      <c r="E37" s="21">
        <v>20000</v>
      </c>
      <c r="F37" s="22">
        <v>32.5</v>
      </c>
      <c r="G37" s="31">
        <v>8.7253519757946423E-3</v>
      </c>
    </row>
    <row r="38" spans="1:7" ht="12.95" customHeight="1">
      <c r="A38" s="79"/>
      <c r="B38" s="30" t="s">
        <v>146</v>
      </c>
      <c r="C38" s="19" t="s">
        <v>147</v>
      </c>
      <c r="D38" s="19" t="s">
        <v>73</v>
      </c>
      <c r="E38" s="21">
        <v>5800</v>
      </c>
      <c r="F38" s="22">
        <v>31.923200000000001</v>
      </c>
      <c r="G38" s="31">
        <v>8.5704971136519245E-3</v>
      </c>
    </row>
    <row r="39" spans="1:7" ht="12.95" customHeight="1">
      <c r="A39" s="79"/>
      <c r="B39" s="24" t="s">
        <v>27</v>
      </c>
      <c r="C39" s="19"/>
      <c r="D39" s="19"/>
      <c r="E39" s="21"/>
      <c r="F39" s="92">
        <f>SUM(F9:F38)</f>
        <v>2718.2903125000007</v>
      </c>
      <c r="G39" s="64">
        <f>SUM(G9:G38)</f>
        <v>0.72978583842939404</v>
      </c>
    </row>
    <row r="40" spans="1:7" ht="12.95" customHeight="1">
      <c r="A40" s="79"/>
      <c r="B40" s="30"/>
      <c r="C40" s="19"/>
      <c r="D40" s="19"/>
      <c r="E40" s="21"/>
      <c r="F40" s="22"/>
      <c r="G40" s="31"/>
    </row>
    <row r="41" spans="1:7" ht="12.95" customHeight="1">
      <c r="A41" s="79"/>
      <c r="B41" s="61" t="s">
        <v>372</v>
      </c>
      <c r="C41" s="19"/>
      <c r="D41" s="19"/>
      <c r="E41" s="21"/>
      <c r="F41" s="22"/>
      <c r="G41" s="31"/>
    </row>
    <row r="42" spans="1:7" ht="12.95" customHeight="1">
      <c r="A42" s="79"/>
      <c r="B42" s="61" t="s">
        <v>370</v>
      </c>
      <c r="C42" s="19"/>
      <c r="D42" s="19"/>
      <c r="E42" s="21"/>
      <c r="F42" s="22"/>
      <c r="G42" s="31"/>
    </row>
    <row r="43" spans="1:7" ht="12.95" customHeight="1">
      <c r="A43" s="79"/>
      <c r="B43" s="30" t="s">
        <v>215</v>
      </c>
      <c r="C43" s="19" t="s">
        <v>216</v>
      </c>
      <c r="D43" s="19" t="s">
        <v>201</v>
      </c>
      <c r="E43" s="21">
        <v>1600</v>
      </c>
      <c r="F43" s="22">
        <v>82.697755900000004</v>
      </c>
      <c r="G43" s="31">
        <v>2.2202062394949172E-2</v>
      </c>
    </row>
    <row r="44" spans="1:7" ht="12.95" customHeight="1">
      <c r="A44" s="79"/>
      <c r="B44" s="30" t="s">
        <v>221</v>
      </c>
      <c r="C44" s="19" t="s">
        <v>222</v>
      </c>
      <c r="D44" s="19" t="s">
        <v>223</v>
      </c>
      <c r="E44" s="21">
        <v>5000</v>
      </c>
      <c r="F44" s="22">
        <v>68.664027300000001</v>
      </c>
      <c r="G44" s="31">
        <v>1.8434394039017608E-2</v>
      </c>
    </row>
    <row r="45" spans="1:7" ht="12.95" customHeight="1">
      <c r="A45" s="79"/>
      <c r="B45" s="30" t="s">
        <v>230</v>
      </c>
      <c r="C45" s="19" t="s">
        <v>231</v>
      </c>
      <c r="D45" s="19" t="s">
        <v>223</v>
      </c>
      <c r="E45" s="21">
        <v>2900</v>
      </c>
      <c r="F45" s="22">
        <v>60.088993299999998</v>
      </c>
      <c r="G45" s="31">
        <v>1.6132234351189725E-2</v>
      </c>
    </row>
    <row r="46" spans="1:7" ht="12.95" customHeight="1">
      <c r="A46" s="79"/>
      <c r="B46" s="30" t="s">
        <v>239</v>
      </c>
      <c r="C46" s="19" t="s">
        <v>240</v>
      </c>
      <c r="D46" s="19" t="s">
        <v>201</v>
      </c>
      <c r="E46" s="21">
        <v>350</v>
      </c>
      <c r="F46" s="22">
        <v>44.740001100000001</v>
      </c>
      <c r="G46" s="31">
        <v>1.2011454061382754E-2</v>
      </c>
    </row>
    <row r="47" spans="1:7" ht="12.95" customHeight="1">
      <c r="A47" s="79"/>
      <c r="B47" s="24" t="s">
        <v>27</v>
      </c>
      <c r="C47" s="19"/>
      <c r="D47" s="19"/>
      <c r="E47" s="21"/>
      <c r="F47" s="92">
        <f>SUM(F43:F46)</f>
        <v>256.19077759999999</v>
      </c>
      <c r="G47" s="64">
        <f>SUM(G43:G46)</f>
        <v>6.8780144846539257E-2</v>
      </c>
    </row>
    <row r="48" spans="1:7" ht="12.95" customHeight="1">
      <c r="A48" s="79"/>
      <c r="B48" s="30"/>
      <c r="C48" s="19"/>
      <c r="D48" s="19"/>
      <c r="E48" s="21"/>
      <c r="F48" s="22"/>
      <c r="G48" s="31"/>
    </row>
    <row r="49" spans="1:7" ht="12.95" customHeight="1">
      <c r="A49" s="79"/>
      <c r="B49" s="61" t="s">
        <v>373</v>
      </c>
      <c r="C49" s="19"/>
      <c r="D49" s="19"/>
      <c r="E49" s="21"/>
      <c r="F49" s="22"/>
      <c r="G49" s="31"/>
    </row>
    <row r="50" spans="1:7" ht="12.95" customHeight="1">
      <c r="A50" s="79"/>
      <c r="B50" s="30" t="s">
        <v>199</v>
      </c>
      <c r="C50" s="19" t="s">
        <v>200</v>
      </c>
      <c r="D50" s="19" t="s">
        <v>201</v>
      </c>
      <c r="E50" s="21">
        <v>10800</v>
      </c>
      <c r="F50" s="22">
        <v>137.1643837</v>
      </c>
      <c r="G50" s="31">
        <v>3.6824846963859986E-2</v>
      </c>
    </row>
    <row r="51" spans="1:7" ht="12.95" customHeight="1">
      <c r="A51" s="79"/>
      <c r="B51" s="30" t="s">
        <v>204</v>
      </c>
      <c r="C51" s="19" t="s">
        <v>205</v>
      </c>
      <c r="D51" s="19" t="s">
        <v>206</v>
      </c>
      <c r="E51" s="21">
        <v>12000</v>
      </c>
      <c r="F51" s="22">
        <v>103.1466708</v>
      </c>
      <c r="G51" s="31">
        <v>2.7692031011120603E-2</v>
      </c>
    </row>
    <row r="52" spans="1:7" ht="12.95" customHeight="1">
      <c r="A52" s="79"/>
      <c r="B52" s="30" t="s">
        <v>207</v>
      </c>
      <c r="C52" s="19" t="s">
        <v>208</v>
      </c>
      <c r="D52" s="19" t="s">
        <v>209</v>
      </c>
      <c r="E52" s="21">
        <v>40800</v>
      </c>
      <c r="F52" s="22">
        <v>89.768143699999996</v>
      </c>
      <c r="G52" s="31">
        <v>2.4100266153729615E-2</v>
      </c>
    </row>
    <row r="53" spans="1:7" ht="12.95" customHeight="1">
      <c r="A53" s="79"/>
      <c r="B53" s="30" t="s">
        <v>212</v>
      </c>
      <c r="C53" s="19" t="s">
        <v>213</v>
      </c>
      <c r="D53" s="19" t="s">
        <v>206</v>
      </c>
      <c r="E53" s="21">
        <v>21200</v>
      </c>
      <c r="F53" s="22">
        <v>88.328162300000002</v>
      </c>
      <c r="G53" s="31">
        <v>2.3713670936695842E-2</v>
      </c>
    </row>
    <row r="54" spans="1:7" ht="12.95" customHeight="1">
      <c r="A54" s="79"/>
      <c r="B54" s="30" t="s">
        <v>228</v>
      </c>
      <c r="C54" s="19" t="s">
        <v>229</v>
      </c>
      <c r="D54" s="19" t="s">
        <v>60</v>
      </c>
      <c r="E54" s="21">
        <v>90000</v>
      </c>
      <c r="F54" s="22">
        <v>61.326459</v>
      </c>
      <c r="G54" s="31">
        <v>1.6464459698588896E-2</v>
      </c>
    </row>
    <row r="55" spans="1:7" ht="12.95" customHeight="1">
      <c r="A55" s="79"/>
      <c r="B55" s="30" t="s">
        <v>234</v>
      </c>
      <c r="C55" s="19" t="s">
        <v>235</v>
      </c>
      <c r="D55" s="19" t="s">
        <v>236</v>
      </c>
      <c r="E55" s="21">
        <v>62000</v>
      </c>
      <c r="F55" s="22">
        <v>54.666750399999998</v>
      </c>
      <c r="G55" s="31">
        <v>1.4676511957320388E-2</v>
      </c>
    </row>
    <row r="56" spans="1:7" ht="12.95" customHeight="1">
      <c r="A56" s="79"/>
      <c r="B56" s="30" t="s">
        <v>237</v>
      </c>
      <c r="C56" s="19" t="s">
        <v>238</v>
      </c>
      <c r="D56" s="19" t="s">
        <v>60</v>
      </c>
      <c r="E56" s="21">
        <v>127000</v>
      </c>
      <c r="F56" s="22">
        <v>45.980066800000003</v>
      </c>
      <c r="G56" s="31">
        <v>1.234437743693999E-2</v>
      </c>
    </row>
    <row r="57" spans="1:7" ht="12.95" customHeight="1">
      <c r="A57" s="79"/>
      <c r="B57" s="30" t="s">
        <v>244</v>
      </c>
      <c r="C57" s="19" t="s">
        <v>245</v>
      </c>
      <c r="D57" s="19" t="s">
        <v>206</v>
      </c>
      <c r="E57" s="21">
        <v>14000</v>
      </c>
      <c r="F57" s="22">
        <v>38.7908325</v>
      </c>
      <c r="G57" s="31">
        <v>1.0414266676818279E-2</v>
      </c>
    </row>
    <row r="58" spans="1:7" ht="12.95" customHeight="1">
      <c r="A58" s="79"/>
      <c r="B58" s="30" t="s">
        <v>246</v>
      </c>
      <c r="C58" s="19" t="s">
        <v>247</v>
      </c>
      <c r="D58" s="19" t="s">
        <v>60</v>
      </c>
      <c r="E58" s="21">
        <v>58000</v>
      </c>
      <c r="F58" s="22">
        <v>36.474055200000002</v>
      </c>
      <c r="G58" s="31">
        <v>9.7922759878327041E-3</v>
      </c>
    </row>
    <row r="59" spans="1:7" ht="12.95" customHeight="1">
      <c r="A59" s="79"/>
      <c r="B59" s="30" t="s">
        <v>248</v>
      </c>
      <c r="C59" s="19" t="s">
        <v>249</v>
      </c>
      <c r="D59" s="19" t="s">
        <v>250</v>
      </c>
      <c r="E59" s="21">
        <v>30000</v>
      </c>
      <c r="F59" s="22">
        <v>29.801210999999999</v>
      </c>
      <c r="G59" s="31">
        <v>8.0008017009207087E-3</v>
      </c>
    </row>
    <row r="60" spans="1:7" ht="12.95" customHeight="1">
      <c r="A60" s="79"/>
      <c r="B60" s="24" t="s">
        <v>27</v>
      </c>
      <c r="C60" s="19"/>
      <c r="D60" s="19"/>
      <c r="E60" s="21"/>
      <c r="F60" s="23">
        <f>SUM(F50:F59)</f>
        <v>685.44673539999985</v>
      </c>
      <c r="G60" s="32">
        <f>SUM(G50:G59)</f>
        <v>0.18402350852382701</v>
      </c>
    </row>
    <row r="61" spans="1:7" ht="12.95" customHeight="1">
      <c r="A61" s="79"/>
      <c r="B61" s="30"/>
      <c r="C61" s="19"/>
      <c r="D61" s="19"/>
      <c r="E61" s="21"/>
      <c r="F61" s="22"/>
      <c r="G61" s="31"/>
    </row>
    <row r="62" spans="1:7" ht="12.95" customHeight="1">
      <c r="A62" s="70"/>
      <c r="B62" s="24" t="s">
        <v>191</v>
      </c>
      <c r="C62" s="19" t="s">
        <v>1</v>
      </c>
      <c r="D62" s="19" t="s">
        <v>1</v>
      </c>
      <c r="E62" s="19" t="s">
        <v>1</v>
      </c>
      <c r="F62" s="23" t="s">
        <v>192</v>
      </c>
      <c r="G62" s="32" t="s">
        <v>192</v>
      </c>
    </row>
    <row r="63" spans="1:7" ht="12.95" customHeight="1">
      <c r="A63" s="70"/>
      <c r="B63" s="24" t="s">
        <v>27</v>
      </c>
      <c r="C63" s="19" t="s">
        <v>1</v>
      </c>
      <c r="D63" s="19" t="s">
        <v>1</v>
      </c>
      <c r="E63" s="19" t="s">
        <v>1</v>
      </c>
      <c r="F63" s="23" t="s">
        <v>192</v>
      </c>
      <c r="G63" s="32" t="s">
        <v>192</v>
      </c>
    </row>
    <row r="64" spans="1:7" ht="12.95" customHeight="1">
      <c r="A64" s="70"/>
      <c r="B64" s="24" t="s">
        <v>28</v>
      </c>
      <c r="C64" s="19" t="s">
        <v>1</v>
      </c>
      <c r="D64" s="19" t="s">
        <v>1</v>
      </c>
      <c r="E64" s="19" t="s">
        <v>1</v>
      </c>
      <c r="F64" s="23">
        <v>3659.9278254999999</v>
      </c>
      <c r="G64" s="32">
        <v>0.98258949179976052</v>
      </c>
    </row>
    <row r="65" spans="1:7" ht="12.95" customHeight="1">
      <c r="A65" s="70"/>
      <c r="B65" s="24"/>
      <c r="C65" s="19"/>
      <c r="D65" s="19"/>
      <c r="E65" s="19"/>
      <c r="F65" s="23"/>
      <c r="G65" s="32"/>
    </row>
    <row r="66" spans="1:7" ht="12.95" customHeight="1">
      <c r="A66" s="70"/>
      <c r="B66" s="25" t="s">
        <v>364</v>
      </c>
      <c r="C66" s="19"/>
      <c r="D66" s="19"/>
      <c r="E66" s="19"/>
      <c r="F66" s="93"/>
      <c r="G66" s="32"/>
    </row>
    <row r="67" spans="1:7" ht="12.95" customHeight="1">
      <c r="A67" s="79"/>
      <c r="B67" s="27" t="s">
        <v>369</v>
      </c>
      <c r="C67" s="19"/>
      <c r="D67" s="19"/>
      <c r="E67" s="95" t="s">
        <v>192</v>
      </c>
      <c r="F67" s="95" t="s">
        <v>192</v>
      </c>
      <c r="G67" s="97" t="s">
        <v>192</v>
      </c>
    </row>
    <row r="68" spans="1:7" ht="12.95" customHeight="1">
      <c r="A68" s="70"/>
      <c r="B68" s="27" t="s">
        <v>366</v>
      </c>
      <c r="C68" s="19"/>
      <c r="D68" s="19"/>
      <c r="E68" s="95" t="s">
        <v>192</v>
      </c>
      <c r="F68" s="95" t="s">
        <v>192</v>
      </c>
      <c r="G68" s="97" t="s">
        <v>192</v>
      </c>
    </row>
    <row r="69" spans="1:7" ht="12.95" customHeight="1">
      <c r="A69" s="70"/>
      <c r="B69" s="27" t="s">
        <v>367</v>
      </c>
      <c r="C69" s="19"/>
      <c r="D69" s="19"/>
      <c r="E69" s="95" t="s">
        <v>192</v>
      </c>
      <c r="F69" s="95" t="s">
        <v>192</v>
      </c>
      <c r="G69" s="97" t="s">
        <v>192</v>
      </c>
    </row>
    <row r="70" spans="1:7" ht="12.95" customHeight="1">
      <c r="A70" s="70"/>
      <c r="B70" s="27"/>
      <c r="C70" s="19"/>
      <c r="D70" s="19"/>
      <c r="E70" s="19"/>
      <c r="F70" s="94"/>
      <c r="G70" s="60"/>
    </row>
    <row r="71" spans="1:7" ht="12.95" customHeight="1">
      <c r="A71" s="70"/>
      <c r="B71" s="81" t="s">
        <v>9</v>
      </c>
      <c r="C71" s="19"/>
      <c r="D71" s="19"/>
      <c r="E71" s="19"/>
      <c r="F71" s="94"/>
      <c r="G71" s="60"/>
    </row>
    <row r="72" spans="1:7" ht="12.95" customHeight="1">
      <c r="A72" s="70"/>
      <c r="B72" s="24" t="s">
        <v>29</v>
      </c>
      <c r="C72" s="19" t="s">
        <v>1</v>
      </c>
      <c r="D72" s="19" t="s">
        <v>1</v>
      </c>
      <c r="E72" s="19" t="s">
        <v>1</v>
      </c>
      <c r="F72" s="20" t="s">
        <v>1</v>
      </c>
      <c r="G72" s="29" t="s">
        <v>1</v>
      </c>
    </row>
    <row r="73" spans="1:7" ht="12.95" customHeight="1">
      <c r="A73" s="79"/>
      <c r="B73" s="30" t="s">
        <v>30</v>
      </c>
      <c r="C73" s="19" t="s">
        <v>1</v>
      </c>
      <c r="D73" s="19" t="s">
        <v>31</v>
      </c>
      <c r="E73" s="21"/>
      <c r="F73" s="22">
        <v>48.705500000000001</v>
      </c>
      <c r="G73" s="31">
        <v>1.3076080943294339E-2</v>
      </c>
    </row>
    <row r="74" spans="1:7" ht="12.95" customHeight="1">
      <c r="A74" s="70"/>
      <c r="B74" s="24" t="s">
        <v>27</v>
      </c>
      <c r="C74" s="19" t="s">
        <v>1</v>
      </c>
      <c r="D74" s="19" t="s">
        <v>1</v>
      </c>
      <c r="E74" s="19" t="s">
        <v>1</v>
      </c>
      <c r="F74" s="23">
        <v>48.705500000000001</v>
      </c>
      <c r="G74" s="32">
        <v>1.3076080943294339E-2</v>
      </c>
    </row>
    <row r="75" spans="1:7">
      <c r="A75" s="70"/>
      <c r="B75" s="24"/>
      <c r="C75" s="19"/>
      <c r="D75" s="19"/>
      <c r="E75" s="19"/>
      <c r="F75" s="23"/>
      <c r="G75" s="32"/>
    </row>
    <row r="76" spans="1:7">
      <c r="A76" s="70"/>
      <c r="B76" s="24" t="s">
        <v>253</v>
      </c>
      <c r="C76" s="19"/>
      <c r="D76" s="19"/>
      <c r="E76" s="19"/>
      <c r="F76" s="23"/>
      <c r="G76" s="32"/>
    </row>
    <row r="77" spans="1:7" ht="12.95" customHeight="1">
      <c r="A77" s="70"/>
      <c r="B77" s="30" t="s">
        <v>32</v>
      </c>
      <c r="C77" s="19" t="s">
        <v>1</v>
      </c>
      <c r="D77" s="19" t="s">
        <v>1</v>
      </c>
      <c r="E77" s="19" t="s">
        <v>1</v>
      </c>
      <c r="F77" s="22">
        <v>16.144779745400001</v>
      </c>
      <c r="G77" s="31">
        <v>4.3344272569451545E-3</v>
      </c>
    </row>
    <row r="78" spans="1:7" ht="12.95" customHeight="1">
      <c r="A78" s="70"/>
      <c r="B78" s="24" t="s">
        <v>27</v>
      </c>
      <c r="C78" s="19"/>
      <c r="D78" s="19"/>
      <c r="E78" s="19"/>
      <c r="F78" s="23">
        <v>16.144779745400001</v>
      </c>
      <c r="G78" s="32">
        <v>4.3344272569451545E-3</v>
      </c>
    </row>
    <row r="79" spans="1:7" ht="12.95" customHeight="1" thickBot="1">
      <c r="A79" s="70"/>
      <c r="B79" s="43" t="s">
        <v>28</v>
      </c>
      <c r="C79" s="44"/>
      <c r="D79" s="44"/>
      <c r="E79" s="44"/>
      <c r="F79" s="45">
        <f>F78+F74</f>
        <v>64.850279745400002</v>
      </c>
      <c r="G79" s="32">
        <f>G78+G74</f>
        <v>1.7410508200239493E-2</v>
      </c>
    </row>
    <row r="80" spans="1:7" ht="12.95" customHeight="1" thickBot="1">
      <c r="A80" s="70"/>
      <c r="B80" s="47" t="s">
        <v>33</v>
      </c>
      <c r="C80" s="48" t="s">
        <v>1</v>
      </c>
      <c r="D80" s="48" t="s">
        <v>1</v>
      </c>
      <c r="E80" s="48" t="s">
        <v>1</v>
      </c>
      <c r="F80" s="49">
        <v>3724.7781052454002</v>
      </c>
      <c r="G80" s="50">
        <v>1</v>
      </c>
    </row>
    <row r="81" spans="1:7" ht="12.95" customHeight="1">
      <c r="A81" s="70"/>
      <c r="B81" s="78" t="s">
        <v>1</v>
      </c>
      <c r="C81" s="70"/>
      <c r="D81" s="70"/>
      <c r="E81" s="70"/>
      <c r="F81" s="71"/>
      <c r="G81" s="72"/>
    </row>
    <row r="82" spans="1:7" ht="12.95" customHeight="1">
      <c r="A82" s="70"/>
      <c r="B82" s="74" t="s">
        <v>31</v>
      </c>
      <c r="C82" s="70"/>
      <c r="D82" s="70"/>
      <c r="E82" s="70"/>
      <c r="F82" s="71"/>
      <c r="G82" s="72"/>
    </row>
    <row r="83" spans="1:7" ht="12.95" customHeight="1">
      <c r="A83" s="70"/>
      <c r="B83" s="74" t="s">
        <v>368</v>
      </c>
      <c r="C83" s="70"/>
      <c r="D83" s="70"/>
      <c r="E83" s="70"/>
      <c r="F83" s="71"/>
      <c r="G83" s="72"/>
    </row>
    <row r="84" spans="1:7" ht="12.95" customHeight="1">
      <c r="A84" s="70"/>
      <c r="B84" s="91" t="s">
        <v>374</v>
      </c>
      <c r="C84" s="70"/>
      <c r="D84" s="70"/>
      <c r="E84" s="70"/>
      <c r="F84" s="71"/>
      <c r="G84" s="72"/>
    </row>
    <row r="85" spans="1:7" ht="13.5" thickBot="1"/>
    <row r="86" spans="1:7" ht="13.5" thickBot="1">
      <c r="B86" s="98" t="s">
        <v>380</v>
      </c>
      <c r="C86" s="99">
        <v>0.69640000000000002</v>
      </c>
    </row>
    <row r="87" spans="1:7">
      <c r="B87" s="82" t="s">
        <v>381</v>
      </c>
      <c r="C87" s="82"/>
    </row>
  </sheetData>
  <sortState ref="A49:K58">
    <sortCondition descending="1" ref="G49:G58"/>
  </sortState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showGridLines="0" zoomScaleNormal="100" workbookViewId="0">
      <selection activeCell="B61" sqref="B61"/>
    </sheetView>
  </sheetViews>
  <sheetFormatPr defaultRowHeight="12.75"/>
  <cols>
    <col min="1" max="1" width="9.28515625" style="73" customWidth="1"/>
    <col min="2" max="2" width="57.42578125" style="73" customWidth="1"/>
    <col min="3" max="3" width="14.42578125" style="73" bestFit="1" customWidth="1"/>
    <col min="4" max="4" width="28.5703125" style="73" bestFit="1" customWidth="1"/>
    <col min="5" max="5" width="17.140625" style="73" customWidth="1"/>
    <col min="6" max="6" width="18.5703125" style="75" customWidth="1"/>
    <col min="7" max="7" width="17.140625" style="76" customWidth="1"/>
    <col min="8" max="16384" width="9.140625" style="73"/>
  </cols>
  <sheetData>
    <row r="1" spans="1:7" ht="18.75">
      <c r="A1" s="70"/>
      <c r="B1" s="129" t="s">
        <v>257</v>
      </c>
      <c r="C1" s="130"/>
      <c r="D1" s="130"/>
      <c r="E1" s="130"/>
      <c r="F1" s="130"/>
      <c r="G1" s="131"/>
    </row>
    <row r="2" spans="1:7" ht="15.95" customHeight="1" thickBot="1">
      <c r="A2" s="70"/>
      <c r="B2" s="138" t="s">
        <v>383</v>
      </c>
      <c r="C2" s="139"/>
      <c r="D2" s="139"/>
      <c r="E2" s="139"/>
      <c r="F2" s="139"/>
      <c r="G2" s="140"/>
    </row>
    <row r="3" spans="1:7" ht="12.95" customHeight="1">
      <c r="A3" s="70"/>
      <c r="B3" s="77" t="s">
        <v>1</v>
      </c>
      <c r="C3" s="70"/>
      <c r="D3" s="70"/>
      <c r="E3" s="70"/>
      <c r="F3" s="71"/>
      <c r="G3" s="72"/>
    </row>
    <row r="4" spans="1:7" ht="12.95" customHeight="1" thickBot="1">
      <c r="A4" s="78"/>
      <c r="B4" s="74" t="s">
        <v>2</v>
      </c>
      <c r="C4" s="70"/>
      <c r="D4" s="70"/>
      <c r="E4" s="70"/>
      <c r="F4" s="71"/>
      <c r="G4" s="72"/>
    </row>
    <row r="5" spans="1:7" ht="27.95" customHeight="1" thickBot="1">
      <c r="A5" s="70"/>
      <c r="B5" s="38" t="s">
        <v>3</v>
      </c>
      <c r="C5" s="39" t="s">
        <v>4</v>
      </c>
      <c r="D5" s="40" t="s">
        <v>37</v>
      </c>
      <c r="E5" s="40" t="s">
        <v>6</v>
      </c>
      <c r="F5" s="41" t="s">
        <v>7</v>
      </c>
      <c r="G5" s="42" t="s">
        <v>8</v>
      </c>
    </row>
    <row r="6" spans="1:7" ht="12.95" customHeight="1">
      <c r="A6" s="70"/>
      <c r="B6" s="110" t="s">
        <v>38</v>
      </c>
      <c r="C6" s="111" t="s">
        <v>1</v>
      </c>
      <c r="D6" s="111" t="s">
        <v>1</v>
      </c>
      <c r="E6" s="111" t="s">
        <v>1</v>
      </c>
      <c r="F6" s="112" t="s">
        <v>1</v>
      </c>
      <c r="G6" s="113" t="s">
        <v>1</v>
      </c>
    </row>
    <row r="7" spans="1:7" ht="12.95" customHeight="1">
      <c r="A7" s="70"/>
      <c r="B7" s="24" t="s">
        <v>39</v>
      </c>
      <c r="C7" s="19" t="s">
        <v>1</v>
      </c>
      <c r="D7" s="19" t="s">
        <v>1</v>
      </c>
      <c r="E7" s="19" t="s">
        <v>1</v>
      </c>
      <c r="F7" s="20" t="s">
        <v>1</v>
      </c>
      <c r="G7" s="29" t="s">
        <v>1</v>
      </c>
    </row>
    <row r="8" spans="1:7">
      <c r="A8" s="70"/>
      <c r="B8" s="96" t="s">
        <v>371</v>
      </c>
      <c r="C8" s="12"/>
      <c r="D8" s="13"/>
      <c r="E8" s="13"/>
      <c r="F8" s="14"/>
      <c r="G8" s="26"/>
    </row>
    <row r="9" spans="1:7" ht="12.95" customHeight="1">
      <c r="A9" s="79"/>
      <c r="B9" s="30" t="s">
        <v>258</v>
      </c>
      <c r="C9" s="19" t="s">
        <v>259</v>
      </c>
      <c r="D9" s="19" t="s">
        <v>45</v>
      </c>
      <c r="E9" s="21">
        <v>9300</v>
      </c>
      <c r="F9" s="22">
        <v>93.009299999999996</v>
      </c>
      <c r="G9" s="31">
        <v>0.10360444909203051</v>
      </c>
    </row>
    <row r="10" spans="1:7" ht="12.95" customHeight="1">
      <c r="A10" s="79"/>
      <c r="B10" s="30" t="s">
        <v>260</v>
      </c>
      <c r="C10" s="19" t="s">
        <v>261</v>
      </c>
      <c r="D10" s="19" t="s">
        <v>185</v>
      </c>
      <c r="E10" s="21">
        <v>26000</v>
      </c>
      <c r="F10" s="22">
        <v>80.495999999999995</v>
      </c>
      <c r="G10" s="31">
        <v>8.9665697237933065E-2</v>
      </c>
    </row>
    <row r="11" spans="1:7" ht="12.95" customHeight="1">
      <c r="A11" s="79"/>
      <c r="B11" s="30" t="s">
        <v>275</v>
      </c>
      <c r="C11" s="19" t="s">
        <v>276</v>
      </c>
      <c r="D11" s="19" t="s">
        <v>277</v>
      </c>
      <c r="E11" s="21">
        <v>9500</v>
      </c>
      <c r="F11" s="22">
        <v>40.018749999999997</v>
      </c>
      <c r="G11" s="31">
        <v>4.4577483618323074E-2</v>
      </c>
    </row>
    <row r="12" spans="1:7" ht="12.95" customHeight="1">
      <c r="A12" s="79"/>
      <c r="B12" s="30" t="s">
        <v>280</v>
      </c>
      <c r="C12" s="19" t="s">
        <v>281</v>
      </c>
      <c r="D12" s="19" t="s">
        <v>282</v>
      </c>
      <c r="E12" s="21">
        <v>19000</v>
      </c>
      <c r="F12" s="22">
        <v>33.088500000000003</v>
      </c>
      <c r="G12" s="31">
        <v>3.6857774585784986E-2</v>
      </c>
    </row>
    <row r="13" spans="1:7" ht="12.95" customHeight="1">
      <c r="A13" s="79"/>
      <c r="B13" s="30" t="s">
        <v>294</v>
      </c>
      <c r="C13" s="19" t="s">
        <v>295</v>
      </c>
      <c r="D13" s="19" t="s">
        <v>45</v>
      </c>
      <c r="E13" s="21">
        <v>2400</v>
      </c>
      <c r="F13" s="22">
        <v>21.104399999999998</v>
      </c>
      <c r="G13" s="31">
        <v>2.350850651943245E-2</v>
      </c>
    </row>
    <row r="14" spans="1:7" ht="12.95" customHeight="1">
      <c r="A14" s="79"/>
      <c r="B14" s="30" t="s">
        <v>310</v>
      </c>
      <c r="C14" s="19" t="s">
        <v>311</v>
      </c>
      <c r="D14" s="19" t="s">
        <v>282</v>
      </c>
      <c r="E14" s="21">
        <v>12000</v>
      </c>
      <c r="F14" s="22">
        <v>13.428000000000001</v>
      </c>
      <c r="G14" s="31">
        <v>1.4957649852302789E-2</v>
      </c>
    </row>
    <row r="15" spans="1:7" ht="12.95" customHeight="1">
      <c r="A15" s="79"/>
      <c r="B15" s="30" t="s">
        <v>321</v>
      </c>
      <c r="C15" s="19" t="s">
        <v>322</v>
      </c>
      <c r="D15" s="19" t="s">
        <v>185</v>
      </c>
      <c r="E15" s="21">
        <v>5000</v>
      </c>
      <c r="F15" s="22">
        <v>9.0775000000000006</v>
      </c>
      <c r="G15" s="31">
        <v>1.0111562893526851E-2</v>
      </c>
    </row>
    <row r="16" spans="1:7" ht="12.95" customHeight="1">
      <c r="A16" s="79"/>
      <c r="B16" s="30" t="s">
        <v>183</v>
      </c>
      <c r="C16" s="19" t="s">
        <v>184</v>
      </c>
      <c r="D16" s="19" t="s">
        <v>185</v>
      </c>
      <c r="E16" s="21">
        <v>1500</v>
      </c>
      <c r="F16" s="22">
        <v>6.702</v>
      </c>
      <c r="G16" s="31">
        <v>7.4654579468374505E-3</v>
      </c>
    </row>
    <row r="17" spans="1:7" ht="12.95" customHeight="1">
      <c r="A17" s="79"/>
      <c r="B17" s="24" t="s">
        <v>27</v>
      </c>
      <c r="C17" s="19"/>
      <c r="D17" s="19"/>
      <c r="E17" s="21"/>
      <c r="F17" s="92">
        <f>SUM(F9:F16)</f>
        <v>296.92444999999998</v>
      </c>
      <c r="G17" s="64">
        <f>SUM(G9:G16)</f>
        <v>0.33074858174617117</v>
      </c>
    </row>
    <row r="18" spans="1:7" ht="12.95" customHeight="1">
      <c r="A18" s="79"/>
      <c r="B18" s="30"/>
      <c r="C18" s="19"/>
      <c r="D18" s="19"/>
      <c r="E18" s="21"/>
      <c r="F18" s="22"/>
      <c r="G18" s="31"/>
    </row>
    <row r="19" spans="1:7" ht="12.95" customHeight="1">
      <c r="A19" s="79"/>
      <c r="B19" s="61" t="s">
        <v>372</v>
      </c>
      <c r="C19" s="19"/>
      <c r="D19" s="19"/>
      <c r="E19" s="21"/>
      <c r="F19" s="22"/>
      <c r="G19" s="31"/>
    </row>
    <row r="20" spans="1:7" ht="12.95" customHeight="1">
      <c r="A20" s="79"/>
      <c r="B20" s="61" t="s">
        <v>373</v>
      </c>
      <c r="C20" s="19"/>
      <c r="D20" s="19"/>
      <c r="E20" s="21"/>
      <c r="F20" s="22"/>
      <c r="G20" s="31"/>
    </row>
    <row r="21" spans="1:7" ht="12.95" customHeight="1">
      <c r="A21" s="79"/>
      <c r="B21" s="30" t="s">
        <v>262</v>
      </c>
      <c r="C21" s="19" t="s">
        <v>263</v>
      </c>
      <c r="D21" s="19" t="s">
        <v>264</v>
      </c>
      <c r="E21" s="21">
        <v>5700</v>
      </c>
      <c r="F21" s="22">
        <v>75.419592800000004</v>
      </c>
      <c r="G21" s="31">
        <v>8.4011011401970245E-2</v>
      </c>
    </row>
    <row r="22" spans="1:7" ht="12.95" customHeight="1">
      <c r="A22" s="79"/>
      <c r="B22" s="30" t="s">
        <v>265</v>
      </c>
      <c r="C22" s="19" t="s">
        <v>266</v>
      </c>
      <c r="D22" s="19" t="s">
        <v>267</v>
      </c>
      <c r="E22" s="21">
        <v>92000</v>
      </c>
      <c r="F22" s="22">
        <v>65.332792600000005</v>
      </c>
      <c r="G22" s="31">
        <v>7.2775173933863471E-2</v>
      </c>
    </row>
    <row r="23" spans="1:7" ht="12.95" customHeight="1">
      <c r="A23" s="79"/>
      <c r="B23" s="30" t="s">
        <v>268</v>
      </c>
      <c r="C23" s="19" t="s">
        <v>269</v>
      </c>
      <c r="D23" s="19" t="s">
        <v>267</v>
      </c>
      <c r="E23" s="21">
        <v>116000</v>
      </c>
      <c r="F23" s="22">
        <v>63.710555900000003</v>
      </c>
      <c r="G23" s="31">
        <v>7.0968140232928467E-2</v>
      </c>
    </row>
    <row r="24" spans="1:7" ht="12.95" customHeight="1">
      <c r="A24" s="79"/>
      <c r="B24" s="30" t="s">
        <v>270</v>
      </c>
      <c r="C24" s="19" t="s">
        <v>271</v>
      </c>
      <c r="D24" s="19" t="s">
        <v>272</v>
      </c>
      <c r="E24" s="21">
        <v>63000</v>
      </c>
      <c r="F24" s="22">
        <v>56.893220999999997</v>
      </c>
      <c r="G24" s="31">
        <v>6.3374209017551378E-2</v>
      </c>
    </row>
    <row r="25" spans="1:7" ht="12.95" customHeight="1">
      <c r="A25" s="79"/>
      <c r="B25" s="30" t="s">
        <v>273</v>
      </c>
      <c r="C25" s="19" t="s">
        <v>274</v>
      </c>
      <c r="D25" s="19" t="s">
        <v>264</v>
      </c>
      <c r="E25" s="21">
        <v>1643</v>
      </c>
      <c r="F25" s="22">
        <v>43.1974479</v>
      </c>
      <c r="G25" s="31">
        <v>4.8118282707871045E-2</v>
      </c>
    </row>
    <row r="26" spans="1:7" ht="12.95" customHeight="1">
      <c r="A26" s="79"/>
      <c r="B26" s="30" t="s">
        <v>278</v>
      </c>
      <c r="C26" s="19" t="s">
        <v>279</v>
      </c>
      <c r="D26" s="19" t="s">
        <v>272</v>
      </c>
      <c r="E26" s="21">
        <v>2300</v>
      </c>
      <c r="F26" s="22">
        <v>38.510290400000002</v>
      </c>
      <c r="G26" s="31">
        <v>4.289718792922978E-2</v>
      </c>
    </row>
    <row r="27" spans="1:7" ht="12.95" customHeight="1">
      <c r="A27" s="79"/>
      <c r="B27" s="30" t="s">
        <v>283</v>
      </c>
      <c r="C27" s="19" t="s">
        <v>284</v>
      </c>
      <c r="D27" s="19" t="s">
        <v>285</v>
      </c>
      <c r="E27" s="21">
        <v>4842</v>
      </c>
      <c r="F27" s="22">
        <v>32.495330199999998</v>
      </c>
      <c r="G27" s="31">
        <v>3.6197033881930317E-2</v>
      </c>
    </row>
    <row r="28" spans="1:7" ht="12.95" customHeight="1">
      <c r="A28" s="79"/>
      <c r="B28" s="30" t="s">
        <v>286</v>
      </c>
      <c r="C28" s="19" t="s">
        <v>287</v>
      </c>
      <c r="D28" s="19" t="s">
        <v>267</v>
      </c>
      <c r="E28" s="21">
        <v>4560</v>
      </c>
      <c r="F28" s="22">
        <v>26.6993723</v>
      </c>
      <c r="G28" s="31">
        <v>2.9740829769114699E-2</v>
      </c>
    </row>
    <row r="29" spans="1:7" ht="12.95" customHeight="1">
      <c r="A29" s="79"/>
      <c r="B29" s="30" t="s">
        <v>288</v>
      </c>
      <c r="C29" s="19" t="s">
        <v>289</v>
      </c>
      <c r="D29" s="19" t="s">
        <v>290</v>
      </c>
      <c r="E29" s="21">
        <v>16000</v>
      </c>
      <c r="F29" s="22">
        <v>23.223599400000001</v>
      </c>
      <c r="G29" s="31">
        <v>2.586911439792591E-2</v>
      </c>
    </row>
    <row r="30" spans="1:7" ht="12.95" customHeight="1">
      <c r="A30" s="79"/>
      <c r="B30" s="30" t="s">
        <v>291</v>
      </c>
      <c r="C30" s="19" t="s">
        <v>292</v>
      </c>
      <c r="D30" s="19" t="s">
        <v>293</v>
      </c>
      <c r="E30" s="21">
        <v>2048</v>
      </c>
      <c r="F30" s="22">
        <v>21.317861400000002</v>
      </c>
      <c r="G30" s="31">
        <v>2.374628436260957E-2</v>
      </c>
    </row>
    <row r="31" spans="1:7" ht="12.95" customHeight="1">
      <c r="A31" s="79"/>
      <c r="B31" s="30" t="s">
        <v>296</v>
      </c>
      <c r="C31" s="19" t="s">
        <v>297</v>
      </c>
      <c r="D31" s="19" t="s">
        <v>272</v>
      </c>
      <c r="E31" s="21">
        <v>5342</v>
      </c>
      <c r="F31" s="22">
        <v>20.460097699999999</v>
      </c>
      <c r="G31" s="31">
        <v>2.2790808559763599E-2</v>
      </c>
    </row>
    <row r="32" spans="1:7" ht="12.95" customHeight="1">
      <c r="A32" s="79"/>
      <c r="B32" s="30" t="s">
        <v>298</v>
      </c>
      <c r="C32" s="19" t="s">
        <v>299</v>
      </c>
      <c r="D32" s="19" t="s">
        <v>300</v>
      </c>
      <c r="E32" s="21">
        <v>9000</v>
      </c>
      <c r="F32" s="22">
        <v>20.097345600000001</v>
      </c>
      <c r="G32" s="31">
        <v>2.2386733575031136E-2</v>
      </c>
    </row>
    <row r="33" spans="1:7" ht="12.95" customHeight="1">
      <c r="A33" s="79"/>
      <c r="B33" s="30" t="s">
        <v>301</v>
      </c>
      <c r="C33" s="19" t="s">
        <v>302</v>
      </c>
      <c r="D33" s="19" t="s">
        <v>272</v>
      </c>
      <c r="E33" s="21">
        <v>5043</v>
      </c>
      <c r="F33" s="22">
        <v>17.588166000000001</v>
      </c>
      <c r="G33" s="31">
        <v>1.9591720924350381E-2</v>
      </c>
    </row>
    <row r="34" spans="1:7" ht="12.95" customHeight="1">
      <c r="A34" s="79"/>
      <c r="B34" s="30" t="s">
        <v>303</v>
      </c>
      <c r="C34" s="19" t="s">
        <v>304</v>
      </c>
      <c r="D34" s="19" t="s">
        <v>293</v>
      </c>
      <c r="E34" s="21">
        <v>100</v>
      </c>
      <c r="F34" s="22">
        <v>15.852220000000001</v>
      </c>
      <c r="G34" s="31">
        <v>1.76580247350068E-2</v>
      </c>
    </row>
    <row r="35" spans="1:7" ht="12.95" customHeight="1">
      <c r="A35" s="79"/>
      <c r="B35" s="30" t="s">
        <v>305</v>
      </c>
      <c r="C35" s="19" t="s">
        <v>306</v>
      </c>
      <c r="D35" s="19" t="s">
        <v>272</v>
      </c>
      <c r="E35" s="21">
        <v>22000</v>
      </c>
      <c r="F35" s="22">
        <v>14.250397299999999</v>
      </c>
      <c r="G35" s="31">
        <v>1.5873730493714704E-2</v>
      </c>
    </row>
    <row r="36" spans="1:7" ht="12.95" customHeight="1">
      <c r="A36" s="79"/>
      <c r="B36" s="30" t="s">
        <v>307</v>
      </c>
      <c r="C36" s="19" t="s">
        <v>308</v>
      </c>
      <c r="D36" s="19" t="s">
        <v>309</v>
      </c>
      <c r="E36" s="21">
        <v>200</v>
      </c>
      <c r="F36" s="22">
        <v>13.888479999999999</v>
      </c>
      <c r="G36" s="31">
        <v>1.5470585405176514E-2</v>
      </c>
    </row>
    <row r="37" spans="1:7" ht="12.95" customHeight="1">
      <c r="A37" s="79"/>
      <c r="B37" s="30" t="s">
        <v>312</v>
      </c>
      <c r="C37" s="19" t="s">
        <v>313</v>
      </c>
      <c r="D37" s="19" t="s">
        <v>314</v>
      </c>
      <c r="E37" s="21">
        <v>100</v>
      </c>
      <c r="F37" s="22">
        <v>12.750080000000001</v>
      </c>
      <c r="G37" s="31">
        <v>1.4202504634260406E-2</v>
      </c>
    </row>
    <row r="38" spans="1:7" ht="12.95" customHeight="1">
      <c r="A38" s="79"/>
      <c r="B38" s="30" t="s">
        <v>315</v>
      </c>
      <c r="C38" s="19" t="s">
        <v>316</v>
      </c>
      <c r="D38" s="19" t="s">
        <v>264</v>
      </c>
      <c r="E38" s="21">
        <v>12000</v>
      </c>
      <c r="F38" s="22">
        <v>12.748022199999999</v>
      </c>
      <c r="G38" s="31">
        <v>1.4200212420091054E-2</v>
      </c>
    </row>
    <row r="39" spans="1:7" ht="12.95" customHeight="1">
      <c r="A39" s="79"/>
      <c r="B39" s="30" t="s">
        <v>317</v>
      </c>
      <c r="C39" s="19" t="s">
        <v>318</v>
      </c>
      <c r="D39" s="19" t="s">
        <v>300</v>
      </c>
      <c r="E39" s="21">
        <v>20000</v>
      </c>
      <c r="F39" s="22">
        <v>11.4552</v>
      </c>
      <c r="G39" s="31">
        <v>1.2760118453090476E-2</v>
      </c>
    </row>
    <row r="40" spans="1:7" ht="12.95" customHeight="1">
      <c r="A40" s="79"/>
      <c r="B40" s="30" t="s">
        <v>319</v>
      </c>
      <c r="C40" s="19" t="s">
        <v>320</v>
      </c>
      <c r="D40" s="19" t="s">
        <v>300</v>
      </c>
      <c r="E40" s="21">
        <v>16000</v>
      </c>
      <c r="F40" s="22">
        <v>9.6283361999999997</v>
      </c>
      <c r="G40" s="31">
        <v>1.072514756775779E-2</v>
      </c>
    </row>
    <row r="41" spans="1:7" ht="12.95" customHeight="1">
      <c r="A41" s="79"/>
      <c r="B41" s="30" t="s">
        <v>323</v>
      </c>
      <c r="C41" s="19" t="s">
        <v>324</v>
      </c>
      <c r="D41" s="19" t="s">
        <v>285</v>
      </c>
      <c r="E41" s="21">
        <v>4729</v>
      </c>
      <c r="F41" s="22">
        <v>4.8345678000000003</v>
      </c>
      <c r="G41" s="31">
        <v>5.3852973145381159E-3</v>
      </c>
    </row>
    <row r="42" spans="1:7" ht="12.95" customHeight="1">
      <c r="A42" s="79"/>
      <c r="B42" s="24" t="s">
        <v>27</v>
      </c>
      <c r="C42" s="19"/>
      <c r="D42" s="19"/>
      <c r="E42" s="21"/>
      <c r="F42" s="93">
        <f>SUM(F21:F41)</f>
        <v>600.35297670000011</v>
      </c>
      <c r="G42" s="32">
        <f>SUM(G21:G41)</f>
        <v>0.66874215171777573</v>
      </c>
    </row>
    <row r="43" spans="1:7" ht="12.95" customHeight="1">
      <c r="A43" s="79"/>
      <c r="B43" s="30"/>
      <c r="C43" s="19"/>
      <c r="D43" s="19"/>
      <c r="E43" s="21"/>
      <c r="F43" s="93"/>
      <c r="G43" s="32"/>
    </row>
    <row r="44" spans="1:7" ht="12.95" customHeight="1">
      <c r="A44" s="70"/>
      <c r="B44" s="24" t="s">
        <v>191</v>
      </c>
      <c r="C44" s="19" t="s">
        <v>1</v>
      </c>
      <c r="D44" s="19" t="s">
        <v>1</v>
      </c>
      <c r="E44" s="19" t="s">
        <v>1</v>
      </c>
      <c r="F44" s="23" t="s">
        <v>192</v>
      </c>
      <c r="G44" s="32" t="s">
        <v>192</v>
      </c>
    </row>
    <row r="45" spans="1:7" ht="12.95" customHeight="1">
      <c r="A45" s="70"/>
      <c r="B45" s="24" t="s">
        <v>27</v>
      </c>
      <c r="C45" s="19" t="s">
        <v>1</v>
      </c>
      <c r="D45" s="19" t="s">
        <v>1</v>
      </c>
      <c r="E45" s="19" t="s">
        <v>1</v>
      </c>
      <c r="F45" s="23" t="s">
        <v>192</v>
      </c>
      <c r="G45" s="32" t="s">
        <v>192</v>
      </c>
    </row>
    <row r="46" spans="1:7" ht="12.95" customHeight="1">
      <c r="A46" s="70"/>
      <c r="B46" s="24" t="s">
        <v>28</v>
      </c>
      <c r="C46" s="19" t="s">
        <v>1</v>
      </c>
      <c r="D46" s="19" t="s">
        <v>1</v>
      </c>
      <c r="E46" s="19" t="s">
        <v>1</v>
      </c>
      <c r="F46" s="23">
        <v>897.27742669999998</v>
      </c>
      <c r="G46" s="32">
        <v>0.99949073346394701</v>
      </c>
    </row>
    <row r="47" spans="1:7" ht="12.95" customHeight="1">
      <c r="A47" s="70"/>
      <c r="B47" s="24"/>
      <c r="C47" s="19"/>
      <c r="D47" s="19"/>
      <c r="E47" s="19"/>
      <c r="F47" s="23"/>
      <c r="G47" s="32"/>
    </row>
    <row r="48" spans="1:7" ht="12.95" customHeight="1">
      <c r="A48" s="70"/>
      <c r="B48" s="25" t="s">
        <v>364</v>
      </c>
      <c r="C48" s="18"/>
      <c r="D48" s="19"/>
      <c r="E48" s="19"/>
      <c r="F48" s="93"/>
      <c r="G48" s="32"/>
    </row>
    <row r="49" spans="1:7" ht="12.95" customHeight="1">
      <c r="A49" s="79"/>
      <c r="B49" s="27" t="s">
        <v>369</v>
      </c>
      <c r="C49" s="18"/>
      <c r="D49" s="19"/>
      <c r="E49" s="109" t="s">
        <v>192</v>
      </c>
      <c r="F49" s="109" t="s">
        <v>192</v>
      </c>
      <c r="G49" s="114" t="s">
        <v>192</v>
      </c>
    </row>
    <row r="50" spans="1:7" ht="12.95" customHeight="1">
      <c r="A50" s="70"/>
      <c r="B50" s="27" t="s">
        <v>366</v>
      </c>
      <c r="C50" s="18"/>
      <c r="D50" s="19"/>
      <c r="E50" s="109" t="s">
        <v>192</v>
      </c>
      <c r="F50" s="109" t="s">
        <v>192</v>
      </c>
      <c r="G50" s="114" t="s">
        <v>192</v>
      </c>
    </row>
    <row r="51" spans="1:7" ht="12.95" customHeight="1">
      <c r="A51" s="70"/>
      <c r="B51" s="27" t="s">
        <v>367</v>
      </c>
      <c r="C51" s="18"/>
      <c r="D51" s="19"/>
      <c r="E51" s="109" t="s">
        <v>192</v>
      </c>
      <c r="F51" s="109" t="s">
        <v>192</v>
      </c>
      <c r="G51" s="114" t="s">
        <v>192</v>
      </c>
    </row>
    <row r="52" spans="1:7" ht="12.95" customHeight="1">
      <c r="A52" s="70"/>
      <c r="B52" s="27"/>
      <c r="C52" s="18"/>
      <c r="D52" s="19"/>
      <c r="E52" s="107"/>
      <c r="F52" s="107"/>
      <c r="G52" s="108"/>
    </row>
    <row r="53" spans="1:7" ht="12.95" customHeight="1">
      <c r="A53" s="70"/>
      <c r="B53" s="11" t="s">
        <v>9</v>
      </c>
      <c r="C53" s="18"/>
      <c r="D53" s="19"/>
      <c r="E53" s="107"/>
      <c r="F53" s="107"/>
      <c r="G53" s="108"/>
    </row>
    <row r="54" spans="1:7" ht="12.95" customHeight="1">
      <c r="A54" s="70"/>
      <c r="B54" s="24" t="s">
        <v>29</v>
      </c>
      <c r="C54" s="19" t="s">
        <v>1</v>
      </c>
      <c r="D54" s="19" t="s">
        <v>1</v>
      </c>
      <c r="E54" s="19" t="s">
        <v>1</v>
      </c>
      <c r="F54" s="20" t="s">
        <v>1</v>
      </c>
      <c r="G54" s="29" t="s">
        <v>1</v>
      </c>
    </row>
    <row r="55" spans="1:7" ht="12.95" customHeight="1">
      <c r="A55" s="79"/>
      <c r="B55" s="30" t="s">
        <v>30</v>
      </c>
      <c r="C55" s="19" t="s">
        <v>1</v>
      </c>
      <c r="D55" s="19" t="s">
        <v>31</v>
      </c>
      <c r="E55" s="21"/>
      <c r="F55" s="22">
        <v>3.1675</v>
      </c>
      <c r="G55" s="31">
        <v>3.5283255814096723E-3</v>
      </c>
    </row>
    <row r="56" spans="1:7" ht="12.95" customHeight="1">
      <c r="A56" s="70"/>
      <c r="B56" s="24" t="s">
        <v>27</v>
      </c>
      <c r="C56" s="19" t="s">
        <v>1</v>
      </c>
      <c r="D56" s="19" t="s">
        <v>1</v>
      </c>
      <c r="E56" s="19" t="s">
        <v>1</v>
      </c>
      <c r="F56" s="23">
        <v>3.1675</v>
      </c>
      <c r="G56" s="32">
        <v>3.5283255814096723E-3</v>
      </c>
    </row>
    <row r="57" spans="1:7" ht="12.95" customHeight="1">
      <c r="A57" s="70"/>
      <c r="B57" s="24"/>
      <c r="C57" s="19"/>
      <c r="D57" s="19"/>
      <c r="E57" s="19"/>
      <c r="F57" s="23"/>
      <c r="G57" s="32"/>
    </row>
    <row r="58" spans="1:7" ht="12.95" customHeight="1">
      <c r="A58" s="70"/>
      <c r="B58" s="24" t="s">
        <v>253</v>
      </c>
      <c r="C58" s="19"/>
      <c r="D58" s="19"/>
      <c r="E58" s="19"/>
      <c r="F58" s="23"/>
      <c r="G58" s="32"/>
    </row>
    <row r="59" spans="1:7" ht="12.95" customHeight="1">
      <c r="A59" s="70"/>
      <c r="B59" s="30" t="s">
        <v>32</v>
      </c>
      <c r="C59" s="19" t="s">
        <v>1</v>
      </c>
      <c r="D59" s="19" t="s">
        <v>1</v>
      </c>
      <c r="E59" s="19" t="s">
        <v>1</v>
      </c>
      <c r="F59" s="22">
        <v>-2.7103138034000001</v>
      </c>
      <c r="G59" s="31">
        <v>-3.0190590453567224E-3</v>
      </c>
    </row>
    <row r="60" spans="1:7" ht="12.95" customHeight="1">
      <c r="A60" s="70"/>
      <c r="B60" s="24" t="s">
        <v>27</v>
      </c>
      <c r="C60" s="19"/>
      <c r="D60" s="19"/>
      <c r="E60" s="19"/>
      <c r="F60" s="23">
        <v>-2.7103138034000001</v>
      </c>
      <c r="G60" s="32">
        <v>-3.0190590453567224E-3</v>
      </c>
    </row>
    <row r="61" spans="1:7" ht="12.95" customHeight="1" thickBot="1">
      <c r="A61" s="70"/>
      <c r="B61" s="43" t="s">
        <v>28</v>
      </c>
      <c r="C61" s="44"/>
      <c r="D61" s="44"/>
      <c r="E61" s="44"/>
      <c r="F61" s="45">
        <f>SUM(F60,F56)</f>
        <v>0.45718619659999993</v>
      </c>
      <c r="G61" s="32">
        <f>SUM(G60,G56)</f>
        <v>5.0926653605294983E-4</v>
      </c>
    </row>
    <row r="62" spans="1:7" ht="12.95" customHeight="1" thickBot="1">
      <c r="A62" s="70"/>
      <c r="B62" s="47" t="s">
        <v>33</v>
      </c>
      <c r="C62" s="48" t="s">
        <v>1</v>
      </c>
      <c r="D62" s="48" t="s">
        <v>1</v>
      </c>
      <c r="E62" s="48" t="s">
        <v>1</v>
      </c>
      <c r="F62" s="49">
        <v>897.73461289659997</v>
      </c>
      <c r="G62" s="50">
        <v>1</v>
      </c>
    </row>
    <row r="63" spans="1:7" ht="12.95" customHeight="1">
      <c r="A63" s="70"/>
      <c r="B63" s="78" t="s">
        <v>1</v>
      </c>
      <c r="C63" s="70"/>
      <c r="D63" s="70"/>
      <c r="E63" s="70"/>
      <c r="F63" s="71"/>
      <c r="G63" s="72"/>
    </row>
    <row r="64" spans="1:7" ht="12.95" customHeight="1">
      <c r="A64" s="70"/>
      <c r="B64" s="74" t="s">
        <v>31</v>
      </c>
      <c r="C64" s="70"/>
      <c r="D64" s="70"/>
      <c r="E64" s="70"/>
      <c r="F64" s="71"/>
      <c r="G64" s="72"/>
    </row>
    <row r="65" spans="1:7" ht="12.95" customHeight="1">
      <c r="A65" s="70"/>
      <c r="B65" s="74" t="s">
        <v>368</v>
      </c>
      <c r="C65" s="70"/>
      <c r="D65" s="70"/>
      <c r="E65" s="70"/>
      <c r="F65" s="71"/>
      <c r="G65" s="72"/>
    </row>
    <row r="66" spans="1:7" ht="12.95" customHeight="1">
      <c r="A66" s="70"/>
      <c r="B66" s="91" t="s">
        <v>374</v>
      </c>
      <c r="C66" s="70"/>
      <c r="D66" s="70"/>
      <c r="E66" s="70"/>
      <c r="F66" s="71"/>
      <c r="G66" s="72"/>
    </row>
    <row r="67" spans="1:7" ht="13.5" thickBot="1"/>
    <row r="68" spans="1:7" ht="13.5" thickBot="1">
      <c r="B68" s="98" t="s">
        <v>380</v>
      </c>
      <c r="C68" s="99">
        <v>7.51E-2</v>
      </c>
    </row>
    <row r="69" spans="1:7">
      <c r="B69" s="82" t="s">
        <v>381</v>
      </c>
      <c r="C69" s="82"/>
    </row>
  </sheetData>
  <sortState ref="A20:K40">
    <sortCondition descending="1" ref="G20:G40"/>
  </sortState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zoomScaleNormal="100" workbookViewId="0">
      <selection activeCell="E34" sqref="E34"/>
    </sheetView>
  </sheetViews>
  <sheetFormatPr defaultRowHeight="12.75"/>
  <cols>
    <col min="1" max="1" width="11.42578125" style="73" bestFit="1" customWidth="1"/>
    <col min="2" max="2" width="46.28515625" style="73" customWidth="1"/>
    <col min="3" max="3" width="15.140625" style="73" customWidth="1"/>
    <col min="4" max="5" width="21" style="73" customWidth="1"/>
    <col min="6" max="6" width="21" style="75" customWidth="1"/>
    <col min="7" max="7" width="21" style="76" customWidth="1"/>
    <col min="8" max="16384" width="9.140625" style="73"/>
  </cols>
  <sheetData>
    <row r="1" spans="1:7" ht="18.75">
      <c r="A1" s="70"/>
      <c r="B1" s="129" t="s">
        <v>251</v>
      </c>
      <c r="C1" s="130"/>
      <c r="D1" s="130"/>
      <c r="E1" s="130"/>
      <c r="F1" s="130"/>
      <c r="G1" s="131"/>
    </row>
    <row r="2" spans="1:7" ht="15.95" customHeight="1" thickBot="1">
      <c r="A2" s="70"/>
      <c r="B2" s="138" t="s">
        <v>384</v>
      </c>
      <c r="C2" s="139"/>
      <c r="D2" s="139"/>
      <c r="E2" s="139"/>
      <c r="F2" s="139"/>
      <c r="G2" s="140"/>
    </row>
    <row r="3" spans="1:7" ht="12.95" customHeight="1">
      <c r="A3" s="70"/>
      <c r="B3" s="77" t="s">
        <v>1</v>
      </c>
      <c r="C3" s="70"/>
      <c r="D3" s="70"/>
      <c r="E3" s="70"/>
      <c r="F3" s="71"/>
      <c r="G3" s="72"/>
    </row>
    <row r="4" spans="1:7" ht="12.95" customHeight="1" thickBot="1">
      <c r="A4" s="78"/>
      <c r="B4" s="74" t="s">
        <v>2</v>
      </c>
      <c r="C4" s="70"/>
      <c r="D4" s="70"/>
      <c r="E4" s="70"/>
      <c r="F4" s="71"/>
      <c r="G4" s="72"/>
    </row>
    <row r="5" spans="1:7" ht="27.95" customHeight="1" thickBot="1">
      <c r="A5" s="70"/>
      <c r="B5" s="38" t="s">
        <v>3</v>
      </c>
      <c r="C5" s="39" t="s">
        <v>4</v>
      </c>
      <c r="D5" s="40" t="s">
        <v>252</v>
      </c>
      <c r="E5" s="40" t="s">
        <v>6</v>
      </c>
      <c r="F5" s="41" t="s">
        <v>7</v>
      </c>
      <c r="G5" s="42" t="s">
        <v>8</v>
      </c>
    </row>
    <row r="6" spans="1:7">
      <c r="A6" s="70"/>
      <c r="B6" s="101" t="s">
        <v>362</v>
      </c>
      <c r="C6" s="106"/>
      <c r="D6" s="35"/>
      <c r="E6" s="35"/>
      <c r="F6" s="36"/>
      <c r="G6" s="37"/>
    </row>
    <row r="7" spans="1:7">
      <c r="A7" s="70"/>
      <c r="B7" s="102" t="s">
        <v>363</v>
      </c>
      <c r="C7" s="12"/>
      <c r="D7" s="13"/>
      <c r="E7" s="100" t="s">
        <v>192</v>
      </c>
      <c r="F7" s="100" t="s">
        <v>192</v>
      </c>
      <c r="G7" s="105" t="s">
        <v>192</v>
      </c>
    </row>
    <row r="8" spans="1:7">
      <c r="A8" s="70"/>
      <c r="B8" s="102" t="s">
        <v>191</v>
      </c>
      <c r="C8" s="12"/>
      <c r="D8" s="13"/>
      <c r="E8" s="100" t="s">
        <v>192</v>
      </c>
      <c r="F8" s="100" t="s">
        <v>192</v>
      </c>
      <c r="G8" s="105" t="s">
        <v>192</v>
      </c>
    </row>
    <row r="9" spans="1:7">
      <c r="A9" s="70"/>
      <c r="B9" s="102"/>
      <c r="C9" s="12"/>
      <c r="D9" s="13"/>
      <c r="E9" s="100"/>
      <c r="F9" s="100"/>
      <c r="G9" s="105"/>
    </row>
    <row r="10" spans="1:7">
      <c r="A10" s="70"/>
      <c r="B10" s="103" t="s">
        <v>364</v>
      </c>
      <c r="C10" s="12"/>
      <c r="D10" s="13"/>
      <c r="E10" s="13"/>
      <c r="F10" s="14"/>
      <c r="G10" s="26"/>
    </row>
    <row r="11" spans="1:7">
      <c r="A11" s="70"/>
      <c r="B11" s="104" t="s">
        <v>369</v>
      </c>
      <c r="C11" s="12"/>
      <c r="D11" s="13"/>
      <c r="E11" s="100" t="s">
        <v>192</v>
      </c>
      <c r="F11" s="100" t="s">
        <v>192</v>
      </c>
      <c r="G11" s="105" t="s">
        <v>192</v>
      </c>
    </row>
    <row r="12" spans="1:7">
      <c r="A12" s="70"/>
      <c r="B12" s="104" t="s">
        <v>366</v>
      </c>
      <c r="C12" s="12"/>
      <c r="D12" s="13"/>
      <c r="E12" s="100" t="s">
        <v>192</v>
      </c>
      <c r="F12" s="100" t="s">
        <v>192</v>
      </c>
      <c r="G12" s="105" t="s">
        <v>192</v>
      </c>
    </row>
    <row r="13" spans="1:7">
      <c r="A13" s="70"/>
      <c r="B13" s="104" t="s">
        <v>367</v>
      </c>
      <c r="C13" s="12"/>
      <c r="D13" s="13"/>
      <c r="E13" s="100" t="s">
        <v>192</v>
      </c>
      <c r="F13" s="100" t="s">
        <v>192</v>
      </c>
      <c r="G13" s="105" t="s">
        <v>192</v>
      </c>
    </row>
    <row r="14" spans="1:7">
      <c r="A14" s="70"/>
      <c r="B14" s="96"/>
      <c r="C14" s="12"/>
      <c r="D14" s="13"/>
      <c r="E14" s="13"/>
      <c r="F14" s="14"/>
      <c r="G14" s="26"/>
    </row>
    <row r="15" spans="1:7" ht="12.95" customHeight="1">
      <c r="A15" s="70"/>
      <c r="B15" s="11" t="s">
        <v>9</v>
      </c>
      <c r="C15" s="12"/>
      <c r="D15" s="13"/>
      <c r="E15" s="13"/>
      <c r="F15" s="14"/>
      <c r="G15" s="26"/>
    </row>
    <row r="16" spans="1:7" ht="12.95" customHeight="1">
      <c r="A16" s="79"/>
      <c r="B16" s="24" t="s">
        <v>29</v>
      </c>
      <c r="C16" s="19" t="s">
        <v>1</v>
      </c>
      <c r="D16" s="19" t="s">
        <v>1</v>
      </c>
      <c r="E16" s="19" t="s">
        <v>1</v>
      </c>
      <c r="F16" s="20" t="s">
        <v>1</v>
      </c>
      <c r="G16" s="29" t="s">
        <v>1</v>
      </c>
    </row>
    <row r="17" spans="1:7" ht="12.95" customHeight="1">
      <c r="A17" s="70"/>
      <c r="B17" s="30" t="s">
        <v>30</v>
      </c>
      <c r="C17" s="19" t="s">
        <v>1</v>
      </c>
      <c r="D17" s="19" t="s">
        <v>31</v>
      </c>
      <c r="E17" s="21"/>
      <c r="F17" s="22">
        <v>33.795349999999999</v>
      </c>
      <c r="G17" s="31">
        <v>1.729083707343412E-2</v>
      </c>
    </row>
    <row r="18" spans="1:7" ht="12.95" customHeight="1">
      <c r="A18" s="70"/>
      <c r="B18" s="24" t="s">
        <v>27</v>
      </c>
      <c r="C18" s="19" t="s">
        <v>1</v>
      </c>
      <c r="D18" s="19" t="s">
        <v>1</v>
      </c>
      <c r="E18" s="19" t="s">
        <v>1</v>
      </c>
      <c r="F18" s="23">
        <v>33.795349999999999</v>
      </c>
      <c r="G18" s="32">
        <v>1.729083707343412E-2</v>
      </c>
    </row>
    <row r="19" spans="1:7">
      <c r="A19" s="70"/>
      <c r="B19" s="24"/>
      <c r="C19" s="19" t="s">
        <v>1</v>
      </c>
      <c r="D19" s="19" t="s">
        <v>1</v>
      </c>
      <c r="E19" s="19" t="s">
        <v>1</v>
      </c>
      <c r="F19" s="23"/>
      <c r="G19" s="32"/>
    </row>
    <row r="20" spans="1:7">
      <c r="A20" s="70"/>
      <c r="B20" s="24" t="s">
        <v>253</v>
      </c>
      <c r="C20" s="19"/>
      <c r="D20" s="19"/>
      <c r="E20" s="19"/>
      <c r="F20" s="23"/>
      <c r="G20" s="32"/>
    </row>
    <row r="21" spans="1:7">
      <c r="A21" s="70"/>
      <c r="B21" s="24" t="s">
        <v>254</v>
      </c>
      <c r="C21" s="19" t="s">
        <v>1</v>
      </c>
      <c r="D21" s="19" t="s">
        <v>1</v>
      </c>
      <c r="E21" s="19" t="s">
        <v>1</v>
      </c>
      <c r="F21" s="20" t="s">
        <v>1</v>
      </c>
      <c r="G21" s="29" t="s">
        <v>1</v>
      </c>
    </row>
    <row r="22" spans="1:7">
      <c r="A22" s="70"/>
      <c r="B22" s="30" t="s">
        <v>255</v>
      </c>
      <c r="C22" s="19" t="s">
        <v>256</v>
      </c>
      <c r="D22" s="19" t="s">
        <v>1</v>
      </c>
      <c r="E22" s="21">
        <v>263343.09663839999</v>
      </c>
      <c r="F22" s="22">
        <v>1947.5718832</v>
      </c>
      <c r="G22" s="31">
        <v>0.99644324207953061</v>
      </c>
    </row>
    <row r="23" spans="1:7">
      <c r="A23" s="70"/>
      <c r="B23" s="24" t="s">
        <v>27</v>
      </c>
      <c r="C23" s="19" t="s">
        <v>1</v>
      </c>
      <c r="D23" s="19" t="s">
        <v>1</v>
      </c>
      <c r="E23" s="19" t="s">
        <v>1</v>
      </c>
      <c r="F23" s="23">
        <v>1947.5718832</v>
      </c>
      <c r="G23" s="32">
        <v>0.99644324207953061</v>
      </c>
    </row>
    <row r="24" spans="1:7">
      <c r="A24" s="70"/>
      <c r="B24" s="96"/>
      <c r="C24" s="12"/>
      <c r="D24" s="13"/>
      <c r="E24" s="13"/>
      <c r="F24" s="14"/>
      <c r="G24" s="26"/>
    </row>
    <row r="25" spans="1:7" ht="12.95" customHeight="1">
      <c r="A25" s="70"/>
      <c r="B25" s="126" t="s">
        <v>32</v>
      </c>
      <c r="C25" s="127" t="s">
        <v>1</v>
      </c>
      <c r="D25" s="127" t="s">
        <v>1</v>
      </c>
      <c r="E25" s="127" t="s">
        <v>1</v>
      </c>
      <c r="F25" s="128">
        <v>-26.8435825247</v>
      </c>
      <c r="G25" s="60">
        <v>-1.3734079152964762E-2</v>
      </c>
    </row>
    <row r="26" spans="1:7" ht="12.95" customHeight="1">
      <c r="A26" s="70"/>
      <c r="B26" s="24" t="s">
        <v>27</v>
      </c>
      <c r="C26" s="19"/>
      <c r="D26" s="19"/>
      <c r="E26" s="19"/>
      <c r="F26" s="23">
        <v>-26.8435825247</v>
      </c>
      <c r="G26" s="32">
        <v>-1.3734079152964762E-2</v>
      </c>
    </row>
    <row r="27" spans="1:7" ht="12.95" customHeight="1" thickBot="1">
      <c r="A27" s="70"/>
      <c r="B27" s="43" t="s">
        <v>28</v>
      </c>
      <c r="C27" s="44"/>
      <c r="D27" s="44"/>
      <c r="E27" s="44"/>
      <c r="F27" s="45">
        <f>SUM(F18,F23,F26)</f>
        <v>1954.5236506753001</v>
      </c>
      <c r="G27" s="32">
        <f>SUM(G18,G23,G26)</f>
        <v>1</v>
      </c>
    </row>
    <row r="28" spans="1:7" ht="12.95" customHeight="1" thickBot="1">
      <c r="A28" s="70"/>
      <c r="B28" s="47" t="s">
        <v>33</v>
      </c>
      <c r="C28" s="48" t="s">
        <v>1</v>
      </c>
      <c r="D28" s="48" t="s">
        <v>1</v>
      </c>
      <c r="E28" s="48" t="s">
        <v>1</v>
      </c>
      <c r="F28" s="49">
        <v>1954.5236506752999</v>
      </c>
      <c r="G28" s="50">
        <v>1</v>
      </c>
    </row>
    <row r="29" spans="1:7" ht="12.95" customHeight="1">
      <c r="A29" s="70"/>
      <c r="B29" s="78" t="s">
        <v>1</v>
      </c>
      <c r="C29" s="70"/>
      <c r="D29" s="70"/>
      <c r="E29" s="70"/>
      <c r="F29" s="71"/>
      <c r="G29" s="72"/>
    </row>
    <row r="30" spans="1:7" ht="12.95" customHeight="1">
      <c r="A30" s="70"/>
      <c r="B30" s="74" t="s">
        <v>31</v>
      </c>
      <c r="C30" s="70"/>
      <c r="D30" s="70"/>
      <c r="E30" s="70"/>
      <c r="F30" s="71"/>
      <c r="G30" s="72"/>
    </row>
    <row r="31" spans="1:7" ht="12.95" customHeight="1">
      <c r="A31" s="70"/>
      <c r="B31" s="74" t="s">
        <v>1</v>
      </c>
      <c r="C31" s="70"/>
      <c r="D31" s="70"/>
      <c r="E31" s="70"/>
      <c r="F31" s="71"/>
      <c r="G31" s="72"/>
    </row>
    <row r="32" spans="1:7" ht="12.95" customHeight="1">
      <c r="A32" s="70"/>
      <c r="B32" s="74" t="s">
        <v>1</v>
      </c>
      <c r="C32" s="70"/>
      <c r="D32" s="70"/>
      <c r="E32" s="70"/>
      <c r="F32" s="71"/>
      <c r="G32" s="72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zoomScaleNormal="100" workbookViewId="0">
      <selection activeCell="B4" sqref="B4"/>
    </sheetView>
  </sheetViews>
  <sheetFormatPr defaultRowHeight="12.75"/>
  <cols>
    <col min="1" max="1" width="11.42578125" bestFit="1" customWidth="1"/>
    <col min="2" max="2" width="47" bestFit="1" customWidth="1"/>
    <col min="3" max="5" width="20.7109375" customWidth="1"/>
    <col min="6" max="6" width="20.7109375" style="7" customWidth="1"/>
    <col min="7" max="7" width="20.7109375" style="9" customWidth="1"/>
  </cols>
  <sheetData>
    <row r="1" spans="1:7" ht="18">
      <c r="A1" s="1"/>
      <c r="B1" s="144" t="s">
        <v>0</v>
      </c>
      <c r="C1" s="145"/>
      <c r="D1" s="145"/>
      <c r="E1" s="145"/>
      <c r="F1" s="145"/>
      <c r="G1" s="146"/>
    </row>
    <row r="2" spans="1:7" ht="15.95" customHeight="1" thickBot="1">
      <c r="A2" s="1"/>
      <c r="B2" s="147" t="s">
        <v>376</v>
      </c>
      <c r="C2" s="148"/>
      <c r="D2" s="148"/>
      <c r="E2" s="148"/>
      <c r="F2" s="148"/>
      <c r="G2" s="149"/>
    </row>
    <row r="3" spans="1:7" ht="12.95" customHeight="1">
      <c r="A3" s="1"/>
      <c r="B3" s="3" t="s">
        <v>1</v>
      </c>
      <c r="C3" s="1"/>
      <c r="D3" s="1"/>
      <c r="E3" s="1"/>
      <c r="F3" s="6"/>
      <c r="G3" s="8"/>
    </row>
    <row r="4" spans="1:7" ht="12.95" customHeight="1" thickBot="1">
      <c r="A4" s="4"/>
      <c r="B4" s="51" t="s">
        <v>2</v>
      </c>
      <c r="C4" s="1"/>
      <c r="D4" s="1"/>
      <c r="E4" s="1"/>
      <c r="F4" s="6"/>
      <c r="G4" s="8"/>
    </row>
    <row r="5" spans="1:7" ht="27.95" customHeight="1" thickBot="1">
      <c r="A5" s="1"/>
      <c r="B5" s="38" t="s">
        <v>3</v>
      </c>
      <c r="C5" s="40" t="s">
        <v>4</v>
      </c>
      <c r="D5" s="40" t="s">
        <v>5</v>
      </c>
      <c r="E5" s="40" t="s">
        <v>6</v>
      </c>
      <c r="F5" s="41" t="s">
        <v>7</v>
      </c>
      <c r="G5" s="42" t="s">
        <v>8</v>
      </c>
    </row>
    <row r="6" spans="1:7" ht="12.95" customHeight="1">
      <c r="A6" s="1"/>
      <c r="B6" s="33" t="s">
        <v>362</v>
      </c>
      <c r="C6" s="34"/>
      <c r="D6" s="35"/>
      <c r="E6" s="35"/>
      <c r="F6" s="36"/>
      <c r="G6" s="37"/>
    </row>
    <row r="7" spans="1:7" ht="12.95" customHeight="1">
      <c r="A7" s="1"/>
      <c r="B7" s="27" t="s">
        <v>363</v>
      </c>
      <c r="C7" s="12"/>
      <c r="D7" s="13"/>
      <c r="E7" s="55" t="s">
        <v>192</v>
      </c>
      <c r="F7" s="55" t="s">
        <v>192</v>
      </c>
      <c r="G7" s="56" t="s">
        <v>192</v>
      </c>
    </row>
    <row r="8" spans="1:7" ht="12.95" customHeight="1">
      <c r="A8" s="5"/>
      <c r="B8" s="27" t="s">
        <v>191</v>
      </c>
      <c r="C8" s="12"/>
      <c r="D8" s="13"/>
      <c r="E8" s="55" t="s">
        <v>192</v>
      </c>
      <c r="F8" s="55" t="s">
        <v>192</v>
      </c>
      <c r="G8" s="56" t="s">
        <v>192</v>
      </c>
    </row>
    <row r="9" spans="1:7" ht="12.95" customHeight="1">
      <c r="A9" s="1"/>
      <c r="B9" s="27"/>
      <c r="C9" s="12"/>
      <c r="D9" s="13"/>
      <c r="E9" s="52"/>
      <c r="F9" s="53"/>
      <c r="G9" s="54"/>
    </row>
    <row r="10" spans="1:7" ht="12.95" customHeight="1">
      <c r="A10" s="1"/>
      <c r="B10" s="25" t="s">
        <v>364</v>
      </c>
      <c r="C10" s="12"/>
      <c r="D10" s="13"/>
      <c r="E10" s="52"/>
      <c r="F10" s="53"/>
      <c r="G10" s="54"/>
    </row>
    <row r="11" spans="1:7" ht="12.95" customHeight="1">
      <c r="A11" s="1"/>
      <c r="B11" s="27" t="s">
        <v>365</v>
      </c>
      <c r="C11" s="12"/>
      <c r="D11" s="13"/>
      <c r="E11" s="55" t="s">
        <v>192</v>
      </c>
      <c r="F11" s="55" t="s">
        <v>192</v>
      </c>
      <c r="G11" s="56" t="s">
        <v>192</v>
      </c>
    </row>
    <row r="12" spans="1:7" ht="12.95" customHeight="1">
      <c r="A12" s="5"/>
      <c r="B12" s="27" t="s">
        <v>366</v>
      </c>
      <c r="C12" s="12"/>
      <c r="D12" s="13"/>
      <c r="E12" s="55" t="s">
        <v>192</v>
      </c>
      <c r="F12" s="55" t="s">
        <v>192</v>
      </c>
      <c r="G12" s="56" t="s">
        <v>192</v>
      </c>
    </row>
    <row r="13" spans="1:7" ht="12.95" customHeight="1">
      <c r="A13" s="1"/>
      <c r="B13" s="27" t="s">
        <v>367</v>
      </c>
      <c r="C13" s="12"/>
      <c r="D13" s="13"/>
      <c r="E13" s="55" t="s">
        <v>192</v>
      </c>
      <c r="F13" s="55" t="s">
        <v>192</v>
      </c>
      <c r="G13" s="56" t="s">
        <v>192</v>
      </c>
    </row>
    <row r="14" spans="1:7" ht="12.95" customHeight="1">
      <c r="A14" s="1"/>
      <c r="B14" s="27"/>
      <c r="C14" s="12"/>
      <c r="D14" s="13"/>
      <c r="E14" s="16"/>
      <c r="F14" s="17"/>
      <c r="G14" s="28"/>
    </row>
    <row r="15" spans="1:7" ht="12.95" customHeight="1">
      <c r="A15" s="1"/>
      <c r="B15" s="24" t="s">
        <v>9</v>
      </c>
      <c r="C15" s="19" t="s">
        <v>1</v>
      </c>
      <c r="D15" s="19" t="s">
        <v>1</v>
      </c>
      <c r="E15" s="19" t="s">
        <v>1</v>
      </c>
      <c r="F15" s="20" t="s">
        <v>1</v>
      </c>
      <c r="G15" s="29" t="s">
        <v>1</v>
      </c>
    </row>
    <row r="16" spans="1:7" ht="12.95" customHeight="1">
      <c r="A16" s="5"/>
      <c r="B16" s="24" t="s">
        <v>10</v>
      </c>
      <c r="C16" s="19" t="s">
        <v>1</v>
      </c>
      <c r="D16" s="19" t="s">
        <v>1</v>
      </c>
      <c r="E16" s="19" t="s">
        <v>1</v>
      </c>
      <c r="F16" s="20" t="s">
        <v>1</v>
      </c>
      <c r="G16" s="29" t="s">
        <v>1</v>
      </c>
    </row>
    <row r="17" spans="1:7" ht="12.95" customHeight="1">
      <c r="A17" s="5"/>
      <c r="B17" s="30" t="s">
        <v>11</v>
      </c>
      <c r="C17" s="69" t="s">
        <v>12</v>
      </c>
      <c r="D17" s="69" t="s">
        <v>13</v>
      </c>
      <c r="E17" s="21">
        <v>2500000</v>
      </c>
      <c r="F17" s="22">
        <v>2487.4385499999999</v>
      </c>
      <c r="G17" s="31">
        <v>0.38003821626342477</v>
      </c>
    </row>
    <row r="18" spans="1:7" ht="12.95" customHeight="1">
      <c r="A18" s="5"/>
      <c r="B18" s="30" t="s">
        <v>14</v>
      </c>
      <c r="C18" s="69" t="s">
        <v>15</v>
      </c>
      <c r="D18" s="69" t="s">
        <v>13</v>
      </c>
      <c r="E18" s="21">
        <v>2400000</v>
      </c>
      <c r="F18" s="22">
        <v>2397.3734399999998</v>
      </c>
      <c r="G18" s="31">
        <v>0.36627780246266206</v>
      </c>
    </row>
    <row r="19" spans="1:7" ht="12.95" customHeight="1">
      <c r="A19" s="5"/>
      <c r="B19" s="30" t="s">
        <v>16</v>
      </c>
      <c r="C19" s="69" t="s">
        <v>17</v>
      </c>
      <c r="D19" s="69" t="s">
        <v>13</v>
      </c>
      <c r="E19" s="21">
        <v>500000</v>
      </c>
      <c r="F19" s="22">
        <v>498.3886</v>
      </c>
      <c r="G19" s="31">
        <v>7.6145283890540941E-2</v>
      </c>
    </row>
    <row r="20" spans="1:7" ht="12.95" customHeight="1">
      <c r="A20" s="5"/>
      <c r="B20" s="30" t="s">
        <v>18</v>
      </c>
      <c r="C20" s="69" t="s">
        <v>19</v>
      </c>
      <c r="D20" s="69" t="s">
        <v>13</v>
      </c>
      <c r="E20" s="21">
        <v>500000</v>
      </c>
      <c r="F20" s="22">
        <v>496.45346999999998</v>
      </c>
      <c r="G20" s="31">
        <v>7.5849629007553834E-2</v>
      </c>
    </row>
    <row r="21" spans="1:7" ht="12.95" customHeight="1">
      <c r="A21" s="5"/>
      <c r="B21" s="30" t="s">
        <v>20</v>
      </c>
      <c r="C21" s="69" t="s">
        <v>21</v>
      </c>
      <c r="D21" s="69" t="s">
        <v>13</v>
      </c>
      <c r="E21" s="21">
        <v>500000</v>
      </c>
      <c r="F21" s="22">
        <v>494.77231999999998</v>
      </c>
      <c r="G21" s="31">
        <v>7.559277793990786E-2</v>
      </c>
    </row>
    <row r="22" spans="1:7" ht="12.95" customHeight="1">
      <c r="A22" s="5"/>
      <c r="B22" s="30" t="s">
        <v>22</v>
      </c>
      <c r="C22" s="69" t="s">
        <v>23</v>
      </c>
      <c r="D22" s="69" t="s">
        <v>13</v>
      </c>
      <c r="E22" s="21">
        <v>500000</v>
      </c>
      <c r="F22" s="22">
        <v>494.30200000000002</v>
      </c>
      <c r="G22" s="31">
        <v>7.5520921059715584E-2</v>
      </c>
    </row>
    <row r="23" spans="1:7" ht="12.95" customHeight="1">
      <c r="A23" s="1"/>
      <c r="B23" s="30" t="s">
        <v>24</v>
      </c>
      <c r="C23" s="69" t="s">
        <v>25</v>
      </c>
      <c r="D23" s="69" t="s">
        <v>26</v>
      </c>
      <c r="E23" s="21">
        <v>500000</v>
      </c>
      <c r="F23" s="22">
        <v>493.8605</v>
      </c>
      <c r="G23" s="31">
        <v>7.5453467384335213E-2</v>
      </c>
    </row>
    <row r="24" spans="1:7" ht="12.95" customHeight="1">
      <c r="A24" s="1"/>
      <c r="B24" s="24" t="s">
        <v>27</v>
      </c>
      <c r="C24" s="19" t="s">
        <v>1</v>
      </c>
      <c r="D24" s="19" t="s">
        <v>1</v>
      </c>
      <c r="E24" s="19" t="s">
        <v>1</v>
      </c>
      <c r="F24" s="23">
        <v>7362.5888800000002</v>
      </c>
      <c r="G24" s="32">
        <v>1.1248780980081403</v>
      </c>
    </row>
    <row r="25" spans="1:7" ht="12.95" customHeight="1">
      <c r="A25" s="1"/>
      <c r="B25" s="24" t="s">
        <v>28</v>
      </c>
      <c r="C25" s="19" t="s">
        <v>1</v>
      </c>
      <c r="D25" s="19" t="s">
        <v>1</v>
      </c>
      <c r="E25" s="19" t="s">
        <v>1</v>
      </c>
      <c r="F25" s="23">
        <v>7362.5888800000002</v>
      </c>
      <c r="G25" s="32">
        <v>1.1248780980081403</v>
      </c>
    </row>
    <row r="26" spans="1:7" ht="12.95" customHeight="1">
      <c r="A26" s="5"/>
      <c r="B26" s="24"/>
      <c r="C26" s="19"/>
      <c r="D26" s="19"/>
      <c r="E26" s="19"/>
      <c r="F26" s="23"/>
      <c r="G26" s="32"/>
    </row>
    <row r="27" spans="1:7" ht="12.95" customHeight="1">
      <c r="A27" s="1"/>
      <c r="B27" s="24" t="s">
        <v>29</v>
      </c>
      <c r="C27" s="19" t="s">
        <v>1</v>
      </c>
      <c r="D27" s="19" t="s">
        <v>1</v>
      </c>
      <c r="E27" s="19" t="s">
        <v>1</v>
      </c>
      <c r="F27" s="20" t="s">
        <v>1</v>
      </c>
      <c r="G27" s="29" t="s">
        <v>1</v>
      </c>
    </row>
    <row r="28" spans="1:7" ht="12.95" customHeight="1">
      <c r="A28" s="1"/>
      <c r="B28" s="30" t="s">
        <v>30</v>
      </c>
      <c r="C28" s="19" t="s">
        <v>1</v>
      </c>
      <c r="D28" s="19" t="s">
        <v>31</v>
      </c>
      <c r="E28" s="21"/>
      <c r="F28" s="22">
        <v>173.48580000000001</v>
      </c>
      <c r="G28" s="31">
        <v>2.6505673468409201E-2</v>
      </c>
    </row>
    <row r="29" spans="1:7" ht="12.95" customHeight="1">
      <c r="A29" s="1"/>
      <c r="B29" s="24" t="s">
        <v>27</v>
      </c>
      <c r="C29" s="19" t="s">
        <v>1</v>
      </c>
      <c r="D29" s="19" t="s">
        <v>1</v>
      </c>
      <c r="E29" s="19" t="s">
        <v>1</v>
      </c>
      <c r="F29" s="23">
        <v>173.48580000000001</v>
      </c>
      <c r="G29" s="32">
        <v>2.6505673468409201E-2</v>
      </c>
    </row>
    <row r="30" spans="1:7" ht="12.95" customHeight="1">
      <c r="A30" s="1"/>
      <c r="B30" s="24"/>
      <c r="C30" s="19"/>
      <c r="D30" s="19"/>
      <c r="E30" s="19"/>
      <c r="F30" s="23"/>
      <c r="G30" s="32"/>
    </row>
    <row r="31" spans="1:7" ht="12.95" customHeight="1">
      <c r="A31" s="1"/>
      <c r="B31" s="24" t="s">
        <v>253</v>
      </c>
      <c r="C31" s="19"/>
      <c r="D31" s="19"/>
      <c r="E31" s="19"/>
      <c r="F31" s="23"/>
      <c r="G31" s="32"/>
    </row>
    <row r="32" spans="1:7" ht="12.95" customHeight="1">
      <c r="A32" s="1"/>
      <c r="B32" s="126" t="s">
        <v>32</v>
      </c>
      <c r="C32" s="127" t="s">
        <v>1</v>
      </c>
      <c r="D32" s="127" t="s">
        <v>1</v>
      </c>
      <c r="E32" s="127" t="s">
        <v>1</v>
      </c>
      <c r="F32" s="128">
        <v>-990.84200720000001</v>
      </c>
      <c r="G32" s="60">
        <v>-0.15138377147654947</v>
      </c>
    </row>
    <row r="33" spans="1:7" ht="12.95" customHeight="1">
      <c r="A33" s="1"/>
      <c r="B33" s="61" t="s">
        <v>27</v>
      </c>
      <c r="C33" s="62"/>
      <c r="D33" s="62"/>
      <c r="E33" s="62"/>
      <c r="F33" s="63">
        <v>-990.84200720000001</v>
      </c>
      <c r="G33" s="64">
        <v>-0.15138377147654947</v>
      </c>
    </row>
    <row r="34" spans="1:7" ht="12.95" customHeight="1" thickBot="1">
      <c r="A34" s="1"/>
      <c r="B34" s="65" t="s">
        <v>28</v>
      </c>
      <c r="C34" s="66"/>
      <c r="D34" s="66"/>
      <c r="E34" s="66"/>
      <c r="F34" s="67">
        <f>SUM(F33,F29)</f>
        <v>-817.35620719999997</v>
      </c>
      <c r="G34" s="64">
        <f>SUM(G33,G29)</f>
        <v>-0.12487809800814026</v>
      </c>
    </row>
    <row r="35" spans="1:7" ht="12.95" customHeight="1" thickBot="1">
      <c r="A35" s="1"/>
      <c r="B35" s="47" t="s">
        <v>33</v>
      </c>
      <c r="C35" s="48" t="s">
        <v>1</v>
      </c>
      <c r="D35" s="48" t="s">
        <v>1</v>
      </c>
      <c r="E35" s="48" t="s">
        <v>1</v>
      </c>
      <c r="F35" s="49">
        <v>6545.2326727999998</v>
      </c>
      <c r="G35" s="50">
        <v>1</v>
      </c>
    </row>
    <row r="36" spans="1:7">
      <c r="B36" s="4" t="s">
        <v>1</v>
      </c>
      <c r="C36" s="1"/>
      <c r="D36" s="1"/>
      <c r="E36" s="1"/>
      <c r="F36" s="6"/>
      <c r="G36" s="8"/>
    </row>
    <row r="37" spans="1:7">
      <c r="B37" s="2" t="s">
        <v>31</v>
      </c>
      <c r="C37" s="1"/>
      <c r="D37" s="1"/>
      <c r="E37" s="1"/>
      <c r="F37" s="6"/>
      <c r="G37" s="8"/>
    </row>
    <row r="38" spans="1:7">
      <c r="B38" s="59" t="s">
        <v>34</v>
      </c>
      <c r="C38" s="1"/>
      <c r="D38" s="1"/>
      <c r="E38" s="1"/>
      <c r="F38" s="6"/>
      <c r="G38" s="8"/>
    </row>
    <row r="39" spans="1:7" ht="13.5" thickBot="1">
      <c r="B39" s="59" t="s">
        <v>35</v>
      </c>
      <c r="C39" s="1"/>
      <c r="D39" s="1"/>
      <c r="E39" s="1"/>
      <c r="F39" s="6"/>
      <c r="G39" s="8"/>
    </row>
    <row r="40" spans="1:7" ht="13.5" thickBot="1">
      <c r="B40" s="57" t="s">
        <v>377</v>
      </c>
      <c r="C40" s="58" t="s">
        <v>387</v>
      </c>
      <c r="D40" s="1"/>
      <c r="E40" s="1"/>
      <c r="F40" s="6"/>
      <c r="G40" s="8"/>
    </row>
    <row r="41" spans="1:7">
      <c r="B41" s="2" t="s">
        <v>1</v>
      </c>
      <c r="C41" s="1"/>
      <c r="D41" s="1"/>
      <c r="E41" s="1"/>
      <c r="F41" s="6"/>
      <c r="G41" s="8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zoomScaleNormal="100" workbookViewId="0">
      <selection activeCell="B4" sqref="B4"/>
    </sheetView>
  </sheetViews>
  <sheetFormatPr defaultColWidth="4.7109375" defaultRowHeight="12.75"/>
  <cols>
    <col min="1" max="1" width="11.42578125" style="73" bestFit="1" customWidth="1"/>
    <col min="2" max="2" width="47" style="73" bestFit="1" customWidth="1"/>
    <col min="3" max="5" width="21.140625" style="73" customWidth="1"/>
    <col min="6" max="6" width="21.140625" style="75" customWidth="1"/>
    <col min="7" max="7" width="21.140625" style="76" customWidth="1"/>
    <col min="8" max="16384" width="4.7109375" style="73"/>
  </cols>
  <sheetData>
    <row r="1" spans="1:7" ht="18">
      <c r="A1" s="70"/>
      <c r="B1" s="135" t="s">
        <v>349</v>
      </c>
      <c r="C1" s="136"/>
      <c r="D1" s="136"/>
      <c r="E1" s="136"/>
      <c r="F1" s="136"/>
      <c r="G1" s="137"/>
    </row>
    <row r="2" spans="1:7" ht="15.95" customHeight="1" thickBot="1">
      <c r="A2" s="70"/>
      <c r="B2" s="138" t="s">
        <v>385</v>
      </c>
      <c r="C2" s="139"/>
      <c r="D2" s="139"/>
      <c r="E2" s="139"/>
      <c r="F2" s="139"/>
      <c r="G2" s="140"/>
    </row>
    <row r="3" spans="1:7" ht="12.95" customHeight="1">
      <c r="A3" s="70"/>
      <c r="B3" s="77" t="s">
        <v>1</v>
      </c>
      <c r="C3" s="70"/>
      <c r="D3" s="70"/>
      <c r="E3" s="70"/>
      <c r="F3" s="71"/>
      <c r="G3" s="72"/>
    </row>
    <row r="4" spans="1:7" ht="12.95" customHeight="1" thickBot="1">
      <c r="A4" s="78"/>
      <c r="B4" s="74" t="s">
        <v>2</v>
      </c>
      <c r="C4" s="70"/>
      <c r="D4" s="70"/>
      <c r="E4" s="70"/>
      <c r="F4" s="71"/>
      <c r="G4" s="72"/>
    </row>
    <row r="5" spans="1:7" ht="27.95" customHeight="1" thickBot="1">
      <c r="A5" s="70"/>
      <c r="B5" s="38" t="s">
        <v>3</v>
      </c>
      <c r="C5" s="40" t="s">
        <v>4</v>
      </c>
      <c r="D5" s="40" t="s">
        <v>5</v>
      </c>
      <c r="E5" s="40" t="s">
        <v>6</v>
      </c>
      <c r="F5" s="41" t="s">
        <v>7</v>
      </c>
      <c r="G5" s="42" t="s">
        <v>386</v>
      </c>
    </row>
    <row r="6" spans="1:7" ht="12.95" customHeight="1">
      <c r="A6" s="70"/>
      <c r="B6" s="33" t="s">
        <v>362</v>
      </c>
      <c r="C6" s="117"/>
      <c r="D6" s="35"/>
      <c r="E6" s="35"/>
      <c r="F6" s="36"/>
      <c r="G6" s="116"/>
    </row>
    <row r="7" spans="1:7" ht="12.95" customHeight="1">
      <c r="A7" s="70"/>
      <c r="B7" s="27" t="s">
        <v>363</v>
      </c>
      <c r="C7" s="118"/>
      <c r="D7" s="13"/>
      <c r="E7" s="55" t="s">
        <v>192</v>
      </c>
      <c r="F7" s="55" t="s">
        <v>192</v>
      </c>
      <c r="G7" s="56" t="s">
        <v>192</v>
      </c>
    </row>
    <row r="8" spans="1:7" ht="12.95" customHeight="1">
      <c r="A8" s="79"/>
      <c r="B8" s="27" t="s">
        <v>191</v>
      </c>
      <c r="C8" s="118"/>
      <c r="D8" s="13"/>
      <c r="E8" s="55" t="s">
        <v>192</v>
      </c>
      <c r="F8" s="55" t="s">
        <v>192</v>
      </c>
      <c r="G8" s="56" t="s">
        <v>192</v>
      </c>
    </row>
    <row r="9" spans="1:7" ht="12.95" customHeight="1">
      <c r="A9" s="79"/>
      <c r="B9" s="96"/>
      <c r="C9" s="13"/>
      <c r="D9" s="13"/>
      <c r="E9" s="122"/>
      <c r="F9" s="123"/>
      <c r="G9" s="124"/>
    </row>
    <row r="10" spans="1:7" ht="12.95" customHeight="1">
      <c r="A10" s="79"/>
      <c r="B10" s="25" t="s">
        <v>364</v>
      </c>
      <c r="C10" s="119"/>
      <c r="D10" s="13"/>
      <c r="E10" s="122"/>
      <c r="F10" s="123"/>
      <c r="G10" s="124"/>
    </row>
    <row r="11" spans="1:7" ht="12.95" customHeight="1">
      <c r="A11" s="79"/>
      <c r="B11" s="27" t="s">
        <v>369</v>
      </c>
      <c r="C11" s="118"/>
      <c r="D11" s="13"/>
      <c r="E11" s="55" t="s">
        <v>192</v>
      </c>
      <c r="F11" s="55" t="s">
        <v>192</v>
      </c>
      <c r="G11" s="56" t="s">
        <v>192</v>
      </c>
    </row>
    <row r="12" spans="1:7" ht="12.95" customHeight="1">
      <c r="A12" s="79"/>
      <c r="B12" s="27" t="s">
        <v>366</v>
      </c>
      <c r="C12" s="118"/>
      <c r="D12" s="13"/>
      <c r="E12" s="55" t="s">
        <v>192</v>
      </c>
      <c r="F12" s="55" t="s">
        <v>192</v>
      </c>
      <c r="G12" s="56" t="s">
        <v>192</v>
      </c>
    </row>
    <row r="13" spans="1:7" ht="12.95" customHeight="1">
      <c r="A13" s="70"/>
      <c r="B13" s="27" t="s">
        <v>367</v>
      </c>
      <c r="C13" s="118"/>
      <c r="D13" s="13"/>
      <c r="E13" s="55" t="s">
        <v>192</v>
      </c>
      <c r="F13" s="55" t="s">
        <v>192</v>
      </c>
      <c r="G13" s="56" t="s">
        <v>192</v>
      </c>
    </row>
    <row r="14" spans="1:7" ht="12.95" customHeight="1">
      <c r="A14" s="70"/>
      <c r="B14" s="27"/>
      <c r="C14" s="118"/>
      <c r="D14" s="13"/>
      <c r="E14" s="16"/>
      <c r="F14" s="17"/>
      <c r="G14" s="28"/>
    </row>
    <row r="15" spans="1:7" ht="12.95" customHeight="1">
      <c r="A15" s="70"/>
      <c r="B15" s="24" t="s">
        <v>9</v>
      </c>
      <c r="C15" s="68" t="s">
        <v>1</v>
      </c>
      <c r="D15" s="19" t="s">
        <v>1</v>
      </c>
      <c r="E15" s="19" t="s">
        <v>1</v>
      </c>
      <c r="F15" s="20" t="s">
        <v>1</v>
      </c>
      <c r="G15" s="29" t="s">
        <v>1</v>
      </c>
    </row>
    <row r="16" spans="1:7" ht="12.95" customHeight="1">
      <c r="A16" s="70"/>
      <c r="B16" s="24" t="s">
        <v>10</v>
      </c>
      <c r="C16" s="68" t="s">
        <v>1</v>
      </c>
      <c r="D16" s="68" t="s">
        <v>1</v>
      </c>
      <c r="E16" s="19" t="s">
        <v>1</v>
      </c>
      <c r="F16" s="20" t="s">
        <v>1</v>
      </c>
      <c r="G16" s="29" t="s">
        <v>1</v>
      </c>
    </row>
    <row r="17" spans="1:7" ht="12.95" customHeight="1">
      <c r="A17" s="79"/>
      <c r="B17" s="30" t="s">
        <v>350</v>
      </c>
      <c r="C17" s="68" t="s">
        <v>351</v>
      </c>
      <c r="D17" s="68" t="s">
        <v>352</v>
      </c>
      <c r="E17" s="21">
        <v>500000</v>
      </c>
      <c r="F17" s="22">
        <v>496.84971000000002</v>
      </c>
      <c r="G17" s="31">
        <v>0.14264026896641477</v>
      </c>
    </row>
    <row r="18" spans="1:7" ht="12.95" customHeight="1">
      <c r="A18" s="79"/>
      <c r="B18" s="30" t="s">
        <v>353</v>
      </c>
      <c r="C18" s="68" t="s">
        <v>354</v>
      </c>
      <c r="D18" s="68" t="s">
        <v>352</v>
      </c>
      <c r="E18" s="21">
        <v>500000</v>
      </c>
      <c r="F18" s="22">
        <v>496.23504500000001</v>
      </c>
      <c r="G18" s="31">
        <v>0.14246380518036517</v>
      </c>
    </row>
    <row r="19" spans="1:7" ht="12.95" customHeight="1">
      <c r="A19" s="79"/>
      <c r="B19" s="30" t="s">
        <v>355</v>
      </c>
      <c r="C19" s="68" t="s">
        <v>356</v>
      </c>
      <c r="D19" s="68" t="s">
        <v>13</v>
      </c>
      <c r="E19" s="21">
        <v>500000</v>
      </c>
      <c r="F19" s="22">
        <v>478.6275</v>
      </c>
      <c r="G19" s="31">
        <v>0.13740886622379769</v>
      </c>
    </row>
    <row r="20" spans="1:7" ht="12.95" customHeight="1">
      <c r="A20" s="79"/>
      <c r="B20" s="30" t="s">
        <v>357</v>
      </c>
      <c r="C20" s="68" t="s">
        <v>358</v>
      </c>
      <c r="D20" s="68" t="s">
        <v>13</v>
      </c>
      <c r="E20" s="21">
        <v>360000</v>
      </c>
      <c r="F20" s="22">
        <v>334.52568000000002</v>
      </c>
      <c r="G20" s="31">
        <v>9.6038765870212137E-2</v>
      </c>
    </row>
    <row r="21" spans="1:7" ht="12.95" customHeight="1">
      <c r="A21" s="79"/>
      <c r="B21" s="30" t="s">
        <v>359</v>
      </c>
      <c r="C21" s="68" t="s">
        <v>360</v>
      </c>
      <c r="D21" s="68" t="s">
        <v>13</v>
      </c>
      <c r="E21" s="21">
        <v>320000</v>
      </c>
      <c r="F21" s="22">
        <v>309.31551999999999</v>
      </c>
      <c r="G21" s="31">
        <v>8.8801196982255345E-2</v>
      </c>
    </row>
    <row r="22" spans="1:7" ht="12.95" customHeight="1">
      <c r="A22" s="70"/>
      <c r="B22" s="24" t="s">
        <v>27</v>
      </c>
      <c r="C22" s="68" t="s">
        <v>1</v>
      </c>
      <c r="D22" s="19" t="s">
        <v>1</v>
      </c>
      <c r="E22" s="19" t="s">
        <v>1</v>
      </c>
      <c r="F22" s="23">
        <v>2115.5534550000002</v>
      </c>
      <c r="G22" s="32">
        <v>0.60735290322304514</v>
      </c>
    </row>
    <row r="23" spans="1:7" ht="12.95" customHeight="1">
      <c r="A23" s="70"/>
      <c r="B23" s="24" t="s">
        <v>28</v>
      </c>
      <c r="C23" s="68" t="s">
        <v>1</v>
      </c>
      <c r="D23" s="19" t="s">
        <v>1</v>
      </c>
      <c r="E23" s="19" t="s">
        <v>1</v>
      </c>
      <c r="F23" s="23">
        <v>2115.5534550000002</v>
      </c>
      <c r="G23" s="32">
        <v>0.60735290322304514</v>
      </c>
    </row>
    <row r="24" spans="1:7" ht="12.95" customHeight="1">
      <c r="A24" s="70"/>
      <c r="B24" s="24"/>
      <c r="C24" s="68"/>
      <c r="D24" s="19"/>
      <c r="E24" s="19"/>
      <c r="F24" s="23"/>
      <c r="G24" s="32"/>
    </row>
    <row r="25" spans="1:7" ht="12.95" customHeight="1">
      <c r="A25" s="70"/>
      <c r="B25" s="24" t="s">
        <v>29</v>
      </c>
      <c r="C25" s="68" t="s">
        <v>1</v>
      </c>
      <c r="D25" s="19" t="s">
        <v>1</v>
      </c>
      <c r="E25" s="19" t="s">
        <v>1</v>
      </c>
      <c r="F25" s="20" t="s">
        <v>1</v>
      </c>
      <c r="G25" s="29" t="s">
        <v>1</v>
      </c>
    </row>
    <row r="26" spans="1:7" ht="12.95" customHeight="1">
      <c r="A26" s="79"/>
      <c r="B26" s="30" t="s">
        <v>30</v>
      </c>
      <c r="C26" s="68" t="s">
        <v>1</v>
      </c>
      <c r="D26" s="19" t="s">
        <v>31</v>
      </c>
      <c r="E26" s="21"/>
      <c r="F26" s="22">
        <v>1465.0879</v>
      </c>
      <c r="G26" s="31">
        <v>0.42061115848379937</v>
      </c>
    </row>
    <row r="27" spans="1:7" ht="12.95" customHeight="1">
      <c r="A27" s="70"/>
      <c r="B27" s="24" t="s">
        <v>27</v>
      </c>
      <c r="C27" s="68" t="s">
        <v>1</v>
      </c>
      <c r="D27" s="19" t="s">
        <v>1</v>
      </c>
      <c r="E27" s="19" t="s">
        <v>1</v>
      </c>
      <c r="F27" s="23">
        <v>1465.0879</v>
      </c>
      <c r="G27" s="32">
        <v>0.42061115848379937</v>
      </c>
    </row>
    <row r="28" spans="1:7" ht="12.95" customHeight="1">
      <c r="A28" s="70"/>
      <c r="B28" s="24"/>
      <c r="C28" s="68"/>
      <c r="D28" s="19"/>
      <c r="E28" s="19"/>
      <c r="F28" s="23"/>
      <c r="G28" s="32"/>
    </row>
    <row r="29" spans="1:7" ht="12.95" customHeight="1">
      <c r="A29" s="70"/>
      <c r="B29" s="24" t="s">
        <v>253</v>
      </c>
      <c r="C29" s="68"/>
      <c r="D29" s="19"/>
      <c r="E29" s="19"/>
      <c r="F29" s="23"/>
      <c r="G29" s="32"/>
    </row>
    <row r="30" spans="1:7" ht="12.95" customHeight="1">
      <c r="A30" s="70"/>
      <c r="B30" s="30" t="s">
        <v>32</v>
      </c>
      <c r="C30" s="68" t="s">
        <v>1</v>
      </c>
      <c r="D30" s="19" t="s">
        <v>1</v>
      </c>
      <c r="E30" s="19" t="s">
        <v>1</v>
      </c>
      <c r="F30" s="22">
        <v>-97.405424499999995</v>
      </c>
      <c r="G30" s="31">
        <v>-2.7964061706844495E-2</v>
      </c>
    </row>
    <row r="31" spans="1:7" ht="12.95" customHeight="1">
      <c r="A31" s="70"/>
      <c r="B31" s="24" t="s">
        <v>27</v>
      </c>
      <c r="C31" s="68"/>
      <c r="D31" s="19"/>
      <c r="E31" s="19"/>
      <c r="F31" s="23">
        <v>-97.405424499999995</v>
      </c>
      <c r="G31" s="32">
        <v>-2.7964061706844495E-2</v>
      </c>
    </row>
    <row r="32" spans="1:7" ht="12.95" customHeight="1" thickBot="1">
      <c r="A32" s="70"/>
      <c r="B32" s="43" t="s">
        <v>28</v>
      </c>
      <c r="C32" s="120"/>
      <c r="D32" s="44"/>
      <c r="E32" s="44"/>
      <c r="F32" s="45">
        <f>SUM(F31,F27)</f>
        <v>1367.6824755</v>
      </c>
      <c r="G32" s="32">
        <f>SUM(G31,G27)</f>
        <v>0.39264709677695486</v>
      </c>
    </row>
    <row r="33" spans="1:7" ht="12.95" customHeight="1" thickBot="1">
      <c r="A33" s="70"/>
      <c r="B33" s="47" t="s">
        <v>33</v>
      </c>
      <c r="C33" s="121" t="s">
        <v>1</v>
      </c>
      <c r="D33" s="48" t="s">
        <v>1</v>
      </c>
      <c r="E33" s="48" t="s">
        <v>1</v>
      </c>
      <c r="F33" s="49">
        <v>3483.2359305</v>
      </c>
      <c r="G33" s="50">
        <v>1</v>
      </c>
    </row>
    <row r="34" spans="1:7" ht="12.95" customHeight="1">
      <c r="A34" s="70"/>
      <c r="B34" s="78" t="s">
        <v>1</v>
      </c>
      <c r="C34" s="70"/>
      <c r="D34" s="70"/>
      <c r="E34" s="70"/>
      <c r="F34" s="71"/>
      <c r="G34" s="72"/>
    </row>
    <row r="35" spans="1:7" ht="12.95" customHeight="1">
      <c r="A35" s="70"/>
      <c r="B35" s="74" t="s">
        <v>31</v>
      </c>
      <c r="C35" s="70"/>
      <c r="D35" s="70"/>
      <c r="E35" s="70"/>
      <c r="F35" s="71"/>
      <c r="G35" s="72"/>
    </row>
    <row r="36" spans="1:7" ht="12.95" customHeight="1">
      <c r="A36" s="70"/>
      <c r="B36" s="74" t="s">
        <v>34</v>
      </c>
      <c r="C36" s="70"/>
      <c r="D36" s="70"/>
      <c r="E36" s="70"/>
      <c r="F36" s="71"/>
      <c r="G36" s="72"/>
    </row>
    <row r="37" spans="1:7" ht="12.95" customHeight="1">
      <c r="A37" s="70"/>
      <c r="B37" s="74" t="s">
        <v>35</v>
      </c>
      <c r="C37" s="70"/>
      <c r="D37" s="70"/>
      <c r="E37" s="70"/>
      <c r="F37" s="71"/>
      <c r="G37" s="72"/>
    </row>
    <row r="38" spans="1:7" ht="12.95" customHeight="1" thickBot="1">
      <c r="A38" s="70"/>
      <c r="B38" s="74" t="s">
        <v>1</v>
      </c>
      <c r="C38" s="70"/>
      <c r="D38" s="70"/>
      <c r="E38" s="70"/>
      <c r="F38" s="71"/>
      <c r="G38" s="72"/>
    </row>
    <row r="39" spans="1:7" ht="12.95" customHeight="1" thickBot="1">
      <c r="A39" s="70"/>
      <c r="B39" s="57" t="s">
        <v>377</v>
      </c>
      <c r="C39" s="58" t="s">
        <v>388</v>
      </c>
      <c r="D39" s="70"/>
      <c r="E39" s="70"/>
      <c r="F39" s="71"/>
      <c r="G39" s="72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zoomScaleNormal="100" workbookViewId="0">
      <selection activeCell="B4" sqref="B4"/>
    </sheetView>
  </sheetViews>
  <sheetFormatPr defaultRowHeight="12.75"/>
  <cols>
    <col min="1" max="1" width="11.42578125" style="73" bestFit="1" customWidth="1"/>
    <col min="2" max="2" width="47" style="73" bestFit="1" customWidth="1"/>
    <col min="3" max="3" width="15.5703125" style="73" customWidth="1"/>
    <col min="4" max="4" width="14.140625" style="73" customWidth="1"/>
    <col min="5" max="5" width="15.28515625" style="73" customWidth="1"/>
    <col min="6" max="6" width="19.85546875" style="75" customWidth="1"/>
    <col min="7" max="7" width="19.85546875" style="76" customWidth="1"/>
    <col min="8" max="16384" width="9.140625" style="73"/>
  </cols>
  <sheetData>
    <row r="1" spans="1:7" ht="18">
      <c r="A1" s="70"/>
      <c r="B1" s="135" t="s">
        <v>361</v>
      </c>
      <c r="C1" s="136"/>
      <c r="D1" s="136"/>
      <c r="E1" s="136"/>
      <c r="F1" s="136"/>
      <c r="G1" s="137"/>
    </row>
    <row r="2" spans="1:7" ht="15.95" customHeight="1" thickBot="1">
      <c r="A2" s="70"/>
      <c r="B2" s="138" t="s">
        <v>385</v>
      </c>
      <c r="C2" s="139"/>
      <c r="D2" s="139"/>
      <c r="E2" s="139"/>
      <c r="F2" s="139"/>
      <c r="G2" s="140"/>
    </row>
    <row r="3" spans="1:7" ht="12.95" customHeight="1">
      <c r="A3" s="70"/>
      <c r="B3" s="77" t="s">
        <v>1</v>
      </c>
      <c r="C3" s="70"/>
      <c r="D3" s="70"/>
      <c r="E3" s="70"/>
      <c r="F3" s="71"/>
      <c r="G3" s="72"/>
    </row>
    <row r="4" spans="1:7" ht="12.95" customHeight="1" thickBot="1">
      <c r="A4" s="78"/>
      <c r="B4" s="74" t="s">
        <v>2</v>
      </c>
      <c r="C4" s="70"/>
      <c r="D4" s="70"/>
      <c r="E4" s="70"/>
      <c r="F4" s="71"/>
      <c r="G4" s="72"/>
    </row>
    <row r="5" spans="1:7" ht="27.95" customHeight="1" thickBot="1">
      <c r="A5" s="70"/>
      <c r="B5" s="38" t="s">
        <v>3</v>
      </c>
      <c r="C5" s="39" t="s">
        <v>4</v>
      </c>
      <c r="D5" s="40" t="s">
        <v>5</v>
      </c>
      <c r="E5" s="40" t="s">
        <v>6</v>
      </c>
      <c r="F5" s="41" t="s">
        <v>7</v>
      </c>
      <c r="G5" s="42" t="s">
        <v>8</v>
      </c>
    </row>
    <row r="6" spans="1:7" ht="12.95" customHeight="1">
      <c r="A6" s="70"/>
      <c r="B6" s="33" t="s">
        <v>362</v>
      </c>
      <c r="C6" s="34"/>
      <c r="D6" s="35"/>
      <c r="E6" s="35"/>
      <c r="F6" s="36"/>
      <c r="G6" s="116"/>
    </row>
    <row r="7" spans="1:7" ht="12.95" customHeight="1">
      <c r="A7" s="70"/>
      <c r="B7" s="27" t="s">
        <v>363</v>
      </c>
      <c r="C7" s="10"/>
      <c r="D7" s="13"/>
      <c r="E7" s="55" t="s">
        <v>192</v>
      </c>
      <c r="F7" s="55" t="s">
        <v>192</v>
      </c>
      <c r="G7" s="56" t="s">
        <v>192</v>
      </c>
    </row>
    <row r="8" spans="1:7" ht="12.95" customHeight="1">
      <c r="A8" s="79"/>
      <c r="B8" s="27" t="s">
        <v>191</v>
      </c>
      <c r="C8" s="10"/>
      <c r="D8" s="13"/>
      <c r="E8" s="55" t="s">
        <v>192</v>
      </c>
      <c r="F8" s="55" t="s">
        <v>192</v>
      </c>
      <c r="G8" s="56" t="s">
        <v>192</v>
      </c>
    </row>
    <row r="9" spans="1:7" ht="12.95" customHeight="1">
      <c r="A9" s="79"/>
      <c r="B9" s="96"/>
      <c r="C9" s="12"/>
      <c r="D9" s="13"/>
      <c r="E9" s="13"/>
      <c r="F9" s="14"/>
      <c r="G9" s="26"/>
    </row>
    <row r="10" spans="1:7" ht="12.95" customHeight="1">
      <c r="A10" s="79"/>
      <c r="B10" s="25" t="s">
        <v>364</v>
      </c>
      <c r="C10" s="15"/>
      <c r="D10" s="13"/>
      <c r="E10" s="13"/>
      <c r="F10" s="14"/>
      <c r="G10" s="26"/>
    </row>
    <row r="11" spans="1:7" ht="12.95" customHeight="1">
      <c r="A11" s="79"/>
      <c r="B11" s="27" t="s">
        <v>369</v>
      </c>
      <c r="C11" s="10"/>
      <c r="D11" s="13"/>
      <c r="E11" s="55" t="s">
        <v>192</v>
      </c>
      <c r="F11" s="55" t="s">
        <v>192</v>
      </c>
      <c r="G11" s="56" t="s">
        <v>192</v>
      </c>
    </row>
    <row r="12" spans="1:7" ht="12.95" customHeight="1">
      <c r="A12" s="79"/>
      <c r="B12" s="27" t="s">
        <v>366</v>
      </c>
      <c r="C12" s="10"/>
      <c r="D12" s="13"/>
      <c r="E12" s="55" t="s">
        <v>192</v>
      </c>
      <c r="F12" s="55" t="s">
        <v>192</v>
      </c>
      <c r="G12" s="56" t="s">
        <v>192</v>
      </c>
    </row>
    <row r="13" spans="1:7" ht="12.95" customHeight="1">
      <c r="A13" s="70"/>
      <c r="B13" s="27" t="s">
        <v>367</v>
      </c>
      <c r="C13" s="10"/>
      <c r="D13" s="13"/>
      <c r="E13" s="55" t="s">
        <v>192</v>
      </c>
      <c r="F13" s="55" t="s">
        <v>192</v>
      </c>
      <c r="G13" s="56" t="s">
        <v>192</v>
      </c>
    </row>
    <row r="14" spans="1:7" ht="12.95" customHeight="1">
      <c r="A14" s="70"/>
      <c r="B14" s="27"/>
      <c r="C14" s="10"/>
      <c r="D14" s="13"/>
      <c r="E14" s="16"/>
      <c r="F14" s="17"/>
      <c r="G14" s="28"/>
    </row>
    <row r="15" spans="1:7" ht="12.95" customHeight="1">
      <c r="A15" s="70"/>
      <c r="B15" s="24" t="s">
        <v>9</v>
      </c>
      <c r="C15" s="19" t="s">
        <v>1</v>
      </c>
      <c r="D15" s="19" t="s">
        <v>1</v>
      </c>
      <c r="E15" s="19" t="s">
        <v>1</v>
      </c>
      <c r="F15" s="20" t="s">
        <v>1</v>
      </c>
      <c r="G15" s="29" t="s">
        <v>1</v>
      </c>
    </row>
    <row r="16" spans="1:7" ht="12.95" customHeight="1">
      <c r="A16" s="70"/>
      <c r="B16" s="24" t="s">
        <v>10</v>
      </c>
      <c r="C16" s="19" t="s">
        <v>1</v>
      </c>
      <c r="D16" s="19" t="s">
        <v>1</v>
      </c>
      <c r="E16" s="19" t="s">
        <v>1</v>
      </c>
      <c r="F16" s="20" t="s">
        <v>1</v>
      </c>
      <c r="G16" s="29" t="s">
        <v>1</v>
      </c>
    </row>
    <row r="17" spans="1:7" ht="12.95" customHeight="1">
      <c r="A17" s="79"/>
      <c r="B17" s="30" t="s">
        <v>359</v>
      </c>
      <c r="C17" s="19" t="s">
        <v>360</v>
      </c>
      <c r="D17" s="19" t="s">
        <v>13</v>
      </c>
      <c r="E17" s="21">
        <v>180000</v>
      </c>
      <c r="F17" s="22">
        <v>173.98998</v>
      </c>
      <c r="G17" s="31">
        <v>0.35646455273967736</v>
      </c>
    </row>
    <row r="18" spans="1:7" ht="12.95" customHeight="1">
      <c r="A18" s="79"/>
      <c r="B18" s="30" t="s">
        <v>357</v>
      </c>
      <c r="C18" s="19" t="s">
        <v>358</v>
      </c>
      <c r="D18" s="19" t="s">
        <v>13</v>
      </c>
      <c r="E18" s="21">
        <v>140000</v>
      </c>
      <c r="F18" s="22">
        <v>130.09332000000001</v>
      </c>
      <c r="G18" s="31">
        <v>0.266530619339227</v>
      </c>
    </row>
    <row r="19" spans="1:7" ht="12.95" customHeight="1">
      <c r="A19" s="79"/>
      <c r="B19" s="30" t="s">
        <v>14</v>
      </c>
      <c r="C19" s="19" t="s">
        <v>15</v>
      </c>
      <c r="D19" s="19" t="s">
        <v>13</v>
      </c>
      <c r="E19" s="21">
        <v>100000</v>
      </c>
      <c r="F19" s="22">
        <v>99.890559999999994</v>
      </c>
      <c r="G19" s="31">
        <v>0.20465226671855416</v>
      </c>
    </row>
    <row r="20" spans="1:7" ht="12.95" customHeight="1">
      <c r="A20" s="70"/>
      <c r="B20" s="24" t="s">
        <v>27</v>
      </c>
      <c r="C20" s="19" t="s">
        <v>1</v>
      </c>
      <c r="D20" s="19" t="s">
        <v>1</v>
      </c>
      <c r="E20" s="19" t="s">
        <v>1</v>
      </c>
      <c r="F20" s="23">
        <v>403.97386</v>
      </c>
      <c r="G20" s="32">
        <v>0.82764743879745861</v>
      </c>
    </row>
    <row r="21" spans="1:7" ht="12.95" customHeight="1">
      <c r="A21" s="70"/>
      <c r="B21" s="24" t="s">
        <v>28</v>
      </c>
      <c r="C21" s="19" t="s">
        <v>1</v>
      </c>
      <c r="D21" s="19" t="s">
        <v>1</v>
      </c>
      <c r="E21" s="19" t="s">
        <v>1</v>
      </c>
      <c r="F21" s="23">
        <v>403.97386</v>
      </c>
      <c r="G21" s="32">
        <v>0.82764743879745861</v>
      </c>
    </row>
    <row r="22" spans="1:7" ht="12.95" customHeight="1">
      <c r="A22" s="70"/>
      <c r="B22" s="24"/>
      <c r="C22" s="19"/>
      <c r="D22" s="19"/>
      <c r="E22" s="19"/>
      <c r="F22" s="23"/>
      <c r="G22" s="32"/>
    </row>
    <row r="23" spans="1:7" ht="12.95" customHeight="1">
      <c r="A23" s="70"/>
      <c r="B23" s="24" t="s">
        <v>29</v>
      </c>
      <c r="C23" s="19" t="s">
        <v>1</v>
      </c>
      <c r="D23" s="19" t="s">
        <v>1</v>
      </c>
      <c r="E23" s="19" t="s">
        <v>1</v>
      </c>
      <c r="F23" s="20" t="s">
        <v>1</v>
      </c>
      <c r="G23" s="29" t="s">
        <v>1</v>
      </c>
    </row>
    <row r="24" spans="1:7" ht="12.95" customHeight="1">
      <c r="A24" s="79"/>
      <c r="B24" s="30" t="s">
        <v>30</v>
      </c>
      <c r="C24" s="19" t="s">
        <v>1</v>
      </c>
      <c r="D24" s="19" t="s">
        <v>31</v>
      </c>
      <c r="E24" s="21"/>
      <c r="F24" s="22">
        <v>87.292100000000005</v>
      </c>
      <c r="G24" s="31">
        <v>0.17884098489009073</v>
      </c>
    </row>
    <row r="25" spans="1:7" ht="12.95" customHeight="1">
      <c r="A25" s="70"/>
      <c r="B25" s="24" t="s">
        <v>27</v>
      </c>
      <c r="C25" s="19" t="s">
        <v>1</v>
      </c>
      <c r="D25" s="19" t="s">
        <v>1</v>
      </c>
      <c r="E25" s="19" t="s">
        <v>1</v>
      </c>
      <c r="F25" s="23">
        <v>87.292100000000005</v>
      </c>
      <c r="G25" s="32">
        <v>0.17884098489009073</v>
      </c>
    </row>
    <row r="26" spans="1:7" ht="12.95" customHeight="1">
      <c r="A26" s="70"/>
      <c r="B26" s="24"/>
      <c r="C26" s="19"/>
      <c r="D26" s="19"/>
      <c r="E26" s="19"/>
      <c r="F26" s="23"/>
      <c r="G26" s="32"/>
    </row>
    <row r="27" spans="1:7" ht="12.95" customHeight="1">
      <c r="A27" s="70"/>
      <c r="B27" s="24" t="s">
        <v>253</v>
      </c>
      <c r="C27" s="19"/>
      <c r="D27" s="19"/>
      <c r="E27" s="19"/>
      <c r="F27" s="23"/>
      <c r="G27" s="32"/>
    </row>
    <row r="28" spans="1:7" ht="12.95" customHeight="1">
      <c r="A28" s="70"/>
      <c r="B28" s="30" t="s">
        <v>32</v>
      </c>
      <c r="C28" s="19" t="s">
        <v>1</v>
      </c>
      <c r="D28" s="19" t="s">
        <v>1</v>
      </c>
      <c r="E28" s="19" t="s">
        <v>1</v>
      </c>
      <c r="F28" s="22">
        <v>-3.1669928999999999</v>
      </c>
      <c r="G28" s="31">
        <v>-6.4884236875493075E-3</v>
      </c>
    </row>
    <row r="29" spans="1:7" ht="12.95" customHeight="1">
      <c r="A29" s="70"/>
      <c r="B29" s="24" t="s">
        <v>27</v>
      </c>
      <c r="C29" s="19"/>
      <c r="D29" s="19"/>
      <c r="E29" s="19"/>
      <c r="F29" s="23">
        <v>-3.1669928999999999</v>
      </c>
      <c r="G29" s="32">
        <v>-6.4884236875493075E-3</v>
      </c>
    </row>
    <row r="30" spans="1:7" ht="12.95" customHeight="1" thickBot="1">
      <c r="A30" s="70"/>
      <c r="B30" s="43" t="s">
        <v>28</v>
      </c>
      <c r="C30" s="44"/>
      <c r="D30" s="44"/>
      <c r="E30" s="44"/>
      <c r="F30" s="45">
        <f>SUM(F29,F25)</f>
        <v>84.125107100000008</v>
      </c>
      <c r="G30" s="32">
        <f>SUM(G29,G25)</f>
        <v>0.17235256120254142</v>
      </c>
    </row>
    <row r="31" spans="1:7" ht="12.95" customHeight="1" thickBot="1">
      <c r="A31" s="70"/>
      <c r="B31" s="47" t="s">
        <v>33</v>
      </c>
      <c r="C31" s="48" t="s">
        <v>1</v>
      </c>
      <c r="D31" s="48" t="s">
        <v>1</v>
      </c>
      <c r="E31" s="48" t="s">
        <v>1</v>
      </c>
      <c r="F31" s="49">
        <v>488.09896709999998</v>
      </c>
      <c r="G31" s="50">
        <v>1</v>
      </c>
    </row>
    <row r="32" spans="1:7" ht="12.95" customHeight="1">
      <c r="A32" s="70"/>
      <c r="B32" s="78" t="s">
        <v>1</v>
      </c>
      <c r="C32" s="70"/>
      <c r="D32" s="70"/>
      <c r="E32" s="70"/>
      <c r="F32" s="71"/>
      <c r="G32" s="72"/>
    </row>
    <row r="33" spans="1:7" ht="12.95" customHeight="1">
      <c r="A33" s="70"/>
      <c r="B33" s="74" t="s">
        <v>31</v>
      </c>
      <c r="C33" s="70"/>
      <c r="D33" s="70"/>
      <c r="E33" s="70"/>
      <c r="F33" s="71"/>
      <c r="G33" s="72"/>
    </row>
    <row r="34" spans="1:7" ht="12.95" customHeight="1">
      <c r="A34" s="70"/>
      <c r="B34" s="74" t="s">
        <v>34</v>
      </c>
      <c r="C34" s="70"/>
      <c r="D34" s="70"/>
      <c r="E34" s="70"/>
      <c r="F34" s="71"/>
      <c r="G34" s="72"/>
    </row>
    <row r="35" spans="1:7" ht="12.95" customHeight="1">
      <c r="A35" s="70"/>
      <c r="B35" s="74" t="s">
        <v>35</v>
      </c>
      <c r="C35" s="70"/>
      <c r="D35" s="70"/>
      <c r="E35" s="70"/>
      <c r="F35" s="71"/>
      <c r="G35" s="72"/>
    </row>
    <row r="36" spans="1:7" ht="12.95" customHeight="1" thickBot="1">
      <c r="A36" s="70"/>
      <c r="B36" s="74" t="s">
        <v>1</v>
      </c>
      <c r="C36" s="70"/>
      <c r="D36" s="70"/>
      <c r="E36" s="70"/>
      <c r="F36" s="71"/>
      <c r="G36" s="72"/>
    </row>
    <row r="37" spans="1:7" ht="12.95" customHeight="1" thickBot="1">
      <c r="A37" s="70"/>
      <c r="B37" s="57" t="s">
        <v>377</v>
      </c>
      <c r="C37" s="58" t="s">
        <v>389</v>
      </c>
      <c r="D37" s="70"/>
      <c r="E37" s="70"/>
      <c r="F37" s="71"/>
      <c r="G37" s="72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MIIOF</vt:lpstr>
      <vt:lpstr>MAEBF</vt:lpstr>
      <vt:lpstr>MICCF</vt:lpstr>
      <vt:lpstr>MIGCS</vt:lpstr>
      <vt:lpstr>MICHF</vt:lpstr>
      <vt:lpstr>MACMF</vt:lpstr>
      <vt:lpstr>MILPF</vt:lpstr>
      <vt:lpstr>MISTB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Vilas Chapekar</dc:creator>
  <cp:lastModifiedBy>Sachin Shardul</cp:lastModifiedBy>
  <dcterms:created xsi:type="dcterms:W3CDTF">2015-07-03T15:50:36Z</dcterms:created>
  <dcterms:modified xsi:type="dcterms:W3CDTF">2015-07-07T09:43:22Z</dcterms:modified>
</cp:coreProperties>
</file>